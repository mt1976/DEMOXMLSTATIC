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82F88B03-3366-A142-A335-51C307F9DD2C}" xr6:coauthVersionLast="45" xr6:coauthVersionMax="45" xr10:uidLastSave="{00000000-0000-0000-0000-000000000000}"/>
  <bookViews>
    <workbookView xWindow="0" yWindow="0" windowWidth="38400" windowHeight="21600" tabRatio="997" activeTab="5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_CT_CPI" sheetId="95" r:id="rId6"/>
    <sheet name="HS_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HS_CT_CPI!$A$1:$O$2</definedName>
    <definedName name="_xlnm._FilterDatabase" localSheetId="6" hidden="1">HS_FX!$A$1:$P$2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<sst xmlns="http://schemas.openxmlformats.org/spreadsheetml/2006/main" count="2012" uniqueCount="493">
  <si>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</si>
  <si>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</si>
  <si>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</si>
  <si>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</si>
  <si>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</si>
  <si>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</si>
  <si>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</si>
  <si>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</si>
  <si>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</si>
  <si>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</si>
  <si>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</si>
  <si>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</si>
  <si>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</si>
  <si>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</si>
  <si>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</si>
  <si>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</si>
  <si>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</si>
  <si>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</si>
  <si>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</si>
  <si>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</si>
  <si>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</si>
  <si>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</si>
  <si>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</si>
  <si>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</si>
  <si>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</si>
  <si>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</si>
  <si>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</si>
  <si>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</si>
  <si>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</si>
  <si>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</si>
  <si>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</si>
  <si>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</si>
  <si>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</si>
  <si>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</si>
  <si>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</si>
  <si>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</si>
  <si>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</si>
  <si>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</si>
  <si>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</si>
  <si>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</si>
  <si>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</si>
  <si>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</si>
  <si>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</si>
  <si>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</si>
  <si>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</si>
  <si>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</si>
  <si>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</si>
  <si>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</si>
  <si>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</si>
  <si>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</si>
  <si>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</si>
  <si>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</si>
  <si>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</si>
  <si>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</si>
  <si>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</si>
  <si>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</si>
  <si>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</si>
  <si>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</si>
  <si>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</si>
  <si>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</si>
  <si>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</si>
  <si>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</si>
  <si>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</si>
  <si>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</si>
  <si>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</si>
  <si>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</si>
  <si>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</si>
  <si>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</si>
  <si>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</si>
  <si>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</si>
  <si>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</si>
  <si>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</si>
  <si>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</si>
  <si>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</si>
  <si>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</si>
  <si>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</si>
  <si>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</si>
  <si>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</si>
  <si>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</si>
  <si>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</si>
  <si>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</si>
  <si>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</si>
  <si>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</si>
  <si>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</si>
  <si>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</si>
  <si>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</si>
  <si>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</si>
  <si>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</si>
  <si>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</si>
  <si>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</si>
  <si>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</si>
  <si>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</si>
  <si>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</si>
  <si>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</si>
  <si>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</si>
  <si>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</si>
  <si>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</si>
  <si>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</si>
  <si>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</si>
  <si>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</si>
  <si>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</si>
  <si>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</si>
  <si>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</si>
  <si>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</si>
  <si>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</si>
  <si>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</si>
  <si>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</si>
  <si>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</si>
  <si>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</si>
  <si>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</si>
  <si>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</si>
  <si>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</si>
  <si>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</si>
  <si>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</si>
  <si>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</si>
  <si>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</si>
  <si>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</si>
  <si>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</si>
  <si>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</si>
  <si>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</si>
  <si>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</si>
  <si>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</si>
  <si>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</si>
  <si>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</si>
  <si>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</si>
  <si>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</si>
  <si>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</si>
  <si>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</si>
  <si>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</si>
  <si>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</si>
  <si>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</si>
  <si>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</si>
  <si>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</si>
  <si>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</si>
  <si>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</si>
  <si>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</si>
  <si>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</si>
  <si>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</si>
  <si>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</si>
  <si>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</si>
  <si>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</si>
  <si>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</si>
  <si>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</si>
  <si>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</si>
  <si>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</si>
  <si>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</si>
  <si>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</si>
  <si>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</si>
  <si>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</si>
  <si>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</si>
  <si>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</si>
  <si>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</si>
  <si>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</si>
  <si>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</si>
  <si>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</si>
  <si>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</si>
  <si>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</si>
  <si>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</si>
  <si>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</si>
  <si>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</si>
  <si>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</si>
  <si>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</si>
  <si>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</si>
  <si>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</si>
  <si>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</si>
  <si>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</si>
  <si>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</si>
  <si>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</si>
  <si>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</si>
  <si>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</si>
  <si>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</si>
  <si>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</si>
  <si>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</si>
  <si>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</si>
  <si>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</si>
  <si>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</si>
  <si>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</si>
  <si>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</si>
  <si>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</si>
  <si>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</si>
  <si>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</si>
  <si>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</si>
  <si>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</si>
  <si>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</si>
  <si>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</si>
  <si>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</si>
  <si>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</si>
  <si>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</si>
  <si>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</si>
  <si>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</si>
  <si>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</si>
  <si>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</si>
  <si>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</si>
  <si>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</si>
  <si>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</si>
  <si>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</si>
  <si>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</si>
  <si>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</si>
  <si>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</si>
  <si>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</si>
  <si>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</si>
  <si>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</si>
  <si>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</si>
  <si>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</si>
  <si>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</si>
  <si>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</si>
  <si>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</si>
  <si>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</si>
  <si>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</si>
  <si>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</si>
  <si>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</si>
  <si>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</si>
  <si>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</si>
  <si>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</si>
  <si>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</si>
  <si>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</si>
  <si>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</si>
  <si>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</si>
  <si>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</si>
  <si>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</si>
  <si>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</si>
  <si>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</si>
  <si>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</si>
  <si>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</si>
  <si>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</si>
  <si>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</si>
  <si>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</si>
  <si>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</si>
  <si>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</si>
  <si>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</si>
  <si>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</si>
  <si>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</si>
  <si>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</si>
  <si>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</si>
  <si>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</si>
  <si>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</si>
  <si>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</si>
  <si>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</si>
  <si>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</si>
  <si>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</si>
  <si>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</si>
  <si>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</si>
  <si>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</si>
  <si>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</si>
  <si>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</si>
  <si>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</si>
  <si>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</si>
  <si>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</si>
  <si>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</si>
  <si>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</si>
  <si>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</si>
  <si>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</si>
  <si>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</si>
  <si>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</si>
  <si>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</si>
  <si>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</si>
  <si>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</si>
  <si>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</si>
  <si>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</si>
  <si>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</si>
  <si>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</si>
  <si>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</si>
  <si>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</si>
  <si>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</si>
  <si>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</si>
  <si>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</si>
  <si>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</si>
  <si>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</si>
  <si>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</si>
  <si>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</si>
  <si>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</si>
  <si>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</si>
  <si>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</si>
  <si>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</si>
  <si>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</si>
  <si>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</si>
  <si>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</si>
  <si>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</si>
  <si>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</si>
  <si>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</si>
  <si>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</si>
  <si>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</si>
  <si>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</si>
  <si>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</si>
  <si>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</si>
  <si>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</si>
  <si>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</si>
  <si>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</si>
  <si>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</si>
  <si>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</si>
  <si>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</si>
  <si>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</si>
  <si>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</si>
  <si>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</si>
  <si>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</si>
  <si>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</si>
  <si>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</si>
  <si>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</si>
  <si>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</si>
  <si>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</si>
  <si>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</si>
  <si>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</si>
  <si>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</si>
  <si>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</si>
  <si>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</si>
  <si>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</si>
  <si>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</si>
  <si>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</si>
  <si>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</si>
  <si>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</si>
  <si>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</si>
  <si>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</si>
  <si>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</si>
  <si>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</si>
  <si>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</si>
  <si>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</si>
  <si>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</si>
  <si>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</si>
  <si>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</si>
  <si>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</si>
  <si>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</si>
  <si>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</si>
  <si>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</si>
  <si>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</si>
  <si>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</si>
  <si>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</si>
  <si>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</si>
  <si>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</si>
  <si>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</si>
  <si>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</si>
  <si>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</si>
  <si>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</si>
  <si>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</si>
  <si>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</si>
  <si>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</si>
  <si>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</si>
  <si>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</si>
  <si>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</si>
  <si>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</si>
  <si>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</si>
  <si>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</si>
  <si>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</si>
  <si>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</si>
  <si>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</si>
  <si>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</si>
  <si>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</si>
  <si>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</si>
  <si>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</si>
  <si>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</si>
  <si>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</si>
  <si>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</si>
  <si>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</si>
  <si>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</si>
  <si>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</si>
  <si>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</si>
  <si>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</si>
  <si>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</si>
  <si>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</si>
  <si>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</si>
  <si>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</si>
  <si>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AgainstAmount</t>
  </si>
  <si>
    <t>ext.190912.1031.0024</t>
  </si>
  <si>
    <t>FX Deal Imported @ 10:31 on 12 Sep 2019</t>
  </si>
  <si>
    <t>ext.190912.1300.0050</t>
  </si>
  <si>
    <t>FX Deal Imported @ 13:00 on 12 Sep 2019</t>
  </si>
  <si>
    <t>FX Trade</t>
  </si>
  <si>
    <t>20190912-165125-002</t>
  </si>
  <si>
    <t>ACTUAL</t>
  </si>
  <si>
    <t>HSBEL20190912165125002</t>
  </si>
  <si>
    <t>20190912-165125-003</t>
  </si>
  <si>
    <t>HSBEL20190912165125003</t>
  </si>
  <si>
    <t>20190912-165125-004</t>
  </si>
  <si>
    <t>HSBEL20190912165125004</t>
  </si>
  <si>
    <t>20190912-165125-005</t>
  </si>
  <si>
    <t>HSBEL20190912165125005</t>
  </si>
  <si>
    <t>20190912-165125-006</t>
  </si>
  <si>
    <t>HSBEL20190912165125006</t>
  </si>
  <si>
    <t>20190912-165125-007</t>
  </si>
  <si>
    <t>HSBEL20190912165125007</t>
  </si>
  <si>
    <t>20190912-165125-008</t>
  </si>
  <si>
    <t>HSBEL20190912165125008</t>
  </si>
  <si>
    <t>20190912-165125-009</t>
  </si>
  <si>
    <t>HSBEL20190912165125009</t>
  </si>
  <si>
    <t>20190912-165125-010</t>
  </si>
  <si>
    <t>HSBEL20190912165125010</t>
  </si>
  <si>
    <t>20190912-165125-011</t>
  </si>
  <si>
    <t>HSBEL20190912165125011</t>
  </si>
  <si>
    <t>20190912-165125-012</t>
  </si>
  <si>
    <t>HSBEL20190912165125012</t>
  </si>
  <si>
    <t>20190912-165125-013</t>
  </si>
  <si>
    <t>HSBEL20190912165125013</t>
  </si>
  <si>
    <t>20190912-165125-014</t>
  </si>
  <si>
    <t>HSBEL20190912165125014</t>
  </si>
  <si>
    <t>20190912-165125-015</t>
  </si>
  <si>
    <t>HSBEL20190912165125015</t>
  </si>
  <si>
    <t>20190912-165125-016</t>
  </si>
  <si>
    <t>HSBEL20190912165125016</t>
  </si>
  <si>
    <t>20190912-165125-017</t>
  </si>
  <si>
    <t>HSBEL20190912165125017</t>
  </si>
  <si>
    <t>20190912-165125-018</t>
  </si>
  <si>
    <t>HSBEL20190912165125018</t>
  </si>
  <si>
    <t>20190912-165125-019</t>
  </si>
  <si>
    <t>HSBEL20190912165125019</t>
  </si>
  <si>
    <t>20190912-165125-020</t>
  </si>
  <si>
    <t>HSBEL20190912165125020</t>
  </si>
  <si>
    <t>20190912-165125-021</t>
  </si>
  <si>
    <t>HSBEL20190912165125021</t>
  </si>
  <si>
    <t>20190912-165125-022</t>
  </si>
  <si>
    <t>HSBEL20190912165125022</t>
  </si>
  <si>
    <t>20190912-165125-023</t>
  </si>
  <si>
    <t>HSBEL20190912165125023</t>
  </si>
  <si>
    <t>20190912-165125-025</t>
  </si>
  <si>
    <t>ext.190912.1300.0025</t>
  </si>
  <si>
    <t>Customer Payment Instruction Imported @ 13:00 on 12 Sep 2019</t>
  </si>
  <si>
    <t>HSBEL20190912165125025</t>
  </si>
  <si>
    <t>20190912-165125-026</t>
  </si>
  <si>
    <t>ext.190912.1300.0026</t>
  </si>
  <si>
    <t>HSBEL20190912165125026</t>
  </si>
  <si>
    <t>20190912-165125-027</t>
  </si>
  <si>
    <t>ext.190912.1300.0027</t>
  </si>
  <si>
    <t>HSBEL20190912165125027</t>
  </si>
  <si>
    <t>20190912-165125-028</t>
  </si>
  <si>
    <t>ext.190912.1300.0028</t>
  </si>
  <si>
    <t>HSBEL20190912165125028</t>
  </si>
  <si>
    <t>20190912-165125-029</t>
  </si>
  <si>
    <t>ext.190912.1300.0029</t>
  </si>
  <si>
    <t>HSBEL20190912165125029</t>
  </si>
  <si>
    <t>20190912-165125-030</t>
  </si>
  <si>
    <t>ext.190912.1300.0030</t>
  </si>
  <si>
    <t>HSBEL20190912165125030</t>
  </si>
  <si>
    <t>20190912-165125-031</t>
  </si>
  <si>
    <t>ext.190912.1300.0031</t>
  </si>
  <si>
    <t>HSBEL20190912165125031</t>
  </si>
  <si>
    <t>20190912-165125-032</t>
  </si>
  <si>
    <t>ext.190912.1300.0032</t>
  </si>
  <si>
    <t>HSBEL20190912165125032</t>
  </si>
  <si>
    <t>20190912-165125-033</t>
  </si>
  <si>
    <t>ext.190912.1300.0033</t>
  </si>
  <si>
    <t>HSBEL20190912165125033</t>
  </si>
  <si>
    <t>20190912-165125-034</t>
  </si>
  <si>
    <t>ext.190912.1300.0034</t>
  </si>
  <si>
    <t>HSBEL20190912165125034</t>
  </si>
  <si>
    <t>20190912-165125-035</t>
  </si>
  <si>
    <t>ext.190912.1300.0035</t>
  </si>
  <si>
    <t>HSBEL20190912165125035</t>
  </si>
  <si>
    <t>20190912-165125-036</t>
  </si>
  <si>
    <t>ext.190912.1300.0036</t>
  </si>
  <si>
    <t>HSBEL20190912165125036</t>
  </si>
  <si>
    <t>20190912-165125-037</t>
  </si>
  <si>
    <t>ext.190912.1300.0037</t>
  </si>
  <si>
    <t>HSBEL20190912165125037</t>
  </si>
  <si>
    <t>20190912-165125-038</t>
  </si>
  <si>
    <t>ext.190912.1300.0038</t>
  </si>
  <si>
    <t>HSBEL20190912165125038</t>
  </si>
  <si>
    <t>20190912-165125-039</t>
  </si>
  <si>
    <t>ext.190912.1300.0039</t>
  </si>
  <si>
    <t>HSBEL20190912165125039</t>
  </si>
  <si>
    <t>20190912-165125-040</t>
  </si>
  <si>
    <t>ext.190912.1300.0040</t>
  </si>
  <si>
    <t>HSBEL20190912165125040</t>
  </si>
  <si>
    <t>20190912-165125-041</t>
  </si>
  <si>
    <t>ext.190912.1300.0041</t>
  </si>
  <si>
    <t>HSBEL20190912165125041</t>
  </si>
  <si>
    <t>20190912-165125-042</t>
  </si>
  <si>
    <t>ext.190912.1300.0042</t>
  </si>
  <si>
    <t>HSBEL20190912165125042</t>
  </si>
  <si>
    <t>20190912-165125-043</t>
  </si>
  <si>
    <t>ext.190912.1300.0043</t>
  </si>
  <si>
    <t>HSBEL20190912165125043</t>
  </si>
  <si>
    <t>20190912-165125-044</t>
  </si>
  <si>
    <t>ext.190912.1300.0044</t>
  </si>
  <si>
    <t>HSBEL20190912165125044</t>
  </si>
  <si>
    <t>20190912-165125-045</t>
  </si>
  <si>
    <t>ext.190912.1300.0045</t>
  </si>
  <si>
    <t>HSBEL20190912165125045</t>
  </si>
  <si>
    <t>20190912-165125-046</t>
  </si>
  <si>
    <t>ext.190912.1300.0046</t>
  </si>
  <si>
    <t>HSBEL20190912165125046</t>
  </si>
  <si>
    <t>20190912-165125-047</t>
  </si>
  <si>
    <t>ext.190912.1300.0047</t>
  </si>
  <si>
    <t>HSBEL20190912165125047</t>
  </si>
  <si>
    <t>20190912-165125-048</t>
  </si>
  <si>
    <t>ext.190912.1300.0048</t>
  </si>
  <si>
    <t>HSBEL20190912165125048</t>
  </si>
  <si>
    <t>20190912-165125-049</t>
  </si>
  <si>
    <t>ext.190912.1300.0049</t>
  </si>
  <si>
    <t>HSBEL20190912165125049</t>
  </si>
  <si>
    <t>20190912-165157-024</t>
  </si>
  <si>
    <t>HSBEL20190912165157024</t>
  </si>
  <si>
    <t>20190912-165157-050</t>
  </si>
  <si>
    <t>HSBEL20190912165157050</t>
  </si>
  <si>
    <t>/Users/matttownsend/Google Drive/eurobase/repos/ebSiena-DemoSystemData/Prospects/HomeSend/XML Deal Generator/DATA/</t>
  </si>
  <si>
    <t>NOTE - ON MAC Leave off the last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</si>
</sst>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22" fontId="0" fillId="0" borderId="0" xfId="0" applyNumberFormat="1"/>
    <xf numFmtId="165" fontId="0" fillId="0" borderId="0" xfId="0" applyNumberFormat="1"/>
    <xf numFmtId="2" fontId="1" fillId="2" borderId="5" xfId="6" applyNumberFormat="1" applyFont="1" applyFill="1" applyBorder="1" applyAlignment="1">
      <alignment horizontal="center"/>
    </xf>
    <xf numFmtId="2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/ldn-srv-cent01/bkg/std/systems/bkg-prd/sys-2/data/dealImportStaging" TargetMode="External"/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491</v>
      </c>
    </row>
    <row r="2" spans="1:2" x14ac:dyDescent="0.2">
      <c r="A2" s="23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492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F27" sqref="F27"/>
    </sheetView>
  </sheetViews>
  <sheetFormatPr baseColWidth="10" defaultColWidth="16" defaultRowHeight="15" x14ac:dyDescent="0.2"/>
  <cols>
    <col min="1" max="4" width="16" style="8"/>
    <col min="5" max="5" width="16" style="21"/>
    <col min="6" max="6" width="30.1640625" style="8" bestFit="1" customWidth="1"/>
    <col min="7" max="12" width="16" style="8"/>
    <col min="13" max="13" width="16" style="21"/>
    <col min="14" max="18" width="16" style="8"/>
    <col min="19" max="19" width="78.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305</v>
      </c>
    </row>
    <row r="2" spans="1:22" x14ac:dyDescent="0.2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297</v>
      </c>
      <c r="H2" s="8" t="s">
        <v>49</v>
      </c>
      <c r="I2" s="8">
        <v>0</v>
      </c>
      <c r="J2" s="8" t="s">
        <v>60</v>
      </c>
      <c r="K2" s="8">
        <v>0</v>
      </c>
      <c r="L2" s="8" t="s">
        <v>299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292</v>
      </c>
      <c r="V2" s="8" t="s">
        <v>306</v>
      </c>
    </row>
    <row r="3" spans="1:22" x14ac:dyDescent="0.2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297</v>
      </c>
      <c r="H3" s="8" t="s">
        <v>49</v>
      </c>
      <c r="I3" s="8">
        <v>0</v>
      </c>
      <c r="J3" s="8" t="s">
        <v>57</v>
      </c>
      <c r="K3" s="8">
        <v>0</v>
      </c>
      <c r="L3" s="8" t="s">
        <v>299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293</v>
      </c>
      <c r="V3" s="8" t="s">
        <v>306</v>
      </c>
    </row>
    <row r="4" spans="1:22" x14ac:dyDescent="0.2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297</v>
      </c>
      <c r="H4" s="8" t="s">
        <v>49</v>
      </c>
      <c r="I4" s="8">
        <v>0</v>
      </c>
      <c r="J4" s="8" t="s">
        <v>57</v>
      </c>
      <c r="K4" s="8">
        <v>0</v>
      </c>
      <c r="L4" s="8" t="s">
        <v>299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294</v>
      </c>
      <c r="V4" s="8" t="s">
        <v>306</v>
      </c>
    </row>
    <row r="5" spans="1:22" x14ac:dyDescent="0.2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297</v>
      </c>
      <c r="H5" s="8" t="s">
        <v>49</v>
      </c>
      <c r="I5" s="8">
        <v>0</v>
      </c>
      <c r="J5" s="8" t="s">
        <v>56</v>
      </c>
      <c r="K5" s="8">
        <v>0</v>
      </c>
      <c r="L5" s="8" t="s">
        <v>299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295</v>
      </c>
      <c r="V5" s="8" t="s">
        <v>306</v>
      </c>
    </row>
    <row r="6" spans="1:22" x14ac:dyDescent="0.2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297</v>
      </c>
      <c r="H6" s="8" t="s">
        <v>49</v>
      </c>
      <c r="I6" s="8">
        <v>0</v>
      </c>
      <c r="J6" s="8" t="s">
        <v>5</v>
      </c>
      <c r="K6" s="8">
        <v>0</v>
      </c>
      <c r="L6" s="8" t="s">
        <v>299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296</v>
      </c>
      <c r="V6" s="8" t="s">
        <v>306</v>
      </c>
    </row>
    <row r="7" spans="1:22" x14ac:dyDescent="0.2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300</v>
      </c>
      <c r="H7" s="8" t="s">
        <v>49</v>
      </c>
      <c r="I7" s="8">
        <v>0</v>
      </c>
      <c r="J7" s="8" t="s">
        <v>56</v>
      </c>
      <c r="K7" s="8">
        <v>0</v>
      </c>
      <c r="L7" s="8" t="s">
        <v>299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303</v>
      </c>
    </row>
    <row r="8" spans="1:22" x14ac:dyDescent="0.2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300</v>
      </c>
      <c r="H8" s="8" t="s">
        <v>49</v>
      </c>
      <c r="I8" s="8">
        <v>0</v>
      </c>
      <c r="J8" s="8" t="s">
        <v>57</v>
      </c>
      <c r="K8" s="8">
        <v>0</v>
      </c>
      <c r="L8" s="8" t="s">
        <v>299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303</v>
      </c>
    </row>
    <row r="9" spans="1:22" x14ac:dyDescent="0.2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300</v>
      </c>
      <c r="H9" s="8" t="s">
        <v>49</v>
      </c>
      <c r="I9" s="8">
        <v>0</v>
      </c>
      <c r="J9" s="8" t="s">
        <v>55</v>
      </c>
      <c r="K9" s="8">
        <v>0</v>
      </c>
      <c r="L9" s="8" t="s">
        <v>299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303</v>
      </c>
    </row>
    <row r="10" spans="1:22" x14ac:dyDescent="0.2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300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299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303</v>
      </c>
    </row>
    <row r="11" spans="1:22" x14ac:dyDescent="0.2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300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299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303</v>
      </c>
    </row>
    <row r="12" spans="1:22" x14ac:dyDescent="0.2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300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299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303</v>
      </c>
    </row>
    <row r="13" spans="1:22" x14ac:dyDescent="0.2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300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299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303</v>
      </c>
    </row>
    <row r="14" spans="1:22" x14ac:dyDescent="0.2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300</v>
      </c>
      <c r="H14" s="8" t="str">
        <f>H13</f>
        <v>DEPO</v>
      </c>
      <c r="I14" s="8">
        <f>I13</f>
        <v>0</v>
      </c>
      <c r="J14" s="8" t="s">
        <v>298</v>
      </c>
      <c r="K14" s="8">
        <f>K13</f>
        <v>0</v>
      </c>
      <c r="L14" s="8" t="s">
        <v>299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303</v>
      </c>
    </row>
    <row r="15" spans="1:22" x14ac:dyDescent="0.2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300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299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303</v>
      </c>
    </row>
    <row r="16" spans="1:22" x14ac:dyDescent="0.2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300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299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303</v>
      </c>
    </row>
    <row r="17" spans="1:22" x14ac:dyDescent="0.2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300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299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303</v>
      </c>
    </row>
    <row r="18" spans="1:22" x14ac:dyDescent="0.2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300</v>
      </c>
      <c r="H18" s="8" t="str">
        <f t="shared" si="9"/>
        <v>DEPO</v>
      </c>
      <c r="I18" s="8">
        <f t="shared" si="10"/>
        <v>0</v>
      </c>
      <c r="J18" s="8" t="s">
        <v>298</v>
      </c>
      <c r="K18" s="8">
        <f t="shared" si="11"/>
        <v>0</v>
      </c>
      <c r="L18" s="8" t="s">
        <v>299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303</v>
      </c>
    </row>
    <row r="19" spans="1:22" x14ac:dyDescent="0.2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300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299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303</v>
      </c>
    </row>
    <row r="20" spans="1:22" x14ac:dyDescent="0.2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300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299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303</v>
      </c>
    </row>
    <row r="21" spans="1:22" x14ac:dyDescent="0.2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301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302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304</v>
      </c>
    </row>
    <row r="22" spans="1:22" x14ac:dyDescent="0.2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301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302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304</v>
      </c>
    </row>
    <row r="23" spans="1:22" x14ac:dyDescent="0.2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301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302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304</v>
      </c>
    </row>
    <row r="24" spans="1:22" x14ac:dyDescent="0.2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301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302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304</v>
      </c>
    </row>
    <row r="25" spans="1:22" x14ac:dyDescent="0.2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301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302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304</v>
      </c>
    </row>
    <row r="26" spans="1:22" x14ac:dyDescent="0.2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301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302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304</v>
      </c>
    </row>
    <row r="27" spans="1:22" x14ac:dyDescent="0.2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301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302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304</v>
      </c>
    </row>
    <row r="28" spans="1:22" x14ac:dyDescent="0.2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301</v>
      </c>
      <c r="H28" s="8" t="str">
        <f t="shared" si="9"/>
        <v>DEPO</v>
      </c>
      <c r="I28" s="8">
        <f t="shared" si="10"/>
        <v>0</v>
      </c>
      <c r="J28" s="8" t="s">
        <v>298</v>
      </c>
      <c r="K28" s="8">
        <f t="shared" si="11"/>
        <v>0</v>
      </c>
      <c r="L28" s="8" t="s">
        <v>302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304</v>
      </c>
    </row>
    <row r="29" spans="1:22" x14ac:dyDescent="0.2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301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302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304</v>
      </c>
    </row>
    <row r="30" spans="1:22" x14ac:dyDescent="0.2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301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302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304</v>
      </c>
    </row>
    <row r="31" spans="1:22" x14ac:dyDescent="0.2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301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302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304</v>
      </c>
    </row>
    <row r="32" spans="1:22" x14ac:dyDescent="0.2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301</v>
      </c>
      <c r="H32" s="8" t="str">
        <f t="shared" si="9"/>
        <v>DEPO</v>
      </c>
      <c r="I32" s="8">
        <f t="shared" si="10"/>
        <v>0</v>
      </c>
      <c r="J32" s="8" t="s">
        <v>298</v>
      </c>
      <c r="K32" s="8">
        <f t="shared" si="11"/>
        <v>0</v>
      </c>
      <c r="L32" s="8" t="s">
        <v>302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304</v>
      </c>
    </row>
    <row r="33" spans="1:22" x14ac:dyDescent="0.2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301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302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304</v>
      </c>
    </row>
    <row r="34" spans="1:22" x14ac:dyDescent="0.2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301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302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304</v>
      </c>
    </row>
    <row r="35" spans="1:22" x14ac:dyDescent="0.2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312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299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307</v>
      </c>
      <c r="V35" s="8" t="s">
        <v>313</v>
      </c>
    </row>
    <row r="36" spans="1:22" x14ac:dyDescent="0.2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312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299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308</v>
      </c>
      <c r="V36" s="8" t="s">
        <v>313</v>
      </c>
    </row>
    <row r="37" spans="1:22" x14ac:dyDescent="0.2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312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299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309</v>
      </c>
      <c r="V37" s="8" t="s">
        <v>313</v>
      </c>
    </row>
    <row r="38" spans="1:22" x14ac:dyDescent="0.2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312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299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310</v>
      </c>
      <c r="V38" s="8" t="s">
        <v>313</v>
      </c>
    </row>
    <row r="39" spans="1:22" x14ac:dyDescent="0.2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312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299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311</v>
      </c>
      <c r="V39" s="8" t="s">
        <v>313</v>
      </c>
    </row>
    <row r="40" spans="1:22" x14ac:dyDescent="0.2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297</v>
      </c>
      <c r="H40" s="8" t="s">
        <v>49</v>
      </c>
      <c r="I40" s="8">
        <f t="shared" ref="I40:I51" si="18">I39</f>
        <v>0</v>
      </c>
      <c r="J40" s="8" t="s">
        <v>298</v>
      </c>
      <c r="K40" s="8">
        <v>0</v>
      </c>
      <c r="L40" s="8" t="s">
        <v>299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306</v>
      </c>
    </row>
    <row r="41" spans="1:22" x14ac:dyDescent="0.2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312</v>
      </c>
      <c r="H41" s="8" t="s">
        <v>49</v>
      </c>
      <c r="I41" s="8">
        <f t="shared" si="18"/>
        <v>0</v>
      </c>
      <c r="J41" s="8" t="s">
        <v>298</v>
      </c>
      <c r="K41" s="8">
        <v>0</v>
      </c>
      <c r="L41" s="8" t="s">
        <v>302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313</v>
      </c>
    </row>
    <row r="42" spans="1:22" x14ac:dyDescent="0.2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297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299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306</v>
      </c>
    </row>
    <row r="43" spans="1:22" x14ac:dyDescent="0.2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312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302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313</v>
      </c>
    </row>
    <row r="44" spans="1:22" x14ac:dyDescent="0.2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297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299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306</v>
      </c>
    </row>
    <row r="45" spans="1:22" x14ac:dyDescent="0.2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312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302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313</v>
      </c>
    </row>
    <row r="46" spans="1:22" x14ac:dyDescent="0.2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297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299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306</v>
      </c>
    </row>
    <row r="47" spans="1:22" x14ac:dyDescent="0.2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312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302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313</v>
      </c>
    </row>
    <row r="48" spans="1:22" x14ac:dyDescent="0.2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297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299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306</v>
      </c>
    </row>
    <row r="49" spans="1:22" x14ac:dyDescent="0.2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312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302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313</v>
      </c>
    </row>
    <row r="50" spans="1:22" x14ac:dyDescent="0.2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297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299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306</v>
      </c>
    </row>
    <row r="51" spans="1:22" x14ac:dyDescent="0.2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312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302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313</v>
      </c>
    </row>
    <row r="52" spans="1:22" x14ac:dyDescent="0.2">
      <c r="B52" s="5"/>
      <c r="C52" s="5"/>
      <c r="D52" s="5"/>
      <c r="E52" s="25"/>
      <c r="F52" s="5"/>
      <c r="T52"/>
    </row>
    <row r="53" spans="1:22" x14ac:dyDescent="0.2">
      <c r="B53" s="5"/>
      <c r="C53" s="5"/>
      <c r="D53" s="5"/>
      <c r="E53" s="25"/>
      <c r="F53" s="5"/>
      <c r="T53"/>
    </row>
    <row r="54" spans="1:22" x14ac:dyDescent="0.2">
      <c r="B54" s="5"/>
      <c r="C54" s="5"/>
      <c r="D54" s="5"/>
      <c r="E54" s="25"/>
      <c r="F54" s="5"/>
      <c r="T54"/>
    </row>
    <row r="55" spans="1:22" x14ac:dyDescent="0.2">
      <c r="B55" s="5"/>
      <c r="C55" s="5"/>
      <c r="D55" s="5"/>
      <c r="E55" s="25"/>
      <c r="F55" s="5"/>
      <c r="T55"/>
    </row>
    <row r="56" spans="1:22" x14ac:dyDescent="0.2">
      <c r="B56" s="5"/>
      <c r="C56" s="5"/>
      <c r="D56" s="5"/>
      <c r="E56" s="25"/>
      <c r="F56" s="5"/>
      <c r="T56"/>
    </row>
    <row r="57" spans="1:22" x14ac:dyDescent="0.2">
      <c r="B57" s="5"/>
      <c r="C57" s="5"/>
      <c r="D57" s="5"/>
      <c r="E57" s="25"/>
      <c r="F57" s="5"/>
      <c r="T57"/>
    </row>
    <row r="58" spans="1:22" x14ac:dyDescent="0.2">
      <c r="B58" s="5"/>
      <c r="C58" s="5"/>
      <c r="D58" s="5"/>
      <c r="E58" s="25"/>
      <c r="F58" s="5"/>
      <c r="T58"/>
    </row>
    <row r="59" spans="1:22" x14ac:dyDescent="0.2">
      <c r="B59" s="5"/>
      <c r="C59" s="5"/>
      <c r="D59" s="5"/>
      <c r="E59" s="25"/>
      <c r="F59" s="5"/>
      <c r="T59"/>
    </row>
    <row r="60" spans="1:22" x14ac:dyDescent="0.2">
      <c r="B60" s="5"/>
      <c r="C60" s="5"/>
      <c r="D60" s="5"/>
      <c r="E60" s="25"/>
      <c r="F60" s="5"/>
      <c r="T60"/>
    </row>
    <row r="61" spans="1:22" x14ac:dyDescent="0.2">
      <c r="B61" s="5"/>
      <c r="C61" s="5"/>
      <c r="D61" s="5"/>
      <c r="E61" s="25"/>
      <c r="F61" s="5"/>
      <c r="T61"/>
    </row>
    <row r="62" spans="1:22" x14ac:dyDescent="0.2">
      <c r="B62" s="5"/>
      <c r="C62" s="5"/>
      <c r="D62" s="5"/>
      <c r="E62" s="25"/>
      <c r="F62" s="5"/>
      <c r="T62"/>
    </row>
    <row r="63" spans="1:22" x14ac:dyDescent="0.2">
      <c r="B63" s="5"/>
      <c r="C63" s="5"/>
      <c r="D63" s="5"/>
      <c r="E63" s="25"/>
      <c r="F63" s="5"/>
      <c r="T63"/>
    </row>
    <row r="64" spans="1:22" x14ac:dyDescent="0.2">
      <c r="B64" s="5"/>
      <c r="C64" s="5"/>
      <c r="D64" s="5"/>
      <c r="E64" s="25"/>
      <c r="F64" s="5"/>
      <c r="T64"/>
    </row>
    <row r="65" spans="2:20" x14ac:dyDescent="0.2">
      <c r="B65" s="5"/>
      <c r="C65" s="5"/>
      <c r="D65" s="5"/>
      <c r="E65" s="25"/>
      <c r="F65" s="5"/>
      <c r="T65"/>
    </row>
    <row r="66" spans="2:20" x14ac:dyDescent="0.2">
      <c r="B66" s="5"/>
      <c r="C66" s="5"/>
      <c r="D66" s="5"/>
      <c r="E66" s="25"/>
      <c r="F66" s="5"/>
      <c r="T66"/>
    </row>
    <row r="67" spans="2:20" x14ac:dyDescent="0.2">
      <c r="B67" s="5"/>
      <c r="C67" s="5"/>
      <c r="D67" s="5"/>
      <c r="E67" s="25"/>
      <c r="F67" s="5"/>
      <c r="T67"/>
    </row>
    <row r="68" spans="2:20" x14ac:dyDescent="0.2">
      <c r="B68" s="5"/>
      <c r="C68" s="5"/>
      <c r="D68" s="5"/>
      <c r="E68" s="25"/>
      <c r="F68" s="5"/>
      <c r="T68"/>
    </row>
    <row r="69" spans="2:20" x14ac:dyDescent="0.2">
      <c r="B69" s="5"/>
      <c r="C69" s="5"/>
      <c r="D69" s="5"/>
      <c r="E69" s="25"/>
      <c r="F69" s="5"/>
      <c r="T69"/>
    </row>
    <row r="70" spans="2:20" x14ac:dyDescent="0.2">
      <c r="B70" s="5"/>
      <c r="C70" s="5"/>
      <c r="D70" s="5"/>
      <c r="E70" s="25"/>
      <c r="F70" s="5"/>
      <c r="T70"/>
    </row>
    <row r="71" spans="2:20" x14ac:dyDescent="0.2">
      <c r="B71" s="5"/>
      <c r="C71" s="5"/>
      <c r="D71" s="5"/>
      <c r="E71" s="25"/>
      <c r="F71" s="5"/>
      <c r="T71"/>
    </row>
    <row r="72" spans="2:20" x14ac:dyDescent="0.2">
      <c r="B72" s="5"/>
      <c r="C72" s="5"/>
      <c r="D72" s="5"/>
      <c r="E72" s="25"/>
      <c r="F72" s="5"/>
      <c r="T72"/>
    </row>
    <row r="73" spans="2:20" x14ac:dyDescent="0.2">
      <c r="B73" s="5"/>
      <c r="C73" s="5"/>
      <c r="D73" s="5"/>
      <c r="E73" s="25"/>
      <c r="F73" s="5"/>
      <c r="T73"/>
    </row>
    <row r="74" spans="2:20" x14ac:dyDescent="0.2">
      <c r="B74" s="5"/>
      <c r="C74" s="5"/>
      <c r="D74" s="5"/>
      <c r="E74" s="25"/>
      <c r="F74" s="5"/>
      <c r="T74"/>
    </row>
    <row r="75" spans="2:20" x14ac:dyDescent="0.2">
      <c r="B75" s="5"/>
      <c r="C75" s="5"/>
      <c r="D75" s="5"/>
      <c r="E75" s="25"/>
      <c r="F75" s="5"/>
    </row>
    <row r="76" spans="2:20" x14ac:dyDescent="0.2">
      <c r="B76" s="5"/>
      <c r="C76" s="5"/>
      <c r="D76" s="5"/>
      <c r="E76" s="25"/>
      <c r="F76" s="5"/>
    </row>
    <row r="77" spans="2:20" x14ac:dyDescent="0.2">
      <c r="B77" s="5"/>
      <c r="C77" s="5"/>
      <c r="D77" s="5"/>
      <c r="E77" s="25"/>
      <c r="F77" s="5"/>
    </row>
    <row r="78" spans="2:20" x14ac:dyDescent="0.2">
      <c r="B78" s="5"/>
      <c r="C78" s="5"/>
      <c r="D78" s="5"/>
      <c r="E78" s="25"/>
      <c r="F78" s="5"/>
    </row>
    <row r="79" spans="2:20" x14ac:dyDescent="0.2">
      <c r="B79" s="5"/>
      <c r="C79" s="5"/>
      <c r="D79" s="5"/>
      <c r="E79" s="25"/>
      <c r="F79" s="5"/>
    </row>
    <row r="80" spans="2:20" x14ac:dyDescent="0.2">
      <c r="B80" s="5"/>
      <c r="C80" s="5"/>
      <c r="D80" s="5"/>
      <c r="E80" s="25"/>
      <c r="F80" s="5"/>
    </row>
    <row r="81" spans="2:6" x14ac:dyDescent="0.2">
      <c r="B81" s="5"/>
      <c r="C81" s="5"/>
      <c r="D81" s="5"/>
      <c r="E81" s="25"/>
      <c r="F81" s="5"/>
    </row>
    <row r="82" spans="2:6" x14ac:dyDescent="0.2">
      <c r="B82" s="5"/>
      <c r="C82" s="5"/>
      <c r="D82" s="5"/>
      <c r="E82" s="25"/>
      <c r="F82" s="5"/>
    </row>
    <row r="83" spans="2:6" x14ac:dyDescent="0.2">
      <c r="B83" s="5"/>
      <c r="C83" s="5"/>
      <c r="D83" s="5"/>
      <c r="E83" s="25"/>
      <c r="F83" s="5"/>
    </row>
    <row r="84" spans="2:6" x14ac:dyDescent="0.2">
      <c r="B84" s="5"/>
      <c r="C84" s="5"/>
      <c r="D84" s="5"/>
      <c r="E84" s="25"/>
      <c r="F84" s="5"/>
    </row>
    <row r="85" spans="2:6" x14ac:dyDescent="0.2">
      <c r="B85" s="5"/>
      <c r="C85" s="5"/>
      <c r="D85" s="5"/>
      <c r="E85" s="25"/>
      <c r="F85" s="5"/>
    </row>
    <row r="86" spans="2:6" x14ac:dyDescent="0.2">
      <c r="B86" s="5"/>
      <c r="C86" s="5"/>
      <c r="D86" s="5"/>
      <c r="E86" s="25"/>
      <c r="F86" s="5"/>
    </row>
    <row r="87" spans="2:6" x14ac:dyDescent="0.2">
      <c r="B87" s="5"/>
      <c r="C87" s="5"/>
      <c r="D87" s="5"/>
      <c r="E87" s="25"/>
      <c r="F87" s="5"/>
    </row>
    <row r="88" spans="2:6" x14ac:dyDescent="0.2">
      <c r="B88" s="5"/>
      <c r="C88" s="5"/>
      <c r="D88" s="5"/>
      <c r="E88" s="25"/>
      <c r="F88" s="5"/>
    </row>
    <row r="89" spans="2:6" x14ac:dyDescent="0.2">
      <c r="B89" s="5"/>
      <c r="C89" s="5"/>
      <c r="D89" s="5"/>
      <c r="E89" s="25"/>
      <c r="F89" s="5"/>
    </row>
    <row r="90" spans="2:6" x14ac:dyDescent="0.2">
      <c r="B90" s="5"/>
      <c r="C90" s="5"/>
      <c r="D90" s="5"/>
      <c r="E90" s="25"/>
      <c r="F90" s="5"/>
    </row>
    <row r="91" spans="2:6" x14ac:dyDescent="0.2">
      <c r="B91" s="5"/>
      <c r="C91" s="5"/>
      <c r="D91" s="5"/>
      <c r="E91" s="25"/>
      <c r="F91" s="5"/>
    </row>
    <row r="92" spans="2:6" x14ac:dyDescent="0.2">
      <c r="B92" s="5"/>
      <c r="C92" s="5"/>
      <c r="D92" s="5"/>
      <c r="E92" s="25"/>
      <c r="F92" s="5"/>
    </row>
    <row r="93" spans="2:6" x14ac:dyDescent="0.2">
      <c r="B93" s="5"/>
      <c r="C93" s="5"/>
      <c r="D93" s="5"/>
      <c r="E93" s="25"/>
      <c r="F93" s="5"/>
    </row>
    <row r="94" spans="2:6" x14ac:dyDescent="0.2">
      <c r="B94" s="5"/>
      <c r="C94" s="5"/>
      <c r="D94" s="5"/>
      <c r="E94" s="25"/>
      <c r="F94" s="5"/>
    </row>
    <row r="95" spans="2:6" x14ac:dyDescent="0.2">
      <c r="B95" s="5"/>
      <c r="C95" s="5"/>
      <c r="D95" s="5"/>
      <c r="E95" s="25"/>
      <c r="F95" s="5"/>
    </row>
    <row r="96" spans="2:6" x14ac:dyDescent="0.2">
      <c r="B96" s="5"/>
      <c r="C96" s="5"/>
      <c r="D96" s="5"/>
      <c r="E96" s="25"/>
      <c r="F96" s="5"/>
    </row>
    <row r="97" spans="2:6" x14ac:dyDescent="0.2">
      <c r="B97" s="5"/>
      <c r="C97" s="5"/>
      <c r="D97" s="5"/>
      <c r="E97" s="25"/>
      <c r="F97" s="5"/>
    </row>
    <row r="98" spans="2:6" x14ac:dyDescent="0.2">
      <c r="B98" s="5"/>
      <c r="C98" s="5"/>
      <c r="D98" s="5"/>
      <c r="E98" s="25"/>
      <c r="F98" s="5"/>
    </row>
    <row r="99" spans="2:6" x14ac:dyDescent="0.2">
      <c r="B99" s="5"/>
      <c r="C99" s="5"/>
      <c r="D99" s="5"/>
      <c r="E99" s="25"/>
      <c r="F99" s="5"/>
    </row>
    <row r="100" spans="2:6" x14ac:dyDescent="0.2">
      <c r="B100" s="5"/>
      <c r="C100" s="5"/>
      <c r="D100" s="5"/>
      <c r="E100" s="25"/>
      <c r="F100" s="5"/>
    </row>
    <row r="101" spans="2:6" x14ac:dyDescent="0.2">
      <c r="B101" s="5"/>
      <c r="C101" s="5"/>
      <c r="D101" s="5"/>
      <c r="E101" s="25"/>
      <c r="F101" s="5"/>
    </row>
    <row r="102" spans="2:6" x14ac:dyDescent="0.2">
      <c r="B102" s="5"/>
      <c r="C102" s="5"/>
      <c r="D102" s="5"/>
      <c r="E102" s="25"/>
      <c r="F102" s="5"/>
    </row>
    <row r="103" spans="2:6" x14ac:dyDescent="0.2">
      <c r="B103" s="5"/>
      <c r="C103" s="5"/>
      <c r="D103" s="5"/>
      <c r="E103" s="25"/>
      <c r="F103" s="5"/>
    </row>
    <row r="104" spans="2:6" x14ac:dyDescent="0.2">
      <c r="B104" s="5"/>
      <c r="C104" s="5"/>
      <c r="D104" s="5"/>
      <c r="E104" s="25"/>
      <c r="F104" s="5"/>
    </row>
    <row r="105" spans="2:6" x14ac:dyDescent="0.2">
      <c r="B105" s="5"/>
      <c r="C105" s="5"/>
      <c r="D105" s="5"/>
      <c r="E105" s="25"/>
      <c r="F105" s="5"/>
    </row>
    <row r="106" spans="2:6" x14ac:dyDescent="0.2">
      <c r="B106" s="5"/>
      <c r="C106" s="5"/>
      <c r="D106" s="5"/>
      <c r="E106" s="25"/>
      <c r="F106" s="5"/>
    </row>
    <row r="107" spans="2:6" x14ac:dyDescent="0.2">
      <c r="B107" s="5"/>
      <c r="C107" s="5"/>
      <c r="D107" s="5"/>
      <c r="E107" s="25"/>
      <c r="F107" s="5"/>
    </row>
    <row r="108" spans="2:6" x14ac:dyDescent="0.2">
      <c r="B108" s="5"/>
      <c r="C108" s="5"/>
      <c r="D108" s="5"/>
      <c r="E108" s="25"/>
      <c r="F108" s="5"/>
    </row>
    <row r="109" spans="2:6" x14ac:dyDescent="0.2">
      <c r="B109" s="5"/>
      <c r="C109" s="5"/>
      <c r="D109" s="5"/>
      <c r="E109" s="25"/>
      <c r="F109" s="5"/>
    </row>
    <row r="110" spans="2:6" x14ac:dyDescent="0.2">
      <c r="B110" s="5"/>
      <c r="C110" s="5"/>
      <c r="D110" s="5"/>
      <c r="E110" s="25"/>
      <c r="F110" s="5"/>
    </row>
    <row r="111" spans="2:6" x14ac:dyDescent="0.2">
      <c r="B111" s="5"/>
      <c r="C111" s="5"/>
      <c r="D111" s="5"/>
      <c r="E111" s="25"/>
      <c r="F111" s="5"/>
    </row>
    <row r="112" spans="2:6" x14ac:dyDescent="0.2">
      <c r="B112" s="5"/>
      <c r="C112" s="5"/>
      <c r="D112" s="5"/>
      <c r="E112" s="25"/>
      <c r="F112" s="5"/>
    </row>
    <row r="113" spans="2:6" x14ac:dyDescent="0.2">
      <c r="B113" s="5"/>
      <c r="C113" s="5"/>
      <c r="D113" s="5"/>
      <c r="E113" s="25"/>
      <c r="F113" s="5"/>
    </row>
    <row r="114" spans="2:6" x14ac:dyDescent="0.2">
      <c r="B114" s="5"/>
      <c r="C114" s="5"/>
      <c r="D114" s="5"/>
      <c r="E114" s="25"/>
      <c r="F114" s="5"/>
    </row>
    <row r="115" spans="2:6" x14ac:dyDescent="0.2">
      <c r="B115" s="5"/>
      <c r="C115" s="5"/>
      <c r="D115" s="5"/>
      <c r="E115" s="25"/>
      <c r="F115" s="5"/>
    </row>
    <row r="116" spans="2:6" x14ac:dyDescent="0.2">
      <c r="B116" s="5"/>
      <c r="C116" s="5"/>
      <c r="D116" s="5"/>
      <c r="E116" s="25"/>
      <c r="F116" s="5"/>
    </row>
    <row r="117" spans="2:6" x14ac:dyDescent="0.2">
      <c r="B117" s="5"/>
      <c r="C117" s="5"/>
      <c r="D117" s="5"/>
      <c r="E117" s="25"/>
      <c r="F117" s="5"/>
    </row>
    <row r="118" spans="2:6" x14ac:dyDescent="0.2">
      <c r="B118" s="5"/>
      <c r="C118" s="5"/>
      <c r="D118" s="5"/>
      <c r="E118" s="25"/>
      <c r="F118" s="5"/>
    </row>
    <row r="119" spans="2:6" x14ac:dyDescent="0.2">
      <c r="B119" s="5"/>
      <c r="C119" s="5"/>
      <c r="D119" s="5"/>
      <c r="E119" s="25"/>
      <c r="F119" s="5"/>
    </row>
    <row r="120" spans="2:6" x14ac:dyDescent="0.2">
      <c r="B120" s="5"/>
      <c r="C120" s="5"/>
      <c r="D120" s="5"/>
      <c r="E120" s="25"/>
      <c r="F120" s="5"/>
    </row>
    <row r="121" spans="2:6" x14ac:dyDescent="0.2">
      <c r="B121" s="5"/>
      <c r="C121" s="5"/>
      <c r="D121" s="5"/>
      <c r="E121" s="25"/>
      <c r="F121" s="5"/>
    </row>
    <row r="122" spans="2:6" x14ac:dyDescent="0.2">
      <c r="B122" s="5"/>
      <c r="C122" s="5"/>
      <c r="D122" s="5"/>
      <c r="E122" s="25"/>
      <c r="F122" s="5"/>
    </row>
    <row r="123" spans="2:6" x14ac:dyDescent="0.2">
      <c r="B123" s="5"/>
      <c r="C123" s="5"/>
      <c r="D123" s="5"/>
      <c r="E123" s="25"/>
      <c r="F123" s="5"/>
    </row>
    <row r="124" spans="2:6" x14ac:dyDescent="0.2">
      <c r="B124" s="5"/>
      <c r="C124" s="5"/>
      <c r="D124" s="5"/>
      <c r="E124" s="25"/>
      <c r="F124" s="5"/>
    </row>
    <row r="125" spans="2:6" x14ac:dyDescent="0.2">
      <c r="B125" s="5"/>
      <c r="C125" s="5"/>
      <c r="D125" s="5"/>
      <c r="E125" s="25"/>
      <c r="F125" s="5"/>
    </row>
    <row r="126" spans="2:6" x14ac:dyDescent="0.2">
      <c r="B126" s="5"/>
      <c r="C126" s="5"/>
      <c r="D126" s="5"/>
      <c r="E126" s="25"/>
      <c r="F126" s="5"/>
    </row>
    <row r="127" spans="2:6" x14ac:dyDescent="0.2">
      <c r="B127" s="5"/>
      <c r="C127" s="5"/>
      <c r="D127" s="5"/>
      <c r="E127" s="25"/>
      <c r="F127" s="5"/>
    </row>
    <row r="128" spans="2:6" x14ac:dyDescent="0.2">
      <c r="B128" s="5"/>
      <c r="C128" s="5"/>
      <c r="D128" s="5"/>
      <c r="E128" s="25"/>
      <c r="F128" s="5"/>
    </row>
    <row r="129" spans="2:6" x14ac:dyDescent="0.2">
      <c r="B129" s="5"/>
      <c r="C129" s="5"/>
      <c r="D129" s="5"/>
      <c r="E129" s="25"/>
      <c r="F129" s="5"/>
    </row>
    <row r="130" spans="2:6" x14ac:dyDescent="0.2">
      <c r="B130" s="5"/>
      <c r="C130" s="5"/>
      <c r="D130" s="5"/>
      <c r="E130" s="25"/>
      <c r="F130" s="5"/>
    </row>
    <row r="131" spans="2:6" x14ac:dyDescent="0.2">
      <c r="B131" s="5"/>
      <c r="C131" s="5"/>
      <c r="D131" s="5"/>
      <c r="E131" s="25"/>
      <c r="F131" s="5"/>
    </row>
    <row r="132" spans="2:6" x14ac:dyDescent="0.2">
      <c r="B132" s="5"/>
      <c r="C132" s="5"/>
      <c r="D132" s="5"/>
      <c r="E132" s="25"/>
      <c r="F132" s="5"/>
    </row>
    <row r="133" spans="2:6" x14ac:dyDescent="0.2">
      <c r="B133" s="5"/>
      <c r="C133" s="5"/>
      <c r="D133" s="5"/>
      <c r="E133" s="25"/>
      <c r="F133" s="5"/>
    </row>
    <row r="134" spans="2:6" x14ac:dyDescent="0.2">
      <c r="B134" s="5"/>
      <c r="C134" s="5"/>
      <c r="D134" s="5"/>
      <c r="E134" s="25"/>
      <c r="F134" s="5"/>
    </row>
    <row r="135" spans="2:6" x14ac:dyDescent="0.2">
      <c r="B135" s="5"/>
      <c r="C135" s="5"/>
      <c r="D135" s="5"/>
      <c r="E135" s="25"/>
      <c r="F135" s="5"/>
    </row>
    <row r="136" spans="2:6" x14ac:dyDescent="0.2">
      <c r="B136" s="5"/>
      <c r="C136" s="5"/>
      <c r="D136" s="5"/>
      <c r="E136" s="25"/>
      <c r="F136" s="5"/>
    </row>
    <row r="137" spans="2:6" x14ac:dyDescent="0.2">
      <c r="B137" s="5"/>
      <c r="C137" s="5"/>
      <c r="D137" s="5"/>
      <c r="E137" s="25"/>
      <c r="F137" s="5"/>
    </row>
    <row r="138" spans="2:6" x14ac:dyDescent="0.2">
      <c r="B138" s="5"/>
      <c r="C138" s="5"/>
      <c r="D138" s="5"/>
      <c r="E138" s="25"/>
      <c r="F138" s="5"/>
    </row>
    <row r="139" spans="2:6" x14ac:dyDescent="0.2">
      <c r="B139" s="5"/>
      <c r="C139" s="5"/>
      <c r="D139" s="5"/>
      <c r="E139" s="25"/>
      <c r="F139" s="5"/>
    </row>
    <row r="140" spans="2:6" x14ac:dyDescent="0.2">
      <c r="B140" s="5"/>
      <c r="C140" s="5"/>
      <c r="D140" s="5"/>
      <c r="E140" s="25"/>
      <c r="F140" s="5"/>
    </row>
    <row r="141" spans="2:6" x14ac:dyDescent="0.2">
      <c r="B141" s="5"/>
      <c r="C141" s="5"/>
      <c r="D141" s="5"/>
      <c r="E141" s="25"/>
      <c r="F141" s="5"/>
    </row>
    <row r="142" spans="2:6" x14ac:dyDescent="0.2">
      <c r="B142" s="5"/>
      <c r="C142" s="5"/>
      <c r="D142" s="5"/>
      <c r="E142" s="25"/>
      <c r="F142" s="5"/>
    </row>
    <row r="143" spans="2:6" x14ac:dyDescent="0.2">
      <c r="B143" s="5"/>
      <c r="C143" s="5"/>
      <c r="D143" s="5"/>
      <c r="E143" s="25"/>
      <c r="F143" s="5"/>
    </row>
    <row r="144" spans="2:6" x14ac:dyDescent="0.2">
      <c r="B144" s="5"/>
      <c r="C144" s="5"/>
      <c r="D144" s="5"/>
      <c r="E144" s="25"/>
      <c r="F144" s="5"/>
    </row>
    <row r="145" spans="2:6" x14ac:dyDescent="0.2">
      <c r="B145" s="5"/>
      <c r="C145" s="5"/>
      <c r="D145" s="5"/>
      <c r="E145" s="25"/>
      <c r="F145" s="5"/>
    </row>
    <row r="146" spans="2:6" x14ac:dyDescent="0.2">
      <c r="B146" s="5"/>
      <c r="C146" s="5"/>
      <c r="D146" s="5"/>
      <c r="E146" s="25"/>
      <c r="F146" s="5"/>
    </row>
    <row r="147" spans="2:6" x14ac:dyDescent="0.2">
      <c r="B147" s="5"/>
      <c r="C147" s="5"/>
      <c r="D147" s="5"/>
      <c r="E147" s="25"/>
      <c r="F147" s="5"/>
    </row>
    <row r="148" spans="2:6" x14ac:dyDescent="0.2">
      <c r="B148" s="5"/>
      <c r="C148" s="5"/>
      <c r="D148" s="5"/>
      <c r="E148" s="25"/>
      <c r="F148" s="5"/>
    </row>
    <row r="149" spans="2:6" x14ac:dyDescent="0.2">
      <c r="B149" s="5"/>
      <c r="C149" s="5"/>
      <c r="D149" s="5"/>
      <c r="E149" s="25"/>
      <c r="F149" s="5"/>
    </row>
    <row r="150" spans="2:6" x14ac:dyDescent="0.2">
      <c r="B150" s="5"/>
      <c r="C150" s="5"/>
      <c r="D150" s="5"/>
      <c r="E150" s="25"/>
      <c r="F150" s="5"/>
    </row>
    <row r="151" spans="2:6" x14ac:dyDescent="0.2">
      <c r="B151" s="5"/>
      <c r="C151" s="5"/>
      <c r="D151" s="5"/>
      <c r="E151" s="25"/>
      <c r="F151" s="5"/>
    </row>
    <row r="152" spans="2:6" x14ac:dyDescent="0.2">
      <c r="B152" s="5"/>
      <c r="C152" s="5"/>
      <c r="D152" s="5"/>
      <c r="E152" s="25"/>
      <c r="F152" s="5"/>
    </row>
    <row r="153" spans="2:6" x14ac:dyDescent="0.2">
      <c r="B153" s="5"/>
      <c r="C153" s="5"/>
      <c r="D153" s="5"/>
      <c r="E153" s="25"/>
      <c r="F153" s="5"/>
    </row>
    <row r="154" spans="2:6" x14ac:dyDescent="0.2">
      <c r="B154" s="5"/>
      <c r="C154" s="5"/>
      <c r="D154" s="5"/>
      <c r="E154" s="25"/>
      <c r="F154" s="5"/>
    </row>
    <row r="155" spans="2:6" x14ac:dyDescent="0.2">
      <c r="B155" s="5"/>
      <c r="C155" s="5"/>
      <c r="D155" s="5"/>
      <c r="E155" s="25"/>
      <c r="F155" s="5"/>
    </row>
    <row r="156" spans="2:6" x14ac:dyDescent="0.2">
      <c r="B156" s="5"/>
      <c r="C156" s="5"/>
      <c r="D156" s="5"/>
      <c r="E156" s="25"/>
      <c r="F156" s="5"/>
    </row>
    <row r="157" spans="2:6" x14ac:dyDescent="0.2">
      <c r="B157" s="5"/>
      <c r="C157" s="5"/>
      <c r="D157" s="5"/>
      <c r="E157" s="25"/>
      <c r="F157" s="5"/>
    </row>
    <row r="158" spans="2:6" x14ac:dyDescent="0.2">
      <c r="B158" s="5"/>
      <c r="C158" s="5"/>
      <c r="D158" s="5"/>
      <c r="E158" s="25"/>
      <c r="F158" s="5"/>
    </row>
    <row r="159" spans="2:6" x14ac:dyDescent="0.2">
      <c r="B159" s="5"/>
      <c r="C159" s="5"/>
      <c r="D159" s="5"/>
      <c r="E159" s="25"/>
      <c r="F159" s="5"/>
    </row>
    <row r="160" spans="2:6" x14ac:dyDescent="0.2">
      <c r="B160" s="5"/>
      <c r="C160" s="5"/>
      <c r="D160" s="5"/>
      <c r="E160" s="25"/>
      <c r="F160" s="5"/>
    </row>
    <row r="161" spans="2:6" x14ac:dyDescent="0.2">
      <c r="B161" s="5"/>
      <c r="C161" s="5"/>
      <c r="D161" s="5"/>
      <c r="E161" s="25"/>
      <c r="F161" s="5"/>
    </row>
    <row r="162" spans="2:6" x14ac:dyDescent="0.2">
      <c r="B162" s="5"/>
      <c r="C162" s="5"/>
      <c r="D162" s="5"/>
      <c r="E162" s="25"/>
      <c r="F162" s="5"/>
    </row>
    <row r="163" spans="2:6" x14ac:dyDescent="0.2">
      <c r="B163" s="5"/>
      <c r="C163" s="5"/>
      <c r="D163" s="5"/>
      <c r="E163" s="25"/>
      <c r="F163" s="5"/>
    </row>
    <row r="164" spans="2:6" x14ac:dyDescent="0.2">
      <c r="B164" s="5"/>
      <c r="C164" s="5"/>
      <c r="D164" s="5"/>
      <c r="E164" s="25"/>
      <c r="F164" s="5"/>
    </row>
    <row r="165" spans="2:6" x14ac:dyDescent="0.2">
      <c r="B165" s="5"/>
      <c r="C165" s="5"/>
      <c r="D165" s="5"/>
      <c r="E165" s="25"/>
      <c r="F165" s="5"/>
    </row>
    <row r="166" spans="2:6" x14ac:dyDescent="0.2">
      <c r="B166" s="5"/>
      <c r="C166" s="5"/>
      <c r="D166" s="5"/>
      <c r="E166" s="25"/>
      <c r="F166" s="5"/>
    </row>
    <row r="167" spans="2:6" x14ac:dyDescent="0.2">
      <c r="B167" s="5"/>
      <c r="C167" s="5"/>
      <c r="D167" s="5"/>
      <c r="E167" s="25"/>
      <c r="F167" s="5"/>
    </row>
    <row r="168" spans="2:6" x14ac:dyDescent="0.2">
      <c r="B168" s="5"/>
      <c r="C168" s="5"/>
      <c r="D168" s="5"/>
      <c r="E168" s="25"/>
      <c r="F168" s="5"/>
    </row>
    <row r="169" spans="2:6" x14ac:dyDescent="0.2">
      <c r="B169" s="5"/>
      <c r="C169" s="5"/>
      <c r="D169" s="5"/>
      <c r="E169" s="25"/>
      <c r="F169" s="5"/>
    </row>
    <row r="170" spans="2:6" x14ac:dyDescent="0.2">
      <c r="B170" s="5"/>
      <c r="C170" s="5"/>
      <c r="D170" s="5"/>
      <c r="E170" s="25"/>
      <c r="F170" s="5"/>
    </row>
    <row r="171" spans="2:6" x14ac:dyDescent="0.2">
      <c r="B171" s="5"/>
      <c r="C171" s="5"/>
      <c r="D171" s="5"/>
      <c r="E171" s="25"/>
      <c r="F171" s="5"/>
    </row>
    <row r="172" spans="2:6" x14ac:dyDescent="0.2">
      <c r="B172" s="5"/>
      <c r="C172" s="5"/>
      <c r="D172" s="5"/>
      <c r="E172" s="25"/>
      <c r="F172" s="5"/>
    </row>
    <row r="173" spans="2:6" x14ac:dyDescent="0.2">
      <c r="B173" s="5"/>
      <c r="C173" s="5"/>
      <c r="D173" s="5"/>
      <c r="E173" s="25"/>
      <c r="F173" s="5"/>
    </row>
    <row r="174" spans="2:6" x14ac:dyDescent="0.2">
      <c r="B174" s="5"/>
      <c r="C174" s="5"/>
      <c r="D174" s="5"/>
      <c r="E174" s="25"/>
      <c r="F174" s="5"/>
    </row>
    <row r="175" spans="2:6" x14ac:dyDescent="0.2">
      <c r="B175" s="5"/>
      <c r="C175" s="5"/>
      <c r="D175" s="5"/>
      <c r="E175" s="25"/>
      <c r="F175" s="5"/>
    </row>
    <row r="176" spans="2:6" x14ac:dyDescent="0.2">
      <c r="B176" s="5"/>
      <c r="C176" s="5"/>
      <c r="D176" s="5"/>
      <c r="E176" s="25"/>
      <c r="F176" s="5"/>
    </row>
    <row r="177" spans="2:6" x14ac:dyDescent="0.2">
      <c r="B177" s="5"/>
      <c r="C177" s="5"/>
      <c r="D177" s="5"/>
      <c r="E177" s="25"/>
      <c r="F177" s="5"/>
    </row>
    <row r="178" spans="2:6" x14ac:dyDescent="0.2">
      <c r="B178" s="5"/>
      <c r="C178" s="5"/>
      <c r="D178" s="5"/>
      <c r="E178" s="25"/>
      <c r="F178" s="5"/>
    </row>
    <row r="179" spans="2:6" x14ac:dyDescent="0.2">
      <c r="B179" s="5"/>
      <c r="C179" s="5"/>
      <c r="D179" s="5"/>
      <c r="E179" s="25"/>
      <c r="F179" s="5"/>
    </row>
    <row r="180" spans="2:6" x14ac:dyDescent="0.2">
      <c r="B180" s="5"/>
      <c r="C180" s="5"/>
      <c r="D180" s="5"/>
      <c r="E180" s="25"/>
      <c r="F180" s="5"/>
    </row>
    <row r="181" spans="2:6" x14ac:dyDescent="0.2">
      <c r="B181" s="5"/>
      <c r="C181" s="5"/>
      <c r="D181" s="5"/>
      <c r="E181" s="25"/>
      <c r="F181" s="5"/>
    </row>
    <row r="182" spans="2:6" x14ac:dyDescent="0.2">
      <c r="B182" s="5"/>
      <c r="C182" s="5"/>
      <c r="D182" s="5"/>
      <c r="E182" s="25"/>
      <c r="F182" s="5"/>
    </row>
    <row r="183" spans="2:6" x14ac:dyDescent="0.2">
      <c r="B183" s="5"/>
      <c r="C183" s="5"/>
      <c r="D183" s="5"/>
      <c r="E183" s="25"/>
      <c r="F183" s="5"/>
    </row>
    <row r="184" spans="2:6" x14ac:dyDescent="0.2">
      <c r="B184" s="5"/>
      <c r="C184" s="5"/>
      <c r="D184" s="5"/>
      <c r="E184" s="25"/>
      <c r="F184" s="5"/>
    </row>
    <row r="185" spans="2:6" x14ac:dyDescent="0.2">
      <c r="B185" s="5"/>
      <c r="C185" s="5"/>
      <c r="D185" s="5"/>
      <c r="E185" s="25"/>
      <c r="F185" s="5"/>
    </row>
    <row r="186" spans="2:6" x14ac:dyDescent="0.2">
      <c r="B186" s="5"/>
      <c r="C186" s="5"/>
      <c r="D186" s="5"/>
      <c r="E186" s="25"/>
      <c r="F186" s="5"/>
    </row>
    <row r="187" spans="2:6" x14ac:dyDescent="0.2">
      <c r="B187" s="5"/>
      <c r="C187" s="5"/>
      <c r="D187" s="5"/>
      <c r="E187" s="25"/>
      <c r="F187" s="5"/>
    </row>
    <row r="188" spans="2:6" x14ac:dyDescent="0.2">
      <c r="B188" s="5"/>
      <c r="C188" s="5"/>
      <c r="D188" s="5"/>
      <c r="E188" s="25"/>
      <c r="F188" s="5"/>
    </row>
    <row r="189" spans="2:6" x14ac:dyDescent="0.2">
      <c r="B189" s="5"/>
      <c r="C189" s="5"/>
      <c r="D189" s="5"/>
      <c r="E189" s="25"/>
      <c r="F189" s="5"/>
    </row>
    <row r="190" spans="2:6" x14ac:dyDescent="0.2">
      <c r="B190" s="5"/>
      <c r="C190" s="5"/>
      <c r="D190" s="5"/>
      <c r="E190" s="25"/>
      <c r="F190" s="5"/>
    </row>
    <row r="191" spans="2:6" x14ac:dyDescent="0.2">
      <c r="B191" s="5"/>
      <c r="C191" s="5"/>
      <c r="D191" s="5"/>
      <c r="E191" s="25"/>
      <c r="F191" s="5"/>
    </row>
    <row r="192" spans="2:6" x14ac:dyDescent="0.2">
      <c r="B192" s="5"/>
      <c r="C192" s="5"/>
      <c r="D192" s="5"/>
      <c r="E192" s="25"/>
      <c r="F192" s="5"/>
    </row>
    <row r="193" spans="2:6" x14ac:dyDescent="0.2">
      <c r="B193" s="5"/>
      <c r="C193" s="5"/>
      <c r="D193" s="5"/>
      <c r="E193" s="25"/>
      <c r="F193" s="5"/>
    </row>
    <row r="194" spans="2:6" x14ac:dyDescent="0.2">
      <c r="B194" s="5"/>
      <c r="C194" s="5"/>
      <c r="D194" s="5"/>
      <c r="E194" s="25"/>
      <c r="F194" s="5"/>
    </row>
    <row r="195" spans="2:6" x14ac:dyDescent="0.2">
      <c r="B195" s="5"/>
      <c r="C195" s="5"/>
      <c r="D195" s="5"/>
      <c r="E195" s="25"/>
      <c r="F195" s="5"/>
    </row>
    <row r="196" spans="2:6" x14ac:dyDescent="0.2">
      <c r="B196" s="5"/>
      <c r="C196" s="5"/>
      <c r="D196" s="5"/>
      <c r="E196" s="25"/>
      <c r="F196" s="5"/>
    </row>
    <row r="197" spans="2:6" x14ac:dyDescent="0.2">
      <c r="B197" s="5"/>
      <c r="C197" s="5"/>
      <c r="D197" s="5"/>
      <c r="E197" s="25"/>
      <c r="F197" s="5"/>
    </row>
    <row r="198" spans="2:6" x14ac:dyDescent="0.2">
      <c r="B198" s="5"/>
      <c r="C198" s="5"/>
      <c r="D198" s="5"/>
      <c r="E198" s="25"/>
      <c r="F198" s="5"/>
    </row>
    <row r="199" spans="2:6" x14ac:dyDescent="0.2">
      <c r="B199" s="5"/>
      <c r="C199" s="5"/>
      <c r="D199" s="5"/>
      <c r="E199" s="25"/>
      <c r="F199" s="5"/>
    </row>
    <row r="200" spans="2:6" x14ac:dyDescent="0.2">
      <c r="B200" s="5"/>
      <c r="C200" s="5"/>
      <c r="D200" s="5"/>
      <c r="E200" s="25"/>
      <c r="F200" s="5"/>
    </row>
    <row r="201" spans="2:6" x14ac:dyDescent="0.2">
      <c r="B201" s="5"/>
      <c r="C201" s="5"/>
      <c r="D201" s="5"/>
      <c r="E201" s="25"/>
      <c r="F201" s="5"/>
    </row>
    <row r="202" spans="2:6" x14ac:dyDescent="0.2">
      <c r="B202" s="5"/>
      <c r="C202" s="5"/>
      <c r="D202" s="5"/>
      <c r="E202" s="25"/>
      <c r="F202" s="5"/>
    </row>
    <row r="203" spans="2:6" x14ac:dyDescent="0.2">
      <c r="B203" s="5"/>
      <c r="C203" s="5"/>
      <c r="D203" s="5"/>
      <c r="E203" s="25"/>
      <c r="F203" s="5"/>
    </row>
    <row r="204" spans="2:6" x14ac:dyDescent="0.2">
      <c r="B204" s="5"/>
      <c r="C204" s="5"/>
      <c r="D204" s="5"/>
      <c r="E204" s="25"/>
      <c r="F204" s="5"/>
    </row>
    <row r="205" spans="2:6" x14ac:dyDescent="0.2">
      <c r="B205" s="5"/>
      <c r="C205" s="5"/>
      <c r="D205" s="5"/>
      <c r="E205" s="25"/>
      <c r="F205" s="5"/>
    </row>
    <row r="206" spans="2:6" x14ac:dyDescent="0.2">
      <c r="B206" s="5"/>
      <c r="C206" s="5"/>
      <c r="D206" s="5"/>
      <c r="E206" s="25"/>
      <c r="F206" s="5"/>
    </row>
    <row r="207" spans="2:6" x14ac:dyDescent="0.2">
      <c r="B207" s="5"/>
      <c r="C207" s="5"/>
      <c r="D207" s="5"/>
      <c r="E207" s="25"/>
      <c r="F207" s="5"/>
    </row>
    <row r="208" spans="2:6" x14ac:dyDescent="0.2">
      <c r="B208" s="5"/>
      <c r="C208" s="5"/>
      <c r="D208" s="5"/>
      <c r="E208" s="25"/>
      <c r="F208" s="5"/>
    </row>
    <row r="209" spans="2:6" x14ac:dyDescent="0.2">
      <c r="B209" s="5"/>
      <c r="C209" s="5"/>
      <c r="D209" s="5"/>
      <c r="E209" s="25"/>
      <c r="F209" s="5"/>
    </row>
    <row r="210" spans="2:6" x14ac:dyDescent="0.2">
      <c r="B210" s="5"/>
      <c r="C210" s="5"/>
      <c r="D210" s="5"/>
      <c r="E210" s="25"/>
      <c r="F210" s="5"/>
    </row>
    <row r="211" spans="2:6" x14ac:dyDescent="0.2">
      <c r="B211" s="5"/>
      <c r="C211" s="5"/>
      <c r="D211" s="5"/>
      <c r="E211" s="25"/>
      <c r="F211" s="5"/>
    </row>
    <row r="212" spans="2:6" x14ac:dyDescent="0.2">
      <c r="B212" s="5"/>
      <c r="C212" s="5"/>
      <c r="D212" s="5"/>
      <c r="E212" s="25"/>
      <c r="F212" s="5"/>
    </row>
    <row r="213" spans="2:6" x14ac:dyDescent="0.2">
      <c r="B213" s="5"/>
      <c r="C213" s="5"/>
      <c r="D213" s="5"/>
      <c r="E213" s="25"/>
      <c r="F213" s="5"/>
    </row>
    <row r="214" spans="2:6" x14ac:dyDescent="0.2">
      <c r="B214" s="5"/>
      <c r="C214" s="5"/>
      <c r="D214" s="5"/>
      <c r="E214" s="25"/>
      <c r="F214" s="5"/>
    </row>
    <row r="215" spans="2:6" x14ac:dyDescent="0.2">
      <c r="B215" s="5"/>
      <c r="C215" s="5"/>
      <c r="D215" s="5"/>
      <c r="E215" s="25"/>
      <c r="F215" s="5"/>
    </row>
    <row r="216" spans="2:6" x14ac:dyDescent="0.2">
      <c r="B216" s="5"/>
      <c r="C216" s="5"/>
      <c r="D216" s="5"/>
      <c r="E216" s="25"/>
      <c r="F216" s="5"/>
    </row>
    <row r="217" spans="2:6" x14ac:dyDescent="0.2">
      <c r="B217" s="5"/>
      <c r="C217" s="5"/>
      <c r="D217" s="5"/>
      <c r="E217" s="25"/>
      <c r="F217" s="5"/>
    </row>
    <row r="218" spans="2:6" x14ac:dyDescent="0.2">
      <c r="B218" s="5"/>
      <c r="C218" s="5"/>
      <c r="D218" s="5"/>
      <c r="E218" s="25"/>
      <c r="F218" s="5"/>
    </row>
    <row r="219" spans="2:6" x14ac:dyDescent="0.2">
      <c r="B219" s="5"/>
      <c r="C219" s="5"/>
      <c r="D219" s="5"/>
      <c r="E219" s="25"/>
      <c r="F219" s="5"/>
    </row>
    <row r="220" spans="2:6" x14ac:dyDescent="0.2">
      <c r="B220" s="5"/>
      <c r="C220" s="5"/>
      <c r="D220" s="5"/>
      <c r="E220" s="25"/>
      <c r="F220" s="5"/>
    </row>
    <row r="221" spans="2:6" x14ac:dyDescent="0.2">
      <c r="B221" s="5"/>
      <c r="C221" s="5"/>
      <c r="D221" s="5"/>
      <c r="E221" s="25"/>
      <c r="F221" s="5"/>
    </row>
    <row r="222" spans="2:6" x14ac:dyDescent="0.2">
      <c r="B222" s="5"/>
      <c r="C222" s="5"/>
      <c r="D222" s="5"/>
      <c r="E222" s="25"/>
      <c r="F222" s="5"/>
    </row>
    <row r="223" spans="2:6" x14ac:dyDescent="0.2">
      <c r="B223" s="5"/>
      <c r="C223" s="5"/>
      <c r="D223" s="5"/>
      <c r="E223" s="25"/>
      <c r="F223" s="5"/>
    </row>
    <row r="224" spans="2:6" x14ac:dyDescent="0.2">
      <c r="B224" s="5"/>
      <c r="C224" s="5"/>
      <c r="D224" s="5"/>
      <c r="E224" s="25"/>
      <c r="F224" s="5"/>
    </row>
    <row r="225" spans="2:6" x14ac:dyDescent="0.2">
      <c r="B225" s="5"/>
      <c r="C225" s="5"/>
      <c r="D225" s="5"/>
      <c r="E225" s="25"/>
      <c r="F225" s="5"/>
    </row>
    <row r="226" spans="2:6" x14ac:dyDescent="0.2">
      <c r="B226" s="5"/>
      <c r="C226" s="5"/>
      <c r="D226" s="5"/>
      <c r="E226" s="25"/>
      <c r="F226" s="5"/>
    </row>
    <row r="227" spans="2:6" x14ac:dyDescent="0.2">
      <c r="B227" s="5"/>
      <c r="C227" s="5"/>
      <c r="D227" s="5"/>
      <c r="E227" s="25"/>
      <c r="F227" s="5"/>
    </row>
    <row r="228" spans="2:6" x14ac:dyDescent="0.2">
      <c r="B228" s="5"/>
      <c r="C228" s="5"/>
      <c r="D228" s="5"/>
      <c r="E228" s="25"/>
      <c r="F228" s="5"/>
    </row>
    <row r="229" spans="2:6" x14ac:dyDescent="0.2">
      <c r="B229" s="5"/>
      <c r="C229" s="5"/>
      <c r="D229" s="5"/>
      <c r="E229" s="25"/>
      <c r="F229" s="5"/>
    </row>
    <row r="230" spans="2:6" x14ac:dyDescent="0.2">
      <c r="B230" s="5"/>
      <c r="C230" s="5"/>
      <c r="D230" s="5"/>
      <c r="E230" s="25"/>
      <c r="F230" s="5"/>
    </row>
    <row r="231" spans="2:6" x14ac:dyDescent="0.2">
      <c r="B231" s="5"/>
      <c r="C231" s="5"/>
      <c r="D231" s="5"/>
      <c r="E231" s="25"/>
      <c r="F231" s="5"/>
    </row>
    <row r="232" spans="2:6" x14ac:dyDescent="0.2">
      <c r="B232" s="5"/>
      <c r="C232" s="5"/>
      <c r="D232" s="5"/>
      <c r="E232" s="25"/>
      <c r="F232" s="5"/>
    </row>
    <row r="233" spans="2:6" x14ac:dyDescent="0.2">
      <c r="B233" s="5"/>
      <c r="C233" s="5"/>
      <c r="D233" s="5"/>
      <c r="E233" s="25"/>
      <c r="F233" s="5"/>
    </row>
    <row r="234" spans="2:6" x14ac:dyDescent="0.2">
      <c r="B234" s="5"/>
      <c r="C234" s="5"/>
      <c r="D234" s="5"/>
      <c r="E234" s="25"/>
      <c r="F234" s="5"/>
    </row>
    <row r="235" spans="2:6" x14ac:dyDescent="0.2">
      <c r="B235" s="5"/>
      <c r="C235" s="5"/>
      <c r="D235" s="5"/>
      <c r="E235" s="25"/>
      <c r="F235" s="5"/>
    </row>
    <row r="236" spans="2:6" x14ac:dyDescent="0.2">
      <c r="B236" s="5"/>
      <c r="C236" s="5"/>
      <c r="D236" s="5"/>
      <c r="E236" s="26"/>
      <c r="F236" s="5"/>
    </row>
    <row r="237" spans="2:6" x14ac:dyDescent="0.2">
      <c r="B237" s="5"/>
      <c r="C237" s="5"/>
      <c r="D237" s="5"/>
      <c r="E237" s="26"/>
      <c r="F237" s="5"/>
    </row>
    <row r="238" spans="2:6" x14ac:dyDescent="0.2">
      <c r="B238" s="5"/>
      <c r="C238" s="5"/>
      <c r="D238" s="5"/>
      <c r="E238" s="26"/>
      <c r="F238" s="5"/>
    </row>
    <row r="239" spans="2:6" x14ac:dyDescent="0.2">
      <c r="B239" s="5"/>
      <c r="C239" s="5"/>
      <c r="D239" s="5"/>
      <c r="E239" s="26"/>
      <c r="F239" s="5"/>
    </row>
    <row r="240" spans="2:6" x14ac:dyDescent="0.2">
      <c r="B240" s="5"/>
      <c r="C240" s="5"/>
      <c r="D240" s="5"/>
      <c r="E240" s="26"/>
      <c r="F240" s="5"/>
    </row>
    <row r="241" spans="2:6" x14ac:dyDescent="0.2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H9" sqref="H9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322</v>
      </c>
      <c r="O1" s="9" t="s">
        <v>323</v>
      </c>
      <c r="P1" s="9" t="s">
        <v>26</v>
      </c>
      <c r="Q1" s="9" t="s">
        <v>39</v>
      </c>
      <c r="R1" s="22" t="s">
        <v>305</v>
      </c>
    </row>
    <row r="2" spans="1:18" x14ac:dyDescent="0.2">
      <c r="A2" t="s">
        <v>62</v>
      </c>
      <c r="B2" t="s">
        <v>53</v>
      </c>
      <c r="C2" s="27" t="s">
        <v>320</v>
      </c>
      <c r="D2">
        <v>1</v>
      </c>
      <c r="E2" s="15">
        <f ca="1">TODAY()</f>
        <v>43721</v>
      </c>
      <c r="F2" s="4" t="s">
        <v>324</v>
      </c>
      <c r="G2" t="s">
        <v>297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299</v>
      </c>
      <c r="N2" s="27" t="s">
        <v>321</v>
      </c>
      <c r="O2" s="27" t="s">
        <v>295</v>
      </c>
      <c r="P2" s="15"/>
      <c r="Q2"/>
      <c r="R2" s="8" t="s">
        <v>306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3" sqref="I13"/>
    </sheetView>
  </sheetViews>
  <sheetFormatPr baseColWidth="10" defaultColWidth="16" defaultRowHeight="15" x14ac:dyDescent="0.2"/>
  <cols>
    <col min="1" max="1" width="21.1640625" style="27" bestFit="1" customWidth="1"/>
    <col min="2" max="2" width="20" style="27" bestFit="1" customWidth="1"/>
    <col min="3" max="3" width="8.83203125" style="27" customWidth="1"/>
    <col min="4" max="4" width="10.5" style="28" customWidth="1"/>
    <col min="5" max="5" width="8.83203125" style="27"/>
    <col min="6" max="6" width="57.6640625" style="27" bestFit="1" customWidth="1"/>
    <col min="7" max="7" width="9.33203125" style="27" customWidth="1"/>
    <col min="8" max="8" width="19.83203125" style="27" customWidth="1"/>
    <col min="9" max="9" width="8.83203125" style="27" customWidth="1"/>
    <col min="10" max="10" width="8.83203125" style="27"/>
    <col min="11" max="16384" width="16" style="8"/>
  </cols>
  <sheetData>
    <row r="1" spans="1:12" s="29" customFormat="1" ht="14.25" customHeight="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305</v>
      </c>
    </row>
    <row r="2" spans="1:12" x14ac:dyDescent="0.2">
      <c r="A2" s="27" t="s">
        <v>292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</row>
    <row r="3" spans="1:12" x14ac:dyDescent="0.2">
      <c r="A3" s="27" t="s">
        <v>314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</row>
    <row r="4" spans="1:12" x14ac:dyDescent="0.2">
      <c r="A4" s="27" t="s">
        <v>315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</row>
    <row r="5" spans="1:12" x14ac:dyDescent="0.2">
      <c r="A5" s="27" t="s">
        <v>316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</row>
    <row r="6" spans="1:12" x14ac:dyDescent="0.2">
      <c r="A6" s="27" t="s">
        <v>317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</row>
    <row r="7" spans="1:12" x14ac:dyDescent="0.2">
      <c r="A7" s="27" t="s">
        <v>318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</row>
    <row r="8" spans="1:12" x14ac:dyDescent="0.2">
      <c r="A8" s="27" t="s">
        <v>319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48"/>
  <sheetViews>
    <sheetView tabSelected="1"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18.6640625" style="8" bestFit="1" customWidth="1"/>
    <col min="2" max="2" width="28.5" style="8" bestFit="1" customWidth="1"/>
    <col min="3" max="3" width="18.6640625" style="8" bestFit="1" customWidth="1"/>
    <col min="4" max="4" width="12" style="8" customWidth="1"/>
    <col min="5" max="5" width="14" style="28" customWidth="1"/>
    <col min="6" max="6" width="21" style="8" customWidth="1"/>
    <col min="7" max="9" width="16" style="8"/>
    <col min="10" max="10" width="16" style="37"/>
    <col min="11" max="11" width="16" style="8"/>
    <col min="12" max="12" width="16" style="28"/>
    <col min="13" max="13" width="58.83203125" style="8" bestFit="1" customWidth="1"/>
    <col min="14" max="14" width="23.5" style="8" bestFit="1" customWidth="1"/>
    <col min="15" max="15" width="23.6640625" style="8" bestFit="1" customWidth="1"/>
    <col min="16" max="16384" width="16" style="8"/>
  </cols>
  <sheetData>
    <row r="1" spans="1:15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36" t="s">
        <v>24</v>
      </c>
      <c r="K1" s="9" t="s">
        <v>3</v>
      </c>
      <c r="L1" s="24" t="s">
        <v>26</v>
      </c>
      <c r="M1" s="9" t="s">
        <v>39</v>
      </c>
      <c r="N1" s="9" t="s">
        <v>305</v>
      </c>
      <c r="O1" s="9" t="s">
        <v>329</v>
      </c>
    </row>
    <row r="2" spans="1:15" x14ac:dyDescent="0.2">
      <c r="A2" s="27" t="s">
        <v>366</v>
      </c>
      <c r="B2" s="27" t="s">
        <v>325</v>
      </c>
      <c r="C2" s="27" t="s">
        <v>366</v>
      </c>
      <c r="D2" s="27">
        <v>1</v>
      </c>
      <c r="E2" s="28">
        <v>43720</v>
      </c>
      <c r="F2" s="4" t="s">
        <v>330</v>
      </c>
      <c r="G2" s="27" t="s">
        <v>300</v>
      </c>
      <c r="H2" s="27" t="s">
        <v>326</v>
      </c>
      <c r="I2" s="16" t="s">
        <v>56</v>
      </c>
      <c r="J2" s="37">
        <v>40000</v>
      </c>
      <c r="K2" s="27" t="s">
        <v>367</v>
      </c>
      <c r="L2" s="28">
        <v>43720</v>
      </c>
      <c r="M2" s="27" t="s">
        <v>331</v>
      </c>
      <c r="N2" s="27" t="s">
        <v>303</v>
      </c>
      <c r="O2" s="27" t="s">
        <v>368</v>
      </c>
    </row>
    <row r="3" spans="1:15" x14ac:dyDescent="0.2">
      <c r="A3" s="8" t="s">
        <v>369</v>
      </c>
      <c r="B3" s="8" t="s">
        <v>325</v>
      </c>
      <c r="C3" s="8" t="s">
        <v>369</v>
      </c>
      <c r="D3" s="8">
        <v>1</v>
      </c>
      <c r="E3" s="28">
        <v>43720</v>
      </c>
      <c r="F3" s="8" t="s">
        <v>332</v>
      </c>
      <c r="G3" s="8" t="s">
        <v>300</v>
      </c>
      <c r="H3" s="8" t="s">
        <v>326</v>
      </c>
      <c r="I3" s="8" t="s">
        <v>56</v>
      </c>
      <c r="J3" s="37">
        <v>25000</v>
      </c>
      <c r="K3" s="8" t="s">
        <v>367</v>
      </c>
      <c r="L3" s="28">
        <v>43720</v>
      </c>
      <c r="M3" s="8" t="s">
        <v>333</v>
      </c>
      <c r="N3" s="8" t="s">
        <v>303</v>
      </c>
      <c r="O3" s="8" t="s">
        <v>370</v>
      </c>
    </row>
    <row r="4" spans="1:15" x14ac:dyDescent="0.2">
      <c r="A4" s="8" t="s">
        <v>371</v>
      </c>
      <c r="B4" s="8" t="s">
        <v>325</v>
      </c>
      <c r="C4" s="8" t="s">
        <v>371</v>
      </c>
      <c r="D4" s="8">
        <v>1</v>
      </c>
      <c r="E4" s="28">
        <v>43720</v>
      </c>
      <c r="F4" s="8" t="s">
        <v>334</v>
      </c>
      <c r="G4" s="8" t="s">
        <v>300</v>
      </c>
      <c r="H4" s="8" t="s">
        <v>326</v>
      </c>
      <c r="I4" s="8" t="s">
        <v>56</v>
      </c>
      <c r="J4" s="37">
        <v>75000</v>
      </c>
      <c r="K4" s="8" t="s">
        <v>367</v>
      </c>
      <c r="L4" s="28">
        <v>43720</v>
      </c>
      <c r="M4" s="8" t="s">
        <v>335</v>
      </c>
      <c r="N4" s="8" t="s">
        <v>303</v>
      </c>
      <c r="O4" s="8" t="s">
        <v>372</v>
      </c>
    </row>
    <row r="5" spans="1:15" x14ac:dyDescent="0.2">
      <c r="A5" s="8" t="s">
        <v>373</v>
      </c>
      <c r="B5" s="8" t="s">
        <v>325</v>
      </c>
      <c r="C5" s="8" t="s">
        <v>373</v>
      </c>
      <c r="D5" s="8">
        <v>1</v>
      </c>
      <c r="E5" s="28">
        <v>43720</v>
      </c>
      <c r="F5" s="8" t="s">
        <v>336</v>
      </c>
      <c r="G5" s="8" t="s">
        <v>300</v>
      </c>
      <c r="H5" s="8" t="s">
        <v>326</v>
      </c>
      <c r="I5" s="8" t="s">
        <v>56</v>
      </c>
      <c r="J5" s="37">
        <v>40000</v>
      </c>
      <c r="K5" s="8" t="s">
        <v>367</v>
      </c>
      <c r="L5" s="28">
        <v>43720</v>
      </c>
      <c r="M5" s="8" t="s">
        <v>335</v>
      </c>
      <c r="N5" s="8" t="s">
        <v>303</v>
      </c>
      <c r="O5" s="8" t="s">
        <v>374</v>
      </c>
    </row>
    <row r="6" spans="1:15" x14ac:dyDescent="0.2">
      <c r="A6" s="8" t="s">
        <v>375</v>
      </c>
      <c r="B6" s="8" t="s">
        <v>325</v>
      </c>
      <c r="C6" s="8" t="s">
        <v>375</v>
      </c>
      <c r="D6" s="8">
        <v>1</v>
      </c>
      <c r="E6" s="28">
        <v>43720</v>
      </c>
      <c r="F6" s="8" t="s">
        <v>337</v>
      </c>
      <c r="G6" s="8" t="s">
        <v>300</v>
      </c>
      <c r="H6" s="8" t="s">
        <v>326</v>
      </c>
      <c r="I6" s="8" t="s">
        <v>56</v>
      </c>
      <c r="J6" s="37">
        <v>10000</v>
      </c>
      <c r="K6" s="8" t="s">
        <v>367</v>
      </c>
      <c r="L6" s="28">
        <v>43720</v>
      </c>
      <c r="M6" s="8" t="s">
        <v>335</v>
      </c>
      <c r="N6" s="8" t="s">
        <v>303</v>
      </c>
      <c r="O6" s="8" t="s">
        <v>376</v>
      </c>
    </row>
    <row r="7" spans="1:15" x14ac:dyDescent="0.2">
      <c r="A7" s="8" t="s">
        <v>377</v>
      </c>
      <c r="B7" s="8" t="s">
        <v>327</v>
      </c>
      <c r="C7" s="8" t="s">
        <v>377</v>
      </c>
      <c r="D7" s="8">
        <v>1</v>
      </c>
      <c r="E7" s="28">
        <v>43720</v>
      </c>
      <c r="F7" s="8" t="s">
        <v>338</v>
      </c>
      <c r="G7" s="8" t="s">
        <v>300</v>
      </c>
      <c r="H7" s="8" t="s">
        <v>328</v>
      </c>
      <c r="I7" s="8" t="s">
        <v>66</v>
      </c>
      <c r="J7" s="37">
        <v>152</v>
      </c>
      <c r="K7" s="8" t="s">
        <v>367</v>
      </c>
      <c r="L7" s="28">
        <v>43720</v>
      </c>
      <c r="M7" s="8" t="s">
        <v>339</v>
      </c>
      <c r="N7" s="8" t="s">
        <v>303</v>
      </c>
      <c r="O7" s="8" t="s">
        <v>378</v>
      </c>
    </row>
    <row r="8" spans="1:15" x14ac:dyDescent="0.2">
      <c r="A8" s="8" t="s">
        <v>379</v>
      </c>
      <c r="B8" s="8" t="s">
        <v>327</v>
      </c>
      <c r="C8" s="8" t="s">
        <v>379</v>
      </c>
      <c r="D8" s="8">
        <v>1</v>
      </c>
      <c r="E8" s="28">
        <v>43720</v>
      </c>
      <c r="F8" s="8" t="s">
        <v>340</v>
      </c>
      <c r="G8" s="8" t="s">
        <v>300</v>
      </c>
      <c r="H8" s="8" t="s">
        <v>328</v>
      </c>
      <c r="I8" s="8" t="s">
        <v>66</v>
      </c>
      <c r="J8" s="37">
        <v>278</v>
      </c>
      <c r="K8" s="8" t="s">
        <v>367</v>
      </c>
      <c r="L8" s="28">
        <v>43720</v>
      </c>
      <c r="M8" s="8" t="s">
        <v>339</v>
      </c>
      <c r="N8" s="8" t="s">
        <v>303</v>
      </c>
      <c r="O8" s="8" t="s">
        <v>380</v>
      </c>
    </row>
    <row r="9" spans="1:15" x14ac:dyDescent="0.2">
      <c r="A9" s="8" t="s">
        <v>381</v>
      </c>
      <c r="B9" s="8" t="s">
        <v>327</v>
      </c>
      <c r="C9" s="8" t="s">
        <v>381</v>
      </c>
      <c r="D9" s="8">
        <v>1</v>
      </c>
      <c r="E9" s="28">
        <v>43720</v>
      </c>
      <c r="F9" s="8" t="s">
        <v>341</v>
      </c>
      <c r="G9" s="8" t="s">
        <v>300</v>
      </c>
      <c r="H9" s="8" t="s">
        <v>328</v>
      </c>
      <c r="I9" s="8" t="s">
        <v>66</v>
      </c>
      <c r="J9" s="37">
        <v>7996</v>
      </c>
      <c r="K9" s="8" t="s">
        <v>367</v>
      </c>
      <c r="L9" s="28">
        <v>43720</v>
      </c>
      <c r="M9" s="8" t="s">
        <v>339</v>
      </c>
      <c r="N9" s="8" t="s">
        <v>303</v>
      </c>
      <c r="O9" s="8" t="s">
        <v>382</v>
      </c>
    </row>
    <row r="10" spans="1:15" x14ac:dyDescent="0.2">
      <c r="A10" s="8" t="s">
        <v>383</v>
      </c>
      <c r="B10" s="8" t="s">
        <v>325</v>
      </c>
      <c r="C10" s="8" t="s">
        <v>383</v>
      </c>
      <c r="D10" s="8">
        <v>1</v>
      </c>
      <c r="E10" s="28">
        <v>43720</v>
      </c>
      <c r="F10" s="8" t="s">
        <v>342</v>
      </c>
      <c r="G10" s="8" t="s">
        <v>300</v>
      </c>
      <c r="H10" s="8" t="s">
        <v>326</v>
      </c>
      <c r="I10" s="8" t="s">
        <v>56</v>
      </c>
      <c r="J10" s="37">
        <v>15000</v>
      </c>
      <c r="K10" s="8" t="s">
        <v>367</v>
      </c>
      <c r="L10" s="28">
        <v>43720</v>
      </c>
      <c r="M10" s="8" t="s">
        <v>343</v>
      </c>
      <c r="N10" s="8" t="s">
        <v>303</v>
      </c>
      <c r="O10" s="8" t="s">
        <v>384</v>
      </c>
    </row>
    <row r="11" spans="1:15" x14ac:dyDescent="0.2">
      <c r="A11" s="8" t="s">
        <v>385</v>
      </c>
      <c r="B11" s="8" t="s">
        <v>327</v>
      </c>
      <c r="C11" s="8" t="s">
        <v>385</v>
      </c>
      <c r="D11" s="8">
        <v>1</v>
      </c>
      <c r="E11" s="28">
        <v>43720</v>
      </c>
      <c r="F11" s="8" t="s">
        <v>344</v>
      </c>
      <c r="G11" s="8" t="s">
        <v>300</v>
      </c>
      <c r="H11" s="8" t="s">
        <v>328</v>
      </c>
      <c r="I11" s="8" t="s">
        <v>66</v>
      </c>
      <c r="J11" s="37">
        <v>2000</v>
      </c>
      <c r="K11" s="8" t="s">
        <v>367</v>
      </c>
      <c r="L11" s="28">
        <v>43720</v>
      </c>
      <c r="M11" s="8" t="s">
        <v>345</v>
      </c>
      <c r="N11" s="8" t="s">
        <v>303</v>
      </c>
      <c r="O11" s="8" t="s">
        <v>386</v>
      </c>
    </row>
    <row r="12" spans="1:15" x14ac:dyDescent="0.2">
      <c r="A12" s="8" t="s">
        <v>387</v>
      </c>
      <c r="B12" s="8" t="s">
        <v>325</v>
      </c>
      <c r="C12" s="8" t="s">
        <v>387</v>
      </c>
      <c r="D12" s="8">
        <v>1</v>
      </c>
      <c r="E12" s="28">
        <v>43720</v>
      </c>
      <c r="F12" s="8" t="s">
        <v>346</v>
      </c>
      <c r="G12" s="8" t="s">
        <v>300</v>
      </c>
      <c r="H12" s="8" t="s">
        <v>326</v>
      </c>
      <c r="I12" s="8" t="s">
        <v>56</v>
      </c>
      <c r="J12" s="37">
        <v>20000</v>
      </c>
      <c r="K12" s="8" t="s">
        <v>367</v>
      </c>
      <c r="L12" s="28">
        <v>43720</v>
      </c>
      <c r="M12" s="8" t="s">
        <v>347</v>
      </c>
      <c r="N12" s="8" t="s">
        <v>303</v>
      </c>
      <c r="O12" s="8" t="s">
        <v>388</v>
      </c>
    </row>
    <row r="13" spans="1:15" x14ac:dyDescent="0.2">
      <c r="A13" s="8" t="s">
        <v>389</v>
      </c>
      <c r="B13" s="8" t="s">
        <v>325</v>
      </c>
      <c r="C13" s="8" t="s">
        <v>389</v>
      </c>
      <c r="D13" s="8">
        <v>1</v>
      </c>
      <c r="E13" s="28">
        <v>43720</v>
      </c>
      <c r="F13" s="8" t="s">
        <v>348</v>
      </c>
      <c r="G13" s="8" t="s">
        <v>300</v>
      </c>
      <c r="H13" s="8" t="s">
        <v>326</v>
      </c>
      <c r="I13" s="8" t="s">
        <v>56</v>
      </c>
      <c r="J13" s="37">
        <v>15000</v>
      </c>
      <c r="K13" s="8" t="s">
        <v>367</v>
      </c>
      <c r="L13" s="28">
        <v>43720</v>
      </c>
      <c r="M13" s="8" t="s">
        <v>347</v>
      </c>
      <c r="N13" s="8" t="s">
        <v>303</v>
      </c>
      <c r="O13" s="8" t="s">
        <v>390</v>
      </c>
    </row>
    <row r="14" spans="1:15" x14ac:dyDescent="0.2">
      <c r="A14" s="8" t="s">
        <v>391</v>
      </c>
      <c r="B14" s="8" t="s">
        <v>327</v>
      </c>
      <c r="C14" s="8" t="s">
        <v>391</v>
      </c>
      <c r="D14" s="8">
        <v>1</v>
      </c>
      <c r="E14" s="28">
        <v>43720</v>
      </c>
      <c r="F14" s="8" t="s">
        <v>349</v>
      </c>
      <c r="G14" s="8" t="s">
        <v>300</v>
      </c>
      <c r="H14" s="8" t="s">
        <v>328</v>
      </c>
      <c r="I14" s="8" t="s">
        <v>66</v>
      </c>
      <c r="J14" s="37">
        <v>1542</v>
      </c>
      <c r="K14" s="8" t="s">
        <v>367</v>
      </c>
      <c r="L14" s="28">
        <v>43720</v>
      </c>
      <c r="M14" s="8" t="s">
        <v>350</v>
      </c>
      <c r="N14" s="8" t="s">
        <v>303</v>
      </c>
      <c r="O14" s="8" t="s">
        <v>392</v>
      </c>
    </row>
    <row r="15" spans="1:15" x14ac:dyDescent="0.2">
      <c r="A15" s="8" t="s">
        <v>393</v>
      </c>
      <c r="B15" s="8" t="s">
        <v>327</v>
      </c>
      <c r="C15" s="8" t="s">
        <v>393</v>
      </c>
      <c r="D15" s="8">
        <v>1</v>
      </c>
      <c r="E15" s="28">
        <v>43720</v>
      </c>
      <c r="F15" s="8" t="s">
        <v>351</v>
      </c>
      <c r="G15" s="8" t="s">
        <v>300</v>
      </c>
      <c r="H15" s="8" t="s">
        <v>328</v>
      </c>
      <c r="I15" s="8" t="s">
        <v>66</v>
      </c>
      <c r="J15" s="37">
        <v>3744.2</v>
      </c>
      <c r="K15" s="8" t="s">
        <v>367</v>
      </c>
      <c r="L15" s="28">
        <v>43720</v>
      </c>
      <c r="M15" s="8" t="s">
        <v>350</v>
      </c>
      <c r="N15" s="8" t="s">
        <v>303</v>
      </c>
      <c r="O15" s="8" t="s">
        <v>394</v>
      </c>
    </row>
    <row r="16" spans="1:15" x14ac:dyDescent="0.2">
      <c r="A16" s="8" t="s">
        <v>395</v>
      </c>
      <c r="B16" s="8" t="s">
        <v>327</v>
      </c>
      <c r="C16" s="8" t="s">
        <v>395</v>
      </c>
      <c r="D16" s="8">
        <v>1</v>
      </c>
      <c r="E16" s="28">
        <v>43720</v>
      </c>
      <c r="F16" s="8" t="s">
        <v>352</v>
      </c>
      <c r="G16" s="8" t="s">
        <v>300</v>
      </c>
      <c r="H16" s="8" t="s">
        <v>328</v>
      </c>
      <c r="I16" s="8" t="s">
        <v>66</v>
      </c>
      <c r="J16" s="37">
        <v>4194.3999999999996</v>
      </c>
      <c r="K16" s="8" t="s">
        <v>367</v>
      </c>
      <c r="L16" s="28">
        <v>43720</v>
      </c>
      <c r="M16" s="8" t="s">
        <v>350</v>
      </c>
      <c r="N16" s="8" t="s">
        <v>303</v>
      </c>
      <c r="O16" s="8" t="s">
        <v>396</v>
      </c>
    </row>
    <row r="17" spans="1:15" x14ac:dyDescent="0.2">
      <c r="A17" s="8" t="s">
        <v>397</v>
      </c>
      <c r="B17" s="8" t="s">
        <v>327</v>
      </c>
      <c r="C17" s="8" t="s">
        <v>397</v>
      </c>
      <c r="D17" s="8">
        <v>1</v>
      </c>
      <c r="E17" s="28">
        <v>43720</v>
      </c>
      <c r="F17" s="8" t="s">
        <v>353</v>
      </c>
      <c r="G17" s="8" t="s">
        <v>300</v>
      </c>
      <c r="H17" s="8" t="s">
        <v>328</v>
      </c>
      <c r="I17" s="8" t="s">
        <v>66</v>
      </c>
      <c r="J17" s="37">
        <v>4644.6000000000004</v>
      </c>
      <c r="K17" s="8" t="s">
        <v>367</v>
      </c>
      <c r="L17" s="28">
        <v>43720</v>
      </c>
      <c r="M17" s="8" t="s">
        <v>350</v>
      </c>
      <c r="N17" s="8" t="s">
        <v>303</v>
      </c>
      <c r="O17" s="8" t="s">
        <v>398</v>
      </c>
    </row>
    <row r="18" spans="1:15" x14ac:dyDescent="0.2">
      <c r="A18" s="8" t="s">
        <v>399</v>
      </c>
      <c r="B18" s="8" t="s">
        <v>327</v>
      </c>
      <c r="C18" s="8" t="s">
        <v>399</v>
      </c>
      <c r="D18" s="8">
        <v>1</v>
      </c>
      <c r="E18" s="28">
        <v>43720</v>
      </c>
      <c r="F18" s="8" t="s">
        <v>354</v>
      </c>
      <c r="G18" s="8" t="s">
        <v>300</v>
      </c>
      <c r="H18" s="8" t="s">
        <v>328</v>
      </c>
      <c r="I18" s="8" t="s">
        <v>66</v>
      </c>
      <c r="J18" s="37">
        <v>5094.8</v>
      </c>
      <c r="K18" s="8" t="s">
        <v>367</v>
      </c>
      <c r="L18" s="28">
        <v>43720</v>
      </c>
      <c r="M18" s="8" t="s">
        <v>350</v>
      </c>
      <c r="N18" s="8" t="s">
        <v>303</v>
      </c>
      <c r="O18" s="8" t="s">
        <v>400</v>
      </c>
    </row>
    <row r="19" spans="1:15" x14ac:dyDescent="0.2">
      <c r="A19" s="8" t="s">
        <v>401</v>
      </c>
      <c r="B19" s="8" t="s">
        <v>327</v>
      </c>
      <c r="C19" s="8" t="s">
        <v>401</v>
      </c>
      <c r="D19" s="8">
        <v>1</v>
      </c>
      <c r="E19" s="28">
        <v>43720</v>
      </c>
      <c r="F19" s="8" t="s">
        <v>355</v>
      </c>
      <c r="G19" s="8" t="s">
        <v>300</v>
      </c>
      <c r="H19" s="8" t="s">
        <v>328</v>
      </c>
      <c r="I19" s="8" t="s">
        <v>66</v>
      </c>
      <c r="J19" s="37">
        <v>5545</v>
      </c>
      <c r="K19" s="8" t="s">
        <v>367</v>
      </c>
      <c r="L19" s="28">
        <v>43720</v>
      </c>
      <c r="M19" s="8" t="s">
        <v>350</v>
      </c>
      <c r="N19" s="8" t="s">
        <v>303</v>
      </c>
      <c r="O19" s="8" t="s">
        <v>402</v>
      </c>
    </row>
    <row r="20" spans="1:15" x14ac:dyDescent="0.2">
      <c r="A20" s="8" t="s">
        <v>403</v>
      </c>
      <c r="B20" s="8" t="s">
        <v>327</v>
      </c>
      <c r="C20" s="8" t="s">
        <v>403</v>
      </c>
      <c r="D20" s="8">
        <v>1</v>
      </c>
      <c r="E20" s="28">
        <v>43720</v>
      </c>
      <c r="F20" s="8" t="s">
        <v>356</v>
      </c>
      <c r="G20" s="8" t="s">
        <v>300</v>
      </c>
      <c r="H20" s="8" t="s">
        <v>328</v>
      </c>
      <c r="I20" s="8" t="s">
        <v>66</v>
      </c>
      <c r="J20" s="37">
        <v>5995.2</v>
      </c>
      <c r="K20" s="8" t="s">
        <v>367</v>
      </c>
      <c r="L20" s="28">
        <v>43720</v>
      </c>
      <c r="M20" s="8" t="s">
        <v>350</v>
      </c>
      <c r="N20" s="8" t="s">
        <v>303</v>
      </c>
      <c r="O20" s="8" t="s">
        <v>404</v>
      </c>
    </row>
    <row r="21" spans="1:15" x14ac:dyDescent="0.2">
      <c r="A21" s="8" t="s">
        <v>405</v>
      </c>
      <c r="B21" s="8" t="s">
        <v>327</v>
      </c>
      <c r="C21" s="8" t="s">
        <v>405</v>
      </c>
      <c r="D21" s="8">
        <v>1</v>
      </c>
      <c r="E21" s="28">
        <v>43720</v>
      </c>
      <c r="F21" s="8" t="s">
        <v>357</v>
      </c>
      <c r="G21" s="8" t="s">
        <v>300</v>
      </c>
      <c r="H21" s="8" t="s">
        <v>328</v>
      </c>
      <c r="I21" s="8" t="s">
        <v>66</v>
      </c>
      <c r="J21" s="37">
        <v>6445.4</v>
      </c>
      <c r="K21" s="8" t="s">
        <v>367</v>
      </c>
      <c r="L21" s="28">
        <v>43720</v>
      </c>
      <c r="M21" s="8" t="s">
        <v>350</v>
      </c>
      <c r="N21" s="8" t="s">
        <v>303</v>
      </c>
      <c r="O21" s="8" t="s">
        <v>406</v>
      </c>
    </row>
    <row r="22" spans="1:15" x14ac:dyDescent="0.2">
      <c r="A22" s="8" t="s">
        <v>407</v>
      </c>
      <c r="B22" s="8" t="s">
        <v>327</v>
      </c>
      <c r="C22" s="8" t="s">
        <v>407</v>
      </c>
      <c r="D22" s="8">
        <v>1</v>
      </c>
      <c r="E22" s="28">
        <v>43720</v>
      </c>
      <c r="F22" s="8" t="s">
        <v>358</v>
      </c>
      <c r="G22" s="8" t="s">
        <v>300</v>
      </c>
      <c r="H22" s="8" t="s">
        <v>328</v>
      </c>
      <c r="I22" s="8" t="s">
        <v>66</v>
      </c>
      <c r="J22" s="37">
        <v>6895.6</v>
      </c>
      <c r="K22" s="8" t="s">
        <v>367</v>
      </c>
      <c r="L22" s="28">
        <v>43720</v>
      </c>
      <c r="M22" s="8" t="s">
        <v>350</v>
      </c>
      <c r="N22" s="8" t="s">
        <v>303</v>
      </c>
      <c r="O22" s="8" t="s">
        <v>408</v>
      </c>
    </row>
    <row r="23" spans="1:15" x14ac:dyDescent="0.2">
      <c r="A23" s="8" t="s">
        <v>409</v>
      </c>
      <c r="B23" s="8" t="s">
        <v>327</v>
      </c>
      <c r="C23" s="8" t="s">
        <v>409</v>
      </c>
      <c r="D23" s="8">
        <v>1</v>
      </c>
      <c r="E23" s="28">
        <v>43720</v>
      </c>
      <c r="F23" s="8" t="s">
        <v>359</v>
      </c>
      <c r="G23" s="8" t="s">
        <v>300</v>
      </c>
      <c r="H23" s="8" t="s">
        <v>328</v>
      </c>
      <c r="I23" s="8" t="s">
        <v>66</v>
      </c>
      <c r="J23" s="37">
        <v>7345.8</v>
      </c>
      <c r="K23" s="8" t="s">
        <v>367</v>
      </c>
      <c r="L23" s="28">
        <v>43720</v>
      </c>
      <c r="M23" s="8" t="s">
        <v>350</v>
      </c>
      <c r="N23" s="8" t="s">
        <v>303</v>
      </c>
      <c r="O23" s="8" t="s">
        <v>410</v>
      </c>
    </row>
    <row r="24" spans="1:15" x14ac:dyDescent="0.2">
      <c r="A24" s="8" t="s">
        <v>411</v>
      </c>
      <c r="B24" s="8" t="s">
        <v>327</v>
      </c>
      <c r="C24" s="8" t="s">
        <v>411</v>
      </c>
      <c r="D24" s="8">
        <v>1</v>
      </c>
      <c r="E24" s="28">
        <v>43720</v>
      </c>
      <c r="F24" s="8" t="s">
        <v>412</v>
      </c>
      <c r="G24" s="8" t="s">
        <v>300</v>
      </c>
      <c r="H24" s="8" t="s">
        <v>328</v>
      </c>
      <c r="I24" s="8" t="s">
        <v>66</v>
      </c>
      <c r="J24" s="37">
        <v>8246.2000000000007</v>
      </c>
      <c r="K24" s="8" t="s">
        <v>367</v>
      </c>
      <c r="L24" s="28">
        <v>43720</v>
      </c>
      <c r="M24" s="8" t="s">
        <v>413</v>
      </c>
      <c r="N24" s="8" t="s">
        <v>303</v>
      </c>
      <c r="O24" s="8" t="s">
        <v>414</v>
      </c>
    </row>
    <row r="25" spans="1:15" x14ac:dyDescent="0.2">
      <c r="A25" s="8" t="s">
        <v>415</v>
      </c>
      <c r="B25" s="8" t="s">
        <v>327</v>
      </c>
      <c r="C25" s="8" t="s">
        <v>415</v>
      </c>
      <c r="D25" s="8">
        <v>1</v>
      </c>
      <c r="E25" s="28">
        <v>43720</v>
      </c>
      <c r="F25" s="8" t="s">
        <v>416</v>
      </c>
      <c r="G25" s="8" t="s">
        <v>300</v>
      </c>
      <c r="H25" s="8" t="s">
        <v>328</v>
      </c>
      <c r="I25" s="8" t="s">
        <v>66</v>
      </c>
      <c r="J25" s="37">
        <v>8696.4</v>
      </c>
      <c r="K25" s="8" t="s">
        <v>367</v>
      </c>
      <c r="L25" s="28">
        <v>43720</v>
      </c>
      <c r="M25" s="8" t="s">
        <v>413</v>
      </c>
      <c r="N25" s="8" t="s">
        <v>303</v>
      </c>
      <c r="O25" s="8" t="s">
        <v>417</v>
      </c>
    </row>
    <row r="26" spans="1:15" x14ac:dyDescent="0.2">
      <c r="A26" s="8" t="s">
        <v>418</v>
      </c>
      <c r="B26" s="8" t="s">
        <v>327</v>
      </c>
      <c r="C26" s="8" t="s">
        <v>418</v>
      </c>
      <c r="D26" s="8">
        <v>1</v>
      </c>
      <c r="E26" s="28">
        <v>43720</v>
      </c>
      <c r="F26" s="8" t="s">
        <v>419</v>
      </c>
      <c r="G26" s="8" t="s">
        <v>300</v>
      </c>
      <c r="H26" s="8" t="s">
        <v>328</v>
      </c>
      <c r="I26" s="8" t="s">
        <v>66</v>
      </c>
      <c r="J26" s="37">
        <v>946.6</v>
      </c>
      <c r="K26" s="8" t="s">
        <v>367</v>
      </c>
      <c r="L26" s="28">
        <v>43720</v>
      </c>
      <c r="M26" s="8" t="s">
        <v>413</v>
      </c>
      <c r="N26" s="8" t="s">
        <v>303</v>
      </c>
      <c r="O26" s="8" t="s">
        <v>420</v>
      </c>
    </row>
    <row r="27" spans="1:15" x14ac:dyDescent="0.2">
      <c r="A27" s="8" t="s">
        <v>421</v>
      </c>
      <c r="B27" s="8" t="s">
        <v>327</v>
      </c>
      <c r="C27" s="8" t="s">
        <v>421</v>
      </c>
      <c r="D27" s="8">
        <v>1</v>
      </c>
      <c r="E27" s="28">
        <v>43720</v>
      </c>
      <c r="F27" s="8" t="s">
        <v>422</v>
      </c>
      <c r="G27" s="8" t="s">
        <v>300</v>
      </c>
      <c r="H27" s="8" t="s">
        <v>328</v>
      </c>
      <c r="I27" s="8" t="s">
        <v>66</v>
      </c>
      <c r="J27" s="37">
        <v>596.79999999999995</v>
      </c>
      <c r="K27" s="8" t="s">
        <v>367</v>
      </c>
      <c r="L27" s="28">
        <v>43720</v>
      </c>
      <c r="M27" s="8" t="s">
        <v>413</v>
      </c>
      <c r="N27" s="8" t="s">
        <v>303</v>
      </c>
      <c r="O27" s="8" t="s">
        <v>423</v>
      </c>
    </row>
    <row r="28" spans="1:15" x14ac:dyDescent="0.2">
      <c r="A28" s="8" t="s">
        <v>424</v>
      </c>
      <c r="B28" s="8" t="s">
        <v>327</v>
      </c>
      <c r="C28" s="8" t="s">
        <v>424</v>
      </c>
      <c r="D28" s="8">
        <v>1</v>
      </c>
      <c r="E28" s="28">
        <v>43720</v>
      </c>
      <c r="F28" s="8" t="s">
        <v>425</v>
      </c>
      <c r="G28" s="8" t="s">
        <v>300</v>
      </c>
      <c r="H28" s="8" t="s">
        <v>328</v>
      </c>
      <c r="I28" s="8" t="s">
        <v>66</v>
      </c>
      <c r="J28" s="37">
        <v>147</v>
      </c>
      <c r="K28" s="8" t="s">
        <v>367</v>
      </c>
      <c r="L28" s="28">
        <v>43720</v>
      </c>
      <c r="M28" s="8" t="s">
        <v>413</v>
      </c>
      <c r="N28" s="8" t="s">
        <v>303</v>
      </c>
      <c r="O28" s="8" t="s">
        <v>426</v>
      </c>
    </row>
    <row r="29" spans="1:15" x14ac:dyDescent="0.2">
      <c r="A29" s="8" t="s">
        <v>427</v>
      </c>
      <c r="B29" s="8" t="s">
        <v>327</v>
      </c>
      <c r="C29" s="8" t="s">
        <v>427</v>
      </c>
      <c r="D29" s="8">
        <v>1</v>
      </c>
      <c r="E29" s="28">
        <v>43720</v>
      </c>
      <c r="F29" s="8" t="s">
        <v>428</v>
      </c>
      <c r="G29" s="8" t="s">
        <v>300</v>
      </c>
      <c r="H29" s="8" t="s">
        <v>328</v>
      </c>
      <c r="I29" s="8" t="s">
        <v>66</v>
      </c>
      <c r="J29" s="37">
        <v>10497.2</v>
      </c>
      <c r="K29" s="8" t="s">
        <v>367</v>
      </c>
      <c r="L29" s="28">
        <v>43720</v>
      </c>
      <c r="M29" s="8" t="s">
        <v>413</v>
      </c>
      <c r="N29" s="8" t="s">
        <v>303</v>
      </c>
      <c r="O29" s="8" t="s">
        <v>429</v>
      </c>
    </row>
    <row r="30" spans="1:15" x14ac:dyDescent="0.2">
      <c r="A30" s="8" t="s">
        <v>430</v>
      </c>
      <c r="B30" s="8" t="s">
        <v>327</v>
      </c>
      <c r="C30" s="8" t="s">
        <v>430</v>
      </c>
      <c r="D30" s="8">
        <v>1</v>
      </c>
      <c r="E30" s="28">
        <v>43720</v>
      </c>
      <c r="F30" s="8" t="s">
        <v>431</v>
      </c>
      <c r="G30" s="8" t="s">
        <v>300</v>
      </c>
      <c r="H30" s="8" t="s">
        <v>328</v>
      </c>
      <c r="I30" s="8" t="s">
        <v>66</v>
      </c>
      <c r="J30" s="37">
        <v>5017.3999999999996</v>
      </c>
      <c r="K30" s="8" t="s">
        <v>367</v>
      </c>
      <c r="L30" s="28">
        <v>43720</v>
      </c>
      <c r="M30" s="8" t="s">
        <v>413</v>
      </c>
      <c r="N30" s="8" t="s">
        <v>303</v>
      </c>
      <c r="O30" s="8" t="s">
        <v>432</v>
      </c>
    </row>
    <row r="31" spans="1:15" x14ac:dyDescent="0.2">
      <c r="A31" s="8" t="s">
        <v>433</v>
      </c>
      <c r="B31" s="8" t="s">
        <v>327</v>
      </c>
      <c r="C31" s="8" t="s">
        <v>433</v>
      </c>
      <c r="D31" s="8">
        <v>1</v>
      </c>
      <c r="E31" s="28">
        <v>43720</v>
      </c>
      <c r="F31" s="8" t="s">
        <v>434</v>
      </c>
      <c r="G31" s="8" t="s">
        <v>300</v>
      </c>
      <c r="H31" s="8" t="s">
        <v>328</v>
      </c>
      <c r="I31" s="8" t="s">
        <v>66</v>
      </c>
      <c r="J31" s="37">
        <v>5297.6</v>
      </c>
      <c r="K31" s="8" t="s">
        <v>367</v>
      </c>
      <c r="L31" s="28">
        <v>43720</v>
      </c>
      <c r="M31" s="8" t="s">
        <v>413</v>
      </c>
      <c r="N31" s="8" t="s">
        <v>303</v>
      </c>
      <c r="O31" s="8" t="s">
        <v>435</v>
      </c>
    </row>
    <row r="32" spans="1:15" x14ac:dyDescent="0.2">
      <c r="A32" s="8" t="s">
        <v>436</v>
      </c>
      <c r="B32" s="8" t="s">
        <v>327</v>
      </c>
      <c r="C32" s="8" t="s">
        <v>436</v>
      </c>
      <c r="D32" s="8">
        <v>1</v>
      </c>
      <c r="E32" s="28">
        <v>43720</v>
      </c>
      <c r="F32" s="8" t="s">
        <v>437</v>
      </c>
      <c r="G32" s="8" t="s">
        <v>300</v>
      </c>
      <c r="H32" s="8" t="s">
        <v>328</v>
      </c>
      <c r="I32" s="8" t="s">
        <v>66</v>
      </c>
      <c r="J32" s="37">
        <v>5577.8</v>
      </c>
      <c r="K32" s="8" t="s">
        <v>367</v>
      </c>
      <c r="L32" s="28">
        <v>43720</v>
      </c>
      <c r="M32" s="8" t="s">
        <v>413</v>
      </c>
      <c r="N32" s="8" t="s">
        <v>303</v>
      </c>
      <c r="O32" s="8" t="s">
        <v>438</v>
      </c>
    </row>
    <row r="33" spans="1:15" x14ac:dyDescent="0.2">
      <c r="A33" s="8" t="s">
        <v>439</v>
      </c>
      <c r="B33" s="8" t="s">
        <v>327</v>
      </c>
      <c r="C33" s="8" t="s">
        <v>439</v>
      </c>
      <c r="D33" s="8">
        <v>1</v>
      </c>
      <c r="E33" s="28">
        <v>43720</v>
      </c>
      <c r="F33" s="8" t="s">
        <v>440</v>
      </c>
      <c r="G33" s="8" t="s">
        <v>300</v>
      </c>
      <c r="H33" s="8" t="s">
        <v>328</v>
      </c>
      <c r="I33" s="8" t="s">
        <v>66</v>
      </c>
      <c r="J33" s="37">
        <v>5858</v>
      </c>
      <c r="K33" s="8" t="s">
        <v>367</v>
      </c>
      <c r="L33" s="28">
        <v>43720</v>
      </c>
      <c r="M33" s="8" t="s">
        <v>413</v>
      </c>
      <c r="N33" s="8" t="s">
        <v>303</v>
      </c>
      <c r="O33" s="8" t="s">
        <v>441</v>
      </c>
    </row>
    <row r="34" spans="1:15" x14ac:dyDescent="0.2">
      <c r="A34" s="8" t="s">
        <v>442</v>
      </c>
      <c r="B34" s="8" t="s">
        <v>327</v>
      </c>
      <c r="C34" s="8" t="s">
        <v>442</v>
      </c>
      <c r="D34" s="8">
        <v>1</v>
      </c>
      <c r="E34" s="28">
        <v>43720</v>
      </c>
      <c r="F34" s="8" t="s">
        <v>443</v>
      </c>
      <c r="G34" s="8" t="s">
        <v>300</v>
      </c>
      <c r="H34" s="8" t="s">
        <v>328</v>
      </c>
      <c r="I34" s="8" t="s">
        <v>66</v>
      </c>
      <c r="J34" s="37">
        <v>6138.2</v>
      </c>
      <c r="K34" s="8" t="s">
        <v>367</v>
      </c>
      <c r="L34" s="28">
        <v>43720</v>
      </c>
      <c r="M34" s="8" t="s">
        <v>413</v>
      </c>
      <c r="N34" s="8" t="s">
        <v>303</v>
      </c>
      <c r="O34" s="8" t="s">
        <v>444</v>
      </c>
    </row>
    <row r="35" spans="1:15" x14ac:dyDescent="0.2">
      <c r="A35" s="8" t="s">
        <v>445</v>
      </c>
      <c r="B35" s="8" t="s">
        <v>327</v>
      </c>
      <c r="C35" s="8" t="s">
        <v>445</v>
      </c>
      <c r="D35" s="8">
        <v>1</v>
      </c>
      <c r="E35" s="28">
        <v>43720</v>
      </c>
      <c r="F35" s="8" t="s">
        <v>446</v>
      </c>
      <c r="G35" s="8" t="s">
        <v>300</v>
      </c>
      <c r="H35" s="8" t="s">
        <v>328</v>
      </c>
      <c r="I35" s="8" t="s">
        <v>66</v>
      </c>
      <c r="J35" s="37">
        <v>6418.4</v>
      </c>
      <c r="K35" s="8" t="s">
        <v>367</v>
      </c>
      <c r="L35" s="28">
        <v>43720</v>
      </c>
      <c r="M35" s="8" t="s">
        <v>413</v>
      </c>
      <c r="N35" s="8" t="s">
        <v>303</v>
      </c>
      <c r="O35" s="8" t="s">
        <v>447</v>
      </c>
    </row>
    <row r="36" spans="1:15" x14ac:dyDescent="0.2">
      <c r="A36" s="8" t="s">
        <v>448</v>
      </c>
      <c r="B36" s="8" t="s">
        <v>327</v>
      </c>
      <c r="C36" s="8" t="s">
        <v>448</v>
      </c>
      <c r="D36" s="8">
        <v>1</v>
      </c>
      <c r="E36" s="28">
        <v>43720</v>
      </c>
      <c r="F36" s="8" t="s">
        <v>449</v>
      </c>
      <c r="G36" s="8" t="s">
        <v>300</v>
      </c>
      <c r="H36" s="8" t="s">
        <v>328</v>
      </c>
      <c r="I36" s="8" t="s">
        <v>66</v>
      </c>
      <c r="J36" s="37">
        <v>6698.6</v>
      </c>
      <c r="K36" s="8" t="s">
        <v>367</v>
      </c>
      <c r="L36" s="28">
        <v>43720</v>
      </c>
      <c r="M36" s="8" t="s">
        <v>413</v>
      </c>
      <c r="N36" s="8" t="s">
        <v>303</v>
      </c>
      <c r="O36" s="8" t="s">
        <v>450</v>
      </c>
    </row>
    <row r="37" spans="1:15" x14ac:dyDescent="0.2">
      <c r="A37" s="8" t="s">
        <v>451</v>
      </c>
      <c r="B37" s="8" t="s">
        <v>327</v>
      </c>
      <c r="C37" s="8" t="s">
        <v>451</v>
      </c>
      <c r="D37" s="8">
        <v>1</v>
      </c>
      <c r="E37" s="28">
        <v>43720</v>
      </c>
      <c r="F37" s="8" t="s">
        <v>452</v>
      </c>
      <c r="G37" s="8" t="s">
        <v>300</v>
      </c>
      <c r="H37" s="8" t="s">
        <v>328</v>
      </c>
      <c r="I37" s="8" t="s">
        <v>66</v>
      </c>
      <c r="J37" s="37">
        <v>6978.8</v>
      </c>
      <c r="K37" s="8" t="s">
        <v>367</v>
      </c>
      <c r="L37" s="28">
        <v>43720</v>
      </c>
      <c r="M37" s="8" t="s">
        <v>413</v>
      </c>
      <c r="N37" s="8" t="s">
        <v>303</v>
      </c>
      <c r="O37" s="8" t="s">
        <v>453</v>
      </c>
    </row>
    <row r="38" spans="1:15" x14ac:dyDescent="0.2">
      <c r="A38" s="8" t="s">
        <v>454</v>
      </c>
      <c r="B38" s="8" t="s">
        <v>327</v>
      </c>
      <c r="C38" s="8" t="s">
        <v>454</v>
      </c>
      <c r="D38" s="8">
        <v>1</v>
      </c>
      <c r="E38" s="28">
        <v>43720</v>
      </c>
      <c r="F38" s="8" t="s">
        <v>455</v>
      </c>
      <c r="G38" s="8" t="s">
        <v>300</v>
      </c>
      <c r="H38" s="8" t="s">
        <v>328</v>
      </c>
      <c r="I38" s="8" t="s">
        <v>66</v>
      </c>
      <c r="J38" s="37">
        <v>7259</v>
      </c>
      <c r="K38" s="8" t="s">
        <v>367</v>
      </c>
      <c r="L38" s="28">
        <v>43720</v>
      </c>
      <c r="M38" s="8" t="s">
        <v>413</v>
      </c>
      <c r="N38" s="8" t="s">
        <v>303</v>
      </c>
      <c r="O38" s="8" t="s">
        <v>456</v>
      </c>
    </row>
    <row r="39" spans="1:15" x14ac:dyDescent="0.2">
      <c r="A39" s="8" t="s">
        <v>457</v>
      </c>
      <c r="B39" s="8" t="s">
        <v>327</v>
      </c>
      <c r="C39" s="8" t="s">
        <v>457</v>
      </c>
      <c r="D39" s="8">
        <v>1</v>
      </c>
      <c r="E39" s="28">
        <v>43720</v>
      </c>
      <c r="F39" s="8" t="s">
        <v>458</v>
      </c>
      <c r="G39" s="8" t="s">
        <v>300</v>
      </c>
      <c r="H39" s="8" t="s">
        <v>328</v>
      </c>
      <c r="I39" s="8" t="s">
        <v>66</v>
      </c>
      <c r="J39" s="37">
        <v>7539.2</v>
      </c>
      <c r="K39" s="8" t="s">
        <v>367</v>
      </c>
      <c r="L39" s="28">
        <v>43720</v>
      </c>
      <c r="M39" s="8" t="s">
        <v>413</v>
      </c>
      <c r="N39" s="8" t="s">
        <v>303</v>
      </c>
      <c r="O39" s="8" t="s">
        <v>459</v>
      </c>
    </row>
    <row r="40" spans="1:15" x14ac:dyDescent="0.2">
      <c r="A40" s="8" t="s">
        <v>460</v>
      </c>
      <c r="B40" s="8" t="s">
        <v>327</v>
      </c>
      <c r="C40" s="8" t="s">
        <v>460</v>
      </c>
      <c r="D40" s="8">
        <v>1</v>
      </c>
      <c r="E40" s="28">
        <v>43720</v>
      </c>
      <c r="F40" s="8" t="s">
        <v>461</v>
      </c>
      <c r="G40" s="8" t="s">
        <v>300</v>
      </c>
      <c r="H40" s="8" t="s">
        <v>328</v>
      </c>
      <c r="I40" s="8" t="s">
        <v>66</v>
      </c>
      <c r="J40" s="37">
        <v>7819.4</v>
      </c>
      <c r="K40" s="8" t="s">
        <v>367</v>
      </c>
      <c r="L40" s="28">
        <v>43720</v>
      </c>
      <c r="M40" s="8" t="s">
        <v>413</v>
      </c>
      <c r="N40" s="8" t="s">
        <v>303</v>
      </c>
      <c r="O40" s="8" t="s">
        <v>462</v>
      </c>
    </row>
    <row r="41" spans="1:15" x14ac:dyDescent="0.2">
      <c r="A41" s="8" t="s">
        <v>463</v>
      </c>
      <c r="B41" s="8" t="s">
        <v>327</v>
      </c>
      <c r="C41" s="8" t="s">
        <v>463</v>
      </c>
      <c r="D41" s="8">
        <v>1</v>
      </c>
      <c r="E41" s="28">
        <v>43720</v>
      </c>
      <c r="F41" s="8" t="s">
        <v>464</v>
      </c>
      <c r="G41" s="8" t="s">
        <v>300</v>
      </c>
      <c r="H41" s="8" t="s">
        <v>328</v>
      </c>
      <c r="I41" s="8" t="s">
        <v>66</v>
      </c>
      <c r="J41" s="37">
        <v>8099.6</v>
      </c>
      <c r="K41" s="8" t="s">
        <v>367</v>
      </c>
      <c r="L41" s="28">
        <v>43720</v>
      </c>
      <c r="M41" s="8" t="s">
        <v>413</v>
      </c>
      <c r="N41" s="8" t="s">
        <v>303</v>
      </c>
      <c r="O41" s="8" t="s">
        <v>465</v>
      </c>
    </row>
    <row r="42" spans="1:15" x14ac:dyDescent="0.2">
      <c r="A42" s="8" t="s">
        <v>466</v>
      </c>
      <c r="B42" s="8" t="s">
        <v>327</v>
      </c>
      <c r="C42" s="8" t="s">
        <v>466</v>
      </c>
      <c r="D42" s="8">
        <v>1</v>
      </c>
      <c r="E42" s="28">
        <v>43720</v>
      </c>
      <c r="F42" s="8" t="s">
        <v>467</v>
      </c>
      <c r="G42" s="8" t="s">
        <v>300</v>
      </c>
      <c r="H42" s="8" t="s">
        <v>328</v>
      </c>
      <c r="I42" s="8" t="s">
        <v>66</v>
      </c>
      <c r="J42" s="37">
        <v>8379.7999999999993</v>
      </c>
      <c r="K42" s="8" t="s">
        <v>367</v>
      </c>
      <c r="L42" s="28">
        <v>43720</v>
      </c>
      <c r="M42" s="8" t="s">
        <v>413</v>
      </c>
      <c r="N42" s="8" t="s">
        <v>303</v>
      </c>
      <c r="O42" s="8" t="s">
        <v>468</v>
      </c>
    </row>
    <row r="43" spans="1:15" x14ac:dyDescent="0.2">
      <c r="A43" s="8" t="s">
        <v>469</v>
      </c>
      <c r="B43" s="8" t="s">
        <v>327</v>
      </c>
      <c r="C43" s="8" t="s">
        <v>469</v>
      </c>
      <c r="D43" s="8">
        <v>1</v>
      </c>
      <c r="E43" s="28">
        <v>43720</v>
      </c>
      <c r="F43" s="8" t="s">
        <v>470</v>
      </c>
      <c r="G43" s="8" t="s">
        <v>300</v>
      </c>
      <c r="H43" s="8" t="s">
        <v>328</v>
      </c>
      <c r="I43" s="8" t="s">
        <v>66</v>
      </c>
      <c r="J43" s="37">
        <v>8660</v>
      </c>
      <c r="K43" s="8" t="s">
        <v>367</v>
      </c>
      <c r="L43" s="28">
        <v>43720</v>
      </c>
      <c r="M43" s="8" t="s">
        <v>413</v>
      </c>
      <c r="N43" s="8" t="s">
        <v>303</v>
      </c>
      <c r="O43" s="8" t="s">
        <v>471</v>
      </c>
    </row>
    <row r="44" spans="1:15" x14ac:dyDescent="0.2">
      <c r="A44" s="8" t="s">
        <v>472</v>
      </c>
      <c r="B44" s="8" t="s">
        <v>327</v>
      </c>
      <c r="C44" s="8" t="s">
        <v>472</v>
      </c>
      <c r="D44" s="8">
        <v>1</v>
      </c>
      <c r="E44" s="28">
        <v>43720</v>
      </c>
      <c r="F44" s="8" t="s">
        <v>473</v>
      </c>
      <c r="G44" s="8" t="s">
        <v>300</v>
      </c>
      <c r="H44" s="8" t="s">
        <v>328</v>
      </c>
      <c r="I44" s="8" t="s">
        <v>66</v>
      </c>
      <c r="J44" s="37">
        <v>8940.2000000000007</v>
      </c>
      <c r="K44" s="8" t="s">
        <v>367</v>
      </c>
      <c r="L44" s="28">
        <v>43720</v>
      </c>
      <c r="M44" s="8" t="s">
        <v>413</v>
      </c>
      <c r="N44" s="8" t="s">
        <v>303</v>
      </c>
      <c r="O44" s="8" t="s">
        <v>474</v>
      </c>
    </row>
    <row r="45" spans="1:15" x14ac:dyDescent="0.2">
      <c r="A45" s="8" t="s">
        <v>475</v>
      </c>
      <c r="B45" s="8" t="s">
        <v>327</v>
      </c>
      <c r="C45" s="8" t="s">
        <v>475</v>
      </c>
      <c r="D45" s="8">
        <v>1</v>
      </c>
      <c r="E45" s="28">
        <v>43720</v>
      </c>
      <c r="F45" s="8" t="s">
        <v>476</v>
      </c>
      <c r="G45" s="8" t="s">
        <v>300</v>
      </c>
      <c r="H45" s="8" t="s">
        <v>328</v>
      </c>
      <c r="I45" s="8" t="s">
        <v>66</v>
      </c>
      <c r="J45" s="37">
        <v>9220.4</v>
      </c>
      <c r="K45" s="8" t="s">
        <v>367</v>
      </c>
      <c r="L45" s="28">
        <v>43720</v>
      </c>
      <c r="M45" s="8" t="s">
        <v>413</v>
      </c>
      <c r="N45" s="8" t="s">
        <v>303</v>
      </c>
      <c r="O45" s="8" t="s">
        <v>477</v>
      </c>
    </row>
    <row r="46" spans="1:15" x14ac:dyDescent="0.2">
      <c r="A46" s="8" t="s">
        <v>478</v>
      </c>
      <c r="B46" s="8" t="s">
        <v>327</v>
      </c>
      <c r="C46" s="8" t="s">
        <v>478</v>
      </c>
      <c r="D46" s="8">
        <v>1</v>
      </c>
      <c r="E46" s="28">
        <v>43720</v>
      </c>
      <c r="F46" s="8" t="s">
        <v>479</v>
      </c>
      <c r="G46" s="8" t="s">
        <v>300</v>
      </c>
      <c r="H46" s="8" t="s">
        <v>328</v>
      </c>
      <c r="I46" s="8" t="s">
        <v>66</v>
      </c>
      <c r="J46" s="37">
        <v>9500.6</v>
      </c>
      <c r="K46" s="8" t="s">
        <v>367</v>
      </c>
      <c r="L46" s="28">
        <v>43720</v>
      </c>
      <c r="M46" s="8" t="s">
        <v>413</v>
      </c>
      <c r="N46" s="8" t="s">
        <v>303</v>
      </c>
      <c r="O46" s="8" t="s">
        <v>480</v>
      </c>
    </row>
    <row r="47" spans="1:15" x14ac:dyDescent="0.2">
      <c r="A47" s="8" t="s">
        <v>481</v>
      </c>
      <c r="B47" s="8" t="s">
        <v>327</v>
      </c>
      <c r="C47" s="8" t="s">
        <v>481</v>
      </c>
      <c r="D47" s="8">
        <v>1</v>
      </c>
      <c r="E47" s="28">
        <v>43720</v>
      </c>
      <c r="F47" s="8" t="s">
        <v>482</v>
      </c>
      <c r="G47" s="8" t="s">
        <v>300</v>
      </c>
      <c r="H47" s="8" t="s">
        <v>328</v>
      </c>
      <c r="I47" s="8" t="s">
        <v>66</v>
      </c>
      <c r="J47" s="37">
        <v>9780.7999999999993</v>
      </c>
      <c r="K47" s="8" t="s">
        <v>367</v>
      </c>
      <c r="L47" s="28">
        <v>43720</v>
      </c>
      <c r="M47" s="8" t="s">
        <v>413</v>
      </c>
      <c r="N47" s="8" t="s">
        <v>303</v>
      </c>
      <c r="O47" s="8" t="s">
        <v>483</v>
      </c>
    </row>
    <row r="48" spans="1:15" x14ac:dyDescent="0.2">
      <c r="A48" s="8" t="s">
        <v>484</v>
      </c>
      <c r="B48" s="8" t="s">
        <v>327</v>
      </c>
      <c r="C48" s="8" t="s">
        <v>484</v>
      </c>
      <c r="D48" s="8">
        <v>1</v>
      </c>
      <c r="E48" s="28">
        <v>43720</v>
      </c>
      <c r="F48" s="8" t="s">
        <v>485</v>
      </c>
      <c r="G48" s="8" t="s">
        <v>300</v>
      </c>
      <c r="H48" s="8" t="s">
        <v>328</v>
      </c>
      <c r="I48" s="8" t="s">
        <v>66</v>
      </c>
      <c r="J48" s="37">
        <v>10061</v>
      </c>
      <c r="K48" s="8" t="s">
        <v>367</v>
      </c>
      <c r="L48" s="28">
        <v>43720</v>
      </c>
      <c r="M48" s="8" t="s">
        <v>413</v>
      </c>
      <c r="N48" s="8" t="s">
        <v>303</v>
      </c>
      <c r="O48" s="8" t="s">
        <v>486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4" width="16" style="8"/>
    <col min="5" max="5" width="16" style="28"/>
    <col min="6" max="6" width="28.6640625" style="8" bestFit="1" customWidth="1"/>
    <col min="7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360</v>
      </c>
      <c r="N1" s="9" t="s">
        <v>3</v>
      </c>
      <c r="O1" s="9" t="s">
        <v>26</v>
      </c>
      <c r="P1" s="9" t="s">
        <v>39</v>
      </c>
      <c r="Q1" s="22" t="s">
        <v>305</v>
      </c>
      <c r="R1" s="22" t="s">
        <v>329</v>
      </c>
    </row>
    <row r="2" spans="1:18" x14ac:dyDescent="0.2">
      <c r="A2" s="34" t="s">
        <v>487</v>
      </c>
      <c r="B2" s="27" t="s">
        <v>365</v>
      </c>
      <c r="C2" s="34" t="s">
        <v>487</v>
      </c>
      <c r="D2" s="27">
        <v>1</v>
      </c>
      <c r="E2" s="15">
        <v>43720</v>
      </c>
      <c r="F2" s="19" t="s">
        <v>361</v>
      </c>
      <c r="G2" s="27" t="s">
        <v>297</v>
      </c>
      <c r="H2" s="27" t="s">
        <v>72</v>
      </c>
      <c r="I2" s="27">
        <v>4.12</v>
      </c>
      <c r="J2" s="27" t="s">
        <v>66</v>
      </c>
      <c r="K2" s="27" t="s">
        <v>56</v>
      </c>
      <c r="L2" s="35">
        <v>206000</v>
      </c>
      <c r="M2" s="27"/>
      <c r="N2" s="27" t="s">
        <v>367</v>
      </c>
      <c r="O2" s="27"/>
      <c r="P2" s="27" t="s">
        <v>362</v>
      </c>
      <c r="Q2" s="27" t="s">
        <v>306</v>
      </c>
      <c r="R2" s="34" t="s">
        <v>488</v>
      </c>
    </row>
    <row r="3" spans="1:18" x14ac:dyDescent="0.2">
      <c r="A3" s="34" t="s">
        <v>489</v>
      </c>
      <c r="B3" s="27" t="s">
        <v>365</v>
      </c>
      <c r="C3" s="34" t="s">
        <v>489</v>
      </c>
      <c r="D3" s="27">
        <v>1</v>
      </c>
      <c r="E3" s="15">
        <v>43720</v>
      </c>
      <c r="F3" s="19" t="s">
        <v>363</v>
      </c>
      <c r="G3" s="27" t="s">
        <v>297</v>
      </c>
      <c r="H3" s="27" t="s">
        <v>72</v>
      </c>
      <c r="I3" s="27">
        <v>4.1159999999999997</v>
      </c>
      <c r="J3" s="27" t="s">
        <v>66</v>
      </c>
      <c r="K3" s="27" t="s">
        <v>56</v>
      </c>
      <c r="L3" s="35">
        <v>41160</v>
      </c>
      <c r="M3" s="27"/>
      <c r="N3" s="27" t="s">
        <v>367</v>
      </c>
      <c r="O3" s="27"/>
      <c r="P3" s="27" t="s">
        <v>364</v>
      </c>
      <c r="Q3" s="27" t="s">
        <v>306</v>
      </c>
      <c r="R3" s="34" t="s">
        <v>490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8"/>
    <col min="6" max="6" width="30.16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93174014 ACCOUNTS-FIRSTDIR-EXT</v>
      </c>
      <c r="T2" s="27" t="str">
        <f ca="1">S2</f>
        <v>93174014 ACCOUNTS-FIRSTDIR-EXT</v>
      </c>
      <c r="U2" s="8">
        <f ca="1">RANDBETWEEN(0,99999999)</f>
        <v>93174014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20578975 ACCOUNTS-SANTANDE-EXT</v>
      </c>
      <c r="T3" s="27" t="str">
        <f t="shared" ref="T3:T23" ca="1" si="3">S3</f>
        <v>20578975 ACCOUNTS-SANTANDE-EXT</v>
      </c>
      <c r="U3" s="8">
        <f t="shared" ref="U3:U23" ca="1" si="4">RANDBETWEEN(0,99999999)</f>
        <v>20578975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54916786 ACCOUNTS-SMILE-EXT</v>
      </c>
      <c r="T4" s="27" t="str">
        <f t="shared" ca="1" si="3"/>
        <v>54916786 ACCOUNTS-SMILE-EXT</v>
      </c>
      <c r="U4" s="8">
        <f t="shared" ca="1" si="4"/>
        <v>54916786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9053893 ACCOUNTS-NATIONWI-EXT</v>
      </c>
      <c r="T5" s="27" t="str">
        <f t="shared" ca="1" si="3"/>
        <v>9053893 ACCOUNTS-NATIONWI-EXT</v>
      </c>
      <c r="U5" s="8">
        <f t="shared" ca="1" si="4"/>
        <v>9053893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14154847 ACCOUNTS-THECOOP-EXT</v>
      </c>
      <c r="T6" s="27" t="str">
        <f t="shared" ca="1" si="3"/>
        <v>14154847 ACCOUNTS-THECOOP-EXT</v>
      </c>
      <c r="U6" s="8">
        <f t="shared" ca="1" si="4"/>
        <v>14154847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8359770 ACCOUNTS-HALIFAX -EXT</v>
      </c>
      <c r="T7" s="27" t="str">
        <f t="shared" ca="1" si="3"/>
        <v>8359770 ACCOUNTS-HALIFAX -EXT</v>
      </c>
      <c r="U7" s="8">
        <f t="shared" ca="1" si="4"/>
        <v>8359770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23814187 ACCOUNTS-TSB -EXT</v>
      </c>
      <c r="T8" s="27" t="str">
        <f t="shared" ca="1" si="3"/>
        <v>23814187 ACCOUNTS-TSB -EXT</v>
      </c>
      <c r="U8" s="8">
        <f t="shared" ca="1" si="4"/>
        <v>23814187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3320682 ACCOUNTS-BANKOFSC-EXT</v>
      </c>
      <c r="T9" s="27" t="str">
        <f t="shared" ca="1" si="3"/>
        <v>3320682 ACCOUNTS-BANKOFSC-EXT</v>
      </c>
      <c r="U9" s="8">
        <f t="shared" ca="1" si="4"/>
        <v>3320682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48564457 ACCOUNTS-YORKSHIR-EXT</v>
      </c>
      <c r="T10" s="27" t="str">
        <f t="shared" ca="1" si="3"/>
        <v>48564457 ACCOUNTS-YORKSHIR-EXT</v>
      </c>
      <c r="U10" s="8">
        <f t="shared" ca="1" si="4"/>
        <v>48564457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4363655 ACCOUNTS-LLOYDSBA-EXT</v>
      </c>
      <c r="T11" s="27" t="str">
        <f t="shared" ca="1" si="3"/>
        <v>4363655 ACCOUNTS-LLOYDSBA-EXT</v>
      </c>
      <c r="U11" s="8">
        <f t="shared" ca="1" si="4"/>
        <v>4363655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42267585 ACCOUNTS-HSBC -EXT</v>
      </c>
      <c r="T12" s="27" t="str">
        <f t="shared" ca="1" si="3"/>
        <v>42267585 ACCOUNTS-HSBC -EXT</v>
      </c>
      <c r="U12" s="8">
        <f t="shared" ca="1" si="4"/>
        <v>42267585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27969836 RECON-FIRSTDIR-EXT</v>
      </c>
      <c r="T13" s="27" t="str">
        <f t="shared" ca="1" si="3"/>
        <v>27969836 RECON-FIRSTDIR-EXT</v>
      </c>
      <c r="U13" s="8">
        <f t="shared" ca="1" si="4"/>
        <v>27969836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12411598 RECON-SANTANDE-EXT</v>
      </c>
      <c r="T14" s="27" t="str">
        <f t="shared" ca="1" si="3"/>
        <v>12411598 RECON-SANTANDE-EXT</v>
      </c>
      <c r="U14" s="8">
        <f t="shared" ca="1" si="4"/>
        <v>12411598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40172818 RECON-SMILE-EXT</v>
      </c>
      <c r="T15" s="27" t="str">
        <f t="shared" ca="1" si="3"/>
        <v>40172818 RECON-SMILE-EXT</v>
      </c>
      <c r="U15" s="8">
        <f t="shared" ca="1" si="4"/>
        <v>40172818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80853020 RECON-NATIONWI-EXT</v>
      </c>
      <c r="T16" s="27" t="str">
        <f t="shared" ca="1" si="3"/>
        <v>80853020 RECON-NATIONWI-EXT</v>
      </c>
      <c r="U16" s="8">
        <f t="shared" ca="1" si="4"/>
        <v>80853020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19853365 RECON-THECOOP-EXT</v>
      </c>
      <c r="T17" s="27" t="str">
        <f t="shared" ca="1" si="3"/>
        <v>19853365 RECON-THECOOP-EXT</v>
      </c>
      <c r="U17" s="8">
        <f t="shared" ca="1" si="4"/>
        <v>19853365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40761678 RECON-HALIFAX -EXT</v>
      </c>
      <c r="T18" s="27" t="str">
        <f t="shared" ca="1" si="3"/>
        <v>40761678 RECON-HALIFAX -EXT</v>
      </c>
      <c r="U18" s="8">
        <f t="shared" ca="1" si="4"/>
        <v>40761678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27670809 RECON-TSB -EXT</v>
      </c>
      <c r="T19" s="27" t="str">
        <f t="shared" ca="1" si="3"/>
        <v>27670809 RECON-TSB -EXT</v>
      </c>
      <c r="U19" s="8">
        <f t="shared" ca="1" si="4"/>
        <v>27670809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8675908 RECON-BANKOFSC-EXT</v>
      </c>
      <c r="T20" s="27" t="str">
        <f t="shared" ca="1" si="3"/>
        <v>8675908 RECON-BANKOFSC-EXT</v>
      </c>
      <c r="U20" s="8">
        <f t="shared" ca="1" si="4"/>
        <v>8675908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23176375 RECON-YORKSHIR-EXT</v>
      </c>
      <c r="T21" s="27" t="str">
        <f t="shared" ca="1" si="3"/>
        <v>23176375 RECON-YORKSHIR-EXT</v>
      </c>
      <c r="U21" s="8">
        <f t="shared" ca="1" si="4"/>
        <v>23176375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74271571 RECON-LLOYDSBA-EXT</v>
      </c>
      <c r="T22" s="27" t="str">
        <f t="shared" ca="1" si="3"/>
        <v>74271571 RECON-LLOYDSBA-EXT</v>
      </c>
      <c r="U22" s="8">
        <f t="shared" ca="1" si="4"/>
        <v>74271571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32156203 RECON-HSBC -EXT</v>
      </c>
      <c r="T23" s="27" t="str">
        <f t="shared" ca="1" si="3"/>
        <v>32156203 RECON-HSBC -EXT</v>
      </c>
      <c r="U23" s="8">
        <f t="shared" ca="1" si="4"/>
        <v>32156203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7" bestFit="1" customWidth="1"/>
    <col min="2" max="2" width="20" style="27" bestFit="1" customWidth="1"/>
    <col min="3" max="3" width="9.33203125" style="27" bestFit="1" customWidth="1"/>
    <col min="4" max="4" width="10.6640625" style="27" bestFit="1" customWidth="1"/>
    <col min="5" max="5" width="11.5" style="27" bestFit="1" customWidth="1"/>
    <col min="6" max="6" width="26.6640625" style="27" bestFit="1" customWidth="1"/>
    <col min="7" max="7" width="16.5" style="27" bestFit="1" customWidth="1"/>
    <col min="8" max="8" width="17.33203125" style="27" bestFit="1" customWidth="1"/>
    <col min="9" max="9" width="15.83203125" style="27" bestFit="1" customWidth="1"/>
    <col min="10" max="10" width="8.83203125" style="27" bestFit="1" customWidth="1"/>
    <col min="11" max="16384" width="9.1640625" style="27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-263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6067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-10741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2370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544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10572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9928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15097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2961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16395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-4076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-323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6092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-10651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2345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542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10624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9899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15038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2939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16310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-4158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HS_CT_CPI</vt:lpstr>
      <vt:lpstr>HS_FX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2019-09-13T11:54:32Z</dcterms:modified>
</cp:coreProperties>
</file>