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drawings/drawing1.xml" ContentType="application/vnd.openxmlformats-officedocument.drawing+xml"/>
  <Override PartName="/xl/comments1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townsend\Documents\GitHub\ebSiena-DemoSystemData\Prospects\HomeSend\XML Deal Generator\"/>
    </mc:Choice>
  </mc:AlternateContent>
  <xr:revisionPtr revIDLastSave="0" documentId="8_{F2E08F10-D739-4099-99ED-96F3EBD69D16}" xr6:coauthVersionLast="41" xr6:coauthVersionMax="41" xr10:uidLastSave="{00000000-0000-0000-0000-000000000000}"/>
  <bookViews>
    <workbookView xWindow="3165" yWindow="1725" windowWidth="21600" windowHeight="11505" tabRatio="997" activeTab="7" xr2:uid="{00000000-000D-0000-FFFF-FFFF00000000}"/>
  </bookViews>
  <sheets>
    <sheet name="Setup" sheetId="8" r:id="rId1"/>
    <sheet name="Accounts" sheetId="85" r:id="rId2"/>
    <sheet name="SpotUpload" sheetId="79" r:id="rId3"/>
    <sheet name="Sheet3" sheetId="80" state="hidden" r:id="rId4"/>
    <sheet name="StatementUpload" sheetId="88" r:id="rId5"/>
    <sheet name="HSFT" sheetId="95" r:id="rId6"/>
    <sheet name="HSFX" sheetId="97" r:id="rId7"/>
    <sheet name="HSFT-S" sheetId="98" r:id="rId8"/>
    <sheet name="HSFX-S" sheetId="99" r:id="rId9"/>
    <sheet name="Sample" sheetId="91" state="hidden" r:id="rId10"/>
    <sheet name="ReconAccounts" sheetId="92" state="hidden" r:id="rId11"/>
    <sheet name="ReconUpload" sheetId="94" state="hidden" r:id="rId12"/>
    <sheet name="RUN" sheetId="78" state="hidden" r:id="rId13"/>
    <sheet name="Term" sheetId="16" state="hidden" r:id="rId14"/>
    <sheet name="$Term2" sheetId="73" state="hidden" r:id="rId15"/>
    <sheet name="$TermInterestDates" sheetId="17" state="hidden" r:id="rId16"/>
    <sheet name="$TermInterestRates" sheetId="74" state="hidden" r:id="rId17"/>
    <sheet name="$TermInterestAmortisations" sheetId="76" state="hidden" r:id="rId18"/>
  </sheets>
  <definedNames>
    <definedName name="_xlnm._FilterDatabase" localSheetId="1" hidden="1">Accounts!$A$1:$U$241</definedName>
    <definedName name="_xlnm._FilterDatabase" localSheetId="5" hidden="1">HSFT!$A$1:$O$2</definedName>
    <definedName name="_xlnm._FilterDatabase" localSheetId="7" hidden="1">'HSFT-S'!$A$1:$O$2</definedName>
    <definedName name="_xlnm._FilterDatabase" localSheetId="6" hidden="1">HSFX!$A$1:$P$2</definedName>
    <definedName name="_xlnm._FilterDatabase" localSheetId="8" hidden="1">'HSFX-S'!$A$1:$P$2</definedName>
    <definedName name="_xlnm._FilterDatabase" localSheetId="2" hidden="1">SpotUpload!$A$1:$Q$2</definedName>
    <definedName name="_xlnm._FilterDatabase" localSheetId="4" hidden="1">StatementUpload!$A$1:$K$10960</definedName>
  </definedNames>
  <calcPr calcId="191029"/>
  <pivotCaches>
    <pivotCache cacheId="0" r:id="rId19"/>
  </pivotCaches>
  <fileRecoveryPr repairLoad="1"/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" i="73" l="1"/>
  <c r="S4" i="16"/>
  <c r="A4" i="16"/>
  <c r="U4" i="16" s="1"/>
  <c r="S3" i="16"/>
  <c r="A3" i="16"/>
  <c r="U3" i="16" s="1"/>
  <c r="S2" i="16"/>
  <c r="A2" i="16"/>
  <c r="U2" i="16" s="1"/>
  <c r="Q17" i="78"/>
  <c r="P13" i="78"/>
  <c r="K23" i="94"/>
  <c r="K22" i="94"/>
  <c r="K21" i="94"/>
  <c r="K20" i="94"/>
  <c r="K19" i="94"/>
  <c r="K18" i="94"/>
  <c r="K17" i="94"/>
  <c r="K16" i="94"/>
  <c r="K15" i="94"/>
  <c r="K14" i="94"/>
  <c r="K13" i="94"/>
  <c r="K12" i="94"/>
  <c r="E12" i="94"/>
  <c r="E23" i="94" s="1"/>
  <c r="K11" i="94"/>
  <c r="E11" i="94"/>
  <c r="E22" i="94" s="1"/>
  <c r="K10" i="94"/>
  <c r="E10" i="94"/>
  <c r="E21" i="94" s="1"/>
  <c r="K9" i="94"/>
  <c r="E9" i="94"/>
  <c r="E20" i="94" s="1"/>
  <c r="K8" i="94"/>
  <c r="E8" i="94"/>
  <c r="E19" i="94" s="1"/>
  <c r="K7" i="94"/>
  <c r="E7" i="94"/>
  <c r="E18" i="94" s="1"/>
  <c r="K6" i="94"/>
  <c r="E6" i="94"/>
  <c r="E17" i="94" s="1"/>
  <c r="K5" i="94"/>
  <c r="E5" i="94"/>
  <c r="E16" i="94" s="1"/>
  <c r="K4" i="94"/>
  <c r="E4" i="94"/>
  <c r="E15" i="94" s="1"/>
  <c r="K3" i="94"/>
  <c r="E3" i="94"/>
  <c r="E14" i="94" s="1"/>
  <c r="D3" i="94"/>
  <c r="D4" i="94" s="1"/>
  <c r="D5" i="94" s="1"/>
  <c r="D6" i="94" s="1"/>
  <c r="D7" i="94" s="1"/>
  <c r="D8" i="94" s="1"/>
  <c r="D9" i="94" s="1"/>
  <c r="D10" i="94" s="1"/>
  <c r="D11" i="94" s="1"/>
  <c r="D12" i="94" s="1"/>
  <c r="D13" i="94" s="1"/>
  <c r="D14" i="94" s="1"/>
  <c r="D15" i="94" s="1"/>
  <c r="D16" i="94" s="1"/>
  <c r="D17" i="94" s="1"/>
  <c r="D18" i="94" s="1"/>
  <c r="D19" i="94" s="1"/>
  <c r="D20" i="94" s="1"/>
  <c r="D21" i="94" s="1"/>
  <c r="D22" i="94" s="1"/>
  <c r="D23" i="94" s="1"/>
  <c r="K2" i="94"/>
  <c r="E2" i="94"/>
  <c r="E13" i="94" s="1"/>
  <c r="U23" i="92"/>
  <c r="S23" i="92" s="1"/>
  <c r="T23" i="92" s="1"/>
  <c r="F23" i="92"/>
  <c r="A23" i="94" s="1"/>
  <c r="C23" i="92"/>
  <c r="A23" i="92"/>
  <c r="U22" i="92"/>
  <c r="S22" i="92" s="1"/>
  <c r="T22" i="92" s="1"/>
  <c r="F22" i="92"/>
  <c r="A22" i="94" s="1"/>
  <c r="C22" i="92"/>
  <c r="A22" i="92"/>
  <c r="U21" i="92"/>
  <c r="S21" i="92" s="1"/>
  <c r="T21" i="92" s="1"/>
  <c r="F21" i="92"/>
  <c r="A21" i="94" s="1"/>
  <c r="C21" i="92"/>
  <c r="A21" i="92"/>
  <c r="U20" i="92"/>
  <c r="S20" i="92" s="1"/>
  <c r="T20" i="92" s="1"/>
  <c r="F20" i="92"/>
  <c r="A20" i="94" s="1"/>
  <c r="C20" i="92"/>
  <c r="A20" i="92"/>
  <c r="U19" i="92"/>
  <c r="S19" i="92" s="1"/>
  <c r="T19" i="92" s="1"/>
  <c r="F19" i="92"/>
  <c r="A19" i="94" s="1"/>
  <c r="C19" i="92"/>
  <c r="A19" i="92"/>
  <c r="U18" i="92"/>
  <c r="S18" i="92" s="1"/>
  <c r="T18" i="92" s="1"/>
  <c r="F18" i="92"/>
  <c r="A18" i="94" s="1"/>
  <c r="C18" i="92"/>
  <c r="A18" i="92"/>
  <c r="U17" i="92"/>
  <c r="S17" i="92" s="1"/>
  <c r="T17" i="92" s="1"/>
  <c r="F17" i="92"/>
  <c r="A17" i="94" s="1"/>
  <c r="C17" i="92"/>
  <c r="A17" i="92"/>
  <c r="U16" i="92"/>
  <c r="S16" i="92" s="1"/>
  <c r="T16" i="92" s="1"/>
  <c r="F16" i="92"/>
  <c r="A16" i="94" s="1"/>
  <c r="C16" i="92"/>
  <c r="A16" i="92"/>
  <c r="U15" i="92"/>
  <c r="S15" i="92" s="1"/>
  <c r="T15" i="92" s="1"/>
  <c r="F15" i="92"/>
  <c r="A15" i="94" s="1"/>
  <c r="C15" i="92"/>
  <c r="A15" i="92"/>
  <c r="U14" i="92"/>
  <c r="S14" i="92" s="1"/>
  <c r="T14" i="92" s="1"/>
  <c r="F14" i="92"/>
  <c r="A14" i="94" s="1"/>
  <c r="C14" i="92"/>
  <c r="A14" i="92"/>
  <c r="U13" i="92"/>
  <c r="S13" i="92" s="1"/>
  <c r="T13" i="92" s="1"/>
  <c r="F13" i="92"/>
  <c r="A13" i="94" s="1"/>
  <c r="C13" i="92"/>
  <c r="A13" i="92"/>
  <c r="U12" i="92"/>
  <c r="S12" i="92" s="1"/>
  <c r="T12" i="92" s="1"/>
  <c r="F12" i="92"/>
  <c r="A12" i="94" s="1"/>
  <c r="C12" i="92"/>
  <c r="A12" i="92"/>
  <c r="U11" i="92"/>
  <c r="S11" i="92" s="1"/>
  <c r="T11" i="92" s="1"/>
  <c r="F11" i="92"/>
  <c r="A11" i="94" s="1"/>
  <c r="C11" i="92"/>
  <c r="A11" i="92"/>
  <c r="U10" i="92"/>
  <c r="S10" i="92" s="1"/>
  <c r="T10" i="92" s="1"/>
  <c r="F10" i="92"/>
  <c r="A10" i="94" s="1"/>
  <c r="C10" i="92"/>
  <c r="A10" i="92"/>
  <c r="U9" i="92"/>
  <c r="S9" i="92" s="1"/>
  <c r="T9" i="92" s="1"/>
  <c r="F9" i="92"/>
  <c r="A9" i="94" s="1"/>
  <c r="C9" i="92"/>
  <c r="A9" i="92"/>
  <c r="U8" i="92"/>
  <c r="S8" i="92" s="1"/>
  <c r="T8" i="92" s="1"/>
  <c r="F8" i="92"/>
  <c r="A8" i="94" s="1"/>
  <c r="C8" i="92"/>
  <c r="A8" i="92"/>
  <c r="U7" i="92"/>
  <c r="S7" i="92" s="1"/>
  <c r="T7" i="92" s="1"/>
  <c r="F7" i="92"/>
  <c r="A7" i="94" s="1"/>
  <c r="C7" i="92"/>
  <c r="A7" i="92"/>
  <c r="U6" i="92"/>
  <c r="S6" i="92" s="1"/>
  <c r="T6" i="92" s="1"/>
  <c r="F6" i="92"/>
  <c r="A6" i="94" s="1"/>
  <c r="C6" i="92"/>
  <c r="A6" i="92"/>
  <c r="U5" i="92"/>
  <c r="S5" i="92" s="1"/>
  <c r="T5" i="92" s="1"/>
  <c r="F5" i="92"/>
  <c r="A5" i="94" s="1"/>
  <c r="C5" i="92"/>
  <c r="A5" i="92"/>
  <c r="U4" i="92"/>
  <c r="S4" i="92" s="1"/>
  <c r="T4" i="92" s="1"/>
  <c r="F4" i="92"/>
  <c r="A4" i="94" s="1"/>
  <c r="E4" i="92"/>
  <c r="E5" i="92" s="1"/>
  <c r="E6" i="92" s="1"/>
  <c r="E7" i="92" s="1"/>
  <c r="E8" i="92" s="1"/>
  <c r="E9" i="92" s="1"/>
  <c r="E10" i="92" s="1"/>
  <c r="E11" i="92" s="1"/>
  <c r="E12" i="92" s="1"/>
  <c r="E13" i="92" s="1"/>
  <c r="E14" i="92" s="1"/>
  <c r="E15" i="92" s="1"/>
  <c r="E16" i="92" s="1"/>
  <c r="E17" i="92" s="1"/>
  <c r="E18" i="92" s="1"/>
  <c r="E19" i="92" s="1"/>
  <c r="E20" i="92" s="1"/>
  <c r="E21" i="92" s="1"/>
  <c r="E22" i="92" s="1"/>
  <c r="E23" i="92" s="1"/>
  <c r="D4" i="92"/>
  <c r="D5" i="92" s="1"/>
  <c r="D6" i="92" s="1"/>
  <c r="D7" i="92" s="1"/>
  <c r="D8" i="92" s="1"/>
  <c r="D9" i="92" s="1"/>
  <c r="D10" i="92" s="1"/>
  <c r="D11" i="92" s="1"/>
  <c r="D12" i="92" s="1"/>
  <c r="D13" i="92" s="1"/>
  <c r="D14" i="92" s="1"/>
  <c r="D15" i="92" s="1"/>
  <c r="D16" i="92" s="1"/>
  <c r="D17" i="92" s="1"/>
  <c r="D18" i="92" s="1"/>
  <c r="D19" i="92" s="1"/>
  <c r="D20" i="92" s="1"/>
  <c r="D21" i="92" s="1"/>
  <c r="D22" i="92" s="1"/>
  <c r="D23" i="92" s="1"/>
  <c r="C4" i="92"/>
  <c r="A4" i="92"/>
  <c r="U3" i="92"/>
  <c r="S3" i="92" s="1"/>
  <c r="T3" i="92" s="1"/>
  <c r="R3" i="92"/>
  <c r="R4" i="92" s="1"/>
  <c r="R5" i="92" s="1"/>
  <c r="R6" i="92" s="1"/>
  <c r="R7" i="92" s="1"/>
  <c r="R8" i="92" s="1"/>
  <c r="R9" i="92" s="1"/>
  <c r="R10" i="92" s="1"/>
  <c r="R11" i="92" s="1"/>
  <c r="R12" i="92" s="1"/>
  <c r="R13" i="92" s="1"/>
  <c r="R14" i="92" s="1"/>
  <c r="R15" i="92" s="1"/>
  <c r="R16" i="92" s="1"/>
  <c r="R17" i="92" s="1"/>
  <c r="R18" i="92" s="1"/>
  <c r="R19" i="92" s="1"/>
  <c r="R20" i="92" s="1"/>
  <c r="R21" i="92" s="1"/>
  <c r="R22" i="92" s="1"/>
  <c r="R23" i="92" s="1"/>
  <c r="P3" i="92"/>
  <c r="P4" i="92" s="1"/>
  <c r="P5" i="92" s="1"/>
  <c r="P6" i="92" s="1"/>
  <c r="P7" i="92" s="1"/>
  <c r="P8" i="92" s="1"/>
  <c r="P9" i="92" s="1"/>
  <c r="P10" i="92" s="1"/>
  <c r="P11" i="92" s="1"/>
  <c r="P12" i="92" s="1"/>
  <c r="P13" i="92" s="1"/>
  <c r="P14" i="92" s="1"/>
  <c r="P15" i="92" s="1"/>
  <c r="P16" i="92" s="1"/>
  <c r="P17" i="92" s="1"/>
  <c r="P18" i="92" s="1"/>
  <c r="P19" i="92" s="1"/>
  <c r="P20" i="92" s="1"/>
  <c r="P21" i="92" s="1"/>
  <c r="P22" i="92" s="1"/>
  <c r="P23" i="92" s="1"/>
  <c r="O3" i="92"/>
  <c r="O4" i="92" s="1"/>
  <c r="O5" i="92" s="1"/>
  <c r="O6" i="92" s="1"/>
  <c r="O7" i="92" s="1"/>
  <c r="O8" i="92" s="1"/>
  <c r="O9" i="92" s="1"/>
  <c r="O10" i="92" s="1"/>
  <c r="O11" i="92" s="1"/>
  <c r="O12" i="92" s="1"/>
  <c r="O13" i="92" s="1"/>
  <c r="O14" i="92" s="1"/>
  <c r="O15" i="92" s="1"/>
  <c r="O16" i="92" s="1"/>
  <c r="O17" i="92" s="1"/>
  <c r="O18" i="92" s="1"/>
  <c r="O19" i="92" s="1"/>
  <c r="O20" i="92" s="1"/>
  <c r="O21" i="92" s="1"/>
  <c r="O22" i="92" s="1"/>
  <c r="O23" i="92" s="1"/>
  <c r="M3" i="92"/>
  <c r="M4" i="92" s="1"/>
  <c r="M5" i="92" s="1"/>
  <c r="M6" i="92" s="1"/>
  <c r="M7" i="92" s="1"/>
  <c r="M8" i="92" s="1"/>
  <c r="M9" i="92" s="1"/>
  <c r="M10" i="92" s="1"/>
  <c r="M11" i="92" s="1"/>
  <c r="M12" i="92" s="1"/>
  <c r="M13" i="92" s="1"/>
  <c r="M14" i="92" s="1"/>
  <c r="M15" i="92" s="1"/>
  <c r="M16" i="92" s="1"/>
  <c r="M17" i="92" s="1"/>
  <c r="M18" i="92" s="1"/>
  <c r="M19" i="92" s="1"/>
  <c r="M20" i="92" s="1"/>
  <c r="M21" i="92" s="1"/>
  <c r="M22" i="92" s="1"/>
  <c r="M23" i="92" s="1"/>
  <c r="K3" i="92"/>
  <c r="K4" i="92" s="1"/>
  <c r="K5" i="92" s="1"/>
  <c r="K6" i="92" s="1"/>
  <c r="K7" i="92" s="1"/>
  <c r="K8" i="92" s="1"/>
  <c r="K9" i="92" s="1"/>
  <c r="K10" i="92" s="1"/>
  <c r="K11" i="92" s="1"/>
  <c r="K12" i="92" s="1"/>
  <c r="K13" i="92" s="1"/>
  <c r="K14" i="92" s="1"/>
  <c r="K15" i="92" s="1"/>
  <c r="K16" i="92" s="1"/>
  <c r="K17" i="92" s="1"/>
  <c r="K18" i="92" s="1"/>
  <c r="K19" i="92" s="1"/>
  <c r="K20" i="92" s="1"/>
  <c r="K21" i="92" s="1"/>
  <c r="K22" i="92" s="1"/>
  <c r="K23" i="92" s="1"/>
  <c r="J3" i="92"/>
  <c r="J4" i="92" s="1"/>
  <c r="J5" i="92" s="1"/>
  <c r="J6" i="92" s="1"/>
  <c r="J7" i="92" s="1"/>
  <c r="J8" i="92" s="1"/>
  <c r="J9" i="92" s="1"/>
  <c r="J10" i="92" s="1"/>
  <c r="J11" i="92" s="1"/>
  <c r="J12" i="92" s="1"/>
  <c r="J13" i="92" s="1"/>
  <c r="J14" i="92" s="1"/>
  <c r="J15" i="92" s="1"/>
  <c r="J16" i="92" s="1"/>
  <c r="J17" i="92" s="1"/>
  <c r="J18" i="92" s="1"/>
  <c r="J19" i="92" s="1"/>
  <c r="J20" i="92" s="1"/>
  <c r="J21" i="92" s="1"/>
  <c r="J22" i="92" s="1"/>
  <c r="J23" i="92" s="1"/>
  <c r="I3" i="92"/>
  <c r="I4" i="92" s="1"/>
  <c r="I5" i="92" s="1"/>
  <c r="I6" i="92" s="1"/>
  <c r="I7" i="92" s="1"/>
  <c r="I8" i="92" s="1"/>
  <c r="I9" i="92" s="1"/>
  <c r="I10" i="92" s="1"/>
  <c r="I11" i="92" s="1"/>
  <c r="I12" i="92" s="1"/>
  <c r="I13" i="92" s="1"/>
  <c r="I14" i="92" s="1"/>
  <c r="I15" i="92" s="1"/>
  <c r="I16" i="92" s="1"/>
  <c r="I17" i="92" s="1"/>
  <c r="I18" i="92" s="1"/>
  <c r="I19" i="92" s="1"/>
  <c r="I20" i="92" s="1"/>
  <c r="I21" i="92" s="1"/>
  <c r="I22" i="92" s="1"/>
  <c r="I23" i="92" s="1"/>
  <c r="H3" i="92"/>
  <c r="H4" i="92" s="1"/>
  <c r="H5" i="92" s="1"/>
  <c r="H6" i="92" s="1"/>
  <c r="H7" i="92" s="1"/>
  <c r="H8" i="92" s="1"/>
  <c r="H9" i="92" s="1"/>
  <c r="H10" i="92" s="1"/>
  <c r="H11" i="92" s="1"/>
  <c r="H12" i="92" s="1"/>
  <c r="H13" i="92" s="1"/>
  <c r="H14" i="92" s="1"/>
  <c r="H15" i="92" s="1"/>
  <c r="H16" i="92" s="1"/>
  <c r="H17" i="92" s="1"/>
  <c r="H18" i="92" s="1"/>
  <c r="H19" i="92" s="1"/>
  <c r="H20" i="92" s="1"/>
  <c r="H21" i="92" s="1"/>
  <c r="H22" i="92" s="1"/>
  <c r="H23" i="92" s="1"/>
  <c r="F3" i="92"/>
  <c r="A3" i="94" s="1"/>
  <c r="C3" i="92"/>
  <c r="A3" i="92"/>
  <c r="U2" i="92"/>
  <c r="S2" i="92" s="1"/>
  <c r="T2" i="92" s="1"/>
  <c r="F2" i="92"/>
  <c r="A2" i="94" s="1"/>
  <c r="C2" i="92"/>
  <c r="A2" i="92"/>
  <c r="K89" i="91"/>
  <c r="K88" i="91"/>
  <c r="K87" i="91"/>
  <c r="K86" i="91"/>
  <c r="K85" i="91"/>
  <c r="K84" i="91"/>
  <c r="K83" i="91"/>
  <c r="K82" i="91"/>
  <c r="K81" i="91"/>
  <c r="K80" i="91"/>
  <c r="K79" i="91"/>
  <c r="K78" i="91"/>
  <c r="K77" i="91"/>
  <c r="K76" i="91"/>
  <c r="K75" i="91"/>
  <c r="K74" i="91"/>
  <c r="K73" i="91"/>
  <c r="K72" i="91"/>
  <c r="K71" i="91"/>
  <c r="K70" i="91"/>
  <c r="K69" i="91"/>
  <c r="K68" i="91"/>
  <c r="K67" i="91"/>
  <c r="K66" i="91"/>
  <c r="K65" i="91"/>
  <c r="K64" i="91"/>
  <c r="K63" i="91"/>
  <c r="K62" i="91"/>
  <c r="K61" i="91"/>
  <c r="K60" i="91"/>
  <c r="K59" i="91"/>
  <c r="K58" i="91"/>
  <c r="K57" i="91"/>
  <c r="K56" i="91"/>
  <c r="K55" i="91"/>
  <c r="K54" i="91"/>
  <c r="K53" i="91"/>
  <c r="K52" i="91"/>
  <c r="K51" i="91"/>
  <c r="K50" i="91"/>
  <c r="K49" i="91"/>
  <c r="K48" i="91"/>
  <c r="K47" i="91"/>
  <c r="K46" i="91"/>
  <c r="K45" i="91"/>
  <c r="K44" i="91"/>
  <c r="K43" i="91"/>
  <c r="K42" i="91"/>
  <c r="K41" i="91"/>
  <c r="K40" i="91"/>
  <c r="K39" i="91"/>
  <c r="K38" i="91"/>
  <c r="K37" i="91"/>
  <c r="K36" i="91"/>
  <c r="K35" i="91"/>
  <c r="K34" i="91"/>
  <c r="K33" i="91"/>
  <c r="K32" i="91"/>
  <c r="K31" i="91"/>
  <c r="K30" i="91"/>
  <c r="K29" i="91"/>
  <c r="K28" i="91"/>
  <c r="K27" i="91"/>
  <c r="K26" i="91"/>
  <c r="K25" i="91"/>
  <c r="K24" i="91"/>
  <c r="K23" i="91"/>
  <c r="K22" i="91"/>
  <c r="K21" i="91"/>
  <c r="K20" i="91"/>
  <c r="K19" i="91"/>
  <c r="K18" i="91"/>
  <c r="K17" i="91"/>
  <c r="K16" i="91"/>
  <c r="K15" i="91"/>
  <c r="K14" i="91"/>
  <c r="K13" i="91"/>
  <c r="K12" i="91"/>
  <c r="K11" i="91"/>
  <c r="K10" i="91"/>
  <c r="K9" i="91"/>
  <c r="K8" i="91"/>
  <c r="K7" i="91"/>
  <c r="K6" i="91"/>
  <c r="K5" i="91"/>
  <c r="K4" i="91"/>
  <c r="K3" i="91"/>
  <c r="K2" i="91"/>
  <c r="K10960" i="88"/>
  <c r="K10959" i="88"/>
  <c r="K10958" i="88"/>
  <c r="K10957" i="88"/>
  <c r="K10956" i="88"/>
  <c r="K10955" i="88"/>
  <c r="K10954" i="88"/>
  <c r="K10953" i="88"/>
  <c r="K10952" i="88"/>
  <c r="K10951" i="88"/>
  <c r="K10950" i="88"/>
  <c r="K10949" i="88"/>
  <c r="K10948" i="88"/>
  <c r="K10947" i="88"/>
  <c r="K10946" i="88"/>
  <c r="K10945" i="88"/>
  <c r="K10944" i="88"/>
  <c r="K10943" i="88"/>
  <c r="K10942" i="88"/>
  <c r="K10941" i="88"/>
  <c r="K10940" i="88"/>
  <c r="K10939" i="88"/>
  <c r="K10938" i="88"/>
  <c r="K10937" i="88"/>
  <c r="K10936" i="88"/>
  <c r="K10935" i="88"/>
  <c r="K10934" i="88"/>
  <c r="K10933" i="88"/>
  <c r="K10932" i="88"/>
  <c r="K10931" i="88"/>
  <c r="K10930" i="88"/>
  <c r="K10929" i="88"/>
  <c r="K10928" i="88"/>
  <c r="K10927" i="88"/>
  <c r="K10926" i="88"/>
  <c r="K10925" i="88"/>
  <c r="K10924" i="88"/>
  <c r="K10923" i="88"/>
  <c r="K10922" i="88"/>
  <c r="K10921" i="88"/>
  <c r="K10920" i="88"/>
  <c r="K10919" i="88"/>
  <c r="K10918" i="88"/>
  <c r="K10917" i="88"/>
  <c r="K10916" i="88"/>
  <c r="K10915" i="88"/>
  <c r="K10914" i="88"/>
  <c r="K10913" i="88"/>
  <c r="K10912" i="88"/>
  <c r="K10911" i="88"/>
  <c r="K10910" i="88"/>
  <c r="K10909" i="88"/>
  <c r="K10908" i="88"/>
  <c r="K10907" i="88"/>
  <c r="K10906" i="88"/>
  <c r="K10905" i="88"/>
  <c r="K10904" i="88"/>
  <c r="K10903" i="88"/>
  <c r="K10902" i="88"/>
  <c r="K10901" i="88"/>
  <c r="K10900" i="88"/>
  <c r="K10899" i="88"/>
  <c r="K10898" i="88"/>
  <c r="K10897" i="88"/>
  <c r="K10896" i="88"/>
  <c r="K10895" i="88"/>
  <c r="K10894" i="88"/>
  <c r="K10893" i="88"/>
  <c r="K10892" i="88"/>
  <c r="K10891" i="88"/>
  <c r="K10890" i="88"/>
  <c r="K10889" i="88"/>
  <c r="K10888" i="88"/>
  <c r="K10887" i="88"/>
  <c r="K10886" i="88"/>
  <c r="K10885" i="88"/>
  <c r="K10884" i="88"/>
  <c r="K10883" i="88"/>
  <c r="K10882" i="88"/>
  <c r="K10881" i="88"/>
  <c r="K10880" i="88"/>
  <c r="K10879" i="88"/>
  <c r="K10878" i="88"/>
  <c r="K10877" i="88"/>
  <c r="K10876" i="88"/>
  <c r="K10875" i="88"/>
  <c r="K10874" i="88"/>
  <c r="K10873" i="88"/>
  <c r="K10872" i="88"/>
  <c r="K10871" i="88"/>
  <c r="K10870" i="88"/>
  <c r="K10869" i="88"/>
  <c r="K10868" i="88"/>
  <c r="K10867" i="88"/>
  <c r="K10866" i="88"/>
  <c r="K10865" i="88"/>
  <c r="K10864" i="88"/>
  <c r="K10863" i="88"/>
  <c r="K10862" i="88"/>
  <c r="K10861" i="88"/>
  <c r="K10860" i="88"/>
  <c r="K10859" i="88"/>
  <c r="K10858" i="88"/>
  <c r="K10857" i="88"/>
  <c r="K10856" i="88"/>
  <c r="K10855" i="88"/>
  <c r="K10854" i="88"/>
  <c r="K10853" i="88"/>
  <c r="K10852" i="88"/>
  <c r="K10851" i="88"/>
  <c r="K10850" i="88"/>
  <c r="K10849" i="88"/>
  <c r="K10848" i="88"/>
  <c r="K10847" i="88"/>
  <c r="K10846" i="88"/>
  <c r="K10845" i="88"/>
  <c r="K10844" i="88"/>
  <c r="K10843" i="88"/>
  <c r="K10842" i="88"/>
  <c r="K10841" i="88"/>
  <c r="K10840" i="88"/>
  <c r="K10839" i="88"/>
  <c r="K10838" i="88"/>
  <c r="K10837" i="88"/>
  <c r="K10836" i="88"/>
  <c r="K10835" i="88"/>
  <c r="K10834" i="88"/>
  <c r="K10833" i="88"/>
  <c r="K10832" i="88"/>
  <c r="K10831" i="88"/>
  <c r="K10830" i="88"/>
  <c r="K10829" i="88"/>
  <c r="K10828" i="88"/>
  <c r="K10827" i="88"/>
  <c r="K10826" i="88"/>
  <c r="K10825" i="88"/>
  <c r="K10824" i="88"/>
  <c r="K10823" i="88"/>
  <c r="K10822" i="88"/>
  <c r="K10821" i="88"/>
  <c r="K10820" i="88"/>
  <c r="K10819" i="88"/>
  <c r="K10818" i="88"/>
  <c r="K10817" i="88"/>
  <c r="K10816" i="88"/>
  <c r="K10815" i="88"/>
  <c r="K10814" i="88"/>
  <c r="K10813" i="88"/>
  <c r="K10812" i="88"/>
  <c r="K10811" i="88"/>
  <c r="K10810" i="88"/>
  <c r="K10809" i="88"/>
  <c r="K10808" i="88"/>
  <c r="K10807" i="88"/>
  <c r="K10806" i="88"/>
  <c r="K10805" i="88"/>
  <c r="K10804" i="88"/>
  <c r="K10803" i="88"/>
  <c r="K10802" i="88"/>
  <c r="K10801" i="88"/>
  <c r="K10800" i="88"/>
  <c r="K10799" i="88"/>
  <c r="K10798" i="88"/>
  <c r="K10797" i="88"/>
  <c r="K10796" i="88"/>
  <c r="K10795" i="88"/>
  <c r="K10794" i="88"/>
  <c r="K10793" i="88"/>
  <c r="K10792" i="88"/>
  <c r="K10791" i="88"/>
  <c r="K10790" i="88"/>
  <c r="K10789" i="88"/>
  <c r="K10788" i="88"/>
  <c r="K10787" i="88"/>
  <c r="K10786" i="88"/>
  <c r="K10785" i="88"/>
  <c r="K10784" i="88"/>
  <c r="K10783" i="88"/>
  <c r="K10782" i="88"/>
  <c r="K10781" i="88"/>
  <c r="K10780" i="88"/>
  <c r="K10779" i="88"/>
  <c r="K10778" i="88"/>
  <c r="K10777" i="88"/>
  <c r="K10776" i="88"/>
  <c r="K10775" i="88"/>
  <c r="K10774" i="88"/>
  <c r="K10773" i="88"/>
  <c r="K10772" i="88"/>
  <c r="K10771" i="88"/>
  <c r="K10770" i="88"/>
  <c r="K10769" i="88"/>
  <c r="K10768" i="88"/>
  <c r="K10767" i="88"/>
  <c r="K10766" i="88"/>
  <c r="K10765" i="88"/>
  <c r="K10764" i="88"/>
  <c r="K10763" i="88"/>
  <c r="K10762" i="88"/>
  <c r="K10761" i="88"/>
  <c r="K10760" i="88"/>
  <c r="K10759" i="88"/>
  <c r="K10758" i="88"/>
  <c r="K10757" i="88"/>
  <c r="K10756" i="88"/>
  <c r="K10755" i="88"/>
  <c r="K10754" i="88"/>
  <c r="K10753" i="88"/>
  <c r="K10752" i="88"/>
  <c r="K10751" i="88"/>
  <c r="K10750" i="88"/>
  <c r="K10749" i="88"/>
  <c r="K10748" i="88"/>
  <c r="K10747" i="88"/>
  <c r="K10746" i="88"/>
  <c r="K10745" i="88"/>
  <c r="K10744" i="88"/>
  <c r="K10743" i="88"/>
  <c r="K10742" i="88"/>
  <c r="K10741" i="88"/>
  <c r="K10740" i="88"/>
  <c r="K10739" i="88"/>
  <c r="K10738" i="88"/>
  <c r="K10737" i="88"/>
  <c r="K10736" i="88"/>
  <c r="K10735" i="88"/>
  <c r="K10734" i="88"/>
  <c r="K10733" i="88"/>
  <c r="K10732" i="88"/>
  <c r="K10731" i="88"/>
  <c r="K10730" i="88"/>
  <c r="K10729" i="88"/>
  <c r="K10728" i="88"/>
  <c r="K10727" i="88"/>
  <c r="K10726" i="88"/>
  <c r="K10725" i="88"/>
  <c r="K10724" i="88"/>
  <c r="K10723" i="88"/>
  <c r="K10722" i="88"/>
  <c r="K10721" i="88"/>
  <c r="K10720" i="88"/>
  <c r="K10719" i="88"/>
  <c r="K10718" i="88"/>
  <c r="K10717" i="88"/>
  <c r="K10716" i="88"/>
  <c r="K10715" i="88"/>
  <c r="K10714" i="88"/>
  <c r="K10713" i="88"/>
  <c r="K10712" i="88"/>
  <c r="K10711" i="88"/>
  <c r="K10710" i="88"/>
  <c r="K10709" i="88"/>
  <c r="K10708" i="88"/>
  <c r="K10707" i="88"/>
  <c r="K10706" i="88"/>
  <c r="K10705" i="88"/>
  <c r="K10704" i="88"/>
  <c r="K10703" i="88"/>
  <c r="K10702" i="88"/>
  <c r="K10701" i="88"/>
  <c r="K10700" i="88"/>
  <c r="K10699" i="88"/>
  <c r="K10698" i="88"/>
  <c r="K10697" i="88"/>
  <c r="K10696" i="88"/>
  <c r="K10695" i="88"/>
  <c r="K10694" i="88"/>
  <c r="K10693" i="88"/>
  <c r="K10692" i="88"/>
  <c r="K10691" i="88"/>
  <c r="K10690" i="88"/>
  <c r="K10689" i="88"/>
  <c r="K10688" i="88"/>
  <c r="K10687" i="88"/>
  <c r="K10686" i="88"/>
  <c r="K10685" i="88"/>
  <c r="K10684" i="88"/>
  <c r="K10683" i="88"/>
  <c r="K10682" i="88"/>
  <c r="K10681" i="88"/>
  <c r="K10680" i="88"/>
  <c r="K10679" i="88"/>
  <c r="K10678" i="88"/>
  <c r="K10677" i="88"/>
  <c r="K10676" i="88"/>
  <c r="K10675" i="88"/>
  <c r="K10674" i="88"/>
  <c r="K10673" i="88"/>
  <c r="K10672" i="88"/>
  <c r="K10671" i="88"/>
  <c r="K10670" i="88"/>
  <c r="K10669" i="88"/>
  <c r="K10668" i="88"/>
  <c r="K10667" i="88"/>
  <c r="K10666" i="88"/>
  <c r="K10665" i="88"/>
  <c r="K10664" i="88"/>
  <c r="K10663" i="88"/>
  <c r="K10662" i="88"/>
  <c r="K10661" i="88"/>
  <c r="K10660" i="88"/>
  <c r="K10659" i="88"/>
  <c r="K10658" i="88"/>
  <c r="K10657" i="88"/>
  <c r="K10656" i="88"/>
  <c r="K10655" i="88"/>
  <c r="K10654" i="88"/>
  <c r="K10653" i="88"/>
  <c r="K10652" i="88"/>
  <c r="K10651" i="88"/>
  <c r="K10650" i="88"/>
  <c r="K10649" i="88"/>
  <c r="K10648" i="88"/>
  <c r="K10647" i="88"/>
  <c r="K10646" i="88"/>
  <c r="K10645" i="88"/>
  <c r="K10644" i="88"/>
  <c r="K10643" i="88"/>
  <c r="K10642" i="88"/>
  <c r="K10641" i="88"/>
  <c r="K10640" i="88"/>
  <c r="K10639" i="88"/>
  <c r="K10638" i="88"/>
  <c r="K10637" i="88"/>
  <c r="K10636" i="88"/>
  <c r="K10635" i="88"/>
  <c r="K10634" i="88"/>
  <c r="K10633" i="88"/>
  <c r="K10632" i="88"/>
  <c r="K10631" i="88"/>
  <c r="K10630" i="88"/>
  <c r="K10629" i="88"/>
  <c r="K10628" i="88"/>
  <c r="K10627" i="88"/>
  <c r="K10626" i="88"/>
  <c r="K10625" i="88"/>
  <c r="K10624" i="88"/>
  <c r="K10623" i="88"/>
  <c r="K10622" i="88"/>
  <c r="K10621" i="88"/>
  <c r="K10620" i="88"/>
  <c r="K10619" i="88"/>
  <c r="K10618" i="88"/>
  <c r="K10617" i="88"/>
  <c r="K10616" i="88"/>
  <c r="K10615" i="88"/>
  <c r="K10614" i="88"/>
  <c r="K10613" i="88"/>
  <c r="K10612" i="88"/>
  <c r="K10611" i="88"/>
  <c r="K10610" i="88"/>
  <c r="K10609" i="88"/>
  <c r="K10608" i="88"/>
  <c r="K10607" i="88"/>
  <c r="K10606" i="88"/>
  <c r="K10605" i="88"/>
  <c r="K10604" i="88"/>
  <c r="K10603" i="88"/>
  <c r="K10602" i="88"/>
  <c r="K10601" i="88"/>
  <c r="K10600" i="88"/>
  <c r="K10599" i="88"/>
  <c r="K10598" i="88"/>
  <c r="K10597" i="88"/>
  <c r="K10596" i="88"/>
  <c r="K10595" i="88"/>
  <c r="K10594" i="88"/>
  <c r="K10593" i="88"/>
  <c r="K10592" i="88"/>
  <c r="K10591" i="88"/>
  <c r="K10590" i="88"/>
  <c r="K10589" i="88"/>
  <c r="K10588" i="88"/>
  <c r="K10587" i="88"/>
  <c r="K10586" i="88"/>
  <c r="K10585" i="88"/>
  <c r="K10584" i="88"/>
  <c r="K10583" i="88"/>
  <c r="K10582" i="88"/>
  <c r="K10581" i="88"/>
  <c r="K10580" i="88"/>
  <c r="K10579" i="88"/>
  <c r="K10578" i="88"/>
  <c r="K10577" i="88"/>
  <c r="K10576" i="88"/>
  <c r="K10575" i="88"/>
  <c r="K10574" i="88"/>
  <c r="K10573" i="88"/>
  <c r="K10572" i="88"/>
  <c r="K10571" i="88"/>
  <c r="K10570" i="88"/>
  <c r="K10569" i="88"/>
  <c r="K10568" i="88"/>
  <c r="K10567" i="88"/>
  <c r="K10566" i="88"/>
  <c r="K10565" i="88"/>
  <c r="K10564" i="88"/>
  <c r="K10563" i="88"/>
  <c r="K10562" i="88"/>
  <c r="K10561" i="88"/>
  <c r="K10560" i="88"/>
  <c r="K10559" i="88"/>
  <c r="K10558" i="88"/>
  <c r="K10557" i="88"/>
  <c r="K10556" i="88"/>
  <c r="K10555" i="88"/>
  <c r="K10554" i="88"/>
  <c r="K10553" i="88"/>
  <c r="K10552" i="88"/>
  <c r="K10551" i="88"/>
  <c r="K10550" i="88"/>
  <c r="K10549" i="88"/>
  <c r="K10548" i="88"/>
  <c r="K10547" i="88"/>
  <c r="K10546" i="88"/>
  <c r="K10545" i="88"/>
  <c r="K10544" i="88"/>
  <c r="K10543" i="88"/>
  <c r="K10542" i="88"/>
  <c r="K10541" i="88"/>
  <c r="K10540" i="88"/>
  <c r="K10539" i="88"/>
  <c r="K10538" i="88"/>
  <c r="K10537" i="88"/>
  <c r="K10536" i="88"/>
  <c r="K10535" i="88"/>
  <c r="K10534" i="88"/>
  <c r="K10533" i="88"/>
  <c r="K10532" i="88"/>
  <c r="K10531" i="88"/>
  <c r="K10530" i="88"/>
  <c r="K10529" i="88"/>
  <c r="K10528" i="88"/>
  <c r="K10527" i="88"/>
  <c r="K10526" i="88"/>
  <c r="K10525" i="88"/>
  <c r="K10524" i="88"/>
  <c r="K10523" i="88"/>
  <c r="K10522" i="88"/>
  <c r="K10521" i="88"/>
  <c r="K10520" i="88"/>
  <c r="K10519" i="88"/>
  <c r="K10518" i="88"/>
  <c r="K10517" i="88"/>
  <c r="K10516" i="88"/>
  <c r="K10515" i="88"/>
  <c r="K10514" i="88"/>
  <c r="K10513" i="88"/>
  <c r="K10512" i="88"/>
  <c r="K10511" i="88"/>
  <c r="K10510" i="88"/>
  <c r="K10509" i="88"/>
  <c r="K10508" i="88"/>
  <c r="K10507" i="88"/>
  <c r="K10506" i="88"/>
  <c r="K10505" i="88"/>
  <c r="K10504" i="88"/>
  <c r="K10503" i="88"/>
  <c r="K10502" i="88"/>
  <c r="K10501" i="88"/>
  <c r="K10500" i="88"/>
  <c r="K10499" i="88"/>
  <c r="K10498" i="88"/>
  <c r="K10497" i="88"/>
  <c r="K10496" i="88"/>
  <c r="K10495" i="88"/>
  <c r="K10494" i="88"/>
  <c r="K10493" i="88"/>
  <c r="K10492" i="88"/>
  <c r="K10491" i="88"/>
  <c r="K10490" i="88"/>
  <c r="K10489" i="88"/>
  <c r="K10488" i="88"/>
  <c r="K10487" i="88"/>
  <c r="K10486" i="88"/>
  <c r="K10485" i="88"/>
  <c r="K10484" i="88"/>
  <c r="K10483" i="88"/>
  <c r="K10482" i="88"/>
  <c r="K10481" i="88"/>
  <c r="K10480" i="88"/>
  <c r="K10479" i="88"/>
  <c r="K10478" i="88"/>
  <c r="K10477" i="88"/>
  <c r="K10476" i="88"/>
  <c r="K10475" i="88"/>
  <c r="K10474" i="88"/>
  <c r="K10473" i="88"/>
  <c r="K10472" i="88"/>
  <c r="K10471" i="88"/>
  <c r="K10470" i="88"/>
  <c r="K10469" i="88"/>
  <c r="K10468" i="88"/>
  <c r="K10467" i="88"/>
  <c r="K10466" i="88"/>
  <c r="K10465" i="88"/>
  <c r="K10464" i="88"/>
  <c r="K10463" i="88"/>
  <c r="K10462" i="88"/>
  <c r="K10461" i="88"/>
  <c r="K10460" i="88"/>
  <c r="K10459" i="88"/>
  <c r="K10458" i="88"/>
  <c r="K10457" i="88"/>
  <c r="K10456" i="88"/>
  <c r="K10455" i="88"/>
  <c r="K10454" i="88"/>
  <c r="K10453" i="88"/>
  <c r="K10452" i="88"/>
  <c r="K10451" i="88"/>
  <c r="K10450" i="88"/>
  <c r="K10449" i="88"/>
  <c r="K10448" i="88"/>
  <c r="K10447" i="88"/>
  <c r="K10446" i="88"/>
  <c r="K10445" i="88"/>
  <c r="K10444" i="88"/>
  <c r="K10443" i="88"/>
  <c r="K10442" i="88"/>
  <c r="K10441" i="88"/>
  <c r="K10440" i="88"/>
  <c r="K10439" i="88"/>
  <c r="K10438" i="88"/>
  <c r="K10437" i="88"/>
  <c r="K10436" i="88"/>
  <c r="K10435" i="88"/>
  <c r="K10434" i="88"/>
  <c r="K10433" i="88"/>
  <c r="K10432" i="88"/>
  <c r="K10431" i="88"/>
  <c r="K10430" i="88"/>
  <c r="K10429" i="88"/>
  <c r="K10428" i="88"/>
  <c r="K10427" i="88"/>
  <c r="K10426" i="88"/>
  <c r="K10425" i="88"/>
  <c r="K10424" i="88"/>
  <c r="K10423" i="88"/>
  <c r="K10422" i="88"/>
  <c r="K10421" i="88"/>
  <c r="K10420" i="88"/>
  <c r="K10419" i="88"/>
  <c r="K10418" i="88"/>
  <c r="K10417" i="88"/>
  <c r="K10416" i="88"/>
  <c r="K10415" i="88"/>
  <c r="K10414" i="88"/>
  <c r="K10413" i="88"/>
  <c r="K10412" i="88"/>
  <c r="K10411" i="88"/>
  <c r="K10410" i="88"/>
  <c r="K10409" i="88"/>
  <c r="K10408" i="88"/>
  <c r="K10407" i="88"/>
  <c r="K10406" i="88"/>
  <c r="K10405" i="88"/>
  <c r="K10404" i="88"/>
  <c r="K10403" i="88"/>
  <c r="K10402" i="88"/>
  <c r="K10401" i="88"/>
  <c r="K10400" i="88"/>
  <c r="K10399" i="88"/>
  <c r="K10398" i="88"/>
  <c r="K10397" i="88"/>
  <c r="K10396" i="88"/>
  <c r="K10395" i="88"/>
  <c r="K10394" i="88"/>
  <c r="K10393" i="88"/>
  <c r="K10392" i="88"/>
  <c r="K10391" i="88"/>
  <c r="K10390" i="88"/>
  <c r="K10389" i="88"/>
  <c r="K10388" i="88"/>
  <c r="K10387" i="88"/>
  <c r="K10386" i="88"/>
  <c r="K10385" i="88"/>
  <c r="K10384" i="88"/>
  <c r="K10383" i="88"/>
  <c r="K10382" i="88"/>
  <c r="K10381" i="88"/>
  <c r="K10380" i="88"/>
  <c r="K10379" i="88"/>
  <c r="K10378" i="88"/>
  <c r="K10377" i="88"/>
  <c r="K10376" i="88"/>
  <c r="K10375" i="88"/>
  <c r="K10374" i="88"/>
  <c r="K10373" i="88"/>
  <c r="K10372" i="88"/>
  <c r="K10371" i="88"/>
  <c r="K10370" i="88"/>
  <c r="K10369" i="88"/>
  <c r="K10368" i="88"/>
  <c r="K10367" i="88"/>
  <c r="K10366" i="88"/>
  <c r="K10365" i="88"/>
  <c r="K10364" i="88"/>
  <c r="K10363" i="88"/>
  <c r="K10362" i="88"/>
  <c r="K10361" i="88"/>
  <c r="K10360" i="88"/>
  <c r="K10359" i="88"/>
  <c r="K10358" i="88"/>
  <c r="K10357" i="88"/>
  <c r="K10356" i="88"/>
  <c r="K10355" i="88"/>
  <c r="K10354" i="88"/>
  <c r="K10353" i="88"/>
  <c r="K10352" i="88"/>
  <c r="K10351" i="88"/>
  <c r="K10350" i="88"/>
  <c r="K10349" i="88"/>
  <c r="K10348" i="88"/>
  <c r="K10347" i="88"/>
  <c r="K10346" i="88"/>
  <c r="K10345" i="88"/>
  <c r="K10344" i="88"/>
  <c r="K10343" i="88"/>
  <c r="K10342" i="88"/>
  <c r="K10341" i="88"/>
  <c r="K10340" i="88"/>
  <c r="K10339" i="88"/>
  <c r="K10338" i="88"/>
  <c r="K10337" i="88"/>
  <c r="K10336" i="88"/>
  <c r="K10335" i="88"/>
  <c r="K10334" i="88"/>
  <c r="K10333" i="88"/>
  <c r="K10332" i="88"/>
  <c r="K10331" i="88"/>
  <c r="K10330" i="88"/>
  <c r="K10329" i="88"/>
  <c r="K10328" i="88"/>
  <c r="K10327" i="88"/>
  <c r="K10326" i="88"/>
  <c r="K10325" i="88"/>
  <c r="K10324" i="88"/>
  <c r="K10323" i="88"/>
  <c r="K10322" i="88"/>
  <c r="K10321" i="88"/>
  <c r="K10320" i="88"/>
  <c r="K10319" i="88"/>
  <c r="K10318" i="88"/>
  <c r="K10317" i="88"/>
  <c r="K10316" i="88"/>
  <c r="K10315" i="88"/>
  <c r="K10314" i="88"/>
  <c r="K10313" i="88"/>
  <c r="K10312" i="88"/>
  <c r="K10311" i="88"/>
  <c r="K10310" i="88"/>
  <c r="K10309" i="88"/>
  <c r="K10308" i="88"/>
  <c r="K10307" i="88"/>
  <c r="K10306" i="88"/>
  <c r="K10305" i="88"/>
  <c r="K10304" i="88"/>
  <c r="K10303" i="88"/>
  <c r="K10302" i="88"/>
  <c r="K10301" i="88"/>
  <c r="K10300" i="88"/>
  <c r="K10299" i="88"/>
  <c r="K10298" i="88"/>
  <c r="K10297" i="88"/>
  <c r="K10296" i="88"/>
  <c r="K10295" i="88"/>
  <c r="K10294" i="88"/>
  <c r="K10293" i="88"/>
  <c r="K10292" i="88"/>
  <c r="K10291" i="88"/>
  <c r="K10290" i="88"/>
  <c r="K10289" i="88"/>
  <c r="K10288" i="88"/>
  <c r="K10287" i="88"/>
  <c r="K10286" i="88"/>
  <c r="K10285" i="88"/>
  <c r="K10284" i="88"/>
  <c r="K10283" i="88"/>
  <c r="K10282" i="88"/>
  <c r="K10281" i="88"/>
  <c r="K10280" i="88"/>
  <c r="K10279" i="88"/>
  <c r="K10278" i="88"/>
  <c r="K10277" i="88"/>
  <c r="K10276" i="88"/>
  <c r="K10275" i="88"/>
  <c r="K10274" i="88"/>
  <c r="K10273" i="88"/>
  <c r="K10272" i="88"/>
  <c r="K10271" i="88"/>
  <c r="K10270" i="88"/>
  <c r="K10269" i="88"/>
  <c r="K10268" i="88"/>
  <c r="K10267" i="88"/>
  <c r="K10266" i="88"/>
  <c r="K10265" i="88"/>
  <c r="K10264" i="88"/>
  <c r="K10263" i="88"/>
  <c r="K10262" i="88"/>
  <c r="K10261" i="88"/>
  <c r="K10260" i="88"/>
  <c r="K10259" i="88"/>
  <c r="K10258" i="88"/>
  <c r="K10257" i="88"/>
  <c r="K10256" i="88"/>
  <c r="K10255" i="88"/>
  <c r="K10254" i="88"/>
  <c r="K10253" i="88"/>
  <c r="K10252" i="88"/>
  <c r="K10251" i="88"/>
  <c r="K10250" i="88"/>
  <c r="K10249" i="88"/>
  <c r="K10248" i="88"/>
  <c r="K10247" i="88"/>
  <c r="K10246" i="88"/>
  <c r="K10245" i="88"/>
  <c r="K10244" i="88"/>
  <c r="K10243" i="88"/>
  <c r="K10242" i="88"/>
  <c r="K10241" i="88"/>
  <c r="K10240" i="88"/>
  <c r="K10239" i="88"/>
  <c r="K10238" i="88"/>
  <c r="K10237" i="88"/>
  <c r="K10236" i="88"/>
  <c r="K10235" i="88"/>
  <c r="K10234" i="88"/>
  <c r="K10233" i="88"/>
  <c r="K10232" i="88"/>
  <c r="K10231" i="88"/>
  <c r="K10230" i="88"/>
  <c r="K10229" i="88"/>
  <c r="K10228" i="88"/>
  <c r="K10227" i="88"/>
  <c r="K10226" i="88"/>
  <c r="K10225" i="88"/>
  <c r="K10224" i="88"/>
  <c r="K10223" i="88"/>
  <c r="K10222" i="88"/>
  <c r="K10221" i="88"/>
  <c r="K10220" i="88"/>
  <c r="K10219" i="88"/>
  <c r="K10218" i="88"/>
  <c r="K10217" i="88"/>
  <c r="K10216" i="88"/>
  <c r="K10215" i="88"/>
  <c r="K10214" i="88"/>
  <c r="K10213" i="88"/>
  <c r="K10212" i="88"/>
  <c r="K10211" i="88"/>
  <c r="K10210" i="88"/>
  <c r="K10209" i="88"/>
  <c r="K10208" i="88"/>
  <c r="K10207" i="88"/>
  <c r="K10206" i="88"/>
  <c r="K10205" i="88"/>
  <c r="K10204" i="88"/>
  <c r="K10203" i="88"/>
  <c r="K10202" i="88"/>
  <c r="K10201" i="88"/>
  <c r="K10200" i="88"/>
  <c r="K10199" i="88"/>
  <c r="K10198" i="88"/>
  <c r="K10197" i="88"/>
  <c r="K10196" i="88"/>
  <c r="K10195" i="88"/>
  <c r="K10194" i="88"/>
  <c r="K10193" i="88"/>
  <c r="K10192" i="88"/>
  <c r="K10191" i="88"/>
  <c r="K10190" i="88"/>
  <c r="K10189" i="88"/>
  <c r="K10188" i="88"/>
  <c r="K10187" i="88"/>
  <c r="K10186" i="88"/>
  <c r="K10185" i="88"/>
  <c r="K10184" i="88"/>
  <c r="K10183" i="88"/>
  <c r="K10182" i="88"/>
  <c r="K10181" i="88"/>
  <c r="K10180" i="88"/>
  <c r="K10179" i="88"/>
  <c r="K10178" i="88"/>
  <c r="K10177" i="88"/>
  <c r="K10176" i="88"/>
  <c r="K10175" i="88"/>
  <c r="K10174" i="88"/>
  <c r="K10173" i="88"/>
  <c r="K10172" i="88"/>
  <c r="K10171" i="88"/>
  <c r="K10170" i="88"/>
  <c r="K10169" i="88"/>
  <c r="K10168" i="88"/>
  <c r="K10167" i="88"/>
  <c r="K10166" i="88"/>
  <c r="K10165" i="88"/>
  <c r="K10164" i="88"/>
  <c r="K10163" i="88"/>
  <c r="K10162" i="88"/>
  <c r="K10161" i="88"/>
  <c r="K10160" i="88"/>
  <c r="K10159" i="88"/>
  <c r="K10158" i="88"/>
  <c r="K10157" i="88"/>
  <c r="K10156" i="88"/>
  <c r="K10155" i="88"/>
  <c r="K10154" i="88"/>
  <c r="K10153" i="88"/>
  <c r="K10152" i="88"/>
  <c r="K10151" i="88"/>
  <c r="K10150" i="88"/>
  <c r="K10149" i="88"/>
  <c r="K10148" i="88"/>
  <c r="K10147" i="88"/>
  <c r="K10146" i="88"/>
  <c r="K10145" i="88"/>
  <c r="K10144" i="88"/>
  <c r="K10143" i="88"/>
  <c r="K10142" i="88"/>
  <c r="K10141" i="88"/>
  <c r="K10140" i="88"/>
  <c r="K10139" i="88"/>
  <c r="K10138" i="88"/>
  <c r="K10137" i="88"/>
  <c r="K10136" i="88"/>
  <c r="K10135" i="88"/>
  <c r="K10134" i="88"/>
  <c r="K10133" i="88"/>
  <c r="K10132" i="88"/>
  <c r="K10131" i="88"/>
  <c r="K10130" i="88"/>
  <c r="K10129" i="88"/>
  <c r="K10128" i="88"/>
  <c r="K10127" i="88"/>
  <c r="K10126" i="88"/>
  <c r="K10125" i="88"/>
  <c r="K10124" i="88"/>
  <c r="K10123" i="88"/>
  <c r="K10122" i="88"/>
  <c r="K10121" i="88"/>
  <c r="K10120" i="88"/>
  <c r="K10119" i="88"/>
  <c r="K10118" i="88"/>
  <c r="K10117" i="88"/>
  <c r="K10116" i="88"/>
  <c r="K10115" i="88"/>
  <c r="K10114" i="88"/>
  <c r="K10113" i="88"/>
  <c r="K10112" i="88"/>
  <c r="K10111" i="88"/>
  <c r="K10110" i="88"/>
  <c r="K10109" i="88"/>
  <c r="K10108" i="88"/>
  <c r="K10107" i="88"/>
  <c r="K10106" i="88"/>
  <c r="K10105" i="88"/>
  <c r="K10104" i="88"/>
  <c r="K10103" i="88"/>
  <c r="K10102" i="88"/>
  <c r="K10101" i="88"/>
  <c r="K10100" i="88"/>
  <c r="K10099" i="88"/>
  <c r="K10098" i="88"/>
  <c r="K10097" i="88"/>
  <c r="K10096" i="88"/>
  <c r="K10095" i="88"/>
  <c r="K10094" i="88"/>
  <c r="K10093" i="88"/>
  <c r="K10092" i="88"/>
  <c r="K10091" i="88"/>
  <c r="K10090" i="88"/>
  <c r="K10089" i="88"/>
  <c r="K10088" i="88"/>
  <c r="K10087" i="88"/>
  <c r="K10086" i="88"/>
  <c r="K10085" i="88"/>
  <c r="K10084" i="88"/>
  <c r="K10083" i="88"/>
  <c r="K10082" i="88"/>
  <c r="K10081" i="88"/>
  <c r="K10080" i="88"/>
  <c r="K10079" i="88"/>
  <c r="K10078" i="88"/>
  <c r="K10077" i="88"/>
  <c r="K10076" i="88"/>
  <c r="K10075" i="88"/>
  <c r="K10074" i="88"/>
  <c r="K10073" i="88"/>
  <c r="K10072" i="88"/>
  <c r="K10071" i="88"/>
  <c r="K10070" i="88"/>
  <c r="K10069" i="88"/>
  <c r="K10068" i="88"/>
  <c r="K10067" i="88"/>
  <c r="K10066" i="88"/>
  <c r="K10065" i="88"/>
  <c r="K10064" i="88"/>
  <c r="K10063" i="88"/>
  <c r="K10062" i="88"/>
  <c r="K10061" i="88"/>
  <c r="K10060" i="88"/>
  <c r="K10059" i="88"/>
  <c r="K10058" i="88"/>
  <c r="K10057" i="88"/>
  <c r="K10056" i="88"/>
  <c r="K10055" i="88"/>
  <c r="K10054" i="88"/>
  <c r="K10053" i="88"/>
  <c r="K10052" i="88"/>
  <c r="K10051" i="88"/>
  <c r="K10050" i="88"/>
  <c r="K10049" i="88"/>
  <c r="K10048" i="88"/>
  <c r="K10047" i="88"/>
  <c r="K10046" i="88"/>
  <c r="K10045" i="88"/>
  <c r="K10044" i="88"/>
  <c r="K10043" i="88"/>
  <c r="K10042" i="88"/>
  <c r="K10041" i="88"/>
  <c r="K10040" i="88"/>
  <c r="K10039" i="88"/>
  <c r="K10038" i="88"/>
  <c r="K10037" i="88"/>
  <c r="K10036" i="88"/>
  <c r="K10035" i="88"/>
  <c r="K10034" i="88"/>
  <c r="K10033" i="88"/>
  <c r="K10032" i="88"/>
  <c r="K10031" i="88"/>
  <c r="K10030" i="88"/>
  <c r="K10029" i="88"/>
  <c r="K10028" i="88"/>
  <c r="K10027" i="88"/>
  <c r="K10026" i="88"/>
  <c r="K10025" i="88"/>
  <c r="K10024" i="88"/>
  <c r="K10023" i="88"/>
  <c r="K10022" i="88"/>
  <c r="K10021" i="88"/>
  <c r="K10020" i="88"/>
  <c r="K10019" i="88"/>
  <c r="K10018" i="88"/>
  <c r="K10017" i="88"/>
  <c r="K10016" i="88"/>
  <c r="K10015" i="88"/>
  <c r="K10014" i="88"/>
  <c r="K10013" i="88"/>
  <c r="K10012" i="88"/>
  <c r="K10011" i="88"/>
  <c r="K10010" i="88"/>
  <c r="K10009" i="88"/>
  <c r="K10008" i="88"/>
  <c r="K10007" i="88"/>
  <c r="K10006" i="88"/>
  <c r="K10005" i="88"/>
  <c r="K10004" i="88"/>
  <c r="K10003" i="88"/>
  <c r="K10002" i="88"/>
  <c r="K10001" i="88"/>
  <c r="K10000" i="88"/>
  <c r="K9999" i="88"/>
  <c r="K9998" i="88"/>
  <c r="K9997" i="88"/>
  <c r="K9996" i="88"/>
  <c r="K9995" i="88"/>
  <c r="K9994" i="88"/>
  <c r="K9993" i="88"/>
  <c r="K9992" i="88"/>
  <c r="K9991" i="88"/>
  <c r="K9990" i="88"/>
  <c r="K9989" i="88"/>
  <c r="K9988" i="88"/>
  <c r="K9987" i="88"/>
  <c r="K9986" i="88"/>
  <c r="K9985" i="88"/>
  <c r="K9984" i="88"/>
  <c r="K9983" i="88"/>
  <c r="K9982" i="88"/>
  <c r="K9981" i="88"/>
  <c r="K9980" i="88"/>
  <c r="K9979" i="88"/>
  <c r="K9978" i="88"/>
  <c r="K9977" i="88"/>
  <c r="K9976" i="88"/>
  <c r="K9975" i="88"/>
  <c r="K9974" i="88"/>
  <c r="K9973" i="88"/>
  <c r="K9972" i="88"/>
  <c r="K9971" i="88"/>
  <c r="K9970" i="88"/>
  <c r="K9969" i="88"/>
  <c r="K9968" i="88"/>
  <c r="K9967" i="88"/>
  <c r="K9966" i="88"/>
  <c r="K9965" i="88"/>
  <c r="K9964" i="88"/>
  <c r="K9963" i="88"/>
  <c r="K9962" i="88"/>
  <c r="K9961" i="88"/>
  <c r="K9960" i="88"/>
  <c r="K9959" i="88"/>
  <c r="K9958" i="88"/>
  <c r="K9957" i="88"/>
  <c r="K9956" i="88"/>
  <c r="K9955" i="88"/>
  <c r="K9954" i="88"/>
  <c r="K9953" i="88"/>
  <c r="K9952" i="88"/>
  <c r="K9951" i="88"/>
  <c r="K9950" i="88"/>
  <c r="K9949" i="88"/>
  <c r="K9948" i="88"/>
  <c r="K9947" i="88"/>
  <c r="K9946" i="88"/>
  <c r="K9945" i="88"/>
  <c r="K9944" i="88"/>
  <c r="K9943" i="88"/>
  <c r="K9942" i="88"/>
  <c r="K9941" i="88"/>
  <c r="K9940" i="88"/>
  <c r="K9939" i="88"/>
  <c r="K9938" i="88"/>
  <c r="K9937" i="88"/>
  <c r="K9936" i="88"/>
  <c r="K9935" i="88"/>
  <c r="K9934" i="88"/>
  <c r="K9933" i="88"/>
  <c r="K9932" i="88"/>
  <c r="K9931" i="88"/>
  <c r="K9930" i="88"/>
  <c r="K9929" i="88"/>
  <c r="K9928" i="88"/>
  <c r="K9927" i="88"/>
  <c r="K9926" i="88"/>
  <c r="K9925" i="88"/>
  <c r="K9924" i="88"/>
  <c r="K9923" i="88"/>
  <c r="K9922" i="88"/>
  <c r="K9921" i="88"/>
  <c r="K9920" i="88"/>
  <c r="K9919" i="88"/>
  <c r="K9918" i="88"/>
  <c r="K9917" i="88"/>
  <c r="K9916" i="88"/>
  <c r="K9915" i="88"/>
  <c r="K9914" i="88"/>
  <c r="K9913" i="88"/>
  <c r="K9912" i="88"/>
  <c r="K9911" i="88"/>
  <c r="K9910" i="88"/>
  <c r="K9909" i="88"/>
  <c r="K9908" i="88"/>
  <c r="K9907" i="88"/>
  <c r="K9906" i="88"/>
  <c r="K9905" i="88"/>
  <c r="K9904" i="88"/>
  <c r="K9903" i="88"/>
  <c r="K9902" i="88"/>
  <c r="K9901" i="88"/>
  <c r="K9900" i="88"/>
  <c r="K9899" i="88"/>
  <c r="K9898" i="88"/>
  <c r="K9897" i="88"/>
  <c r="K9896" i="88"/>
  <c r="K9895" i="88"/>
  <c r="K9894" i="88"/>
  <c r="K9893" i="88"/>
  <c r="K9892" i="88"/>
  <c r="K9891" i="88"/>
  <c r="K9890" i="88"/>
  <c r="K9889" i="88"/>
  <c r="K9888" i="88"/>
  <c r="K9887" i="88"/>
  <c r="K9886" i="88"/>
  <c r="K9885" i="88"/>
  <c r="K9884" i="88"/>
  <c r="K9883" i="88"/>
  <c r="K9882" i="88"/>
  <c r="K9881" i="88"/>
  <c r="K9880" i="88"/>
  <c r="K9879" i="88"/>
  <c r="K9878" i="88"/>
  <c r="K9877" i="88"/>
  <c r="K9876" i="88"/>
  <c r="K9875" i="88"/>
  <c r="K9874" i="88"/>
  <c r="K9873" i="88"/>
  <c r="K9872" i="88"/>
  <c r="K9871" i="88"/>
  <c r="K9870" i="88"/>
  <c r="K9869" i="88"/>
  <c r="K9868" i="88"/>
  <c r="K9867" i="88"/>
  <c r="K9866" i="88"/>
  <c r="K9865" i="88"/>
  <c r="K9864" i="88"/>
  <c r="K9863" i="88"/>
  <c r="K9862" i="88"/>
  <c r="K9861" i="88"/>
  <c r="K9860" i="88"/>
  <c r="K9859" i="88"/>
  <c r="K9858" i="88"/>
  <c r="K9857" i="88"/>
  <c r="K9856" i="88"/>
  <c r="K9855" i="88"/>
  <c r="K9854" i="88"/>
  <c r="K9853" i="88"/>
  <c r="K9852" i="88"/>
  <c r="K9851" i="88"/>
  <c r="K9850" i="88"/>
  <c r="K9849" i="88"/>
  <c r="K9848" i="88"/>
  <c r="K9847" i="88"/>
  <c r="K9846" i="88"/>
  <c r="K9845" i="88"/>
  <c r="K9844" i="88"/>
  <c r="K9843" i="88"/>
  <c r="K9842" i="88"/>
  <c r="K9841" i="88"/>
  <c r="K9840" i="88"/>
  <c r="K9839" i="88"/>
  <c r="K9838" i="88"/>
  <c r="K9837" i="88"/>
  <c r="K9836" i="88"/>
  <c r="K9835" i="88"/>
  <c r="K9834" i="88"/>
  <c r="K9833" i="88"/>
  <c r="K9832" i="88"/>
  <c r="K9831" i="88"/>
  <c r="K9830" i="88"/>
  <c r="K9829" i="88"/>
  <c r="K9828" i="88"/>
  <c r="K9827" i="88"/>
  <c r="K9826" i="88"/>
  <c r="K9825" i="88"/>
  <c r="K9824" i="88"/>
  <c r="K9823" i="88"/>
  <c r="K9822" i="88"/>
  <c r="K9821" i="88"/>
  <c r="K9820" i="88"/>
  <c r="K9819" i="88"/>
  <c r="K9818" i="88"/>
  <c r="K9817" i="88"/>
  <c r="K9816" i="88"/>
  <c r="K9815" i="88"/>
  <c r="K9814" i="88"/>
  <c r="K9813" i="88"/>
  <c r="K9812" i="88"/>
  <c r="K9811" i="88"/>
  <c r="K9810" i="88"/>
  <c r="K9809" i="88"/>
  <c r="K9808" i="88"/>
  <c r="K9807" i="88"/>
  <c r="K9806" i="88"/>
  <c r="K9805" i="88"/>
  <c r="K9804" i="88"/>
  <c r="K9803" i="88"/>
  <c r="K9802" i="88"/>
  <c r="K9801" i="88"/>
  <c r="K9800" i="88"/>
  <c r="K9799" i="88"/>
  <c r="K9798" i="88"/>
  <c r="K9797" i="88"/>
  <c r="K9796" i="88"/>
  <c r="K9795" i="88"/>
  <c r="K9794" i="88"/>
  <c r="K9793" i="88"/>
  <c r="K9792" i="88"/>
  <c r="K9791" i="88"/>
  <c r="K9790" i="88"/>
  <c r="K9789" i="88"/>
  <c r="K9788" i="88"/>
  <c r="K9787" i="88"/>
  <c r="K9786" i="88"/>
  <c r="K9785" i="88"/>
  <c r="K9784" i="88"/>
  <c r="K9783" i="88"/>
  <c r="K9782" i="88"/>
  <c r="K9781" i="88"/>
  <c r="K9780" i="88"/>
  <c r="K9779" i="88"/>
  <c r="K9778" i="88"/>
  <c r="K9777" i="88"/>
  <c r="K9776" i="88"/>
  <c r="K9775" i="88"/>
  <c r="K9774" i="88"/>
  <c r="K9773" i="88"/>
  <c r="K9772" i="88"/>
  <c r="K9771" i="88"/>
  <c r="K9770" i="88"/>
  <c r="K9769" i="88"/>
  <c r="K9768" i="88"/>
  <c r="K9767" i="88"/>
  <c r="K9766" i="88"/>
  <c r="K9765" i="88"/>
  <c r="K9764" i="88"/>
  <c r="K9763" i="88"/>
  <c r="K9762" i="88"/>
  <c r="K9761" i="88"/>
  <c r="K9760" i="88"/>
  <c r="K9759" i="88"/>
  <c r="K9758" i="88"/>
  <c r="K9757" i="88"/>
  <c r="K9756" i="88"/>
  <c r="K9755" i="88"/>
  <c r="K9754" i="88"/>
  <c r="K9753" i="88"/>
  <c r="K9752" i="88"/>
  <c r="K9751" i="88"/>
  <c r="K9750" i="88"/>
  <c r="K9749" i="88"/>
  <c r="K9748" i="88"/>
  <c r="K9747" i="88"/>
  <c r="K9746" i="88"/>
  <c r="K9745" i="88"/>
  <c r="K9744" i="88"/>
  <c r="K9743" i="88"/>
  <c r="K9742" i="88"/>
  <c r="K9741" i="88"/>
  <c r="K9740" i="88"/>
  <c r="K9739" i="88"/>
  <c r="K9738" i="88"/>
  <c r="K9737" i="88"/>
  <c r="K9736" i="88"/>
  <c r="K9735" i="88"/>
  <c r="K9734" i="88"/>
  <c r="K9733" i="88"/>
  <c r="K9732" i="88"/>
  <c r="K9731" i="88"/>
  <c r="K9730" i="88"/>
  <c r="K9729" i="88"/>
  <c r="K9728" i="88"/>
  <c r="K9727" i="88"/>
  <c r="K9726" i="88"/>
  <c r="K9725" i="88"/>
  <c r="K9724" i="88"/>
  <c r="K9723" i="88"/>
  <c r="K9722" i="88"/>
  <c r="K9721" i="88"/>
  <c r="K9720" i="88"/>
  <c r="K9719" i="88"/>
  <c r="K9718" i="88"/>
  <c r="K9717" i="88"/>
  <c r="K9716" i="88"/>
  <c r="K9715" i="88"/>
  <c r="K9714" i="88"/>
  <c r="K9713" i="88"/>
  <c r="K9712" i="88"/>
  <c r="K9711" i="88"/>
  <c r="K9710" i="88"/>
  <c r="K9709" i="88"/>
  <c r="K9708" i="88"/>
  <c r="K9707" i="88"/>
  <c r="K9706" i="88"/>
  <c r="K9705" i="88"/>
  <c r="K9704" i="88"/>
  <c r="K9703" i="88"/>
  <c r="K9702" i="88"/>
  <c r="K9701" i="88"/>
  <c r="K9700" i="88"/>
  <c r="K9699" i="88"/>
  <c r="K9698" i="88"/>
  <c r="K9697" i="88"/>
  <c r="K9696" i="88"/>
  <c r="K9695" i="88"/>
  <c r="K9694" i="88"/>
  <c r="K9693" i="88"/>
  <c r="K9692" i="88"/>
  <c r="K9691" i="88"/>
  <c r="K9690" i="88"/>
  <c r="K9689" i="88"/>
  <c r="K9688" i="88"/>
  <c r="K9687" i="88"/>
  <c r="K9686" i="88"/>
  <c r="K9685" i="88"/>
  <c r="K9684" i="88"/>
  <c r="K9683" i="88"/>
  <c r="K9682" i="88"/>
  <c r="K9681" i="88"/>
  <c r="K9680" i="88"/>
  <c r="K9679" i="88"/>
  <c r="K9678" i="88"/>
  <c r="K9677" i="88"/>
  <c r="K9676" i="88"/>
  <c r="K9675" i="88"/>
  <c r="K9674" i="88"/>
  <c r="K9673" i="88"/>
  <c r="K9672" i="88"/>
  <c r="K9671" i="88"/>
  <c r="K9670" i="88"/>
  <c r="K9669" i="88"/>
  <c r="K9668" i="88"/>
  <c r="K9667" i="88"/>
  <c r="K9666" i="88"/>
  <c r="K9665" i="88"/>
  <c r="K9664" i="88"/>
  <c r="K9663" i="88"/>
  <c r="K9662" i="88"/>
  <c r="K9661" i="88"/>
  <c r="K9660" i="88"/>
  <c r="K9659" i="88"/>
  <c r="K9658" i="88"/>
  <c r="K9657" i="88"/>
  <c r="K9656" i="88"/>
  <c r="K9655" i="88"/>
  <c r="K9654" i="88"/>
  <c r="K9653" i="88"/>
  <c r="K9652" i="88"/>
  <c r="K9651" i="88"/>
  <c r="K9650" i="88"/>
  <c r="K9649" i="88"/>
  <c r="K9648" i="88"/>
  <c r="K9647" i="88"/>
  <c r="K9646" i="88"/>
  <c r="K9645" i="88"/>
  <c r="K9644" i="88"/>
  <c r="K9643" i="88"/>
  <c r="K9642" i="88"/>
  <c r="K9641" i="88"/>
  <c r="K9640" i="88"/>
  <c r="K9639" i="88"/>
  <c r="K9638" i="88"/>
  <c r="K9637" i="88"/>
  <c r="K9636" i="88"/>
  <c r="K9635" i="88"/>
  <c r="K9634" i="88"/>
  <c r="K9633" i="88"/>
  <c r="K9632" i="88"/>
  <c r="K9631" i="88"/>
  <c r="K9630" i="88"/>
  <c r="K9629" i="88"/>
  <c r="K9628" i="88"/>
  <c r="K9627" i="88"/>
  <c r="K9626" i="88"/>
  <c r="K9625" i="88"/>
  <c r="K9624" i="88"/>
  <c r="K9623" i="88"/>
  <c r="K9622" i="88"/>
  <c r="K9621" i="88"/>
  <c r="K9620" i="88"/>
  <c r="K9619" i="88"/>
  <c r="K9618" i="88"/>
  <c r="K9617" i="88"/>
  <c r="K9616" i="88"/>
  <c r="K9615" i="88"/>
  <c r="K9614" i="88"/>
  <c r="K9613" i="88"/>
  <c r="K9612" i="88"/>
  <c r="K9611" i="88"/>
  <c r="K9610" i="88"/>
  <c r="K9609" i="88"/>
  <c r="K9608" i="88"/>
  <c r="K9607" i="88"/>
  <c r="K9606" i="88"/>
  <c r="K9605" i="88"/>
  <c r="K9604" i="88"/>
  <c r="K9603" i="88"/>
  <c r="K9602" i="88"/>
  <c r="K9601" i="88"/>
  <c r="K9600" i="88"/>
  <c r="K9599" i="88"/>
  <c r="K9598" i="88"/>
  <c r="K9597" i="88"/>
  <c r="K9596" i="88"/>
  <c r="K9595" i="88"/>
  <c r="K9594" i="88"/>
  <c r="K9593" i="88"/>
  <c r="K9592" i="88"/>
  <c r="K9591" i="88"/>
  <c r="K9590" i="88"/>
  <c r="K9589" i="88"/>
  <c r="K9588" i="88"/>
  <c r="K9587" i="88"/>
  <c r="K9586" i="88"/>
  <c r="K9585" i="88"/>
  <c r="K9584" i="88"/>
  <c r="K9583" i="88"/>
  <c r="K9582" i="88"/>
  <c r="K9581" i="88"/>
  <c r="K9580" i="88"/>
  <c r="K9579" i="88"/>
  <c r="K9578" i="88"/>
  <c r="K9577" i="88"/>
  <c r="K9576" i="88"/>
  <c r="K9575" i="88"/>
  <c r="K9574" i="88"/>
  <c r="K9573" i="88"/>
  <c r="K9572" i="88"/>
  <c r="K9571" i="88"/>
  <c r="K9570" i="88"/>
  <c r="K9569" i="88"/>
  <c r="K9568" i="88"/>
  <c r="K9567" i="88"/>
  <c r="K9566" i="88"/>
  <c r="K9565" i="88"/>
  <c r="K9564" i="88"/>
  <c r="K9563" i="88"/>
  <c r="K9562" i="88"/>
  <c r="K9561" i="88"/>
  <c r="K9560" i="88"/>
  <c r="K9559" i="88"/>
  <c r="K9558" i="88"/>
  <c r="K9557" i="88"/>
  <c r="K9556" i="88"/>
  <c r="K9555" i="88"/>
  <c r="K9554" i="88"/>
  <c r="K9553" i="88"/>
  <c r="K9552" i="88"/>
  <c r="K9551" i="88"/>
  <c r="K9550" i="88"/>
  <c r="K9549" i="88"/>
  <c r="K9548" i="88"/>
  <c r="K9547" i="88"/>
  <c r="K9546" i="88"/>
  <c r="K9545" i="88"/>
  <c r="K9544" i="88"/>
  <c r="K9543" i="88"/>
  <c r="K9542" i="88"/>
  <c r="K9541" i="88"/>
  <c r="K9540" i="88"/>
  <c r="K9539" i="88"/>
  <c r="K9538" i="88"/>
  <c r="K9537" i="88"/>
  <c r="K9536" i="88"/>
  <c r="K9535" i="88"/>
  <c r="K9534" i="88"/>
  <c r="K9533" i="88"/>
  <c r="K9532" i="88"/>
  <c r="K9531" i="88"/>
  <c r="K9530" i="88"/>
  <c r="K9529" i="88"/>
  <c r="K9528" i="88"/>
  <c r="K9527" i="88"/>
  <c r="K9526" i="88"/>
  <c r="K9525" i="88"/>
  <c r="K9524" i="88"/>
  <c r="K9523" i="88"/>
  <c r="K9522" i="88"/>
  <c r="K9521" i="88"/>
  <c r="K9520" i="88"/>
  <c r="K9519" i="88"/>
  <c r="K9518" i="88"/>
  <c r="K9517" i="88"/>
  <c r="K9516" i="88"/>
  <c r="K9515" i="88"/>
  <c r="K9514" i="88"/>
  <c r="K9513" i="88"/>
  <c r="K9512" i="88"/>
  <c r="K9511" i="88"/>
  <c r="K9510" i="88"/>
  <c r="K9509" i="88"/>
  <c r="K9508" i="88"/>
  <c r="K9507" i="88"/>
  <c r="K9506" i="88"/>
  <c r="K9505" i="88"/>
  <c r="K9504" i="88"/>
  <c r="K9503" i="88"/>
  <c r="K9502" i="88"/>
  <c r="K9501" i="88"/>
  <c r="K9500" i="88"/>
  <c r="K9499" i="88"/>
  <c r="K9498" i="88"/>
  <c r="K9497" i="88"/>
  <c r="K9496" i="88"/>
  <c r="K9495" i="88"/>
  <c r="K9494" i="88"/>
  <c r="K9493" i="88"/>
  <c r="K9492" i="88"/>
  <c r="K9491" i="88"/>
  <c r="K9490" i="88"/>
  <c r="K9489" i="88"/>
  <c r="K9488" i="88"/>
  <c r="K9487" i="88"/>
  <c r="K9486" i="88"/>
  <c r="K9485" i="88"/>
  <c r="K9484" i="88"/>
  <c r="K9483" i="88"/>
  <c r="K9482" i="88"/>
  <c r="K9481" i="88"/>
  <c r="K9480" i="88"/>
  <c r="K9479" i="88"/>
  <c r="K9478" i="88"/>
  <c r="K9477" i="88"/>
  <c r="K9476" i="88"/>
  <c r="K9475" i="88"/>
  <c r="K9474" i="88"/>
  <c r="K9473" i="88"/>
  <c r="K9472" i="88"/>
  <c r="K9471" i="88"/>
  <c r="K9470" i="88"/>
  <c r="K9469" i="88"/>
  <c r="K9468" i="88"/>
  <c r="K9467" i="88"/>
  <c r="K9466" i="88"/>
  <c r="K9465" i="88"/>
  <c r="K9464" i="88"/>
  <c r="K9463" i="88"/>
  <c r="K9462" i="88"/>
  <c r="K9461" i="88"/>
  <c r="K9460" i="88"/>
  <c r="K9459" i="88"/>
  <c r="K9458" i="88"/>
  <c r="K9457" i="88"/>
  <c r="K9456" i="88"/>
  <c r="K9455" i="88"/>
  <c r="K9454" i="88"/>
  <c r="K9453" i="88"/>
  <c r="K9452" i="88"/>
  <c r="K9451" i="88"/>
  <c r="K9450" i="88"/>
  <c r="K9449" i="88"/>
  <c r="K9448" i="88"/>
  <c r="K9447" i="88"/>
  <c r="K9446" i="88"/>
  <c r="K9445" i="88"/>
  <c r="K9444" i="88"/>
  <c r="K9443" i="88"/>
  <c r="K9442" i="88"/>
  <c r="K9441" i="88"/>
  <c r="K9440" i="88"/>
  <c r="K9439" i="88"/>
  <c r="K9438" i="88"/>
  <c r="K9437" i="88"/>
  <c r="K9436" i="88"/>
  <c r="K9435" i="88"/>
  <c r="K9434" i="88"/>
  <c r="K9433" i="88"/>
  <c r="K9432" i="88"/>
  <c r="K9431" i="88"/>
  <c r="K9430" i="88"/>
  <c r="K9429" i="88"/>
  <c r="K9428" i="88"/>
  <c r="K9427" i="88"/>
  <c r="K9426" i="88"/>
  <c r="K9425" i="88"/>
  <c r="K9424" i="88"/>
  <c r="K9423" i="88"/>
  <c r="K9422" i="88"/>
  <c r="K9421" i="88"/>
  <c r="K9420" i="88"/>
  <c r="K9419" i="88"/>
  <c r="K9418" i="88"/>
  <c r="K9417" i="88"/>
  <c r="K9416" i="88"/>
  <c r="K9415" i="88"/>
  <c r="K9414" i="88"/>
  <c r="K9413" i="88"/>
  <c r="K9412" i="88"/>
  <c r="K9411" i="88"/>
  <c r="K9410" i="88"/>
  <c r="K9409" i="88"/>
  <c r="K9408" i="88"/>
  <c r="K9407" i="88"/>
  <c r="K9406" i="88"/>
  <c r="K9405" i="88"/>
  <c r="K9404" i="88"/>
  <c r="K9403" i="88"/>
  <c r="K9402" i="88"/>
  <c r="K9401" i="88"/>
  <c r="K9400" i="88"/>
  <c r="K9399" i="88"/>
  <c r="K9398" i="88"/>
  <c r="K9397" i="88"/>
  <c r="K9396" i="88"/>
  <c r="K9395" i="88"/>
  <c r="K9394" i="88"/>
  <c r="K9393" i="88"/>
  <c r="K9392" i="88"/>
  <c r="K9391" i="88"/>
  <c r="K9390" i="88"/>
  <c r="K9389" i="88"/>
  <c r="K9388" i="88"/>
  <c r="K9387" i="88"/>
  <c r="K9386" i="88"/>
  <c r="K9385" i="88"/>
  <c r="K9384" i="88"/>
  <c r="K9383" i="88"/>
  <c r="K9382" i="88"/>
  <c r="K9381" i="88"/>
  <c r="K9380" i="88"/>
  <c r="K9379" i="88"/>
  <c r="K9378" i="88"/>
  <c r="K9377" i="88"/>
  <c r="K9376" i="88"/>
  <c r="K9375" i="88"/>
  <c r="K9374" i="88"/>
  <c r="K9373" i="88"/>
  <c r="K9372" i="88"/>
  <c r="K9371" i="88"/>
  <c r="K9370" i="88"/>
  <c r="K9369" i="88"/>
  <c r="K9368" i="88"/>
  <c r="K9367" i="88"/>
  <c r="K9366" i="88"/>
  <c r="K9365" i="88"/>
  <c r="K9364" i="88"/>
  <c r="K9363" i="88"/>
  <c r="K9362" i="88"/>
  <c r="K9361" i="88"/>
  <c r="K9360" i="88"/>
  <c r="K9359" i="88"/>
  <c r="K9358" i="88"/>
  <c r="K9357" i="88"/>
  <c r="K9356" i="88"/>
  <c r="K9355" i="88"/>
  <c r="K9354" i="88"/>
  <c r="K9353" i="88"/>
  <c r="K9352" i="88"/>
  <c r="K9351" i="88"/>
  <c r="K9350" i="88"/>
  <c r="K9349" i="88"/>
  <c r="K9348" i="88"/>
  <c r="K9347" i="88"/>
  <c r="K9346" i="88"/>
  <c r="K9345" i="88"/>
  <c r="K9344" i="88"/>
  <c r="K9343" i="88"/>
  <c r="K9342" i="88"/>
  <c r="K9341" i="88"/>
  <c r="K9340" i="88"/>
  <c r="K9339" i="88"/>
  <c r="K9338" i="88"/>
  <c r="K9337" i="88"/>
  <c r="K9336" i="88"/>
  <c r="K9335" i="88"/>
  <c r="K9334" i="88"/>
  <c r="K9333" i="88"/>
  <c r="K9332" i="88"/>
  <c r="K9331" i="88"/>
  <c r="K9330" i="88"/>
  <c r="K9329" i="88"/>
  <c r="K9328" i="88"/>
  <c r="K9327" i="88"/>
  <c r="K9326" i="88"/>
  <c r="K9325" i="88"/>
  <c r="K9324" i="88"/>
  <c r="K9323" i="88"/>
  <c r="K9322" i="88"/>
  <c r="K9321" i="88"/>
  <c r="K9320" i="88"/>
  <c r="K9319" i="88"/>
  <c r="K9318" i="88"/>
  <c r="K9317" i="88"/>
  <c r="K9316" i="88"/>
  <c r="K9315" i="88"/>
  <c r="K9314" i="88"/>
  <c r="K9313" i="88"/>
  <c r="K9312" i="88"/>
  <c r="K9311" i="88"/>
  <c r="K9310" i="88"/>
  <c r="K9309" i="88"/>
  <c r="K9308" i="88"/>
  <c r="K9307" i="88"/>
  <c r="K9306" i="88"/>
  <c r="K9305" i="88"/>
  <c r="K9304" i="88"/>
  <c r="K9303" i="88"/>
  <c r="K9302" i="88"/>
  <c r="K9301" i="88"/>
  <c r="K9300" i="88"/>
  <c r="K9299" i="88"/>
  <c r="K9298" i="88"/>
  <c r="K9297" i="88"/>
  <c r="K9296" i="88"/>
  <c r="K9295" i="88"/>
  <c r="K9294" i="88"/>
  <c r="K9293" i="88"/>
  <c r="K9292" i="88"/>
  <c r="K9291" i="88"/>
  <c r="K9290" i="88"/>
  <c r="K9289" i="88"/>
  <c r="K9288" i="88"/>
  <c r="K9287" i="88"/>
  <c r="K9286" i="88"/>
  <c r="K9285" i="88"/>
  <c r="K9284" i="88"/>
  <c r="K9283" i="88"/>
  <c r="K9282" i="88"/>
  <c r="K9281" i="88"/>
  <c r="K9280" i="88"/>
  <c r="K9279" i="88"/>
  <c r="K9278" i="88"/>
  <c r="K9277" i="88"/>
  <c r="K9276" i="88"/>
  <c r="K9275" i="88"/>
  <c r="K9274" i="88"/>
  <c r="K9273" i="88"/>
  <c r="K9272" i="88"/>
  <c r="K9271" i="88"/>
  <c r="K9270" i="88"/>
  <c r="K9269" i="88"/>
  <c r="K9268" i="88"/>
  <c r="K9267" i="88"/>
  <c r="K9266" i="88"/>
  <c r="K9265" i="88"/>
  <c r="K9264" i="88"/>
  <c r="K9263" i="88"/>
  <c r="K9262" i="88"/>
  <c r="K9261" i="88"/>
  <c r="K9260" i="88"/>
  <c r="K9259" i="88"/>
  <c r="K9258" i="88"/>
  <c r="K9257" i="88"/>
  <c r="K9256" i="88"/>
  <c r="K9255" i="88"/>
  <c r="K9254" i="88"/>
  <c r="K9253" i="88"/>
  <c r="K9252" i="88"/>
  <c r="K9251" i="88"/>
  <c r="K9250" i="88"/>
  <c r="K9249" i="88"/>
  <c r="K9248" i="88"/>
  <c r="K9247" i="88"/>
  <c r="K9246" i="88"/>
  <c r="K9245" i="88"/>
  <c r="K9244" i="88"/>
  <c r="K9243" i="88"/>
  <c r="K9242" i="88"/>
  <c r="K9241" i="88"/>
  <c r="K9240" i="88"/>
  <c r="K9239" i="88"/>
  <c r="K9238" i="88"/>
  <c r="K9237" i="88"/>
  <c r="K9236" i="88"/>
  <c r="K9235" i="88"/>
  <c r="K9234" i="88"/>
  <c r="K9233" i="88"/>
  <c r="K9232" i="88"/>
  <c r="K9231" i="88"/>
  <c r="K9230" i="88"/>
  <c r="K9229" i="88"/>
  <c r="K9228" i="88"/>
  <c r="K9227" i="88"/>
  <c r="K9226" i="88"/>
  <c r="K9225" i="88"/>
  <c r="K9224" i="88"/>
  <c r="K9223" i="88"/>
  <c r="K9222" i="88"/>
  <c r="K9221" i="88"/>
  <c r="K9220" i="88"/>
  <c r="K9219" i="88"/>
  <c r="K9218" i="88"/>
  <c r="K9217" i="88"/>
  <c r="K9216" i="88"/>
  <c r="K9215" i="88"/>
  <c r="K9214" i="88"/>
  <c r="K9213" i="88"/>
  <c r="K9212" i="88"/>
  <c r="K9211" i="88"/>
  <c r="K9210" i="88"/>
  <c r="K9209" i="88"/>
  <c r="K9208" i="88"/>
  <c r="K9207" i="88"/>
  <c r="K9206" i="88"/>
  <c r="K9205" i="88"/>
  <c r="K9204" i="88"/>
  <c r="K9203" i="88"/>
  <c r="K9202" i="88"/>
  <c r="K9201" i="88"/>
  <c r="K9200" i="88"/>
  <c r="K9199" i="88"/>
  <c r="K9198" i="88"/>
  <c r="K9197" i="88"/>
  <c r="K9196" i="88"/>
  <c r="K9195" i="88"/>
  <c r="K9194" i="88"/>
  <c r="K9193" i="88"/>
  <c r="K9192" i="88"/>
  <c r="K9191" i="88"/>
  <c r="K9190" i="88"/>
  <c r="K9189" i="88"/>
  <c r="K9188" i="88"/>
  <c r="K9187" i="88"/>
  <c r="K9186" i="88"/>
  <c r="K9185" i="88"/>
  <c r="K9184" i="88"/>
  <c r="K9183" i="88"/>
  <c r="K9182" i="88"/>
  <c r="K9181" i="88"/>
  <c r="K9180" i="88"/>
  <c r="K9179" i="88"/>
  <c r="K9178" i="88"/>
  <c r="K9177" i="88"/>
  <c r="K9176" i="88"/>
  <c r="K9175" i="88"/>
  <c r="K9174" i="88"/>
  <c r="K9173" i="88"/>
  <c r="K9172" i="88"/>
  <c r="K9171" i="88"/>
  <c r="K9170" i="88"/>
  <c r="K9169" i="88"/>
  <c r="K9168" i="88"/>
  <c r="K9167" i="88"/>
  <c r="K9166" i="88"/>
  <c r="K9165" i="88"/>
  <c r="K9164" i="88"/>
  <c r="K9163" i="88"/>
  <c r="K9162" i="88"/>
  <c r="K9161" i="88"/>
  <c r="K9160" i="88"/>
  <c r="K9159" i="88"/>
  <c r="K9158" i="88"/>
  <c r="K9157" i="88"/>
  <c r="K9156" i="88"/>
  <c r="K9155" i="88"/>
  <c r="K9154" i="88"/>
  <c r="K9153" i="88"/>
  <c r="K9152" i="88"/>
  <c r="K9151" i="88"/>
  <c r="K9150" i="88"/>
  <c r="K9149" i="88"/>
  <c r="K9148" i="88"/>
  <c r="K9147" i="88"/>
  <c r="K9146" i="88"/>
  <c r="K9145" i="88"/>
  <c r="K9144" i="88"/>
  <c r="K9143" i="88"/>
  <c r="K9142" i="88"/>
  <c r="K9141" i="88"/>
  <c r="K9140" i="88"/>
  <c r="K9139" i="88"/>
  <c r="K9138" i="88"/>
  <c r="K9137" i="88"/>
  <c r="K9136" i="88"/>
  <c r="K9135" i="88"/>
  <c r="K9134" i="88"/>
  <c r="K9133" i="88"/>
  <c r="K9132" i="88"/>
  <c r="K9131" i="88"/>
  <c r="K9130" i="88"/>
  <c r="K9129" i="88"/>
  <c r="K9128" i="88"/>
  <c r="K9127" i="88"/>
  <c r="K9126" i="88"/>
  <c r="K9125" i="88"/>
  <c r="K9124" i="88"/>
  <c r="K9123" i="88"/>
  <c r="K9122" i="88"/>
  <c r="K9121" i="88"/>
  <c r="K9120" i="88"/>
  <c r="K9119" i="88"/>
  <c r="K9118" i="88"/>
  <c r="K9117" i="88"/>
  <c r="K9116" i="88"/>
  <c r="K9115" i="88"/>
  <c r="K9114" i="88"/>
  <c r="K9113" i="88"/>
  <c r="K9112" i="88"/>
  <c r="K9111" i="88"/>
  <c r="K9110" i="88"/>
  <c r="K9109" i="88"/>
  <c r="K9108" i="88"/>
  <c r="K9107" i="88"/>
  <c r="K9106" i="88"/>
  <c r="K9105" i="88"/>
  <c r="K9104" i="88"/>
  <c r="K9103" i="88"/>
  <c r="K9102" i="88"/>
  <c r="K9101" i="88"/>
  <c r="K9100" i="88"/>
  <c r="K9099" i="88"/>
  <c r="K9098" i="88"/>
  <c r="K9097" i="88"/>
  <c r="K9096" i="88"/>
  <c r="K9095" i="88"/>
  <c r="K9094" i="88"/>
  <c r="K9093" i="88"/>
  <c r="K9092" i="88"/>
  <c r="K9091" i="88"/>
  <c r="K9090" i="88"/>
  <c r="K9089" i="88"/>
  <c r="K9088" i="88"/>
  <c r="K9087" i="88"/>
  <c r="K9086" i="88"/>
  <c r="K9085" i="88"/>
  <c r="K9084" i="88"/>
  <c r="K9083" i="88"/>
  <c r="K9082" i="88"/>
  <c r="K9081" i="88"/>
  <c r="K9080" i="88"/>
  <c r="K9079" i="88"/>
  <c r="K9078" i="88"/>
  <c r="K9077" i="88"/>
  <c r="K9076" i="88"/>
  <c r="K9075" i="88"/>
  <c r="K9074" i="88"/>
  <c r="K9073" i="88"/>
  <c r="K9072" i="88"/>
  <c r="K9071" i="88"/>
  <c r="K9070" i="88"/>
  <c r="K9069" i="88"/>
  <c r="K9068" i="88"/>
  <c r="K9067" i="88"/>
  <c r="K9066" i="88"/>
  <c r="K9065" i="88"/>
  <c r="K9064" i="88"/>
  <c r="K9063" i="88"/>
  <c r="K9062" i="88"/>
  <c r="K9061" i="88"/>
  <c r="K9060" i="88"/>
  <c r="K9059" i="88"/>
  <c r="K9058" i="88"/>
  <c r="K9057" i="88"/>
  <c r="K9056" i="88"/>
  <c r="K9055" i="88"/>
  <c r="K9054" i="88"/>
  <c r="K9053" i="88"/>
  <c r="K9052" i="88"/>
  <c r="K9051" i="88"/>
  <c r="K9050" i="88"/>
  <c r="K9049" i="88"/>
  <c r="K9048" i="88"/>
  <c r="K9047" i="88"/>
  <c r="K9046" i="88"/>
  <c r="K9045" i="88"/>
  <c r="K9044" i="88"/>
  <c r="K9043" i="88"/>
  <c r="K9042" i="88"/>
  <c r="K9041" i="88"/>
  <c r="K9040" i="88"/>
  <c r="K9039" i="88"/>
  <c r="K9038" i="88"/>
  <c r="K9037" i="88"/>
  <c r="K9036" i="88"/>
  <c r="K9035" i="88"/>
  <c r="K9034" i="88"/>
  <c r="K9033" i="88"/>
  <c r="K9032" i="88"/>
  <c r="K9031" i="88"/>
  <c r="K9030" i="88"/>
  <c r="K9029" i="88"/>
  <c r="K9028" i="88"/>
  <c r="K9027" i="88"/>
  <c r="K9026" i="88"/>
  <c r="K9025" i="88"/>
  <c r="K9024" i="88"/>
  <c r="K9023" i="88"/>
  <c r="K9022" i="88"/>
  <c r="K9021" i="88"/>
  <c r="K9020" i="88"/>
  <c r="K9019" i="88"/>
  <c r="K9018" i="88"/>
  <c r="K9017" i="88"/>
  <c r="K9016" i="88"/>
  <c r="K9015" i="88"/>
  <c r="K9014" i="88"/>
  <c r="K9013" i="88"/>
  <c r="K9012" i="88"/>
  <c r="K9011" i="88"/>
  <c r="K9010" i="88"/>
  <c r="K9009" i="88"/>
  <c r="K9008" i="88"/>
  <c r="K9007" i="88"/>
  <c r="K9006" i="88"/>
  <c r="K9005" i="88"/>
  <c r="K9004" i="88"/>
  <c r="K9003" i="88"/>
  <c r="K9002" i="88"/>
  <c r="K9001" i="88"/>
  <c r="K9000" i="88"/>
  <c r="K8999" i="88"/>
  <c r="K8998" i="88"/>
  <c r="K8997" i="88"/>
  <c r="K8996" i="88"/>
  <c r="K8995" i="88"/>
  <c r="K8994" i="88"/>
  <c r="K8993" i="88"/>
  <c r="K8992" i="88"/>
  <c r="K8991" i="88"/>
  <c r="K8990" i="88"/>
  <c r="K8989" i="88"/>
  <c r="K8988" i="88"/>
  <c r="K8987" i="88"/>
  <c r="K8986" i="88"/>
  <c r="K8985" i="88"/>
  <c r="K8984" i="88"/>
  <c r="K8983" i="88"/>
  <c r="K8982" i="88"/>
  <c r="K8981" i="88"/>
  <c r="K8980" i="88"/>
  <c r="K8979" i="88"/>
  <c r="K8978" i="88"/>
  <c r="K8977" i="88"/>
  <c r="K8976" i="88"/>
  <c r="K8975" i="88"/>
  <c r="K8974" i="88"/>
  <c r="K8973" i="88"/>
  <c r="K8972" i="88"/>
  <c r="K8971" i="88"/>
  <c r="K8970" i="88"/>
  <c r="K8969" i="88"/>
  <c r="K8968" i="88"/>
  <c r="K8967" i="88"/>
  <c r="K8966" i="88"/>
  <c r="K8965" i="88"/>
  <c r="K8964" i="88"/>
  <c r="K8963" i="88"/>
  <c r="K8962" i="88"/>
  <c r="K8961" i="88"/>
  <c r="K8960" i="88"/>
  <c r="K8959" i="88"/>
  <c r="K8958" i="88"/>
  <c r="K8957" i="88"/>
  <c r="K8956" i="88"/>
  <c r="K8955" i="88"/>
  <c r="K8954" i="88"/>
  <c r="K8953" i="88"/>
  <c r="K8952" i="88"/>
  <c r="K8951" i="88"/>
  <c r="K8950" i="88"/>
  <c r="K8949" i="88"/>
  <c r="K8948" i="88"/>
  <c r="K8947" i="88"/>
  <c r="K8946" i="88"/>
  <c r="K8945" i="88"/>
  <c r="K8944" i="88"/>
  <c r="K8943" i="88"/>
  <c r="K8942" i="88"/>
  <c r="K8941" i="88"/>
  <c r="K8940" i="88"/>
  <c r="K8939" i="88"/>
  <c r="K8938" i="88"/>
  <c r="K8937" i="88"/>
  <c r="K8936" i="88"/>
  <c r="K8935" i="88"/>
  <c r="K8934" i="88"/>
  <c r="K8933" i="88"/>
  <c r="K8932" i="88"/>
  <c r="K8931" i="88"/>
  <c r="K8930" i="88"/>
  <c r="K8929" i="88"/>
  <c r="K8928" i="88"/>
  <c r="K8927" i="88"/>
  <c r="K8926" i="88"/>
  <c r="K8925" i="88"/>
  <c r="K8924" i="88"/>
  <c r="K8923" i="88"/>
  <c r="K8922" i="88"/>
  <c r="K8921" i="88"/>
  <c r="K8920" i="88"/>
  <c r="K8919" i="88"/>
  <c r="K8918" i="88"/>
  <c r="K8917" i="88"/>
  <c r="K8916" i="88"/>
  <c r="K8915" i="88"/>
  <c r="K8914" i="88"/>
  <c r="K8913" i="88"/>
  <c r="K8912" i="88"/>
  <c r="K8911" i="88"/>
  <c r="K8910" i="88"/>
  <c r="K8909" i="88"/>
  <c r="K8908" i="88"/>
  <c r="K8907" i="88"/>
  <c r="K8906" i="88"/>
  <c r="K8905" i="88"/>
  <c r="K8904" i="88"/>
  <c r="K8903" i="88"/>
  <c r="K8902" i="88"/>
  <c r="K8901" i="88"/>
  <c r="K8900" i="88"/>
  <c r="K8899" i="88"/>
  <c r="K8898" i="88"/>
  <c r="K8897" i="88"/>
  <c r="K8896" i="88"/>
  <c r="K8895" i="88"/>
  <c r="K8894" i="88"/>
  <c r="K8893" i="88"/>
  <c r="K8892" i="88"/>
  <c r="K8891" i="88"/>
  <c r="K8890" i="88"/>
  <c r="K8889" i="88"/>
  <c r="K8888" i="88"/>
  <c r="K8887" i="88"/>
  <c r="K8886" i="88"/>
  <c r="K8885" i="88"/>
  <c r="K8884" i="88"/>
  <c r="K8883" i="88"/>
  <c r="K8882" i="88"/>
  <c r="K8881" i="88"/>
  <c r="K8880" i="88"/>
  <c r="K8879" i="88"/>
  <c r="K8878" i="88"/>
  <c r="K8877" i="88"/>
  <c r="K8876" i="88"/>
  <c r="K8875" i="88"/>
  <c r="K8874" i="88"/>
  <c r="K8873" i="88"/>
  <c r="K8872" i="88"/>
  <c r="K8871" i="88"/>
  <c r="K8870" i="88"/>
  <c r="K8869" i="88"/>
  <c r="K8868" i="88"/>
  <c r="K8867" i="88"/>
  <c r="K8866" i="88"/>
  <c r="K8865" i="88"/>
  <c r="K8864" i="88"/>
  <c r="K8863" i="88"/>
  <c r="K8862" i="88"/>
  <c r="K8861" i="88"/>
  <c r="K8860" i="88"/>
  <c r="K8859" i="88"/>
  <c r="K8858" i="88"/>
  <c r="K8857" i="88"/>
  <c r="K8856" i="88"/>
  <c r="K8855" i="88"/>
  <c r="K8854" i="88"/>
  <c r="K8853" i="88"/>
  <c r="K8852" i="88"/>
  <c r="K8851" i="88"/>
  <c r="K8850" i="88"/>
  <c r="K8849" i="88"/>
  <c r="K8848" i="88"/>
  <c r="K8847" i="88"/>
  <c r="K8846" i="88"/>
  <c r="K8845" i="88"/>
  <c r="K8844" i="88"/>
  <c r="K8843" i="88"/>
  <c r="K8842" i="88"/>
  <c r="K8841" i="88"/>
  <c r="K8840" i="88"/>
  <c r="K8839" i="88"/>
  <c r="K8838" i="88"/>
  <c r="K8837" i="88"/>
  <c r="K8836" i="88"/>
  <c r="K8835" i="88"/>
  <c r="K8834" i="88"/>
  <c r="K8833" i="88"/>
  <c r="K8832" i="88"/>
  <c r="K8831" i="88"/>
  <c r="K8830" i="88"/>
  <c r="K8829" i="88"/>
  <c r="K8828" i="88"/>
  <c r="K8827" i="88"/>
  <c r="K8826" i="88"/>
  <c r="K8825" i="88"/>
  <c r="K8824" i="88"/>
  <c r="K8823" i="88"/>
  <c r="K8822" i="88"/>
  <c r="K8821" i="88"/>
  <c r="K8820" i="88"/>
  <c r="K8819" i="88"/>
  <c r="K8818" i="88"/>
  <c r="K8817" i="88"/>
  <c r="K8816" i="88"/>
  <c r="K8815" i="88"/>
  <c r="K8814" i="88"/>
  <c r="K8813" i="88"/>
  <c r="K8812" i="88"/>
  <c r="K8811" i="88"/>
  <c r="K8810" i="88"/>
  <c r="K8809" i="88"/>
  <c r="K8808" i="88"/>
  <c r="K8807" i="88"/>
  <c r="K8806" i="88"/>
  <c r="K8805" i="88"/>
  <c r="K8804" i="88"/>
  <c r="K8803" i="88"/>
  <c r="K8802" i="88"/>
  <c r="K8801" i="88"/>
  <c r="K8800" i="88"/>
  <c r="K8799" i="88"/>
  <c r="K8798" i="88"/>
  <c r="K8797" i="88"/>
  <c r="K8796" i="88"/>
  <c r="K8795" i="88"/>
  <c r="K8794" i="88"/>
  <c r="K8793" i="88"/>
  <c r="K8792" i="88"/>
  <c r="K8791" i="88"/>
  <c r="K8790" i="88"/>
  <c r="K8789" i="88"/>
  <c r="K8788" i="88"/>
  <c r="K8787" i="88"/>
  <c r="K8786" i="88"/>
  <c r="K8785" i="88"/>
  <c r="K8784" i="88"/>
  <c r="K8783" i="88"/>
  <c r="K8782" i="88"/>
  <c r="K8781" i="88"/>
  <c r="K8780" i="88"/>
  <c r="K8779" i="88"/>
  <c r="K8778" i="88"/>
  <c r="K8777" i="88"/>
  <c r="K8776" i="88"/>
  <c r="K8775" i="88"/>
  <c r="K8774" i="88"/>
  <c r="K8773" i="88"/>
  <c r="K8772" i="88"/>
  <c r="K8771" i="88"/>
  <c r="K8770" i="88"/>
  <c r="K8769" i="88"/>
  <c r="K8768" i="88"/>
  <c r="K8767" i="88"/>
  <c r="K8766" i="88"/>
  <c r="K8765" i="88"/>
  <c r="K8764" i="88"/>
  <c r="K8763" i="88"/>
  <c r="K8762" i="88"/>
  <c r="K8761" i="88"/>
  <c r="K8760" i="88"/>
  <c r="K8759" i="88"/>
  <c r="K8758" i="88"/>
  <c r="K8757" i="88"/>
  <c r="K8756" i="88"/>
  <c r="K8755" i="88"/>
  <c r="K8754" i="88"/>
  <c r="K8753" i="88"/>
  <c r="K8752" i="88"/>
  <c r="K8751" i="88"/>
  <c r="K8750" i="88"/>
  <c r="K8749" i="88"/>
  <c r="K8748" i="88"/>
  <c r="K8747" i="88"/>
  <c r="K8746" i="88"/>
  <c r="K8745" i="88"/>
  <c r="K8744" i="88"/>
  <c r="K8743" i="88"/>
  <c r="K8742" i="88"/>
  <c r="K8741" i="88"/>
  <c r="K8740" i="88"/>
  <c r="K8739" i="88"/>
  <c r="K8738" i="88"/>
  <c r="K8737" i="88"/>
  <c r="K8736" i="88"/>
  <c r="K8735" i="88"/>
  <c r="K8734" i="88"/>
  <c r="K8733" i="88"/>
  <c r="K8732" i="88"/>
  <c r="K8731" i="88"/>
  <c r="K8730" i="88"/>
  <c r="K8729" i="88"/>
  <c r="K8728" i="88"/>
  <c r="K8727" i="88"/>
  <c r="K8726" i="88"/>
  <c r="K8725" i="88"/>
  <c r="K8724" i="88"/>
  <c r="K8723" i="88"/>
  <c r="K8722" i="88"/>
  <c r="K8721" i="88"/>
  <c r="K8720" i="88"/>
  <c r="K8719" i="88"/>
  <c r="K8718" i="88"/>
  <c r="K8717" i="88"/>
  <c r="K8716" i="88"/>
  <c r="K8715" i="88"/>
  <c r="K8714" i="88"/>
  <c r="K8713" i="88"/>
  <c r="K8712" i="88"/>
  <c r="K8711" i="88"/>
  <c r="K8710" i="88"/>
  <c r="K8709" i="88"/>
  <c r="K8708" i="88"/>
  <c r="K8707" i="88"/>
  <c r="K8706" i="88"/>
  <c r="K8705" i="88"/>
  <c r="K8704" i="88"/>
  <c r="K8703" i="88"/>
  <c r="K8702" i="88"/>
  <c r="K8701" i="88"/>
  <c r="K8700" i="88"/>
  <c r="K8699" i="88"/>
  <c r="K8698" i="88"/>
  <c r="K8697" i="88"/>
  <c r="K8696" i="88"/>
  <c r="K8695" i="88"/>
  <c r="K8694" i="88"/>
  <c r="K8693" i="88"/>
  <c r="K8692" i="88"/>
  <c r="K8691" i="88"/>
  <c r="K8690" i="88"/>
  <c r="K8689" i="88"/>
  <c r="K8688" i="88"/>
  <c r="K8687" i="88"/>
  <c r="K8686" i="88"/>
  <c r="K8685" i="88"/>
  <c r="K8684" i="88"/>
  <c r="K8683" i="88"/>
  <c r="K8682" i="88"/>
  <c r="K8681" i="88"/>
  <c r="K8680" i="88"/>
  <c r="K8679" i="88"/>
  <c r="K8678" i="88"/>
  <c r="K8677" i="88"/>
  <c r="K8676" i="88"/>
  <c r="K8675" i="88"/>
  <c r="K8674" i="88"/>
  <c r="K8673" i="88"/>
  <c r="K8672" i="88"/>
  <c r="K8671" i="88"/>
  <c r="K8670" i="88"/>
  <c r="K8669" i="88"/>
  <c r="K8668" i="88"/>
  <c r="K8667" i="88"/>
  <c r="K8666" i="88"/>
  <c r="K8665" i="88"/>
  <c r="K8664" i="88"/>
  <c r="K8663" i="88"/>
  <c r="K8662" i="88"/>
  <c r="K8661" i="88"/>
  <c r="K8660" i="88"/>
  <c r="K8659" i="88"/>
  <c r="K8658" i="88"/>
  <c r="K8657" i="88"/>
  <c r="K8656" i="88"/>
  <c r="K8655" i="88"/>
  <c r="K8654" i="88"/>
  <c r="K8653" i="88"/>
  <c r="K8652" i="88"/>
  <c r="K8651" i="88"/>
  <c r="K8650" i="88"/>
  <c r="K8649" i="88"/>
  <c r="K8648" i="88"/>
  <c r="K8647" i="88"/>
  <c r="K8646" i="88"/>
  <c r="K8645" i="88"/>
  <c r="K8644" i="88"/>
  <c r="K8643" i="88"/>
  <c r="K8642" i="88"/>
  <c r="K8641" i="88"/>
  <c r="K8640" i="88"/>
  <c r="K8639" i="88"/>
  <c r="K8638" i="88"/>
  <c r="K8637" i="88"/>
  <c r="K8636" i="88"/>
  <c r="K8635" i="88"/>
  <c r="K8634" i="88"/>
  <c r="K8633" i="88"/>
  <c r="K8632" i="88"/>
  <c r="K8631" i="88"/>
  <c r="K8630" i="88"/>
  <c r="K8629" i="88"/>
  <c r="K8628" i="88"/>
  <c r="K8627" i="88"/>
  <c r="K8626" i="88"/>
  <c r="K8625" i="88"/>
  <c r="K8624" i="88"/>
  <c r="K8623" i="88"/>
  <c r="K8622" i="88"/>
  <c r="K8621" i="88"/>
  <c r="K8620" i="88"/>
  <c r="K8619" i="88"/>
  <c r="K8618" i="88"/>
  <c r="K8617" i="88"/>
  <c r="K8616" i="88"/>
  <c r="K8615" i="88"/>
  <c r="K8614" i="88"/>
  <c r="K8613" i="88"/>
  <c r="K8612" i="88"/>
  <c r="K8611" i="88"/>
  <c r="K8610" i="88"/>
  <c r="K8609" i="88"/>
  <c r="K8608" i="88"/>
  <c r="K8607" i="88"/>
  <c r="K8606" i="88"/>
  <c r="K8605" i="88"/>
  <c r="K8604" i="88"/>
  <c r="K8603" i="88"/>
  <c r="K8602" i="88"/>
  <c r="K8601" i="88"/>
  <c r="K8600" i="88"/>
  <c r="K8599" i="88"/>
  <c r="K8598" i="88"/>
  <c r="K8597" i="88"/>
  <c r="K8596" i="88"/>
  <c r="K8595" i="88"/>
  <c r="K8594" i="88"/>
  <c r="K8593" i="88"/>
  <c r="K8592" i="88"/>
  <c r="K8591" i="88"/>
  <c r="K8590" i="88"/>
  <c r="K8589" i="88"/>
  <c r="K8588" i="88"/>
  <c r="K8587" i="88"/>
  <c r="K8586" i="88"/>
  <c r="K8585" i="88"/>
  <c r="K8584" i="88"/>
  <c r="K8583" i="88"/>
  <c r="K8582" i="88"/>
  <c r="K8581" i="88"/>
  <c r="K8580" i="88"/>
  <c r="K8579" i="88"/>
  <c r="K8578" i="88"/>
  <c r="K8577" i="88"/>
  <c r="K8576" i="88"/>
  <c r="K8575" i="88"/>
  <c r="K8574" i="88"/>
  <c r="K8573" i="88"/>
  <c r="K8572" i="88"/>
  <c r="K8571" i="88"/>
  <c r="K8570" i="88"/>
  <c r="K8569" i="88"/>
  <c r="K8568" i="88"/>
  <c r="K8567" i="88"/>
  <c r="K8566" i="88"/>
  <c r="K8565" i="88"/>
  <c r="K8564" i="88"/>
  <c r="K8563" i="88"/>
  <c r="K8562" i="88"/>
  <c r="K8561" i="88"/>
  <c r="K8560" i="88"/>
  <c r="K8559" i="88"/>
  <c r="K8558" i="88"/>
  <c r="K8557" i="88"/>
  <c r="K8556" i="88"/>
  <c r="K8555" i="88"/>
  <c r="K8554" i="88"/>
  <c r="K8553" i="88"/>
  <c r="K8552" i="88"/>
  <c r="K8551" i="88"/>
  <c r="K8550" i="88"/>
  <c r="K8549" i="88"/>
  <c r="K8548" i="88"/>
  <c r="K8547" i="88"/>
  <c r="K8546" i="88"/>
  <c r="K8545" i="88"/>
  <c r="K8544" i="88"/>
  <c r="K8543" i="88"/>
  <c r="K8542" i="88"/>
  <c r="K8541" i="88"/>
  <c r="K8540" i="88"/>
  <c r="K8539" i="88"/>
  <c r="K8538" i="88"/>
  <c r="K8537" i="88"/>
  <c r="K8536" i="88"/>
  <c r="K8535" i="88"/>
  <c r="K8534" i="88"/>
  <c r="K8533" i="88"/>
  <c r="K8532" i="88"/>
  <c r="K8531" i="88"/>
  <c r="K8530" i="88"/>
  <c r="K8529" i="88"/>
  <c r="K8528" i="88"/>
  <c r="K8527" i="88"/>
  <c r="K8526" i="88"/>
  <c r="K8525" i="88"/>
  <c r="K8524" i="88"/>
  <c r="K8523" i="88"/>
  <c r="K8522" i="88"/>
  <c r="K8521" i="88"/>
  <c r="K8520" i="88"/>
  <c r="K8519" i="88"/>
  <c r="K8518" i="88"/>
  <c r="K8517" i="88"/>
  <c r="K8516" i="88"/>
  <c r="K8515" i="88"/>
  <c r="K8514" i="88"/>
  <c r="K8513" i="88"/>
  <c r="K8512" i="88"/>
  <c r="K8511" i="88"/>
  <c r="K8510" i="88"/>
  <c r="K8509" i="88"/>
  <c r="K8508" i="88"/>
  <c r="K8507" i="88"/>
  <c r="K8506" i="88"/>
  <c r="K8505" i="88"/>
  <c r="K8504" i="88"/>
  <c r="K8503" i="88"/>
  <c r="K8502" i="88"/>
  <c r="K8501" i="88"/>
  <c r="K8500" i="88"/>
  <c r="K8499" i="88"/>
  <c r="K8498" i="88"/>
  <c r="K8497" i="88"/>
  <c r="K8496" i="88"/>
  <c r="K8495" i="88"/>
  <c r="K8494" i="88"/>
  <c r="K8493" i="88"/>
  <c r="K8492" i="88"/>
  <c r="K8491" i="88"/>
  <c r="K8490" i="88"/>
  <c r="K8489" i="88"/>
  <c r="K8488" i="88"/>
  <c r="K8487" i="88"/>
  <c r="K8486" i="88"/>
  <c r="K8485" i="88"/>
  <c r="K8484" i="88"/>
  <c r="K8483" i="88"/>
  <c r="K8482" i="88"/>
  <c r="K8481" i="88"/>
  <c r="K8480" i="88"/>
  <c r="K8479" i="88"/>
  <c r="K8478" i="88"/>
  <c r="K8477" i="88"/>
  <c r="K8476" i="88"/>
  <c r="K8475" i="88"/>
  <c r="K8474" i="88"/>
  <c r="K8473" i="88"/>
  <c r="K8472" i="88"/>
  <c r="K8471" i="88"/>
  <c r="K8470" i="88"/>
  <c r="K8469" i="88"/>
  <c r="K8468" i="88"/>
  <c r="K8467" i="88"/>
  <c r="K8466" i="88"/>
  <c r="K8465" i="88"/>
  <c r="K8464" i="88"/>
  <c r="K8463" i="88"/>
  <c r="K8462" i="88"/>
  <c r="K8461" i="88"/>
  <c r="K8460" i="88"/>
  <c r="K8459" i="88"/>
  <c r="K8458" i="88"/>
  <c r="K8457" i="88"/>
  <c r="K8456" i="88"/>
  <c r="K8455" i="88"/>
  <c r="K8454" i="88"/>
  <c r="K8453" i="88"/>
  <c r="K8452" i="88"/>
  <c r="K8451" i="88"/>
  <c r="K8450" i="88"/>
  <c r="K8449" i="88"/>
  <c r="K8448" i="88"/>
  <c r="K8447" i="88"/>
  <c r="K8446" i="88"/>
  <c r="K8445" i="88"/>
  <c r="K8444" i="88"/>
  <c r="K8443" i="88"/>
  <c r="K8442" i="88"/>
  <c r="K8441" i="88"/>
  <c r="K8440" i="88"/>
  <c r="K8439" i="88"/>
  <c r="K8438" i="88"/>
  <c r="K8437" i="88"/>
  <c r="K8436" i="88"/>
  <c r="K8435" i="88"/>
  <c r="K8434" i="88"/>
  <c r="K8433" i="88"/>
  <c r="K8432" i="88"/>
  <c r="K8431" i="88"/>
  <c r="K8430" i="88"/>
  <c r="K8429" i="88"/>
  <c r="K8428" i="88"/>
  <c r="K8427" i="88"/>
  <c r="K8426" i="88"/>
  <c r="K8425" i="88"/>
  <c r="K8424" i="88"/>
  <c r="K8423" i="88"/>
  <c r="K8422" i="88"/>
  <c r="K8421" i="88"/>
  <c r="K8420" i="88"/>
  <c r="K8419" i="88"/>
  <c r="K8418" i="88"/>
  <c r="K8417" i="88"/>
  <c r="K8416" i="88"/>
  <c r="K8415" i="88"/>
  <c r="K8414" i="88"/>
  <c r="K8413" i="88"/>
  <c r="K8412" i="88"/>
  <c r="K8411" i="88"/>
  <c r="K8410" i="88"/>
  <c r="K8409" i="88"/>
  <c r="K8408" i="88"/>
  <c r="K8407" i="88"/>
  <c r="K8406" i="88"/>
  <c r="K8405" i="88"/>
  <c r="K8404" i="88"/>
  <c r="K8403" i="88"/>
  <c r="K8402" i="88"/>
  <c r="K8401" i="88"/>
  <c r="K8400" i="88"/>
  <c r="K8399" i="88"/>
  <c r="K8398" i="88"/>
  <c r="K8397" i="88"/>
  <c r="K8396" i="88"/>
  <c r="K8395" i="88"/>
  <c r="K8394" i="88"/>
  <c r="K8393" i="88"/>
  <c r="K8392" i="88"/>
  <c r="K8391" i="88"/>
  <c r="K8390" i="88"/>
  <c r="K8389" i="88"/>
  <c r="K8388" i="88"/>
  <c r="K8387" i="88"/>
  <c r="K8386" i="88"/>
  <c r="K8385" i="88"/>
  <c r="K8384" i="88"/>
  <c r="K8383" i="88"/>
  <c r="K8382" i="88"/>
  <c r="K8381" i="88"/>
  <c r="K8380" i="88"/>
  <c r="K8379" i="88"/>
  <c r="K8378" i="88"/>
  <c r="K8377" i="88"/>
  <c r="K8376" i="88"/>
  <c r="K8375" i="88"/>
  <c r="K8374" i="88"/>
  <c r="K8373" i="88"/>
  <c r="K8372" i="88"/>
  <c r="K8371" i="88"/>
  <c r="K8370" i="88"/>
  <c r="K8369" i="88"/>
  <c r="K8368" i="88"/>
  <c r="K8367" i="88"/>
  <c r="K8366" i="88"/>
  <c r="K8365" i="88"/>
  <c r="K8364" i="88"/>
  <c r="K8363" i="88"/>
  <c r="K8362" i="88"/>
  <c r="K8361" i="88"/>
  <c r="K8360" i="88"/>
  <c r="K8359" i="88"/>
  <c r="K8358" i="88"/>
  <c r="K8357" i="88"/>
  <c r="K8356" i="88"/>
  <c r="K8355" i="88"/>
  <c r="K8354" i="88"/>
  <c r="K8353" i="88"/>
  <c r="K8352" i="88"/>
  <c r="K8351" i="88"/>
  <c r="K8350" i="88"/>
  <c r="K8349" i="88"/>
  <c r="K8348" i="88"/>
  <c r="K8347" i="88"/>
  <c r="K8346" i="88"/>
  <c r="K8345" i="88"/>
  <c r="K8344" i="88"/>
  <c r="K8343" i="88"/>
  <c r="K8342" i="88"/>
  <c r="K8341" i="88"/>
  <c r="K8340" i="88"/>
  <c r="K8339" i="88"/>
  <c r="K8338" i="88"/>
  <c r="K8337" i="88"/>
  <c r="K8336" i="88"/>
  <c r="K8335" i="88"/>
  <c r="K8334" i="88"/>
  <c r="K8333" i="88"/>
  <c r="K8332" i="88"/>
  <c r="K8331" i="88"/>
  <c r="K8330" i="88"/>
  <c r="K8329" i="88"/>
  <c r="K8328" i="88"/>
  <c r="K8327" i="88"/>
  <c r="K8326" i="88"/>
  <c r="K8325" i="88"/>
  <c r="K8324" i="88"/>
  <c r="K8323" i="88"/>
  <c r="K8322" i="88"/>
  <c r="K8321" i="88"/>
  <c r="K8320" i="88"/>
  <c r="K8319" i="88"/>
  <c r="K8318" i="88"/>
  <c r="K8317" i="88"/>
  <c r="K8316" i="88"/>
  <c r="K8315" i="88"/>
  <c r="K8314" i="88"/>
  <c r="K8313" i="88"/>
  <c r="K8312" i="88"/>
  <c r="K8311" i="88"/>
  <c r="K8310" i="88"/>
  <c r="K8309" i="88"/>
  <c r="K8308" i="88"/>
  <c r="K8307" i="88"/>
  <c r="K8306" i="88"/>
  <c r="K8305" i="88"/>
  <c r="K8304" i="88"/>
  <c r="K8303" i="88"/>
  <c r="K8302" i="88"/>
  <c r="K8301" i="88"/>
  <c r="K8300" i="88"/>
  <c r="K8299" i="88"/>
  <c r="K8298" i="88"/>
  <c r="K8297" i="88"/>
  <c r="K8296" i="88"/>
  <c r="K8295" i="88"/>
  <c r="K8294" i="88"/>
  <c r="K8293" i="88"/>
  <c r="K8292" i="88"/>
  <c r="K8291" i="88"/>
  <c r="K8290" i="88"/>
  <c r="K8289" i="88"/>
  <c r="K8288" i="88"/>
  <c r="K8287" i="88"/>
  <c r="K8286" i="88"/>
  <c r="K8285" i="88"/>
  <c r="K8284" i="88"/>
  <c r="K8283" i="88"/>
  <c r="K8282" i="88"/>
  <c r="K8281" i="88"/>
  <c r="K8280" i="88"/>
  <c r="K8279" i="88"/>
  <c r="K8278" i="88"/>
  <c r="K8277" i="88"/>
  <c r="K8276" i="88"/>
  <c r="K8275" i="88"/>
  <c r="K8274" i="88"/>
  <c r="K8273" i="88"/>
  <c r="K8272" i="88"/>
  <c r="K8271" i="88"/>
  <c r="K8270" i="88"/>
  <c r="K8269" i="88"/>
  <c r="K8268" i="88"/>
  <c r="K8267" i="88"/>
  <c r="K8266" i="88"/>
  <c r="K8265" i="88"/>
  <c r="K8264" i="88"/>
  <c r="K8263" i="88"/>
  <c r="K8262" i="88"/>
  <c r="K8261" i="88"/>
  <c r="K8260" i="88"/>
  <c r="K8259" i="88"/>
  <c r="K8258" i="88"/>
  <c r="K8257" i="88"/>
  <c r="K8256" i="88"/>
  <c r="K8255" i="88"/>
  <c r="K8254" i="88"/>
  <c r="K8253" i="88"/>
  <c r="K8252" i="88"/>
  <c r="K8251" i="88"/>
  <c r="K8250" i="88"/>
  <c r="K8249" i="88"/>
  <c r="K8248" i="88"/>
  <c r="K8247" i="88"/>
  <c r="K8246" i="88"/>
  <c r="K8245" i="88"/>
  <c r="K8244" i="88"/>
  <c r="K8243" i="88"/>
  <c r="K8242" i="88"/>
  <c r="K8241" i="88"/>
  <c r="K8240" i="88"/>
  <c r="K8239" i="88"/>
  <c r="K8238" i="88"/>
  <c r="K8237" i="88"/>
  <c r="K8236" i="88"/>
  <c r="K8235" i="88"/>
  <c r="K8234" i="88"/>
  <c r="K8233" i="88"/>
  <c r="K8232" i="88"/>
  <c r="K8231" i="88"/>
  <c r="K8230" i="88"/>
  <c r="K8229" i="88"/>
  <c r="K8228" i="88"/>
  <c r="K8227" i="88"/>
  <c r="K8226" i="88"/>
  <c r="K8225" i="88"/>
  <c r="K8224" i="88"/>
  <c r="K8223" i="88"/>
  <c r="K8222" i="88"/>
  <c r="K8221" i="88"/>
  <c r="K8220" i="88"/>
  <c r="K8219" i="88"/>
  <c r="K8218" i="88"/>
  <c r="K8217" i="88"/>
  <c r="K8216" i="88"/>
  <c r="K8215" i="88"/>
  <c r="K8214" i="88"/>
  <c r="K8213" i="88"/>
  <c r="K8212" i="88"/>
  <c r="K8211" i="88"/>
  <c r="K8210" i="88"/>
  <c r="K8209" i="88"/>
  <c r="K8208" i="88"/>
  <c r="K8207" i="88"/>
  <c r="K8206" i="88"/>
  <c r="K8205" i="88"/>
  <c r="K8204" i="88"/>
  <c r="K8203" i="88"/>
  <c r="K8202" i="88"/>
  <c r="K8201" i="88"/>
  <c r="K8200" i="88"/>
  <c r="K8199" i="88"/>
  <c r="K8198" i="88"/>
  <c r="K8197" i="88"/>
  <c r="K8196" i="88"/>
  <c r="K8195" i="88"/>
  <c r="K8194" i="88"/>
  <c r="K8193" i="88"/>
  <c r="K8192" i="88"/>
  <c r="K8191" i="88"/>
  <c r="K8190" i="88"/>
  <c r="K8189" i="88"/>
  <c r="K8188" i="88"/>
  <c r="K8187" i="88"/>
  <c r="K8186" i="88"/>
  <c r="K8185" i="88"/>
  <c r="K8184" i="88"/>
  <c r="K8183" i="88"/>
  <c r="K8182" i="88"/>
  <c r="K8181" i="88"/>
  <c r="K8180" i="88"/>
  <c r="K8179" i="88"/>
  <c r="K8178" i="88"/>
  <c r="K8177" i="88"/>
  <c r="K8176" i="88"/>
  <c r="K8175" i="88"/>
  <c r="K8174" i="88"/>
  <c r="K8173" i="88"/>
  <c r="K8172" i="88"/>
  <c r="K8171" i="88"/>
  <c r="K8170" i="88"/>
  <c r="K8169" i="88"/>
  <c r="K8168" i="88"/>
  <c r="K8167" i="88"/>
  <c r="K8166" i="88"/>
  <c r="K8165" i="88"/>
  <c r="K8164" i="88"/>
  <c r="K8163" i="88"/>
  <c r="K8162" i="88"/>
  <c r="K8161" i="88"/>
  <c r="K8160" i="88"/>
  <c r="K8159" i="88"/>
  <c r="K8158" i="88"/>
  <c r="K8157" i="88"/>
  <c r="K8156" i="88"/>
  <c r="K8155" i="88"/>
  <c r="K8154" i="88"/>
  <c r="K8153" i="88"/>
  <c r="K8152" i="88"/>
  <c r="K8151" i="88"/>
  <c r="K8150" i="88"/>
  <c r="K8149" i="88"/>
  <c r="K8148" i="88"/>
  <c r="K8147" i="88"/>
  <c r="K8146" i="88"/>
  <c r="K8145" i="88"/>
  <c r="K8144" i="88"/>
  <c r="K8143" i="88"/>
  <c r="K8142" i="88"/>
  <c r="K8141" i="88"/>
  <c r="K8140" i="88"/>
  <c r="K8139" i="88"/>
  <c r="K8138" i="88"/>
  <c r="K8137" i="88"/>
  <c r="K8136" i="88"/>
  <c r="K8135" i="88"/>
  <c r="K8134" i="88"/>
  <c r="K8133" i="88"/>
  <c r="K8132" i="88"/>
  <c r="K8131" i="88"/>
  <c r="K8130" i="88"/>
  <c r="K8129" i="88"/>
  <c r="K8128" i="88"/>
  <c r="K8127" i="88"/>
  <c r="K8126" i="88"/>
  <c r="K8125" i="88"/>
  <c r="K8124" i="88"/>
  <c r="K8123" i="88"/>
  <c r="K8122" i="88"/>
  <c r="K8121" i="88"/>
  <c r="K8120" i="88"/>
  <c r="K8119" i="88"/>
  <c r="K8118" i="88"/>
  <c r="K8117" i="88"/>
  <c r="K8116" i="88"/>
  <c r="K8115" i="88"/>
  <c r="K8114" i="88"/>
  <c r="K8113" i="88"/>
  <c r="K8112" i="88"/>
  <c r="K8111" i="88"/>
  <c r="K8110" i="88"/>
  <c r="K8109" i="88"/>
  <c r="K8108" i="88"/>
  <c r="K8107" i="88"/>
  <c r="K8106" i="88"/>
  <c r="K8105" i="88"/>
  <c r="K8104" i="88"/>
  <c r="K8103" i="88"/>
  <c r="K8102" i="88"/>
  <c r="K8101" i="88"/>
  <c r="K8100" i="88"/>
  <c r="K8099" i="88"/>
  <c r="K8098" i="88"/>
  <c r="K8097" i="88"/>
  <c r="K8096" i="88"/>
  <c r="K8095" i="88"/>
  <c r="K8094" i="88"/>
  <c r="K8093" i="88"/>
  <c r="K8092" i="88"/>
  <c r="K8091" i="88"/>
  <c r="K8090" i="88"/>
  <c r="K8089" i="88"/>
  <c r="K8088" i="88"/>
  <c r="K8087" i="88"/>
  <c r="K8086" i="88"/>
  <c r="K8085" i="88"/>
  <c r="K8084" i="88"/>
  <c r="K8083" i="88"/>
  <c r="K8082" i="88"/>
  <c r="K8081" i="88"/>
  <c r="K8080" i="88"/>
  <c r="K8079" i="88"/>
  <c r="K8078" i="88"/>
  <c r="K8077" i="88"/>
  <c r="K8076" i="88"/>
  <c r="K8075" i="88"/>
  <c r="K8074" i="88"/>
  <c r="K8073" i="88"/>
  <c r="K8072" i="88"/>
  <c r="K8071" i="88"/>
  <c r="K8070" i="88"/>
  <c r="K8069" i="88"/>
  <c r="K8068" i="88"/>
  <c r="K8067" i="88"/>
  <c r="K8066" i="88"/>
  <c r="K8065" i="88"/>
  <c r="K8064" i="88"/>
  <c r="K8063" i="88"/>
  <c r="K8062" i="88"/>
  <c r="K8061" i="88"/>
  <c r="K8060" i="88"/>
  <c r="K8059" i="88"/>
  <c r="K8058" i="88"/>
  <c r="K8057" i="88"/>
  <c r="K8056" i="88"/>
  <c r="K8055" i="88"/>
  <c r="K8054" i="88"/>
  <c r="K8053" i="88"/>
  <c r="K8052" i="88"/>
  <c r="K8051" i="88"/>
  <c r="K8050" i="88"/>
  <c r="K8049" i="88"/>
  <c r="K8048" i="88"/>
  <c r="K8047" i="88"/>
  <c r="K8046" i="88"/>
  <c r="K8045" i="88"/>
  <c r="K8044" i="88"/>
  <c r="K8043" i="88"/>
  <c r="K8042" i="88"/>
  <c r="K8041" i="88"/>
  <c r="K8040" i="88"/>
  <c r="K8039" i="88"/>
  <c r="K8038" i="88"/>
  <c r="K8037" i="88"/>
  <c r="K8036" i="88"/>
  <c r="K8035" i="88"/>
  <c r="K8034" i="88"/>
  <c r="K8033" i="88"/>
  <c r="K8032" i="88"/>
  <c r="K8031" i="88"/>
  <c r="K8030" i="88"/>
  <c r="K8029" i="88"/>
  <c r="K8028" i="88"/>
  <c r="K8027" i="88"/>
  <c r="K8026" i="88"/>
  <c r="K8025" i="88"/>
  <c r="K8024" i="88"/>
  <c r="K8023" i="88"/>
  <c r="K8022" i="88"/>
  <c r="K8021" i="88"/>
  <c r="K8020" i="88"/>
  <c r="K8019" i="88"/>
  <c r="K8018" i="88"/>
  <c r="K8017" i="88"/>
  <c r="K8016" i="88"/>
  <c r="K8015" i="88"/>
  <c r="K8014" i="88"/>
  <c r="K8013" i="88"/>
  <c r="K8012" i="88"/>
  <c r="K8011" i="88"/>
  <c r="K8010" i="88"/>
  <c r="K8009" i="88"/>
  <c r="K8008" i="88"/>
  <c r="K8007" i="88"/>
  <c r="K8006" i="88"/>
  <c r="K8005" i="88"/>
  <c r="K8004" i="88"/>
  <c r="K8003" i="88"/>
  <c r="K8002" i="88"/>
  <c r="K8001" i="88"/>
  <c r="K8000" i="88"/>
  <c r="K7999" i="88"/>
  <c r="K7998" i="88"/>
  <c r="K7997" i="88"/>
  <c r="K7996" i="88"/>
  <c r="K7995" i="88"/>
  <c r="K7994" i="88"/>
  <c r="K7993" i="88"/>
  <c r="K7992" i="88"/>
  <c r="K7991" i="88"/>
  <c r="K7990" i="88"/>
  <c r="K7989" i="88"/>
  <c r="K7988" i="88"/>
  <c r="K7987" i="88"/>
  <c r="K7986" i="88"/>
  <c r="K7985" i="88"/>
  <c r="K7984" i="88"/>
  <c r="K7983" i="88"/>
  <c r="K7982" i="88"/>
  <c r="K7981" i="88"/>
  <c r="K7980" i="88"/>
  <c r="K7979" i="88"/>
  <c r="K7978" i="88"/>
  <c r="K7977" i="88"/>
  <c r="K7976" i="88"/>
  <c r="K7975" i="88"/>
  <c r="K7974" i="88"/>
  <c r="K7973" i="88"/>
  <c r="K7972" i="88"/>
  <c r="K7971" i="88"/>
  <c r="K7970" i="88"/>
  <c r="K7969" i="88"/>
  <c r="K7968" i="88"/>
  <c r="K7967" i="88"/>
  <c r="K7966" i="88"/>
  <c r="K7965" i="88"/>
  <c r="K7964" i="88"/>
  <c r="K7963" i="88"/>
  <c r="K7962" i="88"/>
  <c r="K7961" i="88"/>
  <c r="K7960" i="88"/>
  <c r="K7959" i="88"/>
  <c r="K7958" i="88"/>
  <c r="K7957" i="88"/>
  <c r="K7956" i="88"/>
  <c r="K7955" i="88"/>
  <c r="K7954" i="88"/>
  <c r="K7953" i="88"/>
  <c r="K7952" i="88"/>
  <c r="K7951" i="88"/>
  <c r="K7950" i="88"/>
  <c r="K7949" i="88"/>
  <c r="K7948" i="88"/>
  <c r="K7947" i="88"/>
  <c r="K7946" i="88"/>
  <c r="K7945" i="88"/>
  <c r="K7944" i="88"/>
  <c r="K7943" i="88"/>
  <c r="K7942" i="88"/>
  <c r="K7941" i="88"/>
  <c r="K7940" i="88"/>
  <c r="K7939" i="88"/>
  <c r="K7938" i="88"/>
  <c r="K7937" i="88"/>
  <c r="K7936" i="88"/>
  <c r="K7935" i="88"/>
  <c r="K7934" i="88"/>
  <c r="K7933" i="88"/>
  <c r="K7932" i="88"/>
  <c r="K7931" i="88"/>
  <c r="K7930" i="88"/>
  <c r="K7929" i="88"/>
  <c r="K7928" i="88"/>
  <c r="K7927" i="88"/>
  <c r="K7926" i="88"/>
  <c r="K7925" i="88"/>
  <c r="K7924" i="88"/>
  <c r="K7923" i="88"/>
  <c r="K7922" i="88"/>
  <c r="K7921" i="88"/>
  <c r="K7920" i="88"/>
  <c r="K7919" i="88"/>
  <c r="K7918" i="88"/>
  <c r="K7917" i="88"/>
  <c r="K7916" i="88"/>
  <c r="K7915" i="88"/>
  <c r="K7914" i="88"/>
  <c r="K7913" i="88"/>
  <c r="K7912" i="88"/>
  <c r="K7911" i="88"/>
  <c r="K7910" i="88"/>
  <c r="K7909" i="88"/>
  <c r="K7908" i="88"/>
  <c r="K7907" i="88"/>
  <c r="K7906" i="88"/>
  <c r="K7905" i="88"/>
  <c r="K7904" i="88"/>
  <c r="K7903" i="88"/>
  <c r="K7902" i="88"/>
  <c r="K7901" i="88"/>
  <c r="K7900" i="88"/>
  <c r="K7899" i="88"/>
  <c r="K7898" i="88"/>
  <c r="K7897" i="88"/>
  <c r="K7896" i="88"/>
  <c r="K7895" i="88"/>
  <c r="K7894" i="88"/>
  <c r="K7893" i="88"/>
  <c r="K7892" i="88"/>
  <c r="K7891" i="88"/>
  <c r="K7890" i="88"/>
  <c r="K7889" i="88"/>
  <c r="K7888" i="88"/>
  <c r="K7887" i="88"/>
  <c r="K7886" i="88"/>
  <c r="K7885" i="88"/>
  <c r="K7884" i="88"/>
  <c r="K7883" i="88"/>
  <c r="K7882" i="88"/>
  <c r="K7881" i="88"/>
  <c r="K7880" i="88"/>
  <c r="K7879" i="88"/>
  <c r="K7878" i="88"/>
  <c r="K7877" i="88"/>
  <c r="K7876" i="88"/>
  <c r="K7875" i="88"/>
  <c r="K7874" i="88"/>
  <c r="K7873" i="88"/>
  <c r="K7872" i="88"/>
  <c r="K7871" i="88"/>
  <c r="K7870" i="88"/>
  <c r="K7869" i="88"/>
  <c r="K7868" i="88"/>
  <c r="K7867" i="88"/>
  <c r="K7866" i="88"/>
  <c r="K7865" i="88"/>
  <c r="K7864" i="88"/>
  <c r="K7863" i="88"/>
  <c r="K7862" i="88"/>
  <c r="K7861" i="88"/>
  <c r="K7860" i="88"/>
  <c r="K7859" i="88"/>
  <c r="K7858" i="88"/>
  <c r="K7857" i="88"/>
  <c r="K7856" i="88"/>
  <c r="K7855" i="88"/>
  <c r="K7854" i="88"/>
  <c r="K7853" i="88"/>
  <c r="K7852" i="88"/>
  <c r="K7851" i="88"/>
  <c r="K7850" i="88"/>
  <c r="K7849" i="88"/>
  <c r="K7848" i="88"/>
  <c r="K7847" i="88"/>
  <c r="K7846" i="88"/>
  <c r="K7845" i="88"/>
  <c r="K7844" i="88"/>
  <c r="K7843" i="88"/>
  <c r="K7842" i="88"/>
  <c r="K7841" i="88"/>
  <c r="K7840" i="88"/>
  <c r="K7839" i="88"/>
  <c r="K7838" i="88"/>
  <c r="K7837" i="88"/>
  <c r="K7836" i="88"/>
  <c r="K7835" i="88"/>
  <c r="K7834" i="88"/>
  <c r="K7833" i="88"/>
  <c r="K7832" i="88"/>
  <c r="K7831" i="88"/>
  <c r="K7830" i="88"/>
  <c r="K7829" i="88"/>
  <c r="K7828" i="88"/>
  <c r="K7827" i="88"/>
  <c r="K7826" i="88"/>
  <c r="K7825" i="88"/>
  <c r="K7824" i="88"/>
  <c r="K7823" i="88"/>
  <c r="K7822" i="88"/>
  <c r="K7821" i="88"/>
  <c r="K7820" i="88"/>
  <c r="K7819" i="88"/>
  <c r="K7818" i="88"/>
  <c r="K7817" i="88"/>
  <c r="K7816" i="88"/>
  <c r="K7815" i="88"/>
  <c r="K7814" i="88"/>
  <c r="K7813" i="88"/>
  <c r="K7812" i="88"/>
  <c r="K7811" i="88"/>
  <c r="K7810" i="88"/>
  <c r="K7809" i="88"/>
  <c r="K7808" i="88"/>
  <c r="K7807" i="88"/>
  <c r="K7806" i="88"/>
  <c r="K7805" i="88"/>
  <c r="K7804" i="88"/>
  <c r="K7803" i="88"/>
  <c r="K7802" i="88"/>
  <c r="K7801" i="88"/>
  <c r="K7800" i="88"/>
  <c r="K7799" i="88"/>
  <c r="K7798" i="88"/>
  <c r="K7797" i="88"/>
  <c r="K7796" i="88"/>
  <c r="K7795" i="88"/>
  <c r="K7794" i="88"/>
  <c r="K7793" i="88"/>
  <c r="K7792" i="88"/>
  <c r="K7791" i="88"/>
  <c r="K7790" i="88"/>
  <c r="K7789" i="88"/>
  <c r="K7788" i="88"/>
  <c r="K7787" i="88"/>
  <c r="K7786" i="88"/>
  <c r="K7785" i="88"/>
  <c r="K7784" i="88"/>
  <c r="K7783" i="88"/>
  <c r="K7782" i="88"/>
  <c r="K7781" i="88"/>
  <c r="K7780" i="88"/>
  <c r="K7779" i="88"/>
  <c r="K7778" i="88"/>
  <c r="K7777" i="88"/>
  <c r="K7776" i="88"/>
  <c r="K7775" i="88"/>
  <c r="K7774" i="88"/>
  <c r="K7773" i="88"/>
  <c r="K7772" i="88"/>
  <c r="K7771" i="88"/>
  <c r="K7770" i="88"/>
  <c r="K7769" i="88"/>
  <c r="K7768" i="88"/>
  <c r="K7767" i="88"/>
  <c r="K7766" i="88"/>
  <c r="K7765" i="88"/>
  <c r="K7764" i="88"/>
  <c r="K7763" i="88"/>
  <c r="K7762" i="88"/>
  <c r="K7761" i="88"/>
  <c r="K7760" i="88"/>
  <c r="K7759" i="88"/>
  <c r="K7758" i="88"/>
  <c r="K7757" i="88"/>
  <c r="K7756" i="88"/>
  <c r="K7755" i="88"/>
  <c r="K7754" i="88"/>
  <c r="K7753" i="88"/>
  <c r="K7752" i="88"/>
  <c r="K7751" i="88"/>
  <c r="K7750" i="88"/>
  <c r="K7749" i="88"/>
  <c r="K7748" i="88"/>
  <c r="K7747" i="88"/>
  <c r="K7746" i="88"/>
  <c r="K7745" i="88"/>
  <c r="K7744" i="88"/>
  <c r="K7743" i="88"/>
  <c r="K7742" i="88"/>
  <c r="K7741" i="88"/>
  <c r="K7740" i="88"/>
  <c r="K7739" i="88"/>
  <c r="K7738" i="88"/>
  <c r="K7737" i="88"/>
  <c r="K7736" i="88"/>
  <c r="K7735" i="88"/>
  <c r="K7734" i="88"/>
  <c r="K7733" i="88"/>
  <c r="K7732" i="88"/>
  <c r="K7731" i="88"/>
  <c r="K7730" i="88"/>
  <c r="K7729" i="88"/>
  <c r="K7728" i="88"/>
  <c r="K7727" i="88"/>
  <c r="K7726" i="88"/>
  <c r="K7725" i="88"/>
  <c r="K7724" i="88"/>
  <c r="K7723" i="88"/>
  <c r="K7722" i="88"/>
  <c r="K7721" i="88"/>
  <c r="K7720" i="88"/>
  <c r="K7719" i="88"/>
  <c r="K7718" i="88"/>
  <c r="K7717" i="88"/>
  <c r="K7716" i="88"/>
  <c r="K7715" i="88"/>
  <c r="K7714" i="88"/>
  <c r="K7713" i="88"/>
  <c r="K7712" i="88"/>
  <c r="K7711" i="88"/>
  <c r="K7710" i="88"/>
  <c r="K7709" i="88"/>
  <c r="K7708" i="88"/>
  <c r="K7707" i="88"/>
  <c r="K7706" i="88"/>
  <c r="K7705" i="88"/>
  <c r="K7704" i="88"/>
  <c r="K7703" i="88"/>
  <c r="K7702" i="88"/>
  <c r="K7701" i="88"/>
  <c r="K7700" i="88"/>
  <c r="K7699" i="88"/>
  <c r="K7698" i="88"/>
  <c r="K7697" i="88"/>
  <c r="K7696" i="88"/>
  <c r="K7695" i="88"/>
  <c r="K7694" i="88"/>
  <c r="K7693" i="88"/>
  <c r="K7692" i="88"/>
  <c r="K7691" i="88"/>
  <c r="K7690" i="88"/>
  <c r="K7689" i="88"/>
  <c r="K7688" i="88"/>
  <c r="K7687" i="88"/>
  <c r="K7686" i="88"/>
  <c r="K7685" i="88"/>
  <c r="K7684" i="88"/>
  <c r="K7683" i="88"/>
  <c r="K7682" i="88"/>
  <c r="K7681" i="88"/>
  <c r="K7680" i="88"/>
  <c r="K7679" i="88"/>
  <c r="K7678" i="88"/>
  <c r="K7677" i="88"/>
  <c r="K7676" i="88"/>
  <c r="K7675" i="88"/>
  <c r="K7674" i="88"/>
  <c r="K7673" i="88"/>
  <c r="K7672" i="88"/>
  <c r="K7671" i="88"/>
  <c r="K7670" i="88"/>
  <c r="K7669" i="88"/>
  <c r="K7668" i="88"/>
  <c r="K7667" i="88"/>
  <c r="K7666" i="88"/>
  <c r="K7665" i="88"/>
  <c r="K7664" i="88"/>
  <c r="K7663" i="88"/>
  <c r="K7662" i="88"/>
  <c r="K7661" i="88"/>
  <c r="K7660" i="88"/>
  <c r="K7659" i="88"/>
  <c r="K7658" i="88"/>
  <c r="K7657" i="88"/>
  <c r="K7656" i="88"/>
  <c r="K7655" i="88"/>
  <c r="K7654" i="88"/>
  <c r="K7653" i="88"/>
  <c r="K7652" i="88"/>
  <c r="K7651" i="88"/>
  <c r="K7650" i="88"/>
  <c r="K7649" i="88"/>
  <c r="K7648" i="88"/>
  <c r="K7647" i="88"/>
  <c r="K7646" i="88"/>
  <c r="K7645" i="88"/>
  <c r="K7644" i="88"/>
  <c r="K7643" i="88"/>
  <c r="K7642" i="88"/>
  <c r="K7641" i="88"/>
  <c r="K7640" i="88"/>
  <c r="K7639" i="88"/>
  <c r="K7638" i="88"/>
  <c r="K7637" i="88"/>
  <c r="K7636" i="88"/>
  <c r="K7635" i="88"/>
  <c r="K7634" i="88"/>
  <c r="K7633" i="88"/>
  <c r="K7632" i="88"/>
  <c r="K7631" i="88"/>
  <c r="K7630" i="88"/>
  <c r="K7629" i="88"/>
  <c r="K7628" i="88"/>
  <c r="K7627" i="88"/>
  <c r="K7626" i="88"/>
  <c r="K7625" i="88"/>
  <c r="K7624" i="88"/>
  <c r="K7623" i="88"/>
  <c r="K7622" i="88"/>
  <c r="K7621" i="88"/>
  <c r="K7620" i="88"/>
  <c r="K7619" i="88"/>
  <c r="K7618" i="88"/>
  <c r="K7617" i="88"/>
  <c r="K7616" i="88"/>
  <c r="K7615" i="88"/>
  <c r="K7614" i="88"/>
  <c r="K7613" i="88"/>
  <c r="K7612" i="88"/>
  <c r="K7611" i="88"/>
  <c r="K7610" i="88"/>
  <c r="K7609" i="88"/>
  <c r="K7608" i="88"/>
  <c r="K7607" i="88"/>
  <c r="K7606" i="88"/>
  <c r="K7605" i="88"/>
  <c r="K7604" i="88"/>
  <c r="K7603" i="88"/>
  <c r="K7602" i="88"/>
  <c r="K7601" i="88"/>
  <c r="K7600" i="88"/>
  <c r="K7599" i="88"/>
  <c r="K7598" i="88"/>
  <c r="K7597" i="88"/>
  <c r="K7596" i="88"/>
  <c r="K7595" i="88"/>
  <c r="K7594" i="88"/>
  <c r="K7593" i="88"/>
  <c r="K7592" i="88"/>
  <c r="K7591" i="88"/>
  <c r="K7590" i="88"/>
  <c r="K7589" i="88"/>
  <c r="K7588" i="88"/>
  <c r="K7587" i="88"/>
  <c r="K7586" i="88"/>
  <c r="K7585" i="88"/>
  <c r="K7584" i="88"/>
  <c r="K7583" i="88"/>
  <c r="K7582" i="88"/>
  <c r="K7581" i="88"/>
  <c r="K7580" i="88"/>
  <c r="K7579" i="88"/>
  <c r="K7578" i="88"/>
  <c r="K7577" i="88"/>
  <c r="K7576" i="88"/>
  <c r="K7575" i="88"/>
  <c r="K7574" i="88"/>
  <c r="K7573" i="88"/>
  <c r="K7572" i="88"/>
  <c r="K7571" i="88"/>
  <c r="K7570" i="88"/>
  <c r="K7569" i="88"/>
  <c r="K7568" i="88"/>
  <c r="K7567" i="88"/>
  <c r="K7566" i="88"/>
  <c r="K7565" i="88"/>
  <c r="K7564" i="88"/>
  <c r="K7563" i="88"/>
  <c r="K7562" i="88"/>
  <c r="K7561" i="88"/>
  <c r="K7560" i="88"/>
  <c r="K7559" i="88"/>
  <c r="K7558" i="88"/>
  <c r="K7557" i="88"/>
  <c r="K7556" i="88"/>
  <c r="K7555" i="88"/>
  <c r="K7554" i="88"/>
  <c r="K7553" i="88"/>
  <c r="K7552" i="88"/>
  <c r="K7551" i="88"/>
  <c r="K7550" i="88"/>
  <c r="K7549" i="88"/>
  <c r="K7548" i="88"/>
  <c r="K7547" i="88"/>
  <c r="K7546" i="88"/>
  <c r="K7545" i="88"/>
  <c r="K7544" i="88"/>
  <c r="K7543" i="88"/>
  <c r="K7542" i="88"/>
  <c r="K7541" i="88"/>
  <c r="K7540" i="88"/>
  <c r="K7539" i="88"/>
  <c r="K7538" i="88"/>
  <c r="K7537" i="88"/>
  <c r="K7536" i="88"/>
  <c r="K7535" i="88"/>
  <c r="K7534" i="88"/>
  <c r="K7533" i="88"/>
  <c r="K7532" i="88"/>
  <c r="K7531" i="88"/>
  <c r="K7530" i="88"/>
  <c r="K7529" i="88"/>
  <c r="K7528" i="88"/>
  <c r="K7527" i="88"/>
  <c r="K7526" i="88"/>
  <c r="K7525" i="88"/>
  <c r="K7524" i="88"/>
  <c r="K7523" i="88"/>
  <c r="K7522" i="88"/>
  <c r="K7521" i="88"/>
  <c r="K7520" i="88"/>
  <c r="K7519" i="88"/>
  <c r="K7518" i="88"/>
  <c r="K7517" i="88"/>
  <c r="K7516" i="88"/>
  <c r="K7515" i="88"/>
  <c r="K7514" i="88"/>
  <c r="K7513" i="88"/>
  <c r="K7512" i="88"/>
  <c r="K7511" i="88"/>
  <c r="K7510" i="88"/>
  <c r="K7509" i="88"/>
  <c r="K7508" i="88"/>
  <c r="K7507" i="88"/>
  <c r="K7506" i="88"/>
  <c r="K7505" i="88"/>
  <c r="K7504" i="88"/>
  <c r="K7503" i="88"/>
  <c r="K7502" i="88"/>
  <c r="K7501" i="88"/>
  <c r="K7500" i="88"/>
  <c r="K7499" i="88"/>
  <c r="K7498" i="88"/>
  <c r="K7497" i="88"/>
  <c r="K7496" i="88"/>
  <c r="K7495" i="88"/>
  <c r="K7494" i="88"/>
  <c r="K7493" i="88"/>
  <c r="K7492" i="88"/>
  <c r="K7491" i="88"/>
  <c r="K7490" i="88"/>
  <c r="K7489" i="88"/>
  <c r="K7488" i="88"/>
  <c r="K7487" i="88"/>
  <c r="K7486" i="88"/>
  <c r="K7485" i="88"/>
  <c r="K7484" i="88"/>
  <c r="K7483" i="88"/>
  <c r="K7482" i="88"/>
  <c r="K7481" i="88"/>
  <c r="K7480" i="88"/>
  <c r="K7479" i="88"/>
  <c r="K7478" i="88"/>
  <c r="K7477" i="88"/>
  <c r="K7476" i="88"/>
  <c r="K7475" i="88"/>
  <c r="K7474" i="88"/>
  <c r="K7473" i="88"/>
  <c r="K7472" i="88"/>
  <c r="K7471" i="88"/>
  <c r="K7470" i="88"/>
  <c r="K7469" i="88"/>
  <c r="K7468" i="88"/>
  <c r="K7467" i="88"/>
  <c r="K7466" i="88"/>
  <c r="K7465" i="88"/>
  <c r="K7464" i="88"/>
  <c r="K7463" i="88"/>
  <c r="K7462" i="88"/>
  <c r="K7461" i="88"/>
  <c r="K7460" i="88"/>
  <c r="K7459" i="88"/>
  <c r="K7458" i="88"/>
  <c r="K7457" i="88"/>
  <c r="K7456" i="88"/>
  <c r="K7455" i="88"/>
  <c r="K7454" i="88"/>
  <c r="K7453" i="88"/>
  <c r="K7452" i="88"/>
  <c r="K7451" i="88"/>
  <c r="K7450" i="88"/>
  <c r="K7449" i="88"/>
  <c r="K7448" i="88"/>
  <c r="K7447" i="88"/>
  <c r="K7446" i="88"/>
  <c r="K7445" i="88"/>
  <c r="K7444" i="88"/>
  <c r="K7443" i="88"/>
  <c r="K7442" i="88"/>
  <c r="K7441" i="88"/>
  <c r="K7440" i="88"/>
  <c r="K7439" i="88"/>
  <c r="K7438" i="88"/>
  <c r="K7437" i="88"/>
  <c r="K7436" i="88"/>
  <c r="K7435" i="88"/>
  <c r="K7434" i="88"/>
  <c r="K7433" i="88"/>
  <c r="K7432" i="88"/>
  <c r="K7431" i="88"/>
  <c r="K7430" i="88"/>
  <c r="K7429" i="88"/>
  <c r="K7428" i="88"/>
  <c r="K7427" i="88"/>
  <c r="K7426" i="88"/>
  <c r="K7425" i="88"/>
  <c r="K7424" i="88"/>
  <c r="K7423" i="88"/>
  <c r="K7422" i="88"/>
  <c r="K7421" i="88"/>
  <c r="K7420" i="88"/>
  <c r="K7419" i="88"/>
  <c r="K7418" i="88"/>
  <c r="K7417" i="88"/>
  <c r="K7416" i="88"/>
  <c r="K7415" i="88"/>
  <c r="K7414" i="88"/>
  <c r="K7413" i="88"/>
  <c r="K7412" i="88"/>
  <c r="K7411" i="88"/>
  <c r="K7410" i="88"/>
  <c r="K7409" i="88"/>
  <c r="K7408" i="88"/>
  <c r="K7407" i="88"/>
  <c r="K7406" i="88"/>
  <c r="K7405" i="88"/>
  <c r="K7404" i="88"/>
  <c r="K7403" i="88"/>
  <c r="K7402" i="88"/>
  <c r="K7401" i="88"/>
  <c r="K7400" i="88"/>
  <c r="K7399" i="88"/>
  <c r="K7398" i="88"/>
  <c r="K7397" i="88"/>
  <c r="K7396" i="88"/>
  <c r="K7395" i="88"/>
  <c r="K7394" i="88"/>
  <c r="K7393" i="88"/>
  <c r="K7392" i="88"/>
  <c r="K7391" i="88"/>
  <c r="K7390" i="88"/>
  <c r="K7389" i="88"/>
  <c r="K7388" i="88"/>
  <c r="K7387" i="88"/>
  <c r="K7386" i="88"/>
  <c r="K7385" i="88"/>
  <c r="K7384" i="88"/>
  <c r="K7383" i="88"/>
  <c r="K7382" i="88"/>
  <c r="K7381" i="88"/>
  <c r="K7380" i="88"/>
  <c r="K7379" i="88"/>
  <c r="K7378" i="88"/>
  <c r="K7377" i="88"/>
  <c r="K7376" i="88"/>
  <c r="K7375" i="88"/>
  <c r="K7374" i="88"/>
  <c r="K7373" i="88"/>
  <c r="K7372" i="88"/>
  <c r="K7371" i="88"/>
  <c r="K7370" i="88"/>
  <c r="K7369" i="88"/>
  <c r="K7368" i="88"/>
  <c r="K7367" i="88"/>
  <c r="K7366" i="88"/>
  <c r="K7365" i="88"/>
  <c r="K7364" i="88"/>
  <c r="K7363" i="88"/>
  <c r="K7362" i="88"/>
  <c r="K7361" i="88"/>
  <c r="K7360" i="88"/>
  <c r="K7359" i="88"/>
  <c r="K7358" i="88"/>
  <c r="K7357" i="88"/>
  <c r="K7356" i="88"/>
  <c r="K7355" i="88"/>
  <c r="K7354" i="88"/>
  <c r="K7353" i="88"/>
  <c r="K7352" i="88"/>
  <c r="K7351" i="88"/>
  <c r="K7350" i="88"/>
  <c r="K7349" i="88"/>
  <c r="K7348" i="88"/>
  <c r="K7347" i="88"/>
  <c r="K7346" i="88"/>
  <c r="K7345" i="88"/>
  <c r="K7344" i="88"/>
  <c r="K7343" i="88"/>
  <c r="K7342" i="88"/>
  <c r="K7341" i="88"/>
  <c r="K7340" i="88"/>
  <c r="K7339" i="88"/>
  <c r="K7338" i="88"/>
  <c r="K7337" i="88"/>
  <c r="K7336" i="88"/>
  <c r="K7335" i="88"/>
  <c r="K7334" i="88"/>
  <c r="K7333" i="88"/>
  <c r="K7332" i="88"/>
  <c r="K7331" i="88"/>
  <c r="K7330" i="88"/>
  <c r="K7329" i="88"/>
  <c r="K7328" i="88"/>
  <c r="K7327" i="88"/>
  <c r="K7326" i="88"/>
  <c r="K7325" i="88"/>
  <c r="K7324" i="88"/>
  <c r="K7323" i="88"/>
  <c r="K7322" i="88"/>
  <c r="K7321" i="88"/>
  <c r="K7320" i="88"/>
  <c r="K7319" i="88"/>
  <c r="K7318" i="88"/>
  <c r="K7317" i="88"/>
  <c r="K7316" i="88"/>
  <c r="K7315" i="88"/>
  <c r="K7314" i="88"/>
  <c r="K7313" i="88"/>
  <c r="K7312" i="88"/>
  <c r="K7311" i="88"/>
  <c r="K7310" i="88"/>
  <c r="K7309" i="88"/>
  <c r="K7308" i="88"/>
  <c r="K7307" i="88"/>
  <c r="K7306" i="88"/>
  <c r="K7305" i="88"/>
  <c r="K7304" i="88"/>
  <c r="K7303" i="88"/>
  <c r="K7302" i="88"/>
  <c r="K7301" i="88"/>
  <c r="K7300" i="88"/>
  <c r="K7299" i="88"/>
  <c r="K7298" i="88"/>
  <c r="K7297" i="88"/>
  <c r="K7296" i="88"/>
  <c r="K7295" i="88"/>
  <c r="K7294" i="88"/>
  <c r="K7293" i="88"/>
  <c r="K7292" i="88"/>
  <c r="K7291" i="88"/>
  <c r="K7290" i="88"/>
  <c r="K7289" i="88"/>
  <c r="K7288" i="88"/>
  <c r="K7287" i="88"/>
  <c r="K7286" i="88"/>
  <c r="K7285" i="88"/>
  <c r="K7284" i="88"/>
  <c r="K7283" i="88"/>
  <c r="K7282" i="88"/>
  <c r="K7281" i="88"/>
  <c r="K7280" i="88"/>
  <c r="K7279" i="88"/>
  <c r="K7278" i="88"/>
  <c r="K7277" i="88"/>
  <c r="K7276" i="88"/>
  <c r="K7275" i="88"/>
  <c r="K7274" i="88"/>
  <c r="K7273" i="88"/>
  <c r="K7272" i="88"/>
  <c r="K7271" i="88"/>
  <c r="K7270" i="88"/>
  <c r="K7269" i="88"/>
  <c r="K7268" i="88"/>
  <c r="K7267" i="88"/>
  <c r="K7266" i="88"/>
  <c r="K7265" i="88"/>
  <c r="K7264" i="88"/>
  <c r="K7263" i="88"/>
  <c r="K7262" i="88"/>
  <c r="K7261" i="88"/>
  <c r="K7260" i="88"/>
  <c r="K7259" i="88"/>
  <c r="K7258" i="88"/>
  <c r="K7257" i="88"/>
  <c r="K7256" i="88"/>
  <c r="K7255" i="88"/>
  <c r="K7254" i="88"/>
  <c r="K7253" i="88"/>
  <c r="K7252" i="88"/>
  <c r="K7251" i="88"/>
  <c r="K7250" i="88"/>
  <c r="K7249" i="88"/>
  <c r="K7248" i="88"/>
  <c r="K7247" i="88"/>
  <c r="K7246" i="88"/>
  <c r="K7245" i="88"/>
  <c r="K7244" i="88"/>
  <c r="K7243" i="88"/>
  <c r="K7242" i="88"/>
  <c r="K7241" i="88"/>
  <c r="K7240" i="88"/>
  <c r="K7239" i="88"/>
  <c r="K7238" i="88"/>
  <c r="K7237" i="88"/>
  <c r="K7236" i="88"/>
  <c r="K7235" i="88"/>
  <c r="K7234" i="88"/>
  <c r="K7233" i="88"/>
  <c r="K7232" i="88"/>
  <c r="K7231" i="88"/>
  <c r="K7230" i="88"/>
  <c r="K7229" i="88"/>
  <c r="K7228" i="88"/>
  <c r="K7227" i="88"/>
  <c r="K7226" i="88"/>
  <c r="K7225" i="88"/>
  <c r="K7224" i="88"/>
  <c r="K7223" i="88"/>
  <c r="K7222" i="88"/>
  <c r="K7221" i="88"/>
  <c r="K7220" i="88"/>
  <c r="K7219" i="88"/>
  <c r="K7218" i="88"/>
  <c r="K7217" i="88"/>
  <c r="K7216" i="88"/>
  <c r="K7215" i="88"/>
  <c r="K7214" i="88"/>
  <c r="K7213" i="88"/>
  <c r="K7212" i="88"/>
  <c r="K7211" i="88"/>
  <c r="K7210" i="88"/>
  <c r="K7209" i="88"/>
  <c r="K7208" i="88"/>
  <c r="K7207" i="88"/>
  <c r="K7206" i="88"/>
  <c r="K7205" i="88"/>
  <c r="K7204" i="88"/>
  <c r="K7203" i="88"/>
  <c r="K7202" i="88"/>
  <c r="K7201" i="88"/>
  <c r="K7200" i="88"/>
  <c r="K7199" i="88"/>
  <c r="K7198" i="88"/>
  <c r="K7197" i="88"/>
  <c r="K7196" i="88"/>
  <c r="K7195" i="88"/>
  <c r="K7194" i="88"/>
  <c r="K7193" i="88"/>
  <c r="K7192" i="88"/>
  <c r="K7191" i="88"/>
  <c r="K7190" i="88"/>
  <c r="K7189" i="88"/>
  <c r="K7188" i="88"/>
  <c r="K7187" i="88"/>
  <c r="K7186" i="88"/>
  <c r="K7185" i="88"/>
  <c r="K7184" i="88"/>
  <c r="K7183" i="88"/>
  <c r="K7182" i="88"/>
  <c r="K7181" i="88"/>
  <c r="K7180" i="88"/>
  <c r="K7179" i="88"/>
  <c r="K7178" i="88"/>
  <c r="K7177" i="88"/>
  <c r="K7176" i="88"/>
  <c r="K7175" i="88"/>
  <c r="K7174" i="88"/>
  <c r="K7173" i="88"/>
  <c r="K7172" i="88"/>
  <c r="K7171" i="88"/>
  <c r="K7170" i="88"/>
  <c r="K7169" i="88"/>
  <c r="K7168" i="88"/>
  <c r="K7167" i="88"/>
  <c r="K7166" i="88"/>
  <c r="K7165" i="88"/>
  <c r="K7164" i="88"/>
  <c r="K7163" i="88"/>
  <c r="K7162" i="88"/>
  <c r="K7161" i="88"/>
  <c r="K7160" i="88"/>
  <c r="K7159" i="88"/>
  <c r="K7158" i="88"/>
  <c r="K7157" i="88"/>
  <c r="K7156" i="88"/>
  <c r="K7155" i="88"/>
  <c r="K7154" i="88"/>
  <c r="K7153" i="88"/>
  <c r="K7152" i="88"/>
  <c r="K7151" i="88"/>
  <c r="K7150" i="88"/>
  <c r="K7149" i="88"/>
  <c r="K7148" i="88"/>
  <c r="K7147" i="88"/>
  <c r="K7146" i="88"/>
  <c r="K7145" i="88"/>
  <c r="K7144" i="88"/>
  <c r="K7143" i="88"/>
  <c r="K7142" i="88"/>
  <c r="K7141" i="88"/>
  <c r="K7140" i="88"/>
  <c r="K7139" i="88"/>
  <c r="K7138" i="88"/>
  <c r="K7137" i="88"/>
  <c r="K7136" i="88"/>
  <c r="K7135" i="88"/>
  <c r="K7134" i="88"/>
  <c r="K7133" i="88"/>
  <c r="K7132" i="88"/>
  <c r="K7131" i="88"/>
  <c r="K7130" i="88"/>
  <c r="K7129" i="88"/>
  <c r="K7128" i="88"/>
  <c r="K7127" i="88"/>
  <c r="K7126" i="88"/>
  <c r="K7125" i="88"/>
  <c r="K7124" i="88"/>
  <c r="K7123" i="88"/>
  <c r="K7122" i="88"/>
  <c r="K7121" i="88"/>
  <c r="K7120" i="88"/>
  <c r="K7119" i="88"/>
  <c r="K7118" i="88"/>
  <c r="K7117" i="88"/>
  <c r="K7116" i="88"/>
  <c r="K7115" i="88"/>
  <c r="K7114" i="88"/>
  <c r="K7113" i="88"/>
  <c r="K7112" i="88"/>
  <c r="K7111" i="88"/>
  <c r="K7110" i="88"/>
  <c r="K7109" i="88"/>
  <c r="K7108" i="88"/>
  <c r="K7107" i="88"/>
  <c r="K7106" i="88"/>
  <c r="K7105" i="88"/>
  <c r="K7104" i="88"/>
  <c r="K7103" i="88"/>
  <c r="K7102" i="88"/>
  <c r="K7101" i="88"/>
  <c r="K7100" i="88"/>
  <c r="K7099" i="88"/>
  <c r="K7098" i="88"/>
  <c r="K7097" i="88"/>
  <c r="K7096" i="88"/>
  <c r="K7095" i="88"/>
  <c r="K7094" i="88"/>
  <c r="K7093" i="88"/>
  <c r="K7092" i="88"/>
  <c r="K7091" i="88"/>
  <c r="K7090" i="88"/>
  <c r="K7089" i="88"/>
  <c r="K7088" i="88"/>
  <c r="K7087" i="88"/>
  <c r="K7086" i="88"/>
  <c r="K7085" i="88"/>
  <c r="K7084" i="88"/>
  <c r="K7083" i="88"/>
  <c r="K7082" i="88"/>
  <c r="K7081" i="88"/>
  <c r="K7080" i="88"/>
  <c r="K7079" i="88"/>
  <c r="K7078" i="88"/>
  <c r="K7077" i="88"/>
  <c r="K7076" i="88"/>
  <c r="K7075" i="88"/>
  <c r="K7074" i="88"/>
  <c r="K7073" i="88"/>
  <c r="K7072" i="88"/>
  <c r="K7071" i="88"/>
  <c r="K7070" i="88"/>
  <c r="K7069" i="88"/>
  <c r="K7068" i="88"/>
  <c r="K7067" i="88"/>
  <c r="K7066" i="88"/>
  <c r="K7065" i="88"/>
  <c r="K7064" i="88"/>
  <c r="K7063" i="88"/>
  <c r="K7062" i="88"/>
  <c r="K7061" i="88"/>
  <c r="K7060" i="88"/>
  <c r="K7059" i="88"/>
  <c r="K7058" i="88"/>
  <c r="K7057" i="88"/>
  <c r="K7056" i="88"/>
  <c r="K7055" i="88"/>
  <c r="K7054" i="88"/>
  <c r="K7053" i="88"/>
  <c r="K7052" i="88"/>
  <c r="K7051" i="88"/>
  <c r="K7050" i="88"/>
  <c r="K7049" i="88"/>
  <c r="K7048" i="88"/>
  <c r="K7047" i="88"/>
  <c r="K7046" i="88"/>
  <c r="K7045" i="88"/>
  <c r="K7044" i="88"/>
  <c r="K7043" i="88"/>
  <c r="K7042" i="88"/>
  <c r="K7041" i="88"/>
  <c r="K7040" i="88"/>
  <c r="K7039" i="88"/>
  <c r="K7038" i="88"/>
  <c r="K7037" i="88"/>
  <c r="K7036" i="88"/>
  <c r="K7035" i="88"/>
  <c r="K7034" i="88"/>
  <c r="K7033" i="88"/>
  <c r="K7032" i="88"/>
  <c r="K7031" i="88"/>
  <c r="K7030" i="88"/>
  <c r="K7029" i="88"/>
  <c r="K7028" i="88"/>
  <c r="K7027" i="88"/>
  <c r="K7026" i="88"/>
  <c r="K7025" i="88"/>
  <c r="K7024" i="88"/>
  <c r="K7023" i="88"/>
  <c r="K7022" i="88"/>
  <c r="K7021" i="88"/>
  <c r="K7020" i="88"/>
  <c r="K7019" i="88"/>
  <c r="K7018" i="88"/>
  <c r="K7017" i="88"/>
  <c r="K7016" i="88"/>
  <c r="K7015" i="88"/>
  <c r="K7014" i="88"/>
  <c r="K7013" i="88"/>
  <c r="K7012" i="88"/>
  <c r="K7011" i="88"/>
  <c r="K7010" i="88"/>
  <c r="K7009" i="88"/>
  <c r="K7008" i="88"/>
  <c r="K7007" i="88"/>
  <c r="K7006" i="88"/>
  <c r="K7005" i="88"/>
  <c r="K7004" i="88"/>
  <c r="K7003" i="88"/>
  <c r="K7002" i="88"/>
  <c r="K7001" i="88"/>
  <c r="K7000" i="88"/>
  <c r="K6999" i="88"/>
  <c r="K6998" i="88"/>
  <c r="K6997" i="88"/>
  <c r="K6996" i="88"/>
  <c r="K6995" i="88"/>
  <c r="K6994" i="88"/>
  <c r="K6993" i="88"/>
  <c r="K6992" i="88"/>
  <c r="K6991" i="88"/>
  <c r="K6990" i="88"/>
  <c r="K6989" i="88"/>
  <c r="K6988" i="88"/>
  <c r="K6987" i="88"/>
  <c r="K6986" i="88"/>
  <c r="K6985" i="88"/>
  <c r="K6984" i="88"/>
  <c r="K6983" i="88"/>
  <c r="K6982" i="88"/>
  <c r="K6981" i="88"/>
  <c r="K6980" i="88"/>
  <c r="K6979" i="88"/>
  <c r="K6978" i="88"/>
  <c r="K6977" i="88"/>
  <c r="K6976" i="88"/>
  <c r="K6975" i="88"/>
  <c r="K6974" i="88"/>
  <c r="K6973" i="88"/>
  <c r="K6972" i="88"/>
  <c r="K6971" i="88"/>
  <c r="K6970" i="88"/>
  <c r="K6969" i="88"/>
  <c r="K6968" i="88"/>
  <c r="K6967" i="88"/>
  <c r="K6966" i="88"/>
  <c r="K6965" i="88"/>
  <c r="K6964" i="88"/>
  <c r="K6963" i="88"/>
  <c r="K6962" i="88"/>
  <c r="K6961" i="88"/>
  <c r="K6960" i="88"/>
  <c r="K6959" i="88"/>
  <c r="K6958" i="88"/>
  <c r="K6957" i="88"/>
  <c r="K6956" i="88"/>
  <c r="K6955" i="88"/>
  <c r="K6954" i="88"/>
  <c r="K6953" i="88"/>
  <c r="K6952" i="88"/>
  <c r="K6951" i="88"/>
  <c r="K6950" i="88"/>
  <c r="K6949" i="88"/>
  <c r="K6948" i="88"/>
  <c r="K6947" i="88"/>
  <c r="K6946" i="88"/>
  <c r="K6945" i="88"/>
  <c r="K6944" i="88"/>
  <c r="K6943" i="88"/>
  <c r="K6942" i="88"/>
  <c r="K6941" i="88"/>
  <c r="K6940" i="88"/>
  <c r="K6939" i="88"/>
  <c r="K6938" i="88"/>
  <c r="K6937" i="88"/>
  <c r="K6936" i="88"/>
  <c r="K6935" i="88"/>
  <c r="K6934" i="88"/>
  <c r="K6933" i="88"/>
  <c r="K6932" i="88"/>
  <c r="K6931" i="88"/>
  <c r="K6930" i="88"/>
  <c r="K6929" i="88"/>
  <c r="K6928" i="88"/>
  <c r="K6927" i="88"/>
  <c r="K6926" i="88"/>
  <c r="K6925" i="88"/>
  <c r="K6924" i="88"/>
  <c r="K6923" i="88"/>
  <c r="K6922" i="88"/>
  <c r="K6921" i="88"/>
  <c r="K6920" i="88"/>
  <c r="K6919" i="88"/>
  <c r="K6918" i="88"/>
  <c r="K6917" i="88"/>
  <c r="K6916" i="88"/>
  <c r="K6915" i="88"/>
  <c r="K6914" i="88"/>
  <c r="K6913" i="88"/>
  <c r="K6912" i="88"/>
  <c r="K6911" i="88"/>
  <c r="K6910" i="88"/>
  <c r="K6909" i="88"/>
  <c r="K6908" i="88"/>
  <c r="K6907" i="88"/>
  <c r="K6906" i="88"/>
  <c r="K6905" i="88"/>
  <c r="K6904" i="88"/>
  <c r="K6903" i="88"/>
  <c r="K6902" i="88"/>
  <c r="K6901" i="88"/>
  <c r="K6900" i="88"/>
  <c r="K6899" i="88"/>
  <c r="K6898" i="88"/>
  <c r="K6897" i="88"/>
  <c r="K6896" i="88"/>
  <c r="K6895" i="88"/>
  <c r="K6894" i="88"/>
  <c r="K6893" i="88"/>
  <c r="K6892" i="88"/>
  <c r="K6891" i="88"/>
  <c r="K6890" i="88"/>
  <c r="K6889" i="88"/>
  <c r="K6888" i="88"/>
  <c r="K6887" i="88"/>
  <c r="K6886" i="88"/>
  <c r="K6885" i="88"/>
  <c r="K6884" i="88"/>
  <c r="K6883" i="88"/>
  <c r="K6882" i="88"/>
  <c r="K6881" i="88"/>
  <c r="K6880" i="88"/>
  <c r="K6879" i="88"/>
  <c r="K6878" i="88"/>
  <c r="K6877" i="88"/>
  <c r="K6876" i="88"/>
  <c r="K6875" i="88"/>
  <c r="K6874" i="88"/>
  <c r="K6873" i="88"/>
  <c r="K6872" i="88"/>
  <c r="K6871" i="88"/>
  <c r="K6870" i="88"/>
  <c r="K6869" i="88"/>
  <c r="K6868" i="88"/>
  <c r="K6867" i="88"/>
  <c r="K6866" i="88"/>
  <c r="K6865" i="88"/>
  <c r="K6864" i="88"/>
  <c r="K6863" i="88"/>
  <c r="K6862" i="88"/>
  <c r="K6861" i="88"/>
  <c r="K6860" i="88"/>
  <c r="K6859" i="88"/>
  <c r="K6858" i="88"/>
  <c r="K6857" i="88"/>
  <c r="K6856" i="88"/>
  <c r="K6855" i="88"/>
  <c r="K6854" i="88"/>
  <c r="K6853" i="88"/>
  <c r="K6852" i="88"/>
  <c r="K6851" i="88"/>
  <c r="K6850" i="88"/>
  <c r="K6849" i="88"/>
  <c r="K6848" i="88"/>
  <c r="K6847" i="88"/>
  <c r="K6846" i="88"/>
  <c r="K6845" i="88"/>
  <c r="K6844" i="88"/>
  <c r="K6843" i="88"/>
  <c r="K6842" i="88"/>
  <c r="K6841" i="88"/>
  <c r="K6840" i="88"/>
  <c r="K6839" i="88"/>
  <c r="K6838" i="88"/>
  <c r="K6837" i="88"/>
  <c r="K6836" i="88"/>
  <c r="K6835" i="88"/>
  <c r="K6834" i="88"/>
  <c r="K6833" i="88"/>
  <c r="K6832" i="88"/>
  <c r="K6831" i="88"/>
  <c r="K6830" i="88"/>
  <c r="K6829" i="88"/>
  <c r="K6828" i="88"/>
  <c r="K6827" i="88"/>
  <c r="K6826" i="88"/>
  <c r="K6825" i="88"/>
  <c r="K6824" i="88"/>
  <c r="K6823" i="88"/>
  <c r="K6822" i="88"/>
  <c r="K6821" i="88"/>
  <c r="K6820" i="88"/>
  <c r="K6819" i="88"/>
  <c r="K6818" i="88"/>
  <c r="K6817" i="88"/>
  <c r="K6816" i="88"/>
  <c r="K6815" i="88"/>
  <c r="K6814" i="88"/>
  <c r="K6813" i="88"/>
  <c r="K6812" i="88"/>
  <c r="K6811" i="88"/>
  <c r="K6810" i="88"/>
  <c r="K6809" i="88"/>
  <c r="K6808" i="88"/>
  <c r="K6807" i="88"/>
  <c r="K6806" i="88"/>
  <c r="K6805" i="88"/>
  <c r="K6804" i="88"/>
  <c r="K6803" i="88"/>
  <c r="K6802" i="88"/>
  <c r="K6801" i="88"/>
  <c r="K6800" i="88"/>
  <c r="K6799" i="88"/>
  <c r="K6798" i="88"/>
  <c r="K6797" i="88"/>
  <c r="K6796" i="88"/>
  <c r="K6795" i="88"/>
  <c r="K6794" i="88"/>
  <c r="K6793" i="88"/>
  <c r="K6792" i="88"/>
  <c r="K6791" i="88"/>
  <c r="K6790" i="88"/>
  <c r="K6789" i="88"/>
  <c r="K6788" i="88"/>
  <c r="K6787" i="88"/>
  <c r="K6786" i="88"/>
  <c r="K6785" i="88"/>
  <c r="K6784" i="88"/>
  <c r="K6783" i="88"/>
  <c r="K6782" i="88"/>
  <c r="K6781" i="88"/>
  <c r="K6780" i="88"/>
  <c r="K6779" i="88"/>
  <c r="K6778" i="88"/>
  <c r="K6777" i="88"/>
  <c r="K6776" i="88"/>
  <c r="K6775" i="88"/>
  <c r="K6774" i="88"/>
  <c r="K6773" i="88"/>
  <c r="K6772" i="88"/>
  <c r="K6771" i="88"/>
  <c r="K6770" i="88"/>
  <c r="K6769" i="88"/>
  <c r="K6768" i="88"/>
  <c r="K6767" i="88"/>
  <c r="K6766" i="88"/>
  <c r="K6765" i="88"/>
  <c r="K6764" i="88"/>
  <c r="K6763" i="88"/>
  <c r="K6762" i="88"/>
  <c r="K6761" i="88"/>
  <c r="K6760" i="88"/>
  <c r="K6759" i="88"/>
  <c r="K6758" i="88"/>
  <c r="K6757" i="88"/>
  <c r="K6756" i="88"/>
  <c r="K6755" i="88"/>
  <c r="K6754" i="88"/>
  <c r="K6753" i="88"/>
  <c r="K6752" i="88"/>
  <c r="K6751" i="88"/>
  <c r="K6750" i="88"/>
  <c r="K6749" i="88"/>
  <c r="K6748" i="88"/>
  <c r="K6747" i="88"/>
  <c r="K6746" i="88"/>
  <c r="K6745" i="88"/>
  <c r="K6744" i="88"/>
  <c r="K6743" i="88"/>
  <c r="K6742" i="88"/>
  <c r="K6741" i="88"/>
  <c r="K6740" i="88"/>
  <c r="K6739" i="88"/>
  <c r="K6738" i="88"/>
  <c r="K6737" i="88"/>
  <c r="K6736" i="88"/>
  <c r="K6735" i="88"/>
  <c r="K6734" i="88"/>
  <c r="K6733" i="88"/>
  <c r="K6732" i="88"/>
  <c r="K6731" i="88"/>
  <c r="K6730" i="88"/>
  <c r="K6729" i="88"/>
  <c r="K6728" i="88"/>
  <c r="K6727" i="88"/>
  <c r="K6726" i="88"/>
  <c r="K6725" i="88"/>
  <c r="K6724" i="88"/>
  <c r="K6723" i="88"/>
  <c r="K6722" i="88"/>
  <c r="K6721" i="88"/>
  <c r="K6720" i="88"/>
  <c r="K6719" i="88"/>
  <c r="K6718" i="88"/>
  <c r="K6717" i="88"/>
  <c r="K6716" i="88"/>
  <c r="K6715" i="88"/>
  <c r="K6714" i="88"/>
  <c r="K6713" i="88"/>
  <c r="K6712" i="88"/>
  <c r="K6711" i="88"/>
  <c r="K6710" i="88"/>
  <c r="K6709" i="88"/>
  <c r="K6708" i="88"/>
  <c r="K6707" i="88"/>
  <c r="K6706" i="88"/>
  <c r="K6705" i="88"/>
  <c r="K6704" i="88"/>
  <c r="K6703" i="88"/>
  <c r="K6702" i="88"/>
  <c r="K6701" i="88"/>
  <c r="K6700" i="88"/>
  <c r="K6699" i="88"/>
  <c r="K6698" i="88"/>
  <c r="K6697" i="88"/>
  <c r="K6696" i="88"/>
  <c r="K6695" i="88"/>
  <c r="K6694" i="88"/>
  <c r="K6693" i="88"/>
  <c r="K6692" i="88"/>
  <c r="K6691" i="88"/>
  <c r="K6690" i="88"/>
  <c r="K6689" i="88"/>
  <c r="K6688" i="88"/>
  <c r="K6687" i="88"/>
  <c r="K6686" i="88"/>
  <c r="K6685" i="88"/>
  <c r="K6684" i="88"/>
  <c r="K6683" i="88"/>
  <c r="K6682" i="88"/>
  <c r="K6681" i="88"/>
  <c r="K6680" i="88"/>
  <c r="K6679" i="88"/>
  <c r="K6678" i="88"/>
  <c r="K6677" i="88"/>
  <c r="K6676" i="88"/>
  <c r="K6675" i="88"/>
  <c r="K6674" i="88"/>
  <c r="K6673" i="88"/>
  <c r="K6672" i="88"/>
  <c r="K6671" i="88"/>
  <c r="K6670" i="88"/>
  <c r="K6669" i="88"/>
  <c r="K6668" i="88"/>
  <c r="K6667" i="88"/>
  <c r="K6666" i="88"/>
  <c r="K6665" i="88"/>
  <c r="K6664" i="88"/>
  <c r="K6663" i="88"/>
  <c r="K6662" i="88"/>
  <c r="K6661" i="88"/>
  <c r="K6660" i="88"/>
  <c r="K6659" i="88"/>
  <c r="K6658" i="88"/>
  <c r="K6657" i="88"/>
  <c r="K6656" i="88"/>
  <c r="K6655" i="88"/>
  <c r="K6654" i="88"/>
  <c r="K6653" i="88"/>
  <c r="K6652" i="88"/>
  <c r="K6651" i="88"/>
  <c r="K6650" i="88"/>
  <c r="K6649" i="88"/>
  <c r="K6648" i="88"/>
  <c r="K6647" i="88"/>
  <c r="K6646" i="88"/>
  <c r="K6645" i="88"/>
  <c r="K6644" i="88"/>
  <c r="K6643" i="88"/>
  <c r="K6642" i="88"/>
  <c r="K6641" i="88"/>
  <c r="K6640" i="88"/>
  <c r="K6639" i="88"/>
  <c r="K6638" i="88"/>
  <c r="K6637" i="88"/>
  <c r="K6636" i="88"/>
  <c r="K6635" i="88"/>
  <c r="K6634" i="88"/>
  <c r="K6633" i="88"/>
  <c r="K6632" i="88"/>
  <c r="K6631" i="88"/>
  <c r="K6630" i="88"/>
  <c r="K6629" i="88"/>
  <c r="K6628" i="88"/>
  <c r="K6627" i="88"/>
  <c r="K6626" i="88"/>
  <c r="K6625" i="88"/>
  <c r="K6624" i="88"/>
  <c r="K6623" i="88"/>
  <c r="K6622" i="88"/>
  <c r="K6621" i="88"/>
  <c r="K6620" i="88"/>
  <c r="K6619" i="88"/>
  <c r="K6618" i="88"/>
  <c r="K6617" i="88"/>
  <c r="K6616" i="88"/>
  <c r="K6615" i="88"/>
  <c r="K6614" i="88"/>
  <c r="K6613" i="88"/>
  <c r="K6612" i="88"/>
  <c r="K6611" i="88"/>
  <c r="K6610" i="88"/>
  <c r="K6609" i="88"/>
  <c r="K6608" i="88"/>
  <c r="K6607" i="88"/>
  <c r="K6606" i="88"/>
  <c r="K6605" i="88"/>
  <c r="K6604" i="88"/>
  <c r="K6603" i="88"/>
  <c r="K6602" i="88"/>
  <c r="K6601" i="88"/>
  <c r="K6600" i="88"/>
  <c r="K6599" i="88"/>
  <c r="K6598" i="88"/>
  <c r="K6597" i="88"/>
  <c r="K6596" i="88"/>
  <c r="K6595" i="88"/>
  <c r="K6594" i="88"/>
  <c r="K6593" i="88"/>
  <c r="K6592" i="88"/>
  <c r="K6591" i="88"/>
  <c r="K6590" i="88"/>
  <c r="K6589" i="88"/>
  <c r="K6588" i="88"/>
  <c r="K6587" i="88"/>
  <c r="K6586" i="88"/>
  <c r="K6585" i="88"/>
  <c r="K6584" i="88"/>
  <c r="K6583" i="88"/>
  <c r="K6582" i="88"/>
  <c r="K6581" i="88"/>
  <c r="K6580" i="88"/>
  <c r="K6579" i="88"/>
  <c r="K6578" i="88"/>
  <c r="K6577" i="88"/>
  <c r="K6576" i="88"/>
  <c r="K6575" i="88"/>
  <c r="K6574" i="88"/>
  <c r="K6573" i="88"/>
  <c r="K6572" i="88"/>
  <c r="K6571" i="88"/>
  <c r="K6570" i="88"/>
  <c r="K6569" i="88"/>
  <c r="K6568" i="88"/>
  <c r="K6567" i="88"/>
  <c r="K6566" i="88"/>
  <c r="K6565" i="88"/>
  <c r="K6564" i="88"/>
  <c r="K6563" i="88"/>
  <c r="K6562" i="88"/>
  <c r="K6561" i="88"/>
  <c r="K6560" i="88"/>
  <c r="K6559" i="88"/>
  <c r="K6558" i="88"/>
  <c r="K6557" i="88"/>
  <c r="K6556" i="88"/>
  <c r="K6555" i="88"/>
  <c r="K6554" i="88"/>
  <c r="K6553" i="88"/>
  <c r="K6552" i="88"/>
  <c r="K6551" i="88"/>
  <c r="K6550" i="88"/>
  <c r="K6549" i="88"/>
  <c r="K6548" i="88"/>
  <c r="K6547" i="88"/>
  <c r="K6546" i="88"/>
  <c r="K6545" i="88"/>
  <c r="K6544" i="88"/>
  <c r="K6543" i="88"/>
  <c r="K6542" i="88"/>
  <c r="K6541" i="88"/>
  <c r="K6540" i="88"/>
  <c r="K6539" i="88"/>
  <c r="K6538" i="88"/>
  <c r="K6537" i="88"/>
  <c r="K6536" i="88"/>
  <c r="K6535" i="88"/>
  <c r="K6534" i="88"/>
  <c r="K6533" i="88"/>
  <c r="K6532" i="88"/>
  <c r="K6531" i="88"/>
  <c r="K6530" i="88"/>
  <c r="K6529" i="88"/>
  <c r="K6528" i="88"/>
  <c r="K6527" i="88"/>
  <c r="K6526" i="88"/>
  <c r="K6525" i="88"/>
  <c r="K6524" i="88"/>
  <c r="K6523" i="88"/>
  <c r="K6522" i="88"/>
  <c r="K6521" i="88"/>
  <c r="K6520" i="88"/>
  <c r="K6519" i="88"/>
  <c r="K6518" i="88"/>
  <c r="K6517" i="88"/>
  <c r="K6516" i="88"/>
  <c r="K6515" i="88"/>
  <c r="K6514" i="88"/>
  <c r="K6513" i="88"/>
  <c r="K6512" i="88"/>
  <c r="K6511" i="88"/>
  <c r="K6510" i="88"/>
  <c r="K6509" i="88"/>
  <c r="K6508" i="88"/>
  <c r="K6507" i="88"/>
  <c r="K6506" i="88"/>
  <c r="K6505" i="88"/>
  <c r="K6504" i="88"/>
  <c r="K6503" i="88"/>
  <c r="K6502" i="88"/>
  <c r="K6501" i="88"/>
  <c r="K6500" i="88"/>
  <c r="K6499" i="88"/>
  <c r="K6498" i="88"/>
  <c r="K6497" i="88"/>
  <c r="K6496" i="88"/>
  <c r="K6495" i="88"/>
  <c r="K6494" i="88"/>
  <c r="K6493" i="88"/>
  <c r="K6492" i="88"/>
  <c r="K6491" i="88"/>
  <c r="K6490" i="88"/>
  <c r="K6489" i="88"/>
  <c r="K6488" i="88"/>
  <c r="K6487" i="88"/>
  <c r="K6486" i="88"/>
  <c r="K6485" i="88"/>
  <c r="K6484" i="88"/>
  <c r="K6483" i="88"/>
  <c r="K6482" i="88"/>
  <c r="K6481" i="88"/>
  <c r="K6480" i="88"/>
  <c r="K6479" i="88"/>
  <c r="K6478" i="88"/>
  <c r="K6477" i="88"/>
  <c r="K6476" i="88"/>
  <c r="K6475" i="88"/>
  <c r="K6474" i="88"/>
  <c r="K6473" i="88"/>
  <c r="K6472" i="88"/>
  <c r="K6471" i="88"/>
  <c r="K6470" i="88"/>
  <c r="K6469" i="88"/>
  <c r="K6468" i="88"/>
  <c r="K6467" i="88"/>
  <c r="K6466" i="88"/>
  <c r="K6465" i="88"/>
  <c r="K6464" i="88"/>
  <c r="K6463" i="88"/>
  <c r="K6462" i="88"/>
  <c r="K6461" i="88"/>
  <c r="K6460" i="88"/>
  <c r="K6459" i="88"/>
  <c r="K6458" i="88"/>
  <c r="K6457" i="88"/>
  <c r="K6456" i="88"/>
  <c r="K6455" i="88"/>
  <c r="K6454" i="88"/>
  <c r="K6453" i="88"/>
  <c r="K6452" i="88"/>
  <c r="K6451" i="88"/>
  <c r="K6450" i="88"/>
  <c r="K6449" i="88"/>
  <c r="K6448" i="88"/>
  <c r="K6447" i="88"/>
  <c r="K6446" i="88"/>
  <c r="K6445" i="88"/>
  <c r="K6444" i="88"/>
  <c r="K6443" i="88"/>
  <c r="K6442" i="88"/>
  <c r="K6441" i="88"/>
  <c r="K6440" i="88"/>
  <c r="K6439" i="88"/>
  <c r="K6438" i="88"/>
  <c r="K6437" i="88"/>
  <c r="K6436" i="88"/>
  <c r="K6435" i="88"/>
  <c r="K6434" i="88"/>
  <c r="K6433" i="88"/>
  <c r="K6432" i="88"/>
  <c r="K6431" i="88"/>
  <c r="K6430" i="88"/>
  <c r="K6429" i="88"/>
  <c r="K6428" i="88"/>
  <c r="K6427" i="88"/>
  <c r="K6426" i="88"/>
  <c r="K6425" i="88"/>
  <c r="K6424" i="88"/>
  <c r="K6423" i="88"/>
  <c r="K6422" i="88"/>
  <c r="K6421" i="88"/>
  <c r="K6420" i="88"/>
  <c r="K6419" i="88"/>
  <c r="K6418" i="88"/>
  <c r="K6417" i="88"/>
  <c r="K6416" i="88"/>
  <c r="K6415" i="88"/>
  <c r="K6414" i="88"/>
  <c r="K6413" i="88"/>
  <c r="K6412" i="88"/>
  <c r="K6411" i="88"/>
  <c r="K6410" i="88"/>
  <c r="K6409" i="88"/>
  <c r="K6408" i="88"/>
  <c r="K6407" i="88"/>
  <c r="K6406" i="88"/>
  <c r="K6405" i="88"/>
  <c r="K6404" i="88"/>
  <c r="K6403" i="88"/>
  <c r="K6402" i="88"/>
  <c r="K6401" i="88"/>
  <c r="K6400" i="88"/>
  <c r="K6399" i="88"/>
  <c r="K6398" i="88"/>
  <c r="K6397" i="88"/>
  <c r="K6396" i="88"/>
  <c r="K6395" i="88"/>
  <c r="K6394" i="88"/>
  <c r="K6393" i="88"/>
  <c r="K6392" i="88"/>
  <c r="K6391" i="88"/>
  <c r="K6390" i="88"/>
  <c r="K6389" i="88"/>
  <c r="K6388" i="88"/>
  <c r="K6387" i="88"/>
  <c r="K6386" i="88"/>
  <c r="K6385" i="88"/>
  <c r="K6384" i="88"/>
  <c r="K6383" i="88"/>
  <c r="K6382" i="88"/>
  <c r="K6381" i="88"/>
  <c r="K6380" i="88"/>
  <c r="K6379" i="88"/>
  <c r="K6378" i="88"/>
  <c r="K6377" i="88"/>
  <c r="K6376" i="88"/>
  <c r="K6375" i="88"/>
  <c r="K6374" i="88"/>
  <c r="K6373" i="88"/>
  <c r="K6372" i="88"/>
  <c r="K6371" i="88"/>
  <c r="K6370" i="88"/>
  <c r="K6369" i="88"/>
  <c r="K6368" i="88"/>
  <c r="K6367" i="88"/>
  <c r="K6366" i="88"/>
  <c r="K6365" i="88"/>
  <c r="K6364" i="88"/>
  <c r="K6363" i="88"/>
  <c r="K6362" i="88"/>
  <c r="K6361" i="88"/>
  <c r="K6360" i="88"/>
  <c r="K6359" i="88"/>
  <c r="K6358" i="88"/>
  <c r="K6357" i="88"/>
  <c r="K6356" i="88"/>
  <c r="K6355" i="88"/>
  <c r="K6354" i="88"/>
  <c r="K6353" i="88"/>
  <c r="K6352" i="88"/>
  <c r="K6351" i="88"/>
  <c r="K6350" i="88"/>
  <c r="K6349" i="88"/>
  <c r="K6348" i="88"/>
  <c r="K6347" i="88"/>
  <c r="K6346" i="88"/>
  <c r="K6345" i="88"/>
  <c r="K6344" i="88"/>
  <c r="K6343" i="88"/>
  <c r="K6342" i="88"/>
  <c r="K6341" i="88"/>
  <c r="K6340" i="88"/>
  <c r="K6339" i="88"/>
  <c r="K6338" i="88"/>
  <c r="K6337" i="88"/>
  <c r="K6336" i="88"/>
  <c r="K6335" i="88"/>
  <c r="K6334" i="88"/>
  <c r="K6333" i="88"/>
  <c r="K6332" i="88"/>
  <c r="K6331" i="88"/>
  <c r="K6330" i="88"/>
  <c r="K6329" i="88"/>
  <c r="K6328" i="88"/>
  <c r="K6327" i="88"/>
  <c r="K6326" i="88"/>
  <c r="K6325" i="88"/>
  <c r="K6324" i="88"/>
  <c r="K6323" i="88"/>
  <c r="K6322" i="88"/>
  <c r="K6321" i="88"/>
  <c r="K6320" i="88"/>
  <c r="K6319" i="88"/>
  <c r="K6318" i="88"/>
  <c r="K6317" i="88"/>
  <c r="K6316" i="88"/>
  <c r="K6315" i="88"/>
  <c r="K6314" i="88"/>
  <c r="K6313" i="88"/>
  <c r="K6312" i="88"/>
  <c r="K6311" i="88"/>
  <c r="K6310" i="88"/>
  <c r="K6309" i="88"/>
  <c r="K6308" i="88"/>
  <c r="K6307" i="88"/>
  <c r="K6306" i="88"/>
  <c r="K6305" i="88"/>
  <c r="K6304" i="88"/>
  <c r="K6303" i="88"/>
  <c r="K6302" i="88"/>
  <c r="K6301" i="88"/>
  <c r="K6300" i="88"/>
  <c r="K6299" i="88"/>
  <c r="K6298" i="88"/>
  <c r="K6297" i="88"/>
  <c r="K6296" i="88"/>
  <c r="K6295" i="88"/>
  <c r="K6294" i="88"/>
  <c r="K6293" i="88"/>
  <c r="K6292" i="88"/>
  <c r="K6291" i="88"/>
  <c r="K6290" i="88"/>
  <c r="K6289" i="88"/>
  <c r="K6288" i="88"/>
  <c r="K6287" i="88"/>
  <c r="K6286" i="88"/>
  <c r="K6285" i="88"/>
  <c r="K6284" i="88"/>
  <c r="K6283" i="88"/>
  <c r="K6282" i="88"/>
  <c r="K6281" i="88"/>
  <c r="K6280" i="88"/>
  <c r="K6279" i="88"/>
  <c r="K6278" i="88"/>
  <c r="K6277" i="88"/>
  <c r="K6276" i="88"/>
  <c r="K6275" i="88"/>
  <c r="K6274" i="88"/>
  <c r="K6273" i="88"/>
  <c r="K6272" i="88"/>
  <c r="K6271" i="88"/>
  <c r="K6270" i="88"/>
  <c r="K6269" i="88"/>
  <c r="K6268" i="88"/>
  <c r="K6267" i="88"/>
  <c r="K6266" i="88"/>
  <c r="K6265" i="88"/>
  <c r="K6264" i="88"/>
  <c r="K6263" i="88"/>
  <c r="K6262" i="88"/>
  <c r="K6261" i="88"/>
  <c r="K6260" i="88"/>
  <c r="K6259" i="88"/>
  <c r="K6258" i="88"/>
  <c r="K6257" i="88"/>
  <c r="K6256" i="88"/>
  <c r="K6255" i="88"/>
  <c r="K6254" i="88"/>
  <c r="K6253" i="88"/>
  <c r="K6252" i="88"/>
  <c r="K6251" i="88"/>
  <c r="K6250" i="88"/>
  <c r="K6249" i="88"/>
  <c r="K6248" i="88"/>
  <c r="K6247" i="88"/>
  <c r="K6246" i="88"/>
  <c r="K6245" i="88"/>
  <c r="K6244" i="88"/>
  <c r="K6243" i="88"/>
  <c r="K6242" i="88"/>
  <c r="K6241" i="88"/>
  <c r="K6240" i="88"/>
  <c r="K6239" i="88"/>
  <c r="K6238" i="88"/>
  <c r="K6237" i="88"/>
  <c r="K6236" i="88"/>
  <c r="K6235" i="88"/>
  <c r="K6234" i="88"/>
  <c r="K6233" i="88"/>
  <c r="K6232" i="88"/>
  <c r="K6231" i="88"/>
  <c r="K6230" i="88"/>
  <c r="K6229" i="88"/>
  <c r="K6228" i="88"/>
  <c r="K6227" i="88"/>
  <c r="K6226" i="88"/>
  <c r="K6225" i="88"/>
  <c r="K6224" i="88"/>
  <c r="K6223" i="88"/>
  <c r="K6222" i="88"/>
  <c r="K6221" i="88"/>
  <c r="K6220" i="88"/>
  <c r="K6219" i="88"/>
  <c r="K6218" i="88"/>
  <c r="K6217" i="88"/>
  <c r="K6216" i="88"/>
  <c r="K6215" i="88"/>
  <c r="K6214" i="88"/>
  <c r="K6213" i="88"/>
  <c r="K6212" i="88"/>
  <c r="K6211" i="88"/>
  <c r="K6210" i="88"/>
  <c r="K6209" i="88"/>
  <c r="K6208" i="88"/>
  <c r="K6207" i="88"/>
  <c r="K6206" i="88"/>
  <c r="K6205" i="88"/>
  <c r="K6204" i="88"/>
  <c r="K6203" i="88"/>
  <c r="K6202" i="88"/>
  <c r="K6201" i="88"/>
  <c r="K6200" i="88"/>
  <c r="K6199" i="88"/>
  <c r="K6198" i="88"/>
  <c r="K6197" i="88"/>
  <c r="K6196" i="88"/>
  <c r="K6195" i="88"/>
  <c r="K6194" i="88"/>
  <c r="K6193" i="88"/>
  <c r="K6192" i="88"/>
  <c r="K6191" i="88"/>
  <c r="K6190" i="88"/>
  <c r="K6189" i="88"/>
  <c r="K6188" i="88"/>
  <c r="K6187" i="88"/>
  <c r="K6186" i="88"/>
  <c r="K6185" i="88"/>
  <c r="K6184" i="88"/>
  <c r="K6183" i="88"/>
  <c r="K6182" i="88"/>
  <c r="K6181" i="88"/>
  <c r="K6180" i="88"/>
  <c r="K6179" i="88"/>
  <c r="K6178" i="88"/>
  <c r="K6177" i="88"/>
  <c r="K6176" i="88"/>
  <c r="K6175" i="88"/>
  <c r="K6174" i="88"/>
  <c r="K6173" i="88"/>
  <c r="K6172" i="88"/>
  <c r="K6171" i="88"/>
  <c r="K6170" i="88"/>
  <c r="K6169" i="88"/>
  <c r="K6168" i="88"/>
  <c r="K6167" i="88"/>
  <c r="K6166" i="88"/>
  <c r="K6165" i="88"/>
  <c r="K6164" i="88"/>
  <c r="K6163" i="88"/>
  <c r="K6162" i="88"/>
  <c r="K6161" i="88"/>
  <c r="K6160" i="88"/>
  <c r="K6159" i="88"/>
  <c r="K6158" i="88"/>
  <c r="K6157" i="88"/>
  <c r="K6156" i="88"/>
  <c r="K6155" i="88"/>
  <c r="K6154" i="88"/>
  <c r="K6153" i="88"/>
  <c r="K6152" i="88"/>
  <c r="K6151" i="88"/>
  <c r="K6150" i="88"/>
  <c r="K6149" i="88"/>
  <c r="K6148" i="88"/>
  <c r="K6147" i="88"/>
  <c r="K6146" i="88"/>
  <c r="K6145" i="88"/>
  <c r="K6144" i="88"/>
  <c r="K6143" i="88"/>
  <c r="K6142" i="88"/>
  <c r="K6141" i="88"/>
  <c r="K6140" i="88"/>
  <c r="K6139" i="88"/>
  <c r="K6138" i="88"/>
  <c r="K6137" i="88"/>
  <c r="K6136" i="88"/>
  <c r="K6135" i="88"/>
  <c r="K6134" i="88"/>
  <c r="K6133" i="88"/>
  <c r="K6132" i="88"/>
  <c r="K6131" i="88"/>
  <c r="K6130" i="88"/>
  <c r="K6129" i="88"/>
  <c r="K6128" i="88"/>
  <c r="K6127" i="88"/>
  <c r="K6126" i="88"/>
  <c r="K6125" i="88"/>
  <c r="K6124" i="88"/>
  <c r="K6123" i="88"/>
  <c r="K6122" i="88"/>
  <c r="K6121" i="88"/>
  <c r="K6120" i="88"/>
  <c r="K6119" i="88"/>
  <c r="K6118" i="88"/>
  <c r="K6117" i="88"/>
  <c r="K6116" i="88"/>
  <c r="K6115" i="88"/>
  <c r="K6114" i="88"/>
  <c r="K6113" i="88"/>
  <c r="K6112" i="88"/>
  <c r="K6111" i="88"/>
  <c r="K6110" i="88"/>
  <c r="K6109" i="88"/>
  <c r="K6108" i="88"/>
  <c r="K6107" i="88"/>
  <c r="K6106" i="88"/>
  <c r="K6105" i="88"/>
  <c r="K6104" i="88"/>
  <c r="K6103" i="88"/>
  <c r="K6102" i="88"/>
  <c r="K6101" i="88"/>
  <c r="K6100" i="88"/>
  <c r="K6099" i="88"/>
  <c r="K6098" i="88"/>
  <c r="K6097" i="88"/>
  <c r="K6096" i="88"/>
  <c r="K6095" i="88"/>
  <c r="K6094" i="88"/>
  <c r="K6093" i="88"/>
  <c r="K6092" i="88"/>
  <c r="K6091" i="88"/>
  <c r="K6090" i="88"/>
  <c r="K6089" i="88"/>
  <c r="K6088" i="88"/>
  <c r="K6087" i="88"/>
  <c r="K6086" i="88"/>
  <c r="K6085" i="88"/>
  <c r="K6084" i="88"/>
  <c r="K6083" i="88"/>
  <c r="K6082" i="88"/>
  <c r="K6081" i="88"/>
  <c r="K6080" i="88"/>
  <c r="K6079" i="88"/>
  <c r="K6078" i="88"/>
  <c r="K6077" i="88"/>
  <c r="K6076" i="88"/>
  <c r="K6075" i="88"/>
  <c r="K6074" i="88"/>
  <c r="K6073" i="88"/>
  <c r="K6072" i="88"/>
  <c r="K6071" i="88"/>
  <c r="K6070" i="88"/>
  <c r="K6069" i="88"/>
  <c r="K6068" i="88"/>
  <c r="K6067" i="88"/>
  <c r="K6066" i="88"/>
  <c r="K6065" i="88"/>
  <c r="K6064" i="88"/>
  <c r="K6063" i="88"/>
  <c r="K6062" i="88"/>
  <c r="K6061" i="88"/>
  <c r="K6060" i="88"/>
  <c r="K6059" i="88"/>
  <c r="K6058" i="88"/>
  <c r="K6057" i="88"/>
  <c r="K6056" i="88"/>
  <c r="K6055" i="88"/>
  <c r="K6054" i="88"/>
  <c r="K6053" i="88"/>
  <c r="K6052" i="88"/>
  <c r="K6051" i="88"/>
  <c r="K6050" i="88"/>
  <c r="K6049" i="88"/>
  <c r="K6048" i="88"/>
  <c r="K6047" i="88"/>
  <c r="K6046" i="88"/>
  <c r="K6045" i="88"/>
  <c r="K6044" i="88"/>
  <c r="K6043" i="88"/>
  <c r="K6042" i="88"/>
  <c r="K6041" i="88"/>
  <c r="K6040" i="88"/>
  <c r="K6039" i="88"/>
  <c r="K6038" i="88"/>
  <c r="K6037" i="88"/>
  <c r="K6036" i="88"/>
  <c r="K6035" i="88"/>
  <c r="K6034" i="88"/>
  <c r="K6033" i="88"/>
  <c r="K6032" i="88"/>
  <c r="K6031" i="88"/>
  <c r="K6030" i="88"/>
  <c r="K6029" i="88"/>
  <c r="K6028" i="88"/>
  <c r="K6027" i="88"/>
  <c r="K6026" i="88"/>
  <c r="K6025" i="88"/>
  <c r="K6024" i="88"/>
  <c r="K6023" i="88"/>
  <c r="K6022" i="88"/>
  <c r="K6021" i="88"/>
  <c r="K6020" i="88"/>
  <c r="K6019" i="88"/>
  <c r="K6018" i="88"/>
  <c r="K6017" i="88"/>
  <c r="K6016" i="88"/>
  <c r="K6015" i="88"/>
  <c r="K6014" i="88"/>
  <c r="K6013" i="88"/>
  <c r="K6012" i="88"/>
  <c r="K6011" i="88"/>
  <c r="K6010" i="88"/>
  <c r="K6009" i="88"/>
  <c r="K6008" i="88"/>
  <c r="K6007" i="88"/>
  <c r="K6006" i="88"/>
  <c r="K6005" i="88"/>
  <c r="K6004" i="88"/>
  <c r="K6003" i="88"/>
  <c r="K6002" i="88"/>
  <c r="K6001" i="88"/>
  <c r="K6000" i="88"/>
  <c r="K5999" i="88"/>
  <c r="K5998" i="88"/>
  <c r="K5997" i="88"/>
  <c r="K5996" i="88"/>
  <c r="K5995" i="88"/>
  <c r="K5994" i="88"/>
  <c r="K5993" i="88"/>
  <c r="K5992" i="88"/>
  <c r="K5991" i="88"/>
  <c r="K5990" i="88"/>
  <c r="K5989" i="88"/>
  <c r="K5988" i="88"/>
  <c r="K5987" i="88"/>
  <c r="K5986" i="88"/>
  <c r="K5985" i="88"/>
  <c r="K5984" i="88"/>
  <c r="K5983" i="88"/>
  <c r="K5982" i="88"/>
  <c r="K5981" i="88"/>
  <c r="K5980" i="88"/>
  <c r="K5979" i="88"/>
  <c r="K5978" i="88"/>
  <c r="K5977" i="88"/>
  <c r="K5976" i="88"/>
  <c r="K5975" i="88"/>
  <c r="K5974" i="88"/>
  <c r="K5973" i="88"/>
  <c r="K5972" i="88"/>
  <c r="K5971" i="88"/>
  <c r="K5970" i="88"/>
  <c r="K5969" i="88"/>
  <c r="K5968" i="88"/>
  <c r="K5967" i="88"/>
  <c r="K5966" i="88"/>
  <c r="K5965" i="88"/>
  <c r="K5964" i="88"/>
  <c r="K5963" i="88"/>
  <c r="K5962" i="88"/>
  <c r="K5961" i="88"/>
  <c r="K5960" i="88"/>
  <c r="K5959" i="88"/>
  <c r="K5958" i="88"/>
  <c r="K5957" i="88"/>
  <c r="K5956" i="88"/>
  <c r="K5955" i="88"/>
  <c r="K5954" i="88"/>
  <c r="K5953" i="88"/>
  <c r="K5952" i="88"/>
  <c r="K5951" i="88"/>
  <c r="K5950" i="88"/>
  <c r="K5949" i="88"/>
  <c r="K5948" i="88"/>
  <c r="K5947" i="88"/>
  <c r="K5946" i="88"/>
  <c r="K5945" i="88"/>
  <c r="K5944" i="88"/>
  <c r="K5943" i="88"/>
  <c r="K5942" i="88"/>
  <c r="K5941" i="88"/>
  <c r="K5940" i="88"/>
  <c r="K5939" i="88"/>
  <c r="K5938" i="88"/>
  <c r="K5937" i="88"/>
  <c r="K5936" i="88"/>
  <c r="K5935" i="88"/>
  <c r="K5934" i="88"/>
  <c r="K5933" i="88"/>
  <c r="K5932" i="88"/>
  <c r="K5931" i="88"/>
  <c r="K5930" i="88"/>
  <c r="K5929" i="88"/>
  <c r="K5928" i="88"/>
  <c r="K5927" i="88"/>
  <c r="K5926" i="88"/>
  <c r="K5925" i="88"/>
  <c r="K5924" i="88"/>
  <c r="K5923" i="88"/>
  <c r="K5922" i="88"/>
  <c r="K5921" i="88"/>
  <c r="K5920" i="88"/>
  <c r="K5919" i="88"/>
  <c r="K5918" i="88"/>
  <c r="K5917" i="88"/>
  <c r="K5916" i="88"/>
  <c r="K5915" i="88"/>
  <c r="K5914" i="88"/>
  <c r="K5913" i="88"/>
  <c r="K5912" i="88"/>
  <c r="K5911" i="88"/>
  <c r="K5910" i="88"/>
  <c r="K5909" i="88"/>
  <c r="K5908" i="88"/>
  <c r="K5907" i="88"/>
  <c r="K5906" i="88"/>
  <c r="K5905" i="88"/>
  <c r="K5904" i="88"/>
  <c r="K5903" i="88"/>
  <c r="K5902" i="88"/>
  <c r="K5901" i="88"/>
  <c r="K5900" i="88"/>
  <c r="K5899" i="88"/>
  <c r="K5898" i="88"/>
  <c r="K5897" i="88"/>
  <c r="K5896" i="88"/>
  <c r="K5895" i="88"/>
  <c r="K5894" i="88"/>
  <c r="K5893" i="88"/>
  <c r="K5892" i="88"/>
  <c r="K5891" i="88"/>
  <c r="K5890" i="88"/>
  <c r="K5889" i="88"/>
  <c r="K5888" i="88"/>
  <c r="K5887" i="88"/>
  <c r="K5886" i="88"/>
  <c r="K5885" i="88"/>
  <c r="K5884" i="88"/>
  <c r="K5883" i="88"/>
  <c r="K5882" i="88"/>
  <c r="K5881" i="88"/>
  <c r="K5880" i="88"/>
  <c r="K5879" i="88"/>
  <c r="K5878" i="88"/>
  <c r="K5877" i="88"/>
  <c r="K5876" i="88"/>
  <c r="K5875" i="88"/>
  <c r="K5874" i="88"/>
  <c r="K5873" i="88"/>
  <c r="K5872" i="88"/>
  <c r="K5871" i="88"/>
  <c r="K5870" i="88"/>
  <c r="K5869" i="88"/>
  <c r="K5868" i="88"/>
  <c r="K5867" i="88"/>
  <c r="K5866" i="88"/>
  <c r="K5865" i="88"/>
  <c r="K5864" i="88"/>
  <c r="K5863" i="88"/>
  <c r="K5862" i="88"/>
  <c r="K5861" i="88"/>
  <c r="K5860" i="88"/>
  <c r="K5859" i="88"/>
  <c r="K5858" i="88"/>
  <c r="K5857" i="88"/>
  <c r="K5856" i="88"/>
  <c r="K5855" i="88"/>
  <c r="K5854" i="88"/>
  <c r="K5853" i="88"/>
  <c r="K5852" i="88"/>
  <c r="K5851" i="88"/>
  <c r="K5850" i="88"/>
  <c r="K5849" i="88"/>
  <c r="K5848" i="88"/>
  <c r="K5847" i="88"/>
  <c r="K5846" i="88"/>
  <c r="K5845" i="88"/>
  <c r="K5844" i="88"/>
  <c r="K5843" i="88"/>
  <c r="K5842" i="88"/>
  <c r="K5841" i="88"/>
  <c r="K5840" i="88"/>
  <c r="K5839" i="88"/>
  <c r="K5838" i="88"/>
  <c r="K5837" i="88"/>
  <c r="K5836" i="88"/>
  <c r="K5835" i="88"/>
  <c r="K5834" i="88"/>
  <c r="K5833" i="88"/>
  <c r="K5832" i="88"/>
  <c r="K5831" i="88"/>
  <c r="K5830" i="88"/>
  <c r="K5829" i="88"/>
  <c r="K5828" i="88"/>
  <c r="K5827" i="88"/>
  <c r="K5826" i="88"/>
  <c r="K5825" i="88"/>
  <c r="K5824" i="88"/>
  <c r="K5823" i="88"/>
  <c r="K5822" i="88"/>
  <c r="K5821" i="88"/>
  <c r="K5820" i="88"/>
  <c r="K5819" i="88"/>
  <c r="K5818" i="88"/>
  <c r="K5817" i="88"/>
  <c r="K5816" i="88"/>
  <c r="K5815" i="88"/>
  <c r="K5814" i="88"/>
  <c r="K5813" i="88"/>
  <c r="K5812" i="88"/>
  <c r="K5811" i="88"/>
  <c r="K5810" i="88"/>
  <c r="K5809" i="88"/>
  <c r="K5808" i="88"/>
  <c r="K5807" i="88"/>
  <c r="K5806" i="88"/>
  <c r="K5805" i="88"/>
  <c r="K5804" i="88"/>
  <c r="K5803" i="88"/>
  <c r="K5802" i="88"/>
  <c r="K5801" i="88"/>
  <c r="K5800" i="88"/>
  <c r="K5799" i="88"/>
  <c r="K5798" i="88"/>
  <c r="K5797" i="88"/>
  <c r="K5796" i="88"/>
  <c r="K5795" i="88"/>
  <c r="K5794" i="88"/>
  <c r="K5793" i="88"/>
  <c r="K5792" i="88"/>
  <c r="K5791" i="88"/>
  <c r="K5790" i="88"/>
  <c r="K5789" i="88"/>
  <c r="K5788" i="88"/>
  <c r="K5787" i="88"/>
  <c r="K5786" i="88"/>
  <c r="K5785" i="88"/>
  <c r="K5784" i="88"/>
  <c r="K5783" i="88"/>
  <c r="K5782" i="88"/>
  <c r="K5781" i="88"/>
  <c r="K5780" i="88"/>
  <c r="K5779" i="88"/>
  <c r="K5778" i="88"/>
  <c r="K5777" i="88"/>
  <c r="K5776" i="88"/>
  <c r="K5775" i="88"/>
  <c r="K5774" i="88"/>
  <c r="K5773" i="88"/>
  <c r="K5772" i="88"/>
  <c r="K5771" i="88"/>
  <c r="K5770" i="88"/>
  <c r="K5769" i="88"/>
  <c r="K5768" i="88"/>
  <c r="K5767" i="88"/>
  <c r="K5766" i="88"/>
  <c r="K5765" i="88"/>
  <c r="K5764" i="88"/>
  <c r="K5763" i="88"/>
  <c r="K5762" i="88"/>
  <c r="K5761" i="88"/>
  <c r="K5760" i="88"/>
  <c r="K5759" i="88"/>
  <c r="K5758" i="88"/>
  <c r="K5757" i="88"/>
  <c r="K5756" i="88"/>
  <c r="K5755" i="88"/>
  <c r="K5754" i="88"/>
  <c r="K5753" i="88"/>
  <c r="K5752" i="88"/>
  <c r="K5751" i="88"/>
  <c r="K5750" i="88"/>
  <c r="K5749" i="88"/>
  <c r="K5748" i="88"/>
  <c r="K5747" i="88"/>
  <c r="K5746" i="88"/>
  <c r="K5745" i="88"/>
  <c r="K5744" i="88"/>
  <c r="K5743" i="88"/>
  <c r="K5742" i="88"/>
  <c r="K5741" i="88"/>
  <c r="K5740" i="88"/>
  <c r="K5739" i="88"/>
  <c r="K5738" i="88"/>
  <c r="K5737" i="88"/>
  <c r="K5736" i="88"/>
  <c r="K5735" i="88"/>
  <c r="K5734" i="88"/>
  <c r="K5733" i="88"/>
  <c r="K5732" i="88"/>
  <c r="K5731" i="88"/>
  <c r="K5730" i="88"/>
  <c r="K5729" i="88"/>
  <c r="K5728" i="88"/>
  <c r="K5727" i="88"/>
  <c r="K5726" i="88"/>
  <c r="K5725" i="88"/>
  <c r="K5724" i="88"/>
  <c r="K5723" i="88"/>
  <c r="K5722" i="88"/>
  <c r="K5721" i="88"/>
  <c r="K5720" i="88"/>
  <c r="K5719" i="88"/>
  <c r="K5718" i="88"/>
  <c r="K5717" i="88"/>
  <c r="K5716" i="88"/>
  <c r="K5715" i="88"/>
  <c r="K5714" i="88"/>
  <c r="K5713" i="88"/>
  <c r="K5712" i="88"/>
  <c r="K5711" i="88"/>
  <c r="K5710" i="88"/>
  <c r="K5709" i="88"/>
  <c r="K5708" i="88"/>
  <c r="K5707" i="88"/>
  <c r="K5706" i="88"/>
  <c r="K5705" i="88"/>
  <c r="K5704" i="88"/>
  <c r="K5703" i="88"/>
  <c r="K5702" i="88"/>
  <c r="K5701" i="88"/>
  <c r="K5700" i="88"/>
  <c r="K5699" i="88"/>
  <c r="K5698" i="88"/>
  <c r="K5697" i="88"/>
  <c r="K5696" i="88"/>
  <c r="K5695" i="88"/>
  <c r="K5694" i="88"/>
  <c r="K5693" i="88"/>
  <c r="K5692" i="88"/>
  <c r="K5691" i="88"/>
  <c r="K5690" i="88"/>
  <c r="K5689" i="88"/>
  <c r="K5688" i="88"/>
  <c r="K5687" i="88"/>
  <c r="K5686" i="88"/>
  <c r="K5685" i="88"/>
  <c r="K5684" i="88"/>
  <c r="K5683" i="88"/>
  <c r="K5682" i="88"/>
  <c r="K5681" i="88"/>
  <c r="K5680" i="88"/>
  <c r="K5679" i="88"/>
  <c r="K5678" i="88"/>
  <c r="K5677" i="88"/>
  <c r="K5676" i="88"/>
  <c r="K5675" i="88"/>
  <c r="K5674" i="88"/>
  <c r="K5673" i="88"/>
  <c r="K5672" i="88"/>
  <c r="K5671" i="88"/>
  <c r="K5670" i="88"/>
  <c r="K5669" i="88"/>
  <c r="K5668" i="88"/>
  <c r="K5667" i="88"/>
  <c r="K5666" i="88"/>
  <c r="K5665" i="88"/>
  <c r="K5664" i="88"/>
  <c r="K5663" i="88"/>
  <c r="K5662" i="88"/>
  <c r="K5661" i="88"/>
  <c r="K5660" i="88"/>
  <c r="K5659" i="88"/>
  <c r="K5658" i="88"/>
  <c r="K5657" i="88"/>
  <c r="K5656" i="88"/>
  <c r="K5655" i="88"/>
  <c r="K5654" i="88"/>
  <c r="K5653" i="88"/>
  <c r="K5652" i="88"/>
  <c r="K5651" i="88"/>
  <c r="K5650" i="88"/>
  <c r="K5649" i="88"/>
  <c r="K5648" i="88"/>
  <c r="K5647" i="88"/>
  <c r="K5646" i="88"/>
  <c r="K5645" i="88"/>
  <c r="K5644" i="88"/>
  <c r="K5643" i="88"/>
  <c r="K5642" i="88"/>
  <c r="K5641" i="88"/>
  <c r="K5640" i="88"/>
  <c r="K5639" i="88"/>
  <c r="K5638" i="88"/>
  <c r="K5637" i="88"/>
  <c r="K5636" i="88"/>
  <c r="K5635" i="88"/>
  <c r="K5634" i="88"/>
  <c r="K5633" i="88"/>
  <c r="K5632" i="88"/>
  <c r="K5631" i="88"/>
  <c r="K5630" i="88"/>
  <c r="K5629" i="88"/>
  <c r="K5628" i="88"/>
  <c r="K5627" i="88"/>
  <c r="K5626" i="88"/>
  <c r="K5625" i="88"/>
  <c r="K5624" i="88"/>
  <c r="K5623" i="88"/>
  <c r="K5622" i="88"/>
  <c r="K5621" i="88"/>
  <c r="K5620" i="88"/>
  <c r="K5619" i="88"/>
  <c r="K5618" i="88"/>
  <c r="K5617" i="88"/>
  <c r="K5616" i="88"/>
  <c r="K5615" i="88"/>
  <c r="K5614" i="88"/>
  <c r="K5613" i="88"/>
  <c r="K5612" i="88"/>
  <c r="K5611" i="88"/>
  <c r="K5610" i="88"/>
  <c r="K5609" i="88"/>
  <c r="K5608" i="88"/>
  <c r="K5607" i="88"/>
  <c r="K5606" i="88"/>
  <c r="K5605" i="88"/>
  <c r="K5604" i="88"/>
  <c r="K5603" i="88"/>
  <c r="K5602" i="88"/>
  <c r="K5601" i="88"/>
  <c r="K5600" i="88"/>
  <c r="K5599" i="88"/>
  <c r="K5598" i="88"/>
  <c r="K5597" i="88"/>
  <c r="K5596" i="88"/>
  <c r="K5595" i="88"/>
  <c r="K5594" i="88"/>
  <c r="K5593" i="88"/>
  <c r="K5592" i="88"/>
  <c r="K5591" i="88"/>
  <c r="K5590" i="88"/>
  <c r="K5589" i="88"/>
  <c r="K5588" i="88"/>
  <c r="K5587" i="88"/>
  <c r="K5586" i="88"/>
  <c r="K5585" i="88"/>
  <c r="K5584" i="88"/>
  <c r="K5583" i="88"/>
  <c r="K5582" i="88"/>
  <c r="K5581" i="88"/>
  <c r="K5580" i="88"/>
  <c r="K5579" i="88"/>
  <c r="K5578" i="88"/>
  <c r="K5577" i="88"/>
  <c r="K5576" i="88"/>
  <c r="K5575" i="88"/>
  <c r="K5574" i="88"/>
  <c r="K5573" i="88"/>
  <c r="K5572" i="88"/>
  <c r="K5571" i="88"/>
  <c r="K5570" i="88"/>
  <c r="K5569" i="88"/>
  <c r="K5568" i="88"/>
  <c r="K5567" i="88"/>
  <c r="K5566" i="88"/>
  <c r="K5565" i="88"/>
  <c r="K5564" i="88"/>
  <c r="K5563" i="88"/>
  <c r="K5562" i="88"/>
  <c r="K5561" i="88"/>
  <c r="K5560" i="88"/>
  <c r="K5559" i="88"/>
  <c r="K5558" i="88"/>
  <c r="K5557" i="88"/>
  <c r="K5556" i="88"/>
  <c r="K5555" i="88"/>
  <c r="K5554" i="88"/>
  <c r="K5553" i="88"/>
  <c r="K5552" i="88"/>
  <c r="K5551" i="88"/>
  <c r="K5550" i="88"/>
  <c r="K5549" i="88"/>
  <c r="K5548" i="88"/>
  <c r="K5547" i="88"/>
  <c r="K5546" i="88"/>
  <c r="K5545" i="88"/>
  <c r="K5544" i="88"/>
  <c r="K5543" i="88"/>
  <c r="K5542" i="88"/>
  <c r="K5541" i="88"/>
  <c r="K5540" i="88"/>
  <c r="K5539" i="88"/>
  <c r="K5538" i="88"/>
  <c r="K5537" i="88"/>
  <c r="K5536" i="88"/>
  <c r="K5535" i="88"/>
  <c r="K5534" i="88"/>
  <c r="K5533" i="88"/>
  <c r="K5532" i="88"/>
  <c r="K5531" i="88"/>
  <c r="K5530" i="88"/>
  <c r="K5529" i="88"/>
  <c r="K5528" i="88"/>
  <c r="K5527" i="88"/>
  <c r="K5526" i="88"/>
  <c r="K5525" i="88"/>
  <c r="K5524" i="88"/>
  <c r="K5523" i="88"/>
  <c r="K5522" i="88"/>
  <c r="K5521" i="88"/>
  <c r="K5520" i="88"/>
  <c r="K5519" i="88"/>
  <c r="K5518" i="88"/>
  <c r="K5517" i="88"/>
  <c r="K5516" i="88"/>
  <c r="K5515" i="88"/>
  <c r="K5514" i="88"/>
  <c r="K5513" i="88"/>
  <c r="K5512" i="88"/>
  <c r="K5511" i="88"/>
  <c r="K5510" i="88"/>
  <c r="K5509" i="88"/>
  <c r="K5508" i="88"/>
  <c r="K5507" i="88"/>
  <c r="K5506" i="88"/>
  <c r="K5505" i="88"/>
  <c r="K5504" i="88"/>
  <c r="K5503" i="88"/>
  <c r="K5502" i="88"/>
  <c r="K5501" i="88"/>
  <c r="K5500" i="88"/>
  <c r="K5499" i="88"/>
  <c r="K5498" i="88"/>
  <c r="K5497" i="88"/>
  <c r="K5496" i="88"/>
  <c r="K5495" i="88"/>
  <c r="K5494" i="88"/>
  <c r="K5493" i="88"/>
  <c r="K5492" i="88"/>
  <c r="K5491" i="88"/>
  <c r="K5490" i="88"/>
  <c r="K5489" i="88"/>
  <c r="K5488" i="88"/>
  <c r="K5487" i="88"/>
  <c r="K5486" i="88"/>
  <c r="K5485" i="88"/>
  <c r="K5484" i="88"/>
  <c r="K5483" i="88"/>
  <c r="K5482" i="88"/>
  <c r="K5481" i="88"/>
  <c r="K5480" i="88"/>
  <c r="K5479" i="88"/>
  <c r="K5478" i="88"/>
  <c r="K5477" i="88"/>
  <c r="K5476" i="88"/>
  <c r="K5475" i="88"/>
  <c r="K5474" i="88"/>
  <c r="K5473" i="88"/>
  <c r="K5472" i="88"/>
  <c r="K5471" i="88"/>
  <c r="K5470" i="88"/>
  <c r="K5469" i="88"/>
  <c r="K5468" i="88"/>
  <c r="K5467" i="88"/>
  <c r="K5466" i="88"/>
  <c r="K5465" i="88"/>
  <c r="K5464" i="88"/>
  <c r="K5463" i="88"/>
  <c r="K5462" i="88"/>
  <c r="K5461" i="88"/>
  <c r="K5460" i="88"/>
  <c r="K5459" i="88"/>
  <c r="K5458" i="88"/>
  <c r="K5457" i="88"/>
  <c r="K5456" i="88"/>
  <c r="K5455" i="88"/>
  <c r="K5454" i="88"/>
  <c r="K5453" i="88"/>
  <c r="K5452" i="88"/>
  <c r="K5451" i="88"/>
  <c r="K5450" i="88"/>
  <c r="K5449" i="88"/>
  <c r="K5448" i="88"/>
  <c r="K5447" i="88"/>
  <c r="K5446" i="88"/>
  <c r="K5445" i="88"/>
  <c r="K5444" i="88"/>
  <c r="K5443" i="88"/>
  <c r="K5442" i="88"/>
  <c r="K5441" i="88"/>
  <c r="K5440" i="88"/>
  <c r="K5439" i="88"/>
  <c r="K5438" i="88"/>
  <c r="K5437" i="88"/>
  <c r="K5436" i="88"/>
  <c r="K5435" i="88"/>
  <c r="K5434" i="88"/>
  <c r="K5433" i="88"/>
  <c r="K5432" i="88"/>
  <c r="K5431" i="88"/>
  <c r="K5430" i="88"/>
  <c r="K5429" i="88"/>
  <c r="K5428" i="88"/>
  <c r="K5427" i="88"/>
  <c r="K5426" i="88"/>
  <c r="K5425" i="88"/>
  <c r="K5424" i="88"/>
  <c r="K5423" i="88"/>
  <c r="K5422" i="88"/>
  <c r="K5421" i="88"/>
  <c r="K5420" i="88"/>
  <c r="K5419" i="88"/>
  <c r="K5418" i="88"/>
  <c r="K5417" i="88"/>
  <c r="K5416" i="88"/>
  <c r="K5415" i="88"/>
  <c r="K5414" i="88"/>
  <c r="K5413" i="88"/>
  <c r="K5412" i="88"/>
  <c r="K5411" i="88"/>
  <c r="K5410" i="88"/>
  <c r="K5409" i="88"/>
  <c r="K5408" i="88"/>
  <c r="K5407" i="88"/>
  <c r="K5406" i="88"/>
  <c r="K5405" i="88"/>
  <c r="K5404" i="88"/>
  <c r="K5403" i="88"/>
  <c r="K5402" i="88"/>
  <c r="K5401" i="88"/>
  <c r="K5400" i="88"/>
  <c r="K5399" i="88"/>
  <c r="K5398" i="88"/>
  <c r="K5397" i="88"/>
  <c r="K5396" i="88"/>
  <c r="K5395" i="88"/>
  <c r="K5394" i="88"/>
  <c r="K5393" i="88"/>
  <c r="K5392" i="88"/>
  <c r="K5391" i="88"/>
  <c r="K5390" i="88"/>
  <c r="K5389" i="88"/>
  <c r="K5388" i="88"/>
  <c r="K5387" i="88"/>
  <c r="K5386" i="88"/>
  <c r="K5385" i="88"/>
  <c r="K5384" i="88"/>
  <c r="K5383" i="88"/>
  <c r="K5382" i="88"/>
  <c r="K5381" i="88"/>
  <c r="K5380" i="88"/>
  <c r="K5379" i="88"/>
  <c r="K5378" i="88"/>
  <c r="K5377" i="88"/>
  <c r="K5376" i="88"/>
  <c r="K5375" i="88"/>
  <c r="K5374" i="88"/>
  <c r="K5373" i="88"/>
  <c r="K5372" i="88"/>
  <c r="K5371" i="88"/>
  <c r="K5370" i="88"/>
  <c r="K5369" i="88"/>
  <c r="K5368" i="88"/>
  <c r="K5367" i="88"/>
  <c r="K5366" i="88"/>
  <c r="K5365" i="88"/>
  <c r="K5364" i="88"/>
  <c r="K5363" i="88"/>
  <c r="K5362" i="88"/>
  <c r="K5361" i="88"/>
  <c r="K5360" i="88"/>
  <c r="K5359" i="88"/>
  <c r="K5358" i="88"/>
  <c r="K5357" i="88"/>
  <c r="K5356" i="88"/>
  <c r="K5355" i="88"/>
  <c r="K5354" i="88"/>
  <c r="K5353" i="88"/>
  <c r="K5352" i="88"/>
  <c r="K5351" i="88"/>
  <c r="K5350" i="88"/>
  <c r="K5349" i="88"/>
  <c r="K5348" i="88"/>
  <c r="K5347" i="88"/>
  <c r="K5346" i="88"/>
  <c r="K5345" i="88"/>
  <c r="K5344" i="88"/>
  <c r="K5343" i="88"/>
  <c r="K5342" i="88"/>
  <c r="K5341" i="88"/>
  <c r="K5340" i="88"/>
  <c r="K5339" i="88"/>
  <c r="K5338" i="88"/>
  <c r="K5337" i="88"/>
  <c r="K5336" i="88"/>
  <c r="K5335" i="88"/>
  <c r="K5334" i="88"/>
  <c r="K5333" i="88"/>
  <c r="K5332" i="88"/>
  <c r="K5331" i="88"/>
  <c r="K5330" i="88"/>
  <c r="K5329" i="88"/>
  <c r="K5328" i="88"/>
  <c r="K5327" i="88"/>
  <c r="K5326" i="88"/>
  <c r="K5325" i="88"/>
  <c r="K5324" i="88"/>
  <c r="K5323" i="88"/>
  <c r="K5322" i="88"/>
  <c r="K5321" i="88"/>
  <c r="K5320" i="88"/>
  <c r="K5319" i="88"/>
  <c r="K5318" i="88"/>
  <c r="K5317" i="88"/>
  <c r="K5316" i="88"/>
  <c r="K5315" i="88"/>
  <c r="K5314" i="88"/>
  <c r="K5313" i="88"/>
  <c r="K5312" i="88"/>
  <c r="K5311" i="88"/>
  <c r="K5310" i="88"/>
  <c r="K5309" i="88"/>
  <c r="K5308" i="88"/>
  <c r="K5307" i="88"/>
  <c r="K5306" i="88"/>
  <c r="K5305" i="88"/>
  <c r="K5304" i="88"/>
  <c r="K5303" i="88"/>
  <c r="K5302" i="88"/>
  <c r="K5301" i="88"/>
  <c r="K5300" i="88"/>
  <c r="K5299" i="88"/>
  <c r="K5298" i="88"/>
  <c r="K5297" i="88"/>
  <c r="K5296" i="88"/>
  <c r="K5295" i="88"/>
  <c r="K5294" i="88"/>
  <c r="K5293" i="88"/>
  <c r="K5292" i="88"/>
  <c r="K5291" i="88"/>
  <c r="K5290" i="88"/>
  <c r="K5289" i="88"/>
  <c r="K5288" i="88"/>
  <c r="K5287" i="88"/>
  <c r="K5286" i="88"/>
  <c r="K5285" i="88"/>
  <c r="K5284" i="88"/>
  <c r="K5283" i="88"/>
  <c r="K5282" i="88"/>
  <c r="K5281" i="88"/>
  <c r="K5280" i="88"/>
  <c r="K5279" i="88"/>
  <c r="K5278" i="88"/>
  <c r="K5277" i="88"/>
  <c r="K5276" i="88"/>
  <c r="K5275" i="88"/>
  <c r="K5274" i="88"/>
  <c r="K5273" i="88"/>
  <c r="K5272" i="88"/>
  <c r="K5271" i="88"/>
  <c r="K5270" i="88"/>
  <c r="K5269" i="88"/>
  <c r="K5268" i="88"/>
  <c r="K5267" i="88"/>
  <c r="K5266" i="88"/>
  <c r="K5265" i="88"/>
  <c r="K5264" i="88"/>
  <c r="K5263" i="88"/>
  <c r="K5262" i="88"/>
  <c r="K5261" i="88"/>
  <c r="K5260" i="88"/>
  <c r="K5259" i="88"/>
  <c r="K5258" i="88"/>
  <c r="K5257" i="88"/>
  <c r="K5256" i="88"/>
  <c r="K5255" i="88"/>
  <c r="K5254" i="88"/>
  <c r="K5253" i="88"/>
  <c r="K5252" i="88"/>
  <c r="K5251" i="88"/>
  <c r="K5250" i="88"/>
  <c r="K5249" i="88"/>
  <c r="K5248" i="88"/>
  <c r="K5247" i="88"/>
  <c r="K5246" i="88"/>
  <c r="K5245" i="88"/>
  <c r="K5244" i="88"/>
  <c r="K5243" i="88"/>
  <c r="K5242" i="88"/>
  <c r="K5241" i="88"/>
  <c r="K5240" i="88"/>
  <c r="K5239" i="88"/>
  <c r="K5238" i="88"/>
  <c r="K5237" i="88"/>
  <c r="K5236" i="88"/>
  <c r="K5235" i="88"/>
  <c r="K5234" i="88"/>
  <c r="K5233" i="88"/>
  <c r="K5232" i="88"/>
  <c r="K5231" i="88"/>
  <c r="K5230" i="88"/>
  <c r="K5229" i="88"/>
  <c r="K5228" i="88"/>
  <c r="K5227" i="88"/>
  <c r="K5226" i="88"/>
  <c r="K5225" i="88"/>
  <c r="K5224" i="88"/>
  <c r="K5223" i="88"/>
  <c r="K5222" i="88"/>
  <c r="K5221" i="88"/>
  <c r="K5220" i="88"/>
  <c r="K5219" i="88"/>
  <c r="K5218" i="88"/>
  <c r="K5217" i="88"/>
  <c r="K5216" i="88"/>
  <c r="K5215" i="88"/>
  <c r="K5214" i="88"/>
  <c r="K5213" i="88"/>
  <c r="K5212" i="88"/>
  <c r="K5211" i="88"/>
  <c r="K5210" i="88"/>
  <c r="K5209" i="88"/>
  <c r="K5208" i="88"/>
  <c r="K5207" i="88"/>
  <c r="K5206" i="88"/>
  <c r="K5205" i="88"/>
  <c r="K5204" i="88"/>
  <c r="K5203" i="88"/>
  <c r="K5202" i="88"/>
  <c r="K5201" i="88"/>
  <c r="K5200" i="88"/>
  <c r="K5199" i="88"/>
  <c r="K5198" i="88"/>
  <c r="K5197" i="88"/>
  <c r="K5196" i="88"/>
  <c r="K5195" i="88"/>
  <c r="K5194" i="88"/>
  <c r="K5193" i="88"/>
  <c r="K5192" i="88"/>
  <c r="K5191" i="88"/>
  <c r="K5190" i="88"/>
  <c r="K5189" i="88"/>
  <c r="K5188" i="88"/>
  <c r="K5187" i="88"/>
  <c r="K5186" i="88"/>
  <c r="K5185" i="88"/>
  <c r="K5184" i="88"/>
  <c r="K5183" i="88"/>
  <c r="K5182" i="88"/>
  <c r="K5181" i="88"/>
  <c r="K5180" i="88"/>
  <c r="K5179" i="88"/>
  <c r="K5178" i="88"/>
  <c r="K5177" i="88"/>
  <c r="K5176" i="88"/>
  <c r="K5175" i="88"/>
  <c r="K5174" i="88"/>
  <c r="K5173" i="88"/>
  <c r="K5172" i="88"/>
  <c r="K5171" i="88"/>
  <c r="K5170" i="88"/>
  <c r="K5169" i="88"/>
  <c r="K5168" i="88"/>
  <c r="K5167" i="88"/>
  <c r="K5166" i="88"/>
  <c r="K5165" i="88"/>
  <c r="K5164" i="88"/>
  <c r="K5163" i="88"/>
  <c r="K5162" i="88"/>
  <c r="K5161" i="88"/>
  <c r="K5160" i="88"/>
  <c r="K5159" i="88"/>
  <c r="K5158" i="88"/>
  <c r="K5157" i="88"/>
  <c r="K5156" i="88"/>
  <c r="K5155" i="88"/>
  <c r="K5154" i="88"/>
  <c r="K5153" i="88"/>
  <c r="K5152" i="88"/>
  <c r="K5151" i="88"/>
  <c r="K5150" i="88"/>
  <c r="K5149" i="88"/>
  <c r="K5148" i="88"/>
  <c r="K5147" i="88"/>
  <c r="K5146" i="88"/>
  <c r="K5145" i="88"/>
  <c r="K5144" i="88"/>
  <c r="K5143" i="88"/>
  <c r="K5142" i="88"/>
  <c r="K5141" i="88"/>
  <c r="K5140" i="88"/>
  <c r="K5139" i="88"/>
  <c r="K5138" i="88"/>
  <c r="K5137" i="88"/>
  <c r="K5136" i="88"/>
  <c r="K5135" i="88"/>
  <c r="K5134" i="88"/>
  <c r="K5133" i="88"/>
  <c r="K5132" i="88"/>
  <c r="K5131" i="88"/>
  <c r="K5130" i="88"/>
  <c r="K5129" i="88"/>
  <c r="K5128" i="88"/>
  <c r="K5127" i="88"/>
  <c r="K5126" i="88"/>
  <c r="K5125" i="88"/>
  <c r="K5124" i="88"/>
  <c r="K5123" i="88"/>
  <c r="K5122" i="88"/>
  <c r="K5121" i="88"/>
  <c r="K5120" i="88"/>
  <c r="K5119" i="88"/>
  <c r="K5118" i="88"/>
  <c r="K5117" i="88"/>
  <c r="K5116" i="88"/>
  <c r="K5115" i="88"/>
  <c r="K5114" i="88"/>
  <c r="K5113" i="88"/>
  <c r="K5112" i="88"/>
  <c r="K5111" i="88"/>
  <c r="K5110" i="88"/>
  <c r="K5109" i="88"/>
  <c r="K5108" i="88"/>
  <c r="K5107" i="88"/>
  <c r="K5106" i="88"/>
  <c r="K5105" i="88"/>
  <c r="K5104" i="88"/>
  <c r="K5103" i="88"/>
  <c r="K5102" i="88"/>
  <c r="K5101" i="88"/>
  <c r="K5100" i="88"/>
  <c r="K5099" i="88"/>
  <c r="K5098" i="88"/>
  <c r="K5097" i="88"/>
  <c r="K5096" i="88"/>
  <c r="K5095" i="88"/>
  <c r="K5094" i="88"/>
  <c r="K5093" i="88"/>
  <c r="K5092" i="88"/>
  <c r="K5091" i="88"/>
  <c r="K5090" i="88"/>
  <c r="K5089" i="88"/>
  <c r="K5088" i="88"/>
  <c r="K5087" i="88"/>
  <c r="K5086" i="88"/>
  <c r="K5085" i="88"/>
  <c r="K5084" i="88"/>
  <c r="K5083" i="88"/>
  <c r="K5082" i="88"/>
  <c r="K5081" i="88"/>
  <c r="K5080" i="88"/>
  <c r="K5079" i="88"/>
  <c r="K5078" i="88"/>
  <c r="K5077" i="88"/>
  <c r="K5076" i="88"/>
  <c r="K5075" i="88"/>
  <c r="K5074" i="88"/>
  <c r="K5073" i="88"/>
  <c r="K5072" i="88"/>
  <c r="K5071" i="88"/>
  <c r="K5070" i="88"/>
  <c r="K5069" i="88"/>
  <c r="K5068" i="88"/>
  <c r="K5067" i="88"/>
  <c r="K5066" i="88"/>
  <c r="K5065" i="88"/>
  <c r="K5064" i="88"/>
  <c r="K5063" i="88"/>
  <c r="K5062" i="88"/>
  <c r="K5061" i="88"/>
  <c r="K5060" i="88"/>
  <c r="K5059" i="88"/>
  <c r="K5058" i="88"/>
  <c r="K5057" i="88"/>
  <c r="K5056" i="88"/>
  <c r="K5055" i="88"/>
  <c r="K5054" i="88"/>
  <c r="K5053" i="88"/>
  <c r="K5052" i="88"/>
  <c r="K5051" i="88"/>
  <c r="K5050" i="88"/>
  <c r="K5049" i="88"/>
  <c r="K5048" i="88"/>
  <c r="K5047" i="88"/>
  <c r="K5046" i="88"/>
  <c r="K5045" i="88"/>
  <c r="K5044" i="88"/>
  <c r="K5043" i="88"/>
  <c r="K5042" i="88"/>
  <c r="K5041" i="88"/>
  <c r="K5040" i="88"/>
  <c r="K5039" i="88"/>
  <c r="K5038" i="88"/>
  <c r="K5037" i="88"/>
  <c r="K5036" i="88"/>
  <c r="K5035" i="88"/>
  <c r="K5034" i="88"/>
  <c r="K5033" i="88"/>
  <c r="K5032" i="88"/>
  <c r="K5031" i="88"/>
  <c r="K5030" i="88"/>
  <c r="K5029" i="88"/>
  <c r="K5028" i="88"/>
  <c r="K5027" i="88"/>
  <c r="K5026" i="88"/>
  <c r="K5025" i="88"/>
  <c r="K5024" i="88"/>
  <c r="K5023" i="88"/>
  <c r="K5022" i="88"/>
  <c r="K5021" i="88"/>
  <c r="K5020" i="88"/>
  <c r="K5019" i="88"/>
  <c r="K5018" i="88"/>
  <c r="K5017" i="88"/>
  <c r="K5016" i="88"/>
  <c r="K5015" i="88"/>
  <c r="K5014" i="88"/>
  <c r="K5013" i="88"/>
  <c r="K5012" i="88"/>
  <c r="K5011" i="88"/>
  <c r="K5010" i="88"/>
  <c r="K5009" i="88"/>
  <c r="K5008" i="88"/>
  <c r="K5007" i="88"/>
  <c r="K5006" i="88"/>
  <c r="K5005" i="88"/>
  <c r="K5004" i="88"/>
  <c r="K5003" i="88"/>
  <c r="K5002" i="88"/>
  <c r="K5001" i="88"/>
  <c r="K5000" i="88"/>
  <c r="K4999" i="88"/>
  <c r="K4998" i="88"/>
  <c r="K4997" i="88"/>
  <c r="K4996" i="88"/>
  <c r="K4995" i="88"/>
  <c r="K4994" i="88"/>
  <c r="K4993" i="88"/>
  <c r="K4992" i="88"/>
  <c r="K4991" i="88"/>
  <c r="K4990" i="88"/>
  <c r="K4989" i="88"/>
  <c r="K4988" i="88"/>
  <c r="K4987" i="88"/>
  <c r="K4986" i="88"/>
  <c r="K4985" i="88"/>
  <c r="K4984" i="88"/>
  <c r="K4983" i="88"/>
  <c r="K4982" i="88"/>
  <c r="K4981" i="88"/>
  <c r="K4980" i="88"/>
  <c r="K4979" i="88"/>
  <c r="K4978" i="88"/>
  <c r="K4977" i="88"/>
  <c r="K4976" i="88"/>
  <c r="K4975" i="88"/>
  <c r="K4974" i="88"/>
  <c r="K4973" i="88"/>
  <c r="K4972" i="88"/>
  <c r="K4971" i="88"/>
  <c r="K4970" i="88"/>
  <c r="K4969" i="88"/>
  <c r="K4968" i="88"/>
  <c r="K4967" i="88"/>
  <c r="K4966" i="88"/>
  <c r="K4965" i="88"/>
  <c r="K4964" i="88"/>
  <c r="K4963" i="88"/>
  <c r="K4962" i="88"/>
  <c r="K4961" i="88"/>
  <c r="K4960" i="88"/>
  <c r="K4959" i="88"/>
  <c r="K4958" i="88"/>
  <c r="K4957" i="88"/>
  <c r="K4956" i="88"/>
  <c r="K4955" i="88"/>
  <c r="K4954" i="88"/>
  <c r="K4953" i="88"/>
  <c r="K4952" i="88"/>
  <c r="K4951" i="88"/>
  <c r="K4950" i="88"/>
  <c r="K4949" i="88"/>
  <c r="K4948" i="88"/>
  <c r="K4947" i="88"/>
  <c r="K4946" i="88"/>
  <c r="K4945" i="88"/>
  <c r="K4944" i="88"/>
  <c r="K4943" i="88"/>
  <c r="K4942" i="88"/>
  <c r="K4941" i="88"/>
  <c r="K4940" i="88"/>
  <c r="K4939" i="88"/>
  <c r="K4938" i="88"/>
  <c r="K4937" i="88"/>
  <c r="K4936" i="88"/>
  <c r="K4935" i="88"/>
  <c r="K4934" i="88"/>
  <c r="K4933" i="88"/>
  <c r="K4932" i="88"/>
  <c r="K4931" i="88"/>
  <c r="K4930" i="88"/>
  <c r="K4929" i="88"/>
  <c r="K4928" i="88"/>
  <c r="K4927" i="88"/>
  <c r="K4926" i="88"/>
  <c r="K4925" i="88"/>
  <c r="K4924" i="88"/>
  <c r="K4923" i="88"/>
  <c r="K4922" i="88"/>
  <c r="K4921" i="88"/>
  <c r="K4920" i="88"/>
  <c r="K4919" i="88"/>
  <c r="K4918" i="88"/>
  <c r="K4917" i="88"/>
  <c r="K4916" i="88"/>
  <c r="K4915" i="88"/>
  <c r="K4914" i="88"/>
  <c r="K4913" i="88"/>
  <c r="K4912" i="88"/>
  <c r="K4911" i="88"/>
  <c r="K4910" i="88"/>
  <c r="K4909" i="88"/>
  <c r="K4908" i="88"/>
  <c r="K4907" i="88"/>
  <c r="K4906" i="88"/>
  <c r="K4905" i="88"/>
  <c r="K4904" i="88"/>
  <c r="K4903" i="88"/>
  <c r="K4902" i="88"/>
  <c r="K4901" i="88"/>
  <c r="K4900" i="88"/>
  <c r="K4899" i="88"/>
  <c r="K4898" i="88"/>
  <c r="K4897" i="88"/>
  <c r="K4896" i="88"/>
  <c r="K4895" i="88"/>
  <c r="K4894" i="88"/>
  <c r="K4893" i="88"/>
  <c r="K4892" i="88"/>
  <c r="K4891" i="88"/>
  <c r="K4890" i="88"/>
  <c r="K4889" i="88"/>
  <c r="K4888" i="88"/>
  <c r="K4887" i="88"/>
  <c r="K4886" i="88"/>
  <c r="K4885" i="88"/>
  <c r="K4884" i="88"/>
  <c r="K4883" i="88"/>
  <c r="K4882" i="88"/>
  <c r="K4881" i="88"/>
  <c r="K4880" i="88"/>
  <c r="K4879" i="88"/>
  <c r="K4878" i="88"/>
  <c r="K4877" i="88"/>
  <c r="K4876" i="88"/>
  <c r="K4875" i="88"/>
  <c r="K4874" i="88"/>
  <c r="K4873" i="88"/>
  <c r="K4872" i="88"/>
  <c r="K4871" i="88"/>
  <c r="K4870" i="88"/>
  <c r="K4869" i="88"/>
  <c r="K4868" i="88"/>
  <c r="K4867" i="88"/>
  <c r="K4866" i="88"/>
  <c r="K4865" i="88"/>
  <c r="K4864" i="88"/>
  <c r="K4863" i="88"/>
  <c r="K4862" i="88"/>
  <c r="K4861" i="88"/>
  <c r="K4860" i="88"/>
  <c r="K4859" i="88"/>
  <c r="K4858" i="88"/>
  <c r="K4857" i="88"/>
  <c r="K4856" i="88"/>
  <c r="K4855" i="88"/>
  <c r="K4854" i="88"/>
  <c r="K4853" i="88"/>
  <c r="K4852" i="88"/>
  <c r="K4851" i="88"/>
  <c r="K4850" i="88"/>
  <c r="K4849" i="88"/>
  <c r="K4848" i="88"/>
  <c r="K4847" i="88"/>
  <c r="K4846" i="88"/>
  <c r="K4845" i="88"/>
  <c r="K4844" i="88"/>
  <c r="K4843" i="88"/>
  <c r="K4842" i="88"/>
  <c r="K4841" i="88"/>
  <c r="K4840" i="88"/>
  <c r="K4839" i="88"/>
  <c r="K4838" i="88"/>
  <c r="K4837" i="88"/>
  <c r="K4836" i="88"/>
  <c r="K4835" i="88"/>
  <c r="K4834" i="88"/>
  <c r="K4833" i="88"/>
  <c r="K4832" i="88"/>
  <c r="K4831" i="88"/>
  <c r="K4830" i="88"/>
  <c r="K4829" i="88"/>
  <c r="K4828" i="88"/>
  <c r="K4827" i="88"/>
  <c r="K4826" i="88"/>
  <c r="K4825" i="88"/>
  <c r="K4824" i="88"/>
  <c r="K4823" i="88"/>
  <c r="K4822" i="88"/>
  <c r="K4821" i="88"/>
  <c r="K4820" i="88"/>
  <c r="K4819" i="88"/>
  <c r="K4818" i="88"/>
  <c r="K4817" i="88"/>
  <c r="K4816" i="88"/>
  <c r="K4815" i="88"/>
  <c r="K4814" i="88"/>
  <c r="K4813" i="88"/>
  <c r="K4812" i="88"/>
  <c r="K4811" i="88"/>
  <c r="K4810" i="88"/>
  <c r="K4809" i="88"/>
  <c r="K4808" i="88"/>
  <c r="K4807" i="88"/>
  <c r="K4806" i="88"/>
  <c r="K4805" i="88"/>
  <c r="K4804" i="88"/>
  <c r="K4803" i="88"/>
  <c r="K4802" i="88"/>
  <c r="K4801" i="88"/>
  <c r="K4800" i="88"/>
  <c r="K4799" i="88"/>
  <c r="K4798" i="88"/>
  <c r="K4797" i="88"/>
  <c r="K4796" i="88"/>
  <c r="K4795" i="88"/>
  <c r="K4794" i="88"/>
  <c r="K4793" i="88"/>
  <c r="K4792" i="88"/>
  <c r="K4791" i="88"/>
  <c r="K4790" i="88"/>
  <c r="K4789" i="88"/>
  <c r="K4788" i="88"/>
  <c r="K4787" i="88"/>
  <c r="K4786" i="88"/>
  <c r="K4785" i="88"/>
  <c r="K4784" i="88"/>
  <c r="K4783" i="88"/>
  <c r="K4782" i="88"/>
  <c r="K4781" i="88"/>
  <c r="K4780" i="88"/>
  <c r="K4779" i="88"/>
  <c r="K4778" i="88"/>
  <c r="K4777" i="88"/>
  <c r="K4776" i="88"/>
  <c r="K4775" i="88"/>
  <c r="K4774" i="88"/>
  <c r="K4773" i="88"/>
  <c r="K4772" i="88"/>
  <c r="K4771" i="88"/>
  <c r="K4770" i="88"/>
  <c r="K4769" i="88"/>
  <c r="K4768" i="88"/>
  <c r="K4767" i="88"/>
  <c r="K4766" i="88"/>
  <c r="K4765" i="88"/>
  <c r="K4764" i="88"/>
  <c r="K4763" i="88"/>
  <c r="K4762" i="88"/>
  <c r="K4761" i="88"/>
  <c r="K4760" i="88"/>
  <c r="K4759" i="88"/>
  <c r="K4758" i="88"/>
  <c r="K4757" i="88"/>
  <c r="K4756" i="88"/>
  <c r="K4755" i="88"/>
  <c r="K4754" i="88"/>
  <c r="K4753" i="88"/>
  <c r="K4752" i="88"/>
  <c r="K4751" i="88"/>
  <c r="K4750" i="88"/>
  <c r="K4749" i="88"/>
  <c r="K4748" i="88"/>
  <c r="K4747" i="88"/>
  <c r="K4746" i="88"/>
  <c r="K4745" i="88"/>
  <c r="K4744" i="88"/>
  <c r="K4743" i="88"/>
  <c r="K4742" i="88"/>
  <c r="K4741" i="88"/>
  <c r="K4740" i="88"/>
  <c r="K4739" i="88"/>
  <c r="K4738" i="88"/>
  <c r="K4737" i="88"/>
  <c r="K4736" i="88"/>
  <c r="K4735" i="88"/>
  <c r="K4734" i="88"/>
  <c r="K4733" i="88"/>
  <c r="K4732" i="88"/>
  <c r="K4731" i="88"/>
  <c r="K4730" i="88"/>
  <c r="K4729" i="88"/>
  <c r="K4728" i="88"/>
  <c r="K4727" i="88"/>
  <c r="K4726" i="88"/>
  <c r="K4725" i="88"/>
  <c r="K4724" i="88"/>
  <c r="K4723" i="88"/>
  <c r="K4722" i="88"/>
  <c r="K4721" i="88"/>
  <c r="K4720" i="88"/>
  <c r="K4719" i="88"/>
  <c r="K4718" i="88"/>
  <c r="K4717" i="88"/>
  <c r="K4716" i="88"/>
  <c r="K4715" i="88"/>
  <c r="K4714" i="88"/>
  <c r="K4713" i="88"/>
  <c r="K4712" i="88"/>
  <c r="K4711" i="88"/>
  <c r="K4710" i="88"/>
  <c r="K4709" i="88"/>
  <c r="K4708" i="88"/>
  <c r="K4707" i="88"/>
  <c r="K4706" i="88"/>
  <c r="K4705" i="88"/>
  <c r="K4704" i="88"/>
  <c r="K4703" i="88"/>
  <c r="K4702" i="88"/>
  <c r="K4701" i="88"/>
  <c r="K4700" i="88"/>
  <c r="K4699" i="88"/>
  <c r="K4698" i="88"/>
  <c r="K4697" i="88"/>
  <c r="K4696" i="88"/>
  <c r="K4695" i="88"/>
  <c r="K4694" i="88"/>
  <c r="K4693" i="88"/>
  <c r="K4692" i="88"/>
  <c r="K4691" i="88"/>
  <c r="K4690" i="88"/>
  <c r="K4689" i="88"/>
  <c r="K4688" i="88"/>
  <c r="K4687" i="88"/>
  <c r="K4686" i="88"/>
  <c r="K4685" i="88"/>
  <c r="K4684" i="88"/>
  <c r="K4683" i="88"/>
  <c r="K4682" i="88"/>
  <c r="K4681" i="88"/>
  <c r="K4680" i="88"/>
  <c r="K4679" i="88"/>
  <c r="K4678" i="88"/>
  <c r="K4677" i="88"/>
  <c r="K4676" i="88"/>
  <c r="K4675" i="88"/>
  <c r="K4674" i="88"/>
  <c r="K4673" i="88"/>
  <c r="K4672" i="88"/>
  <c r="K4671" i="88"/>
  <c r="K4670" i="88"/>
  <c r="K4669" i="88"/>
  <c r="K4668" i="88"/>
  <c r="K4667" i="88"/>
  <c r="K4666" i="88"/>
  <c r="K4665" i="88"/>
  <c r="K4664" i="88"/>
  <c r="K4663" i="88"/>
  <c r="K4662" i="88"/>
  <c r="K4661" i="88"/>
  <c r="K4660" i="88"/>
  <c r="K4659" i="88"/>
  <c r="K4658" i="88"/>
  <c r="K4657" i="88"/>
  <c r="K4656" i="88"/>
  <c r="K4655" i="88"/>
  <c r="K4654" i="88"/>
  <c r="K4653" i="88"/>
  <c r="K4652" i="88"/>
  <c r="K4651" i="88"/>
  <c r="K4650" i="88"/>
  <c r="K4649" i="88"/>
  <c r="K4648" i="88"/>
  <c r="K4647" i="88"/>
  <c r="K4646" i="88"/>
  <c r="K4645" i="88"/>
  <c r="K4644" i="88"/>
  <c r="K4643" i="88"/>
  <c r="K4642" i="88"/>
  <c r="K4641" i="88"/>
  <c r="K4640" i="88"/>
  <c r="K4639" i="88"/>
  <c r="K4638" i="88"/>
  <c r="K4637" i="88"/>
  <c r="K4636" i="88"/>
  <c r="K4635" i="88"/>
  <c r="K4634" i="88"/>
  <c r="K4633" i="88"/>
  <c r="K4632" i="88"/>
  <c r="K4631" i="88"/>
  <c r="K4630" i="88"/>
  <c r="K4629" i="88"/>
  <c r="K4628" i="88"/>
  <c r="K4627" i="88"/>
  <c r="K4626" i="88"/>
  <c r="K4625" i="88"/>
  <c r="K4624" i="88"/>
  <c r="K4623" i="88"/>
  <c r="K4622" i="88"/>
  <c r="K4621" i="88"/>
  <c r="K4620" i="88"/>
  <c r="K4619" i="88"/>
  <c r="K4618" i="88"/>
  <c r="K4617" i="88"/>
  <c r="K4616" i="88"/>
  <c r="K4615" i="88"/>
  <c r="K4614" i="88"/>
  <c r="K4613" i="88"/>
  <c r="K4612" i="88"/>
  <c r="K4611" i="88"/>
  <c r="K4610" i="88"/>
  <c r="K4609" i="88"/>
  <c r="K4608" i="88"/>
  <c r="K4607" i="88"/>
  <c r="K4606" i="88"/>
  <c r="K4605" i="88"/>
  <c r="K4604" i="88"/>
  <c r="K4603" i="88"/>
  <c r="K4602" i="88"/>
  <c r="K4601" i="88"/>
  <c r="K4600" i="88"/>
  <c r="K4599" i="88"/>
  <c r="K4598" i="88"/>
  <c r="K4597" i="88"/>
  <c r="K4596" i="88"/>
  <c r="K4595" i="88"/>
  <c r="K4594" i="88"/>
  <c r="K4593" i="88"/>
  <c r="K4592" i="88"/>
  <c r="K4591" i="88"/>
  <c r="K4590" i="88"/>
  <c r="K4589" i="88"/>
  <c r="K4588" i="88"/>
  <c r="K4587" i="88"/>
  <c r="K4586" i="88"/>
  <c r="K4585" i="88"/>
  <c r="K4584" i="88"/>
  <c r="K4583" i="88"/>
  <c r="K4582" i="88"/>
  <c r="K4581" i="88"/>
  <c r="K4580" i="88"/>
  <c r="K4579" i="88"/>
  <c r="K4578" i="88"/>
  <c r="K4577" i="88"/>
  <c r="K4576" i="88"/>
  <c r="K4575" i="88"/>
  <c r="K4574" i="88"/>
  <c r="K4573" i="88"/>
  <c r="K4572" i="88"/>
  <c r="K4571" i="88"/>
  <c r="K4570" i="88"/>
  <c r="K4569" i="88"/>
  <c r="K4568" i="88"/>
  <c r="K4567" i="88"/>
  <c r="K4566" i="88"/>
  <c r="K4565" i="88"/>
  <c r="K4564" i="88"/>
  <c r="K4563" i="88"/>
  <c r="K4562" i="88"/>
  <c r="K4561" i="88"/>
  <c r="K4560" i="88"/>
  <c r="K4559" i="88"/>
  <c r="K4558" i="88"/>
  <c r="K4557" i="88"/>
  <c r="K4556" i="88"/>
  <c r="K4555" i="88"/>
  <c r="K4554" i="88"/>
  <c r="K4553" i="88"/>
  <c r="K4552" i="88"/>
  <c r="K4551" i="88"/>
  <c r="K4550" i="88"/>
  <c r="K4549" i="88"/>
  <c r="K4548" i="88"/>
  <c r="K4547" i="88"/>
  <c r="K4546" i="88"/>
  <c r="K4545" i="88"/>
  <c r="K4544" i="88"/>
  <c r="K4543" i="88"/>
  <c r="K4542" i="88"/>
  <c r="K4541" i="88"/>
  <c r="K4540" i="88"/>
  <c r="K4539" i="88"/>
  <c r="K4538" i="88"/>
  <c r="K4537" i="88"/>
  <c r="K4536" i="88"/>
  <c r="K4535" i="88"/>
  <c r="K4534" i="88"/>
  <c r="K4533" i="88"/>
  <c r="K4532" i="88"/>
  <c r="K4531" i="88"/>
  <c r="K4530" i="88"/>
  <c r="K4529" i="88"/>
  <c r="K4528" i="88"/>
  <c r="K4527" i="88"/>
  <c r="K4526" i="88"/>
  <c r="K4525" i="88"/>
  <c r="K4524" i="88"/>
  <c r="K4523" i="88"/>
  <c r="K4522" i="88"/>
  <c r="K4521" i="88"/>
  <c r="K4520" i="88"/>
  <c r="K4519" i="88"/>
  <c r="K4518" i="88"/>
  <c r="K4517" i="88"/>
  <c r="K4516" i="88"/>
  <c r="K4515" i="88"/>
  <c r="K4514" i="88"/>
  <c r="K4513" i="88"/>
  <c r="K4512" i="88"/>
  <c r="K4511" i="88"/>
  <c r="K4510" i="88"/>
  <c r="K4509" i="88"/>
  <c r="K4508" i="88"/>
  <c r="K4507" i="88"/>
  <c r="K4506" i="88"/>
  <c r="K4505" i="88"/>
  <c r="K4504" i="88"/>
  <c r="K4503" i="88"/>
  <c r="K4502" i="88"/>
  <c r="K4501" i="88"/>
  <c r="K4500" i="88"/>
  <c r="K4499" i="88"/>
  <c r="K4498" i="88"/>
  <c r="K4497" i="88"/>
  <c r="K4496" i="88"/>
  <c r="K4495" i="88"/>
  <c r="K4494" i="88"/>
  <c r="K4493" i="88"/>
  <c r="K4492" i="88"/>
  <c r="K4491" i="88"/>
  <c r="K4490" i="88"/>
  <c r="K4489" i="88"/>
  <c r="K4488" i="88"/>
  <c r="K4487" i="88"/>
  <c r="K4486" i="88"/>
  <c r="K4485" i="88"/>
  <c r="K4484" i="88"/>
  <c r="K4483" i="88"/>
  <c r="K4482" i="88"/>
  <c r="K4481" i="88"/>
  <c r="K4480" i="88"/>
  <c r="K4479" i="88"/>
  <c r="K4478" i="88"/>
  <c r="K4477" i="88"/>
  <c r="K4476" i="88"/>
  <c r="K4475" i="88"/>
  <c r="K4474" i="88"/>
  <c r="K4473" i="88"/>
  <c r="K4472" i="88"/>
  <c r="K4471" i="88"/>
  <c r="K4470" i="88"/>
  <c r="K4469" i="88"/>
  <c r="K4468" i="88"/>
  <c r="K4467" i="88"/>
  <c r="K4466" i="88"/>
  <c r="K4465" i="88"/>
  <c r="K4464" i="88"/>
  <c r="K4463" i="88"/>
  <c r="K4462" i="88"/>
  <c r="K4461" i="88"/>
  <c r="K4460" i="88"/>
  <c r="K4459" i="88"/>
  <c r="K4458" i="88"/>
  <c r="K4457" i="88"/>
  <c r="K4456" i="88"/>
  <c r="K4455" i="88"/>
  <c r="K4454" i="88"/>
  <c r="K4453" i="88"/>
  <c r="K4452" i="88"/>
  <c r="K4451" i="88"/>
  <c r="K4450" i="88"/>
  <c r="K4449" i="88"/>
  <c r="K4448" i="88"/>
  <c r="K4447" i="88"/>
  <c r="K4446" i="88"/>
  <c r="K4445" i="88"/>
  <c r="K4444" i="88"/>
  <c r="K4443" i="88"/>
  <c r="K4442" i="88"/>
  <c r="K4441" i="88"/>
  <c r="K4440" i="88"/>
  <c r="K4439" i="88"/>
  <c r="K4438" i="88"/>
  <c r="K4437" i="88"/>
  <c r="K4436" i="88"/>
  <c r="K4435" i="88"/>
  <c r="K4434" i="88"/>
  <c r="K4433" i="88"/>
  <c r="K4432" i="88"/>
  <c r="K4431" i="88"/>
  <c r="K4430" i="88"/>
  <c r="K4429" i="88"/>
  <c r="K4428" i="88"/>
  <c r="K4427" i="88"/>
  <c r="K4426" i="88"/>
  <c r="K4425" i="88"/>
  <c r="K4424" i="88"/>
  <c r="K4423" i="88"/>
  <c r="K4422" i="88"/>
  <c r="K4421" i="88"/>
  <c r="K4420" i="88"/>
  <c r="K4419" i="88"/>
  <c r="K4418" i="88"/>
  <c r="K4417" i="88"/>
  <c r="K4416" i="88"/>
  <c r="K4415" i="88"/>
  <c r="K4414" i="88"/>
  <c r="K4413" i="88"/>
  <c r="K4412" i="88"/>
  <c r="K4411" i="88"/>
  <c r="K4410" i="88"/>
  <c r="K4409" i="88"/>
  <c r="K4408" i="88"/>
  <c r="K4407" i="88"/>
  <c r="K4406" i="88"/>
  <c r="K4405" i="88"/>
  <c r="K4404" i="88"/>
  <c r="K4403" i="88"/>
  <c r="K4402" i="88"/>
  <c r="K4401" i="88"/>
  <c r="K4400" i="88"/>
  <c r="K4399" i="88"/>
  <c r="K4398" i="88"/>
  <c r="K4397" i="88"/>
  <c r="K4396" i="88"/>
  <c r="K4395" i="88"/>
  <c r="K4394" i="88"/>
  <c r="K4393" i="88"/>
  <c r="K4392" i="88"/>
  <c r="K4391" i="88"/>
  <c r="K4390" i="88"/>
  <c r="K4389" i="88"/>
  <c r="K4388" i="88"/>
  <c r="K4387" i="88"/>
  <c r="K4386" i="88"/>
  <c r="K4385" i="88"/>
  <c r="K4384" i="88"/>
  <c r="K4383" i="88"/>
  <c r="K4382" i="88"/>
  <c r="K4381" i="88"/>
  <c r="K4380" i="88"/>
  <c r="K4379" i="88"/>
  <c r="K4378" i="88"/>
  <c r="K4377" i="88"/>
  <c r="K4376" i="88"/>
  <c r="K4375" i="88"/>
  <c r="K4374" i="88"/>
  <c r="K4373" i="88"/>
  <c r="K4372" i="88"/>
  <c r="K4371" i="88"/>
  <c r="K4370" i="88"/>
  <c r="K4369" i="88"/>
  <c r="K4368" i="88"/>
  <c r="K4367" i="88"/>
  <c r="K4366" i="88"/>
  <c r="K4365" i="88"/>
  <c r="K4364" i="88"/>
  <c r="K4363" i="88"/>
  <c r="K4362" i="88"/>
  <c r="K4361" i="88"/>
  <c r="K4360" i="88"/>
  <c r="K4359" i="88"/>
  <c r="K4358" i="88"/>
  <c r="K4357" i="88"/>
  <c r="K4356" i="88"/>
  <c r="K4355" i="88"/>
  <c r="K4354" i="88"/>
  <c r="K4353" i="88"/>
  <c r="K4352" i="88"/>
  <c r="K4351" i="88"/>
  <c r="K4350" i="88"/>
  <c r="K4349" i="88"/>
  <c r="K4348" i="88"/>
  <c r="K4347" i="88"/>
  <c r="K4346" i="88"/>
  <c r="K4345" i="88"/>
  <c r="K4344" i="88"/>
  <c r="K4343" i="88"/>
  <c r="K4342" i="88"/>
  <c r="K4341" i="88"/>
  <c r="K4340" i="88"/>
  <c r="K4339" i="88"/>
  <c r="K4338" i="88"/>
  <c r="K4337" i="88"/>
  <c r="K4336" i="88"/>
  <c r="K4335" i="88"/>
  <c r="K4334" i="88"/>
  <c r="K4333" i="88"/>
  <c r="K4332" i="88"/>
  <c r="K4331" i="88"/>
  <c r="K4330" i="88"/>
  <c r="K4329" i="88"/>
  <c r="K4328" i="88"/>
  <c r="K4327" i="88"/>
  <c r="K4326" i="88"/>
  <c r="K4325" i="88"/>
  <c r="K4324" i="88"/>
  <c r="K4323" i="88"/>
  <c r="K4322" i="88"/>
  <c r="K4321" i="88"/>
  <c r="K4320" i="88"/>
  <c r="K4319" i="88"/>
  <c r="K4318" i="88"/>
  <c r="K4317" i="88"/>
  <c r="K4316" i="88"/>
  <c r="K4315" i="88"/>
  <c r="K4314" i="88"/>
  <c r="K4313" i="88"/>
  <c r="K4312" i="88"/>
  <c r="K4311" i="88"/>
  <c r="K4310" i="88"/>
  <c r="K4309" i="88"/>
  <c r="K4308" i="88"/>
  <c r="K4307" i="88"/>
  <c r="K4306" i="88"/>
  <c r="K4305" i="88"/>
  <c r="K4304" i="88"/>
  <c r="K4303" i="88"/>
  <c r="K4302" i="88"/>
  <c r="K4301" i="88"/>
  <c r="K4300" i="88"/>
  <c r="K4299" i="88"/>
  <c r="K4298" i="88"/>
  <c r="K4297" i="88"/>
  <c r="K4296" i="88"/>
  <c r="K4295" i="88"/>
  <c r="K4294" i="88"/>
  <c r="K4293" i="88"/>
  <c r="K4292" i="88"/>
  <c r="K4291" i="88"/>
  <c r="K4290" i="88"/>
  <c r="K4289" i="88"/>
  <c r="K4288" i="88"/>
  <c r="K4287" i="88"/>
  <c r="K4286" i="88"/>
  <c r="K4285" i="88"/>
  <c r="K4284" i="88"/>
  <c r="K4283" i="88"/>
  <c r="K4282" i="88"/>
  <c r="K4281" i="88"/>
  <c r="K4280" i="88"/>
  <c r="K4279" i="88"/>
  <c r="K4278" i="88"/>
  <c r="K4277" i="88"/>
  <c r="K4276" i="88"/>
  <c r="K4275" i="88"/>
  <c r="K4274" i="88"/>
  <c r="K4273" i="88"/>
  <c r="K4272" i="88"/>
  <c r="K4271" i="88"/>
  <c r="K4270" i="88"/>
  <c r="K4269" i="88"/>
  <c r="K4268" i="88"/>
  <c r="K4267" i="88"/>
  <c r="K4266" i="88"/>
  <c r="K4265" i="88"/>
  <c r="K4264" i="88"/>
  <c r="K4263" i="88"/>
  <c r="K4262" i="88"/>
  <c r="K4261" i="88"/>
  <c r="K4260" i="88"/>
  <c r="K4259" i="88"/>
  <c r="K4258" i="88"/>
  <c r="K4257" i="88"/>
  <c r="K4256" i="88"/>
  <c r="K4255" i="88"/>
  <c r="K4254" i="88"/>
  <c r="K4253" i="88"/>
  <c r="K4252" i="88"/>
  <c r="K4251" i="88"/>
  <c r="K4250" i="88"/>
  <c r="K4249" i="88"/>
  <c r="K4248" i="88"/>
  <c r="K4247" i="88"/>
  <c r="K4246" i="88"/>
  <c r="K4245" i="88"/>
  <c r="K4244" i="88"/>
  <c r="K4243" i="88"/>
  <c r="K4242" i="88"/>
  <c r="K4241" i="88"/>
  <c r="K4240" i="88"/>
  <c r="K4239" i="88"/>
  <c r="K4238" i="88"/>
  <c r="K4237" i="88"/>
  <c r="K4236" i="88"/>
  <c r="K4235" i="88"/>
  <c r="K4234" i="88"/>
  <c r="K4233" i="88"/>
  <c r="K4232" i="88"/>
  <c r="K4231" i="88"/>
  <c r="K4230" i="88"/>
  <c r="K4229" i="88"/>
  <c r="K4228" i="88"/>
  <c r="K4227" i="88"/>
  <c r="K4226" i="88"/>
  <c r="K4225" i="88"/>
  <c r="K4224" i="88"/>
  <c r="K4223" i="88"/>
  <c r="K4222" i="88"/>
  <c r="K4221" i="88"/>
  <c r="K4220" i="88"/>
  <c r="K4219" i="88"/>
  <c r="K4218" i="88"/>
  <c r="K4217" i="88"/>
  <c r="K4216" i="88"/>
  <c r="K4215" i="88"/>
  <c r="K4214" i="88"/>
  <c r="K4213" i="88"/>
  <c r="K4212" i="88"/>
  <c r="K4211" i="88"/>
  <c r="K4210" i="88"/>
  <c r="K4209" i="88"/>
  <c r="K4208" i="88"/>
  <c r="K4207" i="88"/>
  <c r="K4206" i="88"/>
  <c r="K4205" i="88"/>
  <c r="K4204" i="88"/>
  <c r="K4203" i="88"/>
  <c r="K4202" i="88"/>
  <c r="K4201" i="88"/>
  <c r="K4200" i="88"/>
  <c r="K4199" i="88"/>
  <c r="K4198" i="88"/>
  <c r="K4197" i="88"/>
  <c r="K4196" i="88"/>
  <c r="K4195" i="88"/>
  <c r="K4194" i="88"/>
  <c r="K4193" i="88"/>
  <c r="K4192" i="88"/>
  <c r="K4191" i="88"/>
  <c r="K4190" i="88"/>
  <c r="K4189" i="88"/>
  <c r="K4188" i="88"/>
  <c r="K4187" i="88"/>
  <c r="K4186" i="88"/>
  <c r="K4185" i="88"/>
  <c r="K4184" i="88"/>
  <c r="K4183" i="88"/>
  <c r="K4182" i="88"/>
  <c r="K4181" i="88"/>
  <c r="K4180" i="88"/>
  <c r="K4179" i="88"/>
  <c r="K4178" i="88"/>
  <c r="K4177" i="88"/>
  <c r="K4176" i="88"/>
  <c r="K4175" i="88"/>
  <c r="K4174" i="88"/>
  <c r="K4173" i="88"/>
  <c r="K4172" i="88"/>
  <c r="K4171" i="88"/>
  <c r="K4170" i="88"/>
  <c r="K4169" i="88"/>
  <c r="K4168" i="88"/>
  <c r="K4167" i="88"/>
  <c r="K4166" i="88"/>
  <c r="K4165" i="88"/>
  <c r="K4164" i="88"/>
  <c r="K4163" i="88"/>
  <c r="K4162" i="88"/>
  <c r="K4161" i="88"/>
  <c r="K4160" i="88"/>
  <c r="K4159" i="88"/>
  <c r="K4158" i="88"/>
  <c r="K4157" i="88"/>
  <c r="K4156" i="88"/>
  <c r="K4155" i="88"/>
  <c r="K4154" i="88"/>
  <c r="K4153" i="88"/>
  <c r="K4152" i="88"/>
  <c r="K4151" i="88"/>
  <c r="K4150" i="88"/>
  <c r="K4149" i="88"/>
  <c r="K4148" i="88"/>
  <c r="K4147" i="88"/>
  <c r="K4146" i="88"/>
  <c r="K4145" i="88"/>
  <c r="K4144" i="88"/>
  <c r="K4143" i="88"/>
  <c r="K4142" i="88"/>
  <c r="K4141" i="88"/>
  <c r="K4140" i="88"/>
  <c r="K4139" i="88"/>
  <c r="K4138" i="88"/>
  <c r="K4137" i="88"/>
  <c r="K4136" i="88"/>
  <c r="K4135" i="88"/>
  <c r="K4134" i="88"/>
  <c r="K4133" i="88"/>
  <c r="K4132" i="88"/>
  <c r="K4131" i="88"/>
  <c r="K4130" i="88"/>
  <c r="K4129" i="88"/>
  <c r="K4128" i="88"/>
  <c r="K4127" i="88"/>
  <c r="K4126" i="88"/>
  <c r="K4125" i="88"/>
  <c r="K4124" i="88"/>
  <c r="K4123" i="88"/>
  <c r="K4122" i="88"/>
  <c r="K4121" i="88"/>
  <c r="K4120" i="88"/>
  <c r="K4119" i="88"/>
  <c r="K4118" i="88"/>
  <c r="K4117" i="88"/>
  <c r="K4116" i="88"/>
  <c r="K4115" i="88"/>
  <c r="K4114" i="88"/>
  <c r="K4113" i="88"/>
  <c r="K4112" i="88"/>
  <c r="K4111" i="88"/>
  <c r="K4110" i="88"/>
  <c r="K4109" i="88"/>
  <c r="K4108" i="88"/>
  <c r="K4107" i="88"/>
  <c r="K4106" i="88"/>
  <c r="K4105" i="88"/>
  <c r="K4104" i="88"/>
  <c r="K4103" i="88"/>
  <c r="K4102" i="88"/>
  <c r="K4101" i="88"/>
  <c r="K4100" i="88"/>
  <c r="K4099" i="88"/>
  <c r="K4098" i="88"/>
  <c r="K4097" i="88"/>
  <c r="K4096" i="88"/>
  <c r="K4095" i="88"/>
  <c r="K4094" i="88"/>
  <c r="K4093" i="88"/>
  <c r="K4092" i="88"/>
  <c r="K4091" i="88"/>
  <c r="K4090" i="88"/>
  <c r="K4089" i="88"/>
  <c r="K4088" i="88"/>
  <c r="K4087" i="88"/>
  <c r="K4086" i="88"/>
  <c r="K4085" i="88"/>
  <c r="K4084" i="88"/>
  <c r="K4083" i="88"/>
  <c r="K4082" i="88"/>
  <c r="K4081" i="88"/>
  <c r="K4080" i="88"/>
  <c r="K4079" i="88"/>
  <c r="K4078" i="88"/>
  <c r="K4077" i="88"/>
  <c r="K4076" i="88"/>
  <c r="K4075" i="88"/>
  <c r="K4074" i="88"/>
  <c r="K4073" i="88"/>
  <c r="K4072" i="88"/>
  <c r="K4071" i="88"/>
  <c r="K4070" i="88"/>
  <c r="K4069" i="88"/>
  <c r="K4068" i="88"/>
  <c r="K4067" i="88"/>
  <c r="K4066" i="88"/>
  <c r="K4065" i="88"/>
  <c r="K4064" i="88"/>
  <c r="K4063" i="88"/>
  <c r="K4062" i="88"/>
  <c r="K4061" i="88"/>
  <c r="K4060" i="88"/>
  <c r="K4059" i="88"/>
  <c r="K4058" i="88"/>
  <c r="K4057" i="88"/>
  <c r="K4056" i="88"/>
  <c r="K4055" i="88"/>
  <c r="K4054" i="88"/>
  <c r="K4053" i="88"/>
  <c r="K4052" i="88"/>
  <c r="K4051" i="88"/>
  <c r="K4050" i="88"/>
  <c r="K4049" i="88"/>
  <c r="K4048" i="88"/>
  <c r="K4047" i="88"/>
  <c r="K4046" i="88"/>
  <c r="K4045" i="88"/>
  <c r="K4044" i="88"/>
  <c r="K4043" i="88"/>
  <c r="K4042" i="88"/>
  <c r="K4041" i="88"/>
  <c r="K4040" i="88"/>
  <c r="K4039" i="88"/>
  <c r="K4038" i="88"/>
  <c r="K4037" i="88"/>
  <c r="K4036" i="88"/>
  <c r="K4035" i="88"/>
  <c r="K4034" i="88"/>
  <c r="K4033" i="88"/>
  <c r="K4032" i="88"/>
  <c r="K4031" i="88"/>
  <c r="K4030" i="88"/>
  <c r="K4029" i="88"/>
  <c r="K4028" i="88"/>
  <c r="K4027" i="88"/>
  <c r="K4026" i="88"/>
  <c r="K4025" i="88"/>
  <c r="K4024" i="88"/>
  <c r="K4023" i="88"/>
  <c r="K4022" i="88"/>
  <c r="K4021" i="88"/>
  <c r="K4020" i="88"/>
  <c r="K4019" i="88"/>
  <c r="K4018" i="88"/>
  <c r="K4017" i="88"/>
  <c r="K4016" i="88"/>
  <c r="K4015" i="88"/>
  <c r="K4014" i="88"/>
  <c r="K4013" i="88"/>
  <c r="K4012" i="88"/>
  <c r="K4011" i="88"/>
  <c r="K4010" i="88"/>
  <c r="K4009" i="88"/>
  <c r="K4008" i="88"/>
  <c r="K4007" i="88"/>
  <c r="K4006" i="88"/>
  <c r="K4005" i="88"/>
  <c r="K4004" i="88"/>
  <c r="K4003" i="88"/>
  <c r="K4002" i="88"/>
  <c r="K4001" i="88"/>
  <c r="K4000" i="88"/>
  <c r="K3999" i="88"/>
  <c r="K3998" i="88"/>
  <c r="K3997" i="88"/>
  <c r="K3996" i="88"/>
  <c r="K3995" i="88"/>
  <c r="K3994" i="88"/>
  <c r="K3993" i="88"/>
  <c r="K3992" i="88"/>
  <c r="K3991" i="88"/>
  <c r="K3990" i="88"/>
  <c r="K3989" i="88"/>
  <c r="K3988" i="88"/>
  <c r="K3987" i="88"/>
  <c r="K3986" i="88"/>
  <c r="K3985" i="88"/>
  <c r="K3984" i="88"/>
  <c r="K3983" i="88"/>
  <c r="K3982" i="88"/>
  <c r="K3981" i="88"/>
  <c r="K3980" i="88"/>
  <c r="K3979" i="88"/>
  <c r="K3978" i="88"/>
  <c r="K3977" i="88"/>
  <c r="K3976" i="88"/>
  <c r="K3975" i="88"/>
  <c r="K3974" i="88"/>
  <c r="K3973" i="88"/>
  <c r="K3972" i="88"/>
  <c r="K3971" i="88"/>
  <c r="K3970" i="88"/>
  <c r="K3969" i="88"/>
  <c r="K3968" i="88"/>
  <c r="K3967" i="88"/>
  <c r="K3966" i="88"/>
  <c r="K3965" i="88"/>
  <c r="K3964" i="88"/>
  <c r="K3963" i="88"/>
  <c r="K3962" i="88"/>
  <c r="K3961" i="88"/>
  <c r="K3960" i="88"/>
  <c r="K3959" i="88"/>
  <c r="K3958" i="88"/>
  <c r="K3957" i="88"/>
  <c r="K3956" i="88"/>
  <c r="K3955" i="88"/>
  <c r="K3954" i="88"/>
  <c r="K3953" i="88"/>
  <c r="K3952" i="88"/>
  <c r="K3951" i="88"/>
  <c r="K3950" i="88"/>
  <c r="K3949" i="88"/>
  <c r="K3948" i="88"/>
  <c r="K3947" i="88"/>
  <c r="K3946" i="88"/>
  <c r="K3945" i="88"/>
  <c r="K3944" i="88"/>
  <c r="K3943" i="88"/>
  <c r="K3942" i="88"/>
  <c r="K3941" i="88"/>
  <c r="K3940" i="88"/>
  <c r="K3939" i="88"/>
  <c r="K3938" i="88"/>
  <c r="K3937" i="88"/>
  <c r="K3936" i="88"/>
  <c r="K3935" i="88"/>
  <c r="K3934" i="88"/>
  <c r="K3933" i="88"/>
  <c r="K3932" i="88"/>
  <c r="K3931" i="88"/>
  <c r="K3930" i="88"/>
  <c r="K3929" i="88"/>
  <c r="K3928" i="88"/>
  <c r="K3927" i="88"/>
  <c r="K3926" i="88"/>
  <c r="K3925" i="88"/>
  <c r="K3924" i="88"/>
  <c r="K3923" i="88"/>
  <c r="K3922" i="88"/>
  <c r="K3921" i="88"/>
  <c r="K3920" i="88"/>
  <c r="K3919" i="88"/>
  <c r="K3918" i="88"/>
  <c r="K3917" i="88"/>
  <c r="K3916" i="88"/>
  <c r="K3915" i="88"/>
  <c r="K3914" i="88"/>
  <c r="K3913" i="88"/>
  <c r="K3912" i="88"/>
  <c r="K3911" i="88"/>
  <c r="K3910" i="88"/>
  <c r="K3909" i="88"/>
  <c r="K3908" i="88"/>
  <c r="K3907" i="88"/>
  <c r="K3906" i="88"/>
  <c r="K3905" i="88"/>
  <c r="K3904" i="88"/>
  <c r="K3903" i="88"/>
  <c r="K3902" i="88"/>
  <c r="K3901" i="88"/>
  <c r="K3900" i="88"/>
  <c r="K3899" i="88"/>
  <c r="K3898" i="88"/>
  <c r="K3897" i="88"/>
  <c r="K3896" i="88"/>
  <c r="K3895" i="88"/>
  <c r="K3894" i="88"/>
  <c r="K3893" i="88"/>
  <c r="K3892" i="88"/>
  <c r="K3891" i="88"/>
  <c r="K3890" i="88"/>
  <c r="K3889" i="88"/>
  <c r="K3888" i="88"/>
  <c r="K3887" i="88"/>
  <c r="K3886" i="88"/>
  <c r="K3885" i="88"/>
  <c r="K3884" i="88"/>
  <c r="K3883" i="88"/>
  <c r="K3882" i="88"/>
  <c r="K3881" i="88"/>
  <c r="K3880" i="88"/>
  <c r="K3879" i="88"/>
  <c r="K3878" i="88"/>
  <c r="K3877" i="88"/>
  <c r="K3876" i="88"/>
  <c r="K3875" i="88"/>
  <c r="K3874" i="88"/>
  <c r="K3873" i="88"/>
  <c r="K3872" i="88"/>
  <c r="K3871" i="88"/>
  <c r="K3870" i="88"/>
  <c r="K3869" i="88"/>
  <c r="K3868" i="88"/>
  <c r="K3867" i="88"/>
  <c r="K3866" i="88"/>
  <c r="K3865" i="88"/>
  <c r="K3864" i="88"/>
  <c r="K3863" i="88"/>
  <c r="K3862" i="88"/>
  <c r="K3861" i="88"/>
  <c r="K3860" i="88"/>
  <c r="K3859" i="88"/>
  <c r="K3858" i="88"/>
  <c r="K3857" i="88"/>
  <c r="K3856" i="88"/>
  <c r="K3855" i="88"/>
  <c r="K3854" i="88"/>
  <c r="K3853" i="88"/>
  <c r="K3852" i="88"/>
  <c r="K3851" i="88"/>
  <c r="K3850" i="88"/>
  <c r="K3849" i="88"/>
  <c r="K3848" i="88"/>
  <c r="K3847" i="88"/>
  <c r="K3846" i="88"/>
  <c r="K3845" i="88"/>
  <c r="K3844" i="88"/>
  <c r="K3843" i="88"/>
  <c r="K3842" i="88"/>
  <c r="K3841" i="88"/>
  <c r="K3840" i="88"/>
  <c r="K3839" i="88"/>
  <c r="K3838" i="88"/>
  <c r="K3837" i="88"/>
  <c r="K3836" i="88"/>
  <c r="K3835" i="88"/>
  <c r="K3834" i="88"/>
  <c r="K3833" i="88"/>
  <c r="K3832" i="88"/>
  <c r="K3831" i="88"/>
  <c r="K3830" i="88"/>
  <c r="K3829" i="88"/>
  <c r="K3828" i="88"/>
  <c r="K3827" i="88"/>
  <c r="K3826" i="88"/>
  <c r="K3825" i="88"/>
  <c r="K3824" i="88"/>
  <c r="K3823" i="88"/>
  <c r="K3822" i="88"/>
  <c r="K3821" i="88"/>
  <c r="K3820" i="88"/>
  <c r="K3819" i="88"/>
  <c r="K3818" i="88"/>
  <c r="K3817" i="88"/>
  <c r="K3816" i="88"/>
  <c r="K3815" i="88"/>
  <c r="K3814" i="88"/>
  <c r="K3813" i="88"/>
  <c r="K3812" i="88"/>
  <c r="K3811" i="88"/>
  <c r="K3810" i="88"/>
  <c r="K3809" i="88"/>
  <c r="K3808" i="88"/>
  <c r="K3807" i="88"/>
  <c r="K3806" i="88"/>
  <c r="K3805" i="88"/>
  <c r="K3804" i="88"/>
  <c r="K3803" i="88"/>
  <c r="K3802" i="88"/>
  <c r="K3801" i="88"/>
  <c r="K3800" i="88"/>
  <c r="K3799" i="88"/>
  <c r="K3798" i="88"/>
  <c r="K3797" i="88"/>
  <c r="K3796" i="88"/>
  <c r="K3795" i="88"/>
  <c r="K3794" i="88"/>
  <c r="K3793" i="88"/>
  <c r="K3792" i="88"/>
  <c r="K3791" i="88"/>
  <c r="K3790" i="88"/>
  <c r="K3789" i="88"/>
  <c r="K3788" i="88"/>
  <c r="K3787" i="88"/>
  <c r="K3786" i="88"/>
  <c r="K3785" i="88"/>
  <c r="K3784" i="88"/>
  <c r="K3783" i="88"/>
  <c r="K3782" i="88"/>
  <c r="K3781" i="88"/>
  <c r="K3780" i="88"/>
  <c r="K3779" i="88"/>
  <c r="K3778" i="88"/>
  <c r="K3777" i="88"/>
  <c r="K3776" i="88"/>
  <c r="K3775" i="88"/>
  <c r="K3774" i="88"/>
  <c r="K3773" i="88"/>
  <c r="K3772" i="88"/>
  <c r="K3771" i="88"/>
  <c r="K3770" i="88"/>
  <c r="K3769" i="88"/>
  <c r="K3768" i="88"/>
  <c r="K3767" i="88"/>
  <c r="K3766" i="88"/>
  <c r="K3765" i="88"/>
  <c r="K3764" i="88"/>
  <c r="K3763" i="88"/>
  <c r="K3762" i="88"/>
  <c r="K3761" i="88"/>
  <c r="K3760" i="88"/>
  <c r="K3759" i="88"/>
  <c r="K3758" i="88"/>
  <c r="K3757" i="88"/>
  <c r="K3756" i="88"/>
  <c r="K3755" i="88"/>
  <c r="K3754" i="88"/>
  <c r="K3753" i="88"/>
  <c r="K3752" i="88"/>
  <c r="K3751" i="88"/>
  <c r="K3750" i="88"/>
  <c r="K3749" i="88"/>
  <c r="K3748" i="88"/>
  <c r="K3747" i="88"/>
  <c r="K3746" i="88"/>
  <c r="K3745" i="88"/>
  <c r="K3744" i="88"/>
  <c r="K3743" i="88"/>
  <c r="K3742" i="88"/>
  <c r="K3741" i="88"/>
  <c r="K3740" i="88"/>
  <c r="K3739" i="88"/>
  <c r="K3738" i="88"/>
  <c r="K3737" i="88"/>
  <c r="K3736" i="88"/>
  <c r="K3735" i="88"/>
  <c r="K3734" i="88"/>
  <c r="K3733" i="88"/>
  <c r="K3732" i="88"/>
  <c r="K3731" i="88"/>
  <c r="K3730" i="88"/>
  <c r="K3729" i="88"/>
  <c r="K3728" i="88"/>
  <c r="K3727" i="88"/>
  <c r="K3726" i="88"/>
  <c r="K3725" i="88"/>
  <c r="K3724" i="88"/>
  <c r="K3723" i="88"/>
  <c r="K3722" i="88"/>
  <c r="K3721" i="88"/>
  <c r="K3720" i="88"/>
  <c r="K3719" i="88"/>
  <c r="K3718" i="88"/>
  <c r="K3717" i="88"/>
  <c r="K3716" i="88"/>
  <c r="K3715" i="88"/>
  <c r="K3714" i="88"/>
  <c r="K3713" i="88"/>
  <c r="K3712" i="88"/>
  <c r="K3711" i="88"/>
  <c r="K3710" i="88"/>
  <c r="K3709" i="88"/>
  <c r="K3708" i="88"/>
  <c r="K3707" i="88"/>
  <c r="K3706" i="88"/>
  <c r="K3705" i="88"/>
  <c r="K3704" i="88"/>
  <c r="K3703" i="88"/>
  <c r="K3702" i="88"/>
  <c r="K3701" i="88"/>
  <c r="K3700" i="88"/>
  <c r="K3699" i="88"/>
  <c r="K3698" i="88"/>
  <c r="K3697" i="88"/>
  <c r="K3696" i="88"/>
  <c r="K3695" i="88"/>
  <c r="K3694" i="88"/>
  <c r="K3693" i="88"/>
  <c r="K3692" i="88"/>
  <c r="K3691" i="88"/>
  <c r="K3690" i="88"/>
  <c r="K3689" i="88"/>
  <c r="K3688" i="88"/>
  <c r="K3687" i="88"/>
  <c r="K3686" i="88"/>
  <c r="K3685" i="88"/>
  <c r="K3684" i="88"/>
  <c r="K3683" i="88"/>
  <c r="K3682" i="88"/>
  <c r="K3681" i="88"/>
  <c r="K3680" i="88"/>
  <c r="K3679" i="88"/>
  <c r="K3678" i="88"/>
  <c r="K3677" i="88"/>
  <c r="K3676" i="88"/>
  <c r="K3675" i="88"/>
  <c r="K3674" i="88"/>
  <c r="K3673" i="88"/>
  <c r="K3672" i="88"/>
  <c r="K3671" i="88"/>
  <c r="K3670" i="88"/>
  <c r="K3669" i="88"/>
  <c r="K3668" i="88"/>
  <c r="K3667" i="88"/>
  <c r="K3666" i="88"/>
  <c r="K3665" i="88"/>
  <c r="K3664" i="88"/>
  <c r="K3663" i="88"/>
  <c r="K3662" i="88"/>
  <c r="K3661" i="88"/>
  <c r="K3660" i="88"/>
  <c r="K3659" i="88"/>
  <c r="K3658" i="88"/>
  <c r="K3657" i="88"/>
  <c r="K3656" i="88"/>
  <c r="K3655" i="88"/>
  <c r="K3654" i="88"/>
  <c r="K3653" i="88"/>
  <c r="K3652" i="88"/>
  <c r="K3651" i="88"/>
  <c r="K3650" i="88"/>
  <c r="K3649" i="88"/>
  <c r="K3648" i="88"/>
  <c r="K3647" i="88"/>
  <c r="K3646" i="88"/>
  <c r="K3645" i="88"/>
  <c r="K3644" i="88"/>
  <c r="K3643" i="88"/>
  <c r="K3642" i="88"/>
  <c r="K3641" i="88"/>
  <c r="K3640" i="88"/>
  <c r="K3639" i="88"/>
  <c r="K3638" i="88"/>
  <c r="K3637" i="88"/>
  <c r="K3636" i="88"/>
  <c r="K3635" i="88"/>
  <c r="K3634" i="88"/>
  <c r="K3633" i="88"/>
  <c r="K3632" i="88"/>
  <c r="K3631" i="88"/>
  <c r="K3630" i="88"/>
  <c r="K3629" i="88"/>
  <c r="K3628" i="88"/>
  <c r="K3627" i="88"/>
  <c r="K3626" i="88"/>
  <c r="K3625" i="88"/>
  <c r="K3624" i="88"/>
  <c r="K3623" i="88"/>
  <c r="K3622" i="88"/>
  <c r="K3621" i="88"/>
  <c r="K3620" i="88"/>
  <c r="K3619" i="88"/>
  <c r="K3618" i="88"/>
  <c r="K3617" i="88"/>
  <c r="K3616" i="88"/>
  <c r="K3615" i="88"/>
  <c r="K3614" i="88"/>
  <c r="K3613" i="88"/>
  <c r="K3612" i="88"/>
  <c r="K3611" i="88"/>
  <c r="K3610" i="88"/>
  <c r="K3609" i="88"/>
  <c r="K3608" i="88"/>
  <c r="K3607" i="88"/>
  <c r="K3606" i="88"/>
  <c r="K3605" i="88"/>
  <c r="K3604" i="88"/>
  <c r="K3603" i="88"/>
  <c r="K3602" i="88"/>
  <c r="K3601" i="88"/>
  <c r="K3600" i="88"/>
  <c r="K3599" i="88"/>
  <c r="K3598" i="88"/>
  <c r="K3597" i="88"/>
  <c r="K3596" i="88"/>
  <c r="K3595" i="88"/>
  <c r="K3594" i="88"/>
  <c r="K3593" i="88"/>
  <c r="K3592" i="88"/>
  <c r="K3591" i="88"/>
  <c r="K3590" i="88"/>
  <c r="K3589" i="88"/>
  <c r="K3588" i="88"/>
  <c r="K3587" i="88"/>
  <c r="K3586" i="88"/>
  <c r="K3585" i="88"/>
  <c r="K3584" i="88"/>
  <c r="K3583" i="88"/>
  <c r="K3582" i="88"/>
  <c r="K3581" i="88"/>
  <c r="K3580" i="88"/>
  <c r="K3579" i="88"/>
  <c r="K3578" i="88"/>
  <c r="K3577" i="88"/>
  <c r="K3576" i="88"/>
  <c r="K3575" i="88"/>
  <c r="K3574" i="88"/>
  <c r="K3573" i="88"/>
  <c r="K3572" i="88"/>
  <c r="K3571" i="88"/>
  <c r="K3570" i="88"/>
  <c r="K3569" i="88"/>
  <c r="K3568" i="88"/>
  <c r="K3567" i="88"/>
  <c r="K3566" i="88"/>
  <c r="K3565" i="88"/>
  <c r="K3564" i="88"/>
  <c r="K3563" i="88"/>
  <c r="K3562" i="88"/>
  <c r="K3561" i="88"/>
  <c r="K3560" i="88"/>
  <c r="K3559" i="88"/>
  <c r="K3558" i="88"/>
  <c r="K3557" i="88"/>
  <c r="K3556" i="88"/>
  <c r="K3555" i="88"/>
  <c r="K3554" i="88"/>
  <c r="K3553" i="88"/>
  <c r="K3552" i="88"/>
  <c r="K3551" i="88"/>
  <c r="K3550" i="88"/>
  <c r="K3549" i="88"/>
  <c r="K3548" i="88"/>
  <c r="K3547" i="88"/>
  <c r="K3546" i="88"/>
  <c r="K3545" i="88"/>
  <c r="K3544" i="88"/>
  <c r="K3543" i="88"/>
  <c r="K3542" i="88"/>
  <c r="K3541" i="88"/>
  <c r="K3540" i="88"/>
  <c r="K3539" i="88"/>
  <c r="K3538" i="88"/>
  <c r="K3537" i="88"/>
  <c r="K3536" i="88"/>
  <c r="K3535" i="88"/>
  <c r="K3534" i="88"/>
  <c r="K3533" i="88"/>
  <c r="K3532" i="88"/>
  <c r="K3531" i="88"/>
  <c r="K3530" i="88"/>
  <c r="K3529" i="88"/>
  <c r="K3528" i="88"/>
  <c r="K3527" i="88"/>
  <c r="K3526" i="88"/>
  <c r="K3525" i="88"/>
  <c r="K3524" i="88"/>
  <c r="K3523" i="88"/>
  <c r="K3522" i="88"/>
  <c r="K3521" i="88"/>
  <c r="K3520" i="88"/>
  <c r="K3519" i="88"/>
  <c r="K3518" i="88"/>
  <c r="K3517" i="88"/>
  <c r="K3516" i="88"/>
  <c r="K3515" i="88"/>
  <c r="K3514" i="88"/>
  <c r="K3513" i="88"/>
  <c r="K3512" i="88"/>
  <c r="K3511" i="88"/>
  <c r="K3510" i="88"/>
  <c r="K3509" i="88"/>
  <c r="K3508" i="88"/>
  <c r="K3507" i="88"/>
  <c r="K3506" i="88"/>
  <c r="K3505" i="88"/>
  <c r="K3504" i="88"/>
  <c r="K3503" i="88"/>
  <c r="K3502" i="88"/>
  <c r="K3501" i="88"/>
  <c r="K3500" i="88"/>
  <c r="K3499" i="88"/>
  <c r="K3498" i="88"/>
  <c r="K3497" i="88"/>
  <c r="K3496" i="88"/>
  <c r="K3495" i="88"/>
  <c r="K3494" i="88"/>
  <c r="K3493" i="88"/>
  <c r="K3492" i="88"/>
  <c r="K3491" i="88"/>
  <c r="K3490" i="88"/>
  <c r="K3489" i="88"/>
  <c r="K3488" i="88"/>
  <c r="K3487" i="88"/>
  <c r="K3486" i="88"/>
  <c r="K3485" i="88"/>
  <c r="K3484" i="88"/>
  <c r="K3483" i="88"/>
  <c r="K3482" i="88"/>
  <c r="K3481" i="88"/>
  <c r="K3480" i="88"/>
  <c r="K3479" i="88"/>
  <c r="K3478" i="88"/>
  <c r="K3477" i="88"/>
  <c r="K3476" i="88"/>
  <c r="K3475" i="88"/>
  <c r="K3474" i="88"/>
  <c r="K3473" i="88"/>
  <c r="K3472" i="88"/>
  <c r="K3471" i="88"/>
  <c r="K3470" i="88"/>
  <c r="K3469" i="88"/>
  <c r="K3468" i="88"/>
  <c r="K3467" i="88"/>
  <c r="K3466" i="88"/>
  <c r="K3465" i="88"/>
  <c r="K3464" i="88"/>
  <c r="K3463" i="88"/>
  <c r="K3462" i="88"/>
  <c r="K3461" i="88"/>
  <c r="K3460" i="88"/>
  <c r="K3459" i="88"/>
  <c r="K3458" i="88"/>
  <c r="K3457" i="88"/>
  <c r="K3456" i="88"/>
  <c r="K3455" i="88"/>
  <c r="K3454" i="88"/>
  <c r="K3453" i="88"/>
  <c r="K3452" i="88"/>
  <c r="K3451" i="88"/>
  <c r="K3450" i="88"/>
  <c r="K3449" i="88"/>
  <c r="K3448" i="88"/>
  <c r="K3447" i="88"/>
  <c r="K3446" i="88"/>
  <c r="K3445" i="88"/>
  <c r="K3444" i="88"/>
  <c r="K3443" i="88"/>
  <c r="K3442" i="88"/>
  <c r="K3441" i="88"/>
  <c r="K3440" i="88"/>
  <c r="K3439" i="88"/>
  <c r="K3438" i="88"/>
  <c r="K3437" i="88"/>
  <c r="K3436" i="88"/>
  <c r="K3435" i="88"/>
  <c r="K3434" i="88"/>
  <c r="K3433" i="88"/>
  <c r="K3432" i="88"/>
  <c r="K3431" i="88"/>
  <c r="K3430" i="88"/>
  <c r="K3429" i="88"/>
  <c r="K3428" i="88"/>
  <c r="K3427" i="88"/>
  <c r="K3426" i="88"/>
  <c r="K3425" i="88"/>
  <c r="K3424" i="88"/>
  <c r="K3423" i="88"/>
  <c r="K3422" i="88"/>
  <c r="K3421" i="88"/>
  <c r="K3420" i="88"/>
  <c r="K3419" i="88"/>
  <c r="K3418" i="88"/>
  <c r="K3417" i="88"/>
  <c r="K3416" i="88"/>
  <c r="K3415" i="88"/>
  <c r="K3414" i="88"/>
  <c r="K3413" i="88"/>
  <c r="K3412" i="88"/>
  <c r="K3411" i="88"/>
  <c r="K3410" i="88"/>
  <c r="K3409" i="88"/>
  <c r="K3408" i="88"/>
  <c r="K3407" i="88"/>
  <c r="K3406" i="88"/>
  <c r="K3405" i="88"/>
  <c r="K3404" i="88"/>
  <c r="K3403" i="88"/>
  <c r="K3402" i="88"/>
  <c r="K3401" i="88"/>
  <c r="K3400" i="88"/>
  <c r="K3399" i="88"/>
  <c r="K3398" i="88"/>
  <c r="K3397" i="88"/>
  <c r="K3396" i="88"/>
  <c r="K3395" i="88"/>
  <c r="K3394" i="88"/>
  <c r="K3393" i="88"/>
  <c r="K3392" i="88"/>
  <c r="K3391" i="88"/>
  <c r="K3390" i="88"/>
  <c r="K3389" i="88"/>
  <c r="K3388" i="88"/>
  <c r="K3387" i="88"/>
  <c r="K3386" i="88"/>
  <c r="K3385" i="88"/>
  <c r="K3384" i="88"/>
  <c r="K3383" i="88"/>
  <c r="K3382" i="88"/>
  <c r="K3381" i="88"/>
  <c r="K3380" i="88"/>
  <c r="K3379" i="88"/>
  <c r="K3378" i="88"/>
  <c r="K3377" i="88"/>
  <c r="K3376" i="88"/>
  <c r="K3375" i="88"/>
  <c r="K3374" i="88"/>
  <c r="K3373" i="88"/>
  <c r="K3372" i="88"/>
  <c r="K3371" i="88"/>
  <c r="K3370" i="88"/>
  <c r="K3369" i="88"/>
  <c r="K3368" i="88"/>
  <c r="K3367" i="88"/>
  <c r="K3366" i="88"/>
  <c r="K3365" i="88"/>
  <c r="K3364" i="88"/>
  <c r="K3363" i="88"/>
  <c r="K3362" i="88"/>
  <c r="K3361" i="88"/>
  <c r="K3360" i="88"/>
  <c r="K3359" i="88"/>
  <c r="K3358" i="88"/>
  <c r="K3357" i="88"/>
  <c r="K3356" i="88"/>
  <c r="K3355" i="88"/>
  <c r="K3354" i="88"/>
  <c r="K3353" i="88"/>
  <c r="K3352" i="88"/>
  <c r="K3351" i="88"/>
  <c r="K3350" i="88"/>
  <c r="K3349" i="88"/>
  <c r="K3348" i="88"/>
  <c r="K3347" i="88"/>
  <c r="K3346" i="88"/>
  <c r="K3345" i="88"/>
  <c r="K3344" i="88"/>
  <c r="K3343" i="88"/>
  <c r="K3342" i="88"/>
  <c r="K3341" i="88"/>
  <c r="K3340" i="88"/>
  <c r="K3339" i="88"/>
  <c r="K3338" i="88"/>
  <c r="K3337" i="88"/>
  <c r="K3336" i="88"/>
  <c r="K3335" i="88"/>
  <c r="K3334" i="88"/>
  <c r="K3333" i="88"/>
  <c r="K3332" i="88"/>
  <c r="K3331" i="88"/>
  <c r="K3330" i="88"/>
  <c r="K3329" i="88"/>
  <c r="K3328" i="88"/>
  <c r="K3327" i="88"/>
  <c r="K3326" i="88"/>
  <c r="K3325" i="88"/>
  <c r="K3324" i="88"/>
  <c r="K3323" i="88"/>
  <c r="K3322" i="88"/>
  <c r="K3321" i="88"/>
  <c r="K3320" i="88"/>
  <c r="K3319" i="88"/>
  <c r="K3318" i="88"/>
  <c r="K3317" i="88"/>
  <c r="K3316" i="88"/>
  <c r="K3315" i="88"/>
  <c r="K3314" i="88"/>
  <c r="K3313" i="88"/>
  <c r="K3312" i="88"/>
  <c r="K3311" i="88"/>
  <c r="K3310" i="88"/>
  <c r="K3309" i="88"/>
  <c r="K3308" i="88"/>
  <c r="K3307" i="88"/>
  <c r="K3306" i="88"/>
  <c r="K3305" i="88"/>
  <c r="K3304" i="88"/>
  <c r="K3303" i="88"/>
  <c r="K3302" i="88"/>
  <c r="K3301" i="88"/>
  <c r="K3300" i="88"/>
  <c r="K3299" i="88"/>
  <c r="K3298" i="88"/>
  <c r="K3297" i="88"/>
  <c r="K3296" i="88"/>
  <c r="K3295" i="88"/>
  <c r="K3294" i="88"/>
  <c r="K3293" i="88"/>
  <c r="K3292" i="88"/>
  <c r="K3291" i="88"/>
  <c r="K3290" i="88"/>
  <c r="K3289" i="88"/>
  <c r="K3288" i="88"/>
  <c r="K3287" i="88"/>
  <c r="K3286" i="88"/>
  <c r="K3285" i="88"/>
  <c r="K3284" i="88"/>
  <c r="K3283" i="88"/>
  <c r="K3282" i="88"/>
  <c r="K3281" i="88"/>
  <c r="K3280" i="88"/>
  <c r="K3279" i="88"/>
  <c r="K3278" i="88"/>
  <c r="K3277" i="88"/>
  <c r="K3276" i="88"/>
  <c r="K3275" i="88"/>
  <c r="K3274" i="88"/>
  <c r="K3273" i="88"/>
  <c r="K3272" i="88"/>
  <c r="K3271" i="88"/>
  <c r="K3270" i="88"/>
  <c r="K3269" i="88"/>
  <c r="K3268" i="88"/>
  <c r="K3267" i="88"/>
  <c r="K3266" i="88"/>
  <c r="K3265" i="88"/>
  <c r="K3264" i="88"/>
  <c r="K3263" i="88"/>
  <c r="K3262" i="88"/>
  <c r="K3261" i="88"/>
  <c r="K3260" i="88"/>
  <c r="K3259" i="88"/>
  <c r="K3258" i="88"/>
  <c r="K3257" i="88"/>
  <c r="K3256" i="88"/>
  <c r="K3255" i="88"/>
  <c r="K3254" i="88"/>
  <c r="K3253" i="88"/>
  <c r="K3252" i="88"/>
  <c r="K3251" i="88"/>
  <c r="K3250" i="88"/>
  <c r="K3249" i="88"/>
  <c r="K3248" i="88"/>
  <c r="K3247" i="88"/>
  <c r="K3246" i="88"/>
  <c r="K3245" i="88"/>
  <c r="K3244" i="88"/>
  <c r="K3243" i="88"/>
  <c r="K3242" i="88"/>
  <c r="K3241" i="88"/>
  <c r="K3240" i="88"/>
  <c r="K3239" i="88"/>
  <c r="K3238" i="88"/>
  <c r="K3237" i="88"/>
  <c r="K3236" i="88"/>
  <c r="K3235" i="88"/>
  <c r="K3234" i="88"/>
  <c r="K3233" i="88"/>
  <c r="K3232" i="88"/>
  <c r="K3231" i="88"/>
  <c r="K3230" i="88"/>
  <c r="K3229" i="88"/>
  <c r="K3228" i="88"/>
  <c r="K3227" i="88"/>
  <c r="K3226" i="88"/>
  <c r="K3225" i="88"/>
  <c r="K3224" i="88"/>
  <c r="K3223" i="88"/>
  <c r="K3222" i="88"/>
  <c r="K3221" i="88"/>
  <c r="K3220" i="88"/>
  <c r="K3219" i="88"/>
  <c r="K3218" i="88"/>
  <c r="K3217" i="88"/>
  <c r="K3216" i="88"/>
  <c r="K3215" i="88"/>
  <c r="K3214" i="88"/>
  <c r="K3213" i="88"/>
  <c r="K3212" i="88"/>
  <c r="K3211" i="88"/>
  <c r="K3210" i="88"/>
  <c r="K3209" i="88"/>
  <c r="K3208" i="88"/>
  <c r="K3207" i="88"/>
  <c r="K3206" i="88"/>
  <c r="K3205" i="88"/>
  <c r="K3204" i="88"/>
  <c r="K3203" i="88"/>
  <c r="K3202" i="88"/>
  <c r="K3201" i="88"/>
  <c r="K3200" i="88"/>
  <c r="K3199" i="88"/>
  <c r="K3198" i="88"/>
  <c r="K3197" i="88"/>
  <c r="K3196" i="88"/>
  <c r="K3195" i="88"/>
  <c r="K3194" i="88"/>
  <c r="K3193" i="88"/>
  <c r="K3192" i="88"/>
  <c r="K3191" i="88"/>
  <c r="K3190" i="88"/>
  <c r="K3189" i="88"/>
  <c r="K3188" i="88"/>
  <c r="K3187" i="88"/>
  <c r="K3186" i="88"/>
  <c r="K3185" i="88"/>
  <c r="K3184" i="88"/>
  <c r="K3183" i="88"/>
  <c r="K3182" i="88"/>
  <c r="K3181" i="88"/>
  <c r="K3180" i="88"/>
  <c r="K3179" i="88"/>
  <c r="K3178" i="88"/>
  <c r="K3177" i="88"/>
  <c r="K3176" i="88"/>
  <c r="K3175" i="88"/>
  <c r="K3174" i="88"/>
  <c r="K3173" i="88"/>
  <c r="K3172" i="88"/>
  <c r="K3171" i="88"/>
  <c r="K3170" i="88"/>
  <c r="K3169" i="88"/>
  <c r="K3168" i="88"/>
  <c r="K3167" i="88"/>
  <c r="K3166" i="88"/>
  <c r="K3165" i="88"/>
  <c r="K3164" i="88"/>
  <c r="K3163" i="88"/>
  <c r="K3162" i="88"/>
  <c r="K3161" i="88"/>
  <c r="K3160" i="88"/>
  <c r="K3159" i="88"/>
  <c r="K3158" i="88"/>
  <c r="K3157" i="88"/>
  <c r="K3156" i="88"/>
  <c r="K3155" i="88"/>
  <c r="K3154" i="88"/>
  <c r="K3153" i="88"/>
  <c r="K3152" i="88"/>
  <c r="K3151" i="88"/>
  <c r="K3150" i="88"/>
  <c r="K3149" i="88"/>
  <c r="K3148" i="88"/>
  <c r="K3147" i="88"/>
  <c r="K3146" i="88"/>
  <c r="K3145" i="88"/>
  <c r="K3144" i="88"/>
  <c r="K3143" i="88"/>
  <c r="K3142" i="88"/>
  <c r="K3141" i="88"/>
  <c r="K3140" i="88"/>
  <c r="K3139" i="88"/>
  <c r="K3138" i="88"/>
  <c r="K3137" i="88"/>
  <c r="K3136" i="88"/>
  <c r="K3135" i="88"/>
  <c r="K3134" i="88"/>
  <c r="K3133" i="88"/>
  <c r="K3132" i="88"/>
  <c r="K3131" i="88"/>
  <c r="K3130" i="88"/>
  <c r="K3129" i="88"/>
  <c r="K3128" i="88"/>
  <c r="K3127" i="88"/>
  <c r="K3126" i="88"/>
  <c r="K3125" i="88"/>
  <c r="K3124" i="88"/>
  <c r="K3123" i="88"/>
  <c r="K3122" i="88"/>
  <c r="K3121" i="88"/>
  <c r="K3120" i="88"/>
  <c r="K3119" i="88"/>
  <c r="K3118" i="88"/>
  <c r="K3117" i="88"/>
  <c r="K3116" i="88"/>
  <c r="K3115" i="88"/>
  <c r="K3114" i="88"/>
  <c r="K3113" i="88"/>
  <c r="K3112" i="88"/>
  <c r="K3111" i="88"/>
  <c r="K3110" i="88"/>
  <c r="K3109" i="88"/>
  <c r="K3108" i="88"/>
  <c r="K3107" i="88"/>
  <c r="K3106" i="88"/>
  <c r="K3105" i="88"/>
  <c r="K3104" i="88"/>
  <c r="K3103" i="88"/>
  <c r="K3102" i="88"/>
  <c r="K3101" i="88"/>
  <c r="K3100" i="88"/>
  <c r="K3099" i="88"/>
  <c r="K3098" i="88"/>
  <c r="K3097" i="88"/>
  <c r="K3096" i="88"/>
  <c r="K3095" i="88"/>
  <c r="K3094" i="88"/>
  <c r="K3093" i="88"/>
  <c r="K3092" i="88"/>
  <c r="K3091" i="88"/>
  <c r="K3090" i="88"/>
  <c r="K3089" i="88"/>
  <c r="K3088" i="88"/>
  <c r="K3087" i="88"/>
  <c r="K3086" i="88"/>
  <c r="K3085" i="88"/>
  <c r="K3084" i="88"/>
  <c r="K3083" i="88"/>
  <c r="K3082" i="88"/>
  <c r="K3081" i="88"/>
  <c r="K3080" i="88"/>
  <c r="K3079" i="88"/>
  <c r="K3078" i="88"/>
  <c r="K3077" i="88"/>
  <c r="K3076" i="88"/>
  <c r="K3075" i="88"/>
  <c r="K3074" i="88"/>
  <c r="K3073" i="88"/>
  <c r="K3072" i="88"/>
  <c r="K3071" i="88"/>
  <c r="K3070" i="88"/>
  <c r="K3069" i="88"/>
  <c r="K3068" i="88"/>
  <c r="K3067" i="88"/>
  <c r="K3066" i="88"/>
  <c r="K3065" i="88"/>
  <c r="K3064" i="88"/>
  <c r="K3063" i="88"/>
  <c r="K3062" i="88"/>
  <c r="K3061" i="88"/>
  <c r="K3060" i="88"/>
  <c r="K3059" i="88"/>
  <c r="K3058" i="88"/>
  <c r="K3057" i="88"/>
  <c r="K3056" i="88"/>
  <c r="K3055" i="88"/>
  <c r="K3054" i="88"/>
  <c r="K3053" i="88"/>
  <c r="K3052" i="88"/>
  <c r="K3051" i="88"/>
  <c r="K3050" i="88"/>
  <c r="K3049" i="88"/>
  <c r="K3048" i="88"/>
  <c r="K3047" i="88"/>
  <c r="K3046" i="88"/>
  <c r="K3045" i="88"/>
  <c r="K3044" i="88"/>
  <c r="K3043" i="88"/>
  <c r="K3042" i="88"/>
  <c r="K3041" i="88"/>
  <c r="K3040" i="88"/>
  <c r="K3039" i="88"/>
  <c r="K3038" i="88"/>
  <c r="K3037" i="88"/>
  <c r="K3036" i="88"/>
  <c r="K3035" i="88"/>
  <c r="K3034" i="88"/>
  <c r="K3033" i="88"/>
  <c r="K3032" i="88"/>
  <c r="K3031" i="88"/>
  <c r="K3030" i="88"/>
  <c r="K3029" i="88"/>
  <c r="K3028" i="88"/>
  <c r="K3027" i="88"/>
  <c r="K3026" i="88"/>
  <c r="K3025" i="88"/>
  <c r="K3024" i="88"/>
  <c r="K3023" i="88"/>
  <c r="K3022" i="88"/>
  <c r="K3021" i="88"/>
  <c r="K3020" i="88"/>
  <c r="K3019" i="88"/>
  <c r="K3018" i="88"/>
  <c r="K3017" i="88"/>
  <c r="K3016" i="88"/>
  <c r="K3015" i="88"/>
  <c r="K3014" i="88"/>
  <c r="K3013" i="88"/>
  <c r="K3012" i="88"/>
  <c r="K3011" i="88"/>
  <c r="K3010" i="88"/>
  <c r="K3009" i="88"/>
  <c r="K3008" i="88"/>
  <c r="K3007" i="88"/>
  <c r="K3006" i="88"/>
  <c r="K3005" i="88"/>
  <c r="K3004" i="88"/>
  <c r="K3003" i="88"/>
  <c r="K3002" i="88"/>
  <c r="K3001" i="88"/>
  <c r="K3000" i="88"/>
  <c r="K2999" i="88"/>
  <c r="K2998" i="88"/>
  <c r="K2997" i="88"/>
  <c r="K2996" i="88"/>
  <c r="K2995" i="88"/>
  <c r="K2994" i="88"/>
  <c r="K2993" i="88"/>
  <c r="K2992" i="88"/>
  <c r="K2991" i="88"/>
  <c r="K2990" i="88"/>
  <c r="K2989" i="88"/>
  <c r="K2988" i="88"/>
  <c r="K2987" i="88"/>
  <c r="K2986" i="88"/>
  <c r="K2985" i="88"/>
  <c r="K2984" i="88"/>
  <c r="K2983" i="88"/>
  <c r="K2982" i="88"/>
  <c r="K2981" i="88"/>
  <c r="K2980" i="88"/>
  <c r="K2979" i="88"/>
  <c r="K2978" i="88"/>
  <c r="K2977" i="88"/>
  <c r="K2976" i="88"/>
  <c r="K2975" i="88"/>
  <c r="K2974" i="88"/>
  <c r="K2973" i="88"/>
  <c r="K2972" i="88"/>
  <c r="K2971" i="88"/>
  <c r="K2970" i="88"/>
  <c r="K2969" i="88"/>
  <c r="K2968" i="88"/>
  <c r="K2967" i="88"/>
  <c r="K2966" i="88"/>
  <c r="K2965" i="88"/>
  <c r="K2964" i="88"/>
  <c r="K2963" i="88"/>
  <c r="K2962" i="88"/>
  <c r="K2961" i="88"/>
  <c r="K2960" i="88"/>
  <c r="K2959" i="88"/>
  <c r="K2958" i="88"/>
  <c r="K2957" i="88"/>
  <c r="K2956" i="88"/>
  <c r="K2955" i="88"/>
  <c r="K2954" i="88"/>
  <c r="K2953" i="88"/>
  <c r="K2952" i="88"/>
  <c r="K2951" i="88"/>
  <c r="K2950" i="88"/>
  <c r="K2949" i="88"/>
  <c r="K2948" i="88"/>
  <c r="K2947" i="88"/>
  <c r="K2946" i="88"/>
  <c r="K2945" i="88"/>
  <c r="K2944" i="88"/>
  <c r="K2943" i="88"/>
  <c r="K2942" i="88"/>
  <c r="K2941" i="88"/>
  <c r="K2940" i="88"/>
  <c r="K2939" i="88"/>
  <c r="K2938" i="88"/>
  <c r="K2937" i="88"/>
  <c r="K2936" i="88"/>
  <c r="K2935" i="88"/>
  <c r="K2934" i="88"/>
  <c r="K2933" i="88"/>
  <c r="K2932" i="88"/>
  <c r="K2931" i="88"/>
  <c r="K2930" i="88"/>
  <c r="K2929" i="88"/>
  <c r="K2928" i="88"/>
  <c r="K2927" i="88"/>
  <c r="K2926" i="88"/>
  <c r="K2925" i="88"/>
  <c r="K2924" i="88"/>
  <c r="K2923" i="88"/>
  <c r="K2922" i="88"/>
  <c r="K2921" i="88"/>
  <c r="K2920" i="88"/>
  <c r="K2919" i="88"/>
  <c r="K2918" i="88"/>
  <c r="K2917" i="88"/>
  <c r="K2916" i="88"/>
  <c r="K2915" i="88"/>
  <c r="K2914" i="88"/>
  <c r="K2913" i="88"/>
  <c r="K2912" i="88"/>
  <c r="K2911" i="88"/>
  <c r="K2910" i="88"/>
  <c r="K2909" i="88"/>
  <c r="K2908" i="88"/>
  <c r="K2907" i="88"/>
  <c r="K2906" i="88"/>
  <c r="K2905" i="88"/>
  <c r="K2904" i="88"/>
  <c r="K2903" i="88"/>
  <c r="K2902" i="88"/>
  <c r="K2901" i="88"/>
  <c r="K2900" i="88"/>
  <c r="K2899" i="88"/>
  <c r="K2898" i="88"/>
  <c r="K2897" i="88"/>
  <c r="K2896" i="88"/>
  <c r="K2895" i="88"/>
  <c r="K2894" i="88"/>
  <c r="K2893" i="88"/>
  <c r="K2892" i="88"/>
  <c r="K2891" i="88"/>
  <c r="K2890" i="88"/>
  <c r="K2889" i="88"/>
  <c r="K2888" i="88"/>
  <c r="K2887" i="88"/>
  <c r="K2886" i="88"/>
  <c r="K2885" i="88"/>
  <c r="K2884" i="88"/>
  <c r="K2883" i="88"/>
  <c r="K2882" i="88"/>
  <c r="K2881" i="88"/>
  <c r="K2880" i="88"/>
  <c r="K2879" i="88"/>
  <c r="K2878" i="88"/>
  <c r="K2877" i="88"/>
  <c r="K2876" i="88"/>
  <c r="K2875" i="88"/>
  <c r="K2874" i="88"/>
  <c r="K2873" i="88"/>
  <c r="K2872" i="88"/>
  <c r="K2871" i="88"/>
  <c r="K2870" i="88"/>
  <c r="K2869" i="88"/>
  <c r="K2868" i="88"/>
  <c r="K2867" i="88"/>
  <c r="K2866" i="88"/>
  <c r="K2865" i="88"/>
  <c r="K2864" i="88"/>
  <c r="K2863" i="88"/>
  <c r="K2862" i="88"/>
  <c r="K2861" i="88"/>
  <c r="K2860" i="88"/>
  <c r="K2859" i="88"/>
  <c r="K2858" i="88"/>
  <c r="K2857" i="88"/>
  <c r="K2856" i="88"/>
  <c r="K2855" i="88"/>
  <c r="K2854" i="88"/>
  <c r="K2853" i="88"/>
  <c r="K2852" i="88"/>
  <c r="K2851" i="88"/>
  <c r="K2850" i="88"/>
  <c r="K2849" i="88"/>
  <c r="K2848" i="88"/>
  <c r="K2847" i="88"/>
  <c r="K2846" i="88"/>
  <c r="K2845" i="88"/>
  <c r="K2844" i="88"/>
  <c r="K2843" i="88"/>
  <c r="K2842" i="88"/>
  <c r="K2841" i="88"/>
  <c r="K2840" i="88"/>
  <c r="K2839" i="88"/>
  <c r="K2838" i="88"/>
  <c r="K2837" i="88"/>
  <c r="K2836" i="88"/>
  <c r="K2835" i="88"/>
  <c r="K2834" i="88"/>
  <c r="K2833" i="88"/>
  <c r="K2832" i="88"/>
  <c r="K2831" i="88"/>
  <c r="K2830" i="88"/>
  <c r="K2829" i="88"/>
  <c r="K2828" i="88"/>
  <c r="K2827" i="88"/>
  <c r="K2826" i="88"/>
  <c r="K2825" i="88"/>
  <c r="K2824" i="88"/>
  <c r="K2823" i="88"/>
  <c r="K2822" i="88"/>
  <c r="K2821" i="88"/>
  <c r="K2820" i="88"/>
  <c r="K2819" i="88"/>
  <c r="K2818" i="88"/>
  <c r="K2817" i="88"/>
  <c r="K2816" i="88"/>
  <c r="K2815" i="88"/>
  <c r="K2814" i="88"/>
  <c r="K2813" i="88"/>
  <c r="K2812" i="88"/>
  <c r="K2811" i="88"/>
  <c r="K2810" i="88"/>
  <c r="K2809" i="88"/>
  <c r="K2808" i="88"/>
  <c r="K2807" i="88"/>
  <c r="K2806" i="88"/>
  <c r="K2805" i="88"/>
  <c r="K2804" i="88"/>
  <c r="K2803" i="88"/>
  <c r="K2802" i="88"/>
  <c r="K2801" i="88"/>
  <c r="K2800" i="88"/>
  <c r="K2799" i="88"/>
  <c r="K2798" i="88"/>
  <c r="K2797" i="88"/>
  <c r="K2796" i="88"/>
  <c r="K2795" i="88"/>
  <c r="K2794" i="88"/>
  <c r="K2793" i="88"/>
  <c r="K2792" i="88"/>
  <c r="K2791" i="88"/>
  <c r="K2790" i="88"/>
  <c r="K2789" i="88"/>
  <c r="K2788" i="88"/>
  <c r="K2787" i="88"/>
  <c r="K2786" i="88"/>
  <c r="K2785" i="88"/>
  <c r="K2784" i="88"/>
  <c r="K2783" i="88"/>
  <c r="K2782" i="88"/>
  <c r="K2781" i="88"/>
  <c r="K2780" i="88"/>
  <c r="K2779" i="88"/>
  <c r="K2778" i="88"/>
  <c r="K2777" i="88"/>
  <c r="K2776" i="88"/>
  <c r="K2775" i="88"/>
  <c r="K2774" i="88"/>
  <c r="K2773" i="88"/>
  <c r="K2772" i="88"/>
  <c r="K2771" i="88"/>
  <c r="K2770" i="88"/>
  <c r="K2769" i="88"/>
  <c r="K2768" i="88"/>
  <c r="K2767" i="88"/>
  <c r="K2766" i="88"/>
  <c r="K2765" i="88"/>
  <c r="K2764" i="88"/>
  <c r="K2763" i="88"/>
  <c r="K2762" i="88"/>
  <c r="K2761" i="88"/>
  <c r="K2760" i="88"/>
  <c r="K2759" i="88"/>
  <c r="K2758" i="88"/>
  <c r="K2757" i="88"/>
  <c r="K2756" i="88"/>
  <c r="K2755" i="88"/>
  <c r="K2754" i="88"/>
  <c r="K2753" i="88"/>
  <c r="K2752" i="88"/>
  <c r="K2751" i="88"/>
  <c r="K2750" i="88"/>
  <c r="K2749" i="88"/>
  <c r="K2748" i="88"/>
  <c r="K2747" i="88"/>
  <c r="K2746" i="88"/>
  <c r="K2745" i="88"/>
  <c r="K2744" i="88"/>
  <c r="K2743" i="88"/>
  <c r="K2742" i="88"/>
  <c r="K2741" i="88"/>
  <c r="K2740" i="88"/>
  <c r="K2739" i="88"/>
  <c r="K2738" i="88"/>
  <c r="K2737" i="88"/>
  <c r="K2736" i="88"/>
  <c r="K2735" i="88"/>
  <c r="K2734" i="88"/>
  <c r="K2733" i="88"/>
  <c r="K2732" i="88"/>
  <c r="K2731" i="88"/>
  <c r="K2730" i="88"/>
  <c r="K2729" i="88"/>
  <c r="K2728" i="88"/>
  <c r="K2727" i="88"/>
  <c r="K2726" i="88"/>
  <c r="K2725" i="88"/>
  <c r="K2724" i="88"/>
  <c r="K2723" i="88"/>
  <c r="K2722" i="88"/>
  <c r="K2721" i="88"/>
  <c r="K2720" i="88"/>
  <c r="K2719" i="88"/>
  <c r="K2718" i="88"/>
  <c r="K2717" i="88"/>
  <c r="K2716" i="88"/>
  <c r="K2715" i="88"/>
  <c r="K2714" i="88"/>
  <c r="K2713" i="88"/>
  <c r="K2712" i="88"/>
  <c r="K2711" i="88"/>
  <c r="K2710" i="88"/>
  <c r="K2709" i="88"/>
  <c r="K2708" i="88"/>
  <c r="K2707" i="88"/>
  <c r="K2706" i="88"/>
  <c r="K2705" i="88"/>
  <c r="K2704" i="88"/>
  <c r="K2703" i="88"/>
  <c r="K2702" i="88"/>
  <c r="K2701" i="88"/>
  <c r="K2700" i="88"/>
  <c r="K2699" i="88"/>
  <c r="K2698" i="88"/>
  <c r="K2697" i="88"/>
  <c r="K2696" i="88"/>
  <c r="K2695" i="88"/>
  <c r="K2694" i="88"/>
  <c r="K2693" i="88"/>
  <c r="K2692" i="88"/>
  <c r="K2691" i="88"/>
  <c r="K2690" i="88"/>
  <c r="K2689" i="88"/>
  <c r="K2688" i="88"/>
  <c r="K2687" i="88"/>
  <c r="K2686" i="88"/>
  <c r="K2685" i="88"/>
  <c r="K2684" i="88"/>
  <c r="K2683" i="88"/>
  <c r="K2682" i="88"/>
  <c r="K2681" i="88"/>
  <c r="K2680" i="88"/>
  <c r="K2679" i="88"/>
  <c r="K2678" i="88"/>
  <c r="K2677" i="88"/>
  <c r="K2676" i="88"/>
  <c r="K2675" i="88"/>
  <c r="K2674" i="88"/>
  <c r="K2673" i="88"/>
  <c r="K2672" i="88"/>
  <c r="K2671" i="88"/>
  <c r="K2670" i="88"/>
  <c r="K2669" i="88"/>
  <c r="K2668" i="88"/>
  <c r="K2667" i="88"/>
  <c r="K2666" i="88"/>
  <c r="K2665" i="88"/>
  <c r="K2664" i="88"/>
  <c r="K2663" i="88"/>
  <c r="K2662" i="88"/>
  <c r="K2661" i="88"/>
  <c r="K2660" i="88"/>
  <c r="K2659" i="88"/>
  <c r="K2658" i="88"/>
  <c r="K2657" i="88"/>
  <c r="K2656" i="88"/>
  <c r="K2655" i="88"/>
  <c r="K2654" i="88"/>
  <c r="K2653" i="88"/>
  <c r="K2652" i="88"/>
  <c r="K2651" i="88"/>
  <c r="K2650" i="88"/>
  <c r="K2649" i="88"/>
  <c r="K2648" i="88"/>
  <c r="K2647" i="88"/>
  <c r="K2646" i="88"/>
  <c r="K2645" i="88"/>
  <c r="K2644" i="88"/>
  <c r="K2643" i="88"/>
  <c r="K2642" i="88"/>
  <c r="K2641" i="88"/>
  <c r="K2640" i="88"/>
  <c r="K2639" i="88"/>
  <c r="K2638" i="88"/>
  <c r="K2637" i="88"/>
  <c r="K2636" i="88"/>
  <c r="K2635" i="88"/>
  <c r="K2634" i="88"/>
  <c r="K2633" i="88"/>
  <c r="K2632" i="88"/>
  <c r="K2631" i="88"/>
  <c r="K2630" i="88"/>
  <c r="K2629" i="88"/>
  <c r="K2628" i="88"/>
  <c r="K2627" i="88"/>
  <c r="K2626" i="88"/>
  <c r="K2625" i="88"/>
  <c r="K2624" i="88"/>
  <c r="K2623" i="88"/>
  <c r="K2622" i="88"/>
  <c r="K2621" i="88"/>
  <c r="K2620" i="88"/>
  <c r="K2619" i="88"/>
  <c r="K2618" i="88"/>
  <c r="K2617" i="88"/>
  <c r="K2616" i="88"/>
  <c r="K2615" i="88"/>
  <c r="K2614" i="88"/>
  <c r="K2613" i="88"/>
  <c r="K2612" i="88"/>
  <c r="K2611" i="88"/>
  <c r="K2610" i="88"/>
  <c r="K2609" i="88"/>
  <c r="K2608" i="88"/>
  <c r="K2607" i="88"/>
  <c r="K2606" i="88"/>
  <c r="K2605" i="88"/>
  <c r="K2604" i="88"/>
  <c r="K2603" i="88"/>
  <c r="K2602" i="88"/>
  <c r="K2601" i="88"/>
  <c r="K2600" i="88"/>
  <c r="K2599" i="88"/>
  <c r="K2598" i="88"/>
  <c r="K2597" i="88"/>
  <c r="K2596" i="88"/>
  <c r="K2595" i="88"/>
  <c r="K2594" i="88"/>
  <c r="K2593" i="88"/>
  <c r="K2592" i="88"/>
  <c r="K2591" i="88"/>
  <c r="K2590" i="88"/>
  <c r="K2589" i="88"/>
  <c r="K2588" i="88"/>
  <c r="K2587" i="88"/>
  <c r="K2586" i="88"/>
  <c r="K2585" i="88"/>
  <c r="K2584" i="88"/>
  <c r="K2583" i="88"/>
  <c r="K2582" i="88"/>
  <c r="K2581" i="88"/>
  <c r="K2580" i="88"/>
  <c r="K2579" i="88"/>
  <c r="K2578" i="88"/>
  <c r="K2577" i="88"/>
  <c r="K2576" i="88"/>
  <c r="K2575" i="88"/>
  <c r="K2574" i="88"/>
  <c r="K2573" i="88"/>
  <c r="K2572" i="88"/>
  <c r="K2571" i="88"/>
  <c r="K2570" i="88"/>
  <c r="K2569" i="88"/>
  <c r="K2568" i="88"/>
  <c r="K2567" i="88"/>
  <c r="K2566" i="88"/>
  <c r="K2565" i="88"/>
  <c r="K2564" i="88"/>
  <c r="K2563" i="88"/>
  <c r="K2562" i="88"/>
  <c r="K2561" i="88"/>
  <c r="K2560" i="88"/>
  <c r="K2559" i="88"/>
  <c r="K2558" i="88"/>
  <c r="K2557" i="88"/>
  <c r="K2556" i="88"/>
  <c r="K2555" i="88"/>
  <c r="K2554" i="88"/>
  <c r="K2553" i="88"/>
  <c r="K2552" i="88"/>
  <c r="K2551" i="88"/>
  <c r="K2550" i="88"/>
  <c r="K2549" i="88"/>
  <c r="K2548" i="88"/>
  <c r="K2547" i="88"/>
  <c r="K2546" i="88"/>
  <c r="K2545" i="88"/>
  <c r="K2544" i="88"/>
  <c r="K2543" i="88"/>
  <c r="K2542" i="88"/>
  <c r="K2541" i="88"/>
  <c r="K2540" i="88"/>
  <c r="K2539" i="88"/>
  <c r="K2538" i="88"/>
  <c r="K2537" i="88"/>
  <c r="K2536" i="88"/>
  <c r="K2535" i="88"/>
  <c r="K2534" i="88"/>
  <c r="K2533" i="88"/>
  <c r="K2532" i="88"/>
  <c r="K2531" i="88"/>
  <c r="K2530" i="88"/>
  <c r="K2529" i="88"/>
  <c r="K2528" i="88"/>
  <c r="K2527" i="88"/>
  <c r="K2526" i="88"/>
  <c r="K2525" i="88"/>
  <c r="K2524" i="88"/>
  <c r="K2523" i="88"/>
  <c r="K2522" i="88"/>
  <c r="K2521" i="88"/>
  <c r="K2520" i="88"/>
  <c r="K2519" i="88"/>
  <c r="K2518" i="88"/>
  <c r="K2517" i="88"/>
  <c r="K2516" i="88"/>
  <c r="K2515" i="88"/>
  <c r="K2514" i="88"/>
  <c r="K2513" i="88"/>
  <c r="K2512" i="88"/>
  <c r="K2511" i="88"/>
  <c r="K2510" i="88"/>
  <c r="K2509" i="88"/>
  <c r="K2508" i="88"/>
  <c r="K2507" i="88"/>
  <c r="K2506" i="88"/>
  <c r="K2505" i="88"/>
  <c r="K2504" i="88"/>
  <c r="K2503" i="88"/>
  <c r="K2502" i="88"/>
  <c r="K2501" i="88"/>
  <c r="K2500" i="88"/>
  <c r="K2499" i="88"/>
  <c r="K2498" i="88"/>
  <c r="K2497" i="88"/>
  <c r="K2496" i="88"/>
  <c r="K2495" i="88"/>
  <c r="K2494" i="88"/>
  <c r="K2493" i="88"/>
  <c r="K2492" i="88"/>
  <c r="K2491" i="88"/>
  <c r="K2490" i="88"/>
  <c r="K2489" i="88"/>
  <c r="K2488" i="88"/>
  <c r="K2487" i="88"/>
  <c r="K2486" i="88"/>
  <c r="K2485" i="88"/>
  <c r="K2484" i="88"/>
  <c r="K2483" i="88"/>
  <c r="K2482" i="88"/>
  <c r="K2481" i="88"/>
  <c r="K2480" i="88"/>
  <c r="K2479" i="88"/>
  <c r="K2478" i="88"/>
  <c r="K2477" i="88"/>
  <c r="K2476" i="88"/>
  <c r="K2475" i="88"/>
  <c r="K2474" i="88"/>
  <c r="K2473" i="88"/>
  <c r="K2472" i="88"/>
  <c r="K2471" i="88"/>
  <c r="K2470" i="88"/>
  <c r="K2469" i="88"/>
  <c r="K2468" i="88"/>
  <c r="K2467" i="88"/>
  <c r="K2466" i="88"/>
  <c r="K2465" i="88"/>
  <c r="K2464" i="88"/>
  <c r="K2463" i="88"/>
  <c r="K2462" i="88"/>
  <c r="K2461" i="88"/>
  <c r="K2460" i="88"/>
  <c r="K2459" i="88"/>
  <c r="K2458" i="88"/>
  <c r="K2457" i="88"/>
  <c r="K2456" i="88"/>
  <c r="K2455" i="88"/>
  <c r="K2454" i="88"/>
  <c r="K2453" i="88"/>
  <c r="K2452" i="88"/>
  <c r="K2451" i="88"/>
  <c r="K2450" i="88"/>
  <c r="K2449" i="88"/>
  <c r="K2448" i="88"/>
  <c r="K2447" i="88"/>
  <c r="K2446" i="88"/>
  <c r="K2445" i="88"/>
  <c r="K2444" i="88"/>
  <c r="K2443" i="88"/>
  <c r="K2442" i="88"/>
  <c r="K2441" i="88"/>
  <c r="K2440" i="88"/>
  <c r="K2439" i="88"/>
  <c r="K2438" i="88"/>
  <c r="K2437" i="88"/>
  <c r="K2436" i="88"/>
  <c r="K2435" i="88"/>
  <c r="K2434" i="88"/>
  <c r="K2433" i="88"/>
  <c r="K2432" i="88"/>
  <c r="K2431" i="88"/>
  <c r="K2430" i="88"/>
  <c r="K2429" i="88"/>
  <c r="K2428" i="88"/>
  <c r="K2427" i="88"/>
  <c r="K2426" i="88"/>
  <c r="K2425" i="88"/>
  <c r="K2424" i="88"/>
  <c r="K2423" i="88"/>
  <c r="K2422" i="88"/>
  <c r="K2421" i="88"/>
  <c r="K2420" i="88"/>
  <c r="K2419" i="88"/>
  <c r="K2418" i="88"/>
  <c r="K2417" i="88"/>
  <c r="K2416" i="88"/>
  <c r="K2415" i="88"/>
  <c r="K2414" i="88"/>
  <c r="K2413" i="88"/>
  <c r="K2412" i="88"/>
  <c r="K2411" i="88"/>
  <c r="K2410" i="88"/>
  <c r="K2409" i="88"/>
  <c r="K2408" i="88"/>
  <c r="K2407" i="88"/>
  <c r="K2406" i="88"/>
  <c r="K2405" i="88"/>
  <c r="K2404" i="88"/>
  <c r="K2403" i="88"/>
  <c r="K2402" i="88"/>
  <c r="K2401" i="88"/>
  <c r="K2400" i="88"/>
  <c r="K2399" i="88"/>
  <c r="K2398" i="88"/>
  <c r="K2397" i="88"/>
  <c r="K2396" i="88"/>
  <c r="K2395" i="88"/>
  <c r="K2394" i="88"/>
  <c r="K2393" i="88"/>
  <c r="K2392" i="88"/>
  <c r="K2391" i="88"/>
  <c r="K2390" i="88"/>
  <c r="K2389" i="88"/>
  <c r="K2388" i="88"/>
  <c r="K2387" i="88"/>
  <c r="K2386" i="88"/>
  <c r="K2385" i="88"/>
  <c r="K2384" i="88"/>
  <c r="K2383" i="88"/>
  <c r="K2382" i="88"/>
  <c r="K2381" i="88"/>
  <c r="K2380" i="88"/>
  <c r="K2379" i="88"/>
  <c r="K2378" i="88"/>
  <c r="K2377" i="88"/>
  <c r="K2376" i="88"/>
  <c r="K2375" i="88"/>
  <c r="K2374" i="88"/>
  <c r="K2373" i="88"/>
  <c r="K2372" i="88"/>
  <c r="K2371" i="88"/>
  <c r="K2370" i="88"/>
  <c r="K2369" i="88"/>
  <c r="K2368" i="88"/>
  <c r="K2367" i="88"/>
  <c r="K2366" i="88"/>
  <c r="K2365" i="88"/>
  <c r="K2364" i="88"/>
  <c r="K2363" i="88"/>
  <c r="K2362" i="88"/>
  <c r="K2361" i="88"/>
  <c r="K2360" i="88"/>
  <c r="K2359" i="88"/>
  <c r="K2358" i="88"/>
  <c r="K2357" i="88"/>
  <c r="K2356" i="88"/>
  <c r="K2355" i="88"/>
  <c r="K2354" i="88"/>
  <c r="K2353" i="88"/>
  <c r="K2352" i="88"/>
  <c r="K2351" i="88"/>
  <c r="K2350" i="88"/>
  <c r="K2349" i="88"/>
  <c r="K2348" i="88"/>
  <c r="K2347" i="88"/>
  <c r="K2346" i="88"/>
  <c r="K2345" i="88"/>
  <c r="K2344" i="88"/>
  <c r="K2343" i="88"/>
  <c r="K2342" i="88"/>
  <c r="K2341" i="88"/>
  <c r="K2340" i="88"/>
  <c r="K2339" i="88"/>
  <c r="K2338" i="88"/>
  <c r="K2337" i="88"/>
  <c r="K2336" i="88"/>
  <c r="K2335" i="88"/>
  <c r="K2334" i="88"/>
  <c r="K2333" i="88"/>
  <c r="K2332" i="88"/>
  <c r="K2331" i="88"/>
  <c r="K2330" i="88"/>
  <c r="K2329" i="88"/>
  <c r="K2328" i="88"/>
  <c r="K2327" i="88"/>
  <c r="K2326" i="88"/>
  <c r="K2325" i="88"/>
  <c r="K2324" i="88"/>
  <c r="K2323" i="88"/>
  <c r="K2322" i="88"/>
  <c r="K2321" i="88"/>
  <c r="K2320" i="88"/>
  <c r="K2319" i="88"/>
  <c r="K2318" i="88"/>
  <c r="K2317" i="88"/>
  <c r="K2316" i="88"/>
  <c r="K2315" i="88"/>
  <c r="K2314" i="88"/>
  <c r="K2313" i="88"/>
  <c r="K2312" i="88"/>
  <c r="K2311" i="88"/>
  <c r="K2310" i="88"/>
  <c r="K2309" i="88"/>
  <c r="K2308" i="88"/>
  <c r="K2307" i="88"/>
  <c r="K2306" i="88"/>
  <c r="K2305" i="88"/>
  <c r="K2304" i="88"/>
  <c r="K2303" i="88"/>
  <c r="K2302" i="88"/>
  <c r="K2301" i="88"/>
  <c r="K2300" i="88"/>
  <c r="K2299" i="88"/>
  <c r="K2298" i="88"/>
  <c r="K2297" i="88"/>
  <c r="K2296" i="88"/>
  <c r="K2295" i="88"/>
  <c r="K2294" i="88"/>
  <c r="K2293" i="88"/>
  <c r="K2292" i="88"/>
  <c r="K2291" i="88"/>
  <c r="K2290" i="88"/>
  <c r="K2289" i="88"/>
  <c r="K2288" i="88"/>
  <c r="K2287" i="88"/>
  <c r="K2286" i="88"/>
  <c r="K2285" i="88"/>
  <c r="K2284" i="88"/>
  <c r="K2283" i="88"/>
  <c r="K2282" i="88"/>
  <c r="K2281" i="88"/>
  <c r="K2280" i="88"/>
  <c r="K2279" i="88"/>
  <c r="K2278" i="88"/>
  <c r="K2277" i="88"/>
  <c r="K2276" i="88"/>
  <c r="K2275" i="88"/>
  <c r="K2274" i="88"/>
  <c r="K2273" i="88"/>
  <c r="K2272" i="88"/>
  <c r="K2271" i="88"/>
  <c r="K2270" i="88"/>
  <c r="K2269" i="88"/>
  <c r="K2268" i="88"/>
  <c r="K2267" i="88"/>
  <c r="K2266" i="88"/>
  <c r="K2265" i="88"/>
  <c r="K2264" i="88"/>
  <c r="K2263" i="88"/>
  <c r="K2262" i="88"/>
  <c r="K2261" i="88"/>
  <c r="K2260" i="88"/>
  <c r="K2259" i="88"/>
  <c r="K2258" i="88"/>
  <c r="K2257" i="88"/>
  <c r="K2256" i="88"/>
  <c r="K2255" i="88"/>
  <c r="K2254" i="88"/>
  <c r="K2253" i="88"/>
  <c r="K2252" i="88"/>
  <c r="K2251" i="88"/>
  <c r="K2250" i="88"/>
  <c r="K2249" i="88"/>
  <c r="K2248" i="88"/>
  <c r="K2247" i="88"/>
  <c r="K2246" i="88"/>
  <c r="K2245" i="88"/>
  <c r="K2244" i="88"/>
  <c r="K2243" i="88"/>
  <c r="K2242" i="88"/>
  <c r="K2241" i="88"/>
  <c r="K2240" i="88"/>
  <c r="K2239" i="88"/>
  <c r="K2238" i="88"/>
  <c r="K2237" i="88"/>
  <c r="K2236" i="88"/>
  <c r="K2235" i="88"/>
  <c r="K2234" i="88"/>
  <c r="K2233" i="88"/>
  <c r="K2232" i="88"/>
  <c r="K2231" i="88"/>
  <c r="K2230" i="88"/>
  <c r="K2229" i="88"/>
  <c r="K2228" i="88"/>
  <c r="K2227" i="88"/>
  <c r="K2226" i="88"/>
  <c r="K2225" i="88"/>
  <c r="K2224" i="88"/>
  <c r="K2223" i="88"/>
  <c r="K2222" i="88"/>
  <c r="K2221" i="88"/>
  <c r="K2220" i="88"/>
  <c r="K2219" i="88"/>
  <c r="K2218" i="88"/>
  <c r="K2217" i="88"/>
  <c r="K2216" i="88"/>
  <c r="K2215" i="88"/>
  <c r="K2214" i="88"/>
  <c r="K2213" i="88"/>
  <c r="K2212" i="88"/>
  <c r="K2211" i="88"/>
  <c r="K2210" i="88"/>
  <c r="K2209" i="88"/>
  <c r="K2208" i="88"/>
  <c r="K2207" i="88"/>
  <c r="K2206" i="88"/>
  <c r="K2205" i="88"/>
  <c r="K2204" i="88"/>
  <c r="K2203" i="88"/>
  <c r="K2202" i="88"/>
  <c r="K2201" i="88"/>
  <c r="K2200" i="88"/>
  <c r="K2199" i="88"/>
  <c r="K2198" i="88"/>
  <c r="K2197" i="88"/>
  <c r="K2196" i="88"/>
  <c r="K2195" i="88"/>
  <c r="K2194" i="88"/>
  <c r="K2193" i="88"/>
  <c r="K2192" i="88"/>
  <c r="K2191" i="88"/>
  <c r="K2190" i="88"/>
  <c r="K2189" i="88"/>
  <c r="K2188" i="88"/>
  <c r="K2187" i="88"/>
  <c r="K2186" i="88"/>
  <c r="K2185" i="88"/>
  <c r="K2184" i="88"/>
  <c r="K2183" i="88"/>
  <c r="K2182" i="88"/>
  <c r="K2181" i="88"/>
  <c r="K2180" i="88"/>
  <c r="K2179" i="88"/>
  <c r="K2178" i="88"/>
  <c r="K2177" i="88"/>
  <c r="K2176" i="88"/>
  <c r="K2175" i="88"/>
  <c r="K2174" i="88"/>
  <c r="K2173" i="88"/>
  <c r="K2172" i="88"/>
  <c r="K2171" i="88"/>
  <c r="K2170" i="88"/>
  <c r="K2169" i="88"/>
  <c r="K2168" i="88"/>
  <c r="K2167" i="88"/>
  <c r="K2166" i="88"/>
  <c r="K2165" i="88"/>
  <c r="K2164" i="88"/>
  <c r="K2163" i="88"/>
  <c r="K2162" i="88"/>
  <c r="K2161" i="88"/>
  <c r="K2160" i="88"/>
  <c r="K2159" i="88"/>
  <c r="K2158" i="88"/>
  <c r="K2157" i="88"/>
  <c r="K2156" i="88"/>
  <c r="K2155" i="88"/>
  <c r="K2154" i="88"/>
  <c r="K2153" i="88"/>
  <c r="K2152" i="88"/>
  <c r="K2151" i="88"/>
  <c r="K2150" i="88"/>
  <c r="K2149" i="88"/>
  <c r="K2148" i="88"/>
  <c r="K2147" i="88"/>
  <c r="K2146" i="88"/>
  <c r="K2145" i="88"/>
  <c r="K2144" i="88"/>
  <c r="K2143" i="88"/>
  <c r="K2142" i="88"/>
  <c r="K2141" i="88"/>
  <c r="K2140" i="88"/>
  <c r="K2139" i="88"/>
  <c r="K2138" i="88"/>
  <c r="K2137" i="88"/>
  <c r="K2136" i="88"/>
  <c r="K2135" i="88"/>
  <c r="K2134" i="88"/>
  <c r="K2133" i="88"/>
  <c r="K2132" i="88"/>
  <c r="K2131" i="88"/>
  <c r="K2130" i="88"/>
  <c r="K2129" i="88"/>
  <c r="K2128" i="88"/>
  <c r="K2127" i="88"/>
  <c r="K2126" i="88"/>
  <c r="K2125" i="88"/>
  <c r="K2124" i="88"/>
  <c r="K2123" i="88"/>
  <c r="K2122" i="88"/>
  <c r="K2121" i="88"/>
  <c r="K2120" i="88"/>
  <c r="K2119" i="88"/>
  <c r="K2118" i="88"/>
  <c r="K2117" i="88"/>
  <c r="K2116" i="88"/>
  <c r="K2115" i="88"/>
  <c r="K2114" i="88"/>
  <c r="K2113" i="88"/>
  <c r="K2112" i="88"/>
  <c r="K2111" i="88"/>
  <c r="K2110" i="88"/>
  <c r="K2109" i="88"/>
  <c r="K2108" i="88"/>
  <c r="K2107" i="88"/>
  <c r="K2106" i="88"/>
  <c r="K2105" i="88"/>
  <c r="K2104" i="88"/>
  <c r="K2103" i="88"/>
  <c r="K2102" i="88"/>
  <c r="K2101" i="88"/>
  <c r="K2100" i="88"/>
  <c r="K2099" i="88"/>
  <c r="K2098" i="88"/>
  <c r="K2097" i="88"/>
  <c r="K2096" i="88"/>
  <c r="K2095" i="88"/>
  <c r="K2094" i="88"/>
  <c r="K2093" i="88"/>
  <c r="K2092" i="88"/>
  <c r="K2091" i="88"/>
  <c r="K2090" i="88"/>
  <c r="K2089" i="88"/>
  <c r="K2088" i="88"/>
  <c r="K2087" i="88"/>
  <c r="K2086" i="88"/>
  <c r="K2085" i="88"/>
  <c r="K2084" i="88"/>
  <c r="K2083" i="88"/>
  <c r="K2082" i="88"/>
  <c r="K2081" i="88"/>
  <c r="K2080" i="88"/>
  <c r="K2079" i="88"/>
  <c r="K2078" i="88"/>
  <c r="K2077" i="88"/>
  <c r="K2076" i="88"/>
  <c r="K2075" i="88"/>
  <c r="K2074" i="88"/>
  <c r="K2073" i="88"/>
  <c r="K2072" i="88"/>
  <c r="K2071" i="88"/>
  <c r="K2070" i="88"/>
  <c r="K2069" i="88"/>
  <c r="K2068" i="88"/>
  <c r="K2067" i="88"/>
  <c r="K2066" i="88"/>
  <c r="K2065" i="88"/>
  <c r="K2064" i="88"/>
  <c r="K2063" i="88"/>
  <c r="K2062" i="88"/>
  <c r="K2061" i="88"/>
  <c r="K2060" i="88"/>
  <c r="K2059" i="88"/>
  <c r="K2058" i="88"/>
  <c r="K2057" i="88"/>
  <c r="K2056" i="88"/>
  <c r="K2055" i="88"/>
  <c r="K2054" i="88"/>
  <c r="K2053" i="88"/>
  <c r="K2052" i="88"/>
  <c r="K2051" i="88"/>
  <c r="K2050" i="88"/>
  <c r="K2049" i="88"/>
  <c r="K2048" i="88"/>
  <c r="K2047" i="88"/>
  <c r="K2046" i="88"/>
  <c r="K2045" i="88"/>
  <c r="K2044" i="88"/>
  <c r="K2043" i="88"/>
  <c r="K2042" i="88"/>
  <c r="K2041" i="88"/>
  <c r="K2040" i="88"/>
  <c r="K2039" i="88"/>
  <c r="K2038" i="88"/>
  <c r="K2037" i="88"/>
  <c r="K2036" i="88"/>
  <c r="K2035" i="88"/>
  <c r="K2034" i="88"/>
  <c r="K2033" i="88"/>
  <c r="K2032" i="88"/>
  <c r="K2031" i="88"/>
  <c r="K2030" i="88"/>
  <c r="K2029" i="88"/>
  <c r="K2028" i="88"/>
  <c r="K2027" i="88"/>
  <c r="K2026" i="88"/>
  <c r="K2025" i="88"/>
  <c r="K2024" i="88"/>
  <c r="K2023" i="88"/>
  <c r="K2022" i="88"/>
  <c r="K2021" i="88"/>
  <c r="K2020" i="88"/>
  <c r="K2019" i="88"/>
  <c r="K2018" i="88"/>
  <c r="K2017" i="88"/>
  <c r="K2016" i="88"/>
  <c r="K2015" i="88"/>
  <c r="K2014" i="88"/>
  <c r="K2013" i="88"/>
  <c r="K2012" i="88"/>
  <c r="K2011" i="88"/>
  <c r="K2010" i="88"/>
  <c r="K2009" i="88"/>
  <c r="K2008" i="88"/>
  <c r="K2007" i="88"/>
  <c r="K2006" i="88"/>
  <c r="K2005" i="88"/>
  <c r="K2004" i="88"/>
  <c r="K2003" i="88"/>
  <c r="K2002" i="88"/>
  <c r="K2001" i="88"/>
  <c r="K2000" i="88"/>
  <c r="K1999" i="88"/>
  <c r="K1998" i="88"/>
  <c r="K1997" i="88"/>
  <c r="K1996" i="88"/>
  <c r="K1995" i="88"/>
  <c r="K1994" i="88"/>
  <c r="K1993" i="88"/>
  <c r="K1992" i="88"/>
  <c r="K1991" i="88"/>
  <c r="K1990" i="88"/>
  <c r="K1989" i="88"/>
  <c r="K1988" i="88"/>
  <c r="K1987" i="88"/>
  <c r="K1986" i="88"/>
  <c r="K1985" i="88"/>
  <c r="K1984" i="88"/>
  <c r="K1983" i="88"/>
  <c r="K1982" i="88"/>
  <c r="K1981" i="88"/>
  <c r="K1980" i="88"/>
  <c r="K1979" i="88"/>
  <c r="K1978" i="88"/>
  <c r="K1977" i="88"/>
  <c r="K1976" i="88"/>
  <c r="K1975" i="88"/>
  <c r="K1974" i="88"/>
  <c r="K1973" i="88"/>
  <c r="K1972" i="88"/>
  <c r="K1971" i="88"/>
  <c r="K1970" i="88"/>
  <c r="K1969" i="88"/>
  <c r="K1968" i="88"/>
  <c r="K1967" i="88"/>
  <c r="K1966" i="88"/>
  <c r="K1965" i="88"/>
  <c r="K1964" i="88"/>
  <c r="K1963" i="88"/>
  <c r="K1962" i="88"/>
  <c r="K1961" i="88"/>
  <c r="K1960" i="88"/>
  <c r="K1959" i="88"/>
  <c r="K1958" i="88"/>
  <c r="K1957" i="88"/>
  <c r="K1956" i="88"/>
  <c r="K1955" i="88"/>
  <c r="K1954" i="88"/>
  <c r="K1953" i="88"/>
  <c r="K1952" i="88"/>
  <c r="K1951" i="88"/>
  <c r="K1950" i="88"/>
  <c r="K1949" i="88"/>
  <c r="K1948" i="88"/>
  <c r="K1947" i="88"/>
  <c r="K1946" i="88"/>
  <c r="K1945" i="88"/>
  <c r="K1944" i="88"/>
  <c r="K1943" i="88"/>
  <c r="K1942" i="88"/>
  <c r="K1941" i="88"/>
  <c r="K1940" i="88"/>
  <c r="K1939" i="88"/>
  <c r="K1938" i="88"/>
  <c r="K1937" i="88"/>
  <c r="K1936" i="88"/>
  <c r="K1935" i="88"/>
  <c r="K1934" i="88"/>
  <c r="K1933" i="88"/>
  <c r="K1932" i="88"/>
  <c r="K1931" i="88"/>
  <c r="K1930" i="88"/>
  <c r="K1929" i="88"/>
  <c r="K1928" i="88"/>
  <c r="K1927" i="88"/>
  <c r="K1926" i="88"/>
  <c r="K1925" i="88"/>
  <c r="K1924" i="88"/>
  <c r="K1923" i="88"/>
  <c r="K1922" i="88"/>
  <c r="K1921" i="88"/>
  <c r="K1920" i="88"/>
  <c r="K1919" i="88"/>
  <c r="K1918" i="88"/>
  <c r="K1917" i="88"/>
  <c r="K1916" i="88"/>
  <c r="K1915" i="88"/>
  <c r="K1914" i="88"/>
  <c r="K1913" i="88"/>
  <c r="K1912" i="88"/>
  <c r="K1911" i="88"/>
  <c r="K1910" i="88"/>
  <c r="K1909" i="88"/>
  <c r="K1908" i="88"/>
  <c r="K1907" i="88"/>
  <c r="K1906" i="88"/>
  <c r="K1905" i="88"/>
  <c r="K1904" i="88"/>
  <c r="K1903" i="88"/>
  <c r="K1902" i="88"/>
  <c r="K1901" i="88"/>
  <c r="K1900" i="88"/>
  <c r="K1899" i="88"/>
  <c r="K1898" i="88"/>
  <c r="K1897" i="88"/>
  <c r="K1896" i="88"/>
  <c r="K1895" i="88"/>
  <c r="K1894" i="88"/>
  <c r="K1893" i="88"/>
  <c r="K1892" i="88"/>
  <c r="K1891" i="88"/>
  <c r="K1890" i="88"/>
  <c r="K1889" i="88"/>
  <c r="K1888" i="88"/>
  <c r="K1887" i="88"/>
  <c r="K1886" i="88"/>
  <c r="K1885" i="88"/>
  <c r="K1884" i="88"/>
  <c r="K1883" i="88"/>
  <c r="K1882" i="88"/>
  <c r="K1881" i="88"/>
  <c r="K1880" i="88"/>
  <c r="K1879" i="88"/>
  <c r="K1878" i="88"/>
  <c r="K1877" i="88"/>
  <c r="K1876" i="88"/>
  <c r="K1875" i="88"/>
  <c r="K1874" i="88"/>
  <c r="K1873" i="88"/>
  <c r="K1872" i="88"/>
  <c r="K1871" i="88"/>
  <c r="K1870" i="88"/>
  <c r="K1869" i="88"/>
  <c r="K1868" i="88"/>
  <c r="K1867" i="88"/>
  <c r="K1866" i="88"/>
  <c r="K1865" i="88"/>
  <c r="K1864" i="88"/>
  <c r="K1863" i="88"/>
  <c r="K1862" i="88"/>
  <c r="K1861" i="88"/>
  <c r="K1860" i="88"/>
  <c r="K1859" i="88"/>
  <c r="K1858" i="88"/>
  <c r="K1857" i="88"/>
  <c r="K1856" i="88"/>
  <c r="K1855" i="88"/>
  <c r="K1854" i="88"/>
  <c r="K1853" i="88"/>
  <c r="K1852" i="88"/>
  <c r="K1851" i="88"/>
  <c r="K1850" i="88"/>
  <c r="K1849" i="88"/>
  <c r="K1848" i="88"/>
  <c r="K1847" i="88"/>
  <c r="K1846" i="88"/>
  <c r="K1845" i="88"/>
  <c r="K1844" i="88"/>
  <c r="K1843" i="88"/>
  <c r="K1842" i="88"/>
  <c r="K1841" i="88"/>
  <c r="K1840" i="88"/>
  <c r="K1839" i="88"/>
  <c r="K1838" i="88"/>
  <c r="K1837" i="88"/>
  <c r="K1836" i="88"/>
  <c r="K1835" i="88"/>
  <c r="K1834" i="88"/>
  <c r="K1833" i="88"/>
  <c r="K1832" i="88"/>
  <c r="K1831" i="88"/>
  <c r="K1830" i="88"/>
  <c r="K1829" i="88"/>
  <c r="K1828" i="88"/>
  <c r="K1827" i="88"/>
  <c r="K1826" i="88"/>
  <c r="K1825" i="88"/>
  <c r="K1824" i="88"/>
  <c r="K1823" i="88"/>
  <c r="K1822" i="88"/>
  <c r="K1821" i="88"/>
  <c r="K1820" i="88"/>
  <c r="K1819" i="88"/>
  <c r="K1818" i="88"/>
  <c r="K1817" i="88"/>
  <c r="K1816" i="88"/>
  <c r="K1815" i="88"/>
  <c r="K1814" i="88"/>
  <c r="K1813" i="88"/>
  <c r="K1812" i="88"/>
  <c r="K1811" i="88"/>
  <c r="K1810" i="88"/>
  <c r="K1809" i="88"/>
  <c r="K1808" i="88"/>
  <c r="K1807" i="88"/>
  <c r="K1806" i="88"/>
  <c r="K1805" i="88"/>
  <c r="K1804" i="88"/>
  <c r="K1803" i="88"/>
  <c r="K1802" i="88"/>
  <c r="K1801" i="88"/>
  <c r="K1800" i="88"/>
  <c r="K1799" i="88"/>
  <c r="K1798" i="88"/>
  <c r="K1797" i="88"/>
  <c r="K1796" i="88"/>
  <c r="K1795" i="88"/>
  <c r="K1794" i="88"/>
  <c r="K1793" i="88"/>
  <c r="K1792" i="88"/>
  <c r="K1791" i="88"/>
  <c r="K1790" i="88"/>
  <c r="K1789" i="88"/>
  <c r="K1788" i="88"/>
  <c r="K1787" i="88"/>
  <c r="K1786" i="88"/>
  <c r="K1785" i="88"/>
  <c r="K1784" i="88"/>
  <c r="K1783" i="88"/>
  <c r="K1782" i="88"/>
  <c r="K1781" i="88"/>
  <c r="K1780" i="88"/>
  <c r="K1779" i="88"/>
  <c r="K1778" i="88"/>
  <c r="K1777" i="88"/>
  <c r="K1776" i="88"/>
  <c r="K1775" i="88"/>
  <c r="K1774" i="88"/>
  <c r="K1773" i="88"/>
  <c r="K1772" i="88"/>
  <c r="K1771" i="88"/>
  <c r="K1770" i="88"/>
  <c r="K1769" i="88"/>
  <c r="K1768" i="88"/>
  <c r="K1767" i="88"/>
  <c r="K1766" i="88"/>
  <c r="K1765" i="88"/>
  <c r="K1764" i="88"/>
  <c r="K1763" i="88"/>
  <c r="K1762" i="88"/>
  <c r="K1761" i="88"/>
  <c r="K1760" i="88"/>
  <c r="K1759" i="88"/>
  <c r="K1758" i="88"/>
  <c r="K1757" i="88"/>
  <c r="K1756" i="88"/>
  <c r="K1755" i="88"/>
  <c r="K1754" i="88"/>
  <c r="K1753" i="88"/>
  <c r="K1752" i="88"/>
  <c r="K1751" i="88"/>
  <c r="K1750" i="88"/>
  <c r="K1749" i="88"/>
  <c r="K1748" i="88"/>
  <c r="K1747" i="88"/>
  <c r="K1746" i="88"/>
  <c r="K1745" i="88"/>
  <c r="K1744" i="88"/>
  <c r="K1743" i="88"/>
  <c r="K1742" i="88"/>
  <c r="K1741" i="88"/>
  <c r="K1740" i="88"/>
  <c r="K1739" i="88"/>
  <c r="K1738" i="88"/>
  <c r="K1737" i="88"/>
  <c r="K1736" i="88"/>
  <c r="K1735" i="88"/>
  <c r="K1734" i="88"/>
  <c r="K1733" i="88"/>
  <c r="K1732" i="88"/>
  <c r="K1731" i="88"/>
  <c r="K1730" i="88"/>
  <c r="K1729" i="88"/>
  <c r="K1728" i="88"/>
  <c r="K1727" i="88"/>
  <c r="K1726" i="88"/>
  <c r="K1725" i="88"/>
  <c r="K1724" i="88"/>
  <c r="K1723" i="88"/>
  <c r="K1722" i="88"/>
  <c r="K1721" i="88"/>
  <c r="K1720" i="88"/>
  <c r="K1719" i="88"/>
  <c r="K1718" i="88"/>
  <c r="K1717" i="88"/>
  <c r="K1716" i="88"/>
  <c r="K1715" i="88"/>
  <c r="K1714" i="88"/>
  <c r="K1713" i="88"/>
  <c r="K1712" i="88"/>
  <c r="K1711" i="88"/>
  <c r="K1710" i="88"/>
  <c r="K1709" i="88"/>
  <c r="K1708" i="88"/>
  <c r="K1707" i="88"/>
  <c r="K1706" i="88"/>
  <c r="K1705" i="88"/>
  <c r="K1704" i="88"/>
  <c r="K1703" i="88"/>
  <c r="K1702" i="88"/>
  <c r="K1701" i="88"/>
  <c r="K1700" i="88"/>
  <c r="K1699" i="88"/>
  <c r="K1698" i="88"/>
  <c r="K1697" i="88"/>
  <c r="K1696" i="88"/>
  <c r="K1695" i="88"/>
  <c r="K1694" i="88"/>
  <c r="K1693" i="88"/>
  <c r="K1692" i="88"/>
  <c r="K1691" i="88"/>
  <c r="K1690" i="88"/>
  <c r="K1689" i="88"/>
  <c r="K1688" i="88"/>
  <c r="K1687" i="88"/>
  <c r="K1686" i="88"/>
  <c r="K1685" i="88"/>
  <c r="K1684" i="88"/>
  <c r="K1683" i="88"/>
  <c r="K1682" i="88"/>
  <c r="K1681" i="88"/>
  <c r="K1680" i="88"/>
  <c r="K1679" i="88"/>
  <c r="K1678" i="88"/>
  <c r="K1677" i="88"/>
  <c r="K1676" i="88"/>
  <c r="K1675" i="88"/>
  <c r="K1674" i="88"/>
  <c r="K1673" i="88"/>
  <c r="K1672" i="88"/>
  <c r="K1671" i="88"/>
  <c r="K1670" i="88"/>
  <c r="K1669" i="88"/>
  <c r="K1668" i="88"/>
  <c r="K1667" i="88"/>
  <c r="E2" i="79"/>
  <c r="U51" i="85"/>
  <c r="F51" i="85" s="1"/>
  <c r="T51" i="85"/>
  <c r="S51" i="85" s="1"/>
  <c r="R51" i="85"/>
  <c r="M51" i="85"/>
  <c r="E51" i="85"/>
  <c r="C51" i="85"/>
  <c r="U50" i="85"/>
  <c r="T50" i="85" s="1"/>
  <c r="S50" i="85"/>
  <c r="R50" i="85"/>
  <c r="M50" i="85"/>
  <c r="F50" i="85"/>
  <c r="E50" i="85"/>
  <c r="C50" i="85"/>
  <c r="U49" i="85"/>
  <c r="T49" i="85"/>
  <c r="S49" i="85"/>
  <c r="R49" i="85"/>
  <c r="M49" i="85"/>
  <c r="F49" i="85"/>
  <c r="E49" i="85"/>
  <c r="C49" i="85"/>
  <c r="U48" i="85"/>
  <c r="T48" i="85" s="1"/>
  <c r="S48" i="85"/>
  <c r="R48" i="85"/>
  <c r="M48" i="85"/>
  <c r="E48" i="85"/>
  <c r="C48" i="85"/>
  <c r="U47" i="85"/>
  <c r="F47" i="85" s="1"/>
  <c r="T47" i="85"/>
  <c r="S47" i="85" s="1"/>
  <c r="R47" i="85"/>
  <c r="M47" i="85"/>
  <c r="E47" i="85"/>
  <c r="C47" i="85"/>
  <c r="U46" i="85"/>
  <c r="T46" i="85" s="1"/>
  <c r="S46" i="85"/>
  <c r="R46" i="85"/>
  <c r="M46" i="85"/>
  <c r="F46" i="85"/>
  <c r="E46" i="85"/>
  <c r="C46" i="85"/>
  <c r="U45" i="85"/>
  <c r="T45" i="85"/>
  <c r="S45" i="85"/>
  <c r="R45" i="85"/>
  <c r="M45" i="85"/>
  <c r="F45" i="85"/>
  <c r="E45" i="85"/>
  <c r="C45" i="85"/>
  <c r="U44" i="85"/>
  <c r="T44" i="85" s="1"/>
  <c r="S44" i="85"/>
  <c r="R44" i="85"/>
  <c r="M44" i="85"/>
  <c r="E44" i="85"/>
  <c r="C44" i="85"/>
  <c r="U43" i="85"/>
  <c r="F43" i="85" s="1"/>
  <c r="T43" i="85"/>
  <c r="S43" i="85" s="1"/>
  <c r="R43" i="85"/>
  <c r="M43" i="85"/>
  <c r="I43" i="85"/>
  <c r="I44" i="85" s="1"/>
  <c r="I45" i="85" s="1"/>
  <c r="I46" i="85" s="1"/>
  <c r="I47" i="85" s="1"/>
  <c r="I48" i="85" s="1"/>
  <c r="I49" i="85" s="1"/>
  <c r="I50" i="85" s="1"/>
  <c r="I51" i="85" s="1"/>
  <c r="E43" i="85"/>
  <c r="C43" i="85"/>
  <c r="U42" i="85"/>
  <c r="T42" i="85" s="1"/>
  <c r="S42" i="85"/>
  <c r="R42" i="85"/>
  <c r="M42" i="85"/>
  <c r="F42" i="85"/>
  <c r="E42" i="85"/>
  <c r="C42" i="85"/>
  <c r="U41" i="85"/>
  <c r="T41" i="85"/>
  <c r="S41" i="85"/>
  <c r="R41" i="85"/>
  <c r="M41" i="85"/>
  <c r="I41" i="85"/>
  <c r="I42" i="85" s="1"/>
  <c r="F41" i="85"/>
  <c r="E41" i="85"/>
  <c r="C41" i="85"/>
  <c r="U40" i="85"/>
  <c r="T40" i="85" s="1"/>
  <c r="S40" i="85"/>
  <c r="R40" i="85"/>
  <c r="M40" i="85"/>
  <c r="I40" i="85"/>
  <c r="F40" i="85"/>
  <c r="E40" i="85"/>
  <c r="C40" i="85"/>
  <c r="T39" i="85"/>
  <c r="S39" i="85" s="1"/>
  <c r="R39" i="85"/>
  <c r="M39" i="85"/>
  <c r="F39" i="85"/>
  <c r="E39" i="85"/>
  <c r="C39" i="85"/>
  <c r="T38" i="85"/>
  <c r="S38" i="85" s="1"/>
  <c r="R38" i="85"/>
  <c r="M38" i="85"/>
  <c r="F38" i="85"/>
  <c r="E38" i="85"/>
  <c r="C38" i="85"/>
  <c r="T37" i="85"/>
  <c r="S37" i="85" s="1"/>
  <c r="R37" i="85"/>
  <c r="M37" i="85"/>
  <c r="F37" i="85"/>
  <c r="E37" i="85"/>
  <c r="C37" i="85"/>
  <c r="T36" i="85"/>
  <c r="S36" i="85" s="1"/>
  <c r="R36" i="85"/>
  <c r="M36" i="85"/>
  <c r="F36" i="85"/>
  <c r="E36" i="85"/>
  <c r="D36" i="85"/>
  <c r="D37" i="85" s="1"/>
  <c r="D38" i="85" s="1"/>
  <c r="D39" i="85" s="1"/>
  <c r="D40" i="85" s="1"/>
  <c r="D41" i="85" s="1"/>
  <c r="D42" i="85" s="1"/>
  <c r="D43" i="85" s="1"/>
  <c r="D44" i="85" s="1"/>
  <c r="D45" i="85" s="1"/>
  <c r="D46" i="85" s="1"/>
  <c r="D47" i="85" s="1"/>
  <c r="D48" i="85" s="1"/>
  <c r="D49" i="85" s="1"/>
  <c r="D50" i="85" s="1"/>
  <c r="D51" i="85" s="1"/>
  <c r="C36" i="85"/>
  <c r="T35" i="85"/>
  <c r="S35" i="85" s="1"/>
  <c r="F35" i="85"/>
  <c r="C35" i="85"/>
  <c r="U34" i="85"/>
  <c r="F34" i="85" s="1"/>
  <c r="T34" i="85"/>
  <c r="S34" i="85"/>
  <c r="R34" i="85"/>
  <c r="M34" i="85"/>
  <c r="E34" i="85"/>
  <c r="C34" i="85"/>
  <c r="T33" i="85"/>
  <c r="U33" i="85" s="1"/>
  <c r="F33" i="85" s="1"/>
  <c r="R33" i="85"/>
  <c r="M33" i="85"/>
  <c r="E33" i="85"/>
  <c r="T32" i="85"/>
  <c r="U32" i="85" s="1"/>
  <c r="S32" i="85"/>
  <c r="R32" i="85"/>
  <c r="F32" i="85"/>
  <c r="E32" i="85"/>
  <c r="T31" i="85"/>
  <c r="S31" i="85" s="1"/>
  <c r="R31" i="85"/>
  <c r="M31" i="85"/>
  <c r="E31" i="85"/>
  <c r="T30" i="85"/>
  <c r="U30" i="85" s="1"/>
  <c r="F30" i="85" s="1"/>
  <c r="S30" i="85"/>
  <c r="R30" i="85"/>
  <c r="M30" i="85"/>
  <c r="E30" i="85"/>
  <c r="T29" i="85"/>
  <c r="U29" i="85" s="1"/>
  <c r="F29" i="85" s="1"/>
  <c r="S29" i="85"/>
  <c r="R29" i="85"/>
  <c r="M29" i="85"/>
  <c r="E29" i="85"/>
  <c r="T28" i="85"/>
  <c r="U28" i="85" s="1"/>
  <c r="F28" i="85" s="1"/>
  <c r="S28" i="85"/>
  <c r="R28" i="85"/>
  <c r="E28" i="85"/>
  <c r="T27" i="85"/>
  <c r="S27" i="85" s="1"/>
  <c r="R27" i="85"/>
  <c r="M27" i="85"/>
  <c r="E27" i="85"/>
  <c r="T26" i="85"/>
  <c r="U26" i="85" s="1"/>
  <c r="F26" i="85" s="1"/>
  <c r="S26" i="85"/>
  <c r="R26" i="85"/>
  <c r="E26" i="85"/>
  <c r="U25" i="85"/>
  <c r="F25" i="85" s="1"/>
  <c r="T25" i="85"/>
  <c r="S25" i="85"/>
  <c r="R25" i="85"/>
  <c r="M25" i="85"/>
  <c r="E25" i="85"/>
  <c r="T24" i="85"/>
  <c r="S24" i="85" s="1"/>
  <c r="R24" i="85"/>
  <c r="M24" i="85"/>
  <c r="E24" i="85"/>
  <c r="T23" i="85"/>
  <c r="U23" i="85" s="1"/>
  <c r="F23" i="85" s="1"/>
  <c r="S23" i="85"/>
  <c r="R23" i="85"/>
  <c r="M23" i="85"/>
  <c r="E23" i="85"/>
  <c r="T22" i="85"/>
  <c r="U22" i="85" s="1"/>
  <c r="F22" i="85" s="1"/>
  <c r="S22" i="85"/>
  <c r="R22" i="85"/>
  <c r="M22" i="85"/>
  <c r="E22" i="85"/>
  <c r="U21" i="85"/>
  <c r="F21" i="85" s="1"/>
  <c r="T21" i="85"/>
  <c r="S21" i="85"/>
  <c r="R21" i="85"/>
  <c r="M21" i="85"/>
  <c r="E21" i="85"/>
  <c r="T20" i="85"/>
  <c r="R20" i="85"/>
  <c r="M20" i="85"/>
  <c r="E20" i="85"/>
  <c r="T19" i="85"/>
  <c r="U19" i="85" s="1"/>
  <c r="F19" i="85" s="1"/>
  <c r="S19" i="85"/>
  <c r="R19" i="85"/>
  <c r="M19" i="85"/>
  <c r="E19" i="85"/>
  <c r="T18" i="85"/>
  <c r="U18" i="85" s="1"/>
  <c r="F18" i="85" s="1"/>
  <c r="S18" i="85"/>
  <c r="R18" i="85"/>
  <c r="E18" i="85"/>
  <c r="T17" i="85"/>
  <c r="R17" i="85"/>
  <c r="M17" i="85"/>
  <c r="K17" i="85"/>
  <c r="K18" i="85" s="1"/>
  <c r="K19" i="85" s="1"/>
  <c r="K20" i="85" s="1"/>
  <c r="K21" i="85" s="1"/>
  <c r="K22" i="85" s="1"/>
  <c r="K23" i="85" s="1"/>
  <c r="K24" i="85" s="1"/>
  <c r="K25" i="85" s="1"/>
  <c r="K26" i="85" s="1"/>
  <c r="K27" i="85" s="1"/>
  <c r="K28" i="85" s="1"/>
  <c r="K29" i="85" s="1"/>
  <c r="K30" i="85" s="1"/>
  <c r="K31" i="85" s="1"/>
  <c r="K32" i="85" s="1"/>
  <c r="K33" i="85" s="1"/>
  <c r="K34" i="85" s="1"/>
  <c r="E17" i="85"/>
  <c r="T16" i="85"/>
  <c r="U16" i="85" s="1"/>
  <c r="F16" i="85" s="1"/>
  <c r="S16" i="85"/>
  <c r="R16" i="85"/>
  <c r="M16" i="85"/>
  <c r="K16" i="85"/>
  <c r="E16" i="85"/>
  <c r="T15" i="85"/>
  <c r="U15" i="85" s="1"/>
  <c r="F15" i="85" s="1"/>
  <c r="S15" i="85"/>
  <c r="R15" i="85"/>
  <c r="M15" i="85"/>
  <c r="H15" i="85"/>
  <c r="H16" i="85" s="1"/>
  <c r="H17" i="85" s="1"/>
  <c r="H18" i="85" s="1"/>
  <c r="H19" i="85" s="1"/>
  <c r="H20" i="85" s="1"/>
  <c r="H21" i="85" s="1"/>
  <c r="H22" i="85" s="1"/>
  <c r="H23" i="85" s="1"/>
  <c r="H24" i="85" s="1"/>
  <c r="H25" i="85" s="1"/>
  <c r="H26" i="85" s="1"/>
  <c r="H27" i="85" s="1"/>
  <c r="H28" i="85" s="1"/>
  <c r="H29" i="85" s="1"/>
  <c r="H30" i="85" s="1"/>
  <c r="H31" i="85" s="1"/>
  <c r="H32" i="85" s="1"/>
  <c r="H33" i="85" s="1"/>
  <c r="H34" i="85" s="1"/>
  <c r="E15" i="85"/>
  <c r="T14" i="85"/>
  <c r="R14" i="85"/>
  <c r="K14" i="85"/>
  <c r="I14" i="85"/>
  <c r="I15" i="85" s="1"/>
  <c r="I16" i="85" s="1"/>
  <c r="I17" i="85" s="1"/>
  <c r="I18" i="85" s="1"/>
  <c r="I19" i="85" s="1"/>
  <c r="I20" i="85" s="1"/>
  <c r="I21" i="85" s="1"/>
  <c r="I22" i="85" s="1"/>
  <c r="I23" i="85" s="1"/>
  <c r="I24" i="85" s="1"/>
  <c r="I25" i="85" s="1"/>
  <c r="I26" i="85" s="1"/>
  <c r="I27" i="85" s="1"/>
  <c r="I28" i="85" s="1"/>
  <c r="I29" i="85" s="1"/>
  <c r="I30" i="85" s="1"/>
  <c r="I31" i="85" s="1"/>
  <c r="I32" i="85" s="1"/>
  <c r="I33" i="85" s="1"/>
  <c r="I34" i="85" s="1"/>
  <c r="H14" i="85"/>
  <c r="E14" i="85"/>
  <c r="T13" i="85"/>
  <c r="U13" i="85" s="1"/>
  <c r="F13" i="85" s="1"/>
  <c r="S13" i="85"/>
  <c r="R13" i="85"/>
  <c r="M13" i="85"/>
  <c r="E13" i="85"/>
  <c r="T12" i="85"/>
  <c r="U12" i="85" s="1"/>
  <c r="F12" i="85" s="1"/>
  <c r="S12" i="85"/>
  <c r="R12" i="85"/>
  <c r="E12" i="85"/>
  <c r="U11" i="85"/>
  <c r="F11" i="85" s="1"/>
  <c r="T11" i="85"/>
  <c r="S11" i="85"/>
  <c r="R11" i="85"/>
  <c r="M11" i="85"/>
  <c r="E11" i="85"/>
  <c r="U10" i="85"/>
  <c r="F10" i="85" s="1"/>
  <c r="T10" i="85"/>
  <c r="S10" i="85"/>
  <c r="R10" i="85"/>
  <c r="M10" i="85"/>
  <c r="E10" i="85"/>
  <c r="U9" i="85"/>
  <c r="F9" i="85" s="1"/>
  <c r="T9" i="85"/>
  <c r="S9" i="85"/>
  <c r="R9" i="85"/>
  <c r="M9" i="85"/>
  <c r="E9" i="85"/>
  <c r="U8" i="85"/>
  <c r="F8" i="85" s="1"/>
  <c r="T8" i="85"/>
  <c r="S8" i="85"/>
  <c r="R8" i="85"/>
  <c r="M8" i="85"/>
  <c r="E8" i="85"/>
  <c r="U7" i="85"/>
  <c r="F7" i="85" s="1"/>
  <c r="T7" i="85"/>
  <c r="S7" i="85"/>
  <c r="R7" i="85"/>
  <c r="M7" i="85"/>
  <c r="E7" i="85"/>
  <c r="T6" i="85"/>
  <c r="S6" i="85" s="1"/>
  <c r="R6" i="85"/>
  <c r="M6" i="85"/>
  <c r="F6" i="85"/>
  <c r="E6" i="85"/>
  <c r="T5" i="85"/>
  <c r="S5" i="85"/>
  <c r="R5" i="85"/>
  <c r="M5" i="85"/>
  <c r="F5" i="85"/>
  <c r="E5" i="85"/>
  <c r="T4" i="85"/>
  <c r="S4" i="85"/>
  <c r="R4" i="85"/>
  <c r="M4" i="85"/>
  <c r="F4" i="85"/>
  <c r="E4" i="85"/>
  <c r="D4" i="85"/>
  <c r="D5" i="85" s="1"/>
  <c r="D6" i="85" s="1"/>
  <c r="D7" i="85" s="1"/>
  <c r="D8" i="85" s="1"/>
  <c r="D9" i="85" s="1"/>
  <c r="D10" i="85" s="1"/>
  <c r="D11" i="85" s="1"/>
  <c r="D12" i="85" s="1"/>
  <c r="D13" i="85" s="1"/>
  <c r="D14" i="85" s="1"/>
  <c r="D15" i="85" s="1"/>
  <c r="D16" i="85" s="1"/>
  <c r="D17" i="85" s="1"/>
  <c r="D18" i="85" s="1"/>
  <c r="D19" i="85" s="1"/>
  <c r="D20" i="85" s="1"/>
  <c r="D21" i="85" s="1"/>
  <c r="D22" i="85" s="1"/>
  <c r="D23" i="85" s="1"/>
  <c r="D24" i="85" s="1"/>
  <c r="D25" i="85" s="1"/>
  <c r="D26" i="85" s="1"/>
  <c r="D27" i="85" s="1"/>
  <c r="D28" i="85" s="1"/>
  <c r="D29" i="85" s="1"/>
  <c r="D30" i="85" s="1"/>
  <c r="D31" i="85" s="1"/>
  <c r="D32" i="85" s="1"/>
  <c r="D33" i="85" s="1"/>
  <c r="D34" i="85" s="1"/>
  <c r="T3" i="85"/>
  <c r="S3" i="85"/>
  <c r="R3" i="85"/>
  <c r="M3" i="85"/>
  <c r="F3" i="85"/>
  <c r="E3" i="85"/>
  <c r="D3" i="85"/>
  <c r="T2" i="85"/>
  <c r="S2" i="85" s="1"/>
  <c r="F2" i="85"/>
  <c r="U20" i="85" l="1"/>
  <c r="F20" i="85" s="1"/>
  <c r="S20" i="85"/>
  <c r="S14" i="85"/>
  <c r="U14" i="85"/>
  <c r="F14" i="85" s="1"/>
  <c r="U17" i="85"/>
  <c r="F17" i="85" s="1"/>
  <c r="S17" i="85"/>
  <c r="U24" i="85"/>
  <c r="F24" i="85" s="1"/>
  <c r="U27" i="85"/>
  <c r="F27" i="85" s="1"/>
  <c r="F44" i="85"/>
  <c r="U31" i="85"/>
  <c r="F31" i="85" s="1"/>
  <c r="S33" i="85"/>
  <c r="F48" i="85"/>
  <c r="T2" i="16"/>
  <c r="T3" i="16"/>
  <c r="T4" i="16"/>
  <c r="A157" i="94" l="1"/>
  <c r="A223" i="9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C1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39D4DE3A-5831-44EA-A2D4-F7D35DD01C65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43D3F7C6-D0CA-40CA-BA18-F82549F5FE7C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38E062D1-C0AC-4AA8-B9B4-92E6FF0D43DC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71BCAD39-D383-4C03-B86A-CF0124C97322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C1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C1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sharedStrings.xml><?xml version="1.0" encoding="utf-8"?>
<sst xmlns="http://schemas.openxmlformats.org/spreadsheetml/2006/main" count="3393" uniqueCount="878">
  <si>
    <t>Directory</t>
  </si>
  <si>
    <t>Term</t>
  </si>
  <si>
    <t>JEN</t>
  </si>
  <si>
    <t>Book</t>
  </si>
  <si>
    <t>3M</t>
  </si>
  <si>
    <t>ZAR</t>
  </si>
  <si>
    <t>DealType</t>
  </si>
  <si>
    <t>Call</t>
  </si>
  <si>
    <t>Fixed</t>
  </si>
  <si>
    <t>LIBOR</t>
  </si>
  <si>
    <t>Key</t>
  </si>
  <si>
    <t>MsgID</t>
  </si>
  <si>
    <t>ExecType</t>
  </si>
  <si>
    <t>TradeDate</t>
  </si>
  <si>
    <t>ExtRefNo</t>
  </si>
  <si>
    <t>ABC1234</t>
  </si>
  <si>
    <t>ExternalCustomer</t>
  </si>
  <si>
    <t>ABCLON</t>
  </si>
  <si>
    <t>Direction</t>
  </si>
  <si>
    <t>LOAN</t>
  </si>
  <si>
    <t>Payment</t>
  </si>
  <si>
    <t>abc1</t>
  </si>
  <si>
    <t>Rate</t>
  </si>
  <si>
    <t>DealtCurrency</t>
  </si>
  <si>
    <t>DealtAmount</t>
  </si>
  <si>
    <t>BkA</t>
  </si>
  <si>
    <t>ValueDate</t>
  </si>
  <si>
    <t>2008-05-21</t>
  </si>
  <si>
    <t>2008-05-23</t>
  </si>
  <si>
    <t>MaturityDate</t>
  </si>
  <si>
    <t>2009-05-23</t>
  </si>
  <si>
    <t>InterestFrequency</t>
  </si>
  <si>
    <t>InterestRateType</t>
  </si>
  <si>
    <t>FloatingRateMargin</t>
  </si>
  <si>
    <t>InterestAction</t>
  </si>
  <si>
    <t>InterestDates</t>
  </si>
  <si>
    <t>2</t>
  </si>
  <si>
    <t>InterestRates</t>
  </si>
  <si>
    <t>InterestAmortisations</t>
  </si>
  <si>
    <t>Notes</t>
  </si>
  <si>
    <t>Hello</t>
  </si>
  <si>
    <t>ABC1235</t>
  </si>
  <si>
    <t>InterestDate</t>
  </si>
  <si>
    <t>2008-08-25</t>
  </si>
  <si>
    <t>2008-11-24</t>
  </si>
  <si>
    <t>2009-02-21</t>
  </si>
  <si>
    <t>2009-05-25</t>
  </si>
  <si>
    <t>InterestRate</t>
  </si>
  <si>
    <t>3.5</t>
  </si>
  <si>
    <t>DEPO</t>
  </si>
  <si>
    <t>ABC1236</t>
  </si>
  <si>
    <t>ABC1237</t>
  </si>
  <si>
    <t>ABC1238</t>
  </si>
  <si>
    <t>Spot</t>
  </si>
  <si>
    <t>AgainstCurrency</t>
  </si>
  <si>
    <t>GBP</t>
  </si>
  <si>
    <t>USD</t>
  </si>
  <si>
    <t>EUR</t>
  </si>
  <si>
    <t>TRY</t>
  </si>
  <si>
    <t>NOK</t>
  </si>
  <si>
    <t>CAD</t>
  </si>
  <si>
    <t>JPY</t>
  </si>
  <si>
    <t>3641053-1458747975-56</t>
  </si>
  <si>
    <t>AUD</t>
  </si>
  <si>
    <t>NZD</t>
  </si>
  <si>
    <t>RUB</t>
  </si>
  <si>
    <t>BRL</t>
  </si>
  <si>
    <t>AED</t>
  </si>
  <si>
    <t>DKK</t>
  </si>
  <si>
    <t>SEK</t>
  </si>
  <si>
    <t>AZN</t>
  </si>
  <si>
    <t>END POINT</t>
  </si>
  <si>
    <t>BUY</t>
  </si>
  <si>
    <t>Row Labels</t>
  </si>
  <si>
    <t>(blank)</t>
  </si>
  <si>
    <t>Grand Total</t>
  </si>
  <si>
    <t>1M</t>
  </si>
  <si>
    <t>N</t>
  </si>
  <si>
    <t>Account</t>
  </si>
  <si>
    <t>ParentExtRefNo</t>
  </si>
  <si>
    <t>Adjustment</t>
  </si>
  <si>
    <t>RedefaultValues</t>
  </si>
  <si>
    <t>Account Amendment</t>
  </si>
  <si>
    <t>APD/B-DUTYX</t>
  </si>
  <si>
    <t>Portfolio</t>
  </si>
  <si>
    <t>APD/B-dutyx/22-05-18/16:30</t>
  </si>
  <si>
    <t>7180522163002335</t>
  </si>
  <si>
    <t>APD/B-dutyx/24-05-18/09:30</t>
  </si>
  <si>
    <t>1180522093002336</t>
  </si>
  <si>
    <t>APD/B-dutyx/24-05-18/12:45</t>
  </si>
  <si>
    <t>2180522124502337</t>
  </si>
  <si>
    <t>APD/B-dutyx/25-05-18/12:45</t>
  </si>
  <si>
    <t>2180522124502344</t>
  </si>
  <si>
    <t>APD/B-dutyx/28-05-18/09:30</t>
  </si>
  <si>
    <t>1180522093002350</t>
  </si>
  <si>
    <t>APD/B-dutyx/28-05-18/12:45</t>
  </si>
  <si>
    <t>2180522124502351</t>
  </si>
  <si>
    <t>APD/B-dutyx/31-05-18/12:45</t>
  </si>
  <si>
    <t>2180522124502358</t>
  </si>
  <si>
    <t>APD/B-dutyx/01-06-18/09:30</t>
  </si>
  <si>
    <t>1180522093002364</t>
  </si>
  <si>
    <t>APD/B-dutyx/05-06-18/12:45</t>
  </si>
  <si>
    <t>2180522124502379</t>
  </si>
  <si>
    <t>APD/B-dutyx/05-06-18/14:15</t>
  </si>
  <si>
    <t>3180522141502380</t>
  </si>
  <si>
    <t>APD/B-dutyx/05-06-18/15:40</t>
  </si>
  <si>
    <t>5180522154002382</t>
  </si>
  <si>
    <t>APD/B-dutyx/06-06-18/09:30</t>
  </si>
  <si>
    <t>1180522093002385</t>
  </si>
  <si>
    <t>APD/B-dutyx/11-06-18/12:45</t>
  </si>
  <si>
    <t>2180522124502393</t>
  </si>
  <si>
    <t>APD/B-dutyx/12-06-18/12:45</t>
  </si>
  <si>
    <t>2180522124502400</t>
  </si>
  <si>
    <t>APD/B-dutyx/12-06-18/14:15</t>
  </si>
  <si>
    <t>3180522141502401</t>
  </si>
  <si>
    <t>APD/B-dutyx/13-06-18/12:45</t>
  </si>
  <si>
    <t>2180522124502407</t>
  </si>
  <si>
    <t>APD/B-dutyx/14-06-18/12:45</t>
  </si>
  <si>
    <t>2180522124502414</t>
  </si>
  <si>
    <t>APD/B-dutyx/14-06-18/14:15</t>
  </si>
  <si>
    <t>3180522141502415</t>
  </si>
  <si>
    <t>APD/B-dutyx/15-06-18/12:45</t>
  </si>
  <si>
    <t>2180522124502421</t>
  </si>
  <si>
    <t>APD/B-dutyx/20-06-18/09:30</t>
  </si>
  <si>
    <t>1180522093002427</t>
  </si>
  <si>
    <t>APD/B-dutyx/20-06-18/14:15</t>
  </si>
  <si>
    <t>3180522141502429</t>
  </si>
  <si>
    <t>APD/B-dutyx/20-06-18/15:15</t>
  </si>
  <si>
    <t>4180522151502430</t>
  </si>
  <si>
    <t>APD/B-dutyx/21-06-18/12:45</t>
  </si>
  <si>
    <t>2180522124502435</t>
  </si>
  <si>
    <t>APD/B-dutyx/22-06-18/12:45</t>
  </si>
  <si>
    <t>2180522124502442</t>
  </si>
  <si>
    <t>APD/B-dutyx/25-06-18/09:30</t>
  </si>
  <si>
    <t>1180522093002448</t>
  </si>
  <si>
    <t>APD/B-dutyx/25-06-18/15:40</t>
  </si>
  <si>
    <t>5180522154002452</t>
  </si>
  <si>
    <t>APD/B-dutyx/26-06-18/09:30</t>
  </si>
  <si>
    <t>1180522093002455</t>
  </si>
  <si>
    <t>APD/B-dutyx/26-06-18/15:15</t>
  </si>
  <si>
    <t>4180522151502458</t>
  </si>
  <si>
    <t>APD/B-dutyx/26-06-18/15:40</t>
  </si>
  <si>
    <t>5180522154002459</t>
  </si>
  <si>
    <t>APD/B-dutyx/29-06-18/09:30</t>
  </si>
  <si>
    <t>1180522093002462</t>
  </si>
  <si>
    <t>APD/B-dutyx/29-06-18/12:45</t>
  </si>
  <si>
    <t>2180522124502463</t>
  </si>
  <si>
    <t>APD/B-dutyx/02-07-18/09:30</t>
  </si>
  <si>
    <t>1180522093002469</t>
  </si>
  <si>
    <t>APD/B-dutyx/03-07-18/12:45</t>
  </si>
  <si>
    <t>2180522124502477</t>
  </si>
  <si>
    <t>APD/B-dutyx/04-07-18/09:30</t>
  </si>
  <si>
    <t>1180522093002483</t>
  </si>
  <si>
    <t>APD/B-dutyx/05-07-18/09:30</t>
  </si>
  <si>
    <t>1180522093002490</t>
  </si>
  <si>
    <t>APD/B-dutyx/12-07-18/12:45</t>
  </si>
  <si>
    <t>2180522124502498</t>
  </si>
  <si>
    <t>APD/B-dutyx/13-07-18/12:45</t>
  </si>
  <si>
    <t>2180522124502505</t>
  </si>
  <si>
    <t>APD/B-dutyx/16-07-18/12:45</t>
  </si>
  <si>
    <t>2180522124502512</t>
  </si>
  <si>
    <t>APD/B-dutyx/16-07-18/14:15</t>
  </si>
  <si>
    <t>3180522141502513</t>
  </si>
  <si>
    <t>APD/B-dutyx/19-07-18/12:45</t>
  </si>
  <si>
    <t>2180522124502519</t>
  </si>
  <si>
    <t>APD/B-dutyx/23-07-18/12:45</t>
  </si>
  <si>
    <t>2180522124502526</t>
  </si>
  <si>
    <t>APD/B-dutyx/24-07-18/12:45</t>
  </si>
  <si>
    <t>2180522124502533</t>
  </si>
  <si>
    <t>APD/B-dutyx/24-07-18/14:15</t>
  </si>
  <si>
    <t>3180522141502534</t>
  </si>
  <si>
    <t>APD/B-dutyx/24-07-18/15:15</t>
  </si>
  <si>
    <t>4180522151502535</t>
  </si>
  <si>
    <t>APD/B-dutyx/25-07-18/16:05</t>
  </si>
  <si>
    <t>6180522160502544</t>
  </si>
  <si>
    <t>APD/B-dutyx/30-07-18/15:15</t>
  </si>
  <si>
    <t>4180522151502549</t>
  </si>
  <si>
    <t>APD/B-dutyx/31-07-18/12:45</t>
  </si>
  <si>
    <t>2180522124502554</t>
  </si>
  <si>
    <t>APD/B-dutyx/01-08-18/12:45</t>
  </si>
  <si>
    <t>2180522124502561</t>
  </si>
  <si>
    <t>APD/B-dutyx/02-08-18/12:45</t>
  </si>
  <si>
    <t>2180522124502568</t>
  </si>
  <si>
    <t>APD/B-dutyx/03-08-18/09:30</t>
  </si>
  <si>
    <t>1180522093002574</t>
  </si>
  <si>
    <t>APD/B-dutyx/03-08-18/15:15</t>
  </si>
  <si>
    <t>4180522151502577</t>
  </si>
  <si>
    <t>APD/B-dutyx/03-08-18/15:40</t>
  </si>
  <si>
    <t>5180522154002578</t>
  </si>
  <si>
    <t>APD/B-dutyx/03-08-18/16:05</t>
  </si>
  <si>
    <t>6180522160502579</t>
  </si>
  <si>
    <t>APD/B-dutyx/08-08-18/09:30</t>
  </si>
  <si>
    <t>1180522093002581</t>
  </si>
  <si>
    <t>APD/B-dutyx/09-08-18/09:30</t>
  </si>
  <si>
    <t>1180522093002588</t>
  </si>
  <si>
    <t>APD/B-dutyx/09-08-18/12:45</t>
  </si>
  <si>
    <t>2180522124502589</t>
  </si>
  <si>
    <t>APD/B-dutyx/09-08-18/14:15</t>
  </si>
  <si>
    <t>3180522141502590</t>
  </si>
  <si>
    <t>APD/B-dutyx/10-08-18/09:30</t>
  </si>
  <si>
    <t>1180522093002595</t>
  </si>
  <si>
    <t>APD/B-dutyx/13-08-18/12:45</t>
  </si>
  <si>
    <t>2180522124502603</t>
  </si>
  <si>
    <t>APD/B-dutyx/14-08-18/09:30</t>
  </si>
  <si>
    <t>1180522093002609</t>
  </si>
  <si>
    <t>APD/B-dutyx/14-08-18/12:45</t>
  </si>
  <si>
    <t>2180522124502610</t>
  </si>
  <si>
    <t>APD/B-dutyx/21-08-18/12:45</t>
  </si>
  <si>
    <t>2180522124502617</t>
  </si>
  <si>
    <t>APD/B-dutyx/28-08-18/12:45</t>
  </si>
  <si>
    <t>2180522124502624</t>
  </si>
  <si>
    <t>APD/B-dutyx/29-08-18/12:45</t>
  </si>
  <si>
    <t>2180522124502631</t>
  </si>
  <si>
    <t>APD/B-dutyx/31-08-18/12:45</t>
  </si>
  <si>
    <t>2180522124502645</t>
  </si>
  <si>
    <t>APD/B-dutyx/31-08-18/15:40</t>
  </si>
  <si>
    <t>5180522154002648</t>
  </si>
  <si>
    <t>APD/B-dutyx/03-09-18/12:45</t>
  </si>
  <si>
    <t>2180522124502652</t>
  </si>
  <si>
    <t>APD/B-dutyx/10-09-18/12:45</t>
  </si>
  <si>
    <t>2180522124502659</t>
  </si>
  <si>
    <t>APD/B-dutyx/11-09-18/12:45</t>
  </si>
  <si>
    <t>2180522124502666</t>
  </si>
  <si>
    <t>APD/B-dutyx/12-09-18/09:30</t>
  </si>
  <si>
    <t>1180522093002672</t>
  </si>
  <si>
    <t>APD/B-dutyx/12-09-18/15:15</t>
  </si>
  <si>
    <t>4180522151502675</t>
  </si>
  <si>
    <t>APD/B-dutyx/17-09-18/09:30</t>
  </si>
  <si>
    <t>1180522093002679</t>
  </si>
  <si>
    <t>APD/B-dutyx/17-09-18/15:15</t>
  </si>
  <si>
    <t>4180522151502682</t>
  </si>
  <si>
    <t>APD/B-dutyx/17-09-18/15:40</t>
  </si>
  <si>
    <t>5180522154002683</t>
  </si>
  <si>
    <t>APD/B-dutyx/17-09-18/16:05</t>
  </si>
  <si>
    <t>6180522160502684</t>
  </si>
  <si>
    <t>APD/B-dutyx/18-09-18/09:30</t>
  </si>
  <si>
    <t>1180522093002686</t>
  </si>
  <si>
    <t>APD/B-dutyx/18-09-18/12:45</t>
  </si>
  <si>
    <t>2180522124502687</t>
  </si>
  <si>
    <t>APD/B-dutyx/19-09-18/12:45</t>
  </si>
  <si>
    <t>2180522124502694</t>
  </si>
  <si>
    <t>APD/B-dutyx/28-09-18/09:30</t>
  </si>
  <si>
    <t>1180522093002707</t>
  </si>
  <si>
    <t>APD/B-dutyx/01-10-18/12:45</t>
  </si>
  <si>
    <t>2180522124502715</t>
  </si>
  <si>
    <t>APD/B-dutyx/09-10-18/12:45</t>
  </si>
  <si>
    <t>2180522124502722</t>
  </si>
  <si>
    <t>APD/B-dutyx/11-10-18/14:15</t>
  </si>
  <si>
    <t>3180522141502730</t>
  </si>
  <si>
    <t>APD/B-dutyx/16-10-18/12:45</t>
  </si>
  <si>
    <t>2180522124502736</t>
  </si>
  <si>
    <t>APD/B-dutyx/18-10-18/12:45</t>
  </si>
  <si>
    <t>2180522124502743</t>
  </si>
  <si>
    <t>APD/B-dutyx/18-10-18/14:15</t>
  </si>
  <si>
    <t>3180522141502744</t>
  </si>
  <si>
    <t>APD/B-dutyx/18-10-18/15:15</t>
  </si>
  <si>
    <t>4180522151502745</t>
  </si>
  <si>
    <t>APD/B-dutyx/19-10-18/12:45</t>
  </si>
  <si>
    <t>2180522124502750</t>
  </si>
  <si>
    <t>APD/B-dutyx/29-10-18/09:30</t>
  </si>
  <si>
    <t>1180522093002756</t>
  </si>
  <si>
    <t>AccountName</t>
  </si>
  <si>
    <t>AccountNumber</t>
  </si>
  <si>
    <t>ACCOUNTS</t>
  </si>
  <si>
    <t>FIRSTDIR-EXT</t>
  </si>
  <si>
    <t>SANTANDE-EXT</t>
  </si>
  <si>
    <t>SMILE-EXT</t>
  </si>
  <si>
    <t>NATIONWI-EXT</t>
  </si>
  <si>
    <t>THECOOP-EXT</t>
  </si>
  <si>
    <t>HALIFAX -EXT</t>
  </si>
  <si>
    <t>TSB -EXT</t>
  </si>
  <si>
    <t>BANKOFSC-EXT</t>
  </si>
  <si>
    <t>YORKSHIR-EXT</t>
  </si>
  <si>
    <t>LLOYDSBA-EXT</t>
  </si>
  <si>
    <t>HSBC -EXT</t>
  </si>
  <si>
    <t>RECON</t>
  </si>
  <si>
    <t>Adjustments/B-adj/14-01-10/17:00 (prev)</t>
  </si>
  <si>
    <t>0180524170000002</t>
  </si>
  <si>
    <t>Adjustments/A-adj/03-03-10/17:00 (prev)</t>
  </si>
  <si>
    <t>0180524170000003</t>
  </si>
  <si>
    <t>Adjustments/B-adj/15-03-10/17:00 (prev)</t>
  </si>
  <si>
    <t>0180524170000004</t>
  </si>
  <si>
    <t>Adjustments/A-adj/19-03-10/17:00 (prev)</t>
  </si>
  <si>
    <t>0180524170000005</t>
  </si>
  <si>
    <t>Adjustments/A-adj/22-03-10/17:00 (prev)</t>
  </si>
  <si>
    <t>0180524170000006</t>
  </si>
  <si>
    <t>Adjustments/B-adj/22-03-10/17:00 (prev)</t>
  </si>
  <si>
    <t>0180524170000007</t>
  </si>
  <si>
    <t>Adjustments/A-adj/15-04-10/17:00 (prev)</t>
  </si>
  <si>
    <t>0180524170000008</t>
  </si>
  <si>
    <t>BTC</t>
  </si>
  <si>
    <t>C:\Users\mtownsend\Documents\GitHub\ebSiena-DemoSystemData\Prospects\HomeSend\XML Deal Generator\SENT\</t>
  </si>
  <si>
    <t>CAD Account 9--------1</t>
  </si>
  <si>
    <t>EUR Account 9--------1</t>
  </si>
  <si>
    <t>EUR Account 9--------2</t>
  </si>
  <si>
    <t>USD Account 7--------1</t>
  </si>
  <si>
    <t>ZAR Account 6--------1</t>
  </si>
  <si>
    <t>TELIA</t>
  </si>
  <si>
    <t>CHF</t>
  </si>
  <si>
    <t>B1NORM</t>
  </si>
  <si>
    <t>HSBEL</t>
  </si>
  <si>
    <t>HSFRA</t>
  </si>
  <si>
    <t>B2NORM</t>
  </si>
  <si>
    <t>HOMESEND BELGIUM</t>
  </si>
  <si>
    <t>HOMESEND FRANCE</t>
  </si>
  <si>
    <t>MandatedUser</t>
  </si>
  <si>
    <t>Dorothy W. Arner</t>
  </si>
  <si>
    <t>CAD Account 9-------1</t>
  </si>
  <si>
    <t>EUR Account 9-------1</t>
  </si>
  <si>
    <t>EUR Account 9-------2</t>
  </si>
  <si>
    <t>USD Account 7-------1</t>
  </si>
  <si>
    <t>ZAR Account 6-------1</t>
  </si>
  <si>
    <t>DISNEY</t>
  </si>
  <si>
    <t>David J. Kim</t>
  </si>
  <si>
    <t>CAD Account 9--------2</t>
  </si>
  <si>
    <t>CAD Account 9--------3</t>
  </si>
  <si>
    <t>CAD Account 9--------4</t>
  </si>
  <si>
    <t>CAD Account 9--------5</t>
  </si>
  <si>
    <t>CAD Account 9--------6</t>
  </si>
  <si>
    <t>CAD Account 9--------7</t>
  </si>
  <si>
    <t>3641050-1458747973-260</t>
  </si>
  <si>
    <t>BTC Account BTC---------1</t>
  </si>
  <si>
    <t>PaymentAccount</t>
  </si>
  <si>
    <t>ReceiptAccount</t>
  </si>
  <si>
    <t>32-1458747973-1753-HSNDQ</t>
  </si>
  <si>
    <t>Cash Transfer</t>
  </si>
  <si>
    <t>RECEIVE</t>
  </si>
  <si>
    <t>Customer Payment Instruction</t>
  </si>
  <si>
    <t>PAY</t>
  </si>
  <si>
    <t>LEI</t>
  </si>
  <si>
    <t>AgainstAmount</t>
  </si>
  <si>
    <t>FX Trade</t>
  </si>
  <si>
    <t>ACTUAL</t>
  </si>
  <si>
    <t>NOTE - ON MAC Leave off the last /</t>
  </si>
  <si>
    <t>ext.UC1.1031.190913000024</t>
  </si>
  <si>
    <t>[UC1] FX Trade                     [13.09.19-10:31]</t>
  </si>
  <si>
    <t>ext.UC1.1300.190913000050</t>
  </si>
  <si>
    <t>[UC1] FX Trade                     [13.09.19-13:00]</t>
  </si>
  <si>
    <t>20190913-13500-024</t>
  </si>
  <si>
    <t>SELL</t>
  </si>
  <si>
    <t>HSBEL2019091313500024</t>
  </si>
  <si>
    <t>20190913-13500-050</t>
  </si>
  <si>
    <t>HSBEL2019091313500050</t>
  </si>
  <si>
    <t>BDT</t>
  </si>
  <si>
    <t>Lock In Instruction</t>
  </si>
  <si>
    <t>20190913-135249-003</t>
  </si>
  <si>
    <t>FX Lock In</t>
  </si>
  <si>
    <t>ext.UC2.0810.190913000003</t>
  </si>
  <si>
    <t>[UC2] FX Lock In                   [13.09.19-08:10]</t>
  </si>
  <si>
    <t>HSBEL20190913135249003</t>
  </si>
  <si>
    <t>20190913-135249-009</t>
  </si>
  <si>
    <t>ext.UC2.0000.190913000009</t>
  </si>
  <si>
    <t>[UC2] FX Trade                     [13.09.19-00:00]</t>
  </si>
  <si>
    <t>HSBEL20190913135249009</t>
  </si>
  <si>
    <t>473aa697-4552-2651-9f02-1b9d41af3f13-002</t>
  </si>
  <si>
    <t>ext.UC1.0800.190916000002</t>
  </si>
  <si>
    <t>[UC1] Cash Transfer                [16.09.19-08:00]</t>
  </si>
  <si>
    <t>HSBEL473aa6974552265</t>
  </si>
  <si>
    <t>b7f3e815-a67e-43f7-2289-83edafad6b4c-003</t>
  </si>
  <si>
    <t>ext.UC1.0900.190916000003</t>
  </si>
  <si>
    <t>[UC1] Cash Transfer                [16.09.19-09:00]</t>
  </si>
  <si>
    <t>HSBELb7f3e815a67e43f</t>
  </si>
  <si>
    <t>09637328-9ca2-3d2a-57ea-f81e415f8288-004</t>
  </si>
  <si>
    <t>ext.UC1.1000.190916000004</t>
  </si>
  <si>
    <t>[UC1] Cash Transfer                [16.09.19-10:00]</t>
  </si>
  <si>
    <t>HSBEL096373289ca23d2</t>
  </si>
  <si>
    <t>a4c539f8-454c-04b0-396a-239063629d73-005</t>
  </si>
  <si>
    <t>ext.UC1.1000.190916000005</t>
  </si>
  <si>
    <t>HSBELa4c539f8454c04b</t>
  </si>
  <si>
    <t>d786827e-77d7-2ab0-5127-ba2073cf0902-006</t>
  </si>
  <si>
    <t>ext.UC1.1000.190916000006</t>
  </si>
  <si>
    <t>HSBELd786827e77d72ab</t>
  </si>
  <si>
    <t>69e98d03-7993-9e0f-7d98-d9117e030ee3-007</t>
  </si>
  <si>
    <t>ext.UC1.1000.190916000007</t>
  </si>
  <si>
    <t>[UC1] Customer Payment Instruction [16.09.19-10:00]</t>
  </si>
  <si>
    <t>HSBEL69e98d0379939e0</t>
  </si>
  <si>
    <t>2d173294-6ecd-38b6-0ea8-21310b0e164e-008</t>
  </si>
  <si>
    <t>ext.UC1.1000.190916000008</t>
  </si>
  <si>
    <t>HSBEL2d1732946ecd38b</t>
  </si>
  <si>
    <t>47297404-87ff-8ed8-21f4-c5be89f54120-009</t>
  </si>
  <si>
    <t>ext.UC1.1000.190916000009</t>
  </si>
  <si>
    <t>HSBEL4729740487ff8ed</t>
  </si>
  <si>
    <t>c7b38ab7-1d82-3494-67b8-665d2a852d3c-010</t>
  </si>
  <si>
    <t>ext.UC1.1030.190916000010</t>
  </si>
  <si>
    <t>[UC1] Cash Transfer                [16.09.19-10:30]</t>
  </si>
  <si>
    <t>HSBELc7b38ab71d82349</t>
  </si>
  <si>
    <t>28117027-3360-1c01-4ad8-9e85697160c7-011</t>
  </si>
  <si>
    <t>ext.UC1.1030.190916000011</t>
  </si>
  <si>
    <t>[UC1] Customer Payment Instruction [16.09.19-10:30]</t>
  </si>
  <si>
    <t>HSBEL2811702733601c0</t>
  </si>
  <si>
    <t>9792e064-46ae-0983-a540-536e1be80abb-012</t>
  </si>
  <si>
    <t>ext.UC1.1031.190916000012</t>
  </si>
  <si>
    <t>[UC1] Cash Transfer                [16.09.19-10:31]</t>
  </si>
  <si>
    <t>HSBEL9792e06446ae098</t>
  </si>
  <si>
    <t>c47b3680-4420-31f5-3e9c-33659f952b27-013</t>
  </si>
  <si>
    <t>ext.UC1.1031.190916000013</t>
  </si>
  <si>
    <t>HSBELc47b3680442031f</t>
  </si>
  <si>
    <t>45b96ce5-1ac1-88f8-1e98-e23fe7d9489e-014</t>
  </si>
  <si>
    <t>ext.UC1.1031.190916000014</t>
  </si>
  <si>
    <t>[UC1] Customer Payment Instruction [16.09.19-10:31]</t>
  </si>
  <si>
    <t>HSBEL45b96ce51ac188f</t>
  </si>
  <si>
    <t>00c2f23c-12aa-31c2-3582-e964db8c4912-015</t>
  </si>
  <si>
    <t>ext.UC1.1031.190916000015</t>
  </si>
  <si>
    <t>HSBEL00c2f23c12aa31c</t>
  </si>
  <si>
    <t>f31d3ff0-7b9e-0fa7-541a-09eeaec05ae5-016</t>
  </si>
  <si>
    <t>ext.UC1.1031.190916000016</t>
  </si>
  <si>
    <t>HSBELf31d3ff07b9e0fa</t>
  </si>
  <si>
    <t>e89dee4b-6c14-7f83-340f-92b400f31801-017</t>
  </si>
  <si>
    <t>ext.UC1.1031.190916000017</t>
  </si>
  <si>
    <t>HSBELe89dee4b6c147f8</t>
  </si>
  <si>
    <t>b4ff5b20-1f18-2fd3-1f06-9ef42d789b11-018</t>
  </si>
  <si>
    <t>ext.UC1.1031.190916000018</t>
  </si>
  <si>
    <t>HSBELb4ff5b201f182fd</t>
  </si>
  <si>
    <t>2d833c4c-10f0-35bd-92ec-5f05ea6c00ff-019</t>
  </si>
  <si>
    <t>ext.UC1.1031.190916000019</t>
  </si>
  <si>
    <t>HSBEL2d833c4c10f035b</t>
  </si>
  <si>
    <t>c9594a39-9633-86e9-1058-d0e18b45970a-020</t>
  </si>
  <si>
    <t>ext.UC1.1031.190916000020</t>
  </si>
  <si>
    <t>HSBELc9594a39963386e</t>
  </si>
  <si>
    <t>70fe91b4-817f-1b37-470f-9fd095771769-021</t>
  </si>
  <si>
    <t>ext.UC1.1031.190916000021</t>
  </si>
  <si>
    <t>HSBEL70fe91b4817f1b3</t>
  </si>
  <si>
    <t>4d3be2ab-3329-63ef-62af-b7ee2eaf3aae-022</t>
  </si>
  <si>
    <t>ext.UC1.1031.190916000022</t>
  </si>
  <si>
    <t>HSBEL4d3be2ab332963e</t>
  </si>
  <si>
    <t>8e5a8190-84b8-3c09-3406-624a06b00f05-023</t>
  </si>
  <si>
    <t>ext.UC1.1031.190916000023</t>
  </si>
  <si>
    <t>HSBEL8e5a819084b83c0</t>
  </si>
  <si>
    <t>07912262-6c4d-1d5d-5d8f-17f0e6962b88-025</t>
  </si>
  <si>
    <t>ext.UC1.1300.190916000025</t>
  </si>
  <si>
    <t>[UC1] Customer Payment Instruction [16.09.19-13:00]</t>
  </si>
  <si>
    <t>HSBEL079122626c4d1d5</t>
  </si>
  <si>
    <t>db851777-8a39-6570-2678-428ea91e54c2-026</t>
  </si>
  <si>
    <t>ext.UC1.1300.190916000026</t>
  </si>
  <si>
    <t>HSBELdb8517778a39657</t>
  </si>
  <si>
    <t>57ecb296-17af-8bbe-26d6-de66a97342e1-027</t>
  </si>
  <si>
    <t>ext.UC1.1300.190916000027</t>
  </si>
  <si>
    <t>HSBEL57ecb29617af8bb</t>
  </si>
  <si>
    <t>200cddda-482e-55bd-16e7-9e118fd35c40-028</t>
  </si>
  <si>
    <t>ext.UC1.1300.190916000028</t>
  </si>
  <si>
    <t>HSBEL200cddda482e55b</t>
  </si>
  <si>
    <t>478383df-a4ad-0f7f-4cc1-45b6fdb67a8c-029</t>
  </si>
  <si>
    <t>ext.UC1.1300.190916000029</t>
  </si>
  <si>
    <t>HSBEL478383dfa4ad0f7</t>
  </si>
  <si>
    <t>8e85c395-729d-909a-54a4-607c86d4338c-030</t>
  </si>
  <si>
    <t>ext.UC1.1300.190916000030</t>
  </si>
  <si>
    <t>HSBEL8e85c395729d909</t>
  </si>
  <si>
    <t>c6b045ab-64f6-2c69-961a-56fac6f30173-031</t>
  </si>
  <si>
    <t>ext.UC1.1300.190916000031</t>
  </si>
  <si>
    <t>HSBELc6b045ab64f62c6</t>
  </si>
  <si>
    <t>6a9d1051-44ae-8664-8e50-dfab00ad5a06-032</t>
  </si>
  <si>
    <t>ext.UC1.1300.190916000032</t>
  </si>
  <si>
    <t>HSBEL6a9d105144ae866</t>
  </si>
  <si>
    <t>d08b79b8-963b-16d1-3162-5fbb09b1337e-033</t>
  </si>
  <si>
    <t>ext.UC1.1300.190916000033</t>
  </si>
  <si>
    <t>HSBELd08b79b8963b16d</t>
  </si>
  <si>
    <t>15625d5f-7d30-6cdf-8903-1743d33b711a-034</t>
  </si>
  <si>
    <t>ext.UC1.1300.190916000034</t>
  </si>
  <si>
    <t>HSBEL15625d5f7d306cd</t>
  </si>
  <si>
    <t>2c1ad65b-4ad7-798d-9529-155584349d4c-035</t>
  </si>
  <si>
    <t>ext.UC1.1300.190916000035</t>
  </si>
  <si>
    <t>HSBEL2c1ad65b4ad7798</t>
  </si>
  <si>
    <t>a3f77b33-8178-6779-2faf-a3e125ae8df2-036</t>
  </si>
  <si>
    <t>ext.UC1.1300.190916000036</t>
  </si>
  <si>
    <t>HSBELa3f77b338178677</t>
  </si>
  <si>
    <t>718133d0-7645-6e75-a6fe-c05b6f609408-037</t>
  </si>
  <si>
    <t>ext.UC1.1300.190916000037</t>
  </si>
  <si>
    <t>HSBEL718133d076456e7</t>
  </si>
  <si>
    <t>ce7837f5-6a82-6284-3ed9-dbcd3c892cb7-038</t>
  </si>
  <si>
    <t>ext.UC1.1300.190916000038</t>
  </si>
  <si>
    <t>HSBELce7837f56a82628</t>
  </si>
  <si>
    <t>b968af70-27c7-8f34-475b-1af712227a42-039</t>
  </si>
  <si>
    <t>ext.UC1.1300.190916000039</t>
  </si>
  <si>
    <t>HSBELb968af7027c78f3</t>
  </si>
  <si>
    <t>0d5da161-798e-8359-7d7d-700634198e2f-040</t>
  </si>
  <si>
    <t>ext.UC1.1300.190916000040</t>
  </si>
  <si>
    <t>HSBEL0d5da161798e835</t>
  </si>
  <si>
    <t>df00fe1f-061b-632e-448c-cd6d8c9d3777-041</t>
  </si>
  <si>
    <t>ext.UC1.1300.190916000041</t>
  </si>
  <si>
    <t>HSBELdf00fe1f061b632</t>
  </si>
  <si>
    <t>dde0bd3b-a428-9f6c-5fd8-75ba27da5118-042</t>
  </si>
  <si>
    <t>ext.UC1.1300.190916000042</t>
  </si>
  <si>
    <t>HSBELdde0bd3ba4289f6</t>
  </si>
  <si>
    <t>5ac43b91-39b0-8a6b-6a16-170384552e87-043</t>
  </si>
  <si>
    <t>ext.UC1.1300.190916000043</t>
  </si>
  <si>
    <t>HSBEL5ac43b9139b08a6</t>
  </si>
  <si>
    <t>4e7cc674-7cc9-0180-1b57-00f70f151375-044</t>
  </si>
  <si>
    <t>ext.UC1.1300.190916000044</t>
  </si>
  <si>
    <t>HSBEL4e7cc6747cc9018</t>
  </si>
  <si>
    <t>40767d7b-0303-2ad7-813d-8e4704777fec-045</t>
  </si>
  <si>
    <t>ext.UC1.1300.190916000045</t>
  </si>
  <si>
    <t>HSBEL40767d7b03032ad</t>
  </si>
  <si>
    <t>a8016399-7a17-3ff7-833a-e94d3c5a046d-046</t>
  </si>
  <si>
    <t>ext.UC1.1300.190916000046</t>
  </si>
  <si>
    <t>HSBELa80163997a173ff</t>
  </si>
  <si>
    <t>a8df950c-7684-5924-0bf1-11d2a89a872a-047</t>
  </si>
  <si>
    <t>ext.UC1.1300.190916000047</t>
  </si>
  <si>
    <t>HSBELa8df950c7684592</t>
  </si>
  <si>
    <t>d13c7044-5d9d-6e69-17d2-9b7f03e18c5a-048</t>
  </si>
  <si>
    <t>ext.UC1.1300.190916000048</t>
  </si>
  <si>
    <t>HSBELd13c70445d9d6e6</t>
  </si>
  <si>
    <t>017fb74c-8826-7880-9395-65c417917270-049</t>
  </si>
  <si>
    <t>ext.UC1.1300.190916000049</t>
  </si>
  <si>
    <t>HSBEL017fb74c8826788</t>
  </si>
  <si>
    <t>ext.UC2.0800.190916000002</t>
  </si>
  <si>
    <t>[UC2] Cash Transfer                [16.09.19-08:00]</t>
  </si>
  <si>
    <t>ext.UC2.0840.190916000004</t>
  </si>
  <si>
    <t>[UC2] Customer Payment Instruction [16.09.19-08:40]</t>
  </si>
  <si>
    <t>ext.UC2.0840.190916000005</t>
  </si>
  <si>
    <t>ext.UC2.0900.190916000006</t>
  </si>
  <si>
    <t>[UC2] Lock In Instruction          [16.09.19-09:00]</t>
  </si>
  <si>
    <t>ext.UC2.0915.190916000007</t>
  </si>
  <si>
    <t>[UC2] Customer Payment Instruction [16.09.19-09:15]</t>
  </si>
  <si>
    <t>ext.UC2.0915.190916000008</t>
  </si>
  <si>
    <t>eea9706b-0b8b-2a7b-9738-28c84dd279ae-002</t>
  </si>
  <si>
    <t>HSBELeea9706b0b8b2a7</t>
  </si>
  <si>
    <t>9538e22d-5844-3f44-43ec-4f69dfb65295-004</t>
  </si>
  <si>
    <t>HSBEL9538e22d58443f4</t>
  </si>
  <si>
    <t>c0f5ee61-4506-8916-2f83-6524d20253df-005</t>
  </si>
  <si>
    <t>HSBELc0f5ee614506891</t>
  </si>
  <si>
    <t>02b8237d-93ae-992b-4f7d-660e04e2190f-006</t>
  </si>
  <si>
    <t>HSBEL02b8237d93ae992</t>
  </si>
  <si>
    <t>26d8a3c0-20ef-2a88-75c4-6ac978025d09-007</t>
  </si>
  <si>
    <t>HSBEL26d8a3c020ef2a8</t>
  </si>
  <si>
    <t>98af2130-2e56-9788-9e88-c455041846cb-008</t>
  </si>
  <si>
    <t>HSBEL98af21302e56978</t>
  </si>
  <si>
    <t>f9095eeb-45b7-088d-608f-3b2f58c970f4-002</t>
  </si>
  <si>
    <t>ext.UC3.0810.190916000002</t>
  </si>
  <si>
    <t>[UC3] Customer Payment Instruction [16.09.19-08:10]</t>
  </si>
  <si>
    <t>HSBELf9095eeb45b7088</t>
  </si>
  <si>
    <t>79010533-44f5-488b-594d-d5417c532f47-003</t>
  </si>
  <si>
    <t>ext.UC3.0810.190916000003</t>
  </si>
  <si>
    <t>HSBEL7901053344f5488</t>
  </si>
  <si>
    <t>fb631e1b-8eb9-2a6d-5103-a6a72f4f62e9-004</t>
  </si>
  <si>
    <t>ext.UC3.0810.190916000004</t>
  </si>
  <si>
    <t>HSBELfb631e1b8eb92a6</t>
  </si>
  <si>
    <t>513b275d-78c4-323f-31be-91f4e132060d-005</t>
  </si>
  <si>
    <t>ext.UC3.0810.190916000005</t>
  </si>
  <si>
    <t>HSBEL513b275d78c4323</t>
  </si>
  <si>
    <t>92b00a0d-2ca0-5e7a-8b01-861ed3215b6b-006</t>
  </si>
  <si>
    <t>ext.UC3.0810.190916000006</t>
  </si>
  <si>
    <t>HSBEL92b00a0d2ca05e7</t>
  </si>
  <si>
    <t>2f444618-9fbe-20ff-3a8e-b652b7d01969-007</t>
  </si>
  <si>
    <t>ext.UC3.0810.190916000007</t>
  </si>
  <si>
    <t>HSBEL2f4446189fbe20f</t>
  </si>
  <si>
    <t>1d28d7d0-8206-844a-63d1-de2bf4223ebe-008</t>
  </si>
  <si>
    <t>ext.UC3.0810.190916000008</t>
  </si>
  <si>
    <t>[UC3] Cash Transfer                [16.09.19-08:10]</t>
  </si>
  <si>
    <t>HSBEL1d28d7d08206844</t>
  </si>
  <si>
    <t>5a06d258-8cd7-8349-1c75-8937f8643463-009</t>
  </si>
  <si>
    <t>ext.UC3.0910.190916000009</t>
  </si>
  <si>
    <t>[UC3] Customer Payment Instruction [16.09.19-09:10]</t>
  </si>
  <si>
    <t>HSBEL5a06d2588cd7834</t>
  </si>
  <si>
    <t>eb023834-8b16-6101-43ae-09ab64133092-010</t>
  </si>
  <si>
    <t>ext.UC3.0910.190916000010</t>
  </si>
  <si>
    <t>HSBELeb0238348b16610</t>
  </si>
  <si>
    <t>d30e810b-4cef-853d-5173-4c8784bb7948-011</t>
  </si>
  <si>
    <t>ext.UC3.0910.190916000011</t>
  </si>
  <si>
    <t>HSBELd30e810b4cef853</t>
  </si>
  <si>
    <t>e39e5f74-464e-67f3-0efc-ecb87d4f33b3-012</t>
  </si>
  <si>
    <t>ext.UC3.0910.190916000012</t>
  </si>
  <si>
    <t>HSBELe39e5f74464e67f</t>
  </si>
  <si>
    <t>ff637663-649a-6057-1a08-8adf31fd3a03-013</t>
  </si>
  <si>
    <t>ext.UC3.0910.190916000013</t>
  </si>
  <si>
    <t>HSBELff637663649a605</t>
  </si>
  <si>
    <t>e75d9ac6-0e75-a150-49ff-e795248e4f7f-014</t>
  </si>
  <si>
    <t>ext.UC3.0910.190916000014</t>
  </si>
  <si>
    <t>HSBELe75d9ac60e75a15</t>
  </si>
  <si>
    <t>9d9eeb90-1461-23d1-a04e-80d158d5160b-015</t>
  </si>
  <si>
    <t>ext.UC3.0910.190916000015</t>
  </si>
  <si>
    <t>HSBEL9d9eeb90146123d</t>
  </si>
  <si>
    <t>619882b9-7ce1-53aa-69d6-42d430c233ff-016</t>
  </si>
  <si>
    <t>ext.UC3.0910.190916000016</t>
  </si>
  <si>
    <t>HSBEL619882b97ce153a</t>
  </si>
  <si>
    <t>9132179e-28b5-9c8a-716f-84c61ed54da4-017</t>
  </si>
  <si>
    <t>ext.UC3.0910.190916000017</t>
  </si>
  <si>
    <t>[UC3] Cash Transfer                [16.09.19-09:10]</t>
  </si>
  <si>
    <t>HSBEL9132179e28b59c8</t>
  </si>
  <si>
    <t>C:\Users\mtownsend\Documents\GitHub\ebSiena-DemoSystemData\Prospects\HomeSend\XML Deal Generator\DATA\</t>
  </si>
  <si>
    <t>HSBCUSD</t>
  </si>
  <si>
    <t>CUSTINST-F</t>
  </si>
  <si>
    <t>DEFAULT</t>
  </si>
  <si>
    <t>CASHTX-F</t>
  </si>
  <si>
    <t>CUSTINST-A</t>
  </si>
  <si>
    <t>CASHTX-A</t>
  </si>
  <si>
    <t>566529d9-0220-56ae-7bce-219ab3786603-002</t>
  </si>
  <si>
    <t>ext-u1-0800-2e9c4-0002</t>
  </si>
  <si>
    <t>[UC1]Cash Transfer                [08:00]</t>
  </si>
  <si>
    <t>HSBCUSD566529D902205</t>
  </si>
  <si>
    <t>72377a1c-1aa6-039a-0d4b-d36fb2c14fc7-003</t>
  </si>
  <si>
    <t>ext-u1-0900-2e9c4-0003</t>
  </si>
  <si>
    <t>[UC1]Cash Transfer                [09:00]</t>
  </si>
  <si>
    <t>HSBCUSD72377A1C1AA60</t>
  </si>
  <si>
    <t>237e2729-1356-2ac1-a481-0e00af075fe8-004</t>
  </si>
  <si>
    <t>ext-u1-1000-2e9c4-0004</t>
  </si>
  <si>
    <t>[UC1]Cash Transfer                [10:00]</t>
  </si>
  <si>
    <t>HSBCUSD237E272913562</t>
  </si>
  <si>
    <t>e80ef9b1-69cf-9d2c-550b-db1a743c25e9-005</t>
  </si>
  <si>
    <t>ext-u1-1000-2e9c4-0005</t>
  </si>
  <si>
    <t>HSBCUSDE80EF9B169CF9</t>
  </si>
  <si>
    <t>7f97d676-7dcc-8898-77fc-9e0ea08b7c6c-006</t>
  </si>
  <si>
    <t>ext-u1-1000-2e9c4-0006</t>
  </si>
  <si>
    <t>HSBCUSD7F97D6767DCC8</t>
  </si>
  <si>
    <t>7fb7353c-9193-3c12-95b2-7c2eaf2a2027-007</t>
  </si>
  <si>
    <t>ext-u1-1000-2e9c4-0007</t>
  </si>
  <si>
    <t>BDBBRL</t>
  </si>
  <si>
    <t>[UC1]Customer Payment Instruction [10:00]</t>
  </si>
  <si>
    <t>BDBBRL7FB7353C91933C</t>
  </si>
  <si>
    <t>98ed0a98-2758-34f2-50c3-f2b7c757288b-008</t>
  </si>
  <si>
    <t>ext-u1-1000-2e9c4-0008</t>
  </si>
  <si>
    <t>BDBBRL98ED0A98275834</t>
  </si>
  <si>
    <t>782a9fad-4368-8ffa-3668-3da9ed784553-009</t>
  </si>
  <si>
    <t>ext-u1-1000-2e9c4-0009</t>
  </si>
  <si>
    <t>BDBBRL782A9FAD43688F</t>
  </si>
  <si>
    <t>22f9866f-18ed-726c-14b9-7417330021be-010</t>
  </si>
  <si>
    <t>ext-u1-1030-2e9c4-0010</t>
  </si>
  <si>
    <t>[UC1]Cash Transfer                [10:30]</t>
  </si>
  <si>
    <t>HSBCUSD22F9866F18ED7</t>
  </si>
  <si>
    <t>e1a5d139-099c-906c-1d99-bff061b89776-011</t>
  </si>
  <si>
    <t>ext-u1-1030-2e9c4-0011</t>
  </si>
  <si>
    <t>[UC1]Customer Payment Instruction [10:30]</t>
  </si>
  <si>
    <t>BDBBRLE1A5D139099C90</t>
  </si>
  <si>
    <t>f44d872c-82e6-969c-2f4f-a07b7c464cea-012</t>
  </si>
  <si>
    <t>ext-u1-1031-2e9c4-0012</t>
  </si>
  <si>
    <t>[UC1]Cash Transfer                [10:31]</t>
  </si>
  <si>
    <t>HSBCUSDF44D872C82E69</t>
  </si>
  <si>
    <t>73cf10bf-1aaf-6e96-311f-76a1ca724652-013</t>
  </si>
  <si>
    <t>ext-u1-1031-2e9c4-0013</t>
  </si>
  <si>
    <t>HSBCUSD73CF10BF1AAF6</t>
  </si>
  <si>
    <t>576f5e1d-39e9-2167-7be4-7ddbdb00741e-014</t>
  </si>
  <si>
    <t>ext-u1-1031-2e9c4-0014</t>
  </si>
  <si>
    <t>[UC1]Customer Payment Instruction [10:31]</t>
  </si>
  <si>
    <t>BDBBRL576F5E1D39E921</t>
  </si>
  <si>
    <t>82fb0edd-0dad-48bc-006a-f9ac8ea66470-015</t>
  </si>
  <si>
    <t>ext-u1-1031-2e9c4-0015</t>
  </si>
  <si>
    <t>BDBBRL82FB0EDD0DAD48</t>
  </si>
  <si>
    <t>5bff69fd-11db-7356-61ae-05520add9ef8-016</t>
  </si>
  <si>
    <t>ext-u1-1031-2e9c4-0016</t>
  </si>
  <si>
    <t>BDBBRL5BFF69FD11DB73</t>
  </si>
  <si>
    <t>3dd8be84-a468-093f-7c8f-5c7e84392098-017</t>
  </si>
  <si>
    <t>ext-u1-1031-2e9c4-0017</t>
  </si>
  <si>
    <t>BDBBRL3DD8BE84A46809</t>
  </si>
  <si>
    <t>43ce2f56-155e-3adf-6646-27c8e3307736-018</t>
  </si>
  <si>
    <t>ext-u1-1031-2e9c4-0018</t>
  </si>
  <si>
    <t>BDBBRL43CE2F56155E3A</t>
  </si>
  <si>
    <t>4a0af7e6-3e33-4546-13f8-3ff8f63b4966-019</t>
  </si>
  <si>
    <t>ext-u1-1031-2e9c4-0019</t>
  </si>
  <si>
    <t>BDBBRL4A0AF7E63E3345</t>
  </si>
  <si>
    <t>3072137d-8ebc-80e5-5042-e0b0f01375d7-020</t>
  </si>
  <si>
    <t>ext-u1-1031-2e9c4-0020</t>
  </si>
  <si>
    <t>BDBBRL3072137D8EBC80</t>
  </si>
  <si>
    <t>06fcd936-66aa-8769-2429-734ba2437883-021</t>
  </si>
  <si>
    <t>ext-u1-1031-2e9c4-0021</t>
  </si>
  <si>
    <t>BDBBRL06FCD93666AA87</t>
  </si>
  <si>
    <t>98a48db2-05a6-9d33-6ebb-4157ff3b1d0f-022</t>
  </si>
  <si>
    <t>ext-u1-1031-2e9c4-0022</t>
  </si>
  <si>
    <t>BDBBRL98A48DB205A69D</t>
  </si>
  <si>
    <t>9c7bd0a2-164a-3058-8bf6-f7cf7f1a73c6-023</t>
  </si>
  <si>
    <t>ext-u1-1031-2e9c4-0023</t>
  </si>
  <si>
    <t>BDBBRL9C7BD0A2164A30</t>
  </si>
  <si>
    <t>45da5c32-2d7c-44fb-0c77-f4d23c3c8362-025</t>
  </si>
  <si>
    <t>ext-u1-1300-2e9c4-0025</t>
  </si>
  <si>
    <t>[UC1]Customer Payment Instruction [13:00]</t>
  </si>
  <si>
    <t>BDBBRL45DA5C322D7C44</t>
  </si>
  <si>
    <t>049046b2-a336-9e16-392e-653da90b77d2-026</t>
  </si>
  <si>
    <t>ext-u1-1300-2e9c4-0026</t>
  </si>
  <si>
    <t>BDBBRL049046B2A3369E</t>
  </si>
  <si>
    <t>82fb603b-7b3d-3bea-1f8e-c7bee473239c-027</t>
  </si>
  <si>
    <t>ext-u1-1300-2e9c4-0027</t>
  </si>
  <si>
    <t>BDBBRL82FB603B7B3D3B</t>
  </si>
  <si>
    <t>cd071e39-3222-743a-0841-707a965d8eed-028</t>
  </si>
  <si>
    <t>ext-u1-1300-2e9c4-0028</t>
  </si>
  <si>
    <t>BDBBRLCD071E39322274</t>
  </si>
  <si>
    <t>478e76ce-3265-5fbb-076d-c97639a844c7-029</t>
  </si>
  <si>
    <t>ext-u1-1300-2e9c4-0029</t>
  </si>
  <si>
    <t>BDBBRL478E76CE32655F</t>
  </si>
  <si>
    <t>ac41ef43-01ff-1a9c-96c8-d90bad3e045c-030</t>
  </si>
  <si>
    <t>ext-u1-1300-2e9c4-0030</t>
  </si>
  <si>
    <t>BDBBRLAC41EF4301FF1A</t>
  </si>
  <si>
    <t>17936efa-9493-5ddd-7ffc-dfc3b5662f40-031</t>
  </si>
  <si>
    <t>ext-u1-1300-2e9c4-0031</t>
  </si>
  <si>
    <t>BDBBRL17936EFA94935D</t>
  </si>
  <si>
    <t>cbabfaec-9b8a-3869-9eb6-c68cceae4247-032</t>
  </si>
  <si>
    <t>ext-u1-1300-2e9c4-0032</t>
  </si>
  <si>
    <t>BDBBRLCBABFAEC9B8A38</t>
  </si>
  <si>
    <t>c4cb66cb-059b-86aa-4145-5dfa625d85f0-033</t>
  </si>
  <si>
    <t>ext-u1-1300-2e9c4-0033</t>
  </si>
  <si>
    <t>BDBBRLC4CB66CB059B86</t>
  </si>
  <si>
    <t>6f0c7746-0cba-6670-5ea7-37cccb087d3a-034</t>
  </si>
  <si>
    <t>ext-u1-1300-2e9c4-0034</t>
  </si>
  <si>
    <t>BDBBRL6F0C77460CBA66</t>
  </si>
  <si>
    <t>b679063d-5c7b-a2f0-3896-b2f8a77c3e22-035</t>
  </si>
  <si>
    <t>ext-u1-1300-2e9c4-0035</t>
  </si>
  <si>
    <t>BDBBRLB679063D5C7BA2</t>
  </si>
  <si>
    <t>974c6883-9bb7-53dc-373a-4b35b80463cd-036</t>
  </si>
  <si>
    <t>ext-u1-1300-2e9c4-0036</t>
  </si>
  <si>
    <t>BDBBRL974C68839BB753</t>
  </si>
  <si>
    <t>bacba180-23a1-488e-7421-37e1230e3402-037</t>
  </si>
  <si>
    <t>ext-u1-1300-2e9c4-0037</t>
  </si>
  <si>
    <t>BDBBRLBACBA18023A148</t>
  </si>
  <si>
    <t>df9ade96-6c5e-3831-438b-b8578aae2b73-038</t>
  </si>
  <si>
    <t>ext-u1-1300-2e9c4-0038</t>
  </si>
  <si>
    <t>BDBBRLDF9ADE966C5E38</t>
  </si>
  <si>
    <t>a2fcc789-9a77-85c1-3bd2-b7d8edcf5e00-039</t>
  </si>
  <si>
    <t>ext-u1-1300-2e9c4-0039</t>
  </si>
  <si>
    <t>BDBBRLA2FCC7899A7785</t>
  </si>
  <si>
    <t>aec6e8b5-7db4-1fb9-a1f7-df6bb5476680-040</t>
  </si>
  <si>
    <t>ext-u1-1300-2e9c4-0040</t>
  </si>
  <si>
    <t>BDBBRLAEC6E8B57DB41F</t>
  </si>
  <si>
    <t>3217e47a-677a-000f-9837-436fcd2b15cd-041</t>
  </si>
  <si>
    <t>ext-u1-1300-2e9c4-0041</t>
  </si>
  <si>
    <t>BDBBRL3217E47A677A00</t>
  </si>
  <si>
    <t>a3149f29-a0e5-1fd1-0416-277103dc6c2c-042</t>
  </si>
  <si>
    <t>ext-u1-1300-2e9c4-0042</t>
  </si>
  <si>
    <t>BDBBRLA3149F29A0E51F</t>
  </si>
  <si>
    <t>15e09d4c-38d9-8c50-7210-489aecd5717e-043</t>
  </si>
  <si>
    <t>ext-u1-1300-2e9c4-0043</t>
  </si>
  <si>
    <t>BDBBRL15E09D4C38D98C</t>
  </si>
  <si>
    <t>e4d4df1c-5faa-6550-61b3-7cb6b08a4b65-044</t>
  </si>
  <si>
    <t>ext-u1-1300-2e9c4-0044</t>
  </si>
  <si>
    <t>BDBBRLE4D4DF1C5FAA65</t>
  </si>
  <si>
    <t>2814c195-76ba-38e5-002d-d677735c9538-045</t>
  </si>
  <si>
    <t>ext-u1-1300-2e9c4-0045</t>
  </si>
  <si>
    <t>BDBBRL2814C19576BA38</t>
  </si>
  <si>
    <t>36d675bc-1868-1124-23c8-b4d469f7223f-046</t>
  </si>
  <si>
    <t>ext-u1-1300-2e9c4-0046</t>
  </si>
  <si>
    <t>BDBBRL36D675BC186811</t>
  </si>
  <si>
    <t>4a551b76-0c62-9ca5-68b5-8b6e0b5a2ce5-047</t>
  </si>
  <si>
    <t>ext-u1-1300-2e9c4-0047</t>
  </si>
  <si>
    <t>BDBBRL4A551B760C629C</t>
  </si>
  <si>
    <t>96be31fa-8f09-93c7-556b-9cae87e66e0d-048</t>
  </si>
  <si>
    <t>ext-u1-1300-2e9c4-0048</t>
  </si>
  <si>
    <t>BDBBRL96BE31FA8F0993</t>
  </si>
  <si>
    <t>c3710551-786a-11bf-8f63-4ff154e357ad-049</t>
  </si>
  <si>
    <t>ext-u1-1300-2e9c4-0049</t>
  </si>
  <si>
    <t>BDBBRLC3710551786A11</t>
  </si>
  <si>
    <t>371d06d8-756d-417c-46bb-7d0654f61204-052</t>
  </si>
  <si>
    <t>ext-u1-0800-2e9c4-0052</t>
  </si>
  <si>
    <t>HSBCUSD371D06D8756D4</t>
  </si>
  <si>
    <t>642eeb5e-7af4-8ae6-9638-bcae72470886-053</t>
  </si>
  <si>
    <t>ext-u1-0900-2e9c4-0053</t>
  </si>
  <si>
    <t>HSBCUSD642EEB5E7AF48</t>
  </si>
  <si>
    <t>21f91a99-8acd-0118-6b29-8a84ab282051-054</t>
  </si>
  <si>
    <t>ext-u1-1000-2e9c4-0054</t>
  </si>
  <si>
    <t>HSBCUSD21F91A998ACD0</t>
  </si>
  <si>
    <t>15c715f9-9de1-9113-5278-7386ccf77a63-055</t>
  </si>
  <si>
    <t>ext-u1-1000-2e9c4-0055</t>
  </si>
  <si>
    <t>HSBCUSD15C715F99DE19</t>
  </si>
  <si>
    <t>aecfecb8-65db-a211-2fd6-f7918197293e-056</t>
  </si>
  <si>
    <t>ext-u1-1000-2e9c4-0056</t>
  </si>
  <si>
    <t>HSBCUSDAECFECB865DBA</t>
  </si>
  <si>
    <t>c539fb87-2d7f-34ac-4242-ad3cc18e1fd3-057</t>
  </si>
  <si>
    <t>ext-u1-1059-2e9c4-0057</t>
  </si>
  <si>
    <t>[UC1]Customer Payment Instruction [10:59]</t>
  </si>
  <si>
    <t>BDBBRLC539FB872D7F34</t>
  </si>
  <si>
    <t>94840be8-6532-41b8-83b8-030613090b00-058</t>
  </si>
  <si>
    <t>ext-u1-1059-2e9c4-0058</t>
  </si>
  <si>
    <t>BDBBRL94840BE8653241</t>
  </si>
  <si>
    <t>cbece375-47b1-9a48-7da1-a6d3236b031f-059</t>
  </si>
  <si>
    <t>ext-u1-1059-2e9c4-0059</t>
  </si>
  <si>
    <t>BDBBRLCBECE37547B19A</t>
  </si>
  <si>
    <t>68c7458f-92f2-32d5-72fa-96fd7d001739-060</t>
  </si>
  <si>
    <t>ext-u1-1030-2e9c4-0060</t>
  </si>
  <si>
    <t>HSBCUSD68C7458F92F23</t>
  </si>
  <si>
    <t>0a9753c7-1432-7534-3db1-2d4bb5b384af-061</t>
  </si>
  <si>
    <t>ext-u1-1059-2e9c4-0061</t>
  </si>
  <si>
    <t>BDBBRL0A9753C7143275</t>
  </si>
  <si>
    <t>9605e629-4bcd-1967-904e-3caa98af4c76-062</t>
  </si>
  <si>
    <t>ext-u1-1031-2e9c4-0062</t>
  </si>
  <si>
    <t>HSBCUSD9605E6294BCD1</t>
  </si>
  <si>
    <t>9c7d3b39-418e-5556-0439-9c7866f07f3a-063</t>
  </si>
  <si>
    <t>ext-u1-1031-2e9c4-0063</t>
  </si>
  <si>
    <t>HSBCUSD9C7D3B39418E5</t>
  </si>
  <si>
    <t>1b476a7b-2c63-0ee5-0356-78f8cc073c28-064</t>
  </si>
  <si>
    <t>ext-u1-1059-2e9c4-0064</t>
  </si>
  <si>
    <t>BDBBRL1B476A7B2C630E</t>
  </si>
  <si>
    <t>67643073-08a5-a42a-11c1-2d8a543d2321-065</t>
  </si>
  <si>
    <t>ext-u1-1059-2e9c4-0065</t>
  </si>
  <si>
    <t>BDBBRL6764307308A5A4</t>
  </si>
  <si>
    <t>a4a76250-2915-9b3b-67e3-1ad22bf33a95-066</t>
  </si>
  <si>
    <t>ext-u1-1059-2e9c4-0066</t>
  </si>
  <si>
    <t>BDBBRLA4A7625029159B</t>
  </si>
  <si>
    <t>e86fa607-2acc-a0a9-71a4-4513196b238d-067</t>
  </si>
  <si>
    <t>ext-u1-1059-2e9c4-0067</t>
  </si>
  <si>
    <t>BDBBRLE86FA6072ACCA0</t>
  </si>
  <si>
    <t>4ce0d84e-8407-61ad-4614-eeca69c637e5-068</t>
  </si>
  <si>
    <t>ext-u1-1059-2e9c4-0068</t>
  </si>
  <si>
    <t>BDBBRL4CE0D84E840761</t>
  </si>
  <si>
    <t>0cf71c2c-59ca-9763-89ae-e57f2b805b70-069</t>
  </si>
  <si>
    <t>ext-u1-1059-2e9c4-0069</t>
  </si>
  <si>
    <t>BDBBRL0CF71C2C59CA97</t>
  </si>
  <si>
    <t>57cec682-396a-90ab-4788-88dc4b0c4539-070</t>
  </si>
  <si>
    <t>ext-u1-1059-2e9c4-0070</t>
  </si>
  <si>
    <t>BDBBRL57CEC682396A90</t>
  </si>
  <si>
    <t>357374a3-8a3d-9136-1b49-cf17bd206b92-071</t>
  </si>
  <si>
    <t>ext-u1-1059-2e9c4-0071</t>
  </si>
  <si>
    <t>BDBBRL357374A38A3D91</t>
  </si>
  <si>
    <t>9826bb12-2ec9-8e4b-28b3-b5cb73770b82-072</t>
  </si>
  <si>
    <t>ext-u1-1059-2e9c4-0072</t>
  </si>
  <si>
    <t>BDBBRL9826BB122EC98E</t>
  </si>
  <si>
    <t>bed054f4-9e4d-8a4a-0193-0e4636f59bce-073</t>
  </si>
  <si>
    <t>ext-u1-1059-2e9c4-0073</t>
  </si>
  <si>
    <t>BDBBRLBED054F49E4D8A</t>
  </si>
  <si>
    <t>a6eba9e6-8d27-1af9-40cc-ff1a12c9629a-075</t>
  </si>
  <si>
    <t>ext-u1-1300-2e9c4-0075</t>
  </si>
  <si>
    <t>BDBBRLA6EBA9E68D271A</t>
  </si>
  <si>
    <t>e38e16b0-8a0b-5448-8df5-82598bd90b60-076</t>
  </si>
  <si>
    <t>ext-u1-1300-2e9c4-0076</t>
  </si>
  <si>
    <t>BDBBRLE38E16B08A0B54</t>
  </si>
  <si>
    <t>99419411-3ca4-7f60-95e9-aa242fcea02d-077</t>
  </si>
  <si>
    <t>ext-u1-1300-2e9c4-0077</t>
  </si>
  <si>
    <t>BDBBRL994194113CA47F</t>
  </si>
  <si>
    <t>0bcdf5f3-3b51-2431-1d36-3febf0cea338-078</t>
  </si>
  <si>
    <t>ext-u1-1300-2e9c4-0078</t>
  </si>
  <si>
    <t>BDBBRL0BCDF5F33B5124</t>
  </si>
  <si>
    <t>77cb791c-08c0-5b7a-9307-a8d389083f21-079</t>
  </si>
  <si>
    <t>ext-u1-1300-2e9c4-0079</t>
  </si>
  <si>
    <t>BDBBRL77CB791C08C05B</t>
  </si>
  <si>
    <t>278a9b38-1f8a-58e9-a411-df358b4e278b-080</t>
  </si>
  <si>
    <t>ext-u1-1300-2e9c4-0080</t>
  </si>
  <si>
    <t>BDBBRL278A9B381F8A58</t>
  </si>
  <si>
    <t>e4629a9e-63b7-43d4-60e5-f4ff1e503860-081</t>
  </si>
  <si>
    <t>ext-u1-1300-2e9c4-0081</t>
  </si>
  <si>
    <t>BDBBRLE4629A9E63B743</t>
  </si>
  <si>
    <t>e92a3942-23dd-0263-9287-09b4ae0c796e-082</t>
  </si>
  <si>
    <t>ext-u1-1300-2e9c4-0082</t>
  </si>
  <si>
    <t>BDBBRLE92A394223DD02</t>
  </si>
  <si>
    <t>4f65de86-453d-8318-06db-67b8bd8763d6-083</t>
  </si>
  <si>
    <t>ext-u1-1300-2e9c4-0083</t>
  </si>
  <si>
    <t>BDBBRL4F65DE86453D83</t>
  </si>
  <si>
    <t>398068ae-a1d7-14f2-6397-286137d26fdc-084</t>
  </si>
  <si>
    <t>ext-u1-1300-2e9c4-0084</t>
  </si>
  <si>
    <t>BDBBRL398068AEA1D714</t>
  </si>
  <si>
    <t>3f7ba544-2ea1-1352-9017-0a356d820a45-085</t>
  </si>
  <si>
    <t>ext-u1-1300-2e9c4-0085</t>
  </si>
  <si>
    <t>BDBBRL3F7BA5442EA113</t>
  </si>
  <si>
    <t>b775d547-8fa0-2a94-734f-61b8ef947693-086</t>
  </si>
  <si>
    <t>ext-u1-1300-2e9c4-0086</t>
  </si>
  <si>
    <t>BDBBRLB775D5478FA02A</t>
  </si>
  <si>
    <t>7f575bf5-473e-47a2-534c-ebfc31558a3e-087</t>
  </si>
  <si>
    <t>ext-u1-1300-2e9c4-0087</t>
  </si>
  <si>
    <t>BDBBRL7F575BF5473E47</t>
  </si>
  <si>
    <t>dc611659-6e5f-41b6-6ecd-f62cc8585161-088</t>
  </si>
  <si>
    <t>ext-u1-1300-2e9c4-0088</t>
  </si>
  <si>
    <t>BDBBRLDC6116596E5F41</t>
  </si>
  <si>
    <t>5ad97185-72b3-49b2-10c3-a4b5b2cd28ce-089</t>
  </si>
  <si>
    <t>ext-u1-1300-2e9c4-0089</t>
  </si>
  <si>
    <t>BDBBRL5AD9718572B349</t>
  </si>
  <si>
    <t>b8b38d26-3823-7b09-1a31-f6fcd5578d93-090</t>
  </si>
  <si>
    <t>ext-u1-1300-2e9c4-0090</t>
  </si>
  <si>
    <t>BDBBRLB8B38D2638237B</t>
  </si>
  <si>
    <t>24978233-7d0b-3ac3-6c85-4a672bf98992-091</t>
  </si>
  <si>
    <t>ext-u1-1300-2e9c4-0091</t>
  </si>
  <si>
    <t>BDBBRL249782337D0B3A</t>
  </si>
  <si>
    <t>b4860942-7e01-0290-6c94-84d5f9ee176f-092</t>
  </si>
  <si>
    <t>ext-u1-1300-2e9c4-0092</t>
  </si>
  <si>
    <t>BDBBRLB48609427E0102</t>
  </si>
  <si>
    <t>049fb97f-6fb1-6d5e-90e3-533c2acb0558-093</t>
  </si>
  <si>
    <t>ext-u1-1300-2e9c4-0093</t>
  </si>
  <si>
    <t>BDBBRL049FB97F6FB16D</t>
  </si>
  <si>
    <t>2acdd5ae-8a97-9756-0f41-b208b4869de3-094</t>
  </si>
  <si>
    <t>ext-u1-1300-2e9c4-0094</t>
  </si>
  <si>
    <t>BDBBRL2ACDD5AE8A9797</t>
  </si>
  <si>
    <t>a0418691-466b-062c-6424-7b848b7104ec-095</t>
  </si>
  <si>
    <t>ext-u1-1300-2e9c4-0095</t>
  </si>
  <si>
    <t>BDBBRLA0418691466B06</t>
  </si>
  <si>
    <t>6cfce5a7-9709-1e77-7007-c259da6657fd-096</t>
  </si>
  <si>
    <t>ext-u1-1300-2e9c4-0096</t>
  </si>
  <si>
    <t>BDBBRL6CFCE5A797091E</t>
  </si>
  <si>
    <t>61bc1d32-7d69-8cbc-51c9-fa090004684b-097</t>
  </si>
  <si>
    <t>ext-u1-1300-2e9c4-0097</t>
  </si>
  <si>
    <t>BDBBRL61BC1D327D698C</t>
  </si>
  <si>
    <t>3a2d87f8-11cc-7c4d-6536-16b051bc6aed-098</t>
  </si>
  <si>
    <t>ext-u1-1300-2e9c4-0098</t>
  </si>
  <si>
    <t>BDBBRL3A2D87F811CC7C</t>
  </si>
  <si>
    <t>b670fb38-76c9-41dd-6314-2b32e84619f2-099</t>
  </si>
  <si>
    <t>ext-u1-1300-2e9c4-0099</t>
  </si>
  <si>
    <t>BDBBRLB670FB3876C941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</si>
</sst>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yyyy\-mm\-dd;@"/>
    <numFmt numFmtId="165" formatCode="0.0000000"/>
  </numFmts>
  <fonts count="31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name val="Calibri"/>
      <family val="2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u/>
      <sz val="11"/>
      <color indexed="12"/>
      <name val="Calibri"/>
      <family val="2"/>
    </font>
    <font>
      <b/>
      <sz val="9"/>
      <color indexed="81"/>
      <name val="Tahoma"/>
      <family val="2"/>
    </font>
    <font>
      <sz val="8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onsolas"/>
      <family val="2"/>
    </font>
    <font>
      <sz val="11"/>
      <color theme="1"/>
      <name val="Consolas"/>
      <family val="2"/>
    </font>
  </fonts>
  <fills count="35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/>
        <bgColor indexed="64"/>
      </patternFill>
    </fill>
  </fills>
  <borders count="16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10" fillId="0" borderId="0" applyNumberFormat="0" applyFont="0" applyFill="0" applyBorder="0" applyAlignment="0" applyProtection="0"/>
    <xf numFmtId="0" fontId="9" fillId="0" borderId="0"/>
    <xf numFmtId="0" fontId="2" fillId="0" borderId="0"/>
    <xf numFmtId="0" fontId="4" fillId="0" borderId="0"/>
    <xf numFmtId="0" fontId="13" fillId="0" borderId="0" applyNumberFormat="0" applyFill="0" applyBorder="0" applyAlignment="0" applyProtection="0"/>
    <xf numFmtId="0" fontId="14" fillId="0" borderId="7" applyNumberFormat="0" applyFill="0" applyAlignment="0" applyProtection="0"/>
    <xf numFmtId="0" fontId="15" fillId="0" borderId="8" applyNumberFormat="0" applyFill="0" applyAlignment="0" applyProtection="0"/>
    <xf numFmtId="0" fontId="16" fillId="0" borderId="9" applyNumberFormat="0" applyFill="0" applyAlignment="0" applyProtection="0"/>
    <xf numFmtId="0" fontId="16" fillId="0" borderId="0" applyNumberFormat="0" applyFill="0" applyBorder="0" applyAlignment="0" applyProtection="0"/>
    <xf numFmtId="0" fontId="17" fillId="3" borderId="0" applyNumberFormat="0" applyBorder="0" applyAlignment="0" applyProtection="0"/>
    <xf numFmtId="0" fontId="18" fillId="4" borderId="0" applyNumberFormat="0" applyBorder="0" applyAlignment="0" applyProtection="0"/>
    <xf numFmtId="0" fontId="19" fillId="5" borderId="0" applyNumberFormat="0" applyBorder="0" applyAlignment="0" applyProtection="0"/>
    <xf numFmtId="0" fontId="20" fillId="6" borderId="10" applyNumberFormat="0" applyAlignment="0" applyProtection="0"/>
    <xf numFmtId="0" fontId="21" fillId="7" borderId="11" applyNumberFormat="0" applyAlignment="0" applyProtection="0"/>
    <xf numFmtId="0" fontId="22" fillId="7" borderId="10" applyNumberFormat="0" applyAlignment="0" applyProtection="0"/>
    <xf numFmtId="0" fontId="23" fillId="0" borderId="12" applyNumberFormat="0" applyFill="0" applyAlignment="0" applyProtection="0"/>
    <xf numFmtId="0" fontId="24" fillId="8" borderId="13" applyNumberFormat="0" applyAlignment="0" applyProtection="0"/>
    <xf numFmtId="0" fontId="25" fillId="0" borderId="0" applyNumberFormat="0" applyFill="0" applyBorder="0" applyAlignment="0" applyProtection="0"/>
    <xf numFmtId="0" fontId="12" fillId="9" borderId="14" applyNumberFormat="0" applyFont="0" applyAlignment="0" applyProtection="0"/>
    <xf numFmtId="0" fontId="26" fillId="0" borderId="0" applyNumberFormat="0" applyFill="0" applyBorder="0" applyAlignment="0" applyProtection="0"/>
    <xf numFmtId="0" fontId="27" fillId="0" borderId="15" applyNumberFormat="0" applyFill="0" applyAlignment="0" applyProtection="0"/>
    <xf numFmtId="0" fontId="28" fillId="10" borderId="0" applyNumberFormat="0" applyBorder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28" fillId="14" borderId="0" applyNumberFormat="0" applyBorder="0" applyAlignment="0" applyProtection="0"/>
    <xf numFmtId="0" fontId="12" fillId="15" borderId="0" applyNumberFormat="0" applyBorder="0" applyAlignment="0" applyProtection="0"/>
    <xf numFmtId="0" fontId="12" fillId="16" borderId="0" applyNumberFormat="0" applyBorder="0" applyAlignment="0" applyProtection="0"/>
    <xf numFmtId="0" fontId="12" fillId="17" borderId="0" applyNumberFormat="0" applyBorder="0" applyAlignment="0" applyProtection="0"/>
    <xf numFmtId="0" fontId="28" fillId="18" borderId="0" applyNumberFormat="0" applyBorder="0" applyAlignment="0" applyProtection="0"/>
    <xf numFmtId="0" fontId="12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1" borderId="0" applyNumberFormat="0" applyBorder="0" applyAlignment="0" applyProtection="0"/>
    <xf numFmtId="0" fontId="28" fillId="22" borderId="0" applyNumberFormat="0" applyBorder="0" applyAlignment="0" applyProtection="0"/>
    <xf numFmtId="0" fontId="12" fillId="23" borderId="0" applyNumberFormat="0" applyBorder="0" applyAlignment="0" applyProtection="0"/>
    <xf numFmtId="0" fontId="12" fillId="24" borderId="0" applyNumberFormat="0" applyBorder="0" applyAlignment="0" applyProtection="0"/>
    <xf numFmtId="0" fontId="12" fillId="25" borderId="0" applyNumberFormat="0" applyBorder="0" applyAlignment="0" applyProtection="0"/>
    <xf numFmtId="0" fontId="28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29" borderId="0" applyNumberFormat="0" applyBorder="0" applyAlignment="0" applyProtection="0"/>
    <xf numFmtId="0" fontId="28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2" fillId="33" borderId="0" applyNumberFormat="0" applyBorder="0" applyAlignment="0" applyProtection="0"/>
    <xf numFmtId="44" fontId="12" fillId="0" borderId="0" applyFont="0" applyFill="0" applyBorder="0" applyAlignment="0" applyProtection="0"/>
  </cellStyleXfs>
  <cellXfs count="52">
    <xf numFmtId="0" fontId="0" fillId="0" borderId="0" xfId="0"/>
    <xf numFmtId="0" fontId="5" fillId="2" borderId="3" xfId="5" applyFont="1" applyFill="1" applyBorder="1" applyAlignment="1">
      <alignment horizontal="center"/>
    </xf>
    <xf numFmtId="0" fontId="1" fillId="0" borderId="1" xfId="6" applyFont="1" applyFill="1" applyBorder="1" applyAlignment="1">
      <alignment wrapText="1"/>
    </xf>
    <xf numFmtId="0" fontId="1" fillId="2" borderId="4" xfId="6" applyFont="1" applyFill="1" applyBorder="1" applyAlignment="1">
      <alignment horizontal="center"/>
    </xf>
    <xf numFmtId="49" fontId="0" fillId="0" borderId="0" xfId="0" applyNumberFormat="1"/>
    <xf numFmtId="0" fontId="9" fillId="0" borderId="0" xfId="2" applyNumberFormat="1" applyFont="1" applyFill="1" applyBorder="1" applyAlignment="1"/>
    <xf numFmtId="0" fontId="6" fillId="0" borderId="2" xfId="1" applyBorder="1" applyAlignment="1" applyProtection="1"/>
    <xf numFmtId="49" fontId="1" fillId="0" borderId="0" xfId="6" applyNumberFormat="1" applyFont="1" applyFill="1" applyBorder="1" applyAlignment="1">
      <alignment wrapText="1"/>
    </xf>
    <xf numFmtId="0" fontId="0" fillId="0" borderId="0" xfId="0" applyNumberFormat="1"/>
    <xf numFmtId="0" fontId="1" fillId="2" borderId="5" xfId="6" applyNumberFormat="1" applyFont="1" applyFill="1" applyBorder="1" applyAlignment="1">
      <alignment horizontal="center"/>
    </xf>
    <xf numFmtId="0" fontId="1" fillId="0" borderId="0" xfId="6" applyNumberFormat="1" applyFont="1" applyFill="1" applyBorder="1" applyAlignment="1">
      <alignment wrapText="1"/>
    </xf>
    <xf numFmtId="49" fontId="1" fillId="2" borderId="5" xfId="6" applyNumberFormat="1" applyFont="1" applyFill="1" applyBorder="1" applyAlignment="1">
      <alignment horizontal="center"/>
    </xf>
    <xf numFmtId="0" fontId="0" fillId="0" borderId="0" xfId="0" applyBorder="1"/>
    <xf numFmtId="0" fontId="5" fillId="0" borderId="0" xfId="5" applyFont="1" applyFill="1" applyBorder="1" applyAlignment="1">
      <alignment horizontal="center"/>
    </xf>
    <xf numFmtId="0" fontId="0" fillId="0" borderId="0" xfId="0" applyFill="1" applyBorder="1"/>
    <xf numFmtId="164" fontId="0" fillId="0" borderId="0" xfId="0" applyNumberFormat="1"/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20" fontId="0" fillId="0" borderId="0" xfId="0" applyNumberFormat="1"/>
    <xf numFmtId="0" fontId="5" fillId="2" borderId="6" xfId="6" applyNumberFormat="1" applyFont="1" applyFill="1" applyBorder="1" applyAlignment="1">
      <alignment horizontal="center"/>
    </xf>
    <xf numFmtId="14" fontId="0" fillId="0" borderId="0" xfId="0" applyNumberFormat="1"/>
    <xf numFmtId="0" fontId="1" fillId="2" borderId="6" xfId="6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4" fontId="1" fillId="2" borderId="5" xfId="6" applyNumberFormat="1" applyFont="1" applyFill="1" applyBorder="1" applyAlignment="1">
      <alignment horizontal="center"/>
    </xf>
    <xf numFmtId="14" fontId="0" fillId="0" borderId="0" xfId="0" quotePrefix="1" applyNumberFormat="1"/>
    <xf numFmtId="14" fontId="1" fillId="0" borderId="0" xfId="6" applyNumberFormat="1" applyFont="1" applyFill="1" applyBorder="1" applyAlignment="1">
      <alignment wrapText="1"/>
    </xf>
    <xf numFmtId="0" fontId="0" fillId="0" borderId="0" xfId="0"/>
    <xf numFmtId="14" fontId="0" fillId="0" borderId="0" xfId="0" applyNumberFormat="1"/>
    <xf numFmtId="0" fontId="27" fillId="0" borderId="0" xfId="0" applyNumberFormat="1" applyFont="1"/>
    <xf numFmtId="0" fontId="18" fillId="4" borderId="5" xfId="13" applyNumberFormat="1" applyBorder="1" applyAlignment="1">
      <alignment horizontal="center"/>
    </xf>
    <xf numFmtId="0" fontId="18" fillId="4" borderId="0" xfId="13"/>
    <xf numFmtId="0" fontId="18" fillId="4" borderId="6" xfId="13" applyNumberFormat="1" applyBorder="1" applyAlignment="1">
      <alignment horizontal="center"/>
    </xf>
    <xf numFmtId="14" fontId="18" fillId="4" borderId="5" xfId="13" applyNumberFormat="1" applyBorder="1" applyAlignment="1">
      <alignment horizontal="center"/>
    </xf>
    <xf numFmtId="0" fontId="29" fillId="2" borderId="5" xfId="6" applyNumberFormat="1" applyFont="1" applyFill="1" applyBorder="1" applyAlignment="1">
      <alignment horizontal="center"/>
    </xf>
    <xf numFmtId="14" fontId="29" fillId="2" borderId="5" xfId="6" applyNumberFormat="1" applyFont="1" applyFill="1" applyBorder="1" applyAlignment="1">
      <alignment horizontal="center"/>
    </xf>
    <xf numFmtId="2" fontId="29" fillId="2" borderId="5" xfId="6" applyNumberFormat="1" applyFont="1" applyFill="1" applyBorder="1" applyAlignment="1">
      <alignment horizontal="center"/>
    </xf>
    <xf numFmtId="0" fontId="30" fillId="0" borderId="0" xfId="0" applyNumberFormat="1" applyFont="1"/>
    <xf numFmtId="0" fontId="30" fillId="0" borderId="0" xfId="0" applyFont="1"/>
    <xf numFmtId="14" fontId="30" fillId="0" borderId="0" xfId="0" applyNumberFormat="1" applyFont="1"/>
    <xf numFmtId="2" fontId="30" fillId="0" borderId="0" xfId="0" applyNumberFormat="1" applyFont="1"/>
    <xf numFmtId="0" fontId="29" fillId="2" borderId="6" xfId="6" applyNumberFormat="1" applyFont="1" applyFill="1" applyBorder="1" applyAlignment="1">
      <alignment horizontal="center"/>
    </xf>
    <xf numFmtId="22" fontId="30" fillId="0" borderId="0" xfId="0" applyNumberFormat="1" applyFont="1"/>
    <xf numFmtId="164" fontId="30" fillId="0" borderId="0" xfId="0" applyNumberFormat="1" applyFont="1"/>
    <xf numFmtId="20" fontId="30" fillId="0" borderId="0" xfId="0" applyNumberFormat="1" applyFont="1"/>
    <xf numFmtId="43" fontId="30" fillId="0" borderId="0" xfId="0" applyNumberFormat="1" applyFont="1"/>
    <xf numFmtId="0" fontId="30" fillId="34" borderId="0" xfId="0" applyFont="1" applyFill="1"/>
    <xf numFmtId="14" fontId="30" fillId="34" borderId="0" xfId="0" applyNumberFormat="1" applyFont="1" applyFill="1"/>
    <xf numFmtId="49" fontId="30" fillId="34" borderId="0" xfId="0" applyNumberFormat="1" applyFont="1" applyFill="1"/>
    <xf numFmtId="165" fontId="30" fillId="34" borderId="0" xfId="0" applyNumberFormat="1" applyFont="1" applyFill="1"/>
    <xf numFmtId="2" fontId="30" fillId="34" borderId="0" xfId="0" applyNumberFormat="1" applyFont="1" applyFill="1"/>
    <xf numFmtId="0" fontId="30" fillId="34" borderId="0" xfId="0" applyNumberFormat="1" applyFont="1" applyFill="1"/>
  </cellXfs>
  <cellStyles count="49">
    <cellStyle name="20% - Accent1" xfId="25" builtinId="30" customBuiltin="1"/>
    <cellStyle name="20% - Accent2" xfId="29" builtinId="34" customBuiltin="1"/>
    <cellStyle name="20% - Accent3" xfId="33" builtinId="38" customBuiltin="1"/>
    <cellStyle name="20% - Accent4" xfId="37" builtinId="42" customBuiltin="1"/>
    <cellStyle name="20% - Accent5" xfId="41" builtinId="46" customBuiltin="1"/>
    <cellStyle name="20% - Accent6" xfId="45" builtinId="50" customBuiltin="1"/>
    <cellStyle name="40% - Accent1" xfId="26" builtinId="31" customBuiltin="1"/>
    <cellStyle name="40% - Accent2" xfId="30" builtinId="35" customBuiltin="1"/>
    <cellStyle name="40% - Accent3" xfId="34" builtinId="39" customBuiltin="1"/>
    <cellStyle name="40% - Accent4" xfId="38" builtinId="43" customBuiltin="1"/>
    <cellStyle name="40% - Accent5" xfId="42" builtinId="47" customBuiltin="1"/>
    <cellStyle name="40% - Accent6" xfId="46" builtinId="51" customBuiltin="1"/>
    <cellStyle name="60% - Accent1" xfId="27" builtinId="32" customBuiltin="1"/>
    <cellStyle name="60% - Accent2" xfId="31" builtinId="36" customBuiltin="1"/>
    <cellStyle name="60% - Accent3" xfId="35" builtinId="40" customBuiltin="1"/>
    <cellStyle name="60% - Accent4" xfId="39" builtinId="44" customBuiltin="1"/>
    <cellStyle name="60% - Accent5" xfId="43" builtinId="48" customBuiltin="1"/>
    <cellStyle name="60% - Accent6" xfId="47" builtinId="52" customBuiltin="1"/>
    <cellStyle name="Accent1" xfId="24" builtinId="29" customBuiltin="1"/>
    <cellStyle name="Accent2" xfId="28" builtinId="33" customBuiltin="1"/>
    <cellStyle name="Accent3" xfId="32" builtinId="37" customBuiltin="1"/>
    <cellStyle name="Accent4" xfId="36" builtinId="41" customBuiltin="1"/>
    <cellStyle name="Accent5" xfId="40" builtinId="45" customBuiltin="1"/>
    <cellStyle name="Accent6" xfId="44" builtinId="49" customBuiltin="1"/>
    <cellStyle name="Bad" xfId="13" builtinId="27" customBuiltin="1"/>
    <cellStyle name="Calculation" xfId="17" builtinId="22" customBuiltin="1"/>
    <cellStyle name="Check Cell" xfId="19" builtinId="23" customBuiltin="1"/>
    <cellStyle name="Currency 2" xfId="48" xr:uid="{00000000-0005-0000-0000-00001B000000}"/>
    <cellStyle name="Explanatory Text" xfId="22" builtinId="53" customBuiltin="1"/>
    <cellStyle name="Good" xfId="12" builtinId="26" customBuiltin="1"/>
    <cellStyle name="Heading 1" xfId="8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Hyperlink" xfId="1" builtinId="8"/>
    <cellStyle name="Input" xfId="15" builtinId="20" customBuiltin="1"/>
    <cellStyle name="Linked Cell" xfId="18" builtinId="24" customBuiltin="1"/>
    <cellStyle name="Neutral" xfId="14" builtinId="28" customBuiltin="1"/>
    <cellStyle name="Normal" xfId="0" builtinId="0"/>
    <cellStyle name="Normal 2" xfId="2" xr:uid="{00000000-0005-0000-0000-000027000000}"/>
    <cellStyle name="Normal 3" xfId="3" xr:uid="{00000000-0005-0000-0000-000028000000}"/>
    <cellStyle name="Normal 5" xfId="4" xr:uid="{00000000-0005-0000-0000-000029000000}"/>
    <cellStyle name="Normal_Sheet1" xfId="5" xr:uid="{00000000-0005-0000-0000-00002A000000}"/>
    <cellStyle name="Normal_Sheet2" xfId="6" xr:uid="{00000000-0005-0000-0000-00002B000000}"/>
    <cellStyle name="Note" xfId="21" builtinId="10" customBuiltin="1"/>
    <cellStyle name="Output" xfId="16" builtinId="21" customBuiltin="1"/>
    <cellStyle name="Title" xfId="7" builtinId="15" customBuiltin="1"/>
    <cellStyle name="Total" xfId="23" builtinId="25" customBuiltin="1"/>
    <cellStyle name="Warning Text" xfId="20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</xdr:row>
      <xdr:rowOff>0</xdr:rowOff>
    </xdr:from>
    <xdr:to>
      <xdr:col>13</xdr:col>
      <xdr:colOff>246781</xdr:colOff>
      <xdr:row>49</xdr:row>
      <xdr:rowOff>141762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571500"/>
          <a:ext cx="6952381" cy="8904762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C:/demo-systems/SYS3%20-%20MIFID/DEMOXMLSTATIC/XML%20Deal%20Generator/XMLDealGenerator-Accounts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SL" refreshedDate="42460.695671875001" createdVersion="5" refreshedVersion="5" minRefreshableVersion="3" recordCount="2723" xr:uid="{00000000-000A-0000-FFFF-FFFF00000000}">
  <cacheSource type="worksheet">
    <worksheetSource ref="A1:O1048576" sheet="Spot" r:id="rId2"/>
  </cacheSource>
  <cacheFields count="15">
    <cacheField name="Key" numFmtId="0">
      <sharedItems containsBlank="1"/>
    </cacheField>
    <cacheField name="DealType" numFmtId="0">
      <sharedItems containsBlank="1"/>
    </cacheField>
    <cacheField name="MsgID" numFmtId="0">
      <sharedItems containsBlank="1"/>
    </cacheField>
    <cacheField name="ExecType" numFmtId="0">
      <sharedItems containsString="0" containsBlank="1" containsNumber="1" containsInteger="1" minValue="0" maxValue="0"/>
    </cacheField>
    <cacheField name="TradeDate" numFmtId="0">
      <sharedItems containsNonDate="0" containsDate="1" containsString="0" containsBlank="1" minDate="2016-03-31T00:00:00" maxDate="2016-04-01T00:00:00"/>
    </cacheField>
    <cacheField name="ExtRefNo" numFmtId="0">
      <sharedItems containsBlank="1" containsMixedTypes="1" containsNumber="1" containsInteger="1" minValue="1795" maxValue="312148139" count="2721">
        <n v="30102373"/>
        <s v="32-1458747973-1753-409739"/>
        <s v="1191-1458747966-6284-4668090"/>
        <s v="10-1458747965-9604-4642443"/>
        <s v="1516-1458747964-3083-4604414"/>
        <s v="172-1458747961-4002-438740"/>
        <s v="239-1458747961-3393-4110577"/>
        <s v="578-1458747958-5958-709355"/>
        <s v="743-1458747957-0414-3855820"/>
        <s v="12-1458747955-8583-79142"/>
        <s v="1477-1458747954-2582-4668086"/>
        <s v="10-1458747952-6386-4668082"/>
        <s v="578-1458747929-3092-698999"/>
        <s v="47-1458747922-3112-4668078"/>
        <s v="239-1458747920-4288-3878164"/>
        <n v="49643475"/>
        <s v="578-1458747899-5216-695531"/>
        <s v="443-1458747895-8896-4668074"/>
        <s v="10-1458747895-6215-3696074"/>
        <s v="48-1458747889-4003-4668070"/>
        <s v="10-1458747888-2701-747890"/>
        <s v="5-1458747888-4497-981592"/>
        <s v="12-1458747864-4549-4668066"/>
        <s v="1573-1458747861-6705-4570376"/>
        <s v="12-1458747839-951-4437481"/>
        <s v="578-1458747837-2731-728249"/>
        <s v="346-1458747834-9711-2739552"/>
        <s v="12-1458747822-5893-3880573"/>
        <s v="598-1458747780-1495-630068"/>
        <s v="12-1458747779-6883-3470288"/>
        <s v="32-1458747776-2446-4593230"/>
        <n v="49642961"/>
        <s v="59-1458747755-8004-177198"/>
        <s v="32-1458747735-4885-45867"/>
        <s v="10-1458747730-8384-4157698"/>
        <s v="47-1458747716-3919-4527356"/>
        <s v="99-1458747715-5691-4333021"/>
        <s v="10-1458747715-5231-4157698"/>
        <s v="12-1458747714-6975-242566"/>
        <s v="5-1458747664-3943-28187"/>
        <s v="73-1458747655-5357-1924722"/>
        <s v="1477-1458747648-068-4668062"/>
        <s v="12-1458747646-9144-162830"/>
        <s v="10-1458747637-9432-447194"/>
        <s v="228-1458747634-4582-4658650"/>
        <s v="12-1458747630-7564-3880573"/>
        <s v="10-1458747620-9974-4419382"/>
        <n v="30102289"/>
        <s v="10-1458747601-2344-1936929"/>
        <s v="10-1458747598-3599-17347"/>
        <s v="10-1458747558-7704-12603"/>
        <s v="578-1458747551-6804-4297777"/>
        <s v="419-1458747551-7383-1351758"/>
        <s v="5-1458747549-6368-4540502"/>
        <s v="99-1458747532-4013-4293976"/>
        <s v="424-1458747530-3813-4569053"/>
        <s v="10-1458747523-6589-4271683"/>
        <s v="12-1458747510-6665-712241"/>
        <s v="59-1458747498-5332-107596"/>
        <s v="12-1458747493-9397-4576319"/>
        <s v="10-1458747488-2013-4271683"/>
        <s v="10-1458747478-6403-4373083"/>
        <s v="47-1458747471-0059-4594049"/>
        <s v="32-1458747463-3011-254603"/>
        <s v="578-1458747432-1216-698909"/>
        <s v="239-1458747395-789-153187"/>
        <n v="30102229"/>
        <s v="73-1458747395-0444-4605038"/>
        <s v="21-1458747392-6295-6938"/>
        <s v="10-1458747392-5247-1811028"/>
        <s v="48-1458747375-3016-179622"/>
        <s v="12-1458747368-724-160054"/>
        <n v="30102217"/>
        <s v="32-1458747346-1867-740636"/>
        <n v="30102215"/>
        <s v="133-1458747339-5966-4664598"/>
        <s v="5-1458747333-6662-33367"/>
        <s v="5-1458747330-374-706457"/>
        <s v="99-1458747312-7371-4364311"/>
        <n v="30102204"/>
        <n v="312148139"/>
        <s v="12-1458747272-4261-242566"/>
        <s v="10-1458747269-1438-4147783"/>
        <s v="10-1458747266-0679-4532945"/>
        <s v="59-1458747263-2745-4440019"/>
        <n v="49640659"/>
        <s v="442-1458747232-1663-4665642"/>
        <s v="1138-1458747221-4579-4668034"/>
        <s v="10-1458747215-8776-4668030"/>
        <s v="1396-1458747199-9539-4594052"/>
        <n v="30102174"/>
        <n v="30102166"/>
        <s v="346-1458747174-2881-769199"/>
        <s v="12-1458747161-4162-3378623"/>
        <s v="32-1458747157-3299-4668026"/>
        <s v="12-1458747157-0487-3754099"/>
        <s v="1396-1458747151-9611-4651539"/>
        <s v="12-1458747152-607-242566"/>
        <n v="49640373"/>
        <s v="1396-1458747136-7104-4548416"/>
        <s v="5-1458747115-0895-4251424"/>
        <s v="1396-1458747109-002-4647655"/>
        <n v="30102144"/>
        <s v="12-1458747107-7676-504302"/>
        <s v="99-1458747093-9202-4601033"/>
        <s v="99-1458747074-9606-4498925"/>
        <s v="12-1458747073-5104-74723"/>
        <s v="1396-1458747056-5281-4647607"/>
        <s v="73-1458747051-5617-175897"/>
        <s v="1477-1458747040-669-4668018"/>
        <s v="34-1458747035-7105-260240"/>
        <s v="32-1458747033-3521-43793"/>
        <n v="30102114"/>
        <s v="1396-1458747016-9331-4507037"/>
        <s v="578-1458747015-7541-1159286"/>
        <s v="73-1458747010-0108-4605038"/>
        <s v="5-1458747006-3157-4099414"/>
        <s v="73-1458747001-7362-729725"/>
        <s v="419-1458746988-312-2616219"/>
        <s v="5-1458746979-1341-33367"/>
        <s v="32-1458746969-1533-46317"/>
        <s v="346-1458746967-766-4344646"/>
        <s v="73-1458746965-2139-2608614"/>
        <s v="12-1458746925-6373-232267"/>
        <s v="10-1458746925-3115-4640951"/>
        <s v="133-1458746898-0178-245404"/>
        <s v="578-1458746880-1779-693467"/>
        <s v="10-1458746876-7767-4652239"/>
        <s v="12-1458746859-0184-74723"/>
        <s v="99-1458746856-6198-4313449"/>
        <s v="10-1458746852-0069-4652239"/>
        <n v="312147259"/>
        <s v="12-1458746822-3781-160054"/>
        <s v="1304-1458746816-506-4668010"/>
        <s v="21-1458746798-6198-2525232"/>
        <s v="1138-1458746797-6346-4667830"/>
        <s v="5-1458746783-5734-4251424"/>
        <n v="30102044"/>
        <s v="1516-1458746761-2612-4662278"/>
        <s v="47-1458746751-6595-1637916"/>
        <s v="239-1458746725-2934-4250266"/>
        <s v="12-1458746723-0252-504302"/>
        <n v="49638461"/>
        <s v="888-1458746702-8697-4300036"/>
        <s v="5-1458746699-1479-654461"/>
        <s v="10-1458746684-9189-747890"/>
        <s v="133-1458746677-2198-245404"/>
        <s v="5-1458746676-1607-26895"/>
        <s v="598-1458746670-7232-630068"/>
        <s v="12-1458746645-0324-74723"/>
        <s v="5-1458746630-9664-950141"/>
        <s v="12-1458746615-5821-4668002"/>
        <s v="12-1458746617-6621-4188574"/>
        <n v="312146859"/>
        <s v="47-1458746602-2425-4576292"/>
        <n v="30101992"/>
        <s v="10-1458746576-4833-680093"/>
        <s v="10-1458746558-6642-4507835"/>
        <s v="10-1458746549-0741-4406614"/>
        <s v="12-1458746530-5054-3440300"/>
        <n v="30101972"/>
        <s v="601-1458746518-6244-4628231"/>
        <s v="12-1458746508-0233-3880573"/>
        <s v="346-1458746478-4659-789497"/>
        <s v="5-1458746462-9496-950141"/>
        <s v="48-1458746459-8885-4667998"/>
        <s v="7-1458746459-6368-2403543"/>
        <s v="346-1458746445-925-1556625"/>
        <s v="32-1458746441-2677-84375"/>
        <n v="312146539"/>
        <n v="312146521"/>
        <s v="10-1458746424-32-4544198"/>
        <s v="12-1458746418-1853-74723"/>
        <n v="312146497"/>
        <s v="99-1458746406-3206-4610931"/>
        <s v="10-1458746406-2932-3898936"/>
        <n v="30101940"/>
        <s v="215-1458746392-7784-2904197"/>
        <s v="232-1458746374-0085-4628775"/>
        <s v="620-1458746361-8275-1239471"/>
        <s v="10-1458746353-0718-4667118"/>
        <s v="1516-1458746345-6214-4604414"/>
        <s v="1477-1458746335-1608-4667986"/>
        <s v="424-1458746316-5021-2249509"/>
        <n v="30101912"/>
        <s v="47-1458746303-4703-4667978"/>
        <s v="12-1458746300-9501-1744713"/>
        <s v="10-1458746289-9602-4481066"/>
        <s v="578-1458746271-9581-4339171"/>
        <s v="5-1458746270-7727-4598606"/>
        <s v="12-1458746270-3384-4637351"/>
        <s v="10-1458746265-0912-4481066"/>
        <s v="5-1458746249-012-950141"/>
        <s v="5-1458746239-2328-981592"/>
        <s v="578-1458746231-952-929243"/>
        <n v="312146149"/>
        <s v="12-1458746220-1434-367613"/>
        <s v="73-1458746217-7703-175897"/>
        <s v="10-1458746217-4327-378850"/>
        <s v="573-1458746216-7475-4643931"/>
        <n v="312146095"/>
        <s v="73-1458746193-2341-806384"/>
        <n v="30101890"/>
        <s v="99-1458746173-1437-4346641"/>
        <s v="743-1458746168-6551-3855820"/>
        <s v="346-1458746166-6739-634796"/>
        <s v="10-1458746162-6717-4663102"/>
        <n v="312146011"/>
        <s v="5-1458746156-7567-620771"/>
        <s v="12-1458746144-1377-4479257"/>
        <s v="99-1458746126-5229-4313140"/>
        <s v="73-1458746122-7364-4440571"/>
        <s v="578-1458746116-6377-775367"/>
        <n v="49635637"/>
        <n v="30101860"/>
        <s v="59-1458746096-7529-4277233"/>
        <s v="419-1458746095-5156-493139"/>
        <n v="30101859"/>
        <s v="10-1458746083-0439-4544198"/>
        <n v="49635797"/>
        <s v="578-1458746071-8956-4339171"/>
        <s v="99-1458746070-9387-4296232"/>
        <s v="32-1458746069-3562-55981"/>
        <s v="32-1458746066-9969-91885"/>
        <n v="312145809"/>
        <n v="312145769"/>
        <s v="5-1458746039-7721-620264"/>
        <n v="312145745"/>
        <s v="10-1458746020-3697-4489325"/>
        <s v="73-1458746002-7804-651677"/>
        <s v="47-1458745998-0812-1642266"/>
        <n v="312145683"/>
        <n v="312145663"/>
        <s v="10-1458745981-9407-4482"/>
        <n v="312145641"/>
        <s v="51-1458745978-2864-451269"/>
        <s v="73-1458745976-7035-3011747"/>
        <s v="133-1458745964-5161-4664598"/>
        <s v="5-1458745957-9398-4228378"/>
        <s v="34-1458745953-7375-4639375"/>
        <s v="419-1458745948-2101-638288"/>
        <s v="419-1458745947-0684-493139"/>
        <s v="5-1458745944-7822-1494702"/>
        <s v="34-1458745944-8607-40251"/>
        <s v="12-1458745943-9621-176202"/>
        <s v="10-1458745943-7802-4481066"/>
        <n v="30101811"/>
        <n v="312145547"/>
        <s v="12-1458745927-2825-4620111"/>
        <n v="312145521"/>
        <s v="12-1458745916-335-4479257"/>
        <s v="10-1458745911-6181-2285760"/>
        <n v="312145483"/>
        <s v="5-1458745909-1416-390239"/>
        <n v="312145465"/>
        <s v="10-1458745896-1596-4042999"/>
        <s v="10-1458745893-2358-4409302"/>
        <s v="12-1458745890-6714-3880573"/>
        <n v="312145451"/>
        <n v="312145441"/>
        <n v="312145435"/>
        <s v="10-1458745878-5418-4481066"/>
        <s v="232-1458745876-804-4628775"/>
        <s v="73-1458745873-8392-729725"/>
        <s v="10-1458745872-0645-4520051"/>
        <s v="32-1458745863-3439-84375"/>
        <s v="12-1458745862-1136-3537092"/>
        <s v="5-1458745861-1447-968248"/>
        <s v="5-1458745856-8817-220941"/>
        <s v="10-1458745856-9048-4520051"/>
        <s v="10-1458745855-5041-2285760"/>
        <s v="10-1458745849-9941-22461"/>
        <s v="10-1458745845-0467-4481066"/>
        <s v="1477-1458745842-5852-4667950"/>
        <n v="312145347"/>
        <s v="10-1458745835-9457-4667946"/>
        <s v="10-1458745833-4772-4520051"/>
        <s v="420-1458745832-0254-495153"/>
        <s v="1138-1458745827-3533-4652566"/>
        <s v="346-1458745823-1455-733037"/>
        <n v="312145317"/>
        <s v="10-1458745817-1855-4520051"/>
        <n v="312145305"/>
        <n v="312145279"/>
        <n v="312145273"/>
        <s v="10-1458745794-2632-4520051"/>
        <s v="346-1458745792-5763-754313"/>
        <n v="30101759"/>
        <s v="743-1458745778-9528-4572461"/>
        <s v="10-1458745775-547-4520051"/>
        <n v="312145237"/>
        <s v="420-1458745769-0239-2941454"/>
        <n v="312145233"/>
        <n v="312145215"/>
        <s v="10-1458745750-3277-4445950"/>
        <s v="10-1458745745-5352-4591436"/>
        <s v="73-1458745739-6327-651677"/>
        <s v="419-1458745727-5179-493139"/>
        <s v="1477-1458745719-6084-4667930"/>
        <s v="10-1458745712-4883-4532945"/>
        <s v="32-1458745707-8448-2175007"/>
        <n v="312145153"/>
        <s v="10-1458745706-5083-4511594"/>
        <s v="1138-1458745703-7572-4667830"/>
        <s v="346-1458745698-9035-789497"/>
        <s v="99-1458745697-7087-4596212"/>
        <s v="32-1458745690-8252-436550"/>
        <n v="312145135"/>
        <n v="312145131"/>
        <n v="312145133"/>
        <s v="12-1458745667-5267-4663274"/>
        <n v="312145089"/>
        <s v="10-1458745662-0217-4667226"/>
        <s v="5-1458745648-0275-26043"/>
        <s v="419-1458745631-973-1193804"/>
        <s v="73-1458745628-6507-175897"/>
        <s v="12-1458745624-4426-1744713"/>
        <s v="346-1458745623-5284-792584"/>
        <s v="73-1458745611-949-4605038"/>
        <s v="683-1458745588-5695-4667914"/>
        <s v="743-1458745578-9015-4532876"/>
        <s v="133-1458745571-3694-245404"/>
        <s v="10-1458745562-2784-4643743"/>
        <s v="578-1458745551-1321-844556"/>
        <s v="346-1458745542-7891-4667910"/>
        <n v="30101686"/>
        <s v="51-1458745545-9478-3891667"/>
        <s v="73-1458745537-149-4241785"/>
        <s v="5-1458745528-548-220941"/>
        <s v="620-1458745524-7701-1229160"/>
        <n v="312144881"/>
        <s v="572-1458745515-3083-4425166"/>
        <s v="32-1458745511-7134-4563545"/>
        <s v="419-1458745485-5535-493139"/>
        <s v="133-1458745484-2526-4664598"/>
        <s v="572-1458745478-7164-4573010"/>
        <s v="10-1458745475-3044-50775"/>
        <s v="10-1458745459-7319-4573685"/>
        <s v="10-1458745444-8949-4121392"/>
        <s v="239-1458745430-0549-1739964"/>
        <n v="30101650"/>
        <s v="10-1458745403-8138-4663958"/>
        <s v="12-1458745397-6544-1646094"/>
        <s v="12-1458745393-1743-3302711"/>
        <s v="10-1458745386-9964-49247"/>
        <s v="12-1458745384-1739-3719651"/>
        <s v="12-1458745381-1893-4620111"/>
        <s v="12-1458745369-5444-4667898"/>
        <s v="10-1458745368-2832-1142420"/>
        <s v="48-1458745367-0353-4539290"/>
        <s v="1292-1458745358-8455-4667894"/>
        <n v="312144699"/>
        <s v="73-1458745353-0134-3932332"/>
        <s v="346-1458745350-0647-1118828"/>
        <s v="578-1458745346-327-1165457"/>
        <s v="10-1458745322-9349-313029"/>
        <s v="32-1458745322-3777-4647299"/>
        <s v="424-1458745319-3727-4521119"/>
        <s v="346-1458745316-776-4638091"/>
        <s v="10-1458745307-9548-4339717"/>
        <s v="419-1458745304-7565-4639303"/>
        <s v="73-1458745300-9604-729725"/>
        <n v="30101595"/>
        <s v="1513-1458745288-2285-4664482"/>
        <s v="346-1458745282-8995-769199"/>
        <s v="73-1458745282-9367-1585404"/>
        <s v="21-1458745279-0994-1221746"/>
        <s v="10-1458745274-1169-4399045"/>
        <s v="419-1458745272-4116-638288"/>
        <n v="312144585"/>
        <n v="30101586"/>
        <s v="346-1458745246-1096-4667874"/>
        <s v="10-1458745248-7874-313029"/>
        <s v="419-1458745239-943-493139"/>
        <s v="51-1458745233-8376-3891667"/>
        <s v="420-1458745221-926-959239"/>
        <s v="12-1458745219-7186-3880573"/>
        <s v="10-1458745215-0566-302450"/>
        <n v="30101566"/>
        <s v="419-1458745210-5591-2006085"/>
        <s v="10-1458745203-5605-4392052"/>
        <s v="578-1458745187-618-1365714"/>
        <s v="10-1458745186-1212-4404499"/>
        <s v="1513-1458745177-7599-4664482"/>
        <s v="12-1458745172-0881-3550862"/>
        <n v="30101558"/>
        <s v="228-1458745154-0413-4351249"/>
        <s v="73-1458745144-6511-651677"/>
        <s v="12-1458745137-3589-1626960"/>
        <s v="573-1458745133-7812-4384558"/>
        <s v="419-1458745126-5135-1425933"/>
        <s v="10-1458745118-9836-4020427"/>
        <s v="1477-1458745105-6536-4667866"/>
        <s v="10-1458745085-5947-4399045"/>
        <s v="10-1458745083-2972-4484831"/>
        <s v="12-1458745081-1667-3661568"/>
        <s v="420-1458745080-0605-959239"/>
        <s v="419-1458745072-9819-1038088"/>
        <s v="10-1458745063-6148-4495"/>
        <s v="346-1458745053-7046-733037"/>
        <s v="419-1458745052-3782-516435"/>
        <n v="49631635"/>
        <s v="12-1458745043-7303-2607075"/>
        <s v="20-1458745040-4399-211223"/>
        <s v="5-1458745033-695-467496"/>
        <s v="10-1458745027-9962-4399045"/>
        <s v="99-1458745008-3355-4303411"/>
        <s v="578-1458744997-6641-4667858"/>
        <n v="30101518"/>
        <s v="73-1458744979-1641-729725"/>
        <s v="743-1458744971-8577-4667854"/>
        <s v="12-1458744967-9846-3880573"/>
        <s v="12-1458744959-5635-3550862"/>
        <s v="99-1458744957-8664-4636459"/>
        <s v="620-1458744942-8757-4133653"/>
        <s v="12-1458744937-6451-833411"/>
        <s v="228-1458744936-4733-4391284"/>
        <s v="419-1458744933-0669-638288"/>
        <s v="420-1458744921-7667-959239"/>
        <s v="47-1458744910-0566-3401063"/>
        <s v="10-1458744892-4863-62775"/>
        <s v="59-1458744889-4391-4603730"/>
        <s v="12-1458744883-9673-3880573"/>
        <s v="1212-1458744867-2249-4667846"/>
        <s v="12-1458744865-9126-1626960"/>
        <s v="51-1458744857-748-632594"/>
        <s v="10-1458744855-8205-4634323"/>
        <s v="12-1458744847-6659-1744713"/>
        <s v="32-1458744839-7283-1662450"/>
        <s v="12-1458744838-1481-3391997"/>
        <n v="30101459"/>
        <s v="12-1458744831-9088-73895"/>
        <s v="7-1458744814-8135-666680"/>
        <s v="5-1458744808-3472-43319"/>
        <n v="30101452"/>
        <s v="12-1458744796-669-3880573"/>
        <s v="59-1458744778-6683-2692572"/>
        <s v="21-1458744774-5898-4501160"/>
        <s v="578-1458744773-1726-4425739"/>
        <n v="1797"/>
        <s v="12-1458744751-7337-3395168"/>
        <s v="419-1458744743-3328-638288"/>
        <s v="73-1458744741-091-729725"/>
        <s v="1138-1458744724-6411-4667830"/>
        <s v="32-1458744701-072-4184599"/>
        <s v="12-1458744701-1121-4657666"/>
        <s v="346-1458744696-7016-4409881"/>
        <s v="32-1458744687-9131-4667790"/>
        <n v="30101418"/>
        <s v="10-1458744684-5437-278039"/>
        <s v="12-1458744674-276-3880573"/>
        <n v="30101410"/>
        <s v="10-1458744661-483-790322"/>
        <s v="1164-1458744637-5227-4008322"/>
        <s v="346-1458744632-376-4650975"/>
        <s v="10-1458744622-0155-4667118"/>
        <s v="47-1458744605-8617-4667822"/>
        <s v="5-1458744604-6309-952652"/>
        <s v="419-1458744603-8287-638288"/>
        <s v="5-1458744591-9344-1472247"/>
        <s v="12-1458744585-842-1744713"/>
        <s v="12-1458744578-5757-4660998"/>
        <s v="10-1458744574-4951-4591532"/>
        <s v="47-1458744574-015-4667818"/>
        <s v="99-1458744546-4275-4603787"/>
        <s v="12-1458744543-8945-582346"/>
        <n v="49629507"/>
        <s v="12-1458744535-6056-3396725"/>
        <s v="73-1458744525-6613-2608614"/>
        <n v="49629325"/>
        <s v="48-1458744508-4891-4576418"/>
        <s v="32-1458744506-925-2175007"/>
        <s v="420-1458744505-475-2502183"/>
        <s v="12-1458744502-269-4650263"/>
        <n v="49629315"/>
        <s v="346-1458744485-6355-4254412"/>
        <s v="189-1458744483-2691-4667806"/>
        <s v="48-1458744478-6751-1638633"/>
        <s v="7-1458744474-7197-2403543"/>
        <s v="7-1458744464-7378-653894"/>
        <s v="73-1458744449-8273-974818"/>
        <s v="10-1458744445-7286-2713593"/>
        <s v="743-1458744439-9898-3855820"/>
        <n v="30101342"/>
        <s v="12-1458744429-7634-74239"/>
        <s v="32-1458744417-2214-4233706"/>
        <n v="30101338"/>
        <s v="73-1458744397-8013-651677"/>
        <s v="73-1458744389-9862-1924722"/>
        <s v="10-1458744380-0375-4317853"/>
        <s v="578-1458744373-7219-691664"/>
        <s v="578-1458744373-5447-701249"/>
        <s v="10-1458744362-9497-3527885"/>
        <s v="10-1458744359-9271-1142420"/>
        <s v="99-1458744352-3952-4298974"/>
        <s v="419-1458744349-8877-4639303"/>
        <s v="578-1458744338-3127-4527467"/>
        <s v="73-1458744333-8811-2608614"/>
        <s v="10-1458744331-773-4406302"/>
        <s v="10-1458744322-3811-4317853"/>
        <s v="12-1458744321-7822-3537092"/>
        <s v="12-1458744320-643-4385863"/>
        <n v="30101304"/>
        <s v="10-1458744310-9835-16821"/>
        <s v="12-1458744309-1838-3909664"/>
        <s v="232-1458744304-5996-4491176"/>
        <s v="12-1458744287-524-3537092"/>
        <n v="30101302"/>
        <s v="73-1458744264-3527-2287455"/>
        <s v="10-1458744261-3549-7803"/>
        <n v="30101295"/>
        <n v="30101290"/>
        <s v="47-1458744238-3504-4535294"/>
        <s v="32-1458744230-6255-43811"/>
        <s v="73-1458744228-8035-4605038"/>
        <s v="10-1458744227-2555-7803"/>
        <s v="32-1458744226-6033-432874"/>
        <s v="12-1458744225-2257-196143"/>
        <s v="12-1458744223-8819-1744713"/>
        <s v="32-1458744221-2636-4667790"/>
        <s v="12-1458744209-7061-4667786"/>
        <s v="10-1458744209-2463-2950799"/>
        <s v="133-1458744207-121-4665182"/>
        <s v="419-1458744202-5512-4613181"/>
        <s v="10-1458744197-1844-4484831"/>
        <s v="12-1458744189-2166-1646094"/>
        <s v="7-1458744183-2417-209340"/>
        <s v="10-1458744171-8504-6689"/>
        <s v="32-1458744170-2921-434363"/>
        <s v="12-1458744168-9116-3391997"/>
        <s v="10-1458744167-5281-3401"/>
        <s v="31-1458744150-1076-4359964"/>
        <s v="578-1458744147-5553-4527467"/>
        <s v="346-1458744146-9627-4320733"/>
        <s v="99-1458744143-3378-4292599"/>
        <s v="10-1458744142-4825-4484831"/>
        <s v="73-1458744127-6612-2287455"/>
        <s v="12-1458744120-0733-801194"/>
        <s v="420-1458744114-389-608978"/>
        <n v="30101255"/>
        <s v="239-1458744094-278-189916"/>
        <s v="7-1458744086-8715-3042332"/>
        <s v="47-1458744064-2899-3401063"/>
        <s v="10-1458744062-9127-4667226"/>
        <s v="73-1458744062-2815-729725"/>
        <s v="5-1458744058-9228-43319"/>
        <s v="48-1458744052-4902-4651263"/>
        <s v="12-1458744050-653-1744713"/>
        <s v="73-1458744042-9854-175897"/>
        <s v="10-1458744042-178-4374856"/>
        <s v="20-1458744040-4504-3809446"/>
        <s v="424-1458744034-1683-2812196"/>
        <s v="12-1458744032-1886-4487528"/>
        <s v="578-1458744026-065-899003"/>
        <s v="419-1458744020-2988-1087388"/>
        <s v="12-1458744017-7871-3409895"/>
        <s v="10-1458744010-2312-4596719"/>
        <n v="30101221"/>
        <n v="30101218"/>
        <n v="30101216"/>
        <s v="73-1458743974-3624-2287455"/>
        <s v="48-1458743949-1004-4526744"/>
        <s v="10-1458743940-0528-4395100"/>
        <s v="5-1458743934-4032-750824"/>
        <s v="5-1458743927-5734-641564"/>
        <s v="1573-1458743921-9621-4409494"/>
        <s v="99-1458743920-7114-4293268"/>
        <s v="5-1458743918-9721-1380957"/>
        <s v="743-1458743909-6162-3414146"/>
        <s v="12-1458743905-1518-224059"/>
        <s v="12-1458743903-7227-330171"/>
        <s v="10-1458743898-9518-7803"/>
        <s v="73-1458743880-563-3932332"/>
        <s v="32-1458743880-2701-49929"/>
        <s v="10-1458743851-8538-7803"/>
        <s v="424-1458743845-5661-2812196"/>
        <s v="12-1458743843-891-82238"/>
        <s v="10-1458743843-4913-4651663"/>
        <s v="10-1458743836-6341-7803"/>
        <s v="32-1458743813-4741-55981"/>
        <s v="48-1458743811-2372-4651263"/>
        <s v="12-1458743806-4071-3550862"/>
        <s v="1138-1458743799-5857-4652566"/>
        <s v="10-1458743791-6349-3021344"/>
        <s v="48-1458743786-4957-1638633"/>
        <s v="10-1458743779-1478-2774654"/>
        <s v="10-1458743776-6755-715106"/>
        <s v="5-1458743754-0034-981592"/>
        <n v="30101160"/>
        <s v="48-1458743743-9787-4526741"/>
        <s v="346-1458743730-9691-829898"/>
        <s v="99-1458743729-2117-4294237"/>
        <s v="12-1458743725-7973-4667754"/>
        <s v="12-1458743727-7316-3391997"/>
        <s v="10-1458743708-1695-318902"/>
        <s v="1138-1458743698-9595-4666034"/>
        <s v="10-1458743695-2984-4596719"/>
        <s v="10-1458743692-799-3815821"/>
        <n v="30101141"/>
        <s v="73-1458743671-6776-1924722"/>
        <s v="420-1458743659-8186-532892"/>
        <s v="32-1458743656-0304-38925"/>
        <s v="5-1458743651-8989-1380957"/>
        <s v="10-1458743649-8711-4667750"/>
        <s v="5-1458743649-7411-641564"/>
        <s v="59-1458743648-4829-4013866"/>
        <s v="7-1458743641-1006-3042332"/>
        <s v="10-1458743631-7975-4621"/>
        <s v="10-1458743605-8008-4667750"/>
        <s v="419-1458743604-8006-4613181"/>
        <s v="10-1458743604-0025-4455322"/>
        <s v="1161-1458743592-8703-4659122"/>
        <s v="620-1458743590-7991-2393745"/>
        <s v="12-1458743574-885-2920259"/>
        <s v="99-1458743564-8433-4400515"/>
        <s v="419-1458743549-1616-4310440"/>
        <s v="12-1458743542-8716-1568991"/>
        <s v="10-1458743538-9184-4667118"/>
        <n v="30101110"/>
        <s v="419-1458743536-8547-682040"/>
        <s v="10-1458743527-8443-4627663"/>
        <s v="419-1458743519-4628-941546"/>
        <n v="312142179"/>
        <s v="12-1458743498-9125-79419"/>
        <s v="12-1458743495-495-3474926"/>
        <s v="73-1458743489-312-4605038"/>
        <s v="32-1458743478-3183-487350"/>
        <s v="12-1458743475-2798-173665"/>
        <s v="12-1458743469-8729-4005052"/>
        <s v="99-1458743460-0061-4667734"/>
        <s v="99-1458743450-0235-4667122"/>
        <s v="1212-1458743449-5511-4667726"/>
        <s v="10-1458743437-0459-2362242"/>
        <s v="5-1458743421-2696-1380957"/>
        <s v="7-1458743395-7051-3042332"/>
        <s v="12-1458743371-5079-1047499"/>
        <s v="420-1458743368-9982-959239"/>
        <s v="10-1458743368-0909-4610685"/>
        <s v="578-1458743366-4962-697580"/>
        <s v="48-1458743349-7138-4651263"/>
        <s v="99-1458743340-2461-4372708"/>
        <s v="419-1458743335-8462-4310440"/>
        <n v="312141739"/>
        <s v="443-1458743311-9361-4601333"/>
        <s v="10-1458743289-8355-4044544"/>
        <n v="312141679"/>
        <s v="10-1458743272-2777-4663350"/>
        <n v="30101059"/>
        <s v="10-1458743259-3505-4462465"/>
        <s v="419-1458743243-6608-516435"/>
        <n v="312141571"/>
        <s v="10-1458743212-5917-3613694"/>
        <s v="1573-1458743203-7669-4489775"/>
        <s v="10-1458743195-0721-2713593"/>
        <s v="7-1458743188-4526-3042332"/>
        <s v="743-1458743169-7582-4572128"/>
        <s v="47-1458743151-4917-3401063"/>
        <s v="10-1458743138-752-676460"/>
        <s v="12-1458743131-3538-79419"/>
        <s v="73-1458743129-7941-2509218"/>
        <s v="12-1458743125-8915-3848569"/>
        <s v="443-1458743121-612-4601333"/>
        <s v="32-1458743119-6367-444807"/>
        <s v="1161-1458743113-5302-4659122"/>
        <s v="5-1458743090-4551-1380957"/>
        <n v="30101011"/>
        <s v="420-1458743065-895-959239"/>
        <n v="49623361"/>
        <n v="30100992"/>
        <s v="10-1458743055-2161-3834670"/>
        <s v="420-1458743046-5209-495336"/>
        <s v="12-1458743043-7146-195718"/>
        <s v="424-1458743027-7263-3883846"/>
        <n v="30101004"/>
        <s v="10-1458743019-215-4625783"/>
        <s v="578-1458743015-7683-691664"/>
        <s v="10-1458743012-6267-401385"/>
        <s v="10-1458742996-2898-318902"/>
        <n v="312141129"/>
        <n v="49622801"/>
        <s v="10-1458742938-0137-4651843"/>
        <s v="5-1458742906-5796-1380957"/>
        <s v="346-1458742891-8001-1321689"/>
        <s v="10-1458742872-5003-4121881"/>
        <n v="30100970"/>
        <s v="32-1458742852-8199-84375"/>
        <n v="30100971"/>
        <s v="32-1458742846-1995-4211422"/>
        <s v="10-1458742842-5539-4610685"/>
        <s v="10-1458742832-1634-4667118"/>
        <s v="10-1458742831-2773-4628995"/>
        <s v="5-1458742820-7895-750824"/>
        <s v="59-1458742812-4175-3841534"/>
        <s v="215-1458742801-8503-4667698"/>
        <s v="10-1458742793-9433-187706"/>
        <s v="31-1458742784-501-4359964"/>
        <s v="5-1458742776-3899-1380957"/>
        <s v="10-1458742770-1278-3920059"/>
        <s v="743-1458742758-3642-2934683"/>
        <s v="12-1458742756-3237-3699518"/>
        <s v="48-1458742751-4435-4526744"/>
        <s v="309796606_REF"/>
        <n v="309796606"/>
        <s v="10-1458742743-6499-4350859"/>
        <s v="10-1458742726-3595-4667118"/>
        <n v="49621617"/>
        <s v="578-1458742712-083-697580"/>
        <s v="232-1458742709-8322-4667378"/>
        <s v="31-1458742708-721-4359964"/>
        <s v="48-1458742687-2857-4651263"/>
        <n v="30100929"/>
        <s v="283-1458742652-5142-4540442"/>
        <s v="10-1458742648-9367-6272"/>
        <s v="7-1458742637-2164-206608"/>
        <s v="12-1458742633-7246-3880573"/>
        <s v="1161-1458742629-2419-4659122"/>
        <s v="73-1458742626-2246-4605038"/>
        <s v="12-1458742618-9892-3417110"/>
        <s v="419-1458742603-3875-4639303"/>
        <s v="443-1458742586-6692-4601333"/>
        <s v="420-1458742567-0048-959239"/>
        <s v="59-1458742563-5879-624119"/>
        <s v="424-1458742562-2863-498502"/>
        <n v="312140449"/>
        <s v="48-1458742547-3708-4520870"/>
        <s v="419-1458742538-4466-3886864"/>
        <n v="312140421"/>
        <s v="32-1458742534-8248-4563545"/>
        <s v="10-1458742533-749-4452958"/>
        <s v="578-1458742522-4283-697580"/>
        <n v="312140383"/>
        <s v="51-1458742515-8261-888284"/>
        <s v="5-1458742514-0181-1721661"/>
        <s v="346-1458742511-0553-4630703"/>
        <s v="99-1458742506-1023-4539851"/>
        <s v="35-1458742505-9329-80148"/>
        <n v="30100873"/>
        <n v="312140309"/>
        <s v="99-1458742474-2904-4590479"/>
        <s v="12-1458742470-6357-3880573"/>
        <s v="12-1458742461-0293-82238"/>
        <s v="12-1458742445-9512-3683090"/>
        <n v="30100853"/>
        <n v="312140231"/>
        <s v="578-1458742427-3974-693857"/>
        <s v="10-1458742406-6336-4586837"/>
        <n v="312140167"/>
        <s v="5-1458742379-473-882950"/>
        <s v="419-1458742370-5498-509583"/>
        <s v="12-1458742368-8496-4416871"/>
        <n v="312140093"/>
        <s v="578-1458742352-3363-4113703"/>
        <s v="10-1458742335-0443-4371670"/>
        <s v="12-1458742334-564-582346"/>
        <n v="49620227"/>
        <s v="31-1458742334-1128-4667650"/>
        <s v="10-1458742330-5241-4014196"/>
        <s v="73-1458742323-1208-1924722"/>
        <n v="312140019"/>
        <s v="12-1458742320-9322-2901494"/>
        <s v="420-1458742314-9951-734006"/>
        <s v="1477-1458742284-266-4667638"/>
        <s v="99-1458742281-3912-4292167"/>
        <s v="10-1458742258-6767-615089"/>
        <s v="1477-1458742243-9532-4667634"/>
        <s v="51-1458742240-8173-888284"/>
        <s v="443-1458742233-5773-4667626"/>
        <n v="312139865"/>
        <s v="32-1458742223-4678-800363"/>
        <n v="312139853"/>
        <s v="99-1458742217-2176-4333021"/>
        <s v="12-1458742204-2182-504302"/>
        <s v="10-1458742193-1061-3400223"/>
        <n v="30100792"/>
        <n v="312139805"/>
        <s v="47-1458742177-916-2666556"/>
        <s v="10-1458742169-139-33571"/>
        <s v="419-1458742167-2967-682874"/>
        <n v="312139769"/>
        <n v="30100778"/>
        <s v="99-1458742132-4379-4666242"/>
        <s v="10-1458742130-8396-5691"/>
        <s v="99-1458742127-9396-4667614"/>
        <s v="5-1458742129-6382-750824"/>
        <s v="59-1458742123-9543-274466"/>
        <s v="32-1458742107-0626-84375"/>
        <n v="312139675"/>
        <s v="32-1458742101-4328-477276"/>
        <s v="312139657_REF"/>
        <s v="419-1458742097-3578-4639303"/>
        <s v="1477-1458742095-5324-4667610"/>
        <n v="312139657"/>
        <s v="32-1458742093-7936-721994"/>
        <n v="312139643"/>
        <n v="312139631"/>
        <s v="31-1458742063-8616-4359964"/>
        <s v="578-1458742052-5923-813284"/>
        <n v="312139595"/>
        <s v="12-1458742047-2451-3843199"/>
        <s v="32-1458742044-0104-84375"/>
        <s v="283-1458742039-56-4540442"/>
        <s v="59-1458742023-7102-4408771"/>
        <s v="424-1458742019-1332-1075565"/>
        <n v="312139545"/>
        <s v="12-1458742010-5884-4637351"/>
        <s v="419-1458742006-8413-509583"/>
        <n v="312139531"/>
        <n v="312139527"/>
        <n v="312139509"/>
        <n v="30100750"/>
        <n v="312139495"/>
        <s v="346-1458741963-3519-4667586"/>
        <s v="578-1458741960-8917-4664762"/>
        <n v="312139471"/>
        <s v="578-1458741936-7874-691103"/>
        <s v="424-1458741935-073-1075565"/>
        <s v="5-1458741922-5018-1889"/>
        <s v="10-1458741904-2441-4658834"/>
        <s v="48-1458741897-5418-4535072"/>
        <s v="73-1458741889-3425-1924722"/>
        <s v="59-1458741868-2805-1339545"/>
        <s v="47-1458741847-1474-2666556"/>
        <n v="30100710"/>
        <s v="420-1458741834-6454-608337"/>
        <n v="312139319"/>
        <s v="424-1458741827-592-4154080"/>
        <s v="99-1458741824-9079-4380070"/>
        <s v="5-1458741823-8672-1721661"/>
        <s v="10-1458741823-2656-8169"/>
        <s v="12-1458741821-5879-4474268"/>
        <s v="59-1458741816-4655-624119"/>
        <s v="420-1458741809-1184-608337"/>
        <s v="12-1458741790-5582-4364023"/>
        <s v="424-1458741782-8968-1075565"/>
        <s v="12-1458741751-4979-348474"/>
        <s v="10-1458741739-2594-2088366"/>
        <s v="133-1458741734-6222-4665182"/>
        <s v="5-1458741734-1423-220941"/>
        <s v="419-1458741713-4602-736556"/>
        <s v="12-1458741713-0981-4451677"/>
        <s v="419-1458741704-829-498838"/>
        <s v="424-1458741684-0469-706322"/>
        <s v="424-1458741663-5898-1075565"/>
        <s v="10-1458741663-1887-570359"/>
        <s v="73-1458741661-4699-4605038"/>
        <n v="49617311"/>
        <s v="12-1458741645-9792-4474268"/>
        <s v="1477-1458741640-6328-4667554"/>
        <s v="239-1458741639-8903-4250749"/>
        <s v="424-1458741625-2507-638897"/>
        <s v="7-1458741613-1129-93013"/>
        <s v="419-1458741610-251-1044520"/>
        <s v="10-1458741608-7713-4115041"/>
        <n v="30100656"/>
        <s v="346-1458741569-0306-964534"/>
        <s v="10-1458741567-3522-3082355"/>
        <n v="49616923"/>
        <n v="49616727"/>
        <s v="99-1458741499-4132-4296121"/>
        <s v="99-1458741478-6769-4425055"/>
        <s v="1138-1458741461-5254-4637887"/>
        <s v="10-1458741452-2973-2387682"/>
        <s v="12-1458741423-6459-79419"/>
        <s v="239-1458741422-7151-4250749"/>
        <s v="12-1458741411-7862-4474268"/>
        <s v="419-1458741388-1364-4367800"/>
        <n v="30100581"/>
        <s v="5-1458741363-8776-220941"/>
        <s v="5-1458741358-4579-460446"/>
        <s v="48-1458741327-2019-4526057"/>
        <s v="12-1458741313-801-4245034"/>
        <s v="10-1458741314-8983-29935"/>
        <s v="12-1458741305-2804-3880573"/>
        <s v="10-1458741288-2596-4589993"/>
        <s v="99-1458741286-881-4491515"/>
        <s v="34-1458741285-379-551609"/>
        <s v="32-1458741275-376-49107"/>
        <s v="99-1458741274-2608-4371661"/>
        <s v="73-1458741271-5619-1924722"/>
        <s v="424-1458741261-885-1075565"/>
        <s v="32-1458741250-8588-165877"/>
        <s v="346-1458741233-6612-4209136"/>
        <s v="743-1458741200-5211-2150283"/>
        <s v="215-1458741192-37-2114658"/>
        <s v="10-1458741189-3012-21855"/>
        <s v="578-1458741188-6527-764423"/>
        <n v="30100541"/>
        <s v="12-1458741169-7818-3880573"/>
        <s v="10-1458741168-249-4411819"/>
        <s v="578-1458741149-6371-698705"/>
        <s v="419-1458741144-5872-4310440"/>
        <n v="30100528"/>
        <s v="10-1458741110-7662-4415599"/>
        <n v="30100520"/>
        <s v="10-1458741089-3059-4415599"/>
        <s v="424-1458741086-9039-1075565"/>
        <s v="424-1458741067-5171-1282572"/>
        <s v="10-1458741067-0949-4415599"/>
        <s v="10-1458741047-2377-4408897"/>
        <s v="48-1458741036-1077-4529453"/>
        <n v="30100500"/>
        <s v="5-1458741018-2755-220941"/>
        <s v="20-1458741016-6456-1241469"/>
        <n v="30100490"/>
        <s v="10-1458740985-7842-4667226"/>
        <s v="10-1458740966-8867-4667510"/>
        <s v="99-1458740965-1474-4445989"/>
        <s v="12-1458740957-1571-3880573"/>
        <s v="12-1458740952-57-1568991"/>
        <s v="1477-1458740939-3177-4667502"/>
        <s v="12-1458740922-0286-4453402"/>
        <s v="10-1458740921-9486-4563641"/>
        <s v="99-1458740895-1894-4596212"/>
        <s v="12-1458740876-2393-1568991"/>
        <s v="346-1458740869-3124-892853"/>
        <s v="5-1458740869-3124-1889"/>
        <s v="424-1458740853-192-3883846"/>
        <s v="12-1458740846-4388-4474268"/>
        <s v="7-1458740830-5907-93013"/>
        <s v="5-1458740818-5329-981592"/>
        <s v="5-1458740811-002-309668"/>
        <s v="32-1458740810-302-57114"/>
        <s v="59-1458740797-0253-3899470"/>
        <s v="1477-1458740792-8023-4667494"/>
        <s v="346-1458740792-0542-636644"/>
        <s v="32-1458740788-0722-4667490"/>
        <s v="346-1458740777-2348-3034670"/>
        <s v="12-1458740776-6327-4637351"/>
        <s v="1477-1458740770-7233-4667486"/>
        <s v="578-1458740767-3951-4409362"/>
        <s v="1135-1458740742-1035-4626467"/>
        <s v="442-1458740714-5742-4667478"/>
        <n v="49613145"/>
        <s v="1573-1458740700-8222-4667334"/>
        <s v="133-1458740687-4399-4665182"/>
        <s v="10-1458740685-4669-4408897"/>
        <s v="12-1458740679-47-3880573"/>
        <s v="59-1458740677-5342-4667470"/>
        <n v="49613015"/>
        <s v="10-1458740676-0066-3385496"/>
        <s v="12-1458740666-8761-4667466"/>
        <s v="420-1458740660-4752-3891175"/>
        <n v="49612779"/>
        <s v="419-1458740644-6557-503619"/>
        <s v="12-1458740600-9169-4021501"/>
        <s v="34-1458740582-6755-4667458"/>
        <s v="12-1458740581-45-3396473"/>
        <s v="10-1458740581-249-3792358"/>
        <s v="346-1458740569-407-892853"/>
        <s v="10-1458740554-4777-2201917"/>
        <s v="73-1458740553-8893-1924722"/>
        <s v="10-1458740542-2483-4454482"/>
        <s v="10-1458740540-0156-4667226"/>
        <s v="1573-1458740534-2728-4440616"/>
        <s v="12-1458740525-7012-151705"/>
        <s v="1191-1458740525-6987-4667454"/>
        <s v="10-1458740509-8041-4551176"/>
        <s v="99-1458740497-0739-4319641"/>
        <s v="420-1458740494-441-3891175"/>
        <s v="35-1458740486-2713-80148"/>
        <s v="10-1458740480-3342-570359"/>
        <n v="49612189"/>
        <s v="59-1458740475-03-4013866"/>
        <s v="10-1458740461-6399-570359"/>
        <s v="5-1458740457-9156-220941"/>
        <s v="10-1458740443-8534-570359"/>
        <n v="30100333"/>
        <s v="424-1458740428-202-1075565"/>
        <s v="10-1458740423-1865-4339249"/>
        <s v="1138-1458740420-5884-4666490"/>
        <s v="51-1458740404-9642-918635"/>
        <s v="578-1458740391-0858-4544756"/>
        <s v="1477-1458740385-8731-4667430"/>
        <s v="12-1458740361-9602-1933743"/>
        <s v="12-1458740346-3976-4012219"/>
        <s v="1191-1458740318-9741-4667418"/>
        <s v="12-1458740312-7642-4474268"/>
        <s v="12-1458740299-7869-4637351"/>
        <s v="99-1458740292-7866-4667414"/>
        <s v="424-1458740283-5951-1075565"/>
        <s v="99-1458740265-9852-4319641"/>
        <s v="10-1458740244-1904-9734"/>
        <s v="12-1458740240-774-3909664"/>
        <n v="30100294"/>
        <s v="12-1458740226-3731-4021501"/>
        <s v="48-1458740216-9308-259063"/>
        <s v="73-1458740212-6493-1127195"/>
        <s v="12-1458740211-7888-4291696"/>
        <s v="346-1458740208-4487-3034670"/>
        <s v="10-1458740172-3044-4460206"/>
        <s v="73-1458740161-8084-1127195"/>
        <s v="419-1458740145-429-998626"/>
        <s v="1310-1458740140-4868-4667410"/>
        <n v="312137805"/>
        <s v="51-1458740127-0307-888284"/>
        <s v="419-1458740119-5209-3566537"/>
        <s v="424-1458740115-2509-1075565"/>
        <s v="1477-1458740109-1016-4667406"/>
        <s v="1191-1458740099-6687-4667402"/>
        <s v="764-1458740096-3203-1352919"/>
        <s v="10-1458740094-6916-4667398"/>
        <s v="12-1458740087-3449-3396725"/>
        <s v="419-1458740082-9367-1044520"/>
        <s v="1573-1458740076-8015-4667334"/>
        <s v="12-1458740076-8883-522612"/>
        <s v="12-1458740067-4951-4667386"/>
        <s v="34-1458740072-0318-47707"/>
        <s v="10-1458740068-6932-4545398"/>
        <n v="30100259"/>
        <s v="232-1458740066-3915-4667378"/>
        <s v="12-1458740014-8937-160054"/>
        <n v="30100244"/>
        <s v="420-1458739980-6523-704045"/>
        <s v="424-1458739980-7349-1007983"/>
        <s v="1191-1458739960-1653-4667358"/>
        <s v="5-1458739957-0133-220941"/>
        <s v="578-1458739956-9558-4071016"/>
        <s v="424-1458739953-8326-706322"/>
        <s v="10-1458739945-5624-4495"/>
        <s v="34-1458739928-4144-60580"/>
        <s v="10-1458739927-5158-4560272"/>
        <s v="5-1458739920-3743-1889"/>
        <s v="51-1458739914-3746-918635"/>
        <s v="12-1458739909-1969-3417110"/>
        <s v="346-1458739895-3449-1118828"/>
        <n v="49609411"/>
        <s v="10-1458739872-0971-4475828"/>
        <s v="99-1458739868-4158-4328875"/>
        <s v="10-1458739858-3957-4392052"/>
        <s v="1396-1458739857-7991-4547765"/>
        <s v="419-1458739857-7957-779684"/>
        <s v="1477-1458739853-9052-4667346"/>
        <s v="1396-1458739851-6784-4459177"/>
        <s v="10-1458739830-8809-4660174"/>
        <n v="49609373"/>
        <s v="59-1458739819-4752-572171"/>
        <s v="10-1458739818-5463-615011"/>
        <s v="1573-1458739811-029-4667334"/>
        <s v="51-1458739799-5092-888284"/>
        <n v="49609259"/>
        <s v="12-1458739789-5067-294237"/>
        <s v="12-1458739786-9745-3396473"/>
        <s v="12-1458739776-4573-460109"/>
        <s v="309796314_REF"/>
        <s v="10-1458739771-4748-55699"/>
        <n v="309796314"/>
        <s v="419-1458739767-3988-998626"/>
        <s v="10-1458739761-3041-703748"/>
        <s v="12-1458739758-238-1554042"/>
        <s v="10-1458739757-3628-4667226"/>
        <s v="51-1458739753-7587-3997579"/>
        <s v="578-1458739749-4503-691103"/>
        <s v="10-1458739747-4103-4480535"/>
        <s v="1138-1458739740-5309-4632647"/>
        <s v="59-1458739723-0568-206823"/>
        <n v="30100185"/>
        <s v="10-1458739703-8542-4620339"/>
        <s v="48-1458739697-5412-1648278"/>
        <n v="30100182"/>
        <s v="48-1458739684-6392-201740"/>
        <s v="10-1458739680-9802-4157698"/>
        <s v="10-1458739667-9429-4424047"/>
        <s v="5-1458739649-0641-4332781"/>
        <n v="30100168"/>
        <n v="49608569"/>
        <s v="48-1458739634-8004-259063"/>
        <n v="30100159"/>
        <s v="1573-1458739594-8019-4667334"/>
        <s v="12-1458739596-6649-1933743"/>
        <s v="32-1458739577-9049-49107"/>
        <s v="59-1458739563-4339-116155"/>
        <s v="133-1458739549-5137-4284280"/>
        <s v="1516-1458739531-4494-4546943"/>
        <s v="10-1458739526-3361-4332655"/>
        <s v="12-1458739493-7205-4188574"/>
        <n v="49607799"/>
        <s v="1307-1458739484-2878-4667326"/>
        <s v="10-1458739487-7086-4539449"/>
        <s v="73-1458739468-3253-1127195"/>
        <n v="49607783"/>
        <s v="12-1458739452-0685-476982"/>
        <s v="10-1458739446-8949-4539449"/>
        <n v="30100124"/>
        <s v="51-1458739427-377-411307"/>
        <s v="1135-1458739427-0692-4580726"/>
        <s v="48-1458739412-608-4667318"/>
        <n v="312136737"/>
        <n v="30100116"/>
        <s v="99-1458739399-2794-4533173"/>
        <s v="59-1458739397-5632-206823"/>
        <s v="572-1458739391-1883-4573010"/>
        <s v="12-1458739390-2891-87924"/>
        <s v="5-1458739385-7123-4332781"/>
        <s v="1135-1458739385-0557-4308049"/>
        <n v="49607467"/>
        <n v="312136681"/>
        <s v="10-1458739359-0257-4286"/>
        <s v="35-1458739344-2214-80148"/>
        <s v="32-1458739342-9191-37627"/>
        <s v="73-1458739340-092-2903561"/>
        <s v="32-1458739337-0909-505087"/>
        <s v="99-1458739334-991-4667302"/>
        <s v="5-1458739326-3399-1803009"/>
        <s v="215-1458739324-8341-4542617"/>
        <s v="419-1458739320-073-1179371"/>
        <n v="312136603"/>
        <s v="1477-1458739303-2231-4667306"/>
        <s v="5-1458739296-4447-1807"/>
        <s v="424-1458739251-0719-1708575"/>
        <s v="133-1458739244-309-4665182"/>
        <s v="12-1458739229-2413-99651"/>
        <s v="10-1458739223-0095-4121881"/>
        <s v="73-1458739220-0523-3932332"/>
        <s v="12-1458739220-0938-1933743"/>
        <s v="32-1458739216-3617-65649"/>
        <s v="1477-1458739203-248-4667298"/>
        <s v="99-1458739198-396-4619815"/>
        <s v="598-1458739192-0955-3875290"/>
        <s v="419-1458739184-795-905435"/>
        <s v="10-1458739162-4931-4667226"/>
        <n v="30100057"/>
        <s v="424-1458739154-0355-498502"/>
        <s v="578-1458739148-7484-706982"/>
        <s v="1161-1458739140-2385-4231981"/>
        <s v="99-1458739137-7186-4619815"/>
        <s v="10-1458739137-77-4667294"/>
        <s v="10-1458739135-2126-933266"/>
        <s v="578-1458739132-3638-4546628"/>
        <s v="1477-1458739120-5343-4667290"/>
        <n v="49606441"/>
        <s v="1477-1458739111-6785-4667286"/>
        <n v="312136257"/>
        <s v="59-1458739096-6987-522659"/>
        <s v="10-1458739091-2771-326469"/>
        <s v="10-1458739088-1812-4385368"/>
        <s v="12-1458739084-4956-210145"/>
        <s v="1477-1458739082-9486-4667282"/>
        <s v="419-1458739060-2764-998626"/>
        <s v="73-1458739047-8146-651677"/>
        <s v="59-1458739044-6558-206823"/>
        <s v="32-1458739036-1386-196472"/>
        <s v="5-1458739002-519-2552646"/>
        <s v="73-1458738993-7775-3932332"/>
        <n v="30100013"/>
        <s v="133-1458738976-4186-219111"/>
        <n v="30100006"/>
        <s v="99-1458738969-0018-4393921"/>
        <s v="10-1458738954-9224-4405135"/>
        <s v="12-1458738952-1406-1350300"/>
        <s v="12-1458738941-4194-3618605"/>
        <s v="10-1458738938-4372-13125"/>
        <n v="30100001"/>
        <s v="419-1458738934-1812-779684"/>
        <s v="419-1458738928-7709-1179371"/>
        <s v="5-1458738900-2361-4602"/>
        <s v="1573-1458738899-19-4387333"/>
        <s v="59-1458738894-8946-4220206"/>
        <s v="10-1458738891-48-3900865"/>
        <s v="10-1458738878-6196-4486274"/>
        <s v="10-1458738875-5309-1095587"/>
        <s v="73-1458738867-8231-896921"/>
        <s v="10-1458738865-7817-2715252"/>
        <s v="10-1458738865-0632-462864"/>
        <s v="12-1458738856-762-1337910"/>
        <n v="312135813"/>
        <s v="5-1458738843-8837-1889"/>
        <s v="10-1458738829-044-4445653"/>
        <s v="10-1458738809-3329-4480601"/>
        <s v="1310-1458738803-7429-4667262"/>
        <s v="419-1458738807-2402-1179371"/>
        <s v="578-1458738796-648-706823"/>
        <s v="34-1458738796-0858-586360"/>
        <s v="12-1458738793-6028-3499454"/>
        <s v="59-1458738786-3153-206823"/>
        <s v="32-1458738778-6738-4220026"/>
        <s v="10-1458738771-901-4486274"/>
        <s v="10-1458738770-8782-4667226"/>
        <s v="32-1458738769-2581-4199443"/>
        <s v="424-1458738763-242-1708575"/>
        <s v="10-1458738761-5857-1172381"/>
        <s v="12-1458738750-3749-2944961"/>
        <s v="12-1458738749-4766-3387326"/>
        <s v="10-1458738744-3264-361879"/>
        <s v="1477-1458738732-9-4667242"/>
        <s v="419-1458738717-2964-4639303"/>
        <n v="30099932"/>
        <s v="10-1458738714-896-495144"/>
        <s v="419-1458738709-1078-1179371"/>
        <s v="578-1458738707-1257-3770653"/>
        <s v="1477-1458738700-5452-4667238"/>
        <s v="10-1458738698-4356-4486274"/>
        <n v="30099925"/>
        <s v="346-1458738685-1654-1273137"/>
        <s v="10-1458738682-3664-4667226"/>
        <s v="10-1458738659-477-4662582"/>
        <s v="32-1458738646-3267-37627"/>
        <s v="10-1458738640-4936-4511594"/>
        <n v="312135497"/>
        <s v="5-1458738633-5884-622511"/>
        <s v="578-1458738612-8894-694649"/>
        <s v="1477-1458738608-8984-4667234"/>
        <s v="73-1458738608-0559-733652"/>
        <s v="632-1458738607-9462-4613235"/>
        <s v="888-1458738606-3514-4666742"/>
        <s v="12-1458738602-6733-2981429"/>
        <s v="578-1458738576-2709-978436"/>
        <s v="73-1458738562-0299-651677"/>
        <s v="10-1458738549-7521-4667226"/>
        <s v="10-1458738539-16-4423156"/>
        <s v="12-1458738532-1142-1647462"/>
        <s v="5-1458738531-4642-309668"/>
        <s v="424-1458738529-1782-1007983"/>
        <n v="312135311"/>
        <n v="30099885"/>
        <s v="10-1458738509-4527-440247"/>
        <s v="419-1458738503-5283-498230"/>
        <s v="10-1458738503-0328-21043"/>
        <s v="595-1458738480-7001-4667210"/>
        <s v="12-1458738468-0264-210145"/>
        <n v="312135217"/>
        <s v="239-1458738462-1905-387940"/>
        <n v="312135195"/>
        <s v="10-1458738453-4113-3456371"/>
        <n v="49603669"/>
        <s v="796-1458738430-8538-1205762"/>
        <s v="5-1458738420-9276-2552646"/>
        <s v="10-1458738420-6471-3107549"/>
        <s v="12-1458738388-9962-4453402"/>
        <s v="59-1458738383-2309-4220206"/>
        <s v="10-1458738364-6137-329878"/>
        <n v="312135091"/>
        <s v="73-1458738351-1242-896921"/>
        <s v="420-1458738346-3119-495078"/>
        <s v="12-1458738344-8327-92501"/>
        <s v="12-1458738335-4591-3377993"/>
        <s v="346-1458738335-0442-1849683"/>
        <s v="48-1458738324-5176-4547099"/>
        <s v="12-1458738317-9771-4667190"/>
        <s v="12-1458738317-8147-3880573"/>
        <n v="312135027"/>
        <s v="10-1458738283-8362-657794"/>
        <s v="1573-1458738255-4292-4392337"/>
        <s v="5-1458738242-979-623549"/>
        <s v="10-1458738233-0383-2600301"/>
        <s v="1477-1458738207-9754-4667178"/>
        <s v="10-1458738203-9634-19713"/>
        <s v="5-1458738195-7986-18443"/>
        <s v="346-1458738179-1563-4268740"/>
        <s v="420-1458738170-741-4396471"/>
        <s v="20-1458738165-8644-2243947"/>
        <n v="312134905"/>
        <s v="419-1458738159-5339-4543757"/>
        <s v="34-1458738155-107-313774"/>
        <s v="5-1458738152-4096-622511"/>
        <s v="764-1458738143-6315-4179346"/>
        <s v="12-1458738139-0365-4667170"/>
        <s v="12-1458738126-2596-4444294"/>
        <s v="10-1458738106-3051-4632691"/>
        <s v="32-1458738097-6431-65649"/>
        <s v="12-1458738095-3218-242566"/>
        <s v="420-1458738094-1864-1380933"/>
        <s v="424-1458738087-8006-2925371"/>
        <s v="73-1458738084-3391-3083255"/>
        <n v="312134823"/>
        <s v="12-1458738072-0833-3699518"/>
        <s v="12-1458738070-0483-4621003"/>
        <s v="32-1458738070-0982-47603"/>
        <s v="1477-1458738057-2118-4667162"/>
        <s v="73-1458738031-0543-896921"/>
        <s v="424-1458738028-2527-1007983"/>
        <s v="346-1458738028-0951-1849683"/>
        <s v="59-1458738025-4165-2559987"/>
        <s v="73-1458738022-4325-2179405"/>
        <s v="20-1458738018-0178-3960760"/>
        <s v="59-1458738017-2507-177198"/>
        <s v="420-1458738001-6659-1215572"/>
        <s v="12-1458737982-0259-3880573"/>
        <n v="30099749"/>
        <s v="5-1458737978-5041-1889"/>
        <s v="346-1458737967-8642-3105920"/>
        <s v="12-1458737964-1946-4453402"/>
        <s v="620-1458737956-8363-3173294"/>
        <s v="12-1458737955-7754-3499454"/>
        <s v="10-1458737953-5746-4644771"/>
        <n v="49601707"/>
        <s v="578-1458737937-6049-978436"/>
        <s v="1477-1458737934-0442-4667150"/>
        <s v="99-1458737932-4353-4307605"/>
        <s v="12-1458737923-3405-3377993"/>
        <s v="12-1458737909-3035-4448704"/>
        <s v="10-1458737907-2782-4644771"/>
        <s v="73-1458737901-1861-2493675"/>
        <s v="10-1458737897-7079-5758"/>
        <s v="419-1458737892-5052-4461058"/>
        <s v="59-1458737891-8765-601490"/>
        <s v="420-1458737874-6284-495078"/>
        <s v="420-1458737867-2873-3528821"/>
        <s v="5-1458737864-0294-220941"/>
        <s v="5-1458737856-9956-576519"/>
        <s v="10-1458737850-539-10605"/>
        <s v="442-1458737847-048-4667142"/>
        <s v="5-1458737839-6494-2552646"/>
        <s v="51-1458737812-9185-850427"/>
        <s v="346-1458737809-3909-1118828"/>
        <s v="346-1458737798-9285-792584"/>
        <s v="48-1458737801-4589-541846"/>
        <s v="10-1458737799-3311-4644771"/>
        <s v="12-1458737795-2912-3512180"/>
        <s v="346-1458737795-0084-4268740"/>
        <s v="10-1458737790-5672-4616103"/>
        <s v="419-1458737789-3111-535176"/>
        <s v="10-1458737769-939-4130326"/>
        <s v="12-1458737767-611-3386771"/>
        <s v="420-1458737743-319-1763949"/>
        <s v="578-1458737736-6789-699485"/>
        <s v="1477-1458737732-2997-4667130"/>
        <s v="10-1458737709-2906-4662494"/>
        <s v="35-1458737659-1445-80148"/>
        <s v="73-1458737654-1687-2493675"/>
        <s v="12-1458737652-5494-75794"/>
        <s v="12-1458737644-772-3427097"/>
        <s v="59-1458737639-7529-124926"/>
        <s v="424-1458737640-0506-1708575"/>
        <s v="99-1458737625-2726-4337866"/>
        <s v="99-1458737615-6538-4667122"/>
        <s v="10-1458737610-496-4589993"/>
        <s v="51-1458737606-9453-413356"/>
        <n v="49600491"/>
        <n v="30099645"/>
        <s v="10-1458737581-7159-4386304"/>
        <s v="12-1458737577-0886-2981429"/>
        <s v="424-1458737575-114-638897"/>
        <n v="30099644"/>
        <s v="1304-1458737559-3552-4667110"/>
        <s v="346-1458737557-6475-635468"/>
        <s v="32-1458737548-7567-50392"/>
        <s v="578-1458737527-1159-691166"/>
        <s v="5-1458737526-4983-576519"/>
        <s v="20-1458737510-618-3960760"/>
        <s v="10-1458737509-7558-2708823"/>
        <s v="133-1458737463-5217-2697870"/>
        <s v="578-1458737455-6595-3146219"/>
        <n v="30099608"/>
        <n v="30099604"/>
        <s v="424-1458737431-47-1708575"/>
        <s v="10-1458737431-4303-4450468"/>
        <s v="10-1458737428-1375-4551176"/>
        <s v="10-1458737403-5586-2708823"/>
        <s v="99-1458737393-6808-4346314"/>
        <s v="346-1458737390-3887-1069546"/>
        <s v="48-1458737388-7777-4667090"/>
        <s v="12-1458737388-2408-3387326"/>
        <s v="346-1458737382-4149-1273137"/>
        <s v="1477-1458737382-3357-4667086"/>
        <s v="424-1458737372-0212-638897"/>
        <s v="10-1458737369-5896-4468063"/>
        <s v="12-1458737368-6914-74739"/>
        <s v="419-1458737363-6219-3801097"/>
        <s v="578-1458737354-971-698999"/>
        <s v="5-1458737324-9974-220941"/>
        <s v="578-1458737309-6356-2590263"/>
        <n v="30099563"/>
        <s v="5-1458737285-0084-1195631"/>
        <s v="578-1458737272-914-699356"/>
        <s v="59-1458737262-4609-177198"/>
        <s v="32-1458737258-5424-4667070"/>
        <s v="12-1458737225-9851-242566"/>
        <s v="12-1458737225-7857-3989542"/>
        <s v="12-1458737219-8658-2412414"/>
        <s v="419-1458737210-6853-620414"/>
        <s v="12-1458737209-5181-3470378"/>
        <s v="10-1458737207-3638-4059484"/>
        <s v="424-1458737192-5464-1708575"/>
        <s v="10-1458737192-4558-4551176"/>
        <s v="10-1458737163-9792-8099"/>
        <s v="12-1458737152-8796-4312207"/>
        <s v="5-1458737152-8526-620048"/>
        <s v="31-1458737147-0069-4667058"/>
        <s v="12-1458737141-2652-75794"/>
        <s v="59-1458737139-8822-4091593"/>
        <s v="59-1458737138-8327-82131"/>
        <n v="30099520"/>
        <s v="12-1458737104-244-3967534"/>
        <s v="1138-1458737082-5935-4666838"/>
        <s v="239-1458737076-1799-1523517"/>
        <s v="133-1458737072-1097-2697870"/>
        <s v="443-1458737067-759-4667038"/>
        <s v="10-1458737063-5572-4643743"/>
        <s v="7-1458737049-7304-206608"/>
        <s v="59-1458737042-4141-177198"/>
        <s v="424-1458737027-0502-1708575"/>
        <s v="12-1458737019-9689-74739"/>
        <s v="5-1458737018-689-622511"/>
        <s v="420-1458737015-5291-1763949"/>
        <s v="12-1458737008-7161-4590863"/>
        <s v="12-1458736993-6317-460109"/>
        <s v="10-1458736969-4242-703748"/>
        <s v="12-1458736959-0325-77590"/>
        <s v="20-1458736957-7596-3596678"/>
        <s v="12-1458736933-8524-3880573"/>
        <s v="99-1458736913-5541-4348990"/>
        <s v="10-1458736908-8938-5142"/>
        <s v="10-1458736906-9329-33571"/>
        <s v="1477-1458736875-6621-4667006"/>
        <s v="5-1458736862-8529-220941"/>
        <s v="32-1458736862-382-37627"/>
        <s v="424-1458736856-2324-1708575"/>
        <n v="30099465"/>
        <s v="10-1458736821-3158-3999277"/>
        <s v="73-1458736820-7552-1331502"/>
        <s v="12-1458736778-4738-3967534"/>
        <s v="12-1458736775-6371-4069576"/>
        <n v="30099447"/>
        <s v="12-1458736727-9692-74739"/>
        <s v="10-1458736721-0781-3967174"/>
        <s v="1191-1458736703-9071-4666994"/>
        <s v="32-1458736700-5591-625559"/>
        <s v="5-1458736697-3384-620702"/>
        <s v="73-1458736688-6065-116312"/>
        <s v="59-1458736679-2393-177198"/>
        <s v="12-1458736668-4999-3396473"/>
        <s v="10-1458736667-0469-570550"/>
        <s v="1477-1458736666-5281-4666986"/>
        <s v="12-1458736653-5168-3880573"/>
        <s v="10-1458736636-688-27947"/>
        <s v="2-1458736622-4604-4664110"/>
        <s v="10-1458736613-0039-27947"/>
        <s v="32-1458736612-5663-90028"/>
        <s v="346-1458736603-3214-4250179"/>
        <s v="21-1458736582-7013-3759340"/>
        <n v="49596725"/>
        <n v="30099410"/>
        <s v="12-1458736574-1118-1387428"/>
        <s v="5-1458736572-1787-654713"/>
        <s v="12-1458736568-4613-3489800"/>
        <s v="32-1458736565-5095-3892468"/>
        <n v="30099406"/>
        <s v="419-1458736550-0473-941546"/>
        <s v="888-1458736522-224-4660014"/>
        <s v="1573-1458736495-4719-4387333"/>
        <s v="32-1458736477-8824-42127"/>
        <s v="12-1458736472-7628-196143"/>
        <s v="12-1458736464-1702-3967534"/>
        <s v="32-1458736461-8812-46317"/>
        <n v="49596247"/>
        <s v="10-1458736431-9852-3791527"/>
        <s v="59-1458736412-8412-4268587"/>
        <s v="443-1458736398-0163-4666978"/>
        <s v="59-1458736397-0205-4424845"/>
        <s v="10-1458736383-1752-4581173"/>
        <n v="30099350"/>
        <s v="424-1458736364-6478-638897"/>
        <s v="12-1458736363-3832-3880573"/>
        <s v="598-1458736360-9629-1355925"/>
        <s v="1396-1458736354-1058-4458748"/>
        <s v="12-1458736350-9645-3522245"/>
        <s v="239-1458736344-5662-548108"/>
        <s v="47-1458736337-8554-4596782"/>
        <s v="1396-1458736327-9932-4553201"/>
        <s v="888-1458736320-2267-4660014"/>
        <n v="30099336"/>
        <s v="290-1458736309-9163-4618363"/>
        <s v="1396-1458736288-1149-4458457"/>
        <s v="10-1458736271-2045-4633203"/>
        <s v="10-1458736270-722-1276374"/>
        <s v="10-1458736262-4405-4639999"/>
        <s v="1161-1458736250-3212-4643615"/>
        <s v="1396-1458736249-2553-4458355"/>
        <s v="1396-1458736239-1727-4458349"/>
        <s v="419-1458736228-849-941546"/>
        <s v="12-1458736220-8815-3967534"/>
        <s v="743-1458736211-6823-4433854"/>
        <s v="10-1458736193-6904-100882"/>
        <s v="59-1458736192-3701-4603730"/>
        <n v="30099301"/>
        <s v="5-1458736143-5112-8222"/>
        <s v="1477-1458736118-7224-4666962"/>
        <s v="10-1458736118-3602-4666958"/>
        <s v="99-1458736094-4931-4293394"/>
        <s v="10-1458736085-0951-233419"/>
        <s v="10-1458736083-6945-3544880"/>
        <s v="888-1458736078-601-4666742"/>
        <s v="10-1458736065-7911-139501"/>
        <n v="312132807"/>
        <s v="73-1458736057-1658-116312"/>
        <s v="59-1458736056-3423-2118546"/>
        <s v="443-1458736039-6862-4599950"/>
        <s v="10-1458736023-7635-3848098"/>
        <s v="424-1458736017-3959-1708575"/>
        <s v="32-1458736001-1634-65649"/>
        <n v="312132695"/>
        <n v="312132697"/>
        <s v="10-1458735973-5152-2944907"/>
        <s v="10-1458735959-7286-3875197"/>
        <s v="12-1458735957-0561-4453402"/>
        <s v="73-1458735938-695-116312"/>
        <s v="1477-1458735933-2963-4666946"/>
        <s v="5-1458735920-8988-223999"/>
        <s v="443-1458735911-5365-4620663"/>
        <s v="73-1458735907-1162-3083255"/>
        <s v="10-1458735903-4824-2249095"/>
        <s v="12-1458735901-4124-73388"/>
        <s v="578-1458735879-2987-742379"/>
        <s v="1307-1458735862-8348-4666934"/>
        <s v="12-1458735861-6602-3389240"/>
        <s v="1191-1458735860-8886-4666930"/>
        <s v="424-1458735860-685-3883846"/>
        <s v="683-1458735854-5294-3614717"/>
        <s v="59-1458735849-0951-2125023"/>
        <s v="59-1458735847-2831-177198"/>
        <s v="1516-1458735826-3017-4546943"/>
        <s v="10-1458735821-3818-4541396"/>
        <s v="420-1458735805-606-1028062"/>
        <s v="420-1458735804-7243-3893992"/>
        <s v="48-1458735803-4131-4666922"/>
        <s v="419-1458735797-1198-4375444"/>
        <s v="47-1458735791-783-4666918"/>
        <s v="73-1458735791-0598-2179405"/>
        <s v="419-1458735762-3426-1193804"/>
        <s v="10-1458735748-3834-1276374"/>
        <s v="12-1458735730-4993-3379550"/>
        <s v="10-1458735725-6985-4105"/>
        <s v="888-1458735714-6617-4666742"/>
        <s v="12-1458735712-5113-77590"/>
        <s v="578-1458735711-3032-698705"/>
        <s v="59-1458735697-2215-2125023"/>
        <s v="59-1458735696-7634-177198"/>
        <s v="12-1458735686-8575-3880573"/>
        <s v="59-1458735672-4954-2118546"/>
        <s v="1138-1458735670-7952-4666838"/>
        <s v="10-1458735654-0658-326469"/>
        <s v="5-1458735638-0533-1362657"/>
        <s v="10-1458735631-2065-4666894"/>
        <s v="10-1458735628-9367-4210591"/>
        <s v="133-1458735627-6035-4471609"/>
        <s v="1477-1458735625-2349-4666890"/>
        <n v="312132265"/>
        <s v="578-1458735616-6262-4293538"/>
        <n v="312132261"/>
        <n v="30099176"/>
        <s v="424-1458735588-4246-1708575"/>
        <n v="30099170"/>
        <s v="420-1458735572-9659-3893992"/>
        <s v="10-1458735565-8777-68192"/>
        <s v="1191-1458735551-8579-4666878"/>
        <s v="12-1458735543-0467-1321791"/>
        <s v="232-1458735529-8021-4488794"/>
        <s v="620-1458735526-909-1435278"/>
        <s v="1477-1458735522-7996-4666874"/>
        <s v="48-1458735514-7872-4534082"/>
        <s v="12-1458735511-7045-4666870"/>
        <s v="10-1458735492-9474-4651291"/>
        <n v="30099145"/>
        <s v="10-1458735463-108-4008565"/>
        <s v="48-1458735457-439-1644969"/>
        <s v="5-1458735440-9889-20017"/>
        <s v="5-1458735435-5488-1721661"/>
        <s v="73-1458735431-9835-116312"/>
        <n v="312132025"/>
        <s v="34-1458735421-4895-60580"/>
        <s v="743-1458735415-1012-4499843"/>
        <s v="59-1458735408-5964-2118546"/>
        <s v="346-1458735374-8799-4443931"/>
        <s v="1197-1458735355-0914-3887215"/>
        <n v="312131909"/>
        <s v="743-1458735349-6404-4572461"/>
        <s v="2-1458735335-1918-4664110"/>
        <n v="30099117"/>
        <s v="59-1458735318-1571-4277233"/>
        <s v="51-1458735317-3309-1548099"/>
        <s v="346-1458735312-4152-1273137"/>
        <s v="12-1458735311-8119-3427097"/>
        <s v="1477-1458735310-0655-4666854"/>
        <s v="32-1458735309-34-42127"/>
        <s v="10-1458735306-2947-1316247"/>
        <s v="10-1458735305-6126-4666850"/>
        <s v="424-1458735293-312-1412838"/>
        <s v="1135-1458735292-7241-4626467"/>
        <n v="30099098"/>
        <s v="5-1458735264-2143-220941"/>
        <s v="10-1458735261-9961-4386304"/>
        <n v="30099089"/>
        <n v="49591849"/>
        <s v="420-1458735235-9571-1763949"/>
        <s v="5-1458735220-4743-622511"/>
        <n v="312131689"/>
        <s v="12-1458735194-6851-73388"/>
        <s v="10-1458735178-4144-971917"/>
        <s v="12-1458735175-9562-3880573"/>
        <s v="10-1458735174-721-4596485"/>
        <n v="312131645"/>
        <s v="10-1458735164-6359-3842185"/>
        <s v="73-1458735164-2773-1026088"/>
        <s v="5-1458735159-3164-1362657"/>
        <s v="424-1458735158-5366-1011742"/>
        <s v="10-1458735147-8663-4641415"/>
        <s v="73-1458735142-7899-870971"/>
        <s v="5-1458735136-0196-414676"/>
        <s v="48-1458735135-6988-4531979"/>
        <s v="59-1458735131-7672-177198"/>
        <s v="48-1458735130-4775-4526741"/>
        <s v="743-1458735125-7273-4499843"/>
        <s v="10-1458735124-7799-4633203"/>
        <s v="73-1458735118-2777-1127195"/>
        <n v="30099064"/>
        <s v="578-1458735098-0083-694649"/>
        <s v="5-1458735093-8401-1721661"/>
        <s v="10-1458735093-9402-61497"/>
        <s v="12-1458735088-9884-2946494"/>
        <s v="12-1458735063-7662-3218972"/>
        <s v="10-1458735050-441-75686"/>
        <s v="10-1458735043-3419-4618471"/>
        <s v="1138-1458735033-2292-4666838"/>
        <s v="59-1458735028-2141-2559987"/>
        <s v="10-1458735024-9774-4349884"/>
        <s v="419-1458735021-705-518412"/>
        <s v="578-1458735015-7024-746963"/>
        <s v="47-1458735009-1627-4570697"/>
        <s v="10-1458734982-9017-4618471"/>
        <s v="59-1458734976-2001-522659"/>
        <n v="312131379"/>
        <n v="30099030"/>
        <s v="10-1458734941-2166-4666834"/>
        <s v="1477-1458734931-0834-4666830"/>
        <s v="10-1458734919-8822-2945096"/>
        <s v="12-1458734905-5872-3931903"/>
        <s v="12-1458734901-668-73388"/>
        <s v="12-1458734899-1725-3880573"/>
        <s v="419-1458734889-6449-2580741"/>
        <s v="346-1458734887-1456-4462600"/>
        <s v="47-1458734885-3241-4558148"/>
        <s v="5-1458734880-6402-220941"/>
        <s v="34-1458734874-3134-730958"/>
        <s v="239-1458734868-2369-548108"/>
        <s v="10-1458734863-4263-23417"/>
        <s v="1191-1458734854-098-4666818"/>
        <s v="32-1458734845-054-4220026"/>
        <s v="10-1458734824-327-879833"/>
        <s v="10-1458734818-8171-3885406"/>
        <s v="5-1458734809-7971-633038"/>
        <s v="578-1458734788-7861-746963"/>
        <s v="1212-1458734779-3739-4666806"/>
        <s v="1477-1458734775-717-4666802"/>
        <s v="12-1458734772-5764-2473467"/>
        <s v="73-1458734761-4885-4346353"/>
        <n v="30098990"/>
        <s v="12-1458734760-2418-2946494"/>
        <s v="10-1458734759-0666-618290"/>
        <s v="12-1458734753-247-3218972"/>
        <s v="420-1458734752-2859-1763949"/>
        <s v="1197-1458734751-5093-3887215"/>
        <s v="10-1458734748-7276-4276699"/>
        <s v="1573-1458734745-7169-4387333"/>
        <s v="578-1458734742-2387-703706"/>
        <s v="1477-1458734734-9971-4666790"/>
        <s v="424-1458734723-4623-4516712"/>
        <s v="99-1458734710-158-4666782"/>
        <n v="30098974"/>
        <s v="12-1458734693-7984-3880573"/>
        <s v="59-1458734690-5925-2125023"/>
        <s v="419-1458734671-1235-518412"/>
        <s v="419-1458734650-9393-4613181"/>
        <s v="1197-1458734645-512-3887215"/>
        <s v="32-1458734637-5649-497728"/>
        <s v="1477-1458734626-3682-4666774"/>
        <s v="99-1458734622-8704-4318804"/>
        <s v="1477-1458734616-9655-4666770"/>
        <s v="1212-1458734610-7006-4666766"/>
        <s v="346-1458734607-4425-3913615"/>
        <s v="10-1458734597-701-4567790"/>
        <n v="30098942"/>
        <s v="1191-1458734589-3263-4666758"/>
        <s v="32-1458734575-0542-166855"/>
        <s v="5-1458734566-3915-622511"/>
        <s v="424-1458734554-2918-1412838"/>
        <s v="10-1458734541-1743-4601135"/>
        <s v="1307-1458734506-6134-4666746"/>
        <s v="419-1458734504-1812-1828323"/>
        <s v="99-1458734492-4334-4460020"/>
        <s v="59-1458734485-6251-2125023"/>
        <s v="10-1458734484-9118-9521"/>
        <s v="12-1458734484-7313-4503035"/>
        <s v="888-1458734453-6696-4666742"/>
        <s v="34-1458734449-8062-60580"/>
        <s v="419-1458734449-1484-1065079"/>
        <s v="12-1458734440-7042-3724130"/>
        <s v="1191-1458734433-846-4666738"/>
        <s v="12-1458734430-8152-801194"/>
        <s v="424-1458734402-1377-498502"/>
        <s v="12-1458734388-7342-4589981"/>
        <s v="1161-1458734376-6984-4412899"/>
        <s v="12-1458734354-7567-3880573"/>
        <s v="12-1458734331-07-197761"/>
        <s v="5-1458734321-1695-1146122"/>
        <n v="30098893"/>
        <s v="346-1458734308-1379-1273137"/>
        <n v="30098891"/>
        <s v="59-1458734299-7689-2125023"/>
        <s v="12-1458734295-9383-73388"/>
        <s v="10-1458734289-499-4620603"/>
        <s v="572-1458734259-7439-4224289"/>
        <s v="424-1458734252-5991-1127105"/>
        <n v="30098879"/>
        <s v="12-1458734241-4074-801194"/>
        <n v="30098872"/>
        <s v="47-1458734237-9425-4553375"/>
        <s v="10-1458734232-4346-273353"/>
        <s v="578-1458734205-2227-1568595"/>
        <s v="5-1458734192-7836-220941"/>
        <s v="48-1458734164-0482-532281"/>
        <s v="10-1458734159-0497-1276374"/>
        <s v="10-1458734155-6338-50775"/>
        <s v="1477-1458734154-5639-4666710"/>
        <s v="10-1458734146-5648-2193982"/>
        <n v="30098846"/>
        <n v="30098847"/>
        <s v="12-1458734132-7229-1647462"/>
        <s v="99-1458734084-2462-4631151"/>
        <s v="10-1458734067-0839-4664930"/>
        <n v="30098821"/>
        <s v="12-1458734049-9452-801194"/>
        <s v="73-1458734043-0428-116312"/>
        <s v="1477-1458734024-4496-4666698"/>
        <s v="1191-1458734013-6959-4666694"/>
        <s v="5-1458734008-6003-8222"/>
        <s v="12-1458734004-3363-3724130"/>
        <s v="5-1458733997-7467-127460"/>
        <s v="424-1458733976-7489-4516712"/>
        <s v="10-1458733971-0963-4601180"/>
        <s v="346-1458733963-4875-662216"/>
        <s v="12-1458733955-367-79142"/>
        <s v="12-1458733921-6298-3447137"/>
        <s v="10-1458733919-8707-51829"/>
        <s v="59-1458733917-6984-3663083"/>
        <s v="73-1458733914-2907-4465870"/>
        <s v="595-1458733913-6198-4666690"/>
        <s v="420-1458733900-3512-649364"/>
        <s v="12-1458733898-0288-914408"/>
        <n v="49586995"/>
        <s v="12-1458733892-66-73388"/>
        <s v="12-1458733878-1844-4589981"/>
        <s v="10-1458733867-0541-4620603"/>
        <s v="20-1458733849-6817-2618646"/>
        <s v="12-1458733836-0949-2946494"/>
        <s v="10-1458733829-888-4204492"/>
        <s v="424-1458733829-15-1708575"/>
        <s v="420-1458733805-8035-3897148"/>
        <s v="59-1458733802-5637-57953"/>
        <s v="12-1458733797-0408-3427097"/>
        <s v="73-1458733791-2211-3083255"/>
        <s v="59-1458733784-078-4091593"/>
        <s v="10-1458733780-8616-4011652"/>
        <s v="743-1458733776-7431-4474565"/>
        <n v="30098746"/>
        <s v="578-1458733760-9146-692561"/>
        <s v="7-1458733730-2942-1714044"/>
        <s v="99-1458733694-0537-4406632"/>
        <s v="10-1458733676-8962-16637"/>
        <s v="419-1458733644-2371-1374777"/>
        <n v="30098711"/>
        <s v="420-1458733599-4568-2636112"/>
        <s v="2-1458733576-9165-4664110"/>
        <s v="73-1458733574-6073-1311660"/>
        <s v="578-1458733561-3775-699356"/>
        <s v="48-1458733555-5054-4540400"/>
        <s v="424-1458733547-3397-4516712"/>
        <s v="419-1458733538-2579-620414"/>
        <n v="30098689"/>
        <s v="443-1458733494-0797-4631199"/>
        <s v="346-1458733493-621-3037736"/>
        <n v="30098678"/>
        <s v="99-1458733486-0189-4666662"/>
        <s v="1138-1458733484-4487-4637887"/>
        <n v="1795"/>
        <s v="1477-1458733464-0013-4666658"/>
        <s v="133-1458733463-3796-4471609"/>
        <s v="346-1458733415-4256-3801508"/>
        <s v="1191-1458733414-7816-4666646"/>
        <s v="48-1458733405-6238-4520273"/>
        <s v="5-1458733377-3047-622511"/>
        <s v="12-1458733375-7623-72913"/>
        <s v="419-1458733359-9032-3771607"/>
        <n v="30098647"/>
        <s v="12-1458733340-7578-402554"/>
        <s v="578-1458733333-6253-694649"/>
        <s v="10-1458733326-8658-4644083"/>
        <s v="51-1458733325-7638-851270"/>
        <n v="49584887"/>
        <s v="32-1458733276-8848-54865"/>
        <s v="215-1458733267-5715-4583072"/>
        <s v="215-1458733261-2149-4583072"/>
        <s v="12-1458733253-7281-196143"/>
        <s v="12-1458733237-5482-949865"/>
        <s v="10-1458733202-2813-4277707"/>
        <s v="10-1458733188-6238-4666578"/>
        <s v="99-1458733176-2798-4319323"/>
        <s v="51-1458733174-367-1548099"/>
        <s v="424-1458733164-6921-3934117"/>
        <s v="10-1458733133-7782-519928"/>
        <s v="99-1458733107-7211-4293394"/>
        <s v="133-1458733091-9596-4664598"/>
        <s v="99-1458733091-4672-4431403"/>
        <s v="73-1458733087-3347-1311660"/>
        <s v="10-1458733086-3518-4644083"/>
        <n v="30098588"/>
        <s v="1135-1458733081-2616-3878614"/>
        <s v="424-1458733071-5043-4502720"/>
        <n v="30098584"/>
        <n v="30098581"/>
        <s v="12-1458733055-4602-4421383"/>
        <s v="10-1458733055-2203-3991123"/>
        <s v="578-1458733050-3801-4226413"/>
        <s v="32-1458733050-1202-113964"/>
        <n v="30098571"/>
        <s v="99-1458733023-0458-4431403"/>
        <s v="443-1458733020-9261-4631199"/>
        <s v="5-1458733019-5403-2219"/>
        <s v="10-1458733014-2526-33571"/>
        <s v="578-1458733012-7411-4336564"/>
        <s v="10-1458733012-5903-273353"/>
        <s v="743-1458733007-7464-3421565"/>
        <s v="32-1458733003-5938-48460"/>
        <s v="572-1458732966-4404-758282"/>
        <s v="5-1458732955-3517-4540502"/>
        <s v="10-1458732950-395-4407040"/>
        <s v="12-1458732942-8152-2473467"/>
        <s v="32-1458732937-3538-52575"/>
        <s v="600-1458732929-7735-4562807"/>
        <s v="419-1458732928-0739-505083"/>
        <s v="10-1458732921-5719-2642943"/>
        <n v="30098553"/>
        <s v="12-1458732912-8388-3968290"/>
        <s v="10-1458732856-2272-4610685"/>
        <s v="12-1458732845-5759-261152"/>
        <s v="12-1458732842-9958-491228"/>
        <s v="578-1458732820-816-4275244"/>
        <s v="1310-1458732811-5743-4666630"/>
        <s v="10-1458732809-0164-973606"/>
        <n v="49583317"/>
        <s v="10-1458732803-5389-4256107"/>
        <s v="578-1458732793-0717-698897"/>
        <s v="51-1458732792-6368-1281816"/>
        <s v="12-1458732779-2782-4606771"/>
        <s v="10-1458732761-1769-3838999"/>
        <s v="32-1458732760-9792-3978457"/>
        <s v="2-1458732758-1025-4664110"/>
        <s v="10-1458732756-7179-4495"/>
        <s v="1307-1458732743-2392-4666626"/>
        <s v="10-1458732731-7783-14063"/>
        <s v="7-1458732726-3984-1714044"/>
        <s v="10-1458732723-9819-1276374"/>
        <s v="12-1458732723-721-1272819"/>
        <s v="48-1458732718-8108-4522538"/>
        <s v="59-1458732716-4532-4665662"/>
        <s v="12-1458732714-8906-93389"/>
        <s v="32-1458732712-2815-54865"/>
        <s v="10-1458732704-2946-4562489"/>
        <s v="47-1458732698-0093-4522991"/>
        <s v="1396-1458732688-7936-4503857"/>
        <s v="10-1458732688-3809-658901"/>
        <s v="99-1458732686-6787-4633191"/>
        <s v="1396-1458732665-5595-4625927"/>
        <s v="419-1458732654-2154-4571816"/>
        <s v="578-1458732645-4602-698897"/>
        <n v="30098497"/>
        <s v="377-1458732636-1392-4607048"/>
        <s v="10-1458732628-167-3834670"/>
        <s v="32-1458732614-6832-510477"/>
        <n v="30098487"/>
        <s v="7-1458732598-5213-619835"/>
        <s v="10-1458732590-8046-4666622"/>
        <s v="32-1458732584-3524-57114"/>
        <s v="12-1458732581-573-1001506"/>
        <s v="578-1458732578-5254-4336564"/>
        <s v="1573-1458732566-4648-4387333"/>
        <n v="30098480"/>
        <s v="34-1458732556-1258-208360"/>
        <s v="12-1458732553-7821-3968290"/>
        <s v="48-1458732532-7166-4531943"/>
        <s v="10-1458732523-9461-4663022"/>
        <s v="99-1458732513-5564-4633191"/>
        <s v="10-1458732502-2222-4610685"/>
        <s v="5-1458732482-1275-8222"/>
        <s v="743-1458732475-0353-4318210"/>
        <s v="59-1458732463-4938-522659"/>
        <s v="215-1458732439-4158-4571819"/>
        <s v="10-1458732433-1637-78635"/>
        <s v="34-1458732420-6471-4581719"/>
        <s v="215-1458732410-5348-4548287"/>
        <n v="30098441"/>
        <s v="215-1458732404-8517-4548287"/>
        <s v="620-1458732402-8699-1173140"/>
        <s v="12-1458732402-0878-74850"/>
        <s v="215-1458732399-774-4548287"/>
        <s v="99-1458732398-7502-4666574"/>
        <s v="215-1458732394-374-4548287"/>
        <s v="215-1458732389-6216-4548287"/>
        <s v="215-1458732384-4669-4548287"/>
        <s v="578-1458732381-3604-692855"/>
        <n v="49581861"/>
        <s v="12-1458732375-3247-1871097"/>
        <s v="10-1458732350-2711-1276374"/>
        <s v="73-1458732347-8787-1331502"/>
        <s v="12-1458732336-1329-340587"/>
        <s v="215-1458732334-4365-4542287"/>
        <s v="215-1458732329-1659-4542287"/>
        <s v="420-1458732325-6058-1749984"/>
        <s v="215-1458732323-8486-4542287"/>
        <s v="215-1458732315-5706-4542287"/>
        <s v="215-1458732310-3378-4542287"/>
        <s v="10-1458732304-9797-4583120"/>
        <s v="215-1458732303-5614-4542287"/>
        <s v="10-1458732295-6499-2715603"/>
        <s v="578-1458732292-0527-825086"/>
        <s v="12-1458732280-725-74723"/>
        <s v="1191-1458732274-5073-4666586"/>
        <s v="1307-1458732265-0524-4666582"/>
        <s v="10-1458732257-2107-4406302"/>
        <s v="10-1458732237-7274-326469"/>
        <s v="10-1458732233-7618-677246"/>
        <s v="10-1458732230-2621-615554"/>
        <n v="312129223"/>
        <s v="48-1458732202-1523-211676"/>
        <n v="312129209"/>
        <s v="34-1458732192-1408-730958"/>
        <s v="10-1458732189-1415-50650"/>
        <s v="10-1458732181-6532-4605470"/>
        <s v="10-1458732165-716-1318707"/>
        <s v="12-1458732159-3361-2473467"/>
        <s v="10-1458732154-4564-677246"/>
        <s v="10-1458732154-139-4406302"/>
        <s v="48-1458732145-8274-4520468"/>
        <s v="99-1458732135-7743-4666574"/>
        <s v="10-1458732136-8566-2745261"/>
        <s v="10-1458732136-111-4246942"/>
        <s v="10-1458732128-195-3894109"/>
        <n v="30098369"/>
        <s v="420-1458732087-2344-2381709"/>
        <s v="10-1458732070-0805-4555805"/>
        <s v="239-1458732068-6692-149318"/>
        <n v="49580503"/>
        <s v="47-1458732045-2368-4643451"/>
        <n v="30098353"/>
        <s v="12-1458732029-4558-3474926"/>
        <s v="346-1458732017-2876-3841699"/>
        <s v="12-1458732013-303-299567"/>
        <s v="34-1458732000-217-730958"/>
        <s v="12-1458731996-2622-2946494"/>
        <s v="10-1458731986-0407-258319"/>
        <s v="239-1458731979-1735-167141"/>
        <n v="30098348"/>
        <n v="49580327"/>
        <s v="12-1458731969-2768-3395729"/>
        <s v="34-1458731968-9081-4302403"/>
        <s v="5-1458731957-7083-223999"/>
        <s v="1044-1458731953-0907-4635263"/>
        <n v="30098341"/>
        <n v="49579931"/>
        <s v="5-1458731919-2395-90936"/>
        <s v="47-1458731911-1227-4666562"/>
        <s v="32-1458731911-1604-191139"/>
        <s v="10-1458731907-7231-3988180"/>
        <s v="346-1458731893-263-635186"/>
        <s v="10-1458731887-2014-614054"/>
        <n v="49579697"/>
        <s v="312128837_REF"/>
        <n v="312128837"/>
        <s v="32-1458731833-4028-510477"/>
        <s v="10-1458731832-7028-4420003"/>
        <s v="10-1458731829-2004-4703"/>
        <s v="578-1458731820-7049-832193"/>
        <s v="10-1458731818-374-2049177"/>
        <s v="10-1458731818-1341-1816545"/>
        <s v="10-1458731811-4008-500728"/>
        <s v="346-1458731808-205-4368052"/>
        <s v="578-1458731799-934-835097"/>
        <s v="10-1458731798-2132-2249095"/>
        <s v="578-1458731788-835-696563"/>
        <s v="420-1458731781-851-4666550"/>
        <s v="12-1458731778-2159-801194"/>
        <s v="12-1458731773-4681-74723"/>
        <s v="10-1458731748-3342-247449"/>
        <s v="2-1458731747-0063-4664110"/>
        <n v="312128661"/>
        <s v="10-1458731745-2139-4666546"/>
        <s v="1135-1458731744-001-4545902"/>
        <n v="312128649"/>
        <s v="419-1458731689-9731-3555245"/>
        <n v="30098289"/>
        <n v="49579261"/>
        <n v="312128595"/>
        <s v="99-1458731671-1787-4551449"/>
        <n v="49579083"/>
        <s v="5-1458731657-4293-1362657"/>
        <s v="442-1458731654-6456-4666534"/>
        <s v="419-1458731637-108-4171273"/>
        <n v="312128553"/>
        <s v="10-1458731619-9029-4703"/>
        <s v="12-1458731618-7376-406227"/>
        <n v="312128523"/>
        <s v="12-1458731601-6397-75794"/>
        <n v="312128511"/>
        <s v="578-1458731591-5083-832193"/>
        <s v="578-1458731589-1063-4128496"/>
        <s v="10-1458731580-5888-4495"/>
        <s v="620-1458731573-7882-1643874"/>
        <s v="239-1458731569-3875-149318"/>
        <n v="312128469"/>
        <s v="10-1458731556-4316-4476659"/>
        <s v="10-1458731553-6687-4004722"/>
        <n v="312128455"/>
        <s v="12-1458731549-6014-2946494"/>
        <s v="12-1458731537-5416-575413"/>
        <s v="10-1458731531-6217-349575"/>
        <s v="10-1458731490-5129-4399156"/>
        <s v="10-1458731482-6209-3831412"/>
        <s v="1135-1458731480-3814-4580726"/>
        <s v="12-1458731479-6118-597185"/>
        <s v="1191-1458731476-5938-4666526"/>
        <s v="133-1458731471-1032-4471609"/>
        <s v="420-1458731463-3938-1749984"/>
        <s v="133-1458731450-1538-4471609"/>
        <s v="10-1458731449-0137-4004722"/>
        <s v="10-1458731431-309-41771"/>
        <s v="5-1458731426-7093-1362657"/>
        <s v="1191-1458731420-4168-4666522"/>
        <n v="30098222"/>
        <s v="578-1458731410-0127-693161"/>
        <s v="12-1458731396-3529-818636"/>
        <s v="620-1458731381-5116-1173374"/>
        <s v="99-1458731376-4032-4598759"/>
        <s v="12-1458731375-734-4021501"/>
        <s v="346-1458731357-0175-635186"/>
        <s v="12-1458731343-1142-818636"/>
        <s v="578-1458731326-167-695936"/>
        <s v="10-1458731325-525-4605470"/>
        <s v="48-1458731307-954-40991"/>
        <s v="10-1458731290-6373-4642875"/>
        <s v="10-1458731275-5288-2673468"/>
        <s v="420-1458731266-9748-549725"/>
        <s v="1310-1458731259-9183-4666510"/>
        <s v="420-1458731258-3979-1382133"/>
        <s v="2-1458731241-0376-4664110"/>
        <s v="419-1458731238-9799-3555245"/>
        <s v="133-1458731233-9399-4665182"/>
        <n v="312128103"/>
        <s v="12-1458731221-8374-425710"/>
        <s v="10-1458731220-1173-4666478"/>
        <s v="12-1458731209-1087-261152"/>
        <s v="59-1458731204-9388-249568"/>
        <s v="1573-1458731200-0835-4502111"/>
        <s v="99-1458731192-8784-4436197"/>
        <s v="5-1458731177-0599-90936"/>
        <s v="12-1458731167-6687-74723"/>
        <s v="10-1458731164-9591-4275691"/>
        <n v="30098196"/>
        <s v="1138-1458731156-091-4637887"/>
        <s v="10-1458731146-8641-4251253"/>
        <s v="578-1458731135-5802-4666502"/>
        <s v="578-1458731139-9744-692522"/>
        <s v="1191-1458731137-1108-4666506"/>
        <s v="578-1458731129-5183-824018"/>
        <s v="12-1458731121-2211-3544811"/>
        <n v="30098190"/>
        <n v="312128009"/>
        <s v="10-1458731112-2032-4325059"/>
        <s v="10-1458731100-2206-115866"/>
        <n v="30098181"/>
        <s v="424-1458731065-2218-4502720"/>
        <n v="49577325"/>
        <n v="30098169"/>
        <s v="32-1458731050-7648-83345"/>
        <s v="32-1458731050-2424-721994"/>
        <s v="12-1458731048-765-3489182"/>
        <s v="12-1458731012-2756-4021501"/>
        <s v="420-1458731005-7921-495078"/>
        <n v="30098155"/>
        <s v="59-1458730967-0977-81525"/>
        <s v="10-1458730942-8968-4397146"/>
        <s v="1138-1458730940-2466-4666490"/>
        <s v="99-1458730936-885-4323517"/>
        <n v="30098145"/>
        <n v="312127897"/>
        <s v="419-1458730913-9359-3555245"/>
        <s v="2-1458730912-6483-4664110"/>
        <s v="346-1458730903-9058-635186"/>
        <s v="12-1458730890-3654-1337910"/>
        <n v="49576595"/>
        <s v="578-1458730839-8345-698135"/>
        <n v="30098123"/>
        <s v="578-1458730808-4931-693488"/>
        <s v="12-1458730799-2104-532220"/>
        <s v="59-1458730791-1274-4291390"/>
        <s v="10-1458730782-7903-1316247"/>
        <s v="20-1458730767-3909-2255851"/>
        <s v="346-1458730763-5283-635186"/>
        <s v="12-1458730757-9117-4666474"/>
        <s v="1138-1458730760-462-4637887"/>
        <n v="30098100"/>
        <s v="5-1458730755-4253-623342"/>
        <s v="10-1458730752-4601-4176427"/>
        <s v="12-1458730744-3897-3396473"/>
        <s v="12-1458730743-9199-425710"/>
        <s v="10-1458730716-9603-4558211"/>
        <s v="99-1458730714-4426-4350217"/>
        <s v="32-1458730711-4204-46269"/>
        <n v="30098096"/>
        <n v="30098093"/>
        <s v="99-1458730675-0942-4350217"/>
        <s v="10-1458730674-2139-34553"/>
        <s v="73-1458730671-5623-3262427"/>
        <n v="49575853"/>
        <s v="99-1458730628-1322-4350217"/>
        <s v="10-1458730625-8158-2673468"/>
        <s v="31-1458730625-8556-4666458"/>
        <s v="10-1458730591-2351-4449391"/>
        <s v="99-1458730581-557-4350217"/>
        <s v="12-1458730549-9177-3968290"/>
        <s v="1138-1458730538-6078-4637887"/>
        <s v="578-1458730535-1361-694451"/>
        <s v="99-1458730530-9977-4350217"/>
        <s v="10-1458730490-7392-4011652"/>
        <s v="578-1458730490-1993-2616258"/>
        <s v="12-1458730480-7569-3379550"/>
        <s v="133-1458730467-2977-4471609"/>
        <s v="620-1458730462-3196-1643874"/>
        <s v="73-1458730446-2992-934661"/>
        <s v="346-1458730444-0597-635186"/>
        <s v="73-1458730433-2171-861560"/>
        <s v="31-1458730426-1859-4666438"/>
        <n v="30098028"/>
        <s v="346-1458730405-5377-1424901"/>
        <s v="10-1458730403-9413-4176427"/>
        <s v="10-1458730395-5775-4440481"/>
        <s v="598-1458730380-3798-696572"/>
        <s v="578-1458730379-6615-694451"/>
        <s v="578-1458730374-5178-813284"/>
        <s v="10-1458730364-84-3910870"/>
        <s v="12-1458730350-9805-532220"/>
        <s v="1191-1458730349-5135-4666422"/>
        <s v="12-1458730338-8904-3474926"/>
        <s v="573-1458730333-304-4425154"/>
        <s v="1138-1458730329-6152-4637887"/>
        <s v="10-1458730325-7485-4466410"/>
        <s v="12-1458730325-246-295601"/>
        <s v="578-1458730303-8376-829658"/>
        <s v="12-1458730301-5817-3996103"/>
        <s v="1191-1458730276-5167-4666410"/>
        <s v="442-1458730273-3472-4666406"/>
        <s v="12-1458730275-1567-3968290"/>
        <n v="49574903"/>
        <s v="99-1458730261-9417-4481129"/>
        <s v="12-1458730261-1829-4385863"/>
        <s v="99-1458730255-0777-4352785"/>
        <s v="32-1458730249-833-50111"/>
        <s v="10-1458730248-0174-3847936"/>
        <s v="12-1458730246-9417-306319"/>
        <s v="346-1458730239-1657-635186"/>
        <s v="232-1458730214-1262-4648303"/>
        <s v="10-1458730202-503-703748"/>
        <n v="30097982"/>
        <s v="10-1458730188-9067-4415599"/>
        <s v="47-1458730140-2881-4568348"/>
        <s v="12-1458730105-8562-3381209"/>
        <s v="10-1458730072-019-1276374"/>
        <s v="443-1458730070-8429-4604579"/>
        <s v="10-1458730068-3676-4411831"/>
        <s v="48-1458730052-3974-3401054"/>
        <s v="133-1458730049-0064-4471609"/>
        <n v="30097953"/>
        <s v="346-1458730040-0984-4254412"/>
        <n v="30097942"/>
        <s v="73-1458729998-9167-1924722"/>
        <s v="10-1458729996-0519-4320655"/>
        <s v="10-1458729991-0523-4424047"/>
        <s v="10-1458729974-8124-5872"/>
        <n v="30097927"/>
        <s v="10-1458729956-0456-4011652"/>
        <s v="32-1458729939-8307-37627"/>
        <n v="30097921"/>
        <s v="1477-1458729923-4879-4666382"/>
        <s v="5-1458729921-4414-923261"/>
        <s v="346-1458729920-6437-2325240"/>
        <s v="346-1458729911-9617-635186"/>
        <s v="32-1458729909-5918-44081"/>
        <n v="30097916"/>
        <s v="578-1458729891-5946-728045"/>
        <s v="99-1458729889-0773-4551449"/>
        <s v="1191-1458729862-0033-4666374"/>
        <s v="10-1458729852-095-2946080"/>
        <n v="30097905"/>
        <s v="239-1458729840-6607-4250749"/>
        <s v="12-1458729837-648-3525152"/>
        <s v="12-1458729825-184-3489182"/>
        <s v="10-1458729805-4967-4666366"/>
        <s v="10-1458729802-4932-3847306"/>
        <s v="12-1458729795-8547-306319"/>
        <s v="12-1458729790-3798-72913"/>
        <s v="99-1458729776-0119-4292329"/>
        <s v="10-1458729773-4069-503477"/>
        <s v="10-1458729747-7784-4666354"/>
        <s v="419-1458729738-1545-3942523"/>
        <s v="346-1458729736-5544-635186"/>
        <n v="30097889"/>
        <s v="1477-1458729720-0493-4666350"/>
        <s v="48-1458729708-3172-4666346"/>
        <s v="1138-1458729706-5779-4638415"/>
        <s v="1191-1458729702-3263-4666338"/>
        <s v="12-1458729696-6584-3381209"/>
        <n v="30097865"/>
        <s v="420-1458729676-0926-495078"/>
        <s v="743-1458729673-3526-4224823"/>
        <s v="10-1458729638-0389-1318707"/>
        <s v="10-1458729634-4813-1318707"/>
        <s v="1135-1458729615-9388-4580726"/>
        <s v="10-1458729600-6702-1318707"/>
        <s v="73-1458729595-1812-3918166"/>
        <s v="346-1458729588-8197-635186"/>
        <s v="59-1458729584-0963-4291390"/>
        <s v="99-1458729572-249-4424308"/>
        <s v="10-1458729552-7411-4339894"/>
        <s v="5-1458729540-4557-1362657"/>
        <s v="10-1458729531-1608-4339249"/>
        <s v="10-1458729519-7011-4642103"/>
        <s v="1573-1458729477-4732-4502111"/>
        <s v="12-1458729477-4628-306319"/>
        <s v="743-1458729476-6064-4572461"/>
        <s v="73-1458729472-7796-4238761"/>
        <s v="48-1458729469-7326-4666330"/>
        <s v="5-1458729462-4476-923261"/>
        <s v="12-1458729441-066-3381209"/>
        <s v="10-1458729436-9618-4339894"/>
        <s v="99-1458729431-8662-4436197"/>
        <s v="10-1458729429-3636-3978694"/>
        <s v="12-1458729412-9344-3525152"/>
        <s v="346-1458729363-0107-836144"/>
        <s v="59-1458729361-9743-522659"/>
        <s v="12-1458729357-2911-587639"/>
        <s v="215-1458729335-6289-1042783"/>
        <s v="10-1458729334-6783-4011652"/>
        <s v="10-1458729314-9014-2991896"/>
        <s v="1307-1458729288-5495-4666322"/>
        <s v="419-1458729285-4275-3942523"/>
        <s v="5-1458729283-1503-923438"/>
        <s v="12-1458729266-0025-4385863"/>
        <s v="48-1458729264-3346-4526741"/>
        <s v="1161-1458729263-4658-4516529"/>
        <s v="346-1458729245-8083-1378494"/>
        <s v="215-1458729242-4092-3474614"/>
        <s v="34-1458729240-5692-4302403"/>
        <s v="99-1458729221-2109-4459192"/>
        <n v="30097786"/>
        <s v="48-1458729216-2789-4576694"/>
        <s v="1135-1458729204-2541-4580726"/>
        <s v="12-1458729203-1993-3396473"/>
        <s v="578-1458729187-8537-695219"/>
        <s v="5-1458729177-9402-13923"/>
        <s v="99-1458729135-2334-4666310"/>
        <s v="99-1458729126-362-4459192"/>
        <s v="1396-1458729121-2428-4553741"/>
        <s v="1396-1458729090-7521-4457029"/>
        <s v="419-1458729081-5331-1087388"/>
        <s v="99-1458729080-1956-4405657"/>
        <s v="1477-1458729079-3247-4666306"/>
        <s v="99-1458729071-1236-4459192"/>
        <s v="787-1458729058-1837-3968275"/>
        <s v="48-1458729053-3032-4666302"/>
        <s v="1396-1458729052-2625-4649443"/>
        <s v="787-1458729045-0289-4281100"/>
        <s v="1396-1458729032-3889-4623847"/>
        <n v="30028334"/>
        <s v="346-1458729015-4571-657125"/>
        <s v="12-1458729001-4646-3996103"/>
        <s v="73-1458728998-8347-861560"/>
        <s v="10-1458728994-9755-3654242"/>
        <s v="10-1458728993-8978-609935"/>
        <s v="12-1458728980-0172-3396473"/>
        <s v="99-1458728979-8022-4405657"/>
        <n v="30097750"/>
        <s v="578-1458728928-7174-4309804"/>
        <s v="12-1458728910-5168-4633447"/>
        <s v="47-1458728907-337-4658930"/>
        <s v="48-1458728901-6109-4527950"/>
        <s v="346-1458728895-5366-650435"/>
        <s v="601-1458728895-0585-4628231"/>
        <s v="12-1458728875-66-80414"/>
        <s v="578-1458728869-961-706982"/>
        <s v="99-1458728864-0867-4405657"/>
        <s v="59-1458728863-6741-177198"/>
        <s v="21-1458728821-2991-2180161"/>
        <s v="5-1458728814-7742-923261"/>
        <s v="47-1458728811-96-4666294"/>
        <s v="1191-1458728787-5299-4666290"/>
        <s v="32-1458728772-279-90028"/>
        <s v="1191-1458728770-6907-4666286"/>
        <s v="743-1458728759-2914-3223922"/>
        <s v="1135-1458728744-3817-4626467"/>
        <s v="10-1458728709-2644-3038153"/>
        <s v="346-1458728709-0444-636233"/>
        <s v="99-1458728702-7453-4601174"/>
        <s v="10-1458728699-2047-331235"/>
        <s v="51-1458728695-6833-414788"/>
        <s v="346-1458728693-6707-650435"/>
        <s v="133-1458728679-2357-1399224"/>
        <s v="51-1458728667-6621-410075"/>
        <n v="30097702"/>
        <s v="578-1458728650-405-747512"/>
        <s v="1191-1458728645-0543-4666282"/>
        <s v="10-1458728614-9368-333519"/>
        <s v="99-1458728612-8055-4292332"/>
        <n v="30097697"/>
        <s v="48-1458728609-3873-4638079"/>
        <s v="424-1458728603-6796-4071412"/>
        <s v="59-1458728599-8101-177198"/>
        <s v="51-1458728595-1577-410839"/>
        <s v="10-1458728585-4954-16745"/>
        <s v="5-1458728557-4819-4003711"/>
        <s v="48-1458728544-7635-4520273"/>
        <s v="12-1458728539-7013-4311883"/>
        <s v="10-1458728534-0579-61729"/>
        <s v="48-1458728532-3939-4526741"/>
        <s v="12-1458728524-8941-170300"/>
        <s v="5-1458728511-8907-923261"/>
        <s v="12-1458728501-3396-229267"/>
        <s v="419-1458728483-0401-4172437"/>
        <n v="312126057"/>
        <s v="59-1458728469-8607-177198"/>
        <s v="10-1458728454-2708-4011652"/>
        <s v="5-1458728450-489-3644513"/>
        <s v="442-1458728443-4994-4665642"/>
        <s v="346-1458728433-8695-650435"/>
        <n v="312125985"/>
        <n v="30097664"/>
        <s v="12-1458728401-1522-1272819"/>
        <s v="12-1458728393-0982-270297"/>
        <s v="32-1458728386-8825-4012282"/>
        <s v="743-1458728369-7435-4666274"/>
        <s v="12-1458728367-8733-3474740"/>
        <n v="30097645"/>
        <s v="10-1458728327-7984-4666150"/>
        <s v="743-1458728321-859-4666274"/>
        <s v="73-1458728325-4893-1882803"/>
        <s v="12-1458728325-0591-74723"/>
        <s v="239-1458728312-5237-4192240"/>
        <s v="12-1458728293-1913-170300"/>
        <n v="30097639"/>
        <s v="420-1458728275-031-959239"/>
        <s v="5-1458728267-156-923261"/>
        <s v="48-1458728260-6258-31537"/>
        <n v="312125795"/>
        <s v="5-1458728242-3163-923438"/>
        <s v="578-1458728230-6162-764423"/>
        <s v="1191-1458728227-4264-4666270"/>
        <s v="1477-1458728226-6863-4666266"/>
        <s v="51-1458728225-9075-414788"/>
        <n v="312125759"/>
        <s v="7-1458728198-6119-196920"/>
        <s v="73-1458728181-0813-3485753"/>
        <s v="10-1458728173-2182-4485035"/>
        <s v="12-1458728164-6968-80414"/>
        <s v="10-1458728156-0566-4544588"/>
        <s v="10-1458728133-5298-4666150"/>
        <s v="12-1458728127-7628-4385863"/>
        <n v="30097603"/>
        <s v="346-1458728112-5609-2739552"/>
        <s v="10-1458728100-7908-4511696"/>
        <s v="620-1458728095-3129-1415193"/>
        <s v="10-1458728091-958-4602242"/>
        <s v="12-1458728081-1783-87177"/>
        <s v="10-1458728051-0989-4666150"/>
        <s v="239-1458728047-7809-1660317"/>
        <s v="420-1458728037-1421-1140365"/>
        <s v="10-1458728033-1225-4555943"/>
        <s v="7-1458728023-6905-3911854"/>
        <s v="10-1458728022-9078-62586"/>
        <s v="10-1458728016-9007-4664714"/>
        <s v="228-1458728009-9401-4658650"/>
        <n v="312125503"/>
        <s v="10-1458727978-8439-4450696"/>
        <s v="1477-1458727977-7109-4666250"/>
        <s v="5-1458727971-916-923438"/>
        <n v="30097575"/>
        <n v="312125469"/>
        <n v="49567465"/>
        <s v="10-1458727946-0317-4560206"/>
        <s v="346-1458727944-704-635405"/>
        <s v="99-1458727942-2171-4310374"/>
        <s v="10-1458727929-5446-4586603"/>
        <n v="312125431"/>
        <s v="10-1458727923-0126-4651291"/>
        <s v="99-1458727907-4236-4666242"/>
        <s v="419-1458727902-6015-554181"/>
        <s v="10-1458727902-4652-4373377"/>
        <s v="12-1458727885-9539-2691936"/>
        <s v="397-1458727881-1243-1131965"/>
        <s v="12-1458727875-9217-2377260"/>
        <s v="51-1458727869-8826-414788"/>
        <s v="10-1458727869-5015-4011652"/>
        <s v="48-1458727864-7689-40991"/>
        <s v="48-1458727855-8069-532281"/>
        <s v="12-1458727852-7041-72913"/>
        <s v="12-1458727848-5093-2742366"/>
        <s v="10-1458727833-0082-4431868"/>
        <n v="312125301"/>
        <s v="12-1458727819-4165-3540053"/>
        <s v="48-1458727817-0343-31537"/>
        <s v="10-1458727809-7189-4661938"/>
        <s v="32-1458727788-7782-3851749"/>
        <s v="59-1458727766-8752-4205698"/>
        <s v="10-1458727765-5337-839294"/>
        <s v="12-1458727765-3937-1647462"/>
        <s v="743-1458727761-5275-2686071"/>
        <s v="1191-1458727743-9478-4666226"/>
        <s v="12-1458727735-1796-3381209"/>
        <s v="12-1458727723-0698-170300"/>
        <s v="346-1458727716-4063-4555418"/>
        <s v="5-1458727708-8098-576519"/>
        <s v="215-1458727702-4966-3474614"/>
        <n v="312125135"/>
        <s v="32-1458727691-6206-45525"/>
        <n v="312125113"/>
        <s v="10-1458727672-9214-4651291"/>
        <n v="312125103"/>
        <s v="10-1458727668-5757-839294"/>
        <n v="30097525"/>
        <n v="30097524"/>
        <s v="10-1458727652-5916-3721367"/>
        <n v="312125049"/>
        <n v="312125045"/>
        <s v="5-1458727619-851-923261"/>
        <s v="10-1458727602-4517-4486274"/>
        <s v="133-1458727593-4144-4471609"/>
        <s v="48-1458727585-082-31537"/>
        <s v="10-1458727574-0539-4666218"/>
        <n v="312125003"/>
        <s v="419-1458727558-4327-4621327"/>
        <s v="10-1458727556-7926-4651291"/>
        <s v="12-1458727551-3452-295601"/>
        <s v="346-1458727544-1326-2598711"/>
        <n v="312124969"/>
        <s v="443-1458727526-8153-4604579"/>
        <s v="10-1458727525-2729-4486274"/>
        <s v="12-1458727520-544-3381209"/>
        <s v="59-1458727519-5186-505438"/>
        <s v="10-1458727517-3158-4617306"/>
        <n v="30097494"/>
        <n v="312124951"/>
        <s v="5-1458727473-6348-621278"/>
        <s v="5-1458727467-4035-55620"/>
        <s v="10-1458727465-4153-4486274"/>
        <s v="12-1458727460-0149-491228"/>
        <s v="48-1458727447-1604-4520273"/>
        <s v="12-1458727446-8075-4623595"/>
        <s v="10-1458727446-3235-4666194"/>
        <n v="30097482"/>
        <n v="312124903"/>
        <s v="10-1458727397-979-4293763"/>
        <s v="10-1458727397-7988-4486274"/>
        <s v="419-1458727395-2576-4613181"/>
        <s v="12-1458727369-1596-225368"/>
        <s v="683-1458727365-4264-4664522"/>
        <s v="578-1458727365-58-4309804"/>
        <s v="5-1458727365-2875-55620"/>
        <s v="419-1458727361-7058-1943154"/>
        <n v="312124839"/>
        <s v="1138-1458727342-9292-4638415"/>
        <s v="73-1458727339-7061-4346353"/>
        <s v="12-1458727336-3976-3396473"/>
        <n v="312124811"/>
        <s v="12-1458727331-6595-3968290"/>
        <s v="10-1458727328-0806-8812"/>
        <s v="5-1458727323-2013-4579712"/>
        <s v="578-1458727317-7196-691151"/>
        <s v="12-1458727311-6995-79152"/>
        <s v="10-1458727233-0309-4215619"/>
        <s v="5-1458727224-7213-923261"/>
        <s v="12-1458727184-4617-415786"/>
        <s v="10-1458727181-9441-4444768"/>
        <s v="47-1458727181-2296-34761"/>
        <s v="5-1458727174-752-55620"/>
        <s v="47-1458727172-6447-261017"/>
        <s v="10-1458727145-7053-4492850"/>
        <s v="12-1458727137-0219-79152"/>
        <s v="12-1458727136-8218-74723"/>
        <s v="47-1458727124-4257-32069"/>
        <s v="99-1458727122-4329-4312492"/>
        <s v="5-1458727103-3066-55620"/>
        <s v="48-1458727091-3926-31537"/>
        <n v="30097436"/>
        <s v="48-1458727081-3865-4638079"/>
        <s v="10-1458727068-6442-1419015"/>
        <s v="99-1458727062-1681-4649599"/>
        <s v="578-1458727017-5977-693938"/>
        <s v="51-1458727016-9588-414788"/>
        <s v="12-1458727016-0566-107651"/>
        <s v="7-1458726983-8974-736703"/>
        <s v="346-1458726930-493-4630703"/>
        <s v="10-1458726930-5403-5978"/>
        <n v="49564393"/>
        <s v="419-1458726915-7985-4310440"/>
        <s v="133-1458726902-8279-875897"/>
        <s v="12-1458726902-4302-74723"/>
        <s v="10-1458726895-6446-4666150"/>
        <n v="30097406"/>
        <s v="578-1458726879-7703-693938"/>
        <s v="48-1458726879-0928-199963"/>
        <s v="346-1458726877-0706-4526222"/>
        <s v="1212-1458726855-8622-4666170"/>
        <s v="5-1458726845-1132-55620"/>
        <s v="10-1458726843-8964-4666150"/>
        <s v="10-1458726836-4483-4610685"/>
        <s v="10-1458726822-5519-4619979"/>
        <s v="12-1458726804-6324-491228"/>
        <n v="30097392"/>
        <s v="10-1458726769-4753-4421575"/>
        <s v="10-1458726767-8336-2664522"/>
        <s v="99-1458726767-6352-4619815"/>
        <s v="12-1458726756-3787-261152"/>
        <s v="5-1458726750-0098-923261"/>
        <s v="10-1458726749-1302-4666150"/>
        <s v="99-1458726748-6228-4300732"/>
        <s v="51-1458726744-0835-411173"/>
        <s v="419-1458726738-0138-1943154"/>
        <s v="5-1458726733-0661-4579712"/>
        <s v="578-1458726729-1764-692837"/>
        <s v="420-1458726725-6343-959239"/>
        <s v="51-1458726720-9966-414788"/>
        <s v="59-1458726710-5233-84491"/>
        <s v="59-1458726705-8444-441633"/>
        <s v="99-1458726684-3326-4619815"/>
        <s v="1191-1458726665-261-4666146"/>
        <s v="7-1458726663-9662-624167"/>
        <n v="30097373"/>
        <s v="48-1458726641-3335-4530884"/>
        <n v="30097369"/>
        <s v="1191-1458726632-4844-4666142"/>
        <s v="12-1458726631-5165-3396473"/>
        <s v="5-1458726609-8761-4196482"/>
        <s v="12-1458726609-3393-3381209"/>
        <s v="5-1458726607-0279-2820"/>
        <s v="5-1458726566-6697-8222"/>
        <s v="10-1458726565-2598-4275052"/>
        <s v="12-1458726556-2387-3489182"/>
        <s v="419-1458726522-7377-1943154"/>
        <s v="578-1458726512-5695-3770653"/>
        <s v="12-1458726509-2595-3537092"/>
        <s v="419-1458726503-8723-2521095"/>
        <s v="10-1458726483-3418-618290"/>
        <s v="578-1458726452-6412-701066"/>
        <s v="10-1458726447-4516-4275052"/>
        <s v="59-1458726443-2554-497494"/>
        <s v="12-1458726442-8537-460109"/>
        <s v="1477-1458726440-4605-4666122"/>
        <n v="30097327"/>
        <s v="12-1458726402-7241-3537092"/>
        <s v="578-1458726388-5634-3770653"/>
        <s v="10-1458726383-2668-2664522"/>
        <s v="59-1458726373-8777-4665646"/>
        <s v="10-1458726368-9851-4619979"/>
        <s v="239-1458726364-7429-165159"/>
        <s v="346-1458726354-9456-4597022"/>
        <s v="10-1458726352-6421-4619979"/>
        <s v="12-1458726338-8864-4606010"/>
        <s v="578-1458726320-5988-705251"/>
        <s v="578-1458726318-1069-692690"/>
        <s v="12-1458726311-7613-519970"/>
        <s v="419-1458726308-5552-2521095"/>
        <s v="1135-1458726308-0091-2263713"/>
        <s v="419-1458726299-8815-1943154"/>
        <n v="49562283"/>
        <s v="1135-1458726265-7055-4580726"/>
        <s v="10-1458726264-3282-4275052"/>
        <s v="10-1458726261-4553-4647599"/>
        <s v="578-1458726258-2054-742379"/>
        <s v="12-1458726255-3855-73895"/>
        <n v="312124307"/>
        <s v="346-1458726242-5441-4411345"/>
        <s v="12-1458726223-5921-3488906"/>
        <s v="12-1458726199-5554-170300"/>
        <s v="10-1458726184-0134-3904339"/>
        <s v="10-1458726172-3496-4275052"/>
        <s v="10-1458726163-7469-1733232"/>
        <s v="34-1458726161-8697-1497792"/>
        <s v="12-1458726148-0485-78866"/>
        <s v="7-1458726122-3721-622856"/>
        <s v="10-1458726121-4477-4019971"/>
        <s v="5-1458726109-4725-9816"/>
        <s v="10-1458726108-9103-4275052"/>
        <n v="30097282"/>
        <s v="10-1458726060-1498-4275052"/>
        <s v="10-1458726047-8538-4458424"/>
        <s v="12-1458726045-0891-801194"/>
        <s v="12-1458726026-1316-3447659"/>
        <s v="12-1458726026-1539-170300"/>
        <s v="12-1458726026-1901-73895"/>
        <s v="51-1458726008-5944-414788"/>
        <s v="10-1458726007-7383-4617654"/>
        <s v="10-1458725987-4634-8812"/>
        <s v="10-1458725972-0234-4275052"/>
        <s v="12-1458725943-2501-517602"/>
        <s v="10-1458725929-884-3904339"/>
        <s v="5-1458725927-3645-220941"/>
        <s v="12-1458725926-3346-261152"/>
        <s v="59-1458725917-7475-177198"/>
        <s v="10-1458725916-0342-4275052"/>
        <s v="10-1458725894-9531-3863110"/>
        <s v="10-1458725891-1555-3904339"/>
        <s v="12-1458725880-3759-4256416"/>
        <s v="48-1458725867-356-4526741"/>
        <s v="10-1458725854-7131-4640951"/>
        <s v="10-1458725848-5232-4590506"/>
        <s v="32-1458725838-355-37627"/>
        <s v="12-1458725836-4811-371277"/>
        <s v="59-1458725833-9647-441633"/>
        <s v="99-1458725830-1573-4293907"/>
        <s v="5-1458725811-5784-223999"/>
        <s v="5-1458725810-3477-220941"/>
        <s v="578-1458725792-8206-1495137"/>
        <s v="1138-1458725765-5887-4666034"/>
        <s v="10-1458725748-2619-4275052"/>
        <s v="12-1458725725-4795-3379661"/>
        <s v="32-1458725713-662-4477727"/>
        <s v="1135-1458725695-7605-2263713"/>
        <s v="12-1458725670-1193-3396473"/>
        <s v="10-1458725666-4131-4275052"/>
        <s v="442-1458725639-5018-4666078"/>
        <s v="12-1458725640-1606-79152"/>
        <n v="30097205"/>
        <s v="620-1458725603-4854-1435278"/>
        <s v="32-1458725601-4822-199579"/>
        <s v="1396-1458725569-0323-4451983"/>
        <s v="12-1458725562-9161-73895"/>
        <s v="578-1458725538-3449-4554428"/>
        <s v="578-1458725527-6243-4226413"/>
        <s v="1307-1458725521-2868-4666066"/>
        <s v="420-1458725517-4896-959239"/>
        <s v="12-1458725509-0628-170300"/>
        <n v="312123763"/>
        <s v="1396-1458725507-793-4589453"/>
        <s v="51-1458725499-8249-414788"/>
        <s v="10-1458725460-265-4405579"/>
        <s v="346-1458725454-6968-650435"/>
        <s v="1396-1458725453-9627-4458160"/>
        <n v="49559893"/>
        <s v="1396-1458725443-1981-4649295"/>
        <s v="5-1458725412-3501-4196482"/>
        <s v="1396-1458725410-3981-4649055"/>
        <s v="73-1458725390-0714-3480227"/>
        <s v="48-1458725375-1082-31537"/>
        <s v="20-1458725367-07-2053596"/>
        <s v="10-1458725356-6415-11123"/>
        <s v="10-1458725349-8967-1287480"/>
        <s v="10-1458725346-0961-33571"/>
        <s v="578-1458725299-25-698135"/>
        <s v="10-1458725295-8331-4605470"/>
        <s v="32-1458725268-4681-47287"/>
        <s v="1477-1458725258-3807-4666042"/>
        <s v="578-1458725255-4738-4554428"/>
        <s v="1138-1458725244-7599-4666034"/>
        <s v="10-1458725242-2747-39559"/>
        <s v="5-1458725240-8516-4598606"/>
        <s v="346-1458725234-7736-650435"/>
        <s v="215-1458725184-9638-1042783"/>
        <s v="578-1458725174-374-2446440"/>
        <s v="47-1458725143-3964-4569356"/>
        <s v="51-1458725127-2738-414788"/>
        <s v="424-1458725115-5872-1170449"/>
        <n v="312123293"/>
        <s v="51-1458725093-118-3138593"/>
        <s v="10-1458725090-8548-5848"/>
        <s v="12-1458725084-2794-4332457"/>
        <s v="48-1458725072-5786-31537"/>
        <s v="12-1458725058-5771-76376"/>
        <s v="51-1458725033-1383-411173"/>
        <s v="12-1458725030-0903-92994"/>
        <s v="12-1458725024-84-460109"/>
        <s v="598-1458725018-4454-4660750"/>
        <s v="10-1458725016-9806-4647599"/>
        <s v="12-1458724998-0784-261152"/>
        <s v="443-1458724991-1816-4660862"/>
        <s v="12-1458724985-3943-3996103"/>
        <s v="12-1458724966-4046-3381209"/>
        <s v="12-1458724964-7845-4311883"/>
        <s v="133-1458724950-822-4315951"/>
        <s v="32-1458724937-2801-3851749"/>
        <s v="239-1458724918-1747-528864"/>
        <n v="49558331"/>
        <s v="215-1458724867-4889-3267737"/>
        <s v="51-1458724860-3864-414788"/>
        <s v="12-1458724849-9442-170300"/>
        <s v="346-1458724846-7168-650435"/>
        <s v="10-1458724842-8277-388191"/>
        <s v="99-1458724828-3544-4310374"/>
        <s v="578-1458724819-0868-895328"/>
        <n v="49558049"/>
        <s v="10-1458724738-3018-4220416"/>
        <s v="10-1458724693-1902-2741049"/>
        <s v="419-1458724689-4906-523856"/>
        <s v="32-1458724676-9937-54564"/>
        <s v="10-1458724644-7102-4555259"/>
        <s v="12-1458724642-4095-2946494"/>
        <s v="420-1458724637-7195-4665998"/>
        <s v="215-1458724621-6591-1042783"/>
        <s v="1212-1458724614-3478-4665994"/>
        <s v="10-1458724590-9433-4540979"/>
        <s v="1191-1458724579-6839-4665986"/>
        <s v="32-1458724563-1696-45521"/>
        <s v="133-1458724561-8716-875897"/>
        <s v="73-1458724546-8927-4346353"/>
        <n v="30097076"/>
        <s v="10-1458724516-6312-1487829"/>
        <s v="1516-1458724504-9918-4554209"/>
        <s v="5-1458724501-792-4196482"/>
        <s v="5-1458724499-29-4598606"/>
        <s v="12-1458724498-0938-3381209"/>
        <s v="51-1458724479-9193-3138593"/>
        <s v="1212-1458724467-5505-4665982"/>
        <s v="419-1458724446-2231-2521095"/>
        <s v="51-1458724443-66-410087"/>
        <s v="59-1458724436-9005-2125890"/>
        <m/>
      </sharedItems>
    </cacheField>
    <cacheField name="ExternalCustomer" numFmtId="0">
      <sharedItems containsBlank="1"/>
    </cacheField>
    <cacheField name="Direction" numFmtId="0">
      <sharedItems containsBlank="1"/>
    </cacheField>
    <cacheField name="Rate" numFmtId="0">
      <sharedItems containsString="0" containsBlank="1" containsNumber="1" minValue="0" maxValue="133.96738150115243"/>
    </cacheField>
    <cacheField name="DealtCurrency" numFmtId="0">
      <sharedItems containsBlank="1" count="2">
        <s v="EUR"/>
        <m/>
      </sharedItems>
    </cacheField>
    <cacheField name="AgainstCurrency" numFmtId="0">
      <sharedItems containsBlank="1" count="16">
        <s v="TRY"/>
        <s v="NOK"/>
        <s v="CAD"/>
        <s v="JPY"/>
        <s v="GBP"/>
        <s v="AUD"/>
        <s v="NZD"/>
        <s v="USD"/>
        <s v="RUB"/>
        <s v="AED"/>
        <s v="DKK"/>
        <s v="EUR"/>
        <s v="SEK"/>
        <s v="AZN"/>
        <s v="BRL"/>
        <m/>
      </sharedItems>
    </cacheField>
    <cacheField name="DealtAmount" numFmtId="0">
      <sharedItems containsString="0" containsBlank="1" containsNumber="1" minValue="0.01" maxValue="325861.76000000001"/>
    </cacheField>
    <cacheField name="Book" numFmtId="0">
      <sharedItems containsBlank="1"/>
    </cacheField>
    <cacheField name="ValueDate" numFmtId="0">
      <sharedItems containsNonDate="0" containsString="0" containsBlank="1"/>
    </cacheField>
    <cacheField name="Not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23">
  <r>
    <s v="3641053-1458747975-56"/>
    <s v="Spot"/>
    <s v="3641053-1458747975-56"/>
    <n v="0"/>
    <d v="2016-03-31T00:00:00"/>
    <x v="0"/>
    <s v="56"/>
    <s v="SELL"/>
    <n v="3.3881725211204983"/>
    <x v="0"/>
    <x v="0"/>
    <n v="76.2"/>
    <s v="Deal"/>
    <m/>
    <s v="Original Amount [EUR 22.49], Merchant Amount [EUR 22.49], Customer Amount [TRY 76.2], Status [WAITING], Operation [3D], UUID [3641053-1458747975-56] [23/03/2016 at 15:46:00]"/>
  </r>
  <r>
    <s v="3641050-1458747973-261"/>
    <s v="Spot"/>
    <s v="3641050-1458747973-261"/>
    <n v="0"/>
    <d v="2016-03-31T00:00:00"/>
    <x v="1"/>
    <s v="261"/>
    <s v="SELL"/>
    <n v="9.9505876068376082"/>
    <x v="0"/>
    <x v="1"/>
    <n v="745.1"/>
    <s v="Deal"/>
    <m/>
    <s v="Original Amount [EUR 74.88], Merchant Amount [EUR 74.88], Customer Amount [NOK 745.1], Status [APPROVED], Operation [DIRECT], UUID [3641050-1458747973-261] [23/03/2016 at 15:46:00]"/>
  </r>
  <r>
    <s v="3641044-1458747967-238"/>
    <s v="Spot"/>
    <s v="3641044-1458747967-238"/>
    <n v="0"/>
    <d v="2016-03-31T00:00:00"/>
    <x v="2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41044-1458747967-238] [23/03/2016 at 15:46:00]"/>
  </r>
  <r>
    <s v="3641041-1458747966-216"/>
    <s v="Spot"/>
    <s v="3641041-1458747966-216"/>
    <n v="0"/>
    <d v="2016-03-31T00:00:00"/>
    <x v="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41041-1458747966-216] [23/03/2016 at 15:46:00]"/>
  </r>
  <r>
    <s v="3641038-1458747964-171"/>
    <s v="Spot"/>
    <s v="3641038-1458747964-171"/>
    <n v="0"/>
    <d v="2016-03-31T00:00:00"/>
    <x v="4"/>
    <s v="171"/>
    <s v="SELL"/>
    <n v="1.5513950073421439"/>
    <x v="0"/>
    <x v="2"/>
    <n v="21.13"/>
    <s v="Deal"/>
    <m/>
    <s v="Original Amount [EUR 13.62], Merchant Amount [EUR 13.62], Customer Amount [CAD 21.13], Status [APPROVED], Operation [DIRECT], UUID [3641038-1458747964-171] [23/03/2016 at 15:46:00]"/>
  </r>
  <r>
    <s v="3641035-1458747961-172"/>
    <s v="Spot"/>
    <s v="3641035-1458747961-172"/>
    <n v="0"/>
    <d v="2016-03-31T00:00:00"/>
    <x v="5"/>
    <s v="172"/>
    <s v="SELL"/>
    <n v="9.9505853658536587"/>
    <x v="0"/>
    <x v="1"/>
    <n v="2039.87"/>
    <s v="Deal"/>
    <m/>
    <s v="Original Amount [EUR 205], Merchant Amount [EUR 205], Customer Amount [NOK 2039.87], Status [WAITING], Operation [3D], UUID [3641035-1458747961-172] [23/03/2016 at 15:46:00]"/>
  </r>
  <r>
    <s v="3641032-1458747961-200"/>
    <s v="Spot"/>
    <s v="3641032-1458747961-200"/>
    <n v="0"/>
    <d v="2016-03-31T00:00:00"/>
    <x v="6"/>
    <s v="200"/>
    <s v="SELL"/>
    <n v="9.9506666666666668"/>
    <x v="0"/>
    <x v="1"/>
    <n v="298.52"/>
    <s v="Deal"/>
    <m/>
    <s v="Original Amount [EUR 30], Merchant Amount [EUR 30], Customer Amount [NOK 298.52], Status [WAITING], Operation [3D], UUID [3641032-1458747961-200] [23/03/2016 at 15:46:00]"/>
  </r>
  <r>
    <s v="3641029-1458747959-107"/>
    <s v="Spot"/>
    <s v="3641029-1458747959-107"/>
    <n v="0"/>
    <d v="2016-03-31T00:00:00"/>
    <x v="7"/>
    <s v="107"/>
    <s v="SELL"/>
    <n v="3.388029589778077"/>
    <x v="0"/>
    <x v="0"/>
    <n v="50.38"/>
    <s v="Deal"/>
    <m/>
    <s v="Original Amount [EUR 14.87], Merchant Amount [EUR 14.87], Customer Amount [TRY 50.38], Status [WAITING], Operation [3D], UUID [3641029-1458747959-107] [23/03/2016 at 15:45:00]"/>
  </r>
  <r>
    <s v="3641026-1458747957-102"/>
    <s v="Spot"/>
    <s v="3641026-1458747957-102"/>
    <n v="0"/>
    <d v="2016-03-31T00:00:00"/>
    <x v="8"/>
    <s v="102"/>
    <s v="SELL"/>
    <n v="3.3879032258064514"/>
    <x v="0"/>
    <x v="0"/>
    <n v="42.01"/>
    <s v="Deal"/>
    <m/>
    <s v="Original Amount [EUR 12.4], Merchant Amount [EUR 12.4], Customer Amount [TRY 42.01], Status [WAITING], Operation [3D], UUID [3641026-1458747957-102] [23/03/2016 at 15:45:00]"/>
  </r>
  <r>
    <s v="3641023-1458747956-224"/>
    <s v="Spot"/>
    <s v="3641023-1458747956-224"/>
    <n v="0"/>
    <d v="2016-03-31T00:00:00"/>
    <x v="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41023-1458747956-224] [23/03/2016 at 15:45:00]"/>
  </r>
  <r>
    <s v="3641056-1458747977-203"/>
    <s v="Spot"/>
    <s v="3641056-1458747977-203"/>
    <n v="0"/>
    <d v="2016-03-31T00:00:00"/>
    <x v="1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41056-1458747977-203] [23/03/2016 at 15:46:00]"/>
  </r>
  <r>
    <s v="3641008-1458747953-216"/>
    <s v="Spot"/>
    <s v="3641008-1458747953-216"/>
    <n v="0"/>
    <d v="2016-03-31T00:00:00"/>
    <x v="11"/>
    <s v="216"/>
    <s v="SELL"/>
    <n v="3.3881156316916488"/>
    <x v="0"/>
    <x v="0"/>
    <n v="63.29"/>
    <s v="Deal"/>
    <m/>
    <s v="Original Amount [EUR 18.68], Merchant Amount [EUR 18.68], Customer Amount [TRY 63.29], Status [WAITING], Operation [3D], UUID [3641008-1458747953-216] [23/03/2016 at 15:45:00]"/>
  </r>
  <r>
    <s v="3641020-1458747955-107"/>
    <s v="Spot"/>
    <s v="3641020-1458747955-107"/>
    <n v="0"/>
    <d v="2016-03-31T00:00:00"/>
    <x v="12"/>
    <s v="107"/>
    <s v="SELL"/>
    <n v="3.3880494505494503"/>
    <x v="0"/>
    <x v="0"/>
    <n v="49.33"/>
    <s v="Deal"/>
    <m/>
    <s v="Original Amount [EUR 14.56], Merchant Amount [EUR 14.56], Customer Amount [TRY 49.33], Status [APPROVED], Operation [3DAUTH], UUID [3641020-1458747955-107] [23/03/2016 at 15:45:00]"/>
  </r>
  <r>
    <s v="3641017-1458747955-126"/>
    <s v="Spot"/>
    <s v="3641017-1458747955-126"/>
    <n v="0"/>
    <d v="2016-03-31T00:00:00"/>
    <x v="13"/>
    <s v="126"/>
    <s v="SELL"/>
    <n v="9.9512195121951219"/>
    <x v="0"/>
    <x v="1"/>
    <n v="102"/>
    <s v="Deal"/>
    <m/>
    <s v="Original Amount [EUR 10.25], Merchant Amount [EUR 10.25], Customer Amount [NOK 102], Status [APPROVED], Operation [3DAUTH], UUID [3641017-1458747955-126] [23/03/2016 at 15:45:00]"/>
  </r>
  <r>
    <s v="3640978-1458747920-200"/>
    <s v="Spot"/>
    <s v="3640978-1458747920-200"/>
    <n v="0"/>
    <d v="2016-03-31T00:00:00"/>
    <x v="14"/>
    <s v="200"/>
    <s v="SELL"/>
    <n v="9.9533333333333331"/>
    <x v="0"/>
    <x v="1"/>
    <n v="29.86"/>
    <s v="Deal"/>
    <m/>
    <s v="Original Amount [EUR 3], Merchant Amount [EUR 3], Customer Amount [NOK 29.86], Status [WAITING], Operation [3D], UUID [3640978-1458747920-200] [23/03/2016 at 15:45:00]"/>
  </r>
  <r>
    <s v="3640963-1458747913-264"/>
    <s v="Spot"/>
    <s v="3640963-1458747913-264"/>
    <n v="0"/>
    <d v="2016-03-31T00:00:00"/>
    <x v="15"/>
    <s v="264"/>
    <s v="SELL"/>
    <n v="3.3918781725888327"/>
    <x v="0"/>
    <x v="0"/>
    <n v="100.23"/>
    <s v="Deal"/>
    <m/>
    <s v="Original Amount [TRY 95], Merchant Amount [EUR 29.55], Customer Amount [TRY 100.23], Status [WAITING], Operation [3D], UUID [3640963-1458747913-264] [23/03/2016 at 15:45:00]"/>
  </r>
  <r>
    <s v="3640981-1458747922-107"/>
    <s v="Spot"/>
    <s v="3640981-1458747922-107"/>
    <n v="0"/>
    <d v="2016-03-31T00:00:00"/>
    <x v="1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81-1458747922-107] [23/03/2016 at 15:45:00]"/>
  </r>
  <r>
    <s v="3640942-1458747896-119"/>
    <s v="Spot"/>
    <s v="3640942-1458747896-119"/>
    <n v="0"/>
    <d v="2016-03-31T00:00:00"/>
    <x v="17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40942-1458747896-119] [23/03/2016 at 15:44:00]"/>
  </r>
  <r>
    <s v="3640990-1458747923-216"/>
    <s v="Spot"/>
    <s v="3640990-1458747923-216"/>
    <n v="0"/>
    <d v="2016-03-31T00:00:00"/>
    <x v="1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990-1458747923-216] [23/03/2016 at 15:45:00]"/>
  </r>
  <r>
    <s v="3640933-1458747889-126"/>
    <s v="Spot"/>
    <s v="3640933-1458747889-126"/>
    <n v="0"/>
    <d v="2016-03-31T00:00:00"/>
    <x v="19"/>
    <s v="126"/>
    <s v="SELL"/>
    <n v="9.9753658536585377"/>
    <x v="0"/>
    <x v="1"/>
    <n v="408.99"/>
    <s v="Deal"/>
    <m/>
    <s v="Original Amount [EUR 41], Merchant Amount [EUR 41], Customer Amount [NOK 408.99], Status [APPROVED], Operation [DIRECT], UUID [3640933-1458747889-126] [23/03/2016 at 15:44:00]"/>
  </r>
  <r>
    <s v="3640930-1458747888-216"/>
    <s v="Spot"/>
    <s v="3640930-1458747888-216"/>
    <n v="0"/>
    <d v="2016-03-31T00:00:00"/>
    <x v="2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40930-1458747888-216] [23/03/2016 at 15:44:00]"/>
  </r>
  <r>
    <s v="3640927-1458747888-119"/>
    <s v="Spot"/>
    <s v="3640927-1458747888-119"/>
    <n v="0"/>
    <d v="2016-03-31T00:00:00"/>
    <x v="21"/>
    <s v="119"/>
    <s v="SELL"/>
    <n v="9.9753428571428575"/>
    <x v="0"/>
    <x v="1"/>
    <n v="3491.37"/>
    <s v="Deal"/>
    <m/>
    <s v="Original Amount [EUR 350], Merchant Amount [EUR 350], Customer Amount [NOK 3491.37], Status [APPROVED], Operation [DIRECT], UUID [3640927-1458747888-119] [23/03/2016 at 15:44:00]"/>
  </r>
  <r>
    <s v="3640921-1458747867-224"/>
    <s v="Spot"/>
    <s v="3640921-1458747867-224"/>
    <n v="0"/>
    <d v="2016-03-31T00:00:00"/>
    <x v="22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40921-1458747867-224] [23/03/2016 at 15:44:00]"/>
  </r>
  <r>
    <s v="3640936-1458747891-196"/>
    <s v="Spot"/>
    <s v="3640936-1458747891-196"/>
    <n v="0"/>
    <d v="2016-03-31T00:00:00"/>
    <x v="23"/>
    <s v="196"/>
    <s v="SELL"/>
    <n v="9.9753892516323468"/>
    <x v="0"/>
    <x v="1"/>
    <n v="198.61"/>
    <s v="Deal"/>
    <m/>
    <s v="Original Amount [EUR 19.91], Merchant Amount [EUR 19.91], Customer Amount [NOK 198.61], Status [APPROVED], Operation [3DAUTH], UUID [3640936-1458747891-196] [23/03/2016 at 15:44:00]"/>
  </r>
  <r>
    <s v="3640903-1458747840-224"/>
    <s v="Spot"/>
    <s v="3640903-1458747840-224"/>
    <n v="0"/>
    <d v="2016-03-31T00:00:00"/>
    <x v="24"/>
    <s v="224"/>
    <s v="SELL"/>
    <n v="133.03761198036079"/>
    <x v="0"/>
    <x v="3"/>
    <n v="237905.84"/>
    <s v="Deal"/>
    <m/>
    <s v="Original Amount [EUR 1788.26], Merchant Amount [EUR 1788.26], Customer Amount [JPY 237905.84], Status [APPROVED], Operation [DIRECT], UUID [3640903-1458747840-224] [23/03/2016 at 15:44:00]"/>
  </r>
  <r>
    <s v="3640918-1458747867-107"/>
    <s v="Spot"/>
    <s v="3640918-1458747867-107"/>
    <n v="0"/>
    <d v="2016-03-31T00:00:00"/>
    <x v="25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18-1458747867-107] [23/03/2016 at 15:44:00]"/>
  </r>
  <r>
    <s v="3640897-1458747835-187"/>
    <s v="Spot"/>
    <s v="3640897-1458747835-187"/>
    <n v="0"/>
    <d v="2016-03-31T00:00:00"/>
    <x v="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40897-1458747835-187] [23/03/2016 at 15:43:00]"/>
  </r>
  <r>
    <s v="3640888-1458747823-224"/>
    <s v="Spot"/>
    <s v="3640888-1458747823-224"/>
    <n v="0"/>
    <d v="2016-03-31T00:00:00"/>
    <x v="2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40888-1458747823-224] [23/03/2016 at 15:43:00]"/>
  </r>
  <r>
    <s v="3640864-1458747788-160"/>
    <s v="Spot"/>
    <s v="3640864-1458747788-160"/>
    <n v="0"/>
    <d v="2016-03-31T00:00:00"/>
    <x v="2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40864-1458747788-160] [23/03/2016 at 15:43:00]"/>
  </r>
  <r>
    <s v="3640855-1458747780-224"/>
    <s v="Spot"/>
    <s v="3640855-1458747780-224"/>
    <n v="0"/>
    <d v="2016-03-31T00:00:00"/>
    <x v="29"/>
    <s v="224"/>
    <s v="SELL"/>
    <n v="133.03761171116838"/>
    <x v="0"/>
    <x v="3"/>
    <n v="24264.73"/>
    <s v="Deal"/>
    <m/>
    <s v="Original Amount [EUR 182.39], Merchant Amount [EUR 182.39], Customer Amount [JPY 24264.73], Status [APPROVED], Operation [DIRECT], UUID [3640855-1458747780-224] [23/03/2016 at 15:43:00]"/>
  </r>
  <r>
    <s v="3640849-1458747776-261"/>
    <s v="Spot"/>
    <s v="3640849-1458747776-261"/>
    <n v="0"/>
    <d v="2016-03-31T00:00:00"/>
    <x v="30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40849-1458747776-261] [23/03/2016 at 15:42:00]"/>
  </r>
  <r>
    <s v="3640861-1458747785-264"/>
    <s v="Spot"/>
    <s v="3640861-1458747785-264"/>
    <n v="0"/>
    <d v="2016-03-31T00:00:00"/>
    <x v="31"/>
    <s v="264"/>
    <s v="SELL"/>
    <n v="3.397137745974955"/>
    <x v="0"/>
    <x v="0"/>
    <n v="18.989999999999998"/>
    <s v="Deal"/>
    <m/>
    <s v="Original Amount [TRY 18], Merchant Amount [EUR 5.59], Customer Amount [TRY 18.99], Status [APPROVED], Operation [3DAUTH], UUID [3640861-1458747785-264] [23/03/2016 at 15:43:00]"/>
  </r>
  <r>
    <s v="3640834-1458747756-200"/>
    <s v="Spot"/>
    <s v="3640834-1458747756-200"/>
    <n v="0"/>
    <d v="2016-03-31T00:00:00"/>
    <x v="3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40834-1458747756-200] [23/03/2016 at 15:42:00]"/>
  </r>
  <r>
    <s v="3640813-1458747736-261"/>
    <s v="Spot"/>
    <s v="3640813-1458747736-261"/>
    <n v="0"/>
    <d v="2016-03-31T00:00:00"/>
    <x v="33"/>
    <s v="261"/>
    <s v="SELL"/>
    <n v="9.9754672897196262"/>
    <x v="0"/>
    <x v="1"/>
    <n v="170.78"/>
    <s v="Deal"/>
    <m/>
    <s v="Original Amount [EUR 17.12], Merchant Amount [EUR 17.12], Customer Amount [NOK 170.78], Status [APPROVED], Operation [DIRECT], UUID [3640813-1458747736-261] [23/03/2016 at 15:42:00]"/>
  </r>
  <r>
    <s v="3640828-1458747750-216"/>
    <s v="Spot"/>
    <s v="3640828-1458747750-216"/>
    <n v="0"/>
    <d v="2016-03-31T00:00:00"/>
    <x v="34"/>
    <s v="216"/>
    <s v="SELL"/>
    <n v="3.3923444976076556"/>
    <x v="0"/>
    <x v="0"/>
    <n v="49.63"/>
    <s v="Deal"/>
    <m/>
    <s v="Original Amount [EUR 14.63], Merchant Amount [EUR 14.63], Customer Amount [TRY 49.63], Status [APPROVED], Operation [3DAUTH], UUID [3640828-1458747750-216] [23/03/2016 at 15:42:00]"/>
  </r>
  <r>
    <s v="3640819-1458747743-126"/>
    <s v="Spot"/>
    <s v="3640819-1458747743-126"/>
    <n v="0"/>
    <d v="2016-03-31T00:00:00"/>
    <x v="35"/>
    <s v="126"/>
    <s v="SELL"/>
    <n v="9.9506341463414643"/>
    <x v="0"/>
    <x v="1"/>
    <n v="509.97"/>
    <s v="Deal"/>
    <m/>
    <s v="Original Amount [EUR 51.25], Merchant Amount [EUR 51.25], Customer Amount [NOK 509.97], Status [APPROVED], Operation [3DAUTH], UUID [3640819-1458747743-126] [23/03/2016 at 15:42:00]"/>
  </r>
  <r>
    <s v="3640846-1458747771-101"/>
    <s v="Spot"/>
    <s v="3640846-1458747771-101"/>
    <n v="0"/>
    <d v="2016-03-31T00:00:00"/>
    <x v="36"/>
    <s v="101"/>
    <s v="SELL"/>
    <n v="3.3921568627450975"/>
    <x v="0"/>
    <x v="0"/>
    <n v="108.99"/>
    <s v="Deal"/>
    <m/>
    <s v="Original Amount [EUR 32.13], Merchant Amount [EUR 32.13], Customer Amount [TRY 108.99], Status [APPROVED], Operation [3DAUTH], UUID [3640846-1458747771-101] [23/03/2016 at 15:42:00]"/>
  </r>
  <r>
    <s v="3640792-1458747716-216"/>
    <s v="Spot"/>
    <s v="3640792-1458747716-216"/>
    <n v="0"/>
    <d v="2016-03-31T00:00:00"/>
    <x v="37"/>
    <s v="216"/>
    <s v="SELL"/>
    <n v="3.3925767309064954"/>
    <x v="0"/>
    <x v="0"/>
    <n v="47.53"/>
    <s v="Deal"/>
    <m/>
    <s v="Original Amount [EUR 14.01], Merchant Amount [EUR 14.01], Customer Amount [TRY 47.53], Status [WAITING], Operation [3D], UUID [3640792-1458747716-216] [23/03/2016 at 15:41:00]"/>
  </r>
  <r>
    <s v="3640789-1458747715-224"/>
    <s v="Spot"/>
    <s v="3640789-1458747715-224"/>
    <n v="0"/>
    <d v="2016-03-31T00:00:00"/>
    <x v="38"/>
    <s v="224"/>
    <s v="SELL"/>
    <n v="9.9507123604158654"/>
    <x v="0"/>
    <x v="1"/>
    <n v="258.42"/>
    <s v="Deal"/>
    <m/>
    <s v="Original Amount [EUR 25.97], Merchant Amount [EUR 25.97], Customer Amount [NOK 258.42], Status [APPROVED], Operation [DIRECT], UUID [3640789-1458747715-224] [23/03/2016 at 15:41:00]"/>
  </r>
  <r>
    <s v="3640771-1458747664-119"/>
    <s v="Spot"/>
    <s v="3640771-1458747664-119"/>
    <n v="0"/>
    <d v="2016-03-31T00:00:00"/>
    <x v="39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771-1458747664-119] [23/03/2016 at 15:41:00]"/>
  </r>
  <r>
    <s v="3640762-1458747656-145"/>
    <s v="Spot"/>
    <s v="3640762-1458747656-145"/>
    <n v="0"/>
    <d v="2016-03-31T00:00:00"/>
    <x v="4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40762-1458747656-145] [23/03/2016 at 15:40:00]"/>
  </r>
  <r>
    <s v="3640780-1458747694-203"/>
    <s v="Spot"/>
    <s v="3640780-1458747694-203"/>
    <n v="0"/>
    <d v="2016-03-31T00:00:00"/>
    <x v="41"/>
    <s v="203"/>
    <s v="SELL"/>
    <n v="3.3922580645161289"/>
    <x v="0"/>
    <x v="0"/>
    <n v="52.58"/>
    <s v="Deal"/>
    <m/>
    <s v="Original Amount [EUR 15.5], Merchant Amount [EUR 15.5], Customer Amount [TRY 52.58], Status [APPROVED], Operation [3DAUTH], UUID [3640780-1458747694-203] [23/03/2016 at 15:41:00]"/>
  </r>
  <r>
    <s v="3640756-1458747647-224"/>
    <s v="Spot"/>
    <s v="3640756-1458747647-224"/>
    <n v="0"/>
    <d v="2016-03-31T00:00:00"/>
    <x v="42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40756-1458747647-224] [23/03/2016 at 15:40:00]"/>
  </r>
  <r>
    <s v="3640774-1458747666-216"/>
    <s v="Spot"/>
    <s v="3640774-1458747666-216"/>
    <n v="0"/>
    <d v="2016-03-31T00:00:00"/>
    <x v="43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40774-1458747666-216] [23/03/2016 at 15:41:00]"/>
  </r>
  <r>
    <s v="3640768-1458747662-101"/>
    <s v="Spot"/>
    <s v="3640768-1458747662-101"/>
    <n v="0"/>
    <d v="2016-03-31T00:00:00"/>
    <x v="44"/>
    <s v="101"/>
    <s v="SELL"/>
    <n v="3.3922691481746599"/>
    <x v="0"/>
    <x v="0"/>
    <n v="94.78"/>
    <s v="Deal"/>
    <m/>
    <s v="Original Amount [EUR 27.94], Merchant Amount [EUR 27.94], Customer Amount [TRY 94.78], Status [APPROVED], Operation [3DAUTH], UUID [3640768-1458747662-101] [23/03/2016 at 15:41:00]"/>
  </r>
  <r>
    <s v="3640738-1458747631-224"/>
    <s v="Spot"/>
    <s v="3640738-1458747631-224"/>
    <n v="0"/>
    <d v="2016-03-31T00:00:00"/>
    <x v="4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738-1458747631-224] [23/03/2016 at 15:40:00]"/>
  </r>
  <r>
    <s v="3640753-1458747645-216"/>
    <s v="Spot"/>
    <s v="3640753-1458747645-216"/>
    <n v="0"/>
    <d v="2016-03-31T00:00:00"/>
    <x v="4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753-1458747645-216] [23/03/2016 at 15:40:00]"/>
  </r>
  <r>
    <s v="3640726-1458747620-56"/>
    <s v="Spot"/>
    <s v="3640726-1458747620-56"/>
    <n v="0"/>
    <d v="2016-03-31T00:00:00"/>
    <x v="47"/>
    <s v="56"/>
    <s v="SELL"/>
    <n v="3.3922789539227898"/>
    <x v="0"/>
    <x v="0"/>
    <n v="27.24"/>
    <s v="Deal"/>
    <m/>
    <s v="Original Amount [EUR 8.03], Merchant Amount [EUR 8.03], Customer Amount [TRY 27.24], Status [WAITING], Operation [3D], UUID [3640726-1458747620-56] [23/03/2016 at 15:40:00]"/>
  </r>
  <r>
    <s v="3640735-1458747624-216"/>
    <s v="Spot"/>
    <s v="3640735-1458747624-216"/>
    <n v="0"/>
    <d v="2016-03-31T00:00:00"/>
    <x v="48"/>
    <s v="216"/>
    <s v="SELL"/>
    <n v="3.3921001926782273"/>
    <x v="0"/>
    <x v="0"/>
    <n v="105.63"/>
    <s v="Deal"/>
    <m/>
    <s v="Original Amount [EUR 31.14], Merchant Amount [EUR 31.14], Customer Amount [TRY 105.63], Status [APPROVED], Operation [3DAUTH], UUID [3640735-1458747624-216] [23/03/2016 at 15:40:00]"/>
  </r>
  <r>
    <s v="3640744-1458747637-216"/>
    <s v="Spot"/>
    <s v="3640744-1458747637-216"/>
    <n v="0"/>
    <d v="2016-03-31T00:00:00"/>
    <x v="49"/>
    <s v="216"/>
    <s v="SELL"/>
    <n v="3.3923982869379015"/>
    <x v="0"/>
    <x v="0"/>
    <n v="63.37"/>
    <s v="Deal"/>
    <m/>
    <s v="Original Amount [EUR 18.68], Merchant Amount [EUR 18.68], Customer Amount [TRY 63.37], Status [APPROVED], Operation [3DAUTH], UUID [3640744-1458747637-216] [23/03/2016 at 15:40:00]"/>
  </r>
  <r>
    <s v="3640693-1458747581-216"/>
    <s v="Spot"/>
    <s v="3640693-1458747581-216"/>
    <n v="0"/>
    <d v="2016-03-31T00:00:00"/>
    <x v="50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40693-1458747581-216] [23/03/2016 at 15:39:00]"/>
  </r>
  <r>
    <s v="3640690-1458747577-107"/>
    <s v="Spot"/>
    <s v="3640690-1458747577-107"/>
    <n v="0"/>
    <d v="2016-03-31T00:00:00"/>
    <x v="51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40690-1458747577-107] [23/03/2016 at 15:39:00]"/>
  </r>
  <r>
    <s v="3640666-1458747552-199"/>
    <s v="Spot"/>
    <s v="3640666-1458747552-199"/>
    <n v="0"/>
    <d v="2016-03-31T00:00:00"/>
    <x v="52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40666-1458747552-199] [23/03/2016 at 15:39:00]"/>
  </r>
  <r>
    <s v="3640663-1458747550-119"/>
    <s v="Spot"/>
    <s v="3640663-1458747550-119"/>
    <n v="0"/>
    <d v="2016-03-31T00:00:00"/>
    <x v="5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40663-1458747550-119] [23/03/2016 at 15:39:00]"/>
  </r>
  <r>
    <s v="3640687-1458747570-101"/>
    <s v="Spot"/>
    <s v="3640687-1458747570-101"/>
    <n v="0"/>
    <d v="2016-03-31T00:00:00"/>
    <x v="54"/>
    <s v="101"/>
    <s v="SELL"/>
    <n v="3.3985056039850563"/>
    <x v="0"/>
    <x v="0"/>
    <n v="54.58"/>
    <s v="Deal"/>
    <m/>
    <s v="Original Amount [EUR 16.06], Merchant Amount [EUR 16.06], Customer Amount [TRY 54.58], Status [APPROVED], Operation [3DAUTH], UUID [3640687-1458747570-101] [23/03/2016 at 15:39:00]"/>
  </r>
  <r>
    <s v="3640654-1458747530-199"/>
    <s v="Spot"/>
    <s v="3640654-1458747530-199"/>
    <n v="0"/>
    <d v="2016-03-31T00:00:00"/>
    <x v="55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40654-1458747530-199] [23/03/2016 at 15:38:00]"/>
  </r>
  <r>
    <s v="3640681-1458747564-216"/>
    <s v="Spot"/>
    <s v="3640681-1458747564-216"/>
    <n v="0"/>
    <d v="2016-03-31T00:00:00"/>
    <x v="56"/>
    <s v="216"/>
    <s v="SELL"/>
    <n v="3.3989726027397262"/>
    <x v="0"/>
    <x v="0"/>
    <n v="39.700000000000003"/>
    <s v="Deal"/>
    <m/>
    <s v="Original Amount [EUR 11.68], Merchant Amount [EUR 11.68], Customer Amount [TRY 39.7], Status [APPROVED], Operation [3DAUTH], UUID [3640681-1458747564-216] [23/03/2016 at 15:39:00]"/>
  </r>
  <r>
    <s v="3640627-1458747511-224"/>
    <s v="Spot"/>
    <s v="3640627-1458747511-224"/>
    <n v="0"/>
    <d v="2016-03-31T00:00:00"/>
    <x v="57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27-1458747511-224] [23/03/2016 at 15:38:00]"/>
  </r>
  <r>
    <s v="3640621-1458747499-200"/>
    <s v="Spot"/>
    <s v="3640621-1458747499-200"/>
    <n v="0"/>
    <d v="2016-03-31T00:00:00"/>
    <x v="58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40621-1458747499-200] [23/03/2016 at 15:38:00]"/>
  </r>
  <r>
    <s v="3640618-1458747494-224"/>
    <s v="Spot"/>
    <s v="3640618-1458747494-224"/>
    <n v="0"/>
    <d v="2016-03-31T00:00:00"/>
    <x v="59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18-1458747494-224] [23/03/2016 at 15:38:00]"/>
  </r>
  <r>
    <s v="3640612-1458747488-216"/>
    <s v="Spot"/>
    <s v="3640612-1458747488-216"/>
    <n v="0"/>
    <d v="2016-03-31T00:00:00"/>
    <x v="60"/>
    <s v="216"/>
    <s v="SELL"/>
    <n v="3.3989856297548604"/>
    <x v="0"/>
    <x v="0"/>
    <n v="40.21"/>
    <s v="Deal"/>
    <m/>
    <s v="Original Amount [EUR 11.83], Merchant Amount [EUR 11.83], Customer Amount [TRY 40.21], Status [WAITING], Operation [3D], UUID [3640612-1458747488-216] [23/03/2016 at 15:38:00]"/>
  </r>
  <r>
    <s v="3640633-1458747514-216"/>
    <s v="Spot"/>
    <s v="3640633-1458747514-216"/>
    <n v="0"/>
    <d v="2016-03-31T00:00:00"/>
    <x v="61"/>
    <s v="216"/>
    <s v="SELL"/>
    <n v="3.3985010706638117"/>
    <x v="0"/>
    <x v="0"/>
    <n v="158.71"/>
    <s v="Deal"/>
    <m/>
    <s v="Original Amount [EUR 46.7], Merchant Amount [EUR 46.7], Customer Amount [TRY 158.71], Status [APPROVED], Operation [3DAUTH], UUID [3640633-1458747514-216] [23/03/2016 at 15:38:00]"/>
  </r>
  <r>
    <s v="3640684-1458747568-126"/>
    <s v="Spot"/>
    <s v="3640684-1458747568-126"/>
    <n v="0"/>
    <d v="2016-03-31T00:00:00"/>
    <x v="62"/>
    <s v="126"/>
    <s v="SELL"/>
    <n v="9.9508130081300799"/>
    <x v="0"/>
    <x v="1"/>
    <n v="244.79"/>
    <s v="Deal"/>
    <m/>
    <s v="Original Amount [EUR 24.6], Merchant Amount [EUR 24.6], Customer Amount [NOK 244.79], Status [APPROVED], Operation [3DAUTH], UUID [3640684-1458747568-126] [23/03/2016 at 15:39:00]"/>
  </r>
  <r>
    <s v="3640588-1458747464-261"/>
    <s v="Spot"/>
    <s v="3640588-1458747464-261"/>
    <n v="0"/>
    <d v="2016-03-31T00:00:00"/>
    <x v="63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40588-1458747464-261] [23/03/2016 at 15:37:00]"/>
  </r>
  <r>
    <s v="3640624-1458747505-107"/>
    <s v="Spot"/>
    <s v="3640624-1458747505-107"/>
    <n v="0"/>
    <d v="2016-03-31T00:00:00"/>
    <x v="64"/>
    <s v="107"/>
    <s v="SELL"/>
    <n v="3.3989670755326014"/>
    <x v="0"/>
    <x v="0"/>
    <n v="52.65"/>
    <s v="Deal"/>
    <m/>
    <s v="Original Amount [EUR 15.49], Merchant Amount [EUR 15.49], Customer Amount [TRY 52.65], Status [APPROVED], Operation [3DAUTH], UUID [3640624-1458747505-107] [23/03/2016 at 15:38:00]"/>
  </r>
  <r>
    <s v="3640537-1458747396-200"/>
    <s v="Spot"/>
    <s v="3640537-1458747396-200"/>
    <n v="0"/>
    <d v="2016-03-31T00:00:00"/>
    <x v="65"/>
    <s v="200"/>
    <s v="SELL"/>
    <n v="9.9510000000000005"/>
    <x v="0"/>
    <x v="1"/>
    <n v="199.02"/>
    <s v="Deal"/>
    <m/>
    <s v="Original Amount [EUR 20], Merchant Amount [EUR 20], Customer Amount [NOK 199.02], Status [APPROVED], Operation [STORED], UUID [3640537-1458747396-200] [23/03/2016 at 15:36:00]"/>
  </r>
  <r>
    <s v="3640555-1458747415-56"/>
    <s v="Spot"/>
    <s v="3640555-1458747415-56"/>
    <n v="0"/>
    <d v="2016-03-31T00:00:00"/>
    <x v="66"/>
    <s v="56"/>
    <s v="SELL"/>
    <n v="3.398416389115817"/>
    <x v="0"/>
    <x v="0"/>
    <n v="540.79"/>
    <s v="Deal"/>
    <m/>
    <s v="Original Amount [EUR 159.13], Merchant Amount [EUR 159.13], Customer Amount [TRY 540.79], Status [APPROVED], Operation [3DAUTH], UUID [3640555-1458747415-56] [23/03/2016 at 15:36:00]"/>
  </r>
  <r>
    <s v="3640534-1458747395-145"/>
    <s v="Spot"/>
    <s v="3640534-1458747395-145"/>
    <n v="0"/>
    <d v="2016-03-31T00:00:00"/>
    <x v="67"/>
    <s v="145"/>
    <s v="SELL"/>
    <n v="9.9507268265055693"/>
    <x v="0"/>
    <x v="1"/>
    <n v="527.09"/>
    <s v="Deal"/>
    <m/>
    <s v="Original Amount [EUR 52.97], Merchant Amount [EUR 52.97], Customer Amount [NOK 527.09], Status [APPROVED], Operation [DIRECT], UUID [3640534-1458747395-145] [23/03/2016 at 15:36:00]"/>
  </r>
  <r>
    <s v="3640528-1458747393-119"/>
    <s v="Spot"/>
    <s v="3640528-1458747393-119"/>
    <n v="0"/>
    <d v="2016-03-31T00:00:00"/>
    <x v="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528-1458747393-119] [23/03/2016 at 15:36:00]"/>
  </r>
  <r>
    <s v="3640525-1458747393-216"/>
    <s v="Spot"/>
    <s v="3640525-1458747393-216"/>
    <n v="0"/>
    <d v="2016-03-31T00:00:00"/>
    <x v="69"/>
    <s v="216"/>
    <s v="SELL"/>
    <n v="3.3990825688073389"/>
    <x v="0"/>
    <x v="0"/>
    <n v="37.049999999999997"/>
    <s v="Deal"/>
    <m/>
    <s v="Original Amount [EUR 10.9], Merchant Amount [EUR 10.9], Customer Amount [TRY 37.05], Status [WAITING], Operation [3D], UUID [3640525-1458747393-216] [23/03/2016 at 15:36:00]"/>
  </r>
  <r>
    <s v="3640507-1458747375-126"/>
    <s v="Spot"/>
    <s v="3640507-1458747375-126"/>
    <n v="0"/>
    <d v="2016-03-31T00:00:00"/>
    <x v="70"/>
    <s v="126"/>
    <s v="SELL"/>
    <n v="9.9506341463414643"/>
    <x v="0"/>
    <x v="1"/>
    <n v="1019.94"/>
    <s v="Deal"/>
    <m/>
    <s v="Original Amount [EUR 102.5], Merchant Amount [EUR 102.5], Customer Amount [NOK 1019.94], Status [APPROVED], Operation [DIRECT], UUID [3640507-1458747375-126] [23/03/2016 at 15:36:00]"/>
  </r>
  <r>
    <s v="3640504-1458747369-224"/>
    <s v="Spot"/>
    <s v="3640504-1458747369-224"/>
    <n v="0"/>
    <d v="2016-03-31T00:00:00"/>
    <x v="71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40504-1458747369-224] [23/03/2016 at 15:36:00]"/>
  </r>
  <r>
    <s v="3640519-1458747385-56"/>
    <s v="Spot"/>
    <s v="3640519-1458747385-56"/>
    <n v="0"/>
    <d v="2016-03-31T00:00:00"/>
    <x v="7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19-1458747385-56] [23/03/2016 at 15:36:00]"/>
  </r>
  <r>
    <s v="3640486-1458747346-261"/>
    <s v="Spot"/>
    <s v="3640486-1458747346-261"/>
    <n v="0"/>
    <d v="2016-03-31T00:00:00"/>
    <x v="73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40486-1458747346-261] [23/03/2016 at 15:35:00]"/>
  </r>
  <r>
    <s v="3640522-1458747388-56"/>
    <s v="Spot"/>
    <s v="3640522-1458747388-56"/>
    <n v="0"/>
    <d v="2016-03-31T00:00:00"/>
    <x v="74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22-1458747388-56] [23/03/2016 at 15:36:00]"/>
  </r>
  <r>
    <s v="3640477-1458747339-125"/>
    <s v="Spot"/>
    <s v="3640477-1458747339-125"/>
    <n v="0"/>
    <d v="2016-03-31T00:00:00"/>
    <x v="75"/>
    <s v="125"/>
    <s v="SELL"/>
    <n v="9.954600000000001"/>
    <x v="0"/>
    <x v="1"/>
    <n v="1990.92"/>
    <s v="Deal"/>
    <m/>
    <s v="Original Amount [EUR 200], Merchant Amount [EUR 200], Customer Amount [NOK 1990.92], Status [APPROVED], Operation [DIRECT], UUID [3640477-1458747339-125] [23/03/2016 at 15:35:00]"/>
  </r>
  <r>
    <s v="3640468-1458747334-119"/>
    <s v="Spot"/>
    <s v="3640468-1458747334-119"/>
    <n v="0"/>
    <d v="2016-03-31T00:00:00"/>
    <x v="76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40468-1458747334-119] [23/03/2016 at 15:35:00]"/>
  </r>
  <r>
    <s v="3640465-1458747330-119"/>
    <s v="Spot"/>
    <s v="3640465-1458747330-119"/>
    <n v="0"/>
    <d v="2016-03-31T00:00:00"/>
    <x v="7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40465-1458747330-119] [23/03/2016 at 15:35:00]"/>
  </r>
  <r>
    <s v="3640456-1458747313-101"/>
    <s v="Spot"/>
    <s v="3640456-1458747313-101"/>
    <n v="0"/>
    <d v="2016-03-31T00:00:00"/>
    <x v="78"/>
    <s v="101"/>
    <s v="SELL"/>
    <n v="3.3879377431906614"/>
    <x v="0"/>
    <x v="0"/>
    <n v="87.07"/>
    <s v="Deal"/>
    <m/>
    <s v="Original Amount [EUR 25.7], Merchant Amount [EUR 25.7], Customer Amount [TRY 87.07], Status [WAITING], Operation [3D], UUID [3640456-1458747313-101] [23/03/2016 at 15:35:00]"/>
  </r>
  <r>
    <s v="3640495-1458747358-56"/>
    <s v="Spot"/>
    <s v="3640495-1458747358-56"/>
    <n v="0"/>
    <d v="2016-03-31T00:00:00"/>
    <x v="79"/>
    <s v="56"/>
    <s v="SELL"/>
    <n v="3.3878787878787882"/>
    <x v="0"/>
    <x v="0"/>
    <n v="122.98"/>
    <s v="Deal"/>
    <m/>
    <s v="Original Amount [EUR 36.3], Merchant Amount [EUR 36.3], Customer Amount [TRY 122.98], Status [APPROVED], Operation [3DAUTH], UUID [3640495-1458747358-56] [23/03/2016 at 15:35:00]"/>
  </r>
  <r>
    <s v="3640429-1458747279-82"/>
    <s v="Spot"/>
    <s v="3640429-1458747279-82"/>
    <n v="0"/>
    <d v="2016-03-31T00:00:00"/>
    <x v="8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40429-1458747279-82] [23/03/2016 at 15:34:00]"/>
  </r>
  <r>
    <s v="3640420-1458747273-224"/>
    <s v="Spot"/>
    <s v="3640420-1458747273-224"/>
    <n v="0"/>
    <d v="2016-03-31T00:00:00"/>
    <x v="8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40420-1458747273-224] [23/03/2016 at 15:34:00]"/>
  </r>
  <r>
    <s v="3640492-1458747356-216"/>
    <s v="Spot"/>
    <s v="3640492-1458747356-216"/>
    <n v="0"/>
    <d v="2016-03-31T00:00:00"/>
    <x v="82"/>
    <s v="216"/>
    <s v="SELL"/>
    <n v="3.388046387154326"/>
    <x v="0"/>
    <x v="0"/>
    <n v="37.979999999999997"/>
    <s v="Deal"/>
    <m/>
    <s v="Original Amount [EUR 11.21], Merchant Amount [EUR 11.21], Customer Amount [TRY 37.98], Status [APPROVED], Operation [3DAUTH], UUID [3640492-1458747356-216] [23/03/2016 at 15:35:00]"/>
  </r>
  <r>
    <s v="3640447-1458747296-216"/>
    <s v="Spot"/>
    <s v="3640447-1458747296-216"/>
    <n v="0"/>
    <d v="2016-03-31T00:00:00"/>
    <x v="83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40447-1458747296-216] [23/03/2016 at 15:34:00]"/>
  </r>
  <r>
    <s v="3640405-1458747263-200"/>
    <s v="Spot"/>
    <s v="3640405-1458747263-200"/>
    <n v="0"/>
    <d v="2016-03-31T00:00:00"/>
    <x v="84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40405-1458747263-200] [23/03/2016 at 15:34:00]"/>
  </r>
  <r>
    <s v="3640435-1458747280-264"/>
    <s v="Spot"/>
    <s v="3640435-1458747280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APPROVED], Operation [3DAUTH], UUID [3640435-1458747280-264] [23/03/2016 at 15:34:00]"/>
  </r>
  <r>
    <s v="3640381-1458747242-264"/>
    <s v="Spot"/>
    <s v="3640381-1458747242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WAITING], Operation [3D], UUID [3640381-1458747242-264] [23/03/2016 at 15:34:00]"/>
  </r>
  <r>
    <s v="3640483-1458747343-119"/>
    <s v="Spot"/>
    <s v="3640483-1458747343-119"/>
    <n v="0"/>
    <d v="2016-03-31T00:00:00"/>
    <x v="86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40483-1458747343-119] [23/03/2016 at 15:35:00]"/>
  </r>
  <r>
    <s v="3640402-1458747260-124"/>
    <s v="Spot"/>
    <s v="3640402-1458747260-124"/>
    <n v="0"/>
    <d v="2016-03-31T00:00:00"/>
    <x v="87"/>
    <s v="124"/>
    <s v="SELL"/>
    <n v="9.9546742209631738"/>
    <x v="0"/>
    <x v="1"/>
    <n v="105.42"/>
    <s v="Deal"/>
    <m/>
    <s v="Original Amount [EUR 10.59], Merchant Amount [EUR 10.59], Customer Amount [NOK 105.42], Status [APPROVED], Operation [3DAUTH], UUID [3640402-1458747260-124] [23/03/2016 at 15:34:00]"/>
  </r>
  <r>
    <s v="3640399-1458747259-216"/>
    <s v="Spot"/>
    <s v="3640399-1458747259-216"/>
    <n v="0"/>
    <d v="2016-03-31T00:00:00"/>
    <x v="88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40399-1458747259-216] [23/03/2016 at 15:34:00]"/>
  </r>
  <r>
    <s v="3640348-1458747200-161"/>
    <s v="Spot"/>
    <s v="3640348-1458747200-161"/>
    <n v="0"/>
    <d v="2016-03-31T00:00:00"/>
    <x v="8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40348-1458747200-161] [23/03/2016 at 15:33:00]"/>
  </r>
  <r>
    <s v="3640378-1458747241-56"/>
    <s v="Spot"/>
    <s v="3640378-1458747241-56"/>
    <n v="0"/>
    <d v="2016-03-31T00:00:00"/>
    <x v="9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378-1458747241-56] [23/03/2016 at 15:34:00]"/>
  </r>
  <r>
    <s v="3640345-1458747199-56"/>
    <s v="Spot"/>
    <s v="3640345-1458747199-56"/>
    <n v="0"/>
    <d v="2016-03-31T00:00:00"/>
    <x v="9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345-1458747199-56] [23/03/2016 at 15:33:00]"/>
  </r>
  <r>
    <s v="3640303-1458747175-187"/>
    <s v="Spot"/>
    <s v="3640303-1458747175-187"/>
    <n v="0"/>
    <d v="2016-03-31T00:00:00"/>
    <x v="92"/>
    <s v="187"/>
    <s v="SELL"/>
    <n v="9.9662832834409958"/>
    <x v="0"/>
    <x v="1"/>
    <n v="1265.1199999999999"/>
    <s v="Deal"/>
    <m/>
    <s v="Original Amount [EUR 126.94], Merchant Amount [EUR 126.94], Customer Amount [NOK 1265.12], Status [APPROVED], Operation [DIRECT], UUID [3640303-1458747175-187] [23/03/2016 at 15:32:00]"/>
  </r>
  <r>
    <s v="3640288-1458747161-224"/>
    <s v="Spot"/>
    <s v="3640288-1458747161-224"/>
    <n v="0"/>
    <d v="2016-03-31T00:00:00"/>
    <x v="9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288-1458747161-224] [23/03/2016 at 15:32:00]"/>
  </r>
  <r>
    <s v="3640282-1458747157-261"/>
    <s v="Spot"/>
    <s v="3640282-1458747157-261"/>
    <n v="0"/>
    <d v="2016-03-31T00:00:00"/>
    <x v="94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40282-1458747157-261] [23/03/2016 at 15:32:00]"/>
  </r>
  <r>
    <s v="3640279-1458747157-224"/>
    <s v="Spot"/>
    <s v="3640279-1458747157-224"/>
    <n v="0"/>
    <d v="2016-03-31T00:00:00"/>
    <x v="95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40279-1458747157-224] [23/03/2016 at 15:32:00]"/>
  </r>
  <r>
    <s v="3640273-1458747153-161"/>
    <s v="Spot"/>
    <s v="3640273-1458747153-161"/>
    <n v="0"/>
    <d v="2016-03-31T00:00:00"/>
    <x v="96"/>
    <s v="161"/>
    <s v="SELL"/>
    <n v="1.5591127372513152"/>
    <x v="0"/>
    <x v="5"/>
    <n v="136.36000000000001"/>
    <s v="Deal"/>
    <m/>
    <s v="Original Amount [EUR 87.46], Merchant Amount [EUR 87.46], Customer Amount [AUD 136.36], Status [APPROVED], Operation [STORED], UUID [3640273-1458747153-161] [23/03/2016 at 15:32:00]"/>
  </r>
  <r>
    <s v="3640276-1458747153-224"/>
    <s v="Spot"/>
    <s v="3640276-1458747153-224"/>
    <n v="0"/>
    <d v="2016-03-31T00:00:00"/>
    <x v="97"/>
    <s v="224"/>
    <s v="SELL"/>
    <n v="9.9663366336633672"/>
    <x v="0"/>
    <x v="1"/>
    <n v="150.99"/>
    <s v="Deal"/>
    <m/>
    <s v="Original Amount [EUR 15.15], Merchant Amount [EUR 15.15], Customer Amount [NOK 150.99], Status [APPROVED], Operation [DIRECT], UUID [3640276-1458747153-224] [23/03/2016 at 15:32:00]"/>
  </r>
  <r>
    <s v="3640324-1458747187-264"/>
    <s v="Spot"/>
    <s v="3640324-1458747187-264"/>
    <n v="0"/>
    <d v="2016-03-31T00:00:00"/>
    <x v="98"/>
    <s v="264"/>
    <s v="SELL"/>
    <n v="3.3910714285714283"/>
    <x v="0"/>
    <x v="0"/>
    <n v="18.989999999999998"/>
    <s v="Deal"/>
    <m/>
    <s v="Original Amount [TRY 18], Merchant Amount [EUR 5.6], Customer Amount [TRY 18.99], Status [APPROVED], Operation [3DAUTH], UUID [3640324-1458747187-264] [23/03/2016 at 15:33:00]"/>
  </r>
  <r>
    <s v="3640246-1458747137-161"/>
    <s v="Spot"/>
    <s v="3640246-1458747137-161"/>
    <n v="0"/>
    <d v="2016-03-31T00:00:00"/>
    <x v="99"/>
    <s v="161"/>
    <s v="SELL"/>
    <n v="1.5591127372513152"/>
    <x v="0"/>
    <x v="5"/>
    <n v="68.180000000000007"/>
    <s v="Deal"/>
    <m/>
    <s v="Original Amount [EUR 43.73], Merchant Amount [EUR 43.73], Customer Amount [AUD 68.18], Status [APPROVED], Operation [STORED], UUID [3640246-1458747137-161] [23/03/2016 at 15:32:00]"/>
  </r>
  <r>
    <s v="3640219-1458747115-119"/>
    <s v="Spot"/>
    <s v="3640219-1458747115-119"/>
    <n v="0"/>
    <d v="2016-03-31T00:00:00"/>
    <x v="100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40219-1458747115-119] [23/03/2016 at 15:31:00]"/>
  </r>
  <r>
    <s v="3640204-1458747109-161"/>
    <s v="Spot"/>
    <s v="3640204-1458747109-161"/>
    <n v="0"/>
    <d v="2016-03-31T00:00:00"/>
    <x v="101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204-1458747109-161] [23/03/2016 at 15:31:00]"/>
  </r>
  <r>
    <s v="3640261-1458747145-56"/>
    <s v="Spot"/>
    <s v="3640261-1458747145-56"/>
    <n v="0"/>
    <d v="2016-03-31T00:00:00"/>
    <x v="1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261-1458747145-56] [23/03/2016 at 15:32:00]"/>
  </r>
  <r>
    <s v="3640198-1458747108-224"/>
    <s v="Spot"/>
    <s v="3640198-1458747108-224"/>
    <n v="0"/>
    <d v="2016-03-31T00:00:00"/>
    <x v="103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40198-1458747108-224] [23/03/2016 at 15:31:00]"/>
  </r>
  <r>
    <s v="3640471-1458747335-101"/>
    <s v="Spot"/>
    <s v="3640471-1458747335-101"/>
    <n v="0"/>
    <d v="2016-03-31T00:00:00"/>
    <x v="104"/>
    <s v="101"/>
    <s v="SELL"/>
    <n v="3.392235609103079"/>
    <x v="0"/>
    <x v="0"/>
    <n v="101.36"/>
    <s v="Deal"/>
    <m/>
    <s v="Original Amount [EUR 29.88], Merchant Amount [EUR 29.88], Customer Amount [TRY 101.36], Status [APPROVED], Operation [3DAUTH], UUID [3640471-1458747335-101] [23/03/2016 at 15:35:00]"/>
  </r>
  <r>
    <s v="3640216-1458747115-101"/>
    <s v="Spot"/>
    <s v="3640216-1458747115-101"/>
    <n v="0"/>
    <d v="2016-03-31T00:00:00"/>
    <x v="105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40216-1458747115-101] [23/03/2016 at 15:31:00]"/>
  </r>
  <r>
    <s v="3640132-1458747074-224"/>
    <s v="Spot"/>
    <s v="3640132-1458747074-224"/>
    <n v="0"/>
    <d v="2016-03-31T00:00:00"/>
    <x v="106"/>
    <s v="224"/>
    <s v="SELL"/>
    <n v="9.9662755243462993"/>
    <x v="0"/>
    <x v="1"/>
    <n v="1078.6500000000001"/>
    <s v="Deal"/>
    <m/>
    <s v="Original Amount [EUR 108.23], Merchant Amount [EUR 108.23], Customer Amount [NOK 1078.65], Status [APPROVED], Operation [DIRECT], UUID [3640132-1458747074-224] [23/03/2016 at 15:31:00]"/>
  </r>
  <r>
    <s v="3640108-1458747057-161"/>
    <s v="Spot"/>
    <s v="3640108-1458747057-161"/>
    <n v="0"/>
    <d v="2016-03-31T00:00:00"/>
    <x v="107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108-1458747057-161] [23/03/2016 at 15:30:00]"/>
  </r>
  <r>
    <s v="3640102-1458747052-145"/>
    <s v="Spot"/>
    <s v="3640102-1458747052-145"/>
    <n v="0"/>
    <d v="2016-03-31T00:00:00"/>
    <x v="108"/>
    <s v="145"/>
    <s v="SELL"/>
    <n v="9.96642626212385"/>
    <x v="0"/>
    <x v="1"/>
    <n v="400.75"/>
    <s v="Deal"/>
    <m/>
    <s v="Original Amount [EUR 40.21], Merchant Amount [EUR 40.21], Customer Amount [NOK 400.75], Status [APPROVED], Operation [DIRECT], UUID [3640102-1458747052-145] [23/03/2016 at 15:30:00]"/>
  </r>
  <r>
    <s v="3640114-1458747059-203"/>
    <s v="Spot"/>
    <s v="3640114-1458747059-203"/>
    <n v="0"/>
    <d v="2016-03-31T00:00:00"/>
    <x v="109"/>
    <s v="203"/>
    <s v="SELL"/>
    <n v="3.3919877998709596"/>
    <x v="0"/>
    <x v="0"/>
    <n v="578.29999999999995"/>
    <s v="Deal"/>
    <m/>
    <s v="Original Amount [EUR 170.49], Merchant Amount [EUR 170.49], Customer Amount [TRY 578.3], Status [APPROVED], Operation [3DAUTH], UUID [3640114-1458747059-203] [23/03/2016 at 15:30:00]"/>
  </r>
  <r>
    <s v="3640072-1458747036-171"/>
    <s v="Spot"/>
    <s v="3640072-1458747036-171"/>
    <n v="0"/>
    <d v="2016-03-31T00:00:00"/>
    <x v="110"/>
    <s v="171"/>
    <s v="SELL"/>
    <n v="9.966333333333333"/>
    <x v="0"/>
    <x v="1"/>
    <n v="597.98"/>
    <s v="Deal"/>
    <m/>
    <s v="Original Amount [EUR 60], Merchant Amount [EUR 60], Customer Amount [NOK 597.98], Status [APPROVED], Operation [DIRECT], UUID [3640072-1458747036-171] [23/03/2016 at 15:30:00]"/>
  </r>
  <r>
    <s v="3640066-1458747033-261"/>
    <s v="Spot"/>
    <s v="3640066-1458747033-261"/>
    <n v="0"/>
    <d v="2016-03-31T00:00:00"/>
    <x v="111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40066-1458747033-261] [23/03/2016 at 15:30:00]"/>
  </r>
  <r>
    <s v="3640048-1458747021-56"/>
    <s v="Spot"/>
    <s v="3640048-1458747021-56"/>
    <n v="0"/>
    <d v="2016-03-31T00:00:00"/>
    <x v="112"/>
    <s v="56"/>
    <s v="SELL"/>
    <n v="3.3921568627450975"/>
    <x v="0"/>
    <x v="0"/>
    <n v="108.99"/>
    <s v="Deal"/>
    <m/>
    <s v="Original Amount [EUR 32.13], Merchant Amount [EUR 32.13], Customer Amount [TRY 108.99], Status [WAITING], Operation [3D], UUID [3640048-1458747021-56] [23/03/2016 at 15:30:00]"/>
  </r>
  <r>
    <s v="3640042-1458747017-161"/>
    <s v="Spot"/>
    <s v="3640042-1458747017-161"/>
    <n v="0"/>
    <d v="2016-03-31T00:00:00"/>
    <x v="113"/>
    <s v="161"/>
    <s v="SELL"/>
    <n v="1.7601961487860303"/>
    <x v="0"/>
    <x v="6"/>
    <n v="147.16999999999999"/>
    <s v="Deal"/>
    <m/>
    <s v="Original Amount [EUR 83.61], Merchant Amount [EUR 83.61], Customer Amount [NZD 147.17], Status [APPROVED], Operation [STORED], UUID [3640042-1458747017-161] [23/03/2016 at 15:30:00]"/>
  </r>
  <r>
    <s v="3640156-1458747083-107"/>
    <s v="Spot"/>
    <s v="3640156-1458747083-107"/>
    <n v="0"/>
    <d v="2016-03-31T00:00:00"/>
    <x v="114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40156-1458747083-107] [23/03/2016 at 15:31:00]"/>
  </r>
  <r>
    <s v="3640024-1458747010-145"/>
    <s v="Spot"/>
    <s v="3640024-1458747010-145"/>
    <n v="0"/>
    <d v="2016-03-31T00:00:00"/>
    <x v="115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40024-1458747010-145] [23/03/2016 at 15:30:00]"/>
  </r>
  <r>
    <s v="3640015-1458747007-119"/>
    <s v="Spot"/>
    <s v="3640015-1458747007-119"/>
    <n v="0"/>
    <d v="2016-03-31T00:00:00"/>
    <x v="11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40015-1458747007-119] [23/03/2016 at 15:30:00]"/>
  </r>
  <r>
    <s v="3640006-1458747002-145"/>
    <s v="Spot"/>
    <s v="3640006-1458747002-145"/>
    <n v="0"/>
    <d v="2016-03-31T00:00:00"/>
    <x v="117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40006-1458747002-145] [23/03/2016 at 15:30:00]"/>
  </r>
  <r>
    <s v="3640000-1458746988-199"/>
    <s v="Spot"/>
    <s v="3640000-1458746988-199"/>
    <n v="0"/>
    <d v="2016-03-31T00:00:00"/>
    <x v="11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40000-1458746988-199] [23/03/2016 at 15:29:00]"/>
  </r>
  <r>
    <s v="3639991-1458746979-119"/>
    <s v="Spot"/>
    <s v="3639991-1458746979-119"/>
    <n v="0"/>
    <d v="2016-03-31T00:00:00"/>
    <x v="119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9991-1458746979-119] [23/03/2016 at 15:29:00]"/>
  </r>
  <r>
    <s v="3639982-1458746969-261"/>
    <s v="Spot"/>
    <s v="3639982-1458746969-261"/>
    <n v="0"/>
    <d v="2016-03-31T00:00:00"/>
    <x v="120"/>
    <s v="261"/>
    <s v="SELL"/>
    <n v="9.966285406311755"/>
    <x v="0"/>
    <x v="1"/>
    <n v="3328.54"/>
    <s v="Deal"/>
    <m/>
    <s v="Original Amount [EUR 333.98], Merchant Amount [EUR 333.98], Customer Amount [NOK 3328.54], Status [APPROVED], Operation [DIRECT], UUID [3639982-1458746969-261] [23/03/2016 at 15:29:00]"/>
  </r>
  <r>
    <s v="3639979-1458746968-187"/>
    <s v="Spot"/>
    <s v="3639979-1458746968-187"/>
    <n v="0"/>
    <d v="2016-03-31T00:00:00"/>
    <x v="121"/>
    <s v="187"/>
    <s v="SELL"/>
    <n v="9.9666036546943921"/>
    <x v="0"/>
    <x v="1"/>
    <n v="158.16999999999999"/>
    <s v="Deal"/>
    <m/>
    <s v="Original Amount [EUR 15.87], Merchant Amount [EUR 15.87], Customer Amount [NOK 158.17], Status [APPROVED], Operation [DIRECT], UUID [3639979-1458746968-187] [23/03/2016 at 15:29:00]"/>
  </r>
  <r>
    <s v="3639976-1458746966-145"/>
    <s v="Spot"/>
    <s v="3639976-1458746966-145"/>
    <n v="0"/>
    <d v="2016-03-31T00:00:00"/>
    <x v="122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9976-1458746966-145] [23/03/2016 at 15:29:00]"/>
  </r>
  <r>
    <s v="3639952-1458746926-224"/>
    <s v="Spot"/>
    <s v="3639952-1458746926-224"/>
    <n v="0"/>
    <d v="2016-03-31T00:00:00"/>
    <x v="123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9952-1458746926-224] [23/03/2016 at 15:28:00]"/>
  </r>
  <r>
    <s v="3639964-1458746954-216"/>
    <s v="Spot"/>
    <s v="3639964-1458746954-216"/>
    <n v="0"/>
    <d v="2016-03-31T00:00:00"/>
    <x v="124"/>
    <s v="216"/>
    <s v="SELL"/>
    <n v="3.3956326268464996"/>
    <x v="0"/>
    <x v="0"/>
    <n v="52.87"/>
    <s v="Deal"/>
    <m/>
    <s v="Original Amount [EUR 15.57], Merchant Amount [EUR 15.57], Customer Amount [TRY 52.87], Status [APPROVED], Operation [3DAUTH], UUID [3639964-1458746954-216] [23/03/2016 at 15:29:00]"/>
  </r>
  <r>
    <s v="3639934-1458746898-125"/>
    <s v="Spot"/>
    <s v="3639934-1458746898-125"/>
    <n v="0"/>
    <d v="2016-03-31T00:00:00"/>
    <x v="125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9934-1458746898-125] [23/03/2016 at 15:28:00]"/>
  </r>
  <r>
    <s v="3639955-1458746937-107"/>
    <s v="Spot"/>
    <s v="3639955-1458746937-107"/>
    <n v="0"/>
    <d v="2016-03-31T00:00:00"/>
    <x v="126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9955-1458746937-107] [23/03/2016 at 15:28:00]"/>
  </r>
  <r>
    <s v="3639940-1458746906-216"/>
    <s v="Spot"/>
    <s v="3639940-1458746906-216"/>
    <n v="0"/>
    <d v="2016-03-31T00:00:00"/>
    <x v="127"/>
    <s v="216"/>
    <s v="SELL"/>
    <n v="3.3955375253549698"/>
    <x v="0"/>
    <x v="0"/>
    <n v="50.22"/>
    <s v="Deal"/>
    <m/>
    <s v="Original Amount [EUR 14.79], Merchant Amount [EUR 14.79], Customer Amount [TRY 50.22], Status [APPROVED], Operation [3DAUTH], UUID [3639940-1458746906-216] [23/03/2016 at 15:28:00]"/>
  </r>
  <r>
    <s v="3639910-1458746859-224"/>
    <s v="Spot"/>
    <s v="3639910-1458746859-224"/>
    <n v="0"/>
    <d v="2016-03-31T00:00:00"/>
    <x v="128"/>
    <s v="224"/>
    <s v="SELL"/>
    <n v="9.9662739662739668"/>
    <x v="0"/>
    <x v="1"/>
    <n v="862.88"/>
    <s v="Deal"/>
    <m/>
    <s v="Original Amount [EUR 86.58], Merchant Amount [EUR 86.58], Customer Amount [NOK 862.88], Status [APPROVED], Operation [DIRECT], UUID [3639910-1458746859-224] [23/03/2016 at 15:27:00]"/>
  </r>
  <r>
    <s v="3639961-1458746942-101"/>
    <s v="Spot"/>
    <s v="3639961-1458746942-101"/>
    <n v="0"/>
    <d v="2016-03-31T00:00:00"/>
    <x v="129"/>
    <s v="101"/>
    <s v="SELL"/>
    <n v="3.3955739972337482"/>
    <x v="0"/>
    <x v="0"/>
    <n v="49.1"/>
    <s v="Deal"/>
    <m/>
    <s v="Original Amount [EUR 14.46], Merchant Amount [EUR 14.46], Customer Amount [TRY 49.1], Status [APPROVED], Operation [3DAUTH], UUID [3639961-1458746942-101] [23/03/2016 at 15:29:00]"/>
  </r>
  <r>
    <s v="3639901-1458746852-216"/>
    <s v="Spot"/>
    <s v="3639901-1458746852-216"/>
    <n v="0"/>
    <d v="2016-03-31T00:00:00"/>
    <x v="130"/>
    <s v="216"/>
    <s v="SELL"/>
    <n v="3.3953177257525082"/>
    <x v="0"/>
    <x v="0"/>
    <n v="50.76"/>
    <s v="Deal"/>
    <m/>
    <s v="Original Amount [EUR 14.95], Merchant Amount [EUR 14.95], Customer Amount [TRY 50.76], Status [WAITING], Operation [3D], UUID [3639901-1458746852-216] [23/03/2016 at 15:27:00]"/>
  </r>
  <r>
    <s v="3639892-1458746822-82"/>
    <s v="Spot"/>
    <s v="3639892-1458746822-82"/>
    <n v="0"/>
    <d v="2016-03-31T00:00:00"/>
    <x v="131"/>
    <s v="82"/>
    <s v="SELL"/>
    <n v="1.1842105263157894"/>
    <x v="0"/>
    <x v="7"/>
    <n v="13.95"/>
    <s v="Deal"/>
    <m/>
    <s v="Original Amount [USD 13.95], Merchant Amount [EUR 11.78], Customer Amount [USD 13.95], Status [APPROVED], Operation [STORED], UUID [3639892-1458746822-82] [23/03/2016 at 15:27:00]"/>
  </r>
  <r>
    <s v="3639895-1458746822-224"/>
    <s v="Spot"/>
    <s v="3639895-1458746822-224"/>
    <n v="0"/>
    <d v="2016-03-31T00:00:00"/>
    <x v="13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9895-1458746822-224] [23/03/2016 at 15:27:00]"/>
  </r>
  <r>
    <s v="3639886-1458746820-241"/>
    <s v="Spot"/>
    <s v="3639886-1458746820-241"/>
    <n v="0"/>
    <d v="2016-03-31T00:00:00"/>
    <x v="133"/>
    <s v="241"/>
    <s v="SELL"/>
    <n v="0.83263157894736839"/>
    <x v="0"/>
    <x v="4"/>
    <n v="31.64"/>
    <s v="Deal"/>
    <m/>
    <s v="Original Amount [EUR 38], Merchant Amount [EUR 38], Customer Amount [GBP 31.64], Status [APPROVED], Operation [DIRECT], UUID [3639886-1458746820-241] [23/03/2016 at 15:27:00]"/>
  </r>
  <r>
    <s v="3639874-1458746799-119"/>
    <s v="Spot"/>
    <s v="3639874-1458746799-119"/>
    <n v="0"/>
    <d v="2016-03-31T00:00:00"/>
    <x v="134"/>
    <s v="119"/>
    <s v="SELL"/>
    <n v="9.9756"/>
    <x v="0"/>
    <x v="1"/>
    <n v="249.39"/>
    <s v="Deal"/>
    <m/>
    <s v="Original Amount [EUR 25], Merchant Amount [EUR 25], Customer Amount [NOK 249.39], Status [APPROVED], Operation [DIRECT], UUID [3639874-1458746799-119] [23/03/2016 at 15:26:00]"/>
  </r>
  <r>
    <s v="3639871-1458746798-124"/>
    <s v="Spot"/>
    <s v="3639871-1458746798-124"/>
    <n v="0"/>
    <d v="2016-03-31T00:00:00"/>
    <x v="135"/>
    <s v="124"/>
    <s v="SELL"/>
    <n v="9.9754427390791012"/>
    <x v="0"/>
    <x v="1"/>
    <n v="422.46"/>
    <s v="Deal"/>
    <m/>
    <s v="Original Amount [EUR 42.35], Merchant Amount [EUR 42.35], Customer Amount [NOK 422.46], Status [APPROVED], Operation [DIRECT], UUID [3639871-1458746798-124] [23/03/2016 at 15:26:00]"/>
  </r>
  <r>
    <s v="3639865-1458746783-119"/>
    <s v="Spot"/>
    <s v="3639865-1458746783-119"/>
    <n v="0"/>
    <d v="2016-03-31T00:00:00"/>
    <x v="136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865-1458746783-119] [23/03/2016 at 15:26:00]"/>
  </r>
  <r>
    <s v="3639868-1458746795-56"/>
    <s v="Spot"/>
    <s v="3639868-1458746795-56"/>
    <n v="0"/>
    <d v="2016-03-31T00:00:00"/>
    <x v="137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868-1458746795-56] [23/03/2016 at 15:26:00]"/>
  </r>
  <r>
    <s v="3639856-1458746761-171"/>
    <s v="Spot"/>
    <s v="3639856-1458746761-171"/>
    <n v="0"/>
    <d v="2016-03-31T00:00:00"/>
    <x v="138"/>
    <s v="171"/>
    <s v="SELL"/>
    <n v="1.5447870778267254"/>
    <x v="0"/>
    <x v="2"/>
    <n v="10.52"/>
    <s v="Deal"/>
    <m/>
    <s v="Original Amount [EUR 6.81], Merchant Amount [EUR 6.81], Customer Amount [CAD 10.52], Status [APPROVED], Operation [DIRECT], UUID [3639856-1458746761-171] [23/03/2016 at 15:26:00]"/>
  </r>
  <r>
    <s v="3639862-1458746775-126"/>
    <s v="Spot"/>
    <s v="3639862-1458746775-126"/>
    <n v="0"/>
    <d v="2016-03-31T00:00:00"/>
    <x v="139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862-1458746775-126] [23/03/2016 at 15:26:00]"/>
  </r>
  <r>
    <s v="3639826-1458746725-200"/>
    <s v="Spot"/>
    <s v="3639826-1458746725-200"/>
    <n v="0"/>
    <d v="2016-03-31T00:00:00"/>
    <x v="140"/>
    <s v="200"/>
    <s v="SELL"/>
    <n v="9.9756666666666653"/>
    <x v="0"/>
    <x v="1"/>
    <n v="299.27"/>
    <s v="Deal"/>
    <m/>
    <s v="Original Amount [EUR 30], Merchant Amount [EUR 30], Customer Amount [NOK 299.27], Status [APPROVED], Operation [STORED], UUID [3639826-1458746725-200] [23/03/2016 at 15:25:00]"/>
  </r>
  <r>
    <s v="3639823-1458746723-224"/>
    <s v="Spot"/>
    <s v="3639823-1458746723-224"/>
    <n v="0"/>
    <d v="2016-03-31T00:00:00"/>
    <x v="141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823-1458746723-224] [23/03/2016 at 15:25:00]"/>
  </r>
  <r>
    <s v="3639820-1458746716-264"/>
    <s v="Spot"/>
    <s v="3639820-1458746716-264"/>
    <n v="0"/>
    <d v="2016-03-31T00:00:00"/>
    <x v="142"/>
    <s v="264"/>
    <s v="SELL"/>
    <n v="3.3907307171853858"/>
    <x v="0"/>
    <x v="0"/>
    <n v="100.23"/>
    <s v="Deal"/>
    <m/>
    <s v="Original Amount [TRY 95], Merchant Amount [EUR 29.56], Customer Amount [TRY 100.23], Status [WAITING], Operation [3D], UUID [3639820-1458746716-264] [23/03/2016 at 15:25:00]"/>
  </r>
  <r>
    <s v="3639844-1458746743-212"/>
    <s v="Spot"/>
    <s v="3639844-1458746743-212"/>
    <n v="0"/>
    <d v="2016-03-31T00:00:00"/>
    <x v="143"/>
    <s v="212"/>
    <s v="SELL"/>
    <n v="0.83260739602015532"/>
    <x v="0"/>
    <x v="4"/>
    <n v="97.49"/>
    <s v="Deal"/>
    <m/>
    <s v="Original Amount [EUR 117.09], Merchant Amount [EUR 117.09], Customer Amount [GBP 97.49], Status [APPROVED], Operation [3DAUTH], UUID [3639844-1458746743-212] [23/03/2016 at 15:25:00]"/>
  </r>
  <r>
    <s v="3639808-1458746699-119"/>
    <s v="Spot"/>
    <s v="3639808-1458746699-119"/>
    <n v="0"/>
    <d v="2016-03-31T00:00:00"/>
    <x v="144"/>
    <s v="119"/>
    <s v="SELL"/>
    <n v="9.9756"/>
    <x v="0"/>
    <x v="1"/>
    <n v="249.39"/>
    <s v="Deal"/>
    <m/>
    <s v="Original Amount [EUR 25], Merchant Amount [EUR 25], Customer Amount [NOK 249.39], Status [APPROVED], Operation [DIRECT], UUID [3639808-1458746699-119] [23/03/2016 at 15:24:00]"/>
  </r>
  <r>
    <s v="3639802-1458746685-216"/>
    <s v="Spot"/>
    <s v="3639802-1458746685-216"/>
    <n v="0"/>
    <d v="2016-03-31T00:00:00"/>
    <x v="145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802-1458746685-216] [23/03/2016 at 15:24:00]"/>
  </r>
  <r>
    <s v="3639799-1458746678-125"/>
    <s v="Spot"/>
    <s v="3639799-1458746678-125"/>
    <n v="0"/>
    <d v="2016-03-31T00:00:00"/>
    <x v="146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9799-1458746678-125] [23/03/2016 at 15:24:00]"/>
  </r>
  <r>
    <s v="3639796-1458746676-119"/>
    <s v="Spot"/>
    <s v="3639796-1458746676-119"/>
    <n v="0"/>
    <d v="2016-03-31T00:00:00"/>
    <x v="147"/>
    <s v="119"/>
    <s v="SELL"/>
    <n v="9.9756"/>
    <x v="0"/>
    <x v="1"/>
    <n v="249.39"/>
    <s v="Deal"/>
    <m/>
    <s v="Original Amount [EUR 25], Merchant Amount [EUR 25], Customer Amount [NOK 249.39], Status [APPROVED], Operation [DIRECT], UUID [3639796-1458746676-119] [23/03/2016 at 15:24:00]"/>
  </r>
  <r>
    <s v="3639805-1458746687-160"/>
    <s v="Spot"/>
    <s v="3639805-1458746687-160"/>
    <n v="0"/>
    <d v="2016-03-31T00:00:00"/>
    <x v="14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39805-1458746687-160] [23/03/2016 at 15:24:00]"/>
  </r>
  <r>
    <s v="3639781-1458746645-224"/>
    <s v="Spot"/>
    <s v="3639781-1458746645-224"/>
    <n v="0"/>
    <d v="2016-03-31T00:00:00"/>
    <x v="149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781-1458746645-224] [23/03/2016 at 15:24:00]"/>
  </r>
  <r>
    <s v="3639772-1458746631-119"/>
    <s v="Spot"/>
    <s v="3639772-1458746631-119"/>
    <n v="0"/>
    <d v="2016-03-31T00:00:00"/>
    <x v="15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772-1458746631-119] [23/03/2016 at 15:23:00]"/>
  </r>
  <r>
    <s v="3639760-1458746620-224"/>
    <s v="Spot"/>
    <s v="3639760-1458746620-224"/>
    <n v="0"/>
    <d v="2016-03-31T00:00:00"/>
    <x v="151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9760-1458746620-224] [23/03/2016 at 15:23:00]"/>
  </r>
  <r>
    <s v="3639757-1458746618-224"/>
    <s v="Spot"/>
    <s v="3639757-1458746618-224"/>
    <n v="0"/>
    <d v="2016-03-31T00:00:00"/>
    <x v="152"/>
    <s v="224"/>
    <s v="SELL"/>
    <n v="132.99339410754393"/>
    <x v="0"/>
    <x v="3"/>
    <n v="10066.27"/>
    <s v="Deal"/>
    <m/>
    <s v="Original Amount [EUR 75.69], Merchant Amount [EUR 75.69], Customer Amount [JPY 10066.27], Status [APPROVED], Operation [DIRECT], UUID [3639757-1458746618-224] [23/03/2016 at 15:23:00]"/>
  </r>
  <r>
    <s v="3639754-1458746617-82"/>
    <s v="Spot"/>
    <s v="3639754-1458746617-82"/>
    <n v="0"/>
    <d v="2016-03-31T00:00:00"/>
    <x v="15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754-1458746617-82] [23/03/2016 at 15:23:00]"/>
  </r>
  <r>
    <s v="3639787-1458746665-126"/>
    <s v="Spot"/>
    <s v="3639787-1458746665-126"/>
    <n v="0"/>
    <d v="2016-03-31T00:00:00"/>
    <x v="154"/>
    <s v="126"/>
    <s v="SELL"/>
    <n v="9.9506341463414643"/>
    <x v="0"/>
    <x v="1"/>
    <n v="1019.94"/>
    <s v="Deal"/>
    <m/>
    <s v="Original Amount [EUR 102.5], Merchant Amount [EUR 102.5], Customer Amount [NOK 1019.94], Status [APPROVED], Operation [3DAUTH], UUID [3639787-1458746665-126] [23/03/2016 at 15:24:00]"/>
  </r>
  <r>
    <s v="3639763-1458746621-56"/>
    <s v="Spot"/>
    <s v="3639763-1458746621-56"/>
    <n v="0"/>
    <d v="2016-03-31T00:00:00"/>
    <x v="155"/>
    <s v="56"/>
    <s v="SELL"/>
    <n v="3.3883268482490272"/>
    <x v="0"/>
    <x v="0"/>
    <n v="43.54"/>
    <s v="Deal"/>
    <m/>
    <s v="Original Amount [EUR 12.85], Merchant Amount [EUR 12.85], Customer Amount [TRY 43.54], Status [APPROVED], Operation [3DAUTH], UUID [3639763-1458746621-56] [23/03/2016 at 15:23:00]"/>
  </r>
  <r>
    <s v="3639766-1458746625-216"/>
    <s v="Spot"/>
    <s v="3639766-1458746625-216"/>
    <n v="0"/>
    <d v="2016-03-31T00:00:00"/>
    <x v="156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66-1458746625-216] [23/03/2016 at 15:23:00]"/>
  </r>
  <r>
    <s v="3639742-1458746588-216"/>
    <s v="Spot"/>
    <s v="3639742-1458746588-216"/>
    <n v="0"/>
    <d v="2016-03-31T00:00:00"/>
    <x v="157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42-1458746588-216] [23/03/2016 at 15:23:00]"/>
  </r>
  <r>
    <s v="3639739-1458746587-216"/>
    <s v="Spot"/>
    <s v="3639739-1458746587-216"/>
    <n v="0"/>
    <d v="2016-03-31T00:00:00"/>
    <x v="158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39739-1458746587-216] [23/03/2016 at 15:23:00]"/>
  </r>
  <r>
    <s v="3639691-1458746531-224"/>
    <s v="Spot"/>
    <s v="3639691-1458746531-224"/>
    <n v="0"/>
    <d v="2016-03-31T00:00:00"/>
    <x v="15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9691-1458746531-224] [23/03/2016 at 15:22:00]"/>
  </r>
  <r>
    <s v="3639733-1458746584-56"/>
    <s v="Spot"/>
    <s v="3639733-1458746584-56"/>
    <n v="0"/>
    <d v="2016-03-31T00:00:00"/>
    <x v="160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9733-1458746584-56] [23/03/2016 at 15:23:00]"/>
  </r>
  <r>
    <s v="3639715-1458746561-162"/>
    <s v="Spot"/>
    <s v="3639715-1458746561-162"/>
    <n v="0"/>
    <d v="2016-03-31T00:00:00"/>
    <x v="161"/>
    <s v="162"/>
    <s v="SELL"/>
    <n v="3.3879254977520872"/>
    <x v="0"/>
    <x v="0"/>
    <n v="52.75"/>
    <s v="Deal"/>
    <m/>
    <s v="Original Amount [EUR 15.57], Merchant Amount [EUR 15.57], Customer Amount [TRY 52.75], Status [APPROVED], Operation [3DAUTH], UUID [3639715-1458746561-162] [23/03/2016 at 15:22:00]"/>
  </r>
  <r>
    <s v="3639673-1458746508-224"/>
    <s v="Spot"/>
    <s v="3639673-1458746508-224"/>
    <n v="0"/>
    <d v="2016-03-31T00:00:00"/>
    <x v="162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9673-1458746508-224] [23/03/2016 at 15:21:00]"/>
  </r>
  <r>
    <s v="3639661-1458746478-187"/>
    <s v="Spot"/>
    <s v="3639661-1458746478-187"/>
    <n v="0"/>
    <d v="2016-03-31T00:00:00"/>
    <x v="163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9661-1458746478-187] [23/03/2016 at 15:21:00]"/>
  </r>
  <r>
    <s v="3639652-1458746463-119"/>
    <s v="Spot"/>
    <s v="3639652-1458746463-119"/>
    <n v="0"/>
    <d v="2016-03-31T00:00:00"/>
    <x v="164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652-1458746463-119] [23/03/2016 at 15:21:00]"/>
  </r>
  <r>
    <s v="3639649-1458746460-126"/>
    <s v="Spot"/>
    <s v="3639649-1458746460-126"/>
    <n v="0"/>
    <d v="2016-03-31T00:00:00"/>
    <x v="16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649-1458746460-126] [23/03/2016 at 15:21:00]"/>
  </r>
  <r>
    <s v="3639646-1458746460-119"/>
    <s v="Spot"/>
    <s v="3639646-1458746460-119"/>
    <n v="0"/>
    <d v="2016-03-31T00:00:00"/>
    <x v="166"/>
    <s v="119"/>
    <s v="SELL"/>
    <n v="9.9756"/>
    <x v="0"/>
    <x v="1"/>
    <n v="249.39"/>
    <s v="Deal"/>
    <m/>
    <s v="Original Amount [EUR 25], Merchant Amount [EUR 25], Customer Amount [NOK 249.39], Status [APPROVED], Operation [DIRECT], UUID [3639646-1458746460-119] [23/03/2016 at 15:21:00]"/>
  </r>
  <r>
    <s v="3639631-1458746446-187"/>
    <s v="Spot"/>
    <s v="3639631-1458746446-187"/>
    <n v="0"/>
    <d v="2016-03-31T00:00:00"/>
    <x v="167"/>
    <s v="187"/>
    <s v="SELL"/>
    <n v="9.9753745805170855"/>
    <x v="0"/>
    <x v="1"/>
    <n v="2110.4899999999998"/>
    <s v="Deal"/>
    <m/>
    <s v="Original Amount [EUR 211.57], Merchant Amount [EUR 211.57], Customer Amount [NOK 2110.49], Status [APPROVED], Operation [DIRECT], UUID [3639631-1458746446-187] [23/03/2016 at 15:20:00]"/>
  </r>
  <r>
    <s v="3639625-1458746441-261"/>
    <s v="Spot"/>
    <s v="3639625-1458746441-261"/>
    <n v="0"/>
    <d v="2016-03-31T00:00:00"/>
    <x v="168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9625-1458746441-261] [23/03/2016 at 15:20:00]"/>
  </r>
  <r>
    <s v="3639622-1458746437-82"/>
    <s v="Spot"/>
    <s v="3639622-1458746437-82"/>
    <n v="0"/>
    <d v="2016-03-31T00:00:00"/>
    <x v="169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22-1458746437-82] [23/03/2016 at 15:20:00]"/>
  </r>
  <r>
    <s v="3639616-1458746427-82"/>
    <s v="Spot"/>
    <s v="3639616-1458746427-82"/>
    <n v="0"/>
    <d v="2016-03-31T00:00:00"/>
    <x v="170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16-1458746427-82] [23/03/2016 at 15:20:00]"/>
  </r>
  <r>
    <s v="3639643-1458746457-216"/>
    <s v="Spot"/>
    <s v="3639643-1458746457-216"/>
    <n v="0"/>
    <d v="2016-03-31T00:00:00"/>
    <x v="171"/>
    <s v="216"/>
    <s v="SELL"/>
    <n v="3.3921232876712328"/>
    <x v="0"/>
    <x v="0"/>
    <n v="39.619999999999997"/>
    <s v="Deal"/>
    <m/>
    <s v="Original Amount [EUR 11.68], Merchant Amount [EUR 11.68], Customer Amount [TRY 39.62], Status [APPROVED], Operation [3DAUTH], UUID [3639643-1458746457-216] [23/03/2016 at 15:20:00]"/>
  </r>
  <r>
    <s v="3639607-1458746418-224"/>
    <s v="Spot"/>
    <s v="3639607-1458746418-224"/>
    <n v="0"/>
    <d v="2016-03-31T00:00:00"/>
    <x v="172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607-1458746418-224] [23/03/2016 at 15:20:00]"/>
  </r>
  <r>
    <s v="3639604-1458746415-82"/>
    <s v="Spot"/>
    <s v="3639604-1458746415-82"/>
    <n v="0"/>
    <d v="2016-03-31T00:00:00"/>
    <x v="17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04-1458746415-82] [23/03/2016 at 15:20:00]"/>
  </r>
  <r>
    <s v="3639592-1458746406-101"/>
    <s v="Spot"/>
    <s v="3639592-1458746406-101"/>
    <n v="0"/>
    <d v="2016-03-31T00:00:00"/>
    <x v="174"/>
    <s v="101"/>
    <s v="SELL"/>
    <n v="3.3922789539227898"/>
    <x v="0"/>
    <x v="0"/>
    <n v="27.24"/>
    <s v="Deal"/>
    <m/>
    <s v="Original Amount [EUR 8.03], Merchant Amount [EUR 8.03], Customer Amount [TRY 27.24], Status [WAITING], Operation [3D], UUID [3639592-1458746406-101] [23/03/2016 at 15:20:00]"/>
  </r>
  <r>
    <s v="3639634-1458746447-216"/>
    <s v="Spot"/>
    <s v="3639634-1458746447-216"/>
    <n v="0"/>
    <d v="2016-03-31T00:00:00"/>
    <x v="175"/>
    <s v="216"/>
    <s v="SELL"/>
    <n v="3.3919578622816027"/>
    <x v="0"/>
    <x v="0"/>
    <n v="528.05999999999995"/>
    <s v="Deal"/>
    <m/>
    <s v="Original Amount [EUR 155.68], Merchant Amount [EUR 155.68], Customer Amount [TRY 528.06], Status [APPROVED], Operation [3DAUTH], UUID [3639634-1458746447-216] [23/03/2016 at 15:20:00]"/>
  </r>
  <r>
    <s v="3639610-1458746421-56"/>
    <s v="Spot"/>
    <s v="3639610-1458746421-56"/>
    <n v="0"/>
    <d v="2016-03-31T00:00:00"/>
    <x v="176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9610-1458746421-56] [23/03/2016 at 15:20:00]"/>
  </r>
  <r>
    <s v="3639574-1458746393-134"/>
    <s v="Spot"/>
    <s v="3639574-1458746393-134"/>
    <n v="0"/>
    <d v="2016-03-31T00:00:00"/>
    <x v="177"/>
    <s v="134"/>
    <s v="SELL"/>
    <n v="132.99355381165918"/>
    <x v="0"/>
    <x v="3"/>
    <n v="4745.21"/>
    <s v="Deal"/>
    <m/>
    <s v="Original Amount [EUR 35.68], Merchant Amount [EUR 35.68], Customer Amount [JPY 4745.21], Status [APPROVED], Operation [DIRECT], UUID [3639574-1458746393-134] [23/03/2016 at 15:19:00]"/>
  </r>
  <r>
    <s v="3639583-1458746396-101"/>
    <s v="Spot"/>
    <s v="3639583-1458746396-101"/>
    <n v="0"/>
    <d v="2016-03-31T00:00:00"/>
    <x v="178"/>
    <s v="101"/>
    <s v="SELL"/>
    <n v="3.3919484702093401"/>
    <x v="0"/>
    <x v="0"/>
    <n v="526.6"/>
    <s v="Deal"/>
    <m/>
    <s v="Original Amount [EUR 155.25], Merchant Amount [EUR 155.25], Customer Amount [TRY 526.6], Status [APPROVED], Operation [3DAUTH], UUID [3639583-1458746396-101] [23/03/2016 at 15:19:00]"/>
  </r>
  <r>
    <s v="3639586-1458746397-150"/>
    <s v="Spot"/>
    <s v="3639586-1458746397-150"/>
    <n v="0"/>
    <d v="2016-03-31T00:00:00"/>
    <x v="179"/>
    <s v="150"/>
    <s v="SELL"/>
    <n v="3.3922691481746599"/>
    <x v="0"/>
    <x v="0"/>
    <n v="94.78"/>
    <s v="Deal"/>
    <m/>
    <s v="Original Amount [EUR 27.94], Merchant Amount [EUR 27.94], Customer Amount [TRY 94.78], Status [APPROVED], Operation [3DAUTH], UUID [3639586-1458746397-150] [23/03/2016 at 15:19:00]"/>
  </r>
  <r>
    <s v="3639538-1458746353-216"/>
    <s v="Spot"/>
    <s v="3639538-1458746353-216"/>
    <n v="0"/>
    <d v="2016-03-31T00:00:00"/>
    <x v="18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538-1458746353-216] [23/03/2016 at 15:19:00]"/>
  </r>
  <r>
    <s v="3639532-1458746345-171"/>
    <s v="Spot"/>
    <s v="3639532-1458746345-171"/>
    <n v="0"/>
    <d v="2016-03-31T00:00:00"/>
    <x v="181"/>
    <s v="171"/>
    <s v="SELL"/>
    <n v="1.5433186490455213"/>
    <x v="0"/>
    <x v="2"/>
    <n v="21.02"/>
    <s v="Deal"/>
    <m/>
    <s v="Original Amount [EUR 13.62], Merchant Amount [EUR 13.62], Customer Amount [CAD 21.02], Status [APPROVED], Operation [DIRECT], UUID [3639532-1458746345-171] [23/03/2016 at 15:19:00]"/>
  </r>
  <r>
    <s v="3639541-1458746355-203"/>
    <s v="Spot"/>
    <s v="3639541-1458746355-203"/>
    <n v="0"/>
    <d v="2016-03-31T00:00:00"/>
    <x v="182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9541-1458746355-203] [23/03/2016 at 15:19:00]"/>
  </r>
  <r>
    <s v="3639508-1458746319-199"/>
    <s v="Spot"/>
    <s v="3639508-1458746319-199"/>
    <n v="0"/>
    <d v="2016-03-31T00:00:00"/>
    <x v="18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9508-1458746319-199] [23/03/2016 at 15:18:00]"/>
  </r>
  <r>
    <s v="3639565-1458746381-56"/>
    <s v="Spot"/>
    <s v="3639565-1458746381-56"/>
    <n v="0"/>
    <d v="2016-03-31T00:00:00"/>
    <x v="184"/>
    <s v="56"/>
    <s v="SELL"/>
    <n v="3.3921161825726136"/>
    <x v="0"/>
    <x v="0"/>
    <n v="49.05"/>
    <s v="Deal"/>
    <m/>
    <s v="Original Amount [EUR 14.46], Merchant Amount [EUR 14.46], Customer Amount [TRY 49.05], Status [APPROVED], Operation [3DAUTH], UUID [3639565-1458746381-56] [23/03/2016 at 15:19:00]"/>
  </r>
  <r>
    <s v="3639556-1458746365-126"/>
    <s v="Spot"/>
    <s v="3639556-1458746365-126"/>
    <n v="0"/>
    <d v="2016-03-31T00:00:00"/>
    <x v="185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556-1458746365-126] [23/03/2016 at 15:19:00]"/>
  </r>
  <r>
    <s v="3639484-1458746301-224"/>
    <s v="Spot"/>
    <s v="3639484-1458746301-224"/>
    <n v="0"/>
    <d v="2016-03-31T00:00:00"/>
    <x v="186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9484-1458746301-224] [23/03/2016 at 15:18:00]"/>
  </r>
  <r>
    <s v="3639475-1458746290-216"/>
    <s v="Spot"/>
    <s v="3639475-1458746290-216"/>
    <n v="0"/>
    <d v="2016-03-31T00:00:00"/>
    <x v="187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75-1458746290-216] [23/03/2016 at 15:18:00]"/>
  </r>
  <r>
    <s v="3639499-1458746312-107"/>
    <s v="Spot"/>
    <s v="3639499-1458746312-107"/>
    <n v="0"/>
    <d v="2016-03-31T00:00:00"/>
    <x v="188"/>
    <s v="107"/>
    <s v="SELL"/>
    <n v="3.3919999999999999"/>
    <x v="0"/>
    <x v="0"/>
    <n v="169.6"/>
    <s v="Deal"/>
    <m/>
    <s v="Original Amount [EUR 50], Merchant Amount [EUR 50], Customer Amount [TRY 169.6], Status [APPROVED], Operation [3DAUTH], UUID [3639499-1458746312-107] [23/03/2016 at 15:18:00]"/>
  </r>
  <r>
    <s v="3639460-1458746271-119"/>
    <s v="Spot"/>
    <s v="3639460-1458746271-119"/>
    <n v="0"/>
    <d v="2016-03-31T00:00:00"/>
    <x v="189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60-1458746271-119] [23/03/2016 at 15:17:00]"/>
  </r>
  <r>
    <s v="3639457-1458746270-224"/>
    <s v="Spot"/>
    <s v="3639457-1458746270-224"/>
    <n v="0"/>
    <d v="2016-03-31T00:00:00"/>
    <x v="19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457-1458746270-224] [23/03/2016 at 15:17:00]"/>
  </r>
  <r>
    <s v="3639451-1458746265-216"/>
    <s v="Spot"/>
    <s v="3639451-1458746265-216"/>
    <n v="0"/>
    <d v="2016-03-31T00:00:00"/>
    <x v="19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51-1458746265-216] [23/03/2016 at 15:17:00]"/>
  </r>
  <r>
    <s v="3639436-1458746249-119"/>
    <s v="Spot"/>
    <s v="3639436-1458746249-119"/>
    <n v="0"/>
    <d v="2016-03-31T00:00:00"/>
    <x v="192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36-1458746249-119] [23/03/2016 at 15:17:00]"/>
  </r>
  <r>
    <s v="3639424-1458746239-119"/>
    <s v="Spot"/>
    <s v="3639424-1458746239-119"/>
    <n v="0"/>
    <d v="2016-03-31T00:00:00"/>
    <x v="19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24-1458746239-119] [23/03/2016 at 15:17:00]"/>
  </r>
  <r>
    <s v="3639466-1458746281-107"/>
    <s v="Spot"/>
    <s v="3639466-1458746281-107"/>
    <n v="0"/>
    <d v="2016-03-31T00:00:00"/>
    <x v="194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39466-1458746281-107] [23/03/2016 at 15:18:00]"/>
  </r>
  <r>
    <s v="3639412-1458746227-82"/>
    <s v="Spot"/>
    <s v="3639412-1458746227-82"/>
    <n v="0"/>
    <d v="2016-03-31T00:00:00"/>
    <x v="1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412-1458746227-82] [23/03/2016 at 15:17:00]"/>
  </r>
  <r>
    <s v="3639406-1458746220-224"/>
    <s v="Spot"/>
    <s v="3639406-1458746220-224"/>
    <n v="0"/>
    <d v="2016-03-31T00:00:00"/>
    <x v="196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9406-1458746220-224] [23/03/2016 at 15:17:00]"/>
  </r>
  <r>
    <s v="3639400-1458746218-145"/>
    <s v="Spot"/>
    <s v="3639400-1458746218-145"/>
    <n v="0"/>
    <d v="2016-03-31T00:00:00"/>
    <x v="197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9400-1458746218-145] [23/03/2016 at 15:16:00]"/>
  </r>
  <r>
    <s v="3639427-1458746240-216"/>
    <s v="Spot"/>
    <s v="3639427-1458746240-216"/>
    <n v="0"/>
    <d v="2016-03-31T00:00:00"/>
    <x v="1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427-1458746240-216] [23/03/2016 at 15:17:00]"/>
  </r>
  <r>
    <s v="3639442-1458746259-179"/>
    <s v="Spot"/>
    <s v="3639442-1458746259-179"/>
    <n v="0"/>
    <d v="2016-03-31T00:00:00"/>
    <x v="199"/>
    <s v="179"/>
    <s v="SELL"/>
    <n v="3.391943980470256"/>
    <x v="0"/>
    <x v="0"/>
    <n v="1055.98"/>
    <s v="Deal"/>
    <m/>
    <s v="Original Amount [EUR 311.32], Merchant Amount [EUR 311.32], Customer Amount [TRY 1055.98], Status [APPROVED], Operation [3DAUTH], UUID [3639442-1458746259-179] [23/03/2016 at 15:17:00]"/>
  </r>
  <r>
    <s v="3639373-1458746199-82"/>
    <s v="Spot"/>
    <s v="3639373-1458746199-82"/>
    <n v="0"/>
    <d v="2016-03-31T00:00:00"/>
    <x v="20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373-1458746199-82] [23/03/2016 at 15:16:00]"/>
  </r>
  <r>
    <s v="3639367-1458746193-145"/>
    <s v="Spot"/>
    <s v="3639367-1458746193-145"/>
    <n v="0"/>
    <d v="2016-03-31T00:00:00"/>
    <x v="201"/>
    <s v="145"/>
    <s v="SELL"/>
    <n v="1.5442574981711776"/>
    <x v="0"/>
    <x v="2"/>
    <n v="21.11"/>
    <s v="Deal"/>
    <m/>
    <s v="Original Amount [EUR 13.67], Merchant Amount [EUR 13.67], Customer Amount [CAD 21.11], Status [APPROVED], Operation [DIRECT], UUID [3639367-1458746193-145] [23/03/2016 at 15:16:00]"/>
  </r>
  <r>
    <s v="3639418-1458746238-56"/>
    <s v="Spot"/>
    <s v="3639418-1458746238-56"/>
    <n v="0"/>
    <d v="2016-03-31T00:00:00"/>
    <x v="2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9418-1458746238-56] [23/03/2016 at 15:17:00]"/>
  </r>
  <r>
    <s v="3639376-1458746201-101"/>
    <s v="Spot"/>
    <s v="3639376-1458746201-101"/>
    <n v="0"/>
    <d v="2016-03-31T00:00:00"/>
    <x v="203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9376-1458746201-101] [23/03/2016 at 15:16:00]"/>
  </r>
  <r>
    <s v="3639388-1458746215-102"/>
    <s v="Spot"/>
    <s v="3639388-1458746215-102"/>
    <n v="0"/>
    <d v="2016-03-31T00:00:00"/>
    <x v="204"/>
    <s v="102"/>
    <s v="SELL"/>
    <n v="3.3919354838709679"/>
    <x v="0"/>
    <x v="0"/>
    <n v="63.09"/>
    <s v="Deal"/>
    <m/>
    <s v="Original Amount [EUR 18.6], Merchant Amount [EUR 18.6], Customer Amount [TRY 63.09], Status [APPROVED], Operation [3DAUTH], UUID [3639388-1458746215-102] [23/03/2016 at 15:16:00]"/>
  </r>
  <r>
    <s v="3639340-1458746167-187"/>
    <s v="Spot"/>
    <s v="3639340-1458746167-187"/>
    <n v="0"/>
    <d v="2016-03-31T00:00:00"/>
    <x v="205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9340-1458746167-187] [23/03/2016 at 15:16:00]"/>
  </r>
  <r>
    <s v="3639382-1458746206-216"/>
    <s v="Spot"/>
    <s v="3639382-1458746206-216"/>
    <n v="0"/>
    <d v="2016-03-31T00:00:00"/>
    <x v="20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382-1458746206-216] [23/03/2016 at 15:16:00]"/>
  </r>
  <r>
    <s v="3639331-1458746162-82"/>
    <s v="Spot"/>
    <s v="3639331-1458746162-82"/>
    <n v="0"/>
    <d v="2016-03-31T00:00:00"/>
    <x v="207"/>
    <s v="82"/>
    <s v="SELL"/>
    <n v="0.83600142298114555"/>
    <x v="0"/>
    <x v="4"/>
    <n v="23.5"/>
    <s v="Deal"/>
    <m/>
    <s v="Original Amount [GBP 23.5], Merchant Amount [EUR 28.11], Customer Amount [GBP 23.5], Status [APPROVED], Operation [DIRECT], UUID [3639331-1458746162-82] [23/03/2016 at 15:16:00]"/>
  </r>
  <r>
    <s v="3639328-1458746157-119"/>
    <s v="Spot"/>
    <s v="3639328-1458746157-119"/>
    <n v="0"/>
    <d v="2016-03-31T00:00:00"/>
    <x v="20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9328-1458746157-119] [23/03/2016 at 15:15:00]"/>
  </r>
  <r>
    <s v="3639310-1458746145-224"/>
    <s v="Spot"/>
    <s v="3639310-1458746145-224"/>
    <n v="0"/>
    <d v="2016-03-31T00:00:00"/>
    <x v="20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310-1458746145-224] [23/03/2016 at 15:15:00]"/>
  </r>
  <r>
    <s v="3639322-1458746155-101"/>
    <s v="Spot"/>
    <s v="3639322-1458746155-101"/>
    <n v="0"/>
    <d v="2016-03-31T00:00:00"/>
    <x v="210"/>
    <s v="101"/>
    <s v="SELL"/>
    <n v="3.3928143712574848"/>
    <x v="0"/>
    <x v="0"/>
    <n v="28.33"/>
    <s v="Deal"/>
    <m/>
    <s v="Original Amount [EUR 8.35], Merchant Amount [EUR 8.35], Customer Amount [TRY 28.33], Status [APPROVED], Operation [3DAUTH], UUID [3639322-1458746155-101] [23/03/2016 at 15:15:00]"/>
  </r>
  <r>
    <s v="3639283-1458746123-145"/>
    <s v="Spot"/>
    <s v="3639283-1458746123-145"/>
    <n v="0"/>
    <d v="2016-03-31T00:00:00"/>
    <x v="211"/>
    <s v="145"/>
    <s v="SELL"/>
    <n v="1.5442840421381194"/>
    <x v="0"/>
    <x v="2"/>
    <n v="79.16"/>
    <s v="Deal"/>
    <m/>
    <s v="Original Amount [EUR 51.26], Merchant Amount [EUR 51.26], Customer Amount [CAD 79.16], Status [APPROVED], Operation [DIRECT], UUID [3639283-1458746123-145] [23/03/2016 at 15:15:00]"/>
  </r>
  <r>
    <s v="3639313-1458746148-107"/>
    <s v="Spot"/>
    <s v="3639313-1458746148-107"/>
    <n v="0"/>
    <d v="2016-03-31T00:00:00"/>
    <x v="212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9313-1458746148-107] [23/03/2016 at 15:15:00]"/>
  </r>
  <r>
    <s v="3639265-1458746097-264"/>
    <s v="Spot"/>
    <s v="3639265-1458746097-264"/>
    <n v="0"/>
    <d v="2016-03-31T00:00:00"/>
    <x v="213"/>
    <s v="264"/>
    <s v="SELL"/>
    <n v="80.005785920925746"/>
    <x v="0"/>
    <x v="8"/>
    <n v="2488.98"/>
    <s v="Deal"/>
    <m/>
    <s v="Original Amount [TRY 100], Merchant Amount [EUR 31.11], Customer Amount [RUB 2488.98], Status [WAITING], Operation [3D], UUID [3639265-1458746097-264] [23/03/2016 at 15:14:00]"/>
  </r>
  <r>
    <s v="3639301-1458746133-56"/>
    <s v="Spot"/>
    <s v="3639301-1458746133-56"/>
    <n v="0"/>
    <d v="2016-03-31T00:00:00"/>
    <x v="214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301-1458746133-56] [23/03/2016 at 15:15:00]"/>
  </r>
  <r>
    <s v="3639259-1458746097-200"/>
    <s v="Spot"/>
    <s v="3639259-1458746097-200"/>
    <n v="0"/>
    <d v="2016-03-31T00:00:00"/>
    <x v="215"/>
    <s v="200"/>
    <s v="SELL"/>
    <n v="9.975363839591223"/>
    <x v="0"/>
    <x v="1"/>
    <n v="4373"/>
    <s v="Deal"/>
    <m/>
    <s v="Original Amount [EUR 438.38], Merchant Amount [EUR 438.38], Customer Amount [NOK 4373], Status [APPROVED], Operation [STORED], UUID [3639259-1458746097-200] [23/03/2016 at 15:14:00]"/>
  </r>
  <r>
    <s v="3639256-1458746096-199"/>
    <s v="Spot"/>
    <s v="3639256-1458746096-199"/>
    <n v="0"/>
    <d v="2016-03-31T00:00:00"/>
    <x v="216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9256-1458746096-199] [23/03/2016 at 15:14:00]"/>
  </r>
  <r>
    <s v="3639307-1458746136-56"/>
    <s v="Spot"/>
    <s v="3639307-1458746136-56"/>
    <n v="0"/>
    <d v="2016-03-31T00:00:00"/>
    <x v="217"/>
    <s v="56"/>
    <s v="SELL"/>
    <n v="3.395617070357555"/>
    <x v="0"/>
    <x v="0"/>
    <n v="29.44"/>
    <s v="Deal"/>
    <m/>
    <s v="Original Amount [EUR 8.67], Merchant Amount [EUR 8.67], Customer Amount [TRY 29.44], Status [APPROVED], Operation [3DAUTH], UUID [3639307-1458746136-56] [23/03/2016 at 15:15:00]"/>
  </r>
  <r>
    <s v="3639244-1458746083-216"/>
    <s v="Spot"/>
    <s v="3639244-1458746083-216"/>
    <n v="0"/>
    <d v="2016-03-31T00:00:00"/>
    <x v="218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244-1458746083-216] [23/03/2016 at 15:14:00]"/>
  </r>
  <r>
    <s v="3639355-1458746180-264"/>
    <s v="Spot"/>
    <s v="3639355-1458746180-264"/>
    <n v="0"/>
    <d v="2016-03-31T00:00:00"/>
    <x v="219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39355-1458746180-264] [23/03/2016 at 15:16:00]"/>
  </r>
  <r>
    <s v="3639229-1458746072-107"/>
    <s v="Spot"/>
    <s v="3639229-1458746072-107"/>
    <n v="0"/>
    <d v="2016-03-31T00:00:00"/>
    <x v="220"/>
    <s v="107"/>
    <s v="SELL"/>
    <n v="3.3953088013772326"/>
    <x v="0"/>
    <x v="0"/>
    <n v="157.78"/>
    <s v="Deal"/>
    <m/>
    <s v="Original Amount [EUR 46.47], Merchant Amount [EUR 46.47], Customer Amount [TRY 157.78], Status [WAITING], Operation [3D], UUID [3639229-1458746072-107] [23/03/2016 at 15:14:00]"/>
  </r>
  <r>
    <s v="3639268-1458746099-101"/>
    <s v="Spot"/>
    <s v="3639268-1458746099-101"/>
    <n v="0"/>
    <d v="2016-03-31T00:00:00"/>
    <x v="221"/>
    <s v="101"/>
    <s v="SELL"/>
    <n v="3.395401106500691"/>
    <x v="0"/>
    <x v="0"/>
    <n v="196.39"/>
    <s v="Deal"/>
    <m/>
    <s v="Original Amount [EUR 57.84], Merchant Amount [EUR 57.84], Customer Amount [TRY 196.39], Status [APPROVED], Operation [3DAUTH], UUID [3639268-1458746099-101] [23/03/2016 at 15:14:00]"/>
  </r>
  <r>
    <s v="3639223-1458746069-261"/>
    <s v="Spot"/>
    <s v="3639223-1458746069-261"/>
    <n v="0"/>
    <d v="2016-03-31T00:00:00"/>
    <x v="222"/>
    <s v="261"/>
    <s v="SELL"/>
    <n v="9.975427350427351"/>
    <x v="0"/>
    <x v="1"/>
    <n v="746.96"/>
    <s v="Deal"/>
    <m/>
    <s v="Original Amount [EUR 74.88], Merchant Amount [EUR 74.88], Customer Amount [NOK 746.96], Status [APPROVED], Operation [DIRECT], UUID [3639223-1458746069-261] [23/03/2016 at 15:14:00]"/>
  </r>
  <r>
    <s v="3639220-1458746067-261"/>
    <s v="Spot"/>
    <s v="3639220-1458746067-261"/>
    <n v="0"/>
    <d v="2016-03-31T00:00:00"/>
    <x v="223"/>
    <s v="261"/>
    <s v="SELL"/>
    <n v="9.9754615564384217"/>
    <x v="0"/>
    <x v="1"/>
    <n v="426.85"/>
    <s v="Deal"/>
    <m/>
    <s v="Original Amount [EUR 42.79], Merchant Amount [EUR 42.79], Customer Amount [NOK 426.85], Status [APPROVED], Operation [DIRECT], UUID [3639220-1458746067-261] [23/03/2016 at 15:14:00]"/>
  </r>
  <r>
    <s v="3639217-1458746061-82"/>
    <s v="Spot"/>
    <s v="3639217-1458746061-82"/>
    <n v="0"/>
    <d v="2016-03-31T00:00:00"/>
    <x v="224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9217-1458746061-82] [23/03/2016 at 15:14:00]"/>
  </r>
  <r>
    <s v="3639199-1458746041-82"/>
    <s v="Spot"/>
    <s v="3639199-1458746041-82"/>
    <n v="0"/>
    <d v="2016-03-31T00:00:00"/>
    <x v="22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199-1458746041-82] [23/03/2016 at 15:14:00]"/>
  </r>
  <r>
    <s v="3639196-1458746040-119"/>
    <s v="Spot"/>
    <s v="3639196-1458746040-119"/>
    <n v="0"/>
    <d v="2016-03-31T00:00:00"/>
    <x v="226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9196-1458746040-119] [23/03/2016 at 15:14:00]"/>
  </r>
  <r>
    <s v="3639181-1458746028-82"/>
    <s v="Spot"/>
    <s v="3639181-1458746028-82"/>
    <n v="0"/>
    <d v="2016-03-31T00:00:00"/>
    <x v="227"/>
    <s v="82"/>
    <s v="SELL"/>
    <n v="1.1828120255086547"/>
    <x v="0"/>
    <x v="7"/>
    <n v="38.950000000000003"/>
    <s v="Deal"/>
    <m/>
    <s v="Original Amount [USD 38.95], Merchant Amount [EUR 32.93], Customer Amount [USD 38.95], Status [APPROVED], Operation [DIRECT], UUID [3639181-1458746028-82] [23/03/2016 at 15:13:00]"/>
  </r>
  <r>
    <s v="3639208-1458746051-216"/>
    <s v="Spot"/>
    <s v="3639208-1458746051-216"/>
    <n v="0"/>
    <d v="2016-03-31T00:00:00"/>
    <x v="228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39208-1458746051-216] [23/03/2016 at 15:14:00]"/>
  </r>
  <r>
    <s v="3639163-1458746003-145"/>
    <s v="Spot"/>
    <s v="3639163-1458746003-145"/>
    <n v="0"/>
    <d v="2016-03-31T00:00:00"/>
    <x v="229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9163-1458746003-145] [23/03/2016 at 15:13:00]"/>
  </r>
  <r>
    <s v="3639166-1458746010-126"/>
    <s v="Spot"/>
    <s v="3639166-1458746010-126"/>
    <n v="0"/>
    <d v="2016-03-31T00:00:00"/>
    <x v="230"/>
    <s v="126"/>
    <s v="SELL"/>
    <n v="9.9756097560975601"/>
    <x v="0"/>
    <x v="1"/>
    <n v="122.7"/>
    <s v="Deal"/>
    <m/>
    <s v="Original Amount [EUR 12.3], Merchant Amount [EUR 12.3], Customer Amount [NOK 122.7], Status [APPROVED], Operation [3DAUTH], UUID [3639166-1458746010-126] [23/03/2016 at 15:13:00]"/>
  </r>
  <r>
    <s v="3639151-1458745995-82"/>
    <s v="Spot"/>
    <s v="3639151-1458745995-82"/>
    <n v="0"/>
    <d v="2016-03-31T00:00:00"/>
    <x v="231"/>
    <s v="82"/>
    <s v="SELL"/>
    <n v="1.1828593996840442"/>
    <x v="0"/>
    <x v="7"/>
    <n v="29.95"/>
    <s v="Deal"/>
    <m/>
    <s v="Original Amount [USD 29.95], Merchant Amount [EUR 25.32], Customer Amount [USD 29.95], Status [APPROVED], Operation [DIRECT], UUID [3639151-1458745995-82] [23/03/2016 at 15:13:00]"/>
  </r>
  <r>
    <s v="3639145-1458745988-82"/>
    <s v="Spot"/>
    <s v="3639145-1458745988-82"/>
    <n v="0"/>
    <d v="2016-03-31T00:00:00"/>
    <x v="232"/>
    <s v="82"/>
    <s v="SELL"/>
    <n v="1.1827411167512691"/>
    <x v="0"/>
    <x v="7"/>
    <n v="34.950000000000003"/>
    <s v="Deal"/>
    <m/>
    <s v="Original Amount [USD 34.95], Merchant Amount [EUR 29.55], Customer Amount [USD 34.95], Status [APPROVED], Operation [DIRECT], UUID [3639145-1458745988-82] [23/03/2016 at 15:13:00]"/>
  </r>
  <r>
    <s v="3639169-1458746011-216"/>
    <s v="Spot"/>
    <s v="3639169-1458746011-216"/>
    <n v="0"/>
    <d v="2016-03-31T00:00:00"/>
    <x v="233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9169-1458746011-216] [23/03/2016 at 15:13:00]"/>
  </r>
  <r>
    <s v="3639127-1458745979-82"/>
    <s v="Spot"/>
    <s v="3639127-1458745979-82"/>
    <n v="0"/>
    <d v="2016-03-31T00:00:00"/>
    <x v="23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127-1458745979-82] [23/03/2016 at 15:12:00]"/>
  </r>
  <r>
    <s v="3639124-1458745978-126"/>
    <s v="Spot"/>
    <s v="3639124-1458745978-126"/>
    <n v="0"/>
    <d v="2016-03-31T00:00:00"/>
    <x v="23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124-1458745978-126] [23/03/2016 at 15:12:00]"/>
  </r>
  <r>
    <s v="3639118-1458745977-145"/>
    <s v="Spot"/>
    <s v="3639118-1458745977-145"/>
    <n v="0"/>
    <d v="2016-03-31T00:00:00"/>
    <x v="236"/>
    <s v="145"/>
    <s v="SELL"/>
    <n v="9.9754562617998737"/>
    <x v="0"/>
    <x v="1"/>
    <n v="317.02"/>
    <s v="Deal"/>
    <m/>
    <s v="Original Amount [EUR 31.78], Merchant Amount [EUR 31.78], Customer Amount [NOK 317.02], Status [APPROVED], Operation [DIRECT], UUID [3639118-1458745977-145] [23/03/2016 at 15:12:00]"/>
  </r>
  <r>
    <s v="3639109-1458745965-125"/>
    <s v="Spot"/>
    <s v="3639109-1458745965-125"/>
    <n v="0"/>
    <d v="2016-03-31T00:00:00"/>
    <x v="237"/>
    <s v="125"/>
    <s v="SELL"/>
    <n v="9.9753636363636353"/>
    <x v="0"/>
    <x v="1"/>
    <n v="1097.29"/>
    <s v="Deal"/>
    <m/>
    <s v="Original Amount [EUR 110], Merchant Amount [EUR 110], Customer Amount [NOK 1097.29], Status [APPROVED], Operation [DIRECT], UUID [3639109-1458745965-125] [23/03/2016 at 15:12:00]"/>
  </r>
  <r>
    <s v="3639106-1458745958-119"/>
    <s v="Spot"/>
    <s v="3639106-1458745958-119"/>
    <n v="0"/>
    <d v="2016-03-31T00:00:00"/>
    <x v="238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106-1458745958-119] [23/03/2016 at 15:12:00]"/>
  </r>
  <r>
    <s v="3639097-1458745954-171"/>
    <s v="Spot"/>
    <s v="3639097-1458745954-171"/>
    <n v="0"/>
    <d v="2016-03-31T00:00:00"/>
    <x v="239"/>
    <s v="171"/>
    <s v="SELL"/>
    <n v="9.9754000000000005"/>
    <x v="0"/>
    <x v="1"/>
    <n v="498.77"/>
    <s v="Deal"/>
    <m/>
    <s v="Original Amount [EUR 50], Merchant Amount [EUR 50], Customer Amount [NOK 498.77], Status [APPROVED], Operation [DIRECT], UUID [3639097-1458745954-171] [23/03/2016 at 15:12:00]"/>
  </r>
  <r>
    <s v="3639094-1458745948-199"/>
    <s v="Spot"/>
    <s v="3639094-1458745948-199"/>
    <n v="0"/>
    <d v="2016-03-31T00:00:00"/>
    <x v="24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4-1458745948-199] [23/03/2016 at 15:12:00]"/>
  </r>
  <r>
    <s v="3639091-1458745947-199"/>
    <s v="Spot"/>
    <s v="3639091-1458745947-199"/>
    <n v="0"/>
    <d v="2016-03-31T00:00:00"/>
    <x v="241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1-1458745947-199] [23/03/2016 at 15:12:00]"/>
  </r>
  <r>
    <s v="3639085-1458745945-119"/>
    <s v="Spot"/>
    <s v="3639085-1458745945-119"/>
    <n v="0"/>
    <d v="2016-03-31T00:00:00"/>
    <x v="24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085-1458745945-119] [23/03/2016 at 15:12:00]"/>
  </r>
  <r>
    <s v="3639082-1458745945-171"/>
    <s v="Spot"/>
    <s v="3639082-1458745945-171"/>
    <n v="0"/>
    <d v="2016-03-31T00:00:00"/>
    <x v="243"/>
    <s v="171"/>
    <s v="SELL"/>
    <n v="9.9755000000000003"/>
    <x v="0"/>
    <x v="1"/>
    <n v="199.51"/>
    <s v="Deal"/>
    <m/>
    <s v="Original Amount [EUR 20], Merchant Amount [EUR 20], Customer Amount [NOK 199.51], Status [APPROVED], Operation [DIRECT], UUID [3639082-1458745945-171] [23/03/2016 at 15:12:00]"/>
  </r>
  <r>
    <s v="3639079-1458745944-224"/>
    <s v="Spot"/>
    <s v="3639079-1458745944-224"/>
    <n v="0"/>
    <d v="2016-03-31T00:00:00"/>
    <x v="244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9079-1458745944-224] [23/03/2016 at 15:12:00]"/>
  </r>
  <r>
    <s v="3639076-1458745944-216"/>
    <s v="Spot"/>
    <s v="3639076-1458745944-216"/>
    <n v="0"/>
    <d v="2016-03-31T00:00:00"/>
    <x v="245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9076-1458745944-216] [23/03/2016 at 15:12:00]"/>
  </r>
  <r>
    <s v="3639139-1458745984-56"/>
    <s v="Spot"/>
    <s v="3639139-1458745984-56"/>
    <n v="0"/>
    <d v="2016-03-31T00:00:00"/>
    <x v="246"/>
    <s v="56"/>
    <s v="SELL"/>
    <n v="3.3959955506117909"/>
    <x v="0"/>
    <x v="0"/>
    <n v="30.53"/>
    <s v="Deal"/>
    <m/>
    <s v="Original Amount [EUR 8.99], Merchant Amount [EUR 8.99], Customer Amount [TRY 30.53], Status [APPROVED], Operation [3DAUTH], UUID [3639139-1458745984-56] [23/03/2016 at 15:13:00]"/>
  </r>
  <r>
    <s v="3639055-1458745935-82"/>
    <s v="Spot"/>
    <s v="3639055-1458745935-82"/>
    <n v="0"/>
    <d v="2016-03-31T00:00:00"/>
    <x v="247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055-1458745935-82] [23/03/2016 at 15:12:00]"/>
  </r>
  <r>
    <s v="3639046-1458745927-224"/>
    <s v="Spot"/>
    <s v="3639046-1458745927-224"/>
    <n v="0"/>
    <d v="2016-03-31T00:00:00"/>
    <x v="248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046-1458745927-224] [23/03/2016 at 15:12:00]"/>
  </r>
  <r>
    <s v="3639037-1458745926-82"/>
    <s v="Spot"/>
    <s v="3639037-1458745926-82"/>
    <n v="0"/>
    <d v="2016-03-31T00:00:00"/>
    <x v="249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9037-1458745926-82] [23/03/2016 at 15:12:00]"/>
  </r>
  <r>
    <s v="3639019-1458745916-224"/>
    <s v="Spot"/>
    <s v="3639019-1458745916-224"/>
    <n v="0"/>
    <d v="2016-03-31T00:00:00"/>
    <x v="250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39019-1458745916-224] [23/03/2016 at 15:11:00]"/>
  </r>
  <r>
    <s v="3639088-1458745945-216"/>
    <s v="Spot"/>
    <s v="3639088-1458745945-216"/>
    <n v="0"/>
    <d v="2016-03-31T00:00:00"/>
    <x v="251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9088-1458745945-216] [23/03/2016 at 15:12:00]"/>
  </r>
  <r>
    <s v="3639007-1458745910-82"/>
    <s v="Spot"/>
    <s v="3639007-1458745910-82"/>
    <n v="0"/>
    <d v="2016-03-31T00:00:00"/>
    <x v="25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9007-1458745910-82] [23/03/2016 at 15:11:00]"/>
  </r>
  <r>
    <s v="3639004-1458745910-119"/>
    <s v="Spot"/>
    <s v="3639004-1458745910-119"/>
    <n v="0"/>
    <d v="2016-03-31T00:00:00"/>
    <x v="25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9004-1458745910-119] [23/03/2016 at 15:11:00]"/>
  </r>
  <r>
    <s v="3638995-1458745899-82"/>
    <s v="Spot"/>
    <s v="3638995-1458745899-82"/>
    <n v="0"/>
    <d v="2016-03-31T00:00:00"/>
    <x v="25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95-1458745899-82] [23/03/2016 at 15:11:00]"/>
  </r>
  <r>
    <s v="3639058-1458745936-216"/>
    <s v="Spot"/>
    <s v="3639058-1458745936-216"/>
    <n v="0"/>
    <d v="2016-03-31T00:00:00"/>
    <x v="255"/>
    <s v="216"/>
    <s v="SELL"/>
    <n v="3.3879587349906983"/>
    <x v="0"/>
    <x v="0"/>
    <n v="200.33"/>
    <s v="Deal"/>
    <m/>
    <s v="Original Amount [EUR 59.13], Merchant Amount [EUR 59.13], Customer Amount [TRY 200.33], Status [APPROVED], Operation [3DAUTH], UUID [3639058-1458745936-216] [23/03/2016 at 15:12:00]"/>
  </r>
  <r>
    <s v="3639160-1458746001-216"/>
    <s v="Spot"/>
    <s v="3639160-1458746001-216"/>
    <n v="0"/>
    <d v="2016-03-31T00:00:00"/>
    <x v="256"/>
    <s v="216"/>
    <s v="SELL"/>
    <n v="3.3879966187658495"/>
    <x v="0"/>
    <x v="0"/>
    <n v="40.08"/>
    <s v="Deal"/>
    <m/>
    <s v="Original Amount [EUR 11.83], Merchant Amount [EUR 11.83], Customer Amount [TRY 40.08], Status [APPROVED], Operation [3DAUTH], UUID [3639160-1458746001-216] [23/03/2016 at 15:13:00]"/>
  </r>
  <r>
    <s v="3638980-1458745891-224"/>
    <s v="Spot"/>
    <s v="3638980-1458745891-224"/>
    <n v="0"/>
    <d v="2016-03-31T00:00:00"/>
    <x v="257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980-1458745891-224] [23/03/2016 at 15:11:00]"/>
  </r>
  <r>
    <s v="3638974-1458745890-82"/>
    <s v="Spot"/>
    <s v="3638974-1458745890-82"/>
    <n v="0"/>
    <d v="2016-03-31T00:00:00"/>
    <x v="25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4-1458745890-82] [23/03/2016 at 15:11:00]"/>
  </r>
  <r>
    <s v="3638971-1458745888-82"/>
    <s v="Spot"/>
    <s v="3638971-1458745888-82"/>
    <n v="0"/>
    <d v="2016-03-31T00:00:00"/>
    <x v="259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1-1458745888-82] [23/03/2016 at 15:11:00]"/>
  </r>
  <r>
    <s v="3638959-1458745879-82"/>
    <s v="Spot"/>
    <s v="3638959-1458745879-82"/>
    <n v="0"/>
    <d v="2016-03-31T00:00:00"/>
    <x v="260"/>
    <s v="82"/>
    <s v="SELL"/>
    <n v="1.1826697892271663"/>
    <x v="0"/>
    <x v="7"/>
    <n v="50.5"/>
    <s v="Deal"/>
    <m/>
    <s v="Original Amount [USD 50.5], Merchant Amount [EUR 42.7], Customer Amount [USD 50.5], Status [APPROVED], Operation [DIRECT], UUID [3638959-1458745879-82] [23/03/2016 at 15:11:00]"/>
  </r>
  <r>
    <s v="3638956-1458745879-216"/>
    <s v="Spot"/>
    <s v="3638956-1458745879-216"/>
    <n v="0"/>
    <d v="2016-03-31T00:00:00"/>
    <x v="26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56-1458745879-216] [23/03/2016 at 15:11:00]"/>
  </r>
  <r>
    <s v="3639040-1458745926-101"/>
    <s v="Spot"/>
    <s v="3639040-1458745926-101"/>
    <n v="0"/>
    <d v="2016-03-31T00:00:00"/>
    <x v="262"/>
    <s v="101"/>
    <s v="SELL"/>
    <n v="3.387826086956522"/>
    <x v="0"/>
    <x v="0"/>
    <n v="525.96"/>
    <s v="Deal"/>
    <m/>
    <s v="Original Amount [EUR 155.25], Merchant Amount [EUR 155.25], Customer Amount [TRY 525.96], Status [APPROVED], Operation [3DAUTH], UUID [3639040-1458745926-101] [23/03/2016 at 15:12:00]"/>
  </r>
  <r>
    <s v="3638950-1458745874-145"/>
    <s v="Spot"/>
    <s v="3638950-1458745874-145"/>
    <n v="0"/>
    <d v="2016-03-31T00:00:00"/>
    <x v="263"/>
    <s v="145"/>
    <s v="SELL"/>
    <n v="1.5513936644963056"/>
    <x v="0"/>
    <x v="2"/>
    <n v="212.06"/>
    <s v="Deal"/>
    <m/>
    <s v="Original Amount [EUR 136.69], Merchant Amount [EUR 136.69], Customer Amount [CAD 212.06], Status [APPROVED], Operation [DIRECT], UUID [3638950-1458745874-145] [23/03/2016 at 15:11:00]"/>
  </r>
  <r>
    <s v="3638947-1458745872-216"/>
    <s v="Spot"/>
    <s v="3638947-1458745872-216"/>
    <n v="0"/>
    <d v="2016-03-31T00:00:00"/>
    <x v="264"/>
    <s v="216"/>
    <s v="SELL"/>
    <n v="3.3879518072289159"/>
    <x v="0"/>
    <x v="0"/>
    <n v="42.18"/>
    <s v="Deal"/>
    <m/>
    <s v="Original Amount [EUR 12.45], Merchant Amount [EUR 12.45], Customer Amount [TRY 42.18], Status [WAITING], Operation [3D], UUID [3638947-1458745872-216] [23/03/2016 at 15:11:00]"/>
  </r>
  <r>
    <s v="3638935-1458745863-261"/>
    <s v="Spot"/>
    <s v="3638935-1458745863-261"/>
    <n v="0"/>
    <d v="2016-03-31T00:00:00"/>
    <x v="265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38935-1458745863-261] [23/03/2016 at 15:11:00]"/>
  </r>
  <r>
    <s v="3638932-1458745862-224"/>
    <s v="Spot"/>
    <s v="3638932-1458745862-224"/>
    <n v="0"/>
    <d v="2016-03-31T00:00:00"/>
    <x v="266"/>
    <s v="224"/>
    <s v="SELL"/>
    <n v="133.03550098798871"/>
    <x v="0"/>
    <x v="3"/>
    <n v="59920.52"/>
    <s v="Deal"/>
    <m/>
    <s v="Original Amount [EUR 450.41], Merchant Amount [EUR 450.41], Customer Amount [JPY 59920.52], Status [APPROVED], Operation [DIRECT], UUID [3638932-1458745862-224] [23/03/2016 at 15:11:00]"/>
  </r>
  <r>
    <s v="3638929-1458745861-119"/>
    <s v="Spot"/>
    <s v="3638929-1458745861-119"/>
    <n v="0"/>
    <d v="2016-03-31T00:00:00"/>
    <x v="26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9-1458745861-119] [23/03/2016 at 15:11:00]"/>
  </r>
  <r>
    <s v="3638923-1458745857-119"/>
    <s v="Spot"/>
    <s v="3638923-1458745857-119"/>
    <n v="0"/>
    <d v="2016-03-31T00:00:00"/>
    <x v="2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3-1458745857-119] [23/03/2016 at 15:10:00]"/>
  </r>
  <r>
    <s v="3638920-1458745857-216"/>
    <s v="Spot"/>
    <s v="3638920-1458745857-216"/>
    <n v="0"/>
    <d v="2016-03-31T00:00:00"/>
    <x v="269"/>
    <s v="216"/>
    <s v="SELL"/>
    <n v="3.3879112471308339"/>
    <x v="0"/>
    <x v="0"/>
    <n v="44.28"/>
    <s v="Deal"/>
    <m/>
    <s v="Original Amount [EUR 13.07], Merchant Amount [EUR 13.07], Customer Amount [TRY 44.28], Status [WAITING], Operation [3D], UUID [3638920-1458745857-216] [23/03/2016 at 15:10:00]"/>
  </r>
  <r>
    <s v="3638914-1458745855-216"/>
    <s v="Spot"/>
    <s v="3638914-1458745855-216"/>
    <n v="0"/>
    <d v="2016-03-31T00:00:00"/>
    <x v="270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8914-1458745855-216] [23/03/2016 at 15:10:00]"/>
  </r>
  <r>
    <s v="3639028-1458745918-216"/>
    <s v="Spot"/>
    <s v="3639028-1458745918-216"/>
    <n v="0"/>
    <d v="2016-03-31T00:00:00"/>
    <x v="271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9028-1458745918-216] [23/03/2016 at 15:11:00]"/>
  </r>
  <r>
    <s v="3638905-1458745845-216"/>
    <s v="Spot"/>
    <s v="3638905-1458745845-216"/>
    <n v="0"/>
    <d v="2016-03-31T00:00:00"/>
    <x v="272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05-1458745845-216] [23/03/2016 at 15:10:00]"/>
  </r>
  <r>
    <s v="3639043-1458745927-203"/>
    <s v="Spot"/>
    <s v="3639043-1458745927-203"/>
    <n v="0"/>
    <d v="2016-03-31T00:00:00"/>
    <x v="273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9043-1458745927-203] [23/03/2016 at 15:12:00]"/>
  </r>
  <r>
    <s v="3638896-1458745838-82"/>
    <s v="Spot"/>
    <s v="3638896-1458745838-82"/>
    <n v="0"/>
    <d v="2016-03-31T00:00:00"/>
    <x v="27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96-1458745838-82] [23/03/2016 at 15:10:00]"/>
  </r>
  <r>
    <s v="3638962-1458745879-216"/>
    <s v="Spot"/>
    <s v="3638962-1458745879-216"/>
    <n v="0"/>
    <d v="2016-03-31T00:00:00"/>
    <x v="275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8962-1458745879-216] [23/03/2016 at 15:11:00]"/>
  </r>
  <r>
    <s v="3638887-1458745833-216"/>
    <s v="Spot"/>
    <s v="3638887-1458745833-216"/>
    <n v="0"/>
    <d v="2016-03-31T00:00:00"/>
    <x v="276"/>
    <s v="216"/>
    <s v="SELL"/>
    <n v="3.3882940756602427"/>
    <x v="0"/>
    <x v="0"/>
    <n v="47.47"/>
    <s v="Deal"/>
    <m/>
    <s v="Original Amount [EUR 14.01], Merchant Amount [EUR 14.01], Customer Amount [TRY 47.47], Status [WAITING], Operation [3D], UUID [3638887-1458745833-216] [23/03/2016 at 15:10:00]"/>
  </r>
  <r>
    <s v="3638884-1458745832-199"/>
    <s v="Spot"/>
    <s v="3638884-1458745832-199"/>
    <n v="0"/>
    <d v="2016-03-31T00:00:00"/>
    <x v="277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38884-1458745832-199] [23/03/2016 at 15:10:00]"/>
  </r>
  <r>
    <s v="3638878-1458745827-124"/>
    <s v="Spot"/>
    <s v="3638878-1458745827-124"/>
    <n v="0"/>
    <d v="2016-03-31T00:00:00"/>
    <x v="278"/>
    <s v="124"/>
    <s v="SELL"/>
    <n v="9.9664778092540143"/>
    <x v="0"/>
    <x v="1"/>
    <n v="211.09"/>
    <s v="Deal"/>
    <m/>
    <s v="Original Amount [EUR 21.18], Merchant Amount [EUR 21.18], Customer Amount [NOK 211.09], Status [APPROVED], Operation [DIRECT], UUID [3638878-1458745827-124] [23/03/2016 at 15:10:00]"/>
  </r>
  <r>
    <s v="3638875-1458745823-187"/>
    <s v="Spot"/>
    <s v="3638875-1458745823-187"/>
    <n v="0"/>
    <d v="2016-03-31T00:00:00"/>
    <x v="279"/>
    <s v="187"/>
    <s v="SELL"/>
    <n v="9.9663239985820642"/>
    <x v="0"/>
    <x v="1"/>
    <n v="843.45"/>
    <s v="Deal"/>
    <m/>
    <s v="Original Amount [EUR 84.63], Merchant Amount [EUR 84.63], Customer Amount [NOK 843.45], Status [APPROVED], Operation [DIRECT], UUID [3638875-1458745823-187] [23/03/2016 at 15:10:00]"/>
  </r>
  <r>
    <s v="3638872-1458745823-82"/>
    <s v="Spot"/>
    <s v="3638872-1458745823-82"/>
    <n v="0"/>
    <d v="2016-03-31T00:00:00"/>
    <x v="280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872-1458745823-82] [23/03/2016 at 15:10:00]"/>
  </r>
  <r>
    <s v="3638863-1458745817-216"/>
    <s v="Spot"/>
    <s v="3638863-1458745817-216"/>
    <n v="0"/>
    <d v="2016-03-31T00:00:00"/>
    <x v="281"/>
    <s v="216"/>
    <s v="SELL"/>
    <n v="3.3882433356117567"/>
    <x v="0"/>
    <x v="0"/>
    <n v="49.57"/>
    <s v="Deal"/>
    <m/>
    <s v="Original Amount [EUR 14.63], Merchant Amount [EUR 14.63], Customer Amount [TRY 49.57], Status [WAITING], Operation [3D], UUID [3638863-1458745817-216] [23/03/2016 at 15:10:00]"/>
  </r>
  <r>
    <s v="3638857-1458745814-82"/>
    <s v="Spot"/>
    <s v="3638857-1458745814-82"/>
    <n v="0"/>
    <d v="2016-03-31T00:00:00"/>
    <x v="2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57-1458745814-82] [23/03/2016 at 15:10:00]"/>
  </r>
  <r>
    <s v="3638848-1458745801-82"/>
    <s v="Spot"/>
    <s v="3638848-1458745801-82"/>
    <n v="0"/>
    <d v="2016-03-31T00:00:00"/>
    <x v="28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8-1458745801-82] [23/03/2016 at 15:10:00]"/>
  </r>
  <r>
    <s v="3638845-1458745800-82"/>
    <s v="Spot"/>
    <s v="3638845-1458745800-82"/>
    <n v="0"/>
    <d v="2016-03-31T00:00:00"/>
    <x v="28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5-1458745800-82] [23/03/2016 at 15:10:00]"/>
  </r>
  <r>
    <s v="3638839-1458745794-216"/>
    <s v="Spot"/>
    <s v="3638839-1458745794-216"/>
    <n v="0"/>
    <d v="2016-03-31T00:00:00"/>
    <x v="285"/>
    <s v="216"/>
    <s v="SELL"/>
    <n v="3.3882195448460508"/>
    <x v="0"/>
    <x v="0"/>
    <n v="50.62"/>
    <s v="Deal"/>
    <m/>
    <s v="Original Amount [EUR 14.94], Merchant Amount [EUR 14.94], Customer Amount [TRY 50.62], Status [WAITING], Operation [3D], UUID [3638839-1458745794-216] [23/03/2016 at 15:09:00]"/>
  </r>
  <r>
    <s v="3638833-1458745793-187"/>
    <s v="Spot"/>
    <s v="3638833-1458745793-187"/>
    <n v="0"/>
    <d v="2016-03-31T00:00:00"/>
    <x v="286"/>
    <s v="187"/>
    <s v="SELL"/>
    <n v="9.9663452448477976"/>
    <x v="0"/>
    <x v="1"/>
    <n v="527.12"/>
    <s v="Deal"/>
    <m/>
    <s v="Original Amount [EUR 52.89], Merchant Amount [EUR 52.89], Customer Amount [NOK 527.12], Status [APPROVED], Operation [DIRECT], UUID [3638833-1458745793-187] [23/03/2016 at 15:09:00]"/>
  </r>
  <r>
    <s v="3638917-1458745856-56"/>
    <s v="Spot"/>
    <s v="3638917-1458745856-56"/>
    <n v="0"/>
    <d v="2016-03-31T00:00:00"/>
    <x v="287"/>
    <s v="56"/>
    <s v="SELL"/>
    <n v="3.3886966551326414"/>
    <x v="0"/>
    <x v="0"/>
    <n v="29.38"/>
    <s v="Deal"/>
    <m/>
    <s v="Original Amount [EUR 8.67], Merchant Amount [EUR 8.67], Customer Amount [TRY 29.38], Status [APPROVED], Operation [3DAUTH], UUID [3638917-1458745856-56] [23/03/2016 at 15:10:00]"/>
  </r>
  <r>
    <s v="3638851-1458745805-102"/>
    <s v="Spot"/>
    <s v="3638851-1458745805-102"/>
    <n v="0"/>
    <d v="2016-03-31T00:00:00"/>
    <x v="288"/>
    <s v="102"/>
    <s v="SELL"/>
    <n v="3.3881720430107527"/>
    <x v="0"/>
    <x v="0"/>
    <n v="31.51"/>
    <s v="Deal"/>
    <m/>
    <s v="Original Amount [EUR 9.3], Merchant Amount [EUR 9.3], Customer Amount [TRY 31.51], Status [APPROVED], Operation [3DAUTH], UUID [3638851-1458745805-102] [23/03/2016 at 15:10:00]"/>
  </r>
  <r>
    <s v="3638809-1458745776-216"/>
    <s v="Spot"/>
    <s v="3638809-1458745776-216"/>
    <n v="0"/>
    <d v="2016-03-31T00:00:00"/>
    <x v="289"/>
    <s v="216"/>
    <s v="SELL"/>
    <n v="3.3881334981458591"/>
    <x v="0"/>
    <x v="0"/>
    <n v="54.82"/>
    <s v="Deal"/>
    <m/>
    <s v="Original Amount [EUR 16.18], Merchant Amount [EUR 16.18], Customer Amount [TRY 54.82], Status [WAITING], Operation [3D], UUID [3638809-1458745776-216] [23/03/2016 at 15:09:00]"/>
  </r>
  <r>
    <s v="3638806-1458745770-82"/>
    <s v="Spot"/>
    <s v="3638806-1458745770-82"/>
    <n v="0"/>
    <d v="2016-03-31T00:00:00"/>
    <x v="29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6-1458745770-82] [23/03/2016 at 15:09:00]"/>
  </r>
  <r>
    <s v="3638803-1458745769-199"/>
    <s v="Spot"/>
    <s v="3638803-1458745769-199"/>
    <n v="0"/>
    <d v="2016-03-31T00:00:00"/>
    <x v="291"/>
    <s v="199"/>
    <s v="SELL"/>
    <n v="9.966494845360824"/>
    <x v="0"/>
    <x v="1"/>
    <n v="270.69"/>
    <s v="Deal"/>
    <m/>
    <s v="Original Amount [EUR 27.16], Merchant Amount [EUR 27.16], Customer Amount [NOK 270.69], Status [APPROVED], Operation [DIRECT], UUID [3638803-1458745769-199] [23/03/2016 at 15:09:00]"/>
  </r>
  <r>
    <s v="3638800-1458745769-82"/>
    <s v="Spot"/>
    <s v="3638800-1458745769-82"/>
    <n v="0"/>
    <d v="2016-03-31T00:00:00"/>
    <x v="29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0-1458745769-82] [23/03/2016 at 15:09:00]"/>
  </r>
  <r>
    <s v="3638791-1458745752-82"/>
    <s v="Spot"/>
    <s v="3638791-1458745752-82"/>
    <n v="0"/>
    <d v="2016-03-31T00:00:00"/>
    <x v="293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791-1458745752-82] [23/03/2016 at 15:09:00]"/>
  </r>
  <r>
    <s v="3638785-1458745750-216"/>
    <s v="Spot"/>
    <s v="3638785-1458745750-216"/>
    <n v="0"/>
    <d v="2016-03-31T00:00:00"/>
    <x v="294"/>
    <s v="216"/>
    <s v="SELL"/>
    <n v="3.3883235136582748"/>
    <x v="0"/>
    <x v="0"/>
    <n v="63.26"/>
    <s v="Deal"/>
    <m/>
    <s v="Original Amount [EUR 18.67], Merchant Amount [EUR 18.67], Customer Amount [TRY 63.26], Status [WAITING], Operation [3D], UUID [3638785-1458745750-216] [23/03/2016 at 15:09:00]"/>
  </r>
  <r>
    <s v="3638842-1458745796-216"/>
    <s v="Spot"/>
    <s v="3638842-1458745796-216"/>
    <n v="0"/>
    <d v="2016-03-31T00:00:00"/>
    <x v="295"/>
    <s v="216"/>
    <s v="SELL"/>
    <n v="3.3878678833054878"/>
    <x v="0"/>
    <x v="0"/>
    <n v="263.61"/>
    <s v="Deal"/>
    <m/>
    <s v="Original Amount [EUR 77.81], Merchant Amount [EUR 77.81], Customer Amount [TRY 263.61], Status [APPROVED], Operation [3DAUTH], UUID [3638842-1458745796-216] [23/03/2016 at 15:09:00]"/>
  </r>
  <r>
    <s v="3638773-1458745740-145"/>
    <s v="Spot"/>
    <s v="3638773-1458745740-145"/>
    <n v="0"/>
    <d v="2016-03-31T00:00:00"/>
    <x v="296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773-1458745740-145] [23/03/2016 at 15:09:00]"/>
  </r>
  <r>
    <s v="3638764-1458745728-199"/>
    <s v="Spot"/>
    <s v="3638764-1458745728-199"/>
    <n v="0"/>
    <d v="2016-03-31T00:00:00"/>
    <x v="297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8764-1458745728-199] [23/03/2016 at 15:08:00]"/>
  </r>
  <r>
    <s v="3638776-1458745743-203"/>
    <s v="Spot"/>
    <s v="3638776-1458745743-203"/>
    <n v="0"/>
    <d v="2016-03-31T00:00:00"/>
    <x v="298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8776-1458745743-203] [23/03/2016 at 15:09:00]"/>
  </r>
  <r>
    <s v="3638779-1458745744-216"/>
    <s v="Spot"/>
    <s v="3638779-1458745744-216"/>
    <n v="0"/>
    <d v="2016-03-31T00:00:00"/>
    <x v="299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8779-1458745744-216] [23/03/2016 at 15:09:00]"/>
  </r>
  <r>
    <s v="3638743-1458745708-261"/>
    <s v="Spot"/>
    <s v="3638743-1458745708-261"/>
    <n v="0"/>
    <d v="2016-03-31T00:00:00"/>
    <x v="300"/>
    <s v="261"/>
    <s v="SELL"/>
    <n v="9.9505515049541966"/>
    <x v="0"/>
    <x v="1"/>
    <n v="1064.51"/>
    <s v="Deal"/>
    <m/>
    <s v="Original Amount [EUR 106.98], Merchant Amount [EUR 106.98], Customer Amount [NOK 1064.51], Status [APPROVED], Operation [DIRECT], UUID [3638743-1458745708-261] [23/03/2016 at 15:08:00]"/>
  </r>
  <r>
    <s v="3638740-1458745707-82"/>
    <s v="Spot"/>
    <s v="3638740-1458745707-82"/>
    <n v="0"/>
    <d v="2016-03-31T00:00:00"/>
    <x v="30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40-1458745707-82] [23/03/2016 at 15:08:00]"/>
  </r>
  <r>
    <s v="3638767-1458745738-216"/>
    <s v="Spot"/>
    <s v="3638767-1458745738-216"/>
    <n v="0"/>
    <d v="2016-03-31T00:00:00"/>
    <x v="302"/>
    <s v="216"/>
    <s v="SELL"/>
    <n v="3.3919353111277708"/>
    <x v="0"/>
    <x v="0"/>
    <n v="633.41"/>
    <s v="Deal"/>
    <m/>
    <s v="Original Amount [EUR 186.74], Merchant Amount [EUR 186.74], Customer Amount [TRY 633.41], Status [APPROVED], Operation [3DAUTH], UUID [3638767-1458745738-216] [23/03/2016 at 15:08:00]"/>
  </r>
  <r>
    <s v="3638734-1458745704-124"/>
    <s v="Spot"/>
    <s v="3638734-1458745704-124"/>
    <n v="0"/>
    <d v="2016-03-31T00:00:00"/>
    <x v="303"/>
    <s v="124"/>
    <s v="SELL"/>
    <n v="9.9505667506297222"/>
    <x v="0"/>
    <x v="1"/>
    <n v="316.02999999999997"/>
    <s v="Deal"/>
    <m/>
    <s v="Original Amount [EUR 31.76], Merchant Amount [EUR 31.76], Customer Amount [NOK 316.03], Status [APPROVED], Operation [DIRECT], UUID [3638734-1458745704-124] [23/03/2016 at 15:08:00]"/>
  </r>
  <r>
    <s v="3638728-1458745701-187"/>
    <s v="Spot"/>
    <s v="3638728-1458745701-187"/>
    <n v="0"/>
    <d v="2016-03-31T00:00:00"/>
    <x v="30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8728-1458745701-187] [23/03/2016 at 15:08:00]"/>
  </r>
  <r>
    <s v="3638881-1458745830-101"/>
    <s v="Spot"/>
    <s v="3638881-1458745830-101"/>
    <n v="0"/>
    <d v="2016-03-31T00:00:00"/>
    <x v="305"/>
    <s v="101"/>
    <s v="SELL"/>
    <n v="3.3921161825726136"/>
    <x v="0"/>
    <x v="0"/>
    <n v="49.05"/>
    <s v="Deal"/>
    <m/>
    <s v="Original Amount [EUR 14.46], Merchant Amount [EUR 14.46], Customer Amount [TRY 49.05], Status [APPROVED], Operation [3DAUTH], UUID [3638881-1458745830-101] [23/03/2016 at 15:10:00]"/>
  </r>
  <r>
    <s v="3638713-1458745691-261"/>
    <s v="Spot"/>
    <s v="3638713-1458745691-261"/>
    <n v="0"/>
    <d v="2016-03-31T00:00:00"/>
    <x v="306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8713-1458745691-261] [23/03/2016 at 15:08:00]"/>
  </r>
  <r>
    <s v="3638710-1458745690-82"/>
    <s v="Spot"/>
    <s v="3638710-1458745690-82"/>
    <n v="0"/>
    <d v="2016-03-31T00:00:00"/>
    <x v="30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10-1458745690-82] [23/03/2016 at 15:08:00]"/>
  </r>
  <r>
    <s v="3638704-1458745689-82"/>
    <s v="Spot"/>
    <s v="3638704-1458745689-82"/>
    <n v="0"/>
    <d v="2016-03-31T00:00:00"/>
    <x v="30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704-1458745689-82] [23/03/2016 at 15:08:00]"/>
  </r>
  <r>
    <s v="3638701-1458745688-82"/>
    <s v="Spot"/>
    <s v="3638701-1458745688-82"/>
    <n v="0"/>
    <d v="2016-03-31T00:00:00"/>
    <x v="309"/>
    <s v="82"/>
    <s v="SELL"/>
    <n v="1.1825284090909092"/>
    <x v="0"/>
    <x v="7"/>
    <n v="49.95"/>
    <s v="Deal"/>
    <m/>
    <s v="Original Amount [USD 49.95], Merchant Amount [EUR 42.24], Customer Amount [USD 49.95], Status [APPROVED], Operation [DIRECT], UUID [3638701-1458745688-82] [23/03/2016 at 15:08:00]"/>
  </r>
  <r>
    <s v="3638680-1458745667-224"/>
    <s v="Spot"/>
    <s v="3638680-1458745667-224"/>
    <n v="0"/>
    <d v="2016-03-31T00:00:00"/>
    <x v="310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8680-1458745667-224] [23/03/2016 at 15:07:00]"/>
  </r>
  <r>
    <s v="3638677-1458745665-82"/>
    <s v="Spot"/>
    <s v="3638677-1458745665-82"/>
    <n v="0"/>
    <d v="2016-03-31T00:00:00"/>
    <x v="311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677-1458745665-82] [23/03/2016 at 15:07:00]"/>
  </r>
  <r>
    <s v="3638674-1458745662-216"/>
    <s v="Spot"/>
    <s v="3638674-1458745662-216"/>
    <n v="0"/>
    <d v="2016-03-31T00:00:00"/>
    <x v="312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8674-1458745662-216] [23/03/2016 at 15:07:00]"/>
  </r>
  <r>
    <s v="3638671-1458745648-119"/>
    <s v="Spot"/>
    <s v="3638671-1458745648-119"/>
    <n v="0"/>
    <d v="2016-03-31T00:00:00"/>
    <x v="31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8671-1458745648-119] [23/03/2016 at 15:07:00]"/>
  </r>
  <r>
    <s v="3638662-1458745632-199"/>
    <s v="Spot"/>
    <s v="3638662-1458745632-199"/>
    <n v="0"/>
    <d v="2016-03-31T00:00:00"/>
    <x v="314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662-1458745632-199] [23/03/2016 at 15:07:00]"/>
  </r>
  <r>
    <s v="3638659-1458745629-145"/>
    <s v="Spot"/>
    <s v="3638659-1458745629-145"/>
    <n v="0"/>
    <d v="2016-03-31T00:00:00"/>
    <x v="315"/>
    <s v="145"/>
    <s v="SELL"/>
    <n v="9.9507585177816456"/>
    <x v="0"/>
    <x v="1"/>
    <n v="400.12"/>
    <s v="Deal"/>
    <m/>
    <s v="Original Amount [EUR 40.21], Merchant Amount [EUR 40.21], Customer Amount [NOK 400.12], Status [APPROVED], Operation [DIRECT], UUID [3638659-1458745629-145] [23/03/2016 at 15:07:00]"/>
  </r>
  <r>
    <s v="3638653-1458745624-224"/>
    <s v="Spot"/>
    <s v="3638653-1458745624-224"/>
    <n v="0"/>
    <d v="2016-03-31T00:00:00"/>
    <x v="316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8653-1458745624-224] [23/03/2016 at 15:07:00]"/>
  </r>
  <r>
    <s v="3638650-1458745624-187"/>
    <s v="Spot"/>
    <s v="3638650-1458745624-187"/>
    <n v="0"/>
    <d v="2016-03-31T00:00:00"/>
    <x v="317"/>
    <s v="187"/>
    <s v="SELL"/>
    <n v="9.9506666666666668"/>
    <x v="0"/>
    <x v="1"/>
    <n v="298.52"/>
    <s v="Deal"/>
    <m/>
    <s v="Original Amount [EUR 30], Merchant Amount [EUR 30], Customer Amount [NOK 298.52], Status [APPROVED], Operation [DIRECT], UUID [3638650-1458745624-187] [23/03/2016 at 15:07:00]"/>
  </r>
  <r>
    <s v="3638635-1458745612-145"/>
    <s v="Spot"/>
    <s v="3638635-1458745612-145"/>
    <n v="0"/>
    <d v="2016-03-31T00:00:00"/>
    <x v="318"/>
    <s v="145"/>
    <s v="SELL"/>
    <n v="9.9505978602894913"/>
    <x v="0"/>
    <x v="1"/>
    <n v="632.46"/>
    <s v="Deal"/>
    <m/>
    <s v="Original Amount [EUR 63.56], Merchant Amount [EUR 63.56], Customer Amount [NOK 632.46], Status [APPROVED], Operation [DIRECT], UUID [3638635-1458745612-145] [23/03/2016 at 15:06:00]"/>
  </r>
  <r>
    <s v="3638641-1458745614-200"/>
    <s v="Spot"/>
    <s v="3638641-1458745614-200"/>
    <n v="0"/>
    <d v="2016-03-31T00:00:00"/>
    <x v="319"/>
    <s v="200"/>
    <s v="SELL"/>
    <n v="9.9506062767475036"/>
    <x v="0"/>
    <x v="1"/>
    <n v="558.03"/>
    <s v="Deal"/>
    <m/>
    <s v="Original Amount [EUR 56.08], Merchant Amount [EUR 56.08], Customer Amount [NOK 558.03], Status [APPROVED], Operation [3DAUTH], UUID [3638641-1458745614-200] [23/03/2016 at 15:06:00]"/>
  </r>
  <r>
    <s v="3638632-1458745609-102"/>
    <s v="Spot"/>
    <s v="3638632-1458745609-102"/>
    <n v="0"/>
    <d v="2016-03-31T00:00:00"/>
    <x v="320"/>
    <s v="102"/>
    <s v="SELL"/>
    <n v="3.3922580645161289"/>
    <x v="0"/>
    <x v="0"/>
    <n v="52.58"/>
    <s v="Deal"/>
    <m/>
    <s v="Original Amount [EUR 15.5], Merchant Amount [EUR 15.5], Customer Amount [TRY 52.58], Status [APPROVED], Operation [3DAUTH], UUID [3638632-1458745609-102] [23/03/2016 at 15:06:00]"/>
  </r>
  <r>
    <s v="3638602-1458745572-125"/>
    <s v="Spot"/>
    <s v="3638602-1458745572-125"/>
    <n v="0"/>
    <d v="2016-03-31T00:00:00"/>
    <x v="321"/>
    <s v="125"/>
    <s v="SELL"/>
    <n v="9.9505999999999997"/>
    <x v="0"/>
    <x v="1"/>
    <n v="497.53"/>
    <s v="Deal"/>
    <m/>
    <s v="Original Amount [EUR 50], Merchant Amount [EUR 50], Customer Amount [NOK 497.53], Status [APPROVED], Operation [DIRECT], UUID [3638602-1458745572-125] [23/03/2016 at 15:06:00]"/>
  </r>
  <r>
    <s v="3638644-1458745617-216"/>
    <s v="Spot"/>
    <s v="3638644-1458745617-216"/>
    <n v="0"/>
    <d v="2016-03-31T00:00:00"/>
    <x v="32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8644-1458745617-216] [23/03/2016 at 15:06:00]"/>
  </r>
  <r>
    <s v="3638626-1458745602-107"/>
    <s v="Spot"/>
    <s v="3638626-1458745602-107"/>
    <n v="0"/>
    <d v="2016-03-31T00:00:00"/>
    <x v="323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8626-1458745602-107] [23/03/2016 at 15:06:00]"/>
  </r>
  <r>
    <s v="3638590-1458745548-187"/>
    <s v="Spot"/>
    <s v="3638590-1458745548-187"/>
    <n v="0"/>
    <d v="2016-03-31T00:00:00"/>
    <x v="32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38590-1458745548-187] [23/03/2016 at 15:05:00]"/>
  </r>
  <r>
    <s v="3638608-1458745587-56"/>
    <s v="Spot"/>
    <s v="3638608-1458745587-56"/>
    <n v="0"/>
    <d v="2016-03-31T00:00:00"/>
    <x v="325"/>
    <s v="56"/>
    <s v="SELL"/>
    <n v="3.3953633110315855"/>
    <x v="0"/>
    <x v="0"/>
    <n v="218.22"/>
    <s v="Deal"/>
    <m/>
    <s v="Original Amount [EUR 64.27], Merchant Amount [EUR 64.27], Customer Amount [TRY 218.22], Status [APPROVED], Operation [3DAUTH], UUID [3638608-1458745587-56] [23/03/2016 at 15:06:00]"/>
  </r>
  <r>
    <s v="3638584-1458745546-126"/>
    <s v="Spot"/>
    <s v="3638584-1458745546-126"/>
    <n v="0"/>
    <d v="2016-03-31T00:00:00"/>
    <x v="32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8584-1458745546-126] [23/03/2016 at 15:05:00]"/>
  </r>
  <r>
    <s v="3638569-1458745537-145"/>
    <s v="Spot"/>
    <s v="3638569-1458745537-145"/>
    <n v="0"/>
    <d v="2016-03-31T00:00:00"/>
    <x v="327"/>
    <s v="145"/>
    <s v="SELL"/>
    <n v="9.9505978602894913"/>
    <x v="0"/>
    <x v="1"/>
    <n v="316.23"/>
    <s v="Deal"/>
    <m/>
    <s v="Original Amount [EUR 31.78], Merchant Amount [EUR 31.78], Customer Amount [NOK 316.23], Status [APPROVED], Operation [DIRECT], UUID [3638569-1458745537-145] [23/03/2016 at 15:05:00]"/>
  </r>
  <r>
    <s v="3638566-1458745528-119"/>
    <s v="Spot"/>
    <s v="3638566-1458745528-119"/>
    <n v="0"/>
    <d v="2016-03-31T00:00:00"/>
    <x v="32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8566-1458745528-119] [23/03/2016 at 15:05:00]"/>
  </r>
  <r>
    <s v="3638575-1458745541-150"/>
    <s v="Spot"/>
    <s v="3638575-1458745541-150"/>
    <n v="0"/>
    <d v="2016-03-31T00:00:00"/>
    <x v="329"/>
    <s v="150"/>
    <s v="SELL"/>
    <n v="3.3953837895866879"/>
    <x v="0"/>
    <x v="0"/>
    <n v="316.27999999999997"/>
    <s v="Deal"/>
    <m/>
    <s v="Original Amount [EUR 93.15], Merchant Amount [EUR 93.15], Customer Amount [TRY 316.28], Status [APPROVED], Operation [3DAUTH], UUID [3638575-1458745541-150] [23/03/2016 at 15:05:00]"/>
  </r>
  <r>
    <s v="3638557-1458745520-82"/>
    <s v="Spot"/>
    <s v="3638557-1458745520-82"/>
    <n v="0"/>
    <d v="2016-03-31T00:00:00"/>
    <x v="33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557-1458745520-82] [23/03/2016 at 15:05:00]"/>
  </r>
  <r>
    <s v="3638593-1458745550-179"/>
    <s v="Spot"/>
    <s v="3638593-1458745550-179"/>
    <n v="0"/>
    <d v="2016-03-31T00:00:00"/>
    <x v="331"/>
    <s v="179"/>
    <s v="SELL"/>
    <n v="3.3954384837777067"/>
    <x v="0"/>
    <x v="0"/>
    <n v="211.4"/>
    <s v="Deal"/>
    <m/>
    <s v="Original Amount [EUR 62.26], Merchant Amount [EUR 62.26], Customer Amount [TRY 211.4], Status [APPROVED], Operation [3DAUTH], UUID [3638593-1458745550-179] [23/03/2016 at 15:05:00]"/>
  </r>
  <r>
    <s v="3638536-1458745512-261"/>
    <s v="Spot"/>
    <s v="3638536-1458745512-261"/>
    <n v="0"/>
    <d v="2016-03-31T00:00:00"/>
    <x v="332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8536-1458745512-261] [23/03/2016 at 15:05:00]"/>
  </r>
  <r>
    <s v="3638506-1458745486-199"/>
    <s v="Spot"/>
    <s v="3638506-1458745486-199"/>
    <n v="0"/>
    <d v="2016-03-31T00:00:00"/>
    <x v="333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8506-1458745486-199] [23/03/2016 at 15:04:00]"/>
  </r>
  <r>
    <s v="3638503-1458745485-125"/>
    <s v="Spot"/>
    <s v="3638503-1458745485-125"/>
    <n v="0"/>
    <d v="2016-03-31T00:00:00"/>
    <x v="334"/>
    <s v="125"/>
    <s v="SELL"/>
    <n v="9.950615384615384"/>
    <x v="0"/>
    <x v="1"/>
    <n v="1293.58"/>
    <s v="Deal"/>
    <m/>
    <s v="Original Amount [EUR 130], Merchant Amount [EUR 130], Customer Amount [NOK 1293.58], Status [APPROVED], Operation [DIRECT], UUID [3638503-1458745485-125] [23/03/2016 at 15:04:00]"/>
  </r>
  <r>
    <s v="3638527-1458745502-179"/>
    <s v="Spot"/>
    <s v="3638527-1458745502-179"/>
    <n v="0"/>
    <d v="2016-03-31T00:00:00"/>
    <x v="335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8527-1458745502-179] [23/03/2016 at 15:05:00]"/>
  </r>
  <r>
    <s v="3638518-1458745495-216"/>
    <s v="Spot"/>
    <s v="3638518-1458745495-216"/>
    <n v="0"/>
    <d v="2016-03-31T00:00:00"/>
    <x v="336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518-1458745495-216] [23/03/2016 at 15:04:00]"/>
  </r>
  <r>
    <s v="3638515-1458745489-216"/>
    <s v="Spot"/>
    <s v="3638515-1458745489-216"/>
    <n v="0"/>
    <d v="2016-03-31T00:00:00"/>
    <x v="337"/>
    <s v="216"/>
    <s v="SELL"/>
    <n v="3.3957621326042378"/>
    <x v="0"/>
    <x v="0"/>
    <n v="49.68"/>
    <s v="Deal"/>
    <m/>
    <s v="Original Amount [EUR 14.63], Merchant Amount [EUR 14.63], Customer Amount [TRY 49.68], Status [APPROVED], Operation [3DAUTH], UUID [3638515-1458745489-216] [23/03/2016 at 15:04:00]"/>
  </r>
  <r>
    <s v="3638524-1458745498-216"/>
    <s v="Spot"/>
    <s v="3638524-1458745498-216"/>
    <n v="0"/>
    <d v="2016-03-31T00:00:00"/>
    <x v="338"/>
    <s v="216"/>
    <s v="SELL"/>
    <n v="3.3954318344039973"/>
    <x v="0"/>
    <x v="0"/>
    <n v="47.57"/>
    <s v="Deal"/>
    <m/>
    <s v="Original Amount [EUR 14.01], Merchant Amount [EUR 14.01], Customer Amount [TRY 47.57], Status [APPROVED], Operation [3DAUTH], UUID [3638524-1458745498-216] [23/03/2016 at 15:04:00]"/>
  </r>
  <r>
    <s v="3638464-1458745430-200"/>
    <s v="Spot"/>
    <s v="3638464-1458745430-200"/>
    <n v="0"/>
    <d v="2016-03-31T00:00:00"/>
    <x v="339"/>
    <s v="200"/>
    <s v="SELL"/>
    <n v="9.9506666666666668"/>
    <x v="0"/>
    <x v="1"/>
    <n v="298.52"/>
    <s v="Deal"/>
    <m/>
    <s v="Original Amount [EUR 30], Merchant Amount [EUR 30], Customer Amount [NOK 298.52], Status [APPROVED], Operation [DIRECT], UUID [3638464-1458745430-200] [23/03/2016 at 15:03:00]"/>
  </r>
  <r>
    <s v="3638461-1458745429-56"/>
    <s v="Spot"/>
    <s v="3638461-1458745429-56"/>
    <n v="0"/>
    <d v="2016-03-31T00:00:00"/>
    <x v="340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8461-1458745429-56] [23/03/2016 at 15:03:00]"/>
  </r>
  <r>
    <s v="3638443-1458745404-216"/>
    <s v="Spot"/>
    <s v="3638443-1458745404-216"/>
    <n v="0"/>
    <d v="2016-03-31T00:00:00"/>
    <x v="341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8443-1458745404-216] [23/03/2016 at 15:03:00]"/>
  </r>
  <r>
    <s v="3638440-1458745403-224"/>
    <s v="Spot"/>
    <s v="3638440-1458745403-224"/>
    <n v="0"/>
    <d v="2016-03-31T00:00:00"/>
    <x v="342"/>
    <s v="224"/>
    <s v="SELL"/>
    <n v="133.03553506035536"/>
    <x v="0"/>
    <x v="3"/>
    <n v="29426.13"/>
    <s v="Deal"/>
    <m/>
    <s v="Original Amount [EUR 221.19], Merchant Amount [EUR 221.19], Customer Amount [JPY 29426.13], Status [APPROVED], Operation [DIRECT], UUID [3638440-1458745403-224] [23/03/2016 at 15:03:00]"/>
  </r>
  <r>
    <s v="3638431-1458745393-224"/>
    <s v="Spot"/>
    <s v="3638431-1458745393-224"/>
    <n v="0"/>
    <d v="2016-03-31T00:00:00"/>
    <x v="34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431-1458745393-224] [23/03/2016 at 15:03:00]"/>
  </r>
  <r>
    <s v="3638446-1458745409-216"/>
    <s v="Spot"/>
    <s v="3638446-1458745409-216"/>
    <n v="0"/>
    <d v="2016-03-31T00:00:00"/>
    <x v="344"/>
    <s v="216"/>
    <s v="SELL"/>
    <n v="3.3953413654618476"/>
    <x v="0"/>
    <x v="0"/>
    <n v="211.36"/>
    <s v="Deal"/>
    <m/>
    <s v="Original Amount [EUR 62.25], Merchant Amount [EUR 62.25], Customer Amount [TRY 211.36], Status [APPROVED], Operation [3DAUTH], UUID [3638446-1458745409-216] [23/03/2016 at 15:03:00]"/>
  </r>
  <r>
    <s v="3638425-1458745384-224"/>
    <s v="Spot"/>
    <s v="3638425-1458745384-224"/>
    <n v="0"/>
    <d v="2016-03-31T00:00:00"/>
    <x v="345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8425-1458745384-224] [23/03/2016 at 15:03:00]"/>
  </r>
  <r>
    <s v="3638422-1458745381-224"/>
    <s v="Spot"/>
    <s v="3638422-1458745381-224"/>
    <n v="0"/>
    <d v="2016-03-31T00:00:00"/>
    <x v="346"/>
    <s v="224"/>
    <s v="SELL"/>
    <n v="9.9551155115511545"/>
    <x v="0"/>
    <x v="1"/>
    <n v="150.82"/>
    <s v="Deal"/>
    <m/>
    <s v="Original Amount [EUR 15.15], Merchant Amount [EUR 15.15], Customer Amount [NOK 150.82], Status [APPROVED], Operation [DIRECT], UUID [3638422-1458745381-224] [23/03/2016 at 15:03:00]"/>
  </r>
  <r>
    <s v="3638413-1458745373-224"/>
    <s v="Spot"/>
    <s v="3638413-1458745373-224"/>
    <n v="0"/>
    <d v="2016-03-31T00:00:00"/>
    <x v="347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8413-1458745373-224] [23/03/2016 at 15:02:00]"/>
  </r>
  <r>
    <s v="3638482-1458745459-216"/>
    <s v="Spot"/>
    <s v="3638482-1458745459-216"/>
    <n v="0"/>
    <d v="2016-03-31T00:00:00"/>
    <x v="348"/>
    <s v="216"/>
    <s v="SELL"/>
    <n v="3.3955655526992286"/>
    <x v="0"/>
    <x v="0"/>
    <n v="105.67"/>
    <s v="Deal"/>
    <m/>
    <s v="Original Amount [EUR 31.12], Merchant Amount [EUR 31.12], Customer Amount [TRY 105.67], Status [APPROVED], Operation [3DAUTH], UUID [3638482-1458745459-216] [23/03/2016 at 15:04:00]"/>
  </r>
  <r>
    <s v="3638407-1458745367-126"/>
    <s v="Spot"/>
    <s v="3638407-1458745367-126"/>
    <n v="0"/>
    <d v="2016-03-31T00:00:00"/>
    <x v="349"/>
    <s v="126"/>
    <s v="SELL"/>
    <n v="9.954675846242111"/>
    <x v="0"/>
    <x v="1"/>
    <n v="173.51"/>
    <s v="Deal"/>
    <m/>
    <s v="Original Amount [EUR 17.43], Merchant Amount [EUR 17.43], Customer Amount [NOK 173.51], Status [APPROVED], Operation [DIRECT], UUID [3638407-1458745367-126] [23/03/2016 at 15:02:00]"/>
  </r>
  <r>
    <s v="3638404-1458745364-211"/>
    <s v="Spot"/>
    <s v="3638404-1458745364-211"/>
    <n v="0"/>
    <d v="2016-03-31T00:00:00"/>
    <x v="350"/>
    <s v="211"/>
    <s v="SELL"/>
    <n v="3.3955857385398982"/>
    <x v="0"/>
    <x v="0"/>
    <n v="100"/>
    <s v="Deal"/>
    <m/>
    <s v="Original Amount [EUR 29.45], Merchant Amount [EUR 29.45], Customer Amount [TRY 100], Status [WAITING], Operation [3D], UUID [3638404-1458745364-211] [23/03/2016 at 15:02:00]"/>
  </r>
  <r>
    <s v="3638401-1458745361-82"/>
    <s v="Spot"/>
    <s v="3638401-1458745361-82"/>
    <n v="0"/>
    <d v="2016-03-31T00:00:00"/>
    <x v="351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401-1458745361-82] [23/03/2016 at 15:02:00]"/>
  </r>
  <r>
    <s v="3638398-1458745353-145"/>
    <s v="Spot"/>
    <s v="3638398-1458745353-145"/>
    <n v="0"/>
    <d v="2016-03-31T00:00:00"/>
    <x v="35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38398-1458745353-145] [23/03/2016 at 15:02:00]"/>
  </r>
  <r>
    <s v="3638392-1458745350-187"/>
    <s v="Spot"/>
    <s v="3638392-1458745350-187"/>
    <n v="0"/>
    <d v="2016-03-31T00:00:00"/>
    <x v="353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92-1458745350-187] [23/03/2016 at 15:02:00]"/>
  </r>
  <r>
    <s v="3638416-1458745373-107"/>
    <s v="Spot"/>
    <s v="3638416-1458745373-107"/>
    <n v="0"/>
    <d v="2016-03-31T00:00:00"/>
    <x v="354"/>
    <s v="107"/>
    <s v="SELL"/>
    <n v="3.3961605584642234"/>
    <x v="0"/>
    <x v="0"/>
    <n v="38.92"/>
    <s v="Deal"/>
    <m/>
    <s v="Original Amount [EUR 11.46], Merchant Amount [EUR 11.46], Customer Amount [TRY 38.92], Status [APPROVED], Operation [3DAUTH], UUID [3638416-1458745373-107] [23/03/2016 at 15:02:00]"/>
  </r>
  <r>
    <s v="3638356-1458745323-216"/>
    <s v="Spot"/>
    <s v="3638356-1458745323-216"/>
    <n v="0"/>
    <d v="2016-03-31T00:00:00"/>
    <x v="355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356-1458745323-216] [23/03/2016 at 15:02:00]"/>
  </r>
  <r>
    <s v="3638353-1458745322-261"/>
    <s v="Spot"/>
    <s v="3638353-1458745322-261"/>
    <n v="0"/>
    <d v="2016-03-31T00:00:00"/>
    <x v="356"/>
    <s v="261"/>
    <s v="SELL"/>
    <n v="9.9549702633814796"/>
    <x v="0"/>
    <x v="1"/>
    <n v="117.17"/>
    <s v="Deal"/>
    <m/>
    <s v="Original Amount [EUR 11.77], Merchant Amount [EUR 11.77], Customer Amount [NOK 117.17], Status [APPROVED], Operation [DIRECT], UUID [3638353-1458745322-261] [23/03/2016 at 15:02:00]"/>
  </r>
  <r>
    <s v="3638344-1458745320-199"/>
    <s v="Spot"/>
    <s v="3638344-1458745320-199"/>
    <n v="0"/>
    <d v="2016-03-31T00:00:00"/>
    <x v="357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8344-1458745320-199] [23/03/2016 at 15:02:00]"/>
  </r>
  <r>
    <s v="3638338-1458745317-187"/>
    <s v="Spot"/>
    <s v="3638338-1458745317-187"/>
    <n v="0"/>
    <d v="2016-03-31T00:00:00"/>
    <x v="35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38-1458745317-187] [23/03/2016 at 15:01:00]"/>
  </r>
  <r>
    <s v="3638377-1458745343-216"/>
    <s v="Spot"/>
    <s v="3638377-1458745343-216"/>
    <n v="0"/>
    <d v="2016-03-31T00:00:00"/>
    <x v="359"/>
    <s v="216"/>
    <s v="SELL"/>
    <n v="3.3955240416574339"/>
    <x v="0"/>
    <x v="0"/>
    <n v="153.24"/>
    <s v="Deal"/>
    <m/>
    <s v="Original Amount [EUR 45.13], Merchant Amount [EUR 45.13], Customer Amount [TRY 153.24], Status [APPROVED], Operation [3DAUTH], UUID [3638377-1458745343-216] [23/03/2016 at 15:02:00]"/>
  </r>
  <r>
    <s v="3638326-1458745305-199"/>
    <s v="Spot"/>
    <s v="3638326-1458745305-199"/>
    <n v="0"/>
    <d v="2016-03-31T00:00:00"/>
    <x v="360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8326-1458745305-199] [23/03/2016 at 15:01:00]"/>
  </r>
  <r>
    <s v="3638320-1458745301-145"/>
    <s v="Spot"/>
    <s v="3638320-1458745301-145"/>
    <n v="0"/>
    <d v="2016-03-31T00:00:00"/>
    <x v="361"/>
    <s v="145"/>
    <s v="SELL"/>
    <n v="1.5435809539734962"/>
    <x v="0"/>
    <x v="2"/>
    <n v="369.24"/>
    <s v="Deal"/>
    <m/>
    <s v="Original Amount [EUR 239.21], Merchant Amount [EUR 239.21], Customer Amount [CAD 369.24], Status [APPROVED], Operation [DIRECT], UUID [3638320-1458745301-145] [23/03/2016 at 15:01:00]"/>
  </r>
  <r>
    <s v="3638359-1458745323-56"/>
    <s v="Spot"/>
    <s v="3638359-1458745323-56"/>
    <n v="0"/>
    <d v="2016-03-31T00:00:00"/>
    <x v="362"/>
    <s v="56"/>
    <s v="SELL"/>
    <n v="3.3954486904250754"/>
    <x v="0"/>
    <x v="0"/>
    <n v="158.16"/>
    <s v="Deal"/>
    <m/>
    <s v="Original Amount [EUR 46.58], Merchant Amount [EUR 46.58], Customer Amount [TRY 158.16], Status [APPROVED], Operation [3DAUTH], UUID [3638359-1458745323-56] [23/03/2016 at 15:02:00]"/>
  </r>
  <r>
    <s v="3638305-1458745288-171"/>
    <s v="Spot"/>
    <s v="3638305-1458745288-171"/>
    <n v="0"/>
    <d v="2016-03-31T00:00:00"/>
    <x v="363"/>
    <s v="171"/>
    <s v="SELL"/>
    <n v="1.5440528634361235"/>
    <x v="0"/>
    <x v="2"/>
    <n v="21.03"/>
    <s v="Deal"/>
    <m/>
    <s v="Original Amount [EUR 13.62], Merchant Amount [EUR 13.62], Customer Amount [CAD 21.03], Status [WAITING], Operation [3D], UUID [3638305-1458745288-171] [23/03/2016 at 15:01:00]"/>
  </r>
  <r>
    <s v="3638302-1458745283-187"/>
    <s v="Spot"/>
    <s v="3638302-1458745283-187"/>
    <n v="0"/>
    <d v="2016-03-31T00:00:00"/>
    <x v="364"/>
    <s v="187"/>
    <s v="SELL"/>
    <n v="9.9546242319205938"/>
    <x v="0"/>
    <x v="1"/>
    <n v="1263.6400000000001"/>
    <s v="Deal"/>
    <m/>
    <s v="Original Amount [EUR 126.94], Merchant Amount [EUR 126.94], Customer Amount [NOK 1263.64], Status [APPROVED], Operation [DIRECT], UUID [3638302-1458745283-187] [23/03/2016 at 15:01:00]"/>
  </r>
  <r>
    <s v="3638323-1458745302-145"/>
    <s v="Spot"/>
    <s v="3638323-1458745302-145"/>
    <n v="0"/>
    <d v="2016-03-31T00:00:00"/>
    <x v="365"/>
    <s v="145"/>
    <s v="SELL"/>
    <n v="1.5443902439024391"/>
    <x v="0"/>
    <x v="2"/>
    <n v="15.83"/>
    <s v="Deal"/>
    <m/>
    <s v="Original Amount [EUR 10.25], Merchant Amount [EUR 10.25], Customer Amount [CAD 15.83], Status [APPROVED], Operation [3DAUTH], UUID [3638323-1458745302-145] [23/03/2016 at 15:01:00]"/>
  </r>
  <r>
    <s v="3638296-1458745279-119"/>
    <s v="Spot"/>
    <s v="3638296-1458745279-119"/>
    <n v="0"/>
    <d v="2016-03-31T00:00:00"/>
    <x v="3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8296-1458745279-119] [23/03/2016 at 15:01:00]"/>
  </r>
  <r>
    <s v="3638311-1458745293-216"/>
    <s v="Spot"/>
    <s v="3638311-1458745293-216"/>
    <n v="0"/>
    <d v="2016-03-31T00:00:00"/>
    <x v="367"/>
    <s v="216"/>
    <s v="SELL"/>
    <n v="3.3959839357429722"/>
    <x v="0"/>
    <x v="0"/>
    <n v="42.28"/>
    <s v="Deal"/>
    <m/>
    <s v="Original Amount [EUR 12.45], Merchant Amount [EUR 12.45], Customer Amount [TRY 42.28], Status [APPROVED], Operation [3DAUTH], UUID [3638311-1458745293-216] [23/03/2016 at 15:01:00]"/>
  </r>
  <r>
    <s v="3638290-1458745273-199"/>
    <s v="Spot"/>
    <s v="3638290-1458745273-199"/>
    <n v="0"/>
    <d v="2016-03-31T00:00:00"/>
    <x v="368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8290-1458745273-199] [23/03/2016 at 15:01:00]"/>
  </r>
  <r>
    <s v="3638287-1458745269-82"/>
    <s v="Spot"/>
    <s v="3638287-1458745269-82"/>
    <n v="0"/>
    <d v="2016-03-31T00:00:00"/>
    <x v="369"/>
    <s v="82"/>
    <s v="SELL"/>
    <n v="1.1846117757447805"/>
    <x v="0"/>
    <x v="7"/>
    <n v="50.5"/>
    <s v="Deal"/>
    <m/>
    <s v="Original Amount [USD 50.5], Merchant Amount [EUR 42.63], Customer Amount [USD 50.5], Status [APPROVED], Operation [DIRECT], UUID [3638287-1458745269-82] [23/03/2016 at 15:01:00]"/>
  </r>
  <r>
    <s v="3638362-1458745327-56"/>
    <s v="Spot"/>
    <s v="3638362-1458745327-56"/>
    <n v="0"/>
    <d v="2016-03-31T00:00:00"/>
    <x v="370"/>
    <s v="56"/>
    <s v="SELL"/>
    <n v="3.3953946686028424"/>
    <x v="0"/>
    <x v="0"/>
    <n v="327.35000000000002"/>
    <s v="Deal"/>
    <m/>
    <s v="Original Amount [EUR 96.41], Merchant Amount [EUR 96.41], Customer Amount [TRY 327.35], Status [APPROVED], Operation [3DAUTH], UUID [3638362-1458745327-56] [23/03/2016 at 15:02:00]"/>
  </r>
  <r>
    <s v="3638278-1458745252-187"/>
    <s v="Spot"/>
    <s v="3638278-1458745252-187"/>
    <n v="0"/>
    <d v="2016-03-31T00:00:00"/>
    <x v="371"/>
    <s v="187"/>
    <s v="SELL"/>
    <n v="9.9550827423167849"/>
    <x v="0"/>
    <x v="1"/>
    <n v="126.33"/>
    <s v="Deal"/>
    <m/>
    <s v="Original Amount [EUR 12.69], Merchant Amount [EUR 12.69], Customer Amount [NOK 126.33], Status [APPROVED], Operation [DIRECT], UUID [3638278-1458745252-187] [23/03/2016 at 15:00:00]"/>
  </r>
  <r>
    <s v="3638272-1458745249-216"/>
    <s v="Spot"/>
    <s v="3638272-1458745249-216"/>
    <n v="0"/>
    <d v="2016-03-31T00:00:00"/>
    <x v="372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272-1458745249-216] [23/03/2016 at 15:00:00]"/>
  </r>
  <r>
    <s v="3638266-1458745240-199"/>
    <s v="Spot"/>
    <s v="3638266-1458745240-199"/>
    <n v="0"/>
    <d v="2016-03-31T00:00:00"/>
    <x v="373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8266-1458745240-199] [23/03/2016 at 15:00:00]"/>
  </r>
  <r>
    <s v="3638263-1458745234-126"/>
    <s v="Spot"/>
    <s v="3638263-1458745234-126"/>
    <n v="0"/>
    <d v="2016-03-31T00:00:00"/>
    <x v="374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8263-1458745234-126] [23/03/2016 at 15:00:00]"/>
  </r>
  <r>
    <s v="3638251-1458745222-199"/>
    <s v="Spot"/>
    <s v="3638251-1458745222-199"/>
    <n v="0"/>
    <d v="2016-03-31T00:00:00"/>
    <x v="37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8251-1458745222-199] [23/03/2016 at 15:00:00]"/>
  </r>
  <r>
    <s v="3638245-1458745220-224"/>
    <s v="Spot"/>
    <s v="3638245-1458745220-224"/>
    <n v="0"/>
    <d v="2016-03-31T00:00:00"/>
    <x v="376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8245-1458745220-224] [23/03/2016 at 15:00:00]"/>
  </r>
  <r>
    <s v="3638275-1458745250-216"/>
    <s v="Spot"/>
    <s v="3638275-1458745250-216"/>
    <n v="0"/>
    <d v="2016-03-31T00:00:00"/>
    <x v="377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275-1458745250-216] [23/03/2016 at 15:00:00]"/>
  </r>
  <r>
    <s v="3638239-1458745213-56"/>
    <s v="Spot"/>
    <s v="3638239-1458745213-56"/>
    <n v="0"/>
    <d v="2016-03-31T00:00:00"/>
    <x v="37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8239-1458745213-56] [23/03/2016 at 15:00:00]"/>
  </r>
  <r>
    <s v="3638236-1458745211-199"/>
    <s v="Spot"/>
    <s v="3638236-1458745211-199"/>
    <n v="0"/>
    <d v="2016-03-31T00:00:00"/>
    <x v="379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38236-1458745211-199] [23/03/2016 at 15:00:00]"/>
  </r>
  <r>
    <s v="3638257-1458745226-216"/>
    <s v="Spot"/>
    <s v="3638257-1458745226-216"/>
    <n v="0"/>
    <d v="2016-03-31T00:00:00"/>
    <x v="380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8257-1458745226-216] [23/03/2016 at 15:00:00]"/>
  </r>
  <r>
    <s v="3638233-1458745208-107"/>
    <s v="Spot"/>
    <s v="3638233-1458745208-107"/>
    <n v="0"/>
    <d v="2016-03-31T00:00:00"/>
    <x v="381"/>
    <s v="107"/>
    <s v="SELL"/>
    <n v="3.3878400000000002"/>
    <x v="0"/>
    <x v="0"/>
    <n v="846.96"/>
    <s v="Deal"/>
    <m/>
    <s v="Original Amount [EUR 250], Merchant Amount [EUR 250], Customer Amount [TRY 846.96], Status [APPROVED], Operation [3DAUTH], UUID [3638233-1458745208-107] [23/03/2016 at 15:00:00]"/>
  </r>
  <r>
    <s v="3638248-1458745220-216"/>
    <s v="Spot"/>
    <s v="3638248-1458745220-216"/>
    <n v="0"/>
    <d v="2016-03-31T00:00:00"/>
    <x v="382"/>
    <s v="216"/>
    <s v="SELL"/>
    <n v="3.3879518072289159"/>
    <x v="0"/>
    <x v="0"/>
    <n v="84.36"/>
    <s v="Deal"/>
    <m/>
    <s v="Original Amount [EUR 24.9], Merchant Amount [EUR 24.9], Customer Amount [TRY 84.36], Status [APPROVED], Operation [3DAUTH], UUID [3638248-1458745220-216] [23/03/2016 at 15:00:00]"/>
  </r>
  <r>
    <s v="3638200-1458745178-171"/>
    <s v="Spot"/>
    <s v="3638200-1458745178-171"/>
    <n v="0"/>
    <d v="2016-03-31T00:00:00"/>
    <x v="383"/>
    <s v="171"/>
    <s v="SELL"/>
    <n v="1.5440658049353702"/>
    <x v="0"/>
    <x v="2"/>
    <n v="26.28"/>
    <s v="Deal"/>
    <m/>
    <s v="Original Amount [EUR 17.02], Merchant Amount [EUR 17.02], Customer Amount [CAD 26.28], Status [WAITING], Operation [3D], UUID [3638200-1458745178-171] [23/03/2016 at 14:59:00]"/>
  </r>
  <r>
    <s v="3638194-1458745172-224"/>
    <s v="Spot"/>
    <s v="3638194-1458745172-224"/>
    <n v="0"/>
    <d v="2016-03-31T00:00:00"/>
    <x v="384"/>
    <s v="224"/>
    <s v="SELL"/>
    <n v="133.03801169590645"/>
    <x v="0"/>
    <x v="3"/>
    <n v="1819.96"/>
    <s v="Deal"/>
    <m/>
    <s v="Original Amount [EUR 13.68], Merchant Amount [EUR 13.68], Customer Amount [JPY 1819.96], Status [APPROVED], Operation [DIRECT], UUID [3638194-1458745172-224] [23/03/2016 at 14:59:00]"/>
  </r>
  <r>
    <s v="3638215-1458745188-56"/>
    <s v="Spot"/>
    <s v="3638215-1458745188-56"/>
    <n v="0"/>
    <d v="2016-03-31T00:00:00"/>
    <x v="385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8215-1458745188-56] [23/03/2016 at 14:59:00]"/>
  </r>
  <r>
    <s v="3638260-1458745227-101"/>
    <s v="Spot"/>
    <s v="3638260-1458745227-101"/>
    <n v="0"/>
    <d v="2016-03-31T00:00:00"/>
    <x v="386"/>
    <s v="101"/>
    <s v="SELL"/>
    <n v="3.3880837359098228"/>
    <x v="0"/>
    <x v="0"/>
    <n v="84.16"/>
    <s v="Deal"/>
    <m/>
    <s v="Original Amount [EUR 24.84], Merchant Amount [EUR 24.84], Customer Amount [TRY 84.16], Status [APPROVED], Operation [3DAUTH], UUID [3638260-1458745227-101] [23/03/2016 at 15:00:00]"/>
  </r>
  <r>
    <s v="3638170-1458745145-145"/>
    <s v="Spot"/>
    <s v="3638170-1458745145-145"/>
    <n v="0"/>
    <d v="2016-03-31T00:00:00"/>
    <x v="387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170-1458745145-145] [23/03/2016 at 14:59:00]"/>
  </r>
  <r>
    <s v="3638161-1458745137-224"/>
    <s v="Spot"/>
    <s v="3638161-1458745137-224"/>
    <n v="0"/>
    <d v="2016-03-31T00:00:00"/>
    <x v="388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8161-1458745137-224] [23/03/2016 at 14:58:00]"/>
  </r>
  <r>
    <s v="3638203-1458745183-179"/>
    <s v="Spot"/>
    <s v="3638203-1458745183-179"/>
    <n v="0"/>
    <d v="2016-03-31T00:00:00"/>
    <x v="389"/>
    <s v="179"/>
    <s v="SELL"/>
    <n v="3.3879371877230553"/>
    <x v="0"/>
    <x v="0"/>
    <n v="94.93"/>
    <s v="Deal"/>
    <m/>
    <s v="Original Amount [EUR 28.02], Merchant Amount [EUR 28.02], Customer Amount [TRY 94.93], Status [APPROVED], Operation [3DAUTH], UUID [3638203-1458745183-179] [23/03/2016 at 14:59:00]"/>
  </r>
  <r>
    <s v="3638146-1458745127-199"/>
    <s v="Spot"/>
    <s v="3638146-1458745127-199"/>
    <n v="0"/>
    <d v="2016-03-31T00:00:00"/>
    <x v="390"/>
    <s v="199"/>
    <s v="SELL"/>
    <n v="9.9506515109509284"/>
    <x v="0"/>
    <x v="1"/>
    <n v="358.92"/>
    <s v="Deal"/>
    <m/>
    <s v="Original Amount [EUR 36.07], Merchant Amount [EUR 36.07], Customer Amount [NOK 358.92], Status [APPROVED], Operation [DIRECT], UUID [3638146-1458745127-199] [23/03/2016 at 14:58:00]"/>
  </r>
  <r>
    <s v="3638140-1458745119-216"/>
    <s v="Spot"/>
    <s v="3638140-1458745119-216"/>
    <n v="0"/>
    <d v="2016-03-31T00:00:00"/>
    <x v="39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40-1458745119-216] [23/03/2016 at 14:58:00]"/>
  </r>
  <r>
    <s v="3638149-1458745129-203"/>
    <s v="Spot"/>
    <s v="3638149-1458745129-203"/>
    <n v="0"/>
    <d v="2016-03-31T00:00:00"/>
    <x v="392"/>
    <s v="203"/>
    <s v="SELL"/>
    <n v="3.3883870967741938"/>
    <x v="0"/>
    <x v="0"/>
    <n v="52.52"/>
    <s v="Deal"/>
    <m/>
    <s v="Original Amount [EUR 15.5], Merchant Amount [EUR 15.5], Customer Amount [TRY 52.52], Status [APPROVED], Operation [3DAUTH], UUID [3638149-1458745129-203] [23/03/2016 at 14:58:00]"/>
  </r>
  <r>
    <s v="3638119-1458745086-216"/>
    <s v="Spot"/>
    <s v="3638119-1458745086-216"/>
    <n v="0"/>
    <d v="2016-03-31T00:00:00"/>
    <x v="39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19-1458745086-216] [23/03/2016 at 14:58:00]"/>
  </r>
  <r>
    <s v="3638131-1458745105-216"/>
    <s v="Spot"/>
    <s v="3638131-1458745105-216"/>
    <n v="0"/>
    <d v="2016-03-31T00:00:00"/>
    <x v="394"/>
    <s v="216"/>
    <s v="SELL"/>
    <n v="3.3878774898265158"/>
    <x v="0"/>
    <x v="0"/>
    <n v="158.18"/>
    <s v="Deal"/>
    <m/>
    <s v="Original Amount [EUR 46.69], Merchant Amount [EUR 46.69], Customer Amount [TRY 158.18], Status [APPROVED], Operation [3DAUTH], UUID [3638131-1458745105-216] [23/03/2016 at 14:58:00]"/>
  </r>
  <r>
    <s v="3638104-1458745081-224"/>
    <s v="Spot"/>
    <s v="3638104-1458745081-224"/>
    <n v="0"/>
    <d v="2016-03-31T00:00:00"/>
    <x v="395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104-1458745081-224] [23/03/2016 at 14:58:00]"/>
  </r>
  <r>
    <s v="3638101-1458745080-199"/>
    <s v="Spot"/>
    <s v="3638101-1458745080-199"/>
    <n v="0"/>
    <d v="2016-03-31T00:00:00"/>
    <x v="39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101-1458745080-199] [23/03/2016 at 14:58:00]"/>
  </r>
  <r>
    <s v="3638098-1458745073-199"/>
    <s v="Spot"/>
    <s v="3638098-1458745073-199"/>
    <n v="0"/>
    <d v="2016-03-31T00:00:00"/>
    <x v="397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8098-1458745073-199] [23/03/2016 at 14:57:00]"/>
  </r>
  <r>
    <s v="3638125-1458745098-216"/>
    <s v="Spot"/>
    <s v="3638125-1458745098-216"/>
    <n v="0"/>
    <d v="2016-03-31T00:00:00"/>
    <x v="398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8125-1458745098-216] [23/03/2016 at 14:58:00]"/>
  </r>
  <r>
    <s v="3638071-1458745056-187"/>
    <s v="Spot"/>
    <s v="3638071-1458745056-187"/>
    <n v="0"/>
    <d v="2016-03-31T00:00:00"/>
    <x v="399"/>
    <s v="187"/>
    <s v="SELL"/>
    <n v="9.9506026943984871"/>
    <x v="0"/>
    <x v="1"/>
    <n v="421.01"/>
    <s v="Deal"/>
    <m/>
    <s v="Original Amount [EUR 42.31], Merchant Amount [EUR 42.31], Customer Amount [NOK 421.01], Status [APPROVED], Operation [DIRECT], UUID [3638071-1458745056-187] [23/03/2016 at 14:57:00]"/>
  </r>
  <r>
    <s v="3638068-1458745053-199"/>
    <s v="Spot"/>
    <s v="3638068-1458745053-199"/>
    <n v="0"/>
    <d v="2016-03-31T00:00:00"/>
    <x v="400"/>
    <s v="199"/>
    <s v="SELL"/>
    <n v="9.9512195121951219"/>
    <x v="0"/>
    <x v="1"/>
    <n v="102"/>
    <s v="Deal"/>
    <m/>
    <s v="Original Amount [EUR 10.25], Merchant Amount [EUR 10.25], Customer Amount [NOK 102], Status [APPROVED], Operation [DIRECT], UUID [3638068-1458745053-199] [23/03/2016 at 14:57:00]"/>
  </r>
  <r>
    <s v="3638083-1458745064-264"/>
    <s v="Spot"/>
    <s v="3638083-1458745064-264"/>
    <n v="0"/>
    <d v="2016-03-31T00:00:00"/>
    <x v="401"/>
    <s v="264"/>
    <s v="SELL"/>
    <n v="3.3915040183696896"/>
    <x v="0"/>
    <x v="0"/>
    <n v="29.54"/>
    <s v="Deal"/>
    <m/>
    <s v="Original Amount [TRY 28], Merchant Amount [EUR 8.71], Customer Amount [TRY 29.54], Status [APPROVED], Operation [3DAUTH], UUID [3638083-1458745064-264] [23/03/2016 at 14:57:00]"/>
  </r>
  <r>
    <s v="3638059-1458745044-224"/>
    <s v="Spot"/>
    <s v="3638059-1458745044-224"/>
    <n v="0"/>
    <d v="2016-03-31T00:00:00"/>
    <x v="40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059-1458745044-224] [23/03/2016 at 14:57:00]"/>
  </r>
  <r>
    <s v="3638089-1458745065-119"/>
    <s v="Spot"/>
    <s v="3638089-1458745065-119"/>
    <n v="0"/>
    <d v="2016-03-31T00:00:00"/>
    <x v="403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38089-1458745065-119] [23/03/2016 at 14:57:00]"/>
  </r>
  <r>
    <s v="3638047-1458745034-119"/>
    <s v="Spot"/>
    <s v="3638047-1458745034-119"/>
    <n v="0"/>
    <d v="2016-03-31T00:00:00"/>
    <x v="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8047-1458745034-119] [23/03/2016 at 14:57:00]"/>
  </r>
  <r>
    <s v="3638038-1458745028-216"/>
    <s v="Spot"/>
    <s v="3638038-1458745028-216"/>
    <n v="0"/>
    <d v="2016-03-31T00:00:00"/>
    <x v="40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038-1458745028-216] [23/03/2016 at 14:57:00]"/>
  </r>
  <r>
    <s v="3638056-1458745043-101"/>
    <s v="Spot"/>
    <s v="3638056-1458745043-101"/>
    <n v="0"/>
    <d v="2016-03-31T00:00:00"/>
    <x v="406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8056-1458745043-101] [23/03/2016 at 14:57:00]"/>
  </r>
  <r>
    <s v="3638014-1458745003-107"/>
    <s v="Spot"/>
    <s v="3638014-1458745003-107"/>
    <n v="0"/>
    <d v="2016-03-31T00:00:00"/>
    <x v="407"/>
    <s v="107"/>
    <s v="SELL"/>
    <n v="3.3883763837638372"/>
    <x v="0"/>
    <x v="0"/>
    <n v="36.729999999999997"/>
    <s v="Deal"/>
    <m/>
    <s v="Original Amount [EUR 10.84], Merchant Amount [EUR 10.84], Customer Amount [TRY 36.73], Status [WAITING], Operation [3D], UUID [3638014-1458745003-107] [23/03/2016 at 14:56:00]"/>
  </r>
  <r>
    <s v="3638026-1458745008-56"/>
    <s v="Spot"/>
    <s v="3638026-1458745008-56"/>
    <n v="0"/>
    <d v="2016-03-31T00:00:00"/>
    <x v="408"/>
    <s v="56"/>
    <s v="SELL"/>
    <n v="3.3880180373631092"/>
    <x v="0"/>
    <x v="0"/>
    <n v="157.78"/>
    <s v="Deal"/>
    <m/>
    <s v="Original Amount [EUR 46.57], Merchant Amount [EUR 46.57], Customer Amount [TRY 157.78], Status [APPROVED], Operation [3DAUTH], UUID [3638026-1458745008-56] [23/03/2016 at 14:56:00]"/>
  </r>
  <r>
    <s v="3637993-1458744979-145"/>
    <s v="Spot"/>
    <s v="3637993-1458744979-145"/>
    <n v="0"/>
    <d v="2016-03-31T00:00:00"/>
    <x v="409"/>
    <s v="145"/>
    <s v="SELL"/>
    <n v="1.5513936644963056"/>
    <x v="0"/>
    <x v="2"/>
    <n v="424.12"/>
    <s v="Deal"/>
    <m/>
    <s v="Original Amount [EUR 273.38], Merchant Amount [EUR 273.38], Customer Amount [CAD 424.12], Status [APPROVED], Operation [DIRECT], UUID [3637993-1458744979-145] [23/03/2016 at 14:56:00]"/>
  </r>
  <r>
    <s v="3637987-1458744977-102"/>
    <s v="Spot"/>
    <s v="3637987-1458744977-102"/>
    <n v="0"/>
    <d v="2016-03-31T00:00:00"/>
    <x v="410"/>
    <s v="102"/>
    <s v="SELL"/>
    <n v="3.3881720430107527"/>
    <x v="0"/>
    <x v="0"/>
    <n v="31.51"/>
    <s v="Deal"/>
    <m/>
    <s v="Original Amount [EUR 9.3], Merchant Amount [EUR 9.3], Customer Amount [TRY 31.51], Status [WAITING], Operation [3D], UUID [3637987-1458744977-102] [23/03/2016 at 14:56:00]"/>
  </r>
  <r>
    <s v="3637984-1458744968-224"/>
    <s v="Spot"/>
    <s v="3637984-1458744968-224"/>
    <n v="0"/>
    <d v="2016-03-31T00:00:00"/>
    <x v="411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984-1458744968-224] [23/03/2016 at 14:56:00]"/>
  </r>
  <r>
    <s v="3637972-1458744960-224"/>
    <s v="Spot"/>
    <s v="3637972-1458744960-224"/>
    <n v="0"/>
    <d v="2016-03-31T00:00:00"/>
    <x v="412"/>
    <s v="224"/>
    <s v="SELL"/>
    <n v="132.83241973375098"/>
    <x v="0"/>
    <x v="3"/>
    <n v="1696.27"/>
    <s v="Deal"/>
    <m/>
    <s v="Original Amount [EUR 12.77], Merchant Amount [EUR 12.77], Customer Amount [JPY 1696.27], Status [APPROVED], Operation [DIRECT], UUID [3637972-1458744960-224] [23/03/2016 at 14:56:00]"/>
  </r>
  <r>
    <s v="3637990-1458744979-101"/>
    <s v="Spot"/>
    <s v="3637990-1458744979-101"/>
    <n v="0"/>
    <d v="2016-03-31T00:00:00"/>
    <x v="413"/>
    <s v="101"/>
    <s v="SELL"/>
    <n v="4.3367709815078239"/>
    <x v="0"/>
    <x v="9"/>
    <n v="487.8"/>
    <s v="Deal"/>
    <m/>
    <s v="Original Amount [EUR 112.48], Merchant Amount [EUR 112.48], Customer Amount [AED 487.8], Status [APPROVED], Operation [3DAUTH], UUID [3637990-1458744979-101] [23/03/2016 at 14:56:00]"/>
  </r>
  <r>
    <s v="3638017-1458745006-150"/>
    <s v="Spot"/>
    <s v="3638017-1458745006-150"/>
    <n v="0"/>
    <d v="2016-03-31T00:00:00"/>
    <x v="414"/>
    <s v="150"/>
    <s v="SELL"/>
    <n v="3.3880837359098228"/>
    <x v="0"/>
    <x v="0"/>
    <n v="105.2"/>
    <s v="Deal"/>
    <m/>
    <s v="Original Amount [EUR 31.05], Merchant Amount [EUR 31.05], Customer Amount [TRY 105.2], Status [APPROVED], Operation [3DAUTH], UUID [3638017-1458745006-150] [23/03/2016 at 14:56:00]"/>
  </r>
  <r>
    <s v="3637954-1458744938-224"/>
    <s v="Spot"/>
    <s v="3637954-1458744938-224"/>
    <n v="0"/>
    <d v="2016-03-31T00:00:00"/>
    <x v="415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7954-1458744938-224] [23/03/2016 at 14:55:00]"/>
  </r>
  <r>
    <s v="3637975-1458744965-101"/>
    <s v="Spot"/>
    <s v="3637975-1458744965-101"/>
    <n v="0"/>
    <d v="2016-03-31T00:00:00"/>
    <x v="416"/>
    <s v="101"/>
    <s v="SELL"/>
    <n v="3.3880180373631092"/>
    <x v="0"/>
    <x v="0"/>
    <n v="157.78"/>
    <s v="Deal"/>
    <m/>
    <s v="Original Amount [EUR 46.57], Merchant Amount [EUR 46.57], Customer Amount [TRY 157.78], Status [APPROVED], Operation [3DAUTH], UUID [3637975-1458744965-101] [23/03/2016 at 14:56:00]"/>
  </r>
  <r>
    <s v="3637942-1458744933-199"/>
    <s v="Spot"/>
    <s v="3637942-1458744933-199"/>
    <n v="0"/>
    <d v="2016-03-31T00:00:00"/>
    <x v="417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7942-1458744933-199] [23/03/2016 at 14:55:00]"/>
  </r>
  <r>
    <s v="3637933-1458744922-199"/>
    <s v="Spot"/>
    <s v="3637933-1458744922-199"/>
    <n v="0"/>
    <d v="2016-03-31T00:00:00"/>
    <x v="41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933-1458744922-199] [23/03/2016 at 14:55:00]"/>
  </r>
  <r>
    <s v="3637936-1458744928-126"/>
    <s v="Spot"/>
    <s v="3637936-1458744928-126"/>
    <n v="0"/>
    <d v="2016-03-31T00:00:00"/>
    <x v="419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936-1458744928-126] [23/03/2016 at 14:55:00]"/>
  </r>
  <r>
    <s v="3637918-1458744908-216"/>
    <s v="Spot"/>
    <s v="3637918-1458744908-216"/>
    <n v="0"/>
    <d v="2016-03-31T00:00:00"/>
    <x v="420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7918-1458744908-216] [23/03/2016 at 14:55:00]"/>
  </r>
  <r>
    <s v="3637906-1458744890-200"/>
    <s v="Spot"/>
    <s v="3637906-1458744890-200"/>
    <n v="0"/>
    <d v="2016-03-31T00:00:00"/>
    <x v="421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37906-1458744890-200] [23/03/2016 at 14:54:00]"/>
  </r>
  <r>
    <s v="3637894-1458744884-224"/>
    <s v="Spot"/>
    <s v="3637894-1458744884-224"/>
    <n v="0"/>
    <d v="2016-03-31T00:00:00"/>
    <x v="422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894-1458744884-224] [23/03/2016 at 14:54:00]"/>
  </r>
  <r>
    <s v="3637885-1458744867-260"/>
    <s v="Spot"/>
    <s v="3637885-1458744867-260"/>
    <n v="0"/>
    <d v="2016-03-31T00:00:00"/>
    <x v="423"/>
    <s v="260"/>
    <s v="SELL"/>
    <n v="7.8639999999999999"/>
    <x v="0"/>
    <x v="10"/>
    <n v="39.32"/>
    <s v="Deal"/>
    <m/>
    <s v="Original Amount [EUR 5], Merchant Amount [EUR 5], Customer Amount [DKK 39.32], Status [APPROVED], Operation [DIRECT], UUID [3637885-1458744867-260] [23/03/2016 at 14:54:00]"/>
  </r>
  <r>
    <s v="3637882-1458744866-224"/>
    <s v="Spot"/>
    <s v="3637882-1458744866-224"/>
    <n v="0"/>
    <d v="2016-03-31T00:00:00"/>
    <x v="424"/>
    <s v="224"/>
    <s v="SELL"/>
    <n v="9.9545629572583749"/>
    <x v="0"/>
    <x v="1"/>
    <n v="258.52"/>
    <s v="Deal"/>
    <m/>
    <s v="Original Amount [EUR 25.97], Merchant Amount [EUR 25.97], Customer Amount [NOK 258.52], Status [APPROVED], Operation [DIRECT], UUID [3637882-1458744866-224] [23/03/2016 at 14:54:00]"/>
  </r>
  <r>
    <s v="3637876-1458744858-126"/>
    <s v="Spot"/>
    <s v="3637876-1458744858-126"/>
    <n v="0"/>
    <d v="2016-03-31T00:00:00"/>
    <x v="42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7876-1458744858-126] [23/03/2016 at 14:54:00]"/>
  </r>
  <r>
    <s v="3637870-1458744856-216"/>
    <s v="Spot"/>
    <s v="3637870-1458744856-216"/>
    <n v="0"/>
    <d v="2016-03-31T00:00:00"/>
    <x v="426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7870-1458744856-216] [23/03/2016 at 14:54:00]"/>
  </r>
  <r>
    <s v="3637864-1458744848-224"/>
    <s v="Spot"/>
    <s v="3637864-1458744848-224"/>
    <n v="0"/>
    <d v="2016-03-31T00:00:00"/>
    <x v="427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7864-1458744848-224] [23/03/2016 at 14:54:00]"/>
  </r>
  <r>
    <s v="3637858-1458744840-261"/>
    <s v="Spot"/>
    <s v="3637858-1458744840-261"/>
    <n v="0"/>
    <d v="2016-03-31T00:00:00"/>
    <x v="428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858-1458744840-261] [23/03/2016 at 14:54:00]"/>
  </r>
  <r>
    <s v="3637852-1458744838-224"/>
    <s v="Spot"/>
    <s v="3637852-1458744838-224"/>
    <n v="0"/>
    <d v="2016-03-31T00:00:00"/>
    <x v="42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852-1458744838-224] [23/03/2016 at 14:53:00]"/>
  </r>
  <r>
    <s v="3637891-1458744874-56"/>
    <s v="Spot"/>
    <s v="3637891-1458744874-56"/>
    <n v="0"/>
    <d v="2016-03-31T00:00:00"/>
    <x v="430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891-1458744874-56] [23/03/2016 at 14:54:00]"/>
  </r>
  <r>
    <s v="3637843-1458744832-224"/>
    <s v="Spot"/>
    <s v="3637843-1458744832-224"/>
    <n v="0"/>
    <d v="2016-03-31T00:00:00"/>
    <x v="431"/>
    <s v="224"/>
    <s v="SELL"/>
    <n v="9.9505779490219322"/>
    <x v="0"/>
    <x v="1"/>
    <n v="2685.86"/>
    <s v="Deal"/>
    <m/>
    <s v="Original Amount [EUR 269.92], Merchant Amount [EUR 269.92], Customer Amount [NOK 2685.86], Status [APPROVED], Operation [DIRECT], UUID [3637843-1458744832-224] [23/03/2016 at 14:53:00]"/>
  </r>
  <r>
    <s v="3637831-1458744815-119"/>
    <s v="Spot"/>
    <s v="3637831-1458744815-119"/>
    <n v="0"/>
    <d v="2016-03-31T00:00:00"/>
    <x v="432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31-1458744815-119] [23/03/2016 at 14:53:00]"/>
  </r>
  <r>
    <s v="3637822-1458744808-119"/>
    <s v="Spot"/>
    <s v="3637822-1458744808-119"/>
    <n v="0"/>
    <d v="2016-03-31T00:00:00"/>
    <x v="43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22-1458744808-119] [23/03/2016 at 14:53:00]"/>
  </r>
  <r>
    <s v="3637840-1458744830-56"/>
    <s v="Spot"/>
    <s v="3637840-1458744830-56"/>
    <n v="0"/>
    <d v="2016-03-31T00:00:00"/>
    <x v="434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840-1458744830-56] [23/03/2016 at 14:53:00]"/>
  </r>
  <r>
    <s v="3637810-1458744797-224"/>
    <s v="Spot"/>
    <s v="3637810-1458744797-224"/>
    <n v="0"/>
    <d v="2016-03-31T00:00:00"/>
    <x v="435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810-1458744797-224] [23/03/2016 at 14:53:00]"/>
  </r>
  <r>
    <s v="3637792-1458744779-200"/>
    <s v="Spot"/>
    <s v="3637792-1458744779-200"/>
    <n v="0"/>
    <d v="2016-03-31T00:00:00"/>
    <x v="436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7792-1458744779-200] [23/03/2016 at 14:52:00]"/>
  </r>
  <r>
    <s v="3637786-1458744775-119"/>
    <s v="Spot"/>
    <s v="3637786-1458744775-119"/>
    <n v="0"/>
    <d v="2016-03-31T00:00:00"/>
    <x v="43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7786-1458744775-119] [23/03/2016 at 14:52:00]"/>
  </r>
  <r>
    <s v="3637813-1458744798-107"/>
    <s v="Spot"/>
    <s v="3637813-1458744798-107"/>
    <n v="0"/>
    <d v="2016-03-31T00:00:00"/>
    <x v="438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7813-1458744798-107] [23/03/2016 at 14:53:00]"/>
  </r>
  <r>
    <s v="3637804-1458744789-256"/>
    <s v="Spot"/>
    <s v="3637804-1458744789-256"/>
    <n v="0"/>
    <d v="2016-03-31T00:00:00"/>
    <x v="439"/>
    <s v="256"/>
    <s v="SELL"/>
    <n v="1.0570469798657718"/>
    <x v="0"/>
    <x v="11"/>
    <n v="9.4499999999999993"/>
    <s v="Deal"/>
    <m/>
    <s v="Original Amount [USD 10], Merchant Amount [EUR 8.94], Customer Amount [EUR 9.45], Status [APPROVED], Operation [3DAUTH], UUID [3637804-1458744789-256] [23/03/2016 at 14:53:00]"/>
  </r>
  <r>
    <s v="3637771-1458744752-224"/>
    <s v="Spot"/>
    <s v="3637771-1458744752-224"/>
    <n v="0"/>
    <d v="2016-03-31T00:00:00"/>
    <x v="44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771-1458744752-224] [23/03/2016 at 14:52:00]"/>
  </r>
  <r>
    <s v="3637762-1458744743-199"/>
    <s v="Spot"/>
    <s v="3637762-1458744743-199"/>
    <n v="0"/>
    <d v="2016-03-31T00:00:00"/>
    <x v="441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7762-1458744743-199] [23/03/2016 at 14:52:00]"/>
  </r>
  <r>
    <s v="3637753-1458744741-145"/>
    <s v="Spot"/>
    <s v="3637753-1458744741-145"/>
    <n v="0"/>
    <d v="2016-03-31T00:00:00"/>
    <x v="442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37753-1458744741-145] [23/03/2016 at 14:52:00]"/>
  </r>
  <r>
    <s v="3637774-1458744754-124"/>
    <s v="Spot"/>
    <s v="3637774-1458744754-124"/>
    <n v="0"/>
    <d v="2016-03-31T00:00:00"/>
    <x v="443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37774-1458744754-124] [23/03/2016 at 14:52:00]"/>
  </r>
  <r>
    <s v="3637714-1458744701-261"/>
    <s v="Spot"/>
    <s v="3637714-1458744701-261"/>
    <n v="0"/>
    <d v="2016-03-31T00:00:00"/>
    <x v="444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714-1458744701-261] [23/03/2016 at 14:51:00]"/>
  </r>
  <r>
    <s v="3637711-1458744701-224"/>
    <s v="Spot"/>
    <s v="3637711-1458744701-224"/>
    <n v="0"/>
    <d v="2016-03-31T00:00:00"/>
    <x v="445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7711-1458744701-224] [23/03/2016 at 14:51:00]"/>
  </r>
  <r>
    <s v="3637705-1458744697-187"/>
    <s v="Spot"/>
    <s v="3637705-1458744697-187"/>
    <n v="0"/>
    <d v="2016-03-31T00:00:00"/>
    <x v="446"/>
    <s v="187"/>
    <s v="SELL"/>
    <n v="9.9505624350127615"/>
    <x v="0"/>
    <x v="1"/>
    <n v="1052.67"/>
    <s v="Deal"/>
    <m/>
    <s v="Original Amount [EUR 105.79], Merchant Amount [EUR 105.79], Customer Amount [NOK 1052.67], Status [APPROVED], Operation [DIRECT], UUID [3637705-1458744697-187] [23/03/2016 at 14:51:00]"/>
  </r>
  <r>
    <s v="3637699-1458744688-261"/>
    <s v="Spot"/>
    <s v="3637699-1458744688-261"/>
    <n v="0"/>
    <d v="2016-03-31T00:00:00"/>
    <x v="447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37699-1458744688-261] [23/03/2016 at 14:51:00]"/>
  </r>
  <r>
    <s v="3637723-1458744708-56"/>
    <s v="Spot"/>
    <s v="3637723-1458744708-56"/>
    <n v="0"/>
    <d v="2016-03-31T00:00:00"/>
    <x v="448"/>
    <s v="56"/>
    <s v="SELL"/>
    <n v="3.3919344450010738"/>
    <x v="0"/>
    <x v="0"/>
    <n v="947.91"/>
    <s v="Deal"/>
    <m/>
    <s v="Original Amount [EUR 279.46], Merchant Amount [EUR 279.46], Customer Amount [TRY 947.91], Status [APPROVED], Operation [3DAUTH], UUID [3637723-1458744708-56] [23/03/2016 at 14:51:00]"/>
  </r>
  <r>
    <s v="3637717-1458744707-216"/>
    <s v="Spot"/>
    <s v="3637717-1458744707-216"/>
    <n v="0"/>
    <d v="2016-03-31T00:00:00"/>
    <x v="449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717-1458744707-216] [23/03/2016 at 14:51:00]"/>
  </r>
  <r>
    <s v="3637672-1458744674-224"/>
    <s v="Spot"/>
    <s v="3637672-1458744674-224"/>
    <n v="0"/>
    <d v="2016-03-31T00:00:00"/>
    <x v="450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672-1458744674-224] [23/03/2016 at 14:51:00]"/>
  </r>
  <r>
    <s v="3637690-1458744685-56"/>
    <s v="Spot"/>
    <s v="3637690-1458744685-56"/>
    <n v="0"/>
    <d v="2016-03-31T00:00:00"/>
    <x v="45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690-1458744685-56] [23/03/2016 at 14:51:00]"/>
  </r>
  <r>
    <s v="3637696-1458744686-216"/>
    <s v="Spot"/>
    <s v="3637696-1458744686-216"/>
    <n v="0"/>
    <d v="2016-03-31T00:00:00"/>
    <x v="45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696-1458744686-216] [23/03/2016 at 14:51:00]"/>
  </r>
  <r>
    <s v="3637645-1458744650-154"/>
    <s v="Spot"/>
    <s v="3637645-1458744650-154"/>
    <n v="0"/>
    <d v="2016-03-31T00:00:00"/>
    <x v="453"/>
    <s v="154"/>
    <s v="SELL"/>
    <n v="0.83339897597479318"/>
    <x v="0"/>
    <x v="4"/>
    <n v="21.16"/>
    <s v="Deal"/>
    <m/>
    <s v="Original Amount [EUR 25.39], Merchant Amount [EUR 25.39], Customer Amount [GBP 21.16], Status [APPROVED], Operation [3DAUTH], UUID [3637645-1458744650-154] [23/03/2016 at 14:50:00]"/>
  </r>
  <r>
    <s v="3637630-1458744632-187"/>
    <s v="Spot"/>
    <s v="3637630-1458744632-187"/>
    <n v="0"/>
    <d v="2016-03-31T00:00:00"/>
    <x v="454"/>
    <s v="187"/>
    <s v="SELL"/>
    <n v="9.9666666666666668"/>
    <x v="0"/>
    <x v="1"/>
    <n v="200.33"/>
    <s v="Deal"/>
    <m/>
    <s v="Original Amount [EUR 20.1], Merchant Amount [EUR 20.1], Customer Amount [NOK 200.33], Status [APPROVED], Operation [DIRECT], UUID [3637630-1458744632-187] [23/03/2016 at 14:50:00]"/>
  </r>
  <r>
    <s v="3637612-1458744622-216"/>
    <s v="Spot"/>
    <s v="3637612-1458744622-216"/>
    <n v="0"/>
    <d v="2016-03-31T00:00:00"/>
    <x v="45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7612-1458744622-216] [23/03/2016 at 14:50:00]"/>
  </r>
  <r>
    <s v="3637639-1458744648-126"/>
    <s v="Spot"/>
    <s v="3637639-1458744648-126"/>
    <n v="0"/>
    <d v="2016-03-31T00:00:00"/>
    <x v="456"/>
    <s v="126"/>
    <s v="SELL"/>
    <n v="9.9663414634146346"/>
    <x v="0"/>
    <x v="1"/>
    <n v="408.62"/>
    <s v="Deal"/>
    <m/>
    <s v="Original Amount [EUR 41], Merchant Amount [EUR 41], Customer Amount [NOK 408.62], Status [APPROVED], Operation [3DAUTH], UUID [3637639-1458744648-126] [23/03/2016 at 14:50:00]"/>
  </r>
  <r>
    <s v="3637594-1458744605-119"/>
    <s v="Spot"/>
    <s v="3637594-1458744605-119"/>
    <n v="0"/>
    <d v="2016-03-31T00:00:00"/>
    <x v="45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594-1458744605-119] [23/03/2016 at 14:50:00]"/>
  </r>
  <r>
    <s v="3637591-1458744604-199"/>
    <s v="Spot"/>
    <s v="3637591-1458744604-199"/>
    <n v="0"/>
    <d v="2016-03-31T00:00:00"/>
    <x v="45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7591-1458744604-199] [23/03/2016 at 14:50:00]"/>
  </r>
  <r>
    <s v="3637570-1458744592-119"/>
    <s v="Spot"/>
    <s v="3637570-1458744592-119"/>
    <n v="0"/>
    <d v="2016-03-31T00:00:00"/>
    <x v="4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7570-1458744592-119] [23/03/2016 at 14:49:00]"/>
  </r>
  <r>
    <s v="3637561-1458744586-224"/>
    <s v="Spot"/>
    <s v="3637561-1458744586-224"/>
    <n v="0"/>
    <d v="2016-03-31T00:00:00"/>
    <x v="460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561-1458744586-224] [23/03/2016 at 14:49:00]"/>
  </r>
  <r>
    <s v="3637555-1458744579-224"/>
    <s v="Spot"/>
    <s v="3637555-1458744579-224"/>
    <n v="0"/>
    <d v="2016-03-31T00:00:00"/>
    <x v="461"/>
    <s v="224"/>
    <s v="SELL"/>
    <n v="132.99334746692011"/>
    <x v="0"/>
    <x v="3"/>
    <n v="18192.16"/>
    <s v="Deal"/>
    <m/>
    <s v="Original Amount [EUR 136.79], Merchant Amount [EUR 136.79], Customer Amount [JPY 18192.16], Status [APPROVED], Operation [DIRECT], UUID [3637555-1458744579-224] [23/03/2016 at 14:49:00]"/>
  </r>
  <r>
    <s v="3637585-1458744600-216"/>
    <s v="Spot"/>
    <s v="3637585-1458744600-216"/>
    <n v="0"/>
    <d v="2016-03-31T00:00:00"/>
    <x v="46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585-1458744600-216] [23/03/2016 at 14:50:00]"/>
  </r>
  <r>
    <s v="3637603-1458744609-126"/>
    <s v="Spot"/>
    <s v="3637603-1458744609-126"/>
    <n v="0"/>
    <d v="2016-03-31T00:00:00"/>
    <x v="463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3DAUTH], UUID [3637603-1458744609-126] [23/03/2016 at 14:50:00]"/>
  </r>
  <r>
    <s v="3637558-1458744582-101"/>
    <s v="Spot"/>
    <s v="3637558-1458744582-101"/>
    <n v="0"/>
    <d v="2016-03-31T00:00:00"/>
    <x v="464"/>
    <s v="101"/>
    <s v="SELL"/>
    <n v="3.387822839954362"/>
    <x v="0"/>
    <x v="0"/>
    <n v="326.62"/>
    <s v="Deal"/>
    <m/>
    <s v="Original Amount [EUR 96.41], Merchant Amount [EUR 96.41], Customer Amount [TRY 326.62], Status [APPROVED], Operation [3DAUTH], UUID [3637558-1458744582-101] [23/03/2016 at 14:49:00]"/>
  </r>
  <r>
    <s v="3637528-1458744544-224"/>
    <s v="Spot"/>
    <s v="3637528-1458744544-224"/>
    <n v="0"/>
    <d v="2016-03-31T00:00:00"/>
    <x v="465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7528-1458744544-224] [23/03/2016 at 14:49:00]"/>
  </r>
  <r>
    <s v="3637573-1458744596-264"/>
    <s v="Spot"/>
    <s v="3637573-1458744596-264"/>
    <n v="0"/>
    <d v="2016-03-31T00:00:00"/>
    <x v="466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73-1458744596-264] [23/03/2016 at 14:49:00]"/>
  </r>
  <r>
    <s v="3637522-1458744536-224"/>
    <s v="Spot"/>
    <s v="3637522-1458744536-224"/>
    <n v="0"/>
    <d v="2016-03-31T00:00:00"/>
    <x v="46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7522-1458744536-224] [23/03/2016 at 14:48:00]"/>
  </r>
  <r>
    <s v="3637513-1458744526-145"/>
    <s v="Spot"/>
    <s v="3637513-1458744526-145"/>
    <n v="0"/>
    <d v="2016-03-31T00:00:00"/>
    <x v="468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513-1458744526-145] [23/03/2016 at 14:48:00]"/>
  </r>
  <r>
    <s v="3637519-1458744532-264"/>
    <s v="Spot"/>
    <s v="3637519-1458744532-264"/>
    <n v="0"/>
    <d v="2016-03-31T00:00:00"/>
    <x v="469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19-1458744532-264] [23/03/2016 at 14:48:00]"/>
  </r>
  <r>
    <s v="3637501-1458744509-126"/>
    <s v="Spot"/>
    <s v="3637501-1458744509-126"/>
    <n v="0"/>
    <d v="2016-03-31T00:00:00"/>
    <x v="470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501-1458744509-126] [23/03/2016 at 14:48:00]"/>
  </r>
  <r>
    <s v="3637498-1458744507-261"/>
    <s v="Spot"/>
    <s v="3637498-1458744507-261"/>
    <n v="0"/>
    <d v="2016-03-31T00:00:00"/>
    <x v="471"/>
    <s v="261"/>
    <s v="SELL"/>
    <n v="9.966348850252384"/>
    <x v="0"/>
    <x v="1"/>
    <n v="1066.2"/>
    <s v="Deal"/>
    <m/>
    <s v="Original Amount [EUR 106.98], Merchant Amount [EUR 106.98], Customer Amount [NOK 1066.2], Status [APPROVED], Operation [DIRECT], UUID [3637498-1458744507-261] [23/03/2016 at 14:48:00]"/>
  </r>
  <r>
    <s v="3637495-1458744506-199"/>
    <s v="Spot"/>
    <s v="3637495-1458744506-199"/>
    <n v="0"/>
    <d v="2016-03-31T00:00:00"/>
    <x v="472"/>
    <s v="199"/>
    <s v="SELL"/>
    <n v="9.966466234967621"/>
    <x v="0"/>
    <x v="1"/>
    <n v="430.95"/>
    <s v="Deal"/>
    <m/>
    <s v="Original Amount [EUR 43.24], Merchant Amount [EUR 43.24], Customer Amount [NOK 430.95], Status [APPROVED], Operation [DIRECT], UUID [3637495-1458744506-199] [23/03/2016 at 14:48:00]"/>
  </r>
  <r>
    <s v="3637486-1458744502-224"/>
    <s v="Spot"/>
    <s v="3637486-1458744502-224"/>
    <n v="0"/>
    <d v="2016-03-31T00:00:00"/>
    <x v="473"/>
    <s v="224"/>
    <s v="SELL"/>
    <n v="132.99331662489556"/>
    <x v="0"/>
    <x v="3"/>
    <n v="30246.67"/>
    <s v="Deal"/>
    <m/>
    <s v="Original Amount [EUR 227.43], Merchant Amount [EUR 227.43], Customer Amount [JPY 30246.67], Status [APPROVED], Operation [DIRECT], UUID [3637486-1458744502-224] [23/03/2016 at 14:48:00]"/>
  </r>
  <r>
    <s v="3637504-1458744513-264"/>
    <s v="Spot"/>
    <s v="3637504-1458744513-264"/>
    <n v="0"/>
    <d v="2016-03-31T00:00:00"/>
    <x v="474"/>
    <s v="264"/>
    <s v="SELL"/>
    <n v="3.3901028277634961"/>
    <x v="0"/>
    <x v="0"/>
    <n v="158.25"/>
    <s v="Deal"/>
    <m/>
    <s v="Original Amount [TRY 150], Merchant Amount [EUR 46.68], Customer Amount [TRY 158.25], Status [APPROVED], Operation [3DAUTH], UUID [3637504-1458744513-264] [23/03/2016 at 14:48:00]"/>
  </r>
  <r>
    <s v="3637465-1458744486-187"/>
    <s v="Spot"/>
    <s v="3637465-1458744486-187"/>
    <n v="0"/>
    <d v="2016-03-31T00:00:00"/>
    <x v="475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7465-1458744486-187] [23/03/2016 at 14:48:00]"/>
  </r>
  <r>
    <s v="3637462-1458744485-97"/>
    <s v="Spot"/>
    <s v="3637462-1458744485-97"/>
    <n v="0"/>
    <d v="2016-03-31T00:00:00"/>
    <x v="476"/>
    <s v="97"/>
    <s v="SELL"/>
    <n v="9.9664020675650722"/>
    <x v="0"/>
    <x v="1"/>
    <n v="539.88"/>
    <s v="Deal"/>
    <m/>
    <s v="Original Amount [EUR 54.17], Merchant Amount [EUR 54.17], Customer Amount [NOK 539.88], Status [APPROVED], Operation [DIRECT], UUID [3637462-1458744485-97] [23/03/2016 at 14:48:00]"/>
  </r>
  <r>
    <s v="3637456-1458744479-126"/>
    <s v="Spot"/>
    <s v="3637456-1458744479-126"/>
    <n v="0"/>
    <d v="2016-03-31T00:00:00"/>
    <x v="477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456-1458744479-126] [23/03/2016 at 14:47:00]"/>
  </r>
  <r>
    <s v="3637450-1458744475-119"/>
    <s v="Spot"/>
    <s v="3637450-1458744475-119"/>
    <n v="0"/>
    <d v="2016-03-31T00:00:00"/>
    <x v="47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450-1458744475-119] [23/03/2016 at 14:47:00]"/>
  </r>
  <r>
    <s v="3637435-1458744465-119"/>
    <s v="Spot"/>
    <s v="3637435-1458744465-119"/>
    <n v="0"/>
    <d v="2016-03-31T00:00:00"/>
    <x v="479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7435-1458744465-119] [23/03/2016 at 14:47:00]"/>
  </r>
  <r>
    <s v="3637423-1458744450-145"/>
    <s v="Spot"/>
    <s v="3637423-1458744450-145"/>
    <n v="0"/>
    <d v="2016-03-31T00:00:00"/>
    <x v="480"/>
    <s v="145"/>
    <s v="SELL"/>
    <n v="9.9662868316364364"/>
    <x v="0"/>
    <x v="1"/>
    <n v="1478.1"/>
    <s v="Deal"/>
    <m/>
    <s v="Original Amount [EUR 148.31], Merchant Amount [EUR 148.31], Customer Amount [NOK 1478.1], Status [APPROVED], Operation [DIRECT], UUID [3637423-1458744450-145] [23/03/2016 at 14:47:00]"/>
  </r>
  <r>
    <s v="3637483-1458744501-216"/>
    <s v="Spot"/>
    <s v="3637483-1458744501-216"/>
    <n v="0"/>
    <d v="2016-03-31T00:00:00"/>
    <x v="481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483-1458744501-216] [23/03/2016 at 14:48:00]"/>
  </r>
  <r>
    <s v="3637468-1458744490-102"/>
    <s v="Spot"/>
    <s v="3637468-1458744490-102"/>
    <n v="0"/>
    <d v="2016-03-31T00:00:00"/>
    <x v="482"/>
    <s v="102"/>
    <s v="SELL"/>
    <n v="3.3919354838709679"/>
    <x v="0"/>
    <x v="0"/>
    <n v="42.06"/>
    <s v="Deal"/>
    <m/>
    <s v="Original Amount [EUR 12.4], Merchant Amount [EUR 12.4], Customer Amount [TRY 42.06], Status [APPROVED], Operation [3DAUTH], UUID [3637468-1458744490-102] [23/03/2016 at 14:48:00]"/>
  </r>
  <r>
    <s v="3637453-1458744477-56"/>
    <s v="Spot"/>
    <s v="3637453-1458744477-56"/>
    <n v="0"/>
    <d v="2016-03-31T00:00:00"/>
    <x v="48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453-1458744477-56] [23/03/2016 at 14:47:00]"/>
  </r>
  <r>
    <s v="3637402-1458744430-224"/>
    <s v="Spot"/>
    <s v="3637402-1458744430-224"/>
    <n v="0"/>
    <d v="2016-03-31T00:00:00"/>
    <x v="484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7402-1458744430-224] [23/03/2016 at 14:47:00]"/>
  </r>
  <r>
    <s v="3637384-1458744417-261"/>
    <s v="Spot"/>
    <s v="3637384-1458744417-261"/>
    <n v="0"/>
    <d v="2016-03-31T00:00:00"/>
    <x v="485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7384-1458744417-261] [23/03/2016 at 14:46:00]"/>
  </r>
  <r>
    <s v="3637408-1458744435-56"/>
    <s v="Spot"/>
    <s v="3637408-1458744435-56"/>
    <n v="0"/>
    <d v="2016-03-31T00:00:00"/>
    <x v="486"/>
    <s v="56"/>
    <s v="SELL"/>
    <n v="3.3926229508196726"/>
    <x v="0"/>
    <x v="0"/>
    <n v="41.39"/>
    <s v="Deal"/>
    <m/>
    <s v="Original Amount [EUR 12.2], Merchant Amount [EUR 12.2], Customer Amount [TRY 41.39], Status [APPROVED], Operation [3DAUTH], UUID [3637408-1458744435-56] [23/03/2016 at 14:47:00]"/>
  </r>
  <r>
    <s v="3637372-1458744398-145"/>
    <s v="Spot"/>
    <s v="3637372-1458744398-145"/>
    <n v="0"/>
    <d v="2016-03-31T00:00:00"/>
    <x v="487"/>
    <s v="145"/>
    <s v="SELL"/>
    <n v="9.9666456891126494"/>
    <x v="0"/>
    <x v="1"/>
    <n v="158.37"/>
    <s v="Deal"/>
    <m/>
    <s v="Original Amount [EUR 15.89], Merchant Amount [EUR 15.89], Customer Amount [NOK 158.37], Status [APPROVED], Operation [DIRECT], UUID [3637372-1458744398-145] [23/03/2016 at 14:46:00]"/>
  </r>
  <r>
    <s v="3637363-1458744390-145"/>
    <s v="Spot"/>
    <s v="3637363-1458744390-145"/>
    <n v="0"/>
    <d v="2016-03-31T00:00:00"/>
    <x v="488"/>
    <s v="145"/>
    <s v="SELL"/>
    <n v="9.9663897280966776"/>
    <x v="0"/>
    <x v="1"/>
    <n v="263.91000000000003"/>
    <s v="Deal"/>
    <m/>
    <s v="Original Amount [EUR 26.48], Merchant Amount [EUR 26.48], Customer Amount [NOK 263.91], Status [APPROVED], Operation [DIRECT], UUID [3637363-1458744390-145] [23/03/2016 at 14:46:00]"/>
  </r>
  <r>
    <s v="3637360-1458744380-216"/>
    <s v="Spot"/>
    <s v="3637360-1458744380-216"/>
    <n v="0"/>
    <d v="2016-03-31T00:00:00"/>
    <x v="48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60-1458744380-216] [23/03/2016 at 14:46:00]"/>
  </r>
  <r>
    <s v="3637369-1458744397-107"/>
    <s v="Spot"/>
    <s v="3637369-1458744397-107"/>
    <n v="0"/>
    <d v="2016-03-31T00:00:00"/>
    <x v="490"/>
    <s v="107"/>
    <s v="SELL"/>
    <n v="3.3919374506850297"/>
    <x v="0"/>
    <x v="0"/>
    <n v="472.87"/>
    <s v="Deal"/>
    <m/>
    <s v="Original Amount [EUR 139.41], Merchant Amount [EUR 139.41], Customer Amount [TRY 472.87], Status [APPROVED], Operation [3DAUTH], UUID [3637369-1458744397-107] [23/03/2016 at 14:46:00]"/>
  </r>
  <r>
    <s v="3637396-1458744428-107"/>
    <s v="Spot"/>
    <s v="3637396-1458744428-107"/>
    <n v="0"/>
    <d v="2016-03-31T00:00:00"/>
    <x v="49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7396-1458744428-107] [23/03/2016 at 14:47:00]"/>
  </r>
  <r>
    <s v="3637366-1458744392-216"/>
    <s v="Spot"/>
    <s v="3637366-1458744392-216"/>
    <n v="0"/>
    <d v="2016-03-31T00:00:00"/>
    <x v="49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7366-1458744392-216] [23/03/2016 at 14:46:00]"/>
  </r>
  <r>
    <s v="3637405-1458744434-216"/>
    <s v="Spot"/>
    <s v="3637405-1458744434-216"/>
    <n v="0"/>
    <d v="2016-03-31T00:00:00"/>
    <x v="493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7405-1458744434-216] [23/03/2016 at 14:47:00]"/>
  </r>
  <r>
    <s v="3637330-1458744352-101"/>
    <s v="Spot"/>
    <s v="3637330-1458744352-101"/>
    <n v="0"/>
    <d v="2016-03-31T00:00:00"/>
    <x v="494"/>
    <s v="101"/>
    <s v="SELL"/>
    <n v="3.3920079671355663"/>
    <x v="0"/>
    <x v="0"/>
    <n v="272.48"/>
    <s v="Deal"/>
    <m/>
    <s v="Original Amount [EUR 80.33], Merchant Amount [EUR 80.33], Customer Amount [TRY 272.48], Status [WAITING], Operation [3D], UUID [3637330-1458744352-101] [23/03/2016 at 14:45:00]"/>
  </r>
  <r>
    <s v="3637327-1458744350-199"/>
    <s v="Spot"/>
    <s v="3637327-1458744350-199"/>
    <n v="0"/>
    <d v="2016-03-31T00:00:00"/>
    <x v="495"/>
    <s v="199"/>
    <s v="SELL"/>
    <n v="9.9662869635254854"/>
    <x v="0"/>
    <x v="1"/>
    <n v="866.17"/>
    <s v="Deal"/>
    <m/>
    <s v="Original Amount [EUR 86.91], Merchant Amount [EUR 86.91], Customer Amount [NOK 866.17], Status [APPROVED], Operation [DIRECT], UUID [3637327-1458744350-199] [23/03/2016 at 14:45:00]"/>
  </r>
  <r>
    <s v="3637342-1458744362-107"/>
    <s v="Spot"/>
    <s v="3637342-1458744362-107"/>
    <n v="0"/>
    <d v="2016-03-31T00:00:00"/>
    <x v="49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37342-1458744362-107] [23/03/2016 at 14:46:00]"/>
  </r>
  <r>
    <s v="3637318-1458744334-145"/>
    <s v="Spot"/>
    <s v="3637318-1458744334-145"/>
    <n v="0"/>
    <d v="2016-03-31T00:00:00"/>
    <x v="497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318-1458744334-145] [23/03/2016 at 14:45:00]"/>
  </r>
  <r>
    <s v="3637345-1458744363-216"/>
    <s v="Spot"/>
    <s v="3637345-1458744363-216"/>
    <n v="0"/>
    <d v="2016-03-31T00:00:00"/>
    <x v="498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45-1458744363-216] [23/03/2016 at 14:46:00]"/>
  </r>
  <r>
    <s v="3637303-1458744322-216"/>
    <s v="Spot"/>
    <s v="3637303-1458744322-216"/>
    <n v="0"/>
    <d v="2016-03-31T00:00:00"/>
    <x v="49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03-1458744322-216] [23/03/2016 at 14:45:00]"/>
  </r>
  <r>
    <s v="3637300-1458744322-224"/>
    <s v="Spot"/>
    <s v="3637300-1458744322-224"/>
    <n v="0"/>
    <d v="2016-03-31T00:00:00"/>
    <x v="500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300-1458744322-224] [23/03/2016 at 14:45:00]"/>
  </r>
  <r>
    <s v="3637291-1458744321-224"/>
    <s v="Spot"/>
    <s v="3637291-1458744321-224"/>
    <n v="0"/>
    <d v="2016-03-31T00:00:00"/>
    <x v="501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7291-1458744321-224] [23/03/2016 at 14:45:00]"/>
  </r>
  <r>
    <s v="3637336-1458744357-56"/>
    <s v="Spot"/>
    <s v="3637336-1458744357-56"/>
    <n v="0"/>
    <d v="2016-03-31T00:00:00"/>
    <x v="5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336-1458744357-56] [23/03/2016 at 14:45:00]"/>
  </r>
  <r>
    <s v="3637324-1458744347-216"/>
    <s v="Spot"/>
    <s v="3637324-1458744347-216"/>
    <n v="0"/>
    <d v="2016-03-31T00:00:00"/>
    <x v="503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24-1458744347-216] [23/03/2016 at 14:45:00]"/>
  </r>
  <r>
    <s v="3637273-1458744309-224"/>
    <s v="Spot"/>
    <s v="3637273-1458744309-224"/>
    <n v="0"/>
    <d v="2016-03-31T00:00:00"/>
    <x v="504"/>
    <s v="224"/>
    <s v="SELL"/>
    <n v="132.99390615478364"/>
    <x v="0"/>
    <x v="3"/>
    <n v="2182.4299999999998"/>
    <s v="Deal"/>
    <m/>
    <s v="Original Amount [EUR 16.41], Merchant Amount [EUR 16.41], Customer Amount [JPY 2182.43], Status [APPROVED], Operation [DIRECT], UUID [3637273-1458744309-224] [23/03/2016 at 14:45:00]"/>
  </r>
  <r>
    <s v="3637375-1458744400-101"/>
    <s v="Spot"/>
    <s v="3637375-1458744400-101"/>
    <n v="0"/>
    <d v="2016-03-31T00:00:00"/>
    <x v="505"/>
    <s v="101"/>
    <s v="SELL"/>
    <n v="3.3919484702093396"/>
    <x v="0"/>
    <x v="0"/>
    <n v="105.32"/>
    <s v="Deal"/>
    <m/>
    <s v="Original Amount [EUR 31.05], Merchant Amount [EUR 31.05], Customer Amount [TRY 105.32], Status [APPROVED], Operation [3DAUTH], UUID [3637375-1458744400-101] [23/03/2016 at 14:46:00]"/>
  </r>
  <r>
    <s v="3637261-1458744287-224"/>
    <s v="Spot"/>
    <s v="3637261-1458744287-224"/>
    <n v="0"/>
    <d v="2016-03-31T00:00:00"/>
    <x v="506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261-1458744287-224] [23/03/2016 at 14:44:00]"/>
  </r>
  <r>
    <s v="3637282-1458744311-56"/>
    <s v="Spot"/>
    <s v="3637282-1458744311-56"/>
    <n v="0"/>
    <d v="2016-03-31T00:00:00"/>
    <x v="507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282-1458744311-56] [23/03/2016 at 14:45:00]"/>
  </r>
  <r>
    <s v="3637240-1458744264-145"/>
    <s v="Spot"/>
    <s v="3637240-1458744264-145"/>
    <n v="0"/>
    <d v="2016-03-31T00:00:00"/>
    <x v="508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240-1458744264-145] [23/03/2016 at 14:44:00]"/>
  </r>
  <r>
    <s v="3637231-1458744261-216"/>
    <s v="Spot"/>
    <s v="3637231-1458744261-216"/>
    <n v="0"/>
    <d v="2016-03-31T00:00:00"/>
    <x v="509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231-1458744261-216] [23/03/2016 at 14:44:00]"/>
  </r>
  <r>
    <s v="3637264-1458744289-56"/>
    <s v="Spot"/>
    <s v="3637264-1458744289-56"/>
    <n v="0"/>
    <d v="2016-03-31T00:00:00"/>
    <x v="510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264-1458744289-56] [23/03/2016 at 14:44:00]"/>
  </r>
  <r>
    <s v="3637234-1458744261-56"/>
    <s v="Spot"/>
    <s v="3637234-1458744261-56"/>
    <n v="0"/>
    <d v="2016-03-31T00:00:00"/>
    <x v="511"/>
    <s v="56"/>
    <s v="SELL"/>
    <n v="3.392116182572614"/>
    <x v="0"/>
    <x v="0"/>
    <n v="130.80000000000001"/>
    <s v="Deal"/>
    <m/>
    <s v="Original Amount [EUR 38.56], Merchant Amount [EUR 38.56], Customer Amount [TRY 130.8], Status [APPROVED], Operation [3DAUTH], UUID [3637234-1458744261-56] [23/03/2016 at 14:44:00]"/>
  </r>
  <r>
    <s v="3637243-1458744266-126"/>
    <s v="Spot"/>
    <s v="3637243-1458744266-126"/>
    <n v="0"/>
    <d v="2016-03-31T00:00:00"/>
    <x v="512"/>
    <s v="126"/>
    <s v="SELL"/>
    <n v="9.9547317073170731"/>
    <x v="0"/>
    <x v="1"/>
    <n v="510.18"/>
    <s v="Deal"/>
    <m/>
    <s v="Original Amount [EUR 51.25], Merchant Amount [EUR 51.25], Customer Amount [NOK 510.18], Status [APPROVED], Operation [3DAUTH], UUID [3637243-1458744266-126] [23/03/2016 at 14:44:00]"/>
  </r>
  <r>
    <s v="3637192-1458744231-261"/>
    <s v="Spot"/>
    <s v="3637192-1458744231-261"/>
    <n v="0"/>
    <d v="2016-03-31T00:00:00"/>
    <x v="513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7192-1458744231-261] [23/03/2016 at 14:43:00]"/>
  </r>
  <r>
    <s v="3637189-1458744229-145"/>
    <s v="Spot"/>
    <s v="3637189-1458744229-145"/>
    <n v="0"/>
    <d v="2016-03-31T00:00:00"/>
    <x v="514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37189-1458744229-145] [23/03/2016 at 14:43:00]"/>
  </r>
  <r>
    <s v="3637186-1458744227-216"/>
    <s v="Spot"/>
    <s v="3637186-1458744227-216"/>
    <n v="0"/>
    <d v="2016-03-31T00:00:00"/>
    <x v="515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186-1458744227-216] [23/03/2016 at 14:43:00]"/>
  </r>
  <r>
    <s v="3637183-1458744227-261"/>
    <s v="Spot"/>
    <s v="3637183-1458744227-261"/>
    <n v="0"/>
    <d v="2016-03-31T00:00:00"/>
    <x v="516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83-1458744227-261] [23/03/2016 at 14:43:00]"/>
  </r>
  <r>
    <s v="3637180-1458744225-224"/>
    <s v="Spot"/>
    <s v="3637180-1458744225-224"/>
    <n v="0"/>
    <d v="2016-03-31T00:00:00"/>
    <x v="5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7180-1458744225-224] [23/03/2016 at 14:43:00]"/>
  </r>
  <r>
    <s v="3637177-1458744224-224"/>
    <s v="Spot"/>
    <s v="3637177-1458744224-224"/>
    <n v="0"/>
    <d v="2016-03-31T00:00:00"/>
    <x v="518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77-1458744224-224] [23/03/2016 at 14:43:00]"/>
  </r>
  <r>
    <s v="3637174-1458744221-261"/>
    <s v="Spot"/>
    <s v="3637174-1458744221-261"/>
    <n v="0"/>
    <d v="2016-03-31T00:00:00"/>
    <x v="519"/>
    <s v="261"/>
    <s v="SELL"/>
    <n v="9.9551401869158873"/>
    <x v="0"/>
    <x v="1"/>
    <n v="159.78"/>
    <s v="Deal"/>
    <m/>
    <s v="Original Amount [EUR 16.05], Merchant Amount [EUR 16.05], Customer Amount [NOK 159.78], Status [APPROVED], Operation [DIRECT], UUID [3637174-1458744221-261] [23/03/2016 at 14:43:00]"/>
  </r>
  <r>
    <s v="3637171-1458744213-224"/>
    <s v="Spot"/>
    <s v="3637171-1458744213-224"/>
    <n v="0"/>
    <d v="2016-03-31T00:00:00"/>
    <x v="520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37171-1458744213-224] [23/03/2016 at 14:43:00]"/>
  </r>
  <r>
    <s v="3637210-1458744243-216"/>
    <s v="Spot"/>
    <s v="3637210-1458744243-216"/>
    <n v="0"/>
    <d v="2016-03-31T00:00:00"/>
    <x v="521"/>
    <s v="216"/>
    <s v="SELL"/>
    <n v="3.3925767309064954"/>
    <x v="0"/>
    <x v="0"/>
    <n v="47.53"/>
    <s v="Deal"/>
    <m/>
    <s v="Original Amount [EUR 14.01], Merchant Amount [EUR 14.01], Customer Amount [TRY 47.53], Status [APPROVED], Operation [3DAUTH], UUID [3637210-1458744243-216] [23/03/2016 at 14:44:00]"/>
  </r>
  <r>
    <s v="3637156-1458744207-125"/>
    <s v="Spot"/>
    <s v="3637156-1458744207-125"/>
    <n v="0"/>
    <d v="2016-03-31T00:00:00"/>
    <x v="522"/>
    <s v="125"/>
    <s v="SELL"/>
    <n v="132.99340000000001"/>
    <x v="0"/>
    <x v="3"/>
    <n v="6649.67"/>
    <s v="Deal"/>
    <m/>
    <s v="Original Amount [EUR 50], Merchant Amount [EUR 50], Customer Amount [JPY 6649.67], Status [APPROVED], Operation [DIRECT], UUID [3637156-1458744207-125] [23/03/2016 at 14:43:00]"/>
  </r>
  <r>
    <s v="3637150-1458744203-199"/>
    <s v="Spot"/>
    <s v="3637150-1458744203-199"/>
    <n v="0"/>
    <d v="2016-03-31T00:00:00"/>
    <x v="523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150-1458744203-199] [23/03/2016 at 14:43:00]"/>
  </r>
  <r>
    <s v="3637147-1458744197-216"/>
    <s v="Spot"/>
    <s v="3637147-1458744197-216"/>
    <n v="0"/>
    <d v="2016-03-31T00:00:00"/>
    <x v="524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147-1458744197-216] [23/03/2016 at 14:43:00]"/>
  </r>
  <r>
    <s v="3637141-1458744189-224"/>
    <s v="Spot"/>
    <s v="3637141-1458744189-224"/>
    <n v="0"/>
    <d v="2016-03-31T00:00:00"/>
    <x v="525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41-1458744189-224] [23/03/2016 at 14:43:00]"/>
  </r>
  <r>
    <s v="3637138-1458744183-119"/>
    <s v="Spot"/>
    <s v="3637138-1458744183-119"/>
    <n v="0"/>
    <d v="2016-03-31T00:00:00"/>
    <x v="526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7138-1458744183-119] [23/03/2016 at 14:43:00]"/>
  </r>
  <r>
    <s v="3637162-1458744210-216"/>
    <s v="Spot"/>
    <s v="3637162-1458744210-216"/>
    <n v="0"/>
    <d v="2016-03-31T00:00:00"/>
    <x v="527"/>
    <s v="216"/>
    <s v="SELL"/>
    <n v="3.3919763806877388"/>
    <x v="0"/>
    <x v="0"/>
    <n v="195.31"/>
    <s v="Deal"/>
    <m/>
    <s v="Original Amount [EUR 57.58], Merchant Amount [EUR 57.58], Customer Amount [TRY 195.31], Status [APPROVED], Operation [3DAUTH], UUID [3637162-1458744210-216] [23/03/2016 at 14:43:00]"/>
  </r>
  <r>
    <s v="3637126-1458744170-261"/>
    <s v="Spot"/>
    <s v="3637126-1458744170-261"/>
    <n v="0"/>
    <d v="2016-03-31T00:00:00"/>
    <x v="52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26-1458744170-261] [23/03/2016 at 14:42:00]"/>
  </r>
  <r>
    <s v="3637123-1458744169-224"/>
    <s v="Spot"/>
    <s v="3637123-1458744169-224"/>
    <n v="0"/>
    <d v="2016-03-31T00:00:00"/>
    <x v="529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7123-1458744169-224] [23/03/2016 at 14:42:00]"/>
  </r>
  <r>
    <s v="3637165-1458744210-216"/>
    <s v="Spot"/>
    <s v="3637165-1458744210-216"/>
    <n v="0"/>
    <d v="2016-03-31T00:00:00"/>
    <x v="53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165-1458744210-216] [23/03/2016 at 14:43:00]"/>
  </r>
  <r>
    <s v="3637144-1458744195-261"/>
    <s v="Spot"/>
    <s v="3637144-1458744195-261"/>
    <n v="0"/>
    <d v="2016-03-31T00:00:00"/>
    <x v="531"/>
    <s v="261"/>
    <s v="SELL"/>
    <n v="9.9545709478407183"/>
    <x v="0"/>
    <x v="1"/>
    <n v="532.47"/>
    <s v="Deal"/>
    <m/>
    <s v="Original Amount [EUR 53.49], Merchant Amount [EUR 53.49], Customer Amount [NOK 532.47], Status [APPROVED], Operation [3DAUTH], UUID [3637144-1458744195-261] [23/03/2016 at 14:43:00]"/>
  </r>
  <r>
    <s v="3637108-1458744148-107"/>
    <s v="Spot"/>
    <s v="3637108-1458744148-107"/>
    <n v="0"/>
    <d v="2016-03-31T00:00:00"/>
    <x v="532"/>
    <s v="107"/>
    <s v="SELL"/>
    <n v="3.3921885087153001"/>
    <x v="0"/>
    <x v="0"/>
    <n v="105.09"/>
    <s v="Deal"/>
    <m/>
    <s v="Original Amount [EUR 30.98], Merchant Amount [EUR 30.98], Customer Amount [TRY 105.09], Status [WAITING], Operation [3D], UUID [3637108-1458744148-107] [23/03/2016 at 14:42:00]"/>
  </r>
  <r>
    <s v="3637105-1458744147-187"/>
    <s v="Spot"/>
    <s v="3637105-1458744147-187"/>
    <n v="0"/>
    <d v="2016-03-31T00:00:00"/>
    <x v="533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7105-1458744147-187] [23/03/2016 at 14:42:00]"/>
  </r>
  <r>
    <s v="3637129-1458744172-101"/>
    <s v="Spot"/>
    <s v="3637129-1458744172-101"/>
    <n v="0"/>
    <d v="2016-03-31T00:00:00"/>
    <x v="534"/>
    <s v="101"/>
    <s v="SELL"/>
    <n v="3.3919809593555477"/>
    <x v="0"/>
    <x v="0"/>
    <n v="185.27"/>
    <s v="Deal"/>
    <m/>
    <s v="Original Amount [EUR 54.62], Merchant Amount [EUR 54.62], Customer Amount [TRY 185.27], Status [APPROVED], Operation [3DAUTH], UUID [3637129-1458744172-101] [23/03/2016 at 14:42:00]"/>
  </r>
  <r>
    <s v="3637093-1458744142-216"/>
    <s v="Spot"/>
    <s v="3637093-1458744142-216"/>
    <n v="0"/>
    <d v="2016-03-31T00:00:00"/>
    <x v="535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093-1458744142-216] [23/03/2016 at 14:42:00]"/>
  </r>
  <r>
    <s v="3637081-1458744128-145"/>
    <s v="Spot"/>
    <s v="3637081-1458744128-145"/>
    <n v="0"/>
    <d v="2016-03-31T00:00:00"/>
    <x v="536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081-1458744128-145] [23/03/2016 at 14:42:00]"/>
  </r>
  <r>
    <s v="3637078-1458744120-224"/>
    <s v="Spot"/>
    <s v="3637078-1458744120-224"/>
    <n v="0"/>
    <d v="2016-03-31T00:00:00"/>
    <x v="537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7078-1458744120-224] [23/03/2016 at 14:42:00]"/>
  </r>
  <r>
    <s v="3637075-1458744115-199"/>
    <s v="Spot"/>
    <s v="3637075-1458744115-199"/>
    <n v="0"/>
    <d v="2016-03-31T00:00:00"/>
    <x v="53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7075-1458744115-199] [23/03/2016 at 14:41:00]"/>
  </r>
  <r>
    <s v="3637090-1458744141-56"/>
    <s v="Spot"/>
    <s v="3637090-1458744141-56"/>
    <n v="0"/>
    <d v="2016-03-31T00:00:00"/>
    <x v="539"/>
    <s v="56"/>
    <s v="SELL"/>
    <n v="3.395392698369931"/>
    <x v="0"/>
    <x v="0"/>
    <n v="252.04"/>
    <s v="Deal"/>
    <m/>
    <s v="Original Amount [EUR 74.23], Merchant Amount [EUR 74.23], Customer Amount [TRY 252.04], Status [APPROVED], Operation [3DAUTH], UUID [3637090-1458744141-56] [23/03/2016 at 14:42:00]"/>
  </r>
  <r>
    <s v="3637063-1458744094-200"/>
    <s v="Spot"/>
    <s v="3637063-1458744094-200"/>
    <n v="0"/>
    <d v="2016-03-31T00:00:00"/>
    <x v="540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37063-1458744094-200] [23/03/2016 at 14:41:00]"/>
  </r>
  <r>
    <s v="3637054-1458744087-119"/>
    <s v="Spot"/>
    <s v="3637054-1458744087-119"/>
    <n v="0"/>
    <d v="2016-03-31T00:00:00"/>
    <x v="541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54-1458744087-119] [23/03/2016 at 14:41:00]"/>
  </r>
  <r>
    <s v="3637051-1458744086-126"/>
    <s v="Spot"/>
    <s v="3637051-1458744086-126"/>
    <n v="0"/>
    <d v="2016-03-31T00:00:00"/>
    <x v="542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051-1458744086-126] [23/03/2016 at 14:41:00]"/>
  </r>
  <r>
    <s v="3637027-1458744063-216"/>
    <s v="Spot"/>
    <s v="3637027-1458744063-216"/>
    <n v="0"/>
    <d v="2016-03-31T00:00:00"/>
    <x v="543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7027-1458744063-216] [23/03/2016 at 14:41:00]"/>
  </r>
  <r>
    <s v="3637024-1458744062-145"/>
    <s v="Spot"/>
    <s v="3637024-1458744062-145"/>
    <n v="0"/>
    <d v="2016-03-31T00:00:00"/>
    <x v="544"/>
    <s v="145"/>
    <s v="SELL"/>
    <n v="1.5513900178832709"/>
    <x v="0"/>
    <x v="2"/>
    <n v="477.13"/>
    <s v="Deal"/>
    <m/>
    <s v="Original Amount [EUR 307.55], Merchant Amount [EUR 307.55], Customer Amount [CAD 477.13], Status [APPROVED], Operation [DIRECT], UUID [3637024-1458744062-145] [23/03/2016 at 14:41:00]"/>
  </r>
  <r>
    <s v="3637015-1458744059-119"/>
    <s v="Spot"/>
    <s v="3637015-1458744059-119"/>
    <n v="0"/>
    <d v="2016-03-31T00:00:00"/>
    <x v="54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15-1458744059-119] [23/03/2016 at 14:40:00]"/>
  </r>
  <r>
    <s v="3637009-1458744052-126"/>
    <s v="Spot"/>
    <s v="3637009-1458744052-126"/>
    <n v="0"/>
    <d v="2016-03-31T00:00:00"/>
    <x v="546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7009-1458744052-126] [23/03/2016 at 14:40:00]"/>
  </r>
  <r>
    <s v="3637006-1458744051-224"/>
    <s v="Spot"/>
    <s v="3637006-1458744051-224"/>
    <n v="0"/>
    <d v="2016-03-31T00:00:00"/>
    <x v="547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006-1458744051-224] [23/03/2016 at 14:40:00]"/>
  </r>
  <r>
    <s v="3637000-1458744043-145"/>
    <s v="Spot"/>
    <s v="3637000-1458744043-145"/>
    <n v="0"/>
    <d v="2016-03-31T00:00:00"/>
    <x v="548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7000-1458744043-145] [23/03/2016 at 14:40:00]"/>
  </r>
  <r>
    <s v="3637045-1458744072-216"/>
    <s v="Spot"/>
    <s v="3637045-1458744072-216"/>
    <n v="0"/>
    <d v="2016-03-31T00:00:00"/>
    <x v="549"/>
    <s v="216"/>
    <s v="SELL"/>
    <n v="3.3953331078796078"/>
    <x v="0"/>
    <x v="0"/>
    <n v="100.4"/>
    <s v="Deal"/>
    <m/>
    <s v="Original Amount [EUR 29.57], Merchant Amount [EUR 29.57], Customer Amount [TRY 100.4], Status [APPROVED], Operation [3DAUTH], UUID [3637045-1458744072-216] [23/03/2016 at 14:41:00]"/>
  </r>
  <r>
    <s v="3637039-1458744071-119"/>
    <s v="Spot"/>
    <s v="3637039-1458744071-119"/>
    <n v="0"/>
    <d v="2016-03-31T00:00:00"/>
    <x v="550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7039-1458744071-119] [23/03/2016 at 14:41:00]"/>
  </r>
  <r>
    <s v="3636982-1458744035-199"/>
    <s v="Spot"/>
    <s v="3636982-1458744035-199"/>
    <n v="0"/>
    <d v="2016-03-31T00:00:00"/>
    <x v="551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6982-1458744035-199] [23/03/2016 at 14:40:00]"/>
  </r>
  <r>
    <s v="3636973-1458744032-224"/>
    <s v="Spot"/>
    <s v="3636973-1458744032-224"/>
    <n v="0"/>
    <d v="2016-03-31T00:00:00"/>
    <x v="55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73-1458744032-224] [23/03/2016 at 14:40:00]"/>
  </r>
  <r>
    <s v="3637003-1458744047-107"/>
    <s v="Spot"/>
    <s v="3637003-1458744047-107"/>
    <n v="0"/>
    <d v="2016-03-31T00:00:00"/>
    <x v="553"/>
    <s v="107"/>
    <s v="SELL"/>
    <n v="3.3954802259887003"/>
    <x v="0"/>
    <x v="0"/>
    <n v="84.14"/>
    <s v="Deal"/>
    <m/>
    <s v="Original Amount [EUR 24.78], Merchant Amount [EUR 24.78], Customer Amount [TRY 84.14], Status [APPROVED], Operation [3DAUTH], UUID [3637003-1458744047-107] [23/03/2016 at 14:40:00]"/>
  </r>
  <r>
    <s v="3636964-1458744020-199"/>
    <s v="Spot"/>
    <s v="3636964-1458744020-199"/>
    <n v="0"/>
    <d v="2016-03-31T00:00:00"/>
    <x v="554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6964-1458744020-199] [23/03/2016 at 14:40:00]"/>
  </r>
  <r>
    <s v="3636958-1458744018-224"/>
    <s v="Spot"/>
    <s v="3636958-1458744018-224"/>
    <n v="0"/>
    <d v="2016-03-31T00:00:00"/>
    <x v="555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58-1458744018-224] [23/03/2016 at 14:40:00]"/>
  </r>
  <r>
    <s v="3637036-1458744068-216"/>
    <s v="Spot"/>
    <s v="3637036-1458744068-216"/>
    <n v="0"/>
    <d v="2016-03-31T00:00:00"/>
    <x v="556"/>
    <s v="216"/>
    <s v="SELL"/>
    <n v="3.3955943093162002"/>
    <x v="0"/>
    <x v="0"/>
    <n v="73.989999999999995"/>
    <s v="Deal"/>
    <m/>
    <s v="Original Amount [EUR 21.79], Merchant Amount [EUR 21.79], Customer Amount [TRY 73.99], Status [APPROVED], Operation [3DAUTH], UUID [3637036-1458744068-216] [23/03/2016 at 14:41:00]"/>
  </r>
  <r>
    <s v="3636976-1458744032-56"/>
    <s v="Spot"/>
    <s v="3636976-1458744032-56"/>
    <n v="0"/>
    <d v="2016-03-31T00:00:00"/>
    <x v="557"/>
    <s v="56"/>
    <s v="SELL"/>
    <n v="3.3953188748121108"/>
    <x v="0"/>
    <x v="0"/>
    <n v="158.12"/>
    <s v="Deal"/>
    <m/>
    <s v="Original Amount [EUR 46.57], Merchant Amount [EUR 46.57], Customer Amount [TRY 158.12], Status [APPROVED], Operation [3DAUTH], UUID [3636976-1458744032-56] [23/03/2016 at 14:40:00]"/>
  </r>
  <r>
    <s v="3636952-1458744009-56"/>
    <s v="Spot"/>
    <s v="3636952-1458744009-56"/>
    <n v="0"/>
    <d v="2016-03-31T00:00:00"/>
    <x v="55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952-1458744009-56] [23/03/2016 at 14:40:00]"/>
  </r>
  <r>
    <s v="3636979-1458744034-56"/>
    <s v="Spot"/>
    <s v="3636979-1458744034-56"/>
    <n v="0"/>
    <d v="2016-03-31T00:00:00"/>
    <x v="559"/>
    <s v="56"/>
    <s v="SELL"/>
    <n v="3.3956386292834893"/>
    <x v="0"/>
    <x v="0"/>
    <n v="32.700000000000003"/>
    <s v="Deal"/>
    <m/>
    <s v="Original Amount [EUR 9.63], Merchant Amount [EUR 9.63], Customer Amount [TRY 32.7], Status [APPROVED], Operation [3DAUTH], UUID [3636979-1458744034-56] [23/03/2016 at 14:40:00]"/>
  </r>
  <r>
    <s v="3636913-1458743974-145"/>
    <s v="Spot"/>
    <s v="3636913-1458743974-145"/>
    <n v="0"/>
    <d v="2016-03-31T00:00:00"/>
    <x v="560"/>
    <s v="145"/>
    <s v="SELL"/>
    <n v="1.5515071700321919"/>
    <x v="0"/>
    <x v="2"/>
    <n v="106.03"/>
    <s v="Deal"/>
    <m/>
    <s v="Original Amount [EUR 68.34], Merchant Amount [EUR 68.34], Customer Amount [CAD 106.03], Status [APPROVED], Operation [DIRECT], UUID [3636913-1458743974-145] [23/03/2016 at 14:39:00]"/>
  </r>
  <r>
    <s v="3636898-1458743949-126"/>
    <s v="Spot"/>
    <s v="3636898-1458743949-126"/>
    <n v="0"/>
    <d v="2016-03-31T00:00:00"/>
    <x v="561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6898-1458743949-126] [23/03/2016 at 14:39:00]"/>
  </r>
  <r>
    <s v="3636946-1458744001-216"/>
    <s v="Spot"/>
    <s v="3636946-1458744001-216"/>
    <n v="0"/>
    <d v="2016-03-31T00:00:00"/>
    <x v="562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946-1458744001-216] [23/03/2016 at 14:40:00]"/>
  </r>
  <r>
    <s v="3636886-1458743934-119"/>
    <s v="Spot"/>
    <s v="3636886-1458743934-119"/>
    <n v="0"/>
    <d v="2016-03-31T00:00:00"/>
    <x v="563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886-1458743934-119] [23/03/2016 at 14:38:00]"/>
  </r>
  <r>
    <s v="3636877-1458743928-119"/>
    <s v="Spot"/>
    <s v="3636877-1458743928-119"/>
    <n v="0"/>
    <d v="2016-03-31T00:00:00"/>
    <x v="56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877-1458743928-119] [23/03/2016 at 14:38:00]"/>
  </r>
  <r>
    <s v="3636943-1458743994-196"/>
    <s v="Spot"/>
    <s v="3636943-1458743994-196"/>
    <n v="0"/>
    <d v="2016-03-31T00:00:00"/>
    <x v="565"/>
    <s v="196"/>
    <s v="SELL"/>
    <n v="9.9507015547971172"/>
    <x v="0"/>
    <x v="1"/>
    <n v="262.39999999999998"/>
    <s v="Deal"/>
    <m/>
    <s v="Original Amount [EUR 26.37], Merchant Amount [EUR 26.37], Customer Amount [NOK 262.4], Status [APPROVED], Operation [3DAUTH], UUID [3636943-1458743994-196] [23/03/2016 at 14:39:00]"/>
  </r>
  <r>
    <s v="3636895-1458743944-101"/>
    <s v="Spot"/>
    <s v="3636895-1458743944-101"/>
    <n v="0"/>
    <d v="2016-03-31T00:00:00"/>
    <x v="566"/>
    <s v="101"/>
    <s v="SELL"/>
    <n v="3.3880239520958084"/>
    <x v="0"/>
    <x v="0"/>
    <n v="28.29"/>
    <s v="Deal"/>
    <m/>
    <s v="Original Amount [EUR 8.35], Merchant Amount [EUR 8.35], Customer Amount [TRY 28.29], Status [APPROVED], Operation [3DAUTH], UUID [3636895-1458743944-101] [23/03/2016 at 14:39:00]"/>
  </r>
  <r>
    <s v="3636868-1458743919-119"/>
    <s v="Spot"/>
    <s v="3636868-1458743919-119"/>
    <n v="0"/>
    <d v="2016-03-31T00:00:00"/>
    <x v="567"/>
    <s v="119"/>
    <s v="SELL"/>
    <n v="9.9505714285714273"/>
    <x v="0"/>
    <x v="1"/>
    <n v="3482.7"/>
    <s v="Deal"/>
    <m/>
    <s v="Original Amount [EUR 350], Merchant Amount [EUR 350], Customer Amount [NOK 3482.7], Status [APPROVED], Operation [DIRECT], UUID [3636868-1458743919-119] [23/03/2016 at 14:38:00]"/>
  </r>
  <r>
    <s v="3636880-1458743932-102"/>
    <s v="Spot"/>
    <s v="3636880-1458743932-102"/>
    <n v="0"/>
    <d v="2016-03-31T00:00:00"/>
    <x v="568"/>
    <s v="102"/>
    <s v="SELL"/>
    <n v="3.3881720430107527"/>
    <x v="0"/>
    <x v="0"/>
    <n v="94.53"/>
    <s v="Deal"/>
    <m/>
    <s v="Original Amount [EUR 27.9], Merchant Amount [EUR 27.9], Customer Amount [TRY 94.53], Status [APPROVED], Operation [3DAUTH], UUID [3636880-1458743932-102] [23/03/2016 at 14:38:00]"/>
  </r>
  <r>
    <s v="3636856-1458743905-224"/>
    <s v="Spot"/>
    <s v="3636856-1458743905-224"/>
    <n v="0"/>
    <d v="2016-03-31T00:00:00"/>
    <x v="569"/>
    <s v="224"/>
    <s v="SELL"/>
    <n v="9.9507822685788803"/>
    <x v="0"/>
    <x v="1"/>
    <n v="305.29000000000002"/>
    <s v="Deal"/>
    <m/>
    <s v="Original Amount [EUR 30.68], Merchant Amount [EUR 30.68], Customer Amount [NOK 305.29], Status [APPROVED], Operation [DIRECT], UUID [3636856-1458743905-224] [23/03/2016 at 14:38:00]"/>
  </r>
  <r>
    <s v="3636853-1458743904-224"/>
    <s v="Spot"/>
    <s v="3636853-1458743904-224"/>
    <n v="0"/>
    <d v="2016-03-31T00:00:00"/>
    <x v="570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6853-1458743904-224] [23/03/2016 at 14:38:00]"/>
  </r>
  <r>
    <s v="3636847-1458743899-216"/>
    <s v="Spot"/>
    <s v="3636847-1458743899-216"/>
    <n v="0"/>
    <d v="2016-03-31T00:00:00"/>
    <x v="571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47-1458743899-216] [23/03/2016 at 14:38:00]"/>
  </r>
  <r>
    <s v="3636835-1458743881-145"/>
    <s v="Spot"/>
    <s v="3636835-1458743881-145"/>
    <n v="0"/>
    <d v="2016-03-31T00:00:00"/>
    <x v="572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835-1458743881-145] [23/03/2016 at 14:38:00]"/>
  </r>
  <r>
    <s v="3636832-1458743880-261"/>
    <s v="Spot"/>
    <s v="3636832-1458743880-261"/>
    <n v="0"/>
    <d v="2016-03-31T00:00:00"/>
    <x v="573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6832-1458743880-261] [23/03/2016 at 14:38:00]"/>
  </r>
  <r>
    <s v="3636805-1458743852-216"/>
    <s v="Spot"/>
    <s v="3636805-1458743852-216"/>
    <n v="0"/>
    <d v="2016-03-31T00:00:00"/>
    <x v="574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05-1458743852-216] [23/03/2016 at 14:37:00]"/>
  </r>
  <r>
    <s v="3636799-1458743846-199"/>
    <s v="Spot"/>
    <s v="3636799-1458743846-199"/>
    <n v="0"/>
    <d v="2016-03-31T00:00:00"/>
    <x v="575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6799-1458743846-199] [23/03/2016 at 14:37:00]"/>
  </r>
  <r>
    <s v="3636796-1458743844-224"/>
    <s v="Spot"/>
    <s v="3636796-1458743844-224"/>
    <n v="0"/>
    <d v="2016-03-31T00:00:00"/>
    <x v="576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796-1458743844-224] [23/03/2016 at 14:37:00]"/>
  </r>
  <r>
    <s v="3636910-1458743974-216"/>
    <s v="Spot"/>
    <s v="3636910-1458743974-216"/>
    <n v="0"/>
    <d v="2016-03-31T00:00:00"/>
    <x v="577"/>
    <s v="216"/>
    <s v="SELL"/>
    <n v="3.3878316805146071"/>
    <x v="0"/>
    <x v="0"/>
    <n v="126.4"/>
    <s v="Deal"/>
    <m/>
    <s v="Original Amount [EUR 37.31], Merchant Amount [EUR 37.31], Customer Amount [TRY 126.4], Status [APPROVED], Operation [3DAUTH], UUID [3636910-1458743974-216] [23/03/2016 at 14:39:00]"/>
  </r>
  <r>
    <s v="3636784-1458743837-216"/>
    <s v="Spot"/>
    <s v="3636784-1458743837-216"/>
    <n v="0"/>
    <d v="2016-03-31T00:00:00"/>
    <x v="578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784-1458743837-216] [23/03/2016 at 14:37:00]"/>
  </r>
  <r>
    <s v="3636775-1458743813-261"/>
    <s v="Spot"/>
    <s v="3636775-1458743813-261"/>
    <n v="0"/>
    <d v="2016-03-31T00:00:00"/>
    <x v="579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775-1458743813-261] [23/03/2016 at 14:36:00]"/>
  </r>
  <r>
    <s v="3636772-1458743811-126"/>
    <s v="Spot"/>
    <s v="3636772-1458743811-126"/>
    <n v="0"/>
    <d v="2016-03-31T00:00:00"/>
    <x v="580"/>
    <s v="126"/>
    <s v="SELL"/>
    <n v="9.9505691056910557"/>
    <x v="0"/>
    <x v="1"/>
    <n v="4589.7"/>
    <s v="Deal"/>
    <m/>
    <s v="Original Amount [EUR 461.25], Merchant Amount [EUR 461.25], Customer Amount [NOK 4589.7], Status [APPROVED], Operation [DIRECT], UUID [3636772-1458743811-126] [23/03/2016 at 14:36:00]"/>
  </r>
  <r>
    <s v="3636769-1458743806-224"/>
    <s v="Spot"/>
    <s v="3636769-1458743806-224"/>
    <n v="0"/>
    <d v="2016-03-31T00:00:00"/>
    <x v="581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6769-1458743806-224] [23/03/2016 at 14:36:00]"/>
  </r>
  <r>
    <s v="3636754-1458743800-124"/>
    <s v="Spot"/>
    <s v="3636754-1458743800-124"/>
    <n v="0"/>
    <d v="2016-03-31T00:00:00"/>
    <x v="582"/>
    <s v="124"/>
    <s v="SELL"/>
    <n v="9.9508816120906811"/>
    <x v="0"/>
    <x v="1"/>
    <n v="158.02000000000001"/>
    <s v="Deal"/>
    <m/>
    <s v="Original Amount [EUR 15.88], Merchant Amount [EUR 15.88], Customer Amount [NOK 158.02], Status [APPROVED], Operation [DIRECT], UUID [3636754-1458743800-124] [23/03/2016 at 14:36:00]"/>
  </r>
  <r>
    <s v="3636808-1458743853-216"/>
    <s v="Spot"/>
    <s v="3636808-1458743853-216"/>
    <n v="0"/>
    <d v="2016-03-31T00:00:00"/>
    <x v="583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808-1458743853-216] [23/03/2016 at 14:37:00]"/>
  </r>
  <r>
    <s v="3636739-1458743787-126"/>
    <s v="Spot"/>
    <s v="3636739-1458743787-126"/>
    <n v="0"/>
    <d v="2016-03-31T00:00:00"/>
    <x v="584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6739-1458743787-126] [23/03/2016 at 14:36:00]"/>
  </r>
  <r>
    <s v="3636760-1458743804-216"/>
    <s v="Spot"/>
    <s v="3636760-1458743804-216"/>
    <n v="0"/>
    <d v="2016-03-31T00:00:00"/>
    <x v="58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760-1458743804-216] [23/03/2016 at 14:36:00]"/>
  </r>
  <r>
    <s v="3636763-1458743804-216"/>
    <s v="Spot"/>
    <s v="3636763-1458743804-216"/>
    <n v="0"/>
    <d v="2016-03-31T00:00:00"/>
    <x v="586"/>
    <s v="216"/>
    <s v="SELL"/>
    <n v="3.3879476731717775"/>
    <x v="0"/>
    <x v="0"/>
    <n v="157.97999999999999"/>
    <s v="Deal"/>
    <m/>
    <s v="Original Amount [EUR 46.63], Merchant Amount [EUR 46.63], Customer Amount [TRY 157.98], Status [APPROVED], Operation [3DAUTH], UUID [3636763-1458743804-216] [23/03/2016 at 14:36:00]"/>
  </r>
  <r>
    <s v="3636709-1458743754-119"/>
    <s v="Spot"/>
    <s v="3636709-1458743754-119"/>
    <n v="0"/>
    <d v="2016-03-31T00:00:00"/>
    <x v="587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709-1458743754-119] [23/03/2016 at 14:35:00]"/>
  </r>
  <r>
    <s v="3636736-1458743785-56"/>
    <s v="Spot"/>
    <s v="3636736-1458743785-56"/>
    <n v="0"/>
    <d v="2016-03-31T00:00:00"/>
    <x v="588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6736-1458743785-56] [23/03/2016 at 14:36:00]"/>
  </r>
  <r>
    <s v="3636694-1458743744-126"/>
    <s v="Spot"/>
    <s v="3636694-1458743744-126"/>
    <n v="0"/>
    <d v="2016-03-31T00:00:00"/>
    <x v="589"/>
    <s v="126"/>
    <s v="SELL"/>
    <n v="9.9505691056910575"/>
    <x v="0"/>
    <x v="1"/>
    <n v="1529.9"/>
    <s v="Deal"/>
    <m/>
    <s v="Original Amount [EUR 153.75], Merchant Amount [EUR 153.75], Customer Amount [NOK 1529.9], Status [APPROVED], Operation [DIRECT], UUID [3636694-1458743744-126] [23/03/2016 at 14:35:00]"/>
  </r>
  <r>
    <s v="3636673-1458743731-187"/>
    <s v="Spot"/>
    <s v="3636673-1458743731-187"/>
    <n v="0"/>
    <d v="2016-03-31T00:00:00"/>
    <x v="590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6673-1458743731-187] [23/03/2016 at 14:35:00]"/>
  </r>
  <r>
    <s v="3636781-1458743828-101"/>
    <s v="Spot"/>
    <s v="3636781-1458743828-101"/>
    <n v="0"/>
    <d v="2016-03-31T00:00:00"/>
    <x v="591"/>
    <s v="101"/>
    <s v="SELL"/>
    <n v="3.3955938697318011"/>
    <x v="0"/>
    <x v="0"/>
    <n v="70.900000000000006"/>
    <s v="Deal"/>
    <m/>
    <s v="Original Amount [EUR 20.88], Merchant Amount [EUR 20.88], Customer Amount [TRY 70.9], Status [APPROVED], Operation [3DAUTH], UUID [3636781-1458743828-101] [23/03/2016 at 14:37:00]"/>
  </r>
  <r>
    <s v="3636667-1458743729-224"/>
    <s v="Spot"/>
    <s v="3636667-1458743729-224"/>
    <n v="0"/>
    <d v="2016-03-31T00:00:00"/>
    <x v="592"/>
    <s v="224"/>
    <s v="SELL"/>
    <n v="133.03761377344009"/>
    <x v="0"/>
    <x v="3"/>
    <n v="12131.7"/>
    <s v="Deal"/>
    <m/>
    <s v="Original Amount [EUR 91.19], Merchant Amount [EUR 91.19], Customer Amount [JPY 12131.7], Status [APPROVED], Operation [DIRECT], UUID [3636667-1458743729-224] [23/03/2016 at 14:35:00]"/>
  </r>
  <r>
    <s v="3636664-1458743728-224"/>
    <s v="Spot"/>
    <s v="3636664-1458743728-224"/>
    <n v="0"/>
    <d v="2016-03-31T00:00:00"/>
    <x v="593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6664-1458743728-224] [23/03/2016 at 14:35:00]"/>
  </r>
  <r>
    <s v="3636703-1458743752-216"/>
    <s v="Spot"/>
    <s v="3636703-1458743752-216"/>
    <n v="0"/>
    <d v="2016-03-31T00:00:00"/>
    <x v="594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703-1458743752-216] [23/03/2016 at 14:35:00]"/>
  </r>
  <r>
    <s v="3636649-1458743699-124"/>
    <s v="Spot"/>
    <s v="3636649-1458743699-124"/>
    <n v="0"/>
    <d v="2016-03-31T00:00:00"/>
    <x v="595"/>
    <s v="124"/>
    <s v="SELL"/>
    <n v="9.950897072710104"/>
    <x v="0"/>
    <x v="1"/>
    <n v="210.76"/>
    <s v="Deal"/>
    <m/>
    <s v="Original Amount [EUR 21.18], Merchant Amount [EUR 21.18], Customer Amount [NOK 210.76], Status [APPROVED], Operation [DIRECT], UUID [3636649-1458743699-124] [23/03/2016 at 14:34:00]"/>
  </r>
  <r>
    <s v="3636646-1458743696-216"/>
    <s v="Spot"/>
    <s v="3636646-1458743696-216"/>
    <n v="0"/>
    <d v="2016-03-31T00:00:00"/>
    <x v="596"/>
    <s v="216"/>
    <s v="SELL"/>
    <n v="3.3956801470588234"/>
    <x v="0"/>
    <x v="0"/>
    <n v="73.89"/>
    <s v="Deal"/>
    <m/>
    <s v="Original Amount [EUR 21.76], Merchant Amount [EUR 21.76], Customer Amount [TRY 73.89], Status [WAITING], Operation [3D], UUID [3636646-1458743696-216] [23/03/2016 at 14:34:00]"/>
  </r>
  <r>
    <s v="3636676-1458743731-216"/>
    <s v="Spot"/>
    <s v="3636676-1458743731-216"/>
    <n v="0"/>
    <d v="2016-03-31T00:00:00"/>
    <x v="597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676-1458743731-216] [23/03/2016 at 14:35:00]"/>
  </r>
  <r>
    <s v="3636658-1458743715-56"/>
    <s v="Spot"/>
    <s v="3636658-1458743715-56"/>
    <n v="0"/>
    <d v="2016-03-31T00:00:00"/>
    <x v="59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658-1458743715-56] [23/03/2016 at 14:35:00]"/>
  </r>
  <r>
    <s v="3636628-1458743672-145"/>
    <s v="Spot"/>
    <s v="3636628-1458743672-145"/>
    <n v="0"/>
    <d v="2016-03-31T00:00:00"/>
    <x v="599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628-1458743672-145] [23/03/2016 at 14:34:00]"/>
  </r>
  <r>
    <s v="3636616-1458743660-199"/>
    <s v="Spot"/>
    <s v="3636616-1458743660-199"/>
    <n v="0"/>
    <d v="2016-03-31T00:00:00"/>
    <x v="600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36616-1458743660-199] [23/03/2016 at 14:34:00]"/>
  </r>
  <r>
    <s v="3636613-1458743656-261"/>
    <s v="Spot"/>
    <s v="3636613-1458743656-261"/>
    <n v="0"/>
    <d v="2016-03-31T00:00:00"/>
    <x v="601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613-1458743656-261] [23/03/2016 at 14:34:00]"/>
  </r>
  <r>
    <s v="3636610-1458743652-119"/>
    <s v="Spot"/>
    <s v="3636610-1458743652-119"/>
    <n v="0"/>
    <d v="2016-03-31T00:00:00"/>
    <x v="602"/>
    <s v="119"/>
    <s v="SELL"/>
    <n v="9.950566666666667"/>
    <x v="0"/>
    <x v="1"/>
    <n v="2985.17"/>
    <s v="Deal"/>
    <m/>
    <s v="Original Amount [EUR 300], Merchant Amount [EUR 300], Customer Amount [NOK 2985.17], Status [APPROVED], Operation [DIRECT], UUID [3636610-1458743652-119] [23/03/2016 at 14:34:00]"/>
  </r>
  <r>
    <s v="3636640-1458743692-216"/>
    <s v="Spot"/>
    <s v="3636640-1458743692-216"/>
    <n v="0"/>
    <d v="2016-03-31T00:00:00"/>
    <x v="603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640-1458743692-216] [23/03/2016 at 14:34:00]"/>
  </r>
  <r>
    <s v="3636601-1458743650-119"/>
    <s v="Spot"/>
    <s v="3636601-1458743650-119"/>
    <n v="0"/>
    <d v="2016-03-31T00:00:00"/>
    <x v="6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601-1458743650-119] [23/03/2016 at 14:34:00]"/>
  </r>
  <r>
    <s v="3636598-1458743648-200"/>
    <s v="Spot"/>
    <s v="3636598-1458743648-200"/>
    <n v="0"/>
    <d v="2016-03-31T00:00:00"/>
    <x v="605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6598-1458743648-200] [23/03/2016 at 14:34:00]"/>
  </r>
  <r>
    <s v="3636583-1458743641-119"/>
    <s v="Spot"/>
    <s v="3636583-1458743641-119"/>
    <n v="0"/>
    <d v="2016-03-31T00:00:00"/>
    <x v="60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583-1458743641-119] [23/03/2016 at 14:34:00]"/>
  </r>
  <r>
    <s v="3636622-1458743660-216"/>
    <s v="Spot"/>
    <s v="3636622-1458743660-216"/>
    <n v="0"/>
    <d v="2016-03-31T00:00:00"/>
    <x v="607"/>
    <s v="216"/>
    <s v="SELL"/>
    <n v="3.3954276037256563"/>
    <x v="0"/>
    <x v="0"/>
    <n v="40.1"/>
    <s v="Deal"/>
    <m/>
    <s v="Original Amount [EUR 11.81], Merchant Amount [EUR 11.81], Customer Amount [TRY 40.1], Status [APPROVED], Operation [3DAUTH], UUID [3636622-1458743660-216] [23/03/2016 at 14:34:00]"/>
  </r>
  <r>
    <s v="3636538-1458743606-216"/>
    <s v="Spot"/>
    <s v="3636538-1458743606-216"/>
    <n v="0"/>
    <d v="2016-03-31T00:00:00"/>
    <x v="608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538-1458743606-216] [23/03/2016 at 14:33:00]"/>
  </r>
  <r>
    <s v="3636535-1458743606-199"/>
    <s v="Spot"/>
    <s v="3636535-1458743606-199"/>
    <n v="0"/>
    <d v="2016-03-31T00:00:00"/>
    <x v="609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6535-1458743606-199] [23/03/2016 at 14:33:00]"/>
  </r>
  <r>
    <s v="3636595-1458743647-216"/>
    <s v="Spot"/>
    <s v="3636595-1458743647-216"/>
    <n v="0"/>
    <d v="2016-03-31T00:00:00"/>
    <x v="610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595-1458743647-216] [23/03/2016 at 14:34:00]"/>
  </r>
  <r>
    <s v="3636589-1458743642-154"/>
    <s v="Spot"/>
    <s v="3636589-1458743642-154"/>
    <n v="0"/>
    <d v="2016-03-31T00:00:00"/>
    <x v="611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589-1458743642-154] [23/03/2016 at 14:34:00]"/>
  </r>
  <r>
    <s v="3636571-1458743629-150"/>
    <s v="Spot"/>
    <s v="3636571-1458743629-150"/>
    <n v="0"/>
    <d v="2016-03-31T00:00:00"/>
    <x v="612"/>
    <s v="150"/>
    <s v="SELL"/>
    <n v="3.3956582633053225"/>
    <x v="0"/>
    <x v="0"/>
    <n v="48.49"/>
    <s v="Deal"/>
    <m/>
    <s v="Original Amount [EUR 14.28], Merchant Amount [EUR 14.28], Customer Amount [TRY 48.49], Status [APPROVED], Operation [3DAUTH], UUID [3636571-1458743629-150] [23/03/2016 at 14:33:00]"/>
  </r>
  <r>
    <s v="3636505-1458743575-224"/>
    <s v="Spot"/>
    <s v="3636505-1458743575-224"/>
    <n v="0"/>
    <d v="2016-03-31T00:00:00"/>
    <x v="613"/>
    <s v="224"/>
    <s v="SELL"/>
    <n v="132.83241260506699"/>
    <x v="0"/>
    <x v="3"/>
    <n v="89446.69"/>
    <s v="Deal"/>
    <m/>
    <s v="Original Amount [EUR 673.38], Merchant Amount [EUR 673.38], Customer Amount [JPY 89446.69], Status [APPROVED], Operation [DIRECT], UUID [3636505-1458743575-224] [23/03/2016 at 14:32:00]"/>
  </r>
  <r>
    <s v="3636541-1458743606-101"/>
    <s v="Spot"/>
    <s v="3636541-1458743606-101"/>
    <n v="0"/>
    <d v="2016-03-31T00:00:00"/>
    <x v="614"/>
    <s v="101"/>
    <s v="SELL"/>
    <n v="3.3878284923928077"/>
    <x v="0"/>
    <x v="0"/>
    <n v="244.94"/>
    <s v="Deal"/>
    <m/>
    <s v="Original Amount [EUR 72.3], Merchant Amount [EUR 72.3], Customer Amount [TRY 244.94], Status [APPROVED], Operation [3DAUTH], UUID [3636541-1458743606-101] [23/03/2016 at 14:33:00]"/>
  </r>
  <r>
    <s v="3636487-1458743549-199"/>
    <s v="Spot"/>
    <s v="3636487-1458743549-199"/>
    <n v="0"/>
    <d v="2016-03-31T00:00:00"/>
    <x v="61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6487-1458743549-199] [23/03/2016 at 14:32:00]"/>
  </r>
  <r>
    <s v="3636484-1458743543-224"/>
    <s v="Spot"/>
    <s v="3636484-1458743543-224"/>
    <n v="0"/>
    <d v="2016-03-31T00:00:00"/>
    <x v="616"/>
    <s v="224"/>
    <s v="SELL"/>
    <n v="132.83241951356672"/>
    <x v="0"/>
    <x v="3"/>
    <n v="18896.740000000002"/>
    <s v="Deal"/>
    <m/>
    <s v="Original Amount [EUR 142.26], Merchant Amount [EUR 142.26], Customer Amount [JPY 18896.74], Status [APPROVED], Operation [DIRECT], UUID [3636484-1458743543-224] [23/03/2016 at 14:32:00]"/>
  </r>
  <r>
    <s v="3636481-1458743539-216"/>
    <s v="Spot"/>
    <s v="3636481-1458743539-216"/>
    <n v="0"/>
    <d v="2016-03-31T00:00:00"/>
    <x v="617"/>
    <s v="216"/>
    <s v="SELL"/>
    <n v="3.3878676470588234"/>
    <x v="0"/>
    <x v="0"/>
    <n v="36.86"/>
    <s v="Deal"/>
    <m/>
    <s v="Original Amount [EUR 10.88], Merchant Amount [EUR 10.88], Customer Amount [TRY 36.86], Status [WAITING], Operation [3D], UUID [3636481-1458743539-216] [23/03/2016 at 14:32:00]"/>
  </r>
  <r>
    <s v="3636499-1458743568-56"/>
    <s v="Spot"/>
    <s v="3636499-1458743568-56"/>
    <n v="0"/>
    <d v="2016-03-31T00:00:00"/>
    <x v="618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6499-1458743568-56] [23/03/2016 at 14:32:00]"/>
  </r>
  <r>
    <s v="3636475-1458743537-199"/>
    <s v="Spot"/>
    <s v="3636475-1458743537-199"/>
    <n v="0"/>
    <d v="2016-03-31T00:00:00"/>
    <x v="619"/>
    <s v="199"/>
    <s v="SELL"/>
    <n v="9.9753566306891077"/>
    <x v="0"/>
    <x v="1"/>
    <n v="5286.54"/>
    <s v="Deal"/>
    <m/>
    <s v="Original Amount [EUR 529.96], Merchant Amount [EUR 529.96], Customer Amount [NOK 5286.54], Status [APPROVED], Operation [DIRECT], UUID [3636475-1458743537-199] [23/03/2016 at 14:32:00]"/>
  </r>
  <r>
    <s v="3636493-1458743561-216"/>
    <s v="Spot"/>
    <s v="3636493-1458743561-216"/>
    <n v="0"/>
    <d v="2016-03-31T00:00:00"/>
    <x v="620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93-1458743561-216] [23/03/2016 at 14:32:00]"/>
  </r>
  <r>
    <s v="3636463-1458743519-199"/>
    <s v="Spot"/>
    <s v="3636463-1458743519-199"/>
    <n v="0"/>
    <d v="2016-03-31T00:00:00"/>
    <x v="621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6463-1458743519-199] [23/03/2016 at 14:31:00]"/>
  </r>
  <r>
    <s v="3636457-1458743514-82"/>
    <s v="Spot"/>
    <s v="3636457-1458743514-82"/>
    <n v="0"/>
    <d v="2016-03-31T00:00:00"/>
    <x v="622"/>
    <s v="82"/>
    <s v="SELL"/>
    <n v="1.1852166525063721"/>
    <x v="0"/>
    <x v="7"/>
    <n v="13.95"/>
    <s v="Deal"/>
    <m/>
    <s v="Original Amount [USD 13.95], Merchant Amount [EUR 11.77], Customer Amount [USD 13.95], Status [APPROVED], Operation [STORED], UUID [3636457-1458743514-82] [23/03/2016 at 14:31:00]"/>
  </r>
  <r>
    <s v="3636448-1458743499-224"/>
    <s v="Spot"/>
    <s v="3636448-1458743499-224"/>
    <n v="0"/>
    <d v="2016-03-31T00:00:00"/>
    <x v="623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6448-1458743499-224] [23/03/2016 at 14:31:00]"/>
  </r>
  <r>
    <s v="3636439-1458743495-224"/>
    <s v="Spot"/>
    <s v="3636439-1458743495-224"/>
    <n v="0"/>
    <d v="2016-03-31T00:00:00"/>
    <x v="624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6439-1458743495-224] [23/03/2016 at 14:31:00]"/>
  </r>
  <r>
    <s v="3636433-1458743489-145"/>
    <s v="Spot"/>
    <s v="3636433-1458743489-145"/>
    <n v="0"/>
    <d v="2016-03-31T00:00:00"/>
    <x v="625"/>
    <s v="145"/>
    <s v="SELL"/>
    <n v="9.9753610875106205"/>
    <x v="0"/>
    <x v="1"/>
    <n v="1056.69"/>
    <s v="Deal"/>
    <m/>
    <s v="Original Amount [EUR 105.93], Merchant Amount [EUR 105.93], Customer Amount [NOK 1056.69], Status [APPROVED], Operation [DIRECT], UUID [3636433-1458743489-145] [23/03/2016 at 14:31:00]"/>
  </r>
  <r>
    <s v="3636415-1458743478-261"/>
    <s v="Spot"/>
    <s v="3636415-1458743478-261"/>
    <n v="0"/>
    <d v="2016-03-31T00:00:00"/>
    <x v="626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6415-1458743478-261] [23/03/2016 at 14:31:00]"/>
  </r>
  <r>
    <s v="3636412-1458743475-224"/>
    <s v="Spot"/>
    <s v="3636412-1458743475-224"/>
    <n v="0"/>
    <d v="2016-03-31T00:00:00"/>
    <x v="627"/>
    <s v="224"/>
    <s v="SELL"/>
    <n v="9.9755079320901761"/>
    <x v="0"/>
    <x v="1"/>
    <n v="358.42"/>
    <s v="Deal"/>
    <m/>
    <s v="Original Amount [EUR 35.93], Merchant Amount [EUR 35.93], Customer Amount [NOK 358.42], Status [APPROVED], Operation [DIRECT], UUID [3636412-1458743475-224] [23/03/2016 at 14:31:00]"/>
  </r>
  <r>
    <s v="3636406-1458743470-224"/>
    <s v="Spot"/>
    <s v="3636406-1458743470-224"/>
    <n v="0"/>
    <d v="2016-03-31T00:00:00"/>
    <x v="628"/>
    <s v="224"/>
    <s v="SELL"/>
    <n v="132.83256010122312"/>
    <x v="0"/>
    <x v="3"/>
    <n v="3149.46"/>
    <s v="Deal"/>
    <m/>
    <s v="Original Amount [EUR 23.71], Merchant Amount [EUR 23.71], Customer Amount [JPY 3149.46], Status [APPROVED], Operation [DIRECT], UUID [3636406-1458743470-224] [23/03/2016 at 14:31:00]"/>
  </r>
  <r>
    <s v="3636403-1458743462-101"/>
    <s v="Spot"/>
    <s v="3636403-1458743462-101"/>
    <n v="0"/>
    <d v="2016-03-31T00:00:00"/>
    <x v="629"/>
    <s v="101"/>
    <s v="SELL"/>
    <n v="3.3885429638854299"/>
    <x v="0"/>
    <x v="0"/>
    <n v="27.21"/>
    <s v="Deal"/>
    <m/>
    <s v="Original Amount [EUR 8.03], Merchant Amount [EUR 8.03], Customer Amount [TRY 27.21], Status [WAITING], Operation [3D], UUID [3636403-1458743462-101] [23/03/2016 at 14:31:00]"/>
  </r>
  <r>
    <s v="3636469-1458743524-101"/>
    <s v="Spot"/>
    <s v="3636469-1458743524-101"/>
    <n v="0"/>
    <d v="2016-03-31T00:00:00"/>
    <x v="63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6469-1458743524-101] [23/03/2016 at 14:32:00]"/>
  </r>
  <r>
    <s v="3636388-1458743450-260"/>
    <s v="Spot"/>
    <s v="3636388-1458743450-260"/>
    <n v="0"/>
    <d v="2016-03-31T00:00:00"/>
    <x v="631"/>
    <s v="260"/>
    <s v="SELL"/>
    <n v="9.7459999999999987"/>
    <x v="0"/>
    <x v="12"/>
    <n v="48.73"/>
    <s v="Deal"/>
    <m/>
    <s v="Original Amount [EUR 5], Merchant Amount [EUR 5], Customer Amount [SEK 48.73], Status [APPROVED], Operation [DIRECT], UUID [3636388-1458743450-260] [23/03/2016 at 14:30:00]"/>
  </r>
  <r>
    <s v="3636421-1458743481-216"/>
    <s v="Spot"/>
    <s v="3636421-1458743481-216"/>
    <n v="0"/>
    <d v="2016-03-31T00:00:00"/>
    <x v="632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21-1458743481-216] [23/03/2016 at 14:31:00]"/>
  </r>
  <r>
    <s v="3636340-1458743421-119"/>
    <s v="Spot"/>
    <s v="3636340-1458743421-119"/>
    <n v="0"/>
    <d v="2016-03-31T00:00:00"/>
    <x v="633"/>
    <s v="119"/>
    <s v="SELL"/>
    <n v="9.9753666666666678"/>
    <x v="0"/>
    <x v="1"/>
    <n v="2992.61"/>
    <s v="Deal"/>
    <m/>
    <s v="Original Amount [EUR 300], Merchant Amount [EUR 300], Customer Amount [NOK 2992.61], Status [APPROVED], Operation [DIRECT], UUID [3636340-1458743421-119] [23/03/2016 at 14:30:00]"/>
  </r>
  <r>
    <s v="3636319-1458743396-119"/>
    <s v="Spot"/>
    <s v="3636319-1458743396-119"/>
    <n v="0"/>
    <d v="2016-03-31T00:00:00"/>
    <x v="63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6319-1458743396-119] [23/03/2016 at 14:29:00]"/>
  </r>
  <r>
    <s v="3636292-1458743372-224"/>
    <s v="Spot"/>
    <s v="3636292-1458743372-224"/>
    <n v="0"/>
    <d v="2016-03-31T00:00:00"/>
    <x v="635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6292-1458743372-224] [23/03/2016 at 14:29:00]"/>
  </r>
  <r>
    <s v="3636289-1458743369-199"/>
    <s v="Spot"/>
    <s v="3636289-1458743369-199"/>
    <n v="0"/>
    <d v="2016-03-31T00:00:00"/>
    <x v="636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6289-1458743369-199] [23/03/2016 at 14:29:00]"/>
  </r>
  <r>
    <s v="3636337-1458743419-216"/>
    <s v="Spot"/>
    <s v="3636337-1458743419-216"/>
    <n v="0"/>
    <d v="2016-03-31T00:00:00"/>
    <x v="637"/>
    <s v="216"/>
    <s v="SELL"/>
    <n v="3.397383658588891"/>
    <x v="0"/>
    <x v="0"/>
    <n v="158.41999999999999"/>
    <s v="Deal"/>
    <m/>
    <s v="Original Amount [EUR 46.63], Merchant Amount [EUR 46.63], Customer Amount [TRY 158.42], Status [APPROVED], Operation [3DAUTH], UUID [3636337-1458743419-216] [23/03/2016 at 14:30:00]"/>
  </r>
  <r>
    <s v="3636307-1458743385-107"/>
    <s v="Spot"/>
    <s v="3636307-1458743385-107"/>
    <n v="0"/>
    <d v="2016-03-31T00:00:00"/>
    <x v="638"/>
    <s v="107"/>
    <s v="SELL"/>
    <n v="3.3972399999999996"/>
    <x v="0"/>
    <x v="0"/>
    <n v="849.31"/>
    <s v="Deal"/>
    <m/>
    <s v="Original Amount [EUR 250], Merchant Amount [EUR 250], Customer Amount [TRY 849.31], Status [APPROVED], Operation [3DAUTH], UUID [3636307-1458743385-107] [23/03/2016 at 14:29:00]"/>
  </r>
  <r>
    <s v="3636265-1458743350-126"/>
    <s v="Spot"/>
    <s v="3636265-1458743350-126"/>
    <n v="0"/>
    <d v="2016-03-31T00:00:00"/>
    <x v="639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6265-1458743350-126] [23/03/2016 at 14:29:00]"/>
  </r>
  <r>
    <s v="3636298-1458743379-101"/>
    <s v="Spot"/>
    <s v="3636298-1458743379-101"/>
    <n v="0"/>
    <d v="2016-03-31T00:00:00"/>
    <x v="640"/>
    <s v="101"/>
    <s v="SELL"/>
    <n v="3.3972479601714838"/>
    <x v="0"/>
    <x v="0"/>
    <n v="491.31"/>
    <s v="Deal"/>
    <m/>
    <s v="Original Amount [EUR 144.62], Merchant Amount [EUR 144.62], Customer Amount [TRY 491.31], Status [APPROVED], Operation [3DAUTH], UUID [3636298-1458743379-101] [23/03/2016 at 14:29:00]"/>
  </r>
  <r>
    <s v="3636250-1458743336-199"/>
    <s v="Spot"/>
    <s v="3636250-1458743336-199"/>
    <n v="0"/>
    <d v="2016-03-31T00:00:00"/>
    <x v="641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6250-1458743336-199] [23/03/2016 at 14:28:00]"/>
  </r>
  <r>
    <s v="3636226-1458743316-82"/>
    <s v="Spot"/>
    <s v="3636226-1458743316-82"/>
    <n v="0"/>
    <d v="2016-03-31T00:00:00"/>
    <x v="642"/>
    <s v="82"/>
    <s v="SELL"/>
    <n v="1.1847310126582278"/>
    <x v="0"/>
    <x v="7"/>
    <n v="29.95"/>
    <s v="Deal"/>
    <m/>
    <s v="Original Amount [USD 29.95], Merchant Amount [EUR 25.28], Customer Amount [USD 29.95], Status [APPROVED], Operation [STORED], UUID [3636226-1458743316-82] [23/03/2016 at 14:28:00]"/>
  </r>
  <r>
    <s v="3636220-1458743312-119"/>
    <s v="Spot"/>
    <s v="3636220-1458743312-119"/>
    <n v="0"/>
    <d v="2016-03-31T00:00:00"/>
    <x v="64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6220-1458743312-119] [23/03/2016 at 14:28:00]"/>
  </r>
  <r>
    <s v="3636238-1458743322-216"/>
    <s v="Spot"/>
    <s v="3636238-1458743322-216"/>
    <n v="0"/>
    <d v="2016-03-31T00:00:00"/>
    <x v="644"/>
    <s v="216"/>
    <s v="SELL"/>
    <n v="3.3974530831099194"/>
    <x v="0"/>
    <x v="0"/>
    <n v="50.69"/>
    <s v="Deal"/>
    <m/>
    <s v="Original Amount [EUR 14.92], Merchant Amount [EUR 14.92], Customer Amount [TRY 50.69], Status [APPROVED], Operation [3DAUTH], UUID [3636238-1458743322-216] [23/03/2016 at 14:28:00]"/>
  </r>
  <r>
    <s v="3636184-1458743282-82"/>
    <s v="Spot"/>
    <s v="3636184-1458743282-82"/>
    <n v="0"/>
    <d v="2016-03-31T00:00:00"/>
    <x v="64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84-1458743282-82] [23/03/2016 at 14:28:00]"/>
  </r>
  <r>
    <s v="3636202-1458743298-216"/>
    <s v="Spot"/>
    <s v="3636202-1458743298-216"/>
    <n v="0"/>
    <d v="2016-03-31T00:00:00"/>
    <x v="646"/>
    <s v="216"/>
    <s v="SELL"/>
    <n v="3.3979678238780697"/>
    <x v="0"/>
    <x v="0"/>
    <n v="40.130000000000003"/>
    <s v="Deal"/>
    <m/>
    <s v="Original Amount [EUR 11.81], Merchant Amount [EUR 11.81], Customer Amount [TRY 40.13], Status [APPROVED], Operation [3DAUTH], UUID [3636202-1458743298-216] [23/03/2016 at 14:28:00]"/>
  </r>
  <r>
    <s v="3636271-1458743361-56"/>
    <s v="Spot"/>
    <s v="3636271-1458743361-56"/>
    <n v="0"/>
    <d v="2016-03-31T00:00:00"/>
    <x v="647"/>
    <s v="56"/>
    <s v="SELL"/>
    <n v="3.3977154724818273"/>
    <x v="0"/>
    <x v="0"/>
    <n v="32.72"/>
    <s v="Deal"/>
    <m/>
    <s v="Original Amount [EUR 9.63], Merchant Amount [EUR 9.63], Customer Amount [TRY 32.72], Status [APPROVED], Operation [3DAUTH], UUID [3636271-1458743361-56] [23/03/2016 at 14:29:00]"/>
  </r>
  <r>
    <s v="3636244-1458743328-216"/>
    <s v="Spot"/>
    <s v="3636244-1458743328-216"/>
    <n v="0"/>
    <d v="2016-03-31T00:00:00"/>
    <x v="648"/>
    <s v="216"/>
    <s v="SELL"/>
    <n v="3.3973684210526311"/>
    <x v="0"/>
    <x v="0"/>
    <n v="116.19"/>
    <s v="Deal"/>
    <m/>
    <s v="Original Amount [EUR 34.2], Merchant Amount [EUR 34.2], Customer Amount [TRY 116.19], Status [APPROVED], Operation [3DAUTH], UUID [3636244-1458743328-216] [23/03/2016 at 14:28:00]"/>
  </r>
  <r>
    <s v="3636154-1458743244-199"/>
    <s v="Spot"/>
    <s v="3636154-1458743244-199"/>
    <n v="0"/>
    <d v="2016-03-31T00:00:00"/>
    <x v="649"/>
    <s v="199"/>
    <s v="SELL"/>
    <n v="9.9551219512195122"/>
    <x v="0"/>
    <x v="1"/>
    <n v="102.04"/>
    <s v="Deal"/>
    <m/>
    <s v="Original Amount [EUR 10.25], Merchant Amount [EUR 10.25], Customer Amount [NOK 102.04], Status [APPROVED], Operation [DIRECT], UUID [3636154-1458743244-199] [23/03/2016 at 14:27:00]"/>
  </r>
  <r>
    <s v="3636145-1458743224-82"/>
    <s v="Spot"/>
    <s v="3636145-1458743224-82"/>
    <n v="0"/>
    <d v="2016-03-31T00:00:00"/>
    <x v="65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45-1458743224-82] [23/03/2016 at 14:27:00]"/>
  </r>
  <r>
    <s v="3636160-1458743247-216"/>
    <s v="Spot"/>
    <s v="3636160-1458743247-216"/>
    <n v="0"/>
    <d v="2016-03-31T00:00:00"/>
    <x v="651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160-1458743247-216] [23/03/2016 at 14:27:00]"/>
  </r>
  <r>
    <s v="3636166-1458743252-196"/>
    <s v="Spot"/>
    <s v="3636166-1458743252-196"/>
    <n v="0"/>
    <d v="2016-03-31T00:00:00"/>
    <x v="652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6166-1458743252-196] [23/03/2016 at 14:27:00]"/>
  </r>
  <r>
    <s v="3636127-1458743195-216"/>
    <s v="Spot"/>
    <s v="3636127-1458743195-216"/>
    <n v="0"/>
    <d v="2016-03-31T00:00:00"/>
    <x v="653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127-1458743195-216] [23/03/2016 at 14:26:00]"/>
  </r>
  <r>
    <s v="3636124-1458743188-119"/>
    <s v="Spot"/>
    <s v="3636124-1458743188-119"/>
    <n v="0"/>
    <d v="2016-03-31T00:00:00"/>
    <x v="65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124-1458743188-119] [23/03/2016 at 14:26:00]"/>
  </r>
  <r>
    <s v="3636148-1458743229-102"/>
    <s v="Spot"/>
    <s v="3636148-1458743229-102"/>
    <n v="0"/>
    <d v="2016-03-31T00:00:00"/>
    <x v="655"/>
    <s v="102"/>
    <s v="SELL"/>
    <n v="3.395483870967742"/>
    <x v="0"/>
    <x v="0"/>
    <n v="105.26"/>
    <s v="Deal"/>
    <m/>
    <s v="Original Amount [EUR 31], Merchant Amount [EUR 31], Customer Amount [TRY 105.26], Status [APPROVED], Operation [3DAUTH], UUID [3636148-1458743229-102] [23/03/2016 at 14:27:00]"/>
  </r>
  <r>
    <s v="3636121-1458743173-126"/>
    <s v="Spot"/>
    <s v="3636121-1458743173-126"/>
    <n v="0"/>
    <d v="2016-03-31T00:00:00"/>
    <x v="656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36121-1458743173-126] [23/03/2016 at 14:26:00]"/>
  </r>
  <r>
    <s v="3636163-1458743251-216"/>
    <s v="Spot"/>
    <s v="3636163-1458743251-216"/>
    <n v="0"/>
    <d v="2016-03-31T00:00:00"/>
    <x v="657"/>
    <s v="216"/>
    <s v="SELL"/>
    <n v="3.3956801470588234"/>
    <x v="0"/>
    <x v="0"/>
    <n v="73.89"/>
    <s v="Deal"/>
    <m/>
    <s v="Original Amount [EUR 21.76], Merchant Amount [EUR 21.76], Customer Amount [TRY 73.89], Status [APPROVED], Operation [3DAUTH], UUID [3636163-1458743251-216] [23/03/2016 at 14:27:00]"/>
  </r>
  <r>
    <s v="3636091-1458743131-224"/>
    <s v="Spot"/>
    <s v="3636091-1458743131-224"/>
    <n v="0"/>
    <d v="2016-03-31T00:00:00"/>
    <x v="658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36091-1458743131-224] [23/03/2016 at 14:25:00]"/>
  </r>
  <r>
    <s v="3636085-1458743130-145"/>
    <s v="Spot"/>
    <s v="3636085-1458743130-145"/>
    <n v="0"/>
    <d v="2016-03-31T00:00:00"/>
    <x v="65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6085-1458743130-145] [23/03/2016 at 14:25:00]"/>
  </r>
  <r>
    <s v="3636079-1458743126-224"/>
    <s v="Spot"/>
    <s v="3636079-1458743126-224"/>
    <n v="0"/>
    <d v="2016-03-31T00:00:00"/>
    <x v="660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079-1458743126-224] [23/03/2016 at 14:25:00]"/>
  </r>
  <r>
    <s v="3636076-1458743122-119"/>
    <s v="Spot"/>
    <s v="3636076-1458743122-119"/>
    <n v="0"/>
    <d v="2016-03-31T00:00:00"/>
    <x v="66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076-1458743122-119] [23/03/2016 at 14:25:00]"/>
  </r>
  <r>
    <s v="3636073-1458743120-261"/>
    <s v="Spot"/>
    <s v="3636073-1458743120-261"/>
    <n v="0"/>
    <d v="2016-03-31T00:00:00"/>
    <x v="662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6073-1458743120-261] [23/03/2016 at 14:25:00]"/>
  </r>
  <r>
    <s v="3636106-1458743154-154"/>
    <s v="Spot"/>
    <s v="3636106-1458743154-154"/>
    <n v="0"/>
    <d v="2016-03-31T00:00:00"/>
    <x v="663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106-1458743154-154] [23/03/2016 at 14:25:00]"/>
  </r>
  <r>
    <s v="3636040-1458743090-119"/>
    <s v="Spot"/>
    <s v="3636040-1458743090-119"/>
    <n v="0"/>
    <d v="2016-03-31T00:00:00"/>
    <x v="664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040-1458743090-119] [23/03/2016 at 14:24:00]"/>
  </r>
  <r>
    <s v="3636037-1458743083-56"/>
    <s v="Spot"/>
    <s v="3636037-1458743083-56"/>
    <n v="0"/>
    <d v="2016-03-31T00:00:00"/>
    <x v="665"/>
    <s v="56"/>
    <s v="SELL"/>
    <n v="3.3953862660944205"/>
    <x v="0"/>
    <x v="0"/>
    <n v="63.29"/>
    <s v="Deal"/>
    <m/>
    <s v="Original Amount [EUR 18.64], Merchant Amount [EUR 18.64], Customer Amount [TRY 63.29], Status [APPROVED], Operation [3DAUTH], UUID [3636037-1458743083-56] [23/03/2016 at 14:24:00]"/>
  </r>
  <r>
    <s v="3636019-1458743066-199"/>
    <s v="Spot"/>
    <s v="3636019-1458743066-199"/>
    <n v="0"/>
    <d v="2016-03-31T00:00:00"/>
    <x v="66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6019-1458743066-199] [23/03/2016 at 14:24:00]"/>
  </r>
  <r>
    <s v="3636034-1458743080-264"/>
    <s v="Spot"/>
    <s v="3636034-1458743080-264"/>
    <n v="0"/>
    <d v="2016-03-31T00:00:00"/>
    <x v="667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6034-1458743080-264] [23/03/2016 at 14:24:00]"/>
  </r>
  <r>
    <s v="3636004-1458743056-56"/>
    <s v="Spot"/>
    <s v="3636004-1458743056-56"/>
    <n v="0"/>
    <d v="2016-03-31T00:00:00"/>
    <x v="66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6004-1458743056-56] [23/03/2016 at 14:24:00]"/>
  </r>
  <r>
    <s v="3636031-1458743080-216"/>
    <s v="Spot"/>
    <s v="3636031-1458743080-216"/>
    <n v="0"/>
    <d v="2016-03-31T00:00:00"/>
    <x v="669"/>
    <s v="216"/>
    <s v="SELL"/>
    <n v="3.3956256030878094"/>
    <x v="0"/>
    <x v="0"/>
    <n v="105.57"/>
    <s v="Deal"/>
    <m/>
    <s v="Original Amount [EUR 31.09], Merchant Amount [EUR 31.09], Customer Amount [TRY 105.57], Status [APPROVED], Operation [3DAUTH], UUID [3636031-1458743080-216] [23/03/2016 at 14:24:00]"/>
  </r>
  <r>
    <s v="3635992-1458743046-199"/>
    <s v="Spot"/>
    <s v="3635992-1458743046-199"/>
    <n v="0"/>
    <d v="2016-03-31T00:00:00"/>
    <x v="670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5992-1458743046-199] [23/03/2016 at 14:24:00]"/>
  </r>
  <r>
    <s v="3635989-1458743044-224"/>
    <s v="Spot"/>
    <s v="3635989-1458743044-224"/>
    <n v="0"/>
    <d v="2016-03-31T00:00:00"/>
    <x v="671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5989-1458743044-224] [23/03/2016 at 14:24:00]"/>
  </r>
  <r>
    <s v="3635965-1458743028-199"/>
    <s v="Spot"/>
    <s v="3635965-1458743028-199"/>
    <n v="0"/>
    <d v="2016-03-31T00:00:00"/>
    <x v="67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5965-1458743028-199] [23/03/2016 at 14:23:00]"/>
  </r>
  <r>
    <s v="3636007-1458743057-56"/>
    <s v="Spot"/>
    <s v="3636007-1458743057-56"/>
    <n v="0"/>
    <d v="2016-03-31T00:00:00"/>
    <x v="673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6007-1458743057-56] [23/03/2016 at 14:24:00]"/>
  </r>
  <r>
    <s v="3635995-1458743052-216"/>
    <s v="Spot"/>
    <s v="3635995-1458743052-216"/>
    <n v="0"/>
    <d v="2016-03-31T00:00:00"/>
    <x v="674"/>
    <s v="216"/>
    <s v="SELL"/>
    <n v="3.3920406435224386"/>
    <x v="0"/>
    <x v="0"/>
    <n v="40.06"/>
    <s v="Deal"/>
    <m/>
    <s v="Original Amount [EUR 11.81], Merchant Amount [EUR 11.81], Customer Amount [TRY 40.06], Status [APPROVED], Operation [3DAUTH], UUID [3635995-1458743052-216] [23/03/2016 at 14:24:00]"/>
  </r>
  <r>
    <s v="3635998-1458743055-107"/>
    <s v="Spot"/>
    <s v="3635998-1458743055-107"/>
    <n v="0"/>
    <d v="2016-03-31T00:00:00"/>
    <x v="675"/>
    <s v="107"/>
    <s v="SELL"/>
    <n v="3.3919708029197082"/>
    <x v="0"/>
    <x v="0"/>
    <n v="418.23"/>
    <s v="Deal"/>
    <m/>
    <s v="Original Amount [EUR 123.3], Merchant Amount [EUR 123.3], Customer Amount [TRY 418.23], Status [APPROVED], Operation [3DAUTH], UUID [3635998-1458743055-107] [23/03/2016 at 14:24:00]"/>
  </r>
  <r>
    <s v="3635986-1458743038-216"/>
    <s v="Spot"/>
    <s v="3635986-1458743038-216"/>
    <n v="0"/>
    <d v="2016-03-31T00:00:00"/>
    <x v="676"/>
    <s v="216"/>
    <s v="SELL"/>
    <n v="3.3920036764705883"/>
    <x v="0"/>
    <x v="0"/>
    <n v="73.81"/>
    <s v="Deal"/>
    <m/>
    <s v="Original Amount [EUR 21.76], Merchant Amount [EUR 21.76], Customer Amount [TRY 73.81], Status [APPROVED], Operation [3DAUTH], UUID [3635986-1458743038-216] [23/03/2016 at 14:23:00]"/>
  </r>
  <r>
    <s v="3635923-1458742996-216"/>
    <s v="Spot"/>
    <s v="3635923-1458742996-216"/>
    <n v="0"/>
    <d v="2016-03-31T00:00:00"/>
    <x v="677"/>
    <s v="216"/>
    <s v="SELL"/>
    <n v="3.3925353925353927"/>
    <x v="0"/>
    <x v="0"/>
    <n v="52.72"/>
    <s v="Deal"/>
    <m/>
    <s v="Original Amount [EUR 15.54], Merchant Amount [EUR 15.54], Customer Amount [TRY 52.72], Status [WAITING], Operation [3D], UUID [3635923-1458742996-216] [23/03/2016 at 14:23:00]"/>
  </r>
  <r>
    <s v="3635917-1458742980-82"/>
    <s v="Spot"/>
    <s v="3635917-1458742980-82"/>
    <n v="0"/>
    <d v="2016-03-31T00:00:00"/>
    <x v="67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5917-1458742980-82] [23/03/2016 at 14:23:00]"/>
  </r>
  <r>
    <s v="3635908-1458742963-264"/>
    <s v="Spot"/>
    <s v="3635908-1458742963-264"/>
    <n v="0"/>
    <d v="2016-03-31T00:00:00"/>
    <x v="679"/>
    <s v="264"/>
    <s v="SELL"/>
    <n v="3.3922829581993574"/>
    <x v="0"/>
    <x v="0"/>
    <n v="10.55"/>
    <s v="Deal"/>
    <m/>
    <s v="Original Amount [TRY 10], Merchant Amount [EUR 3.11], Customer Amount [TRY 10.55], Status [WAITING], Operation [3D], UUID [3635908-1458742963-264] [23/03/2016 at 14:22:00]"/>
  </r>
  <r>
    <s v="3635914-1458742969-216"/>
    <s v="Spot"/>
    <s v="3635914-1458742969-216"/>
    <n v="0"/>
    <d v="2016-03-31T00:00:00"/>
    <x v="680"/>
    <s v="216"/>
    <s v="SELL"/>
    <n v="3.3925353925353927"/>
    <x v="0"/>
    <x v="0"/>
    <n v="52.72"/>
    <s v="Deal"/>
    <m/>
    <s v="Original Amount [EUR 15.54], Merchant Amount [EUR 15.54], Customer Amount [TRY 52.72], Status [APPROVED], Operation [3DAUTH], UUID [3635914-1458742969-216] [23/03/2016 at 14:22:00]"/>
  </r>
  <r>
    <s v="3635872-1458742907-119"/>
    <s v="Spot"/>
    <s v="3635872-1458742907-119"/>
    <n v="0"/>
    <d v="2016-03-31T00:00:00"/>
    <x v="68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5872-1458742907-119] [23/03/2016 at 14:21:00]"/>
  </r>
  <r>
    <s v="3635860-1458742892-187"/>
    <s v="Spot"/>
    <s v="3635860-1458742892-187"/>
    <n v="0"/>
    <d v="2016-03-31T00:00:00"/>
    <x v="682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860-1458742892-187] [23/03/2016 at 14:21:00]"/>
  </r>
  <r>
    <s v="3635863-1458742895-216"/>
    <s v="Spot"/>
    <s v="3635863-1458742895-216"/>
    <n v="0"/>
    <d v="2016-03-31T00:00:00"/>
    <x v="683"/>
    <s v="216"/>
    <s v="SELL"/>
    <n v="3.3924231593995713"/>
    <x v="0"/>
    <x v="0"/>
    <n v="47.46"/>
    <s v="Deal"/>
    <m/>
    <s v="Original Amount [EUR 13.99], Merchant Amount [EUR 13.99], Customer Amount [TRY 47.46], Status [APPROVED], Operation [3DAUTH], UUID [3635863-1458742895-216] [23/03/2016 at 14:21:00]"/>
  </r>
  <r>
    <s v="3635857-1458742885-56"/>
    <s v="Spot"/>
    <s v="3635857-1458742885-56"/>
    <n v="0"/>
    <d v="2016-03-31T00:00:00"/>
    <x v="684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857-1458742885-56] [23/03/2016 at 14:21:00]"/>
  </r>
  <r>
    <s v="3635830-1458742853-261"/>
    <s v="Spot"/>
    <s v="3635830-1458742853-261"/>
    <n v="0"/>
    <d v="2016-03-31T00:00:00"/>
    <x v="685"/>
    <s v="261"/>
    <s v="SELL"/>
    <n v="9.9757009345794394"/>
    <x v="0"/>
    <x v="1"/>
    <n v="106.74"/>
    <s v="Deal"/>
    <m/>
    <s v="Original Amount [EUR 10.7], Merchant Amount [EUR 10.7], Customer Amount [NOK 106.74], Status [APPROVED], Operation [DIRECT], UUID [3635830-1458742853-261] [23/03/2016 at 14:20:00]"/>
  </r>
  <r>
    <s v="3635854-1458742883-56"/>
    <s v="Spot"/>
    <s v="3635854-1458742883-56"/>
    <n v="0"/>
    <d v="2016-03-31T00:00:00"/>
    <x v="686"/>
    <s v="56"/>
    <s v="SELL"/>
    <n v="3.3977128335451079"/>
    <x v="0"/>
    <x v="0"/>
    <n v="53.48"/>
    <s v="Deal"/>
    <m/>
    <s v="Original Amount [EUR 15.74], Merchant Amount [EUR 15.74], Customer Amount [TRY 53.48], Status [APPROVED], Operation [3DAUTH], UUID [3635854-1458742883-56] [23/03/2016 at 14:21:00]"/>
  </r>
  <r>
    <s v="3635818-1458742846-261"/>
    <s v="Spot"/>
    <s v="3635818-1458742846-261"/>
    <n v="0"/>
    <d v="2016-03-31T00:00:00"/>
    <x v="687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35818-1458742846-261] [23/03/2016 at 14:20:00]"/>
  </r>
  <r>
    <s v="3635866-1458742899-216"/>
    <s v="Spot"/>
    <s v="3635866-1458742899-216"/>
    <n v="0"/>
    <d v="2016-03-31T00:00:00"/>
    <x v="688"/>
    <s v="216"/>
    <s v="SELL"/>
    <n v="3.3972338372467035"/>
    <x v="0"/>
    <x v="0"/>
    <n v="105.62"/>
    <s v="Deal"/>
    <m/>
    <s v="Original Amount [EUR 31.09], Merchant Amount [EUR 31.09], Customer Amount [TRY 105.62], Status [APPROVED], Operation [3DAUTH], UUID [3635866-1458742899-216] [23/03/2016 at 14:21:00]"/>
  </r>
  <r>
    <s v="3635797-1458742832-216"/>
    <s v="Spot"/>
    <s v="3635797-1458742832-216"/>
    <n v="0"/>
    <d v="2016-03-31T00:00:00"/>
    <x v="689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797-1458742832-216] [23/03/2016 at 14:20:00]"/>
  </r>
  <r>
    <s v="3635869-1458742905-216"/>
    <s v="Spot"/>
    <s v="3635869-1458742905-216"/>
    <n v="0"/>
    <d v="2016-03-31T00:00:00"/>
    <x v="690"/>
    <s v="216"/>
    <s v="SELL"/>
    <n v="3.3974267333809864"/>
    <x v="0"/>
    <x v="0"/>
    <n v="47.53"/>
    <s v="Deal"/>
    <m/>
    <s v="Original Amount [EUR 13.99], Merchant Amount [EUR 13.99], Customer Amount [TRY 47.53], Status [APPROVED], Operation [3DAUTH], UUID [3635869-1458742905-216] [23/03/2016 at 14:21:00]"/>
  </r>
  <r>
    <s v="3635785-1458742821-119"/>
    <s v="Spot"/>
    <s v="3635785-1458742821-119"/>
    <n v="0"/>
    <d v="2016-03-31T00:00:00"/>
    <x v="691"/>
    <s v="119"/>
    <s v="SELL"/>
    <n v="9.9756"/>
    <x v="0"/>
    <x v="1"/>
    <n v="249.39"/>
    <s v="Deal"/>
    <m/>
    <s v="Original Amount [EUR 25], Merchant Amount [EUR 25], Customer Amount [NOK 249.39], Status [APPROVED], Operation [DIRECT], UUID [3635785-1458742821-119] [23/03/2016 at 14:20:00]"/>
  </r>
  <r>
    <s v="3635836-1458742855-200"/>
    <s v="Spot"/>
    <s v="3635836-1458742855-200"/>
    <n v="0"/>
    <d v="2016-03-31T00:00:00"/>
    <x v="692"/>
    <s v="200"/>
    <s v="SELL"/>
    <n v="9.9753537197626656"/>
    <x v="0"/>
    <x v="1"/>
    <n v="218.56"/>
    <s v="Deal"/>
    <m/>
    <s v="Original Amount [EUR 21.91], Merchant Amount [EUR 21.91], Customer Amount [NOK 218.56], Status [APPROVED], Operation [3DAUTH], UUID [3635836-1458742855-200] [23/03/2016 at 14:20:00]"/>
  </r>
  <r>
    <s v="3635770-1458742803-134"/>
    <s v="Spot"/>
    <s v="3635770-1458742803-134"/>
    <n v="0"/>
    <d v="2016-03-31T00:00:00"/>
    <x v="693"/>
    <s v="134"/>
    <s v="SELL"/>
    <n v="132.99332621462895"/>
    <x v="0"/>
    <x v="3"/>
    <n v="4981.93"/>
    <s v="Deal"/>
    <m/>
    <s v="Original Amount [EUR 37.46], Merchant Amount [EUR 37.46], Customer Amount [JPY 4981.93], Status [APPROVED], Operation [DIRECT], UUID [3635770-1458742803-134] [23/03/2016 at 14:20:00]"/>
  </r>
  <r>
    <s v="3635803-1458742834-216"/>
    <s v="Spot"/>
    <s v="3635803-1458742834-216"/>
    <n v="0"/>
    <d v="2016-03-31T00:00:00"/>
    <x v="694"/>
    <s v="216"/>
    <s v="SELL"/>
    <n v="3.397642015005359"/>
    <x v="0"/>
    <x v="0"/>
    <n v="63.4"/>
    <s v="Deal"/>
    <m/>
    <s v="Original Amount [EUR 18.66], Merchant Amount [EUR 18.66], Customer Amount [TRY 63.4], Status [APPROVED], Operation [3DAUTH], UUID [3635803-1458742834-216] [23/03/2016 at 14:20:00]"/>
  </r>
  <r>
    <s v="3635791-1458742830-261"/>
    <s v="Spot"/>
    <s v="3635791-1458742830-261"/>
    <n v="0"/>
    <d v="2016-03-31T00:00:00"/>
    <x v="695"/>
    <s v="261"/>
    <s v="SELL"/>
    <n v="9.975427350427351"/>
    <x v="0"/>
    <x v="1"/>
    <n v="746.96"/>
    <s v="Deal"/>
    <m/>
    <s v="Original Amount [EUR 74.88], Merchant Amount [EUR 74.88], Customer Amount [NOK 746.96], Status [APPROVED], Operation [3DAUTH], UUID [3635791-1458742830-261] [23/03/2016 at 14:20:00]"/>
  </r>
  <r>
    <s v="3635740-1458742776-119"/>
    <s v="Spot"/>
    <s v="3635740-1458742776-119"/>
    <n v="0"/>
    <d v="2016-03-31T00:00:00"/>
    <x v="696"/>
    <s v="119"/>
    <s v="SELL"/>
    <n v="9.9754000000000005"/>
    <x v="0"/>
    <x v="1"/>
    <n v="1496.31"/>
    <s v="Deal"/>
    <m/>
    <s v="Original Amount [EUR 150], Merchant Amount [EUR 150], Customer Amount [NOK 1496.31], Status [APPROVED], Operation [DIRECT], UUID [3635740-1458742776-119] [23/03/2016 at 14:19:00]"/>
  </r>
  <r>
    <s v="3635848-1458742877-216"/>
    <s v="Spot"/>
    <s v="3635848-1458742877-216"/>
    <n v="0"/>
    <d v="2016-03-31T00:00:00"/>
    <x v="697"/>
    <s v="216"/>
    <s v="SELL"/>
    <n v="3.3976311336717426"/>
    <x v="0"/>
    <x v="0"/>
    <n v="40.159999999999997"/>
    <s v="Deal"/>
    <m/>
    <s v="Original Amount [EUR 11.82], Merchant Amount [EUR 11.82], Customer Amount [TRY 40.16], Status [APPROVED], Operation [3DAUTH], UUID [3635848-1458742877-216] [23/03/2016 at 14:21:00]"/>
  </r>
  <r>
    <s v="3635743-1458742776-102"/>
    <s v="Spot"/>
    <s v="3635743-1458742776-102"/>
    <n v="0"/>
    <d v="2016-03-31T00:00:00"/>
    <x v="698"/>
    <s v="102"/>
    <s v="SELL"/>
    <n v="3.3974193548387093"/>
    <x v="0"/>
    <x v="0"/>
    <n v="105.32"/>
    <s v="Deal"/>
    <m/>
    <s v="Original Amount [EUR 31], Merchant Amount [EUR 31], Customer Amount [TRY 105.32], Status [APPROVED], Operation [3DAUTH], UUID [3635743-1458742776-102] [23/03/2016 at 14:19:00]"/>
  </r>
  <r>
    <s v="3635710-1458742756-224"/>
    <s v="Spot"/>
    <s v="3635710-1458742756-224"/>
    <n v="0"/>
    <d v="2016-03-31T00:00:00"/>
    <x v="699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5710-1458742756-224] [23/03/2016 at 14:19:00]"/>
  </r>
  <r>
    <s v="3635704-1458742751-126"/>
    <s v="Spot"/>
    <s v="3635704-1458742751-126"/>
    <n v="0"/>
    <d v="2016-03-31T00:00:00"/>
    <x v="70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5704-1458742751-126] [23/03/2016 at 14:19:00]"/>
  </r>
  <r>
    <s v="3635701-1458742749-76"/>
    <s v="Spot"/>
    <s v="3635701-1458742749-76"/>
    <n v="0"/>
    <d v="2016-03-31T00:00:00"/>
    <x v="701"/>
    <s v="76"/>
    <s v="BUY"/>
    <n v="0"/>
    <x v="0"/>
    <x v="7"/>
    <n v="0.01"/>
    <s v="Deal"/>
    <m/>
    <s v="Original Amount [USD 0.01], Merchant Amount [EUR 0], Customer Amount [USD 0.01], Status [APPROVED], Operation [REFUND], UUID [3635701-1458742749-76] [23/03/2016 at 14:19:00]"/>
  </r>
  <r>
    <s v="3635695-1458742746-76"/>
    <s v="Spot"/>
    <s v="3635695-1458742746-76"/>
    <n v="0"/>
    <d v="2016-03-31T00:00:00"/>
    <x v="702"/>
    <s v="76"/>
    <s v="SELL"/>
    <n v="0"/>
    <x v="0"/>
    <x v="7"/>
    <n v="0.01"/>
    <s v="Deal"/>
    <m/>
    <s v="Original Amount [USD 0.01], Merchant Amount [EUR 0], Customer Amount [USD 0.01], Status [APPROVED], Operation [STORED], UUID [3635695-1458742746-76] [23/03/2016 at 14:19:00]"/>
  </r>
  <r>
    <s v="3635749-1458742780-216"/>
    <s v="Spot"/>
    <s v="3635749-1458742780-216"/>
    <n v="0"/>
    <d v="2016-03-31T00:00:00"/>
    <x v="70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5749-1458742780-216] [23/03/2016 at 14:19:00]"/>
  </r>
  <r>
    <s v="3635680-1458742726-216"/>
    <s v="Spot"/>
    <s v="3635680-1458742726-216"/>
    <n v="0"/>
    <d v="2016-03-31T00:00:00"/>
    <x v="704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680-1458742726-216] [23/03/2016 at 14:18:00]"/>
  </r>
  <r>
    <s v="3635668-1458742717-264"/>
    <s v="Spot"/>
    <s v="3635668-1458742717-264"/>
    <n v="0"/>
    <d v="2016-03-31T00:00:00"/>
    <x v="705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5668-1458742717-264] [23/03/2016 at 14:18:00]"/>
  </r>
  <r>
    <s v="3635662-1458742712-107"/>
    <s v="Spot"/>
    <s v="3635662-1458742712-107"/>
    <n v="0"/>
    <d v="2016-03-31T00:00:00"/>
    <x v="706"/>
    <s v="107"/>
    <s v="SELL"/>
    <n v="3.3972399999999996"/>
    <x v="0"/>
    <x v="0"/>
    <n v="849.31"/>
    <s v="Deal"/>
    <m/>
    <s v="Original Amount [EUR 250], Merchant Amount [EUR 250], Customer Amount [TRY 849.31], Status [WAITING], Operation [3D], UUID [3635662-1458742712-107] [23/03/2016 at 14:18:00]"/>
  </r>
  <r>
    <s v="3635689-1458742741-101"/>
    <s v="Spot"/>
    <s v="3635689-1458742741-101"/>
    <n v="0"/>
    <d v="2016-03-31T00:00:00"/>
    <x v="707"/>
    <s v="101"/>
    <s v="SELL"/>
    <n v="3.3975515463917523"/>
    <x v="0"/>
    <x v="0"/>
    <n v="52.73"/>
    <s v="Deal"/>
    <m/>
    <s v="Original Amount [EUR 15.52], Merchant Amount [EUR 15.52], Customer Amount [TRY 52.73], Status [APPROVED], Operation [3DAUTH], UUID [3635689-1458742741-101] [23/03/2016 at 14:19:00]"/>
  </r>
  <r>
    <s v="3635650-1458742709-261"/>
    <s v="Spot"/>
    <s v="3635650-1458742709-261"/>
    <n v="0"/>
    <d v="2016-03-31T00:00:00"/>
    <x v="708"/>
    <s v="261"/>
    <s v="SELL"/>
    <n v="9.9757009345794394"/>
    <x v="0"/>
    <x v="1"/>
    <n v="213.48"/>
    <s v="Deal"/>
    <m/>
    <s v="Original Amount [EUR 21.4], Merchant Amount [EUR 21.4], Customer Amount [NOK 213.48], Status [WAITING], Operation [3D], UUID [3635650-1458742709-261] [23/03/2016 at 14:18:00]"/>
  </r>
  <r>
    <s v="3635617-1458742687-126"/>
    <s v="Spot"/>
    <s v="3635617-1458742687-126"/>
    <n v="0"/>
    <d v="2016-03-31T00:00:00"/>
    <x v="709"/>
    <s v="126"/>
    <s v="SELL"/>
    <n v="9.9753658536585377"/>
    <x v="0"/>
    <x v="1"/>
    <n v="4089.9"/>
    <s v="Deal"/>
    <m/>
    <s v="Original Amount [EUR 410], Merchant Amount [EUR 410], Customer Amount [NOK 4089.9], Status [APPROVED], Operation [DIRECT], UUID [3635617-1458742687-126] [23/03/2016 at 14:18:00]"/>
  </r>
  <r>
    <s v="3635677-1458742725-56"/>
    <s v="Spot"/>
    <s v="3635677-1458742725-56"/>
    <n v="0"/>
    <d v="2016-03-31T00:00:00"/>
    <x v="710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677-1458742725-56] [23/03/2016 at 14:18:00]"/>
  </r>
  <r>
    <s v="3635608-1458742673-111"/>
    <s v="Spot"/>
    <s v="3635608-1458742673-111"/>
    <n v="0"/>
    <d v="2016-03-31T00:00:00"/>
    <x v="711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5608-1458742673-111] [23/03/2016 at 14:17:00]"/>
  </r>
  <r>
    <s v="3635602-1458742671-216"/>
    <s v="Spot"/>
    <s v="3635602-1458742671-216"/>
    <n v="0"/>
    <d v="2016-03-31T00:00:00"/>
    <x v="712"/>
    <s v="216"/>
    <s v="SELL"/>
    <n v="3.395498392282958"/>
    <x v="0"/>
    <x v="0"/>
    <n v="105.6"/>
    <s v="Deal"/>
    <m/>
    <s v="Original Amount [EUR 31.1], Merchant Amount [EUR 31.1], Customer Amount [TRY 105.6], Status [APPROVED], Operation [3DAUTH], UUID [3635602-1458742671-216] [23/03/2016 at 14:17:00]"/>
  </r>
  <r>
    <s v="3635578-1458742637-119"/>
    <s v="Spot"/>
    <s v="3635578-1458742637-119"/>
    <n v="0"/>
    <d v="2016-03-31T00:00:00"/>
    <x v="713"/>
    <s v="119"/>
    <s v="SELL"/>
    <n v="9.9756"/>
    <x v="0"/>
    <x v="1"/>
    <n v="249.39"/>
    <s v="Deal"/>
    <m/>
    <s v="Original Amount [EUR 25], Merchant Amount [EUR 25], Customer Amount [NOK 249.39], Status [APPROVED], Operation [DIRECT], UUID [3635578-1458742637-119] [23/03/2016 at 14:17:00]"/>
  </r>
  <r>
    <s v="3635569-1458742634-224"/>
    <s v="Spot"/>
    <s v="3635569-1458742634-224"/>
    <n v="0"/>
    <d v="2016-03-31T00:00:00"/>
    <x v="714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5569-1458742634-224] [23/03/2016 at 14:17:00]"/>
  </r>
  <r>
    <s v="3635596-1458742664-154"/>
    <s v="Spot"/>
    <s v="3635596-1458742664-154"/>
    <n v="0"/>
    <d v="2016-03-31T00:00:00"/>
    <x v="715"/>
    <s v="154"/>
    <s v="SELL"/>
    <n v="9.9754485363550529"/>
    <x v="0"/>
    <x v="1"/>
    <n v="211.28"/>
    <s v="Deal"/>
    <m/>
    <s v="Original Amount [EUR 21.18], Merchant Amount [EUR 21.18], Customer Amount [NOK 211.28], Status [APPROVED], Operation [3DAUTH], UUID [3635596-1458742664-154] [23/03/2016 at 14:17:00]"/>
  </r>
  <r>
    <s v="3635557-1458742626-145"/>
    <s v="Spot"/>
    <s v="3635557-1458742626-145"/>
    <n v="0"/>
    <d v="2016-03-31T00:00:00"/>
    <x v="716"/>
    <s v="145"/>
    <s v="SELL"/>
    <n v="9.9753795327617407"/>
    <x v="0"/>
    <x v="1"/>
    <n v="1268.17"/>
    <s v="Deal"/>
    <m/>
    <s v="Original Amount [EUR 127.13], Merchant Amount [EUR 127.13], Customer Amount [NOK 1268.17], Status [APPROVED], Operation [DIRECT], UUID [3635557-1458742626-145] [23/03/2016 at 14:17:00]"/>
  </r>
  <r>
    <s v="3635548-1458742619-224"/>
    <s v="Spot"/>
    <s v="3635548-1458742619-224"/>
    <n v="0"/>
    <d v="2016-03-31T00:00:00"/>
    <x v="717"/>
    <s v="224"/>
    <s v="SELL"/>
    <n v="133.03778184034127"/>
    <x v="0"/>
    <x v="3"/>
    <n v="2183.15"/>
    <s v="Deal"/>
    <m/>
    <s v="Original Amount [EUR 16.41], Merchant Amount [EUR 16.41], Customer Amount [JPY 2183.15], Status [APPROVED], Operation [DIRECT], UUID [3635548-1458742619-224] [23/03/2016 at 14:16:00]"/>
  </r>
  <r>
    <s v="3635530-1458742603-199"/>
    <s v="Spot"/>
    <s v="3635530-1458742603-199"/>
    <n v="0"/>
    <d v="2016-03-31T00:00:00"/>
    <x v="718"/>
    <s v="199"/>
    <s v="SELL"/>
    <n v="9.9754234167893969"/>
    <x v="0"/>
    <x v="1"/>
    <n v="1083.73"/>
    <s v="Deal"/>
    <m/>
    <s v="Original Amount [EUR 108.64], Merchant Amount [EUR 108.64], Customer Amount [NOK 1083.73], Status [APPROVED], Operation [DIRECT], UUID [3635530-1458742603-199] [23/03/2016 at 14:16:00]"/>
  </r>
  <r>
    <s v="3635521-1458742587-119"/>
    <s v="Spot"/>
    <s v="3635521-1458742587-119"/>
    <n v="0"/>
    <d v="2016-03-31T00:00:00"/>
    <x v="719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521-1458742587-119] [23/03/2016 at 14:16:00]"/>
  </r>
  <r>
    <s v="3635497-1458742567-199"/>
    <s v="Spot"/>
    <s v="3635497-1458742567-199"/>
    <n v="0"/>
    <d v="2016-03-31T00:00:00"/>
    <x v="720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5497-1458742567-199] [23/03/2016 at 14:16:00]"/>
  </r>
  <r>
    <s v="3635494-1458742564-200"/>
    <s v="Spot"/>
    <s v="3635494-1458742564-200"/>
    <n v="0"/>
    <d v="2016-03-31T00:00:00"/>
    <x v="721"/>
    <s v="200"/>
    <s v="SELL"/>
    <n v="9.9753537197626656"/>
    <x v="0"/>
    <x v="1"/>
    <n v="218.56"/>
    <s v="Deal"/>
    <m/>
    <s v="Original Amount [EUR 21.91], Merchant Amount [EUR 21.91], Customer Amount [NOK 218.56], Status [APPROVED], Operation [STORED], UUID [3635494-1458742564-200] [23/03/2016 at 14:16:00]"/>
  </r>
  <r>
    <s v="3635488-1458742562-199"/>
    <s v="Spot"/>
    <s v="3635488-1458742562-199"/>
    <n v="0"/>
    <d v="2016-03-31T00:00:00"/>
    <x v="722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5488-1458742562-199] [23/03/2016 at 14:16:00]"/>
  </r>
  <r>
    <s v="3635485-1458742561-82"/>
    <s v="Spot"/>
    <s v="3635485-1458742561-82"/>
    <n v="0"/>
    <d v="2016-03-31T00:00:00"/>
    <x v="7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485-1458742561-82] [23/03/2016 at 14:16:00]"/>
  </r>
  <r>
    <s v="3635476-1458742547-126"/>
    <s v="Spot"/>
    <s v="3635476-1458742547-126"/>
    <n v="0"/>
    <d v="2016-03-31T00:00:00"/>
    <x v="724"/>
    <s v="126"/>
    <s v="SELL"/>
    <n v="9.9754146341463414"/>
    <x v="0"/>
    <x v="1"/>
    <n v="511.24"/>
    <s v="Deal"/>
    <m/>
    <s v="Original Amount [EUR 51.25], Merchant Amount [EUR 51.25], Customer Amount [NOK 511.24], Status [APPROVED], Operation [DIRECT], UUID [3635476-1458742547-126] [23/03/2016 at 14:15:00]"/>
  </r>
  <r>
    <s v="3635467-1458742538-199"/>
    <s v="Spot"/>
    <s v="3635467-1458742538-199"/>
    <n v="0"/>
    <d v="2016-03-31T00:00:00"/>
    <x v="72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5467-1458742538-199] [23/03/2016 at 14:15:00]"/>
  </r>
  <r>
    <s v="3635464-1458742538-82"/>
    <s v="Spot"/>
    <s v="3635464-1458742538-82"/>
    <n v="0"/>
    <d v="2016-03-31T00:00:00"/>
    <x v="72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5464-1458742538-82] [23/03/2016 at 14:15:00]"/>
  </r>
  <r>
    <s v="3635458-1458742535-261"/>
    <s v="Spot"/>
    <s v="3635458-1458742535-261"/>
    <n v="0"/>
    <d v="2016-03-31T00:00:00"/>
    <x v="727"/>
    <s v="261"/>
    <s v="SELL"/>
    <n v="9.975509441017012"/>
    <x v="0"/>
    <x v="1"/>
    <n v="533.59"/>
    <s v="Deal"/>
    <m/>
    <s v="Original Amount [EUR 53.49], Merchant Amount [EUR 53.49], Customer Amount [NOK 533.59], Status [APPROVED], Operation [DIRECT], UUID [3635458-1458742535-261] [23/03/2016 at 14:15:00]"/>
  </r>
  <r>
    <s v="3635542-1458742610-216"/>
    <s v="Spot"/>
    <s v="3635542-1458742610-216"/>
    <n v="0"/>
    <d v="2016-03-31T00:00:00"/>
    <x v="728"/>
    <s v="216"/>
    <s v="SELL"/>
    <n v="3.395498392282958"/>
    <x v="0"/>
    <x v="0"/>
    <n v="52.8"/>
    <s v="Deal"/>
    <m/>
    <s v="Original Amount [EUR 15.55], Merchant Amount [EUR 15.55], Customer Amount [TRY 52.8], Status [APPROVED], Operation [3DAUTH], UUID [3635542-1458742610-216] [23/03/2016 at 14:16:00]"/>
  </r>
  <r>
    <s v="3635506-1458742573-107"/>
    <s v="Spot"/>
    <s v="3635506-1458742573-107"/>
    <n v="0"/>
    <d v="2016-03-31T00:00:00"/>
    <x v="729"/>
    <s v="107"/>
    <s v="SELL"/>
    <n v="3.3953200000000003"/>
    <x v="0"/>
    <x v="0"/>
    <n v="848.83"/>
    <s v="Deal"/>
    <m/>
    <s v="Original Amount [EUR 250], Merchant Amount [EUR 250], Customer Amount [TRY 848.83], Status [APPROVED], Operation [3DAUTH], UUID [3635506-1458742573-107] [23/03/2016 at 14:16:00]"/>
  </r>
  <r>
    <s v="3635428-1458742518-82"/>
    <s v="Spot"/>
    <s v="3635428-1458742518-82"/>
    <n v="0"/>
    <d v="2016-03-31T00:00:00"/>
    <x v="730"/>
    <s v="82"/>
    <s v="BUY"/>
    <n v="1.1757857974388823"/>
    <x v="0"/>
    <x v="7"/>
    <n v="50.5"/>
    <s v="Deal"/>
    <m/>
    <s v="Original Amount [USD 50.5], Merchant Amount [EUR 42.95], Customer Amount [USD 50.5], Status [APPROVED], Operation [REFUND], UUID [3635428-1458742518-82] [23/03/2016 at 14:15:00]"/>
  </r>
  <r>
    <s v="3635422-1458742516-126"/>
    <s v="Spot"/>
    <s v="3635422-1458742516-126"/>
    <n v="0"/>
    <d v="2016-03-31T00:00:00"/>
    <x v="731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5422-1458742516-126] [23/03/2016 at 14:15:00]"/>
  </r>
  <r>
    <s v="3635416-1458742514-119"/>
    <s v="Spot"/>
    <s v="3635416-1458742514-119"/>
    <n v="0"/>
    <d v="2016-03-31T00:00:00"/>
    <x v="73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416-1458742514-119] [23/03/2016 at 14:15:00]"/>
  </r>
  <r>
    <s v="3635410-1458742511-187"/>
    <s v="Spot"/>
    <s v="3635410-1458742511-187"/>
    <n v="0"/>
    <d v="2016-03-31T00:00:00"/>
    <x v="733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410-1458742511-187] [23/03/2016 at 14:15:00]"/>
  </r>
  <r>
    <s v="3635449-1458742530-101"/>
    <s v="Spot"/>
    <s v="3635449-1458742530-101"/>
    <n v="0"/>
    <d v="2016-03-31T00:00:00"/>
    <x v="734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5449-1458742530-101] [23/03/2016 at 14:15:00]"/>
  </r>
  <r>
    <s v="3635452-1458742531-172"/>
    <s v="Spot"/>
    <s v="3635452-1458742531-172"/>
    <n v="0"/>
    <d v="2016-03-31T00:00:00"/>
    <x v="735"/>
    <s v="172"/>
    <s v="SELL"/>
    <n v="9.9756726870622927"/>
    <x v="0"/>
    <x v="1"/>
    <n v="270.64"/>
    <s v="Deal"/>
    <m/>
    <s v="Original Amount [EUR 27.13], Merchant Amount [EUR 27.13], Customer Amount [NOK 270.64], Status [APPROVED], Operation [3DAUTH], UUID [3635452-1458742531-172] [23/03/2016 at 14:15:00]"/>
  </r>
  <r>
    <s v="3635377-1458742489-56"/>
    <s v="Spot"/>
    <s v="3635377-1458742489-56"/>
    <n v="0"/>
    <d v="2016-03-31T00:00:00"/>
    <x v="736"/>
    <s v="56"/>
    <s v="SELL"/>
    <n v="3.3880597014925375"/>
    <x v="0"/>
    <x v="0"/>
    <n v="79.45"/>
    <s v="Deal"/>
    <m/>
    <s v="Original Amount [EUR 23.45], Merchant Amount [EUR 23.45], Customer Amount [TRY 79.45], Status [WAITING], Operation [3D], UUID [3635377-1458742489-56] [23/03/2016 at 14:14:00]"/>
  </r>
  <r>
    <s v="3635371-1458742481-82"/>
    <s v="Spot"/>
    <s v="3635371-1458742481-82"/>
    <n v="0"/>
    <d v="2016-03-31T00:00:00"/>
    <x v="73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71-1458742481-82] [23/03/2016 at 14:14:00]"/>
  </r>
  <r>
    <s v="3635386-1458742493-101"/>
    <s v="Spot"/>
    <s v="3635386-1458742493-101"/>
    <n v="0"/>
    <d v="2016-03-31T00:00:00"/>
    <x v="738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5386-1458742493-101] [23/03/2016 at 14:14:00]"/>
  </r>
  <r>
    <s v="3635344-1458742471-224"/>
    <s v="Spot"/>
    <s v="3635344-1458742471-224"/>
    <n v="0"/>
    <d v="2016-03-31T00:00:00"/>
    <x v="739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5344-1458742471-224] [23/03/2016 at 14:14:00]"/>
  </r>
  <r>
    <s v="3635332-1458742461-224"/>
    <s v="Spot"/>
    <s v="3635332-1458742461-224"/>
    <n v="0"/>
    <d v="2016-03-31T00:00:00"/>
    <x v="740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35332-1458742461-224] [23/03/2016 at 14:14:00]"/>
  </r>
  <r>
    <s v="3635317-1458742446-224"/>
    <s v="Spot"/>
    <s v="3635317-1458742446-224"/>
    <n v="0"/>
    <d v="2016-03-31T00:00:00"/>
    <x v="741"/>
    <s v="224"/>
    <s v="SELL"/>
    <n v="9.9550215650030793"/>
    <x v="0"/>
    <x v="1"/>
    <n v="161.57"/>
    <s v="Deal"/>
    <m/>
    <s v="Original Amount [EUR 16.23], Merchant Amount [EUR 16.23], Customer Amount [NOK 161.57], Status [APPROVED], Operation [DIRECT], UUID [3635317-1458742446-224] [23/03/2016 at 14:14:00]"/>
  </r>
  <r>
    <s v="3635308-1458742437-56"/>
    <s v="Spot"/>
    <s v="3635308-1458742437-56"/>
    <n v="0"/>
    <d v="2016-03-31T00:00:00"/>
    <x v="742"/>
    <s v="56"/>
    <s v="SELL"/>
    <n v="3.3881278538812789"/>
    <x v="0"/>
    <x v="0"/>
    <n v="81.62"/>
    <s v="Deal"/>
    <m/>
    <s v="Original Amount [EUR 24.09], Merchant Amount [EUR 24.09], Customer Amount [TRY 81.62], Status [WAITING], Operation [3D], UUID [3635308-1458742437-56] [23/03/2016 at 14:13:00]"/>
  </r>
  <r>
    <s v="3635302-1458742435-82"/>
    <s v="Spot"/>
    <s v="3635302-1458742435-82"/>
    <n v="0"/>
    <d v="2016-03-31T00:00:00"/>
    <x v="743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02-1458742435-82] [23/03/2016 at 14:13:00]"/>
  </r>
  <r>
    <s v="3635356-1458742476-107"/>
    <s v="Spot"/>
    <s v="3635356-1458742476-107"/>
    <n v="0"/>
    <d v="2016-03-31T00:00:00"/>
    <x v="744"/>
    <s v="107"/>
    <s v="SELL"/>
    <n v="3.3883196721311477"/>
    <x v="0"/>
    <x v="0"/>
    <n v="66.14"/>
    <s v="Deal"/>
    <m/>
    <s v="Original Amount [EUR 19.52], Merchant Amount [EUR 19.52], Customer Amount [TRY 66.14], Status [APPROVED], Operation [3DAUTH], UUID [3635356-1458742476-107] [23/03/2016 at 14:14:00]"/>
  </r>
  <r>
    <s v="3635311-1458742444-216"/>
    <s v="Spot"/>
    <s v="3635311-1458742444-216"/>
    <n v="0"/>
    <d v="2016-03-31T00:00:00"/>
    <x v="74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5311-1458742444-216] [23/03/2016 at 14:14:00]"/>
  </r>
  <r>
    <s v="3635272-1458742396-82"/>
    <s v="Spot"/>
    <s v="3635272-1458742396-82"/>
    <n v="0"/>
    <d v="2016-03-31T00:00:00"/>
    <x v="746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5272-1458742396-82] [23/03/2016 at 14:13:00]"/>
  </r>
  <r>
    <s v="3635248-1458742379-119"/>
    <s v="Spot"/>
    <s v="3635248-1458742379-119"/>
    <n v="0"/>
    <d v="2016-03-31T00:00:00"/>
    <x v="747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5248-1458742379-119] [23/03/2016 at 14:12:00]"/>
  </r>
  <r>
    <s v="3635245-1458742371-199"/>
    <s v="Spot"/>
    <s v="3635245-1458742371-199"/>
    <n v="0"/>
    <d v="2016-03-31T00:00:00"/>
    <x v="74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5245-1458742371-199] [23/03/2016 at 14:12:00]"/>
  </r>
  <r>
    <s v="3635242-1458742369-224"/>
    <s v="Spot"/>
    <s v="3635242-1458742369-224"/>
    <n v="0"/>
    <d v="2016-03-31T00:00:00"/>
    <x v="749"/>
    <s v="224"/>
    <s v="SELL"/>
    <n v="9.9548913043478269"/>
    <x v="0"/>
    <x v="1"/>
    <n v="183.17"/>
    <s v="Deal"/>
    <m/>
    <s v="Original Amount [EUR 18.4], Merchant Amount [EUR 18.4], Customer Amount [NOK 183.17], Status [APPROVED], Operation [DIRECT], UUID [3635242-1458742369-224] [23/03/2016 at 14:12:00]"/>
  </r>
  <r>
    <s v="3635221-1458742360-82"/>
    <s v="Spot"/>
    <s v="3635221-1458742360-82"/>
    <n v="0"/>
    <d v="2016-03-31T00:00:00"/>
    <x v="750"/>
    <s v="82"/>
    <s v="SELL"/>
    <n v="1.1839863713798977"/>
    <x v="0"/>
    <x v="7"/>
    <n v="6.95"/>
    <s v="Deal"/>
    <m/>
    <s v="Original Amount [USD 6.95], Merchant Amount [EUR 5.87], Customer Amount [USD 6.95], Status [APPROVED], Operation [DIRECT], UUID [3635221-1458742360-82] [23/03/2016 at 14:12:00]"/>
  </r>
  <r>
    <s v="3635263-1458742390-107"/>
    <s v="Spot"/>
    <s v="3635263-1458742390-107"/>
    <n v="0"/>
    <d v="2016-03-31T00:00:00"/>
    <x v="751"/>
    <s v="107"/>
    <s v="SELL"/>
    <n v="3.3882820258192647"/>
    <x v="0"/>
    <x v="0"/>
    <n v="34.119999999999997"/>
    <s v="Deal"/>
    <m/>
    <s v="Original Amount [EUR 10.07], Merchant Amount [EUR 10.07], Customer Amount [TRY 34.12], Status [APPROVED], Operation [3DAUTH], UUID [3635263-1458742390-107] [23/03/2016 at 14:13:00]"/>
  </r>
  <r>
    <s v="3635218-1458742358-216"/>
    <s v="Spot"/>
    <s v="3635218-1458742358-216"/>
    <n v="0"/>
    <d v="2016-03-31T00:00:00"/>
    <x v="752"/>
    <s v="216"/>
    <s v="SELL"/>
    <n v="3.387959866220736"/>
    <x v="0"/>
    <x v="0"/>
    <n v="131.69"/>
    <s v="Deal"/>
    <m/>
    <s v="Original Amount [EUR 38.87], Merchant Amount [EUR 38.87], Customer Amount [TRY 131.69], Status [APPROVED], Operation [3DAUTH], UUID [3635218-1458742358-216] [23/03/2016 at 14:12:00]"/>
  </r>
  <r>
    <s v="3635176-1458742334-224"/>
    <s v="Spot"/>
    <s v="3635176-1458742334-224"/>
    <n v="0"/>
    <d v="2016-03-31T00:00:00"/>
    <x v="753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5176-1458742334-224] [23/03/2016 at 14:12:00]"/>
  </r>
  <r>
    <s v="3635224-1458742361-264"/>
    <s v="Spot"/>
    <s v="3635224-1458742361-264"/>
    <n v="0"/>
    <d v="2016-03-31T00:00:00"/>
    <x v="754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35224-1458742361-264] [23/03/2016 at 14:12:00]"/>
  </r>
  <r>
    <s v="3635338-1458742462-261"/>
    <s v="Spot"/>
    <s v="3635338-1458742462-261"/>
    <n v="0"/>
    <d v="2016-03-31T00:00:00"/>
    <x v="755"/>
    <s v="261"/>
    <s v="SELL"/>
    <n v="9.9551401869158873"/>
    <x v="0"/>
    <x v="1"/>
    <n v="106.52"/>
    <s v="Deal"/>
    <m/>
    <s v="Original Amount [EUR 10.7], Merchant Amount [EUR 10.7], Customer Amount [NOK 106.52], Status [APPROVED], Operation [3DAUTH], UUID [3635338-1458742462-261] [23/03/2016 at 14:14:00]"/>
  </r>
  <r>
    <s v="3635200-1458742346-216"/>
    <s v="Spot"/>
    <s v="3635200-1458742346-216"/>
    <n v="0"/>
    <d v="2016-03-31T00:00:00"/>
    <x v="756"/>
    <s v="216"/>
    <s v="SELL"/>
    <n v="3.3878462913315457"/>
    <x v="0"/>
    <x v="0"/>
    <n v="37.909999999999997"/>
    <s v="Deal"/>
    <m/>
    <s v="Original Amount [EUR 11.19], Merchant Amount [EUR 11.19], Customer Amount [TRY 37.91], Status [APPROVED], Operation [3DAUTH], UUID [3635200-1458742346-216] [23/03/2016 at 14:12:00]"/>
  </r>
  <r>
    <s v="3635158-1458742323-145"/>
    <s v="Spot"/>
    <s v="3635158-1458742323-145"/>
    <n v="0"/>
    <d v="2016-03-31T00:00:00"/>
    <x v="757"/>
    <s v="145"/>
    <s v="SELL"/>
    <n v="9.9546827794561938"/>
    <x v="0"/>
    <x v="1"/>
    <n v="263.60000000000002"/>
    <s v="Deal"/>
    <m/>
    <s v="Original Amount [EUR 26.48], Merchant Amount [EUR 26.48], Customer Amount [NOK 263.6], Status [APPROVED], Operation [DIRECT], UUID [3635158-1458742323-145] [23/03/2016 at 14:12:00]"/>
  </r>
  <r>
    <s v="3635155-1458742321-82"/>
    <s v="Spot"/>
    <s v="3635155-1458742321-82"/>
    <n v="0"/>
    <d v="2016-03-31T00:00:00"/>
    <x v="75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155-1458742321-82] [23/03/2016 at 14:12:00]"/>
  </r>
  <r>
    <s v="3635152-1458742321-224"/>
    <s v="Spot"/>
    <s v="3635152-1458742321-224"/>
    <n v="0"/>
    <d v="2016-03-31T00:00:00"/>
    <x v="759"/>
    <s v="224"/>
    <s v="SELL"/>
    <n v="132.832430950586"/>
    <x v="0"/>
    <x v="3"/>
    <n v="19381.580000000002"/>
    <s v="Deal"/>
    <m/>
    <s v="Original Amount [EUR 145.91], Merchant Amount [EUR 145.91], Customer Amount [JPY 19381.58], Status [APPROVED], Operation [DIRECT], UUID [3635152-1458742321-224] [23/03/2016 at 14:12:00]"/>
  </r>
  <r>
    <s v="3635137-1458742315-199"/>
    <s v="Spot"/>
    <s v="3635137-1458742315-199"/>
    <n v="0"/>
    <d v="2016-03-31T00:00:00"/>
    <x v="760"/>
    <s v="199"/>
    <s v="SELL"/>
    <n v="9.954635108481261"/>
    <x v="0"/>
    <x v="1"/>
    <n v="605.64"/>
    <s v="Deal"/>
    <m/>
    <s v="Original Amount [EUR 60.84], Merchant Amount [EUR 60.84], Customer Amount [NOK 605.64], Status [APPROVED], Operation [DIRECT], UUID [3635137-1458742315-199] [23/03/2016 at 14:11:00]"/>
  </r>
  <r>
    <s v="3635128-1458742306-203"/>
    <s v="Spot"/>
    <s v="3635128-1458742306-203"/>
    <n v="0"/>
    <d v="2016-03-31T00:00:00"/>
    <x v="761"/>
    <s v="203"/>
    <s v="SELL"/>
    <n v="3.3878709677419354"/>
    <x v="0"/>
    <x v="0"/>
    <n v="262.56"/>
    <s v="Deal"/>
    <m/>
    <s v="Original Amount [EUR 77.5], Merchant Amount [EUR 77.5], Customer Amount [TRY 262.56], Status [APPROVED], Operation [3DAUTH], UUID [3635128-1458742306-203] [23/03/2016 at 14:11:00]"/>
  </r>
  <r>
    <s v="3635113-1458742300-101"/>
    <s v="Spot"/>
    <s v="3635113-1458742300-101"/>
    <n v="0"/>
    <d v="2016-03-31T00:00:00"/>
    <x v="762"/>
    <s v="101"/>
    <s v="SELL"/>
    <n v="3.3878245648157153"/>
    <x v="0"/>
    <x v="0"/>
    <n v="348.37"/>
    <s v="Deal"/>
    <m/>
    <s v="Original Amount [EUR 102.83], Merchant Amount [EUR 102.83], Customer Amount [TRY 348.37], Status [APPROVED], Operation [3DAUTH], UUID [3635113-1458742300-101] [23/03/2016 at 14:11:00]"/>
  </r>
  <r>
    <s v="3635104-1458742291-216"/>
    <s v="Spot"/>
    <s v="3635104-1458742291-216"/>
    <n v="0"/>
    <d v="2016-03-31T00:00:00"/>
    <x v="763"/>
    <s v="216"/>
    <s v="SELL"/>
    <n v="3.3879957127545555"/>
    <x v="0"/>
    <x v="0"/>
    <n v="94.83"/>
    <s v="Deal"/>
    <m/>
    <s v="Original Amount [EUR 27.99], Merchant Amount [EUR 27.99], Customer Amount [TRY 94.83], Status [APPROVED], Operation [3DAUTH], UUID [3635104-1458742291-216] [23/03/2016 at 14:11:00]"/>
  </r>
  <r>
    <s v="3635083-1458742280-203"/>
    <s v="Spot"/>
    <s v="3635083-1458742280-203"/>
    <n v="0"/>
    <d v="2016-03-31T00:00:00"/>
    <x v="764"/>
    <s v="203"/>
    <s v="SELL"/>
    <n v="3.388089330024814"/>
    <x v="0"/>
    <x v="0"/>
    <n v="68.27"/>
    <s v="Deal"/>
    <m/>
    <s v="Original Amount [EUR 20.15], Merchant Amount [EUR 20.15], Customer Amount [TRY 68.27], Status [APPROVED], Operation [3DAUTH], UUID [3635083-1458742280-203] [23/03/2016 at 14:11:00]"/>
  </r>
  <r>
    <s v="3635038-1458742241-126"/>
    <s v="Spot"/>
    <s v="3635038-1458742241-126"/>
    <n v="0"/>
    <d v="2016-03-31T00:00:00"/>
    <x v="765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5038-1458742241-126] [23/03/2016 at 14:10:00]"/>
  </r>
  <r>
    <s v="3635020-1458742234-119"/>
    <s v="Spot"/>
    <s v="3635020-1458742234-119"/>
    <n v="0"/>
    <d v="2016-03-31T00:00:00"/>
    <x v="7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5020-1458742234-119] [23/03/2016 at 14:10:00]"/>
  </r>
  <r>
    <s v="3635011-1458742226-82"/>
    <s v="Spot"/>
    <s v="3635011-1458742226-82"/>
    <n v="0"/>
    <d v="2016-03-31T00:00:00"/>
    <x v="767"/>
    <s v="82"/>
    <s v="SELL"/>
    <n v="1.1831683168316831"/>
    <x v="0"/>
    <x v="7"/>
    <n v="11.95"/>
    <s v="Deal"/>
    <m/>
    <s v="Original Amount [USD 11.95], Merchant Amount [EUR 10.1], Customer Amount [USD 11.95], Status [APPROVED], Operation [DIRECT], UUID [3635011-1458742226-82] [23/03/2016 at 14:10:00]"/>
  </r>
  <r>
    <s v="3635008-1458742223-261"/>
    <s v="Spot"/>
    <s v="3635008-1458742223-261"/>
    <n v="0"/>
    <d v="2016-03-31T00:00:00"/>
    <x v="76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5008-1458742223-261] [23/03/2016 at 14:10:00]"/>
  </r>
  <r>
    <s v="3634999-1458742219-82"/>
    <s v="Spot"/>
    <s v="3634999-1458742219-82"/>
    <n v="0"/>
    <d v="2016-03-31T00:00:00"/>
    <x v="769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99-1458742219-82] [23/03/2016 at 14:10:00]"/>
  </r>
  <r>
    <s v="3635032-1458742237-101"/>
    <s v="Spot"/>
    <s v="3635032-1458742237-101"/>
    <n v="0"/>
    <d v="2016-03-31T00:00:00"/>
    <x v="77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5032-1458742237-101] [23/03/2016 at 14:10:00]"/>
  </r>
  <r>
    <s v="3634981-1458742204-224"/>
    <s v="Spot"/>
    <s v="3634981-1458742204-224"/>
    <n v="0"/>
    <d v="2016-03-31T00:00:00"/>
    <x v="77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4981-1458742204-224] [23/03/2016 at 14:10:00]"/>
  </r>
  <r>
    <s v="3635005-1458742223-216"/>
    <s v="Spot"/>
    <s v="3635005-1458742223-216"/>
    <n v="0"/>
    <d v="2016-03-31T00:00:00"/>
    <x v="772"/>
    <s v="216"/>
    <s v="SELL"/>
    <n v="3.3882636655948555"/>
    <x v="0"/>
    <x v="0"/>
    <n v="42.15"/>
    <s v="Deal"/>
    <m/>
    <s v="Original Amount [EUR 12.44], Merchant Amount [EUR 12.44], Customer Amount [TRY 42.15], Status [APPROVED], Operation [3DAUTH], UUID [3635005-1458742223-216] [23/03/2016 at 14:10:00]"/>
  </r>
  <r>
    <s v="3635014-1458742226-56"/>
    <s v="Spot"/>
    <s v="3635014-1458742226-56"/>
    <n v="0"/>
    <d v="2016-03-31T00:00:00"/>
    <x v="773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5014-1458742226-56] [23/03/2016 at 14:10:00]"/>
  </r>
  <r>
    <s v="3634942-1458742180-82"/>
    <s v="Spot"/>
    <s v="3634942-1458742180-82"/>
    <n v="0"/>
    <d v="2016-03-31T00:00:00"/>
    <x v="77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42-1458742180-82] [23/03/2016 at 14:09:00]"/>
  </r>
  <r>
    <s v="3634984-1458742206-126"/>
    <s v="Spot"/>
    <s v="3634984-1458742206-126"/>
    <n v="0"/>
    <d v="2016-03-31T00:00:00"/>
    <x v="775"/>
    <s v="126"/>
    <s v="SELL"/>
    <n v="9.9547967479674799"/>
    <x v="0"/>
    <x v="1"/>
    <n v="306.11"/>
    <s v="Deal"/>
    <m/>
    <s v="Original Amount [EUR 30.75], Merchant Amount [EUR 30.75], Customer Amount [NOK 306.11], Status [APPROVED], Operation [3DAUTH], UUID [3634984-1458742206-126] [23/03/2016 at 14:10:00]"/>
  </r>
  <r>
    <s v="3634966-1458742196-216"/>
    <s v="Spot"/>
    <s v="3634966-1458742196-216"/>
    <n v="0"/>
    <d v="2016-03-31T00:00:00"/>
    <x v="776"/>
    <s v="216"/>
    <s v="SELL"/>
    <n v="3.3879396984924623"/>
    <x v="0"/>
    <x v="0"/>
    <n v="168.55"/>
    <s v="Deal"/>
    <m/>
    <s v="Original Amount [EUR 49.75], Merchant Amount [EUR 49.75], Customer Amount [TRY 168.55], Status [APPROVED], Operation [3DAUTH], UUID [3634966-1458742196-216] [23/03/2016 at 14:09:00]"/>
  </r>
  <r>
    <s v="3634927-1458742167-199"/>
    <s v="Spot"/>
    <s v="3634927-1458742167-199"/>
    <n v="0"/>
    <d v="2016-03-31T00:00:00"/>
    <x v="777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4927-1458742167-199] [23/03/2016 at 14:09:00]"/>
  </r>
  <r>
    <s v="3634912-1458742162-82"/>
    <s v="Spot"/>
    <s v="3634912-1458742162-82"/>
    <n v="0"/>
    <d v="2016-03-31T00:00:00"/>
    <x v="77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12-1458742162-82] [23/03/2016 at 14:09:00]"/>
  </r>
  <r>
    <s v="3634969-1458742199-56"/>
    <s v="Spot"/>
    <s v="3634969-1458742199-56"/>
    <n v="0"/>
    <d v="2016-03-31T00:00:00"/>
    <x v="779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4969-1458742199-56] [23/03/2016 at 14:09:00]"/>
  </r>
  <r>
    <s v="3634915-1458742163-101"/>
    <s v="Spot"/>
    <s v="3634915-1458742163-101"/>
    <n v="0"/>
    <d v="2016-03-31T00:00:00"/>
    <x v="780"/>
    <s v="101"/>
    <s v="SELL"/>
    <n v="3.3922178988326852"/>
    <x v="0"/>
    <x v="0"/>
    <n v="43.59"/>
    <s v="Deal"/>
    <m/>
    <s v="Original Amount [EUR 12.85], Merchant Amount [EUR 12.85], Customer Amount [TRY 43.59], Status [APPROVED], Operation [3DAUTH], UUID [3634915-1458742163-101] [23/03/2016 at 14:09:00]"/>
  </r>
  <r>
    <s v="3634933-1458742173-216"/>
    <s v="Spot"/>
    <s v="3634933-1458742173-216"/>
    <n v="0"/>
    <d v="2016-03-31T00:00:00"/>
    <x v="781"/>
    <s v="216"/>
    <s v="SELL"/>
    <n v="3.391947517365578"/>
    <x v="0"/>
    <x v="0"/>
    <n v="263.69"/>
    <s v="Deal"/>
    <m/>
    <s v="Original Amount [EUR 77.74], Merchant Amount [EUR 77.74], Customer Amount [TRY 263.69], Status [APPROVED], Operation [3DAUTH], UUID [3634933-1458742173-216] [23/03/2016 at 14:09:00]"/>
  </r>
  <r>
    <s v="3634945-1458742181-101"/>
    <s v="Spot"/>
    <s v="3634945-1458742181-101"/>
    <n v="0"/>
    <d v="2016-03-31T00:00:00"/>
    <x v="782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4945-1458742181-101] [23/03/2016 at 14:09:00]"/>
  </r>
  <r>
    <s v="3634879-1458742130-119"/>
    <s v="Spot"/>
    <s v="3634879-1458742130-119"/>
    <n v="0"/>
    <d v="2016-03-31T00:00:00"/>
    <x v="78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4879-1458742130-119] [23/03/2016 at 14:08:00]"/>
  </r>
  <r>
    <s v="3634876-1458742124-200"/>
    <s v="Spot"/>
    <s v="3634876-1458742124-200"/>
    <n v="0"/>
    <d v="2016-03-31T00:00:00"/>
    <x v="784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34876-1458742124-200] [23/03/2016 at 14:08:00]"/>
  </r>
  <r>
    <s v="3634873-1458742107-261"/>
    <s v="Spot"/>
    <s v="3634873-1458742107-261"/>
    <n v="0"/>
    <d v="2016-03-31T00:00:00"/>
    <x v="785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73-1458742107-261] [23/03/2016 at 14:08:00]"/>
  </r>
  <r>
    <s v="3634870-1458742105-82"/>
    <s v="Spot"/>
    <s v="3634870-1458742105-82"/>
    <n v="0"/>
    <d v="2016-03-31T00:00:00"/>
    <x v="78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70-1458742105-82] [23/03/2016 at 14:08:00]"/>
  </r>
  <r>
    <s v="3634867-1458742102-261"/>
    <s v="Spot"/>
    <s v="3634867-1458742102-261"/>
    <n v="0"/>
    <d v="2016-03-31T00:00:00"/>
    <x v="78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67-1458742102-261] [23/03/2016 at 14:08:00]"/>
  </r>
  <r>
    <s v="3634861-1458742099-82"/>
    <s v="Spot"/>
    <s v="3634861-1458742099-82"/>
    <n v="0"/>
    <d v="2016-03-31T00:00:00"/>
    <x v="788"/>
    <s v="82"/>
    <s v="BUY"/>
    <n v="0"/>
    <x v="0"/>
    <x v="7"/>
    <n v="0.01"/>
    <s v="Deal"/>
    <m/>
    <s v="Original Amount [USD 0.01], Merchant Amount [EUR 0], Customer Amount [USD 0.01], Status [APPROVED], Operation [REFUND], UUID [3634861-1458742099-82] [23/03/2016 at 14:08:00]"/>
  </r>
  <r>
    <s v="3634858-1458742098-199"/>
    <s v="Spot"/>
    <s v="3634858-1458742098-199"/>
    <n v="0"/>
    <d v="2016-03-31T00:00:00"/>
    <x v="78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4858-1458742098-199] [23/03/2016 at 14:08:00]"/>
  </r>
  <r>
    <s v="3634909-1458742160-203"/>
    <s v="Spot"/>
    <s v="3634909-1458742160-203"/>
    <n v="0"/>
    <d v="2016-03-31T00:00:00"/>
    <x v="79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909-1458742160-203] [23/03/2016 at 14:09:00]"/>
  </r>
  <r>
    <s v="3634849-1458742094-82"/>
    <s v="Spot"/>
    <s v="3634849-1458742094-82"/>
    <n v="0"/>
    <d v="2016-03-31T00:00:00"/>
    <x v="791"/>
    <s v="82"/>
    <s v="SELL"/>
    <n v="0"/>
    <x v="0"/>
    <x v="7"/>
    <n v="0.01"/>
    <s v="Deal"/>
    <m/>
    <s v="Original Amount [USD 0.01], Merchant Amount [EUR 0], Customer Amount [USD 0.01], Status [APPROVED], Operation [STORED], UUID [3634849-1458742094-82] [23/03/2016 at 14:08:00]"/>
  </r>
  <r>
    <s v="3634846-1458742094-261"/>
    <s v="Spot"/>
    <s v="3634846-1458742094-261"/>
    <n v="0"/>
    <d v="2016-03-31T00:00:00"/>
    <x v="792"/>
    <s v="261"/>
    <s v="SELL"/>
    <n v="9.954749439042633"/>
    <x v="0"/>
    <x v="1"/>
    <n v="266.19"/>
    <s v="Deal"/>
    <m/>
    <s v="Original Amount [EUR 26.74], Merchant Amount [EUR 26.74], Customer Amount [NOK 266.19], Status [APPROVED], Operation [DIRECT], UUID [3634846-1458742094-261] [23/03/2016 at 14:08:00]"/>
  </r>
  <r>
    <s v="3634843-1458742088-82"/>
    <s v="Spot"/>
    <s v="3634843-1458742088-82"/>
    <n v="0"/>
    <d v="2016-03-31T00:00:00"/>
    <x v="79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43-1458742088-82] [23/03/2016 at 14:08:00]"/>
  </r>
  <r>
    <s v="3634834-1458742078-82"/>
    <s v="Spot"/>
    <s v="3634834-1458742078-82"/>
    <n v="0"/>
    <d v="2016-03-31T00:00:00"/>
    <x v="79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34-1458742078-82] [23/03/2016 at 14:07:00]"/>
  </r>
  <r>
    <s v="3634816-1458742064-261"/>
    <s v="Spot"/>
    <s v="3634816-1458742064-261"/>
    <n v="0"/>
    <d v="2016-03-31T00:00:00"/>
    <x v="795"/>
    <s v="261"/>
    <s v="SELL"/>
    <n v="9.9546623042767006"/>
    <x v="0"/>
    <x v="1"/>
    <n v="851.92"/>
    <s v="Deal"/>
    <m/>
    <s v="Original Amount [EUR 85.58], Merchant Amount [EUR 85.58], Customer Amount [NOK 851.92], Status [WAITING], Operation [3D], UUID [3634816-1458742064-261] [23/03/2016 at 14:07:00]"/>
  </r>
  <r>
    <s v="3634825-1458742074-107"/>
    <s v="Spot"/>
    <s v="3634825-1458742074-107"/>
    <n v="0"/>
    <d v="2016-03-31T00:00:00"/>
    <x v="796"/>
    <s v="107"/>
    <s v="SELL"/>
    <n v="3.3920271142672691"/>
    <x v="0"/>
    <x v="0"/>
    <n v="210.17"/>
    <s v="Deal"/>
    <m/>
    <s v="Original Amount [EUR 61.96], Merchant Amount [EUR 61.96], Customer Amount [TRY 210.17], Status [APPROVED], Operation [3DAUTH], UUID [3634825-1458742074-107] [23/03/2016 at 14:07:00]"/>
  </r>
  <r>
    <s v="3634792-1458742050-82"/>
    <s v="Spot"/>
    <s v="3634792-1458742050-82"/>
    <n v="0"/>
    <d v="2016-03-31T00:00:00"/>
    <x v="7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92-1458742050-82] [23/03/2016 at 14:07:00]"/>
  </r>
  <r>
    <s v="3634786-1458742047-224"/>
    <s v="Spot"/>
    <s v="3634786-1458742047-224"/>
    <n v="0"/>
    <d v="2016-03-31T00:00:00"/>
    <x v="798"/>
    <s v="224"/>
    <s v="SELL"/>
    <n v="133.03783931998905"/>
    <x v="0"/>
    <x v="3"/>
    <n v="4851.8900000000003"/>
    <s v="Deal"/>
    <m/>
    <s v="Original Amount [EUR 36.47], Merchant Amount [EUR 36.47], Customer Amount [JPY 4851.89], Status [APPROVED], Operation [DIRECT], UUID [3634786-1458742047-224] [23/03/2016 at 14:07:00]"/>
  </r>
  <r>
    <s v="3634780-1458742044-261"/>
    <s v="Spot"/>
    <s v="3634780-1458742044-261"/>
    <n v="0"/>
    <d v="2016-03-31T00:00:00"/>
    <x v="799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4780-1458742044-261] [23/03/2016 at 14:07:00]"/>
  </r>
  <r>
    <s v="3634837-1458742085-111"/>
    <s v="Spot"/>
    <s v="3634837-1458742085-111"/>
    <n v="0"/>
    <d v="2016-03-31T00:00:00"/>
    <x v="800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4837-1458742085-111] [23/03/2016 at 14:08:00]"/>
  </r>
  <r>
    <s v="3634813-1458742062-200"/>
    <s v="Spot"/>
    <s v="3634813-1458742062-200"/>
    <n v="0"/>
    <d v="2016-03-31T00:00:00"/>
    <x v="801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3DAUTH], UUID [3634813-1458742062-200] [23/03/2016 at 14:07:00]"/>
  </r>
  <r>
    <s v="3634759-1458742019-199"/>
    <s v="Spot"/>
    <s v="3634759-1458742019-199"/>
    <n v="0"/>
    <d v="2016-03-31T00:00:00"/>
    <x v="802"/>
    <s v="199"/>
    <s v="SELL"/>
    <n v="9.9553903345724919"/>
    <x v="0"/>
    <x v="1"/>
    <n v="107.12"/>
    <s v="Deal"/>
    <m/>
    <s v="Original Amount [EUR 10.76], Merchant Amount [EUR 10.76], Customer Amount [NOK 107.12], Status [APPROVED], Operation [DIRECT], UUID [3634759-1458742019-199] [23/03/2016 at 14:06:00]"/>
  </r>
  <r>
    <s v="3634756-1458742017-82"/>
    <s v="Spot"/>
    <s v="3634756-1458742017-82"/>
    <n v="0"/>
    <d v="2016-03-31T00:00:00"/>
    <x v="80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56-1458742017-82] [23/03/2016 at 14:06:00]"/>
  </r>
  <r>
    <s v="3634735-1458742011-224"/>
    <s v="Spot"/>
    <s v="3634735-1458742011-224"/>
    <n v="0"/>
    <d v="2016-03-31T00:00:00"/>
    <x v="804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4735-1458742011-224] [23/03/2016 at 14:06:00]"/>
  </r>
  <r>
    <s v="3634732-1458742007-199"/>
    <s v="Spot"/>
    <s v="3634732-1458742007-199"/>
    <n v="0"/>
    <d v="2016-03-31T00:00:00"/>
    <x v="805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4732-1458742007-199] [23/03/2016 at 14:06:00]"/>
  </r>
  <r>
    <s v="3634729-1458742006-82"/>
    <s v="Spot"/>
    <s v="3634729-1458742006-82"/>
    <n v="0"/>
    <d v="2016-03-31T00:00:00"/>
    <x v="80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29-1458742006-82] [23/03/2016 at 14:06:00]"/>
  </r>
  <r>
    <s v="3634723-1458742003-82"/>
    <s v="Spot"/>
    <s v="3634723-1458742003-82"/>
    <n v="0"/>
    <d v="2016-03-31T00:00:00"/>
    <x v="807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34723-1458742003-82] [23/03/2016 at 14:06:00]"/>
  </r>
  <r>
    <s v="3634714-1458741995-82"/>
    <s v="Spot"/>
    <s v="3634714-1458741995-82"/>
    <n v="0"/>
    <d v="2016-03-31T00:00:00"/>
    <x v="80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14-1458741995-82] [23/03/2016 at 14:06:00]"/>
  </r>
  <r>
    <s v="3634738-1458742012-56"/>
    <s v="Spot"/>
    <s v="3634738-1458742012-56"/>
    <n v="0"/>
    <d v="2016-03-31T00:00:00"/>
    <x v="809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4738-1458742012-56] [23/03/2016 at 14:06:00]"/>
  </r>
  <r>
    <s v="3634684-1458741975-82"/>
    <s v="Spot"/>
    <s v="3634684-1458741975-82"/>
    <n v="0"/>
    <d v="2016-03-31T00:00:00"/>
    <x v="8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684-1458741975-82] [23/03/2016 at 14:06:00]"/>
  </r>
  <r>
    <s v="3634681-1458741968-187"/>
    <s v="Spot"/>
    <s v="3634681-1458741968-187"/>
    <n v="0"/>
    <d v="2016-03-31T00:00:00"/>
    <x v="811"/>
    <s v="187"/>
    <s v="SELL"/>
    <n v="9.9546242319205938"/>
    <x v="0"/>
    <x v="1"/>
    <n v="631.82000000000005"/>
    <s v="Deal"/>
    <m/>
    <s v="Original Amount [EUR 63.47], Merchant Amount [EUR 63.47], Customer Amount [NOK 631.82], Status [APPROVED], Operation [DIRECT], UUID [3634681-1458741968-187] [23/03/2016 at 14:06:00]"/>
  </r>
  <r>
    <s v="3634774-1458742034-107"/>
    <s v="Spot"/>
    <s v="3634774-1458742034-107"/>
    <n v="0"/>
    <d v="2016-03-31T00:00:00"/>
    <x v="812"/>
    <s v="107"/>
    <s v="SELL"/>
    <n v="3.387860525182953"/>
    <x v="0"/>
    <x v="0"/>
    <n v="78.7"/>
    <s v="Deal"/>
    <m/>
    <s v="Original Amount [EUR 23.23], Merchant Amount [EUR 23.23], Customer Amount [TRY 78.7], Status [APPROVED], Operation [3DAUTH], UUID [3634774-1458742034-107] [23/03/2016 at 14:07:00]"/>
  </r>
  <r>
    <s v="3634672-1458741960-82"/>
    <s v="Spot"/>
    <s v="3634672-1458741960-82"/>
    <n v="0"/>
    <d v="2016-03-31T00:00:00"/>
    <x v="813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672-1458741960-82] [23/03/2016 at 14:06:00]"/>
  </r>
  <r>
    <s v="3634687-1458741975-107"/>
    <s v="Spot"/>
    <s v="3634687-1458741975-107"/>
    <n v="0"/>
    <d v="2016-03-31T00:00:00"/>
    <x v="814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4687-1458741975-107] [23/03/2016 at 14:06:00]"/>
  </r>
  <r>
    <s v="3634639-1458741935-199"/>
    <s v="Spot"/>
    <s v="3634639-1458741935-199"/>
    <n v="0"/>
    <d v="2016-03-31T00:00:00"/>
    <x v="815"/>
    <s v="199"/>
    <s v="SELL"/>
    <n v="9.9665427509293671"/>
    <x v="0"/>
    <x v="1"/>
    <n v="107.24"/>
    <s v="Deal"/>
    <m/>
    <s v="Original Amount [EUR 10.76], Merchant Amount [EUR 10.76], Customer Amount [NOK 107.24], Status [APPROVED], Operation [DIRECT], UUID [3634639-1458741935-199] [23/03/2016 at 14:05:00]"/>
  </r>
  <r>
    <s v="3634624-1458741923-119"/>
    <s v="Spot"/>
    <s v="3634624-1458741923-119"/>
    <n v="0"/>
    <d v="2016-03-31T00:00:00"/>
    <x v="816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4624-1458741923-119] [23/03/2016 at 14:05:00]"/>
  </r>
  <r>
    <s v="3634690-1458741977-216"/>
    <s v="Spot"/>
    <s v="3634690-1458741977-216"/>
    <n v="0"/>
    <d v="2016-03-31T00:00:00"/>
    <x v="817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4690-1458741977-216] [23/03/2016 at 14:06:00]"/>
  </r>
  <r>
    <s v="3634606-1458741897-126"/>
    <s v="Spot"/>
    <s v="3634606-1458741897-126"/>
    <n v="0"/>
    <d v="2016-03-31T00:00:00"/>
    <x v="81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34606-1458741897-126] [23/03/2016 at 14:04:00]"/>
  </r>
  <r>
    <s v="3634603-1458741889-145"/>
    <s v="Spot"/>
    <s v="3634603-1458741889-145"/>
    <n v="0"/>
    <d v="2016-03-31T00:00:00"/>
    <x v="819"/>
    <s v="145"/>
    <s v="SELL"/>
    <n v="9.9664778092540143"/>
    <x v="0"/>
    <x v="1"/>
    <n v="211.09"/>
    <s v="Deal"/>
    <m/>
    <s v="Original Amount [EUR 21.18], Merchant Amount [EUR 21.18], Customer Amount [NOK 211.09], Status [APPROVED], Operation [DIRECT], UUID [3634603-1458741889-145] [23/03/2016 at 14:04:00]"/>
  </r>
  <r>
    <s v="3634582-1458741868-200"/>
    <s v="Spot"/>
    <s v="3634582-1458741868-200"/>
    <n v="0"/>
    <d v="2016-03-31T00:00:00"/>
    <x v="820"/>
    <s v="200"/>
    <s v="SELL"/>
    <n v="9.9664233576642332"/>
    <x v="0"/>
    <x v="1"/>
    <n v="273.08"/>
    <s v="Deal"/>
    <m/>
    <s v="Original Amount [EUR 27.4], Merchant Amount [EUR 27.4], Customer Amount [NOK 273.08], Status [APPROVED], Operation [STORED], UUID [3634582-1458741868-200] [23/03/2016 at 14:04:00]"/>
  </r>
  <r>
    <s v="3634618-1458741913-126"/>
    <s v="Spot"/>
    <s v="3634618-1458741913-126"/>
    <n v="0"/>
    <d v="2016-03-31T00:00:00"/>
    <x v="821"/>
    <s v="126"/>
    <s v="SELL"/>
    <n v="9.9664390243902439"/>
    <x v="0"/>
    <x v="1"/>
    <n v="510.78"/>
    <s v="Deal"/>
    <m/>
    <s v="Original Amount [EUR 51.25], Merchant Amount [EUR 51.25], Customer Amount [NOK 510.78], Status [APPROVED], Operation [3DAUTH], UUID [3634618-1458741913-126] [23/03/2016 at 14:05:00]"/>
  </r>
  <r>
    <s v="3634576-1458741864-56"/>
    <s v="Spot"/>
    <s v="3634576-1458741864-56"/>
    <n v="0"/>
    <d v="2016-03-31T00:00:00"/>
    <x v="82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4576-1458741864-56] [23/03/2016 at 14:04:00]"/>
  </r>
  <r>
    <s v="3634537-1458741835-199"/>
    <s v="Spot"/>
    <s v="3634537-1458741835-199"/>
    <n v="0"/>
    <d v="2016-03-31T00:00:00"/>
    <x v="823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4537-1458741835-199] [23/03/2016 at 14:03:00]"/>
  </r>
  <r>
    <s v="3634534-1458741834-82"/>
    <s v="Spot"/>
    <s v="3634534-1458741834-82"/>
    <n v="0"/>
    <d v="2016-03-31T00:00:00"/>
    <x v="82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534-1458741834-82] [23/03/2016 at 14:03:00]"/>
  </r>
  <r>
    <s v="3634531-1458741828-199"/>
    <s v="Spot"/>
    <s v="3634531-1458741828-199"/>
    <n v="0"/>
    <d v="2016-03-31T00:00:00"/>
    <x v="82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31-1458741828-199] [23/03/2016 at 14:03:00]"/>
  </r>
  <r>
    <s v="3634573-1458741863-101"/>
    <s v="Spot"/>
    <s v="3634573-1458741863-101"/>
    <n v="0"/>
    <d v="2016-03-31T00:00:00"/>
    <x v="826"/>
    <s v="101"/>
    <s v="SELL"/>
    <n v="3.3883268482490272"/>
    <x v="0"/>
    <x v="0"/>
    <n v="43.54"/>
    <s v="Deal"/>
    <m/>
    <s v="Original Amount [EUR 12.85], Merchant Amount [EUR 12.85], Customer Amount [TRY 43.54], Status [APPROVED], Operation [3DAUTH], UUID [3634573-1458741863-101] [23/03/2016 at 14:04:00]"/>
  </r>
  <r>
    <s v="3634525-1458741824-119"/>
    <s v="Spot"/>
    <s v="3634525-1458741824-119"/>
    <n v="0"/>
    <d v="2016-03-31T00:00:00"/>
    <x v="82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4525-1458741824-119] [23/03/2016 at 14:03:00]"/>
  </r>
  <r>
    <s v="3634546-1458741842-216"/>
    <s v="Spot"/>
    <s v="3634546-1458741842-216"/>
    <n v="0"/>
    <d v="2016-03-31T00:00:00"/>
    <x v="828"/>
    <s v="216"/>
    <s v="SELL"/>
    <n v="3.3878168747635264"/>
    <x v="0"/>
    <x v="0"/>
    <n v="179.08"/>
    <s v="Deal"/>
    <m/>
    <s v="Original Amount [EUR 52.86], Merchant Amount [EUR 52.86], Customer Amount [TRY 179.08], Status [APPROVED], Operation [3DAUTH], UUID [3634546-1458741842-216] [23/03/2016 at 14:04:00]"/>
  </r>
  <r>
    <s v="3634513-1458741822-224"/>
    <s v="Spot"/>
    <s v="3634513-1458741822-224"/>
    <n v="0"/>
    <d v="2016-03-31T00:00:00"/>
    <x v="829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4513-1458741822-224] [23/03/2016 at 14:03:00]"/>
  </r>
  <r>
    <s v="3634510-1458741817-200"/>
    <s v="Spot"/>
    <s v="3634510-1458741817-200"/>
    <n v="0"/>
    <d v="2016-03-31T00:00:00"/>
    <x v="830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4510-1458741817-200] [23/03/2016 at 14:03:00]"/>
  </r>
  <r>
    <s v="3634504-1458741809-199"/>
    <s v="Spot"/>
    <s v="3634504-1458741809-199"/>
    <n v="0"/>
    <d v="2016-03-31T00:00:00"/>
    <x v="83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04-1458741809-199] [23/03/2016 at 14:03:00]"/>
  </r>
  <r>
    <s v="3634486-1458741790-224"/>
    <s v="Spot"/>
    <s v="3634486-1458741790-224"/>
    <n v="0"/>
    <d v="2016-03-31T00:00:00"/>
    <x v="832"/>
    <s v="224"/>
    <s v="SELL"/>
    <n v="132.83243164205294"/>
    <x v="0"/>
    <x v="3"/>
    <n v="9084.41"/>
    <s v="Deal"/>
    <m/>
    <s v="Original Amount [EUR 68.39], Merchant Amount [EUR 68.39], Customer Amount [JPY 9084.41], Status [APPROVED], Operation [DIRECT], UUID [3634486-1458741790-224] [23/03/2016 at 14:03:00]"/>
  </r>
  <r>
    <s v="3634483-1458741783-199"/>
    <s v="Spot"/>
    <s v="3634483-1458741783-199"/>
    <n v="0"/>
    <d v="2016-03-31T00:00:00"/>
    <x v="833"/>
    <s v="199"/>
    <s v="SELL"/>
    <n v="9.9670245398773005"/>
    <x v="0"/>
    <x v="1"/>
    <n v="129.97"/>
    <s v="Deal"/>
    <m/>
    <s v="Original Amount [EUR 13.04], Merchant Amount [EUR 13.04], Customer Amount [NOK 129.97], Status [APPROVED], Operation [DIRECT], UUID [3634483-1458741783-199] [23/03/2016 at 14:03:00]"/>
  </r>
  <r>
    <s v="3634459-1458741752-224"/>
    <s v="Spot"/>
    <s v="3634459-1458741752-224"/>
    <n v="0"/>
    <d v="2016-03-31T00:00:00"/>
    <x v="834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4459-1458741752-224] [23/03/2016 at 14:02:00]"/>
  </r>
  <r>
    <s v="3634555-1458741848-216"/>
    <s v="Spot"/>
    <s v="3634555-1458741848-216"/>
    <n v="0"/>
    <d v="2016-03-31T00:00:00"/>
    <x v="835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4555-1458741848-216] [23/03/2016 at 14:04:00]"/>
  </r>
  <r>
    <s v="3634444-1458741735-125"/>
    <s v="Spot"/>
    <s v="3634444-1458741735-125"/>
    <n v="0"/>
    <d v="2016-03-31T00:00:00"/>
    <x v="836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4444-1458741735-125] [23/03/2016 at 14:02:00]"/>
  </r>
  <r>
    <s v="3634441-1458741734-119"/>
    <s v="Spot"/>
    <s v="3634441-1458741734-119"/>
    <n v="0"/>
    <d v="2016-03-31T00:00:00"/>
    <x v="837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4441-1458741734-119] [23/03/2016 at 14:02:00]"/>
  </r>
  <r>
    <s v="3634432-1458741714-199"/>
    <s v="Spot"/>
    <s v="3634432-1458741714-199"/>
    <n v="0"/>
    <d v="2016-03-31T00:00:00"/>
    <x v="838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34432-1458741714-199] [23/03/2016 at 14:01:00]"/>
  </r>
  <r>
    <s v="3634450-1458741747-224"/>
    <s v="Spot"/>
    <s v="3634450-1458741747-224"/>
    <n v="0"/>
    <d v="2016-03-31T00:00:00"/>
    <x v="839"/>
    <s v="224"/>
    <s v="SELL"/>
    <n v="9.9505675818373813"/>
    <x v="0"/>
    <x v="1"/>
    <n v="1507.71"/>
    <s v="Deal"/>
    <m/>
    <s v="Original Amount [EUR 151.52], Merchant Amount [EUR 151.52], Customer Amount [NOK 1507.71], Status [APPROVED], Operation [3DAUTH], UUID [3634450-1458741747-224] [23/03/2016 at 14:02:00]"/>
  </r>
  <r>
    <s v="3634423-1458741705-199"/>
    <s v="Spot"/>
    <s v="3634423-1458741705-199"/>
    <n v="0"/>
    <d v="2016-03-31T00:00:00"/>
    <x v="840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4423-1458741705-199] [23/03/2016 at 14:01:00]"/>
  </r>
  <r>
    <s v="3634414-1458741684-199"/>
    <s v="Spot"/>
    <s v="3634414-1458741684-199"/>
    <n v="0"/>
    <d v="2016-03-31T00:00:00"/>
    <x v="84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414-1458741684-199] [23/03/2016 at 14:01:00]"/>
  </r>
  <r>
    <s v="3634387-1458741664-199"/>
    <s v="Spot"/>
    <s v="3634387-1458741664-199"/>
    <n v="0"/>
    <d v="2016-03-31T00:00:00"/>
    <x v="842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4387-1458741664-199] [23/03/2016 at 14:01:00]"/>
  </r>
  <r>
    <s v="3634384-1458741663-216"/>
    <s v="Spot"/>
    <s v="3634384-1458741663-216"/>
    <n v="0"/>
    <d v="2016-03-31T00:00:00"/>
    <x v="84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4384-1458741663-216] [23/03/2016 at 14:01:00]"/>
  </r>
  <r>
    <s v="3634381-1458741662-145"/>
    <s v="Spot"/>
    <s v="3634381-1458741662-145"/>
    <n v="0"/>
    <d v="2016-03-31T00:00:00"/>
    <x v="844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4381-1458741662-145] [23/03/2016 at 14:01:00]"/>
  </r>
  <r>
    <s v="3634375-1458741655-264"/>
    <s v="Spot"/>
    <s v="3634375-1458741655-264"/>
    <n v="0"/>
    <d v="2016-03-31T00:00:00"/>
    <x v="845"/>
    <s v="264"/>
    <s v="SELL"/>
    <n v="1.1813504823151126"/>
    <x v="0"/>
    <x v="7"/>
    <n v="18.37"/>
    <s v="Deal"/>
    <m/>
    <s v="Original Amount [TRY 50], Merchant Amount [EUR 15.55], Customer Amount [USD 18.37], Status [APPROVED], Operation [3DAUTH], UUID [3634375-1458741655-264] [23/03/2016 at 14:00:00]"/>
  </r>
  <r>
    <s v="3634366-1458741646-224"/>
    <s v="Spot"/>
    <s v="3634366-1458741646-224"/>
    <n v="0"/>
    <d v="2016-03-31T00:00:00"/>
    <x v="846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366-1458741646-224] [23/03/2016 at 14:00:00]"/>
  </r>
  <r>
    <s v="3634390-1458741665-203"/>
    <s v="Spot"/>
    <s v="3634390-1458741665-203"/>
    <n v="0"/>
    <d v="2016-03-31T00:00:00"/>
    <x v="847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390-1458741665-203] [23/03/2016 at 14:01:00]"/>
  </r>
  <r>
    <s v="3634351-1458741640-200"/>
    <s v="Spot"/>
    <s v="3634351-1458741640-200"/>
    <n v="0"/>
    <d v="2016-03-31T00:00:00"/>
    <x v="848"/>
    <s v="200"/>
    <s v="SELL"/>
    <n v="9.9550000000000001"/>
    <x v="0"/>
    <x v="1"/>
    <n v="19.91"/>
    <s v="Deal"/>
    <m/>
    <s v="Original Amount [EUR 2], Merchant Amount [EUR 2], Customer Amount [NOK 19.91], Status [APPROVED], Operation [STORED], UUID [3634351-1458741640-200] [23/03/2016 at 14:00:00]"/>
  </r>
  <r>
    <s v="3634342-1458741625-199"/>
    <s v="Spot"/>
    <s v="3634342-1458741625-199"/>
    <n v="0"/>
    <d v="2016-03-31T00:00:00"/>
    <x v="849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342-1458741625-199] [23/03/2016 at 14:00:00]"/>
  </r>
  <r>
    <s v="3634333-1458741613-119"/>
    <s v="Spot"/>
    <s v="3634333-1458741613-119"/>
    <n v="0"/>
    <d v="2016-03-31T00:00:00"/>
    <x v="850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4333-1458741613-119] [23/03/2016 at 14:00:00]"/>
  </r>
  <r>
    <s v="3634330-1458741610-199"/>
    <s v="Spot"/>
    <s v="3634330-1458741610-199"/>
    <n v="0"/>
    <d v="2016-03-31T00:00:00"/>
    <x v="85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4330-1458741610-199] [23/03/2016 at 14:00:00]"/>
  </r>
  <r>
    <s v="3634357-1458741641-216"/>
    <s v="Spot"/>
    <s v="3634357-1458741641-216"/>
    <n v="0"/>
    <d v="2016-03-31T00:00:00"/>
    <x v="852"/>
    <s v="216"/>
    <s v="SELL"/>
    <n v="3.392282958199357"/>
    <x v="0"/>
    <x v="0"/>
    <n v="94.95"/>
    <s v="Deal"/>
    <m/>
    <s v="Original Amount [EUR 27.99], Merchant Amount [EUR 27.99], Customer Amount [TRY 94.95], Status [APPROVED], Operation [3DAUTH], UUID [3634357-1458741641-216] [23/03/2016 at 14:00:00]"/>
  </r>
  <r>
    <s v="3634339-1458741625-56"/>
    <s v="Spot"/>
    <s v="3634339-1458741625-56"/>
    <n v="0"/>
    <d v="2016-03-31T00:00:00"/>
    <x v="853"/>
    <s v="56"/>
    <s v="SELL"/>
    <n v="3.3959074733096086"/>
    <x v="0"/>
    <x v="0"/>
    <n v="38.17"/>
    <s v="Deal"/>
    <m/>
    <s v="Original Amount [EUR 11.24], Merchant Amount [EUR 11.24], Customer Amount [TRY 38.17], Status [APPROVED], Operation [3DAUTH], UUID [3634339-1458741625-56] [23/03/2016 at 14:00:00]"/>
  </r>
  <r>
    <s v="3634306-1458741569-187"/>
    <s v="Spot"/>
    <s v="3634306-1458741569-187"/>
    <n v="0"/>
    <d v="2016-03-31T00:00:00"/>
    <x v="85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4306-1458741569-187] [23/03/2016 at 13:59:00]"/>
  </r>
  <r>
    <s v="3634318-1458741593-216"/>
    <s v="Spot"/>
    <s v="3634318-1458741593-216"/>
    <n v="0"/>
    <d v="2016-03-31T00:00:00"/>
    <x v="855"/>
    <s v="216"/>
    <s v="SELL"/>
    <n v="3.3954983922829585"/>
    <x v="0"/>
    <x v="0"/>
    <n v="95.04"/>
    <s v="Deal"/>
    <m/>
    <s v="Original Amount [EUR 27.99], Merchant Amount [EUR 27.99], Customer Amount [TRY 95.04], Status [APPROVED], Operation [3DAUTH], UUID [3634318-1458741593-216] [23/03/2016 at 13:59:00]"/>
  </r>
  <r>
    <s v="3634291-1458741553-264"/>
    <s v="Spot"/>
    <s v="3634291-1458741553-264"/>
    <n v="0"/>
    <d v="2016-03-31T00:00:00"/>
    <x v="856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91-1458741553-264] [23/03/2016 at 13:59:00]"/>
  </r>
  <r>
    <s v="3634270-1458741527-264"/>
    <s v="Spot"/>
    <s v="3634270-1458741527-264"/>
    <n v="0"/>
    <d v="2016-03-31T00:00:00"/>
    <x v="857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70-1458741527-264] [23/03/2016 at 13:58:00]"/>
  </r>
  <r>
    <s v="3634288-1458741551-101"/>
    <s v="Spot"/>
    <s v="3634288-1458741551-101"/>
    <n v="0"/>
    <d v="2016-03-31T00:00:00"/>
    <x v="858"/>
    <s v="101"/>
    <s v="SELL"/>
    <n v="3.3954280155642027"/>
    <x v="0"/>
    <x v="0"/>
    <n v="69.81"/>
    <s v="Deal"/>
    <m/>
    <s v="Original Amount [EUR 20.56], Merchant Amount [EUR 20.56], Customer Amount [TRY 69.81], Status [APPROVED], Operation [3DAUTH], UUID [3634288-1458741551-101] [23/03/2016 at 13:59:00]"/>
  </r>
  <r>
    <s v="3634261-1458741508-101"/>
    <s v="Spot"/>
    <s v="3634261-1458741508-101"/>
    <n v="0"/>
    <d v="2016-03-31T00:00:00"/>
    <x v="859"/>
    <s v="101"/>
    <s v="SELL"/>
    <n v="3.3953922789539233"/>
    <x v="0"/>
    <x v="0"/>
    <n v="54.53"/>
    <s v="Deal"/>
    <m/>
    <s v="Original Amount [EUR 16.06], Merchant Amount [EUR 16.06], Customer Amount [TRY 54.53], Status [APPROVED], Operation [3DAUTH], UUID [3634261-1458741508-101] [23/03/2016 at 13:58:00]"/>
  </r>
  <r>
    <s v="3634228-1458741462-124"/>
    <s v="Spot"/>
    <s v="3634228-1458741462-124"/>
    <n v="0"/>
    <d v="2016-03-31T00:00:00"/>
    <x v="860"/>
    <s v="124"/>
    <s v="SELL"/>
    <n v="9.950897072710104"/>
    <x v="0"/>
    <x v="1"/>
    <n v="105.38"/>
    <s v="Deal"/>
    <m/>
    <s v="Original Amount [EUR 10.59], Merchant Amount [EUR 10.59], Customer Amount [NOK 105.38], Status [APPROVED], Operation [DIRECT], UUID [3634228-1458741462-124] [23/03/2016 at 13:57:00]"/>
  </r>
  <r>
    <s v="3634252-1458741493-216"/>
    <s v="Spot"/>
    <s v="3634252-1458741493-216"/>
    <n v="0"/>
    <d v="2016-03-31T00:00:00"/>
    <x v="861"/>
    <s v="216"/>
    <s v="SELL"/>
    <n v="3.3953960731211916"/>
    <x v="0"/>
    <x v="0"/>
    <n v="100.3"/>
    <s v="Deal"/>
    <m/>
    <s v="Original Amount [EUR 29.54], Merchant Amount [EUR 29.54], Customer Amount [TRY 100.3], Status [APPROVED], Operation [3DAUTH], UUID [3634252-1458741493-216] [23/03/2016 at 13:58:00]"/>
  </r>
  <r>
    <s v="3634204-1458741424-224"/>
    <s v="Spot"/>
    <s v="3634204-1458741424-224"/>
    <n v="0"/>
    <d v="2016-03-31T00:00:00"/>
    <x v="86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204-1458741424-224] [23/03/2016 at 13:57:00]"/>
  </r>
  <r>
    <s v="3634201-1458741423-200"/>
    <s v="Spot"/>
    <s v="3634201-1458741423-200"/>
    <n v="0"/>
    <d v="2016-03-31T00:00:00"/>
    <x v="863"/>
    <s v="200"/>
    <s v="SELL"/>
    <n v="9.9512499999999999"/>
    <x v="0"/>
    <x v="1"/>
    <n v="79.61"/>
    <s v="Deal"/>
    <m/>
    <s v="Original Amount [EUR 8], Merchant Amount [EUR 8], Customer Amount [NOK 79.61], Status [APPROVED], Operation [STORED], UUID [3634201-1458741423-200] [23/03/2016 at 13:57:00]"/>
  </r>
  <r>
    <s v="3634192-1458741412-224"/>
    <s v="Spot"/>
    <s v="3634192-1458741412-224"/>
    <n v="0"/>
    <d v="2016-03-31T00:00:00"/>
    <x v="864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192-1458741412-224] [23/03/2016 at 13:56:00]"/>
  </r>
  <r>
    <s v="3634186-1458741388-199"/>
    <s v="Spot"/>
    <s v="3634186-1458741388-199"/>
    <n v="0"/>
    <d v="2016-03-31T00:00:00"/>
    <x v="865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4186-1458741388-199] [23/03/2016 at 13:56:00]"/>
  </r>
  <r>
    <s v="3634189-1458741391-56"/>
    <s v="Spot"/>
    <s v="3634189-1458741391-56"/>
    <n v="0"/>
    <d v="2016-03-31T00:00:00"/>
    <x v="866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4189-1458741391-56] [23/03/2016 at 13:56:00]"/>
  </r>
  <r>
    <s v="3634171-1458741364-119"/>
    <s v="Spot"/>
    <s v="3634171-1458741364-119"/>
    <n v="0"/>
    <d v="2016-03-31T00:00:00"/>
    <x v="86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71-1458741364-119] [23/03/2016 at 13:56:00]"/>
  </r>
  <r>
    <s v="3634168-1458741358-119"/>
    <s v="Spot"/>
    <s v="3634168-1458741358-119"/>
    <n v="0"/>
    <d v="2016-03-31T00:00:00"/>
    <x v="8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68-1458741358-119] [23/03/2016 at 13:55:00]"/>
  </r>
  <r>
    <s v="3634135-1458741327-126"/>
    <s v="Spot"/>
    <s v="3634135-1458741327-126"/>
    <n v="0"/>
    <d v="2016-03-31T00:00:00"/>
    <x v="869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4135-1458741327-126] [23/03/2016 at 13:55:00]"/>
  </r>
  <r>
    <s v="3634120-1458741315-224"/>
    <s v="Spot"/>
    <s v="3634120-1458741315-224"/>
    <n v="0"/>
    <d v="2016-03-31T00:00:00"/>
    <x v="870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4120-1458741315-224] [23/03/2016 at 13:55:00]"/>
  </r>
  <r>
    <s v="3634150-1458741348-216"/>
    <s v="Spot"/>
    <s v="3634150-1458741348-216"/>
    <n v="0"/>
    <d v="2016-03-31T00:00:00"/>
    <x v="871"/>
    <s v="216"/>
    <s v="SELL"/>
    <n v="3.39766081871345"/>
    <x v="0"/>
    <x v="0"/>
    <n v="58.1"/>
    <s v="Deal"/>
    <m/>
    <s v="Original Amount [EUR 17.1], Merchant Amount [EUR 17.1], Customer Amount [TRY 58.1], Status [APPROVED], Operation [3DAUTH], UUID [3634150-1458741348-216] [23/03/2016 at 13:55:00]"/>
  </r>
  <r>
    <s v="3634114-1458741305-224"/>
    <s v="Spot"/>
    <s v="3634114-1458741305-224"/>
    <n v="0"/>
    <d v="2016-03-31T00:00:00"/>
    <x v="872"/>
    <s v="224"/>
    <s v="SELL"/>
    <n v="133.03554190434403"/>
    <x v="0"/>
    <x v="3"/>
    <n v="3031.88"/>
    <s v="Deal"/>
    <m/>
    <s v="Original Amount [EUR 22.79], Merchant Amount [EUR 22.79], Customer Amount [JPY 3031.88], Status [APPROVED], Operation [DIRECT], UUID [3634114-1458741305-224] [23/03/2016 at 13:55:00]"/>
  </r>
  <r>
    <s v="3634141-1458741331-216"/>
    <s v="Spot"/>
    <s v="3634141-1458741331-216"/>
    <n v="0"/>
    <d v="2016-03-31T00:00:00"/>
    <x v="87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4141-1458741331-216] [23/03/2016 at 13:55:00]"/>
  </r>
  <r>
    <s v="3634138-1458741331-101"/>
    <s v="Spot"/>
    <s v="3634138-1458741331-101"/>
    <n v="0"/>
    <d v="2016-03-31T00:00:00"/>
    <x v="874"/>
    <s v="101"/>
    <s v="SELL"/>
    <n v="3.3974403320650293"/>
    <x v="0"/>
    <x v="0"/>
    <n v="98.22"/>
    <s v="Deal"/>
    <m/>
    <s v="Original Amount [EUR 28.91], Merchant Amount [EUR 28.91], Customer Amount [TRY 98.22], Status [APPROVED], Operation [3DAUTH], UUID [3634138-1458741331-101] [23/03/2016 at 13:55:00]"/>
  </r>
  <r>
    <s v="3634099-1458741285-171"/>
    <s v="Spot"/>
    <s v="3634099-1458741285-171"/>
    <n v="0"/>
    <d v="2016-03-31T00:00:00"/>
    <x v="87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4099-1458741285-171] [23/03/2016 at 13:54:00]"/>
  </r>
  <r>
    <s v="3634090-1458741276-261"/>
    <s v="Spot"/>
    <s v="3634090-1458741276-261"/>
    <n v="0"/>
    <d v="2016-03-31T00:00:00"/>
    <x v="876"/>
    <s v="261"/>
    <s v="SELL"/>
    <n v="9.9505595584853594"/>
    <x v="0"/>
    <x v="1"/>
    <n v="5192.6000000000004"/>
    <s v="Deal"/>
    <m/>
    <s v="Original Amount [EUR 521.84], Merchant Amount [EUR 521.84], Customer Amount [NOK 5192.6], Status [APPROVED], Operation [DIRECT], UUID [3634090-1458741276-261] [23/03/2016 at 13:54:00]"/>
  </r>
  <r>
    <s v="3634129-1458741318-101"/>
    <s v="Spot"/>
    <s v="3634129-1458741318-101"/>
    <n v="0"/>
    <d v="2016-03-31T00:00:00"/>
    <x v="877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4129-1458741318-101] [23/03/2016 at 13:55:00]"/>
  </r>
  <r>
    <s v="3634084-1458741272-145"/>
    <s v="Spot"/>
    <s v="3634084-1458741272-145"/>
    <n v="0"/>
    <d v="2016-03-31T00:00:00"/>
    <x v="878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4084-1458741272-145] [23/03/2016 at 13:54:00]"/>
  </r>
  <r>
    <s v="3634075-1458741262-199"/>
    <s v="Spot"/>
    <s v="3634075-1458741262-199"/>
    <n v="0"/>
    <d v="2016-03-31T00:00:00"/>
    <x v="879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4075-1458741262-199] [23/03/2016 at 13:54:00]"/>
  </r>
  <r>
    <s v="3634069-1458741251-261"/>
    <s v="Spot"/>
    <s v="3634069-1458741251-261"/>
    <n v="0"/>
    <d v="2016-03-31T00:00:00"/>
    <x v="880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4069-1458741251-261] [23/03/2016 at 13:54:00]"/>
  </r>
  <r>
    <s v="3634054-1458741234-187"/>
    <s v="Spot"/>
    <s v="3634054-1458741234-187"/>
    <n v="0"/>
    <d v="2016-03-31T00:00:00"/>
    <x v="881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4054-1458741234-187] [23/03/2016 at 13:53:00]"/>
  </r>
  <r>
    <s v="3634051-1458741221-102"/>
    <s v="Spot"/>
    <s v="3634051-1458741221-102"/>
    <n v="0"/>
    <d v="2016-03-31T00:00:00"/>
    <x v="882"/>
    <s v="102"/>
    <s v="SELL"/>
    <n v="3.3919354838709674"/>
    <x v="0"/>
    <x v="0"/>
    <n v="315.45"/>
    <s v="Deal"/>
    <m/>
    <s v="Original Amount [EUR 93], Merchant Amount [EUR 93], Customer Amount [TRY 315.45], Status [APPROVED], Operation [3DAUTH], UUID [3634051-1458741221-102] [23/03/2016 at 13:53:00]"/>
  </r>
  <r>
    <s v="3634018-1458741192-134"/>
    <s v="Spot"/>
    <s v="3634018-1458741192-134"/>
    <n v="0"/>
    <d v="2016-03-31T00:00:00"/>
    <x v="883"/>
    <s v="134"/>
    <s v="SELL"/>
    <n v="132.83258594917785"/>
    <x v="0"/>
    <x v="3"/>
    <n v="7109.2"/>
    <s v="Deal"/>
    <m/>
    <s v="Original Amount [EUR 53.52], Merchant Amount [EUR 53.52], Customer Amount [JPY 7109.2], Status [APPROVED], Operation [STORED], UUID [3634018-1458741192-134] [23/03/2016 at 13:53:00]"/>
  </r>
  <r>
    <s v="3634033-1458741206-216"/>
    <s v="Spot"/>
    <s v="3634033-1458741206-216"/>
    <n v="0"/>
    <d v="2016-03-31T00:00:00"/>
    <x v="884"/>
    <s v="216"/>
    <s v="SELL"/>
    <n v="3.391938250428816"/>
    <x v="0"/>
    <x v="0"/>
    <n v="79.099999999999994"/>
    <s v="Deal"/>
    <m/>
    <s v="Original Amount [EUR 23.32], Merchant Amount [EUR 23.32], Customer Amount [TRY 79.1], Status [APPROVED], Operation [3DAUTH], UUID [3634033-1458741206-216] [23/03/2016 at 13:53:00]"/>
  </r>
  <r>
    <s v="3634036-1458741210-107"/>
    <s v="Spot"/>
    <s v="3634036-1458741210-107"/>
    <n v="0"/>
    <d v="2016-03-31T00:00:00"/>
    <x v="885"/>
    <s v="107"/>
    <s v="SELL"/>
    <n v="3.3919709501714745"/>
    <x v="0"/>
    <x v="0"/>
    <n v="168.14"/>
    <s v="Deal"/>
    <m/>
    <s v="Original Amount [EUR 49.57], Merchant Amount [EUR 49.57], Customer Amount [TRY 168.14], Status [APPROVED], Operation [3DAUTH], UUID [3634036-1458741210-107] [23/03/2016 at 13:53:00]"/>
  </r>
  <r>
    <s v="3634039-1458741215-56"/>
    <s v="Spot"/>
    <s v="3634039-1458741215-56"/>
    <n v="0"/>
    <d v="2016-03-31T00:00:00"/>
    <x v="886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4039-1458741215-56] [23/03/2016 at 13:53:00]"/>
  </r>
  <r>
    <s v="3634000-1458741170-224"/>
    <s v="Spot"/>
    <s v="3634000-1458741170-224"/>
    <n v="0"/>
    <d v="2016-03-31T00:00:00"/>
    <x v="88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4000-1458741170-224] [23/03/2016 at 13:52:00]"/>
  </r>
  <r>
    <s v="3634024-1458741197-216"/>
    <s v="Spot"/>
    <s v="3634024-1458741197-216"/>
    <n v="0"/>
    <d v="2016-03-31T00:00:00"/>
    <x v="888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34024-1458741197-216] [23/03/2016 at 13:53:00]"/>
  </r>
  <r>
    <s v="3633979-1458741150-107"/>
    <s v="Spot"/>
    <s v="3633979-1458741150-107"/>
    <n v="0"/>
    <d v="2016-03-31T00:00:00"/>
    <x v="889"/>
    <s v="107"/>
    <s v="SELL"/>
    <n v="3.3919733161179257"/>
    <x v="0"/>
    <x v="0"/>
    <n v="315.25"/>
    <s v="Deal"/>
    <m/>
    <s v="Original Amount [EUR 92.94], Merchant Amount [EUR 92.94], Customer Amount [TRY 315.25], Status [WAITING], Operation [3D], UUID [3633979-1458741150-107] [23/03/2016 at 13:52:00]"/>
  </r>
  <r>
    <s v="3633973-1458741145-199"/>
    <s v="Spot"/>
    <s v="3633973-1458741145-199"/>
    <n v="0"/>
    <d v="2016-03-31T00:00:00"/>
    <x v="890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3973-1458741145-199] [23/03/2016 at 13:52:00]"/>
  </r>
  <r>
    <s v="3633982-1458741154-56"/>
    <s v="Spot"/>
    <s v="3633982-1458741154-56"/>
    <n v="0"/>
    <d v="2016-03-31T00:00:00"/>
    <x v="891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82-1458741154-56] [23/03/2016 at 13:52:00]"/>
  </r>
  <r>
    <s v="3633961-1458741134-216"/>
    <s v="Spot"/>
    <s v="3633961-1458741134-216"/>
    <n v="0"/>
    <d v="2016-03-31T00:00:00"/>
    <x v="892"/>
    <s v="216"/>
    <s v="SELL"/>
    <n v="3.3919588414634148"/>
    <x v="0"/>
    <x v="0"/>
    <n v="712.04"/>
    <s v="Deal"/>
    <m/>
    <s v="Original Amount [EUR 209.92], Merchant Amount [EUR 209.92], Customer Amount [TRY 712.04], Status [APPROVED], Operation [3DAUTH], UUID [3633961-1458741134-216] [23/03/2016 at 13:52:00]"/>
  </r>
  <r>
    <s v="3633967-1458741137-56"/>
    <s v="Spot"/>
    <s v="3633967-1458741137-56"/>
    <n v="0"/>
    <d v="2016-03-31T00:00:00"/>
    <x v="893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67-1458741137-56] [23/03/2016 at 13:52:00]"/>
  </r>
  <r>
    <s v="3633940-1458741089-216"/>
    <s v="Spot"/>
    <s v="3633940-1458741089-216"/>
    <n v="0"/>
    <d v="2016-03-31T00:00:00"/>
    <x v="894"/>
    <s v="216"/>
    <s v="SELL"/>
    <n v="3.3919519576319277"/>
    <x v="0"/>
    <x v="0"/>
    <n v="717.33"/>
    <s v="Deal"/>
    <m/>
    <s v="Original Amount [EUR 211.48], Merchant Amount [EUR 211.48], Customer Amount [TRY 717.33], Status [WAITING], Operation [3D], UUID [3633940-1458741089-216] [23/03/2016 at 13:51:00]"/>
  </r>
  <r>
    <s v="3633937-1458741087-199"/>
    <s v="Spot"/>
    <s v="3633937-1458741087-199"/>
    <n v="0"/>
    <d v="2016-03-31T00:00:00"/>
    <x v="895"/>
    <s v="199"/>
    <s v="SELL"/>
    <n v="9.9551430781129167"/>
    <x v="0"/>
    <x v="1"/>
    <n v="128.72"/>
    <s v="Deal"/>
    <m/>
    <s v="Original Amount [EUR 12.93], Merchant Amount [EUR 12.93], Customer Amount [NOK 128.72], Status [APPROVED], Operation [DIRECT], UUID [3633937-1458741087-199] [23/03/2016 at 13:51:00]"/>
  </r>
  <r>
    <s v="3633931-1458741067-199"/>
    <s v="Spot"/>
    <s v="3633931-1458741067-199"/>
    <n v="0"/>
    <d v="2016-03-31T00:00:00"/>
    <x v="896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3931-1458741067-199] [23/03/2016 at 13:51:00]"/>
  </r>
  <r>
    <s v="3633928-1458741067-216"/>
    <s v="Spot"/>
    <s v="3633928-1458741067-216"/>
    <n v="0"/>
    <d v="2016-03-31T00:00:00"/>
    <x v="897"/>
    <s v="216"/>
    <s v="SELL"/>
    <n v="3.3919614147909969"/>
    <x v="0"/>
    <x v="0"/>
    <n v="738.43"/>
    <s v="Deal"/>
    <m/>
    <s v="Original Amount [EUR 217.7], Merchant Amount [EUR 217.7], Customer Amount [TRY 738.43], Status [WAITING], Operation [3D], UUID [3633928-1458741067-216] [23/03/2016 at 13:51:00]"/>
  </r>
  <r>
    <s v="3633934-1458741074-216"/>
    <s v="Spot"/>
    <s v="3633934-1458741074-216"/>
    <n v="0"/>
    <d v="2016-03-31T00:00:00"/>
    <x v="898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34-1458741074-216] [23/03/2016 at 13:51:00]"/>
  </r>
  <r>
    <s v="3633889-1458741036-126"/>
    <s v="Spot"/>
    <s v="3633889-1458741036-126"/>
    <n v="0"/>
    <d v="2016-03-31T00:00:00"/>
    <x v="899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33889-1458741036-126] [23/03/2016 at 13:50:00]"/>
  </r>
  <r>
    <s v="3633895-1458741040-56"/>
    <s v="Spot"/>
    <s v="3633895-1458741040-56"/>
    <n v="0"/>
    <d v="2016-03-31T00:00:00"/>
    <x v="90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3895-1458741040-56] [23/03/2016 at 13:50:00]"/>
  </r>
  <r>
    <s v="3633877-1458741018-119"/>
    <s v="Spot"/>
    <s v="3633877-1458741018-119"/>
    <n v="0"/>
    <d v="2016-03-31T00:00:00"/>
    <x v="901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3877-1458741018-119] [23/03/2016 at 13:50:00]"/>
  </r>
  <r>
    <s v="3633919-1458741054-119"/>
    <s v="Spot"/>
    <s v="3633919-1458741054-119"/>
    <n v="0"/>
    <d v="2016-03-31T00:00:00"/>
    <x v="902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3919-1458741054-119] [23/03/2016 at 13:50:00]"/>
  </r>
  <r>
    <s v="3633913-1458741052-56"/>
    <s v="Spot"/>
    <s v="3633913-1458741052-56"/>
    <n v="0"/>
    <d v="2016-03-31T00:00:00"/>
    <x v="903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3913-1458741052-56] [23/03/2016 at 13:50:00]"/>
  </r>
  <r>
    <s v="3633853-1458740986-216"/>
    <s v="Spot"/>
    <s v="3633853-1458740986-216"/>
    <n v="0"/>
    <d v="2016-03-31T00:00:00"/>
    <x v="904"/>
    <s v="216"/>
    <s v="SELL"/>
    <n v="3.3881028938906752"/>
    <x v="0"/>
    <x v="0"/>
    <n v="105.37"/>
    <s v="Deal"/>
    <m/>
    <s v="Original Amount [EUR 31.1], Merchant Amount [EUR 31.1], Customer Amount [TRY 105.37], Status [WAITING], Operation [3D], UUID [3633853-1458740986-216] [23/03/2016 at 13:49:00]"/>
  </r>
  <r>
    <s v="3633910-1458741049-216"/>
    <s v="Spot"/>
    <s v="3633910-1458741049-216"/>
    <n v="0"/>
    <d v="2016-03-31T00:00:00"/>
    <x v="905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10-1458741049-216] [23/03/2016 at 13:50:00]"/>
  </r>
  <r>
    <s v="3633886-1458741024-101"/>
    <s v="Spot"/>
    <s v="3633886-1458741024-101"/>
    <n v="0"/>
    <d v="2016-03-31T00:00:00"/>
    <x v="906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3886-1458741024-101] [23/03/2016 at 13:50:00]"/>
  </r>
  <r>
    <s v="3633838-1458740957-224"/>
    <s v="Spot"/>
    <s v="3633838-1458740957-224"/>
    <n v="0"/>
    <d v="2016-03-31T00:00:00"/>
    <x v="90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8-1458740957-224] [23/03/2016 at 13:49:00]"/>
  </r>
  <r>
    <s v="3633835-1458740953-224"/>
    <s v="Spot"/>
    <s v="3633835-1458740953-224"/>
    <n v="0"/>
    <d v="2016-03-31T00:00:00"/>
    <x v="908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5-1458740953-224] [23/03/2016 at 13:49:00]"/>
  </r>
  <r>
    <s v="3633850-1458740974-203"/>
    <s v="Spot"/>
    <s v="3633850-1458740974-203"/>
    <n v="0"/>
    <d v="2016-03-31T00:00:00"/>
    <x v="909"/>
    <s v="203"/>
    <s v="SELL"/>
    <n v="3.3879032258064519"/>
    <x v="0"/>
    <x v="0"/>
    <n v="210.05"/>
    <s v="Deal"/>
    <m/>
    <s v="Original Amount [EUR 62], Merchant Amount [EUR 62], Customer Amount [TRY 210.05], Status [APPROVED], Operation [3DAUTH], UUID [3633850-1458740974-203] [23/03/2016 at 13:49:00]"/>
  </r>
  <r>
    <s v="3633820-1458740922-224"/>
    <s v="Spot"/>
    <s v="3633820-1458740922-224"/>
    <n v="0"/>
    <d v="2016-03-31T00:00:00"/>
    <x v="910"/>
    <s v="224"/>
    <s v="SELL"/>
    <n v="132.99334203655354"/>
    <x v="0"/>
    <x v="3"/>
    <n v="10187.290000000001"/>
    <s v="Deal"/>
    <m/>
    <s v="Original Amount [EUR 76.6], Merchant Amount [EUR 76.6], Customer Amount [JPY 10187.29], Status [APPROVED], Operation [DIRECT], UUID [3633820-1458740922-224] [23/03/2016 at 13:48:00]"/>
  </r>
  <r>
    <s v="3633991-1458741160-216"/>
    <s v="Spot"/>
    <s v="3633991-1458741160-216"/>
    <n v="0"/>
    <d v="2016-03-31T00:00:00"/>
    <x v="911"/>
    <s v="216"/>
    <s v="SELL"/>
    <n v="3.3883928571428577"/>
    <x v="0"/>
    <x v="0"/>
    <n v="37.950000000000003"/>
    <s v="Deal"/>
    <m/>
    <s v="Original Amount [EUR 11.2], Merchant Amount [EUR 11.2], Customer Amount [TRY 37.95], Status [APPROVED], Operation [3DAUTH], UUID [3633991-1458741160-216] [23/03/2016 at 13:52:00]"/>
  </r>
  <r>
    <s v="3633916-1458741054-101"/>
    <s v="Spot"/>
    <s v="3633916-1458741054-101"/>
    <n v="0"/>
    <d v="2016-03-31T00:00:00"/>
    <x v="912"/>
    <s v="101"/>
    <s v="SELL"/>
    <n v="3.3879668049792531"/>
    <x v="0"/>
    <x v="0"/>
    <n v="48.99"/>
    <s v="Deal"/>
    <m/>
    <s v="Original Amount [EUR 14.46], Merchant Amount [EUR 14.46], Customer Amount [TRY 48.99], Status [APPROVED], Operation [3DAUTH], UUID [3633916-1458741054-101] [23/03/2016 at 13:50:00]"/>
  </r>
  <r>
    <s v="3633787-1458740876-224"/>
    <s v="Spot"/>
    <s v="3633787-1458740876-224"/>
    <n v="0"/>
    <d v="2016-03-31T00:00:00"/>
    <x v="913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33787-1458740876-224] [23/03/2016 at 13:47:00]"/>
  </r>
  <r>
    <s v="3633778-1458740869-187"/>
    <s v="Spot"/>
    <s v="3633778-1458740869-187"/>
    <n v="0"/>
    <d v="2016-03-31T00:00:00"/>
    <x v="91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3778-1458740869-187] [23/03/2016 at 13:47:00]"/>
  </r>
  <r>
    <s v="3633775-1458740869-119"/>
    <s v="Spot"/>
    <s v="3633775-1458740869-119"/>
    <n v="0"/>
    <d v="2016-03-31T00:00:00"/>
    <x v="915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3775-1458740869-119] [23/03/2016 at 13:47:00]"/>
  </r>
  <r>
    <s v="3633769-1458740853-199"/>
    <s v="Spot"/>
    <s v="3633769-1458740853-199"/>
    <n v="0"/>
    <d v="2016-03-31T00:00:00"/>
    <x v="916"/>
    <s v="199"/>
    <s v="SELL"/>
    <n v="9.9754601226993849"/>
    <x v="0"/>
    <x v="1"/>
    <n v="162.6"/>
    <s v="Deal"/>
    <m/>
    <s v="Original Amount [EUR 16.3], Merchant Amount [EUR 16.3], Customer Amount [NOK 162.6], Status [APPROVED], Operation [DIRECT], UUID [3633769-1458740853-199] [23/03/2016 at 13:47:00]"/>
  </r>
  <r>
    <s v="3633760-1458740846-224"/>
    <s v="Spot"/>
    <s v="3633760-1458740846-224"/>
    <n v="0"/>
    <d v="2016-03-31T00:00:00"/>
    <x v="917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760-1458740846-224] [23/03/2016 at 13:47:00]"/>
  </r>
  <r>
    <s v="3633751-1458740831-119"/>
    <s v="Spot"/>
    <s v="3633751-1458740831-119"/>
    <n v="0"/>
    <d v="2016-03-31T00:00:00"/>
    <x v="918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51-1458740831-119] [23/03/2016 at 13:47:00]"/>
  </r>
  <r>
    <s v="3633745-1458740819-119"/>
    <s v="Spot"/>
    <s v="3633745-1458740819-119"/>
    <n v="0"/>
    <d v="2016-03-31T00:00:00"/>
    <x v="919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45-1458740819-119] [23/03/2016 at 13:46:00]"/>
  </r>
  <r>
    <s v="3633739-1458740811-119"/>
    <s v="Spot"/>
    <s v="3633739-1458740811-119"/>
    <n v="0"/>
    <d v="2016-03-31T00:00:00"/>
    <x v="920"/>
    <s v="119"/>
    <s v="SELL"/>
    <n v="9.9753600000000002"/>
    <x v="0"/>
    <x v="1"/>
    <n v="2493.84"/>
    <s v="Deal"/>
    <m/>
    <s v="Original Amount [EUR 250], Merchant Amount [EUR 250], Customer Amount [NOK 2493.84], Status [APPROVED], Operation [DIRECT], UUID [3633739-1458740811-119] [23/03/2016 at 13:46:00]"/>
  </r>
  <r>
    <s v="3633736-1458740810-261"/>
    <s v="Spot"/>
    <s v="3633736-1458740810-261"/>
    <n v="0"/>
    <d v="2016-03-31T00:00:00"/>
    <x v="921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3736-1458740810-261] [23/03/2016 at 13:46:00]"/>
  </r>
  <r>
    <s v="3633718-1458740797-200"/>
    <s v="Spot"/>
    <s v="3633718-1458740797-200"/>
    <n v="0"/>
    <d v="2016-03-31T00:00:00"/>
    <x v="92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3718-1458740797-200] [23/03/2016 at 13:46:00]"/>
  </r>
  <r>
    <s v="3633748-1458740820-203"/>
    <s v="Spot"/>
    <s v="3633748-1458740820-203"/>
    <n v="0"/>
    <d v="2016-03-31T00:00:00"/>
    <x v="923"/>
    <s v="203"/>
    <s v="SELL"/>
    <n v="3.3954301075268813"/>
    <x v="0"/>
    <x v="0"/>
    <n v="126.31"/>
    <s v="Deal"/>
    <m/>
    <s v="Original Amount [EUR 37.2], Merchant Amount [EUR 37.2], Customer Amount [TRY 126.31], Status [APPROVED], Operation [3DAUTH], UUID [3633748-1458740820-203] [23/03/2016 at 13:47:00]"/>
  </r>
  <r>
    <s v="3633706-1458740792-187"/>
    <s v="Spot"/>
    <s v="3633706-1458740792-187"/>
    <n v="0"/>
    <d v="2016-03-31T00:00:00"/>
    <x v="924"/>
    <s v="187"/>
    <s v="SELL"/>
    <n v="9.9754206844394027"/>
    <x v="0"/>
    <x v="1"/>
    <n v="527.6"/>
    <s v="Deal"/>
    <m/>
    <s v="Original Amount [EUR 52.89], Merchant Amount [EUR 52.89], Customer Amount [NOK 527.6], Status [APPROVED], Operation [DIRECT], UUID [3633706-1458740792-187] [23/03/2016 at 13:46:00]"/>
  </r>
  <r>
    <s v="3633700-1458740788-261"/>
    <s v="Spot"/>
    <s v="3633700-1458740788-261"/>
    <n v="0"/>
    <d v="2016-03-31T00:00:00"/>
    <x v="925"/>
    <s v="261"/>
    <s v="SELL"/>
    <n v="9.9753620411180162"/>
    <x v="0"/>
    <x v="1"/>
    <n v="3643.9"/>
    <s v="Deal"/>
    <m/>
    <s v="Original Amount [EUR 365.29], Merchant Amount [EUR 365.29], Customer Amount [NOK 3643.9], Status [APPROVED], Operation [DIRECT], UUID [3633700-1458740788-261] [23/03/2016 at 13:46:00]"/>
  </r>
  <r>
    <s v="3633691-1458740777-187"/>
    <s v="Spot"/>
    <s v="3633691-1458740777-187"/>
    <n v="0"/>
    <d v="2016-03-31T00:00:00"/>
    <x v="9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691-1458740777-187] [23/03/2016 at 13:46:00]"/>
  </r>
  <r>
    <s v="3633685-1458740777-224"/>
    <s v="Spot"/>
    <s v="3633685-1458740777-224"/>
    <n v="0"/>
    <d v="2016-03-31T00:00:00"/>
    <x v="927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685-1458740777-224] [23/03/2016 at 13:46:00]"/>
  </r>
  <r>
    <s v="3633742-1458740818-203"/>
    <s v="Spot"/>
    <s v="3633742-1458740818-203"/>
    <n v="0"/>
    <d v="2016-03-31T00:00:00"/>
    <x v="928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3742-1458740818-203] [23/03/2016 at 13:46:00]"/>
  </r>
  <r>
    <s v="3633721-1458740798-107"/>
    <s v="Spot"/>
    <s v="3633721-1458740798-107"/>
    <n v="0"/>
    <d v="2016-03-31T00:00:00"/>
    <x v="929"/>
    <s v="107"/>
    <s v="SELL"/>
    <n v="3.3957298907646476"/>
    <x v="0"/>
    <x v="0"/>
    <n v="68.39"/>
    <s v="Deal"/>
    <m/>
    <s v="Original Amount [EUR 20.14], Merchant Amount [EUR 20.14], Customer Amount [TRY 68.39], Status [APPROVED], Operation [3DAUTH], UUID [3633721-1458740798-107] [23/03/2016 at 13:46:00]"/>
  </r>
  <r>
    <s v="3633670-1458740764-124"/>
    <s v="Spot"/>
    <s v="3633670-1458740764-124"/>
    <n v="0"/>
    <d v="2016-03-31T00:00:00"/>
    <x v="930"/>
    <s v="124"/>
    <s v="SELL"/>
    <n v="9.9754184600669547"/>
    <x v="0"/>
    <x v="1"/>
    <n v="1042.93"/>
    <s v="Deal"/>
    <m/>
    <s v="Original Amount [EUR 104.55], Merchant Amount [EUR 104.55], Customer Amount [NOK 1042.93], Status [APPROVED], Operation [3DAUTH], UUID [3633670-1458740764-124] [23/03/2016 at 13:46:00]"/>
  </r>
  <r>
    <s v="3633715-1458740794-119"/>
    <s v="Spot"/>
    <s v="3633715-1458740794-119"/>
    <n v="0"/>
    <d v="2016-03-31T00:00:00"/>
    <x v="931"/>
    <s v="119"/>
    <s v="SELL"/>
    <n v="9.9754000000000005"/>
    <x v="0"/>
    <x v="1"/>
    <n v="498.77"/>
    <s v="Deal"/>
    <m/>
    <s v="Original Amount [EUR 50], Merchant Amount [EUR 50], Customer Amount [NOK 498.77], Status [APPROVED], Operation [3DAUTH], UUID [3633715-1458740794-119] [23/03/2016 at 13:46:00]"/>
  </r>
  <r>
    <s v="3633628-1458740706-264"/>
    <s v="Spot"/>
    <s v="3633628-1458740706-264"/>
    <n v="0"/>
    <d v="2016-03-31T00:00:00"/>
    <x v="932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28-1458740706-264] [23/03/2016 at 13:45:00]"/>
  </r>
  <r>
    <s v="3633667-1458740763-196"/>
    <s v="Spot"/>
    <s v="3633667-1458740763-196"/>
    <n v="0"/>
    <d v="2016-03-31T00:00:00"/>
    <x v="933"/>
    <s v="196"/>
    <s v="SELL"/>
    <n v="9.9507702612190219"/>
    <x v="0"/>
    <x v="1"/>
    <n v="297.13"/>
    <s v="Deal"/>
    <m/>
    <s v="Original Amount [EUR 29.86], Merchant Amount [EUR 29.86], Customer Amount [NOK 297.13], Status [APPROVED], Operation [3DAUTH], UUID [3633667-1458740763-196] [23/03/2016 at 13:46:00]"/>
  </r>
  <r>
    <s v="3633613-1458740687-125"/>
    <s v="Spot"/>
    <s v="3633613-1458740687-125"/>
    <n v="0"/>
    <d v="2016-03-31T00:00:00"/>
    <x v="934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3613-1458740687-125] [23/03/2016 at 13:44:00]"/>
  </r>
  <r>
    <s v="3633637-1458740714-216"/>
    <s v="Spot"/>
    <s v="3633637-1458740714-216"/>
    <n v="0"/>
    <d v="2016-03-31T00:00:00"/>
    <x v="935"/>
    <s v="216"/>
    <s v="SELL"/>
    <n v="3.3974276527331186"/>
    <x v="0"/>
    <x v="0"/>
    <n v="105.66"/>
    <s v="Deal"/>
    <m/>
    <s v="Original Amount [EUR 31.1], Merchant Amount [EUR 31.1], Customer Amount [TRY 105.66], Status [APPROVED], Operation [3DAUTH], UUID [3633637-1458740714-216] [23/03/2016 at 13:45:00]"/>
  </r>
  <r>
    <s v="3633601-1458740679-224"/>
    <s v="Spot"/>
    <s v="3633601-1458740679-224"/>
    <n v="0"/>
    <d v="2016-03-31T00:00:00"/>
    <x v="936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601-1458740679-224] [23/03/2016 at 13:44:00]"/>
  </r>
  <r>
    <s v="3633655-1458740736-200"/>
    <s v="Spot"/>
    <s v="3633655-1458740736-200"/>
    <n v="0"/>
    <d v="2016-03-31T00:00:00"/>
    <x v="93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3DAUTH], UUID [3633655-1458740736-200] [23/03/2016 at 13:45:00]"/>
  </r>
  <r>
    <s v="3633604-1458740682-264"/>
    <s v="Spot"/>
    <s v="3633604-1458740682-264"/>
    <n v="0"/>
    <d v="2016-03-31T00:00:00"/>
    <x v="938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04-1458740682-264] [23/03/2016 at 13:44:00]"/>
  </r>
  <r>
    <s v="3633631-1458740711-216"/>
    <s v="Spot"/>
    <s v="3633631-1458740711-216"/>
    <n v="0"/>
    <d v="2016-03-31T00:00:00"/>
    <x v="939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33631-1458740711-216] [23/03/2016 at 13:45:00]"/>
  </r>
  <r>
    <s v="3633586-1458740670-224"/>
    <s v="Spot"/>
    <s v="3633586-1458740670-224"/>
    <n v="0"/>
    <d v="2016-03-31T00:00:00"/>
    <x v="940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3586-1458740670-224] [23/03/2016 at 13:44:00]"/>
  </r>
  <r>
    <s v="3633577-1458740661-199"/>
    <s v="Spot"/>
    <s v="3633577-1458740661-199"/>
    <n v="0"/>
    <d v="2016-03-31T00:00:00"/>
    <x v="94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3577-1458740661-199] [23/03/2016 at 13:44:00]"/>
  </r>
  <r>
    <s v="3633571-1458740657-264"/>
    <s v="Spot"/>
    <s v="3633571-1458740657-264"/>
    <n v="0"/>
    <d v="2016-03-31T00:00:00"/>
    <x v="942"/>
    <s v="264"/>
    <s v="SELL"/>
    <n v="1.1812921890067503"/>
    <x v="0"/>
    <x v="7"/>
    <n v="36.75"/>
    <s v="Deal"/>
    <m/>
    <s v="Original Amount [TRY 100], Merchant Amount [EUR 31.11], Customer Amount [USD 36.75], Status [APPROVED], Operation [3DAUTH], UUID [3633571-1458740657-264] [23/03/2016 at 13:44:00]"/>
  </r>
  <r>
    <s v="3633562-1458740645-199"/>
    <s v="Spot"/>
    <s v="3633562-1458740645-199"/>
    <n v="0"/>
    <d v="2016-03-31T00:00:00"/>
    <x v="943"/>
    <s v="199"/>
    <s v="SELL"/>
    <n v="9.9505620400571466"/>
    <x v="0"/>
    <x v="1"/>
    <n v="3691.36"/>
    <s v="Deal"/>
    <m/>
    <s v="Original Amount [EUR 370.97], Merchant Amount [EUR 370.97], Customer Amount [NOK 3691.36], Status [APPROVED], Operation [DIRECT], UUID [3633562-1458740645-199] [23/03/2016 at 13:44:00]"/>
  </r>
  <r>
    <s v="3633544-1458740601-224"/>
    <s v="Spot"/>
    <s v="3633544-1458740601-224"/>
    <n v="0"/>
    <d v="2016-03-31T00:00:00"/>
    <x v="944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3544-1458740601-224] [23/03/2016 at 13:43:00]"/>
  </r>
  <r>
    <s v="3633520-1458740583-171"/>
    <s v="Spot"/>
    <s v="3633520-1458740583-171"/>
    <n v="0"/>
    <d v="2016-03-31T00:00:00"/>
    <x v="94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3520-1458740583-171] [23/03/2016 at 13:43:00]"/>
  </r>
  <r>
    <s v="3633517-1458740581-224"/>
    <s v="Spot"/>
    <s v="3633517-1458740581-224"/>
    <n v="0"/>
    <d v="2016-03-31T00:00:00"/>
    <x v="946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517-1458740581-224] [23/03/2016 at 13:43:00]"/>
  </r>
  <r>
    <s v="3633547-1458740614-216"/>
    <s v="Spot"/>
    <s v="3633547-1458740614-216"/>
    <n v="0"/>
    <d v="2016-03-31T00:00:00"/>
    <x v="94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47-1458740614-216] [23/03/2016 at 13:43:00]"/>
  </r>
  <r>
    <s v="3633502-1458740569-187"/>
    <s v="Spot"/>
    <s v="3633502-1458740569-187"/>
    <n v="0"/>
    <d v="2016-03-31T00:00:00"/>
    <x v="948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3502-1458740569-187] [23/03/2016 at 13:42:00]"/>
  </r>
  <r>
    <s v="3633526-1458740586-216"/>
    <s v="Spot"/>
    <s v="3633526-1458740586-216"/>
    <n v="0"/>
    <d v="2016-03-31T00:00:00"/>
    <x v="94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26-1458740586-216] [23/03/2016 at 13:43:00]"/>
  </r>
  <r>
    <s v="3633490-1458740554-145"/>
    <s v="Spot"/>
    <s v="3633490-1458740554-145"/>
    <n v="0"/>
    <d v="2016-03-31T00:00:00"/>
    <x v="95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3490-1458740554-145] [23/03/2016 at 13:42:00]"/>
  </r>
  <r>
    <s v="3633523-1458740585-216"/>
    <s v="Spot"/>
    <s v="3633523-1458740585-216"/>
    <n v="0"/>
    <d v="2016-03-31T00:00:00"/>
    <x v="951"/>
    <s v="216"/>
    <s v="SELL"/>
    <n v="3.3973280554181096"/>
    <x v="0"/>
    <x v="0"/>
    <n v="68.66"/>
    <s v="Deal"/>
    <m/>
    <s v="Original Amount [EUR 20.21], Merchant Amount [EUR 20.21], Customer Amount [TRY 68.66], Status [APPROVED], Operation [3DAUTH], UUID [3633523-1458740585-216] [23/03/2016 at 13:43:00]"/>
  </r>
  <r>
    <s v="3633478-1458740540-216"/>
    <s v="Spot"/>
    <s v="3633478-1458740540-216"/>
    <n v="0"/>
    <d v="2016-03-31T00:00:00"/>
    <x v="952"/>
    <s v="216"/>
    <s v="SELL"/>
    <n v="3.3974276527331186"/>
    <x v="0"/>
    <x v="0"/>
    <n v="105.66"/>
    <s v="Deal"/>
    <m/>
    <s v="Original Amount [EUR 31.1], Merchant Amount [EUR 31.1], Customer Amount [TRY 105.66], Status [WAITING], Operation [3D], UUID [3633478-1458740540-216] [23/03/2016 at 13:42:00]"/>
  </r>
  <r>
    <s v="3633496-1458740559-196"/>
    <s v="Spot"/>
    <s v="3633496-1458740559-196"/>
    <n v="0"/>
    <d v="2016-03-31T00:00:00"/>
    <x v="953"/>
    <s v="196"/>
    <s v="SELL"/>
    <n v="9.9505945402780096"/>
    <x v="0"/>
    <x v="1"/>
    <n v="594.15"/>
    <s v="Deal"/>
    <m/>
    <s v="Original Amount [EUR 59.71], Merchant Amount [EUR 59.71], Customer Amount [NOK 594.15], Status [APPROVED], Operation [3DAUTH], UUID [3633496-1458740559-196] [23/03/2016 at 13:42:00]"/>
  </r>
  <r>
    <s v="3633457-1458740526-224"/>
    <s v="Spot"/>
    <s v="3633457-1458740526-224"/>
    <n v="0"/>
    <d v="2016-03-31T00:00:00"/>
    <x v="95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3457-1458740526-224] [23/03/2016 at 13:42:00]"/>
  </r>
  <r>
    <s v="3633454-1458740526-238"/>
    <s v="Spot"/>
    <s v="3633454-1458740526-238"/>
    <n v="0"/>
    <d v="2016-03-31T00:00:00"/>
    <x v="95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454-1458740526-238] [23/03/2016 at 13:42:00]"/>
  </r>
  <r>
    <s v="3633433-1458740510-216"/>
    <s v="Spot"/>
    <s v="3633433-1458740510-216"/>
    <n v="0"/>
    <d v="2016-03-31T00:00:00"/>
    <x v="956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33-1458740510-216] [23/03/2016 at 13:41:00]"/>
  </r>
  <r>
    <s v="3633427-1458740497-101"/>
    <s v="Spot"/>
    <s v="3633427-1458740497-101"/>
    <n v="0"/>
    <d v="2016-03-31T00:00:00"/>
    <x v="957"/>
    <s v="101"/>
    <s v="SELL"/>
    <n v="3.3919402520616151"/>
    <x v="0"/>
    <x v="0"/>
    <n v="218"/>
    <s v="Deal"/>
    <m/>
    <s v="Original Amount [EUR 64.27], Merchant Amount [EUR 64.27], Customer Amount [TRY 218], Status [WAITING], Operation [3D], UUID [3633427-1458740497-101] [23/03/2016 at 13:41:00]"/>
  </r>
  <r>
    <s v="3633421-1458740494-199"/>
    <s v="Spot"/>
    <s v="3633421-1458740494-199"/>
    <n v="0"/>
    <d v="2016-03-31T00:00:00"/>
    <x v="958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421-1458740494-199] [23/03/2016 at 13:41:00]"/>
  </r>
  <r>
    <s v="3633430-1458740508-172"/>
    <s v="Spot"/>
    <s v="3633430-1458740508-172"/>
    <n v="0"/>
    <d v="2016-03-31T00:00:00"/>
    <x v="959"/>
    <s v="172"/>
    <s v="SELL"/>
    <n v="9.9754838709677411"/>
    <x v="0"/>
    <x v="1"/>
    <n v="541.16999999999996"/>
    <s v="Deal"/>
    <m/>
    <s v="Original Amount [EUR 54.25], Merchant Amount [EUR 54.25], Customer Amount [NOK 541.17], Status [APPROVED], Operation [3DAUTH], UUID [3633430-1458740508-172] [23/03/2016 at 13:41:00]"/>
  </r>
  <r>
    <s v="3633409-1458740480-216"/>
    <s v="Spot"/>
    <s v="3633409-1458740480-216"/>
    <n v="0"/>
    <d v="2016-03-31T00:00:00"/>
    <x v="960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09-1458740480-216] [23/03/2016 at 13:41:00]"/>
  </r>
  <r>
    <s v="3633412-1458740482-264"/>
    <s v="Spot"/>
    <s v="3633412-1458740482-264"/>
    <n v="0"/>
    <d v="2016-03-31T00:00:00"/>
    <x v="961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3412-1458740482-264] [23/03/2016 at 13:41:00]"/>
  </r>
  <r>
    <s v="3633400-1458740475-200"/>
    <s v="Spot"/>
    <s v="3633400-1458740475-200"/>
    <n v="0"/>
    <d v="2016-03-31T00:00:00"/>
    <x v="962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33400-1458740475-200] [23/03/2016 at 13:41:00]"/>
  </r>
  <r>
    <s v="3633385-1458740462-216"/>
    <s v="Spot"/>
    <s v="3633385-1458740462-216"/>
    <n v="0"/>
    <d v="2016-03-31T00:00:00"/>
    <x v="96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85-1458740462-216] [23/03/2016 at 13:41:00]"/>
  </r>
  <r>
    <s v="3633379-1458740458-119"/>
    <s v="Spot"/>
    <s v="3633379-1458740458-119"/>
    <n v="0"/>
    <d v="2016-03-31T00:00:00"/>
    <x v="964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3379-1458740458-119] [23/03/2016 at 13:40:00]"/>
  </r>
  <r>
    <s v="3633370-1458740444-216"/>
    <s v="Spot"/>
    <s v="3633370-1458740444-216"/>
    <n v="0"/>
    <d v="2016-03-31T00:00:00"/>
    <x v="965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70-1458740444-216] [23/03/2016 at 13:40:00]"/>
  </r>
  <r>
    <s v="3633388-1458740465-56"/>
    <s v="Spot"/>
    <s v="3633388-1458740465-56"/>
    <n v="0"/>
    <d v="2016-03-31T00:00:00"/>
    <x v="966"/>
    <s v="56"/>
    <s v="SELL"/>
    <n v="3.3919778699861691"/>
    <x v="0"/>
    <x v="0"/>
    <n v="245.24"/>
    <s v="Deal"/>
    <m/>
    <s v="Original Amount [EUR 72.3], Merchant Amount [EUR 72.3], Customer Amount [TRY 245.24], Status [APPROVED], Operation [3DAUTH], UUID [3633388-1458740465-56] [23/03/2016 at 13:41:00]"/>
  </r>
  <r>
    <s v="3633349-1458740428-199"/>
    <s v="Spot"/>
    <s v="3633349-1458740428-199"/>
    <n v="0"/>
    <d v="2016-03-31T00:00:00"/>
    <x v="967"/>
    <s v="199"/>
    <s v="SELL"/>
    <n v="9.9759110562075346"/>
    <x v="0"/>
    <x v="1"/>
    <n v="161.51"/>
    <s v="Deal"/>
    <m/>
    <s v="Original Amount [EUR 16.19], Merchant Amount [EUR 16.19], Customer Amount [NOK 161.51], Status [APPROVED], Operation [DIRECT], UUID [3633349-1458740428-199] [23/03/2016 at 13:40:00]"/>
  </r>
  <r>
    <s v="3633391-1458740467-216"/>
    <s v="Spot"/>
    <s v="3633391-1458740467-216"/>
    <n v="0"/>
    <d v="2016-03-31T00:00:00"/>
    <x v="96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3391-1458740467-216] [23/03/2016 at 13:41:00]"/>
  </r>
  <r>
    <s v="3633343-1458740420-124"/>
    <s v="Spot"/>
    <s v="3633343-1458740420-124"/>
    <n v="0"/>
    <d v="2016-03-31T00:00:00"/>
    <x v="969"/>
    <s v="124"/>
    <s v="SELL"/>
    <n v="9.9754485363550529"/>
    <x v="0"/>
    <x v="1"/>
    <n v="105.64"/>
    <s v="Deal"/>
    <m/>
    <s v="Original Amount [EUR 10.59], Merchant Amount [EUR 10.59], Customer Amount [NOK 105.64], Status [APPROVED], Operation [DIRECT], UUID [3633343-1458740420-124] [23/03/2016 at 13:40:00]"/>
  </r>
  <r>
    <s v="3633319-1458740405-126"/>
    <s v="Spot"/>
    <s v="3633319-1458740405-126"/>
    <n v="0"/>
    <d v="2016-03-31T00:00:00"/>
    <x v="97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3319-1458740405-126] [23/03/2016 at 13:40:00]"/>
  </r>
  <r>
    <s v="3633397-1458740472-107"/>
    <s v="Spot"/>
    <s v="3633397-1458740472-107"/>
    <n v="0"/>
    <d v="2016-03-31T00:00:00"/>
    <x v="97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3397-1458740472-107] [23/03/2016 at 13:41:00]"/>
  </r>
  <r>
    <s v="3633307-1458740386-203"/>
    <s v="Spot"/>
    <s v="3633307-1458740386-203"/>
    <n v="0"/>
    <d v="2016-03-31T00:00:00"/>
    <x v="97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33307-1458740386-203] [23/03/2016 at 13:39:00]"/>
  </r>
  <r>
    <s v="3633292-1458740362-224"/>
    <s v="Spot"/>
    <s v="3633292-1458740362-224"/>
    <n v="0"/>
    <d v="2016-03-31T00:00:00"/>
    <x v="97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292-1458740362-224] [23/03/2016 at 13:39:00]"/>
  </r>
  <r>
    <s v="3633277-1458740346-224"/>
    <s v="Spot"/>
    <s v="3633277-1458740346-224"/>
    <n v="0"/>
    <d v="2016-03-31T00:00:00"/>
    <x v="974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33277-1458740346-224] [23/03/2016 at 13:39:00]"/>
  </r>
  <r>
    <s v="3633256-1458740319-238"/>
    <s v="Spot"/>
    <s v="3633256-1458740319-238"/>
    <n v="0"/>
    <d v="2016-03-31T00:00:00"/>
    <x v="975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33256-1458740319-238] [23/03/2016 at 13:38:00]"/>
  </r>
  <r>
    <s v="3633253-1458740313-224"/>
    <s v="Spot"/>
    <s v="3633253-1458740313-224"/>
    <n v="0"/>
    <d v="2016-03-31T00:00:00"/>
    <x v="976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3253-1458740313-224] [23/03/2016 at 13:38:00]"/>
  </r>
  <r>
    <s v="3633244-1458740300-224"/>
    <s v="Spot"/>
    <s v="3633244-1458740300-224"/>
    <n v="0"/>
    <d v="2016-03-31T00:00:00"/>
    <x v="9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3244-1458740300-224] [23/03/2016 at 13:38:00]"/>
  </r>
  <r>
    <s v="3633295-1458740364-101"/>
    <s v="Spot"/>
    <s v="3633295-1458740364-101"/>
    <n v="0"/>
    <d v="2016-03-31T00:00:00"/>
    <x v="978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3295-1458740364-101] [23/03/2016 at 13:39:00]"/>
  </r>
  <r>
    <s v="3633229-1458740284-199"/>
    <s v="Spot"/>
    <s v="3633229-1458740284-199"/>
    <n v="0"/>
    <d v="2016-03-31T00:00:00"/>
    <x v="979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229-1458740284-199] [23/03/2016 at 13:38:00]"/>
  </r>
  <r>
    <s v="3633217-1458740266-101"/>
    <s v="Spot"/>
    <s v="3633217-1458740266-101"/>
    <n v="0"/>
    <d v="2016-03-31T00:00:00"/>
    <x v="980"/>
    <s v="101"/>
    <s v="SELL"/>
    <n v="3.397230434106115"/>
    <x v="0"/>
    <x v="0"/>
    <n v="218.34"/>
    <s v="Deal"/>
    <m/>
    <s v="Original Amount [EUR 64.27], Merchant Amount [EUR 64.27], Customer Amount [TRY 218.34], Status [WAITING], Operation [3D], UUID [3633217-1458740266-101] [23/03/2016 at 13:37:00]"/>
  </r>
  <r>
    <s v="3633226-1458740283-216"/>
    <s v="Spot"/>
    <s v="3633226-1458740283-216"/>
    <n v="0"/>
    <d v="2016-03-31T00:00:00"/>
    <x v="981"/>
    <s v="216"/>
    <s v="SELL"/>
    <n v="3.3973349485160509"/>
    <x v="0"/>
    <x v="0"/>
    <n v="56.09"/>
    <s v="Deal"/>
    <m/>
    <s v="Original Amount [EUR 16.51], Merchant Amount [EUR 16.51], Customer Amount [TRY 56.09], Status [APPROVED], Operation [3DAUTH], UUID [3633226-1458740283-216] [23/03/2016 at 13:38:00]"/>
  </r>
  <r>
    <s v="3633196-1458740241-224"/>
    <s v="Spot"/>
    <s v="3633196-1458740241-224"/>
    <n v="0"/>
    <d v="2016-03-31T00:00:00"/>
    <x v="982"/>
    <s v="224"/>
    <s v="SELL"/>
    <n v="133.03767286599907"/>
    <x v="0"/>
    <x v="3"/>
    <n v="2789.8"/>
    <s v="Deal"/>
    <m/>
    <s v="Original Amount [EUR 20.97], Merchant Amount [EUR 20.97], Customer Amount [JPY 2789.8], Status [APPROVED], Operation [DIRECT], UUID [3633196-1458740241-224] [23/03/2016 at 13:37:00]"/>
  </r>
  <r>
    <s v="3633211-1458740262-56"/>
    <s v="Spot"/>
    <s v="3633211-1458740262-56"/>
    <n v="0"/>
    <d v="2016-03-31T00:00:00"/>
    <x v="983"/>
    <s v="56"/>
    <s v="SELL"/>
    <n v="3.3974478680361031"/>
    <x v="0"/>
    <x v="0"/>
    <n v="109.16"/>
    <s v="Deal"/>
    <m/>
    <s v="Original Amount [EUR 32.13], Merchant Amount [EUR 32.13], Customer Amount [TRY 109.16], Status [APPROVED], Operation [3DAUTH], UUID [3633211-1458740262-56] [23/03/2016 at 13:37:00]"/>
  </r>
  <r>
    <s v="3633181-1458740226-224"/>
    <s v="Spot"/>
    <s v="3633181-1458740226-224"/>
    <n v="0"/>
    <d v="2016-03-31T00:00:00"/>
    <x v="984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33181-1458740226-224] [23/03/2016 at 13:37:00]"/>
  </r>
  <r>
    <s v="3633175-1458740217-126"/>
    <s v="Spot"/>
    <s v="3633175-1458740217-126"/>
    <n v="0"/>
    <d v="2016-03-31T00:00:00"/>
    <x v="98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3175-1458740217-126] [23/03/2016 at 13:36:00]"/>
  </r>
  <r>
    <s v="3633178-1458740223-145"/>
    <s v="Spot"/>
    <s v="3633178-1458740223-145"/>
    <n v="0"/>
    <d v="2016-03-31T00:00:00"/>
    <x v="986"/>
    <s v="145"/>
    <s v="SELL"/>
    <n v="1.5515222482435598"/>
    <x v="0"/>
    <x v="2"/>
    <n v="26.5"/>
    <s v="Deal"/>
    <m/>
    <s v="Original Amount [EUR 17.08], Merchant Amount [EUR 17.08], Customer Amount [CAD 26.5], Status [APPROVED], Operation [3DAUTH], UUID [3633178-1458740223-145] [23/03/2016 at 13:37:00]"/>
  </r>
  <r>
    <s v="3633163-1458740212-224"/>
    <s v="Spot"/>
    <s v="3633163-1458740212-224"/>
    <n v="0"/>
    <d v="2016-03-31T00:00:00"/>
    <x v="987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3163-1458740212-224] [23/03/2016 at 13:36:00]"/>
  </r>
  <r>
    <s v="3633157-1458740209-187"/>
    <s v="Spot"/>
    <s v="3633157-1458740209-187"/>
    <n v="0"/>
    <d v="2016-03-31T00:00:00"/>
    <x v="988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157-1458740209-187] [23/03/2016 at 13:36:00]"/>
  </r>
  <r>
    <s v="3633205-1458740255-216"/>
    <s v="Spot"/>
    <s v="3633205-1458740255-216"/>
    <n v="0"/>
    <d v="2016-03-31T00:00:00"/>
    <x v="989"/>
    <s v="216"/>
    <s v="SELL"/>
    <n v="3.3975387907972174"/>
    <x v="0"/>
    <x v="0"/>
    <n v="63.5"/>
    <s v="Deal"/>
    <m/>
    <s v="Original Amount [EUR 18.69], Merchant Amount [EUR 18.69], Customer Amount [TRY 63.5], Status [APPROVED], Operation [3DAUTH], UUID [3633205-1458740255-216] [23/03/2016 at 13:37:00]"/>
  </r>
  <r>
    <s v="3633136-1458740162-145"/>
    <s v="Spot"/>
    <s v="3633136-1458740162-145"/>
    <n v="0"/>
    <d v="2016-03-31T00:00:00"/>
    <x v="990"/>
    <s v="145"/>
    <s v="SELL"/>
    <n v="1.5515727871250915"/>
    <x v="0"/>
    <x v="2"/>
    <n v="21.21"/>
    <s v="Deal"/>
    <m/>
    <s v="Original Amount [EUR 13.67], Merchant Amount [EUR 13.67], Customer Amount [CAD 21.21], Status [WAITING], Operation [3D], UUID [3633136-1458740162-145] [23/03/2016 at 13:36:00]"/>
  </r>
  <r>
    <s v="3633124-1458740145-199"/>
    <s v="Spot"/>
    <s v="3633124-1458740145-199"/>
    <n v="0"/>
    <d v="2016-03-31T00:00:00"/>
    <x v="991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124-1458740145-199] [23/03/2016 at 13:35:00]"/>
  </r>
  <r>
    <s v="3633121-1458740145-241"/>
    <s v="Spot"/>
    <s v="3633121-1458740145-241"/>
    <n v="0"/>
    <d v="2016-03-31T00:00:00"/>
    <x v="992"/>
    <s v="241"/>
    <s v="SELL"/>
    <n v="9.9754285714285711"/>
    <x v="0"/>
    <x v="1"/>
    <n v="349.14"/>
    <s v="Deal"/>
    <m/>
    <s v="Original Amount [EUR 35], Merchant Amount [EUR 35], Customer Amount [NOK 349.14], Status [APPROVED], Operation [DIRECT], UUID [3633121-1458740145-241] [23/03/2016 at 13:35:00]"/>
  </r>
  <r>
    <s v="3633118-1458740138-82"/>
    <s v="Spot"/>
    <s v="3633118-1458740138-82"/>
    <n v="0"/>
    <d v="2016-03-31T00:00:00"/>
    <x v="993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3118-1458740138-82] [23/03/2016 at 13:35:00]"/>
  </r>
  <r>
    <s v="3633109-1458740127-126"/>
    <s v="Spot"/>
    <s v="3633109-1458740127-126"/>
    <n v="0"/>
    <d v="2016-03-31T00:00:00"/>
    <x v="994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3109-1458740127-126] [23/03/2016 at 13:35:00]"/>
  </r>
  <r>
    <s v="3633103-1458740119-199"/>
    <s v="Spot"/>
    <s v="3633103-1458740119-199"/>
    <n v="0"/>
    <d v="2016-03-31T00:00:00"/>
    <x v="995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3103-1458740119-199] [23/03/2016 at 13:35:00]"/>
  </r>
  <r>
    <s v="3633094-1458740115-199"/>
    <s v="Spot"/>
    <s v="3633094-1458740115-199"/>
    <n v="0"/>
    <d v="2016-03-31T00:00:00"/>
    <x v="996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094-1458740115-199] [23/03/2016 at 13:35:00]"/>
  </r>
  <r>
    <s v="3633130-1458740154-203"/>
    <s v="Spot"/>
    <s v="3633130-1458740154-203"/>
    <n v="0"/>
    <d v="2016-03-31T00:00:00"/>
    <x v="997"/>
    <s v="203"/>
    <s v="SELL"/>
    <n v="3.3879569892473116"/>
    <x v="0"/>
    <x v="0"/>
    <n v="157.54"/>
    <s v="Deal"/>
    <m/>
    <s v="Original Amount [EUR 46.5], Merchant Amount [EUR 46.5], Customer Amount [TRY 157.54], Status [APPROVED], Operation [3DAUTH], UUID [3633130-1458740154-203] [23/03/2016 at 13:35:00]"/>
  </r>
  <r>
    <s v="3633082-1458740100-238"/>
    <s v="Spot"/>
    <s v="3633082-1458740100-238"/>
    <n v="0"/>
    <d v="2016-03-31T00:00:00"/>
    <x v="99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082-1458740100-238] [23/03/2016 at 13:35:00]"/>
  </r>
  <r>
    <s v="3633106-1458740125-203"/>
    <s v="Spot"/>
    <s v="3633106-1458740125-203"/>
    <n v="0"/>
    <d v="2016-03-31T00:00:00"/>
    <x v="999"/>
    <s v="203"/>
    <s v="SELL"/>
    <n v="3.3878557874762807"/>
    <x v="0"/>
    <x v="0"/>
    <n v="89.27"/>
    <s v="Deal"/>
    <m/>
    <s v="Original Amount [EUR 26.35], Merchant Amount [EUR 26.35], Customer Amount [TRY 89.27], Status [APPROVED], Operation [3DAUTH], UUID [3633106-1458740125-203] [23/03/2016 at 13:35:00]"/>
  </r>
  <r>
    <s v="3633097-1458740118-216"/>
    <s v="Spot"/>
    <s v="3633097-1458740118-216"/>
    <n v="0"/>
    <d v="2016-03-31T00:00:00"/>
    <x v="1000"/>
    <s v="216"/>
    <s v="SELL"/>
    <n v="3.387836970474968"/>
    <x v="0"/>
    <x v="0"/>
    <n v="211.13"/>
    <s v="Deal"/>
    <m/>
    <s v="Original Amount [EUR 62.32], Merchant Amount [EUR 62.32], Customer Amount [TRY 211.13], Status [APPROVED], Operation [3DAUTH], UUID [3633097-1458740118-216] [23/03/2016 at 13:35:00]"/>
  </r>
  <r>
    <s v="3633061-1458740087-224"/>
    <s v="Spot"/>
    <s v="3633061-1458740087-224"/>
    <n v="0"/>
    <d v="2016-03-31T00:00:00"/>
    <x v="10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061-1458740087-224] [23/03/2016 at 13:34:00]"/>
  </r>
  <r>
    <s v="3633058-1458740083-199"/>
    <s v="Spot"/>
    <s v="3633058-1458740083-199"/>
    <n v="0"/>
    <d v="2016-03-31T00:00:00"/>
    <x v="100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3058-1458740083-199] [23/03/2016 at 13:34:00]"/>
  </r>
  <r>
    <s v="3633115-1458740134-196"/>
    <s v="Spot"/>
    <s v="3633115-1458740134-196"/>
    <n v="0"/>
    <d v="2016-03-31T00:00:00"/>
    <x v="1003"/>
    <s v="196"/>
    <s v="SELL"/>
    <n v="9.9755525787006025"/>
    <x v="0"/>
    <x v="1"/>
    <n v="297.87"/>
    <s v="Deal"/>
    <m/>
    <s v="Original Amount [EUR 29.86], Merchant Amount [EUR 29.86], Customer Amount [NOK 297.87], Status [APPROVED], Operation [3DAUTH], UUID [3633115-1458740134-196] [23/03/2016 at 13:35:00]"/>
  </r>
  <r>
    <s v="3633040-1458740077-224"/>
    <s v="Spot"/>
    <s v="3633040-1458740077-224"/>
    <n v="0"/>
    <d v="2016-03-31T00:00:00"/>
    <x v="1004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33040-1458740077-224] [23/03/2016 at 13:34:00]"/>
  </r>
  <r>
    <s v="3633034-1458740073-224"/>
    <s v="Spot"/>
    <s v="3633034-1458740073-224"/>
    <n v="0"/>
    <d v="2016-03-31T00:00:00"/>
    <x v="1005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034-1458740073-224] [23/03/2016 at 13:34:00]"/>
  </r>
  <r>
    <s v="3633031-1458740072-171"/>
    <s v="Spot"/>
    <s v="3633031-1458740072-171"/>
    <n v="0"/>
    <d v="2016-03-31T00:00:00"/>
    <x v="1006"/>
    <s v="171"/>
    <s v="SELL"/>
    <n v="9.9760000000000009"/>
    <x v="0"/>
    <x v="1"/>
    <n v="99.76"/>
    <s v="Deal"/>
    <m/>
    <s v="Original Amount [EUR 10], Merchant Amount [EUR 10], Customer Amount [NOK 99.76], Status [APPROVED], Operation [DIRECT], UUID [3633031-1458740072-171] [23/03/2016 at 13:34:00]"/>
  </r>
  <r>
    <s v="3633067-1458740091-216"/>
    <s v="Spot"/>
    <s v="3633067-1458740091-216"/>
    <n v="0"/>
    <d v="2016-03-31T00:00:00"/>
    <x v="1007"/>
    <s v="216"/>
    <s v="SELL"/>
    <n v="3.3884430176565004"/>
    <x v="0"/>
    <x v="0"/>
    <n v="42.22"/>
    <s v="Deal"/>
    <m/>
    <s v="Original Amount [EUR 12.46], Merchant Amount [EUR 12.46], Customer Amount [TRY 42.22], Status [APPROVED], Operation [3DAUTH], UUID [3633067-1458740091-216] [23/03/2016 at 13:34:00]"/>
  </r>
  <r>
    <s v="3633064-1458740088-56"/>
    <s v="Spot"/>
    <s v="3633064-1458740088-56"/>
    <n v="0"/>
    <d v="2016-03-31T00:00:00"/>
    <x v="1008"/>
    <s v="56"/>
    <s v="SELL"/>
    <n v="3.3879668049792531"/>
    <x v="0"/>
    <x v="0"/>
    <n v="48.99"/>
    <s v="Deal"/>
    <m/>
    <s v="Original Amount [EUR 14.46], Merchant Amount [EUR 14.46], Customer Amount [TRY 48.99], Status [APPROVED], Operation [3DAUTH], UUID [3633064-1458740088-56] [23/03/2016 at 13:34:00]"/>
  </r>
  <r>
    <s v="3633142-1458740165-101"/>
    <s v="Spot"/>
    <s v="3633142-1458740165-101"/>
    <n v="0"/>
    <d v="2016-03-31T00:00:00"/>
    <x v="1009"/>
    <s v="101"/>
    <s v="SELL"/>
    <n v="3.3885819521178635"/>
    <x v="0"/>
    <x v="0"/>
    <n v="36.799999999999997"/>
    <s v="Deal"/>
    <m/>
    <s v="Original Amount [EUR 10.86], Merchant Amount [EUR 10.86], Customer Amount [TRY 36.8], Status [APPROVED], Operation [3DAUTH], UUID [3633142-1458740165-101] [23/03/2016 at 13:36:00]"/>
  </r>
  <r>
    <s v="3632995-1458740015-224"/>
    <s v="Spot"/>
    <s v="3632995-1458740015-224"/>
    <n v="0"/>
    <d v="2016-03-31T00:00:00"/>
    <x v="1010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2995-1458740015-224] [23/03/2016 at 13:33:00]"/>
  </r>
  <r>
    <s v="3633019-1458740065-56"/>
    <s v="Spot"/>
    <s v="3633019-1458740065-56"/>
    <n v="0"/>
    <d v="2016-03-31T00:00:00"/>
    <x v="1011"/>
    <s v="56"/>
    <s v="SELL"/>
    <n v="3.3881010031131096"/>
    <x v="0"/>
    <x v="0"/>
    <n v="97.95"/>
    <s v="Deal"/>
    <m/>
    <s v="Original Amount [EUR 28.91], Merchant Amount [EUR 28.91], Customer Amount [TRY 97.95], Status [APPROVED], Operation [3DAUTH], UUID [3633019-1458740065-56] [23/03/2016 at 13:34:00]"/>
  </r>
  <r>
    <s v="3632953-1458739981-199"/>
    <s v="Spot"/>
    <s v="3632953-1458739981-199"/>
    <n v="0"/>
    <d v="2016-03-31T00:00:00"/>
    <x v="101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2953-1458739981-199] [23/03/2016 at 13:33:00]"/>
  </r>
  <r>
    <s v="3632950-1458739981-199"/>
    <s v="Spot"/>
    <s v="3632950-1458739981-199"/>
    <n v="0"/>
    <d v="2016-03-31T00:00:00"/>
    <x v="1013"/>
    <s v="199"/>
    <s v="SELL"/>
    <n v="9.9753927344133526"/>
    <x v="0"/>
    <x v="1"/>
    <n v="1625.59"/>
    <s v="Deal"/>
    <m/>
    <s v="Original Amount [EUR 162.96], Merchant Amount [EUR 162.96], Customer Amount [NOK 1625.59], Status [APPROVED], Operation [DIRECT], UUID [3632950-1458739981-199] [23/03/2016 at 13:33:00]"/>
  </r>
  <r>
    <s v="3632932-1458739960-238"/>
    <s v="Spot"/>
    <s v="3632932-1458739960-238"/>
    <n v="0"/>
    <d v="2016-03-31T00:00:00"/>
    <x v="1014"/>
    <s v="238"/>
    <s v="SELL"/>
    <n v="1.5588235294117647"/>
    <x v="0"/>
    <x v="5"/>
    <n v="2.12"/>
    <s v="Deal"/>
    <m/>
    <s v="Original Amount [EUR 1.36], Merchant Amount [EUR 1.36], Customer Amount [AUD 2.12], Status [APPROVED], Operation [DIRECT], UUID [3632932-1458739960-238] [23/03/2016 at 13:32:00]"/>
  </r>
  <r>
    <s v="3632926-1458739957-119"/>
    <s v="Spot"/>
    <s v="3632926-1458739957-119"/>
    <n v="0"/>
    <d v="2016-03-31T00:00:00"/>
    <x v="1015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2926-1458739957-119] [23/03/2016 at 13:32:00]"/>
  </r>
  <r>
    <s v="3632923-1458739957-107"/>
    <s v="Spot"/>
    <s v="3632923-1458739957-107"/>
    <n v="0"/>
    <d v="2016-03-31T00:00:00"/>
    <x v="1016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2923-1458739957-107] [23/03/2016 at 13:32:00]"/>
  </r>
  <r>
    <s v="3632920-1458739954-199"/>
    <s v="Spot"/>
    <s v="3632920-1458739954-199"/>
    <n v="0"/>
    <d v="2016-03-31T00:00:00"/>
    <x v="1017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920-1458739954-199] [23/03/2016 at 13:32:00]"/>
  </r>
  <r>
    <s v="3632947-1458739980-216"/>
    <s v="Spot"/>
    <s v="3632947-1458739980-216"/>
    <n v="0"/>
    <d v="2016-03-31T00:00:00"/>
    <x v="1018"/>
    <s v="216"/>
    <s v="SELL"/>
    <n v="3.3879974326059048"/>
    <x v="0"/>
    <x v="0"/>
    <n v="105.57"/>
    <s v="Deal"/>
    <m/>
    <s v="Original Amount [EUR 31.16], Merchant Amount [EUR 31.16], Customer Amount [TRY 105.57], Status [APPROVED], Operation [3DAUTH], UUID [3632947-1458739980-216] [23/03/2016 at 13:33:00]"/>
  </r>
  <r>
    <s v="3632902-1458739928-171"/>
    <s v="Spot"/>
    <s v="3632902-1458739928-171"/>
    <n v="0"/>
    <d v="2016-03-31T00:00:00"/>
    <x v="1019"/>
    <s v="171"/>
    <s v="SELL"/>
    <n v="9.9754000000000005"/>
    <x v="0"/>
    <x v="1"/>
    <n v="997.54"/>
    <s v="Deal"/>
    <m/>
    <s v="Original Amount [EUR 100], Merchant Amount [EUR 100], Customer Amount [NOK 997.54], Status [APPROVED], Operation [DIRECT], UUID [3632902-1458739928-171] [23/03/2016 at 13:32:00]"/>
  </r>
  <r>
    <s v="3632935-1458739964-216"/>
    <s v="Spot"/>
    <s v="3632935-1458739964-216"/>
    <n v="0"/>
    <d v="2016-03-31T00:00:00"/>
    <x v="1020"/>
    <s v="216"/>
    <s v="SELL"/>
    <n v="3.3878904578519466"/>
    <x v="0"/>
    <x v="0"/>
    <n v="158.35"/>
    <s v="Deal"/>
    <m/>
    <s v="Original Amount [EUR 46.74], Merchant Amount [EUR 46.74], Customer Amount [TRY 158.35], Status [APPROVED], Operation [3DAUTH], UUID [3632935-1458739964-216] [23/03/2016 at 13:32:00]"/>
  </r>
  <r>
    <s v="3632893-1458739920-119"/>
    <s v="Spot"/>
    <s v="3632893-1458739920-119"/>
    <n v="0"/>
    <d v="2016-03-31T00:00:00"/>
    <x v="102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2893-1458739920-119] [23/03/2016 at 13:32:00]"/>
  </r>
  <r>
    <s v="3632887-1458739914-126"/>
    <s v="Spot"/>
    <s v="3632887-1458739914-126"/>
    <n v="0"/>
    <d v="2016-03-31T00:00:00"/>
    <x v="1022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2887-1458739914-126] [23/03/2016 at 13:31:00]"/>
  </r>
  <r>
    <s v="3632878-1458739909-224"/>
    <s v="Spot"/>
    <s v="3632878-1458739909-224"/>
    <n v="0"/>
    <d v="2016-03-31T00:00:00"/>
    <x v="1023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2878-1458739909-224] [23/03/2016 at 13:31:00]"/>
  </r>
  <r>
    <s v="3632854-1458739895-187"/>
    <s v="Spot"/>
    <s v="3632854-1458739895-187"/>
    <n v="0"/>
    <d v="2016-03-31T00:00:00"/>
    <x v="102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2854-1458739895-187] [23/03/2016 at 13:31:00]"/>
  </r>
  <r>
    <s v="3632911-1458739935-264"/>
    <s v="Spot"/>
    <s v="3632911-1458739935-264"/>
    <n v="0"/>
    <d v="2016-03-31T00:00:00"/>
    <x v="1025"/>
    <s v="264"/>
    <s v="SELL"/>
    <n v="3.3911845730027546"/>
    <x v="0"/>
    <x v="0"/>
    <n v="36.93"/>
    <s v="Deal"/>
    <m/>
    <s v="Original Amount [TRY 35], Merchant Amount [EUR 10.89], Customer Amount [TRY 36.93], Status [APPROVED], Operation [3DAUTH], UUID [3632911-1458739935-264] [23/03/2016 at 13:32:00]"/>
  </r>
  <r>
    <s v="3632875-1458739905-216"/>
    <s v="Spot"/>
    <s v="3632875-1458739905-216"/>
    <n v="0"/>
    <d v="2016-03-31T00:00:00"/>
    <x v="1026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875-1458739905-216] [23/03/2016 at 13:31:00]"/>
  </r>
  <r>
    <s v="3632890-1458739918-101"/>
    <s v="Spot"/>
    <s v="3632890-1458739918-101"/>
    <n v="0"/>
    <d v="2016-03-31T00:00:00"/>
    <x v="1027"/>
    <s v="101"/>
    <s v="SELL"/>
    <n v="3.3879668049792526"/>
    <x v="0"/>
    <x v="0"/>
    <n v="130.63999999999999"/>
    <s v="Deal"/>
    <m/>
    <s v="Original Amount [EUR 38.56], Merchant Amount [EUR 38.56], Customer Amount [TRY 130.64], Status [APPROVED], Operation [3DAUTH], UUID [3632890-1458739918-101] [23/03/2016 at 13:31:00]"/>
  </r>
  <r>
    <s v="3632842-1458739885-216"/>
    <s v="Spot"/>
    <s v="3632842-1458739885-216"/>
    <n v="0"/>
    <d v="2016-03-31T00:00:00"/>
    <x v="1028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842-1458739885-216] [23/03/2016 at 13:31:00]"/>
  </r>
  <r>
    <s v="3632785-1458739858-161"/>
    <s v="Spot"/>
    <s v="3632785-1458739858-161"/>
    <n v="0"/>
    <d v="2016-03-31T00:00:00"/>
    <x v="102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85-1458739858-161] [23/03/2016 at 13:30:00]"/>
  </r>
  <r>
    <s v="3632788-1458739859-199"/>
    <s v="Spot"/>
    <s v="3632788-1458739859-199"/>
    <n v="0"/>
    <d v="2016-03-31T00:00:00"/>
    <x v="103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788-1458739859-199] [23/03/2016 at 13:30:00]"/>
  </r>
  <r>
    <s v="3632773-1458739854-203"/>
    <s v="Spot"/>
    <s v="3632773-1458739854-203"/>
    <n v="0"/>
    <d v="2016-03-31T00:00:00"/>
    <x v="1031"/>
    <s v="203"/>
    <s v="SELL"/>
    <n v="3.3880645161290324"/>
    <x v="0"/>
    <x v="0"/>
    <n v="105.03"/>
    <s v="Deal"/>
    <m/>
    <s v="Original Amount [EUR 31], Merchant Amount [EUR 31], Customer Amount [TRY 105.03], Status [WAITING], Operation [3D], UUID [3632773-1458739854-203] [23/03/2016 at 13:30:00]"/>
  </r>
  <r>
    <s v="3632770-1458739852-161"/>
    <s v="Spot"/>
    <s v="3632770-1458739852-161"/>
    <n v="0"/>
    <d v="2016-03-31T00:00:00"/>
    <x v="1032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70-1458739852-161] [23/03/2016 at 13:30:00]"/>
  </r>
  <r>
    <s v="3632794-1458739864-216"/>
    <s v="Spot"/>
    <s v="3632794-1458739864-216"/>
    <n v="0"/>
    <d v="2016-03-31T00:00:00"/>
    <x v="1033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794-1458739864-216] [23/03/2016 at 13:31:00]"/>
  </r>
  <r>
    <s v="3632734-1458739830-264"/>
    <s v="Spot"/>
    <s v="3632734-1458739830-264"/>
    <n v="0"/>
    <d v="2016-03-31T00:00:00"/>
    <x v="1034"/>
    <s v="264"/>
    <s v="SELL"/>
    <n v="1.1795118818240204"/>
    <x v="0"/>
    <x v="7"/>
    <n v="36.729999999999997"/>
    <s v="Deal"/>
    <m/>
    <s v="Original Amount [TRY 100], Merchant Amount [EUR 31.14], Customer Amount [USD 36.73], Status [APPROVED], Operation [3DAUTH], UUID [3632734-1458739830-264] [23/03/2016 at 13:30:00]"/>
  </r>
  <r>
    <s v="3632719-1458739820-200"/>
    <s v="Spot"/>
    <s v="3632719-1458739820-200"/>
    <n v="0"/>
    <d v="2016-03-31T00:00:00"/>
    <x v="1035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2719-1458739820-200] [23/03/2016 at 13:30:00]"/>
  </r>
  <r>
    <s v="3632761-1458739849-216"/>
    <s v="Spot"/>
    <s v="3632761-1458739849-216"/>
    <n v="0"/>
    <d v="2016-03-31T00:00:00"/>
    <x v="1036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761-1458739849-216] [23/03/2016 at 13:30:00]"/>
  </r>
  <r>
    <s v="3632707-1458739811-196"/>
    <s v="Spot"/>
    <s v="3632707-1458739811-196"/>
    <n v="0"/>
    <d v="2016-03-31T00:00:00"/>
    <x v="1037"/>
    <s v="196"/>
    <s v="SELL"/>
    <n v="9.9755525787006025"/>
    <x v="0"/>
    <x v="1"/>
    <n v="297.87"/>
    <s v="Deal"/>
    <m/>
    <s v="Original Amount [EUR 29.86], Merchant Amount [EUR 29.86], Customer Amount [NOK 297.87], Status [WAITING], Operation [3D], UUID [3632707-1458739811-196] [23/03/2016 at 13:30:00]"/>
  </r>
  <r>
    <s v="3632692-1458739800-126"/>
    <s v="Spot"/>
    <s v="3632692-1458739800-126"/>
    <n v="0"/>
    <d v="2016-03-31T00:00:00"/>
    <x v="103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2692-1458739800-126] [23/03/2016 at 13:30:00]"/>
  </r>
  <r>
    <s v="3632695-1458739802-264"/>
    <s v="Spot"/>
    <s v="3632695-1458739802-264"/>
    <n v="0"/>
    <d v="2016-03-31T00:00:00"/>
    <x v="1039"/>
    <s v="264"/>
    <s v="SELL"/>
    <n v="1.1782273603082851"/>
    <x v="0"/>
    <x v="7"/>
    <n v="36.69"/>
    <s v="Deal"/>
    <m/>
    <s v="Original Amount [TRY 100], Merchant Amount [EUR 31.14], Customer Amount [USD 36.69], Status [APPROVED], Operation [3DAUTH], UUID [3632695-1458739802-264] [23/03/2016 at 13:30:00]"/>
  </r>
  <r>
    <s v="3632683-1458739789-224"/>
    <s v="Spot"/>
    <s v="3632683-1458739789-224"/>
    <n v="0"/>
    <d v="2016-03-31T00:00:00"/>
    <x v="1040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2683-1458739789-224] [23/03/2016 at 13:29:00]"/>
  </r>
  <r>
    <s v="3632677-1458739787-224"/>
    <s v="Spot"/>
    <s v="3632677-1458739787-224"/>
    <n v="0"/>
    <d v="2016-03-31T00:00:00"/>
    <x v="104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2677-1458739787-224] [23/03/2016 at 13:29:00]"/>
  </r>
  <r>
    <s v="3632662-1458739776-224"/>
    <s v="Spot"/>
    <s v="3632662-1458739776-224"/>
    <n v="0"/>
    <d v="2016-03-31T00:00:00"/>
    <x v="1042"/>
    <s v="224"/>
    <s v="SELL"/>
    <n v="9.9546042500769953"/>
    <x v="0"/>
    <x v="1"/>
    <n v="1616.13"/>
    <s v="Deal"/>
    <m/>
    <s v="Original Amount [EUR 162.35], Merchant Amount [EUR 162.35], Customer Amount [NOK 1616.13], Status [APPROVED], Operation [DIRECT], UUID [3632662-1458739776-224] [23/03/2016 at 13:29:00]"/>
  </r>
  <r>
    <s v="3632653-1458739772-76"/>
    <s v="Spot"/>
    <s v="3632653-1458739772-76"/>
    <n v="0"/>
    <d v="2016-03-31T00:00:00"/>
    <x v="1043"/>
    <s v="76"/>
    <s v="BUY"/>
    <n v="0"/>
    <x v="0"/>
    <x v="7"/>
    <n v="0.01"/>
    <s v="Deal"/>
    <m/>
    <s v="Original Amount [USD 0.01], Merchant Amount [EUR 0], Customer Amount [USD 0.01], Status [APPROVED], Operation [REFUND], UUID [3632653-1458739772-76] [23/03/2016 at 13:29:00]"/>
  </r>
  <r>
    <s v="3632830-1458739879-216"/>
    <s v="Spot"/>
    <s v="3632830-1458739879-216"/>
    <n v="0"/>
    <d v="2016-03-31T00:00:00"/>
    <x v="1044"/>
    <s v="216"/>
    <s v="SELL"/>
    <n v="3.3975240715268225"/>
    <x v="0"/>
    <x v="0"/>
    <n v="74.099999999999994"/>
    <s v="Deal"/>
    <m/>
    <s v="Original Amount [EUR 21.81], Merchant Amount [EUR 21.81], Customer Amount [TRY 74.1], Status [APPROVED], Operation [3DAUTH], UUID [3632830-1458739879-216] [23/03/2016 at 13:31:00]"/>
  </r>
  <r>
    <s v="3632647-1458739768-76"/>
    <s v="Spot"/>
    <s v="3632647-1458739768-76"/>
    <n v="0"/>
    <d v="2016-03-31T00:00:00"/>
    <x v="1045"/>
    <s v="76"/>
    <s v="SELL"/>
    <n v="0"/>
    <x v="0"/>
    <x v="7"/>
    <n v="0.01"/>
    <s v="Deal"/>
    <m/>
    <s v="Original Amount [USD 0.01], Merchant Amount [EUR 0], Customer Amount [USD 0.01], Status [APPROVED], Operation [STORED], UUID [3632647-1458739768-76] [23/03/2016 at 13:29:00]"/>
  </r>
  <r>
    <s v="3632644-1458739768-199"/>
    <s v="Spot"/>
    <s v="3632644-1458739768-199"/>
    <n v="0"/>
    <d v="2016-03-31T00:00:00"/>
    <x v="1046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2644-1458739768-199] [23/03/2016 at 13:29:00]"/>
  </r>
  <r>
    <s v="3632728-1458739825-216"/>
    <s v="Spot"/>
    <s v="3632728-1458739825-216"/>
    <n v="0"/>
    <d v="2016-03-31T00:00:00"/>
    <x v="1047"/>
    <s v="216"/>
    <s v="SELL"/>
    <n v="3.3975044563279861"/>
    <x v="0"/>
    <x v="0"/>
    <n v="57.18"/>
    <s v="Deal"/>
    <m/>
    <s v="Original Amount [EUR 16.83], Merchant Amount [EUR 16.83], Customer Amount [TRY 57.18], Status [APPROVED], Operation [3DAUTH], UUID [3632728-1458739825-216] [23/03/2016 at 13:30:00]"/>
  </r>
  <r>
    <s v="3632635-1458739758-224"/>
    <s v="Spot"/>
    <s v="3632635-1458739758-224"/>
    <n v="0"/>
    <d v="2016-03-31T00:00:00"/>
    <x v="1048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2635-1458739758-224] [23/03/2016 at 13:29:00]"/>
  </r>
  <r>
    <s v="3632632-1458739757-216"/>
    <s v="Spot"/>
    <s v="3632632-1458739757-216"/>
    <n v="0"/>
    <d v="2016-03-31T00:00:00"/>
    <x v="1049"/>
    <s v="216"/>
    <s v="SELL"/>
    <n v="3.3973042362002568"/>
    <x v="0"/>
    <x v="0"/>
    <n v="105.86"/>
    <s v="Deal"/>
    <m/>
    <s v="Original Amount [EUR 31.16], Merchant Amount [EUR 31.16], Customer Amount [TRY 105.86], Status [WAITING], Operation [3D], UUID [3632632-1458739757-216] [23/03/2016 at 13:29:00]"/>
  </r>
  <r>
    <s v="3632626-1458739754-126"/>
    <s v="Spot"/>
    <s v="3632626-1458739754-126"/>
    <n v="0"/>
    <d v="2016-03-31T00:00:00"/>
    <x v="1050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2626-1458739754-126] [23/03/2016 at 13:29:00]"/>
  </r>
  <r>
    <s v="3632668-1458739778-107"/>
    <s v="Spot"/>
    <s v="3632668-1458739778-107"/>
    <n v="0"/>
    <d v="2016-03-31T00:00:00"/>
    <x v="1051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2668-1458739778-107] [23/03/2016 at 13:29:00]"/>
  </r>
  <r>
    <s v="3632659-1458739773-216"/>
    <s v="Spot"/>
    <s v="3632659-1458739773-216"/>
    <n v="0"/>
    <d v="2016-03-31T00:00:00"/>
    <x v="105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2659-1458739773-216] [23/03/2016 at 13:29:00]"/>
  </r>
  <r>
    <s v="3632602-1458739741-124"/>
    <s v="Spot"/>
    <s v="3632602-1458739741-124"/>
    <n v="0"/>
    <d v="2016-03-31T00:00:00"/>
    <x v="1053"/>
    <s v="124"/>
    <s v="SELL"/>
    <n v="9.9546570942754578"/>
    <x v="0"/>
    <x v="1"/>
    <n v="526.9"/>
    <s v="Deal"/>
    <m/>
    <s v="Original Amount [EUR 52.93], Merchant Amount [EUR 52.93], Customer Amount [NOK 526.9], Status [APPROVED], Operation [DIRECT], UUID [3632602-1458739741-124] [23/03/2016 at 13:29:00]"/>
  </r>
  <r>
    <s v="3632584-1458739723-200"/>
    <s v="Spot"/>
    <s v="3632584-1458739723-200"/>
    <n v="0"/>
    <d v="2016-03-31T00:00:00"/>
    <x v="1054"/>
    <s v="200"/>
    <s v="SELL"/>
    <n v="9.954582319545823"/>
    <x v="0"/>
    <x v="1"/>
    <n v="981.92"/>
    <s v="Deal"/>
    <m/>
    <s v="Original Amount [EUR 98.64], Merchant Amount [EUR 98.64], Customer Amount [NOK 981.92], Status [APPROVED], Operation [STORED], UUID [3632584-1458739723-200] [23/03/2016 at 13:28:00]"/>
  </r>
  <r>
    <s v="3632623-1458739750-56"/>
    <s v="Spot"/>
    <s v="3632623-1458739750-56"/>
    <n v="0"/>
    <d v="2016-03-31T00:00:00"/>
    <x v="1055"/>
    <s v="56"/>
    <s v="SELL"/>
    <n v="3.3975100044464206"/>
    <x v="0"/>
    <x v="0"/>
    <n v="76.41"/>
    <s v="Deal"/>
    <m/>
    <s v="Original Amount [EUR 22.49], Merchant Amount [EUR 22.49], Customer Amount [TRY 76.41], Status [APPROVED], Operation [3DAUTH], UUID [3632623-1458739750-56] [23/03/2016 at 13:29:00]"/>
  </r>
  <r>
    <s v="3632608-1458739747-216"/>
    <s v="Spot"/>
    <s v="3632608-1458739747-216"/>
    <n v="0"/>
    <d v="2016-03-31T00:00:00"/>
    <x v="1056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32608-1458739747-216] [23/03/2016 at 13:29:00]"/>
  </r>
  <r>
    <s v="3632554-1458739697-126"/>
    <s v="Spot"/>
    <s v="3632554-1458739697-126"/>
    <n v="0"/>
    <d v="2016-03-31T00:00:00"/>
    <x v="1057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54-1458739697-126] [23/03/2016 at 13:28:00]"/>
  </r>
  <r>
    <s v="3632581-1458739715-56"/>
    <s v="Spot"/>
    <s v="3632581-1458739715-56"/>
    <n v="0"/>
    <d v="2016-03-31T00:00:00"/>
    <x v="1058"/>
    <s v="56"/>
    <s v="SELL"/>
    <n v="3.3977353149327669"/>
    <x v="0"/>
    <x v="0"/>
    <n v="48.01"/>
    <s v="Deal"/>
    <m/>
    <s v="Original Amount [EUR 14.13], Merchant Amount [EUR 14.13], Customer Amount [TRY 48.01], Status [APPROVED], Operation [3DAUTH], UUID [3632581-1458739715-56] [23/03/2016 at 13:28:00]"/>
  </r>
  <r>
    <s v="3632539-1458739685-126"/>
    <s v="Spot"/>
    <s v="3632539-1458739685-126"/>
    <n v="0"/>
    <d v="2016-03-31T00:00:00"/>
    <x v="1059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39-1458739685-126] [23/03/2016 at 13:28:00]"/>
  </r>
  <r>
    <s v="3632569-1458739705-216"/>
    <s v="Spot"/>
    <s v="3632569-1458739705-216"/>
    <n v="0"/>
    <d v="2016-03-31T00:00:00"/>
    <x v="1060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9-1458739705-216] [23/03/2016 at 13:28:00]"/>
  </r>
  <r>
    <s v="3632566-1458739704-216"/>
    <s v="Spot"/>
    <s v="3632566-1458739704-216"/>
    <n v="0"/>
    <d v="2016-03-31T00:00:00"/>
    <x v="1061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6-1458739704-216] [23/03/2016 at 13:28:00]"/>
  </r>
  <r>
    <s v="3632509-1458739649-119"/>
    <s v="Spot"/>
    <s v="3632509-1458739649-119"/>
    <n v="0"/>
    <d v="2016-03-31T00:00:00"/>
    <x v="1062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2509-1458739649-119] [23/03/2016 at 13:27:00]"/>
  </r>
  <r>
    <s v="3632578-1458739708-56"/>
    <s v="Spot"/>
    <s v="3632578-1458739708-56"/>
    <n v="0"/>
    <d v="2016-03-31T00:00:00"/>
    <x v="1063"/>
    <s v="56"/>
    <s v="SELL"/>
    <n v="3.397230434106115"/>
    <x v="0"/>
    <x v="0"/>
    <n v="218.34"/>
    <s v="Deal"/>
    <m/>
    <s v="Original Amount [EUR 64.27], Merchant Amount [EUR 64.27], Customer Amount [TRY 218.34], Status [APPROVED], Operation [3DAUTH], UUID [3632578-1458739708-56] [23/03/2016 at 13:28:00]"/>
  </r>
  <r>
    <s v="3632506-1458739649-264"/>
    <s v="Spot"/>
    <s v="3632506-1458739649-264"/>
    <n v="0"/>
    <d v="2016-03-31T00:00:00"/>
    <x v="1064"/>
    <s v="264"/>
    <s v="SELL"/>
    <n v="1.180064308681672"/>
    <x v="0"/>
    <x v="7"/>
    <n v="3.67"/>
    <s v="Deal"/>
    <m/>
    <s v="Original Amount [TRY 10], Merchant Amount [EUR 3.11], Customer Amount [USD 3.67], Status [APPROVED], Operation [3DAUTH], UUID [3632506-1458739649-264] [23/03/2016 at 13:27:00]"/>
  </r>
  <r>
    <s v="3632476-1458739635-126"/>
    <s v="Spot"/>
    <s v="3632476-1458739635-126"/>
    <n v="0"/>
    <d v="2016-03-31T00:00:00"/>
    <x v="106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32476-1458739635-126] [23/03/2016 at 13:27:00]"/>
  </r>
  <r>
    <s v="3632473-1458739633-56"/>
    <s v="Spot"/>
    <s v="3632473-1458739633-56"/>
    <n v="0"/>
    <d v="2016-03-31T00:00:00"/>
    <x v="1066"/>
    <s v="56"/>
    <s v="SELL"/>
    <n v="3.3954212047121577"/>
    <x v="0"/>
    <x v="0"/>
    <n v="152.76"/>
    <s v="Deal"/>
    <m/>
    <s v="Original Amount [EUR 44.99], Merchant Amount [EUR 44.99], Customer Amount [TRY 152.76], Status [APPROVED], Operation [3DAUTH], UUID [3632473-1458739633-56] [23/03/2016 at 13:27:00]"/>
  </r>
  <r>
    <s v="3632452-1458739600-196"/>
    <s v="Spot"/>
    <s v="3632452-1458739600-196"/>
    <n v="0"/>
    <d v="2016-03-31T00:00:00"/>
    <x v="1067"/>
    <s v="196"/>
    <s v="SELL"/>
    <n v="9.9665103817816494"/>
    <x v="0"/>
    <x v="1"/>
    <n v="297.60000000000002"/>
    <s v="Deal"/>
    <m/>
    <s v="Original Amount [EUR 29.86], Merchant Amount [EUR 29.86], Customer Amount [NOK 297.6], Status [WAITING], Operation [3D], UUID [3632452-1458739600-196] [23/03/2016 at 13:26:00]"/>
  </r>
  <r>
    <s v="3632443-1458739597-224"/>
    <s v="Spot"/>
    <s v="3632443-1458739597-224"/>
    <n v="0"/>
    <d v="2016-03-31T00:00:00"/>
    <x v="1068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32443-1458739597-224] [23/03/2016 at 13:26:00]"/>
  </r>
  <r>
    <s v="3632428-1458739578-261"/>
    <s v="Spot"/>
    <s v="3632428-1458739578-261"/>
    <n v="0"/>
    <d v="2016-03-31T00:00:00"/>
    <x v="1069"/>
    <s v="261"/>
    <s v="SELL"/>
    <n v="9.966273833477052"/>
    <x v="0"/>
    <x v="1"/>
    <n v="3120.54"/>
    <s v="Deal"/>
    <m/>
    <s v="Original Amount [EUR 313.11], Merchant Amount [EUR 313.11], Customer Amount [NOK 3120.54], Status [APPROVED], Operation [DIRECT], UUID [3632428-1458739578-261] [23/03/2016 at 13:26:00]"/>
  </r>
  <r>
    <s v="3632416-1458739563-200"/>
    <s v="Spot"/>
    <s v="3632416-1458739563-200"/>
    <n v="0"/>
    <d v="2016-03-31T00:00:00"/>
    <x v="1070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2416-1458739563-200] [23/03/2016 at 13:26:00]"/>
  </r>
  <r>
    <s v="3632398-1458739550-125"/>
    <s v="Spot"/>
    <s v="3632398-1458739550-125"/>
    <n v="0"/>
    <d v="2016-03-31T00:00:00"/>
    <x v="1071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2398-1458739550-125] [23/03/2016 at 13:25:00]"/>
  </r>
  <r>
    <s v="3632386-1458739531-171"/>
    <s v="Spot"/>
    <s v="3632386-1458739531-171"/>
    <n v="0"/>
    <d v="2016-03-31T00:00:00"/>
    <x v="1072"/>
    <s v="171"/>
    <s v="SELL"/>
    <n v="1.5442976015663241"/>
    <x v="0"/>
    <x v="2"/>
    <n v="31.55"/>
    <s v="Deal"/>
    <m/>
    <s v="Original Amount [EUR 20.43], Merchant Amount [EUR 20.43], Customer Amount [CAD 31.55], Status [APPROVED], Operation [DIRECT], UUID [3632386-1458739531-171] [23/03/2016 at 13:25:00]"/>
  </r>
  <r>
    <s v="3632410-1458739556-216"/>
    <s v="Spot"/>
    <s v="3632410-1458739556-216"/>
    <n v="0"/>
    <d v="2016-03-31T00:00:00"/>
    <x v="1073"/>
    <s v="216"/>
    <s v="SELL"/>
    <n v="3.3958630527817406"/>
    <x v="0"/>
    <x v="0"/>
    <n v="47.61"/>
    <s v="Deal"/>
    <m/>
    <s v="Original Amount [EUR 14.02], Merchant Amount [EUR 14.02], Customer Amount [TRY 47.61], Status [APPROVED], Operation [3DAUTH], UUID [3632410-1458739556-216] [23/03/2016 at 13:25:00]"/>
  </r>
  <r>
    <s v="3632359-1458739494-224"/>
    <s v="Spot"/>
    <s v="3632359-1458739494-224"/>
    <n v="0"/>
    <d v="2016-03-31T00:00:00"/>
    <x v="1074"/>
    <s v="224"/>
    <s v="SELL"/>
    <n v="132.83244182936613"/>
    <x v="0"/>
    <x v="3"/>
    <n v="9933.2099999999991"/>
    <s v="Deal"/>
    <m/>
    <s v="Original Amount [EUR 74.78], Merchant Amount [EUR 74.78], Customer Amount [JPY 9933.21], Status [APPROVED], Operation [DIRECT], UUID [3632359-1458739494-224] [23/03/2016 at 13:24:00]"/>
  </r>
  <r>
    <s v="3632365-1458739510-264"/>
    <s v="Spot"/>
    <s v="3632365-1458739510-264"/>
    <n v="0"/>
    <d v="2016-03-31T00:00:00"/>
    <x v="1075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2365-1458739510-264] [23/03/2016 at 13:25:00]"/>
  </r>
  <r>
    <s v="3632353-1458739488-241"/>
    <s v="Spot"/>
    <s v="3632353-1458739488-241"/>
    <n v="0"/>
    <d v="2016-03-31T00:00:00"/>
    <x v="107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32353-1458739488-241] [23/03/2016 at 13:24:00]"/>
  </r>
  <r>
    <s v="3632377-1458739529-216"/>
    <s v="Spot"/>
    <s v="3632377-1458739529-216"/>
    <n v="0"/>
    <d v="2016-03-31T00:00:00"/>
    <x v="1077"/>
    <s v="216"/>
    <s v="SELL"/>
    <n v="3.3955603102433805"/>
    <x v="0"/>
    <x v="0"/>
    <n v="126.96"/>
    <s v="Deal"/>
    <m/>
    <s v="Original Amount [EUR 37.39], Merchant Amount [EUR 37.39], Customer Amount [TRY 126.96], Status [APPROVED], Operation [3DAUTH], UUID [3632377-1458739529-216] [23/03/2016 at 13:25:00]"/>
  </r>
  <r>
    <s v="3632329-1458739468-145"/>
    <s v="Spot"/>
    <s v="3632329-1458739468-145"/>
    <n v="0"/>
    <d v="2016-03-31T00:00:00"/>
    <x v="1078"/>
    <s v="145"/>
    <s v="SELL"/>
    <n v="1.5441908106526192"/>
    <x v="0"/>
    <x v="2"/>
    <n v="105.53"/>
    <s v="Deal"/>
    <m/>
    <s v="Original Amount [EUR 68.34], Merchant Amount [EUR 68.34], Customer Amount [CAD 105.53], Status [WAITING], Operation [3D], UUID [3632329-1458739468-145] [23/03/2016 at 13:24:00]"/>
  </r>
  <r>
    <s v="3632323-1458739465-264"/>
    <s v="Spot"/>
    <s v="3632323-1458739465-264"/>
    <n v="0"/>
    <d v="2016-03-31T00:00:00"/>
    <x v="107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32323-1458739465-264] [23/03/2016 at 13:24:00]"/>
  </r>
  <r>
    <s v="3632308-1458739452-224"/>
    <s v="Spot"/>
    <s v="3632308-1458739452-224"/>
    <n v="0"/>
    <d v="2016-03-31T00:00:00"/>
    <x v="1080"/>
    <s v="224"/>
    <s v="SELL"/>
    <n v="9.9663648124191457"/>
    <x v="0"/>
    <x v="1"/>
    <n v="539.28"/>
    <s v="Deal"/>
    <m/>
    <s v="Original Amount [EUR 54.11], Merchant Amount [EUR 54.11], Customer Amount [NOK 539.28], Status [APPROVED], Operation [DIRECT], UUID [3632308-1458739452-224] [23/03/2016 at 13:24:00]"/>
  </r>
  <r>
    <s v="3632305-1458739447-216"/>
    <s v="Spot"/>
    <s v="3632305-1458739447-216"/>
    <n v="0"/>
    <d v="2016-03-31T00:00:00"/>
    <x v="1081"/>
    <s v="216"/>
    <s v="SELL"/>
    <n v="3.3955603102433805"/>
    <x v="0"/>
    <x v="0"/>
    <n v="126.96"/>
    <s v="Deal"/>
    <m/>
    <s v="Original Amount [EUR 37.39], Merchant Amount [EUR 37.39], Customer Amount [TRY 126.96], Status [WAITING], Operation [3D], UUID [3632305-1458739447-216] [23/03/2016 at 13:24:00]"/>
  </r>
  <r>
    <s v="3632332-1458739470-56"/>
    <s v="Spot"/>
    <s v="3632332-1458739470-56"/>
    <n v="0"/>
    <d v="2016-03-31T00:00:00"/>
    <x v="1082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2332-1458739470-56] [23/03/2016 at 13:24:00]"/>
  </r>
  <r>
    <s v="3632296-1458739427-126"/>
    <s v="Spot"/>
    <s v="3632296-1458739427-126"/>
    <n v="0"/>
    <d v="2016-03-31T00:00:00"/>
    <x v="1083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2296-1458739427-126] [23/03/2016 at 13:23:00]"/>
  </r>
  <r>
    <s v="3632335-1458739476-124"/>
    <s v="Spot"/>
    <s v="3632335-1458739476-124"/>
    <n v="0"/>
    <d v="2016-03-31T00:00:00"/>
    <x v="1084"/>
    <s v="124"/>
    <s v="SELL"/>
    <n v="9.9663414634146328"/>
    <x v="0"/>
    <x v="1"/>
    <n v="1225.8599999999999"/>
    <s v="Deal"/>
    <m/>
    <s v="Original Amount [EUR 123], Merchant Amount [EUR 123], Customer Amount [NOK 1225.86], Status [APPROVED], Operation [3DAUTH], UUID [3632335-1458739476-124] [23/03/2016 at 13:24:00]"/>
  </r>
  <r>
    <s v="3632272-1458739413-126"/>
    <s v="Spot"/>
    <s v="3632272-1458739413-126"/>
    <n v="0"/>
    <d v="2016-03-31T00:00:00"/>
    <x v="1085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2272-1458739413-126] [23/03/2016 at 13:23:00]"/>
  </r>
  <r>
    <s v="3632266-1458739412-82"/>
    <s v="Spot"/>
    <s v="3632266-1458739412-82"/>
    <n v="0"/>
    <d v="2016-03-31T00:00:00"/>
    <x v="1086"/>
    <s v="82"/>
    <s v="SELL"/>
    <n v="0.83634175691937418"/>
    <x v="0"/>
    <x v="4"/>
    <n v="6.95"/>
    <s v="Deal"/>
    <m/>
    <s v="Original Amount [GBP 6.95], Merchant Amount [EUR 8.31], Customer Amount [GBP 6.95], Status [APPROVED], Operation [STORED], UUID [3632266-1458739412-82] [23/03/2016 at 13:23:00]"/>
  </r>
  <r>
    <s v="3632269-1458739412-56"/>
    <s v="Spot"/>
    <s v="3632269-1458739412-56"/>
    <n v="0"/>
    <d v="2016-03-31T00:00:00"/>
    <x v="1087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2269-1458739412-56] [23/03/2016 at 13:23:00]"/>
  </r>
  <r>
    <s v="3632287-1458739421-101"/>
    <s v="Spot"/>
    <s v="3632287-1458739421-101"/>
    <n v="0"/>
    <d v="2016-03-31T00:00:00"/>
    <x v="1088"/>
    <s v="101"/>
    <s v="SELL"/>
    <n v="3.3953307392996113"/>
    <x v="0"/>
    <x v="0"/>
    <n v="43.63"/>
    <s v="Deal"/>
    <m/>
    <s v="Original Amount [EUR 12.85], Merchant Amount [EUR 12.85], Customer Amount [TRY 43.63], Status [APPROVED], Operation [3DAUTH], UUID [3632287-1458739421-101] [23/03/2016 at 13:23:00]"/>
  </r>
  <r>
    <s v="3632248-1458739398-200"/>
    <s v="Spot"/>
    <s v="3632248-1458739398-200"/>
    <n v="0"/>
    <d v="2016-03-31T00:00:00"/>
    <x v="1089"/>
    <s v="200"/>
    <s v="SELL"/>
    <n v="9.9663712200208554"/>
    <x v="0"/>
    <x v="1"/>
    <n v="382.31"/>
    <s v="Deal"/>
    <m/>
    <s v="Original Amount [EUR 38.36], Merchant Amount [EUR 38.36], Customer Amount [NOK 382.31], Status [APPROVED], Operation [STORED], UUID [3632248-1458739398-200] [23/03/2016 at 13:23:00]"/>
  </r>
  <r>
    <s v="3632284-1458739418-179"/>
    <s v="Spot"/>
    <s v="3632284-1458739418-179"/>
    <n v="0"/>
    <d v="2016-03-31T00:00:00"/>
    <x v="1090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2284-1458739418-179] [23/03/2016 at 13:23:00]"/>
  </r>
  <r>
    <s v="3632230-1458739390-224"/>
    <s v="Spot"/>
    <s v="3632230-1458739390-224"/>
    <n v="0"/>
    <d v="2016-03-31T00:00:00"/>
    <x v="109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2230-1458739390-224] [23/03/2016 at 13:23:00]"/>
  </r>
  <r>
    <s v="3632224-1458739386-119"/>
    <s v="Spot"/>
    <s v="3632224-1458739386-119"/>
    <n v="0"/>
    <d v="2016-03-31T00:00:00"/>
    <x v="109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224-1458739386-119] [23/03/2016 at 13:23:00]"/>
  </r>
  <r>
    <s v="3632263-1458739405-124"/>
    <s v="Spot"/>
    <s v="3632263-1458739405-124"/>
    <n v="0"/>
    <d v="2016-03-31T00:00:00"/>
    <x v="1093"/>
    <s v="124"/>
    <s v="SELL"/>
    <n v="9.9662971175166302"/>
    <x v="0"/>
    <x v="1"/>
    <n v="1123.7"/>
    <s v="Deal"/>
    <m/>
    <s v="Original Amount [EUR 112.75], Merchant Amount [EUR 112.75], Customer Amount [NOK 1123.7], Status [APPROVED], Operation [3DAUTH], UUID [3632263-1458739405-124] [23/03/2016 at 13:23:00]"/>
  </r>
  <r>
    <s v="3632209-1458739376-264"/>
    <s v="Spot"/>
    <s v="3632209-1458739376-264"/>
    <n v="0"/>
    <d v="2016-03-31T00:00:00"/>
    <x v="1094"/>
    <s v="264"/>
    <s v="SELL"/>
    <n v="1.178770351328192"/>
    <x v="0"/>
    <x v="7"/>
    <n v="110.05"/>
    <s v="Deal"/>
    <m/>
    <s v="Original Amount [TRY 300], Merchant Amount [EUR 93.36], Customer Amount [USD 110.05], Status [APPROVED], Operation [3DAUTH], UUID [3632209-1458739376-264] [23/03/2016 at 13:22:00]"/>
  </r>
  <r>
    <s v="3632200-1458739368-82"/>
    <s v="Spot"/>
    <s v="3632200-1458739368-82"/>
    <n v="0"/>
    <d v="2016-03-31T00:00:00"/>
    <x v="10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200-1458739368-82] [23/03/2016 at 13:22:00]"/>
  </r>
  <r>
    <s v="3632257-1458739401-216"/>
    <s v="Spot"/>
    <s v="3632257-1458739401-216"/>
    <n v="0"/>
    <d v="2016-03-31T00:00:00"/>
    <x v="1096"/>
    <s v="216"/>
    <s v="SELL"/>
    <n v="1.9052753176742394"/>
    <x v="0"/>
    <x v="13"/>
    <n v="49.48"/>
    <s v="Deal"/>
    <m/>
    <s v="Original Amount [EUR 25.97], Merchant Amount [EUR 25.97], Customer Amount [AZN 49.48], Status [APPROVED], Operation [3DAUTH], UUID [3632257-1458739401-216] [23/03/2016 at 13:23:00]"/>
  </r>
  <r>
    <s v="3632203-1458739371-172"/>
    <s v="Spot"/>
    <s v="3632203-1458739371-172"/>
    <n v="0"/>
    <d v="2016-03-31T00:00:00"/>
    <x v="1097"/>
    <s v="172"/>
    <s v="SELL"/>
    <n v="9.9668304668304657"/>
    <x v="0"/>
    <x v="1"/>
    <n v="162.26"/>
    <s v="Deal"/>
    <m/>
    <s v="Original Amount [EUR 16.28], Merchant Amount [EUR 16.28], Customer Amount [NOK 162.26], Status [APPROVED], Operation [3DAUTH], UUID [3632203-1458739371-172] [23/03/2016 at 13:22:00]"/>
  </r>
  <r>
    <s v="3632173-1458739343-261"/>
    <s v="Spot"/>
    <s v="3632173-1458739343-261"/>
    <n v="0"/>
    <d v="2016-03-31T00:00:00"/>
    <x v="1098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173-1458739343-261] [23/03/2016 at 13:22:00]"/>
  </r>
  <r>
    <s v="3632170-1458739340-145"/>
    <s v="Spot"/>
    <s v="3632170-1458739340-145"/>
    <n v="0"/>
    <d v="2016-03-31T00:00:00"/>
    <x v="1099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170-1458739340-145] [23/03/2016 at 13:22:00]"/>
  </r>
  <r>
    <s v="3632161-1458739337-261"/>
    <s v="Spot"/>
    <s v="3632161-1458739337-261"/>
    <n v="0"/>
    <d v="2016-03-31T00:00:00"/>
    <x v="1100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2161-1458739337-261] [23/03/2016 at 13:22:00]"/>
  </r>
  <r>
    <s v="3632188-1458739357-101"/>
    <s v="Spot"/>
    <s v="3632188-1458739357-101"/>
    <n v="0"/>
    <d v="2016-03-31T00:00:00"/>
    <x v="1101"/>
    <s v="101"/>
    <s v="SELL"/>
    <n v="3.395369102452384"/>
    <x v="0"/>
    <x v="0"/>
    <n v="272.75"/>
    <s v="Deal"/>
    <m/>
    <s v="Original Amount [EUR 80.33], Merchant Amount [EUR 80.33], Customer Amount [TRY 272.75], Status [APPROVED], Operation [3DAUTH], UUID [3632188-1458739357-101] [23/03/2016 at 13:22:00]"/>
  </r>
  <r>
    <s v="3632137-1458739326-119"/>
    <s v="Spot"/>
    <s v="3632137-1458739326-119"/>
    <n v="0"/>
    <d v="2016-03-31T00:00:00"/>
    <x v="110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137-1458739326-119] [23/03/2016 at 13:22:00]"/>
  </r>
  <r>
    <s v="3632134-1458739325-134"/>
    <s v="Spot"/>
    <s v="3632134-1458739325-134"/>
    <n v="0"/>
    <d v="2016-03-31T00:00:00"/>
    <x v="1103"/>
    <s v="134"/>
    <s v="SELL"/>
    <n v="132.83251121076233"/>
    <x v="0"/>
    <x v="3"/>
    <n v="5924.33"/>
    <s v="Deal"/>
    <m/>
    <s v="Original Amount [EUR 44.6], Merchant Amount [EUR 44.6], Customer Amount [JPY 5924.33], Status [APPROVED], Operation [STORED], UUID [3632134-1458739325-134] [23/03/2016 at 13:22:00]"/>
  </r>
  <r>
    <s v="3632131-1458739320-199"/>
    <s v="Spot"/>
    <s v="3632131-1458739320-199"/>
    <n v="0"/>
    <d v="2016-03-31T00:00:00"/>
    <x v="110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131-1458739320-199] [23/03/2016 at 13:22:00]"/>
  </r>
  <r>
    <s v="3632122-1458739306-82"/>
    <s v="Spot"/>
    <s v="3632122-1458739306-82"/>
    <n v="0"/>
    <d v="2016-03-31T00:00:00"/>
    <x v="110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122-1458739306-82] [23/03/2016 at 13:21:00]"/>
  </r>
  <r>
    <s v="3632191-1458739358-203"/>
    <s v="Spot"/>
    <s v="3632191-1458739358-203"/>
    <n v="0"/>
    <d v="2016-03-31T00:00:00"/>
    <x v="1106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191-1458739358-203] [23/03/2016 at 13:22:00]"/>
  </r>
  <r>
    <s v="3632110-1458739296-119"/>
    <s v="Spot"/>
    <s v="3632110-1458739296-119"/>
    <n v="0"/>
    <d v="2016-03-31T00:00:00"/>
    <x v="1107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2110-1458739296-119] [23/03/2016 at 13:21:00]"/>
  </r>
  <r>
    <s v="3632074-1458739251-199"/>
    <s v="Spot"/>
    <s v="3632074-1458739251-199"/>
    <n v="0"/>
    <d v="2016-03-31T00:00:00"/>
    <x v="110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074-1458739251-199] [23/03/2016 at 13:20:00]"/>
  </r>
  <r>
    <s v="3632065-1458739244-125"/>
    <s v="Spot"/>
    <s v="3632065-1458739244-125"/>
    <n v="0"/>
    <d v="2016-03-31T00:00:00"/>
    <x v="1109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2065-1458739244-125] [23/03/2016 at 13:20:00]"/>
  </r>
  <r>
    <s v="3632056-1458739229-224"/>
    <s v="Spot"/>
    <s v="3632056-1458739229-224"/>
    <n v="0"/>
    <d v="2016-03-31T00:00:00"/>
    <x v="1110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2056-1458739229-224] [23/03/2016 at 13:20:00]"/>
  </r>
  <r>
    <s v="3632068-1458739248-216"/>
    <s v="Spot"/>
    <s v="3632068-1458739248-216"/>
    <n v="0"/>
    <d v="2016-03-31T00:00:00"/>
    <x v="1111"/>
    <s v="216"/>
    <s v="SELL"/>
    <n v="3.3953786906290113"/>
    <x v="0"/>
    <x v="0"/>
    <n v="52.9"/>
    <s v="Deal"/>
    <m/>
    <s v="Original Amount [EUR 15.58], Merchant Amount [EUR 15.58], Customer Amount [TRY 52.9], Status [APPROVED], Operation [3DAUTH], UUID [3632068-1458739248-216] [23/03/2016 at 13:20:00]"/>
  </r>
  <r>
    <s v="3632047-1458739220-145"/>
    <s v="Spot"/>
    <s v="3632047-1458739220-145"/>
    <n v="0"/>
    <d v="2016-03-31T00:00:00"/>
    <x v="1112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047-1458739220-145] [23/03/2016 at 13:20:00]"/>
  </r>
  <r>
    <s v="3632044-1458739220-224"/>
    <s v="Spot"/>
    <s v="3632044-1458739220-224"/>
    <n v="0"/>
    <d v="2016-03-31T00:00:00"/>
    <x v="1113"/>
    <s v="224"/>
    <s v="SELL"/>
    <n v="132.99401794616153"/>
    <x v="0"/>
    <x v="3"/>
    <n v="1333.93"/>
    <s v="Deal"/>
    <m/>
    <s v="Original Amount [EUR 10.03], Merchant Amount [EUR 10.03], Customer Amount [JPY 1333.93], Status [APPROVED], Operation [DIRECT], UUID [3632044-1458739220-224] [23/03/2016 at 13:20:00]"/>
  </r>
  <r>
    <s v="3632035-1458739216-261"/>
    <s v="Spot"/>
    <s v="3632035-1458739216-261"/>
    <n v="0"/>
    <d v="2016-03-31T00:00:00"/>
    <x v="1114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035-1458739216-261] [23/03/2016 at 13:20:00]"/>
  </r>
  <r>
    <s v="3632077-1458739252-203"/>
    <s v="Spot"/>
    <s v="3632077-1458739252-203"/>
    <n v="0"/>
    <d v="2016-03-31T00:00:00"/>
    <x v="1115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077-1458739252-203] [23/03/2016 at 13:20:00]"/>
  </r>
  <r>
    <s v="3632053-1458739224-101"/>
    <s v="Spot"/>
    <s v="3632053-1458739224-101"/>
    <n v="0"/>
    <d v="2016-03-31T00:00:00"/>
    <x v="1116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2053-1458739224-101] [23/03/2016 at 13:20:00]"/>
  </r>
  <r>
    <s v="3632032-1458739211-160"/>
    <s v="Spot"/>
    <s v="3632032-1458739211-160"/>
    <n v="0"/>
    <d v="2016-03-31T00:00:00"/>
    <x v="1117"/>
    <s v="160"/>
    <s v="SELL"/>
    <n v="3.3953638119768188"/>
    <x v="0"/>
    <x v="0"/>
    <n v="105.46"/>
    <s v="Deal"/>
    <m/>
    <s v="Original Amount [EUR 31.06], Merchant Amount [EUR 31.06], Customer Amount [TRY 105.46], Status [APPROVED], Operation [3DAUTH], UUID [3632032-1458739211-160] [23/03/2016 at 13:20:00]"/>
  </r>
  <r>
    <s v="3632008-1458739185-199"/>
    <s v="Spot"/>
    <s v="3632008-1458739185-199"/>
    <n v="0"/>
    <d v="2016-03-31T00:00:00"/>
    <x v="111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2008-1458739185-199] [23/03/2016 at 13:19:00]"/>
  </r>
  <r>
    <s v="3631987-1458739162-216"/>
    <s v="Spot"/>
    <s v="3631987-1458739162-216"/>
    <n v="0"/>
    <d v="2016-03-31T00:00:00"/>
    <x v="1119"/>
    <s v="216"/>
    <s v="SELL"/>
    <n v="3.3954457985888391"/>
    <x v="0"/>
    <x v="0"/>
    <n v="105.87"/>
    <s v="Deal"/>
    <m/>
    <s v="Original Amount [EUR 31.18], Merchant Amount [EUR 31.18], Customer Amount [TRY 105.87], Status [WAITING], Operation [3D], UUID [3631987-1458739162-216] [23/03/2016 at 13:19:00]"/>
  </r>
  <r>
    <s v="3632005-1458739184-56"/>
    <s v="Spot"/>
    <s v="3632005-1458739184-56"/>
    <n v="0"/>
    <d v="2016-03-31T00:00:00"/>
    <x v="1120"/>
    <s v="56"/>
    <s v="SELL"/>
    <n v="3.3956185567010309"/>
    <x v="0"/>
    <x v="0"/>
    <n v="79.05"/>
    <s v="Deal"/>
    <m/>
    <s v="Original Amount [EUR 23.28], Merchant Amount [EUR 23.28], Customer Amount [TRY 79.05], Status [APPROVED], Operation [3DAUTH], UUID [3632005-1458739184-56] [23/03/2016 at 13:19:00]"/>
  </r>
  <r>
    <s v="3631978-1458739154-199"/>
    <s v="Spot"/>
    <s v="3631978-1458739154-199"/>
    <n v="0"/>
    <d v="2016-03-31T00:00:00"/>
    <x v="1121"/>
    <s v="199"/>
    <s v="SELL"/>
    <n v="9.966400736422214"/>
    <x v="0"/>
    <x v="1"/>
    <n v="649.61"/>
    <s v="Deal"/>
    <m/>
    <s v="Original Amount [EUR 65.18], Merchant Amount [EUR 65.18], Customer Amount [NOK 649.61], Status [APPROVED], Operation [DIRECT], UUID [3631978-1458739154-199] [23/03/2016 at 13:19:00]"/>
  </r>
  <r>
    <s v="3631999-1458739181-107"/>
    <s v="Spot"/>
    <s v="3631999-1458739181-107"/>
    <n v="0"/>
    <d v="2016-03-31T00:00:00"/>
    <x v="1122"/>
    <s v="107"/>
    <s v="SELL"/>
    <n v="3.3954163976759197"/>
    <x v="0"/>
    <x v="0"/>
    <n v="210.38"/>
    <s v="Deal"/>
    <m/>
    <s v="Original Amount [EUR 61.96], Merchant Amount [EUR 61.96], Customer Amount [TRY 210.38], Status [APPROVED], Operation [3DAUTH], UUID [3631999-1458739181-107] [23/03/2016 at 13:19:00]"/>
  </r>
  <r>
    <s v="3632083-1458739255-154"/>
    <s v="Spot"/>
    <s v="3632083-1458739255-154"/>
    <n v="0"/>
    <d v="2016-03-31T00:00:00"/>
    <x v="1123"/>
    <s v="154"/>
    <s v="SELL"/>
    <n v="9.9664778092540143"/>
    <x v="0"/>
    <x v="1"/>
    <n v="211.09"/>
    <s v="Deal"/>
    <m/>
    <s v="Original Amount [EUR 21.18], Merchant Amount [EUR 21.18], Customer Amount [NOK 211.09], Status [APPROVED], Operation [3DAUTH], UUID [3632083-1458739255-154] [23/03/2016 at 13:20:00]"/>
  </r>
  <r>
    <s v="3631960-1458739138-101"/>
    <s v="Spot"/>
    <s v="3631960-1458739138-101"/>
    <n v="0"/>
    <d v="2016-03-31T00:00:00"/>
    <x v="1124"/>
    <s v="101"/>
    <s v="SELL"/>
    <n v="3.3953633110315855"/>
    <x v="0"/>
    <x v="0"/>
    <n v="218.22"/>
    <s v="Deal"/>
    <m/>
    <s v="Original Amount [EUR 64.27], Merchant Amount [EUR 64.27], Customer Amount [TRY 218.22], Status [WAITING], Operation [3D], UUID [3631960-1458739138-101] [23/03/2016 at 13:18:00]"/>
  </r>
  <r>
    <s v="3631957-1458739138-216"/>
    <s v="Spot"/>
    <s v="3631957-1458739138-216"/>
    <n v="0"/>
    <d v="2016-03-31T00:00:00"/>
    <x v="1125"/>
    <s v="216"/>
    <s v="SELL"/>
    <n v="3.3957665169980755"/>
    <x v="0"/>
    <x v="0"/>
    <n v="52.94"/>
    <s v="Deal"/>
    <m/>
    <s v="Original Amount [EUR 15.59], Merchant Amount [EUR 15.59], Customer Amount [TRY 52.94], Status [WAITING], Operation [3D], UUID [3631957-1458739138-216] [23/03/2016 at 13:18:00]"/>
  </r>
  <r>
    <s v="3631981-1458739157-216"/>
    <s v="Spot"/>
    <s v="3631981-1458739157-216"/>
    <n v="0"/>
    <d v="2016-03-31T00:00:00"/>
    <x v="1126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81-1458739157-216] [23/03/2016 at 13:19:00]"/>
  </r>
  <r>
    <s v="3631948-1458739132-107"/>
    <s v="Spot"/>
    <s v="3631948-1458739132-107"/>
    <n v="0"/>
    <d v="2016-03-31T00:00:00"/>
    <x v="1127"/>
    <s v="107"/>
    <s v="SELL"/>
    <n v="3.3954163976759197"/>
    <x v="0"/>
    <x v="0"/>
    <n v="210.38"/>
    <s v="Deal"/>
    <m/>
    <s v="Original Amount [EUR 61.96], Merchant Amount [EUR 61.96], Customer Amount [TRY 210.38], Status [WAITING], Operation [3D], UUID [3631948-1458739132-107] [23/03/2016 at 13:18:00]"/>
  </r>
  <r>
    <s v="3632002-1458739184-203"/>
    <s v="Spot"/>
    <s v="3632002-1458739184-203"/>
    <n v="0"/>
    <d v="2016-03-31T00:00:00"/>
    <x v="1128"/>
    <s v="203"/>
    <s v="SELL"/>
    <n v="3.3953716690042079"/>
    <x v="0"/>
    <x v="0"/>
    <n v="242.09"/>
    <s v="Deal"/>
    <m/>
    <s v="Original Amount [EUR 71.3], Merchant Amount [EUR 71.3], Customer Amount [TRY 242.09], Status [APPROVED], Operation [3DAUTH], UUID [3632002-1458739184-203] [23/03/2016 at 13:19:00]"/>
  </r>
  <r>
    <s v="3631942-1458739121-264"/>
    <s v="Spot"/>
    <s v="3631942-1458739121-264"/>
    <n v="0"/>
    <d v="2016-03-31T00:00:00"/>
    <x v="1129"/>
    <s v="264"/>
    <s v="SELL"/>
    <n v="1.1838709677419355"/>
    <x v="0"/>
    <x v="7"/>
    <n v="3.67"/>
    <s v="Deal"/>
    <m/>
    <s v="Original Amount [TRY 10], Merchant Amount [EUR 3.1], Customer Amount [USD 3.67], Status [APPROVED], Operation [3DAUTH], UUID [3631942-1458739121-264] [23/03/2016 at 13:18:00]"/>
  </r>
  <r>
    <s v="3631951-1458739135-203"/>
    <s v="Spot"/>
    <s v="3631951-1458739135-203"/>
    <n v="0"/>
    <d v="2016-03-31T00:00:00"/>
    <x v="1130"/>
    <s v="203"/>
    <s v="SELL"/>
    <n v="3.395354838709677"/>
    <x v="0"/>
    <x v="0"/>
    <n v="526.28"/>
    <s v="Deal"/>
    <m/>
    <s v="Original Amount [EUR 155], Merchant Amount [EUR 155], Customer Amount [TRY 526.28], Status [APPROVED], Operation [3DAUTH], UUID [3631951-1458739135-203] [23/03/2016 at 13:18:00]"/>
  </r>
  <r>
    <s v="3631918-1458739099-82"/>
    <s v="Spot"/>
    <s v="3631918-1458739099-82"/>
    <n v="0"/>
    <d v="2016-03-31T00:00:00"/>
    <x v="11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1918-1458739099-82] [23/03/2016 at 13:18:00]"/>
  </r>
  <r>
    <s v="3631915-1458739097-200"/>
    <s v="Spot"/>
    <s v="3631915-1458739097-200"/>
    <n v="0"/>
    <d v="2016-03-31T00:00:00"/>
    <x v="1132"/>
    <s v="200"/>
    <s v="SELL"/>
    <n v="9.9662761414650163"/>
    <x v="0"/>
    <x v="1"/>
    <n v="2730.66"/>
    <s v="Deal"/>
    <m/>
    <s v="Original Amount [EUR 273.99], Merchant Amount [EUR 273.99], Customer Amount [NOK 2730.66], Status [APPROVED], Operation [STORED], UUID [3631915-1458739097-200] [23/03/2016 at 13:18:00]"/>
  </r>
  <r>
    <s v="3631933-1458739120-216"/>
    <s v="Spot"/>
    <s v="3631933-1458739120-216"/>
    <n v="0"/>
    <d v="2016-03-31T00:00:00"/>
    <x v="1133"/>
    <s v="216"/>
    <s v="SELL"/>
    <n v="3.3954881917518502"/>
    <x v="0"/>
    <x v="0"/>
    <n v="96.33"/>
    <s v="Deal"/>
    <m/>
    <s v="Original Amount [EUR 28.37], Merchant Amount [EUR 28.37], Customer Amount [TRY 96.33], Status [APPROVED], Operation [3DAUTH], UUID [3631933-1458739120-216] [23/03/2016 at 13:18:00]"/>
  </r>
  <r>
    <s v="3631990-1458739163-216"/>
    <s v="Spot"/>
    <s v="3631990-1458739163-216"/>
    <n v="0"/>
    <d v="2016-03-31T00:00:00"/>
    <x v="1134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90-1458739163-216] [23/03/2016 at 13:19:00]"/>
  </r>
  <r>
    <s v="3631891-1458739084-224"/>
    <s v="Spot"/>
    <s v="3631891-1458739084-224"/>
    <n v="0"/>
    <d v="2016-03-31T00:00:00"/>
    <x v="1135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1891-1458739084-224] [23/03/2016 at 13:18:00]"/>
  </r>
  <r>
    <s v="3631936-1458739120-203"/>
    <s v="Spot"/>
    <s v="3631936-1458739120-203"/>
    <n v="0"/>
    <d v="2016-03-31T00:00:00"/>
    <x v="1136"/>
    <s v="203"/>
    <s v="SELL"/>
    <n v="3.395483870967742"/>
    <x v="0"/>
    <x v="0"/>
    <n v="52.63"/>
    <s v="Deal"/>
    <m/>
    <s v="Original Amount [EUR 15.5], Merchant Amount [EUR 15.5], Customer Amount [TRY 52.63], Status [APPROVED], Operation [3DAUTH], UUID [3631936-1458739120-203] [23/03/2016 at 13:18:00]"/>
  </r>
  <r>
    <s v="3631858-1458739060-199"/>
    <s v="Spot"/>
    <s v="3631858-1458739060-199"/>
    <n v="0"/>
    <d v="2016-03-31T00:00:00"/>
    <x v="1137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1858-1458739060-199] [23/03/2016 at 13:17:00]"/>
  </r>
  <r>
    <s v="3631855-1458739048-145"/>
    <s v="Spot"/>
    <s v="3631855-1458739048-145"/>
    <n v="0"/>
    <d v="2016-03-31T00:00:00"/>
    <x v="1138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1855-1458739048-145] [23/03/2016 at 13:17:00]"/>
  </r>
  <r>
    <s v="3631849-1458739045-200"/>
    <s v="Spot"/>
    <s v="3631849-1458739045-200"/>
    <n v="0"/>
    <d v="2016-03-31T00:00:00"/>
    <x v="1139"/>
    <s v="200"/>
    <s v="SELL"/>
    <n v="9.9753634649309575"/>
    <x v="0"/>
    <x v="1"/>
    <n v="1639.85"/>
    <s v="Deal"/>
    <m/>
    <s v="Original Amount [EUR 164.39], Merchant Amount [EUR 164.39], Customer Amount [NOK 1639.85], Status [APPROVED], Operation [STORED], UUID [3631849-1458739045-200] [23/03/2016 at 13:17:00]"/>
  </r>
  <r>
    <s v="3631840-1458739036-261"/>
    <s v="Spot"/>
    <s v="3631840-1458739036-261"/>
    <n v="0"/>
    <d v="2016-03-31T00:00:00"/>
    <x v="1140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1840-1458739036-261] [23/03/2016 at 13:17:00]"/>
  </r>
  <r>
    <s v="3631807-1458739003-119"/>
    <s v="Spot"/>
    <s v="3631807-1458739003-119"/>
    <n v="0"/>
    <d v="2016-03-31T00:00:00"/>
    <x v="1141"/>
    <s v="119"/>
    <s v="SELL"/>
    <n v="9.9756"/>
    <x v="0"/>
    <x v="1"/>
    <n v="249.39"/>
    <s v="Deal"/>
    <m/>
    <s v="Original Amount [EUR 25], Merchant Amount [EUR 25], Customer Amount [NOK 249.39], Status [APPROVED], Operation [DIRECT], UUID [3631807-1458739003-119] [23/03/2016 at 13:16:00]"/>
  </r>
  <r>
    <s v="3631798-1458738994-145"/>
    <s v="Spot"/>
    <s v="3631798-1458738994-145"/>
    <n v="0"/>
    <d v="2016-03-31T00:00:00"/>
    <x v="1142"/>
    <s v="145"/>
    <s v="SELL"/>
    <n v="9.975471698113207"/>
    <x v="0"/>
    <x v="1"/>
    <n v="105.74"/>
    <s v="Deal"/>
    <m/>
    <s v="Original Amount [EUR 10.6], Merchant Amount [EUR 10.6], Customer Amount [NOK 105.74], Status [APPROVED], Operation [DIRECT], UUID [3631798-1458738994-145] [23/03/2016 at 13:16:00]"/>
  </r>
  <r>
    <s v="3631828-1458739022-56"/>
    <s v="Spot"/>
    <s v="3631828-1458739022-56"/>
    <n v="0"/>
    <d v="2016-03-31T00:00:00"/>
    <x v="1143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1828-1458739022-56] [23/03/2016 at 13:17:00]"/>
  </r>
  <r>
    <s v="3631777-1458738976-125"/>
    <s v="Spot"/>
    <s v="3631777-1458738976-125"/>
    <n v="0"/>
    <d v="2016-03-31T00:00:00"/>
    <x v="1144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1777-1458738976-125] [23/03/2016 at 13:16:00]"/>
  </r>
  <r>
    <s v="3631801-1458738995-56"/>
    <s v="Spot"/>
    <s v="3631801-1458738995-56"/>
    <n v="0"/>
    <d v="2016-03-31T00:00:00"/>
    <x v="1145"/>
    <s v="56"/>
    <s v="SELL"/>
    <n v="3.3920515574650909"/>
    <x v="0"/>
    <x v="0"/>
    <n v="31.58"/>
    <s v="Deal"/>
    <m/>
    <s v="Original Amount [EUR 9.31], Merchant Amount [EUR 9.31], Customer Amount [TRY 31.58], Status [APPROVED], Operation [3DAUTH], UUID [3631801-1458738995-56] [23/03/2016 at 13:16:00]"/>
  </r>
  <r>
    <s v="3631834-1458739027-101"/>
    <s v="Spot"/>
    <s v="3631834-1458739027-101"/>
    <n v="0"/>
    <d v="2016-03-31T00:00:00"/>
    <x v="1146"/>
    <s v="101"/>
    <s v="SELL"/>
    <n v="3.3919717871590085"/>
    <x v="0"/>
    <x v="0"/>
    <n v="327.02"/>
    <s v="Deal"/>
    <m/>
    <s v="Original Amount [EUR 96.41], Merchant Amount [EUR 96.41], Customer Amount [TRY 327.02], Status [APPROVED], Operation [3DAUTH], UUID [3631834-1458739027-101] [23/03/2016 at 13:17:00]"/>
  </r>
  <r>
    <s v="3631789-1458738983-216"/>
    <s v="Spot"/>
    <s v="3631789-1458738983-216"/>
    <n v="0"/>
    <d v="2016-03-31T00:00:00"/>
    <x v="1147"/>
    <s v="216"/>
    <s v="SELL"/>
    <n v="3.3922386144964718"/>
    <x v="0"/>
    <x v="0"/>
    <n v="105.77"/>
    <s v="Deal"/>
    <m/>
    <s v="Original Amount [EUR 31.18], Merchant Amount [EUR 31.18], Customer Amount [TRY 105.77], Status [APPROVED], Operation [3DAUTH], UUID [3631789-1458738983-216] [23/03/2016 at 13:16:00]"/>
  </r>
  <r>
    <s v="3631750-1458738952-224"/>
    <s v="Spot"/>
    <s v="3631750-1458738952-224"/>
    <n v="0"/>
    <d v="2016-03-31T00:00:00"/>
    <x v="1148"/>
    <s v="224"/>
    <s v="SELL"/>
    <n v="132.99334116725421"/>
    <x v="0"/>
    <x v="3"/>
    <n v="3395.32"/>
    <s v="Deal"/>
    <m/>
    <s v="Original Amount [EUR 25.53], Merchant Amount [EUR 25.53], Customer Amount [JPY 3395.32], Status [APPROVED], Operation [DIRECT], UUID [3631750-1458738952-224] [23/03/2016 at 13:15:00]"/>
  </r>
  <r>
    <s v="3631747-1458738941-224"/>
    <s v="Spot"/>
    <s v="3631747-1458738941-224"/>
    <n v="0"/>
    <d v="2016-03-31T00:00:00"/>
    <x v="1149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1747-1458738941-224] [23/03/2016 at 13:15:00]"/>
  </r>
  <r>
    <s v="3631768-1458738964-216"/>
    <s v="Spot"/>
    <s v="3631768-1458738964-216"/>
    <n v="0"/>
    <d v="2016-03-31T00:00:00"/>
    <x v="1150"/>
    <s v="216"/>
    <s v="SELL"/>
    <n v="3.3925593329057087"/>
    <x v="0"/>
    <x v="0"/>
    <n v="52.89"/>
    <s v="Deal"/>
    <m/>
    <s v="Original Amount [EUR 15.59], Merchant Amount [EUR 15.59], Customer Amount [TRY 52.89], Status [APPROVED], Operation [3DAUTH], UUID [3631768-1458738964-216] [23/03/2016 at 13:16:00]"/>
  </r>
  <r>
    <s v="3631762-1458738962-56"/>
    <s v="Spot"/>
    <s v="3631762-1458738962-56"/>
    <n v="0"/>
    <d v="2016-03-31T00:00:00"/>
    <x v="1151"/>
    <s v="56"/>
    <s v="SELL"/>
    <n v="3.3923487544483986"/>
    <x v="0"/>
    <x v="0"/>
    <n v="38.130000000000003"/>
    <s v="Deal"/>
    <m/>
    <s v="Original Amount [EUR 11.24], Merchant Amount [EUR 11.24], Customer Amount [TRY 38.13], Status [APPROVED], Operation [3DAUTH], UUID [3631762-1458738962-56] [23/03/2016 at 13:16:00]"/>
  </r>
  <r>
    <s v="3631738-1458738934-199"/>
    <s v="Spot"/>
    <s v="3631738-1458738934-199"/>
    <n v="0"/>
    <d v="2016-03-31T00:00:00"/>
    <x v="115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738-1458738934-199] [23/03/2016 at 13:15:00]"/>
  </r>
  <r>
    <s v="3631735-1458738929-199"/>
    <s v="Spot"/>
    <s v="3631735-1458738929-199"/>
    <n v="0"/>
    <d v="2016-03-31T00:00:00"/>
    <x v="115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1735-1458738929-199] [23/03/2016 at 13:15:00]"/>
  </r>
  <r>
    <s v="3631702-1458738900-119"/>
    <s v="Spot"/>
    <s v="3631702-1458738900-119"/>
    <n v="0"/>
    <d v="2016-03-31T00:00:00"/>
    <x v="115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1702-1458738900-119] [23/03/2016 at 13:15:00]"/>
  </r>
  <r>
    <s v="3631732-1458738927-196"/>
    <s v="Spot"/>
    <s v="3631732-1458738927-196"/>
    <n v="0"/>
    <d v="2016-03-31T00:00:00"/>
    <x v="1155"/>
    <s v="196"/>
    <s v="SELL"/>
    <n v="9.9548192771084327"/>
    <x v="0"/>
    <x v="1"/>
    <n v="99.15"/>
    <s v="Deal"/>
    <m/>
    <s v="Original Amount [EUR 9.96], Merchant Amount [EUR 9.96], Customer Amount [NOK 99.15], Status [APPROVED], Operation [3DAUTH], UUID [3631732-1458738927-196] [23/03/2016 at 13:15:00]"/>
  </r>
  <r>
    <s v="3631684-1458738895-200"/>
    <s v="Spot"/>
    <s v="3631684-1458738895-200"/>
    <n v="0"/>
    <d v="2016-03-31T00:00:00"/>
    <x v="1156"/>
    <s v="200"/>
    <s v="SELL"/>
    <n v="9.9545893719806759"/>
    <x v="0"/>
    <x v="1"/>
    <n v="927.27"/>
    <s v="Deal"/>
    <m/>
    <s v="Original Amount [EUR 93.15], Merchant Amount [EUR 93.15], Customer Amount [NOK 927.27], Status [APPROVED], Operation [STORED], UUID [3631684-1458738895-200] [23/03/2016 at 13:14:00]"/>
  </r>
  <r>
    <s v="3631729-1458738924-216"/>
    <s v="Spot"/>
    <s v="3631729-1458738924-216"/>
    <n v="0"/>
    <d v="2016-03-31T00:00:00"/>
    <x v="11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729-1458738924-216] [23/03/2016 at 13:15:00]"/>
  </r>
  <r>
    <s v="3631663-1458738879-216"/>
    <s v="Spot"/>
    <s v="3631663-1458738879-216"/>
    <n v="0"/>
    <d v="2016-03-31T00:00:00"/>
    <x v="1158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663-1458738879-216] [23/03/2016 at 13:14:00]"/>
  </r>
  <r>
    <s v="3631714-1458738911-216"/>
    <s v="Spot"/>
    <s v="3631714-1458738911-216"/>
    <n v="0"/>
    <d v="2016-03-31T00:00:00"/>
    <x v="1159"/>
    <s v="216"/>
    <s v="SELL"/>
    <n v="3.3973627940128299"/>
    <x v="0"/>
    <x v="0"/>
    <n v="95.33"/>
    <s v="Deal"/>
    <m/>
    <s v="Original Amount [EUR 28.06], Merchant Amount [EUR 28.06], Customer Amount [TRY 95.33], Status [APPROVED], Operation [3DAUTH], UUID [3631714-1458738911-216] [23/03/2016 at 13:15:00]"/>
  </r>
  <r>
    <s v="3631648-1458738868-145"/>
    <s v="Spot"/>
    <s v="3631648-1458738868-145"/>
    <n v="0"/>
    <d v="2016-03-31T00:00:00"/>
    <x v="1160"/>
    <s v="145"/>
    <s v="SELL"/>
    <n v="1.544107785161251"/>
    <x v="0"/>
    <x v="2"/>
    <n v="253.28"/>
    <s v="Deal"/>
    <m/>
    <s v="Original Amount [EUR 164.03], Merchant Amount [EUR 164.03], Customer Amount [CAD 253.28], Status [WAITING], Operation [3D], UUID [3631648-1458738868-145] [23/03/2016 at 13:14:00]"/>
  </r>
  <r>
    <s v="3631717-1458738911-216"/>
    <s v="Spot"/>
    <s v="3631717-1458738911-216"/>
    <n v="0"/>
    <d v="2016-03-31T00:00:00"/>
    <x v="1161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717-1458738911-216] [23/03/2016 at 13:15:00]"/>
  </r>
  <r>
    <s v="3631681-1458738895-216"/>
    <s v="Spot"/>
    <s v="3631681-1458738895-216"/>
    <n v="0"/>
    <d v="2016-03-31T00:00:00"/>
    <x v="1162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681-1458738895-216] [23/03/2016 at 13:14:00]"/>
  </r>
  <r>
    <s v="3631630-1458738857-224"/>
    <s v="Spot"/>
    <s v="3631630-1458738857-224"/>
    <n v="0"/>
    <d v="2016-03-31T00:00:00"/>
    <x v="1163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1630-1458738857-224] [23/03/2016 at 13:14:00]"/>
  </r>
  <r>
    <s v="3631627-1458738856-82"/>
    <s v="Spot"/>
    <s v="3631627-1458738856-82"/>
    <n v="0"/>
    <d v="2016-03-31T00:00:00"/>
    <x v="116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1627-1458738856-82] [23/03/2016 at 13:14:00]"/>
  </r>
  <r>
    <s v="3631615-1458738844-119"/>
    <s v="Spot"/>
    <s v="3631615-1458738844-119"/>
    <n v="0"/>
    <d v="2016-03-31T00:00:00"/>
    <x v="1165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1615-1458738844-119] [23/03/2016 at 13:14:00]"/>
  </r>
  <r>
    <s v="3631639-1458738865-216"/>
    <s v="Spot"/>
    <s v="3631639-1458738865-216"/>
    <n v="0"/>
    <d v="2016-03-31T00:00:00"/>
    <x v="1166"/>
    <s v="216"/>
    <s v="SELL"/>
    <n v="3.3973059653624116"/>
    <x v="0"/>
    <x v="0"/>
    <n v="264.82"/>
    <s v="Deal"/>
    <m/>
    <s v="Original Amount [EUR 77.95], Merchant Amount [EUR 77.95], Customer Amount [TRY 264.82], Status [APPROVED], Operation [3DAUTH], UUID [3631639-1458738865-216] [23/03/2016 at 13:14:00]"/>
  </r>
  <r>
    <s v="3631612-1458738842-216"/>
    <s v="Spot"/>
    <s v="3631612-1458738842-216"/>
    <n v="0"/>
    <d v="2016-03-31T00:00:00"/>
    <x v="1167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612-1458738842-216] [23/03/2016 at 13:14:00]"/>
  </r>
  <r>
    <s v="3631594-1458738807-241"/>
    <s v="Spot"/>
    <s v="3631594-1458738807-241"/>
    <n v="0"/>
    <d v="2016-03-31T00:00:00"/>
    <x v="1168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31594-1458738807-241] [23/03/2016 at 13:13:00]"/>
  </r>
  <r>
    <s v="3631591-1458738807-199"/>
    <s v="Spot"/>
    <s v="3631591-1458738807-199"/>
    <n v="0"/>
    <d v="2016-03-31T00:00:00"/>
    <x v="1169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1591-1458738807-199] [23/03/2016 at 13:13:00]"/>
  </r>
  <r>
    <s v="3631600-1458738819-107"/>
    <s v="Spot"/>
    <s v="3631600-1458738819-107"/>
    <n v="0"/>
    <d v="2016-03-31T00:00:00"/>
    <x v="1170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1600-1458738819-107] [23/03/2016 at 13:13:00]"/>
  </r>
  <r>
    <s v="3631585-1458738796-171"/>
    <s v="Spot"/>
    <s v="3631585-1458738796-171"/>
    <n v="0"/>
    <d v="2016-03-31T00:00:00"/>
    <x v="1171"/>
    <s v="171"/>
    <s v="SELL"/>
    <n v="9.9550000000000001"/>
    <x v="0"/>
    <x v="1"/>
    <n v="99.55"/>
    <s v="Deal"/>
    <m/>
    <s v="Original Amount [EUR 10], Merchant Amount [EUR 10], Customer Amount [NOK 99.55], Status [APPROVED], Operation [DIRECT], UUID [3631585-1458738796-171] [23/03/2016 at 13:13:00]"/>
  </r>
  <r>
    <s v="3631582-1458738794-224"/>
    <s v="Spot"/>
    <s v="3631582-1458738794-224"/>
    <n v="0"/>
    <d v="2016-03-31T00:00:00"/>
    <x v="117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582-1458738794-224] [23/03/2016 at 13:13:00]"/>
  </r>
  <r>
    <s v="3631564-1458738786-200"/>
    <s v="Spot"/>
    <s v="3631564-1458738786-200"/>
    <n v="0"/>
    <d v="2016-03-31T00:00:00"/>
    <x v="1173"/>
    <s v="200"/>
    <s v="SELL"/>
    <n v="9.9546173500425841"/>
    <x v="0"/>
    <x v="1"/>
    <n v="818.17"/>
    <s v="Deal"/>
    <m/>
    <s v="Original Amount [EUR 82.19], Merchant Amount [EUR 82.19], Customer Amount [NOK 818.17], Status [APPROVED], Operation [STORED], UUID [3631564-1458738786-200] [23/03/2016 at 13:13:00]"/>
  </r>
  <r>
    <s v="3631549-1458738779-261"/>
    <s v="Spot"/>
    <s v="3631549-1458738779-261"/>
    <n v="0"/>
    <d v="2016-03-31T00:00:00"/>
    <x v="1174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49-1458738779-261] [23/03/2016 at 13:12:00]"/>
  </r>
  <r>
    <s v="3631543-1458738772-216"/>
    <s v="Spot"/>
    <s v="3631543-1458738772-216"/>
    <n v="0"/>
    <d v="2016-03-31T00:00:00"/>
    <x v="1175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43-1458738772-216] [23/03/2016 at 13:12:00]"/>
  </r>
  <r>
    <s v="3631537-1458738771-216"/>
    <s v="Spot"/>
    <s v="3631537-1458738771-216"/>
    <n v="0"/>
    <d v="2016-03-31T00:00:00"/>
    <x v="1176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37-1458738771-216] [23/03/2016 at 13:12:00]"/>
  </r>
  <r>
    <s v="3631531-1458738769-261"/>
    <s v="Spot"/>
    <s v="3631531-1458738769-261"/>
    <n v="0"/>
    <d v="2016-03-31T00:00:00"/>
    <x v="1177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31-1458738769-261] [23/03/2016 at 13:12:00]"/>
  </r>
  <r>
    <s v="3631528-1458738763-199"/>
    <s v="Spot"/>
    <s v="3631528-1458738763-199"/>
    <n v="0"/>
    <d v="2016-03-31T00:00:00"/>
    <x v="117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1528-1458738763-199] [23/03/2016 at 13:12:00]"/>
  </r>
  <r>
    <s v="3631573-1458738791-216"/>
    <s v="Spot"/>
    <s v="3631573-1458738791-216"/>
    <n v="0"/>
    <d v="2016-03-31T00:00:00"/>
    <x v="1179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573-1458738791-216] [23/03/2016 at 13:13:00]"/>
  </r>
  <r>
    <s v="3631519-1458738750-224"/>
    <s v="Spot"/>
    <s v="3631519-1458738750-224"/>
    <n v="0"/>
    <d v="2016-03-31T00:00:00"/>
    <x v="118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519-1458738750-224] [23/03/2016 at 13:12:00]"/>
  </r>
  <r>
    <s v="3631513-1458738749-224"/>
    <s v="Spot"/>
    <s v="3631513-1458738749-224"/>
    <n v="0"/>
    <d v="2016-03-31T00:00:00"/>
    <x v="1181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1513-1458738749-224] [23/03/2016 at 13:12:00]"/>
  </r>
  <r>
    <s v="3631540-1458738772-216"/>
    <s v="Spot"/>
    <s v="3631540-1458738772-216"/>
    <n v="0"/>
    <d v="2016-03-31T00:00:00"/>
    <x v="11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540-1458738772-216] [23/03/2016 at 13:12:00]"/>
  </r>
  <r>
    <s v="3631555-1458738781-203"/>
    <s v="Spot"/>
    <s v="3631555-1458738781-203"/>
    <n v="0"/>
    <d v="2016-03-31T00:00:00"/>
    <x v="1183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1555-1458738781-203] [23/03/2016 at 13:13:00]"/>
  </r>
  <r>
    <s v="3631462-1458738717-199"/>
    <s v="Spot"/>
    <s v="3631462-1458738717-199"/>
    <n v="0"/>
    <d v="2016-03-31T00:00:00"/>
    <x v="1184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462-1458738717-199] [23/03/2016 at 13:11:00]"/>
  </r>
  <r>
    <s v="3631489-1458738736-56"/>
    <s v="Spot"/>
    <s v="3631489-1458738736-56"/>
    <n v="0"/>
    <d v="2016-03-31T00:00:00"/>
    <x v="1185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1489-1458738736-56] [23/03/2016 at 13:12:00]"/>
  </r>
  <r>
    <s v="3631486-1458738736-216"/>
    <s v="Spot"/>
    <s v="3631486-1458738736-216"/>
    <n v="0"/>
    <d v="2016-03-31T00:00:00"/>
    <x v="1186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86-1458738736-216] [23/03/2016 at 13:12:00]"/>
  </r>
  <r>
    <s v="3631447-1458738709-199"/>
    <s v="Spot"/>
    <s v="3631447-1458738709-199"/>
    <n v="0"/>
    <d v="2016-03-31T00:00:00"/>
    <x v="1187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1447-1458738709-199] [23/03/2016 at 13:11:00]"/>
  </r>
  <r>
    <s v="3631510-1458738747-107"/>
    <s v="Spot"/>
    <s v="3631510-1458738747-107"/>
    <n v="0"/>
    <d v="2016-03-31T00:00:00"/>
    <x v="1188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1510-1458738747-107] [23/03/2016 at 13:12:00]"/>
  </r>
  <r>
    <s v="3631504-1458738741-203"/>
    <s v="Spot"/>
    <s v="3631504-1458738741-203"/>
    <n v="0"/>
    <d v="2016-03-31T00:00:00"/>
    <x v="1189"/>
    <s v="203"/>
    <s v="SELL"/>
    <n v="3.3878299120234603"/>
    <x v="0"/>
    <x v="0"/>
    <n v="231.05"/>
    <s v="Deal"/>
    <m/>
    <s v="Original Amount [EUR 68.2], Merchant Amount [EUR 68.2], Customer Amount [TRY 231.05], Status [APPROVED], Operation [3DAUTH], UUID [3631504-1458738741-203] [23/03/2016 at 13:12:00]"/>
  </r>
  <r>
    <s v="3631432-1458738698-216"/>
    <s v="Spot"/>
    <s v="3631432-1458738698-216"/>
    <n v="0"/>
    <d v="2016-03-31T00:00:00"/>
    <x v="1190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32-1458738698-216] [23/03/2016 at 13:11:00]"/>
  </r>
  <r>
    <s v="3631516-1458738750-56"/>
    <s v="Spot"/>
    <s v="3631516-1458738750-56"/>
    <n v="0"/>
    <d v="2016-03-31T00:00:00"/>
    <x v="1191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1516-1458738750-56] [23/03/2016 at 13:12:00]"/>
  </r>
  <r>
    <s v="3631417-1458738685-187"/>
    <s v="Spot"/>
    <s v="3631417-1458738685-187"/>
    <n v="0"/>
    <d v="2016-03-31T00:00:00"/>
    <x v="1192"/>
    <s v="187"/>
    <s v="SELL"/>
    <n v="9.9753812009370773"/>
    <x v="0"/>
    <x v="1"/>
    <n v="2427.11"/>
    <s v="Deal"/>
    <m/>
    <s v="Original Amount [EUR 243.31], Merchant Amount [EUR 243.31], Customer Amount [NOK 2427.11], Status [APPROVED], Operation [DIRECT], UUID [3631417-1458738685-187] [23/03/2016 at 13:11:00]"/>
  </r>
  <r>
    <s v="3631414-1458738682-216"/>
    <s v="Spot"/>
    <s v="3631414-1458738682-216"/>
    <n v="0"/>
    <d v="2016-03-31T00:00:00"/>
    <x v="1193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14-1458738682-216] [23/03/2016 at 13:11:00]"/>
  </r>
  <r>
    <s v="3631468-1458738726-216"/>
    <s v="Spot"/>
    <s v="3631468-1458738726-216"/>
    <n v="0"/>
    <d v="2016-03-31T00:00:00"/>
    <x v="1194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68-1458738726-216] [23/03/2016 at 13:12:00]"/>
  </r>
  <r>
    <s v="3631387-1458738647-261"/>
    <s v="Spot"/>
    <s v="3631387-1458738647-261"/>
    <n v="0"/>
    <d v="2016-03-31T00:00:00"/>
    <x v="1195"/>
    <s v="261"/>
    <s v="SELL"/>
    <n v="9.9753610875106205"/>
    <x v="0"/>
    <x v="1"/>
    <n v="117.41"/>
    <s v="Deal"/>
    <m/>
    <s v="Original Amount [EUR 11.77], Merchant Amount [EUR 11.77], Customer Amount [NOK 117.41], Status [APPROVED], Operation [DIRECT], UUID [3631387-1458738647-261] [23/03/2016 at 13:10:00]"/>
  </r>
  <r>
    <s v="3631408-1458738670-216"/>
    <s v="Spot"/>
    <s v="3631408-1458738670-216"/>
    <n v="0"/>
    <d v="2016-03-31T00:00:00"/>
    <x v="1196"/>
    <s v="216"/>
    <s v="SELL"/>
    <n v="3.3878554629035702"/>
    <x v="0"/>
    <x v="0"/>
    <n v="316.89999999999998"/>
    <s v="Deal"/>
    <m/>
    <s v="Original Amount [EUR 93.54], Merchant Amount [EUR 93.54], Customer Amount [TRY 316.9], Status [APPROVED], Operation [3DAUTH], UUID [3631408-1458738670-216] [23/03/2016 at 13:11:00]"/>
  </r>
  <r>
    <s v="3631381-1458738640-82"/>
    <s v="Spot"/>
    <s v="3631381-1458738640-82"/>
    <n v="0"/>
    <d v="2016-03-31T00:00:00"/>
    <x v="11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1381-1458738640-82] [23/03/2016 at 13:10:00]"/>
  </r>
  <r>
    <s v="3631375-1458738634-119"/>
    <s v="Spot"/>
    <s v="3631375-1458738634-119"/>
    <n v="0"/>
    <d v="2016-03-31T00:00:00"/>
    <x v="1198"/>
    <s v="119"/>
    <s v="SELL"/>
    <n v="9.9756"/>
    <x v="0"/>
    <x v="1"/>
    <n v="249.39"/>
    <s v="Deal"/>
    <m/>
    <s v="Original Amount [EUR 25], Merchant Amount [EUR 25], Customer Amount [NOK 249.39], Status [APPROVED], Operation [DIRECT], UUID [3631375-1458738634-119] [23/03/2016 at 13:10:00]"/>
  </r>
  <r>
    <s v="3631402-1458738661-107"/>
    <s v="Spot"/>
    <s v="3631402-1458738661-107"/>
    <n v="0"/>
    <d v="2016-03-31T00:00:00"/>
    <x v="1199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402-1458738661-107] [23/03/2016 at 13:11:00]"/>
  </r>
  <r>
    <s v="3631378-1458738639-203"/>
    <s v="Spot"/>
    <s v="3631378-1458738639-203"/>
    <n v="0"/>
    <d v="2016-03-31T00:00:00"/>
    <x v="120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31378-1458738639-203] [23/03/2016 at 13:10:00]"/>
  </r>
  <r>
    <s v="3631372-1458738625-145"/>
    <s v="Spot"/>
    <s v="3631372-1458738625-145"/>
    <n v="0"/>
    <d v="2016-03-31T00:00:00"/>
    <x v="1201"/>
    <s v="145"/>
    <s v="SELL"/>
    <n v="1.5436055019022532"/>
    <x v="0"/>
    <x v="2"/>
    <n v="105.49"/>
    <s v="Deal"/>
    <m/>
    <s v="Original Amount [EUR 68.34], Merchant Amount [EUR 68.34], Customer Amount [CAD 105.49], Status [APPROVED], Operation [3DAUTH], UUID [3631372-1458738625-145] [23/03/2016 at 13:10:00]"/>
  </r>
  <r>
    <s v="3631348-1458738608-99"/>
    <s v="Spot"/>
    <s v="3631348-1458738608-99"/>
    <n v="0"/>
    <d v="2016-03-31T00:00:00"/>
    <x v="1202"/>
    <s v="99"/>
    <s v="SELL"/>
    <n v="9.9754000000000005"/>
    <x v="0"/>
    <x v="1"/>
    <n v="997.54"/>
    <s v="Deal"/>
    <m/>
    <s v="Original Amount [EUR 100], Merchant Amount [EUR 100], Customer Amount [NOK 997.54], Status [APPROVED], Operation [DIRECT], UUID [3631348-1458738608-99] [23/03/2016 at 13:10:00]"/>
  </r>
  <r>
    <s v="3631366-1458738618-212"/>
    <s v="Spot"/>
    <s v="3631366-1458738618-212"/>
    <n v="0"/>
    <d v="2016-03-31T00:00:00"/>
    <x v="1203"/>
    <s v="212"/>
    <s v="SELL"/>
    <n v="0.83299999999999996"/>
    <x v="0"/>
    <x v="4"/>
    <n v="16.66"/>
    <s v="Deal"/>
    <m/>
    <s v="Original Amount [EUR 20], Merchant Amount [EUR 20], Customer Amount [GBP 16.66], Status [APPROVED], Operation [3DAUTH], UUID [3631366-1458738618-212] [23/03/2016 at 13:10:00]"/>
  </r>
  <r>
    <s v="3631339-1458738603-224"/>
    <s v="Spot"/>
    <s v="3631339-1458738603-224"/>
    <n v="0"/>
    <d v="2016-03-31T00:00:00"/>
    <x v="1204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1339-1458738603-224] [23/03/2016 at 13:10:00]"/>
  </r>
  <r>
    <s v="3631345-1458738607-107"/>
    <s v="Spot"/>
    <s v="3631345-1458738607-107"/>
    <n v="0"/>
    <d v="2016-03-31T00:00:00"/>
    <x v="1205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345-1458738607-107] [23/03/2016 at 13:10:00]"/>
  </r>
  <r>
    <s v="3631315-1458738562-145"/>
    <s v="Spot"/>
    <s v="3631315-1458738562-145"/>
    <n v="0"/>
    <d v="2016-03-31T00:00:00"/>
    <x v="1206"/>
    <s v="145"/>
    <s v="SELL"/>
    <n v="9.9755691282620749"/>
    <x v="0"/>
    <x v="1"/>
    <n v="179.66"/>
    <s v="Deal"/>
    <m/>
    <s v="Original Amount [EUR 18.01], Merchant Amount [EUR 18.01], Customer Amount [NOK 179.66], Status [APPROVED], Operation [DIRECT], UUID [3631315-1458738562-145] [23/03/2016 at 13:09:00]"/>
  </r>
  <r>
    <s v="3631309-1458738550-216"/>
    <s v="Spot"/>
    <s v="3631309-1458738550-216"/>
    <n v="0"/>
    <d v="2016-03-31T00:00:00"/>
    <x v="1207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309-1458738550-216] [23/03/2016 at 13:09:00]"/>
  </r>
  <r>
    <s v="3631333-1458738585-216"/>
    <s v="Spot"/>
    <s v="3631333-1458738585-216"/>
    <n v="0"/>
    <d v="2016-03-31T00:00:00"/>
    <x v="1208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333-1458738585-216] [23/03/2016 at 13:09:00]"/>
  </r>
  <r>
    <s v="3631282-1458738532-224"/>
    <s v="Spot"/>
    <s v="3631282-1458738532-224"/>
    <n v="0"/>
    <d v="2016-03-31T00:00:00"/>
    <x v="1209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31282-1458738532-224] [23/03/2016 at 13:08:00]"/>
  </r>
  <r>
    <s v="3631279-1458738531-119"/>
    <s v="Spot"/>
    <s v="3631279-1458738531-119"/>
    <n v="0"/>
    <d v="2016-03-31T00:00:00"/>
    <x v="1210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1279-1458738531-119] [23/03/2016 at 13:08:00]"/>
  </r>
  <r>
    <s v="3631273-1458738529-199"/>
    <s v="Spot"/>
    <s v="3631273-1458738529-199"/>
    <n v="0"/>
    <d v="2016-03-31T00:00:00"/>
    <x v="1211"/>
    <s v="199"/>
    <s v="SELL"/>
    <n v="9.954590083456063"/>
    <x v="0"/>
    <x v="1"/>
    <n v="1622.2"/>
    <s v="Deal"/>
    <m/>
    <s v="Original Amount [EUR 162.96], Merchant Amount [EUR 162.96], Customer Amount [NOK 1622.2], Status [APPROVED], Operation [DIRECT], UUID [3631273-1458738529-199] [23/03/2016 at 13:08:00]"/>
  </r>
  <r>
    <s v="3631267-1458738525-82"/>
    <s v="Spot"/>
    <s v="3631267-1458738525-82"/>
    <n v="0"/>
    <d v="2016-03-31T00:00:00"/>
    <x v="1212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1267-1458738525-82] [23/03/2016 at 13:08:00]"/>
  </r>
  <r>
    <s v="3631324-1458738571-56"/>
    <s v="Spot"/>
    <s v="3631324-1458738571-56"/>
    <n v="0"/>
    <d v="2016-03-31T00:00:00"/>
    <x v="1213"/>
    <s v="56"/>
    <s v="SELL"/>
    <n v="3.397230434106115"/>
    <x v="0"/>
    <x v="0"/>
    <n v="436.68"/>
    <s v="Deal"/>
    <m/>
    <s v="Original Amount [EUR 128.54], Merchant Amount [EUR 128.54], Customer Amount [TRY 436.68], Status [APPROVED], Operation [3DAUTH], UUID [3631324-1458738571-56] [23/03/2016 at 13:09:00]"/>
  </r>
  <r>
    <s v="3631285-1458738533-216"/>
    <s v="Spot"/>
    <s v="3631285-1458738533-216"/>
    <n v="0"/>
    <d v="2016-03-31T00:00:00"/>
    <x v="1214"/>
    <s v="216"/>
    <s v="SELL"/>
    <n v="3.3976179569399911"/>
    <x v="0"/>
    <x v="0"/>
    <n v="74.17"/>
    <s v="Deal"/>
    <m/>
    <s v="Original Amount [EUR 21.83], Merchant Amount [EUR 21.83], Customer Amount [TRY 74.17], Status [APPROVED], Operation [3DAUTH], UUID [3631285-1458738533-216] [23/03/2016 at 13:08:00]"/>
  </r>
  <r>
    <s v="3631249-1458738504-199"/>
    <s v="Spot"/>
    <s v="3631249-1458738504-199"/>
    <n v="0"/>
    <d v="2016-03-31T00:00:00"/>
    <x v="1215"/>
    <s v="199"/>
    <s v="SELL"/>
    <n v="9.9547606522882681"/>
    <x v="0"/>
    <x v="1"/>
    <n v="378.48"/>
    <s v="Deal"/>
    <m/>
    <s v="Original Amount [EUR 38.02], Merchant Amount [EUR 38.02], Customer Amount [NOK 378.48], Status [APPROVED], Operation [DIRECT], UUID [3631249-1458738504-199] [23/03/2016 at 13:08:00]"/>
  </r>
  <r>
    <s v="3631276-1458738530-216"/>
    <s v="Spot"/>
    <s v="3631276-1458738530-216"/>
    <n v="0"/>
    <d v="2016-03-31T00:00:00"/>
    <x v="1216"/>
    <s v="216"/>
    <s v="SELL"/>
    <n v="3.3972632029078462"/>
    <x v="0"/>
    <x v="0"/>
    <n v="317.77999999999997"/>
    <s v="Deal"/>
    <m/>
    <s v="Original Amount [EUR 93.54], Merchant Amount [EUR 93.54], Customer Amount [TRY 317.78], Status [APPROVED], Operation [3DAUTH], UUID [3631276-1458738530-216] [23/03/2016 at 13:08:00]"/>
  </r>
  <r>
    <s v="3631258-1458738515-136"/>
    <s v="Spot"/>
    <s v="3631258-1458738515-136"/>
    <n v="0"/>
    <d v="2016-03-31T00:00:00"/>
    <x v="1217"/>
    <s v="136"/>
    <s v="SELL"/>
    <n v="3.3974193548387093"/>
    <x v="0"/>
    <x v="0"/>
    <n v="52.66"/>
    <s v="Deal"/>
    <m/>
    <s v="Original Amount [EUR 15.5], Merchant Amount [EUR 15.5], Customer Amount [TRY 52.66], Status [APPROVED], Operation [3DAUTH], UUID [3631258-1458738515-136] [23/03/2016 at 13:08:00]"/>
  </r>
  <r>
    <s v="3631210-1458738468-224"/>
    <s v="Spot"/>
    <s v="3631210-1458738468-224"/>
    <n v="0"/>
    <d v="2016-03-31T00:00:00"/>
    <x v="1218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1210-1458738468-224] [23/03/2016 at 13:07:00]"/>
  </r>
  <r>
    <s v="3631207-1458738464-82"/>
    <s v="Spot"/>
    <s v="3631207-1458738464-82"/>
    <n v="0"/>
    <d v="2016-03-31T00:00:00"/>
    <x v="1219"/>
    <s v="82"/>
    <s v="SELL"/>
    <n v="1.1848341232227488"/>
    <x v="0"/>
    <x v="7"/>
    <n v="17.5"/>
    <s v="Deal"/>
    <m/>
    <s v="Original Amount [USD 17.5], Merchant Amount [EUR 14.77], Customer Amount [USD 17.5], Status [APPROVED], Operation [DIRECT], UUID [3631207-1458738464-82] [23/03/2016 at 13:07:00]"/>
  </r>
  <r>
    <s v="3631204-1458738462-200"/>
    <s v="Spot"/>
    <s v="3631204-1458738462-200"/>
    <n v="0"/>
    <d v="2016-03-31T00:00:00"/>
    <x v="1220"/>
    <s v="200"/>
    <s v="SELL"/>
    <n v="9.9550000000000001"/>
    <x v="0"/>
    <x v="1"/>
    <n v="199.1"/>
    <s v="Deal"/>
    <m/>
    <s v="Original Amount [EUR 20], Merchant Amount [EUR 20], Customer Amount [NOK 199.1], Status [APPROVED], Operation [STORED], UUID [3631204-1458738462-200] [23/03/2016 at 13:07:00]"/>
  </r>
  <r>
    <s v="3631198-1458738455-82"/>
    <s v="Spot"/>
    <s v="3631198-1458738455-82"/>
    <n v="0"/>
    <d v="2016-03-31T00:00:00"/>
    <x v="122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1198-1458738455-82] [23/03/2016 at 13:07:00]"/>
  </r>
  <r>
    <s v="3631240-1458738489-216"/>
    <s v="Spot"/>
    <s v="3631240-1458738489-216"/>
    <n v="0"/>
    <d v="2016-03-31T00:00:00"/>
    <x v="1222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240-1458738489-216] [23/03/2016 at 13:08:00]"/>
  </r>
  <r>
    <s v="3631222-1458738480-264"/>
    <s v="Spot"/>
    <s v="3631222-145873848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APPROVED], Operation [3DAUTH], UUID [3631222-1458738480-264] [23/03/2016 at 13:08:00]"/>
  </r>
  <r>
    <s v="3631174-1458738431-95"/>
    <s v="Spot"/>
    <s v="3631174-1458738431-95"/>
    <n v="0"/>
    <d v="2016-03-31T00:00:00"/>
    <x v="1224"/>
    <s v="95"/>
    <s v="SELL"/>
    <n v="1.4941690962099126"/>
    <x v="0"/>
    <x v="2"/>
    <n v="10.25"/>
    <s v="Deal"/>
    <m/>
    <s v="Original Amount [CAD 10.25], Merchant Amount [EUR 6.86], Customer Amount [CAD 10.25], Status [APPROVED], Operation [DIRECT], UUID [3631174-1458738431-95] [23/03/2016 at 13:07:00]"/>
  </r>
  <r>
    <s v="3631171-1458738430-264"/>
    <s v="Spot"/>
    <s v="3631171-145873843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WAITING], Operation [3D], UUID [3631171-1458738430-264] [23/03/2016 at 13:07:00]"/>
  </r>
  <r>
    <s v="3631165-1458738421-119"/>
    <s v="Spot"/>
    <s v="3631165-1458738421-119"/>
    <n v="0"/>
    <d v="2016-03-31T00:00:00"/>
    <x v="1225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1165-1458738421-119] [23/03/2016 at 13:07:00]"/>
  </r>
  <r>
    <s v="3631195-1458738454-216"/>
    <s v="Spot"/>
    <s v="3631195-1458738454-216"/>
    <n v="0"/>
    <d v="2016-03-31T00:00:00"/>
    <x v="1226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195-1458738454-216] [23/03/2016 at 13:07:00]"/>
  </r>
  <r>
    <s v="3631150-1458738389-224"/>
    <s v="Spot"/>
    <s v="3631150-1458738389-224"/>
    <n v="0"/>
    <d v="2016-03-31T00:00:00"/>
    <x v="1227"/>
    <s v="224"/>
    <s v="SELL"/>
    <n v="133.03767255837957"/>
    <x v="0"/>
    <x v="3"/>
    <n v="10311.75"/>
    <s v="Deal"/>
    <m/>
    <s v="Original Amount [EUR 77.51], Merchant Amount [EUR 77.51], Customer Amount [JPY 10311.75], Status [APPROVED], Operation [DIRECT], UUID [3631150-1458738389-224] [23/03/2016 at 13:06:00]"/>
  </r>
  <r>
    <s v="3631144-1458738383-200"/>
    <s v="Spot"/>
    <s v="3631144-1458738383-200"/>
    <n v="0"/>
    <d v="2016-03-31T00:00:00"/>
    <x v="1228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STORED], UUID [3631144-1458738383-200] [23/03/2016 at 13:06:00]"/>
  </r>
  <r>
    <s v="3631156-1458738402-216"/>
    <s v="Spot"/>
    <s v="3631156-1458738402-216"/>
    <n v="0"/>
    <d v="2016-03-31T00:00:00"/>
    <x v="1229"/>
    <s v="216"/>
    <s v="SELL"/>
    <n v="3.3976676384839655"/>
    <x v="0"/>
    <x v="0"/>
    <n v="58.27"/>
    <s v="Deal"/>
    <m/>
    <s v="Original Amount [EUR 17.15], Merchant Amount [EUR 17.15], Customer Amount [TRY 58.27], Status [APPROVED], Operation [3DAUTH], UUID [3631156-1458738402-216] [23/03/2016 at 13:06:00]"/>
  </r>
  <r>
    <s v="3631120-1458738362-82"/>
    <s v="Spot"/>
    <s v="3631120-1458738362-82"/>
    <n v="0"/>
    <d v="2016-03-31T00:00:00"/>
    <x v="1230"/>
    <s v="82"/>
    <s v="SELL"/>
    <n v="1.1840120663650078"/>
    <x v="0"/>
    <x v="7"/>
    <n v="54.95"/>
    <s v="Deal"/>
    <m/>
    <s v="Original Amount [USD 54.95], Merchant Amount [EUR 46.41], Customer Amount [USD 54.95], Status [APPROVED], Operation [DIRECT], UUID [3631120-1458738362-82] [23/03/2016 at 13:06:00]"/>
  </r>
  <r>
    <s v="3631114-1458738351-145"/>
    <s v="Spot"/>
    <s v="3631114-1458738351-145"/>
    <n v="0"/>
    <d v="2016-03-31T00:00:00"/>
    <x v="1231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1114-1458738351-145] [23/03/2016 at 13:05:00]"/>
  </r>
  <r>
    <s v="3631111-1458738346-199"/>
    <s v="Spot"/>
    <s v="3631111-1458738346-199"/>
    <n v="0"/>
    <d v="2016-03-31T00:00:00"/>
    <x v="1232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1111-1458738346-199] [23/03/2016 at 13:05:00]"/>
  </r>
  <r>
    <s v="3631108-1458738345-224"/>
    <s v="Spot"/>
    <s v="3631108-1458738345-224"/>
    <n v="0"/>
    <d v="2016-03-31T00:00:00"/>
    <x v="1233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1108-1458738345-224] [23/03/2016 at 13:05:00]"/>
  </r>
  <r>
    <s v="3631093-1458738335-224"/>
    <s v="Spot"/>
    <s v="3631093-1458738335-224"/>
    <n v="0"/>
    <d v="2016-03-31T00:00:00"/>
    <x v="1234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093-1458738335-224] [23/03/2016 at 13:05:00]"/>
  </r>
  <r>
    <s v="3631090-1458738335-187"/>
    <s v="Spot"/>
    <s v="3631090-1458738335-187"/>
    <n v="0"/>
    <d v="2016-03-31T00:00:00"/>
    <x v="1235"/>
    <s v="187"/>
    <s v="SELL"/>
    <n v="9.9506302521008401"/>
    <x v="0"/>
    <x v="1"/>
    <n v="473.65"/>
    <s v="Deal"/>
    <m/>
    <s v="Original Amount [EUR 47.6], Merchant Amount [EUR 47.6], Customer Amount [NOK 473.65], Status [APPROVED], Operation [DIRECT], UUID [3631090-1458738335-187] [23/03/2016 at 13:05:00]"/>
  </r>
  <r>
    <s v="3631087-1458738324-126"/>
    <s v="Spot"/>
    <s v="3631087-1458738324-126"/>
    <n v="0"/>
    <d v="2016-03-31T00:00:00"/>
    <x v="1236"/>
    <s v="126"/>
    <s v="SELL"/>
    <n v="9.9512195121951219"/>
    <x v="0"/>
    <x v="1"/>
    <n v="122.4"/>
    <s v="Deal"/>
    <m/>
    <s v="Original Amount [EUR 12.3], Merchant Amount [EUR 12.3], Customer Amount [NOK 122.4], Status [APPROVED], Operation [DIRECT], UUID [3631087-1458738324-126] [23/03/2016 at 13:05:00]"/>
  </r>
  <r>
    <s v="3631084-1458738321-224"/>
    <s v="Spot"/>
    <s v="3631084-1458738321-224"/>
    <n v="0"/>
    <d v="2016-03-31T00:00:00"/>
    <x v="123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1084-1458738321-224] [23/03/2016 at 13:05:00]"/>
  </r>
  <r>
    <s v="3631081-1458738318-224"/>
    <s v="Spot"/>
    <s v="3631081-1458738318-224"/>
    <n v="0"/>
    <d v="2016-03-31T00:00:00"/>
    <x v="1238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081-1458738318-224] [23/03/2016 at 13:05:00]"/>
  </r>
  <r>
    <s v="3631075-1458738308-82"/>
    <s v="Spot"/>
    <s v="3631075-1458738308-82"/>
    <n v="0"/>
    <d v="2016-03-31T00:00:00"/>
    <x v="1239"/>
    <s v="82"/>
    <s v="SELL"/>
    <n v="1.1838681699913269"/>
    <x v="0"/>
    <x v="7"/>
    <n v="40.950000000000003"/>
    <s v="Deal"/>
    <m/>
    <s v="Original Amount [USD 40.95], Merchant Amount [EUR 34.59], Customer Amount [USD 40.95], Status [APPROVED], Operation [DIRECT], UUID [3631075-1458738308-82] [23/03/2016 at 13:05:00]"/>
  </r>
  <r>
    <s v="3631078-1458738309-216"/>
    <s v="Spot"/>
    <s v="3631078-1458738309-216"/>
    <n v="0"/>
    <d v="2016-03-31T00:00:00"/>
    <x v="124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78-1458738309-216] [23/03/2016 at 13:05:00]"/>
  </r>
  <r>
    <s v="3631099-1458738342-196"/>
    <s v="Spot"/>
    <s v="3631099-1458738342-196"/>
    <n v="0"/>
    <d v="2016-03-31T00:00:00"/>
    <x v="1241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1099-1458738342-196] [23/03/2016 at 13:05:00]"/>
  </r>
  <r>
    <s v="3631036-1458738243-119"/>
    <s v="Spot"/>
    <s v="3631036-1458738243-119"/>
    <n v="0"/>
    <d v="2016-03-31T00:00:00"/>
    <x v="1242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1036-1458738243-119] [23/03/2016 at 13:04:00]"/>
  </r>
  <r>
    <s v="3631045-1458738259-216"/>
    <s v="Spot"/>
    <s v="3631045-1458738259-216"/>
    <n v="0"/>
    <d v="2016-03-31T00:00:00"/>
    <x v="124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45-1458738259-216] [23/03/2016 at 13:04:00]"/>
  </r>
  <r>
    <s v="3631021-1458738231-203"/>
    <s v="Spot"/>
    <s v="3631021-1458738231-203"/>
    <n v="0"/>
    <d v="2016-03-31T00:00:00"/>
    <x v="1244"/>
    <s v="203"/>
    <s v="SELL"/>
    <n v="3.3973118279569894"/>
    <x v="0"/>
    <x v="0"/>
    <n v="189.57"/>
    <s v="Deal"/>
    <m/>
    <s v="Original Amount [EUR 55.8], Merchant Amount [EUR 55.8], Customer Amount [TRY 189.57], Status [APPROVED], Operation [3DAUTH], UUID [3631021-1458738231-203] [23/03/2016 at 13:03:00]"/>
  </r>
  <r>
    <s v="3631027-1458738237-216"/>
    <s v="Spot"/>
    <s v="3631027-1458738237-216"/>
    <n v="0"/>
    <d v="2016-03-31T00:00:00"/>
    <x v="1245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027-1458738237-216] [23/03/2016 at 13:03:00]"/>
  </r>
  <r>
    <s v="3630997-1458738196-119"/>
    <s v="Spot"/>
    <s v="3630997-1458738196-119"/>
    <n v="0"/>
    <d v="2016-03-31T00:00:00"/>
    <x v="1246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30997-1458738196-119] [23/03/2016 at 13:03:00]"/>
  </r>
  <r>
    <s v="3630991-1458738179-187"/>
    <s v="Spot"/>
    <s v="3630991-1458738179-187"/>
    <n v="0"/>
    <d v="2016-03-31T00:00:00"/>
    <x v="1247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991-1458738179-187] [23/03/2016 at 13:02:00]"/>
  </r>
  <r>
    <s v="3630979-1458738171-199"/>
    <s v="Spot"/>
    <s v="3630979-1458738171-199"/>
    <n v="0"/>
    <d v="2016-03-31T00:00:00"/>
    <x v="124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79-1458738171-199] [23/03/2016 at 13:02:00]"/>
  </r>
  <r>
    <s v="3631012-1458738215-119"/>
    <s v="Spot"/>
    <s v="3631012-1458738215-119"/>
    <n v="0"/>
    <d v="2016-03-31T00:00:00"/>
    <x v="1249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1012-1458738215-119] [23/03/2016 at 13:03:00]"/>
  </r>
  <r>
    <s v="3630967-1458738162-82"/>
    <s v="Spot"/>
    <s v="3630967-1458738162-82"/>
    <n v="0"/>
    <d v="2016-03-31T00:00:00"/>
    <x v="125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0967-1458738162-82] [23/03/2016 at 13:02:00]"/>
  </r>
  <r>
    <s v="3630964-1458738159-199"/>
    <s v="Spot"/>
    <s v="3630964-1458738159-199"/>
    <n v="0"/>
    <d v="2016-03-31T00:00:00"/>
    <x v="125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964-1458738159-199] [23/03/2016 at 13:02:00]"/>
  </r>
  <r>
    <s v="3630955-1458738155-171"/>
    <s v="Spot"/>
    <s v="3630955-1458738155-171"/>
    <n v="0"/>
    <d v="2016-03-31T00:00:00"/>
    <x v="125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30955-1458738155-171] [23/03/2016 at 13:02:00]"/>
  </r>
  <r>
    <s v="3630952-1458738153-119"/>
    <s v="Spot"/>
    <s v="3630952-1458738153-119"/>
    <n v="0"/>
    <d v="2016-03-31T00:00:00"/>
    <x v="1253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952-1458738153-119] [23/03/2016 at 13:02:00]"/>
  </r>
  <r>
    <s v="3630976-1458738167-203"/>
    <s v="Spot"/>
    <s v="3630976-1458738167-203"/>
    <n v="0"/>
    <d v="2016-03-31T00:00:00"/>
    <x v="1254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0976-1458738167-203] [23/03/2016 at 13:02:00]"/>
  </r>
  <r>
    <s v="3630934-1458738143-224"/>
    <s v="Spot"/>
    <s v="3630934-1458738143-224"/>
    <n v="0"/>
    <d v="2016-03-31T00:00:00"/>
    <x v="125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934-1458738143-224] [23/03/2016 at 13:02:00]"/>
  </r>
  <r>
    <s v="3630925-1458738126-224"/>
    <s v="Spot"/>
    <s v="3630925-1458738126-224"/>
    <n v="0"/>
    <d v="2016-03-31T00:00:00"/>
    <x v="1256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925-1458738126-224] [23/03/2016 at 13:02:00]"/>
  </r>
  <r>
    <s v="3630982-1458738174-216"/>
    <s v="Spot"/>
    <s v="3630982-1458738174-216"/>
    <n v="0"/>
    <d v="2016-03-31T00:00:00"/>
    <x v="12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0982-1458738174-216] [23/03/2016 at 13:02:00]"/>
  </r>
  <r>
    <s v="3630907-1458738098-261"/>
    <s v="Spot"/>
    <s v="3630907-1458738098-261"/>
    <n v="0"/>
    <d v="2016-03-31T00:00:00"/>
    <x v="1258"/>
    <s v="261"/>
    <s v="SELL"/>
    <n v="9.9663551401869164"/>
    <x v="0"/>
    <x v="1"/>
    <n v="159.96"/>
    <s v="Deal"/>
    <m/>
    <s v="Original Amount [EUR 16.05], Merchant Amount [EUR 16.05], Customer Amount [NOK 159.96], Status [APPROVED], Operation [DIRECT], UUID [3630907-1458738098-261] [23/03/2016 at 13:01:00]"/>
  </r>
  <r>
    <s v="3630904-1458738095-224"/>
    <s v="Spot"/>
    <s v="3630904-1458738095-224"/>
    <n v="0"/>
    <d v="2016-03-31T00:00:00"/>
    <x v="1259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904-1458738095-224] [23/03/2016 at 13:01:00]"/>
  </r>
  <r>
    <s v="3630901-1458738094-199"/>
    <s v="Spot"/>
    <s v="3630901-1458738094-199"/>
    <n v="0"/>
    <d v="2016-03-31T00:00:00"/>
    <x v="12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01-1458738094-199] [23/03/2016 at 13:01:00]"/>
  </r>
  <r>
    <s v="3630895-1458738088-199"/>
    <s v="Spot"/>
    <s v="3630895-1458738088-199"/>
    <n v="0"/>
    <d v="2016-03-31T00:00:00"/>
    <x v="1261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895-1458738088-199] [23/03/2016 at 13:01:00]"/>
  </r>
  <r>
    <s v="3630892-1458738084-145"/>
    <s v="Spot"/>
    <s v="3630892-1458738084-145"/>
    <n v="0"/>
    <d v="2016-03-31T00:00:00"/>
    <x v="1262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30892-1458738084-145] [23/03/2016 at 13:01:00]"/>
  </r>
  <r>
    <s v="3630889-1458738084-82"/>
    <s v="Spot"/>
    <s v="3630889-1458738084-82"/>
    <n v="0"/>
    <d v="2016-03-31T00:00:00"/>
    <x v="1263"/>
    <s v="82"/>
    <s v="SELL"/>
    <n v="1.1847457627118645"/>
    <x v="0"/>
    <x v="7"/>
    <n v="34.950000000000003"/>
    <s v="Deal"/>
    <m/>
    <s v="Original Amount [USD 34.95], Merchant Amount [EUR 29.5], Customer Amount [USD 34.95], Status [APPROVED], Operation [DIRECT], UUID [3630889-1458738084-82] [23/03/2016 at 13:01:00]"/>
  </r>
  <r>
    <s v="3630886-1458738072-224"/>
    <s v="Spot"/>
    <s v="3630886-1458738072-224"/>
    <n v="0"/>
    <d v="2016-03-31T00:00:00"/>
    <x v="1264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886-1458738072-224] [23/03/2016 at 13:01:00]"/>
  </r>
  <r>
    <s v="3630883-1458738070-224"/>
    <s v="Spot"/>
    <s v="3630883-1458738070-224"/>
    <n v="0"/>
    <d v="2016-03-31T00:00:00"/>
    <x v="1265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883-1458738070-224] [23/03/2016 at 13:01:00]"/>
  </r>
  <r>
    <s v="3630880-1458738070-261"/>
    <s v="Spot"/>
    <s v="3630880-1458738070-261"/>
    <n v="0"/>
    <d v="2016-03-31T00:00:00"/>
    <x v="1266"/>
    <s v="261"/>
    <s v="SELL"/>
    <n v="9.9663446556559663"/>
    <x v="0"/>
    <x v="1"/>
    <n v="319.82"/>
    <s v="Deal"/>
    <m/>
    <s v="Original Amount [EUR 32.09], Merchant Amount [EUR 32.09], Customer Amount [NOK 319.82], Status [APPROVED], Operation [DIRECT], UUID [3630880-1458738070-261] [23/03/2016 at 13:01:00]"/>
  </r>
  <r>
    <s v="3630871-1458738057-203"/>
    <s v="Spot"/>
    <s v="3630871-1458738057-203"/>
    <n v="0"/>
    <d v="2016-03-31T00:00:00"/>
    <x v="1267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30871-1458738057-203] [23/03/2016 at 13:00:00]"/>
  </r>
  <r>
    <s v="3630847-1458738031-145"/>
    <s v="Spot"/>
    <s v="3630847-1458738031-145"/>
    <n v="0"/>
    <d v="2016-03-31T00:00:00"/>
    <x v="1268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0847-1458738031-145] [23/03/2016 at 13:00:00]"/>
  </r>
  <r>
    <s v="3630841-1458738028-199"/>
    <s v="Spot"/>
    <s v="3630841-1458738028-199"/>
    <n v="0"/>
    <d v="2016-03-31T00:00:00"/>
    <x v="1269"/>
    <s v="199"/>
    <s v="SELL"/>
    <n v="9.9663107511045652"/>
    <x v="0"/>
    <x v="1"/>
    <n v="1624.11"/>
    <s v="Deal"/>
    <m/>
    <s v="Original Amount [EUR 162.96], Merchant Amount [EUR 162.96], Customer Amount [NOK 1624.11], Status [APPROVED], Operation [DIRECT], UUID [3630841-1458738028-199] [23/03/2016 at 13:00:00]"/>
  </r>
  <r>
    <s v="3630838-1458738028-187"/>
    <s v="Spot"/>
    <s v="3630838-1458738028-187"/>
    <n v="0"/>
    <d v="2016-03-31T00:00:00"/>
    <x v="1270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838-1458738028-187] [23/03/2016 at 13:00:00]"/>
  </r>
  <r>
    <s v="3630835-1458738025-200"/>
    <s v="Spot"/>
    <s v="3630835-1458738025-200"/>
    <n v="0"/>
    <d v="2016-03-31T00:00:00"/>
    <x v="1271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0835-1458738025-200] [23/03/2016 at 13:00:00]"/>
  </r>
  <r>
    <s v="3630832-1458738022-145"/>
    <s v="Spot"/>
    <s v="3630832-1458738022-145"/>
    <n v="0"/>
    <d v="2016-03-31T00:00:00"/>
    <x v="1272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30832-1458738022-145] [23/03/2016 at 13:00:00]"/>
  </r>
  <r>
    <s v="3630865-1458738053-119"/>
    <s v="Spot"/>
    <s v="3630865-1458738053-119"/>
    <n v="0"/>
    <d v="2016-03-31T00:00:00"/>
    <x v="1273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0865-1458738053-119] [23/03/2016 at 13:00:00]"/>
  </r>
  <r>
    <s v="3630826-1458738017-200"/>
    <s v="Spot"/>
    <s v="3630826-1458738017-200"/>
    <n v="0"/>
    <d v="2016-03-31T00:00:00"/>
    <x v="1274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30826-1458738017-200] [23/03/2016 at 13:00:00]"/>
  </r>
  <r>
    <s v="3630811-1458738002-199"/>
    <s v="Spot"/>
    <s v="3630811-1458738002-199"/>
    <n v="0"/>
    <d v="2016-03-31T00:00:00"/>
    <x v="127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811-1458738002-199] [23/03/2016 at 13:00:00]"/>
  </r>
  <r>
    <s v="3630799-1458737982-224"/>
    <s v="Spot"/>
    <s v="3630799-1458737982-224"/>
    <n v="0"/>
    <d v="2016-03-31T00:00:00"/>
    <x v="1276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0799-1458737982-224] [23/03/2016 at 12:59:00]"/>
  </r>
  <r>
    <s v="3630946-1458738150-56"/>
    <s v="Spot"/>
    <s v="3630946-1458738150-56"/>
    <n v="0"/>
    <d v="2016-03-31T00:00:00"/>
    <x v="1277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0946-1458738150-56] [23/03/2016 at 13:02:00]"/>
  </r>
  <r>
    <s v="3630790-1458737979-119"/>
    <s v="Spot"/>
    <s v="3630790-1458737979-119"/>
    <n v="0"/>
    <d v="2016-03-31T00:00:00"/>
    <x v="1278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0790-1458737979-119] [23/03/2016 at 12:59:00]"/>
  </r>
  <r>
    <s v="3630778-1458737968-187"/>
    <s v="Spot"/>
    <s v="3630778-1458737968-187"/>
    <n v="0"/>
    <d v="2016-03-31T00:00:00"/>
    <x v="1279"/>
    <s v="187"/>
    <s v="SELL"/>
    <n v="9.9506853631637"/>
    <x v="0"/>
    <x v="1"/>
    <n v="631.57000000000005"/>
    <s v="Deal"/>
    <m/>
    <s v="Original Amount [EUR 63.47], Merchant Amount [EUR 63.47], Customer Amount [NOK 631.57], Status [APPROVED], Operation [DIRECT], UUID [3630778-1458737968-187] [23/03/2016 at 12:59:00]"/>
  </r>
  <r>
    <s v="3630772-1458737964-224"/>
    <s v="Spot"/>
    <s v="3630772-1458737964-224"/>
    <n v="0"/>
    <d v="2016-03-31T00:00:00"/>
    <x v="1280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0772-1458737964-224] [23/03/2016 at 12:59:00]"/>
  </r>
  <r>
    <s v="3630787-1458737978-150"/>
    <s v="Spot"/>
    <s v="3630787-1458737978-150"/>
    <n v="0"/>
    <d v="2016-03-31T00:00:00"/>
    <x v="1281"/>
    <s v="150"/>
    <s v="SELL"/>
    <n v="3.3880837359098228"/>
    <x v="0"/>
    <x v="0"/>
    <n v="42.08"/>
    <s v="Deal"/>
    <m/>
    <s v="Original Amount [EUR 12.42], Merchant Amount [EUR 12.42], Customer Amount [TRY 42.08], Status [APPROVED], Operation [3DAUTH], UUID [3630787-1458737978-150] [23/03/2016 at 12:59:00]"/>
  </r>
  <r>
    <s v="3630751-1458737956-224"/>
    <s v="Spot"/>
    <s v="3630751-1458737956-224"/>
    <n v="0"/>
    <d v="2016-03-31T00:00:00"/>
    <x v="1282"/>
    <s v="224"/>
    <s v="SELL"/>
    <n v="132.83260233918131"/>
    <x v="0"/>
    <x v="3"/>
    <n v="1817.15"/>
    <s v="Deal"/>
    <m/>
    <s v="Original Amount [EUR 13.68], Merchant Amount [EUR 13.68], Customer Amount [JPY 1817.15], Status [APPROVED], Operation [DIRECT], UUID [3630751-1458737956-224] [23/03/2016 at 12:59:00]"/>
  </r>
  <r>
    <s v="3630745-1458737953-216"/>
    <s v="Spot"/>
    <s v="3630745-1458737953-216"/>
    <n v="0"/>
    <d v="2016-03-31T00:00:00"/>
    <x v="1283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745-1458737953-216] [23/03/2016 at 12:59:00]"/>
  </r>
  <r>
    <s v="3630766-1458737964-264"/>
    <s v="Spot"/>
    <s v="3630766-1458737964-264"/>
    <n v="0"/>
    <d v="2016-03-31T00:00:00"/>
    <x v="1284"/>
    <s v="264"/>
    <s v="SELL"/>
    <n v="3.3878666666666666"/>
    <x v="0"/>
    <x v="0"/>
    <n v="508.18"/>
    <s v="Deal"/>
    <m/>
    <s v="Original Amount [EUR 150], Merchant Amount [EUR 150], Customer Amount [TRY 508.18], Status [APPROVED], Operation [3DAUTH], UUID [3630766-1458737964-264] [23/03/2016 at 12:59:00]"/>
  </r>
  <r>
    <s v="3630724-1458737938-107"/>
    <s v="Spot"/>
    <s v="3630724-1458737938-107"/>
    <n v="0"/>
    <d v="2016-03-31T00:00:00"/>
    <x v="1285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0724-1458737938-107] [23/03/2016 at 12:58:00]"/>
  </r>
  <r>
    <s v="3630760-1458737962-203"/>
    <s v="Spot"/>
    <s v="3630760-1458737962-203"/>
    <n v="0"/>
    <d v="2016-03-31T00:00:00"/>
    <x v="1286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0760-1458737962-203] [23/03/2016 at 12:59:00]"/>
  </r>
  <r>
    <s v="3630775-1458737966-101"/>
    <s v="Spot"/>
    <s v="3630775-1458737966-101"/>
    <n v="0"/>
    <d v="2016-03-31T00:00:00"/>
    <x v="1287"/>
    <s v="101"/>
    <s v="SELL"/>
    <n v="3.3879377431906614"/>
    <x v="0"/>
    <x v="0"/>
    <n v="87.07"/>
    <s v="Deal"/>
    <m/>
    <s v="Original Amount [EUR 25.7], Merchant Amount [EUR 25.7], Customer Amount [TRY 87.07], Status [APPROVED], Operation [3DAUTH], UUID [3630775-1458737966-101] [23/03/2016 at 12:59:00]"/>
  </r>
  <r>
    <s v="3630709-1458737923-224"/>
    <s v="Spot"/>
    <s v="3630709-1458737923-224"/>
    <n v="0"/>
    <d v="2016-03-31T00:00:00"/>
    <x v="1288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709-1458737923-224] [23/03/2016 at 12:58:00]"/>
  </r>
  <r>
    <s v="3630700-1458737909-224"/>
    <s v="Spot"/>
    <s v="3630700-1458737909-224"/>
    <n v="0"/>
    <d v="2016-03-31T00:00:00"/>
    <x v="1289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0700-1458737909-224] [23/03/2016 at 12:58:00]"/>
  </r>
  <r>
    <s v="3630697-1458737907-216"/>
    <s v="Spot"/>
    <s v="3630697-1458737907-216"/>
    <n v="0"/>
    <d v="2016-03-31T00:00:00"/>
    <x v="1290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697-1458737907-216] [23/03/2016 at 12:58:00]"/>
  </r>
  <r>
    <s v="3630703-1458737917-145"/>
    <s v="Spot"/>
    <s v="3630703-1458737917-145"/>
    <n v="0"/>
    <d v="2016-03-31T00:00:00"/>
    <x v="1291"/>
    <s v="145"/>
    <s v="SELL"/>
    <n v="1.5431496830814235"/>
    <x v="0"/>
    <x v="2"/>
    <n v="31.65"/>
    <s v="Deal"/>
    <m/>
    <s v="Original Amount [EUR 20.51], Merchant Amount [EUR 20.51], Customer Amount [CAD 31.65], Status [APPROVED], Operation [3DAUTH], UUID [3630703-1458737917-145] [23/03/2016 at 12:58:00]"/>
  </r>
  <r>
    <s v="3630712-1458737927-216"/>
    <s v="Spot"/>
    <s v="3630712-1458737927-216"/>
    <n v="0"/>
    <d v="2016-03-31T00:00:00"/>
    <x v="1292"/>
    <s v="216"/>
    <s v="SELL"/>
    <n v="3.3883959044368601"/>
    <x v="0"/>
    <x v="0"/>
    <n v="49.64"/>
    <s v="Deal"/>
    <m/>
    <s v="Original Amount [EUR 14.65], Merchant Amount [EUR 14.65], Customer Amount [TRY 49.64], Status [APPROVED], Operation [3DAUTH], UUID [3630712-1458737927-216] [23/03/2016 at 12:58:00]"/>
  </r>
  <r>
    <s v="3630676-1458737892-199"/>
    <s v="Spot"/>
    <s v="3630676-1458737892-199"/>
    <n v="0"/>
    <d v="2016-03-31T00:00:00"/>
    <x v="1293"/>
    <s v="199"/>
    <s v="SELL"/>
    <n v="9.9505524053929104"/>
    <x v="0"/>
    <x v="1"/>
    <n v="10546.69"/>
    <s v="Deal"/>
    <m/>
    <s v="Original Amount [EUR 1059.91], Merchant Amount [EUR 1059.91], Customer Amount [NOK 10546.69], Status [APPROVED], Operation [DIRECT], UUID [3630676-1458737892-199] [23/03/2016 at 12:58:00]"/>
  </r>
  <r>
    <s v="3630673-1458737892-200"/>
    <s v="Spot"/>
    <s v="3630673-1458737892-200"/>
    <n v="0"/>
    <d v="2016-03-31T00:00:00"/>
    <x v="1294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0673-1458737892-200] [23/03/2016 at 12:58:00]"/>
  </r>
  <r>
    <s v="3630667-1458737875-199"/>
    <s v="Spot"/>
    <s v="3630667-1458737875-199"/>
    <n v="0"/>
    <d v="2016-03-31T00:00:00"/>
    <x v="1295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0667-1458737875-199] [23/03/2016 at 12:57:00]"/>
  </r>
  <r>
    <s v="3630658-1458737867-199"/>
    <s v="Spot"/>
    <s v="3630658-1458737867-199"/>
    <n v="0"/>
    <d v="2016-03-31T00:00:00"/>
    <x v="1296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0658-1458737867-199] [23/03/2016 at 12:57:00]"/>
  </r>
  <r>
    <s v="3630652-1458737864-119"/>
    <s v="Spot"/>
    <s v="3630652-1458737864-119"/>
    <n v="0"/>
    <d v="2016-03-31T00:00:00"/>
    <x v="129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52-1458737864-119] [23/03/2016 at 12:57:00]"/>
  </r>
  <r>
    <s v="3630646-1458737857-119"/>
    <s v="Spot"/>
    <s v="3630646-1458737857-119"/>
    <n v="0"/>
    <d v="2016-03-31T00:00:00"/>
    <x v="1298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0646-1458737857-119] [23/03/2016 at 12:57:00]"/>
  </r>
  <r>
    <s v="3630670-1458737878-216"/>
    <s v="Spot"/>
    <s v="3630670-1458737878-216"/>
    <n v="0"/>
    <d v="2016-03-31T00:00:00"/>
    <x v="1299"/>
    <s v="216"/>
    <s v="SELL"/>
    <n v="3.3878787878787877"/>
    <x v="0"/>
    <x v="0"/>
    <n v="190.06"/>
    <s v="Deal"/>
    <m/>
    <s v="Original Amount [EUR 56.1], Merchant Amount [EUR 56.1], Customer Amount [TRY 190.06], Status [APPROVED], Operation [3DAUTH], UUID [3630670-1458737878-216] [23/03/2016 at 12:57:00]"/>
  </r>
  <r>
    <s v="3630688-1458737902-119"/>
    <s v="Spot"/>
    <s v="3630688-1458737902-119"/>
    <n v="0"/>
    <d v="2016-03-31T00:00:00"/>
    <x v="1300"/>
    <s v="119"/>
    <s v="SELL"/>
    <n v="9.9510000000000005"/>
    <x v="0"/>
    <x v="1"/>
    <n v="99.51"/>
    <s v="Deal"/>
    <m/>
    <s v="Original Amount [EUR 10], Merchant Amount [EUR 10], Customer Amount [NOK 99.51], Status [APPROVED], Operation [3DAUTH], UUID [3630688-1458737902-119] [23/03/2016 at 12:58:00]"/>
  </r>
  <r>
    <s v="3630631-1458737840-119"/>
    <s v="Spot"/>
    <s v="3630631-1458737840-119"/>
    <n v="0"/>
    <d v="2016-03-31T00:00:00"/>
    <x v="130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31-1458737840-119] [23/03/2016 at 12:57:00]"/>
  </r>
  <r>
    <s v="3630619-1458737813-126"/>
    <s v="Spot"/>
    <s v="3630619-1458737813-126"/>
    <n v="0"/>
    <d v="2016-03-31T00:00:00"/>
    <x v="1302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0619-1458737813-126] [23/03/2016 at 12:56:00]"/>
  </r>
  <r>
    <s v="3630616-1458737809-187"/>
    <s v="Spot"/>
    <s v="3630616-1458737809-187"/>
    <n v="0"/>
    <d v="2016-03-31T00:00:00"/>
    <x v="1303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616-1458737809-187] [23/03/2016 at 12:56:00]"/>
  </r>
  <r>
    <s v="3630604-1458737801-187"/>
    <s v="Spot"/>
    <s v="3630604-1458737801-187"/>
    <n v="0"/>
    <d v="2016-03-31T00:00:00"/>
    <x v="1304"/>
    <s v="187"/>
    <s v="SELL"/>
    <n v="9.9664444444444449"/>
    <x v="0"/>
    <x v="1"/>
    <n v="448.49"/>
    <s v="Deal"/>
    <m/>
    <s v="Original Amount [EUR 45], Merchant Amount [EUR 45], Customer Amount [NOK 448.49], Status [APPROVED], Operation [DIRECT], UUID [3630604-1458737801-187] [23/03/2016 at 12:56:00]"/>
  </r>
  <r>
    <s v="3630601-1458737801-126"/>
    <s v="Spot"/>
    <s v="3630601-1458737801-126"/>
    <n v="0"/>
    <d v="2016-03-31T00:00:00"/>
    <x v="1305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601-1458737801-126] [23/03/2016 at 12:56:00]"/>
  </r>
  <r>
    <s v="3630598-1458737799-216"/>
    <s v="Spot"/>
    <s v="3630598-1458737799-216"/>
    <n v="0"/>
    <d v="2016-03-31T00:00:00"/>
    <x v="1306"/>
    <s v="216"/>
    <s v="SELL"/>
    <n v="3.3966623876765083"/>
    <x v="0"/>
    <x v="0"/>
    <n v="52.92"/>
    <s v="Deal"/>
    <m/>
    <s v="Original Amount [EUR 15.58], Merchant Amount [EUR 15.58], Customer Amount [TRY 52.92], Status [WAITING], Operation [3D], UUID [3630598-1458737799-216] [23/03/2016 at 12:56:00]"/>
  </r>
  <r>
    <s v="3630595-1458737795-224"/>
    <s v="Spot"/>
    <s v="3630595-1458737795-224"/>
    <n v="0"/>
    <d v="2016-03-31T00:00:00"/>
    <x v="1307"/>
    <s v="224"/>
    <s v="SELL"/>
    <n v="133.03764963903865"/>
    <x v="0"/>
    <x v="3"/>
    <n v="14558.31"/>
    <s v="Deal"/>
    <m/>
    <s v="Original Amount [EUR 109.43], Merchant Amount [EUR 109.43], Customer Amount [JPY 14558.31], Status [APPROVED], Operation [DIRECT], UUID [3630595-1458737795-224] [23/03/2016 at 12:56:00]"/>
  </r>
  <r>
    <s v="3630592-1458737795-187"/>
    <s v="Spot"/>
    <s v="3630592-1458737795-187"/>
    <n v="0"/>
    <d v="2016-03-31T00:00:00"/>
    <x v="1308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592-1458737795-187] [23/03/2016 at 12:56:00]"/>
  </r>
  <r>
    <s v="3630625-1458737822-216"/>
    <s v="Spot"/>
    <s v="3630625-1458737822-216"/>
    <n v="0"/>
    <d v="2016-03-31T00:00:00"/>
    <x v="1309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25-1458737822-216] [23/03/2016 at 12:57:00]"/>
  </r>
  <r>
    <s v="3630583-1458737789-199"/>
    <s v="Spot"/>
    <s v="3630583-1458737789-199"/>
    <n v="0"/>
    <d v="2016-03-31T00:00:00"/>
    <x v="1310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583-1458737789-199] [23/03/2016 at 12:56:00]"/>
  </r>
  <r>
    <s v="3630610-1458737804-216"/>
    <s v="Spot"/>
    <s v="3630610-1458737804-216"/>
    <n v="0"/>
    <d v="2016-03-31T00:00:00"/>
    <x v="1311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10-1458737804-216] [23/03/2016 at 12:56:00]"/>
  </r>
  <r>
    <s v="3630568-1458737768-224"/>
    <s v="Spot"/>
    <s v="3630568-1458737768-224"/>
    <n v="0"/>
    <d v="2016-03-31T00:00:00"/>
    <x v="131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0568-1458737768-224] [23/03/2016 at 12:56:00]"/>
  </r>
  <r>
    <s v="3630553-1458737743-199"/>
    <s v="Spot"/>
    <s v="3630553-1458737743-199"/>
    <n v="0"/>
    <d v="2016-03-31T00:00:00"/>
    <x v="1313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553-1458737743-199] [23/03/2016 at 12:55:00]"/>
  </r>
  <r>
    <s v="3630562-1458737764-107"/>
    <s v="Spot"/>
    <s v="3630562-1458737764-107"/>
    <n v="0"/>
    <d v="2016-03-31T00:00:00"/>
    <x v="1314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562-1458737764-107] [23/03/2016 at 12:56:00]"/>
  </r>
  <r>
    <s v="3630574-1458737779-203"/>
    <s v="Spot"/>
    <s v="3630574-1458737779-203"/>
    <n v="0"/>
    <d v="2016-03-31T00:00:00"/>
    <x v="1315"/>
    <s v="203"/>
    <s v="SELL"/>
    <n v="3.3967741935483868"/>
    <x v="0"/>
    <x v="0"/>
    <n v="73.709999999999994"/>
    <s v="Deal"/>
    <m/>
    <s v="Original Amount [EUR 21.7], Merchant Amount [EUR 21.7], Customer Amount [TRY 73.71], Status [APPROVED], Operation [3DAUTH], UUID [3630574-1458737779-203] [23/03/2016 at 12:56:00]"/>
  </r>
  <r>
    <s v="3630529-1458737709-216"/>
    <s v="Spot"/>
    <s v="3630529-1458737709-216"/>
    <n v="0"/>
    <d v="2016-03-31T00:00:00"/>
    <x v="1316"/>
    <s v="216"/>
    <s v="SELL"/>
    <n v="3.3965775401069518"/>
    <x v="0"/>
    <x v="0"/>
    <n v="158.79"/>
    <s v="Deal"/>
    <m/>
    <s v="Original Amount [EUR 46.75], Merchant Amount [EUR 46.75], Customer Amount [TRY 158.79], Status [WAITING], Operation [3D], UUID [3630529-1458737709-216] [23/03/2016 at 12:55:00]"/>
  </r>
  <r>
    <s v="3630523-1458737683-172"/>
    <s v="Spot"/>
    <s v="3630523-1458737683-172"/>
    <n v="0"/>
    <d v="2016-03-31T00:00:00"/>
    <x v="1317"/>
    <s v="172"/>
    <s v="SELL"/>
    <n v="9.9664577957980089"/>
    <x v="0"/>
    <x v="1"/>
    <n v="270.39"/>
    <s v="Deal"/>
    <m/>
    <s v="Original Amount [EUR 27.13], Merchant Amount [EUR 27.13], Customer Amount [NOK 270.39], Status [APPROVED], Operation [3DAUTH], UUID [3630523-1458737683-172] [23/03/2016 at 12:54:00]"/>
  </r>
  <r>
    <s v="3630520-1458737675-145"/>
    <s v="Spot"/>
    <s v="3630520-1458737675-145"/>
    <n v="0"/>
    <d v="2016-03-31T00:00:00"/>
    <x v="1318"/>
    <s v="145"/>
    <s v="SELL"/>
    <n v="1.5441248171623598"/>
    <x v="0"/>
    <x v="2"/>
    <n v="31.67"/>
    <s v="Deal"/>
    <m/>
    <s v="Original Amount [EUR 20.51], Merchant Amount [EUR 20.51], Customer Amount [CAD 31.67], Status [APPROVED], Operation [3DAUTH], UUID [3630520-1458737675-145] [23/03/2016 at 12:54:00]"/>
  </r>
  <r>
    <s v="3630496-1458737653-224"/>
    <s v="Spot"/>
    <s v="3630496-1458737653-224"/>
    <n v="0"/>
    <d v="2016-03-31T00:00:00"/>
    <x v="1319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496-1458737653-224] [23/03/2016 at 12:54:00]"/>
  </r>
  <r>
    <s v="3630493-1458737645-224"/>
    <s v="Spot"/>
    <s v="3630493-1458737645-224"/>
    <n v="0"/>
    <d v="2016-03-31T00:00:00"/>
    <x v="1320"/>
    <s v="224"/>
    <s v="SELL"/>
    <n v="133.03771929824563"/>
    <x v="0"/>
    <x v="3"/>
    <n v="6066.52"/>
    <s v="Deal"/>
    <m/>
    <s v="Original Amount [EUR 45.6], Merchant Amount [EUR 45.6], Customer Amount [JPY 6066.52], Status [APPROVED], Operation [DIRECT], UUID [3630493-1458737645-224] [23/03/2016 at 12:54:00]"/>
  </r>
  <r>
    <s v="3630541-1458737730-200"/>
    <s v="Spot"/>
    <s v="3630541-1458737730-200"/>
    <n v="0"/>
    <d v="2016-03-31T00:00:00"/>
    <x v="1321"/>
    <s v="200"/>
    <s v="SELL"/>
    <n v="9.9548151528982203"/>
    <x v="0"/>
    <x v="1"/>
    <n v="218.11"/>
    <s v="Deal"/>
    <m/>
    <s v="Original Amount [EUR 21.91], Merchant Amount [EUR 21.91], Customer Amount [NOK 218.11], Status [APPROVED], Operation [3DAUTH], UUID [3630541-1458737730-200] [23/03/2016 at 12:55:00]"/>
  </r>
  <r>
    <s v="3630484-1458737640-199"/>
    <s v="Spot"/>
    <s v="3630484-1458737640-199"/>
    <n v="0"/>
    <d v="2016-03-31T00:00:00"/>
    <x v="1322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0484-1458737640-199] [23/03/2016 at 12:54:00]"/>
  </r>
  <r>
    <s v="3630502-1458737657-101"/>
    <s v="Spot"/>
    <s v="3630502-1458737657-101"/>
    <n v="0"/>
    <d v="2016-03-31T00:00:00"/>
    <x v="1323"/>
    <s v="101"/>
    <s v="SELL"/>
    <n v="3.3966038406827881"/>
    <x v="0"/>
    <x v="0"/>
    <n v="382.05"/>
    <s v="Deal"/>
    <m/>
    <s v="Original Amount [EUR 112.48], Merchant Amount [EUR 112.48], Customer Amount [TRY 382.05], Status [APPROVED], Operation [3DAUTH], UUID [3630502-1458737657-101] [23/03/2016 at 12:54:00]"/>
  </r>
  <r>
    <s v="3630514-1458737663-101"/>
    <s v="Spot"/>
    <s v="3630514-1458737663-101"/>
    <n v="0"/>
    <d v="2016-03-31T00:00:00"/>
    <x v="1324"/>
    <s v="101"/>
    <s v="SELL"/>
    <n v="3.396613967384539"/>
    <x v="0"/>
    <x v="0"/>
    <n v="272.85000000000002"/>
    <s v="Deal"/>
    <m/>
    <s v="Original Amount [EUR 80.33], Merchant Amount [EUR 80.33], Customer Amount [TRY 272.85], Status [APPROVED], Operation [3DAUTH], UUID [3630514-1458737663-101] [23/03/2016 at 12:54:00]"/>
  </r>
  <r>
    <s v="3630490-1458737642-216"/>
    <s v="Spot"/>
    <s v="3630490-1458737642-216"/>
    <n v="0"/>
    <d v="2016-03-31T00:00:00"/>
    <x v="1325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490-1458737642-216] [23/03/2016 at 12:54:00]"/>
  </r>
  <r>
    <s v="3630463-1458737607-126"/>
    <s v="Spot"/>
    <s v="3630463-1458737607-126"/>
    <n v="0"/>
    <d v="2016-03-31T00:00:00"/>
    <x v="13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0463-1458737607-126] [23/03/2016 at 12:53:00]"/>
  </r>
  <r>
    <s v="3630454-1458737597-264"/>
    <s v="Spot"/>
    <s v="3630454-1458737597-264"/>
    <n v="0"/>
    <d v="2016-03-31T00:00:00"/>
    <x v="1327"/>
    <s v="264"/>
    <s v="SELL"/>
    <n v="3.403225806451613"/>
    <x v="0"/>
    <x v="0"/>
    <n v="21.1"/>
    <s v="Deal"/>
    <m/>
    <s v="Original Amount [TRY 20], Merchant Amount [EUR 6.2], Customer Amount [TRY 21.1], Status [WAITING], Operation [3D], UUID [3630454-1458737597-264] [23/03/2016 at 12:53:00]"/>
  </r>
  <r>
    <s v="3630442-1458737588-56"/>
    <s v="Spot"/>
    <s v="3630442-1458737588-56"/>
    <n v="0"/>
    <d v="2016-03-31T00:00:00"/>
    <x v="1328"/>
    <s v="56"/>
    <s v="SELL"/>
    <n v="3.3967485299204427"/>
    <x v="0"/>
    <x v="0"/>
    <n v="98.2"/>
    <s v="Deal"/>
    <m/>
    <s v="Original Amount [EUR 28.91], Merchant Amount [EUR 28.91], Customer Amount [TRY 98.2], Status [WAITING], Operation [3D], UUID [3630442-1458737588-56] [23/03/2016 at 12:53:00]"/>
  </r>
  <r>
    <s v="3630472-1458737614-216"/>
    <s v="Spot"/>
    <s v="3630472-1458737614-216"/>
    <n v="0"/>
    <d v="2016-03-31T00:00:00"/>
    <x v="132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472-1458737614-216] [23/03/2016 at 12:53:00]"/>
  </r>
  <r>
    <s v="3630436-1458737579-224"/>
    <s v="Spot"/>
    <s v="3630436-1458737579-224"/>
    <n v="0"/>
    <d v="2016-03-31T00:00:00"/>
    <x v="1330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0436-1458737579-224] [23/03/2016 at 12:52:00]"/>
  </r>
  <r>
    <s v="3630427-1458737575-199"/>
    <s v="Spot"/>
    <s v="3630427-1458737575-199"/>
    <n v="0"/>
    <d v="2016-03-31T00:00:00"/>
    <x v="133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0427-1458737575-199] [23/03/2016 at 12:52:00]"/>
  </r>
  <r>
    <s v="3630460-1458737601-56"/>
    <s v="Spot"/>
    <s v="3630460-1458737601-56"/>
    <n v="0"/>
    <d v="2016-03-31T00:00:00"/>
    <x v="1332"/>
    <s v="56"/>
    <s v="SELL"/>
    <n v="3.3968253968253967"/>
    <x v="0"/>
    <x v="0"/>
    <n v="109.14"/>
    <s v="Deal"/>
    <m/>
    <s v="Original Amount [EUR 32.13], Merchant Amount [EUR 32.13], Customer Amount [TRY 109.14], Status [APPROVED], Operation [3DAUTH], UUID [3630460-1458737601-56] [23/03/2016 at 12:53:00]"/>
  </r>
  <r>
    <s v="3630415-1458737563-241"/>
    <s v="Spot"/>
    <s v="3630415-1458737563-241"/>
    <n v="0"/>
    <d v="2016-03-31T00:00:00"/>
    <x v="1333"/>
    <s v="241"/>
    <s v="SELL"/>
    <n v="9.9545714285714286"/>
    <x v="0"/>
    <x v="1"/>
    <n v="348.41"/>
    <s v="Deal"/>
    <m/>
    <s v="Original Amount [EUR 35], Merchant Amount [EUR 35], Customer Amount [NOK 348.41], Status [APPROVED], Operation [DIRECT], UUID [3630415-1458737563-241] [23/03/2016 at 12:52:00]"/>
  </r>
  <r>
    <s v="3630409-1458737558-187"/>
    <s v="Spot"/>
    <s v="3630409-1458737558-187"/>
    <n v="0"/>
    <d v="2016-03-31T00:00:00"/>
    <x v="1334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0409-1458737558-187] [23/03/2016 at 12:52:00]"/>
  </r>
  <r>
    <s v="3630394-1458737549-261"/>
    <s v="Spot"/>
    <s v="3630394-1458737549-261"/>
    <n v="0"/>
    <d v="2016-03-31T00:00:00"/>
    <x v="1335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0394-1458737549-261] [23/03/2016 at 12:52:00]"/>
  </r>
  <r>
    <s v="3630421-1458737574-107"/>
    <s v="Spot"/>
    <s v="3630421-1458737574-107"/>
    <n v="0"/>
    <d v="2016-03-31T00:00:00"/>
    <x v="1336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421-1458737574-107] [23/03/2016 at 12:52:00]"/>
  </r>
  <r>
    <s v="3630376-1458737526-119"/>
    <s v="Spot"/>
    <s v="3630376-1458737526-119"/>
    <n v="0"/>
    <d v="2016-03-31T00:00:00"/>
    <x v="1337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0376-1458737526-119] [23/03/2016 at 12:52:00]"/>
  </r>
  <r>
    <s v="3630400-1458737552-119"/>
    <s v="Spot"/>
    <s v="3630400-1458737552-119"/>
    <n v="0"/>
    <d v="2016-03-31T00:00:00"/>
    <x v="1338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0400-1458737552-119] [23/03/2016 at 12:52:00]"/>
  </r>
  <r>
    <s v="3630397-1458737549-216"/>
    <s v="Spot"/>
    <s v="3630397-1458737549-216"/>
    <n v="0"/>
    <d v="2016-03-31T00:00:00"/>
    <x v="133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397-1458737549-216] [23/03/2016 at 12:52:00]"/>
  </r>
  <r>
    <s v="3630343-1458737464-125"/>
    <s v="Spot"/>
    <s v="3630343-1458737464-125"/>
    <n v="0"/>
    <d v="2016-03-31T00:00:00"/>
    <x v="1340"/>
    <s v="125"/>
    <s v="SELL"/>
    <n v="1.5558666666666667"/>
    <x v="0"/>
    <x v="5"/>
    <n v="233.38"/>
    <s v="Deal"/>
    <m/>
    <s v="Original Amount [EUR 150], Merchant Amount [EUR 150], Customer Amount [AUD 233.38], Status [APPROVED], Operation [DIRECT], UUID [3630343-1458737464-125] [23/03/2016 at 12:51:00]"/>
  </r>
  <r>
    <s v="3630349-1458737485-107"/>
    <s v="Spot"/>
    <s v="3630349-1458737485-107"/>
    <n v="0"/>
    <d v="2016-03-31T00:00:00"/>
    <x v="1341"/>
    <s v="107"/>
    <s v="SELL"/>
    <n v="3.3919909265398709"/>
    <x v="0"/>
    <x v="0"/>
    <n v="388.79"/>
    <s v="Deal"/>
    <m/>
    <s v="Original Amount [EUR 114.62], Merchant Amount [EUR 114.62], Customer Amount [TRY 388.79], Status [APPROVED], Operation [3DAUTH], UUID [3630349-1458737485-107] [23/03/2016 at 12:51:00]"/>
  </r>
  <r>
    <s v="3630337-1458737455-56"/>
    <s v="Spot"/>
    <s v="3630337-1458737455-56"/>
    <n v="0"/>
    <d v="2016-03-31T00:00:00"/>
    <x v="1342"/>
    <s v="56"/>
    <s v="SELL"/>
    <n v="3.3922018348623855"/>
    <x v="0"/>
    <x v="0"/>
    <n v="103.53"/>
    <s v="Deal"/>
    <m/>
    <s v="Original Amount [EUR 30.52], Merchant Amount [EUR 30.52], Customer Amount [TRY 103.53], Status [WAITING], Operation [3D], UUID [3630337-1458737455-56] [23/03/2016 at 12:50:00]"/>
  </r>
  <r>
    <s v="3630364-1458737515-56"/>
    <s v="Spot"/>
    <s v="3630364-1458737515-56"/>
    <n v="0"/>
    <d v="2016-03-31T00:00:00"/>
    <x v="134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0364-1458737515-56] [23/03/2016 at 12:51:00]"/>
  </r>
  <r>
    <s v="3630325-1458737431-199"/>
    <s v="Spot"/>
    <s v="3630325-1458737431-199"/>
    <n v="0"/>
    <d v="2016-03-31T00:00:00"/>
    <x v="134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325-1458737431-199] [23/03/2016 at 12:50:00]"/>
  </r>
  <r>
    <s v="3630355-1458737509-216"/>
    <s v="Spot"/>
    <s v="3630355-1458737509-216"/>
    <n v="0"/>
    <d v="2016-03-31T00:00:00"/>
    <x v="134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30355-1458737509-216] [23/03/2016 at 12:51:00]"/>
  </r>
  <r>
    <s v="3630319-1458737428-216"/>
    <s v="Spot"/>
    <s v="3630319-1458737428-216"/>
    <n v="0"/>
    <d v="2016-03-31T00:00:00"/>
    <x v="1346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19-1458737428-216] [23/03/2016 at 12:50:00]"/>
  </r>
  <r>
    <s v="3630301-1458737404-216"/>
    <s v="Spot"/>
    <s v="3630301-1458737404-216"/>
    <n v="0"/>
    <d v="2016-03-31T00:00:00"/>
    <x v="1347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01-1458737404-216] [23/03/2016 at 12:50:00]"/>
  </r>
  <r>
    <s v="3630313-1458737420-101"/>
    <s v="Spot"/>
    <s v="3630313-1458737420-101"/>
    <n v="0"/>
    <d v="2016-03-31T00:00:00"/>
    <x v="1348"/>
    <s v="101"/>
    <s v="SELL"/>
    <n v="3.3919564306661081"/>
    <x v="0"/>
    <x v="0"/>
    <n v="809.66"/>
    <s v="Deal"/>
    <m/>
    <s v="Original Amount [EUR 238.7], Merchant Amount [EUR 238.7], Customer Amount [TRY 809.66], Status [APPROVED], Operation [3DAUTH], UUID [3630313-1458737420-101] [23/03/2016 at 12:50:00]"/>
  </r>
  <r>
    <s v="3630289-1458737390-187"/>
    <s v="Spot"/>
    <s v="3630289-1458737390-187"/>
    <n v="0"/>
    <d v="2016-03-31T00:00:00"/>
    <x v="1349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30289-1458737390-187] [23/03/2016 at 12:49:00]"/>
  </r>
  <r>
    <s v="3630286-1458737389-126"/>
    <s v="Spot"/>
    <s v="3630286-1458737389-126"/>
    <n v="0"/>
    <d v="2016-03-31T00:00:00"/>
    <x v="1350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286-1458737389-126] [23/03/2016 at 12:49:00]"/>
  </r>
  <r>
    <s v="3630283-1458737388-224"/>
    <s v="Spot"/>
    <s v="3630283-1458737388-224"/>
    <n v="0"/>
    <d v="2016-03-31T00:00:00"/>
    <x v="1351"/>
    <s v="224"/>
    <s v="SELL"/>
    <n v="133.03777723616867"/>
    <x v="0"/>
    <x v="3"/>
    <n v="5458.54"/>
    <s v="Deal"/>
    <m/>
    <s v="Original Amount [EUR 41.03], Merchant Amount [EUR 41.03], Customer Amount [JPY 5458.54], Status [APPROVED], Operation [DIRECT], UUID [3630283-1458737388-224] [23/03/2016 at 12:49:00]"/>
  </r>
  <r>
    <s v="3630280-1458737382-187"/>
    <s v="Spot"/>
    <s v="3630280-1458737382-187"/>
    <n v="0"/>
    <d v="2016-03-31T00:00:00"/>
    <x v="1352"/>
    <s v="187"/>
    <s v="SELL"/>
    <n v="9.966284345853289"/>
    <x v="0"/>
    <x v="1"/>
    <n v="3162.9"/>
    <s v="Deal"/>
    <m/>
    <s v="Original Amount [EUR 317.36], Merchant Amount [EUR 317.36], Customer Amount [NOK 3162.9], Status [APPROVED], Operation [DIRECT], UUID [3630280-1458737382-187] [23/03/2016 at 12:49:00]"/>
  </r>
  <r>
    <s v="3630310-1458737420-203"/>
    <s v="Spot"/>
    <s v="3630310-1458737420-203"/>
    <n v="0"/>
    <d v="2016-03-31T00:00:00"/>
    <x v="1353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30310-1458737420-203] [23/03/2016 at 12:50:00]"/>
  </r>
  <r>
    <s v="3630268-1458737372-199"/>
    <s v="Spot"/>
    <s v="3630268-1458737372-199"/>
    <n v="0"/>
    <d v="2016-03-31T00:00:00"/>
    <x v="1354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268-1458737372-199] [23/03/2016 at 12:49:00]"/>
  </r>
  <r>
    <s v="3630298-1458737401-216"/>
    <s v="Spot"/>
    <s v="3630298-1458737401-216"/>
    <n v="0"/>
    <d v="2016-03-31T00:00:00"/>
    <x v="1355"/>
    <s v="216"/>
    <s v="SELL"/>
    <n v="3.3920436316971445"/>
    <x v="0"/>
    <x v="0"/>
    <n v="105.73"/>
    <s v="Deal"/>
    <m/>
    <s v="Original Amount [EUR 31.17], Merchant Amount [EUR 31.17], Customer Amount [TRY 105.73], Status [APPROVED], Operation [3DAUTH], UUID [3630298-1458737401-216] [23/03/2016 at 12:50:00]"/>
  </r>
  <r>
    <s v="3630262-1458737369-224"/>
    <s v="Spot"/>
    <s v="3630262-1458737369-224"/>
    <n v="0"/>
    <d v="2016-03-31T00:00:00"/>
    <x v="1356"/>
    <s v="224"/>
    <s v="SELL"/>
    <n v="9.9662739662739668"/>
    <x v="0"/>
    <x v="1"/>
    <n v="431.44"/>
    <s v="Deal"/>
    <m/>
    <s v="Original Amount [EUR 43.29], Merchant Amount [EUR 43.29], Customer Amount [NOK 431.44], Status [APPROVED], Operation [DIRECT], UUID [3630262-1458737369-224] [23/03/2016 at 12:49:00]"/>
  </r>
  <r>
    <s v="3630253-1458737364-199"/>
    <s v="Spot"/>
    <s v="3630253-1458737364-199"/>
    <n v="0"/>
    <d v="2016-03-31T00:00:00"/>
    <x v="1357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0253-1458737364-199] [23/03/2016 at 12:49:00]"/>
  </r>
  <r>
    <s v="3630274-1458737379-107"/>
    <s v="Spot"/>
    <s v="3630274-1458737379-107"/>
    <n v="0"/>
    <d v="2016-03-31T00:00:00"/>
    <x v="1358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74-1458737379-107] [23/03/2016 at 12:49:00]"/>
  </r>
  <r>
    <s v="3630229-1458737325-119"/>
    <s v="Spot"/>
    <s v="3630229-1458737325-119"/>
    <n v="0"/>
    <d v="2016-03-31T00:00:00"/>
    <x v="13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0229-1458737325-119] [23/03/2016 at 12:48:00]"/>
  </r>
  <r>
    <s v="3630235-1458737331-107"/>
    <s v="Spot"/>
    <s v="3630235-1458737331-107"/>
    <n v="0"/>
    <d v="2016-03-31T00:00:00"/>
    <x v="1360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35-1458737331-107] [23/03/2016 at 12:48:00]"/>
  </r>
  <r>
    <s v="3630238-1458737338-56"/>
    <s v="Spot"/>
    <s v="3630238-1458737338-56"/>
    <n v="0"/>
    <d v="2016-03-31T00:00:00"/>
    <x v="1361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0238-1458737338-56] [23/03/2016 at 12:48:00]"/>
  </r>
  <r>
    <s v="3630202-1458737285-119"/>
    <s v="Spot"/>
    <s v="3630202-1458737285-119"/>
    <n v="0"/>
    <d v="2016-03-31T00:00:00"/>
    <x v="1362"/>
    <s v="119"/>
    <s v="SELL"/>
    <n v="9.966333333333333"/>
    <x v="0"/>
    <x v="1"/>
    <n v="1494.95"/>
    <s v="Deal"/>
    <m/>
    <s v="Original Amount [EUR 150], Merchant Amount [EUR 150], Customer Amount [NOK 1494.95], Status [APPROVED], Operation [DIRECT], UUID [3630202-1458737285-119] [23/03/2016 at 12:48:00]"/>
  </r>
  <r>
    <s v="3630241-1458737351-107"/>
    <s v="Spot"/>
    <s v="3630241-1458737351-107"/>
    <n v="0"/>
    <d v="2016-03-31T00:00:00"/>
    <x v="1363"/>
    <s v="107"/>
    <s v="SELL"/>
    <n v="3.396634615384615"/>
    <x v="0"/>
    <x v="0"/>
    <n v="98.91"/>
    <s v="Deal"/>
    <m/>
    <s v="Original Amount [EUR 29.12], Merchant Amount [EUR 29.12], Customer Amount [TRY 98.91], Status [APPROVED], Operation [3DAUTH], UUID [3630241-1458737351-107] [23/03/2016 at 12:49:00]"/>
  </r>
  <r>
    <s v="3630187-1458737263-200"/>
    <s v="Spot"/>
    <s v="3630187-1458737263-200"/>
    <n v="0"/>
    <d v="2016-03-31T00:00:00"/>
    <x v="1364"/>
    <s v="200"/>
    <s v="SELL"/>
    <n v="9.9662996532635812"/>
    <x v="0"/>
    <x v="1"/>
    <n v="1638.36"/>
    <s v="Deal"/>
    <m/>
    <s v="Original Amount [EUR 164.39], Merchant Amount [EUR 164.39], Customer Amount [NOK 1638.36], Status [APPROVED], Operation [STORED], UUID [3630187-1458737263-200] [23/03/2016 at 12:47:00]"/>
  </r>
  <r>
    <s v="3630181-1458737258-261"/>
    <s v="Spot"/>
    <s v="3630181-1458737258-261"/>
    <n v="0"/>
    <d v="2016-03-31T00:00:00"/>
    <x v="1365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0181-1458737258-261] [23/03/2016 at 12:47:00]"/>
  </r>
  <r>
    <s v="3630166-1458737226-224"/>
    <s v="Spot"/>
    <s v="3630166-1458737226-224"/>
    <n v="0"/>
    <d v="2016-03-31T00:00:00"/>
    <x v="1366"/>
    <s v="224"/>
    <s v="SELL"/>
    <n v="9.9664998074701572"/>
    <x v="0"/>
    <x v="1"/>
    <n v="258.83"/>
    <s v="Deal"/>
    <m/>
    <s v="Original Amount [EUR 25.97], Merchant Amount [EUR 25.97], Customer Amount [NOK 258.83], Status [APPROVED], Operation [DIRECT], UUID [3630166-1458737226-224] [23/03/2016 at 12:47:00]"/>
  </r>
  <r>
    <s v="3630163-1458737226-224"/>
    <s v="Spot"/>
    <s v="3630163-1458737226-224"/>
    <n v="0"/>
    <d v="2016-03-31T00:00:00"/>
    <x v="1367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30163-1458737226-224] [23/03/2016 at 12:47:00]"/>
  </r>
  <r>
    <s v="3630151-1458737220-224"/>
    <s v="Spot"/>
    <s v="3630151-1458737220-224"/>
    <n v="0"/>
    <d v="2016-03-31T00:00:00"/>
    <x v="1368"/>
    <s v="224"/>
    <s v="SELL"/>
    <n v="9.9662691652470183"/>
    <x v="0"/>
    <x v="1"/>
    <n v="3217.61"/>
    <s v="Deal"/>
    <m/>
    <s v="Original Amount [EUR 322.85], Merchant Amount [EUR 322.85], Customer Amount [NOK 3217.61], Status [APPROVED], Operation [DIRECT], UUID [3630151-1458737220-224] [23/03/2016 at 12:47:00]"/>
  </r>
  <r>
    <s v="3630145-1458737211-199"/>
    <s v="Spot"/>
    <s v="3630145-1458737211-199"/>
    <n v="0"/>
    <d v="2016-03-31T00:00:00"/>
    <x v="1369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145-1458737211-199] [23/03/2016 at 12:46:00]"/>
  </r>
  <r>
    <s v="3630142-1458737210-224"/>
    <s v="Spot"/>
    <s v="3630142-1458737210-224"/>
    <n v="0"/>
    <d v="2016-03-31T00:00:00"/>
    <x v="1370"/>
    <s v="224"/>
    <s v="SELL"/>
    <n v="133.03552631578947"/>
    <x v="0"/>
    <x v="3"/>
    <n v="6066.42"/>
    <s v="Deal"/>
    <m/>
    <s v="Original Amount [EUR 45.6], Merchant Amount [EUR 45.6], Customer Amount [JPY 6066.42], Status [APPROVED], Operation [DIRECT], UUID [3630142-1458737210-224] [23/03/2016 at 12:46:00]"/>
  </r>
  <r>
    <s v="3630193-1458737268-216"/>
    <s v="Spot"/>
    <s v="3630193-1458737268-216"/>
    <n v="0"/>
    <d v="2016-03-31T00:00:00"/>
    <x v="1371"/>
    <s v="216"/>
    <s v="SELL"/>
    <n v="3.3966247433264889"/>
    <x v="0"/>
    <x v="0"/>
    <n v="529.33000000000004"/>
    <s v="Deal"/>
    <m/>
    <s v="Original Amount [EUR 155.84], Merchant Amount [EUR 155.84], Customer Amount [TRY 529.33], Status [APPROVED], Operation [3DAUTH], UUID [3630193-1458737268-216] [23/03/2016 at 12:47:00]"/>
  </r>
  <r>
    <s v="3630121-1458737193-199"/>
    <s v="Spot"/>
    <s v="3630121-1458737193-199"/>
    <n v="0"/>
    <d v="2016-03-31T00:00:00"/>
    <x v="1372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121-1458737193-199] [23/03/2016 at 12:46:00]"/>
  </r>
  <r>
    <s v="3630118-1458737192-216"/>
    <s v="Spot"/>
    <s v="3630118-1458737192-216"/>
    <n v="0"/>
    <d v="2016-03-31T00:00:00"/>
    <x v="1373"/>
    <s v="216"/>
    <s v="SELL"/>
    <n v="3.3968559512351617"/>
    <x v="0"/>
    <x v="0"/>
    <n v="105.88"/>
    <s v="Deal"/>
    <m/>
    <s v="Original Amount [EUR 31.17], Merchant Amount [EUR 31.17], Customer Amount [TRY 105.88], Status [WAITING], Operation [3D], UUID [3630118-1458737192-216] [23/03/2016 at 12:46:00]"/>
  </r>
  <r>
    <s v="3630109-1458737188-216"/>
    <s v="Spot"/>
    <s v="3630109-1458737188-216"/>
    <n v="0"/>
    <d v="2016-03-31T00:00:00"/>
    <x v="1374"/>
    <s v="216"/>
    <s v="SELL"/>
    <n v="3.3970064148253742"/>
    <x v="0"/>
    <x v="0"/>
    <n v="47.66"/>
    <s v="Deal"/>
    <m/>
    <s v="Original Amount [EUR 14.03], Merchant Amount [EUR 14.03], Customer Amount [TRY 47.66], Status [APPROVED], Operation [3DAUTH], UUID [3630109-1458737188-216] [23/03/2016 at 12:46:00]"/>
  </r>
  <r>
    <s v="3630061-1458737153-224"/>
    <s v="Spot"/>
    <s v="3630061-1458737153-224"/>
    <n v="0"/>
    <d v="2016-03-31T00:00:00"/>
    <x v="137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061-1458737153-224] [23/03/2016 at 12:45:00]"/>
  </r>
  <r>
    <s v="3630058-1458737153-119"/>
    <s v="Spot"/>
    <s v="3630058-1458737153-119"/>
    <n v="0"/>
    <d v="2016-03-31T00:00:00"/>
    <x v="137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058-1458737153-119] [23/03/2016 at 12:45:00]"/>
  </r>
  <r>
    <s v="3630052-1458737147-261"/>
    <s v="Spot"/>
    <s v="3630052-1458737147-261"/>
    <n v="0"/>
    <d v="2016-03-31T00:00:00"/>
    <x v="1377"/>
    <s v="261"/>
    <s v="SELL"/>
    <n v="9.9663551401869164"/>
    <x v="0"/>
    <x v="1"/>
    <n v="106.64"/>
    <s v="Deal"/>
    <m/>
    <s v="Original Amount [EUR 10.7], Merchant Amount [EUR 10.7], Customer Amount [NOK 106.64], Status [WAITING], Operation [3D], UUID [3630052-1458737147-261] [23/03/2016 at 12:45:00]"/>
  </r>
  <r>
    <s v="3630049-1458737141-224"/>
    <s v="Spot"/>
    <s v="3630049-1458737141-224"/>
    <n v="0"/>
    <d v="2016-03-31T00:00:00"/>
    <x v="1378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049-1458737141-224] [23/03/2016 at 12:45:00]"/>
  </r>
  <r>
    <s v="3630046-1458737140-200"/>
    <s v="Spot"/>
    <s v="3630046-1458737140-200"/>
    <n v="0"/>
    <d v="2016-03-31T00:00:00"/>
    <x v="1379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0046-1458737140-200] [23/03/2016 at 12:45:00]"/>
  </r>
  <r>
    <s v="3630043-1458737139-200"/>
    <s v="Spot"/>
    <s v="3630043-1458737139-200"/>
    <n v="0"/>
    <d v="2016-03-31T00:00:00"/>
    <x v="1380"/>
    <s v="200"/>
    <s v="SELL"/>
    <n v="9.9665450121654491"/>
    <x v="0"/>
    <x v="1"/>
    <n v="327.7"/>
    <s v="Deal"/>
    <m/>
    <s v="Original Amount [EUR 32.88], Merchant Amount [EUR 32.88], Customer Amount [NOK 327.7], Status [APPROVED], Operation [STORED], UUID [3630043-1458737139-200] [23/03/2016 at 12:45:00]"/>
  </r>
  <r>
    <s v="3630085-1458737167-56"/>
    <s v="Spot"/>
    <s v="3630085-1458737167-56"/>
    <n v="0"/>
    <d v="2016-03-31T00:00:00"/>
    <x v="1381"/>
    <s v="56"/>
    <s v="SELL"/>
    <n v="3.3967239967239968"/>
    <x v="0"/>
    <x v="0"/>
    <n v="207.37"/>
    <s v="Deal"/>
    <m/>
    <s v="Original Amount [EUR 61.05], Merchant Amount [EUR 61.05], Customer Amount [TRY 207.37], Status [APPROVED], Operation [3DAUTH], UUID [3630085-1458737167-56] [23/03/2016 at 12:46:00]"/>
  </r>
  <r>
    <s v="3630010-1458737104-224"/>
    <s v="Spot"/>
    <s v="3630010-1458737104-224"/>
    <n v="0"/>
    <d v="2016-03-31T00:00:00"/>
    <x v="138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0010-1458737104-224] [23/03/2016 at 12:45:00]"/>
  </r>
  <r>
    <s v="3629995-1458737082-124"/>
    <s v="Spot"/>
    <s v="3629995-1458737082-124"/>
    <n v="0"/>
    <d v="2016-03-31T00:00:00"/>
    <x v="1383"/>
    <s v="124"/>
    <s v="SELL"/>
    <n v="9.9546742209631738"/>
    <x v="0"/>
    <x v="1"/>
    <n v="210.84"/>
    <s v="Deal"/>
    <m/>
    <s v="Original Amount [EUR 21.18], Merchant Amount [EUR 21.18], Customer Amount [NOK 210.84], Status [APPROVED], Operation [DIRECT], UUID [3629995-1458737082-124] [23/03/2016 at 12:44:00]"/>
  </r>
  <r>
    <s v="3629989-1458737076-200"/>
    <s v="Spot"/>
    <s v="3629989-1458737076-200"/>
    <n v="0"/>
    <d v="2016-03-31T00:00:00"/>
    <x v="1384"/>
    <s v="200"/>
    <s v="SELL"/>
    <n v="9.956666666666667"/>
    <x v="0"/>
    <x v="1"/>
    <n v="29.87"/>
    <s v="Deal"/>
    <m/>
    <s v="Original Amount [EUR 3], Merchant Amount [EUR 3], Customer Amount [NOK 29.87], Status [APPROVED], Operation [STORED], UUID [3629989-1458737076-200] [23/03/2016 at 12:44:00]"/>
  </r>
  <r>
    <s v="3629986-1458737072-125"/>
    <s v="Spot"/>
    <s v="3629986-1458737072-125"/>
    <n v="0"/>
    <d v="2016-03-31T00:00:00"/>
    <x v="1385"/>
    <s v="125"/>
    <s v="SELL"/>
    <n v="1.5508000000000002"/>
    <x v="0"/>
    <x v="5"/>
    <n v="77.540000000000006"/>
    <s v="Deal"/>
    <m/>
    <s v="Original Amount [EUR 50], Merchant Amount [EUR 50], Customer Amount [AUD 77.54], Status [APPROVED], Operation [DIRECT], UUID [3629986-1458737072-125] [23/03/2016 at 12:44:00]"/>
  </r>
  <r>
    <s v="3629977-1458737068-119"/>
    <s v="Spot"/>
    <s v="3629977-1458737068-119"/>
    <n v="0"/>
    <d v="2016-03-31T00:00:00"/>
    <x v="1386"/>
    <s v="119"/>
    <s v="SELL"/>
    <n v="9.954559999999999"/>
    <x v="0"/>
    <x v="1"/>
    <n v="2488.64"/>
    <s v="Deal"/>
    <m/>
    <s v="Original Amount [EUR 250], Merchant Amount [EUR 250], Customer Amount [NOK 2488.64], Status [APPROVED], Operation [DIRECT], UUID [3629977-1458737068-119] [23/03/2016 at 12:44:00]"/>
  </r>
  <r>
    <s v="3630019-1458737111-216"/>
    <s v="Spot"/>
    <s v="3630019-1458737111-216"/>
    <n v="0"/>
    <d v="2016-03-31T00:00:00"/>
    <x v="1387"/>
    <s v="216"/>
    <s v="SELL"/>
    <n v="3.3920436316971445"/>
    <x v="0"/>
    <x v="0"/>
    <n v="211.46"/>
    <s v="Deal"/>
    <m/>
    <s v="Original Amount [EUR 62.34], Merchant Amount [EUR 62.34], Customer Amount [TRY 211.46], Status [APPROVED], Operation [3DAUTH], UUID [3630019-1458737111-216] [23/03/2016 at 12:45:00]"/>
  </r>
  <r>
    <s v="3629965-1458737050-119"/>
    <s v="Spot"/>
    <s v="3629965-1458737050-119"/>
    <n v="0"/>
    <d v="2016-03-31T00:00:00"/>
    <x v="138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65-1458737050-119] [23/03/2016 at 12:44:00]"/>
  </r>
  <r>
    <s v="3629959-1458737042-200"/>
    <s v="Spot"/>
    <s v="3629959-1458737042-200"/>
    <n v="0"/>
    <d v="2016-03-31T00:00:00"/>
    <x v="1389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29959-1458737042-200] [23/03/2016 at 12:44:00]"/>
  </r>
  <r>
    <s v="3629953-1458737027-199"/>
    <s v="Spot"/>
    <s v="3629953-1458737027-199"/>
    <n v="0"/>
    <d v="2016-03-31T00:00:00"/>
    <x v="1390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953-1458737027-199] [23/03/2016 at 12:43:00]"/>
  </r>
  <r>
    <s v="3629950-1458737020-224"/>
    <s v="Spot"/>
    <s v="3629950-1458737020-224"/>
    <n v="0"/>
    <d v="2016-03-31T00:00:00"/>
    <x v="1391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50-1458737020-224] [23/03/2016 at 12:43:00]"/>
  </r>
  <r>
    <s v="3629944-1458737019-119"/>
    <s v="Spot"/>
    <s v="3629944-1458737019-119"/>
    <n v="0"/>
    <d v="2016-03-31T00:00:00"/>
    <x v="1392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44-1458737019-119] [23/03/2016 at 12:43:00]"/>
  </r>
  <r>
    <s v="3629941-1458737016-199"/>
    <s v="Spot"/>
    <s v="3629941-1458737016-199"/>
    <n v="0"/>
    <d v="2016-03-31T00:00:00"/>
    <x v="139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941-1458737016-199] [23/03/2016 at 12:43:00]"/>
  </r>
  <r>
    <s v="3629935-1458737009-224"/>
    <s v="Spot"/>
    <s v="3629935-1458737009-224"/>
    <n v="0"/>
    <d v="2016-03-31T00:00:00"/>
    <x v="1394"/>
    <s v="224"/>
    <s v="SELL"/>
    <n v="133.03552891293225"/>
    <x v="0"/>
    <x v="3"/>
    <n v="18197.93"/>
    <s v="Deal"/>
    <m/>
    <s v="Original Amount [EUR 136.79], Merchant Amount [EUR 136.79], Customer Amount [JPY 18197.93], Status [APPROVED], Operation [DIRECT], UUID [3629935-1458737009-224] [23/03/2016 at 12:43:00]"/>
  </r>
  <r>
    <s v="3629929-1458736994-224"/>
    <s v="Spot"/>
    <s v="3629929-1458736994-224"/>
    <n v="0"/>
    <d v="2016-03-31T00:00:00"/>
    <x v="1395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9929-1458736994-224] [23/03/2016 at 12:43:00]"/>
  </r>
  <r>
    <s v="3629947-1458737019-216"/>
    <s v="Spot"/>
    <s v="3629947-1458737019-216"/>
    <n v="0"/>
    <d v="2016-03-31T00:00:00"/>
    <x v="1396"/>
    <s v="216"/>
    <s v="SELL"/>
    <n v="3.3921411387329585"/>
    <x v="0"/>
    <x v="0"/>
    <n v="42.3"/>
    <s v="Deal"/>
    <m/>
    <s v="Original Amount [EUR 12.47], Merchant Amount [EUR 12.47], Customer Amount [TRY 42.3], Status [APPROVED], Operation [3DAUTH], UUID [3629947-1458737019-216] [23/03/2016 at 12:43:00]"/>
  </r>
  <r>
    <s v="3629905-1458736959-224"/>
    <s v="Spot"/>
    <s v="3629905-1458736959-224"/>
    <n v="0"/>
    <d v="2016-03-31T00:00:00"/>
    <x v="1397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05-1458736959-224] [23/03/2016 at 12:42:00]"/>
  </r>
  <r>
    <s v="3629923-1458736990-119"/>
    <s v="Spot"/>
    <s v="3629923-1458736990-119"/>
    <n v="0"/>
    <d v="2016-03-31T00:00:00"/>
    <x v="1398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9923-1458736990-119] [23/03/2016 at 12:43:00]"/>
  </r>
  <r>
    <s v="3629896-1458736934-224"/>
    <s v="Spot"/>
    <s v="3629896-1458736934-224"/>
    <n v="0"/>
    <d v="2016-03-31T00:00:00"/>
    <x v="1399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896-1458736934-224] [23/03/2016 at 12:42:00]"/>
  </r>
  <r>
    <s v="3629899-1458736939-101"/>
    <s v="Spot"/>
    <s v="3629899-1458736939-101"/>
    <n v="0"/>
    <d v="2016-03-31T00:00:00"/>
    <x v="1400"/>
    <s v="101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29899-1458736939-101] [23/03/2016 at 12:42:00]"/>
  </r>
  <r>
    <s v="3629893-1458736933-216"/>
    <s v="Spot"/>
    <s v="3629893-1458736933-216"/>
    <n v="0"/>
    <d v="2016-03-31T00:00:00"/>
    <x v="1401"/>
    <s v="216"/>
    <s v="SELL"/>
    <n v="3.3878336755646821"/>
    <x v="0"/>
    <x v="0"/>
    <n v="527.96"/>
    <s v="Deal"/>
    <m/>
    <s v="Original Amount [EUR 155.84], Merchant Amount [EUR 155.84], Customer Amount [TRY 527.96], Status [APPROVED], Operation [3DAUTH], UUID [3629893-1458736933-216] [23/03/2016 at 12:42:00]"/>
  </r>
  <r>
    <s v="3629887-1458736928-216"/>
    <s v="Spot"/>
    <s v="3629887-1458736928-216"/>
    <n v="0"/>
    <d v="2016-03-31T00:00:00"/>
    <x v="1402"/>
    <s v="216"/>
    <s v="SELL"/>
    <n v="3.388235294117647"/>
    <x v="0"/>
    <x v="0"/>
    <n v="63.36"/>
    <s v="Deal"/>
    <m/>
    <s v="Original Amount [EUR 18.7], Merchant Amount [EUR 18.7], Customer Amount [TRY 63.36], Status [APPROVED], Operation [3DAUTH], UUID [3629887-1458736928-216] [23/03/2016 at 12:42:00]"/>
  </r>
  <r>
    <s v="3629875-1458736916-203"/>
    <s v="Spot"/>
    <s v="3629875-1458736916-203"/>
    <n v="0"/>
    <d v="2016-03-31T00:00:00"/>
    <x v="1403"/>
    <s v="203"/>
    <s v="SELL"/>
    <n v="3.3879531829860121"/>
    <x v="0"/>
    <x v="0"/>
    <n v="237.36"/>
    <s v="Deal"/>
    <m/>
    <s v="Original Amount [EUR 70.06], Merchant Amount [EUR 70.06], Customer Amount [TRY 237.36], Status [APPROVED], Operation [3DAUTH], UUID [3629875-1458736916-203] [23/03/2016 at 12:41:00]"/>
  </r>
  <r>
    <s v="3629833-1458736863-119"/>
    <s v="Spot"/>
    <s v="3629833-1458736863-119"/>
    <n v="0"/>
    <d v="2016-03-31T00:00:00"/>
    <x v="1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9833-1458736863-119] [23/03/2016 at 12:41:00]"/>
  </r>
  <r>
    <s v="3629830-1458736862-261"/>
    <s v="Spot"/>
    <s v="3629830-1458736862-261"/>
    <n v="0"/>
    <d v="2016-03-31T00:00:00"/>
    <x v="1405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29830-1458736862-261] [23/03/2016 at 12:41:00]"/>
  </r>
  <r>
    <s v="3629824-1458736856-199"/>
    <s v="Spot"/>
    <s v="3629824-1458736856-199"/>
    <n v="0"/>
    <d v="2016-03-31T00:00:00"/>
    <x v="140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9824-1458736856-199] [23/03/2016 at 12:40:00]"/>
  </r>
  <r>
    <s v="3629812-1458736847-56"/>
    <s v="Spot"/>
    <s v="3629812-1458736847-56"/>
    <n v="0"/>
    <d v="2016-03-31T00:00:00"/>
    <x v="1407"/>
    <s v="56"/>
    <s v="SELL"/>
    <n v="3.3879423328964617"/>
    <x v="0"/>
    <x v="0"/>
    <n v="103.4"/>
    <s v="Deal"/>
    <m/>
    <s v="Original Amount [EUR 30.52], Merchant Amount [EUR 30.52], Customer Amount [TRY 103.4], Status [WAITING], Operation [3D], UUID [3629812-1458736847-56] [23/03/2016 at 12:40:00]"/>
  </r>
  <r>
    <s v="3629806-1458736844-216"/>
    <s v="Spot"/>
    <s v="3629806-1458736844-216"/>
    <n v="0"/>
    <d v="2016-03-31T00:00:00"/>
    <x v="1408"/>
    <s v="216"/>
    <s v="SELL"/>
    <n v="3.3881064162754302"/>
    <x v="0"/>
    <x v="0"/>
    <n v="86.6"/>
    <s v="Deal"/>
    <m/>
    <s v="Original Amount [EUR 25.56], Merchant Amount [EUR 25.56], Customer Amount [TRY 86.6], Status [APPROVED], Operation [3DAUTH], UUID [3629806-1458736844-216] [23/03/2016 at 12:40:00]"/>
  </r>
  <r>
    <s v="3629791-1458736821-145"/>
    <s v="Spot"/>
    <s v="3629791-1458736821-145"/>
    <n v="0"/>
    <d v="2016-03-31T00:00:00"/>
    <x v="140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29791-1458736821-145] [23/03/2016 at 12:40:00]"/>
  </r>
  <r>
    <s v="3629767-1458736778-224"/>
    <s v="Spot"/>
    <s v="3629767-1458736778-224"/>
    <n v="0"/>
    <d v="2016-03-31T00:00:00"/>
    <x v="1410"/>
    <s v="224"/>
    <s v="SELL"/>
    <n v="9.9506335797254479"/>
    <x v="0"/>
    <x v="1"/>
    <n v="376.93"/>
    <s v="Deal"/>
    <m/>
    <s v="Original Amount [EUR 37.88], Merchant Amount [EUR 37.88], Customer Amount [NOK 376.93], Status [APPROVED], Operation [DIRECT], UUID [3629767-1458736778-224] [23/03/2016 at 12:39:00]"/>
  </r>
  <r>
    <s v="3629764-1458736776-224"/>
    <s v="Spot"/>
    <s v="3629764-1458736776-224"/>
    <n v="0"/>
    <d v="2016-03-31T00:00:00"/>
    <x v="1411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29764-1458736776-224] [23/03/2016 at 12:39:00]"/>
  </r>
  <r>
    <s v="3629755-1458736761-56"/>
    <s v="Spot"/>
    <s v="3629755-1458736761-56"/>
    <n v="0"/>
    <d v="2016-03-31T00:00:00"/>
    <x v="1412"/>
    <s v="56"/>
    <s v="SELL"/>
    <n v="3.387920298879203"/>
    <x v="0"/>
    <x v="0"/>
    <n v="54.41"/>
    <s v="Deal"/>
    <m/>
    <s v="Original Amount [EUR 16.06], Merchant Amount [EUR 16.06], Customer Amount [TRY 54.41], Status [WAITING], Operation [3D], UUID [3629755-1458736761-56] [23/03/2016 at 12:39:00]"/>
  </r>
  <r>
    <s v="3629746-1458736728-224"/>
    <s v="Spot"/>
    <s v="3629746-1458736728-224"/>
    <n v="0"/>
    <d v="2016-03-31T00:00:00"/>
    <x v="141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746-1458736728-224] [23/03/2016 at 12:38:00]"/>
  </r>
  <r>
    <s v="3629776-1458736792-216"/>
    <s v="Spot"/>
    <s v="3629776-1458736792-216"/>
    <n v="0"/>
    <d v="2016-03-31T00:00:00"/>
    <x v="1414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776-1458736792-216] [23/03/2016 at 12:39:00]"/>
  </r>
  <r>
    <s v="3629740-1458736704-238"/>
    <s v="Spot"/>
    <s v="3629740-1458736704-238"/>
    <n v="0"/>
    <d v="2016-03-31T00:00:00"/>
    <x v="14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9740-1458736704-238] [23/03/2016 at 12:38:00]"/>
  </r>
  <r>
    <s v="3629737-1458736701-261"/>
    <s v="Spot"/>
    <s v="3629737-1458736701-261"/>
    <n v="0"/>
    <d v="2016-03-31T00:00:00"/>
    <x v="1416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DIRECT], UUID [3629737-1458736701-261] [23/03/2016 at 12:38:00]"/>
  </r>
  <r>
    <s v="3629731-1458736697-119"/>
    <s v="Spot"/>
    <s v="3629731-1458736697-119"/>
    <n v="0"/>
    <d v="2016-03-31T00:00:00"/>
    <x v="141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9731-1458736697-119] [23/03/2016 at 12:38:00]"/>
  </r>
  <r>
    <s v="3629719-1458736689-145"/>
    <s v="Spot"/>
    <s v="3629719-1458736689-145"/>
    <n v="0"/>
    <d v="2016-03-31T00:00:00"/>
    <x v="1418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29719-1458736689-145] [23/03/2016 at 12:38:00]"/>
  </r>
  <r>
    <s v="3629710-1458736679-200"/>
    <s v="Spot"/>
    <s v="3629710-1458736679-200"/>
    <n v="0"/>
    <d v="2016-03-31T00:00:00"/>
    <x v="14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9710-1458736679-200] [23/03/2016 at 12:37:00]"/>
  </r>
  <r>
    <s v="3629698-1458736668-224"/>
    <s v="Spot"/>
    <s v="3629698-1458736668-224"/>
    <n v="0"/>
    <d v="2016-03-31T00:00:00"/>
    <x v="1420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9698-1458736668-224] [23/03/2016 at 12:37:00]"/>
  </r>
  <r>
    <s v="3629728-1458736694-216"/>
    <s v="Spot"/>
    <s v="3629728-1458736694-216"/>
    <n v="0"/>
    <d v="2016-03-31T00:00:00"/>
    <x v="1421"/>
    <s v="216"/>
    <s v="SELL"/>
    <n v="3.3923006416131987"/>
    <x v="0"/>
    <x v="0"/>
    <n v="37.01"/>
    <s v="Deal"/>
    <m/>
    <s v="Original Amount [EUR 10.91], Merchant Amount [EUR 10.91], Customer Amount [TRY 37.01], Status [APPROVED], Operation [3DAUTH], UUID [3629728-1458736694-216] [23/03/2016 at 12:38:00]"/>
  </r>
  <r>
    <s v="3629692-1458736666-203"/>
    <s v="Spot"/>
    <s v="3629692-1458736666-203"/>
    <n v="0"/>
    <d v="2016-03-31T00:00:00"/>
    <x v="142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9692-1458736666-203] [23/03/2016 at 12:37:00]"/>
  </r>
  <r>
    <s v="3629686-1458736653-224"/>
    <s v="Spot"/>
    <s v="3629686-1458736653-224"/>
    <n v="0"/>
    <d v="2016-03-31T00:00:00"/>
    <x v="142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29686-1458736653-224] [23/03/2016 at 12:37:00]"/>
  </r>
  <r>
    <s v="3629704-1458736673-216"/>
    <s v="Spot"/>
    <s v="3629704-1458736673-216"/>
    <n v="0"/>
    <d v="2016-03-31T00:00:00"/>
    <x v="1424"/>
    <s v="216"/>
    <s v="SELL"/>
    <n v="3.3920608108108108"/>
    <x v="0"/>
    <x v="0"/>
    <n v="200.81"/>
    <s v="Deal"/>
    <m/>
    <s v="Original Amount [EUR 59.2], Merchant Amount [EUR 59.2], Customer Amount [TRY 200.81], Status [APPROVED], Operation [3DAUTH], UUID [3629704-1458736673-216] [23/03/2016 at 12:37:00]"/>
  </r>
  <r>
    <s v="3629689-1458736666-119"/>
    <s v="Spot"/>
    <s v="3629689-1458736666-119"/>
    <n v="0"/>
    <d v="2016-03-31T00:00:00"/>
    <x v="1425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29689-1458736666-119] [23/03/2016 at 12:37:00]"/>
  </r>
  <r>
    <s v="3629659-1458736613-216"/>
    <s v="Spot"/>
    <s v="3629659-1458736613-216"/>
    <n v="0"/>
    <d v="2016-03-31T00:00:00"/>
    <x v="1426"/>
    <s v="216"/>
    <s v="SELL"/>
    <n v="3.3920608108108108"/>
    <x v="0"/>
    <x v="0"/>
    <n v="200.81"/>
    <s v="Deal"/>
    <m/>
    <s v="Original Amount [EUR 59.2], Merchant Amount [EUR 59.2], Customer Amount [TRY 200.81], Status [WAITING], Operation [3D], UUID [3629659-1458736613-216] [23/03/2016 at 12:36:00]"/>
  </r>
  <r>
    <s v="3629656-1458736612-261"/>
    <s v="Spot"/>
    <s v="3629656-1458736612-261"/>
    <n v="0"/>
    <d v="2016-03-31T00:00:00"/>
    <x v="1427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29656-1458736612-261] [23/03/2016 at 12:36:00]"/>
  </r>
  <r>
    <s v="3629650-1458736603-187"/>
    <s v="Spot"/>
    <s v="3629650-1458736603-187"/>
    <n v="0"/>
    <d v="2016-03-31T00:00:00"/>
    <x v="142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9650-1458736603-187] [23/03/2016 at 12:36:00]"/>
  </r>
  <r>
    <s v="3629632-1458736583-119"/>
    <s v="Spot"/>
    <s v="3629632-1458736583-119"/>
    <n v="0"/>
    <d v="2016-03-31T00:00:00"/>
    <x v="142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9632-1458736583-119] [23/03/2016 at 12:36:00]"/>
  </r>
  <r>
    <s v="3629647-1458736601-264"/>
    <s v="Spot"/>
    <s v="3629647-1458736601-264"/>
    <n v="0"/>
    <d v="2016-03-31T00:00:00"/>
    <x v="1430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29647-1458736601-264] [23/03/2016 at 12:36:00]"/>
  </r>
  <r>
    <s v="3629653-1458736612-61"/>
    <s v="Spot"/>
    <s v="3629653-1458736612-61"/>
    <n v="0"/>
    <d v="2016-03-31T00:00:00"/>
    <x v="1431"/>
    <s v="61"/>
    <s v="SELL"/>
    <n v="9.954600000000001"/>
    <x v="0"/>
    <x v="1"/>
    <n v="995.46"/>
    <s v="Deal"/>
    <m/>
    <s v="Original Amount [EUR 100], Merchant Amount [EUR 100], Customer Amount [NOK 995.46], Status [APPROVED], Operation [3DAUTH], UUID [3629653-1458736612-61] [23/03/2016 at 12:36:00]"/>
  </r>
  <r>
    <s v="3629620-1458736574-224"/>
    <s v="Spot"/>
    <s v="3629620-1458736574-224"/>
    <n v="0"/>
    <d v="2016-03-31T00:00:00"/>
    <x v="1432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620-1458736574-224] [23/03/2016 at 12:36:00]"/>
  </r>
  <r>
    <s v="3629617-1458736573-119"/>
    <s v="Spot"/>
    <s v="3629617-1458736573-119"/>
    <n v="0"/>
    <d v="2016-03-31T00:00:00"/>
    <x v="143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617-1458736573-119] [23/03/2016 at 12:36:00]"/>
  </r>
  <r>
    <s v="3629614-1458736568-224"/>
    <s v="Spot"/>
    <s v="3629614-1458736568-224"/>
    <n v="0"/>
    <d v="2016-03-31T00:00:00"/>
    <x v="1434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29614-1458736568-224] [23/03/2016 at 12:36:00]"/>
  </r>
  <r>
    <s v="3629611-1458736565-261"/>
    <s v="Spot"/>
    <s v="3629611-1458736565-261"/>
    <n v="0"/>
    <d v="2016-03-31T00:00:00"/>
    <x v="1435"/>
    <s v="261"/>
    <s v="SELL"/>
    <n v="9.9545846507617135"/>
    <x v="0"/>
    <x v="1"/>
    <n v="3116.88"/>
    <s v="Deal"/>
    <m/>
    <s v="Original Amount [EUR 313.11], Merchant Amount [EUR 313.11], Customer Amount [NOK 3116.88], Status [APPROVED], Operation [DIRECT], UUID [3629611-1458736565-261] [23/03/2016 at 12:36:00]"/>
  </r>
  <r>
    <s v="3629638-1458736588-56"/>
    <s v="Spot"/>
    <s v="3629638-1458736588-56"/>
    <n v="0"/>
    <d v="2016-03-31T00:00:00"/>
    <x v="1436"/>
    <s v="56"/>
    <s v="SELL"/>
    <n v="3.392010832769127"/>
    <x v="0"/>
    <x v="0"/>
    <n v="50.1"/>
    <s v="Deal"/>
    <m/>
    <s v="Original Amount [EUR 14.77], Merchant Amount [EUR 14.77], Customer Amount [TRY 50.1], Status [APPROVED], Operation [3DAUTH], UUID [3629638-1458736588-56] [23/03/2016 at 12:36:00]"/>
  </r>
  <r>
    <s v="3629602-1458736550-199"/>
    <s v="Spot"/>
    <s v="3629602-1458736550-199"/>
    <n v="0"/>
    <d v="2016-03-31T00:00:00"/>
    <x v="1437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29602-1458736550-199] [23/03/2016 at 12:35:00]"/>
  </r>
  <r>
    <s v="3629599-1458736537-212"/>
    <s v="Spot"/>
    <s v="3629599-1458736537-212"/>
    <n v="0"/>
    <d v="2016-03-31T00:00:00"/>
    <x v="1438"/>
    <s v="212"/>
    <s v="SELL"/>
    <n v="0.83333333333333337"/>
    <x v="0"/>
    <x v="4"/>
    <n v="10"/>
    <s v="Deal"/>
    <m/>
    <s v="Original Amount [EUR 12], Merchant Amount [EUR 12], Customer Amount [GBP 10], Status [APPROVED], Operation [3DAUTH], UUID [3629599-1458736537-212] [23/03/2016 at 12:35:00]"/>
  </r>
  <r>
    <s v="3629590-1458736530-196"/>
    <s v="Spot"/>
    <s v="3629590-1458736530-196"/>
    <n v="0"/>
    <d v="2016-03-31T00:00:00"/>
    <x v="1439"/>
    <s v="196"/>
    <s v="SELL"/>
    <n v="9.975903614457831"/>
    <x v="0"/>
    <x v="1"/>
    <n v="99.36"/>
    <s v="Deal"/>
    <m/>
    <s v="Original Amount [EUR 9.96], Merchant Amount [EUR 9.96], Customer Amount [NOK 99.36], Status [APPROVED], Operation [3DAUTH], UUID [3629590-1458736530-196] [23/03/2016 at 12:35:00]"/>
  </r>
  <r>
    <s v="3629575-1458736478-261"/>
    <s v="Spot"/>
    <s v="3629575-1458736478-261"/>
    <n v="0"/>
    <d v="2016-03-31T00:00:00"/>
    <x v="1440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75-1458736478-261] [23/03/2016 at 12:34:00]"/>
  </r>
  <r>
    <s v="3629569-1458736473-224"/>
    <s v="Spot"/>
    <s v="3629569-1458736473-224"/>
    <n v="0"/>
    <d v="2016-03-31T00:00:00"/>
    <x v="1441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29569-1458736473-224] [23/03/2016 at 12:34:00]"/>
  </r>
  <r>
    <s v="3629557-1458736464-224"/>
    <s v="Spot"/>
    <s v="3629557-1458736464-224"/>
    <n v="0"/>
    <d v="2016-03-31T00:00:00"/>
    <x v="1442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29557-1458736464-224] [23/03/2016 at 12:34:00]"/>
  </r>
  <r>
    <s v="3629554-1458736462-261"/>
    <s v="Spot"/>
    <s v="3629554-1458736462-261"/>
    <n v="0"/>
    <d v="2016-03-31T00:00:00"/>
    <x v="1443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54-1458736462-261] [23/03/2016 at 12:34:00]"/>
  </r>
  <r>
    <s v="3629566-1458736472-264"/>
    <s v="Spot"/>
    <s v="3629566-1458736472-264"/>
    <n v="0"/>
    <d v="2016-03-31T00:00:00"/>
    <x v="1444"/>
    <s v="264"/>
    <s v="SELL"/>
    <n v="3.3938527519656896"/>
    <x v="0"/>
    <x v="0"/>
    <n v="47.48"/>
    <s v="Deal"/>
    <m/>
    <s v="Original Amount [TRY 45], Merchant Amount [EUR 13.99], Customer Amount [TRY 47.48], Status [APPROVED], Operation [3DAUTH], UUID [3629566-1458736472-264] [23/03/2016 at 12:34:00]"/>
  </r>
  <r>
    <s v="3629563-1458736467-216"/>
    <s v="Spot"/>
    <s v="3629563-1458736467-216"/>
    <n v="0"/>
    <d v="2016-03-31T00:00:00"/>
    <x v="1445"/>
    <s v="216"/>
    <s v="SELL"/>
    <n v="3.3880716769189623"/>
    <x v="0"/>
    <x v="0"/>
    <n v="126.68"/>
    <s v="Deal"/>
    <m/>
    <s v="Original Amount [EUR 37.39], Merchant Amount [EUR 37.39], Customer Amount [TRY 126.68], Status [APPROVED], Operation [3DAUTH], UUID [3629563-1458736467-216] [23/03/2016 at 12:34:00]"/>
  </r>
  <r>
    <s v="3629500-1458736413-200"/>
    <s v="Spot"/>
    <s v="3629500-1458736413-200"/>
    <n v="0"/>
    <d v="2016-03-31T00:00:00"/>
    <x v="1446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29500-1458736413-200] [23/03/2016 at 12:33:00]"/>
  </r>
  <r>
    <s v="3629479-1458736398-119"/>
    <s v="Spot"/>
    <s v="3629479-1458736398-119"/>
    <n v="0"/>
    <d v="2016-03-31T00:00:00"/>
    <x v="1447"/>
    <s v="119"/>
    <s v="SELL"/>
    <n v="9.9756"/>
    <x v="0"/>
    <x v="1"/>
    <n v="249.39"/>
    <s v="Deal"/>
    <m/>
    <s v="Original Amount [EUR 25], Merchant Amount [EUR 25], Customer Amount [NOK 249.39], Status [APPROVED], Operation [DIRECT], UUID [3629479-1458736398-119] [23/03/2016 at 12:33:00]"/>
  </r>
  <r>
    <s v="3629476-1458736397-200"/>
    <s v="Spot"/>
    <s v="3629476-1458736397-200"/>
    <n v="0"/>
    <d v="2016-03-31T00:00:00"/>
    <x v="1448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29476-1458736397-200] [23/03/2016 at 12:33:00]"/>
  </r>
  <r>
    <s v="3629491-1458736404-216"/>
    <s v="Spot"/>
    <s v="3629491-1458736404-216"/>
    <n v="0"/>
    <d v="2016-03-31T00:00:00"/>
    <x v="1449"/>
    <s v="216"/>
    <s v="SELL"/>
    <n v="3.3885516045099742"/>
    <x v="0"/>
    <x v="0"/>
    <n v="39.07"/>
    <s v="Deal"/>
    <m/>
    <s v="Original Amount [EUR 11.53], Merchant Amount [EUR 11.53], Customer Amount [TRY 39.07], Status [APPROVED], Operation [3DAUTH], UUID [3629491-1458736404-216] [23/03/2016 at 12:33:00]"/>
  </r>
  <r>
    <s v="3629515-1458736422-56"/>
    <s v="Spot"/>
    <s v="3629515-1458736422-56"/>
    <n v="0"/>
    <d v="2016-03-31T00:00:00"/>
    <x v="1450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29515-1458736422-56] [23/03/2016 at 12:33:00]"/>
  </r>
  <r>
    <s v="3629443-1458736365-199"/>
    <s v="Spot"/>
    <s v="3629443-1458736365-199"/>
    <n v="0"/>
    <d v="2016-03-31T00:00:00"/>
    <x v="145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443-1458736365-199] [23/03/2016 at 12:32:00]"/>
  </r>
  <r>
    <s v="3629440-1458736364-224"/>
    <s v="Spot"/>
    <s v="3629440-1458736364-224"/>
    <n v="0"/>
    <d v="2016-03-31T00:00:00"/>
    <x v="1452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440-1458736364-224] [23/03/2016 at 12:32:00]"/>
  </r>
  <r>
    <s v="3629470-1458736387-160"/>
    <s v="Spot"/>
    <s v="3629470-1458736387-160"/>
    <n v="0"/>
    <d v="2016-03-31T00:00:00"/>
    <x v="1453"/>
    <s v="160"/>
    <s v="SELL"/>
    <n v="3.3920369177935177"/>
    <x v="0"/>
    <x v="0"/>
    <n v="316.07"/>
    <s v="Deal"/>
    <m/>
    <s v="Original Amount [EUR 93.18], Merchant Amount [EUR 93.18], Customer Amount [TRY 316.07], Status [APPROVED], Operation [3DAUTH], UUID [3629470-1458736387-160] [23/03/2016 at 12:33:00]"/>
  </r>
  <r>
    <s v="3629431-1458736354-161"/>
    <s v="Spot"/>
    <s v="3629431-1458736354-161"/>
    <n v="0"/>
    <d v="2016-03-31T00:00:00"/>
    <x v="1454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431-1458736354-161] [23/03/2016 at 12:32:00]"/>
  </r>
  <r>
    <s v="3629425-1458736351-224"/>
    <s v="Spot"/>
    <s v="3629425-1458736351-224"/>
    <n v="0"/>
    <d v="2016-03-31T00:00:00"/>
    <x v="1455"/>
    <s v="224"/>
    <s v="SELL"/>
    <n v="133.03579676674363"/>
    <x v="0"/>
    <x v="3"/>
    <n v="2304.1799999999998"/>
    <s v="Deal"/>
    <m/>
    <s v="Original Amount [EUR 17.32], Merchant Amount [EUR 17.32], Customer Amount [JPY 2304.18], Status [APPROVED], Operation [DIRECT], UUID [3629425-1458736351-224] [23/03/2016 at 12:32:00]"/>
  </r>
  <r>
    <s v="3629413-1458736345-200"/>
    <s v="Spot"/>
    <s v="3629413-1458736345-200"/>
    <n v="0"/>
    <d v="2016-03-31T00:00:00"/>
    <x v="1456"/>
    <s v="200"/>
    <s v="SELL"/>
    <n v="9.9550000000000001"/>
    <x v="0"/>
    <x v="1"/>
    <n v="39.82"/>
    <s v="Deal"/>
    <m/>
    <s v="Original Amount [EUR 4], Merchant Amount [EUR 4], Customer Amount [NOK 39.82], Status [APPROVED], Operation [STORED], UUID [3629413-1458736345-200] [23/03/2016 at 12:32:00]"/>
  </r>
  <r>
    <s v="3629428-1458736352-126"/>
    <s v="Spot"/>
    <s v="3629428-1458736352-126"/>
    <n v="0"/>
    <d v="2016-03-31T00:00:00"/>
    <x v="1457"/>
    <s v="126"/>
    <s v="SELL"/>
    <n v="9.9546341463414638"/>
    <x v="0"/>
    <x v="1"/>
    <n v="1020.35"/>
    <s v="Deal"/>
    <m/>
    <s v="Original Amount [EUR 102.5], Merchant Amount [EUR 102.5], Customer Amount [NOK 1020.35], Status [APPROVED], Operation [3DAUTH], UUID [3629428-1458736352-126] [23/03/2016 at 12:32:00]"/>
  </r>
  <r>
    <s v="3629392-1458736328-161"/>
    <s v="Spot"/>
    <s v="3629392-1458736328-161"/>
    <n v="0"/>
    <d v="2016-03-31T00:00:00"/>
    <x v="145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9392-1458736328-161] [23/03/2016 at 12:32:00]"/>
  </r>
  <r>
    <s v="3629401-1458736335-212"/>
    <s v="Spot"/>
    <s v="3629401-1458736335-212"/>
    <n v="0"/>
    <d v="2016-03-31T00:00:00"/>
    <x v="1459"/>
    <s v="212"/>
    <s v="SELL"/>
    <n v="0.83399999999999996"/>
    <x v="0"/>
    <x v="4"/>
    <n v="8.34"/>
    <s v="Deal"/>
    <m/>
    <s v="Original Amount [EUR 10], Merchant Amount [EUR 10], Customer Amount [GBP 8.34], Status [APPROVED], Operation [3DAUTH], UUID [3629401-1458736335-212] [23/03/2016 at 12:32:00]"/>
  </r>
  <r>
    <s v="3629461-1458736381-56"/>
    <s v="Spot"/>
    <s v="3629461-1458736381-56"/>
    <n v="0"/>
    <d v="2016-03-31T00:00:00"/>
    <x v="1460"/>
    <s v="56"/>
    <s v="SELL"/>
    <n v="3.3925233644859811"/>
    <x v="0"/>
    <x v="0"/>
    <n v="32.67"/>
    <s v="Deal"/>
    <m/>
    <s v="Original Amount [EUR 9.63], Merchant Amount [EUR 9.63], Customer Amount [TRY 32.67], Status [APPROVED], Operation [3DAUTH], UUID [3629461-1458736381-56] [23/03/2016 at 12:33:00]"/>
  </r>
  <r>
    <s v="3629365-1458736310-111"/>
    <s v="Spot"/>
    <s v="3629365-1458736310-111"/>
    <n v="0"/>
    <d v="2016-03-31T00:00:00"/>
    <x v="1461"/>
    <s v="111"/>
    <s v="SELL"/>
    <n v="1.5462415077799694"/>
    <x v="0"/>
    <x v="2"/>
    <n v="141.11000000000001"/>
    <s v="Deal"/>
    <m/>
    <s v="Original Amount [EUR 91.26], Merchant Amount [EUR 91.26], Customer Amount [CAD 141.11], Status [APPROVED], Operation [DIRECT], UUID [3629365-1458736310-111] [23/03/2016 at 12:31:00]"/>
  </r>
  <r>
    <s v="3629344-1458736288-161"/>
    <s v="Spot"/>
    <s v="3629344-1458736288-161"/>
    <n v="0"/>
    <d v="2016-03-31T00:00:00"/>
    <x v="1462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344-1458736288-161] [23/03/2016 at 12:31:00]"/>
  </r>
  <r>
    <s v="3629353-1458736301-216"/>
    <s v="Spot"/>
    <s v="3629353-1458736301-216"/>
    <n v="0"/>
    <d v="2016-03-31T00:00:00"/>
    <x v="1463"/>
    <s v="216"/>
    <s v="SELL"/>
    <n v="3.3920089858793321"/>
    <x v="0"/>
    <x v="0"/>
    <n v="211.39"/>
    <s v="Deal"/>
    <m/>
    <s v="Original Amount [EUR 62.32], Merchant Amount [EUR 62.32], Customer Amount [TRY 211.39], Status [APPROVED], Operation [3DAUTH], UUID [3629353-1458736301-216] [23/03/2016 at 12:31:00]"/>
  </r>
  <r>
    <s v="3629359-1458736305-216"/>
    <s v="Spot"/>
    <s v="3629359-1458736305-216"/>
    <n v="0"/>
    <d v="2016-03-31T00:00:00"/>
    <x v="1464"/>
    <s v="216"/>
    <s v="SELL"/>
    <n v="3.3921694480102698"/>
    <x v="0"/>
    <x v="0"/>
    <n v="105.7"/>
    <s v="Deal"/>
    <m/>
    <s v="Original Amount [EUR 31.16], Merchant Amount [EUR 31.16], Customer Amount [TRY 105.7], Status [APPROVED], Operation [3DAUTH], UUID [3629359-1458736305-216] [23/03/2016 at 12:31:00]"/>
  </r>
  <r>
    <s v="3629374-1458736316-216"/>
    <s v="Spot"/>
    <s v="3629374-1458736316-216"/>
    <n v="0"/>
    <d v="2016-03-31T00:00:00"/>
    <x v="146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374-1458736316-216] [23/03/2016 at 12:31:00]"/>
  </r>
  <r>
    <s v="3629335-1458736278-154"/>
    <s v="Spot"/>
    <s v="3629335-1458736278-154"/>
    <n v="0"/>
    <d v="2016-03-31T00:00:00"/>
    <x v="1466"/>
    <s v="154"/>
    <s v="SELL"/>
    <n v="9.9546742209631738"/>
    <x v="0"/>
    <x v="1"/>
    <n v="210.84"/>
    <s v="Deal"/>
    <m/>
    <s v="Original Amount [EUR 21.18], Merchant Amount [EUR 21.18], Customer Amount [NOK 210.84], Status [APPROVED], Operation [3DAUTH], UUID [3629335-1458736278-154] [23/03/2016 at 12:31:00]"/>
  </r>
  <r>
    <s v="3629290-1458736249-161"/>
    <s v="Spot"/>
    <s v="3629290-1458736249-161"/>
    <n v="0"/>
    <d v="2016-03-31T00:00:00"/>
    <x v="1467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90-1458736249-161] [23/03/2016 at 12:30:00]"/>
  </r>
  <r>
    <s v="3629272-1458736239-161"/>
    <s v="Spot"/>
    <s v="3629272-1458736239-161"/>
    <n v="0"/>
    <d v="2016-03-31T00:00:00"/>
    <x v="1468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72-1458736239-161] [23/03/2016 at 12:30:00]"/>
  </r>
  <r>
    <s v="3629254-1458736229-199"/>
    <s v="Spot"/>
    <s v="3629254-1458736229-199"/>
    <n v="0"/>
    <d v="2016-03-31T00:00:00"/>
    <x v="146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254-1458736229-199] [23/03/2016 at 12:30:00]"/>
  </r>
  <r>
    <s v="3629245-1458736221-224"/>
    <s v="Spot"/>
    <s v="3629245-1458736221-224"/>
    <n v="0"/>
    <d v="2016-03-31T00:00:00"/>
    <x v="1470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245-1458736221-224] [23/03/2016 at 12:30:00]"/>
  </r>
  <r>
    <s v="3629308-1458736262-102"/>
    <s v="Spot"/>
    <s v="3629308-1458736262-102"/>
    <n v="0"/>
    <d v="2016-03-31T00:00:00"/>
    <x v="1471"/>
    <s v="102"/>
    <s v="SELL"/>
    <n v="3.3925875085792723"/>
    <x v="0"/>
    <x v="0"/>
    <n v="49.43"/>
    <s v="Deal"/>
    <m/>
    <s v="Original Amount [EUR 14.57], Merchant Amount [EUR 14.57], Customer Amount [TRY 49.43], Status [APPROVED], Operation [3DAUTH], UUID [3629308-1458736262-102] [23/03/2016 at 12:31:00]"/>
  </r>
  <r>
    <s v="3629260-1458736231-216"/>
    <s v="Spot"/>
    <s v="3629260-1458736231-216"/>
    <n v="0"/>
    <d v="2016-03-31T00:00:00"/>
    <x v="147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260-1458736231-216] [23/03/2016 at 12:30:00]"/>
  </r>
  <r>
    <s v="3629212-1458736192-200"/>
    <s v="Spot"/>
    <s v="3629212-1458736192-200"/>
    <n v="0"/>
    <d v="2016-03-31T00:00:00"/>
    <x v="1473"/>
    <s v="200"/>
    <s v="SELL"/>
    <n v="9.9665450121654491"/>
    <x v="0"/>
    <x v="1"/>
    <n v="327.7"/>
    <s v="Deal"/>
    <m/>
    <s v="Original Amount [EUR 32.88], Merchant Amount [EUR 32.88], Customer Amount [NOK 327.7], Status [APPROVED], Operation [DIRECT], UUID [3629212-1458736192-200] [23/03/2016 at 12:29:00]"/>
  </r>
  <r>
    <s v="3629209-1458736189-56"/>
    <s v="Spot"/>
    <s v="3629209-1458736189-56"/>
    <n v="0"/>
    <d v="2016-03-31T00:00:00"/>
    <x v="1474"/>
    <s v="56"/>
    <s v="SELL"/>
    <n v="3.3974272173324307"/>
    <x v="0"/>
    <x v="0"/>
    <n v="50.18"/>
    <s v="Deal"/>
    <m/>
    <s v="Original Amount [EUR 14.77], Merchant Amount [EUR 14.77], Customer Amount [TRY 50.18], Status [APPROVED], Operation [3DAUTH], UUID [3629209-1458736189-56] [23/03/2016 at 12:29:00]"/>
  </r>
  <r>
    <s v="3629197-1458736143-119"/>
    <s v="Spot"/>
    <s v="3629197-1458736143-119"/>
    <n v="0"/>
    <d v="2016-03-31T00:00:00"/>
    <x v="1475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197-1458736143-119] [23/03/2016 at 12:29:00]"/>
  </r>
  <r>
    <s v="3629182-1458736119-203"/>
    <s v="Spot"/>
    <s v="3629182-1458736119-203"/>
    <n v="0"/>
    <d v="2016-03-31T00:00:00"/>
    <x v="1476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29182-1458736119-203] [23/03/2016 at 12:28:00]"/>
  </r>
  <r>
    <s v="3629200-1458736156-216"/>
    <s v="Spot"/>
    <s v="3629200-1458736156-216"/>
    <n v="0"/>
    <d v="2016-03-31T00:00:00"/>
    <x v="1477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200-1458736156-216] [23/03/2016 at 12:29:00]"/>
  </r>
  <r>
    <s v="3629161-1458736094-101"/>
    <s v="Spot"/>
    <s v="3629161-1458736094-101"/>
    <n v="0"/>
    <d v="2016-03-31T00:00:00"/>
    <x v="1478"/>
    <s v="101"/>
    <s v="SELL"/>
    <n v="3.397261694844933"/>
    <x v="0"/>
    <x v="0"/>
    <n v="327.52999999999997"/>
    <s v="Deal"/>
    <m/>
    <s v="Original Amount [EUR 96.41], Merchant Amount [EUR 96.41], Customer Amount [TRY 327.53], Status [WAITING], Operation [3D], UUID [3629161-1458736094-101] [23/03/2016 at 12:28:00]"/>
  </r>
  <r>
    <s v="3629173-1458736110-216"/>
    <s v="Spot"/>
    <s v="3629173-1458736110-216"/>
    <n v="0"/>
    <d v="2016-03-31T00:00:00"/>
    <x v="1479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173-1458736110-216] [23/03/2016 at 12:28:00]"/>
  </r>
  <r>
    <s v="3629176-1458736118-216"/>
    <s v="Spot"/>
    <s v="3629176-1458736118-216"/>
    <n v="0"/>
    <d v="2016-03-31T00:00:00"/>
    <x v="148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76-1458736118-216] [23/03/2016 at 12:28:00]"/>
  </r>
  <r>
    <s v="3629158-1458736091-212"/>
    <s v="Spot"/>
    <s v="3629158-1458736091-212"/>
    <n v="0"/>
    <d v="2016-03-31T00:00:00"/>
    <x v="1481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9158-1458736091-212] [23/03/2016 at 12:28:00]"/>
  </r>
  <r>
    <s v="3629164-1458736103-216"/>
    <s v="Spot"/>
    <s v="3629164-1458736103-216"/>
    <n v="0"/>
    <d v="2016-03-31T00:00:00"/>
    <x v="14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64-1458736103-216] [23/03/2016 at 12:28:00]"/>
  </r>
  <r>
    <s v="3629134-1458736062-82"/>
    <s v="Spot"/>
    <s v="3629134-1458736062-82"/>
    <n v="0"/>
    <d v="2016-03-31T00:00:00"/>
    <x v="148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9134-1458736062-82] [23/03/2016 at 12:27:00]"/>
  </r>
  <r>
    <s v="3629131-1458736057-145"/>
    <s v="Spot"/>
    <s v="3629131-1458736057-145"/>
    <n v="0"/>
    <d v="2016-03-31T00:00:00"/>
    <x v="1484"/>
    <s v="145"/>
    <s v="SELL"/>
    <n v="9.9663310258023916"/>
    <x v="0"/>
    <x v="1"/>
    <n v="633.46"/>
    <s v="Deal"/>
    <m/>
    <s v="Original Amount [EUR 63.56], Merchant Amount [EUR 63.56], Customer Amount [NOK 633.46], Status [APPROVED], Operation [DIRECT], UUID [3629131-1458736057-145] [23/03/2016 at 12:27:00]"/>
  </r>
  <r>
    <s v="3629128-1458736056-200"/>
    <s v="Spot"/>
    <s v="3629128-1458736056-200"/>
    <n v="0"/>
    <d v="2016-03-31T00:00:00"/>
    <x v="1485"/>
    <s v="200"/>
    <s v="SELL"/>
    <n v="9.9662864963503655"/>
    <x v="0"/>
    <x v="1"/>
    <n v="2184.61"/>
    <s v="Deal"/>
    <m/>
    <s v="Original Amount [EUR 219.2], Merchant Amount [EUR 219.2], Customer Amount [NOK 2184.61], Status [APPROVED], Operation [STORED], UUID [3629128-1458736056-200] [23/03/2016 at 12:27:00]"/>
  </r>
  <r>
    <s v="3629110-1458736040-119"/>
    <s v="Spot"/>
    <s v="3629110-1458736040-119"/>
    <n v="0"/>
    <d v="2016-03-31T00:00:00"/>
    <x v="1486"/>
    <s v="119"/>
    <s v="SELL"/>
    <n v="9.9670000000000005"/>
    <x v="0"/>
    <x v="1"/>
    <n v="99.67"/>
    <s v="Deal"/>
    <m/>
    <s v="Original Amount [EUR 10], Merchant Amount [EUR 10], Customer Amount [NOK 99.67], Status [APPROVED], Operation [DIRECT], UUID [3629110-1458736040-119] [23/03/2016 at 12:27:00]"/>
  </r>
  <r>
    <s v="3629122-1458736053-216"/>
    <s v="Spot"/>
    <s v="3629122-1458736053-216"/>
    <n v="0"/>
    <d v="2016-03-31T00:00:00"/>
    <x v="1487"/>
    <s v="216"/>
    <s v="SELL"/>
    <n v="3.397265549778548"/>
    <x v="0"/>
    <x v="0"/>
    <n v="529.26"/>
    <s v="Deal"/>
    <m/>
    <s v="Original Amount [EUR 155.79], Merchant Amount [EUR 155.79], Customer Amount [TRY 529.26], Status [APPROVED], Operation [3DAUTH], UUID [3629122-1458736053-216] [23/03/2016 at 12:27:00]"/>
  </r>
  <r>
    <s v="3629095-1458736017-199"/>
    <s v="Spot"/>
    <s v="3629095-1458736017-199"/>
    <n v="0"/>
    <d v="2016-03-31T00:00:00"/>
    <x v="148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9095-1458736017-199] [23/03/2016 at 12:26:00]"/>
  </r>
  <r>
    <s v="3629089-1458736001-261"/>
    <s v="Spot"/>
    <s v="3629089-1458736001-261"/>
    <n v="0"/>
    <d v="2016-03-31T00:00:00"/>
    <x v="1489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29089-1458736001-261] [23/03/2016 at 12:26:00]"/>
  </r>
  <r>
    <s v="3629077-1458735981-82"/>
    <s v="Spot"/>
    <s v="3629077-1458735981-82"/>
    <n v="0"/>
    <d v="2016-03-31T00:00:00"/>
    <x v="149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7-1458735981-82] [23/03/2016 at 12:26:00]"/>
  </r>
  <r>
    <s v="3629074-1458735981-82"/>
    <s v="Spot"/>
    <s v="3629074-1458735981-82"/>
    <n v="0"/>
    <d v="2016-03-31T00:00:00"/>
    <x v="149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4-1458735981-82] [23/03/2016 at 12:26:00]"/>
  </r>
  <r>
    <s v="3629086-1458735995-216"/>
    <s v="Spot"/>
    <s v="3629086-1458735995-216"/>
    <n v="0"/>
    <d v="2016-03-31T00:00:00"/>
    <x v="1492"/>
    <s v="216"/>
    <s v="SELL"/>
    <n v="3.3973162193698947"/>
    <x v="0"/>
    <x v="0"/>
    <n v="58.23"/>
    <s v="Deal"/>
    <m/>
    <s v="Original Amount [EUR 17.14], Merchant Amount [EUR 17.14], Customer Amount [TRY 58.23], Status [APPROVED], Operation [3DAUTH], UUID [3629086-1458735995-216] [23/03/2016 at 12:26:00]"/>
  </r>
  <r>
    <s v="3629062-1458735960-216"/>
    <s v="Spot"/>
    <s v="3629062-1458735960-216"/>
    <n v="0"/>
    <d v="2016-03-31T00:00:00"/>
    <x v="1493"/>
    <s v="216"/>
    <s v="SELL"/>
    <n v="3.3978001833180569"/>
    <x v="0"/>
    <x v="0"/>
    <n v="37.07"/>
    <s v="Deal"/>
    <m/>
    <s v="Original Amount [EUR 10.91], Merchant Amount [EUR 10.91], Customer Amount [TRY 37.07], Status [WAITING], Operation [3D], UUID [3629062-1458735960-216] [23/03/2016 at 12:26:00]"/>
  </r>
  <r>
    <s v="3629059-1458735957-224"/>
    <s v="Spot"/>
    <s v="3629059-1458735957-224"/>
    <n v="0"/>
    <d v="2016-03-31T00:00:00"/>
    <x v="1494"/>
    <s v="224"/>
    <s v="SELL"/>
    <n v="133.03564247852313"/>
    <x v="0"/>
    <x v="3"/>
    <n v="7278.38"/>
    <s v="Deal"/>
    <m/>
    <s v="Original Amount [EUR 54.71], Merchant Amount [EUR 54.71], Customer Amount [JPY 7278.38], Status [APPROVED], Operation [DIRECT], UUID [3629059-1458735957-224] [23/03/2016 at 12:25:00]"/>
  </r>
  <r>
    <s v="3629050-1458735939-145"/>
    <s v="Spot"/>
    <s v="3629050-1458735939-145"/>
    <n v="0"/>
    <d v="2016-03-31T00:00:00"/>
    <x v="1495"/>
    <s v="145"/>
    <s v="SELL"/>
    <n v="9.9664936290703157"/>
    <x v="0"/>
    <x v="1"/>
    <n v="422.38"/>
    <s v="Deal"/>
    <m/>
    <s v="Original Amount [EUR 42.38], Merchant Amount [EUR 42.38], Customer Amount [NOK 422.38], Status [APPROVED], Operation [DIRECT], UUID [3629050-1458735939-145] [23/03/2016 at 12:25:00]"/>
  </r>
  <r>
    <s v="3629065-1458735971-203"/>
    <s v="Spot"/>
    <s v="3629065-1458735971-203"/>
    <n v="0"/>
    <d v="2016-03-31T00:00:00"/>
    <x v="1496"/>
    <s v="203"/>
    <s v="SELL"/>
    <n v="3.3976539589442813"/>
    <x v="0"/>
    <x v="0"/>
    <n v="57.93"/>
    <s v="Deal"/>
    <m/>
    <s v="Original Amount [EUR 17.05], Merchant Amount [EUR 17.05], Customer Amount [TRY 57.93], Status [APPROVED], Operation [3DAUTH], UUID [3629065-1458735971-203] [23/03/2016 at 12:26:00]"/>
  </r>
  <r>
    <s v="3629038-1458735921-119"/>
    <s v="Spot"/>
    <s v="3629038-1458735921-119"/>
    <n v="0"/>
    <d v="2016-03-31T00:00:00"/>
    <x v="149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038-1458735921-119] [23/03/2016 at 12:25:00]"/>
  </r>
  <r>
    <s v="3629032-1458735912-119"/>
    <s v="Spot"/>
    <s v="3629032-1458735912-119"/>
    <n v="0"/>
    <d v="2016-03-31T00:00:00"/>
    <x v="149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9032-1458735912-119] [23/03/2016 at 12:25:00]"/>
  </r>
  <r>
    <s v="3629029-1458735907-145"/>
    <s v="Spot"/>
    <s v="3629029-1458735907-145"/>
    <n v="0"/>
    <d v="2016-03-31T00:00:00"/>
    <x v="1499"/>
    <s v="145"/>
    <s v="SELL"/>
    <n v="9.9663336741917732"/>
    <x v="0"/>
    <x v="1"/>
    <n v="1267.02"/>
    <s v="Deal"/>
    <m/>
    <s v="Original Amount [EUR 127.13], Merchant Amount [EUR 127.13], Customer Amount [NOK 1267.02], Status [APPROVED], Operation [DIRECT], UUID [3629029-1458735907-145] [23/03/2016 at 12:25:00]"/>
  </r>
  <r>
    <s v="3629047-1458735933-216"/>
    <s v="Spot"/>
    <s v="3629047-1458735933-216"/>
    <n v="0"/>
    <d v="2016-03-31T00:00:00"/>
    <x v="1500"/>
    <s v="216"/>
    <s v="SELL"/>
    <n v="3.3972712680577843"/>
    <x v="0"/>
    <x v="0"/>
    <n v="42.33"/>
    <s v="Deal"/>
    <m/>
    <s v="Original Amount [EUR 12.46], Merchant Amount [EUR 12.46], Customer Amount [TRY 42.33], Status [APPROVED], Operation [3DAUTH], UUID [3629047-1458735933-216] [23/03/2016 at 12:25:00]"/>
  </r>
  <r>
    <s v="3629014-1458735901-224"/>
    <s v="Spot"/>
    <s v="3629014-1458735901-224"/>
    <n v="0"/>
    <d v="2016-03-31T00:00:00"/>
    <x v="150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9014-1458735901-224] [23/03/2016 at 12:25:00]"/>
  </r>
  <r>
    <s v="3629008-1458735900-107"/>
    <s v="Spot"/>
    <s v="3629008-1458735900-107"/>
    <n v="0"/>
    <d v="2016-03-31T00:00:00"/>
    <x v="1502"/>
    <s v="107"/>
    <s v="SELL"/>
    <n v="3.3974792499231476"/>
    <x v="0"/>
    <x v="0"/>
    <n v="110.52"/>
    <s v="Deal"/>
    <m/>
    <s v="Original Amount [EUR 32.53], Merchant Amount [EUR 32.53], Customer Amount [TRY 110.52], Status [APPROVED], Operation [3DAUTH], UUID [3629008-1458735900-107] [23/03/2016 at 12:25:00]"/>
  </r>
  <r>
    <s v="3628996-1458735866-241"/>
    <s v="Spot"/>
    <s v="3628996-1458735866-241"/>
    <n v="0"/>
    <d v="2016-03-31T00:00:00"/>
    <x v="1503"/>
    <s v="241"/>
    <s v="SELL"/>
    <n v="9.7350940376150472"/>
    <x v="0"/>
    <x v="12"/>
    <n v="243.28"/>
    <s v="Deal"/>
    <m/>
    <s v="Original Amount [EUR 24.99], Merchant Amount [EUR 24.99], Customer Amount [SEK 243.28], Status [APPROVED], Operation [DIRECT], UUID [3628996-1458735866-241] [23/03/2016 at 12:24:00]"/>
  </r>
  <r>
    <s v="3628987-1458735862-224"/>
    <s v="Spot"/>
    <s v="3628987-1458735862-224"/>
    <n v="0"/>
    <d v="2016-03-31T00:00:00"/>
    <x v="1504"/>
    <s v="224"/>
    <s v="SELL"/>
    <n v="133.03550913838123"/>
    <x v="0"/>
    <x v="3"/>
    <n v="5095.26"/>
    <s v="Deal"/>
    <m/>
    <s v="Original Amount [EUR 38.3], Merchant Amount [EUR 38.3], Customer Amount [JPY 5095.26], Status [APPROVED], Operation [DIRECT], UUID [3628987-1458735862-224] [23/03/2016 at 12:24:00]"/>
  </r>
  <r>
    <s v="3628984-1458735861-238"/>
    <s v="Spot"/>
    <s v="3628984-1458735861-238"/>
    <n v="0"/>
    <d v="2016-03-31T00:00:00"/>
    <x v="15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984-1458735861-238] [23/03/2016 at 12:24:00]"/>
  </r>
  <r>
    <s v="3628981-1458735861-199"/>
    <s v="Spot"/>
    <s v="3628981-1458735861-199"/>
    <n v="0"/>
    <d v="2016-03-31T00:00:00"/>
    <x v="1506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8981-1458735861-199] [23/03/2016 at 12:24:00]"/>
  </r>
  <r>
    <s v="3628975-1458735855-200"/>
    <s v="Spot"/>
    <s v="3628975-1458735855-200"/>
    <n v="0"/>
    <d v="2016-03-31T00:00:00"/>
    <x v="1507"/>
    <s v="200"/>
    <s v="SELL"/>
    <n v="9.966562639322337"/>
    <x v="0"/>
    <x v="1"/>
    <n v="223.55"/>
    <s v="Deal"/>
    <m/>
    <s v="Original Amount [EUR 22.43], Merchant Amount [EUR 22.43], Customer Amount [NOK 223.55], Status [APPROVED], Operation [STORED], UUID [3628975-1458735855-200] [23/03/2016 at 12:24:00]"/>
  </r>
  <r>
    <s v="3628972-1458735849-200"/>
    <s v="Spot"/>
    <s v="3628972-1458735849-200"/>
    <n v="0"/>
    <d v="2016-03-31T00:00:00"/>
    <x v="1508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28972-1458735849-200] [23/03/2016 at 12:24:00]"/>
  </r>
  <r>
    <s v="3628969-1458735847-200"/>
    <s v="Spot"/>
    <s v="3628969-1458735847-200"/>
    <n v="0"/>
    <d v="2016-03-31T00:00:00"/>
    <x v="1509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28969-1458735847-200] [23/03/2016 at 12:24:00]"/>
  </r>
  <r>
    <s v="3628957-1458735827-171"/>
    <s v="Spot"/>
    <s v="3628957-1458735827-171"/>
    <n v="0"/>
    <d v="2016-03-31T00:00:00"/>
    <x v="1510"/>
    <s v="171"/>
    <s v="SELL"/>
    <n v="1.5438081253059226"/>
    <x v="0"/>
    <x v="2"/>
    <n v="31.54"/>
    <s v="Deal"/>
    <m/>
    <s v="Original Amount [EUR 20.43], Merchant Amount [EUR 20.43], Customer Amount [CAD 31.54], Status [APPROVED], Operation [DIRECT], UUID [3628957-1458735827-171] [23/03/2016 at 12:23:00]"/>
  </r>
  <r>
    <s v="3628978-1458735855-216"/>
    <s v="Spot"/>
    <s v="3628978-1458735855-216"/>
    <n v="0"/>
    <d v="2016-03-31T00:00:00"/>
    <x v="1511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978-1458735855-216] [23/03/2016 at 12:24:00]"/>
  </r>
  <r>
    <s v="3628948-1458735806-199"/>
    <s v="Spot"/>
    <s v="3628948-1458735806-199"/>
    <n v="0"/>
    <d v="2016-03-31T00:00:00"/>
    <x v="1512"/>
    <s v="199"/>
    <s v="SELL"/>
    <n v="9.9415532425940754"/>
    <x v="0"/>
    <x v="1"/>
    <n v="124.17"/>
    <s v="Deal"/>
    <m/>
    <s v="Original Amount [EUR 12.49], Merchant Amount [EUR 12.49], Customer Amount [NOK 124.17], Status [APPROVED], Operation [DIRECT], UUID [3628948-1458735806-199] [23/03/2016 at 12:23:00]"/>
  </r>
  <r>
    <s v="3628945-1458735805-199"/>
    <s v="Spot"/>
    <s v="3628945-1458735805-199"/>
    <n v="0"/>
    <d v="2016-03-31T00:00:00"/>
    <x v="1513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945-1458735805-199] [23/03/2016 at 12:23:00]"/>
  </r>
  <r>
    <s v="3628942-1458735804-126"/>
    <s v="Spot"/>
    <s v="3628942-1458735804-126"/>
    <n v="0"/>
    <d v="2016-03-31T00:00:00"/>
    <x v="1514"/>
    <s v="126"/>
    <s v="SELL"/>
    <n v="9.9411382113821141"/>
    <x v="0"/>
    <x v="1"/>
    <n v="611.38"/>
    <s v="Deal"/>
    <m/>
    <s v="Original Amount [EUR 61.5], Merchant Amount [EUR 61.5], Customer Amount [NOK 611.38], Status [APPROVED], Operation [DIRECT], UUID [3628942-1458735804-126] [23/03/2016 at 12:23:00]"/>
  </r>
  <r>
    <s v="3628936-1458735797-199"/>
    <s v="Spot"/>
    <s v="3628936-1458735797-199"/>
    <n v="0"/>
    <d v="2016-03-31T00:00:00"/>
    <x v="151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36-1458735797-199] [23/03/2016 at 12:23:00]"/>
  </r>
  <r>
    <s v="3628930-1458735792-126"/>
    <s v="Spot"/>
    <s v="3628930-1458735792-126"/>
    <n v="0"/>
    <d v="2016-03-31T00:00:00"/>
    <x v="1516"/>
    <s v="126"/>
    <s v="SELL"/>
    <n v="9.9414634146341463"/>
    <x v="0"/>
    <x v="1"/>
    <n v="203.8"/>
    <s v="Deal"/>
    <m/>
    <s v="Original Amount [EUR 20.5], Merchant Amount [EUR 20.5], Customer Amount [NOK 203.8], Status [WAITING], Operation [3D], UUID [3628930-1458735792-126] [23/03/2016 at 12:23:00]"/>
  </r>
  <r>
    <s v="3628927-1458735791-145"/>
    <s v="Spot"/>
    <s v="3628927-1458735791-145"/>
    <n v="0"/>
    <d v="2016-03-31T00:00:00"/>
    <x v="1517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28927-1458735791-145] [23/03/2016 at 12:23:00]"/>
  </r>
  <r>
    <s v="3628906-1458735762-199"/>
    <s v="Spot"/>
    <s v="3628906-1458735762-199"/>
    <n v="0"/>
    <d v="2016-03-31T00:00:00"/>
    <x v="1518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06-1458735762-199] [23/03/2016 at 12:22:00]"/>
  </r>
  <r>
    <s v="3628921-1458735788-216"/>
    <s v="Spot"/>
    <s v="3628921-1458735788-216"/>
    <n v="0"/>
    <d v="2016-03-31T00:00:00"/>
    <x v="1519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921-1458735788-216] [23/03/2016 at 12:23:00]"/>
  </r>
  <r>
    <s v="3628879-1458735731-224"/>
    <s v="Spot"/>
    <s v="3628879-1458735731-224"/>
    <n v="0"/>
    <d v="2016-03-31T00:00:00"/>
    <x v="1520"/>
    <s v="224"/>
    <s v="SELL"/>
    <n v="132.83272394881172"/>
    <x v="0"/>
    <x v="3"/>
    <n v="1453.19"/>
    <s v="Deal"/>
    <m/>
    <s v="Original Amount [EUR 10.94], Merchant Amount [EUR 10.94], Customer Amount [JPY 1453.19], Status [APPROVED], Operation [DIRECT], UUID [3628879-1458735731-224] [23/03/2016 at 12:22:00]"/>
  </r>
  <r>
    <s v="3628897-1458735743-216"/>
    <s v="Spot"/>
    <s v="3628897-1458735743-216"/>
    <n v="0"/>
    <d v="2016-03-31T00:00:00"/>
    <x v="1521"/>
    <s v="216"/>
    <s v="SELL"/>
    <n v="3.3975308641975306"/>
    <x v="0"/>
    <x v="0"/>
    <n v="68.8"/>
    <s v="Deal"/>
    <m/>
    <s v="Original Amount [EUR 20.25], Merchant Amount [EUR 20.25], Customer Amount [TRY 68.8], Status [APPROVED], Operation [3DAUTH], UUID [3628897-1458735743-216] [23/03/2016 at 12:22:00]"/>
  </r>
  <r>
    <s v="3628873-1458735724-212"/>
    <s v="Spot"/>
    <s v="3628873-1458735724-212"/>
    <n v="0"/>
    <d v="2016-03-31T00:00:00"/>
    <x v="1522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8873-1458735724-212] [23/03/2016 at 12:22:00]"/>
  </r>
  <r>
    <s v="3628855-1458735713-224"/>
    <s v="Spot"/>
    <s v="3628855-1458735713-224"/>
    <n v="0"/>
    <d v="2016-03-31T00:00:00"/>
    <x v="1523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8855-1458735713-224] [23/03/2016 at 12:21:00]"/>
  </r>
  <r>
    <s v="3628849-1458735712-107"/>
    <s v="Spot"/>
    <s v="3628849-1458735712-107"/>
    <n v="0"/>
    <d v="2016-03-31T00:00:00"/>
    <x v="1524"/>
    <s v="107"/>
    <s v="SELL"/>
    <n v="3.3972455347536048"/>
    <x v="0"/>
    <x v="0"/>
    <n v="315.74"/>
    <s v="Deal"/>
    <m/>
    <s v="Original Amount [EUR 92.94], Merchant Amount [EUR 92.94], Customer Amount [TRY 315.74], Status [WAITING], Operation [3D], UUID [3628849-1458735712-107] [23/03/2016 at 12:21:00]"/>
  </r>
  <r>
    <s v="3628846-1458735697-200"/>
    <s v="Spot"/>
    <s v="3628846-1458735697-200"/>
    <n v="0"/>
    <d v="2016-03-31T00:00:00"/>
    <x v="1525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8846-1458735697-200] [23/03/2016 at 12:21:00]"/>
  </r>
  <r>
    <s v="3628843-1458735697-200"/>
    <s v="Spot"/>
    <s v="3628843-1458735697-200"/>
    <n v="0"/>
    <d v="2016-03-31T00:00:00"/>
    <x v="1526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8843-1458735697-200] [23/03/2016 at 12:21:00]"/>
  </r>
  <r>
    <s v="3628831-1458735687-224"/>
    <s v="Spot"/>
    <s v="3628831-1458735687-224"/>
    <n v="0"/>
    <d v="2016-03-31T00:00:00"/>
    <x v="152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28831-1458735687-224] [23/03/2016 at 12:21:00]"/>
  </r>
  <r>
    <s v="3628822-1458735672-200"/>
    <s v="Spot"/>
    <s v="3628822-1458735672-200"/>
    <n v="0"/>
    <d v="2016-03-31T00:00:00"/>
    <x v="152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822-1458735672-200] [23/03/2016 at 12:21:00]"/>
  </r>
  <r>
    <s v="3628819-1458735671-124"/>
    <s v="Spot"/>
    <s v="3628819-1458735671-124"/>
    <n v="0"/>
    <d v="2016-03-31T00:00:00"/>
    <x v="1529"/>
    <s v="124"/>
    <s v="SELL"/>
    <n v="9.9414357682619645"/>
    <x v="0"/>
    <x v="1"/>
    <n v="157.87"/>
    <s v="Deal"/>
    <m/>
    <s v="Original Amount [EUR 15.88], Merchant Amount [EUR 15.88], Customer Amount [NOK 157.87], Status [APPROVED], Operation [DIRECT], UUID [3628819-1458735671-124] [23/03/2016 at 12:21:00]"/>
  </r>
  <r>
    <s v="3628834-1458735688-216"/>
    <s v="Spot"/>
    <s v="3628834-1458735688-216"/>
    <n v="0"/>
    <d v="2016-03-31T00:00:00"/>
    <x v="1530"/>
    <s v="216"/>
    <s v="SELL"/>
    <n v="3.3971836819217232"/>
    <x v="0"/>
    <x v="0"/>
    <n v="164.05"/>
    <s v="Deal"/>
    <m/>
    <s v="Original Amount [EUR 48.29], Merchant Amount [EUR 48.29], Customer Amount [TRY 164.05], Status [APPROVED], Operation [3DAUTH], UUID [3628834-1458735688-216] [23/03/2016 at 12:21:00]"/>
  </r>
  <r>
    <s v="3628786-1458735638-119"/>
    <s v="Spot"/>
    <s v="3628786-1458735638-119"/>
    <n v="0"/>
    <d v="2016-03-31T00:00:00"/>
    <x v="1531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786-1458735638-119] [23/03/2016 at 12:20:00]"/>
  </r>
  <r>
    <s v="3628816-1458735670-216"/>
    <s v="Spot"/>
    <s v="3628816-1458735670-216"/>
    <n v="0"/>
    <d v="2016-03-31T00:00:00"/>
    <x v="1532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816-1458735670-216] [23/03/2016 at 12:21:00]"/>
  </r>
  <r>
    <s v="3628801-1458735664-216"/>
    <s v="Spot"/>
    <s v="3628801-1458735664-216"/>
    <n v="0"/>
    <d v="2016-03-31T00:00:00"/>
    <x v="153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801-1458735664-216] [23/03/2016 at 12:21:00]"/>
  </r>
  <r>
    <s v="3628771-1458735628-125"/>
    <s v="Spot"/>
    <s v="3628771-1458735628-125"/>
    <n v="0"/>
    <d v="2016-03-31T00:00:00"/>
    <x v="1534"/>
    <s v="125"/>
    <s v="SELL"/>
    <n v="132.83246153846156"/>
    <x v="0"/>
    <x v="3"/>
    <n v="17268.22"/>
    <s v="Deal"/>
    <m/>
    <s v="Original Amount [EUR 130], Merchant Amount [EUR 130], Customer Amount [JPY 17268.22], Status [APPROVED], Operation [DIRECT], UUID [3628771-1458735628-125] [23/03/2016 at 12:20:00]"/>
  </r>
  <r>
    <s v="3628807-1458735665-203"/>
    <s v="Spot"/>
    <s v="3628807-1458735665-203"/>
    <n v="0"/>
    <d v="2016-03-31T00:00:00"/>
    <x v="1535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8807-1458735665-203] [23/03/2016 at 12:21:00]"/>
  </r>
  <r>
    <s v="3628762-1458735620-82"/>
    <s v="Spot"/>
    <s v="3628762-1458735620-82"/>
    <n v="0"/>
    <d v="2016-03-31T00:00:00"/>
    <x v="1536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62-1458735620-82] [23/03/2016 at 12:20:00]"/>
  </r>
  <r>
    <s v="3628810-1458735665-107"/>
    <s v="Spot"/>
    <s v="3628810-1458735665-107"/>
    <n v="0"/>
    <d v="2016-03-31T00:00:00"/>
    <x v="153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810-1458735665-107] [23/03/2016 at 12:21:00]"/>
  </r>
  <r>
    <s v="3628747-1458735616-82"/>
    <s v="Spot"/>
    <s v="3628747-1458735616-82"/>
    <n v="0"/>
    <d v="2016-03-31T00:00:00"/>
    <x v="153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47-1458735616-82] [23/03/2016 at 12:20:00]"/>
  </r>
  <r>
    <s v="3628777-1458735631-56"/>
    <s v="Spot"/>
    <s v="3628777-1458735631-56"/>
    <n v="0"/>
    <d v="2016-03-31T00:00:00"/>
    <x v="1539"/>
    <s v="56"/>
    <s v="SELL"/>
    <n v="3.3975"/>
    <x v="0"/>
    <x v="0"/>
    <n v="27.18"/>
    <s v="Deal"/>
    <m/>
    <s v="Original Amount [EUR 8], Merchant Amount [EUR 8], Customer Amount [TRY 27.18], Status [APPROVED], Operation [3DAUTH], UUID [3628777-1458735631-56] [23/03/2016 at 12:20:00]"/>
  </r>
  <r>
    <s v="3628729-1458735588-199"/>
    <s v="Spot"/>
    <s v="3628729-1458735588-199"/>
    <n v="0"/>
    <d v="2016-03-31T00:00:00"/>
    <x v="1540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8729-1458735588-199] [23/03/2016 at 12:19:00]"/>
  </r>
  <r>
    <s v="3628744-1458735608-56"/>
    <s v="Spot"/>
    <s v="3628744-1458735608-56"/>
    <n v="0"/>
    <d v="2016-03-31T00:00:00"/>
    <x v="1541"/>
    <s v="56"/>
    <s v="SELL"/>
    <n v="3.3975"/>
    <x v="0"/>
    <x v="0"/>
    <n v="27.18"/>
    <s v="Deal"/>
    <m/>
    <s v="Original Amount [EUR 8], Merchant Amount [EUR 8], Customer Amount [TRY 27.18], Status [APPROVED], Operation [3DAUTH], UUID [3628744-1458735608-56] [23/03/2016 at 12:20:00]"/>
  </r>
  <r>
    <s v="3628711-1458735573-199"/>
    <s v="Spot"/>
    <s v="3628711-1458735573-199"/>
    <n v="0"/>
    <d v="2016-03-31T00:00:00"/>
    <x v="1542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711-1458735573-199] [23/03/2016 at 12:19:00]"/>
  </r>
  <r>
    <s v="3628732-1458735594-216"/>
    <s v="Spot"/>
    <s v="3628732-1458735594-216"/>
    <n v="0"/>
    <d v="2016-03-31T00:00:00"/>
    <x v="1543"/>
    <s v="216"/>
    <s v="SELL"/>
    <n v="3.3973436635307137"/>
    <x v="0"/>
    <x v="0"/>
    <n v="61.39"/>
    <s v="Deal"/>
    <m/>
    <s v="Original Amount [EUR 18.07], Merchant Amount [EUR 18.07], Customer Amount [TRY 61.39], Status [APPROVED], Operation [3DAUTH], UUID [3628732-1458735594-216] [23/03/2016 at 12:19:00]"/>
  </r>
  <r>
    <s v="3628687-1458735552-238"/>
    <s v="Spot"/>
    <s v="3628687-1458735552-238"/>
    <n v="0"/>
    <d v="2016-03-31T00:00:00"/>
    <x v="154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687-1458735552-238] [23/03/2016 at 12:19:00]"/>
  </r>
  <r>
    <s v="3628678-1458735543-224"/>
    <s v="Spot"/>
    <s v="3628678-1458735543-224"/>
    <n v="0"/>
    <d v="2016-03-31T00:00:00"/>
    <x v="1545"/>
    <s v="224"/>
    <s v="SELL"/>
    <n v="132.8324562477053"/>
    <x v="0"/>
    <x v="3"/>
    <n v="10853.74"/>
    <s v="Deal"/>
    <m/>
    <s v="Original Amount [EUR 81.71], Merchant Amount [EUR 81.71], Customer Amount [JPY 10853.74], Status [APPROVED], Operation [DIRECT], UUID [3628678-1458735543-224] [23/03/2016 at 12:19:00]"/>
  </r>
  <r>
    <s v="3628696-1458735561-101"/>
    <s v="Spot"/>
    <s v="3628696-1458735561-101"/>
    <n v="0"/>
    <d v="2016-03-31T00:00:00"/>
    <x v="1546"/>
    <s v="101"/>
    <s v="SELL"/>
    <n v="3.3971843987999075"/>
    <x v="0"/>
    <x v="0"/>
    <n v="147.19999999999999"/>
    <s v="Deal"/>
    <m/>
    <s v="Original Amount [EUR 43.33], Merchant Amount [EUR 43.33], Customer Amount [TRY 147.2], Status [APPROVED], Operation [3DAUTH], UUID [3628696-1458735561-101] [23/03/2016 at 12:19:00]"/>
  </r>
  <r>
    <s v="3628693-1458735559-150"/>
    <s v="Spot"/>
    <s v="3628693-1458735559-150"/>
    <n v="0"/>
    <d v="2016-03-31T00:00:00"/>
    <x v="1547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8693-1458735559-150] [23/03/2016 at 12:19:00]"/>
  </r>
  <r>
    <s v="3628717-1458735574-203"/>
    <s v="Spot"/>
    <s v="3628717-1458735574-203"/>
    <n v="0"/>
    <d v="2016-03-31T00:00:00"/>
    <x v="1548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717-1458735574-203] [23/03/2016 at 12:19:00]"/>
  </r>
  <r>
    <s v="3628660-1458735515-126"/>
    <s v="Spot"/>
    <s v="3628660-1458735515-126"/>
    <n v="0"/>
    <d v="2016-03-31T00:00:00"/>
    <x v="154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8660-1458735515-126] [23/03/2016 at 12:18:00]"/>
  </r>
  <r>
    <s v="3628657-1458735515-224"/>
    <s v="Spot"/>
    <s v="3628657-1458735515-224"/>
    <n v="0"/>
    <d v="2016-03-31T00:00:00"/>
    <x v="1550"/>
    <s v="224"/>
    <s v="SELL"/>
    <n v="132.83257174191189"/>
    <x v="0"/>
    <x v="3"/>
    <n v="7267.27"/>
    <s v="Deal"/>
    <m/>
    <s v="Original Amount [EUR 54.71], Merchant Amount [EUR 54.71], Customer Amount [JPY 7267.27], Status [APPROVED], Operation [DIRECT], UUID [3628657-1458735515-224] [23/03/2016 at 12:18:00]"/>
  </r>
  <r>
    <s v="3628645-1458735493-216"/>
    <s v="Spot"/>
    <s v="3628645-1458735493-216"/>
    <n v="0"/>
    <d v="2016-03-31T00:00:00"/>
    <x v="1551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645-1458735493-216] [23/03/2016 at 12:18:00]"/>
  </r>
  <r>
    <s v="3628654-1458735503-61"/>
    <s v="Spot"/>
    <s v="3628654-1458735503-61"/>
    <n v="0"/>
    <d v="2016-03-31T00:00:00"/>
    <x v="1552"/>
    <s v="61"/>
    <s v="SELL"/>
    <n v="9.9415000000000013"/>
    <x v="0"/>
    <x v="1"/>
    <n v="198.83"/>
    <s v="Deal"/>
    <m/>
    <s v="Original Amount [EUR 20], Merchant Amount [EUR 20], Customer Amount [NOK 198.83], Status [APPROVED], Operation [3DAUTH], UUID [3628654-1458735503-61] [23/03/2016 at 12:18:00]"/>
  </r>
  <r>
    <s v="3628648-1458735496-216"/>
    <s v="Spot"/>
    <s v="3628648-1458735496-216"/>
    <n v="0"/>
    <d v="2016-03-31T00:00:00"/>
    <x v="1553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648-1458735496-216] [23/03/2016 at 12:18:00]"/>
  </r>
  <r>
    <s v="3628627-1458735457-126"/>
    <s v="Spot"/>
    <s v="3628627-1458735457-126"/>
    <n v="0"/>
    <d v="2016-03-31T00:00:00"/>
    <x v="1554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627-1458735457-126] [23/03/2016 at 12:17:00]"/>
  </r>
  <r>
    <s v="3628609-1458735441-119"/>
    <s v="Spot"/>
    <s v="3628609-1458735441-119"/>
    <n v="0"/>
    <d v="2016-03-31T00:00:00"/>
    <x v="155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8609-1458735441-119] [23/03/2016 at 12:17:00]"/>
  </r>
  <r>
    <s v="3628597-1458735435-119"/>
    <s v="Spot"/>
    <s v="3628597-1458735435-119"/>
    <n v="0"/>
    <d v="2016-03-31T00:00:00"/>
    <x v="155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597-1458735435-119] [23/03/2016 at 12:17:00]"/>
  </r>
  <r>
    <s v="3628594-1458735432-145"/>
    <s v="Spot"/>
    <s v="3628594-1458735432-145"/>
    <n v="0"/>
    <d v="2016-03-31T00:00:00"/>
    <x v="1557"/>
    <s v="145"/>
    <s v="SELL"/>
    <n v="9.9411209439528019"/>
    <x v="0"/>
    <x v="1"/>
    <n v="842.51"/>
    <s v="Deal"/>
    <m/>
    <s v="Original Amount [EUR 84.75], Merchant Amount [EUR 84.75], Customer Amount [NOK 842.51], Status [APPROVED], Operation [DIRECT], UUID [3628594-1458735432-145] [23/03/2016 at 12:17:00]"/>
  </r>
  <r>
    <s v="3628588-1458735422-82"/>
    <s v="Spot"/>
    <s v="3628588-1458735422-82"/>
    <n v="0"/>
    <d v="2016-03-31T00:00:00"/>
    <x v="155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588-1458735422-82] [23/03/2016 at 12:17:00]"/>
  </r>
  <r>
    <s v="3628585-1458735422-171"/>
    <s v="Spot"/>
    <s v="3628585-1458735422-171"/>
    <n v="0"/>
    <d v="2016-03-31T00:00:00"/>
    <x v="1559"/>
    <s v="171"/>
    <s v="SELL"/>
    <n v="9.9412000000000003"/>
    <x v="0"/>
    <x v="1"/>
    <n v="497.06"/>
    <s v="Deal"/>
    <m/>
    <s v="Original Amount [EUR 50], Merchant Amount [EUR 50], Customer Amount [NOK 497.06], Status [APPROVED], Operation [DIRECT], UUID [3628585-1458735422-171] [23/03/2016 at 12:17:00]"/>
  </r>
  <r>
    <s v="3628621-1458735453-102"/>
    <s v="Spot"/>
    <s v="3628621-1458735453-102"/>
    <n v="0"/>
    <d v="2016-03-31T00:00:00"/>
    <x v="1560"/>
    <s v="102"/>
    <s v="SELL"/>
    <n v="3.3974193548387093"/>
    <x v="0"/>
    <x v="0"/>
    <n v="78.989999999999995"/>
    <s v="Deal"/>
    <m/>
    <s v="Original Amount [EUR 23.25], Merchant Amount [EUR 23.25], Customer Amount [TRY 78.99], Status [APPROVED], Operation [3DAUTH], UUID [3628621-1458735453-102] [23/03/2016 at 12:17:00]"/>
  </r>
  <r>
    <s v="3628573-1458735409-200"/>
    <s v="Spot"/>
    <s v="3628573-1458735409-200"/>
    <n v="0"/>
    <d v="2016-03-31T00:00:00"/>
    <x v="1561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8573-1458735409-200] [23/03/2016 at 12:16:00]"/>
  </r>
  <r>
    <s v="3628555-1458735375-187"/>
    <s v="Spot"/>
    <s v="3628555-1458735375-187"/>
    <n v="0"/>
    <d v="2016-03-31T00:00:00"/>
    <x v="1562"/>
    <s v="187"/>
    <s v="SELL"/>
    <n v="9.9410745233968818"/>
    <x v="0"/>
    <x v="1"/>
    <n v="1261.92"/>
    <s v="Deal"/>
    <m/>
    <s v="Original Amount [EUR 126.94], Merchant Amount [EUR 126.94], Customer Amount [NOK 1261.92], Status [APPROVED], Operation [DIRECT], UUID [3628555-1458735375-187] [23/03/2016 at 12:16:00]"/>
  </r>
  <r>
    <s v="3628552-1458735368-132"/>
    <s v="Spot"/>
    <s v="3628552-1458735368-132"/>
    <n v="0"/>
    <d v="2016-03-31T00:00:00"/>
    <x v="1563"/>
    <s v="132"/>
    <s v="SELL"/>
    <n v="9.7348749999999988"/>
    <x v="0"/>
    <x v="12"/>
    <n v="778.79"/>
    <s v="Deal"/>
    <m/>
    <s v="Original Amount [EUR 80], Merchant Amount [EUR 80], Customer Amount [SEK 778.79], Status [APPROVED], Operation [3DAUTH], UUID [3628552-1458735368-132] [23/03/2016 at 12:16:00]"/>
  </r>
  <r>
    <s v="3628537-1458735351-82"/>
    <s v="Spot"/>
    <s v="3628537-1458735351-82"/>
    <n v="0"/>
    <d v="2016-03-31T00:00:00"/>
    <x v="1564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8537-1458735351-82] [23/03/2016 at 12:15:00]"/>
  </r>
  <r>
    <s v="3628636-1458735469-102"/>
    <s v="Spot"/>
    <s v="3628636-1458735469-102"/>
    <n v="0"/>
    <d v="2016-03-31T00:00:00"/>
    <x v="1565"/>
    <s v="102"/>
    <s v="SELL"/>
    <n v="3.3975806451612902"/>
    <x v="0"/>
    <x v="0"/>
    <n v="42.13"/>
    <s v="Deal"/>
    <m/>
    <s v="Original Amount [EUR 12.4], Merchant Amount [EUR 12.4], Customer Amount [TRY 42.13], Status [APPROVED], Operation [3DAUTH], UUID [3628636-1458735469-102] [23/03/2016 at 12:17:00]"/>
  </r>
  <r>
    <s v="3628561-1458735382-119"/>
    <s v="Spot"/>
    <s v="3628561-1458735382-119"/>
    <n v="0"/>
    <d v="2016-03-31T00:00:00"/>
    <x v="1566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8561-1458735382-119] [23/03/2016 at 12:16:00]"/>
  </r>
  <r>
    <s v="3628606-1458735440-56"/>
    <s v="Spot"/>
    <s v="3628606-1458735440-56"/>
    <n v="0"/>
    <d v="2016-03-31T00:00:00"/>
    <x v="1567"/>
    <s v="56"/>
    <s v="SELL"/>
    <n v="3.3970169961845298"/>
    <x v="0"/>
    <x v="0"/>
    <n v="489.68"/>
    <s v="Deal"/>
    <m/>
    <s v="Original Amount [EUR 144.15], Merchant Amount [EUR 144.15], Customer Amount [TRY 489.68], Status [APPROVED], Operation [3DAUTH], UUID [3628606-1458735440-56] [23/03/2016 at 12:17:00]"/>
  </r>
  <r>
    <s v="3628504-1458735318-200"/>
    <s v="Spot"/>
    <s v="3628504-1458735318-200"/>
    <n v="0"/>
    <d v="2016-03-31T00:00:00"/>
    <x v="156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504-1458735318-200] [23/03/2016 at 12:15:00]"/>
  </r>
  <r>
    <s v="3628498-1458735317-126"/>
    <s v="Spot"/>
    <s v="3628498-1458735317-126"/>
    <n v="0"/>
    <d v="2016-03-31T00:00:00"/>
    <x v="1569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498-1458735317-126] [23/03/2016 at 12:15:00]"/>
  </r>
  <r>
    <s v="3628492-1458735313-187"/>
    <s v="Spot"/>
    <s v="3628492-1458735313-187"/>
    <n v="0"/>
    <d v="2016-03-31T00:00:00"/>
    <x v="1570"/>
    <s v="187"/>
    <s v="SELL"/>
    <n v="9.9410897266230567"/>
    <x v="0"/>
    <x v="1"/>
    <n v="2629.12"/>
    <s v="Deal"/>
    <m/>
    <s v="Original Amount [EUR 264.47], Merchant Amount [EUR 264.47], Customer Amount [NOK 2629.12], Status [APPROVED], Operation [DIRECT], UUID [3628492-1458735313-187] [23/03/2016 at 12:15:00]"/>
  </r>
  <r>
    <s v="3628489-1458735312-224"/>
    <s v="Spot"/>
    <s v="3628489-1458735312-224"/>
    <n v="0"/>
    <d v="2016-03-31T00:00:00"/>
    <x v="157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8489-1458735312-224] [23/03/2016 at 12:15:00]"/>
  </r>
  <r>
    <s v="3628519-1458735333-203"/>
    <s v="Spot"/>
    <s v="3628519-1458735333-203"/>
    <n v="0"/>
    <d v="2016-03-31T00:00:00"/>
    <x v="1572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519-1458735333-203] [23/03/2016 at 12:15:00]"/>
  </r>
  <r>
    <s v="3628483-1458735309-261"/>
    <s v="Spot"/>
    <s v="3628483-1458735309-261"/>
    <n v="0"/>
    <d v="2016-03-31T00:00:00"/>
    <x v="1573"/>
    <s v="261"/>
    <s v="SELL"/>
    <n v="9.9410637502336865"/>
    <x v="0"/>
    <x v="1"/>
    <n v="2126.9899999999998"/>
    <s v="Deal"/>
    <m/>
    <s v="Original Amount [EUR 213.96], Merchant Amount [EUR 213.96], Customer Amount [NOK 2126.99], Status [APPROVED], Operation [DIRECT], UUID [3628483-1458735309-261] [23/03/2016 at 12:15:00]"/>
  </r>
  <r>
    <s v="3628525-1458735335-216"/>
    <s v="Spot"/>
    <s v="3628525-1458735335-216"/>
    <n v="0"/>
    <d v="2016-03-31T00:00:00"/>
    <x v="1574"/>
    <s v="216"/>
    <s v="SELL"/>
    <n v="3.397110754414125"/>
    <x v="0"/>
    <x v="0"/>
    <n v="105.82"/>
    <s v="Deal"/>
    <m/>
    <s v="Original Amount [EUR 31.15], Merchant Amount [EUR 31.15], Customer Amount [TRY 105.82], Status [APPROVED], Operation [3DAUTH], UUID [3628525-1458735335-216] [23/03/2016 at 12:15:00]"/>
  </r>
  <r>
    <s v="3628531-1458735344-216"/>
    <s v="Spot"/>
    <s v="3628531-1458735344-216"/>
    <n v="0"/>
    <d v="2016-03-31T00:00:00"/>
    <x v="157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531-1458735344-216] [23/03/2016 at 12:15:00]"/>
  </r>
  <r>
    <s v="3628468-1458735294-199"/>
    <s v="Spot"/>
    <s v="3628468-1458735294-199"/>
    <n v="0"/>
    <d v="2016-03-31T00:00:00"/>
    <x v="1576"/>
    <s v="199"/>
    <s v="SELL"/>
    <n v="9.95456217980772"/>
    <x v="0"/>
    <x v="1"/>
    <n v="10550.94"/>
    <s v="Deal"/>
    <m/>
    <s v="Original Amount [EUR 1059.91], Merchant Amount [EUR 1059.91], Customer Amount [NOK 10550.94], Status [APPROVED], Operation [DIRECT], UUID [3628468-1458735294-199] [23/03/2016 at 12:14:00]"/>
  </r>
  <r>
    <s v="3628501-1458735318-124"/>
    <s v="Spot"/>
    <s v="3628501-1458735318-124"/>
    <n v="0"/>
    <d v="2016-03-31T00:00:00"/>
    <x v="1577"/>
    <s v="124"/>
    <s v="SELL"/>
    <n v="9.9546341463414638"/>
    <x v="0"/>
    <x v="1"/>
    <n v="1224.42"/>
    <s v="Deal"/>
    <m/>
    <s v="Original Amount [EUR 123], Merchant Amount [EUR 123], Customer Amount [NOK 1224.42], Status [APPROVED], Operation [3DAUTH], UUID [3628501-1458735318-124] [23/03/2016 at 12:15:00]"/>
  </r>
  <r>
    <s v="3628507-1458735320-56"/>
    <s v="Spot"/>
    <s v="3628507-1458735320-56"/>
    <n v="0"/>
    <d v="2016-03-31T00:00:00"/>
    <x v="1578"/>
    <s v="56"/>
    <s v="SELL"/>
    <n v="3.3966593818295348"/>
    <x v="0"/>
    <x v="0"/>
    <n v="217.59"/>
    <s v="Deal"/>
    <m/>
    <s v="Original Amount [EUR 64.06], Merchant Amount [EUR 64.06], Customer Amount [TRY 217.59], Status [APPROVED], Operation [3DAUTH], UUID [3628507-1458735320-56] [23/03/2016 at 12:15:00]"/>
  </r>
  <r>
    <s v="3628435-1458735264-119"/>
    <s v="Spot"/>
    <s v="3628435-1458735264-119"/>
    <n v="0"/>
    <d v="2016-03-31T00:00:00"/>
    <x v="1579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8435-1458735264-119] [23/03/2016 at 12:14:00]"/>
  </r>
  <r>
    <s v="3628429-1458735262-216"/>
    <s v="Spot"/>
    <s v="3628429-1458735262-216"/>
    <n v="0"/>
    <d v="2016-03-31T00:00:00"/>
    <x v="15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429-1458735262-216] [23/03/2016 at 12:14:00]"/>
  </r>
  <r>
    <s v="3628450-1458735282-56"/>
    <s v="Spot"/>
    <s v="3628450-1458735282-56"/>
    <n v="0"/>
    <d v="2016-03-31T00:00:00"/>
    <x v="1581"/>
    <s v="56"/>
    <s v="SELL"/>
    <n v="3.3975"/>
    <x v="0"/>
    <x v="0"/>
    <n v="27.18"/>
    <s v="Deal"/>
    <m/>
    <s v="Original Amount [EUR 8], Merchant Amount [EUR 8], Customer Amount [TRY 27.18], Status [APPROVED], Operation [3DAUTH], UUID [3628450-1458735282-56] [23/03/2016 at 12:14:00]"/>
  </r>
  <r>
    <s v="3628453-1458735282-264"/>
    <s v="Spot"/>
    <s v="3628453-1458735282-264"/>
    <n v="0"/>
    <d v="2016-03-31T00:00:00"/>
    <x v="1582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28453-1458735282-264] [23/03/2016 at 12:14:00]"/>
  </r>
  <r>
    <s v="3628402-1458735236-199"/>
    <s v="Spot"/>
    <s v="3628402-1458735236-199"/>
    <n v="0"/>
    <d v="2016-03-31T00:00:00"/>
    <x v="158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8402-1458735236-199] [23/03/2016 at 12:13:00]"/>
  </r>
  <r>
    <s v="3628384-1458735221-119"/>
    <s v="Spot"/>
    <s v="3628384-1458735221-119"/>
    <n v="0"/>
    <d v="2016-03-31T00:00:00"/>
    <x v="1584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84-1458735221-119] [23/03/2016 at 12:13:00]"/>
  </r>
  <r>
    <s v="3628372-1458735204-82"/>
    <s v="Spot"/>
    <s v="3628372-1458735204-82"/>
    <n v="0"/>
    <d v="2016-03-31T00:00:00"/>
    <x v="158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372-1458735204-82] [23/03/2016 at 12:13:00]"/>
  </r>
  <r>
    <s v="3628366-1458735195-224"/>
    <s v="Spot"/>
    <s v="3628366-1458735195-224"/>
    <n v="0"/>
    <d v="2016-03-31T00:00:00"/>
    <x v="1586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8366-1458735195-224] [23/03/2016 at 12:13:00]"/>
  </r>
  <r>
    <s v="3628444-1458735274-216"/>
    <s v="Spot"/>
    <s v="3628444-1458735274-216"/>
    <n v="0"/>
    <d v="2016-03-31T00:00:00"/>
    <x v="158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8444-1458735274-216] [23/03/2016 at 12:14:00]"/>
  </r>
  <r>
    <s v="3628354-1458735176-224"/>
    <s v="Spot"/>
    <s v="3628354-1458735176-224"/>
    <n v="0"/>
    <d v="2016-03-31T00:00:00"/>
    <x v="1588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8354-1458735176-224] [23/03/2016 at 12:12:00]"/>
  </r>
  <r>
    <s v="3628381-1458735217-216"/>
    <s v="Spot"/>
    <s v="3628381-1458735217-216"/>
    <n v="0"/>
    <d v="2016-03-31T00:00:00"/>
    <x v="158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81-1458735217-216] [23/03/2016 at 12:13:00]"/>
  </r>
  <r>
    <s v="3628348-1458735175-82"/>
    <s v="Spot"/>
    <s v="3628348-1458735175-82"/>
    <n v="0"/>
    <d v="2016-03-31T00:00:00"/>
    <x v="1590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28348-1458735175-82] [23/03/2016 at 12:12:00]"/>
  </r>
  <r>
    <s v="3628375-1458735206-216"/>
    <s v="Spot"/>
    <s v="3628375-1458735206-216"/>
    <n v="0"/>
    <d v="2016-03-31T00:00:00"/>
    <x v="1591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75-1458735206-216] [23/03/2016 at 12:13:00]"/>
  </r>
  <r>
    <s v="3628336-1458735164-145"/>
    <s v="Spot"/>
    <s v="3628336-1458735164-145"/>
    <n v="0"/>
    <d v="2016-03-31T00:00:00"/>
    <x v="159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28336-1458735164-145] [23/03/2016 at 12:12:00]"/>
  </r>
  <r>
    <s v="3628330-1458735159-119"/>
    <s v="Spot"/>
    <s v="3628330-1458735159-119"/>
    <n v="0"/>
    <d v="2016-03-31T00:00:00"/>
    <x v="159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8330-1458735159-119] [23/03/2016 at 12:12:00]"/>
  </r>
  <r>
    <s v="3628324-1458735159-199"/>
    <s v="Spot"/>
    <s v="3628324-1458735159-199"/>
    <n v="0"/>
    <d v="2016-03-31T00:00:00"/>
    <x v="1594"/>
    <s v="199"/>
    <s v="SELL"/>
    <n v="9.95457474226804"/>
    <x v="0"/>
    <x v="1"/>
    <n v="2162.9299999999998"/>
    <s v="Deal"/>
    <m/>
    <s v="Original Amount [EUR 217.28], Merchant Amount [EUR 217.28], Customer Amount [NOK 2162.93], Status [APPROVED], Operation [DIRECT], UUID [3628324-1458735159-199] [23/03/2016 at 12:12:00]"/>
  </r>
  <r>
    <s v="3628369-1458735196-216"/>
    <s v="Spot"/>
    <s v="3628369-1458735196-216"/>
    <n v="0"/>
    <d v="2016-03-31T00:00:00"/>
    <x v="159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69-1458735196-216] [23/03/2016 at 12:13:00]"/>
  </r>
  <r>
    <s v="3628315-1458735143-145"/>
    <s v="Spot"/>
    <s v="3628315-1458735143-145"/>
    <n v="0"/>
    <d v="2016-03-31T00:00:00"/>
    <x v="1596"/>
    <s v="145"/>
    <s v="SELL"/>
    <n v="9.9546956111373284"/>
    <x v="0"/>
    <x v="1"/>
    <n v="421.88"/>
    <s v="Deal"/>
    <m/>
    <s v="Original Amount [EUR 42.38], Merchant Amount [EUR 42.38], Customer Amount [NOK 421.88], Status [APPROVED], Operation [DIRECT], UUID [3628315-1458735143-145] [23/03/2016 at 12:12:00]"/>
  </r>
  <r>
    <s v="3628306-1458735136-119"/>
    <s v="Spot"/>
    <s v="3628306-1458735136-119"/>
    <n v="0"/>
    <d v="2016-03-31T00:00:00"/>
    <x v="1597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06-1458735136-119] [23/03/2016 at 12:12:00]"/>
  </r>
  <r>
    <s v="3628303-1458735136-126"/>
    <s v="Spot"/>
    <s v="3628303-1458735136-126"/>
    <n v="0"/>
    <d v="2016-03-31T00:00:00"/>
    <x v="1598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28303-1458735136-126] [23/03/2016 at 12:12:00]"/>
  </r>
  <r>
    <s v="3628294-1458735132-200"/>
    <s v="Spot"/>
    <s v="3628294-1458735132-200"/>
    <n v="0"/>
    <d v="2016-03-31T00:00:00"/>
    <x v="159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8294-1458735132-200] [23/03/2016 at 12:12:00]"/>
  </r>
  <r>
    <s v="3628288-1458735130-126"/>
    <s v="Spot"/>
    <s v="3628288-1458735130-126"/>
    <n v="0"/>
    <d v="2016-03-31T00:00:00"/>
    <x v="1600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8288-1458735130-126] [23/03/2016 at 12:12:00]"/>
  </r>
  <r>
    <s v="3628276-1458735126-102"/>
    <s v="Spot"/>
    <s v="3628276-1458735126-102"/>
    <n v="0"/>
    <d v="2016-03-31T00:00:00"/>
    <x v="1601"/>
    <s v="102"/>
    <s v="SELL"/>
    <n v="3.3967741935483868"/>
    <x v="0"/>
    <x v="0"/>
    <n v="105.3"/>
    <s v="Deal"/>
    <m/>
    <s v="Original Amount [EUR 31], Merchant Amount [EUR 31], Customer Amount [TRY 105.3], Status [WAITING], Operation [3D], UUID [3628276-1458735126-102] [23/03/2016 at 12:12:00]"/>
  </r>
  <r>
    <s v="3628321-1458735149-216"/>
    <s v="Spot"/>
    <s v="3628321-1458735149-216"/>
    <n v="0"/>
    <d v="2016-03-31T00:00:00"/>
    <x v="1602"/>
    <s v="216"/>
    <s v="SELL"/>
    <n v="3.3966292134831466"/>
    <x v="0"/>
    <x v="0"/>
    <n v="211.61"/>
    <s v="Deal"/>
    <m/>
    <s v="Original Amount [EUR 62.3], Merchant Amount [EUR 62.3], Customer Amount [TRY 211.61], Status [APPROVED], Operation [3DAUTH], UUID [3628321-1458735149-216] [23/03/2016 at 12:12:00]"/>
  </r>
  <r>
    <s v="3628285-1458735130-145"/>
    <s v="Spot"/>
    <s v="3628285-1458735130-145"/>
    <n v="0"/>
    <d v="2016-03-31T00:00:00"/>
    <x v="1603"/>
    <s v="145"/>
    <s v="SELL"/>
    <n v="1.5446123842028276"/>
    <x v="0"/>
    <x v="2"/>
    <n v="31.68"/>
    <s v="Deal"/>
    <m/>
    <s v="Original Amount [EUR 20.51], Merchant Amount [EUR 20.51], Customer Amount [CAD 31.68], Status [APPROVED], Operation [3DAUTH], UUID [3628285-1458735130-145] [23/03/2016 at 12:12:00]"/>
  </r>
  <r>
    <s v="3628297-1458735134-56"/>
    <s v="Spot"/>
    <s v="3628297-1458735134-56"/>
    <n v="0"/>
    <d v="2016-03-31T00:00:00"/>
    <x v="1604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8297-1458735134-56] [23/03/2016 at 12:12:00]"/>
  </r>
  <r>
    <s v="3628378-1458735213-107"/>
    <s v="Spot"/>
    <s v="3628378-1458735213-107"/>
    <n v="0"/>
    <d v="2016-03-31T00:00:00"/>
    <x v="1605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378-1458735213-107] [23/03/2016 at 12:13:00]"/>
  </r>
  <r>
    <s v="3628240-1458735094-119"/>
    <s v="Spot"/>
    <s v="3628240-1458735094-119"/>
    <n v="0"/>
    <d v="2016-03-31T00:00:00"/>
    <x v="1606"/>
    <s v="119"/>
    <s v="SELL"/>
    <n v="9.9390000000000001"/>
    <x v="0"/>
    <x v="1"/>
    <n v="496.95"/>
    <s v="Deal"/>
    <m/>
    <s v="Original Amount [EUR 50], Merchant Amount [EUR 50], Customer Amount [NOK 496.95], Status [APPROVED], Operation [DIRECT], UUID [3628240-1458735094-119] [23/03/2016 at 12:11:00]"/>
  </r>
  <r>
    <s v="3628387-1458735225-216"/>
    <s v="Spot"/>
    <s v="3628387-1458735225-216"/>
    <n v="0"/>
    <d v="2016-03-31T00:00:00"/>
    <x v="160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87-1458735225-216] [23/03/2016 at 12:13:00]"/>
  </r>
  <r>
    <s v="3628234-1458735089-224"/>
    <s v="Spot"/>
    <s v="3628234-1458735089-224"/>
    <n v="0"/>
    <d v="2016-03-31T00:00:00"/>
    <x v="1608"/>
    <s v="224"/>
    <s v="SELL"/>
    <n v="132.77704678362574"/>
    <x v="0"/>
    <x v="3"/>
    <n v="1816.39"/>
    <s v="Deal"/>
    <m/>
    <s v="Original Amount [EUR 13.68], Merchant Amount [EUR 13.68], Customer Amount [JPY 1816.39], Status [APPROVED], Operation [DIRECT], UUID [3628234-1458735089-224] [23/03/2016 at 12:11:00]"/>
  </r>
  <r>
    <s v="3628213-1458735064-224"/>
    <s v="Spot"/>
    <s v="3628213-1458735064-224"/>
    <n v="0"/>
    <d v="2016-03-31T00:00:00"/>
    <x v="1609"/>
    <s v="224"/>
    <s v="SELL"/>
    <n v="9.9388770433546547"/>
    <x v="0"/>
    <x v="1"/>
    <n v="139.84"/>
    <s v="Deal"/>
    <m/>
    <s v="Original Amount [EUR 14.07], Merchant Amount [EUR 14.07], Customer Amount [NOK 139.84], Status [APPROVED], Operation [DIRECT], UUID [3628213-1458735064-224] [23/03/2016 at 12:11:00]"/>
  </r>
  <r>
    <s v="3628219-1458735073-216"/>
    <s v="Spot"/>
    <s v="3628219-1458735073-216"/>
    <n v="0"/>
    <d v="2016-03-31T00:00:00"/>
    <x v="1610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19-1458735073-216] [23/03/2016 at 12:11:00]"/>
  </r>
  <r>
    <s v="3628192-1458735043-216"/>
    <s v="Spot"/>
    <s v="3628192-1458735043-216"/>
    <n v="0"/>
    <d v="2016-03-31T00:00:00"/>
    <x v="1611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92-1458735043-216] [23/03/2016 at 12:10:00]"/>
  </r>
  <r>
    <s v="3628249-1458735101-124"/>
    <s v="Spot"/>
    <s v="3628249-1458735101-124"/>
    <n v="0"/>
    <d v="2016-03-31T00:00:00"/>
    <x v="1612"/>
    <s v="124"/>
    <s v="SELL"/>
    <n v="9.9390934844192635"/>
    <x v="0"/>
    <x v="1"/>
    <n v="210.51"/>
    <s v="Deal"/>
    <m/>
    <s v="Original Amount [EUR 21.18], Merchant Amount [EUR 21.18], Customer Amount [NOK 210.51], Status [APPROVED], Operation [3DAUTH], UUID [3628249-1458735101-124] [23/03/2016 at 12:11:00]"/>
  </r>
  <r>
    <s v="3628168-1458735028-200"/>
    <s v="Spot"/>
    <s v="3628168-1458735028-200"/>
    <n v="0"/>
    <d v="2016-03-31T00:00:00"/>
    <x v="1613"/>
    <s v="200"/>
    <s v="SELL"/>
    <n v="9.9388686131386859"/>
    <x v="0"/>
    <x v="1"/>
    <n v="544.65"/>
    <s v="Deal"/>
    <m/>
    <s v="Original Amount [EUR 54.8], Merchant Amount [EUR 54.8], Customer Amount [NOK 544.65], Status [APPROVED], Operation [STORED], UUID [3628168-1458735028-200] [23/03/2016 at 12:10:00]"/>
  </r>
  <r>
    <s v="3628207-1458735057-216"/>
    <s v="Spot"/>
    <s v="3628207-1458735057-216"/>
    <n v="0"/>
    <d v="2016-03-31T00:00:00"/>
    <x v="1614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07-1458735057-216] [23/03/2016 at 12:10:00]"/>
  </r>
  <r>
    <s v="3628159-1458735022-199"/>
    <s v="Spot"/>
    <s v="3628159-1458735022-199"/>
    <n v="0"/>
    <d v="2016-03-31T00:00:00"/>
    <x v="1615"/>
    <s v="199"/>
    <s v="SELL"/>
    <n v="9.9396628216503995"/>
    <x v="0"/>
    <x v="1"/>
    <n v="112.02"/>
    <s v="Deal"/>
    <m/>
    <s v="Original Amount [EUR 11.27], Merchant Amount [EUR 11.27], Customer Amount [NOK 112.02], Status [APPROVED], Operation [DIRECT], UUID [3628159-1458735022-199] [23/03/2016 at 12:10:00]"/>
  </r>
  <r>
    <s v="3628198-1458735052-107"/>
    <s v="Spot"/>
    <s v="3628198-1458735052-107"/>
    <n v="0"/>
    <d v="2016-03-31T00:00:00"/>
    <x v="1616"/>
    <s v="107"/>
    <s v="SELL"/>
    <n v="3.3965461588121366"/>
    <x v="0"/>
    <x v="0"/>
    <n v="210.45"/>
    <s v="Deal"/>
    <m/>
    <s v="Original Amount [EUR 61.96], Merchant Amount [EUR 61.96], Customer Amount [TRY 210.45], Status [APPROVED], Operation [3DAUTH], UUID [3628198-1458735052-107] [23/03/2016 at 12:10:00]"/>
  </r>
  <r>
    <s v="3628174-1458735033-126"/>
    <s v="Spot"/>
    <s v="3628174-1458735033-126"/>
    <n v="0"/>
    <d v="2016-03-31T00:00:00"/>
    <x v="1617"/>
    <s v="126"/>
    <s v="SELL"/>
    <n v="9.9397163120567384"/>
    <x v="0"/>
    <x v="1"/>
    <n v="112.12"/>
    <s v="Deal"/>
    <m/>
    <s v="Original Amount [EUR 11.28], Merchant Amount [EUR 11.28], Customer Amount [NOK 112.12], Status [APPROVED], Operation [3DAUTH], UUID [3628174-1458735033-126] [23/03/2016 at 12:10:00]"/>
  </r>
  <r>
    <s v="3628129-1458734983-216"/>
    <s v="Spot"/>
    <s v="3628129-1458734983-216"/>
    <n v="0"/>
    <d v="2016-03-31T00:00:00"/>
    <x v="1618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29-1458734983-216] [23/03/2016 at 12:09:00]"/>
  </r>
  <r>
    <s v="3628126-1458734976-200"/>
    <s v="Spot"/>
    <s v="3628126-1458734976-200"/>
    <n v="0"/>
    <d v="2016-03-31T00:00:00"/>
    <x v="1619"/>
    <s v="200"/>
    <s v="SELL"/>
    <n v="9.9388663819847434"/>
    <x v="0"/>
    <x v="1"/>
    <n v="2723.15"/>
    <s v="Deal"/>
    <m/>
    <s v="Original Amount [EUR 273.99], Merchant Amount [EUR 273.99], Customer Amount [NOK 2723.15], Status [APPROVED], Operation [STORED], UUID [3628126-1458734976-200] [23/03/2016 at 12:09:00]"/>
  </r>
  <r>
    <s v="3628114-1458734964-82"/>
    <s v="Spot"/>
    <s v="3628114-1458734964-82"/>
    <n v="0"/>
    <d v="2016-03-31T00:00:00"/>
    <x v="1620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114-1458734964-82] [23/03/2016 at 12:09:00]"/>
  </r>
  <r>
    <s v="3628135-1458734994-56"/>
    <s v="Spot"/>
    <s v="3628135-1458734994-56"/>
    <n v="0"/>
    <d v="2016-03-31T00:00:00"/>
    <x v="1621"/>
    <s v="56"/>
    <s v="SELL"/>
    <n v="3.3964881855625406"/>
    <x v="0"/>
    <x v="0"/>
    <n v="156.68"/>
    <s v="Deal"/>
    <m/>
    <s v="Original Amount [EUR 46.13], Merchant Amount [EUR 46.13], Customer Amount [TRY 156.68], Status [APPROVED], Operation [3DAUTH], UUID [3628135-1458734994-56] [23/03/2016 at 12:09:00]"/>
  </r>
  <r>
    <s v="3628189-1458735043-216"/>
    <s v="Spot"/>
    <s v="3628189-1458735043-216"/>
    <n v="0"/>
    <d v="2016-03-31T00:00:00"/>
    <x v="1622"/>
    <s v="216"/>
    <s v="SELL"/>
    <n v="3.3924213230571612"/>
    <x v="0"/>
    <x v="0"/>
    <n v="52.82"/>
    <s v="Deal"/>
    <m/>
    <s v="Original Amount [EUR 15.57], Merchant Amount [EUR 15.57], Customer Amount [TRY 52.82], Status [APPROVED], Operation [3DAUTH], UUID [3628189-1458735043-216] [23/03/2016 at 12:10:00]"/>
  </r>
  <r>
    <s v="3628096-1458734931-203"/>
    <s v="Spot"/>
    <s v="3628096-1458734931-203"/>
    <n v="0"/>
    <d v="2016-03-31T00:00:00"/>
    <x v="1623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8096-1458734931-203] [23/03/2016 at 12:08:00]"/>
  </r>
  <r>
    <s v="3628102-1458734939-216"/>
    <s v="Spot"/>
    <s v="3628102-1458734939-216"/>
    <n v="0"/>
    <d v="2016-03-31T00:00:00"/>
    <x v="1624"/>
    <s v="216"/>
    <s v="SELL"/>
    <n v="3.3920208152645275"/>
    <x v="0"/>
    <x v="0"/>
    <n v="39.11"/>
    <s v="Deal"/>
    <m/>
    <s v="Original Amount [EUR 11.53], Merchant Amount [EUR 11.53], Customer Amount [TRY 39.11], Status [APPROVED], Operation [3DAUTH], UUID [3628102-1458734939-216] [23/03/2016 at 12:08:00]"/>
  </r>
  <r>
    <s v="3628081-1458734906-224"/>
    <s v="Spot"/>
    <s v="3628081-1458734906-224"/>
    <n v="0"/>
    <d v="2016-03-31T00:00:00"/>
    <x v="1625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81-1458734906-224] [23/03/2016 at 12:08:00]"/>
  </r>
  <r>
    <s v="3628072-1458734902-224"/>
    <s v="Spot"/>
    <s v="3628072-1458734902-224"/>
    <n v="0"/>
    <d v="2016-03-31T00:00:00"/>
    <x v="1626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72-1458734902-224] [23/03/2016 at 12:08:00]"/>
  </r>
  <r>
    <s v="3628069-1458734899-224"/>
    <s v="Spot"/>
    <s v="3628069-1458734899-224"/>
    <n v="0"/>
    <d v="2016-03-31T00:00:00"/>
    <x v="162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28069-1458734899-224] [23/03/2016 at 12:08:00]"/>
  </r>
  <r>
    <s v="3628060-1458734890-199"/>
    <s v="Spot"/>
    <s v="3628060-1458734890-199"/>
    <n v="0"/>
    <d v="2016-03-31T00:00:00"/>
    <x v="1628"/>
    <s v="199"/>
    <s v="SELL"/>
    <n v="9.9663530374309666"/>
    <x v="0"/>
    <x v="1"/>
    <n v="974.51"/>
    <s v="Deal"/>
    <m/>
    <s v="Original Amount [EUR 97.78], Merchant Amount [EUR 97.78], Customer Amount [NOK 974.51], Status [APPROVED], Operation [DIRECT], UUID [3628060-1458734890-199] [23/03/2016 at 12:08:00]"/>
  </r>
  <r>
    <s v="3628057-1458734887-187"/>
    <s v="Spot"/>
    <s v="3628057-1458734887-187"/>
    <n v="0"/>
    <d v="2016-03-31T00:00:00"/>
    <x v="1629"/>
    <s v="187"/>
    <s v="SELL"/>
    <n v="9.9663053524913856"/>
    <x v="0"/>
    <x v="1"/>
    <n v="2372.1799999999998"/>
    <s v="Deal"/>
    <m/>
    <s v="Original Amount [EUR 238.02], Merchant Amount [EUR 238.02], Customer Amount [NOK 2372.18], Status [APPROVED], Operation [DIRECT], UUID [3628057-1458734887-187] [23/03/2016 at 12:08:00]"/>
  </r>
  <r>
    <s v="3628090-1458734923-126"/>
    <s v="Spot"/>
    <s v="3628090-1458734923-126"/>
    <n v="0"/>
    <d v="2016-03-31T00:00:00"/>
    <x v="1630"/>
    <s v="126"/>
    <s v="SELL"/>
    <n v="9.9663182346109185"/>
    <x v="0"/>
    <x v="1"/>
    <n v="429.05"/>
    <s v="Deal"/>
    <m/>
    <s v="Original Amount [EUR 43.05], Merchant Amount [EUR 43.05], Customer Amount [NOK 429.05], Status [APPROVED], Operation [3DAUTH], UUID [3628090-1458734923-126] [23/03/2016 at 12:08:00]"/>
  </r>
  <r>
    <s v="3628048-1458734881-119"/>
    <s v="Spot"/>
    <s v="3628048-1458734881-119"/>
    <n v="0"/>
    <d v="2016-03-31T00:00:00"/>
    <x v="1631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8048-1458734881-119] [23/03/2016 at 12:08:00]"/>
  </r>
  <r>
    <s v="3628039-1458734874-171"/>
    <s v="Spot"/>
    <s v="3628039-1458734874-171"/>
    <n v="0"/>
    <d v="2016-03-31T00:00:00"/>
    <x v="163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28039-1458734874-171] [23/03/2016 at 12:07:00]"/>
  </r>
  <r>
    <s v="3628033-1458734868-200"/>
    <s v="Spot"/>
    <s v="3628033-1458734868-200"/>
    <n v="0"/>
    <d v="2016-03-31T00:00:00"/>
    <x v="1633"/>
    <s v="200"/>
    <s v="SELL"/>
    <n v="9.9666666666666668"/>
    <x v="0"/>
    <x v="1"/>
    <n v="59.8"/>
    <s v="Deal"/>
    <m/>
    <s v="Original Amount [EUR 6], Merchant Amount [EUR 6], Customer Amount [NOK 59.8], Status [APPROVED], Operation [STORED], UUID [3628033-1458734868-200] [23/03/2016 at 12:07:00]"/>
  </r>
  <r>
    <s v="3628066-1458734897-216"/>
    <s v="Spot"/>
    <s v="3628066-1458734897-216"/>
    <n v="0"/>
    <d v="2016-03-31T00:00:00"/>
    <x v="1634"/>
    <s v="216"/>
    <s v="SELL"/>
    <n v="3.3919743178170143"/>
    <x v="0"/>
    <x v="0"/>
    <n v="105.66"/>
    <s v="Deal"/>
    <m/>
    <s v="Original Amount [EUR 31.15], Merchant Amount [EUR 31.15], Customer Amount [TRY 105.66], Status [APPROVED], Operation [3DAUTH], UUID [3628066-1458734897-216] [23/03/2016 at 12:08:00]"/>
  </r>
  <r>
    <s v="3628012-1458734854-238"/>
    <s v="Spot"/>
    <s v="3628012-1458734854-238"/>
    <n v="0"/>
    <d v="2016-03-31T00:00:00"/>
    <x v="163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012-1458734854-238] [23/03/2016 at 12:07:00]"/>
  </r>
  <r>
    <s v="3628000-1458734845-261"/>
    <s v="Spot"/>
    <s v="3628000-1458734845-261"/>
    <n v="0"/>
    <d v="2016-03-31T00:00:00"/>
    <x v="1636"/>
    <s v="261"/>
    <s v="SELL"/>
    <n v="9.9663472774012618"/>
    <x v="0"/>
    <x v="1"/>
    <n v="426.46"/>
    <s v="Deal"/>
    <m/>
    <s v="Original Amount [EUR 42.79], Merchant Amount [EUR 42.79], Customer Amount [NOK 426.46], Status [APPROVED], Operation [DIRECT], UUID [3628000-1458734845-261] [23/03/2016 at 12:07:00]"/>
  </r>
  <r>
    <s v="3628036-1458734871-216"/>
    <s v="Spot"/>
    <s v="3628036-1458734871-216"/>
    <n v="0"/>
    <d v="2016-03-31T00:00:00"/>
    <x v="1637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28036-1458734871-216] [23/03/2016 at 12:07:00]"/>
  </r>
  <r>
    <s v="3628003-1458734850-216"/>
    <s v="Spot"/>
    <s v="3628003-1458734850-216"/>
    <n v="0"/>
    <d v="2016-03-31T00:00:00"/>
    <x v="1638"/>
    <s v="216"/>
    <s v="SELL"/>
    <n v="3.3919352767432898"/>
    <x v="0"/>
    <x v="0"/>
    <n v="528.26"/>
    <s v="Deal"/>
    <m/>
    <s v="Original Amount [EUR 155.74], Merchant Amount [EUR 155.74], Customer Amount [TRY 528.26], Status [APPROVED], Operation [3DAUTH], UUID [3628003-1458734850-216] [23/03/2016 at 12:07:00]"/>
  </r>
  <r>
    <s v="3627967-1458734810-119"/>
    <s v="Spot"/>
    <s v="3627967-1458734810-119"/>
    <n v="0"/>
    <d v="2016-03-31T00:00:00"/>
    <x v="163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7967-1458734810-119] [23/03/2016 at 12:06:00]"/>
  </r>
  <r>
    <s v="3627940-1458734789-107"/>
    <s v="Spot"/>
    <s v="3627940-1458734789-107"/>
    <n v="0"/>
    <d v="2016-03-31T00:00:00"/>
    <x v="1640"/>
    <s v="107"/>
    <s v="SELL"/>
    <n v="3.3920271142672691"/>
    <x v="0"/>
    <x v="0"/>
    <n v="210.17"/>
    <s v="Deal"/>
    <m/>
    <s v="Original Amount [EUR 61.96], Merchant Amount [EUR 61.96], Customer Amount [TRY 210.17], Status [WAITING], Operation [3D], UUID [3627940-1458734789-107] [23/03/2016 at 12:06:00]"/>
  </r>
  <r>
    <s v="3627928-1458734779-260"/>
    <s v="Spot"/>
    <s v="3627928-1458734779-260"/>
    <n v="0"/>
    <d v="2016-03-31T00:00:00"/>
    <x v="1641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928-1458734779-260] [23/03/2016 at 12:06:00]"/>
  </r>
  <r>
    <s v="3627988-1458734827-203"/>
    <s v="Spot"/>
    <s v="3627988-1458734827-203"/>
    <n v="0"/>
    <d v="2016-03-31T00:00:00"/>
    <x v="1642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27988-1458734827-203] [23/03/2016 at 12:07:00]"/>
  </r>
  <r>
    <s v="3627916-1458734773-224"/>
    <s v="Spot"/>
    <s v="3627916-1458734773-224"/>
    <n v="0"/>
    <d v="2016-03-31T00:00:00"/>
    <x v="1643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27916-1458734773-224] [23/03/2016 at 12:06:00]"/>
  </r>
  <r>
    <s v="3627901-1458734762-145"/>
    <s v="Spot"/>
    <s v="3627901-1458734762-145"/>
    <n v="0"/>
    <d v="2016-03-31T00:00:00"/>
    <x v="1644"/>
    <s v="145"/>
    <s v="SELL"/>
    <n v="1.5434146341463415"/>
    <x v="0"/>
    <x v="2"/>
    <n v="15.82"/>
    <s v="Deal"/>
    <m/>
    <s v="Original Amount [EUR 10.25], Merchant Amount [EUR 10.25], Customer Amount [CAD 15.82], Status [APPROVED], Operation [DIRECT], UUID [3627901-1458734762-145] [23/03/2016 at 12:06:00]"/>
  </r>
  <r>
    <s v="3627934-1458734783-56"/>
    <s v="Spot"/>
    <s v="3627934-1458734783-56"/>
    <n v="0"/>
    <d v="2016-03-31T00:00:00"/>
    <x v="1645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7934-1458734783-56] [23/03/2016 at 12:06:00]"/>
  </r>
  <r>
    <s v="3627892-1458734760-224"/>
    <s v="Spot"/>
    <s v="3627892-1458734760-224"/>
    <n v="0"/>
    <d v="2016-03-31T00:00:00"/>
    <x v="1646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7892-1458734760-224] [23/03/2016 at 12:06:00]"/>
  </r>
  <r>
    <s v="3627946-1458734792-216"/>
    <s v="Spot"/>
    <s v="3627946-1458734792-216"/>
    <n v="0"/>
    <d v="2016-03-31T00:00:00"/>
    <x v="164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7946-1458734792-216] [23/03/2016 at 12:06:00]"/>
  </r>
  <r>
    <s v="3627883-1458734753-224"/>
    <s v="Spot"/>
    <s v="3627883-1458734753-224"/>
    <n v="0"/>
    <d v="2016-03-31T00:00:00"/>
    <x v="1648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7883-1458734753-224] [23/03/2016 at 12:05:00]"/>
  </r>
  <r>
    <s v="3627880-1458734752-199"/>
    <s v="Spot"/>
    <s v="3627880-1458734752-199"/>
    <n v="0"/>
    <d v="2016-03-31T00:00:00"/>
    <x v="1649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7880-1458734752-199] [23/03/2016 at 12:05:00]"/>
  </r>
  <r>
    <s v="3627904-1458734764-132"/>
    <s v="Spot"/>
    <s v="3627904-1458734764-132"/>
    <n v="0"/>
    <d v="2016-03-31T00:00:00"/>
    <x v="1650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904-1458734764-132] [23/03/2016 at 12:06:00]"/>
  </r>
  <r>
    <s v="3627913-1458734772-216"/>
    <s v="Spot"/>
    <s v="3627913-1458734772-216"/>
    <n v="0"/>
    <d v="2016-03-31T00:00:00"/>
    <x v="1651"/>
    <s v="216"/>
    <s v="SELL"/>
    <n v="3.3965757089352597"/>
    <x v="0"/>
    <x v="0"/>
    <n v="317.41000000000003"/>
    <s v="Deal"/>
    <m/>
    <s v="Original Amount [EUR 93.45], Merchant Amount [EUR 93.45], Customer Amount [TRY 317.41], Status [APPROVED], Operation [3DAUTH], UUID [3627913-1458734772-216] [23/03/2016 at 12:06:00]"/>
  </r>
  <r>
    <s v="3627910-1458734770-196"/>
    <s v="Spot"/>
    <s v="3627910-1458734770-196"/>
    <n v="0"/>
    <d v="2016-03-31T00:00:00"/>
    <x v="1652"/>
    <s v="196"/>
    <s v="SELL"/>
    <n v="9.9668674698795172"/>
    <x v="0"/>
    <x v="1"/>
    <n v="99.27"/>
    <s v="Deal"/>
    <m/>
    <s v="Original Amount [EUR 9.96], Merchant Amount [EUR 9.96], Customer Amount [NOK 99.27], Status [APPROVED], Operation [3DAUTH], UUID [3627910-1458734770-196] [23/03/2016 at 12:06:00]"/>
  </r>
  <r>
    <s v="3627907-1458734765-107"/>
    <s v="Spot"/>
    <s v="3627907-1458734765-107"/>
    <n v="0"/>
    <d v="2016-03-31T00:00:00"/>
    <x v="1653"/>
    <s v="107"/>
    <s v="SELL"/>
    <n v="3.3966212944531127"/>
    <x v="0"/>
    <x v="0"/>
    <n v="631.33000000000004"/>
    <s v="Deal"/>
    <m/>
    <s v="Original Amount [EUR 185.87], Merchant Amount [EUR 185.87], Customer Amount [TRY 631.33], Status [APPROVED], Operation [3DAUTH], UUID [3627907-1458734765-107] [23/03/2016 at 12:06:00]"/>
  </r>
  <r>
    <s v="3627886-1458734756-203"/>
    <s v="Spot"/>
    <s v="3627886-1458734756-203"/>
    <n v="0"/>
    <d v="2016-03-31T00:00:00"/>
    <x v="1654"/>
    <s v="203"/>
    <s v="SELL"/>
    <n v="3.3967741935483868"/>
    <x v="0"/>
    <x v="0"/>
    <n v="126.36"/>
    <s v="Deal"/>
    <m/>
    <s v="Original Amount [EUR 37.2], Merchant Amount [EUR 37.2], Customer Amount [TRY 126.36], Status [APPROVED], Operation [3DAUTH], UUID [3627886-1458734756-203] [23/03/2016 at 12:05:00]"/>
  </r>
  <r>
    <s v="3627847-1458734724-199"/>
    <s v="Spot"/>
    <s v="3627847-1458734724-199"/>
    <n v="0"/>
    <d v="2016-03-31T00:00:00"/>
    <x v="1655"/>
    <s v="199"/>
    <s v="SELL"/>
    <n v="9.9664058904739985"/>
    <x v="0"/>
    <x v="1"/>
    <n v="433.14"/>
    <s v="Deal"/>
    <m/>
    <s v="Original Amount [EUR 43.46], Merchant Amount [EUR 43.46], Customer Amount [NOK 433.14], Status [APPROVED], Operation [DIRECT], UUID [3627847-1458734724-199] [23/03/2016 at 12:05:00]"/>
  </r>
  <r>
    <s v="3627850-1458734734-101"/>
    <s v="Spot"/>
    <s v="3627850-1458734734-101"/>
    <n v="0"/>
    <d v="2016-03-31T00:00:00"/>
    <x v="1656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850-1458734734-101] [23/03/2016 at 12:05:00]"/>
  </r>
  <r>
    <s v="3627838-1458734710-56"/>
    <s v="Spot"/>
    <s v="3627838-1458734710-56"/>
    <n v="0"/>
    <d v="2016-03-31T00:00:00"/>
    <x v="1657"/>
    <s v="56"/>
    <s v="SELL"/>
    <n v="3.3967657013915002"/>
    <x v="0"/>
    <x v="0"/>
    <n v="90.32"/>
    <s v="Deal"/>
    <m/>
    <s v="Original Amount [EUR 26.59], Merchant Amount [EUR 26.59], Customer Amount [TRY 90.32], Status [WAITING], Operation [3D], UUID [3627838-1458734710-56] [23/03/2016 at 12:05:00]"/>
  </r>
  <r>
    <s v="3627829-1458734694-224"/>
    <s v="Spot"/>
    <s v="3627829-1458734694-224"/>
    <n v="0"/>
    <d v="2016-03-31T00:00:00"/>
    <x v="1658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829-1458734694-224] [23/03/2016 at 12:04:00]"/>
  </r>
  <r>
    <s v="3627823-1458734691-200"/>
    <s v="Spot"/>
    <s v="3627823-1458734691-200"/>
    <n v="0"/>
    <d v="2016-03-31T00:00:00"/>
    <x v="1659"/>
    <s v="200"/>
    <s v="SELL"/>
    <n v="9.9663422546634237"/>
    <x v="0"/>
    <x v="1"/>
    <n v="983.08"/>
    <s v="Deal"/>
    <m/>
    <s v="Original Amount [EUR 98.64], Merchant Amount [EUR 98.64], Customer Amount [NOK 983.08], Status [APPROVED], Operation [STORED], UUID [3627823-1458734691-200] [23/03/2016 at 12:04:00]"/>
  </r>
  <r>
    <s v="3627811-1458734671-199"/>
    <s v="Spot"/>
    <s v="3627811-1458734671-199"/>
    <n v="0"/>
    <d v="2016-03-31T00:00:00"/>
    <x v="1660"/>
    <s v="199"/>
    <s v="SELL"/>
    <n v="9.9665505226480846"/>
    <x v="0"/>
    <x v="1"/>
    <n v="143.02000000000001"/>
    <s v="Deal"/>
    <m/>
    <s v="Original Amount [EUR 14.35], Merchant Amount [EUR 14.35], Customer Amount [NOK 143.02], Status [APPROVED], Operation [DIRECT], UUID [3627811-1458734671-199] [23/03/2016 at 12:04:00]"/>
  </r>
  <r>
    <s v="3627796-1458734651-199"/>
    <s v="Spot"/>
    <s v="3627796-1458734651-199"/>
    <n v="0"/>
    <d v="2016-03-31T00:00:00"/>
    <x v="1661"/>
    <s v="199"/>
    <s v="SELL"/>
    <n v="9.9666812801402909"/>
    <x v="0"/>
    <x v="1"/>
    <n v="227.34"/>
    <s v="Deal"/>
    <m/>
    <s v="Original Amount [EUR 22.81], Merchant Amount [EUR 22.81], Customer Amount [NOK 227.34], Status [APPROVED], Operation [DIRECT], UUID [3627796-1458734651-199] [23/03/2016 at 12:04:00]"/>
  </r>
  <r>
    <s v="3627799-1458734660-132"/>
    <s v="Spot"/>
    <s v="3627799-1458734660-132"/>
    <n v="0"/>
    <d v="2016-03-31T00:00:00"/>
    <x v="1662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799-1458734660-132] [23/03/2016 at 12:04:00]"/>
  </r>
  <r>
    <s v="3627784-1458734638-261"/>
    <s v="Spot"/>
    <s v="3627784-1458734638-261"/>
    <n v="0"/>
    <d v="2016-03-31T00:00:00"/>
    <x v="1663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27784-1458734638-261] [23/03/2016 at 12:03:00]"/>
  </r>
  <r>
    <s v="3627775-1458734626-203"/>
    <s v="Spot"/>
    <s v="3627775-1458734626-203"/>
    <n v="0"/>
    <d v="2016-03-31T00:00:00"/>
    <x v="1664"/>
    <s v="203"/>
    <s v="SELL"/>
    <n v="3.3967741935483868"/>
    <x v="0"/>
    <x v="0"/>
    <n v="105.3"/>
    <s v="Deal"/>
    <m/>
    <s v="Original Amount [EUR 31], Merchant Amount [EUR 31], Customer Amount [TRY 105.3], Status [WAITING], Operation [3D], UUID [3627775-1458734626-203] [23/03/2016 at 12:03:00]"/>
  </r>
  <r>
    <s v="3627793-1458734651-101"/>
    <s v="Spot"/>
    <s v="3627793-1458734651-101"/>
    <n v="0"/>
    <d v="2016-03-31T00:00:00"/>
    <x v="1665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793-1458734651-101] [23/03/2016 at 12:04:00]"/>
  </r>
  <r>
    <s v="3627805-1458734662-203"/>
    <s v="Spot"/>
    <s v="3627805-1458734662-203"/>
    <n v="0"/>
    <d v="2016-03-31T00:00:00"/>
    <x v="1666"/>
    <s v="203"/>
    <s v="SELL"/>
    <n v="3.3967741935483868"/>
    <x v="0"/>
    <x v="0"/>
    <n v="52.65"/>
    <s v="Deal"/>
    <m/>
    <s v="Original Amount [EUR 15.5], Merchant Amount [EUR 15.5], Customer Amount [TRY 52.65], Status [APPROVED], Operation [3DAUTH], UUID [3627805-1458734662-203] [23/03/2016 at 12:04:00]"/>
  </r>
  <r>
    <s v="3627751-1458734611-260"/>
    <s v="Spot"/>
    <s v="3627751-1458734611-260"/>
    <n v="0"/>
    <d v="2016-03-31T00:00:00"/>
    <x v="1667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751-1458734611-260] [23/03/2016 at 12:03:00]"/>
  </r>
  <r>
    <s v="3627745-1458734608-187"/>
    <s v="Spot"/>
    <s v="3627745-1458734608-187"/>
    <n v="0"/>
    <d v="2016-03-31T00:00:00"/>
    <x v="1668"/>
    <s v="187"/>
    <s v="SELL"/>
    <n v="9.9664461247637046"/>
    <x v="0"/>
    <x v="1"/>
    <n v="210.89"/>
    <s v="Deal"/>
    <m/>
    <s v="Original Amount [EUR 21.16], Merchant Amount [EUR 21.16], Customer Amount [NOK 210.89], Status [APPROVED], Operation [DIRECT], UUID [3627745-1458734608-187] [23/03/2016 at 12:03:00]"/>
  </r>
  <r>
    <s v="3627778-1458734631-216"/>
    <s v="Spot"/>
    <s v="3627778-1458734631-216"/>
    <n v="0"/>
    <d v="2016-03-31T00:00:00"/>
    <x v="166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7778-1458734631-216] [23/03/2016 at 12:03:00]"/>
  </r>
  <r>
    <s v="3627769-1458734622-56"/>
    <s v="Spot"/>
    <s v="3627769-1458734622-56"/>
    <n v="0"/>
    <d v="2016-03-31T00:00:00"/>
    <x v="167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7769-1458734622-56] [23/03/2016 at 12:03:00]"/>
  </r>
  <r>
    <s v="3627721-1458734589-238"/>
    <s v="Spot"/>
    <s v="3627721-1458734589-238"/>
    <n v="0"/>
    <d v="2016-03-31T00:00:00"/>
    <x v="1671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7721-1458734589-238] [23/03/2016 at 12:03:00]"/>
  </r>
  <r>
    <s v="3627712-1458734575-261"/>
    <s v="Spot"/>
    <s v="3627712-1458734575-261"/>
    <n v="0"/>
    <d v="2016-03-31T00:00:00"/>
    <x v="1672"/>
    <s v="261"/>
    <s v="SELL"/>
    <n v="9.9406542056074763"/>
    <x v="0"/>
    <x v="1"/>
    <n v="212.73"/>
    <s v="Deal"/>
    <m/>
    <s v="Original Amount [EUR 21.4], Merchant Amount [EUR 21.4], Customer Amount [NOK 212.73], Status [APPROVED], Operation [DIRECT], UUID [3627712-1458734575-261] [23/03/2016 at 12:02:00]"/>
  </r>
  <r>
    <s v="3627706-1458734566-119"/>
    <s v="Spot"/>
    <s v="3627706-1458734566-119"/>
    <n v="0"/>
    <d v="2016-03-31T00:00:00"/>
    <x v="1673"/>
    <s v="119"/>
    <s v="SELL"/>
    <n v="9.9404000000000003"/>
    <x v="0"/>
    <x v="1"/>
    <n v="248.51"/>
    <s v="Deal"/>
    <m/>
    <s v="Original Amount [EUR 25], Merchant Amount [EUR 25], Customer Amount [NOK 248.51], Status [APPROVED], Operation [DIRECT], UUID [3627706-1458734566-119] [23/03/2016 at 12:02:00]"/>
  </r>
  <r>
    <s v="3627700-1458734554-199"/>
    <s v="Spot"/>
    <s v="3627700-1458734554-199"/>
    <n v="0"/>
    <d v="2016-03-31T00:00:00"/>
    <x v="1674"/>
    <s v="199"/>
    <s v="SELL"/>
    <n v="9.940322965081636"/>
    <x v="0"/>
    <x v="1"/>
    <n v="10009.11"/>
    <s v="Deal"/>
    <m/>
    <s v="Original Amount [EUR 1006.92], Merchant Amount [EUR 1006.92], Customer Amount [NOK 10009.11], Status [APPROVED], Operation [DIRECT], UUID [3627700-1458734554-199] [23/03/2016 at 12:02:00]"/>
  </r>
  <r>
    <s v="3627748-1458734609-216"/>
    <s v="Spot"/>
    <s v="3627748-1458734609-216"/>
    <n v="0"/>
    <d v="2016-03-31T00:00:00"/>
    <x v="1675"/>
    <s v="216"/>
    <s v="SELL"/>
    <n v="3.3964686998394864"/>
    <x v="0"/>
    <x v="0"/>
    <n v="105.8"/>
    <s v="Deal"/>
    <m/>
    <s v="Original Amount [EUR 31.15], Merchant Amount [EUR 31.15], Customer Amount [TRY 105.8], Status [APPROVED], Operation [3DAUTH], UUID [3627748-1458734609-216] [23/03/2016 at 12:03:00]"/>
  </r>
  <r>
    <s v="3627673-1458734510-241"/>
    <s v="Spot"/>
    <s v="3627673-1458734510-241"/>
    <n v="0"/>
    <d v="2016-03-31T00:00:00"/>
    <x v="1676"/>
    <s v="241"/>
    <s v="SELL"/>
    <n v="0.83227742580860298"/>
    <x v="0"/>
    <x v="4"/>
    <n v="24.96"/>
    <s v="Deal"/>
    <m/>
    <s v="Original Amount [EUR 29.99], Merchant Amount [EUR 29.99], Customer Amount [GBP 24.96], Status [APPROVED], Operation [DIRECT], UUID [3627673-1458734510-241] [23/03/2016 at 12:01:00]"/>
  </r>
  <r>
    <s v="3627667-1458734504-199"/>
    <s v="Spot"/>
    <s v="3627667-1458734504-199"/>
    <n v="0"/>
    <d v="2016-03-31T00:00:00"/>
    <x v="1677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67-1458734504-199] [23/03/2016 at 12:01:00]"/>
  </r>
  <r>
    <s v="3627682-1458734529-101"/>
    <s v="Spot"/>
    <s v="3627682-1458734529-101"/>
    <n v="0"/>
    <d v="2016-03-31T00:00:00"/>
    <x v="1678"/>
    <s v="101"/>
    <s v="SELL"/>
    <n v="3.3966354491848771"/>
    <x v="0"/>
    <x v="0"/>
    <n v="195.85"/>
    <s v="Deal"/>
    <m/>
    <s v="Original Amount [EUR 57.66], Merchant Amount [EUR 57.66], Customer Amount [TRY 195.85], Status [APPROVED], Operation [3DAUTH], UUID [3627682-1458734529-101] [23/03/2016 at 12:02:00]"/>
  </r>
  <r>
    <s v="3627655-1458734486-200"/>
    <s v="Spot"/>
    <s v="3627655-1458734486-200"/>
    <n v="0"/>
    <d v="2016-03-31T00:00:00"/>
    <x v="1679"/>
    <s v="200"/>
    <s v="SELL"/>
    <n v="9.940389294403893"/>
    <x v="0"/>
    <x v="1"/>
    <n v="980.52"/>
    <s v="Deal"/>
    <m/>
    <s v="Original Amount [EUR 98.64], Merchant Amount [EUR 98.64], Customer Amount [NOK 980.52], Status [APPROVED], Operation [STORED], UUID [3627655-1458734486-200] [23/03/2016 at 12:01:00]"/>
  </r>
  <r>
    <s v="3627652-1458734485-216"/>
    <s v="Spot"/>
    <s v="3627652-1458734485-216"/>
    <n v="0"/>
    <d v="2016-03-31T00:00:00"/>
    <x v="16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7652-1458734485-216] [23/03/2016 at 12:01:00]"/>
  </r>
  <r>
    <s v="3627649-1458734485-224"/>
    <s v="Spot"/>
    <s v="3627649-1458734485-224"/>
    <n v="0"/>
    <d v="2016-03-31T00:00:00"/>
    <x v="1681"/>
    <s v="224"/>
    <s v="SELL"/>
    <n v="132.77705888803598"/>
    <x v="0"/>
    <x v="3"/>
    <n v="12107.94"/>
    <s v="Deal"/>
    <m/>
    <s v="Original Amount [EUR 91.19], Merchant Amount [EUR 91.19], Customer Amount [JPY 12107.94], Status [APPROVED], Operation [DIRECT], UUID [3627649-1458734485-224] [23/03/2016 at 12:01:00]"/>
  </r>
  <r>
    <s v="3627637-1458734467-212"/>
    <s v="Spot"/>
    <s v="3627637-1458734467-212"/>
    <n v="0"/>
    <d v="2016-03-31T00:00:00"/>
    <x v="1682"/>
    <s v="212"/>
    <s v="SELL"/>
    <n v="0.83249999999999991"/>
    <x v="0"/>
    <x v="4"/>
    <n v="16.649999999999999"/>
    <s v="Deal"/>
    <m/>
    <s v="Original Amount [EUR 20], Merchant Amount [EUR 20], Customer Amount [GBP 16.65], Status [APPROVED], Operation [3DAUTH], UUID [3627637-1458734467-212] [23/03/2016 at 12:01:00]"/>
  </r>
  <r>
    <s v="3627625-1458734450-171"/>
    <s v="Spot"/>
    <s v="3627625-1458734450-171"/>
    <n v="0"/>
    <d v="2016-03-31T00:00:00"/>
    <x v="1683"/>
    <s v="171"/>
    <s v="SELL"/>
    <n v="9.9404000000000003"/>
    <x v="0"/>
    <x v="1"/>
    <n v="497.02"/>
    <s v="Deal"/>
    <m/>
    <s v="Original Amount [EUR 50], Merchant Amount [EUR 50], Customer Amount [NOK 497.02], Status [APPROVED], Operation [DIRECT], UUID [3627625-1458734450-171] [23/03/2016 at 12:00:00]"/>
  </r>
  <r>
    <s v="3627622-1458734449-199"/>
    <s v="Spot"/>
    <s v="3627622-1458734449-199"/>
    <n v="0"/>
    <d v="2016-03-31T00:00:00"/>
    <x v="1684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22-1458734449-199] [23/03/2016 at 12:00:00]"/>
  </r>
  <r>
    <s v="3627619-1458734441-224"/>
    <s v="Spot"/>
    <s v="3627619-1458734441-224"/>
    <n v="0"/>
    <d v="2016-03-31T00:00:00"/>
    <x v="1685"/>
    <s v="224"/>
    <s v="SELL"/>
    <n v="132.77704678362574"/>
    <x v="0"/>
    <x v="3"/>
    <n v="3632.78"/>
    <s v="Deal"/>
    <m/>
    <s v="Original Amount [EUR 27.36], Merchant Amount [EUR 27.36], Customer Amount [JPY 3632.78], Status [APPROVED], Operation [DIRECT], UUID [3627619-1458734441-224] [23/03/2016 at 12:00:00]"/>
  </r>
  <r>
    <s v="3627610-1458734434-238"/>
    <s v="Spot"/>
    <s v="3627610-1458734434-238"/>
    <n v="0"/>
    <d v="2016-03-31T00:00:00"/>
    <x v="1686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27610-1458734434-238] [23/03/2016 at 12:00:00]"/>
  </r>
  <r>
    <s v="3627601-1458734431-224"/>
    <s v="Spot"/>
    <s v="3627601-1458734431-224"/>
    <n v="0"/>
    <d v="2016-03-31T00:00:00"/>
    <x v="1687"/>
    <s v="224"/>
    <s v="SELL"/>
    <n v="9.9403881700554528"/>
    <x v="0"/>
    <x v="1"/>
    <n v="215.11"/>
    <s v="Deal"/>
    <m/>
    <s v="Original Amount [EUR 21.64], Merchant Amount [EUR 21.64], Customer Amount [NOK 215.11], Status [APPROVED], Operation [DIRECT], UUID [3627601-1458734431-224] [23/03/2016 at 12:00:00]"/>
  </r>
  <r>
    <s v="3627574-1458734403-199"/>
    <s v="Spot"/>
    <s v="3627574-1458734403-199"/>
    <n v="0"/>
    <d v="2016-03-31T00:00:00"/>
    <x v="1688"/>
    <s v="199"/>
    <s v="SELL"/>
    <n v="9.94031911629334"/>
    <x v="0"/>
    <x v="1"/>
    <n v="647.91"/>
    <s v="Deal"/>
    <m/>
    <s v="Original Amount [EUR 65.18], Merchant Amount [EUR 65.18], Customer Amount [NOK 647.91], Status [APPROVED], Operation [DIRECT], UUID [3627574-1458734403-199] [23/03/2016 at 12:00:00]"/>
  </r>
  <r>
    <s v="3627562-1458734389-224"/>
    <s v="Spot"/>
    <s v="3627562-1458734389-224"/>
    <n v="0"/>
    <d v="2016-03-31T00:00:00"/>
    <x v="1689"/>
    <s v="224"/>
    <s v="SELL"/>
    <n v="9.9506335797254479"/>
    <x v="0"/>
    <x v="1"/>
    <n v="753.86"/>
    <s v="Deal"/>
    <m/>
    <s v="Original Amount [EUR 75.76], Merchant Amount [EUR 75.76], Customer Amount [NOK 753.86], Status [APPROVED], Operation [DIRECT], UUID [3627562-1458734389-224] [23/03/2016 at 11:59:00]"/>
  </r>
  <r>
    <s v="3627598-1458734429-154"/>
    <s v="Spot"/>
    <s v="3627598-1458734429-154"/>
    <n v="0"/>
    <d v="2016-03-31T00:00:00"/>
    <x v="1690"/>
    <s v="154"/>
    <s v="SELL"/>
    <n v="9.9505667506297222"/>
    <x v="0"/>
    <x v="1"/>
    <n v="316.02999999999997"/>
    <s v="Deal"/>
    <m/>
    <s v="Original Amount [EUR 31.76], Merchant Amount [EUR 31.76], Customer Amount [NOK 316.03], Status [APPROVED], Operation [3DAUTH], UUID [3627598-1458734429-154] [23/03/2016 at 12:00:00]"/>
  </r>
  <r>
    <s v="3627535-1458734355-224"/>
    <s v="Spot"/>
    <s v="3627535-1458734355-224"/>
    <n v="0"/>
    <d v="2016-03-31T00:00:00"/>
    <x v="1691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535-1458734355-224] [23/03/2016 at 11:59:00]"/>
  </r>
  <r>
    <s v="3627517-1458734331-224"/>
    <s v="Spot"/>
    <s v="3627517-1458734331-224"/>
    <n v="0"/>
    <d v="2016-03-31T00:00:00"/>
    <x v="169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517-1458734331-224] [23/03/2016 at 11:58:00]"/>
  </r>
  <r>
    <s v="3627511-1458734321-119"/>
    <s v="Spot"/>
    <s v="3627511-1458734321-119"/>
    <n v="0"/>
    <d v="2016-03-31T00:00:00"/>
    <x v="169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511-1458734321-119] [23/03/2016 at 11:58:00]"/>
  </r>
  <r>
    <s v="3627532-1458734351-56"/>
    <s v="Spot"/>
    <s v="3627532-1458734351-56"/>
    <n v="0"/>
    <d v="2016-03-31T00:00:00"/>
    <x v="1694"/>
    <s v="56"/>
    <s v="SELL"/>
    <n v="3.3969669937555751"/>
    <x v="0"/>
    <x v="0"/>
    <n v="38.08"/>
    <s v="Deal"/>
    <m/>
    <s v="Original Amount [EUR 11.21], Merchant Amount [EUR 11.21], Customer Amount [TRY 38.08], Status [APPROVED], Operation [3DAUTH], UUID [3627532-1458734351-56] [23/03/2016 at 11:59:00]"/>
  </r>
  <r>
    <s v="3627505-1458734308-187"/>
    <s v="Spot"/>
    <s v="3627505-1458734308-187"/>
    <n v="0"/>
    <d v="2016-03-31T00:00:00"/>
    <x v="1695"/>
    <s v="187"/>
    <s v="SELL"/>
    <n v="9.9505804060952094"/>
    <x v="0"/>
    <x v="1"/>
    <n v="2631.63"/>
    <s v="Deal"/>
    <m/>
    <s v="Original Amount [EUR 264.47], Merchant Amount [EUR 264.47], Customer Amount [NOK 2631.63], Status [APPROVED], Operation [DIRECT], UUID [3627505-1458734308-187] [23/03/2016 at 11:58:00]"/>
  </r>
  <r>
    <s v="3627523-1458734334-56"/>
    <s v="Spot"/>
    <s v="3627523-1458734334-56"/>
    <n v="0"/>
    <d v="2016-03-31T00:00:00"/>
    <x v="1696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7523-1458734334-56] [23/03/2016 at 11:58:00]"/>
  </r>
  <r>
    <s v="3627496-1458734300-200"/>
    <s v="Spot"/>
    <s v="3627496-1458734300-200"/>
    <n v="0"/>
    <d v="2016-03-31T00:00:00"/>
    <x v="169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STORED], UUID [3627496-1458734300-200] [23/03/2016 at 11:58:00]"/>
  </r>
  <r>
    <s v="3627490-1458734296-224"/>
    <s v="Spot"/>
    <s v="3627490-1458734296-224"/>
    <n v="0"/>
    <d v="2016-03-31T00:00:00"/>
    <x v="1698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490-1458734296-224] [23/03/2016 at 11:58:00]"/>
  </r>
  <r>
    <s v="3627544-1458734371-216"/>
    <s v="Spot"/>
    <s v="3627544-1458734371-216"/>
    <n v="0"/>
    <d v="2016-03-31T00:00:00"/>
    <x v="1699"/>
    <s v="216"/>
    <s v="SELL"/>
    <n v="3.3968593861527485"/>
    <x v="0"/>
    <x v="0"/>
    <n v="47.59"/>
    <s v="Deal"/>
    <m/>
    <s v="Original Amount [EUR 14.01], Merchant Amount [EUR 14.01], Customer Amount [TRY 47.59], Status [APPROVED], Operation [3DAUTH], UUID [3627544-1458734371-216] [23/03/2016 at 11:59:00]"/>
  </r>
  <r>
    <s v="3627499-1458734302-179"/>
    <s v="Spot"/>
    <s v="3627499-1458734302-179"/>
    <n v="0"/>
    <d v="2016-03-31T00:00:00"/>
    <x v="1700"/>
    <s v="179"/>
    <s v="SELL"/>
    <n v="3.3967234179248313"/>
    <x v="0"/>
    <x v="0"/>
    <n v="105.74"/>
    <s v="Deal"/>
    <m/>
    <s v="Original Amount [EUR 31.13], Merchant Amount [EUR 31.13], Customer Amount [TRY 105.74], Status [APPROVED], Operation [3DAUTH], UUID [3627499-1458734302-179] [23/03/2016 at 11:58:00]"/>
  </r>
  <r>
    <s v="3627460-1458734253-199"/>
    <s v="Spot"/>
    <s v="3627460-1458734253-199"/>
    <n v="0"/>
    <d v="2016-03-31T00:00:00"/>
    <x v="170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27460-1458734253-199] [23/03/2016 at 11:57:00]"/>
  </r>
  <r>
    <s v="3627484-1458734289-56"/>
    <s v="Spot"/>
    <s v="3627484-1458734289-56"/>
    <n v="0"/>
    <d v="2016-03-31T00:00:00"/>
    <x v="1702"/>
    <s v="56"/>
    <s v="SELL"/>
    <n v="3.3975"/>
    <x v="0"/>
    <x v="0"/>
    <n v="27.18"/>
    <s v="Deal"/>
    <m/>
    <s v="Original Amount [EUR 8], Merchant Amount [EUR 8], Customer Amount [TRY 27.18], Status [APPROVED], Operation [3DAUTH], UUID [3627484-1458734289-56] [23/03/2016 at 11:58:00]"/>
  </r>
  <r>
    <s v="3627442-1458734241-224"/>
    <s v="Spot"/>
    <s v="3627442-1458734241-224"/>
    <n v="0"/>
    <d v="2016-03-31T00:00:00"/>
    <x v="1703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442-1458734241-224] [23/03/2016 at 11:57:00]"/>
  </r>
  <r>
    <s v="3627439-1458734240-56"/>
    <s v="Spot"/>
    <s v="3627439-1458734240-56"/>
    <n v="0"/>
    <d v="2016-03-31T00:00:00"/>
    <x v="1704"/>
    <s v="56"/>
    <s v="SELL"/>
    <n v="3.3968784838350055"/>
    <x v="0"/>
    <x v="0"/>
    <n v="91.41"/>
    <s v="Deal"/>
    <m/>
    <s v="Original Amount [EUR 26.91], Merchant Amount [EUR 26.91], Customer Amount [TRY 91.41], Status [WAITING], Operation [3D], UUID [3627439-1458734240-56] [23/03/2016 at 11:57:00]"/>
  </r>
  <r>
    <s v="3627475-1458734262-126"/>
    <s v="Spot"/>
    <s v="3627475-1458734262-126"/>
    <n v="0"/>
    <d v="2016-03-31T00:00:00"/>
    <x v="1705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27475-1458734262-126] [23/03/2016 at 11:57:00]"/>
  </r>
  <r>
    <s v="3627466-1458734257-216"/>
    <s v="Spot"/>
    <s v="3627466-1458734257-216"/>
    <n v="0"/>
    <d v="2016-03-31T00:00:00"/>
    <x v="1706"/>
    <s v="216"/>
    <s v="SELL"/>
    <n v="3.3965949245101186"/>
    <x v="0"/>
    <x v="0"/>
    <n v="528.67999999999995"/>
    <s v="Deal"/>
    <m/>
    <s v="Original Amount [EUR 155.65], Merchant Amount [EUR 155.65], Customer Amount [TRY 528.68], Status [APPROVED], Operation [3DAUTH], UUID [3627466-1458734257-216] [23/03/2016 at 11:57:00]"/>
  </r>
  <r>
    <s v="3627451-1458734251-107"/>
    <s v="Spot"/>
    <s v="3627451-1458734251-107"/>
    <n v="0"/>
    <d v="2016-03-31T00:00:00"/>
    <x v="1707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7451-1458734251-107] [23/03/2016 at 11:57:00]"/>
  </r>
  <r>
    <s v="3627403-1458734193-119"/>
    <s v="Spot"/>
    <s v="3627403-1458734193-119"/>
    <n v="0"/>
    <d v="2016-03-31T00:00:00"/>
    <x v="1708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7403-1458734193-119] [23/03/2016 at 11:56:00]"/>
  </r>
  <r>
    <s v="3627373-1458734164-126"/>
    <s v="Spot"/>
    <s v="3627373-1458734164-126"/>
    <n v="0"/>
    <d v="2016-03-31T00:00:00"/>
    <x v="1709"/>
    <s v="126"/>
    <s v="SELL"/>
    <n v="9.9505851755526642"/>
    <x v="0"/>
    <x v="1"/>
    <n v="153.04"/>
    <s v="Deal"/>
    <m/>
    <s v="Original Amount [EUR 15.38], Merchant Amount [EUR 15.38], Customer Amount [NOK 153.04], Status [APPROVED], Operation [DIRECT], UUID [3627373-1458734164-126] [23/03/2016 at 11:56:00]"/>
  </r>
  <r>
    <s v="3627400-1458734190-216"/>
    <s v="Spot"/>
    <s v="3627400-1458734190-216"/>
    <n v="0"/>
    <d v="2016-03-31T00:00:00"/>
    <x v="1710"/>
    <s v="216"/>
    <s v="SELL"/>
    <n v="3.3970021413276226"/>
    <x v="0"/>
    <x v="0"/>
    <n v="79.319999999999993"/>
    <s v="Deal"/>
    <m/>
    <s v="Original Amount [EUR 23.35], Merchant Amount [EUR 23.35], Customer Amount [TRY 79.32], Status [APPROVED], Operation [3DAUTH], UUID [3627400-1458734190-216] [23/03/2016 at 11:56:00]"/>
  </r>
  <r>
    <s v="3627382-1458734175-216"/>
    <s v="Spot"/>
    <s v="3627382-1458734175-216"/>
    <n v="0"/>
    <d v="2016-03-31T00:00:00"/>
    <x v="1711"/>
    <s v="216"/>
    <s v="SELL"/>
    <n v="3.3970446514616124"/>
    <x v="0"/>
    <x v="0"/>
    <n v="528.75"/>
    <s v="Deal"/>
    <m/>
    <s v="Original Amount [EUR 155.65], Merchant Amount [EUR 155.65], Customer Amount [TRY 528.75], Status [APPROVED], Operation [3DAUTH], UUID [3627382-1458734175-216] [23/03/2016 at 11:56:00]"/>
  </r>
  <r>
    <s v="3627397-1458734189-203"/>
    <s v="Spot"/>
    <s v="3627397-1458734189-203"/>
    <n v="0"/>
    <d v="2016-03-31T00:00:00"/>
    <x v="1712"/>
    <s v="203"/>
    <s v="SELL"/>
    <n v="79.92"/>
    <x v="0"/>
    <x v="8"/>
    <n v="1238.76"/>
    <s v="Deal"/>
    <m/>
    <s v="Original Amount [EUR 15.5], Merchant Amount [EUR 15.5], Customer Amount [RUB 1238.76], Status [APPROVED], Operation [3DAUTH], UUID [3627397-1458734189-203] [23/03/2016 at 11:56:00]"/>
  </r>
  <r>
    <s v="3627388-1458734179-216"/>
    <s v="Spot"/>
    <s v="3627388-1458734179-216"/>
    <n v="0"/>
    <d v="2016-03-31T00:00:00"/>
    <x v="1713"/>
    <s v="216"/>
    <s v="SELL"/>
    <n v="3.3972067039106149"/>
    <x v="0"/>
    <x v="0"/>
    <n v="121.62"/>
    <s v="Deal"/>
    <m/>
    <s v="Original Amount [EUR 35.8], Merchant Amount [EUR 35.8], Customer Amount [TRY 121.62], Status [APPROVED], Operation [3DAUTH], UUID [3627388-1458734179-216] [23/03/2016 at 11:56:00]"/>
  </r>
  <r>
    <s v="3627394-1458734183-56"/>
    <s v="Spot"/>
    <s v="3627394-1458734183-56"/>
    <n v="0"/>
    <d v="2016-03-31T00:00:00"/>
    <x v="1714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94-1458734183-56] [23/03/2016 at 11:56:00]"/>
  </r>
  <r>
    <s v="3627364-1458734155-56"/>
    <s v="Spot"/>
    <s v="3627364-1458734155-56"/>
    <n v="0"/>
    <d v="2016-03-31T00:00:00"/>
    <x v="1715"/>
    <s v="56"/>
    <s v="SELL"/>
    <n v="3.397113917025115"/>
    <x v="0"/>
    <x v="0"/>
    <n v="244.83"/>
    <s v="Deal"/>
    <m/>
    <s v="Original Amount [EUR 72.07], Merchant Amount [EUR 72.07], Customer Amount [TRY 244.83], Status [APPROVED], Operation [3DAUTH], UUID [3627364-1458734155-56] [23/03/2016 at 11:55:00]"/>
  </r>
  <r>
    <s v="3627349-1458734133-224"/>
    <s v="Spot"/>
    <s v="3627349-1458734133-224"/>
    <n v="0"/>
    <d v="2016-03-31T00:00:00"/>
    <x v="1716"/>
    <s v="224"/>
    <s v="SELL"/>
    <n v="133.03558052434457"/>
    <x v="0"/>
    <x v="3"/>
    <n v="4972.87"/>
    <s v="Deal"/>
    <m/>
    <s v="Original Amount [EUR 37.38], Merchant Amount [EUR 37.38], Customer Amount [JPY 4972.87], Status [APPROVED], Operation [DIRECT], UUID [3627349-1458734133-224] [23/03/2016 at 11:55:00]"/>
  </r>
  <r>
    <s v="3627340-1458734109-101"/>
    <s v="Spot"/>
    <s v="3627340-1458734109-101"/>
    <n v="0"/>
    <d v="2016-03-31T00:00:00"/>
    <x v="1717"/>
    <s v="101"/>
    <s v="SELL"/>
    <n v="3.3970863683662853"/>
    <x v="0"/>
    <x v="0"/>
    <n v="326.45999999999998"/>
    <s v="Deal"/>
    <m/>
    <s v="Original Amount [EUR 96.1], Merchant Amount [EUR 96.1], Customer Amount [TRY 326.46], Status [APPROVED], Operation [3DAUTH], UUID [3627340-1458734109-101] [23/03/2016 at 11:55:00]"/>
  </r>
  <r>
    <s v="3627334-1458734088-216"/>
    <s v="Spot"/>
    <s v="3627334-1458734088-216"/>
    <n v="0"/>
    <d v="2016-03-31T00:00:00"/>
    <x v="1718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334-1458734088-216] [23/03/2016 at 11:54:00]"/>
  </r>
  <r>
    <s v="3627331-1458734087-56"/>
    <s v="Spot"/>
    <s v="3627331-1458734087-56"/>
    <n v="0"/>
    <d v="2016-03-31T00:00:00"/>
    <x v="1719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31-1458734087-56] [23/03/2016 at 11:54:00]"/>
  </r>
  <r>
    <s v="3627304-1458734050-224"/>
    <s v="Spot"/>
    <s v="3627304-1458734050-224"/>
    <n v="0"/>
    <d v="2016-03-31T00:00:00"/>
    <x v="1720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304-1458734050-224] [23/03/2016 at 11:54:00]"/>
  </r>
  <r>
    <s v="3627298-1458734043-145"/>
    <s v="Spot"/>
    <s v="3627298-1458734043-145"/>
    <n v="0"/>
    <d v="2016-03-31T00:00:00"/>
    <x v="1721"/>
    <s v="145"/>
    <s v="SELL"/>
    <n v="9.9506599622878689"/>
    <x v="0"/>
    <x v="1"/>
    <n v="633.26"/>
    <s v="Deal"/>
    <m/>
    <s v="Original Amount [EUR 63.64], Merchant Amount [EUR 63.64], Customer Amount [NOK 633.26], Status [APPROVED], Operation [DIRECT], UUID [3627298-1458734043-145] [23/03/2016 at 11:54:00]"/>
  </r>
  <r>
    <s v="3627292-1458734042-203"/>
    <s v="Spot"/>
    <s v="3627292-1458734042-203"/>
    <n v="0"/>
    <d v="2016-03-31T00:00:00"/>
    <x v="1722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7292-1458734042-203] [23/03/2016 at 11:54:00]"/>
  </r>
  <r>
    <s v="3627262-1458734014-238"/>
    <s v="Spot"/>
    <s v="3627262-1458734014-238"/>
    <n v="0"/>
    <d v="2016-03-31T00:00:00"/>
    <x v="1723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7262-1458734014-238] [23/03/2016 at 11:53:00]"/>
  </r>
  <r>
    <s v="3627256-1458734009-119"/>
    <s v="Spot"/>
    <s v="3627256-1458734009-119"/>
    <n v="0"/>
    <d v="2016-03-31T00:00:00"/>
    <x v="1724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7256-1458734009-119] [23/03/2016 at 11:53:00]"/>
  </r>
  <r>
    <s v="3627247-1458734004-224"/>
    <s v="Spot"/>
    <s v="3627247-1458734004-224"/>
    <n v="0"/>
    <d v="2016-03-31T00:00:00"/>
    <x v="172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27247-1458734004-224] [23/03/2016 at 11:53:00]"/>
  </r>
  <r>
    <s v="3627241-1458733998-119"/>
    <s v="Spot"/>
    <s v="3627241-1458733998-119"/>
    <n v="0"/>
    <d v="2016-03-31T00:00:00"/>
    <x v="172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241-1458733998-119] [23/03/2016 at 11:53:00]"/>
  </r>
  <r>
    <s v="3627235-1458733977-199"/>
    <s v="Spot"/>
    <s v="3627235-1458733977-199"/>
    <n v="0"/>
    <d v="2016-03-31T00:00:00"/>
    <x v="1727"/>
    <s v="199"/>
    <s v="SELL"/>
    <n v="9.9505983430500144"/>
    <x v="0"/>
    <x v="1"/>
    <n v="648.58000000000004"/>
    <s v="Deal"/>
    <m/>
    <s v="Original Amount [EUR 65.18], Merchant Amount [EUR 65.18], Customer Amount [NOK 648.58], Status [APPROVED], Operation [DIRECT], UUID [3627235-1458733977-199] [23/03/2016 at 11:52:00]"/>
  </r>
  <r>
    <s v="3627238-1458733997-216"/>
    <s v="Spot"/>
    <s v="3627238-1458733997-216"/>
    <n v="0"/>
    <d v="2016-03-31T00:00:00"/>
    <x v="1728"/>
    <s v="216"/>
    <s v="SELL"/>
    <n v="3.3975594091201025"/>
    <x v="0"/>
    <x v="0"/>
    <n v="52.9"/>
    <s v="Deal"/>
    <m/>
    <s v="Original Amount [EUR 15.57], Merchant Amount [EUR 15.57], Customer Amount [TRY 52.9], Status [APPROVED], Operation [3DAUTH], UUID [3627238-1458733997-216] [23/03/2016 at 11:53:00]"/>
  </r>
  <r>
    <s v="3627223-1458733964-187"/>
    <s v="Spot"/>
    <s v="3627223-1458733964-187"/>
    <n v="0"/>
    <d v="2016-03-31T00:00:00"/>
    <x v="1729"/>
    <s v="187"/>
    <s v="SELL"/>
    <n v="9.9508506616257097"/>
    <x v="0"/>
    <x v="1"/>
    <n v="210.56"/>
    <s v="Deal"/>
    <m/>
    <s v="Original Amount [EUR 21.16], Merchant Amount [EUR 21.16], Customer Amount [NOK 210.56], Status [APPROVED], Operation [DIRECT], UUID [3627223-1458733964-187] [23/03/2016 at 11:52:00]"/>
  </r>
  <r>
    <s v="3627220-1458733956-224"/>
    <s v="Spot"/>
    <s v="3627220-1458733956-224"/>
    <n v="0"/>
    <d v="2016-03-31T00:00:00"/>
    <x v="1730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220-1458733956-224] [23/03/2016 at 11:52:00]"/>
  </r>
  <r>
    <s v="3627205-1458733922-224"/>
    <s v="Spot"/>
    <s v="3627205-1458733922-224"/>
    <n v="0"/>
    <d v="2016-03-31T00:00:00"/>
    <x v="1731"/>
    <s v="224"/>
    <s v="SELL"/>
    <n v="133.03595368677634"/>
    <x v="0"/>
    <x v="3"/>
    <n v="2183.12"/>
    <s v="Deal"/>
    <m/>
    <s v="Original Amount [EUR 16.41], Merchant Amount [EUR 16.41], Customer Amount [JPY 2183.12], Status [APPROVED], Operation [DIRECT], UUID [3627205-1458733922-224] [23/03/2016 at 11:52:00]"/>
  </r>
  <r>
    <s v="3627211-1458733942-216"/>
    <s v="Spot"/>
    <s v="3627211-1458733942-216"/>
    <n v="0"/>
    <d v="2016-03-31T00:00:00"/>
    <x v="1732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211-1458733942-216] [23/03/2016 at 11:52:00]"/>
  </r>
  <r>
    <s v="3627199-1458733918-200"/>
    <s v="Spot"/>
    <s v="3627199-1458733918-200"/>
    <n v="0"/>
    <d v="2016-03-31T00:00:00"/>
    <x v="1733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27199-1458733918-200] [23/03/2016 at 11:51:00]"/>
  </r>
  <r>
    <s v="3627196-1458733914-145"/>
    <s v="Spot"/>
    <s v="3627196-1458733914-145"/>
    <n v="0"/>
    <d v="2016-03-31T00:00:00"/>
    <x v="1734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7196-1458733914-145] [23/03/2016 at 11:51:00]"/>
  </r>
  <r>
    <s v="3627217-1458733943-136"/>
    <s v="Spot"/>
    <s v="3627217-1458733943-136"/>
    <n v="0"/>
    <d v="2016-03-31T00:00:00"/>
    <x v="1735"/>
    <s v="136"/>
    <s v="SELL"/>
    <n v="3.3970967741935483"/>
    <x v="0"/>
    <x v="0"/>
    <n v="105.31"/>
    <s v="Deal"/>
    <m/>
    <s v="Original Amount [EUR 31], Merchant Amount [EUR 31], Customer Amount [TRY 105.31], Status [APPROVED], Operation [3DAUTH], UUID [3627217-1458733943-136] [23/03/2016 at 11:52:00]"/>
  </r>
  <r>
    <s v="3627184-1458733900-199"/>
    <s v="Spot"/>
    <s v="3627184-1458733900-199"/>
    <n v="0"/>
    <d v="2016-03-31T00:00:00"/>
    <x v="1736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27184-1458733900-199] [23/03/2016 at 11:51:00]"/>
  </r>
  <r>
    <s v="3627181-1458733898-224"/>
    <s v="Spot"/>
    <s v="3627181-1458733898-224"/>
    <n v="0"/>
    <d v="2016-03-31T00:00:00"/>
    <x v="1737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181-1458733898-224] [23/03/2016 at 11:51:00]"/>
  </r>
  <r>
    <s v="3627193-1458733914-264"/>
    <s v="Spot"/>
    <s v="3627193-1458733914-264"/>
    <n v="0"/>
    <d v="2016-03-31T00:00:00"/>
    <x v="1738"/>
    <s v="264"/>
    <s v="SELL"/>
    <n v="3.3897216274089939"/>
    <x v="0"/>
    <x v="0"/>
    <n v="15.83"/>
    <s v="Deal"/>
    <m/>
    <s v="Original Amount [TRY 15], Merchant Amount [EUR 4.67], Customer Amount [TRY 15.83], Status [APPROVED], Operation [3DAUTH], UUID [3627193-1458733914-264] [23/03/2016 at 11:51:00]"/>
  </r>
  <r>
    <s v="3627175-1458733893-224"/>
    <s v="Spot"/>
    <s v="3627175-1458733893-224"/>
    <n v="0"/>
    <d v="2016-03-31T00:00:00"/>
    <x v="1739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7175-1458733893-224] [23/03/2016 at 11:51:00]"/>
  </r>
  <r>
    <s v="3627169-1458733878-224"/>
    <s v="Spot"/>
    <s v="3627169-1458733878-224"/>
    <n v="0"/>
    <d v="2016-03-31T00:00:00"/>
    <x v="1740"/>
    <s v="224"/>
    <s v="SELL"/>
    <n v="9.9505697566984921"/>
    <x v="0"/>
    <x v="1"/>
    <n v="1292.3800000000001"/>
    <s v="Deal"/>
    <m/>
    <s v="Original Amount [EUR 129.88], Merchant Amount [EUR 129.88], Customer Amount [NOK 1292.38], Status [APPROVED], Operation [DIRECT], UUID [3627169-1458733878-224] [23/03/2016 at 11:51:00]"/>
  </r>
  <r>
    <s v="3627160-1458733867-216"/>
    <s v="Spot"/>
    <s v="3627160-1458733867-216"/>
    <n v="0"/>
    <d v="2016-03-31T00:00:00"/>
    <x v="1741"/>
    <s v="216"/>
    <s v="SELL"/>
    <n v="3.3975731620271237"/>
    <x v="0"/>
    <x v="0"/>
    <n v="47.6"/>
    <s v="Deal"/>
    <m/>
    <s v="Original Amount [EUR 14.01], Merchant Amount [EUR 14.01], Customer Amount [TRY 47.6], Status [WAITING], Operation [3D], UUID [3627160-1458733867-216] [23/03/2016 at 11:51:00]"/>
  </r>
  <r>
    <s v="3627166-1458733875-119"/>
    <s v="Spot"/>
    <s v="3627166-1458733875-119"/>
    <n v="0"/>
    <d v="2016-03-31T00:00:00"/>
    <x v="1742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7166-1458733875-119] [23/03/2016 at 11:51:00]"/>
  </r>
  <r>
    <s v="3627130-1458733836-224"/>
    <s v="Spot"/>
    <s v="3627130-1458733836-224"/>
    <n v="0"/>
    <d v="2016-03-31T00:00:00"/>
    <x v="1743"/>
    <s v="224"/>
    <s v="SELL"/>
    <n v="133.03790726817041"/>
    <x v="0"/>
    <x v="3"/>
    <n v="4246.57"/>
    <s v="Deal"/>
    <m/>
    <s v="Original Amount [EUR 31.92], Merchant Amount [EUR 31.92], Customer Amount [JPY 4246.57], Status [APPROVED], Operation [DIRECT], UUID [3627130-1458733836-224] [23/03/2016 at 11:50:00]"/>
  </r>
  <r>
    <s v="3627253-1458734007-216"/>
    <s v="Spot"/>
    <s v="3627253-1458734007-216"/>
    <n v="0"/>
    <d v="2016-03-31T00:00:00"/>
    <x v="1744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253-1458734007-216] [23/03/2016 at 11:53:00]"/>
  </r>
  <r>
    <s v="3627118-1458733829-199"/>
    <s v="Spot"/>
    <s v="3627118-1458733829-199"/>
    <n v="0"/>
    <d v="2016-03-31T00:00:00"/>
    <x v="174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7118-1458733829-199] [23/03/2016 at 11:50:00]"/>
  </r>
  <r>
    <s v="3627106-1458733806-199"/>
    <s v="Spot"/>
    <s v="3627106-1458733806-199"/>
    <n v="0"/>
    <d v="2016-03-31T00:00:00"/>
    <x v="1746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27106-1458733806-199] [23/03/2016 at 11:50:00]"/>
  </r>
  <r>
    <s v="3627103-1458733802-200"/>
    <s v="Spot"/>
    <s v="3627103-1458733802-200"/>
    <n v="0"/>
    <d v="2016-03-31T00:00:00"/>
    <x v="174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7103-1458733802-200] [23/03/2016 at 11:50:00]"/>
  </r>
  <r>
    <s v="3627094-1458733797-224"/>
    <s v="Spot"/>
    <s v="3627094-1458733797-224"/>
    <n v="0"/>
    <d v="2016-03-31T00:00:00"/>
    <x v="1748"/>
    <s v="224"/>
    <s v="SELL"/>
    <n v="133.03764895094673"/>
    <x v="0"/>
    <x v="3"/>
    <n v="18198.22"/>
    <s v="Deal"/>
    <m/>
    <s v="Original Amount [EUR 136.79], Merchant Amount [EUR 136.79], Customer Amount [JPY 18198.22], Status [APPROVED], Operation [DIRECT], UUID [3627094-1458733797-224] [23/03/2016 at 11:49:00]"/>
  </r>
  <r>
    <s v="3627088-1458733792-145"/>
    <s v="Spot"/>
    <s v="3627088-1458733792-145"/>
    <n v="0"/>
    <d v="2016-03-31T00:00:00"/>
    <x v="1749"/>
    <s v="145"/>
    <s v="SELL"/>
    <n v="9.9545918768167159"/>
    <x v="0"/>
    <x v="1"/>
    <n v="1267.1199999999999"/>
    <s v="Deal"/>
    <m/>
    <s v="Original Amount [EUR 127.29], Merchant Amount [EUR 127.29], Customer Amount [NOK 1267.12], Status [APPROVED], Operation [DIRECT], UUID [3627088-1458733792-145] [23/03/2016 at 11:49:00]"/>
  </r>
  <r>
    <s v="3627085-1458733784-200"/>
    <s v="Spot"/>
    <s v="3627085-1458733784-200"/>
    <n v="0"/>
    <d v="2016-03-31T00:00:00"/>
    <x v="1750"/>
    <s v="200"/>
    <s v="SELL"/>
    <n v="9.9548151528982203"/>
    <x v="0"/>
    <x v="1"/>
    <n v="218.11"/>
    <s v="Deal"/>
    <m/>
    <s v="Original Amount [EUR 21.91], Merchant Amount [EUR 21.91], Customer Amount [NOK 218.11], Status [APPROVED], Operation [STORED], UUID [3627085-1458733784-200] [23/03/2016 at 11:49:00]"/>
  </r>
  <r>
    <s v="3627151-1458733851-216"/>
    <s v="Spot"/>
    <s v="3627151-1458733851-216"/>
    <n v="0"/>
    <d v="2016-03-31T00:00:00"/>
    <x v="1751"/>
    <s v="216"/>
    <s v="SELL"/>
    <n v="3.3965738758029977"/>
    <x v="0"/>
    <x v="0"/>
    <n v="79.31"/>
    <s v="Deal"/>
    <m/>
    <s v="Original Amount [EUR 23.35], Merchant Amount [EUR 23.35], Customer Amount [TRY 79.31], Status [APPROVED], Operation [3DAUTH], UUID [3627151-1458733851-216] [23/03/2016 at 11:50:00]"/>
  </r>
  <r>
    <s v="3627145-1458733845-102"/>
    <s v="Spot"/>
    <s v="3627145-1458733845-102"/>
    <n v="0"/>
    <d v="2016-03-31T00:00:00"/>
    <x v="1752"/>
    <s v="102"/>
    <s v="SELL"/>
    <n v="3.3972350230414747"/>
    <x v="0"/>
    <x v="0"/>
    <n v="36.86"/>
    <s v="Deal"/>
    <m/>
    <s v="Original Amount [EUR 10.85], Merchant Amount [EUR 10.85], Customer Amount [TRY 36.86], Status [APPROVED], Operation [3DAUTH], UUID [3627145-1458733845-102] [23/03/2016 at 11:50:00]"/>
  </r>
  <r>
    <s v="3627073-1458733768-56"/>
    <s v="Spot"/>
    <s v="3627073-1458733768-56"/>
    <n v="0"/>
    <d v="2016-03-31T00:00:00"/>
    <x v="1753"/>
    <s v="56"/>
    <s v="SELL"/>
    <n v="3.3969335604770019"/>
    <x v="0"/>
    <x v="0"/>
    <n v="59.82"/>
    <s v="Deal"/>
    <m/>
    <s v="Original Amount [EUR 17.61], Merchant Amount [EUR 17.61], Customer Amount [TRY 59.82], Status [WAITING], Operation [3D], UUID [3627073-1458733768-56] [23/03/2016 at 11:49:00]"/>
  </r>
  <r>
    <s v="3627070-1458733761-107"/>
    <s v="Spot"/>
    <s v="3627070-1458733761-107"/>
    <n v="0"/>
    <d v="2016-03-31T00:00:00"/>
    <x v="1754"/>
    <s v="107"/>
    <s v="SELL"/>
    <n v="3.396707553260168"/>
    <x v="0"/>
    <x v="0"/>
    <n v="105.23"/>
    <s v="Deal"/>
    <m/>
    <s v="Original Amount [EUR 30.98], Merchant Amount [EUR 30.98], Customer Amount [TRY 105.23], Status [WAITING], Operation [3D], UUID [3627070-1458733761-107] [23/03/2016 at 11:49:00]"/>
  </r>
  <r>
    <s v="3627052-1458733730-119"/>
    <s v="Spot"/>
    <s v="3627052-1458733730-119"/>
    <n v="0"/>
    <d v="2016-03-31T00:00:00"/>
    <x v="175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7052-1458733730-119] [23/03/2016 at 11:48:00]"/>
  </r>
  <r>
    <s v="3627049-1458733726-101"/>
    <s v="Spot"/>
    <s v="3627049-1458733726-101"/>
    <n v="0"/>
    <d v="2016-03-31T00:00:00"/>
    <x v="1756"/>
    <s v="101"/>
    <s v="SELL"/>
    <n v="3.3975"/>
    <x v="0"/>
    <x v="0"/>
    <n v="27.18"/>
    <s v="Deal"/>
    <m/>
    <s v="Original Amount [EUR 8], Merchant Amount [EUR 8], Customer Amount [TRY 27.18], Status [APPROVED], Operation [3DAUTH], UUID [3627049-1458733726-101] [23/03/2016 at 11:48:00]"/>
  </r>
  <r>
    <s v="3627046-1458733718-216"/>
    <s v="Spot"/>
    <s v="3627046-1458733718-216"/>
    <n v="0"/>
    <d v="2016-03-31T00:00:00"/>
    <x v="175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046-1458733718-216] [23/03/2016 at 11:48:00]"/>
  </r>
  <r>
    <s v="3627025-1458733644-199"/>
    <s v="Spot"/>
    <s v="3627025-1458733644-199"/>
    <n v="0"/>
    <d v="2016-03-31T00:00:00"/>
    <x v="1758"/>
    <s v="199"/>
    <s v="SELL"/>
    <n v="9.96676891615542"/>
    <x v="0"/>
    <x v="1"/>
    <n v="194.95"/>
    <s v="Deal"/>
    <m/>
    <s v="Original Amount [EUR 19.56], Merchant Amount [EUR 19.56], Customer Amount [NOK 194.95], Status [APPROVED], Operation [DIRECT], UUID [3627025-1458733644-199] [23/03/2016 at 11:47:00]"/>
  </r>
  <r>
    <s v="3627016-1458733633-56"/>
    <s v="Spot"/>
    <s v="3627016-1458733633-56"/>
    <n v="0"/>
    <d v="2016-03-31T00:00:00"/>
    <x v="1759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7016-1458733633-56] [23/03/2016 at 11:47:00]"/>
  </r>
  <r>
    <s v="3626995-1458733599-199"/>
    <s v="Spot"/>
    <s v="3626995-1458733599-199"/>
    <n v="0"/>
    <d v="2016-03-31T00:00:00"/>
    <x v="17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6995-1458733599-199] [23/03/2016 at 11:46:00]"/>
  </r>
  <r>
    <s v="3627034-1458733660-119"/>
    <s v="Spot"/>
    <s v="3627034-1458733660-119"/>
    <n v="0"/>
    <d v="2016-03-31T00:00:00"/>
    <x v="1761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27034-1458733660-119] [23/03/2016 at 11:47:00]"/>
  </r>
  <r>
    <s v="3626998-1458733607-145"/>
    <s v="Spot"/>
    <s v="3626998-1458733607-145"/>
    <n v="0"/>
    <d v="2016-03-31T00:00:00"/>
    <x v="1762"/>
    <s v="145"/>
    <s v="SELL"/>
    <n v="1.5435897435897434"/>
    <x v="0"/>
    <x v="2"/>
    <n v="210.7"/>
    <s v="Deal"/>
    <m/>
    <s v="Original Amount [EUR 136.5], Merchant Amount [EUR 136.5], Customer Amount [CAD 210.7], Status [APPROVED], Operation [3DAUTH], UUID [3626998-1458733607-145] [23/03/2016 at 11:46:00]"/>
  </r>
  <r>
    <s v="3626986-1458733586-107"/>
    <s v="Spot"/>
    <s v="3626986-1458733586-107"/>
    <n v="0"/>
    <d v="2016-03-31T00:00:00"/>
    <x v="1763"/>
    <s v="107"/>
    <s v="SELL"/>
    <n v="3.3970588235294117"/>
    <x v="0"/>
    <x v="0"/>
    <n v="94.71"/>
    <s v="Deal"/>
    <m/>
    <s v="Original Amount [EUR 27.88], Merchant Amount [EUR 27.88], Customer Amount [TRY 94.71], Status [APPROVED], Operation [3DAUTH], UUID [3626986-1458733586-107] [23/03/2016 at 11:46:00]"/>
  </r>
  <r>
    <s v="3626962-1458733556-126"/>
    <s v="Spot"/>
    <s v="3626962-1458733556-126"/>
    <n v="0"/>
    <d v="2016-03-31T00:00:00"/>
    <x v="1764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26962-1458733556-126] [23/03/2016 at 11:45:00]"/>
  </r>
  <r>
    <s v="3626947-1458733547-199"/>
    <s v="Spot"/>
    <s v="3626947-1458733547-199"/>
    <n v="0"/>
    <d v="2016-03-31T00:00:00"/>
    <x v="1765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26947-1458733547-199] [23/03/2016 at 11:45:00]"/>
  </r>
  <r>
    <s v="3626941-1458733538-199"/>
    <s v="Spot"/>
    <s v="3626941-1458733538-199"/>
    <n v="0"/>
    <d v="2016-03-31T00:00:00"/>
    <x v="1766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26941-1458733538-199] [23/03/2016 at 11:45:00]"/>
  </r>
  <r>
    <s v="3626989-1458733586-56"/>
    <s v="Spot"/>
    <s v="3626989-1458733586-56"/>
    <n v="0"/>
    <d v="2016-03-31T00:00:00"/>
    <x v="1767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6989-1458733586-56] [23/03/2016 at 11:46:00]"/>
  </r>
  <r>
    <s v="3626911-1458733494-119"/>
    <s v="Spot"/>
    <s v="3626911-1458733494-119"/>
    <n v="0"/>
    <d v="2016-03-31T00:00:00"/>
    <x v="17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911-1458733494-119] [23/03/2016 at 11:44:00]"/>
  </r>
  <r>
    <s v="3626908-1458733494-187"/>
    <s v="Spot"/>
    <s v="3626908-1458733494-187"/>
    <n v="0"/>
    <d v="2016-03-31T00:00:00"/>
    <x v="1769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26908-1458733494-187] [23/03/2016 at 11:44:00]"/>
  </r>
  <r>
    <s v="3626902-1458733490-56"/>
    <s v="Spot"/>
    <s v="3626902-1458733490-56"/>
    <n v="0"/>
    <d v="2016-03-31T00:00:00"/>
    <x v="1770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6902-1458733490-56] [23/03/2016 at 11:44:00]"/>
  </r>
  <r>
    <s v="3626974-1458733574-101"/>
    <s v="Spot"/>
    <s v="3626974-1458733574-101"/>
    <n v="0"/>
    <d v="2016-03-31T00:00:00"/>
    <x v="1771"/>
    <s v="101"/>
    <s v="SELL"/>
    <n v="3.3975"/>
    <x v="0"/>
    <x v="0"/>
    <n v="27.18"/>
    <s v="Deal"/>
    <m/>
    <s v="Original Amount [EUR 8], Merchant Amount [EUR 8], Customer Amount [TRY 27.18], Status [APPROVED], Operation [3DAUTH], UUID [3626974-1458733574-101] [23/03/2016 at 11:46:00]"/>
  </r>
  <r>
    <s v="3626893-1458733485-124"/>
    <s v="Spot"/>
    <s v="3626893-1458733485-124"/>
    <n v="0"/>
    <d v="2016-03-31T00:00:00"/>
    <x v="1772"/>
    <s v="124"/>
    <s v="SELL"/>
    <n v="9.9665236051502148"/>
    <x v="0"/>
    <x v="1"/>
    <n v="116.11"/>
    <s v="Deal"/>
    <m/>
    <s v="Original Amount [EUR 11.65], Merchant Amount [EUR 11.65], Customer Amount [NOK 116.11], Status [APPROVED], Operation [DIRECT], UUID [3626893-1458733485-124] [23/03/2016 at 11:44:00]"/>
  </r>
  <r>
    <s v="3626884-1458733470-256"/>
    <s v="Spot"/>
    <s v="3626884-1458733470-256"/>
    <n v="0"/>
    <d v="2016-03-31T00:00:00"/>
    <x v="1773"/>
    <s v="256"/>
    <s v="SELL"/>
    <n v="3.3907455012853469"/>
    <x v="0"/>
    <x v="0"/>
    <n v="26.38"/>
    <s v="Deal"/>
    <m/>
    <s v="Original Amount [TRY 25], Merchant Amount [EUR 7.78], Customer Amount [TRY 26.38], Status [WAITING], Operation [3D], UUID [3626884-1458733470-256] [23/03/2016 at 11:44:00]"/>
  </r>
  <r>
    <s v="3626905-1458733492-203"/>
    <s v="Spot"/>
    <s v="3626905-1458733492-203"/>
    <n v="0"/>
    <d v="2016-03-31T00:00:00"/>
    <x v="1774"/>
    <s v="203"/>
    <s v="SELL"/>
    <n v="3.3972903225806452"/>
    <x v="0"/>
    <x v="0"/>
    <n v="263.29000000000002"/>
    <s v="Deal"/>
    <m/>
    <s v="Original Amount [EUR 77.5], Merchant Amount [EUR 77.5], Customer Amount [TRY 263.29], Status [APPROVED], Operation [3DAUTH], UUID [3626905-1458733492-203] [23/03/2016 at 11:44:00]"/>
  </r>
  <r>
    <s v="3626875-1458733464-125"/>
    <s v="Spot"/>
    <s v="3626875-1458733464-125"/>
    <n v="0"/>
    <d v="2016-03-31T00:00:00"/>
    <x v="1775"/>
    <s v="125"/>
    <s v="SELL"/>
    <n v="132.83241428571429"/>
    <x v="0"/>
    <x v="3"/>
    <n v="92982.69"/>
    <s v="Deal"/>
    <m/>
    <s v="Original Amount [EUR 700], Merchant Amount [EUR 700], Customer Amount [JPY 92982.69], Status [APPROVED], Operation [DIRECT], UUID [3626875-1458733464-125] [23/03/2016 at 11:44:00]"/>
  </r>
  <r>
    <s v="3626863-1458733415-187"/>
    <s v="Spot"/>
    <s v="3626863-1458733415-187"/>
    <n v="0"/>
    <d v="2016-03-31T00:00:00"/>
    <x v="1776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26863-1458733415-187] [23/03/2016 at 11:43:00]"/>
  </r>
  <r>
    <s v="3626860-1458733415-238"/>
    <s v="Spot"/>
    <s v="3626860-1458733415-238"/>
    <n v="0"/>
    <d v="2016-03-31T00:00:00"/>
    <x v="177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6860-1458733415-238] [23/03/2016 at 11:43:00]"/>
  </r>
  <r>
    <s v="3626857-1458733406-126"/>
    <s v="Spot"/>
    <s v="3626857-1458733406-126"/>
    <n v="0"/>
    <d v="2016-03-31T00:00:00"/>
    <x v="177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26857-1458733406-126] [23/03/2016 at 11:43:00]"/>
  </r>
  <r>
    <s v="3626842-1458733377-119"/>
    <s v="Spot"/>
    <s v="3626842-1458733377-119"/>
    <n v="0"/>
    <d v="2016-03-31T00:00:00"/>
    <x v="1779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842-1458733377-119] [23/03/2016 at 11:42:00]"/>
  </r>
  <r>
    <s v="3626839-1458733376-224"/>
    <s v="Spot"/>
    <s v="3626839-1458733376-224"/>
    <n v="0"/>
    <d v="2016-03-31T00:00:00"/>
    <x v="1780"/>
    <s v="224"/>
    <s v="SELL"/>
    <n v="9.9662770822746811"/>
    <x v="0"/>
    <x v="1"/>
    <n v="2157.4"/>
    <s v="Deal"/>
    <m/>
    <s v="Original Amount [EUR 216.47], Merchant Amount [EUR 216.47], Customer Amount [NOK 2157.4], Status [APPROVED], Operation [DIRECT], UUID [3626839-1458733376-224] [23/03/2016 at 11:42:00]"/>
  </r>
  <r>
    <s v="3626815-1458733360-199"/>
    <s v="Spot"/>
    <s v="3626815-1458733360-199"/>
    <n v="0"/>
    <d v="2016-03-31T00:00:00"/>
    <x v="1781"/>
    <s v="199"/>
    <s v="SELL"/>
    <n v="9.9663379355687063"/>
    <x v="0"/>
    <x v="1"/>
    <n v="757.94"/>
    <s v="Deal"/>
    <m/>
    <s v="Original Amount [EUR 76.05], Merchant Amount [EUR 76.05], Customer Amount [NOK 757.94], Status [APPROVED], Operation [DIRECT], UUID [3626815-1458733360-199] [23/03/2016 at 11:42:00]"/>
  </r>
  <r>
    <s v="3626845-1458733378-56"/>
    <s v="Spot"/>
    <s v="3626845-1458733378-56"/>
    <n v="0"/>
    <d v="2016-03-31T00:00:00"/>
    <x v="1782"/>
    <s v="56"/>
    <s v="SELL"/>
    <n v="3.397278911564626"/>
    <x v="0"/>
    <x v="0"/>
    <n v="99.88"/>
    <s v="Deal"/>
    <m/>
    <s v="Original Amount [EUR 29.4], Merchant Amount [EUR 29.4], Customer Amount [TRY 99.88], Status [APPROVED], Operation [3DAUTH], UUID [3626845-1458733378-56] [23/03/2016 at 11:42:00]"/>
  </r>
  <r>
    <s v="3626803-1458733341-224"/>
    <s v="Spot"/>
    <s v="3626803-1458733341-224"/>
    <n v="0"/>
    <d v="2016-03-31T00:00:00"/>
    <x v="1783"/>
    <s v="224"/>
    <s v="SELL"/>
    <n v="9.9662863070539416"/>
    <x v="0"/>
    <x v="1"/>
    <n v="2690.1"/>
    <s v="Deal"/>
    <m/>
    <s v="Original Amount [EUR 269.92], Merchant Amount [EUR 269.92], Customer Amount [NOK 2690.1], Status [APPROVED], Operation [DIRECT], UUID [3626803-1458733341-224] [23/03/2016 at 11:42:00]"/>
  </r>
  <r>
    <s v="3626827-1458733364-107"/>
    <s v="Spot"/>
    <s v="3626827-1458733364-107"/>
    <n v="0"/>
    <d v="2016-03-31T00:00:00"/>
    <x v="1784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26827-1458733364-107] [23/03/2016 at 11:42:00]"/>
  </r>
  <r>
    <s v="3626836-1458733370-216"/>
    <s v="Spot"/>
    <s v="3626836-1458733370-216"/>
    <n v="0"/>
    <d v="2016-03-31T00:00:00"/>
    <x v="1785"/>
    <s v="216"/>
    <s v="SELL"/>
    <n v="3.3973658849983943"/>
    <x v="0"/>
    <x v="0"/>
    <n v="105.76"/>
    <s v="Deal"/>
    <m/>
    <s v="Original Amount [EUR 31.13], Merchant Amount [EUR 31.13], Customer Amount [TRY 105.76], Status [APPROVED], Operation [3DAUTH], UUID [3626836-1458733370-216] [23/03/2016 at 11:42:00]"/>
  </r>
  <r>
    <s v="3626788-1458733327-126"/>
    <s v="Spot"/>
    <s v="3626788-1458733327-126"/>
    <n v="0"/>
    <d v="2016-03-31T00:00:00"/>
    <x v="1786"/>
    <s v="126"/>
    <s v="SELL"/>
    <n v="9.9663414634146346"/>
    <x v="0"/>
    <x v="1"/>
    <n v="408.62"/>
    <s v="Deal"/>
    <m/>
    <s v="Original Amount [EUR 41], Merchant Amount [EUR 41], Customer Amount [NOK 408.62], Status [APPROVED], Operation [DIRECT], UUID [3626788-1458733327-126] [23/03/2016 at 11:42:00]"/>
  </r>
  <r>
    <s v="3626821-1458733362-264"/>
    <s v="Spot"/>
    <s v="3626821-1458733362-264"/>
    <n v="0"/>
    <d v="2016-03-31T00:00:00"/>
    <x v="1787"/>
    <s v="264"/>
    <s v="SELL"/>
    <n v="3.3879254977520872"/>
    <x v="0"/>
    <x v="0"/>
    <n v="52.75"/>
    <s v="Deal"/>
    <m/>
    <s v="Original Amount [TRY 50], Merchant Amount [EUR 15.57], Customer Amount [TRY 52.75], Status [APPROVED], Operation [3DAUTH], UUID [3626821-1458733362-264] [23/03/2016 at 11:42:00]"/>
  </r>
  <r>
    <s v="3626758-1458733277-261"/>
    <s v="Spot"/>
    <s v="3626758-1458733277-261"/>
    <n v="0"/>
    <d v="2016-03-31T00:00:00"/>
    <x v="1788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26758-1458733277-261] [23/03/2016 at 11:41:00]"/>
  </r>
  <r>
    <s v="3626752-1458733268-134"/>
    <s v="Spot"/>
    <s v="3626752-1458733268-134"/>
    <n v="0"/>
    <d v="2016-03-31T00:00:00"/>
    <x v="1789"/>
    <s v="134"/>
    <s v="BUY"/>
    <n v="133.86895526857157"/>
    <x v="0"/>
    <x v="3"/>
    <n v="241423.29"/>
    <s v="Deal"/>
    <m/>
    <s v="Original Amount [EUR 1803.43], Merchant Amount [EUR 1803.43], Customer Amount [JPY 241423.29], Status [APPROVED], Operation [REFUND], UUID [3626752-1458733268-134] [23/03/2016 at 11:41:00]"/>
  </r>
  <r>
    <s v="3626749-1458733262-134"/>
    <s v="Spot"/>
    <s v="3626749-1458733262-134"/>
    <n v="0"/>
    <d v="2016-03-31T00:00:00"/>
    <x v="1790"/>
    <s v="134"/>
    <s v="BUY"/>
    <n v="133.96738150115243"/>
    <x v="0"/>
    <x v="3"/>
    <n v="320846.52"/>
    <s v="Deal"/>
    <m/>
    <s v="Original Amount [EUR 2394.96], Merchant Amount [EUR 2394.96], Customer Amount [JPY 320846.52], Status [APPROVED], Operation [REFUND], UUID [3626749-1458733262-134] [23/03/2016 at 11:41:00]"/>
  </r>
  <r>
    <s v="3626743-1458733254-224"/>
    <s v="Spot"/>
    <s v="3626743-1458733254-224"/>
    <n v="0"/>
    <d v="2016-03-31T00:00:00"/>
    <x v="1791"/>
    <s v="224"/>
    <s v="SELL"/>
    <n v="9.9546247818499118"/>
    <x v="0"/>
    <x v="1"/>
    <n v="969.68"/>
    <s v="Deal"/>
    <m/>
    <s v="Original Amount [EUR 97.41], Merchant Amount [EUR 97.41], Customer Amount [NOK 969.68], Status [APPROVED], Operation [DIRECT], UUID [3626743-1458733254-224] [23/03/2016 at 11:40:00]"/>
  </r>
  <r>
    <s v="3626737-1458733238-224"/>
    <s v="Spot"/>
    <s v="3626737-1458733238-224"/>
    <n v="0"/>
    <d v="2016-03-31T00:00:00"/>
    <x v="1792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6737-1458733238-224] [23/03/2016 at 11:40:00]"/>
  </r>
  <r>
    <s v="3626734-1458733225-216"/>
    <s v="Spot"/>
    <s v="3626734-1458733225-216"/>
    <n v="0"/>
    <d v="2016-03-31T00:00:00"/>
    <x v="179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734-1458733225-216] [23/03/2016 at 11:40:00]"/>
  </r>
  <r>
    <s v="3626746-1458733256-216"/>
    <s v="Spot"/>
    <s v="3626746-1458733256-216"/>
    <n v="0"/>
    <d v="2016-03-31T00:00:00"/>
    <x v="1794"/>
    <s v="216"/>
    <s v="SELL"/>
    <n v="3.3976240391334729"/>
    <x v="0"/>
    <x v="0"/>
    <n v="48.62"/>
    <s v="Deal"/>
    <m/>
    <s v="Original Amount [EUR 14.31], Merchant Amount [EUR 14.31], Customer Amount [TRY 48.62], Status [APPROVED], Operation [3DAUTH], UUID [3626746-1458733256-216] [23/03/2016 at 11:40:00]"/>
  </r>
  <r>
    <s v="3626728-1458733214-101"/>
    <s v="Spot"/>
    <s v="3626728-1458733214-101"/>
    <n v="0"/>
    <d v="2016-03-31T00:00:00"/>
    <x v="1795"/>
    <s v="101"/>
    <s v="SELL"/>
    <n v="3.3972424557752343"/>
    <x v="0"/>
    <x v="0"/>
    <n v="261.18"/>
    <s v="Deal"/>
    <m/>
    <s v="Original Amount [EUR 76.88], Merchant Amount [EUR 76.88], Customer Amount [TRY 261.18], Status [APPROVED], Operation [3DAUTH], UUID [3626728-1458733214-101] [23/03/2016 at 11:40:00]"/>
  </r>
  <r>
    <s v="3626707-1458733174-126"/>
    <s v="Spot"/>
    <s v="3626707-1458733174-126"/>
    <n v="0"/>
    <d v="2016-03-31T00:00:00"/>
    <x v="1796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6707-1458733174-126] [23/03/2016 at 11:39:00]"/>
  </r>
  <r>
    <s v="3626701-1458733165-199"/>
    <s v="Spot"/>
    <s v="3626701-1458733165-199"/>
    <n v="0"/>
    <d v="2016-03-31T00:00:00"/>
    <x v="1797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6701-1458733165-199] [23/03/2016 at 11:39:00]"/>
  </r>
  <r>
    <s v="3626719-1458733198-216"/>
    <s v="Spot"/>
    <s v="3626719-1458733198-216"/>
    <n v="0"/>
    <d v="2016-03-31T00:00:00"/>
    <x v="17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6719-1458733198-216] [23/03/2016 at 11:39:00]"/>
  </r>
  <r>
    <s v="3626668-1458733108-101"/>
    <s v="Spot"/>
    <s v="3626668-1458733108-101"/>
    <n v="0"/>
    <d v="2016-03-31T00:00:00"/>
    <x v="1799"/>
    <s v="101"/>
    <s v="SELL"/>
    <n v="3.391983016983017"/>
    <x v="0"/>
    <x v="0"/>
    <n v="271.63"/>
    <s v="Deal"/>
    <m/>
    <s v="Original Amount [EUR 80.08], Merchant Amount [EUR 80.08], Customer Amount [TRY 271.63], Status [WAITING], Operation [3D], UUID [3626668-1458733108-101] [23/03/2016 at 11:38:00]"/>
  </r>
  <r>
    <s v="3626653-1458733092-125"/>
    <s v="Spot"/>
    <s v="3626653-1458733092-125"/>
    <n v="0"/>
    <d v="2016-03-31T00:00:00"/>
    <x v="1800"/>
    <s v="125"/>
    <s v="SELL"/>
    <n v="9.9411000000000005"/>
    <x v="0"/>
    <x v="1"/>
    <n v="994.11"/>
    <s v="Deal"/>
    <m/>
    <s v="Original Amount [EUR 100], Merchant Amount [EUR 100], Customer Amount [NOK 994.11], Status [APPROVED], Operation [DIRECT], UUID [3626653-1458733092-125] [23/03/2016 at 11:38:00]"/>
  </r>
  <r>
    <s v="3626713-1458733184-101"/>
    <s v="Spot"/>
    <s v="3626713-1458733184-101"/>
    <n v="0"/>
    <d v="2016-03-31T00:00:00"/>
    <x v="1801"/>
    <s v="101"/>
    <s v="SELL"/>
    <n v="3.3919474116680361"/>
    <x v="0"/>
    <x v="0"/>
    <n v="41.28"/>
    <s v="Deal"/>
    <m/>
    <s v="Original Amount [EUR 12.17], Merchant Amount [EUR 12.17], Customer Amount [TRY 41.28], Status [APPROVED], Operation [3DAUTH], UUID [3626713-1458733184-101] [23/03/2016 at 11:39:00]"/>
  </r>
  <r>
    <s v="3626641-1458733087-145"/>
    <s v="Spot"/>
    <s v="3626641-1458733087-145"/>
    <n v="0"/>
    <d v="2016-03-31T00:00:00"/>
    <x v="1802"/>
    <s v="145"/>
    <s v="SELL"/>
    <n v="1.543150183150183"/>
    <x v="0"/>
    <x v="2"/>
    <n v="210.64"/>
    <s v="Deal"/>
    <m/>
    <s v="Original Amount [EUR 136.5], Merchant Amount [EUR 136.5], Customer Amount [CAD 210.64], Status [WAITING], Operation [3D], UUID [3626641-1458733087-145] [23/03/2016 at 11:38:00]"/>
  </r>
  <r>
    <s v="3626638-1458733087-216"/>
    <s v="Spot"/>
    <s v="3626638-1458733087-216"/>
    <n v="0"/>
    <d v="2016-03-31T00:00:00"/>
    <x v="1803"/>
    <s v="216"/>
    <s v="SELL"/>
    <n v="3.3919614147909964"/>
    <x v="0"/>
    <x v="0"/>
    <n v="105.49"/>
    <s v="Deal"/>
    <m/>
    <s v="Original Amount [EUR 31.1], Merchant Amount [EUR 31.1], Customer Amount [TRY 105.49], Status [WAITING], Operation [3D], UUID [3626638-1458733087-216] [23/03/2016 at 11:38:00]"/>
  </r>
  <r>
    <s v="3626674-1458733110-56"/>
    <s v="Spot"/>
    <s v="3626674-1458733110-56"/>
    <n v="0"/>
    <d v="2016-03-31T00:00:00"/>
    <x v="1804"/>
    <s v="56"/>
    <s v="SELL"/>
    <n v="3.3930288461538463"/>
    <x v="0"/>
    <x v="0"/>
    <n v="28.23"/>
    <s v="Deal"/>
    <m/>
    <s v="Original Amount [EUR 8.32], Merchant Amount [EUR 8.32], Customer Amount [TRY 28.23], Status [APPROVED], Operation [3DAUTH], UUID [3626674-1458733110-56] [23/03/2016 at 11:38:00]"/>
  </r>
  <r>
    <s v="3626665-1458733105-124"/>
    <s v="Spot"/>
    <s v="3626665-1458733105-124"/>
    <n v="0"/>
    <d v="2016-03-31T00:00:00"/>
    <x v="1805"/>
    <s v="124"/>
    <s v="SELL"/>
    <n v="9.9410731707317073"/>
    <x v="0"/>
    <x v="1"/>
    <n v="1018.96"/>
    <s v="Deal"/>
    <m/>
    <s v="Original Amount [EUR 102.5], Merchant Amount [EUR 102.5], Customer Amount [NOK 1018.96], Status [APPROVED], Operation [3DAUTH], UUID [3626665-1458733105-124] [23/03/2016 at 11:38:00]"/>
  </r>
  <r>
    <s v="3626623-1458733072-199"/>
    <s v="Spot"/>
    <s v="3626623-1458733072-199"/>
    <n v="0"/>
    <d v="2016-03-31T00:00:00"/>
    <x v="1806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6623-1458733072-199] [23/03/2016 at 11:37:00]"/>
  </r>
  <r>
    <s v="3626680-1458733116-56"/>
    <s v="Spot"/>
    <s v="3626680-1458733116-56"/>
    <n v="0"/>
    <d v="2016-03-31T00:00:00"/>
    <x v="1807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6680-1458733116-56] [23/03/2016 at 11:38:00]"/>
  </r>
  <r>
    <s v="3626629-1458733079-56"/>
    <s v="Spot"/>
    <s v="3626629-1458733079-56"/>
    <n v="0"/>
    <d v="2016-03-31T00:00:00"/>
    <x v="1808"/>
    <s v="56"/>
    <s v="SELL"/>
    <n v="3.3920169472627943"/>
    <x v="0"/>
    <x v="0"/>
    <n v="304.23"/>
    <s v="Deal"/>
    <m/>
    <s v="Original Amount [EUR 89.69], Merchant Amount [EUR 89.69], Customer Amount [TRY 304.23], Status [APPROVED], Operation [3DAUTH], UUID [3626629-1458733079-56] [23/03/2016 at 11:37:00]"/>
  </r>
  <r>
    <s v="3626605-1458733055-224"/>
    <s v="Spot"/>
    <s v="3626605-1458733055-224"/>
    <n v="0"/>
    <d v="2016-03-31T00:00:00"/>
    <x v="1809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6605-1458733055-224] [23/03/2016 at 11:37:00]"/>
  </r>
  <r>
    <s v="3626656-1458733096-216"/>
    <s v="Spot"/>
    <s v="3626656-1458733096-216"/>
    <n v="0"/>
    <d v="2016-03-31T00:00:00"/>
    <x v="1810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6656-1458733096-216] [23/03/2016 at 11:38:00]"/>
  </r>
  <r>
    <s v="3626662-1458733104-107"/>
    <s v="Spot"/>
    <s v="3626662-1458733104-107"/>
    <n v="0"/>
    <d v="2016-03-31T00:00:00"/>
    <x v="1811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26662-1458733104-107] [23/03/2016 at 11:38:00]"/>
  </r>
  <r>
    <s v="3626596-1458733050-261"/>
    <s v="Spot"/>
    <s v="3626596-1458733050-261"/>
    <n v="0"/>
    <d v="2016-03-31T00:00:00"/>
    <x v="1812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96-1458733050-261] [23/03/2016 at 11:37:00]"/>
  </r>
  <r>
    <s v="3626608-1458733056-56"/>
    <s v="Spot"/>
    <s v="3626608-1458733056-56"/>
    <n v="0"/>
    <d v="2016-03-31T00:00:00"/>
    <x v="1813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6608-1458733056-56] [23/03/2016 at 11:37:00]"/>
  </r>
  <r>
    <s v="3626566-1458733023-101"/>
    <s v="Spot"/>
    <s v="3626566-1458733023-101"/>
    <n v="0"/>
    <d v="2016-03-31T00:00:00"/>
    <x v="1814"/>
    <s v="101"/>
    <s v="SELL"/>
    <n v="3.3919474116680361"/>
    <x v="0"/>
    <x v="0"/>
    <n v="41.28"/>
    <s v="Deal"/>
    <m/>
    <s v="Original Amount [EUR 12.17], Merchant Amount [EUR 12.17], Customer Amount [TRY 41.28], Status [WAITING], Operation [3D], UUID [3626566-1458733023-101] [23/03/2016 at 11:37:00]"/>
  </r>
  <r>
    <s v="3626563-1458733021-119"/>
    <s v="Spot"/>
    <s v="3626563-1458733021-119"/>
    <n v="0"/>
    <d v="2016-03-31T00:00:00"/>
    <x v="181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563-1458733021-119] [23/03/2016 at 11:37:00]"/>
  </r>
  <r>
    <s v="3626560-1458733020-119"/>
    <s v="Spot"/>
    <s v="3626560-1458733020-119"/>
    <n v="0"/>
    <d v="2016-03-31T00:00:00"/>
    <x v="181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560-1458733020-119] [23/03/2016 at 11:37:00]"/>
  </r>
  <r>
    <s v="3626578-1458733033-216"/>
    <s v="Spot"/>
    <s v="3626578-1458733033-216"/>
    <n v="0"/>
    <d v="2016-03-31T00:00:00"/>
    <x v="1817"/>
    <s v="216"/>
    <s v="SELL"/>
    <n v="3.3922087745839633"/>
    <x v="0"/>
    <x v="0"/>
    <n v="89.69"/>
    <s v="Deal"/>
    <m/>
    <s v="Original Amount [EUR 26.44], Merchant Amount [EUR 26.44], Customer Amount [TRY 89.69], Status [APPROVED], Operation [3DAUTH], UUID [3626578-1458733033-216] [23/03/2016 at 11:37:00]"/>
  </r>
  <r>
    <s v="3626581-1458733035-107"/>
    <s v="Spot"/>
    <s v="3626581-1458733035-107"/>
    <n v="0"/>
    <d v="2016-03-31T00:00:00"/>
    <x v="1818"/>
    <s v="107"/>
    <s v="SELL"/>
    <n v="3.3922807017543861"/>
    <x v="0"/>
    <x v="0"/>
    <n v="48.34"/>
    <s v="Deal"/>
    <m/>
    <s v="Original Amount [EUR 14.25], Merchant Amount [EUR 14.25], Customer Amount [TRY 48.34], Status [APPROVED], Operation [3DAUTH], UUID [3626581-1458733035-107] [23/03/2016 at 11:37:00]"/>
  </r>
  <r>
    <s v="3626587-1458733040-216"/>
    <s v="Spot"/>
    <s v="3626587-1458733040-216"/>
    <n v="0"/>
    <d v="2016-03-31T00:00:00"/>
    <x v="1819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6587-1458733040-216] [23/03/2016 at 11:37:00]"/>
  </r>
  <r>
    <s v="3626575-1458733031-102"/>
    <s v="Spot"/>
    <s v="3626575-1458733031-102"/>
    <n v="0"/>
    <d v="2016-03-31T00:00:00"/>
    <x v="1820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6575-1458733031-102] [23/03/2016 at 11:37:00]"/>
  </r>
  <r>
    <s v="3626539-1458733004-261"/>
    <s v="Spot"/>
    <s v="3626539-1458733004-261"/>
    <n v="0"/>
    <d v="2016-03-31T00:00:00"/>
    <x v="1821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39-1458733004-261] [23/03/2016 at 11:36:00]"/>
  </r>
  <r>
    <s v="3626533-1458732990-179"/>
    <s v="Spot"/>
    <s v="3626533-1458732990-179"/>
    <n v="0"/>
    <d v="2016-03-31T00:00:00"/>
    <x v="1822"/>
    <s v="179"/>
    <s v="SELL"/>
    <n v="3.3920540997464075"/>
    <x v="0"/>
    <x v="0"/>
    <n v="200.64"/>
    <s v="Deal"/>
    <m/>
    <s v="Original Amount [EUR 59.15], Merchant Amount [EUR 59.15], Customer Amount [TRY 200.64], Status [APPROVED], Operation [3DAUTH], UUID [3626533-1458732990-179] [23/03/2016 at 11:36:00]"/>
  </r>
  <r>
    <s v="3626518-1458732955-119"/>
    <s v="Spot"/>
    <s v="3626518-1458732955-119"/>
    <n v="0"/>
    <d v="2016-03-31T00:00:00"/>
    <x v="182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6518-1458732955-119] [23/03/2016 at 11:35:00]"/>
  </r>
  <r>
    <s v="3626530-1458732978-216"/>
    <s v="Spot"/>
    <s v="3626530-1458732978-216"/>
    <n v="0"/>
    <d v="2016-03-31T00:00:00"/>
    <x v="1824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530-1458732978-216] [23/03/2016 at 11:36:00]"/>
  </r>
  <r>
    <s v="3626509-1458732943-224"/>
    <s v="Spot"/>
    <s v="3626509-1458732943-224"/>
    <n v="0"/>
    <d v="2016-03-31T00:00:00"/>
    <x v="1825"/>
    <s v="224"/>
    <s v="SELL"/>
    <n v="132.83248800548319"/>
    <x v="0"/>
    <x v="3"/>
    <n v="9690.1299999999992"/>
    <s v="Deal"/>
    <m/>
    <s v="Original Amount [EUR 72.95], Merchant Amount [EUR 72.95], Customer Amount [JPY 9690.13], Status [APPROVED], Operation [DIRECT], UUID [3626509-1458732943-224] [23/03/2016 at 11:35:00]"/>
  </r>
  <r>
    <s v="3626506-1458732937-261"/>
    <s v="Spot"/>
    <s v="3626506-1458732937-261"/>
    <n v="0"/>
    <d v="2016-03-31T00:00:00"/>
    <x v="1826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26506-1458732937-261] [23/03/2016 at 11:35:00]"/>
  </r>
  <r>
    <s v="3626527-1458732977-160"/>
    <s v="Spot"/>
    <s v="3626527-1458732977-160"/>
    <n v="0"/>
    <d v="2016-03-31T00:00:00"/>
    <x v="1827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6527-1458732977-160] [23/03/2016 at 11:36:00]"/>
  </r>
  <r>
    <s v="3626500-1458732928-199"/>
    <s v="Spot"/>
    <s v="3626500-1458732928-199"/>
    <n v="0"/>
    <d v="2016-03-31T00:00:00"/>
    <x v="182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26500-1458732928-199] [23/03/2016 at 11:35:00]"/>
  </r>
  <r>
    <s v="3626521-1458732961-216"/>
    <s v="Spot"/>
    <s v="3626521-1458732961-216"/>
    <n v="0"/>
    <d v="2016-03-31T00:00:00"/>
    <x v="1829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6521-1458732961-216] [23/03/2016 at 11:36:00]"/>
  </r>
  <r>
    <s v="3626515-1458732952-56"/>
    <s v="Spot"/>
    <s v="3626515-1458732952-56"/>
    <n v="0"/>
    <d v="2016-03-31T00:00:00"/>
    <x v="183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6515-1458732952-56] [23/03/2016 at 11:35:00]"/>
  </r>
  <r>
    <s v="3626485-1458732913-224"/>
    <s v="Spot"/>
    <s v="3626485-1458732913-224"/>
    <n v="0"/>
    <d v="2016-03-31T00:00:00"/>
    <x v="183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6485-1458732913-224] [23/03/2016 at 11:35:00]"/>
  </r>
  <r>
    <s v="3626491-1458732918-216"/>
    <s v="Spot"/>
    <s v="3626491-1458732918-216"/>
    <n v="0"/>
    <d v="2016-03-31T00:00:00"/>
    <x v="1832"/>
    <s v="216"/>
    <s v="SELL"/>
    <n v="3.3966995285040724"/>
    <x v="0"/>
    <x v="0"/>
    <n v="158.49"/>
    <s v="Deal"/>
    <m/>
    <s v="Original Amount [EUR 46.66], Merchant Amount [EUR 46.66], Customer Amount [TRY 158.49], Status [APPROVED], Operation [3DAUTH], UUID [3626491-1458732918-216] [23/03/2016 at 11:35:00]"/>
  </r>
  <r>
    <s v="3626452-1458732846-224"/>
    <s v="Spot"/>
    <s v="3626452-1458732846-224"/>
    <n v="0"/>
    <d v="2016-03-31T00:00:00"/>
    <x v="1833"/>
    <s v="224"/>
    <s v="SELL"/>
    <n v="9.9662929840030223"/>
    <x v="0"/>
    <x v="1"/>
    <n v="3956.12"/>
    <s v="Deal"/>
    <m/>
    <s v="Original Amount [EUR 396.95], Merchant Amount [EUR 396.95], Customer Amount [NOK 3956.12], Status [APPROVED], Operation [DIRECT], UUID [3626452-1458732846-224] [23/03/2016 at 11:34:00]"/>
  </r>
  <r>
    <s v="3626449-1458732843-224"/>
    <s v="Spot"/>
    <s v="3626449-1458732843-224"/>
    <n v="0"/>
    <d v="2016-03-31T00:00:00"/>
    <x v="1834"/>
    <s v="224"/>
    <s v="SELL"/>
    <n v="9.9663043478260871"/>
    <x v="0"/>
    <x v="1"/>
    <n v="183.38"/>
    <s v="Deal"/>
    <m/>
    <s v="Original Amount [EUR 18.4], Merchant Amount [EUR 18.4], Customer Amount [NOK 183.38], Status [APPROVED], Operation [DIRECT], UUID [3626449-1458732843-224] [23/03/2016 at 11:34:00]"/>
  </r>
  <r>
    <s v="3626464-1458732861-107"/>
    <s v="Spot"/>
    <s v="3626464-1458732861-107"/>
    <n v="0"/>
    <d v="2016-03-31T00:00:00"/>
    <x v="1835"/>
    <s v="107"/>
    <s v="SELL"/>
    <n v="3.3968253968253967"/>
    <x v="0"/>
    <x v="0"/>
    <n v="126.26"/>
    <s v="Deal"/>
    <m/>
    <s v="Original Amount [EUR 37.17], Merchant Amount [EUR 37.17], Customer Amount [TRY 126.26], Status [APPROVED], Operation [3DAUTH], UUID [3626464-1458732861-107] [23/03/2016 at 11:34:00]"/>
  </r>
  <r>
    <s v="3626431-1458732815-241"/>
    <s v="Spot"/>
    <s v="3626431-1458732815-241"/>
    <n v="0"/>
    <d v="2016-03-31T00:00:00"/>
    <x v="1836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6431-1458732815-241] [23/03/2016 at 11:33:00]"/>
  </r>
  <r>
    <s v="3626473-1458732882-216"/>
    <s v="Spot"/>
    <s v="3626473-1458732882-216"/>
    <n v="0"/>
    <d v="2016-03-31T00:00:00"/>
    <x v="1837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473-1458732882-216] [23/03/2016 at 11:34:00]"/>
  </r>
  <r>
    <s v="3626458-1458732853-264"/>
    <s v="Spot"/>
    <s v="3626458-1458732853-264"/>
    <n v="0"/>
    <d v="2016-03-31T00:00:00"/>
    <x v="1838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26458-1458732853-264] [23/03/2016 at 11:34:00]"/>
  </r>
  <r>
    <s v="3626446-1458732840-216"/>
    <s v="Spot"/>
    <s v="3626446-1458732840-216"/>
    <n v="0"/>
    <d v="2016-03-31T00:00:00"/>
    <x v="1839"/>
    <s v="216"/>
    <s v="SELL"/>
    <n v="3.3969816272965883"/>
    <x v="0"/>
    <x v="0"/>
    <n v="51.77"/>
    <s v="Deal"/>
    <m/>
    <s v="Original Amount [EUR 15.24], Merchant Amount [EUR 15.24], Customer Amount [TRY 51.77], Status [APPROVED], Operation [3DAUTH], UUID [3626446-1458732840-216] [23/03/2016 at 11:34:00]"/>
  </r>
  <r>
    <s v="3626437-1458732826-107"/>
    <s v="Spot"/>
    <s v="3626437-1458732826-107"/>
    <n v="0"/>
    <d v="2016-03-31T00:00:00"/>
    <x v="1840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6437-1458732826-107] [23/03/2016 at 11:33:00]"/>
  </r>
  <r>
    <s v="3626407-1458732793-126"/>
    <s v="Spot"/>
    <s v="3626407-1458732793-126"/>
    <n v="0"/>
    <d v="2016-03-31T00:00:00"/>
    <x v="1841"/>
    <s v="126"/>
    <s v="SELL"/>
    <n v="9.9663111342351733"/>
    <x v="0"/>
    <x v="1"/>
    <n v="766.21"/>
    <s v="Deal"/>
    <m/>
    <s v="Original Amount [EUR 76.88], Merchant Amount [EUR 76.88], Customer Amount [NOK 766.21], Status [APPROVED], Operation [DIRECT], UUID [3626407-1458732793-126] [23/03/2016 at 11:33:00]"/>
  </r>
  <r>
    <s v="3626398-1458732780-224"/>
    <s v="Spot"/>
    <s v="3626398-1458732780-224"/>
    <n v="0"/>
    <d v="2016-03-31T00:00:00"/>
    <x v="1842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26398-1458732780-224] [23/03/2016 at 11:33:00]"/>
  </r>
  <r>
    <s v="3626404-1458732791-216"/>
    <s v="Spot"/>
    <s v="3626404-1458732791-216"/>
    <n v="0"/>
    <d v="2016-03-31T00:00:00"/>
    <x v="1843"/>
    <s v="216"/>
    <s v="SELL"/>
    <n v="3.397106109324759"/>
    <x v="0"/>
    <x v="0"/>
    <n v="63.39"/>
    <s v="Deal"/>
    <m/>
    <s v="Original Amount [EUR 18.66], Merchant Amount [EUR 18.66], Customer Amount [TRY 63.39], Status [APPROVED], Operation [3DAUTH], UUID [3626404-1458732791-216] [23/03/2016 at 11:33:00]"/>
  </r>
  <r>
    <s v="3626377-1458732761-261"/>
    <s v="Spot"/>
    <s v="3626377-1458732761-261"/>
    <n v="0"/>
    <d v="2016-03-31T00:00:00"/>
    <x v="1844"/>
    <s v="261"/>
    <s v="SELL"/>
    <n v="9.9417685118619694"/>
    <x v="0"/>
    <x v="1"/>
    <n v="138.29"/>
    <s v="Deal"/>
    <m/>
    <s v="Original Amount [EUR 13.91], Merchant Amount [EUR 13.91], Customer Amount [NOK 138.29], Status [APPROVED], Operation [DIRECT], UUID [3626377-1458732761-261] [23/03/2016 at 11:32:00]"/>
  </r>
  <r>
    <s v="3626440-1458732826-119"/>
    <s v="Spot"/>
    <s v="3626440-1458732826-119"/>
    <n v="0"/>
    <d v="2016-03-31T00:00:00"/>
    <x v="1845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6440-1458732826-119] [23/03/2016 at 11:33:00]"/>
  </r>
  <r>
    <s v="3626416-1458732799-216"/>
    <s v="Spot"/>
    <s v="3626416-1458732799-216"/>
    <n v="0"/>
    <d v="2016-03-31T00:00:00"/>
    <x v="1846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416-1458732799-216] [23/03/2016 at 11:33:00]"/>
  </r>
  <r>
    <s v="3626353-1458732746-241"/>
    <s v="Spot"/>
    <s v="3626353-1458732746-241"/>
    <n v="0"/>
    <d v="2016-03-31T00:00:00"/>
    <x v="1847"/>
    <s v="241"/>
    <s v="SELL"/>
    <n v="0.83320830207551888"/>
    <x v="0"/>
    <x v="4"/>
    <n v="66.64"/>
    <s v="Deal"/>
    <m/>
    <s v="Original Amount [EUR 79.98], Merchant Amount [EUR 79.98], Customer Amount [GBP 66.64], Status [APPROVED], Operation [DIRECT], UUID [3626353-1458732746-241] [23/03/2016 at 11:32:00]"/>
  </r>
  <r>
    <s v="3626356-1458732748-216"/>
    <s v="Spot"/>
    <s v="3626356-1458732748-216"/>
    <n v="0"/>
    <d v="2016-03-31T00:00:00"/>
    <x v="1848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6356-1458732748-216] [23/03/2016 at 11:32:00]"/>
  </r>
  <r>
    <s v="3626323-1458732726-119"/>
    <s v="Spot"/>
    <s v="3626323-1458732726-119"/>
    <n v="0"/>
    <d v="2016-03-31T00:00:00"/>
    <x v="184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323-1458732726-119] [23/03/2016 at 11:32:00]"/>
  </r>
  <r>
    <s v="3626386-1458732764-216"/>
    <s v="Spot"/>
    <s v="3626386-1458732764-216"/>
    <n v="0"/>
    <d v="2016-03-31T00:00:00"/>
    <x v="1850"/>
    <s v="216"/>
    <s v="SELL"/>
    <n v="3.3970422761613892"/>
    <x v="0"/>
    <x v="0"/>
    <n v="211.33"/>
    <s v="Deal"/>
    <m/>
    <s v="Original Amount [EUR 62.21], Merchant Amount [EUR 62.21], Customer Amount [TRY 211.33], Status [APPROVED], Operation [3DAUTH], UUID [3626386-1458732764-216] [23/03/2016 at 11:32:00]"/>
  </r>
  <r>
    <s v="3626317-1458732724-224"/>
    <s v="Spot"/>
    <s v="3626317-1458732724-224"/>
    <n v="0"/>
    <d v="2016-03-31T00:00:00"/>
    <x v="1851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26317-1458732724-224] [23/03/2016 at 11:32:00]"/>
  </r>
  <r>
    <s v="3626305-1458732719-126"/>
    <s v="Spot"/>
    <s v="3626305-1458732719-126"/>
    <n v="0"/>
    <d v="2016-03-31T00:00:00"/>
    <x v="1852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6305-1458732719-126] [23/03/2016 at 11:31:00]"/>
  </r>
  <r>
    <s v="3626299-1458732717-200"/>
    <s v="Spot"/>
    <s v="3626299-1458732717-200"/>
    <n v="0"/>
    <d v="2016-03-31T00:00:00"/>
    <x v="1853"/>
    <s v="200"/>
    <s v="SELL"/>
    <n v="9.941058394160585"/>
    <x v="0"/>
    <x v="1"/>
    <n v="544.77"/>
    <s v="Deal"/>
    <m/>
    <s v="Original Amount [EUR 54.8], Merchant Amount [EUR 54.8], Customer Amount [NOK 544.77], Status [APPROVED], Operation [DIRECT], UUID [3626299-1458732717-200] [23/03/2016 at 11:31:00]"/>
  </r>
  <r>
    <s v="3626296-1458732715-224"/>
    <s v="Spot"/>
    <s v="3626296-1458732715-224"/>
    <n v="0"/>
    <d v="2016-03-31T00:00:00"/>
    <x v="185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6296-1458732715-224] [23/03/2016 at 11:31:00]"/>
  </r>
  <r>
    <s v="3626290-1458732713-261"/>
    <s v="Spot"/>
    <s v="3626290-1458732713-261"/>
    <n v="0"/>
    <d v="2016-03-31T00:00:00"/>
    <x v="1855"/>
    <s v="261"/>
    <s v="SELL"/>
    <n v="9.9411031473979428"/>
    <x v="0"/>
    <x v="1"/>
    <n v="319.01"/>
    <s v="Deal"/>
    <m/>
    <s v="Original Amount [EUR 32.09], Merchant Amount [EUR 32.09], Customer Amount [NOK 319.01], Status [APPROVED], Operation [DIRECT], UUID [3626290-1458732713-261] [23/03/2016 at 11:31:00]"/>
  </r>
  <r>
    <s v="3626335-1458732734-216"/>
    <s v="Spot"/>
    <s v="3626335-1458732734-216"/>
    <n v="0"/>
    <d v="2016-03-31T00:00:00"/>
    <x v="185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35-1458732734-216] [23/03/2016 at 11:32:00]"/>
  </r>
  <r>
    <s v="3626392-1458732769-126"/>
    <s v="Spot"/>
    <s v="3626392-1458732769-126"/>
    <n v="0"/>
    <d v="2016-03-31T00:00:00"/>
    <x v="1857"/>
    <s v="126"/>
    <s v="SELL"/>
    <n v="9.9410731707317073"/>
    <x v="0"/>
    <x v="1"/>
    <n v="509.48"/>
    <s v="Deal"/>
    <m/>
    <s v="Original Amount [EUR 51.25], Merchant Amount [EUR 51.25], Customer Amount [NOK 509.48], Status [APPROVED], Operation [3DAUTH], UUID [3626392-1458732769-126] [23/03/2016 at 11:32:00]"/>
  </r>
  <r>
    <s v="3626248-1458732689-161"/>
    <s v="Spot"/>
    <s v="3626248-1458732689-161"/>
    <n v="0"/>
    <d v="2016-03-31T00:00:00"/>
    <x v="1858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48-1458732689-161] [23/03/2016 at 11:31:00]"/>
  </r>
  <r>
    <s v="3626311-1458732722-216"/>
    <s v="Spot"/>
    <s v="3626311-1458732722-216"/>
    <n v="0"/>
    <d v="2016-03-31T00:00:00"/>
    <x v="18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11-1458732722-216] [23/03/2016 at 11:32:00]"/>
  </r>
  <r>
    <s v="3626278-1458732705-101"/>
    <s v="Spot"/>
    <s v="3626278-1458732705-101"/>
    <n v="0"/>
    <d v="2016-03-31T00:00:00"/>
    <x v="1860"/>
    <s v="101"/>
    <s v="SELL"/>
    <n v="3.397106109324759"/>
    <x v="0"/>
    <x v="0"/>
    <n v="253.56"/>
    <s v="Deal"/>
    <m/>
    <s v="Original Amount [EUR 74.64], Merchant Amount [EUR 74.64], Customer Amount [TRY 253.56], Status [APPROVED], Operation [3DAUTH], UUID [3626278-1458732705-101] [23/03/2016 at 11:31:00]"/>
  </r>
  <r>
    <s v="3626221-1458732666-161"/>
    <s v="Spot"/>
    <s v="3626221-1458732666-161"/>
    <n v="0"/>
    <d v="2016-03-31T00:00:00"/>
    <x v="1861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21-1458732666-161] [23/03/2016 at 11:31:00]"/>
  </r>
  <r>
    <s v="3626203-1458732654-199"/>
    <s v="Spot"/>
    <s v="3626203-1458732654-199"/>
    <n v="0"/>
    <d v="2016-03-31T00:00:00"/>
    <x v="1862"/>
    <s v="199"/>
    <s v="SELL"/>
    <n v="9.9410862227677192"/>
    <x v="0"/>
    <x v="1"/>
    <n v="647.96"/>
    <s v="Deal"/>
    <m/>
    <s v="Original Amount [EUR 65.18], Merchant Amount [EUR 65.18], Customer Amount [NOK 647.96], Status [APPROVED], Operation [DIRECT], UUID [3626203-1458732654-199] [23/03/2016 at 11:30:00]"/>
  </r>
  <r>
    <s v="3626188-1458732646-107"/>
    <s v="Spot"/>
    <s v="3626188-1458732646-107"/>
    <n v="0"/>
    <d v="2016-03-31T00:00:00"/>
    <x v="1863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6188-1458732646-107] [23/03/2016 at 11:30:00]"/>
  </r>
  <r>
    <s v="3626227-1458732671-56"/>
    <s v="Spot"/>
    <s v="3626227-1458732671-56"/>
    <n v="0"/>
    <d v="2016-03-31T00:00:00"/>
    <x v="1864"/>
    <s v="56"/>
    <s v="SELL"/>
    <n v="3.3975"/>
    <x v="0"/>
    <x v="0"/>
    <n v="27.18"/>
    <s v="Deal"/>
    <m/>
    <s v="Original Amount [EUR 8], Merchant Amount [EUR 8], Customer Amount [TRY 27.18], Status [APPROVED], Operation [3DAUTH], UUID [3626227-1458732671-56] [23/03/2016 at 11:31:00]"/>
  </r>
  <r>
    <s v="3626218-1458732663-196"/>
    <s v="Spot"/>
    <s v="3626218-1458732663-196"/>
    <n v="0"/>
    <d v="2016-03-31T00:00:00"/>
    <x v="1865"/>
    <s v="196"/>
    <s v="SELL"/>
    <n v="1.7610619469026547"/>
    <x v="0"/>
    <x v="6"/>
    <n v="23.88"/>
    <s v="Deal"/>
    <m/>
    <s v="Original Amount [EUR 13.56], Merchant Amount [EUR 13.56], Customer Amount [NZD 23.88], Status [APPROVED], Operation [3DAUTH], UUID [3626218-1458732663-196] [23/03/2016 at 11:31:00]"/>
  </r>
  <r>
    <s v="3626200-1458732652-216"/>
    <s v="Spot"/>
    <s v="3626200-1458732652-216"/>
    <n v="0"/>
    <d v="2016-03-31T00:00:00"/>
    <x v="1866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6200-1458732652-216] [23/03/2016 at 11:30:00]"/>
  </r>
  <r>
    <s v="3626158-1458732615-261"/>
    <s v="Spot"/>
    <s v="3626158-1458732615-261"/>
    <n v="0"/>
    <d v="2016-03-31T00:00:00"/>
    <x v="1867"/>
    <s v="261"/>
    <s v="SELL"/>
    <n v="9.9411104879416712"/>
    <x v="0"/>
    <x v="1"/>
    <n v="1063.5"/>
    <s v="Deal"/>
    <m/>
    <s v="Original Amount [EUR 106.98], Merchant Amount [EUR 106.98], Customer Amount [NOK 1063.5], Status [APPROVED], Operation [DIRECT], UUID [3626158-1458732615-261] [23/03/2016 at 11:30:00]"/>
  </r>
  <r>
    <s v="3626176-1458732635-56"/>
    <s v="Spot"/>
    <s v="3626176-1458732635-56"/>
    <n v="0"/>
    <d v="2016-03-31T00:00:00"/>
    <x v="1868"/>
    <s v="56"/>
    <s v="SELL"/>
    <n v="3.3969991889699918"/>
    <x v="0"/>
    <x v="0"/>
    <n v="83.77"/>
    <s v="Deal"/>
    <m/>
    <s v="Original Amount [EUR 24.66], Merchant Amount [EUR 24.66], Customer Amount [TRY 83.77], Status [APPROVED], Operation [3DAUTH], UUID [3626176-1458732635-56] [23/03/2016 at 11:30:00]"/>
  </r>
  <r>
    <s v="3626137-1458732598-119"/>
    <s v="Spot"/>
    <s v="3626137-1458732598-119"/>
    <n v="0"/>
    <d v="2016-03-31T00:00:00"/>
    <x v="186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137-1458732598-119] [23/03/2016 at 11:29:00]"/>
  </r>
  <r>
    <s v="3626155-1458732615-216"/>
    <s v="Spot"/>
    <s v="3626155-1458732615-216"/>
    <n v="0"/>
    <d v="2016-03-31T00:00:00"/>
    <x v="187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155-1458732615-216] [23/03/2016 at 11:30:00]"/>
  </r>
  <r>
    <s v="3626128-1458732585-261"/>
    <s v="Spot"/>
    <s v="3626128-1458732585-261"/>
    <n v="0"/>
    <d v="2016-03-31T00:00:00"/>
    <x v="1871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6128-1458732585-261] [23/03/2016 at 11:29:00]"/>
  </r>
  <r>
    <s v="3626119-1458732582-224"/>
    <s v="Spot"/>
    <s v="3626119-1458732582-224"/>
    <n v="0"/>
    <d v="2016-03-31T00:00:00"/>
    <x v="1872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6119-1458732582-224] [23/03/2016 at 11:29:00]"/>
  </r>
  <r>
    <s v="3626116-1458732579-107"/>
    <s v="Spot"/>
    <s v="3626116-1458732579-107"/>
    <n v="0"/>
    <d v="2016-03-31T00:00:00"/>
    <x v="1873"/>
    <s v="107"/>
    <s v="SELL"/>
    <n v="3.39719298245614"/>
    <x v="0"/>
    <x v="0"/>
    <n v="48.41"/>
    <s v="Deal"/>
    <m/>
    <s v="Original Amount [EUR 14.25], Merchant Amount [EUR 14.25], Customer Amount [TRY 48.41], Status [WAITING], Operation [3D], UUID [3626116-1458732579-107] [23/03/2016 at 11:29:00]"/>
  </r>
  <r>
    <s v="3626134-1458732592-196"/>
    <s v="Spot"/>
    <s v="3626134-1458732592-196"/>
    <n v="0"/>
    <d v="2016-03-31T00:00:00"/>
    <x v="1874"/>
    <s v="196"/>
    <s v="SELL"/>
    <n v="9.9417670682730908"/>
    <x v="0"/>
    <x v="1"/>
    <n v="99.02"/>
    <s v="Deal"/>
    <m/>
    <s v="Original Amount [EUR 9.96], Merchant Amount [EUR 9.96], Customer Amount [NOK 99.02], Status [APPROVED], Operation [3DAUTH], UUID [3626134-1458732592-196] [23/03/2016 at 11:29:00]"/>
  </r>
  <r>
    <s v="3626146-1458732604-56"/>
    <s v="Spot"/>
    <s v="3626146-1458732604-56"/>
    <n v="0"/>
    <d v="2016-03-31T00:00:00"/>
    <x v="1875"/>
    <s v="56"/>
    <s v="SELL"/>
    <n v="3.3978365384615383"/>
    <x v="0"/>
    <x v="0"/>
    <n v="28.27"/>
    <s v="Deal"/>
    <m/>
    <s v="Original Amount [EUR 8.32], Merchant Amount [EUR 8.32], Customer Amount [TRY 28.27], Status [APPROVED], Operation [3DAUTH], UUID [3626146-1458732604-56] [23/03/2016 at 11:30:00]"/>
  </r>
  <r>
    <s v="3626095-1458732556-171"/>
    <s v="Spot"/>
    <s v="3626095-1458732556-171"/>
    <n v="0"/>
    <d v="2016-03-31T00:00:00"/>
    <x v="1876"/>
    <s v="171"/>
    <s v="SELL"/>
    <n v="9.9413333333333345"/>
    <x v="0"/>
    <x v="1"/>
    <n v="298.24"/>
    <s v="Deal"/>
    <m/>
    <s v="Original Amount [EUR 30], Merchant Amount [EUR 30], Customer Amount [NOK 298.24], Status [APPROVED], Operation [DIRECT], UUID [3626095-1458732556-171] [23/03/2016 at 11:29:00]"/>
  </r>
  <r>
    <s v="3626092-1458732554-224"/>
    <s v="Spot"/>
    <s v="3626092-1458732554-224"/>
    <n v="0"/>
    <d v="2016-03-31T00:00:00"/>
    <x v="18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6092-1458732554-224] [23/03/2016 at 11:29:00]"/>
  </r>
  <r>
    <s v="3626083-1458732533-126"/>
    <s v="Spot"/>
    <s v="3626083-1458732533-126"/>
    <n v="0"/>
    <d v="2016-03-31T00:00:00"/>
    <x v="187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6083-1458732533-126] [23/03/2016 at 11:28:00]"/>
  </r>
  <r>
    <s v="3626125-1458732584-216"/>
    <s v="Spot"/>
    <s v="3626125-1458732584-216"/>
    <n v="0"/>
    <d v="2016-03-31T00:00:00"/>
    <x v="187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125-1458732584-216] [23/03/2016 at 11:29:00]"/>
  </r>
  <r>
    <s v="3626077-1458732531-101"/>
    <s v="Spot"/>
    <s v="3626077-1458732531-101"/>
    <n v="0"/>
    <d v="2016-03-31T00:00:00"/>
    <x v="1880"/>
    <s v="101"/>
    <s v="SELL"/>
    <n v="3.3970745629682479"/>
    <x v="0"/>
    <x v="0"/>
    <n v="380.88"/>
    <s v="Deal"/>
    <m/>
    <s v="Original Amount [EUR 112.12], Merchant Amount [EUR 112.12], Customer Amount [TRY 380.88], Status [APPROVED], Operation [3DAUTH], UUID [3626077-1458732531-101] [23/03/2016 at 11:28:00]"/>
  </r>
  <r>
    <s v="3626047-1458732502-216"/>
    <s v="Spot"/>
    <s v="3626047-1458732502-216"/>
    <n v="0"/>
    <d v="2016-03-31T00:00:00"/>
    <x v="1881"/>
    <s v="216"/>
    <s v="SELL"/>
    <n v="3.397128161165881"/>
    <x v="0"/>
    <x v="0"/>
    <n v="158.51"/>
    <s v="Deal"/>
    <m/>
    <s v="Original Amount [EUR 46.66], Merchant Amount [EUR 46.66], Customer Amount [TRY 158.51], Status [WAITING], Operation [3D], UUID [3626047-1458732502-216] [23/03/2016 at 11:28:00]"/>
  </r>
  <r>
    <s v="3626044-1458732482-119"/>
    <s v="Spot"/>
    <s v="3626044-1458732482-119"/>
    <n v="0"/>
    <d v="2016-03-31T00:00:00"/>
    <x v="1882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044-1458732482-119] [23/03/2016 at 11:28:00]"/>
  </r>
  <r>
    <s v="3626053-1458732509-102"/>
    <s v="Spot"/>
    <s v="3626053-1458732509-102"/>
    <n v="0"/>
    <d v="2016-03-31T00:00:00"/>
    <x v="1883"/>
    <s v="102"/>
    <s v="SELL"/>
    <n v="3.3971326164874553"/>
    <x v="0"/>
    <x v="0"/>
    <n v="47.39"/>
    <s v="Deal"/>
    <m/>
    <s v="Original Amount [EUR 13.95], Merchant Amount [EUR 13.95], Customer Amount [TRY 47.39], Status [APPROVED], Operation [3DAUTH], UUID [3626053-1458732509-102] [23/03/2016 at 11:28:00]"/>
  </r>
  <r>
    <s v="3626026-1458732464-200"/>
    <s v="Spot"/>
    <s v="3626026-1458732464-200"/>
    <n v="0"/>
    <d v="2016-03-31T00:00:00"/>
    <x v="1884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6026-1458732464-200] [23/03/2016 at 11:27:00]"/>
  </r>
  <r>
    <s v="3626014-1458732441-134"/>
    <s v="Spot"/>
    <s v="3626014-1458732441-134"/>
    <n v="0"/>
    <d v="2016-03-31T00:00:00"/>
    <x v="1885"/>
    <s v="134"/>
    <s v="BUY"/>
    <n v="133.25335830508337"/>
    <x v="0"/>
    <x v="3"/>
    <n v="325861.76000000001"/>
    <s v="Deal"/>
    <m/>
    <s v="Original Amount [EUR 2445.43], Merchant Amount [EUR 2445.43], Customer Amount [JPY 325861.76], Status [APPROVED], Operation [REFUND], UUID [3626014-1458732441-134] [23/03/2016 at 11:27:00]"/>
  </r>
  <r>
    <s v="3626023-1458732462-216"/>
    <s v="Spot"/>
    <s v="3626023-1458732462-216"/>
    <n v="0"/>
    <d v="2016-03-31T00:00:00"/>
    <x v="188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6023-1458732462-216] [23/03/2016 at 11:27:00]"/>
  </r>
  <r>
    <s v="3626002-1458732421-171"/>
    <s v="Spot"/>
    <s v="3626002-1458732421-171"/>
    <n v="0"/>
    <d v="2016-03-31T00:00:00"/>
    <x v="1887"/>
    <s v="171"/>
    <s v="SELL"/>
    <n v="9.9420000000000002"/>
    <x v="0"/>
    <x v="1"/>
    <n v="99.42"/>
    <s v="Deal"/>
    <m/>
    <s v="Original Amount [EUR 10], Merchant Amount [EUR 10], Customer Amount [NOK 99.42], Status [APPROVED], Operation [DIRECT], UUID [3626002-1458732421-171] [23/03/2016 at 11:27:00]"/>
  </r>
  <r>
    <s v="3625993-1458732411-134"/>
    <s v="Spot"/>
    <s v="3625993-1458732411-134"/>
    <n v="0"/>
    <d v="2016-03-31T00:00:00"/>
    <x v="1888"/>
    <s v="134"/>
    <s v="BUY"/>
    <n v="132.05320315928037"/>
    <x v="0"/>
    <x v="3"/>
    <n v="12037.97"/>
    <s v="Deal"/>
    <m/>
    <s v="Original Amount [EUR 91.16], Merchant Amount [EUR 91.16], Customer Amount [JPY 12037.97], Status [APPROVED], Operation [REFUND], UUID [3625993-1458732411-134] [23/03/2016 at 11:26:00]"/>
  </r>
  <r>
    <s v="3626017-1458732443-56"/>
    <s v="Spot"/>
    <s v="3626017-1458732443-56"/>
    <n v="0"/>
    <d v="2016-03-31T00:00:00"/>
    <x v="1889"/>
    <s v="56"/>
    <s v="SELL"/>
    <n v="3.3979166666666667"/>
    <x v="0"/>
    <x v="0"/>
    <n v="32.619999999999997"/>
    <s v="Deal"/>
    <m/>
    <s v="Original Amount [EUR 9.6], Merchant Amount [EUR 9.6], Customer Amount [TRY 32.62], Status [APPROVED], Operation [3DAUTH], UUID [3626017-1458732443-56] [23/03/2016 at 11:27:00]"/>
  </r>
  <r>
    <s v="3625984-1458732405-134"/>
    <s v="Spot"/>
    <s v="3625984-1458732405-134"/>
    <n v="0"/>
    <d v="2016-03-31T00:00:00"/>
    <x v="1890"/>
    <s v="134"/>
    <s v="BUY"/>
    <n v="132.0532043265539"/>
    <x v="0"/>
    <x v="3"/>
    <n v="60188.53"/>
    <s v="Deal"/>
    <m/>
    <s v="Original Amount [EUR 455.79], Merchant Amount [EUR 455.79], Customer Amount [JPY 60188.53], Status [APPROVED], Operation [REFUND], UUID [3625984-1458732405-134] [23/03/2016 at 11:26:00]"/>
  </r>
  <r>
    <s v="3626005-1458732423-150"/>
    <s v="Spot"/>
    <s v="3626005-1458732423-150"/>
    <n v="0"/>
    <d v="2016-03-31T00:00:00"/>
    <x v="1891"/>
    <s v="150"/>
    <s v="SELL"/>
    <n v="3.3970876505180621"/>
    <x v="0"/>
    <x v="0"/>
    <n v="121.31"/>
    <s v="Deal"/>
    <m/>
    <s v="Original Amount [EUR 35.71], Merchant Amount [EUR 35.71], Customer Amount [TRY 121.31], Status [APPROVED], Operation [3DAUTH], UUID [3626005-1458732423-150] [23/03/2016 at 11:27:00]"/>
  </r>
  <r>
    <s v="3625978-1458732402-224"/>
    <s v="Spot"/>
    <s v="3625978-1458732402-224"/>
    <n v="0"/>
    <d v="2016-03-31T00:00:00"/>
    <x v="18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978-1458732402-224] [23/03/2016 at 11:26:00]"/>
  </r>
  <r>
    <s v="3625972-1458732400-134"/>
    <s v="Spot"/>
    <s v="3625972-1458732400-134"/>
    <n v="0"/>
    <d v="2016-03-31T00:00:00"/>
    <x v="1893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72-1458732400-134] [23/03/2016 at 11:26:00]"/>
  </r>
  <r>
    <s v="3626032-1458732470-101"/>
    <s v="Spot"/>
    <s v="3626032-1458732470-101"/>
    <n v="0"/>
    <d v="2016-03-31T00:00:00"/>
    <x v="1894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6032-1458732470-101] [23/03/2016 at 11:27:00]"/>
  </r>
  <r>
    <s v="3625963-1458732395-134"/>
    <s v="Spot"/>
    <s v="3625963-1458732395-134"/>
    <n v="0"/>
    <d v="2016-03-31T00:00:00"/>
    <x v="1895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63-1458732395-134] [23/03/2016 at 11:26:00]"/>
  </r>
  <r>
    <s v="3625957-1458732390-134"/>
    <s v="Spot"/>
    <s v="3625957-1458732390-134"/>
    <n v="0"/>
    <d v="2016-03-31T00:00:00"/>
    <x v="1896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57-1458732390-134] [23/03/2016 at 11:26:00]"/>
  </r>
  <r>
    <s v="3625948-1458732385-134"/>
    <s v="Spot"/>
    <s v="3625948-1458732385-134"/>
    <n v="0"/>
    <d v="2016-03-31T00:00:00"/>
    <x v="1897"/>
    <s v="134"/>
    <s v="BUY"/>
    <n v="131.2209006231991"/>
    <x v="0"/>
    <x v="3"/>
    <n v="78328.38"/>
    <s v="Deal"/>
    <m/>
    <s v="Original Amount [EUR 596.92], Merchant Amount [EUR 596.92], Customer Amount [JPY 78328.38], Status [APPROVED], Operation [REFUND], UUID [3625948-1458732385-134] [23/03/2016 at 11:26:00]"/>
  </r>
  <r>
    <s v="3625975-1458732402-107"/>
    <s v="Spot"/>
    <s v="3625975-1458732402-107"/>
    <n v="0"/>
    <d v="2016-03-31T00:00:00"/>
    <x v="1898"/>
    <s v="107"/>
    <s v="SELL"/>
    <n v="3.3979107312440648"/>
    <x v="0"/>
    <x v="0"/>
    <n v="35.78"/>
    <s v="Deal"/>
    <m/>
    <s v="Original Amount [EUR 10.53], Merchant Amount [EUR 10.53], Customer Amount [TRY 35.78], Status [APPROVED], Operation [3DAUTH], UUID [3625975-1458732402-107] [23/03/2016 at 11:26:00]"/>
  </r>
  <r>
    <s v="3625966-1458732397-264"/>
    <s v="Spot"/>
    <s v="3625966-1458732397-264"/>
    <n v="0"/>
    <d v="2016-03-31T00:00:00"/>
    <x v="1899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5966-1458732397-264] [23/03/2016 at 11:26:00]"/>
  </r>
  <r>
    <s v="3625996-1458732412-224"/>
    <s v="Spot"/>
    <s v="3625996-1458732412-224"/>
    <n v="0"/>
    <d v="2016-03-31T00:00:00"/>
    <x v="1900"/>
    <s v="224"/>
    <s v="SELL"/>
    <n v="9.941869417924238"/>
    <x v="0"/>
    <x v="1"/>
    <n v="1291.25"/>
    <s v="Deal"/>
    <m/>
    <s v="Original Amount [EUR 129.88], Merchant Amount [EUR 129.88], Customer Amount [NOK 1291.25], Status [APPROVED], Operation [3DAUTH], UUID [3625996-1458732412-224] [23/03/2016 at 11:26:00]"/>
  </r>
  <r>
    <s v="3625951-1458732387-216"/>
    <s v="Spot"/>
    <s v="3625951-1458732387-216"/>
    <n v="0"/>
    <d v="2016-03-31T00:00:00"/>
    <x v="1901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5951-1458732387-216] [23/03/2016 at 11:26:00]"/>
  </r>
  <r>
    <s v="3625918-1458732348-145"/>
    <s v="Spot"/>
    <s v="3625918-1458732348-145"/>
    <n v="0"/>
    <d v="2016-03-31T00:00:00"/>
    <x v="1902"/>
    <s v="145"/>
    <s v="SELL"/>
    <n v="9.9418031462126919"/>
    <x v="0"/>
    <x v="1"/>
    <n v="7381.59"/>
    <s v="Deal"/>
    <m/>
    <s v="Original Amount [EUR 742.48], Merchant Amount [EUR 742.48], Customer Amount [NOK 7381.59], Status [APPROVED], Operation [DIRECT], UUID [3625918-1458732348-145] [23/03/2016 at 11:25:00]"/>
  </r>
  <r>
    <s v="3625909-1458732336-224"/>
    <s v="Spot"/>
    <s v="3625909-1458732336-224"/>
    <n v="0"/>
    <d v="2016-03-31T00:00:00"/>
    <x v="1903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909-1458732336-224] [23/03/2016 at 11:25:00]"/>
  </r>
  <r>
    <s v="3625906-1458732336-134"/>
    <s v="Spot"/>
    <s v="3625906-1458732336-134"/>
    <n v="0"/>
    <d v="2016-03-31T00:00:00"/>
    <x v="1904"/>
    <s v="134"/>
    <s v="BUY"/>
    <n v="132.05319335658965"/>
    <x v="0"/>
    <x v="3"/>
    <n v="120377.05"/>
    <s v="Deal"/>
    <m/>
    <s v="Original Amount [EUR 911.58], Merchant Amount [EUR 911.58], Customer Amount [JPY 120377.05], Status [APPROVED], Operation [REFUND], UUID [3625906-1458732336-134] [23/03/2016 at 11:25:00]"/>
  </r>
  <r>
    <s v="3625897-1458732330-134"/>
    <s v="Spot"/>
    <s v="3625897-1458732330-134"/>
    <n v="0"/>
    <d v="2016-03-31T00:00:00"/>
    <x v="1905"/>
    <s v="134"/>
    <s v="BUY"/>
    <n v="132.05320315928037"/>
    <x v="0"/>
    <x v="3"/>
    <n v="24075.94"/>
    <s v="Deal"/>
    <m/>
    <s v="Original Amount [EUR 182.32], Merchant Amount [EUR 182.32], Customer Amount [JPY 24075.94], Status [APPROVED], Operation [REFUND], UUID [3625897-1458732330-134] [23/03/2016 at 11:25:00]"/>
  </r>
  <r>
    <s v="3625891-1458732326-199"/>
    <s v="Spot"/>
    <s v="3625891-1458732326-199"/>
    <n v="0"/>
    <d v="2016-03-31T00:00:00"/>
    <x v="1906"/>
    <s v="199"/>
    <s v="SELL"/>
    <n v="9.9421487603305785"/>
    <x v="0"/>
    <x v="1"/>
    <n v="264.66000000000003"/>
    <s v="Deal"/>
    <m/>
    <s v="Original Amount [EUR 26.62], Merchant Amount [EUR 26.62], Customer Amount [NOK 264.66], Status [APPROVED], Operation [DIRECT], UUID [3625891-1458732326-199] [23/03/2016 at 11:25:00]"/>
  </r>
  <r>
    <s v="3625888-1458732325-134"/>
    <s v="Spot"/>
    <s v="3625888-1458732325-134"/>
    <n v="0"/>
    <d v="2016-03-31T00:00:00"/>
    <x v="1907"/>
    <s v="134"/>
    <s v="BUY"/>
    <n v="132.21566476524794"/>
    <x v="0"/>
    <x v="3"/>
    <n v="48211.12"/>
    <s v="Deal"/>
    <m/>
    <s v="Original Amount [EUR 364.64], Merchant Amount [EUR 364.64], Customer Amount [JPY 48211.12], Status [APPROVED], Operation [REFUND], UUID [3625888-1458732325-134] [23/03/2016 at 11:25:00]"/>
  </r>
  <r>
    <s v="3625885-1458732316-134"/>
    <s v="Spot"/>
    <s v="3625885-1458732316-134"/>
    <n v="0"/>
    <d v="2016-03-31T00:00:00"/>
    <x v="1908"/>
    <s v="134"/>
    <s v="BUY"/>
    <n v="132.21566949691743"/>
    <x v="0"/>
    <x v="3"/>
    <n v="120525.16"/>
    <s v="Deal"/>
    <m/>
    <s v="Original Amount [EUR 911.58], Merchant Amount [EUR 911.58], Customer Amount [JPY 120525.16], Status [APPROVED], Operation [REFUND], UUID [3625885-1458732316-134] [23/03/2016 at 11:25:00]"/>
  </r>
  <r>
    <s v="3625882-1458732311-134"/>
    <s v="Spot"/>
    <s v="3625882-1458732311-134"/>
    <n v="0"/>
    <d v="2016-03-31T00:00:00"/>
    <x v="1909"/>
    <s v="134"/>
    <s v="BUY"/>
    <n v="130.69340006731301"/>
    <x v="0"/>
    <x v="3"/>
    <n v="120377.77"/>
    <s v="Deal"/>
    <m/>
    <s v="Original Amount [EUR 921.07], Merchant Amount [EUR 921.07], Customer Amount [JPY 120377.77], Status [APPROVED], Operation [REFUND], UUID [3625882-1458732311-134] [23/03/2016 at 11:25:00]"/>
  </r>
  <r>
    <s v="3625927-1458732361-216"/>
    <s v="Spot"/>
    <s v="3625927-1458732361-216"/>
    <n v="0"/>
    <d v="2016-03-31T00:00:00"/>
    <x v="191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927-1458732361-216] [23/03/2016 at 11:26:00]"/>
  </r>
  <r>
    <s v="3625876-1458732304-134"/>
    <s v="Spot"/>
    <s v="3625876-1458732304-134"/>
    <n v="0"/>
    <d v="2016-03-31T00:00:00"/>
    <x v="1911"/>
    <s v="134"/>
    <s v="BUY"/>
    <n v="130.69341705269255"/>
    <x v="0"/>
    <x v="3"/>
    <n v="72226.41"/>
    <s v="Deal"/>
    <m/>
    <s v="Original Amount [EUR 552.64], Merchant Amount [EUR 552.64], Customer Amount [JPY 72226.41], Status [APPROVED], Operation [REFUND], UUID [3625876-1458732304-134] [23/03/2016 at 11:25:00]"/>
  </r>
  <r>
    <s v="3625870-1458732296-216"/>
    <s v="Spot"/>
    <s v="3625870-1458732296-216"/>
    <n v="0"/>
    <d v="2016-03-31T00:00:00"/>
    <x v="1912"/>
    <s v="216"/>
    <s v="SELL"/>
    <n v="3.3971428571428572"/>
    <x v="0"/>
    <x v="0"/>
    <n v="47.56"/>
    <s v="Deal"/>
    <m/>
    <s v="Original Amount [EUR 14], Merchant Amount [EUR 14], Customer Amount [TRY 47.56], Status [WAITING], Operation [3D], UUID [3625870-1458732296-216] [23/03/2016 at 11:24:00]"/>
  </r>
  <r>
    <s v="3625912-1458732340-107"/>
    <s v="Spot"/>
    <s v="3625912-1458732340-107"/>
    <n v="0"/>
    <d v="2016-03-31T00:00:00"/>
    <x v="1913"/>
    <s v="107"/>
    <s v="SELL"/>
    <n v="3.3974175035868006"/>
    <x v="0"/>
    <x v="0"/>
    <n v="47.36"/>
    <s v="Deal"/>
    <m/>
    <s v="Original Amount [EUR 13.94], Merchant Amount [EUR 13.94], Customer Amount [TRY 47.36], Status [APPROVED], Operation [3DAUTH], UUID [3625912-1458732340-107] [23/03/2016 at 11:25:00]"/>
  </r>
  <r>
    <s v="3625855-1458732281-224"/>
    <s v="Spot"/>
    <s v="3625855-1458732281-224"/>
    <n v="0"/>
    <d v="2016-03-31T00:00:00"/>
    <x v="1914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855-1458732281-224] [23/03/2016 at 11:24:00]"/>
  </r>
  <r>
    <s v="3625852-1458732275-238"/>
    <s v="Spot"/>
    <s v="3625852-1458732275-238"/>
    <n v="0"/>
    <d v="2016-03-31T00:00:00"/>
    <x v="19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852-1458732275-238] [23/03/2016 at 11:24:00]"/>
  </r>
  <r>
    <s v="3625843-1458732268-241"/>
    <s v="Spot"/>
    <s v="3625843-1458732268-241"/>
    <n v="0"/>
    <d v="2016-03-31T00:00:00"/>
    <x v="191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25843-1458732268-241] [23/03/2016 at 11:24:00]"/>
  </r>
  <r>
    <s v="3625864-1458732291-216"/>
    <s v="Spot"/>
    <s v="3625864-1458732291-216"/>
    <n v="0"/>
    <d v="2016-03-31T00:00:00"/>
    <x v="191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4-1458732291-216] [23/03/2016 at 11:24:00]"/>
  </r>
  <r>
    <s v="3625846-1458732268-216"/>
    <s v="Spot"/>
    <s v="3625846-1458732268-216"/>
    <n v="0"/>
    <d v="2016-03-31T00:00:00"/>
    <x v="1918"/>
    <s v="216"/>
    <s v="SELL"/>
    <n v="3.397092084006462"/>
    <x v="0"/>
    <x v="0"/>
    <n v="210.28"/>
    <s v="Deal"/>
    <m/>
    <s v="Original Amount [EUR 61.9], Merchant Amount [EUR 61.9], Customer Amount [TRY 210.28], Status [APPROVED], Operation [3DAUTH], UUID [3625846-1458732268-216] [23/03/2016 at 11:24:00]"/>
  </r>
  <r>
    <s v="3625861-1458732286-216"/>
    <s v="Spot"/>
    <s v="3625861-1458732286-216"/>
    <n v="0"/>
    <d v="2016-03-31T00:00:00"/>
    <x v="191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1-1458732286-216] [23/03/2016 at 11:24:00]"/>
  </r>
  <r>
    <s v="3625837-1458732259-216"/>
    <s v="Spot"/>
    <s v="3625837-1458732259-216"/>
    <n v="0"/>
    <d v="2016-03-31T00:00:00"/>
    <x v="1920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37-1458732259-216] [23/03/2016 at 11:24:00]"/>
  </r>
  <r>
    <s v="3625804-1458732214-82"/>
    <s v="Spot"/>
    <s v="3625804-1458732214-82"/>
    <n v="0"/>
    <d v="2016-03-31T00:00:00"/>
    <x v="192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804-1458732214-82] [23/03/2016 at 11:23:00]"/>
  </r>
  <r>
    <s v="3625795-1458732202-126"/>
    <s v="Spot"/>
    <s v="3625795-1458732202-126"/>
    <n v="0"/>
    <d v="2016-03-31T00:00:00"/>
    <x v="1922"/>
    <s v="126"/>
    <s v="SELL"/>
    <n v="9.9422764227642269"/>
    <x v="0"/>
    <x v="1"/>
    <n v="122.29"/>
    <s v="Deal"/>
    <m/>
    <s v="Original Amount [EUR 12.3], Merchant Amount [EUR 12.3], Customer Amount [NOK 122.29], Status [APPROVED], Operation [DIRECT], UUID [3625795-1458732202-126] [23/03/2016 at 11:23:00]"/>
  </r>
  <r>
    <s v="3625789-1458732201-82"/>
    <s v="Spot"/>
    <s v="3625789-1458732201-82"/>
    <n v="0"/>
    <d v="2016-03-31T00:00:00"/>
    <x v="19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789-1458732201-82] [23/03/2016 at 11:23:00]"/>
  </r>
  <r>
    <s v="3625777-1458732192-171"/>
    <s v="Spot"/>
    <s v="3625777-1458732192-171"/>
    <n v="0"/>
    <d v="2016-03-31T00:00:00"/>
    <x v="1924"/>
    <s v="171"/>
    <s v="SELL"/>
    <n v="9.9420000000000002"/>
    <x v="0"/>
    <x v="1"/>
    <n v="198.84"/>
    <s v="Deal"/>
    <m/>
    <s v="Original Amount [EUR 20], Merchant Amount [EUR 20], Customer Amount [NOK 198.84], Status [APPROVED], Operation [DIRECT], UUID [3625777-1458732192-171] [23/03/2016 at 11:23:00]"/>
  </r>
  <r>
    <s v="3625807-1458732226-216"/>
    <s v="Spot"/>
    <s v="3625807-1458732226-216"/>
    <n v="0"/>
    <d v="2016-03-31T00:00:00"/>
    <x v="1925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07-1458732226-216] [23/03/2016 at 11:23:00]"/>
  </r>
  <r>
    <s v="3625798-1458732211-216"/>
    <s v="Spot"/>
    <s v="3625798-1458732211-216"/>
    <n v="0"/>
    <d v="2016-03-31T00:00:00"/>
    <x v="192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98-1458732211-216] [23/03/2016 at 11:23:00]"/>
  </r>
  <r>
    <s v="3625783-1458732198-216"/>
    <s v="Spot"/>
    <s v="3625783-1458732198-216"/>
    <n v="0"/>
    <d v="2016-03-31T00:00:00"/>
    <x v="192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83-1458732198-216] [23/03/2016 at 11:23:00]"/>
  </r>
  <r>
    <s v="3625750-1458732159-224"/>
    <s v="Spot"/>
    <s v="3625750-1458732159-224"/>
    <n v="0"/>
    <d v="2016-03-31T00:00:00"/>
    <x v="1928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25750-1458732159-224] [23/03/2016 at 11:22:00]"/>
  </r>
  <r>
    <s v="3625747-1458732154-216"/>
    <s v="Spot"/>
    <s v="3625747-1458732154-216"/>
    <n v="0"/>
    <d v="2016-03-31T00:00:00"/>
    <x v="192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7-1458732154-216] [23/03/2016 at 11:22:00]"/>
  </r>
  <r>
    <s v="3625744-1458732154-216"/>
    <s v="Spot"/>
    <s v="3625744-1458732154-216"/>
    <n v="0"/>
    <d v="2016-03-31T00:00:00"/>
    <x v="1930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4-1458732154-216] [23/03/2016 at 11:22:00]"/>
  </r>
  <r>
    <s v="3625738-1458732146-126"/>
    <s v="Spot"/>
    <s v="3625738-1458732146-126"/>
    <n v="0"/>
    <d v="2016-03-31T00:00:00"/>
    <x v="193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5738-1458732146-126] [23/03/2016 at 11:22:00]"/>
  </r>
  <r>
    <s v="3625729-1458732138-101"/>
    <s v="Spot"/>
    <s v="3625729-1458732138-101"/>
    <n v="0"/>
    <d v="2016-03-31T00:00:00"/>
    <x v="1932"/>
    <s v="101"/>
    <s v="SELL"/>
    <n v="3.3971276927880112"/>
    <x v="0"/>
    <x v="0"/>
    <n v="217.62"/>
    <s v="Deal"/>
    <m/>
    <s v="Original Amount [EUR 64.06], Merchant Amount [EUR 64.06], Customer Amount [TRY 217.62], Status [WAITING], Operation [3D], UUID [3625729-1458732138-101] [23/03/2016 at 11:22:00]"/>
  </r>
  <r>
    <s v="3625765-1458732189-216"/>
    <s v="Spot"/>
    <s v="3625765-1458732189-216"/>
    <n v="0"/>
    <d v="2016-03-31T00:00:00"/>
    <x v="193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65-1458732189-216] [23/03/2016 at 11:23:00]"/>
  </r>
  <r>
    <s v="3625780-1458732193-216"/>
    <s v="Spot"/>
    <s v="3625780-1458732193-216"/>
    <n v="0"/>
    <d v="2016-03-31T00:00:00"/>
    <x v="1934"/>
    <s v="216"/>
    <s v="SELL"/>
    <n v="3.3971578160059837"/>
    <x v="0"/>
    <x v="0"/>
    <n v="45.42"/>
    <s v="Deal"/>
    <m/>
    <s v="Original Amount [EUR 13.37], Merchant Amount [EUR 13.37], Customer Amount [TRY 45.42], Status [APPROVED], Operation [3DAUTH], UUID [3625780-1458732193-216] [23/03/2016 at 11:23:00]"/>
  </r>
  <r>
    <s v="3625741-1458732150-216"/>
    <s v="Spot"/>
    <s v="3625741-1458732150-216"/>
    <n v="0"/>
    <d v="2016-03-31T00:00:00"/>
    <x v="1935"/>
    <s v="216"/>
    <s v="SELL"/>
    <n v="3.397106109324759"/>
    <x v="0"/>
    <x v="0"/>
    <n v="126.78"/>
    <s v="Deal"/>
    <m/>
    <s v="Original Amount [EUR 37.32], Merchant Amount [EUR 37.32], Customer Amount [TRY 126.78], Status [APPROVED], Operation [3DAUTH], UUID [3625741-1458732150-216] [23/03/2016 at 11:22:00]"/>
  </r>
  <r>
    <s v="3625774-1458732191-56"/>
    <s v="Spot"/>
    <s v="3625774-1458732191-56"/>
    <n v="0"/>
    <d v="2016-03-31T00:00:00"/>
    <x v="1936"/>
    <s v="56"/>
    <s v="SELL"/>
    <n v="3.3976293103448278"/>
    <x v="0"/>
    <x v="0"/>
    <n v="31.53"/>
    <s v="Deal"/>
    <m/>
    <s v="Original Amount [EUR 9.28], Merchant Amount [EUR 9.28], Customer Amount [TRY 31.53], Status [APPROVED], Operation [3DAUTH], UUID [3625774-1458732191-56] [23/03/2016 at 11:23:00]"/>
  </r>
  <r>
    <s v="3625705-1458732090-199"/>
    <s v="Spot"/>
    <s v="3625705-1458732090-199"/>
    <n v="0"/>
    <d v="2016-03-31T00:00:00"/>
    <x v="1937"/>
    <s v="199"/>
    <s v="SELL"/>
    <n v="9.9419889502762437"/>
    <x v="0"/>
    <x v="1"/>
    <n v="107.97"/>
    <s v="Deal"/>
    <m/>
    <s v="Original Amount [EUR 10.86], Merchant Amount [EUR 10.86], Customer Amount [NOK 107.97], Status [APPROVED], Operation [DIRECT], UUID [3625705-1458732090-199] [23/03/2016 at 11:21:00]"/>
  </r>
  <r>
    <s v="3625735-1458732145-216"/>
    <s v="Spot"/>
    <s v="3625735-1458732145-216"/>
    <n v="0"/>
    <d v="2016-03-31T00:00:00"/>
    <x v="1938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35-1458732145-216] [23/03/2016 at 11:22:00]"/>
  </r>
  <r>
    <s v="3625693-1458732069-200"/>
    <s v="Spot"/>
    <s v="3625693-1458732069-200"/>
    <n v="0"/>
    <d v="2016-03-31T00:00:00"/>
    <x v="1939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693-1458732069-200] [23/03/2016 at 11:21:00]"/>
  </r>
  <r>
    <s v="3625702-1458732087-264"/>
    <s v="Spot"/>
    <s v="3625702-1458732087-264"/>
    <n v="0"/>
    <d v="2016-03-31T00:00:00"/>
    <x v="1940"/>
    <s v="264"/>
    <s v="SELL"/>
    <n v="3.3907254361799812"/>
    <x v="0"/>
    <x v="0"/>
    <n v="73.849999999999994"/>
    <s v="Deal"/>
    <m/>
    <s v="Original Amount [TRY 70], Merchant Amount [EUR 21.78], Customer Amount [TRY 73.85], Status [APPROVED], Operation [3DAUTH], UUID [3625702-1458732087-264] [23/03/2016 at 11:21:00]"/>
  </r>
  <r>
    <s v="3625708-1458732099-126"/>
    <s v="Spot"/>
    <s v="3625708-1458732099-126"/>
    <n v="0"/>
    <d v="2016-03-31T00:00:00"/>
    <x v="1941"/>
    <s v="126"/>
    <s v="SELL"/>
    <n v="9.9414824447334205"/>
    <x v="0"/>
    <x v="1"/>
    <n v="152.9"/>
    <s v="Deal"/>
    <m/>
    <s v="Original Amount [EUR 15.38], Merchant Amount [EUR 15.38], Customer Amount [NOK 152.9], Status [APPROVED], Operation [3DAUTH], UUID [3625708-1458732099-126] [23/03/2016 at 11:21:00]"/>
  </r>
  <r>
    <s v="3625672-1458732044-56"/>
    <s v="Spot"/>
    <s v="3625672-1458732044-56"/>
    <n v="0"/>
    <d v="2016-03-31T00:00:00"/>
    <x v="1942"/>
    <s v="56"/>
    <s v="SELL"/>
    <n v="3.3976992604765819"/>
    <x v="0"/>
    <x v="0"/>
    <n v="41.35"/>
    <s v="Deal"/>
    <m/>
    <s v="Original Amount [EUR 12.17], Merchant Amount [EUR 12.17], Customer Amount [TRY 41.35], Status [WAITING], Operation [3D], UUID [3625672-1458732044-56] [23/03/2016 at 11:20:00]"/>
  </r>
  <r>
    <s v="3625669-1458732030-224"/>
    <s v="Spot"/>
    <s v="3625669-1458732030-224"/>
    <n v="0"/>
    <d v="2016-03-31T00:00:00"/>
    <x v="1943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5669-1458732030-224] [23/03/2016 at 11:20:00]"/>
  </r>
  <r>
    <s v="3625663-1458732018-187"/>
    <s v="Spot"/>
    <s v="3625663-1458732018-187"/>
    <n v="0"/>
    <d v="2016-03-31T00:00:00"/>
    <x v="1944"/>
    <s v="187"/>
    <s v="SELL"/>
    <n v="9.9412248253185371"/>
    <x v="0"/>
    <x v="1"/>
    <n v="241.87"/>
    <s v="Deal"/>
    <m/>
    <s v="Original Amount [EUR 24.33], Merchant Amount [EUR 24.33], Customer Amount [NOK 241.87], Status [APPROVED], Operation [DIRECT], UUID [3625663-1458732018-187] [23/03/2016 at 11:20:00]"/>
  </r>
  <r>
    <s v="3625657-1458732014-224"/>
    <s v="Spot"/>
    <s v="3625657-1458732014-224"/>
    <n v="0"/>
    <d v="2016-03-31T00:00:00"/>
    <x v="1945"/>
    <s v="224"/>
    <s v="SELL"/>
    <n v="9.941329856584094"/>
    <x v="0"/>
    <x v="1"/>
    <n v="305"/>
    <s v="Deal"/>
    <m/>
    <s v="Original Amount [EUR 30.68], Merchant Amount [EUR 30.68], Customer Amount [NOK 305], Status [APPROVED], Operation [DIRECT], UUID [3625657-1458732014-224] [23/03/2016 at 11:20:00]"/>
  </r>
  <r>
    <s v="3625648-1458732000-171"/>
    <s v="Spot"/>
    <s v="3625648-1458732000-171"/>
    <n v="0"/>
    <d v="2016-03-31T00:00:00"/>
    <x v="1946"/>
    <s v="171"/>
    <s v="SELL"/>
    <n v="9.9415000000000013"/>
    <x v="0"/>
    <x v="1"/>
    <n v="198.83"/>
    <s v="Deal"/>
    <m/>
    <s v="Original Amount [EUR 20], Merchant Amount [EUR 20], Customer Amount [NOK 198.83], Status [APPROVED], Operation [DIRECT], UUID [3625648-1458732000-171] [23/03/2016 at 11:20:00]"/>
  </r>
  <r>
    <s v="3625645-1458731996-224"/>
    <s v="Spot"/>
    <s v="3625645-1458731996-224"/>
    <n v="0"/>
    <d v="2016-03-31T00:00:00"/>
    <x v="194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645-1458731996-224] [23/03/2016 at 11:19:00]"/>
  </r>
  <r>
    <s v="3625666-1458732024-216"/>
    <s v="Spot"/>
    <s v="3625666-1458732024-216"/>
    <n v="0"/>
    <d v="2016-03-31T00:00:00"/>
    <x v="1948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666-1458732024-216] [23/03/2016 at 11:20:00]"/>
  </r>
  <r>
    <s v="3625639-1458731979-200"/>
    <s v="Spot"/>
    <s v="3625639-1458731979-200"/>
    <n v="0"/>
    <d v="2016-03-31T00:00:00"/>
    <x v="194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5639-1458731979-200] [23/03/2016 at 11:19:00]"/>
  </r>
  <r>
    <s v="3625654-1458732012-56"/>
    <s v="Spot"/>
    <s v="3625654-1458732012-56"/>
    <n v="0"/>
    <d v="2016-03-31T00:00:00"/>
    <x v="1950"/>
    <s v="56"/>
    <s v="SELL"/>
    <n v="3.3975"/>
    <x v="0"/>
    <x v="0"/>
    <n v="27.18"/>
    <s v="Deal"/>
    <m/>
    <s v="Original Amount [EUR 8], Merchant Amount [EUR 8], Customer Amount [TRY 27.18], Status [APPROVED], Operation [3DAUTH], UUID [3625654-1458732012-56] [23/03/2016 at 11:20:00]"/>
  </r>
  <r>
    <s v="3625633-1458731977-264"/>
    <s v="Spot"/>
    <s v="3625633-1458731977-264"/>
    <n v="0"/>
    <d v="2016-03-31T00:00:00"/>
    <x v="1951"/>
    <s v="264"/>
    <s v="SELL"/>
    <n v="4.2282958199356919"/>
    <x v="0"/>
    <x v="14"/>
    <n v="13.15"/>
    <s v="Deal"/>
    <m/>
    <s v="Original Amount [TRY 10], Merchant Amount [EUR 3.11], Customer Amount [BRL 13.15], Status [WAITING], Operation [3D], UUID [3625633-1458731977-264] [23/03/2016 at 11:19:00]"/>
  </r>
  <r>
    <s v="3625627-1458731969-224"/>
    <s v="Spot"/>
    <s v="3625627-1458731969-224"/>
    <n v="0"/>
    <d v="2016-03-31T00:00:00"/>
    <x v="1952"/>
    <s v="224"/>
    <s v="SELL"/>
    <n v="132.9933093154915"/>
    <x v="0"/>
    <x v="3"/>
    <n v="36176.839999999997"/>
    <s v="Deal"/>
    <m/>
    <s v="Original Amount [EUR 272.02], Merchant Amount [EUR 272.02], Customer Amount [JPY 36176.84], Status [APPROVED], Operation [DIRECT], UUID [3625627-1458731969-224] [23/03/2016 at 11:19:00]"/>
  </r>
  <r>
    <s v="3625624-1458731969-171"/>
    <s v="Spot"/>
    <s v="3625624-1458731969-171"/>
    <n v="0"/>
    <d v="2016-03-31T00:00:00"/>
    <x v="1953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5624-1458731969-171] [23/03/2016 at 11:19:00]"/>
  </r>
  <r>
    <s v="3625618-1458731958-119"/>
    <s v="Spot"/>
    <s v="3625618-1458731958-119"/>
    <n v="0"/>
    <d v="2016-03-31T00:00:00"/>
    <x v="1954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5618-1458731958-119] [23/03/2016 at 11:19:00]"/>
  </r>
  <r>
    <s v="3625615-1458731953-156"/>
    <s v="Spot"/>
    <s v="3625615-1458731953-156"/>
    <n v="0"/>
    <d v="2016-03-31T00:00:00"/>
    <x v="1955"/>
    <s v="156"/>
    <s v="SELL"/>
    <n v="132.99330038440419"/>
    <x v="0"/>
    <x v="3"/>
    <n v="24218.080000000002"/>
    <s v="Deal"/>
    <m/>
    <s v="Original Amount [EUR 182.1], Merchant Amount [EUR 182.1], Customer Amount [JPY 24218.08], Status [APPROVED], Operation [DIRECT], UUID [3625615-1458731953-156] [23/03/2016 at 11:19:00]"/>
  </r>
  <r>
    <s v="3625630-1458731973-56"/>
    <s v="Spot"/>
    <s v="3625630-1458731973-56"/>
    <n v="0"/>
    <d v="2016-03-31T00:00:00"/>
    <x v="1956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5630-1458731973-56] [23/03/2016 at 11:19:00]"/>
  </r>
  <r>
    <s v="3625600-1458731942-264"/>
    <s v="Spot"/>
    <s v="3625600-1458731942-264"/>
    <n v="0"/>
    <d v="2016-03-31T00:00:00"/>
    <x v="1957"/>
    <s v="264"/>
    <s v="SELL"/>
    <n v="4.2243717462561863"/>
    <x v="0"/>
    <x v="14"/>
    <n v="657.27"/>
    <s v="Deal"/>
    <m/>
    <s v="Original Amount [TRY 500], Merchant Amount [EUR 155.59], Customer Amount [BRL 657.27], Status [WAITING], Operation [3D], UUID [3625600-1458731942-264] [23/03/2016 at 11:19:00]"/>
  </r>
  <r>
    <s v="3625591-1458731919-119"/>
    <s v="Spot"/>
    <s v="3625591-1458731919-119"/>
    <n v="0"/>
    <d v="2016-03-31T00:00:00"/>
    <x v="195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5591-1458731919-119] [23/03/2016 at 11:18:00]"/>
  </r>
  <r>
    <s v="3625612-1458731952-126"/>
    <s v="Spot"/>
    <s v="3625612-1458731952-126"/>
    <n v="0"/>
    <d v="2016-03-31T00:00:00"/>
    <x v="1959"/>
    <s v="126"/>
    <s v="SELL"/>
    <n v="9.9410731707317073"/>
    <x v="0"/>
    <x v="1"/>
    <n v="3056.88"/>
    <s v="Deal"/>
    <m/>
    <s v="Original Amount [EUR 307.5], Merchant Amount [EUR 307.5], Customer Amount [NOK 3056.88], Status [APPROVED], Operation [3DAUTH], UUID [3625612-1458731952-126] [23/03/2016 at 11:19:00]"/>
  </r>
  <r>
    <s v="3625576-1458731911-261"/>
    <s v="Spot"/>
    <s v="3625576-1458731911-261"/>
    <n v="0"/>
    <d v="2016-03-31T00:00:00"/>
    <x v="1960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5576-1458731911-261] [23/03/2016 at 11:18:00]"/>
  </r>
  <r>
    <s v="3625603-1458731942-216"/>
    <s v="Spot"/>
    <s v="3625603-1458731942-216"/>
    <n v="0"/>
    <d v="2016-03-31T00:00:00"/>
    <x v="1961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5603-1458731942-216] [23/03/2016 at 11:19:00]"/>
  </r>
  <r>
    <s v="3625570-1458731894-187"/>
    <s v="Spot"/>
    <s v="3625570-1458731894-187"/>
    <n v="0"/>
    <d v="2016-03-31T00:00:00"/>
    <x v="1962"/>
    <s v="187"/>
    <s v="SELL"/>
    <n v="9.9413988657844996"/>
    <x v="0"/>
    <x v="1"/>
    <n v="262.95"/>
    <s v="Deal"/>
    <m/>
    <s v="Original Amount [EUR 26.45], Merchant Amount [EUR 26.45], Customer Amount [NOK 262.95], Status [APPROVED], Operation [DIRECT], UUID [3625570-1458731894-187] [23/03/2016 at 11:18:00]"/>
  </r>
  <r>
    <s v="3625588-1458731915-216"/>
    <s v="Spot"/>
    <s v="3625588-1458731915-216"/>
    <n v="0"/>
    <d v="2016-03-31T00:00:00"/>
    <x v="1963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88-1458731915-216] [23/03/2016 at 11:18:00]"/>
  </r>
  <r>
    <s v="3625567-1458731892-264"/>
    <s v="Spot"/>
    <s v="3625567-1458731892-264"/>
    <n v="0"/>
    <d v="2016-03-31T00:00:00"/>
    <x v="1964"/>
    <s v="264"/>
    <s v="SELL"/>
    <n v="1.1827354260089686"/>
    <x v="0"/>
    <x v="7"/>
    <n v="10.55"/>
    <s v="Deal"/>
    <m/>
    <s v="Original Amount [USD 10], Merchant Amount [EUR 8.92], Customer Amount [USD 10.55], Status [APPROVED], Operation [3DAUTH], UUID [3625567-1458731892-264] [23/03/2016 at 11:18:00]"/>
  </r>
  <r>
    <s v="3625552-1458731870-82"/>
    <s v="Spot"/>
    <s v="3625552-1458731870-82"/>
    <n v="0"/>
    <d v="2016-03-31T00:00:00"/>
    <x v="1965"/>
    <s v="82"/>
    <s v="BUY"/>
    <n v="1"/>
    <x v="0"/>
    <x v="4"/>
    <n v="0.01"/>
    <s v="Deal"/>
    <m/>
    <s v="Original Amount [GBP 0.01], Merchant Amount [EUR 0.01], Customer Amount [GBP 0.01], Status [APPROVED], Operation [REFUND], UUID [3625552-1458731870-82] [23/03/2016 at 11:17:00]"/>
  </r>
  <r>
    <s v="3625549-1458731866-82"/>
    <s v="Spot"/>
    <s v="3625549-1458731866-82"/>
    <n v="0"/>
    <d v="2016-03-31T00:00:00"/>
    <x v="1966"/>
    <s v="82"/>
    <s v="SELL"/>
    <n v="1"/>
    <x v="0"/>
    <x v="4"/>
    <n v="0.01"/>
    <s v="Deal"/>
    <m/>
    <s v="Original Amount [GBP 0.01], Merchant Amount [EUR 0.01], Customer Amount [GBP 0.01], Status [APPROVED], Operation [STORED], UUID [3625549-1458731866-82] [23/03/2016 at 11:17:00]"/>
  </r>
  <r>
    <s v="3625522-1458731833-261"/>
    <s v="Spot"/>
    <s v="3625522-1458731833-261"/>
    <n v="0"/>
    <d v="2016-03-31T00:00:00"/>
    <x v="1967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5522-1458731833-261] [23/03/2016 at 11:17:00]"/>
  </r>
  <r>
    <s v="3625555-1458731871-216"/>
    <s v="Spot"/>
    <s v="3625555-1458731871-216"/>
    <n v="0"/>
    <d v="2016-03-31T00:00:00"/>
    <x v="1968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55-1458731871-216] [23/03/2016 at 11:17:00]"/>
  </r>
  <r>
    <s v="3625558-1458731877-216"/>
    <s v="Spot"/>
    <s v="3625558-1458731877-216"/>
    <n v="0"/>
    <d v="2016-03-31T00:00:00"/>
    <x v="1969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58-1458731877-216] [23/03/2016 at 11:17:00]"/>
  </r>
  <r>
    <s v="3625546-1458731863-107"/>
    <s v="Spot"/>
    <s v="3625546-1458731863-107"/>
    <n v="0"/>
    <d v="2016-03-31T00:00:00"/>
    <x v="1970"/>
    <s v="107"/>
    <s v="SELL"/>
    <n v="3.3969185619955975"/>
    <x v="0"/>
    <x v="0"/>
    <n v="46.3"/>
    <s v="Deal"/>
    <m/>
    <s v="Original Amount [EUR 13.63], Merchant Amount [EUR 13.63], Customer Amount [TRY 46.3], Status [APPROVED], Operation [3DAUTH], UUID [3625546-1458731863-107] [23/03/2016 at 11:17:00]"/>
  </r>
  <r>
    <s v="3625594-1458731938-216"/>
    <s v="Spot"/>
    <s v="3625594-1458731938-216"/>
    <n v="0"/>
    <d v="2016-03-31T00:00:00"/>
    <x v="1971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94-1458731938-216] [23/03/2016 at 11:18:00]"/>
  </r>
  <r>
    <s v="3625525-1458731847-216"/>
    <s v="Spot"/>
    <s v="3625525-1458731847-216"/>
    <n v="0"/>
    <d v="2016-03-31T00:00:00"/>
    <x v="1972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25-1458731847-216] [23/03/2016 at 11:17:00]"/>
  </r>
  <r>
    <s v="3625531-1458731848-216"/>
    <s v="Spot"/>
    <s v="3625531-1458731848-216"/>
    <n v="0"/>
    <d v="2016-03-31T00:00:00"/>
    <x v="197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31-1458731848-216] [23/03/2016 at 11:17:00]"/>
  </r>
  <r>
    <s v="3625480-1458731809-187"/>
    <s v="Spot"/>
    <s v="3625480-1458731809-187"/>
    <n v="0"/>
    <d v="2016-03-31T00:00:00"/>
    <x v="1974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5480-1458731809-187] [23/03/2016 at 11:16:00]"/>
  </r>
  <r>
    <s v="3625513-1458731825-107"/>
    <s v="Spot"/>
    <s v="3625513-1458731825-107"/>
    <n v="0"/>
    <d v="2016-03-31T00:00:00"/>
    <x v="1975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513-1458731825-107] [23/03/2016 at 11:17:00]"/>
  </r>
  <r>
    <s v="3625510-1458731824-216"/>
    <s v="Spot"/>
    <s v="3625510-1458731824-216"/>
    <n v="0"/>
    <d v="2016-03-31T00:00:00"/>
    <x v="1976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10-1458731824-216] [23/03/2016 at 11:17:00]"/>
  </r>
  <r>
    <s v="3625537-1458731851-107"/>
    <s v="Spot"/>
    <s v="3625537-1458731851-107"/>
    <n v="0"/>
    <d v="2016-03-31T00:00:00"/>
    <x v="197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5537-1458731851-107] [23/03/2016 at 11:17:00]"/>
  </r>
  <r>
    <s v="3625462-1458731787-199"/>
    <s v="Spot"/>
    <s v="3625462-1458731787-199"/>
    <n v="0"/>
    <d v="2016-03-31T00:00:00"/>
    <x v="1978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462-1458731787-199] [23/03/2016 at 11:16:00]"/>
  </r>
  <r>
    <s v="3625456-1458731778-224"/>
    <s v="Spot"/>
    <s v="3625456-1458731778-224"/>
    <n v="0"/>
    <d v="2016-03-31T00:00:00"/>
    <x v="1979"/>
    <s v="224"/>
    <s v="SELL"/>
    <n v="9.9422365988909434"/>
    <x v="0"/>
    <x v="1"/>
    <n v="215.15"/>
    <s v="Deal"/>
    <m/>
    <s v="Original Amount [EUR 21.64], Merchant Amount [EUR 21.64], Customer Amount [NOK 215.15], Status [APPROVED], Operation [DIRECT], UUID [3625456-1458731778-224] [23/03/2016 at 11:16:00]"/>
  </r>
  <r>
    <s v="3625450-1458731774-224"/>
    <s v="Spot"/>
    <s v="3625450-1458731774-224"/>
    <n v="0"/>
    <d v="2016-03-31T00:00:00"/>
    <x v="1980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450-1458731774-224] [23/03/2016 at 11:16:00]"/>
  </r>
  <r>
    <s v="3625447-1458731766-216"/>
    <s v="Spot"/>
    <s v="3625447-1458731766-216"/>
    <n v="0"/>
    <d v="2016-03-31T00:00:00"/>
    <x v="1981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447-1458731766-216] [23/03/2016 at 11:16:00]"/>
  </r>
  <r>
    <s v="3625492-1458731813-119"/>
    <s v="Spot"/>
    <s v="3625492-1458731813-119"/>
    <n v="0"/>
    <d v="2016-03-31T00:00:00"/>
    <x v="1982"/>
    <s v="119"/>
    <s v="SELL"/>
    <n v="9.9417999999999989"/>
    <x v="0"/>
    <x v="1"/>
    <n v="497.09"/>
    <s v="Deal"/>
    <m/>
    <s v="Original Amount [EUR 50], Merchant Amount [EUR 50], Customer Amount [NOK 497.09], Status [APPROVED], Operation [3DAUTH], UUID [3625492-1458731813-119] [23/03/2016 at 11:16:00]"/>
  </r>
  <r>
    <s v="3625435-1458731747-82"/>
    <s v="Spot"/>
    <s v="3625435-1458731747-82"/>
    <n v="0"/>
    <d v="2016-03-31T00:00:00"/>
    <x v="1983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435-1458731747-82] [23/03/2016 at 11:15:00]"/>
  </r>
  <r>
    <s v="3625453-1458731778-216"/>
    <s v="Spot"/>
    <s v="3625453-1458731778-216"/>
    <n v="0"/>
    <d v="2016-03-31T00:00:00"/>
    <x v="1984"/>
    <s v="216"/>
    <s v="SELL"/>
    <n v="3.3966127130453425"/>
    <x v="0"/>
    <x v="0"/>
    <n v="316.87"/>
    <s v="Deal"/>
    <m/>
    <s v="Original Amount [EUR 93.29], Merchant Amount [EUR 93.29], Customer Amount [TRY 316.87], Status [APPROVED], Operation [3DAUTH], UUID [3625453-1458731778-216] [23/03/2016 at 11:16:00]"/>
  </r>
  <r>
    <s v="3625474-1458731798-124"/>
    <s v="Spot"/>
    <s v="3625474-1458731798-124"/>
    <n v="0"/>
    <d v="2016-03-31T00:00:00"/>
    <x v="1985"/>
    <s v="124"/>
    <s v="SELL"/>
    <n v="9.942439024390243"/>
    <x v="0"/>
    <x v="1"/>
    <n v="101.91"/>
    <s v="Deal"/>
    <m/>
    <s v="Original Amount [EUR 10.25], Merchant Amount [EUR 10.25], Customer Amount [NOK 101.91], Status [APPROVED], Operation [3DAUTH], UUID [3625474-1458731798-124] [23/03/2016 at 11:16:00]"/>
  </r>
  <r>
    <s v="3625423-1458731736-82"/>
    <s v="Spot"/>
    <s v="3625423-1458731736-82"/>
    <n v="0"/>
    <d v="2016-03-31T00:00:00"/>
    <x v="198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5423-1458731736-82] [23/03/2016 at 11:15:00]"/>
  </r>
  <r>
    <s v="3625396-1458731690-199"/>
    <s v="Spot"/>
    <s v="3625396-1458731690-199"/>
    <n v="0"/>
    <d v="2016-03-31T00:00:00"/>
    <x v="1987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396-1458731690-199] [23/03/2016 at 11:14:00]"/>
  </r>
  <r>
    <s v="3625405-1458731707-56"/>
    <s v="Spot"/>
    <s v="3625405-1458731707-56"/>
    <n v="0"/>
    <d v="2016-03-31T00:00:00"/>
    <x v="1988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5405-1458731707-56] [23/03/2016 at 11:15:00]"/>
  </r>
  <r>
    <s v="3625387-1458731679-264"/>
    <s v="Spot"/>
    <s v="3625387-1458731679-264"/>
    <n v="0"/>
    <d v="2016-03-31T00:00:00"/>
    <x v="1989"/>
    <s v="264"/>
    <s v="SELL"/>
    <n v="1.1827057182705718"/>
    <x v="0"/>
    <x v="7"/>
    <n v="110.24"/>
    <s v="Deal"/>
    <m/>
    <s v="Original Amount [TRY 300], Merchant Amount [EUR 93.21], Customer Amount [USD 110.24], Status [WAITING], Operation [3D], UUID [3625387-1458731679-264] [23/03/2016 at 11:14:00]"/>
  </r>
  <r>
    <s v="3625381-1458731672-82"/>
    <s v="Spot"/>
    <s v="3625381-1458731672-82"/>
    <n v="0"/>
    <d v="2016-03-31T00:00:00"/>
    <x v="1990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381-1458731672-82] [23/03/2016 at 11:14:00]"/>
  </r>
  <r>
    <s v="3625444-1458731762-101"/>
    <s v="Spot"/>
    <s v="3625444-1458731762-101"/>
    <n v="0"/>
    <d v="2016-03-31T00:00:00"/>
    <x v="1991"/>
    <s v="101"/>
    <s v="SELL"/>
    <n v="3.3920308483290484"/>
    <x v="0"/>
    <x v="0"/>
    <n v="184.73"/>
    <s v="Deal"/>
    <m/>
    <s v="Original Amount [EUR 54.46], Merchant Amount [EUR 54.46], Customer Amount [TRY 184.73], Status [APPROVED], Operation [3DAUTH], UUID [3625444-1458731762-101] [23/03/2016 at 11:16:00]"/>
  </r>
  <r>
    <s v="3625399-1458731694-264"/>
    <s v="Spot"/>
    <s v="3625399-1458731694-264"/>
    <n v="0"/>
    <d v="2016-03-31T00:00:00"/>
    <x v="1992"/>
    <s v="264"/>
    <s v="SELL"/>
    <n v="3.3959227467811157"/>
    <x v="0"/>
    <x v="0"/>
    <n v="31.65"/>
    <s v="Deal"/>
    <m/>
    <s v="Original Amount [TRY 30], Merchant Amount [EUR 9.32], Customer Amount [TRY 31.65], Status [APPROVED], Operation [3DAUTH], UUID [3625399-1458731694-264] [23/03/2016 at 11:14:00]"/>
  </r>
  <r>
    <s v="3625369-1458731657-119"/>
    <s v="Spot"/>
    <s v="3625369-1458731657-119"/>
    <n v="0"/>
    <d v="2016-03-31T00:00:00"/>
    <x v="1993"/>
    <s v="119"/>
    <s v="SELL"/>
    <n v="9.9417999999999989"/>
    <x v="0"/>
    <x v="1"/>
    <n v="497.09"/>
    <s v="Deal"/>
    <m/>
    <s v="Original Amount [EUR 50], Merchant Amount [EUR 50], Customer Amount [NOK 497.09], Status [APPROVED], Operation [DIRECT], UUID [3625369-1458731657-119] [23/03/2016 at 11:14:00]"/>
  </r>
  <r>
    <s v="3625393-1458731689-119"/>
    <s v="Spot"/>
    <s v="3625393-1458731689-119"/>
    <n v="0"/>
    <d v="2016-03-31T00:00:00"/>
    <x v="19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5393-1458731689-119] [23/03/2016 at 11:14:00]"/>
  </r>
  <r>
    <s v="3625360-1458731638-199"/>
    <s v="Spot"/>
    <s v="3625360-1458731638-199"/>
    <n v="0"/>
    <d v="2016-03-31T00:00:00"/>
    <x v="1995"/>
    <s v="199"/>
    <s v="SELL"/>
    <n v="9.9418262150220897"/>
    <x v="0"/>
    <x v="1"/>
    <n v="270.02"/>
    <s v="Deal"/>
    <m/>
    <s v="Original Amount [EUR 27.16], Merchant Amount [EUR 27.16], Customer Amount [NOK 270.02], Status [APPROVED], Operation [DIRECT], UUID [3625360-1458731638-199] [23/03/2016 at 11:13:00]"/>
  </r>
  <r>
    <s v="3625357-1458731630-82"/>
    <s v="Spot"/>
    <s v="3625357-1458731630-82"/>
    <n v="0"/>
    <d v="2016-03-31T00:00:00"/>
    <x v="1996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357-1458731630-82] [23/03/2016 at 11:13:00]"/>
  </r>
  <r>
    <s v="3625354-1458731620-216"/>
    <s v="Spot"/>
    <s v="3625354-1458731620-216"/>
    <n v="0"/>
    <d v="2016-03-31T00:00:00"/>
    <x v="1997"/>
    <s v="216"/>
    <s v="SELL"/>
    <n v="3.3924632352941173"/>
    <x v="0"/>
    <x v="0"/>
    <n v="36.909999999999997"/>
    <s v="Deal"/>
    <m/>
    <s v="Original Amount [EUR 10.88], Merchant Amount [EUR 10.88], Customer Amount [TRY 36.91], Status [WAITING], Operation [3D], UUID [3625354-1458731620-216] [23/03/2016 at 11:13:00]"/>
  </r>
  <r>
    <s v="3625351-1458731619-224"/>
    <s v="Spot"/>
    <s v="3625351-1458731619-224"/>
    <n v="0"/>
    <d v="2016-03-31T00:00:00"/>
    <x v="1998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5351-1458731619-224] [23/03/2016 at 11:13:00]"/>
  </r>
  <r>
    <s v="3625342-1458731605-82"/>
    <s v="Spot"/>
    <s v="3625342-1458731605-82"/>
    <n v="0"/>
    <d v="2016-03-31T00:00:00"/>
    <x v="1999"/>
    <s v="82"/>
    <s v="SELL"/>
    <n v="1.1870814430762584"/>
    <x v="0"/>
    <x v="7"/>
    <n v="54.95"/>
    <s v="Deal"/>
    <m/>
    <s v="Original Amount [USD 54.95], Merchant Amount [EUR 46.29], Customer Amount [USD 54.95], Status [APPROVED], Operation [DIRECT], UUID [3625342-1458731605-82] [23/03/2016 at 11:13:00]"/>
  </r>
  <r>
    <s v="3625336-1458731602-224"/>
    <s v="Spot"/>
    <s v="3625336-1458731602-224"/>
    <n v="0"/>
    <d v="2016-03-31T00:00:00"/>
    <x v="2000"/>
    <s v="224"/>
    <s v="SELL"/>
    <n v="9.9422187981510017"/>
    <x v="0"/>
    <x v="1"/>
    <n v="129.05000000000001"/>
    <s v="Deal"/>
    <m/>
    <s v="Original Amount [EUR 12.98], Merchant Amount [EUR 12.98], Customer Amount [NOK 129.05], Status [APPROVED], Operation [DIRECT], UUID [3625336-1458731602-224] [23/03/2016 at 11:13:00]"/>
  </r>
  <r>
    <s v="3625333-1458731596-82"/>
    <s v="Spot"/>
    <s v="3625333-1458731596-82"/>
    <n v="0"/>
    <d v="2016-03-31T00:00:00"/>
    <x v="2001"/>
    <s v="82"/>
    <s v="SELL"/>
    <n v="1.187018701870187"/>
    <x v="0"/>
    <x v="7"/>
    <n v="53.95"/>
    <s v="Deal"/>
    <m/>
    <s v="Original Amount [USD 53.95], Merchant Amount [EUR 45.45], Customer Amount [USD 53.95], Status [APPROVED], Operation [DIRECT], UUID [3625333-1458731596-82] [23/03/2016 at 11:13:00]"/>
  </r>
  <r>
    <s v="3625321-1458731592-107"/>
    <s v="Spot"/>
    <s v="3625321-1458731592-107"/>
    <n v="0"/>
    <d v="2016-03-31T00:00:00"/>
    <x v="2002"/>
    <s v="107"/>
    <s v="SELL"/>
    <n v="3.3923959827833574"/>
    <x v="0"/>
    <x v="0"/>
    <n v="47.29"/>
    <s v="Deal"/>
    <m/>
    <s v="Original Amount [EUR 13.94], Merchant Amount [EUR 13.94], Customer Amount [TRY 47.29], Status [WAITING], Operation [3D], UUID [3625321-1458731592-107] [23/03/2016 at 11:13:00]"/>
  </r>
  <r>
    <s v="3625363-1458731642-107"/>
    <s v="Spot"/>
    <s v="3625363-1458731642-107"/>
    <n v="0"/>
    <d v="2016-03-31T00:00:00"/>
    <x v="2003"/>
    <s v="107"/>
    <s v="SELL"/>
    <n v="3.3919733161179257"/>
    <x v="0"/>
    <x v="0"/>
    <n v="315.25"/>
    <s v="Deal"/>
    <m/>
    <s v="Original Amount [EUR 92.94], Merchant Amount [EUR 92.94], Customer Amount [TRY 315.25], Status [APPROVED], Operation [3DAUTH], UUID [3625363-1458731642-107] [23/03/2016 at 11:14:00]"/>
  </r>
  <r>
    <s v="3625348-1458731616-216"/>
    <s v="Spot"/>
    <s v="3625348-1458731616-216"/>
    <n v="0"/>
    <d v="2016-03-31T00:00:00"/>
    <x v="200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5348-1458731616-216] [23/03/2016 at 11:13:00]"/>
  </r>
  <r>
    <s v="3625330-1458731594-150"/>
    <s v="Spot"/>
    <s v="3625330-1458731594-150"/>
    <n v="0"/>
    <d v="2016-03-31T00:00:00"/>
    <x v="2005"/>
    <s v="150"/>
    <s v="SELL"/>
    <n v="3.392396907216495"/>
    <x v="0"/>
    <x v="0"/>
    <n v="52.65"/>
    <s v="Deal"/>
    <m/>
    <s v="Original Amount [EUR 15.52], Merchant Amount [EUR 15.52], Customer Amount [TRY 52.65], Status [APPROVED], Operation [3DAUTH], UUID [3625330-1458731594-150] [23/03/2016 at 11:13:00]"/>
  </r>
  <r>
    <s v="3625297-1458731570-200"/>
    <s v="Spot"/>
    <s v="3625297-1458731570-200"/>
    <n v="0"/>
    <d v="2016-03-31T00:00:00"/>
    <x v="2006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297-1458731570-200] [23/03/2016 at 11:12:00]"/>
  </r>
  <r>
    <s v="3625285-1458731566-82"/>
    <s v="Spot"/>
    <s v="3625285-1458731566-82"/>
    <n v="0"/>
    <d v="2016-03-31T00:00:00"/>
    <x v="200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285-1458731566-82] [23/03/2016 at 11:12:00]"/>
  </r>
  <r>
    <s v="3625318-1458731591-216"/>
    <s v="Spot"/>
    <s v="3625318-1458731591-216"/>
    <n v="0"/>
    <d v="2016-03-31T00:00:00"/>
    <x v="200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25318-1458731591-216] [23/03/2016 at 11:13:00]"/>
  </r>
  <r>
    <s v="3625270-1458731554-216"/>
    <s v="Spot"/>
    <s v="3625270-1458731554-216"/>
    <n v="0"/>
    <d v="2016-03-31T00:00:00"/>
    <x v="2009"/>
    <s v="216"/>
    <s v="SELL"/>
    <n v="3.3924231593995713"/>
    <x v="0"/>
    <x v="0"/>
    <n v="47.46"/>
    <s v="Deal"/>
    <m/>
    <s v="Original Amount [EUR 13.99], Merchant Amount [EUR 13.99], Customer Amount [TRY 47.46], Status [WAITING], Operation [3D], UUID [3625270-1458731554-216] [23/03/2016 at 11:12:00]"/>
  </r>
  <r>
    <s v="3625264-1458731551-82"/>
    <s v="Spot"/>
    <s v="3625264-1458731551-82"/>
    <n v="0"/>
    <d v="2016-03-31T00:00:00"/>
    <x v="20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5264-1458731551-82] [23/03/2016 at 11:12:00]"/>
  </r>
  <r>
    <s v="3625258-1458731550-224"/>
    <s v="Spot"/>
    <s v="3625258-1458731550-224"/>
    <n v="0"/>
    <d v="2016-03-31T00:00:00"/>
    <x v="2011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258-1458731550-224] [23/03/2016 at 11:12:00]"/>
  </r>
  <r>
    <s v="3625252-1458731538-224"/>
    <s v="Spot"/>
    <s v="3625252-1458731538-224"/>
    <n v="0"/>
    <d v="2016-03-31T00:00:00"/>
    <x v="201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252-1458731538-224] [23/03/2016 at 11:12:00]"/>
  </r>
  <r>
    <s v="3625312-1458731584-216"/>
    <s v="Spot"/>
    <s v="3625312-1458731584-216"/>
    <n v="0"/>
    <d v="2016-03-31T00:00:00"/>
    <x v="2013"/>
    <s v="216"/>
    <s v="SELL"/>
    <n v="3.3919536944404745"/>
    <x v="0"/>
    <x v="0"/>
    <n v="949.34"/>
    <s v="Deal"/>
    <m/>
    <s v="Original Amount [EUR 279.88], Merchant Amount [EUR 279.88], Customer Amount [TRY 949.34], Status [APPROVED], Operation [3DAUTH], UUID [3625312-1458731584-216] [23/03/2016 at 11:13:00]"/>
  </r>
  <r>
    <s v="3625240-1458731531-216"/>
    <s v="Spot"/>
    <s v="3625240-1458731531-216"/>
    <n v="0"/>
    <d v="2016-03-31T00:00:00"/>
    <x v="2014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240-1458731531-216] [23/03/2016 at 11:12:00]"/>
  </r>
  <r>
    <s v="3625234-1458731521-216"/>
    <s v="Spot"/>
    <s v="3625234-1458731521-216"/>
    <n v="0"/>
    <d v="2016-03-31T00:00:00"/>
    <x v="2015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234-1458731521-216] [23/03/2016 at 11:12:00]"/>
  </r>
  <r>
    <s v="3625222-1458731511-124"/>
    <s v="Spot"/>
    <s v="3625222-1458731511-124"/>
    <n v="0"/>
    <d v="2016-03-31T00:00:00"/>
    <x v="2016"/>
    <s v="124"/>
    <s v="SELL"/>
    <n v="9.9545644599303138"/>
    <x v="0"/>
    <x v="1"/>
    <n v="1428.48"/>
    <s v="Deal"/>
    <m/>
    <s v="Original Amount [EUR 143.5], Merchant Amount [EUR 143.5], Customer Amount [NOK 1428.48], Status [APPROVED], Operation [3DAUTH], UUID [3625222-1458731511-124] [23/03/2016 at 11:11:00]"/>
  </r>
  <r>
    <s v="3625195-1458731480-224"/>
    <s v="Spot"/>
    <s v="3625195-1458731480-224"/>
    <n v="0"/>
    <d v="2016-03-31T00:00:00"/>
    <x v="20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5195-1458731480-224] [23/03/2016 at 11:11:00]"/>
  </r>
  <r>
    <s v="3625192-1458731477-238"/>
    <s v="Spot"/>
    <s v="3625192-1458731477-238"/>
    <n v="0"/>
    <d v="2016-03-31T00:00:00"/>
    <x v="201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92-1458731477-238] [23/03/2016 at 11:11:00]"/>
  </r>
  <r>
    <s v="3625180-1458731471-125"/>
    <s v="Spot"/>
    <s v="3625180-1458731471-125"/>
    <n v="0"/>
    <d v="2016-03-31T00:00:00"/>
    <x v="2019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80-1458731471-125] [23/03/2016 at 11:11:00]"/>
  </r>
  <r>
    <s v="3625177-1458731464-199"/>
    <s v="Spot"/>
    <s v="3625177-1458731464-199"/>
    <n v="0"/>
    <d v="2016-03-31T00:00:00"/>
    <x v="2020"/>
    <s v="199"/>
    <s v="SELL"/>
    <n v="9.9545724465558187"/>
    <x v="0"/>
    <x v="1"/>
    <n v="335.27"/>
    <s v="Deal"/>
    <m/>
    <s v="Original Amount [EUR 33.68], Merchant Amount [EUR 33.68], Customer Amount [NOK 335.27], Status [APPROVED], Operation [DIRECT], UUID [3625177-1458731464-199] [23/03/2016 at 11:11:00]"/>
  </r>
  <r>
    <s v="3625162-1458731450-125"/>
    <s v="Spot"/>
    <s v="3625162-1458731450-125"/>
    <n v="0"/>
    <d v="2016-03-31T00:00:00"/>
    <x v="2021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62-1458731450-125] [23/03/2016 at 11:10:00]"/>
  </r>
  <r>
    <s v="3625159-1458731449-216"/>
    <s v="Spot"/>
    <s v="3625159-1458731449-216"/>
    <n v="0"/>
    <d v="2016-03-31T00:00:00"/>
    <x v="2022"/>
    <s v="216"/>
    <s v="SELL"/>
    <n v="3.3969252271139063"/>
    <x v="0"/>
    <x v="0"/>
    <n v="48.61"/>
    <s v="Deal"/>
    <m/>
    <s v="Original Amount [EUR 14.31], Merchant Amount [EUR 14.31], Customer Amount [TRY 48.61], Status [WAITING], Operation [3D], UUID [3625159-1458731449-216] [23/03/2016 at 11:10:00]"/>
  </r>
  <r>
    <s v="3625171-1458731463-216"/>
    <s v="Spot"/>
    <s v="3625171-1458731463-216"/>
    <n v="0"/>
    <d v="2016-03-31T00:00:00"/>
    <x v="202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171-1458731463-216] [23/03/2016 at 11:11:00]"/>
  </r>
  <r>
    <s v="3625150-1458731427-119"/>
    <s v="Spot"/>
    <s v="3625150-1458731427-119"/>
    <n v="0"/>
    <d v="2016-03-31T00:00:00"/>
    <x v="202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5150-1458731427-119] [23/03/2016 at 11:10:00]"/>
  </r>
  <r>
    <s v="3625147-1458731420-238"/>
    <s v="Spot"/>
    <s v="3625147-1458731420-238"/>
    <n v="0"/>
    <d v="2016-03-31T00:00:00"/>
    <x v="202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47-1458731420-238] [23/03/2016 at 11:10:00]"/>
  </r>
  <r>
    <s v="3625144-1458731416-56"/>
    <s v="Spot"/>
    <s v="3625144-1458731416-56"/>
    <n v="0"/>
    <d v="2016-03-31T00:00:00"/>
    <x v="2026"/>
    <s v="56"/>
    <s v="SELL"/>
    <n v="3.3966701352757549"/>
    <x v="0"/>
    <x v="0"/>
    <n v="326.42"/>
    <s v="Deal"/>
    <m/>
    <s v="Original Amount [EUR 96.1], Merchant Amount [EUR 96.1], Customer Amount [TRY 326.42], Status [WAITING], Operation [3D], UUID [3625144-1458731416-56] [23/03/2016 at 11:10:00]"/>
  </r>
  <r>
    <s v="3625156-1458731436-107"/>
    <s v="Spot"/>
    <s v="3625156-1458731436-107"/>
    <n v="0"/>
    <d v="2016-03-31T00:00:00"/>
    <x v="2027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156-1458731436-107] [23/03/2016 at 11:10:00]"/>
  </r>
  <r>
    <s v="3625129-1458731396-224"/>
    <s v="Spot"/>
    <s v="3625129-1458731396-224"/>
    <n v="0"/>
    <d v="2016-03-31T00:00:00"/>
    <x v="2028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5129-1458731396-224] [23/03/2016 at 11:09:00]"/>
  </r>
  <r>
    <s v="3625141-1458731415-150"/>
    <s v="Spot"/>
    <s v="3625141-1458731415-150"/>
    <n v="0"/>
    <d v="2016-03-31T00:00:00"/>
    <x v="2029"/>
    <s v="150"/>
    <s v="SELL"/>
    <n v="3.3965953531170925"/>
    <x v="0"/>
    <x v="0"/>
    <n v="295.3"/>
    <s v="Deal"/>
    <m/>
    <s v="Original Amount [EUR 86.94], Merchant Amount [EUR 86.94], Customer Amount [TRY 295.3], Status [APPROVED], Operation [3DAUTH], UUID [3625141-1458731415-150] [23/03/2016 at 11:10:00]"/>
  </r>
  <r>
    <s v="3625132-1458731404-101"/>
    <s v="Spot"/>
    <s v="3625132-1458731404-101"/>
    <n v="0"/>
    <d v="2016-03-31T00:00:00"/>
    <x v="2030"/>
    <s v="101"/>
    <s v="SELL"/>
    <n v="3.3966701352757549"/>
    <x v="0"/>
    <x v="0"/>
    <n v="326.42"/>
    <s v="Deal"/>
    <m/>
    <s v="Original Amount [EUR 96.1], Merchant Amount [EUR 96.1], Customer Amount [TRY 326.42], Status [APPROVED], Operation [3DAUTH], UUID [3625132-1458731404-101] [23/03/2016 at 11:10:00]"/>
  </r>
  <r>
    <s v="3625114-1458731376-224"/>
    <s v="Spot"/>
    <s v="3625114-1458731376-224"/>
    <n v="0"/>
    <d v="2016-03-31T00:00:00"/>
    <x v="203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5114-1458731376-224] [23/03/2016 at 11:09:00]"/>
  </r>
  <r>
    <s v="3625108-1458731357-187"/>
    <s v="Spot"/>
    <s v="3625108-1458731357-187"/>
    <n v="0"/>
    <d v="2016-03-31T00:00:00"/>
    <x v="2032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5108-1458731357-187] [23/03/2016 at 11:09:00]"/>
  </r>
  <r>
    <s v="3625090-1458731343-224"/>
    <s v="Spot"/>
    <s v="3625090-1458731343-224"/>
    <n v="0"/>
    <d v="2016-03-31T00:00:00"/>
    <x v="2033"/>
    <s v="224"/>
    <s v="SELL"/>
    <n v="9.9545808208519748"/>
    <x v="0"/>
    <x v="1"/>
    <n v="2047.06"/>
    <s v="Deal"/>
    <m/>
    <s v="Original Amount [EUR 205.64], Merchant Amount [EUR 205.64], Customer Amount [NOK 2047.06], Status [APPROVED], Operation [DIRECT], UUID [3625090-1458731343-224] [23/03/2016 at 11:09:00]"/>
  </r>
  <r>
    <s v="3625105-1458731352-107"/>
    <s v="Spot"/>
    <s v="3625105-1458731352-107"/>
    <n v="0"/>
    <d v="2016-03-31T00:00:00"/>
    <x v="2034"/>
    <s v="107"/>
    <s v="SELL"/>
    <n v="3.3958333333333335"/>
    <x v="0"/>
    <x v="0"/>
    <n v="40.75"/>
    <s v="Deal"/>
    <m/>
    <s v="Original Amount [EUR 12], Merchant Amount [EUR 12], Customer Amount [TRY 40.75], Status [APPROVED], Operation [3DAUTH], UUID [3625105-1458731352-107] [23/03/2016 at 11:09:00]"/>
  </r>
  <r>
    <s v="3625093-1458731343-216"/>
    <s v="Spot"/>
    <s v="3625093-1458731343-216"/>
    <n v="0"/>
    <d v="2016-03-31T00:00:00"/>
    <x v="2035"/>
    <s v="216"/>
    <s v="SELL"/>
    <n v="3.3958199356913181"/>
    <x v="0"/>
    <x v="0"/>
    <n v="105.61"/>
    <s v="Deal"/>
    <m/>
    <s v="Original Amount [EUR 31.1], Merchant Amount [EUR 31.1], Customer Amount [TRY 105.61], Status [APPROVED], Operation [3DAUTH], UUID [3625093-1458731343-216] [23/03/2016 at 11:09:00]"/>
  </r>
  <r>
    <s v="3625066-1458731308-126"/>
    <s v="Spot"/>
    <s v="3625066-1458731308-126"/>
    <n v="0"/>
    <d v="2016-03-31T00:00:00"/>
    <x v="2036"/>
    <s v="126"/>
    <s v="SELL"/>
    <n v="9.9403902439024385"/>
    <x v="0"/>
    <x v="1"/>
    <n v="1018.89"/>
    <s v="Deal"/>
    <m/>
    <s v="Original Amount [EUR 102.5], Merchant Amount [EUR 102.5], Customer Amount [NOK 1018.89], Status [APPROVED], Operation [DIRECT], UUID [3625066-1458731308-126] [23/03/2016 at 11:08:00]"/>
  </r>
  <r>
    <s v="3625084-1458731327-216"/>
    <s v="Spot"/>
    <s v="3625084-1458731327-216"/>
    <n v="0"/>
    <d v="2016-03-31T00:00:00"/>
    <x v="2037"/>
    <s v="216"/>
    <s v="SELL"/>
    <n v="3.3958472873409247"/>
    <x v="0"/>
    <x v="0"/>
    <n v="50.7"/>
    <s v="Deal"/>
    <m/>
    <s v="Original Amount [EUR 14.93], Merchant Amount [EUR 14.93], Customer Amount [TRY 50.7], Status [APPROVED], Operation [3DAUTH], UUID [3625084-1458731327-216] [23/03/2016 at 11:08:00]"/>
  </r>
  <r>
    <s v="3625075-1458731317-216"/>
    <s v="Spot"/>
    <s v="3625075-1458731317-216"/>
    <n v="0"/>
    <d v="2016-03-31T00:00:00"/>
    <x v="2038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75-1458731317-216] [23/03/2016 at 11:08:00]"/>
  </r>
  <r>
    <s v="3625036-1458731267-199"/>
    <s v="Spot"/>
    <s v="3625036-1458731267-199"/>
    <n v="0"/>
    <d v="2016-03-31T00:00:00"/>
    <x v="2039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36-1458731267-199] [23/03/2016 at 11:07:00]"/>
  </r>
  <r>
    <s v="3625033-1458731265-241"/>
    <s v="Spot"/>
    <s v="3625033-1458731265-241"/>
    <n v="0"/>
    <d v="2016-03-31T00:00:00"/>
    <x v="2040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5033-1458731265-241] [23/03/2016 at 11:07:00]"/>
  </r>
  <r>
    <s v="3625024-1458731258-199"/>
    <s v="Spot"/>
    <s v="3625024-1458731258-199"/>
    <n v="0"/>
    <d v="2016-03-31T00:00:00"/>
    <x v="2041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24-1458731258-199] [23/03/2016 at 11:07:00]"/>
  </r>
  <r>
    <s v="3625054-1458731289-119"/>
    <s v="Spot"/>
    <s v="3625054-1458731289-119"/>
    <n v="0"/>
    <d v="2016-03-31T00:00:00"/>
    <x v="2042"/>
    <s v="119"/>
    <s v="SELL"/>
    <n v="9.9404000000000003"/>
    <x v="0"/>
    <x v="1"/>
    <n v="497.02"/>
    <s v="Deal"/>
    <m/>
    <s v="Original Amount [EUR 50], Merchant Amount [EUR 50], Customer Amount [NOK 497.02], Status [APPROVED], Operation [3DAUTH], UUID [3625054-1458731289-119] [23/03/2016 at 11:08:00]"/>
  </r>
  <r>
    <s v="3625006-1458731239-199"/>
    <s v="Spot"/>
    <s v="3625006-1458731239-199"/>
    <n v="0"/>
    <d v="2016-03-31T00:00:00"/>
    <x v="2043"/>
    <s v="199"/>
    <s v="SELL"/>
    <n v="9.9403534609720179"/>
    <x v="0"/>
    <x v="1"/>
    <n v="539.96"/>
    <s v="Deal"/>
    <m/>
    <s v="Original Amount [EUR 54.32], Merchant Amount [EUR 54.32], Customer Amount [NOK 539.96], Status [APPROVED], Operation [DIRECT], UUID [3625006-1458731239-199] [23/03/2016 at 11:07:00]"/>
  </r>
  <r>
    <s v="3625000-1458731234-125"/>
    <s v="Spot"/>
    <s v="3625000-1458731234-125"/>
    <n v="0"/>
    <d v="2016-03-31T00:00:00"/>
    <x v="2044"/>
    <s v="125"/>
    <s v="SELL"/>
    <n v="132.79339999999999"/>
    <x v="0"/>
    <x v="3"/>
    <n v="13279.34"/>
    <s v="Deal"/>
    <m/>
    <s v="Original Amount [EUR 100], Merchant Amount [EUR 100], Customer Amount [JPY 13279.34], Status [APPROVED], Operation [DIRECT], UUID [3625000-1458731234-125] [23/03/2016 at 11:07:00]"/>
  </r>
  <r>
    <s v="3624991-1458731226-82"/>
    <s v="Spot"/>
    <s v="3624991-1458731226-82"/>
    <n v="0"/>
    <d v="2016-03-31T00:00:00"/>
    <x v="204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991-1458731226-82] [23/03/2016 at 11:07:00]"/>
  </r>
  <r>
    <s v="3624985-1458731222-224"/>
    <s v="Spot"/>
    <s v="3624985-1458731222-224"/>
    <n v="0"/>
    <d v="2016-03-31T00:00:00"/>
    <x v="2046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85-1458731222-224] [23/03/2016 at 11:07:00]"/>
  </r>
  <r>
    <s v="3625027-1458731259-216"/>
    <s v="Spot"/>
    <s v="3625027-1458731259-216"/>
    <n v="0"/>
    <d v="2016-03-31T00:00:00"/>
    <x v="2047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27-1458731259-216] [23/03/2016 at 11:07:00]"/>
  </r>
  <r>
    <s v="3624961-1458731209-224"/>
    <s v="Spot"/>
    <s v="3624961-1458731209-224"/>
    <n v="0"/>
    <d v="2016-03-31T00:00:00"/>
    <x v="2048"/>
    <s v="224"/>
    <s v="SELL"/>
    <n v="9.9403295349553442"/>
    <x v="0"/>
    <x v="1"/>
    <n v="1291.05"/>
    <s v="Deal"/>
    <m/>
    <s v="Original Amount [EUR 129.88], Merchant Amount [EUR 129.88], Customer Amount [NOK 1291.05], Status [APPROVED], Operation [DIRECT], UUID [3624961-1458731209-224] [23/03/2016 at 11:06:00]"/>
  </r>
  <r>
    <s v="3624958-1458731205-200"/>
    <s v="Spot"/>
    <s v="3624958-1458731205-200"/>
    <n v="0"/>
    <d v="2016-03-31T00:00:00"/>
    <x v="2049"/>
    <s v="200"/>
    <s v="SELL"/>
    <n v="9.9406663623916032"/>
    <x v="0"/>
    <x v="1"/>
    <n v="217.8"/>
    <s v="Deal"/>
    <m/>
    <s v="Original Amount [EUR 21.91], Merchant Amount [EUR 21.91], Customer Amount [NOK 217.8], Status [APPROVED], Operation [STORED], UUID [3624958-1458731205-200] [23/03/2016 at 11:06:00]"/>
  </r>
  <r>
    <s v="3624994-1458731232-196"/>
    <s v="Spot"/>
    <s v="3624994-1458731232-196"/>
    <n v="0"/>
    <d v="2016-03-31T00:00:00"/>
    <x v="2050"/>
    <s v="196"/>
    <s v="SELL"/>
    <n v="9.940514469453376"/>
    <x v="0"/>
    <x v="1"/>
    <n v="494.64"/>
    <s v="Deal"/>
    <m/>
    <s v="Original Amount [EUR 49.76], Merchant Amount [EUR 49.76], Customer Amount [NOK 494.64], Status [APPROVED], Operation [3DAUTH], UUID [3624994-1458731232-196] [23/03/2016 at 11:07:00]"/>
  </r>
  <r>
    <s v="3624976-1458731218-101"/>
    <s v="Spot"/>
    <s v="3624976-1458731218-101"/>
    <n v="0"/>
    <d v="2016-03-31T00:00:00"/>
    <x v="2051"/>
    <s v="101"/>
    <s v="SELL"/>
    <n v="3.3955191309829789"/>
    <x v="0"/>
    <x v="0"/>
    <n v="700.19"/>
    <s v="Deal"/>
    <m/>
    <s v="Original Amount [EUR 206.21], Merchant Amount [EUR 206.21], Customer Amount [TRY 700.19], Status [APPROVED], Operation [3DAUTH], UUID [3624976-1458731218-101] [23/03/2016 at 11:06:00]"/>
  </r>
  <r>
    <s v="3624934-1458731177-119"/>
    <s v="Spot"/>
    <s v="3624934-1458731177-119"/>
    <n v="0"/>
    <d v="2016-03-31T00:00:00"/>
    <x v="2052"/>
    <s v="119"/>
    <s v="SELL"/>
    <n v="9.9404000000000003"/>
    <x v="0"/>
    <x v="1"/>
    <n v="497.02"/>
    <s v="Deal"/>
    <m/>
    <s v="Original Amount [EUR 50], Merchant Amount [EUR 50], Customer Amount [NOK 497.02], Status [APPROVED], Operation [DIRECT], UUID [3624934-1458731177-119] [23/03/2016 at 11:06:00]"/>
  </r>
  <r>
    <s v="3624919-1458731168-224"/>
    <s v="Spot"/>
    <s v="3624919-1458731168-224"/>
    <n v="0"/>
    <d v="2016-03-31T00:00:00"/>
    <x v="2053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19-1458731168-224] [23/03/2016 at 11:06:00]"/>
  </r>
  <r>
    <s v="3624937-1458731186-216"/>
    <s v="Spot"/>
    <s v="3624937-1458731186-216"/>
    <n v="0"/>
    <d v="2016-03-31T00:00:00"/>
    <x v="2054"/>
    <s v="216"/>
    <s v="SELL"/>
    <n v="3.3959390862944163"/>
    <x v="0"/>
    <x v="0"/>
    <n v="40.14"/>
    <s v="Deal"/>
    <m/>
    <s v="Original Amount [EUR 11.82], Merchant Amount [EUR 11.82], Customer Amount [TRY 40.14], Status [APPROVED], Operation [3DAUTH], UUID [3624937-1458731186-216] [23/03/2016 at 11:06:00]"/>
  </r>
  <r>
    <s v="3624955-1458731205-61"/>
    <s v="Spot"/>
    <s v="3624955-1458731205-61"/>
    <n v="0"/>
    <d v="2016-03-31T00:00:00"/>
    <x v="2055"/>
    <s v="61"/>
    <s v="SELL"/>
    <n v="9.940363636363637"/>
    <x v="0"/>
    <x v="1"/>
    <n v="1093.44"/>
    <s v="Deal"/>
    <m/>
    <s v="Original Amount [EUR 110], Merchant Amount [EUR 110], Customer Amount [NOK 1093.44], Status [APPROVED], Operation [3DAUTH], UUID [3624955-1458731205-61] [23/03/2016 at 11:06:00]"/>
  </r>
  <r>
    <s v="3624901-1458731156-124"/>
    <s v="Spot"/>
    <s v="3624901-1458731156-124"/>
    <n v="0"/>
    <d v="2016-03-31T00:00:00"/>
    <x v="2056"/>
    <s v="124"/>
    <s v="SELL"/>
    <n v="9.9414542020774324"/>
    <x v="0"/>
    <x v="1"/>
    <n v="105.28"/>
    <s v="Deal"/>
    <m/>
    <s v="Original Amount [EUR 10.59], Merchant Amount [EUR 10.59], Customer Amount [NOK 105.28], Status [APPROVED], Operation [DIRECT], UUID [3624901-1458731156-124] [23/03/2016 at 11:05:00]"/>
  </r>
  <r>
    <s v="3624931-1458731177-216"/>
    <s v="Spot"/>
    <s v="3624931-1458731177-216"/>
    <n v="0"/>
    <d v="2016-03-31T00:00:00"/>
    <x v="2057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24931-1458731177-216] [23/03/2016 at 11:06:00]"/>
  </r>
  <r>
    <s v="3624928-1458731175-107"/>
    <s v="Spot"/>
    <s v="3624928-1458731175-107"/>
    <n v="0"/>
    <d v="2016-03-31T00:00:00"/>
    <x v="2058"/>
    <s v="107"/>
    <s v="SELL"/>
    <n v="3.3972455347536048"/>
    <x v="0"/>
    <x v="0"/>
    <n v="157.87"/>
    <s v="Deal"/>
    <m/>
    <s v="Original Amount [EUR 46.47], Merchant Amount [EUR 46.47], Customer Amount [TRY 157.87], Status [APPROVED], Operation [3DAUTH], UUID [3624928-1458731175-107] [23/03/2016 at 11:06:00]"/>
  </r>
  <r>
    <s v="3624907-1458731160-107"/>
    <s v="Spot"/>
    <s v="3624907-1458731160-107"/>
    <n v="0"/>
    <d v="2016-03-31T00:00:00"/>
    <x v="2059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4907-1458731160-107] [23/03/2016 at 11:06:00]"/>
  </r>
  <r>
    <s v="3624877-1458731137-238"/>
    <s v="Spot"/>
    <s v="3624877-1458731137-238"/>
    <n v="0"/>
    <d v="2016-03-31T00:00:00"/>
    <x v="206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877-1458731137-238] [23/03/2016 at 11:05:00]"/>
  </r>
  <r>
    <s v="3624925-1458731172-107"/>
    <s v="Spot"/>
    <s v="3624925-1458731172-107"/>
    <n v="0"/>
    <d v="2016-03-31T00:00:00"/>
    <x v="2061"/>
    <s v="107"/>
    <s v="SELL"/>
    <n v="3.3972455347536048"/>
    <x v="0"/>
    <x v="0"/>
    <n v="473.61"/>
    <s v="Deal"/>
    <m/>
    <s v="Original Amount [EUR 139.41], Merchant Amount [EUR 139.41], Customer Amount [TRY 473.61], Status [APPROVED], Operation [3DAUTH], UUID [3624925-1458731172-107] [23/03/2016 at 11:06:00]"/>
  </r>
  <r>
    <s v="3624847-1458731121-224"/>
    <s v="Spot"/>
    <s v="3624847-1458731121-224"/>
    <n v="0"/>
    <d v="2016-03-31T00:00:00"/>
    <x v="2062"/>
    <s v="224"/>
    <s v="SELL"/>
    <n v="9.9410790070344746"/>
    <x v="0"/>
    <x v="1"/>
    <n v="3419.93"/>
    <s v="Deal"/>
    <m/>
    <s v="Original Amount [EUR 344.02], Merchant Amount [EUR 344.02], Customer Amount [NOK 3419.93], Status [APPROVED], Operation [DIRECT], UUID [3624847-1458731121-224] [23/03/2016 at 11:05:00]"/>
  </r>
  <r>
    <s v="3624880-1458731137-56"/>
    <s v="Spot"/>
    <s v="3624880-1458731137-56"/>
    <n v="0"/>
    <d v="2016-03-31T00:00:00"/>
    <x v="2063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80-1458731137-56] [23/03/2016 at 11:05:00]"/>
  </r>
  <r>
    <s v="3624838-1458731115-82"/>
    <s v="Spot"/>
    <s v="3624838-1458731115-82"/>
    <n v="0"/>
    <d v="2016-03-31T00:00:00"/>
    <x v="20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838-1458731115-82] [23/03/2016 at 11:05:00]"/>
  </r>
  <r>
    <s v="3624871-1458731133-216"/>
    <s v="Spot"/>
    <s v="3624871-1458731133-216"/>
    <n v="0"/>
    <d v="2016-03-31T00:00:00"/>
    <x v="2065"/>
    <s v="216"/>
    <s v="SELL"/>
    <n v="3.3979779411764701"/>
    <x v="0"/>
    <x v="0"/>
    <n v="36.97"/>
    <s v="Deal"/>
    <m/>
    <s v="Original Amount [EUR 10.88], Merchant Amount [EUR 10.88], Customer Amount [TRY 36.97], Status [APPROVED], Operation [3DAUTH], UUID [3624871-1458731133-216] [23/03/2016 at 11:05:00]"/>
  </r>
  <r>
    <s v="3624856-1458731124-216"/>
    <s v="Spot"/>
    <s v="3624856-1458731124-216"/>
    <n v="0"/>
    <d v="2016-03-31T00:00:00"/>
    <x v="206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4856-1458731124-216] [23/03/2016 at 11:05:00]"/>
  </r>
  <r>
    <s v="3624865-1458731129-56"/>
    <s v="Spot"/>
    <s v="3624865-1458731129-56"/>
    <n v="0"/>
    <d v="2016-03-31T00:00:00"/>
    <x v="2067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865-1458731129-56] [23/03/2016 at 11:05:00]"/>
  </r>
  <r>
    <s v="3624793-1458731066-199"/>
    <s v="Spot"/>
    <s v="3624793-1458731066-199"/>
    <n v="0"/>
    <d v="2016-03-31T00:00:00"/>
    <x v="2068"/>
    <s v="199"/>
    <s v="SELL"/>
    <n v="9.9410898935768728"/>
    <x v="0"/>
    <x v="1"/>
    <n v="2634.19"/>
    <s v="Deal"/>
    <m/>
    <s v="Original Amount [EUR 264.98], Merchant Amount [EUR 264.98], Customer Amount [NOK 2634.19], Status [APPROVED], Operation [DIRECT], UUID [3624793-1458731066-199] [23/03/2016 at 11:04:00]"/>
  </r>
  <r>
    <s v="3624811-1458731079-264"/>
    <s v="Spot"/>
    <s v="3624811-1458731079-264"/>
    <n v="0"/>
    <d v="2016-03-31T00:00:00"/>
    <x v="206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24811-1458731079-264] [23/03/2016 at 11:04:00]"/>
  </r>
  <r>
    <s v="3624805-1458731074-56"/>
    <s v="Spot"/>
    <s v="3624805-1458731074-56"/>
    <n v="0"/>
    <d v="2016-03-31T00:00:00"/>
    <x v="2070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05-1458731074-56] [23/03/2016 at 11:04:00]"/>
  </r>
  <r>
    <s v="3624781-1458731051-261"/>
    <s v="Spot"/>
    <s v="3624781-1458731051-261"/>
    <n v="0"/>
    <d v="2016-03-31T00:00:00"/>
    <x v="2071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4781-1458731051-261] [23/03/2016 at 11:04:00]"/>
  </r>
  <r>
    <s v="3624778-1458731050-261"/>
    <s v="Spot"/>
    <s v="3624778-1458731050-261"/>
    <n v="0"/>
    <d v="2016-03-31T00:00:00"/>
    <x v="2072"/>
    <s v="261"/>
    <s v="SELL"/>
    <n v="9.9414330218068532"/>
    <x v="0"/>
    <x v="1"/>
    <n v="159.56"/>
    <s v="Deal"/>
    <m/>
    <s v="Original Amount [EUR 16.05], Merchant Amount [EUR 16.05], Customer Amount [NOK 159.56], Status [APPROVED], Operation [DIRECT], UUID [3624778-1458731050-261] [23/03/2016 at 11:04:00]"/>
  </r>
  <r>
    <s v="3624775-1458731049-224"/>
    <s v="Spot"/>
    <s v="3624775-1458731049-224"/>
    <n v="0"/>
    <d v="2016-03-31T00:00:00"/>
    <x v="2073"/>
    <s v="224"/>
    <s v="SELL"/>
    <n v="132.88274889969219"/>
    <x v="0"/>
    <x v="3"/>
    <n v="46194.03"/>
    <s v="Deal"/>
    <m/>
    <s v="Original Amount [EUR 347.63], Merchant Amount [EUR 347.63], Customer Amount [JPY 46194.03], Status [APPROVED], Operation [DIRECT], UUID [3624775-1458731049-224] [23/03/2016 at 11:04:00]"/>
  </r>
  <r>
    <s v="3624760-1458731012-224"/>
    <s v="Spot"/>
    <s v="3624760-1458731012-224"/>
    <n v="0"/>
    <d v="2016-03-31T00:00:00"/>
    <x v="2074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4760-1458731012-224] [23/03/2016 at 11:03:00]"/>
  </r>
  <r>
    <s v="3624754-1458731006-199"/>
    <s v="Spot"/>
    <s v="3624754-1458731006-199"/>
    <n v="0"/>
    <d v="2016-03-31T00:00:00"/>
    <x v="2075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4754-1458731006-199] [23/03/2016 at 11:03:00]"/>
  </r>
  <r>
    <s v="3624715-1458730975-56"/>
    <s v="Spot"/>
    <s v="3624715-1458730975-56"/>
    <n v="0"/>
    <d v="2016-03-31T00:00:00"/>
    <x v="2076"/>
    <s v="56"/>
    <s v="SELL"/>
    <n v="3.3961910708710583"/>
    <x v="0"/>
    <x v="0"/>
    <n v="108.78"/>
    <s v="Deal"/>
    <m/>
    <s v="Original Amount [EUR 32.03], Merchant Amount [EUR 32.03], Customer Amount [TRY 108.78], Status [WAITING], Operation [3D], UUID [3624715-1458730975-56] [23/03/2016 at 11:02:00]"/>
  </r>
  <r>
    <s v="3624706-1458730968-200"/>
    <s v="Spot"/>
    <s v="3624706-1458730968-200"/>
    <n v="0"/>
    <d v="2016-03-31T00:00:00"/>
    <x v="2077"/>
    <s v="200"/>
    <s v="SELL"/>
    <n v="9.9679715302491108"/>
    <x v="0"/>
    <x v="1"/>
    <n v="1092.3900000000001"/>
    <s v="Deal"/>
    <m/>
    <s v="Original Amount [EUR 109.59], Merchant Amount [EUR 109.59], Customer Amount [NOK 1092.39], Status [APPROVED], Operation [STORED], UUID [3624706-1458730968-200] [23/03/2016 at 11:02:00]"/>
  </r>
  <r>
    <s v="3624745-1458730995-216"/>
    <s v="Spot"/>
    <s v="3624745-1458730995-216"/>
    <n v="0"/>
    <d v="2016-03-31T00:00:00"/>
    <x v="2078"/>
    <s v="216"/>
    <s v="SELL"/>
    <n v="3.3961772371850567"/>
    <x v="0"/>
    <x v="0"/>
    <n v="39.090000000000003"/>
    <s v="Deal"/>
    <m/>
    <s v="Original Amount [EUR 11.51], Merchant Amount [EUR 11.51], Customer Amount [TRY 39.09], Status [APPROVED], Operation [3DAUTH], UUID [3624745-1458730995-216] [23/03/2016 at 11:03:00]"/>
  </r>
  <r>
    <s v="3624712-1458730974-124"/>
    <s v="Spot"/>
    <s v="3624712-1458730974-124"/>
    <n v="0"/>
    <d v="2016-03-31T00:00:00"/>
    <x v="2079"/>
    <s v="124"/>
    <s v="SELL"/>
    <n v="9.9683663833805483"/>
    <x v="0"/>
    <x v="1"/>
    <n v="211.13"/>
    <s v="Deal"/>
    <m/>
    <s v="Original Amount [EUR 21.18], Merchant Amount [EUR 21.18], Customer Amount [NOK 211.13], Status [APPROVED], Operation [3DAUTH], UUID [3624712-1458730974-124] [23/03/2016 at 11:02:00]"/>
  </r>
  <r>
    <s v="3624703-1458730967-101"/>
    <s v="Spot"/>
    <s v="3624703-1458730967-101"/>
    <n v="0"/>
    <d v="2016-03-31T00:00:00"/>
    <x v="2080"/>
    <s v="101"/>
    <s v="SELL"/>
    <n v="3.3960474059131314"/>
    <x v="0"/>
    <x v="0"/>
    <n v="1077.43"/>
    <s v="Deal"/>
    <m/>
    <s v="Original Amount [EUR 317.26], Merchant Amount [EUR 317.26], Customer Amount [TRY 1077.43], Status [APPROVED], Operation [3DAUTH], UUID [3624703-1458730967-101] [23/03/2016 at 11:02:00]"/>
  </r>
  <r>
    <s v="3624742-1458730995-56"/>
    <s v="Spot"/>
    <s v="3624742-1458730995-56"/>
    <n v="0"/>
    <d v="2016-03-31T00:00:00"/>
    <x v="2081"/>
    <s v="56"/>
    <s v="SELL"/>
    <n v="3.3963657013060762"/>
    <x v="0"/>
    <x v="0"/>
    <n v="59.81"/>
    <s v="Deal"/>
    <m/>
    <s v="Original Amount [EUR 17.61], Merchant Amount [EUR 17.61], Customer Amount [TRY 59.81], Status [APPROVED], Operation [3DAUTH], UUID [3624742-1458730995-56] [23/03/2016 at 11:03:00]"/>
  </r>
  <r>
    <s v="3624664-1458730926-82"/>
    <s v="Spot"/>
    <s v="3624664-1458730926-82"/>
    <n v="0"/>
    <d v="2016-03-31T00:00:00"/>
    <x v="2082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664-1458730926-82] [23/03/2016 at 11:02:00]"/>
  </r>
  <r>
    <s v="3624661-1458730914-199"/>
    <s v="Spot"/>
    <s v="3624661-1458730914-199"/>
    <n v="0"/>
    <d v="2016-03-31T00:00:00"/>
    <x v="2083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4661-1458730914-199] [23/03/2016 at 11:01:00]"/>
  </r>
  <r>
    <s v="3624697-1458730966-119"/>
    <s v="Spot"/>
    <s v="3624697-1458730966-119"/>
    <n v="0"/>
    <d v="2016-03-31T00:00:00"/>
    <x v="2084"/>
    <s v="119"/>
    <s v="SELL"/>
    <n v="9.968"/>
    <x v="0"/>
    <x v="1"/>
    <n v="498.4"/>
    <s v="Deal"/>
    <m/>
    <s v="Original Amount [EUR 50], Merchant Amount [EUR 50], Customer Amount [NOK 498.4], Status [APPROVED], Operation [3DAUTH], UUID [3624697-1458730966-119] [23/03/2016 at 11:02:00]"/>
  </r>
  <r>
    <s v="3624646-1458730904-187"/>
    <s v="Spot"/>
    <s v="3624646-1458730904-187"/>
    <n v="0"/>
    <d v="2016-03-31T00:00:00"/>
    <x v="2085"/>
    <s v="187"/>
    <s v="SELL"/>
    <n v="9.9680468897712231"/>
    <x v="0"/>
    <x v="1"/>
    <n v="527.21"/>
    <s v="Deal"/>
    <m/>
    <s v="Original Amount [EUR 52.89], Merchant Amount [EUR 52.89], Customer Amount [NOK 527.21], Status [APPROVED], Operation [DIRECT], UUID [3624646-1458730904-187] [23/03/2016 at 11:01:00]"/>
  </r>
  <r>
    <s v="3624640-1458730890-224"/>
    <s v="Spot"/>
    <s v="3624640-1458730890-224"/>
    <n v="0"/>
    <d v="2016-03-31T00:00:00"/>
    <x v="2086"/>
    <s v="224"/>
    <s v="SELL"/>
    <n v="9.9681146025878"/>
    <x v="0"/>
    <x v="1"/>
    <n v="215.71"/>
    <s v="Deal"/>
    <m/>
    <s v="Original Amount [EUR 21.64], Merchant Amount [EUR 21.64], Customer Amount [NOK 215.71], Status [APPROVED], Operation [DIRECT], UUID [3624640-1458730890-224] [23/03/2016 at 11:01:00]"/>
  </r>
  <r>
    <s v="3624649-1458730904-264"/>
    <s v="Spot"/>
    <s v="3624649-1458730904-264"/>
    <n v="0"/>
    <d v="2016-03-31T00:00:00"/>
    <x v="2087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4649-1458730904-264] [23/03/2016 at 11:01:00]"/>
  </r>
  <r>
    <s v="3624634-1458730872-107"/>
    <s v="Spot"/>
    <s v="3624634-1458730872-107"/>
    <n v="0"/>
    <d v="2016-03-31T00:00:00"/>
    <x v="2088"/>
    <s v="107"/>
    <s v="SELL"/>
    <n v="3.3969610636277308"/>
    <x v="0"/>
    <x v="0"/>
    <n v="35.770000000000003"/>
    <s v="Deal"/>
    <m/>
    <s v="Original Amount [EUR 10.53], Merchant Amount [EUR 10.53], Customer Amount [TRY 35.77], Status [APPROVED], Operation [3DAUTH], UUID [3624634-1458730872-107] [23/03/2016 at 11:01:00]"/>
  </r>
  <r>
    <s v="3624628-1458730868-56"/>
    <s v="Spot"/>
    <s v="3624628-1458730868-56"/>
    <n v="0"/>
    <d v="2016-03-31T00:00:00"/>
    <x v="2089"/>
    <s v="56"/>
    <s v="SELL"/>
    <n v="3.3962508080155138"/>
    <x v="0"/>
    <x v="0"/>
    <n v="52.54"/>
    <s v="Deal"/>
    <m/>
    <s v="Original Amount [EUR 15.47], Merchant Amount [EUR 15.47], Customer Amount [TRY 52.54], Status [APPROVED], Operation [3DAUTH], UUID [3624628-1458730868-56] [23/03/2016 at 11:01:00]"/>
  </r>
  <r>
    <s v="3624616-1458730852-107"/>
    <s v="Spot"/>
    <s v="3624616-1458730852-107"/>
    <n v="0"/>
    <d v="2016-03-31T00:00:00"/>
    <x v="2090"/>
    <s v="107"/>
    <s v="SELL"/>
    <n v="3.3962818003913893"/>
    <x v="0"/>
    <x v="0"/>
    <n v="34.71"/>
    <s v="Deal"/>
    <m/>
    <s v="Original Amount [EUR 10.22], Merchant Amount [EUR 10.22], Customer Amount [TRY 34.71], Status [APPROVED], Operation [3DAUTH], UUID [3624616-1458730852-107] [23/03/2016 at 11:00:00]"/>
  </r>
  <r>
    <s v="3624565-1458730799-224"/>
    <s v="Spot"/>
    <s v="3624565-1458730799-224"/>
    <n v="0"/>
    <d v="2016-03-31T00:00:00"/>
    <x v="2091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4565-1458730799-224] [23/03/2016 at 10:59:00]"/>
  </r>
  <r>
    <s v="3624559-1458730791-200"/>
    <s v="Spot"/>
    <s v="3624559-1458730791-200"/>
    <n v="0"/>
    <d v="2016-03-31T00:00:00"/>
    <x v="2092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4559-1458730791-200] [23/03/2016 at 10:59:00]"/>
  </r>
  <r>
    <s v="3624595-1458730829-216"/>
    <s v="Spot"/>
    <s v="3624595-1458730829-216"/>
    <n v="0"/>
    <d v="2016-03-31T00:00:00"/>
    <x v="2093"/>
    <s v="216"/>
    <s v="SELL"/>
    <n v="3.3970446514616128"/>
    <x v="0"/>
    <x v="0"/>
    <n v="105.75"/>
    <s v="Deal"/>
    <m/>
    <s v="Original Amount [EUR 31.13], Merchant Amount [EUR 31.13], Customer Amount [TRY 105.75], Status [APPROVED], Operation [3DAUTH], UUID [3624595-1458730829-216] [23/03/2016 at 11:00:00]"/>
  </r>
  <r>
    <s v="3624577-1458730805-119"/>
    <s v="Spot"/>
    <s v="3624577-1458730805-119"/>
    <n v="0"/>
    <d v="2016-03-31T00:00:00"/>
    <x v="20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4577-1458730805-119] [23/03/2016 at 11:00:00]"/>
  </r>
  <r>
    <s v="3624538-1458730763-187"/>
    <s v="Spot"/>
    <s v="3624538-1458730763-187"/>
    <n v="0"/>
    <d v="2016-03-31T00:00:00"/>
    <x v="2095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538-1458730763-187] [23/03/2016 at 10:59:00]"/>
  </r>
  <r>
    <s v="3624535-1458730761-224"/>
    <s v="Spot"/>
    <s v="3624535-1458730761-224"/>
    <n v="0"/>
    <d v="2016-03-31T00:00:00"/>
    <x v="2096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24535-1458730761-224] [23/03/2016 at 10:59:00]"/>
  </r>
  <r>
    <s v="3624532-1458730760-124"/>
    <s v="Spot"/>
    <s v="3624532-1458730760-124"/>
    <n v="0"/>
    <d v="2016-03-31T00:00:00"/>
    <x v="2097"/>
    <s v="124"/>
    <s v="SELL"/>
    <n v="9.9420654911838788"/>
    <x v="0"/>
    <x v="1"/>
    <n v="157.88"/>
    <s v="Deal"/>
    <m/>
    <s v="Original Amount [EUR 15.88], Merchant Amount [EUR 15.88], Customer Amount [NOK 157.88], Status [APPROVED], Operation [DIRECT], UUID [3624532-1458730760-124] [23/03/2016 at 10:59:00]"/>
  </r>
  <r>
    <s v="3624574-1458730803-56"/>
    <s v="Spot"/>
    <s v="3624574-1458730803-56"/>
    <n v="0"/>
    <d v="2016-03-31T00:00:00"/>
    <x v="2098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574-1458730803-56] [23/03/2016 at 11:00:00]"/>
  </r>
  <r>
    <s v="3624523-1458730755-119"/>
    <s v="Spot"/>
    <s v="3624523-1458730755-119"/>
    <n v="0"/>
    <d v="2016-03-31T00:00:00"/>
    <x v="2099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4523-1458730755-119] [23/03/2016 at 10:59:00]"/>
  </r>
  <r>
    <s v="3624556-1458730787-216"/>
    <s v="Spot"/>
    <s v="3624556-1458730787-216"/>
    <n v="0"/>
    <d v="2016-03-31T00:00:00"/>
    <x v="2100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56-1458730787-216] [23/03/2016 at 10:59:00]"/>
  </r>
  <r>
    <s v="3624508-1458730744-224"/>
    <s v="Spot"/>
    <s v="3624508-1458730744-224"/>
    <n v="0"/>
    <d v="2016-03-31T00:00:00"/>
    <x v="21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508-1458730744-224] [23/03/2016 at 10:59:00]"/>
  </r>
  <r>
    <s v="3624505-1458730744-224"/>
    <s v="Spot"/>
    <s v="3624505-1458730744-224"/>
    <n v="0"/>
    <d v="2016-03-31T00:00:00"/>
    <x v="210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4505-1458730744-224] [23/03/2016 at 10:59:00]"/>
  </r>
  <r>
    <s v="3624544-1458730774-216"/>
    <s v="Spot"/>
    <s v="3624544-1458730774-216"/>
    <n v="0"/>
    <d v="2016-03-31T00:00:00"/>
    <x v="2103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44-1458730774-216] [23/03/2016 at 10:59:00]"/>
  </r>
  <r>
    <s v="3624478-1458730714-101"/>
    <s v="Spot"/>
    <s v="3624478-1458730714-101"/>
    <n v="0"/>
    <d v="2016-03-31T00:00:00"/>
    <x v="2104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78-1458730714-101] [23/03/2016 at 10:58:00]"/>
  </r>
  <r>
    <s v="3624475-1458730711-261"/>
    <s v="Spot"/>
    <s v="3624475-1458730711-261"/>
    <n v="0"/>
    <d v="2016-03-31T00:00:00"/>
    <x v="2105"/>
    <s v="261"/>
    <s v="SELL"/>
    <n v="9.9424040066777959"/>
    <x v="0"/>
    <x v="1"/>
    <n v="119.11"/>
    <s v="Deal"/>
    <m/>
    <s v="Original Amount [EUR 11.98], Merchant Amount [EUR 11.98], Customer Amount [NOK 119.11], Status [APPROVED], Operation [DIRECT], UUID [3624475-1458730711-261] [23/03/2016 at 10:58:00]"/>
  </r>
  <r>
    <s v="3624493-1458730735-56"/>
    <s v="Spot"/>
    <s v="3624493-1458730735-56"/>
    <n v="0"/>
    <d v="2016-03-31T00:00:00"/>
    <x v="2106"/>
    <s v="56"/>
    <s v="SELL"/>
    <n v="3.3975"/>
    <x v="0"/>
    <x v="0"/>
    <n v="27.18"/>
    <s v="Deal"/>
    <m/>
    <s v="Original Amount [EUR 8], Merchant Amount [EUR 8], Customer Amount [TRY 27.18], Status [APPROVED], Operation [3DAUTH], UUID [3624493-1458730735-56] [23/03/2016 at 10:58:00]"/>
  </r>
  <r>
    <s v="3624499-1458730738-56"/>
    <s v="Spot"/>
    <s v="3624499-1458730738-56"/>
    <n v="0"/>
    <d v="2016-03-31T00:00:00"/>
    <x v="2107"/>
    <s v="56"/>
    <s v="SELL"/>
    <n v="3.3975"/>
    <x v="0"/>
    <x v="0"/>
    <n v="27.18"/>
    <s v="Deal"/>
    <m/>
    <s v="Original Amount [EUR 8], Merchant Amount [EUR 8], Customer Amount [TRY 27.18], Status [APPROVED], Operation [3DAUTH], UUID [3624499-1458730738-56] [23/03/2016 at 10:58:00]"/>
  </r>
  <r>
    <s v="3624442-1458730675-101"/>
    <s v="Spot"/>
    <s v="3624442-1458730675-101"/>
    <n v="0"/>
    <d v="2016-03-31T00:00:00"/>
    <x v="2108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42-1458730675-101] [23/03/2016 at 10:57:00]"/>
  </r>
  <r>
    <s v="3624457-1458730702-216"/>
    <s v="Spot"/>
    <s v="3624457-1458730702-216"/>
    <n v="0"/>
    <d v="2016-03-31T00:00:00"/>
    <x v="210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457-1458730702-216] [23/03/2016 at 10:58:00]"/>
  </r>
  <r>
    <s v="3624436-1458730671-145"/>
    <s v="Spot"/>
    <s v="3624436-1458730671-145"/>
    <n v="0"/>
    <d v="2016-03-31T00:00:00"/>
    <x v="2110"/>
    <s v="145"/>
    <s v="SELL"/>
    <n v="9.9418604651162799"/>
    <x v="0"/>
    <x v="1"/>
    <n v="316.35000000000002"/>
    <s v="Deal"/>
    <m/>
    <s v="Original Amount [EUR 31.82], Merchant Amount [EUR 31.82], Customer Amount [NOK 316.35], Status [APPROVED], Operation [DIRECT], UUID [3624436-1458730671-145] [23/03/2016 at 10:57:00]"/>
  </r>
  <r>
    <s v="3624430-1458730661-264"/>
    <s v="Spot"/>
    <s v="3624430-1458730661-264"/>
    <n v="0"/>
    <d v="2016-03-31T00:00:00"/>
    <x v="2111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4430-1458730661-264] [23/03/2016 at 10:57:00]"/>
  </r>
  <r>
    <s v="3624403-1458730628-101"/>
    <s v="Spot"/>
    <s v="3624403-1458730628-101"/>
    <n v="0"/>
    <d v="2016-03-31T00:00:00"/>
    <x v="2112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03-1458730628-101] [23/03/2016 at 10:57:00]"/>
  </r>
  <r>
    <s v="3624400-1458730626-216"/>
    <s v="Spot"/>
    <s v="3624400-1458730626-216"/>
    <n v="0"/>
    <d v="2016-03-31T00:00:00"/>
    <x v="2113"/>
    <s v="216"/>
    <s v="SELL"/>
    <n v="3.3975903614457832"/>
    <x v="0"/>
    <x v="0"/>
    <n v="42.3"/>
    <s v="Deal"/>
    <m/>
    <s v="Original Amount [EUR 12.45], Merchant Amount [EUR 12.45], Customer Amount [TRY 42.3], Status [WAITING], Operation [3D], UUID [3624400-1458730626-216] [23/03/2016 at 10:57:00]"/>
  </r>
  <r>
    <s v="3624445-1458730677-261"/>
    <s v="Spot"/>
    <s v="3624445-1458730677-261"/>
    <n v="0"/>
    <d v="2016-03-31T00:00:00"/>
    <x v="2114"/>
    <s v="261"/>
    <s v="SELL"/>
    <n v="9.9420560747663558"/>
    <x v="0"/>
    <x v="1"/>
    <n v="212.76"/>
    <s v="Deal"/>
    <m/>
    <s v="Original Amount [EUR 21.4], Merchant Amount [EUR 21.4], Customer Amount [NOK 212.76], Status [APPROVED], Operation [3DAUTH], UUID [3624445-1458730677-261] [23/03/2016 at 10:57:00]"/>
  </r>
  <r>
    <s v="3624388-1458730617-216"/>
    <s v="Spot"/>
    <s v="3624388-1458730617-216"/>
    <n v="0"/>
    <d v="2016-03-31T00:00:00"/>
    <x v="2115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388-1458730617-216] [23/03/2016 at 10:56:00]"/>
  </r>
  <r>
    <s v="3624367-1458730582-101"/>
    <s v="Spot"/>
    <s v="3624367-1458730582-101"/>
    <n v="0"/>
    <d v="2016-03-31T00:00:00"/>
    <x v="2116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67-1458730582-101] [23/03/2016 at 10:56:00]"/>
  </r>
  <r>
    <s v="3624349-1458730550-224"/>
    <s v="Spot"/>
    <s v="3624349-1458730550-224"/>
    <n v="0"/>
    <d v="2016-03-31T00:00:00"/>
    <x v="2117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4349-1458730550-224] [23/03/2016 at 10:55:00]"/>
  </r>
  <r>
    <s v="3624340-1458730539-124"/>
    <s v="Spot"/>
    <s v="3624340-1458730539-124"/>
    <n v="0"/>
    <d v="2016-03-31T00:00:00"/>
    <x v="2118"/>
    <s v="124"/>
    <s v="SELL"/>
    <n v="9.9551534225019669"/>
    <x v="0"/>
    <x v="1"/>
    <n v="126.53"/>
    <s v="Deal"/>
    <m/>
    <s v="Original Amount [EUR 12.71], Merchant Amount [EUR 12.71], Customer Amount [NOK 126.53], Status [APPROVED], Operation [DIRECT], UUID [3624340-1458730539-124] [23/03/2016 at 10:55:00]"/>
  </r>
  <r>
    <s v="3624358-1458730569-107"/>
    <s v="Spot"/>
    <s v="3624358-1458730569-107"/>
    <n v="0"/>
    <d v="2016-03-31T00:00:00"/>
    <x v="2119"/>
    <s v="107"/>
    <s v="SELL"/>
    <n v="3.3973544973544971"/>
    <x v="0"/>
    <x v="0"/>
    <n v="64.209999999999994"/>
    <s v="Deal"/>
    <m/>
    <s v="Original Amount [EUR 18.9], Merchant Amount [EUR 18.9], Customer Amount [TRY 64.21], Status [APPROVED], Operation [3DAUTH], UUID [3624358-1458730569-107] [23/03/2016 at 10:56:00]"/>
  </r>
  <r>
    <s v="3624328-1458730531-101"/>
    <s v="Spot"/>
    <s v="3624328-1458730531-101"/>
    <n v="0"/>
    <d v="2016-03-31T00:00:00"/>
    <x v="2120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28-1458730531-101] [23/03/2016 at 10:55:00]"/>
  </r>
  <r>
    <s v="3624313-1458730491-216"/>
    <s v="Spot"/>
    <s v="3624313-1458730491-216"/>
    <n v="0"/>
    <d v="2016-03-31T00:00:00"/>
    <x v="2121"/>
    <s v="216"/>
    <s v="SELL"/>
    <n v="3.3971722365038564"/>
    <x v="0"/>
    <x v="0"/>
    <n v="79.290000000000006"/>
    <s v="Deal"/>
    <m/>
    <s v="Original Amount [EUR 23.34], Merchant Amount [EUR 23.34], Customer Amount [TRY 79.29], Status [WAITING], Operation [3D], UUID [3624313-1458730491-216] [23/03/2016 at 10:54:00]"/>
  </r>
  <r>
    <s v="3624325-1458730514-107"/>
    <s v="Spot"/>
    <s v="3624325-1458730514-107"/>
    <n v="0"/>
    <d v="2016-03-31T00:00:00"/>
    <x v="2122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4325-1458730514-107] [23/03/2016 at 10:55:00]"/>
  </r>
  <r>
    <s v="3624301-1458730481-224"/>
    <s v="Spot"/>
    <s v="3624301-1458730481-224"/>
    <n v="0"/>
    <d v="2016-03-31T00:00:00"/>
    <x v="2123"/>
    <s v="224"/>
    <s v="SELL"/>
    <n v="132.88304093567251"/>
    <x v="0"/>
    <x v="3"/>
    <n v="1817.84"/>
    <s v="Deal"/>
    <m/>
    <s v="Original Amount [EUR 13.68], Merchant Amount [EUR 13.68], Customer Amount [JPY 1817.84], Status [APPROVED], Operation [DIRECT], UUID [3624301-1458730481-224] [23/03/2016 at 10:54:00]"/>
  </r>
  <r>
    <s v="3624292-1458730467-125"/>
    <s v="Spot"/>
    <s v="3624292-1458730467-125"/>
    <n v="0"/>
    <d v="2016-03-31T00:00:00"/>
    <x v="2124"/>
    <s v="125"/>
    <s v="SELL"/>
    <n v="132.88273999999998"/>
    <x v="0"/>
    <x v="3"/>
    <n v="66441.37"/>
    <s v="Deal"/>
    <m/>
    <s v="Original Amount [EUR 500], Merchant Amount [EUR 500], Customer Amount [JPY 66441.37], Status [APPROVED], Operation [DIRECT], UUID [3624292-1458730467-125] [23/03/2016 at 10:54:00]"/>
  </r>
  <r>
    <s v="3624307-1458730486-150"/>
    <s v="Spot"/>
    <s v="3624307-1458730486-150"/>
    <n v="0"/>
    <d v="2016-03-31T00:00:00"/>
    <x v="2125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4307-1458730486-150] [23/03/2016 at 10:54:00]"/>
  </r>
  <r>
    <s v="3624259-1458730446-145"/>
    <s v="Spot"/>
    <s v="3624259-1458730446-145"/>
    <n v="0"/>
    <d v="2016-03-31T00:00:00"/>
    <x v="212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4259-1458730446-145] [23/03/2016 at 10:54:00]"/>
  </r>
  <r>
    <s v="3624253-1458730444-187"/>
    <s v="Spot"/>
    <s v="3624253-1458730444-187"/>
    <n v="0"/>
    <d v="2016-03-31T00:00:00"/>
    <x v="2127"/>
    <s v="187"/>
    <s v="SELL"/>
    <n v="9.9546206570550702"/>
    <x v="0"/>
    <x v="1"/>
    <n v="421.18"/>
    <s v="Deal"/>
    <m/>
    <s v="Original Amount [EUR 42.31], Merchant Amount [EUR 42.31], Customer Amount [NOK 421.18], Status [APPROVED], Operation [DIRECT], UUID [3624253-1458730444-187] [23/03/2016 at 10:54:00]"/>
  </r>
  <r>
    <s v="3624262-1458730447-145"/>
    <s v="Spot"/>
    <s v="3624262-1458730447-145"/>
    <n v="0"/>
    <d v="2016-03-31T00:00:00"/>
    <x v="2128"/>
    <s v="145"/>
    <s v="SELL"/>
    <n v="1.543150183150183"/>
    <x v="0"/>
    <x v="2"/>
    <n v="210.64"/>
    <s v="Deal"/>
    <m/>
    <s v="Original Amount [EUR 136.5], Merchant Amount [EUR 136.5], Customer Amount [CAD 210.64], Status [APPROVED], Operation [3DAUTH], UUID [3624262-1458730447-145] [23/03/2016 at 10:54:00]"/>
  </r>
  <r>
    <s v="3624289-1458730467-261"/>
    <s v="Spot"/>
    <s v="3624289-1458730467-261"/>
    <n v="0"/>
    <d v="2016-03-31T00:00:00"/>
    <x v="2129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3DAUTH], UUID [3624289-1458730467-261] [23/03/2016 at 10:54:00]"/>
  </r>
  <r>
    <s v="3624238-1458730431-56"/>
    <s v="Spot"/>
    <s v="3624238-1458730431-56"/>
    <n v="0"/>
    <d v="2016-03-31T00:00:00"/>
    <x v="2130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238-1458730431-56] [23/03/2016 at 10:53:00]"/>
  </r>
  <r>
    <s v="3624202-1458730406-187"/>
    <s v="Spot"/>
    <s v="3624202-1458730406-187"/>
    <n v="0"/>
    <d v="2016-03-31T00:00:00"/>
    <x v="2131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4202-1458730406-187] [23/03/2016 at 10:53:00]"/>
  </r>
  <r>
    <s v="3624199-1458730404-216"/>
    <s v="Spot"/>
    <s v="3624199-1458730404-216"/>
    <n v="0"/>
    <d v="2016-03-31T00:00:00"/>
    <x v="213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4199-1458730404-216] [23/03/2016 at 10:53:00]"/>
  </r>
  <r>
    <s v="3624250-1458730438-216"/>
    <s v="Spot"/>
    <s v="3624250-1458730438-216"/>
    <n v="0"/>
    <d v="2016-03-31T00:00:00"/>
    <x v="2133"/>
    <s v="216"/>
    <s v="SELL"/>
    <n v="3.3974295600593178"/>
    <x v="0"/>
    <x v="0"/>
    <n v="68.73"/>
    <s v="Deal"/>
    <m/>
    <s v="Original Amount [EUR 20.23], Merchant Amount [EUR 20.23], Customer Amount [TRY 68.73], Status [APPROVED], Operation [3DAUTH], UUID [3624250-1458730438-216] [23/03/2016 at 10:53:00]"/>
  </r>
  <r>
    <s v="3624184-1458730397-160"/>
    <s v="Spot"/>
    <s v="3624184-1458730397-160"/>
    <n v="0"/>
    <d v="2016-03-31T00:00:00"/>
    <x v="2134"/>
    <s v="160"/>
    <s v="SELL"/>
    <n v="3.3969957081545061"/>
    <x v="0"/>
    <x v="0"/>
    <n v="63.32"/>
    <s v="Deal"/>
    <m/>
    <s v="Original Amount [EUR 18.64], Merchant Amount [EUR 18.64], Customer Amount [TRY 63.32], Status [APPROVED], Operation [3DAUTH], UUID [3624184-1458730397-160] [23/03/2016 at 10:53:00]"/>
  </r>
  <r>
    <s v="3624172-1458730380-107"/>
    <s v="Spot"/>
    <s v="3624172-1458730380-107"/>
    <n v="0"/>
    <d v="2016-03-31T00:00:00"/>
    <x v="2135"/>
    <s v="107"/>
    <s v="SELL"/>
    <n v="3.3973004694835685"/>
    <x v="0"/>
    <x v="0"/>
    <n v="57.89"/>
    <s v="Deal"/>
    <m/>
    <s v="Original Amount [EUR 17.04], Merchant Amount [EUR 17.04], Customer Amount [TRY 57.89], Status [WAITING], Operation [3D], UUID [3624172-1458730380-107] [23/03/2016 at 10:53:00]"/>
  </r>
  <r>
    <s v="3624166-1458730375-107"/>
    <s v="Spot"/>
    <s v="3624166-1458730375-107"/>
    <n v="0"/>
    <d v="2016-03-31T00:00:00"/>
    <x v="2136"/>
    <s v="107"/>
    <s v="SELL"/>
    <n v="3.3970303421562296"/>
    <x v="0"/>
    <x v="0"/>
    <n v="210.48"/>
    <s v="Deal"/>
    <m/>
    <s v="Original Amount [EUR 61.96], Merchant Amount [EUR 61.96], Customer Amount [TRY 210.48], Status [WAITING], Operation [3D], UUID [3624166-1458730375-107] [23/03/2016 at 10:52:00]"/>
  </r>
  <r>
    <s v="3624178-1458730394-216"/>
    <s v="Spot"/>
    <s v="3624178-1458730394-216"/>
    <n v="0"/>
    <d v="2016-03-31T00:00:00"/>
    <x v="2137"/>
    <s v="216"/>
    <s v="SELL"/>
    <n v="3.3972033257747545"/>
    <x v="0"/>
    <x v="0"/>
    <n v="89.89"/>
    <s v="Deal"/>
    <m/>
    <s v="Original Amount [EUR 26.46], Merchant Amount [EUR 26.46], Customer Amount [TRY 89.89], Status [APPROVED], Operation [3DAUTH], UUID [3624178-1458730394-216] [23/03/2016 at 10:53:00]"/>
  </r>
  <r>
    <s v="3624148-1458730351-224"/>
    <s v="Spot"/>
    <s v="3624148-1458730351-224"/>
    <n v="0"/>
    <d v="2016-03-31T00:00:00"/>
    <x v="2138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4148-1458730351-224] [23/03/2016 at 10:52:00]"/>
  </r>
  <r>
    <s v="3624142-1458730350-238"/>
    <s v="Spot"/>
    <s v="3624142-1458730350-238"/>
    <n v="0"/>
    <d v="2016-03-31T00:00:00"/>
    <x v="2139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142-1458730350-238] [23/03/2016 at 10:52:00]"/>
  </r>
  <r>
    <s v="3624133-1458730339-224"/>
    <s v="Spot"/>
    <s v="3624133-1458730339-224"/>
    <n v="0"/>
    <d v="2016-03-31T00:00:00"/>
    <x v="214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4133-1458730339-224] [23/03/2016 at 10:52:00]"/>
  </r>
  <r>
    <s v="3624169-1458730375-179"/>
    <s v="Spot"/>
    <s v="3624169-1458730375-179"/>
    <n v="0"/>
    <d v="2016-03-31T00:00:00"/>
    <x v="2141"/>
    <s v="179"/>
    <s v="SELL"/>
    <n v="3.3970446514616128"/>
    <x v="0"/>
    <x v="0"/>
    <n v="105.75"/>
    <s v="Deal"/>
    <m/>
    <s v="Original Amount [EUR 31.13], Merchant Amount [EUR 31.13], Customer Amount [TRY 105.75], Status [APPROVED], Operation [3DAUTH], UUID [3624169-1458730375-179] [23/03/2016 at 10:52:00]"/>
  </r>
  <r>
    <s v="3624121-1458730330-124"/>
    <s v="Spot"/>
    <s v="3624121-1458730330-124"/>
    <n v="0"/>
    <d v="2016-03-31T00:00:00"/>
    <x v="2142"/>
    <s v="124"/>
    <s v="SELL"/>
    <n v="9.9547908232118765"/>
    <x v="0"/>
    <x v="1"/>
    <n v="147.53"/>
    <s v="Deal"/>
    <m/>
    <s v="Original Amount [EUR 14.82], Merchant Amount [EUR 14.82], Customer Amount [NOK 147.53], Status [APPROVED], Operation [DIRECT], UUID [3624121-1458730330-124] [23/03/2016 at 10:52:00]"/>
  </r>
  <r>
    <s v="3624151-1458730357-216"/>
    <s v="Spot"/>
    <s v="3624151-1458730357-216"/>
    <n v="0"/>
    <d v="2016-03-31T00:00:00"/>
    <x v="2143"/>
    <s v="216"/>
    <s v="SELL"/>
    <n v="3.397129186602871"/>
    <x v="0"/>
    <x v="0"/>
    <n v="49.7"/>
    <s v="Deal"/>
    <m/>
    <s v="Original Amount [EUR 14.63], Merchant Amount [EUR 14.63], Customer Amount [TRY 49.7], Status [APPROVED], Operation [3DAUTH], UUID [3624151-1458730357-216] [23/03/2016 at 10:52:00]"/>
  </r>
  <r>
    <s v="3624112-1458730325-224"/>
    <s v="Spot"/>
    <s v="3624112-1458730325-224"/>
    <n v="0"/>
    <d v="2016-03-31T00:00:00"/>
    <x v="2144"/>
    <s v="224"/>
    <s v="SELL"/>
    <n v="9.9553158705701073"/>
    <x v="0"/>
    <x v="1"/>
    <n v="129.22"/>
    <s v="Deal"/>
    <m/>
    <s v="Original Amount [EUR 12.98], Merchant Amount [EUR 12.98], Customer Amount [NOK 129.22], Status [APPROVED], Operation [DIRECT], UUID [3624112-1458730325-224] [23/03/2016 at 10:52:00]"/>
  </r>
  <r>
    <s v="3624145-1458730351-107"/>
    <s v="Spot"/>
    <s v="3624145-1458730351-107"/>
    <n v="0"/>
    <d v="2016-03-31T00:00:00"/>
    <x v="2145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4145-1458730351-107] [23/03/2016 at 10:52:00]"/>
  </r>
  <r>
    <s v="3624085-1458730302-224"/>
    <s v="Spot"/>
    <s v="3624085-1458730302-224"/>
    <n v="0"/>
    <d v="2016-03-31T00:00:00"/>
    <x v="2146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4085-1458730302-224] [23/03/2016 at 10:51:00]"/>
  </r>
  <r>
    <s v="3624061-1458730277-238"/>
    <s v="Spot"/>
    <s v="3624061-1458730277-238"/>
    <n v="0"/>
    <d v="2016-03-31T00:00:00"/>
    <x v="214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061-1458730277-238] [23/03/2016 at 10:51:00]"/>
  </r>
  <r>
    <s v="3624100-1458730310-119"/>
    <s v="Spot"/>
    <s v="3624100-1458730310-119"/>
    <n v="0"/>
    <d v="2016-03-31T00:00:00"/>
    <x v="2148"/>
    <s v="119"/>
    <s v="SELL"/>
    <n v="9.954600000000001"/>
    <x v="0"/>
    <x v="1"/>
    <n v="995.46"/>
    <s v="Deal"/>
    <m/>
    <s v="Original Amount [EUR 100], Merchant Amount [EUR 100], Customer Amount [NOK 995.46], Status [APPROVED], Operation [3DAUTH], UUID [3624100-1458730310-119] [23/03/2016 at 10:51:00]"/>
  </r>
  <r>
    <s v="3624055-1458730275-224"/>
    <s v="Spot"/>
    <s v="3624055-1458730275-224"/>
    <n v="0"/>
    <d v="2016-03-31T00:00:00"/>
    <x v="2149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055-1458730275-224] [23/03/2016 at 10:51:00]"/>
  </r>
  <r>
    <s v="3624067-1458730285-264"/>
    <s v="Spot"/>
    <s v="3624067-1458730285-264"/>
    <n v="0"/>
    <d v="2016-03-31T00:00:00"/>
    <x v="2150"/>
    <s v="264"/>
    <s v="SELL"/>
    <n v="3.3984593837535018"/>
    <x v="0"/>
    <x v="0"/>
    <n v="48.53"/>
    <s v="Deal"/>
    <m/>
    <s v="Original Amount [TRY 46], Merchant Amount [EUR 14.28], Customer Amount [TRY 48.53], Status [APPROVED], Operation [3DAUTH], UUID [3624067-1458730285-264] [23/03/2016 at 10:51:00]"/>
  </r>
  <r>
    <s v="3624088-1458730304-101"/>
    <s v="Spot"/>
    <s v="3624088-1458730304-101"/>
    <n v="0"/>
    <d v="2016-03-31T00:00:00"/>
    <x v="2151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88-1458730304-101] [23/03/2016 at 10:51:00]"/>
  </r>
  <r>
    <s v="3624043-1458730261-224"/>
    <s v="Spot"/>
    <s v="3624043-1458730261-224"/>
    <n v="0"/>
    <d v="2016-03-31T00:00:00"/>
    <x v="2152"/>
    <s v="224"/>
    <s v="SELL"/>
    <n v="132.88273788468339"/>
    <x v="0"/>
    <x v="3"/>
    <n v="7513.19"/>
    <s v="Deal"/>
    <m/>
    <s v="Original Amount [EUR 56.54], Merchant Amount [EUR 56.54], Customer Amount [JPY 7513.19], Status [APPROVED], Operation [DIRECT], UUID [3624043-1458730261-224] [23/03/2016 at 10:51:00]"/>
  </r>
  <r>
    <s v="3624070-1458730285-101"/>
    <s v="Spot"/>
    <s v="3624070-1458730285-101"/>
    <n v="0"/>
    <d v="2016-03-31T00:00:00"/>
    <x v="2153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70-1458730285-101] [23/03/2016 at 10:51:00]"/>
  </r>
  <r>
    <s v="3624031-1458730250-261"/>
    <s v="Spot"/>
    <s v="3624031-1458730250-261"/>
    <n v="0"/>
    <d v="2016-03-31T00:00:00"/>
    <x v="2154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4031-1458730250-261] [23/03/2016 at 10:50:00]"/>
  </r>
  <r>
    <s v="3624064-1458730283-216"/>
    <s v="Spot"/>
    <s v="3624064-1458730283-216"/>
    <n v="0"/>
    <d v="2016-03-31T00:00:00"/>
    <x v="215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064-1458730283-216] [23/03/2016 at 10:51:00]"/>
  </r>
  <r>
    <s v="3624025-1458730248-224"/>
    <s v="Spot"/>
    <s v="3624025-1458730248-224"/>
    <n v="0"/>
    <d v="2016-03-31T00:00:00"/>
    <x v="215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4025-1458730248-224] [23/03/2016 at 10:50:00]"/>
  </r>
  <r>
    <s v="3624019-1458730239-187"/>
    <s v="Spot"/>
    <s v="3624019-1458730239-187"/>
    <n v="0"/>
    <d v="2016-03-31T00:00:00"/>
    <x v="2157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019-1458730239-187] [23/03/2016 at 10:50:00]"/>
  </r>
  <r>
    <s v="3624094-1458730308-101"/>
    <s v="Spot"/>
    <s v="3624094-1458730308-101"/>
    <n v="0"/>
    <d v="2016-03-31T00:00:00"/>
    <x v="2158"/>
    <s v="101"/>
    <s v="SELL"/>
    <n v="3.3971539456662354"/>
    <x v="0"/>
    <x v="0"/>
    <n v="26.26"/>
    <s v="Deal"/>
    <m/>
    <s v="Original Amount [EUR 7.73], Merchant Amount [EUR 7.73], Customer Amount [TRY 26.26], Status [APPROVED], Operation [3DAUTH], UUID [3624094-1458730308-101] [23/03/2016 at 10:51:00]"/>
  </r>
  <r>
    <s v="3624040-1458730260-216"/>
    <s v="Spot"/>
    <s v="3624040-1458730260-216"/>
    <n v="0"/>
    <d v="2016-03-31T00:00:00"/>
    <x v="215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4040-1458730260-216] [23/03/2016 at 10:51:00]"/>
  </r>
  <r>
    <s v="3624010-1458730228-56"/>
    <s v="Spot"/>
    <s v="3624010-1458730228-56"/>
    <n v="0"/>
    <d v="2016-03-31T00:00:00"/>
    <x v="2160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010-1458730228-56] [23/03/2016 at 10:50:00]"/>
  </r>
  <r>
    <s v="3624001-1458730217-216"/>
    <s v="Spot"/>
    <s v="3624001-1458730217-216"/>
    <n v="0"/>
    <d v="2016-03-31T00:00:00"/>
    <x v="2161"/>
    <s v="216"/>
    <s v="SELL"/>
    <n v="3.3970883534136549"/>
    <x v="0"/>
    <x v="0"/>
    <n v="338.35"/>
    <s v="Deal"/>
    <m/>
    <s v="Original Amount [EUR 99.6], Merchant Amount [EUR 99.6], Customer Amount [TRY 338.35], Status [APPROVED], Operation [3DAUTH], UUID [3624001-1458730217-216] [23/03/2016 at 10:50:00]"/>
  </r>
  <r>
    <s v="3623941-1458730152-126"/>
    <s v="Spot"/>
    <s v="3623941-1458730152-126"/>
    <n v="0"/>
    <d v="2016-03-31T00:00:00"/>
    <x v="2162"/>
    <s v="126"/>
    <s v="SELL"/>
    <n v="9.9420054200542012"/>
    <x v="0"/>
    <x v="1"/>
    <n v="183.43"/>
    <s v="Deal"/>
    <m/>
    <s v="Original Amount [EUR 18.45], Merchant Amount [EUR 18.45], Customer Amount [NOK 183.43], Status [APPROVED], Operation [3DAUTH], UUID [3623941-1458730152-126] [23/03/2016 at 10:49:00]"/>
  </r>
  <r>
    <s v="3623911-1458730106-224"/>
    <s v="Spot"/>
    <s v="3623911-1458730106-224"/>
    <n v="0"/>
    <d v="2016-03-31T00:00:00"/>
    <x v="2163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911-1458730106-224] [23/03/2016 at 10:48:00]"/>
  </r>
  <r>
    <s v="3623917-1458730111-216"/>
    <s v="Spot"/>
    <s v="3623917-1458730111-216"/>
    <n v="0"/>
    <d v="2016-03-31T00:00:00"/>
    <x v="2164"/>
    <s v="216"/>
    <s v="SELL"/>
    <n v="3.3922261484098941"/>
    <x v="0"/>
    <x v="0"/>
    <n v="105.6"/>
    <s v="Deal"/>
    <m/>
    <s v="Original Amount [EUR 31.13], Merchant Amount [EUR 31.13], Customer Amount [TRY 105.6], Status [APPROVED], Operation [3DAUTH], UUID [3623917-1458730111-216] [23/03/2016 at 10:48:00]"/>
  </r>
  <r>
    <s v="3623872-1458730071-119"/>
    <s v="Spot"/>
    <s v="3623872-1458730071-119"/>
    <n v="0"/>
    <d v="2016-03-31T00:00:00"/>
    <x v="2165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872-1458730071-119] [23/03/2016 at 10:47:00]"/>
  </r>
  <r>
    <s v="3623902-1458730095-216"/>
    <s v="Spot"/>
    <s v="3623902-1458730095-216"/>
    <n v="0"/>
    <d v="2016-03-31T00:00:00"/>
    <x v="216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902-1458730095-216] [23/03/2016 at 10:48:00]"/>
  </r>
  <r>
    <s v="3623851-1458730052-126"/>
    <s v="Spot"/>
    <s v="3623851-1458730052-126"/>
    <n v="0"/>
    <d v="2016-03-31T00:00:00"/>
    <x v="2167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3851-1458730052-126] [23/03/2016 at 10:47:00]"/>
  </r>
  <r>
    <s v="3623845-1458730049-125"/>
    <s v="Spot"/>
    <s v="3623845-1458730049-125"/>
    <n v="0"/>
    <d v="2016-03-31T00:00:00"/>
    <x v="2168"/>
    <s v="125"/>
    <s v="SELL"/>
    <n v="132.9933"/>
    <x v="0"/>
    <x v="3"/>
    <n v="26598.66"/>
    <s v="Deal"/>
    <m/>
    <s v="Original Amount [EUR 200], Merchant Amount [EUR 200], Customer Amount [JPY 26598.66], Status [APPROVED], Operation [DIRECT], UUID [3623845-1458730049-125] [23/03/2016 at 10:47:00]"/>
  </r>
  <r>
    <s v="3623866-1458730066-56"/>
    <s v="Spot"/>
    <s v="3623866-1458730066-56"/>
    <n v="0"/>
    <d v="2016-03-31T00:00:00"/>
    <x v="2169"/>
    <s v="56"/>
    <s v="SELL"/>
    <n v="3.3919875130072845"/>
    <x v="0"/>
    <x v="0"/>
    <n v="325.97000000000003"/>
    <s v="Deal"/>
    <m/>
    <s v="Original Amount [EUR 96.1], Merchant Amount [EUR 96.1], Customer Amount [TRY 325.97], Status [APPROVED], Operation [3DAUTH], UUID [3623866-1458730066-56] [23/03/2016 at 10:47:00]"/>
  </r>
  <r>
    <s v="3623833-1458730040-187"/>
    <s v="Spot"/>
    <s v="3623833-1458730040-187"/>
    <n v="0"/>
    <d v="2016-03-31T00:00:00"/>
    <x v="217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3833-1458730040-187] [23/03/2016 at 10:47:00]"/>
  </r>
  <r>
    <s v="3623848-1458730049-56"/>
    <s v="Spot"/>
    <s v="3623848-1458730049-56"/>
    <n v="0"/>
    <d v="2016-03-31T00:00:00"/>
    <x v="2171"/>
    <s v="56"/>
    <s v="SELL"/>
    <n v="3.3919650291423813"/>
    <x v="0"/>
    <x v="0"/>
    <n v="162.94999999999999"/>
    <s v="Deal"/>
    <m/>
    <s v="Original Amount [EUR 48.04], Merchant Amount [EUR 48.04], Customer Amount [TRY 162.95], Status [APPROVED], Operation [3DAUTH], UUID [3623848-1458730049-56] [23/03/2016 at 10:47:00]"/>
  </r>
  <r>
    <s v="3623797-1458729999-145"/>
    <s v="Spot"/>
    <s v="3623797-1458729999-145"/>
    <n v="0"/>
    <d v="2016-03-31T00:00:00"/>
    <x v="2172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797-1458729999-145] [23/03/2016 at 10:46:00]"/>
  </r>
  <r>
    <s v="3623794-1458729996-216"/>
    <s v="Spot"/>
    <s v="3623794-1458729996-216"/>
    <n v="0"/>
    <d v="2016-03-31T00:00:00"/>
    <x v="217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794-1458729996-216] [23/03/2016 at 10:46:00]"/>
  </r>
  <r>
    <s v="3623824-1458730034-216"/>
    <s v="Spot"/>
    <s v="3623824-1458730034-216"/>
    <n v="0"/>
    <d v="2016-03-31T00:00:00"/>
    <x v="2174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3824-1458730034-216] [23/03/2016 at 10:47:00]"/>
  </r>
  <r>
    <s v="3623818-1458730016-216"/>
    <s v="Spot"/>
    <s v="3623818-1458730016-216"/>
    <n v="0"/>
    <d v="2016-03-31T00:00:00"/>
    <x v="2175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23818-1458730016-216] [23/03/2016 at 10:46:00]"/>
  </r>
  <r>
    <s v="3623854-1458730056-56"/>
    <s v="Spot"/>
    <s v="3623854-1458730056-56"/>
    <n v="0"/>
    <d v="2016-03-31T00:00:00"/>
    <x v="2176"/>
    <s v="56"/>
    <s v="SELL"/>
    <n v="3.3928571428571423"/>
    <x v="0"/>
    <x v="0"/>
    <n v="30.4"/>
    <s v="Deal"/>
    <m/>
    <s v="Original Amount [EUR 8.96], Merchant Amount [EUR 8.96], Customer Amount [TRY 30.4], Status [APPROVED], Operation [3DAUTH], UUID [3623854-1458730056-56] [23/03/2016 at 10:47:00]"/>
  </r>
  <r>
    <s v="3623773-1458729956-216"/>
    <s v="Spot"/>
    <s v="3623773-1458729956-216"/>
    <n v="0"/>
    <d v="2016-03-31T00:00:00"/>
    <x v="2177"/>
    <s v="216"/>
    <s v="SELL"/>
    <n v="3.3920308483290489"/>
    <x v="0"/>
    <x v="0"/>
    <n v="79.17"/>
    <s v="Deal"/>
    <m/>
    <s v="Original Amount [EUR 23.34], Merchant Amount [EUR 23.34], Customer Amount [TRY 79.17], Status [WAITING], Operation [3D], UUID [3623773-1458729956-216] [23/03/2016 at 10:45:00]"/>
  </r>
  <r>
    <s v="3623758-1458729940-261"/>
    <s v="Spot"/>
    <s v="3623758-1458729940-261"/>
    <n v="0"/>
    <d v="2016-03-31T00:00:00"/>
    <x v="2178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3758-1458729940-261] [23/03/2016 at 10:45:00]"/>
  </r>
  <r>
    <s v="3623815-1458730011-56"/>
    <s v="Spot"/>
    <s v="3623815-1458730011-56"/>
    <n v="0"/>
    <d v="2016-03-31T00:00:00"/>
    <x v="2179"/>
    <s v="56"/>
    <s v="SELL"/>
    <n v="3.3927083333333337"/>
    <x v="0"/>
    <x v="0"/>
    <n v="32.57"/>
    <s v="Deal"/>
    <m/>
    <s v="Original Amount [EUR 9.6], Merchant Amount [EUR 9.6], Customer Amount [TRY 32.57], Status [APPROVED], Operation [3DAUTH], UUID [3623815-1458730011-56] [23/03/2016 at 10:46:00]"/>
  </r>
  <r>
    <s v="3623761-1458729941-203"/>
    <s v="Spot"/>
    <s v="3623761-1458729941-203"/>
    <n v="0"/>
    <d v="2016-03-31T00:00:00"/>
    <x v="218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23761-1458729941-203] [23/03/2016 at 10:45:00]"/>
  </r>
  <r>
    <s v="3623743-1458729921-119"/>
    <s v="Spot"/>
    <s v="3623743-1458729921-119"/>
    <n v="0"/>
    <d v="2016-03-31T00:00:00"/>
    <x v="2181"/>
    <s v="119"/>
    <s v="SELL"/>
    <n v="9.9410666666666678"/>
    <x v="0"/>
    <x v="1"/>
    <n v="2982.32"/>
    <s v="Deal"/>
    <m/>
    <s v="Original Amount [EUR 300], Merchant Amount [EUR 300], Customer Amount [NOK 2982.32], Status [APPROVED], Operation [DIRECT], UUID [3623743-1458729921-119] [23/03/2016 at 10:45:00]"/>
  </r>
  <r>
    <s v="3623740-1458729921-187"/>
    <s v="Spot"/>
    <s v="3623740-1458729921-187"/>
    <n v="0"/>
    <d v="2016-03-31T00:00:00"/>
    <x v="2182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3740-1458729921-187] [23/03/2016 at 10:45:00]"/>
  </r>
  <r>
    <s v="3623734-1458729912-187"/>
    <s v="Spot"/>
    <s v="3623734-1458729912-187"/>
    <n v="0"/>
    <d v="2016-03-31T00:00:00"/>
    <x v="2183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734-1458729912-187] [23/03/2016 at 10:45:00]"/>
  </r>
  <r>
    <s v="3623731-1458729909-261"/>
    <s v="Spot"/>
    <s v="3623731-1458729909-261"/>
    <n v="0"/>
    <d v="2016-03-31T00:00:00"/>
    <x v="2184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3731-1458729909-261] [23/03/2016 at 10:45:00]"/>
  </r>
  <r>
    <s v="3623770-1458729944-56"/>
    <s v="Spot"/>
    <s v="3623770-1458729944-56"/>
    <n v="0"/>
    <d v="2016-03-31T00:00:00"/>
    <x v="2185"/>
    <s v="56"/>
    <s v="SELL"/>
    <n v="3.392030156165859"/>
    <x v="0"/>
    <x v="0"/>
    <n v="62.99"/>
    <s v="Deal"/>
    <m/>
    <s v="Original Amount [EUR 18.57], Merchant Amount [EUR 18.57], Customer Amount [TRY 62.99], Status [APPROVED], Operation [3DAUTH], UUID [3623770-1458729944-56] [23/03/2016 at 10:45:00]"/>
  </r>
  <r>
    <s v="3623752-1458729932-107"/>
    <s v="Spot"/>
    <s v="3623752-1458729932-107"/>
    <n v="0"/>
    <d v="2016-03-31T00:00:00"/>
    <x v="2186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3752-1458729932-107] [23/03/2016 at 10:45:00]"/>
  </r>
  <r>
    <s v="3623716-1458729889-101"/>
    <s v="Spot"/>
    <s v="3623716-1458729889-101"/>
    <n v="0"/>
    <d v="2016-03-31T00:00:00"/>
    <x v="2187"/>
    <s v="101"/>
    <s v="SELL"/>
    <n v="3.3971722365038559"/>
    <x v="0"/>
    <x v="0"/>
    <n v="185.01"/>
    <s v="Deal"/>
    <m/>
    <s v="Original Amount [EUR 54.46], Merchant Amount [EUR 54.46], Customer Amount [TRY 185.01], Status [WAITING], Operation [3D], UUID [3623716-1458729889-101] [23/03/2016 at 10:44:00]"/>
  </r>
  <r>
    <s v="3623695-1458729862-238"/>
    <s v="Spot"/>
    <s v="3623695-1458729862-238"/>
    <n v="0"/>
    <d v="2016-03-31T00:00:00"/>
    <x v="218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695-1458729862-238] [23/03/2016 at 10:44:00]"/>
  </r>
  <r>
    <s v="3623710-1458729885-216"/>
    <s v="Spot"/>
    <s v="3623710-1458729885-216"/>
    <n v="0"/>
    <d v="2016-03-31T00:00:00"/>
    <x v="218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3710-1458729885-216] [23/03/2016 at 10:44:00]"/>
  </r>
  <r>
    <s v="3623701-1458729873-56"/>
    <s v="Spot"/>
    <s v="3623701-1458729873-56"/>
    <n v="0"/>
    <d v="2016-03-31T00:00:00"/>
    <x v="2190"/>
    <s v="56"/>
    <s v="SELL"/>
    <n v="3.3975"/>
    <x v="0"/>
    <x v="0"/>
    <n v="27.18"/>
    <s v="Deal"/>
    <m/>
    <s v="Original Amount [EUR 8], Merchant Amount [EUR 8], Customer Amount [TRY 27.18], Status [APPROVED], Operation [3DAUTH], UUID [3623701-1458729873-56] [23/03/2016 at 10:44:00]"/>
  </r>
  <r>
    <s v="3623677-1458729841-200"/>
    <s v="Spot"/>
    <s v="3623677-1458729841-200"/>
    <n v="0"/>
    <d v="2016-03-31T00:00:00"/>
    <x v="2191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3677-1458729841-200] [23/03/2016 at 10:44:00]"/>
  </r>
  <r>
    <s v="3623671-1458729838-224"/>
    <s v="Spot"/>
    <s v="3623671-1458729838-224"/>
    <n v="0"/>
    <d v="2016-03-31T00:00:00"/>
    <x v="21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3671-1458729838-224] [23/03/2016 at 10:43:00]"/>
  </r>
  <r>
    <s v="3623662-1458729825-224"/>
    <s v="Spot"/>
    <s v="3623662-1458729825-224"/>
    <n v="0"/>
    <d v="2016-03-31T00:00:00"/>
    <x v="2193"/>
    <s v="224"/>
    <s v="SELL"/>
    <n v="132.83242479805739"/>
    <x v="0"/>
    <x v="3"/>
    <n v="53608.51"/>
    <s v="Deal"/>
    <m/>
    <s v="Original Amount [EUR 403.58], Merchant Amount [EUR 403.58], Customer Amount [JPY 53608.51], Status [APPROVED], Operation [DIRECT], UUID [3623662-1458729825-224] [23/03/2016 at 10:43:00]"/>
  </r>
  <r>
    <s v="3623665-1458729828-216"/>
    <s v="Spot"/>
    <s v="3623665-1458729828-216"/>
    <n v="0"/>
    <d v="2016-03-31T00:00:00"/>
    <x v="2194"/>
    <s v="216"/>
    <s v="SELL"/>
    <n v="3.3971084337349398"/>
    <x v="0"/>
    <x v="0"/>
    <n v="211.47"/>
    <s v="Deal"/>
    <m/>
    <s v="Original Amount [EUR 62.25], Merchant Amount [EUR 62.25], Customer Amount [TRY 211.47], Status [APPROVED], Operation [3DAUTH], UUID [3623665-1458729828-216] [23/03/2016 at 10:43:00]"/>
  </r>
  <r>
    <s v="3623659-1458729825-216"/>
    <s v="Spot"/>
    <s v="3623659-1458729825-216"/>
    <n v="0"/>
    <d v="2016-03-31T00:00:00"/>
    <x v="2195"/>
    <s v="216"/>
    <s v="SELL"/>
    <n v="3.3970075270791265"/>
    <x v="0"/>
    <x v="0"/>
    <n v="1110.21"/>
    <s v="Deal"/>
    <m/>
    <s v="Original Amount [EUR 326.82], Merchant Amount [EUR 326.82], Customer Amount [TRY 1110.21], Status [APPROVED], Operation [3DAUTH], UUID [3623659-1458729825-216] [23/03/2016 at 10:43:00]"/>
  </r>
  <r>
    <s v="3623632-1458729796-224"/>
    <s v="Spot"/>
    <s v="3623632-1458729796-224"/>
    <n v="0"/>
    <d v="2016-03-31T00:00:00"/>
    <x v="219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3632-1458729796-224] [23/03/2016 at 10:43:00]"/>
  </r>
  <r>
    <s v="3623629-1458729790-224"/>
    <s v="Spot"/>
    <s v="3623629-1458729790-224"/>
    <n v="0"/>
    <d v="2016-03-31T00:00:00"/>
    <x v="2197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3629-1458729790-224] [23/03/2016 at 10:43:00]"/>
  </r>
  <r>
    <s v="3623635-1458729798-101"/>
    <s v="Spot"/>
    <s v="3623635-1458729798-101"/>
    <n v="0"/>
    <d v="2016-03-31T00:00:00"/>
    <x v="2198"/>
    <s v="101"/>
    <s v="SELL"/>
    <n v="3.3975"/>
    <x v="0"/>
    <x v="0"/>
    <n v="27.18"/>
    <s v="Deal"/>
    <m/>
    <s v="Original Amount [EUR 8], Merchant Amount [EUR 8], Customer Amount [TRY 27.18], Status [APPROVED], Operation [3DAUTH], UUID [3623635-1458729798-101] [23/03/2016 at 10:43:00]"/>
  </r>
  <r>
    <s v="3623653-1458729819-216"/>
    <s v="Spot"/>
    <s v="3623653-1458729819-216"/>
    <n v="0"/>
    <d v="2016-03-31T00:00:00"/>
    <x v="2199"/>
    <s v="216"/>
    <s v="SELL"/>
    <n v="3.3970548862115124"/>
    <x v="0"/>
    <x v="0"/>
    <n v="253.76"/>
    <s v="Deal"/>
    <m/>
    <s v="Original Amount [EUR 74.7], Merchant Amount [EUR 74.7], Customer Amount [TRY 253.76], Status [APPROVED], Operation [3DAUTH], UUID [3623653-1458729819-216] [23/03/2016 at 10:43:00]"/>
  </r>
  <r>
    <s v="3623962-1458730187-216"/>
    <s v="Spot"/>
    <s v="3623962-1458730187-216"/>
    <n v="0"/>
    <d v="2016-03-31T00:00:00"/>
    <x v="2200"/>
    <s v="216"/>
    <s v="SELL"/>
    <n v="3.3970871707003645"/>
    <x v="0"/>
    <x v="0"/>
    <n v="317.22000000000003"/>
    <s v="Deal"/>
    <m/>
    <s v="Original Amount [EUR 93.38], Merchant Amount [EUR 93.38], Customer Amount [TRY 317.22], Status [APPROVED], Operation [3DAUTH], UUID [3623962-1458730187-216] [23/03/2016 at 10:49:00]"/>
  </r>
  <r>
    <s v="3623590-1458729739-199"/>
    <s v="Spot"/>
    <s v="3623590-1458729739-199"/>
    <n v="0"/>
    <d v="2016-03-31T00:00:00"/>
    <x v="22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3590-1458729739-199] [23/03/2016 at 10:42:00]"/>
  </r>
  <r>
    <s v="3623587-1458729737-187"/>
    <s v="Spot"/>
    <s v="3623587-1458729737-187"/>
    <n v="0"/>
    <d v="2016-03-31T00:00:00"/>
    <x v="2202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3587-1458729737-187] [23/03/2016 at 10:42:00]"/>
  </r>
  <r>
    <s v="3623584-1458729728-56"/>
    <s v="Spot"/>
    <s v="3623584-1458729728-56"/>
    <n v="0"/>
    <d v="2016-03-31T00:00:00"/>
    <x v="2203"/>
    <s v="56"/>
    <s v="SELL"/>
    <n v="3.3975"/>
    <x v="0"/>
    <x v="0"/>
    <n v="27.18"/>
    <s v="Deal"/>
    <m/>
    <s v="Original Amount [EUR 8], Merchant Amount [EUR 8], Customer Amount [TRY 27.18], Status [WAITING], Operation [3D], UUID [3623584-1458729728-56] [23/03/2016 at 10:42:00]"/>
  </r>
  <r>
    <s v="3623611-1458729766-203"/>
    <s v="Spot"/>
    <s v="3623611-1458729766-203"/>
    <n v="0"/>
    <d v="2016-03-31T00:00:00"/>
    <x v="2204"/>
    <s v="203"/>
    <s v="SELL"/>
    <n v="3.3920430107526878"/>
    <x v="0"/>
    <x v="0"/>
    <n v="157.72999999999999"/>
    <s v="Deal"/>
    <m/>
    <s v="Original Amount [EUR 46.5], Merchant Amount [EUR 46.5], Customer Amount [TRY 157.73], Status [APPROVED], Operation [3DAUTH], UUID [3623611-1458729766-203] [23/03/2016 at 10:42:00]"/>
  </r>
  <r>
    <s v="3623569-1458729708-126"/>
    <s v="Spot"/>
    <s v="3623569-1458729708-126"/>
    <n v="0"/>
    <d v="2016-03-31T00:00:00"/>
    <x v="2205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3569-1458729708-126] [23/03/2016 at 10:41:00]"/>
  </r>
  <r>
    <s v="3623566-1458729706-124"/>
    <s v="Spot"/>
    <s v="3623566-1458729706-124"/>
    <n v="0"/>
    <d v="2016-03-31T00:00:00"/>
    <x v="2206"/>
    <s v="124"/>
    <s v="SELL"/>
    <n v="9.9545626298885317"/>
    <x v="0"/>
    <x v="1"/>
    <n v="1053.79"/>
    <s v="Deal"/>
    <m/>
    <s v="Original Amount [EUR 105.86], Merchant Amount [EUR 105.86], Customer Amount [NOK 1053.79], Status [APPROVED], Operation [DIRECT], UUID [3623566-1458729706-124] [23/03/2016 at 10:41:00]"/>
  </r>
  <r>
    <s v="3623560-1458729702-238"/>
    <s v="Spot"/>
    <s v="3623560-1458729702-238"/>
    <n v="0"/>
    <d v="2016-03-31T00:00:00"/>
    <x v="22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560-1458729702-238] [23/03/2016 at 10:41:00]"/>
  </r>
  <r>
    <s v="3623551-1458729697-224"/>
    <s v="Spot"/>
    <s v="3623551-1458729697-224"/>
    <n v="0"/>
    <d v="2016-03-31T00:00:00"/>
    <x v="2208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3551-1458729697-224] [23/03/2016 at 10:41:00]"/>
  </r>
  <r>
    <s v="3623545-1458729693-56"/>
    <s v="Spot"/>
    <s v="3623545-1458729693-56"/>
    <n v="0"/>
    <d v="2016-03-31T00:00:00"/>
    <x v="2209"/>
    <s v="56"/>
    <s v="SELL"/>
    <n v="3.3925000000000001"/>
    <x v="0"/>
    <x v="0"/>
    <n v="27.14"/>
    <s v="Deal"/>
    <m/>
    <s v="Original Amount [EUR 8], Merchant Amount [EUR 8], Customer Amount [TRY 27.14], Status [WAITING], Operation [3D], UUID [3623545-1458729693-56] [23/03/2016 at 10:41:00]"/>
  </r>
  <r>
    <s v="3623536-1458729676-199"/>
    <s v="Spot"/>
    <s v="3623536-1458729676-199"/>
    <n v="0"/>
    <d v="2016-03-31T00:00:00"/>
    <x v="2210"/>
    <s v="199"/>
    <s v="SELL"/>
    <n v="9.9545626084987546"/>
    <x v="0"/>
    <x v="1"/>
    <n v="2637.76"/>
    <s v="Deal"/>
    <m/>
    <s v="Original Amount [EUR 264.98], Merchant Amount [EUR 264.98], Customer Amount [NOK 2637.76], Status [APPROVED], Operation [DIRECT], UUID [3623536-1458729676-199] [23/03/2016 at 10:41:00]"/>
  </r>
  <r>
    <s v="3623542-1458729689-102"/>
    <s v="Spot"/>
    <s v="3623542-1458729689-102"/>
    <n v="0"/>
    <d v="2016-03-31T00:00:00"/>
    <x v="2211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3542-1458729689-102] [23/03/2016 at 10:41:00]"/>
  </r>
  <r>
    <s v="3623503-1458729638-216"/>
    <s v="Spot"/>
    <s v="3623503-1458729638-216"/>
    <n v="0"/>
    <d v="2016-03-31T00:00:00"/>
    <x v="2212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3-1458729638-216] [23/03/2016 at 10:40:00]"/>
  </r>
  <r>
    <s v="3623500-1458729634-216"/>
    <s v="Spot"/>
    <s v="3623500-1458729634-216"/>
    <n v="0"/>
    <d v="2016-03-31T00:00:00"/>
    <x v="221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0-1458729634-216] [23/03/2016 at 10:40:00]"/>
  </r>
  <r>
    <s v="3623524-1458729660-124"/>
    <s v="Spot"/>
    <s v="3623524-1458729660-124"/>
    <n v="0"/>
    <d v="2016-03-31T00:00:00"/>
    <x v="2214"/>
    <s v="124"/>
    <s v="SELL"/>
    <n v="9.9546341463414638"/>
    <x v="0"/>
    <x v="1"/>
    <n v="1020.35"/>
    <s v="Deal"/>
    <m/>
    <s v="Original Amount [EUR 102.5], Merchant Amount [EUR 102.5], Customer Amount [NOK 1020.35], Status [APPROVED], Operation [3DAUTH], UUID [3623524-1458729660-124] [23/03/2016 at 10:41:00]"/>
  </r>
  <r>
    <s v="3623485-1458729601-216"/>
    <s v="Spot"/>
    <s v="3623485-1458729601-216"/>
    <n v="0"/>
    <d v="2016-03-31T00:00:00"/>
    <x v="2215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485-1458729601-216] [23/03/2016 at 10:40:00]"/>
  </r>
  <r>
    <s v="3623479-1458729595-145"/>
    <s v="Spot"/>
    <s v="3623479-1458729595-145"/>
    <n v="0"/>
    <d v="2016-03-31T00:00:00"/>
    <x v="221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3479-1458729595-145] [23/03/2016 at 10:39:00]"/>
  </r>
  <r>
    <s v="3623470-1458729589-187"/>
    <s v="Spot"/>
    <s v="3623470-1458729589-187"/>
    <n v="0"/>
    <d v="2016-03-31T00:00:00"/>
    <x v="2217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3470-1458729589-187] [23/03/2016 at 10:39:00]"/>
  </r>
  <r>
    <s v="3623467-1458729584-200"/>
    <s v="Spot"/>
    <s v="3623467-1458729584-200"/>
    <n v="0"/>
    <d v="2016-03-31T00:00:00"/>
    <x v="221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3467-1458729584-200] [23/03/2016 at 10:39:00]"/>
  </r>
  <r>
    <s v="3623497-1458729630-101"/>
    <s v="Spot"/>
    <s v="3623497-1458729630-101"/>
    <n v="0"/>
    <d v="2016-03-31T00:00:00"/>
    <x v="2219"/>
    <s v="101"/>
    <s v="SELL"/>
    <n v="3.3919652551574373"/>
    <x v="0"/>
    <x v="0"/>
    <n v="249.92"/>
    <s v="Deal"/>
    <m/>
    <s v="Original Amount [EUR 73.68], Merchant Amount [EUR 73.68], Customer Amount [TRY 249.92], Status [APPROVED], Operation [3DAUTH], UUID [3623497-1458729630-101] [23/03/2016 at 10:40:00]"/>
  </r>
  <r>
    <s v="3623473-1458729591-216"/>
    <s v="Spot"/>
    <s v="3623473-1458729591-216"/>
    <n v="0"/>
    <d v="2016-03-31T00:00:00"/>
    <x v="222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473-1458729591-216] [23/03/2016 at 10:39:00]"/>
  </r>
  <r>
    <s v="3623434-1458729540-119"/>
    <s v="Spot"/>
    <s v="3623434-1458729540-119"/>
    <n v="0"/>
    <d v="2016-03-31T00:00:00"/>
    <x v="222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3434-1458729540-119] [23/03/2016 at 10:39:00]"/>
  </r>
  <r>
    <s v="3623461-1458729576-216"/>
    <s v="Spot"/>
    <s v="3623461-1458729576-216"/>
    <n v="0"/>
    <d v="2016-03-31T00:00:00"/>
    <x v="2222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461-1458729576-216] [23/03/2016 at 10:39:00]"/>
  </r>
  <r>
    <s v="3623449-1458729554-216"/>
    <s v="Spot"/>
    <s v="3623449-1458729554-216"/>
    <n v="0"/>
    <d v="2016-03-31T00:00:00"/>
    <x v="2223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3449-1458729554-216] [23/03/2016 at 10:39:00]"/>
  </r>
  <r>
    <s v="3623419-1458729512-196"/>
    <s v="Spot"/>
    <s v="3623419-1458729512-196"/>
    <n v="0"/>
    <d v="2016-03-31T00:00:00"/>
    <x v="2224"/>
    <s v="196"/>
    <s v="SELL"/>
    <n v="9.9412355600200915"/>
    <x v="0"/>
    <x v="1"/>
    <n v="197.93"/>
    <s v="Deal"/>
    <m/>
    <s v="Original Amount [EUR 19.91], Merchant Amount [EUR 19.91], Customer Amount [NOK 197.93], Status [APPROVED], Operation [3DAUTH], UUID [3623419-1458729512-196] [23/03/2016 at 10:38:00]"/>
  </r>
  <r>
    <s v="3623398-1458729478-224"/>
    <s v="Spot"/>
    <s v="3623398-1458729478-224"/>
    <n v="0"/>
    <d v="2016-03-31T00:00:00"/>
    <x v="2225"/>
    <s v="224"/>
    <s v="SELL"/>
    <n v="9.9411304517895562"/>
    <x v="0"/>
    <x v="1"/>
    <n v="508.29"/>
    <s v="Deal"/>
    <m/>
    <s v="Original Amount [EUR 51.13], Merchant Amount [EUR 51.13], Customer Amount [NOK 508.29], Status [APPROVED], Operation [DIRECT], UUID [3623398-1458729478-224] [23/03/2016 at 10:37:00]"/>
  </r>
  <r>
    <s v="3623395-1458729477-102"/>
    <s v="Spot"/>
    <s v="3623395-1458729477-102"/>
    <n v="0"/>
    <d v="2016-03-31T00:00:00"/>
    <x v="2226"/>
    <s v="102"/>
    <s v="SELL"/>
    <n v="3.3973249409913451"/>
    <x v="0"/>
    <x v="0"/>
    <n v="43.18"/>
    <s v="Deal"/>
    <m/>
    <s v="Original Amount [EUR 12.71], Merchant Amount [EUR 12.71], Customer Amount [TRY 43.18], Status [WAITING], Operation [3D], UUID [3623395-1458729477-102] [23/03/2016 at 10:37:00]"/>
  </r>
  <r>
    <s v="3623392-1458729473-145"/>
    <s v="Spot"/>
    <s v="3623392-1458729473-145"/>
    <n v="0"/>
    <d v="2016-03-31T00:00:00"/>
    <x v="2227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392-1458729473-145] [23/03/2016 at 10:37:00]"/>
  </r>
  <r>
    <s v="3623389-1458729472-126"/>
    <s v="Spot"/>
    <s v="3623389-1458729472-126"/>
    <n v="0"/>
    <d v="2016-03-31T00:00:00"/>
    <x v="222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3389-1458729472-126] [23/03/2016 at 10:37:00]"/>
  </r>
  <r>
    <s v="3623386-1458729462-119"/>
    <s v="Spot"/>
    <s v="3623386-1458729462-119"/>
    <n v="0"/>
    <d v="2016-03-31T00:00:00"/>
    <x v="2229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386-1458729462-119] [23/03/2016 at 10:37:00]"/>
  </r>
  <r>
    <s v="3623365-1458729441-224"/>
    <s v="Spot"/>
    <s v="3623365-1458729441-224"/>
    <n v="0"/>
    <d v="2016-03-31T00:00:00"/>
    <x v="2230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365-1458729441-224] [23/03/2016 at 10:37:00]"/>
  </r>
  <r>
    <s v="3623359-1458729437-216"/>
    <s v="Spot"/>
    <s v="3623359-1458729437-216"/>
    <n v="0"/>
    <d v="2016-03-31T00:00:00"/>
    <x v="2231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3359-1458729437-216] [23/03/2016 at 10:37:00]"/>
  </r>
  <r>
    <s v="3623383-1458729453-101"/>
    <s v="Spot"/>
    <s v="3623383-1458729453-101"/>
    <n v="0"/>
    <d v="2016-03-31T00:00:00"/>
    <x v="2232"/>
    <s v="101"/>
    <s v="SELL"/>
    <n v="3.3978590544157004"/>
    <x v="0"/>
    <x v="0"/>
    <n v="38.090000000000003"/>
    <s v="Deal"/>
    <m/>
    <s v="Original Amount [EUR 11.21], Merchant Amount [EUR 11.21], Customer Amount [TRY 38.09], Status [APPROVED], Operation [3DAUTH], UUID [3623383-1458729453-101] [23/03/2016 at 10:37:00]"/>
  </r>
  <r>
    <s v="3623452-1458729556-216"/>
    <s v="Spot"/>
    <s v="3623452-1458729556-216"/>
    <n v="0"/>
    <d v="2016-03-31T00:00:00"/>
    <x v="2233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3452-1458729556-216] [23/03/2016 at 10:39:00]"/>
  </r>
  <r>
    <s v="3623344-1458729413-224"/>
    <s v="Spot"/>
    <s v="3623344-1458729413-224"/>
    <n v="0"/>
    <d v="2016-03-31T00:00:00"/>
    <x v="223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3344-1458729413-224] [23/03/2016 at 10:36:00]"/>
  </r>
  <r>
    <s v="3623335-1458729363-187"/>
    <s v="Spot"/>
    <s v="3623335-1458729363-187"/>
    <n v="0"/>
    <d v="2016-03-31T00:00:00"/>
    <x v="2235"/>
    <s v="187"/>
    <s v="SELL"/>
    <n v="9.9413988657844996"/>
    <x v="0"/>
    <x v="1"/>
    <n v="105.18"/>
    <s v="Deal"/>
    <m/>
    <s v="Original Amount [EUR 10.58], Merchant Amount [EUR 10.58], Customer Amount [NOK 105.18], Status [APPROVED], Operation [DIRECT], UUID [3623335-1458729363-187] [23/03/2016 at 10:36:00]"/>
  </r>
  <r>
    <s v="3623332-1458729362-200"/>
    <s v="Spot"/>
    <s v="3623332-1458729362-200"/>
    <n v="0"/>
    <d v="2016-03-31T00:00:00"/>
    <x v="2236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3332-1458729362-200] [23/03/2016 at 10:36:00]"/>
  </r>
  <r>
    <s v="3623329-1458729357-224"/>
    <s v="Spot"/>
    <s v="3623329-1458729357-224"/>
    <n v="0"/>
    <d v="2016-03-31T00:00:00"/>
    <x v="2237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3329-1458729357-224] [23/03/2016 at 10:35:00]"/>
  </r>
  <r>
    <s v="3623317-1458729336-134"/>
    <s v="Spot"/>
    <s v="3623317-1458729336-134"/>
    <n v="0"/>
    <d v="2016-03-31T00:00:00"/>
    <x v="2238"/>
    <s v="134"/>
    <s v="SELL"/>
    <n v="132.99396551724138"/>
    <x v="0"/>
    <x v="3"/>
    <n v="1542.73"/>
    <s v="Deal"/>
    <m/>
    <s v="Original Amount [EUR 11.6], Merchant Amount [EUR 11.6], Customer Amount [JPY 1542.73], Status [APPROVED], Operation [DIRECT], UUID [3623317-1458729336-134] [23/03/2016 at 10:35:00]"/>
  </r>
  <r>
    <s v="3623314-1458729335-216"/>
    <s v="Spot"/>
    <s v="3623314-1458729335-216"/>
    <n v="0"/>
    <d v="2016-03-31T00:00:00"/>
    <x v="2239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3314-1458729335-216] [23/03/2016 at 10:35:00]"/>
  </r>
  <r>
    <s v="3623320-1458729339-216"/>
    <s v="Spot"/>
    <s v="3623320-1458729339-216"/>
    <n v="0"/>
    <d v="2016-03-31T00:00:00"/>
    <x v="2240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3320-1458729339-216] [23/03/2016 at 10:35:00]"/>
  </r>
  <r>
    <s v="3623293-1458729292-241"/>
    <s v="Spot"/>
    <s v="3623293-1458729292-241"/>
    <n v="0"/>
    <d v="2016-03-31T00:00:00"/>
    <x v="2241"/>
    <s v="241"/>
    <s v="SELL"/>
    <n v="9.9412353088272063"/>
    <x v="0"/>
    <x v="1"/>
    <n v="397.55"/>
    <s v="Deal"/>
    <m/>
    <s v="Original Amount [EUR 39.99], Merchant Amount [EUR 39.99], Customer Amount [NOK 397.55], Status [APPROVED], Operation [DIRECT], UUID [3623293-1458729292-241] [23/03/2016 at 10:34:00]"/>
  </r>
  <r>
    <s v="3623290-1458729286-199"/>
    <s v="Spot"/>
    <s v="3623290-1458729286-199"/>
    <n v="0"/>
    <d v="2016-03-31T00:00:00"/>
    <x v="2242"/>
    <s v="199"/>
    <s v="SELL"/>
    <n v="9.9410836401893725"/>
    <x v="0"/>
    <x v="1"/>
    <n v="377.96"/>
    <s v="Deal"/>
    <m/>
    <s v="Original Amount [EUR 38.02], Merchant Amount [EUR 38.02], Customer Amount [NOK 377.96], Status [APPROVED], Operation [DIRECT], UUID [3623290-1458729286-199] [23/03/2016 at 10:34:00]"/>
  </r>
  <r>
    <s v="3623284-1458729283-119"/>
    <s v="Spot"/>
    <s v="3623284-1458729283-119"/>
    <n v="0"/>
    <d v="2016-03-31T00:00:00"/>
    <x v="2243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284-1458729283-119] [23/03/2016 at 10:34:00]"/>
  </r>
  <r>
    <s v="3623272-1458729266-224"/>
    <s v="Spot"/>
    <s v="3623272-1458729266-224"/>
    <n v="0"/>
    <d v="2016-03-31T00:00:00"/>
    <x v="2244"/>
    <s v="224"/>
    <s v="SELL"/>
    <n v="132.99333670715251"/>
    <x v="0"/>
    <x v="3"/>
    <n v="15767.69"/>
    <s v="Deal"/>
    <m/>
    <s v="Original Amount [EUR 118.56], Merchant Amount [EUR 118.56], Customer Amount [JPY 15767.69], Status [APPROVED], Operation [DIRECT], UUID [3623272-1458729266-224] [23/03/2016 at 10:34:00]"/>
  </r>
  <r>
    <s v="3623269-1458729264-126"/>
    <s v="Spot"/>
    <s v="3623269-1458729264-126"/>
    <n v="0"/>
    <d v="2016-03-31T00:00:00"/>
    <x v="2245"/>
    <s v="126"/>
    <s v="SELL"/>
    <n v="9.9410731707317073"/>
    <x v="0"/>
    <x v="1"/>
    <n v="1018.96"/>
    <s v="Deal"/>
    <m/>
    <s v="Original Amount [EUR 102.5], Merchant Amount [EUR 102.5], Customer Amount [NOK 1018.96], Status [APPROVED], Operation [DIRECT], UUID [3623269-1458729264-126] [23/03/2016 at 10:34:00]"/>
  </r>
  <r>
    <s v="3623266-1458729263-154"/>
    <s v="Spot"/>
    <s v="3623266-1458729263-154"/>
    <n v="0"/>
    <d v="2016-03-31T00:00:00"/>
    <x v="2246"/>
    <s v="154"/>
    <s v="SELL"/>
    <n v="9.9415000000000013"/>
    <x v="0"/>
    <x v="1"/>
    <n v="198.83"/>
    <s v="Deal"/>
    <m/>
    <s v="Original Amount [EUR 20], Merchant Amount [EUR 20], Customer Amount [NOK 198.83], Status [WAITING], Operation [3D], UUID [3623266-1458729263-154] [23/03/2016 at 10:34:00]"/>
  </r>
  <r>
    <s v="3623251-1458729246-187"/>
    <s v="Spot"/>
    <s v="3623251-1458729246-187"/>
    <n v="0"/>
    <d v="2016-03-31T00:00:00"/>
    <x v="2247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251-1458729246-187] [23/03/2016 at 10:34:00]"/>
  </r>
  <r>
    <s v="3623248-1458729242-134"/>
    <s v="Spot"/>
    <s v="3623248-1458729242-134"/>
    <n v="0"/>
    <d v="2016-03-31T00:00:00"/>
    <x v="2248"/>
    <s v="134"/>
    <s v="SELL"/>
    <n v="132.99331778634854"/>
    <x v="0"/>
    <x v="3"/>
    <n v="59309.7"/>
    <s v="Deal"/>
    <m/>
    <s v="Original Amount [EUR 445.96], Merchant Amount [EUR 445.96], Customer Amount [JPY 59309.7], Status [APPROVED], Operation [STORED], UUID [3623248-1458729242-134] [23/03/2016 at 10:34:00]"/>
  </r>
  <r>
    <s v="3623245-1458729241-171"/>
    <s v="Spot"/>
    <s v="3623245-1458729241-171"/>
    <n v="0"/>
    <d v="2016-03-31T00:00:00"/>
    <x v="2249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3245-1458729241-171] [23/03/2016 at 10:34:00]"/>
  </r>
  <r>
    <s v="3623239-1458729221-101"/>
    <s v="Spot"/>
    <s v="3623239-1458729221-101"/>
    <n v="0"/>
    <d v="2016-03-31T00:00:00"/>
    <x v="2250"/>
    <s v="101"/>
    <s v="SELL"/>
    <n v="3.3975"/>
    <x v="0"/>
    <x v="0"/>
    <n v="27.18"/>
    <s v="Deal"/>
    <m/>
    <s v="Original Amount [EUR 8], Merchant Amount [EUR 8], Customer Amount [TRY 27.18], Status [WAITING], Operation [3D], UUID [3623239-1458729221-101] [23/03/2016 at 10:33:00]"/>
  </r>
  <r>
    <s v="3623308-1458729313-56"/>
    <s v="Spot"/>
    <s v="3623308-1458729313-56"/>
    <n v="0"/>
    <d v="2016-03-31T00:00:00"/>
    <x v="2251"/>
    <s v="56"/>
    <s v="SELL"/>
    <n v="3.3977055449330789"/>
    <x v="0"/>
    <x v="0"/>
    <n v="53.31"/>
    <s v="Deal"/>
    <m/>
    <s v="Original Amount [EUR 15.69], Merchant Amount [EUR 15.69], Customer Amount [TRY 53.31], Status [APPROVED], Operation [3DAUTH], UUID [3623308-1458729313-56] [23/03/2016 at 10:35:00]"/>
  </r>
  <r>
    <s v="3623233-1458729216-126"/>
    <s v="Spot"/>
    <s v="3623233-1458729216-126"/>
    <n v="0"/>
    <d v="2016-03-31T00:00:00"/>
    <x v="2252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3233-1458729216-126] [23/03/2016 at 10:33:00]"/>
  </r>
  <r>
    <s v="3623242-1458729232-124"/>
    <s v="Spot"/>
    <s v="3623242-1458729232-124"/>
    <n v="0"/>
    <d v="2016-03-31T00:00:00"/>
    <x v="2253"/>
    <s v="124"/>
    <s v="SELL"/>
    <n v="9.9411086474501094"/>
    <x v="0"/>
    <x v="1"/>
    <n v="1120.8599999999999"/>
    <s v="Deal"/>
    <m/>
    <s v="Original Amount [EUR 112.75], Merchant Amount [EUR 112.75], Customer Amount [NOK 1120.86], Status [APPROVED], Operation [3DAUTH], UUID [3623242-1458729232-124] [23/03/2016 at 10:33:00]"/>
  </r>
  <r>
    <s v="3623221-1458729203-224"/>
    <s v="Spot"/>
    <s v="3623221-1458729203-224"/>
    <n v="0"/>
    <d v="2016-03-31T00:00:00"/>
    <x v="2254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3221-1458729203-224] [23/03/2016 at 10:33:00]"/>
  </r>
  <r>
    <s v="3623227-1458729206-107"/>
    <s v="Spot"/>
    <s v="3623227-1458729206-107"/>
    <n v="0"/>
    <d v="2016-03-31T00:00:00"/>
    <x v="2255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3227-1458729206-107] [23/03/2016 at 10:33:00]"/>
  </r>
  <r>
    <s v="3623206-1458729178-119"/>
    <s v="Spot"/>
    <s v="3623206-1458729178-119"/>
    <n v="0"/>
    <d v="2016-03-31T00:00:00"/>
    <x v="22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3206-1458729178-119] [23/03/2016 at 10:32:00]"/>
  </r>
  <r>
    <s v="3623200-1458729173-101"/>
    <s v="Spot"/>
    <s v="3623200-1458729173-101"/>
    <n v="0"/>
    <d v="2016-03-31T00:00:00"/>
    <x v="2257"/>
    <s v="101"/>
    <s v="SELL"/>
    <n v="3.3966271080574639"/>
    <x v="0"/>
    <x v="0"/>
    <n v="54.38"/>
    <s v="Deal"/>
    <m/>
    <s v="Original Amount [EUR 16.01], Merchant Amount [EUR 16.01], Customer Amount [TRY 54.38], Status [APPROVED], Operation [3DAUTH], UUID [3623200-1458729173-101] [23/03/2016 at 10:32:00]"/>
  </r>
  <r>
    <s v="3623173-1458729126-101"/>
    <s v="Spot"/>
    <s v="3623173-1458729126-101"/>
    <n v="0"/>
    <d v="2016-03-31T00:00:00"/>
    <x v="2258"/>
    <s v="101"/>
    <s v="SELL"/>
    <n v="3.3975"/>
    <x v="0"/>
    <x v="0"/>
    <n v="27.18"/>
    <s v="Deal"/>
    <m/>
    <s v="Original Amount [EUR 8], Merchant Amount [EUR 8], Customer Amount [TRY 27.18], Status [WAITING], Operation [3D], UUID [3623173-1458729126-101] [23/03/2016 at 10:32:00]"/>
  </r>
  <r>
    <s v="3623170-1458729121-161"/>
    <s v="Spot"/>
    <s v="3623170-1458729121-161"/>
    <n v="0"/>
    <d v="2016-03-31T00:00:00"/>
    <x v="2259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70-1458729121-161] [23/03/2016 at 10:32:00]"/>
  </r>
  <r>
    <s v="3623143-1458729091-161"/>
    <s v="Spot"/>
    <s v="3623143-1458729091-161"/>
    <n v="0"/>
    <d v="2016-03-31T00:00:00"/>
    <x v="2260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43-1458729091-161] [23/03/2016 at 10:31:00]"/>
  </r>
  <r>
    <s v="3623134-1458729082-199"/>
    <s v="Spot"/>
    <s v="3623134-1458729082-199"/>
    <n v="0"/>
    <d v="2016-03-31T00:00:00"/>
    <x v="2261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23134-1458729082-199] [23/03/2016 at 10:31:00]"/>
  </r>
  <r>
    <s v="3623131-1458729080-101"/>
    <s v="Spot"/>
    <s v="3623131-1458729080-101"/>
    <n v="0"/>
    <d v="2016-03-31T00:00:00"/>
    <x v="2262"/>
    <s v="101"/>
    <s v="SELL"/>
    <n v="3.3966271080574639"/>
    <x v="0"/>
    <x v="0"/>
    <n v="54.38"/>
    <s v="Deal"/>
    <m/>
    <s v="Original Amount [EUR 16.01], Merchant Amount [EUR 16.01], Customer Amount [TRY 54.38], Status [WAITING], Operation [3D], UUID [3623131-1458729080-101] [23/03/2016 at 10:31:00]"/>
  </r>
  <r>
    <s v="3623164-1458729117-203"/>
    <s v="Spot"/>
    <s v="3623164-1458729117-203"/>
    <n v="0"/>
    <d v="2016-03-31T00:00:00"/>
    <x v="2263"/>
    <s v="203"/>
    <s v="SELL"/>
    <n v="3.3965804613151245"/>
    <x v="0"/>
    <x v="0"/>
    <n v="631.73"/>
    <s v="Deal"/>
    <m/>
    <s v="Original Amount [EUR 185.99], Merchant Amount [EUR 185.99], Customer Amount [TRY 631.73], Status [APPROVED], Operation [3DAUTH], UUID [3623164-1458729117-203] [23/03/2016 at 10:31:00]"/>
  </r>
  <r>
    <s v="3623119-1458729071-101"/>
    <s v="Spot"/>
    <s v="3623119-1458729071-101"/>
    <n v="0"/>
    <d v="2016-03-31T00:00:00"/>
    <x v="2264"/>
    <s v="101"/>
    <s v="SELL"/>
    <n v="3.3975"/>
    <x v="0"/>
    <x v="0"/>
    <n v="27.18"/>
    <s v="Deal"/>
    <m/>
    <s v="Original Amount [EUR 8], Merchant Amount [EUR 8], Customer Amount [TRY 27.18], Status [WAITING], Operation [3D], UUID [3623119-1458729071-101] [23/03/2016 at 10:31:00]"/>
  </r>
  <r>
    <s v="3623107-1458729061-236"/>
    <s v="Spot"/>
    <s v="3623107-1458729061-236"/>
    <n v="0"/>
    <d v="2016-03-31T00:00:00"/>
    <x v="2265"/>
    <s v="236"/>
    <s v="BUY"/>
    <n v="0.81600000000000006"/>
    <x v="0"/>
    <x v="4"/>
    <n v="1.02"/>
    <s v="Deal"/>
    <m/>
    <s v="Original Amount [EUR 1.25], Merchant Amount [EUR 1.25], Customer Amount [GBP 1.02], Status [APPROVED], Operation [REFUND], UUID [3623107-1458729061-236] [23/03/2016 at 10:31:00]"/>
  </r>
  <r>
    <s v="3623098-1458729053-126"/>
    <s v="Spot"/>
    <s v="3623098-1458729053-126"/>
    <n v="0"/>
    <d v="2016-03-31T00:00:00"/>
    <x v="226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3098-1458729053-126] [23/03/2016 at 10:30:00]"/>
  </r>
  <r>
    <s v="3623095-1458729052-161"/>
    <s v="Spot"/>
    <s v="3623095-1458729052-161"/>
    <n v="0"/>
    <d v="2016-03-31T00:00:00"/>
    <x v="2267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23095-1458729052-161] [23/03/2016 at 10:30:00]"/>
  </r>
  <r>
    <s v="3623086-1458729046-236"/>
    <s v="Spot"/>
    <s v="3623086-1458729046-236"/>
    <n v="0"/>
    <d v="2016-03-31T00:00:00"/>
    <x v="2268"/>
    <s v="236"/>
    <s v="BUY"/>
    <n v="0.83183413777972792"/>
    <x v="0"/>
    <x v="4"/>
    <n v="75.83"/>
    <s v="Deal"/>
    <m/>
    <s v="Original Amount [EUR 91.16], Merchant Amount [EUR 91.16], Customer Amount [GBP 75.83], Status [APPROVED], Operation [REFUND], UUID [3623086-1458729046-236] [23/03/2016 at 10:30:00]"/>
  </r>
  <r>
    <s v="3623077-1458729032-161"/>
    <s v="Spot"/>
    <s v="3623077-1458729032-161"/>
    <n v="0"/>
    <d v="2016-03-31T00:00:00"/>
    <x v="2269"/>
    <s v="161"/>
    <s v="SELL"/>
    <n v="1.5560128029263831"/>
    <x v="0"/>
    <x v="5"/>
    <n v="34.03"/>
    <s v="Deal"/>
    <m/>
    <s v="Original Amount [EUR 21.87], Merchant Amount [EUR 21.87], Customer Amount [AUD 34.03], Status [APPROVED], Operation [STORED], UUID [3623077-1458729032-161] [23/03/2016 at 10:30:00]"/>
  </r>
  <r>
    <s v="3623071-1458729027-56"/>
    <s v="Spot"/>
    <s v="3623071-1458729027-56"/>
    <n v="0"/>
    <d v="2016-03-31T00:00:00"/>
    <x v="2270"/>
    <s v="56"/>
    <s v="BUY"/>
    <n v="3.4097744360902253"/>
    <x v="0"/>
    <x v="0"/>
    <n v="27.21"/>
    <s v="Deal"/>
    <m/>
    <s v="Original Amount [EUR 7.98], Merchant Amount [EUR 7.98], Customer Amount [TRY 27.21], Status [APPROVED], Operation [REFUND], UUID [3623071-1458729027-56] [23/03/2016 at 10:30:00]"/>
  </r>
  <r>
    <s v="3623053-1458729015-187"/>
    <s v="Spot"/>
    <s v="3623053-1458729015-187"/>
    <n v="0"/>
    <d v="2016-03-31T00:00:00"/>
    <x v="2271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3053-1458729015-187] [23/03/2016 at 10:30:00]"/>
  </r>
  <r>
    <s v="3623038-1458729001-224"/>
    <s v="Spot"/>
    <s v="3623038-1458729001-224"/>
    <n v="0"/>
    <d v="2016-03-31T00:00:00"/>
    <x v="2272"/>
    <s v="224"/>
    <s v="SELL"/>
    <n v="132.88304093567251"/>
    <x v="0"/>
    <x v="3"/>
    <n v="3635.68"/>
    <s v="Deal"/>
    <m/>
    <s v="Original Amount [EUR 27.36], Merchant Amount [EUR 27.36], Customer Amount [JPY 3635.68], Status [APPROVED], Operation [DIRECT], UUID [3623038-1458729001-224] [23/03/2016 at 10:30:00]"/>
  </r>
  <r>
    <s v="3623065-1458729024-145"/>
    <s v="Spot"/>
    <s v="3623065-1458729024-145"/>
    <n v="0"/>
    <d v="2016-03-31T00:00:00"/>
    <x v="2273"/>
    <s v="145"/>
    <s v="SELL"/>
    <n v="1.5462111000410244"/>
    <x v="0"/>
    <x v="2"/>
    <n v="263.83"/>
    <s v="Deal"/>
    <m/>
    <s v="Original Amount [EUR 170.63], Merchant Amount [EUR 170.63], Customer Amount [CAD 263.83], Status [APPROVED], Operation [3DAUTH], UUID [3623065-1458729024-145] [23/03/2016 at 10:30:00]"/>
  </r>
  <r>
    <s v="3623101-1458729056-216"/>
    <s v="Spot"/>
    <s v="3623101-1458729056-216"/>
    <n v="0"/>
    <d v="2016-03-31T00:00:00"/>
    <x v="2274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101-1458729056-216] [23/03/2016 at 10:30:00]"/>
  </r>
  <r>
    <s v="3623059-1458729018-216"/>
    <s v="Spot"/>
    <s v="3623059-1458729018-216"/>
    <n v="0"/>
    <d v="2016-03-31T00:00:00"/>
    <x v="227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059-1458729018-216] [23/03/2016 at 10:30:00]"/>
  </r>
  <r>
    <s v="3623023-1458728980-224"/>
    <s v="Spot"/>
    <s v="3623023-1458728980-224"/>
    <n v="0"/>
    <d v="2016-03-31T00:00:00"/>
    <x v="227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3023-1458728980-224] [23/03/2016 at 10:29:00]"/>
  </r>
  <r>
    <s v="3623020-1458728980-101"/>
    <s v="Spot"/>
    <s v="3623020-1458728980-101"/>
    <n v="0"/>
    <d v="2016-03-31T00:00:00"/>
    <x v="227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3020-1458728980-101] [23/03/2016 at 10:29:00]"/>
  </r>
  <r>
    <s v="3623017-1458728974-56"/>
    <s v="Spot"/>
    <s v="3623017-1458728974-56"/>
    <n v="0"/>
    <d v="2016-03-31T00:00:00"/>
    <x v="2278"/>
    <s v="56"/>
    <s v="SELL"/>
    <n v="3.3975"/>
    <x v="0"/>
    <x v="0"/>
    <n v="27.18"/>
    <s v="Deal"/>
    <m/>
    <s v="Original Amount [EUR 8], Merchant Amount [EUR 8], Customer Amount [TRY 27.18], Status [APPROVED], Operation [3DAUTH], UUID [3623017-1458728974-56] [23/03/2016 at 10:29:00]"/>
  </r>
  <r>
    <s v="3623014-1458728957-107"/>
    <s v="Spot"/>
    <s v="3623014-1458728957-107"/>
    <n v="0"/>
    <d v="2016-03-31T00:00:00"/>
    <x v="2279"/>
    <s v="107"/>
    <s v="SELL"/>
    <n v="3.3972602739726026"/>
    <x v="0"/>
    <x v="0"/>
    <n v="34.72"/>
    <s v="Deal"/>
    <m/>
    <s v="Original Amount [EUR 10.22], Merchant Amount [EUR 10.22], Customer Amount [TRY 34.72], Status [APPROVED], Operation [3DAUTH], UUID [3623014-1458728957-107] [23/03/2016 at 10:29:00]"/>
  </r>
  <r>
    <s v="3622984-1458728911-224"/>
    <s v="Spot"/>
    <s v="3622984-1458728911-224"/>
    <n v="0"/>
    <d v="2016-03-31T00:00:00"/>
    <x v="2280"/>
    <s v="224"/>
    <s v="SELL"/>
    <n v="132.88277223379757"/>
    <x v="0"/>
    <x v="3"/>
    <n v="12117.58"/>
    <s v="Deal"/>
    <m/>
    <s v="Original Amount [EUR 91.19], Merchant Amount [EUR 91.19], Customer Amount [JPY 12117.58], Status [APPROVED], Operation [DIRECT], UUID [3622984-1458728911-224] [23/03/2016 at 10:28:00]"/>
  </r>
  <r>
    <s v="3622999-1458728939-126"/>
    <s v="Spot"/>
    <s v="3622999-1458728939-126"/>
    <n v="0"/>
    <d v="2016-03-31T00:00:00"/>
    <x v="2281"/>
    <s v="126"/>
    <s v="SELL"/>
    <n v="9.9551219512195122"/>
    <x v="0"/>
    <x v="1"/>
    <n v="102.04"/>
    <s v="Deal"/>
    <m/>
    <s v="Original Amount [EUR 10.25], Merchant Amount [EUR 10.25], Customer Amount [NOK 102.04], Status [APPROVED], Operation [3DAUTH], UUID [3622999-1458728939-126] [23/03/2016 at 10:28:00]"/>
  </r>
  <r>
    <s v="3622978-1458728902-126"/>
    <s v="Spot"/>
    <s v="3622978-1458728902-126"/>
    <n v="0"/>
    <d v="2016-03-31T00:00:00"/>
    <x v="2282"/>
    <s v="126"/>
    <s v="SELL"/>
    <n v="9.9545853658536583"/>
    <x v="0"/>
    <x v="1"/>
    <n v="2040.69"/>
    <s v="Deal"/>
    <m/>
    <s v="Original Amount [EUR 205], Merchant Amount [EUR 205], Customer Amount [NOK 2040.69], Status [APPROVED], Operation [DIRECT], UUID [3622978-1458728902-126] [23/03/2016 at 10:28:00]"/>
  </r>
  <r>
    <s v="3622969-1458728895-187"/>
    <s v="Spot"/>
    <s v="3622969-1458728895-187"/>
    <n v="0"/>
    <d v="2016-03-31T00:00:00"/>
    <x v="2283"/>
    <s v="187"/>
    <s v="SELL"/>
    <n v="9.9545686574783065"/>
    <x v="0"/>
    <x v="1"/>
    <n v="5265.27"/>
    <s v="Deal"/>
    <m/>
    <s v="Original Amount [EUR 528.93], Merchant Amount [EUR 528.93], Customer Amount [NOK 5265.27], Status [APPROVED], Operation [DIRECT], UUID [3622969-1458728895-187] [23/03/2016 at 10:28:00]"/>
  </r>
  <r>
    <s v="3622990-1458728927-162"/>
    <s v="Spot"/>
    <s v="3622990-1458728927-162"/>
    <n v="0"/>
    <d v="2016-03-31T00:00:00"/>
    <x v="2284"/>
    <s v="162"/>
    <s v="SELL"/>
    <n v="3.3974193548387093"/>
    <x v="0"/>
    <x v="0"/>
    <n v="105.32"/>
    <s v="Deal"/>
    <m/>
    <s v="Original Amount [EUR 31], Merchant Amount [EUR 31], Customer Amount [TRY 105.32], Status [APPROVED], Operation [3DAUTH], UUID [3622990-1458728927-162] [23/03/2016 at 10:28:00]"/>
  </r>
  <r>
    <s v="3622960-1458728876-224"/>
    <s v="Spot"/>
    <s v="3622960-1458728876-224"/>
    <n v="0"/>
    <d v="2016-03-31T00:00:00"/>
    <x v="2285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2960-1458728876-224] [23/03/2016 at 10:27:00]"/>
  </r>
  <r>
    <s v="3622972-1458728898-107"/>
    <s v="Spot"/>
    <s v="3622972-1458728898-107"/>
    <n v="0"/>
    <d v="2016-03-31T00:00:00"/>
    <x v="2286"/>
    <s v="107"/>
    <s v="SELL"/>
    <n v="3.397353131052292"/>
    <x v="0"/>
    <x v="0"/>
    <n v="210.5"/>
    <s v="Deal"/>
    <m/>
    <s v="Original Amount [EUR 61.96], Merchant Amount [EUR 61.96], Customer Amount [TRY 210.5], Status [APPROVED], Operation [3DAUTH], UUID [3622972-1458728898-107] [23/03/2016 at 10:28:00]"/>
  </r>
  <r>
    <s v="3622948-1458728864-101"/>
    <s v="Spot"/>
    <s v="3622948-1458728864-101"/>
    <n v="0"/>
    <d v="2016-03-31T00:00:00"/>
    <x v="228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2948-1458728864-101] [23/03/2016 at 10:27:00]"/>
  </r>
  <r>
    <s v="3622945-1458728864-200"/>
    <s v="Spot"/>
    <s v="3622945-1458728864-200"/>
    <n v="0"/>
    <d v="2016-03-31T00:00:00"/>
    <x v="228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2945-1458728864-200] [23/03/2016 at 10:27:00]"/>
  </r>
  <r>
    <s v="3622933-1458728821-119"/>
    <s v="Spot"/>
    <s v="3622933-1458728821-119"/>
    <n v="0"/>
    <d v="2016-03-31T00:00:00"/>
    <x v="228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2933-1458728821-119] [23/03/2016 at 10:27:00]"/>
  </r>
  <r>
    <s v="3622927-1458728815-119"/>
    <s v="Spot"/>
    <s v="3622927-1458728815-119"/>
    <n v="0"/>
    <d v="2016-03-31T00:00:00"/>
    <x v="2290"/>
    <s v="119"/>
    <s v="SELL"/>
    <n v="9.9418000000000006"/>
    <x v="0"/>
    <x v="1"/>
    <n v="2982.54"/>
    <s v="Deal"/>
    <m/>
    <s v="Original Amount [EUR 300], Merchant Amount [EUR 300], Customer Amount [NOK 2982.54], Status [APPROVED], Operation [DIRECT], UUID [3622927-1458728815-119] [23/03/2016 at 10:26:00]"/>
  </r>
  <r>
    <s v="3622942-1458728856-126"/>
    <s v="Spot"/>
    <s v="3622942-1458728856-126"/>
    <n v="0"/>
    <d v="2016-03-31T00:00:00"/>
    <x v="2291"/>
    <s v="126"/>
    <s v="SELL"/>
    <n v="9.9418536585365853"/>
    <x v="0"/>
    <x v="1"/>
    <n v="509.52"/>
    <s v="Deal"/>
    <m/>
    <s v="Original Amount [EUR 51.25], Merchant Amount [EUR 51.25], Customer Amount [NOK 509.52], Status [APPROVED], Operation [3DAUTH], UUID [3622942-1458728856-126] [23/03/2016 at 10:27:00]"/>
  </r>
  <r>
    <s v="3622915-1458728787-238"/>
    <s v="Spot"/>
    <s v="3622915-1458728787-238"/>
    <n v="0"/>
    <d v="2016-03-31T00:00:00"/>
    <x v="2292"/>
    <s v="238"/>
    <s v="SELL"/>
    <n v="9.9433962264150928"/>
    <x v="0"/>
    <x v="1"/>
    <n v="21.08"/>
    <s v="Deal"/>
    <m/>
    <s v="Original Amount [EUR 2.12], Merchant Amount [EUR 2.12], Customer Amount [NOK 21.08], Status [APPROVED], Operation [DIRECT], UUID [3622915-1458728787-238] [23/03/2016 at 10:26:00]"/>
  </r>
  <r>
    <s v="3622900-1458728773-261"/>
    <s v="Spot"/>
    <s v="3622900-1458728773-261"/>
    <n v="0"/>
    <d v="2016-03-31T00:00:00"/>
    <x v="2293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22900-1458728773-261] [23/03/2016 at 10:26:00]"/>
  </r>
  <r>
    <s v="3622894-1458728771-238"/>
    <s v="Spot"/>
    <s v="3622894-1458728771-238"/>
    <n v="0"/>
    <d v="2016-03-31T00:00:00"/>
    <x v="229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94-1458728771-238] [23/03/2016 at 10:26:00]"/>
  </r>
  <r>
    <s v="3622912-1458728787-102"/>
    <s v="Spot"/>
    <s v="3622912-1458728787-102"/>
    <n v="0"/>
    <d v="2016-03-31T00:00:00"/>
    <x v="2295"/>
    <s v="102"/>
    <s v="SELL"/>
    <n v="3.3970357454228419"/>
    <x v="0"/>
    <x v="0"/>
    <n v="194.82"/>
    <s v="Deal"/>
    <m/>
    <s v="Original Amount [EUR 57.35], Merchant Amount [EUR 57.35], Customer Amount [TRY 194.82], Status [APPROVED], Operation [3DAUTH], UUID [3622912-1458728787-102] [23/03/2016 at 10:26:00]"/>
  </r>
  <r>
    <s v="3622909-1458728780-124"/>
    <s v="Spot"/>
    <s v="3622909-1458728780-124"/>
    <n v="0"/>
    <d v="2016-03-31T00:00:00"/>
    <x v="2296"/>
    <s v="124"/>
    <s v="SELL"/>
    <n v="9.9419512195121946"/>
    <x v="0"/>
    <x v="1"/>
    <n v="407.62"/>
    <s v="Deal"/>
    <m/>
    <s v="Original Amount [EUR 41], Merchant Amount [EUR 41], Customer Amount [NOK 407.62], Status [APPROVED], Operation [3DAUTH], UUID [3622909-1458728780-124] [23/03/2016 at 10:26:00]"/>
  </r>
  <r>
    <s v="3622873-1458728733-216"/>
    <s v="Spot"/>
    <s v="3622873-1458728733-216"/>
    <n v="0"/>
    <d v="2016-03-31T00:00:00"/>
    <x v="229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2873-1458728733-216] [23/03/2016 at 10:25:00]"/>
  </r>
  <r>
    <s v="3622861-1458728709-187"/>
    <s v="Spot"/>
    <s v="3622861-1458728709-187"/>
    <n v="0"/>
    <d v="2016-03-31T00:00:00"/>
    <x v="2298"/>
    <s v="187"/>
    <s v="SELL"/>
    <n v="9.9424398625429546"/>
    <x v="0"/>
    <x v="1"/>
    <n v="115.73"/>
    <s v="Deal"/>
    <m/>
    <s v="Original Amount [EUR 11.64], Merchant Amount [EUR 11.64], Customer Amount [NOK 115.73], Status [APPROVED], Operation [DIRECT], UUID [3622861-1458728709-187] [23/03/2016 at 10:25:00]"/>
  </r>
  <r>
    <s v="3622882-1458728754-101"/>
    <s v="Spot"/>
    <s v="3622882-1458728754-101"/>
    <n v="0"/>
    <d v="2016-03-31T00:00:00"/>
    <x v="2299"/>
    <s v="101"/>
    <s v="SELL"/>
    <n v="3.3970190922190198"/>
    <x v="0"/>
    <x v="0"/>
    <n v="754.41"/>
    <s v="Deal"/>
    <m/>
    <s v="Original Amount [EUR 222.08], Merchant Amount [EUR 222.08], Customer Amount [TRY 754.41], Status [APPROVED], Operation [3DAUTH], UUID [3622882-1458728754-101] [23/03/2016 at 10:25:00]"/>
  </r>
  <r>
    <s v="3622876-1458728745-216"/>
    <s v="Spot"/>
    <s v="3622876-1458728745-216"/>
    <n v="0"/>
    <d v="2016-03-31T00:00:00"/>
    <x v="230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876-1458728745-216] [23/03/2016 at 10:25:00]"/>
  </r>
  <r>
    <s v="3622852-1458728696-126"/>
    <s v="Spot"/>
    <s v="3622852-1458728696-126"/>
    <n v="0"/>
    <d v="2016-03-31T00:00:00"/>
    <x v="230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852-1458728696-126] [23/03/2016 at 10:24:00]"/>
  </r>
  <r>
    <s v="3622849-1458728694-187"/>
    <s v="Spot"/>
    <s v="3622849-1458728694-187"/>
    <n v="0"/>
    <d v="2016-03-31T00:00:00"/>
    <x v="2302"/>
    <s v="187"/>
    <s v="SELL"/>
    <n v="9.9418070444104156"/>
    <x v="0"/>
    <x v="1"/>
    <n v="5258.52"/>
    <s v="Deal"/>
    <m/>
    <s v="Original Amount [EUR 528.93], Merchant Amount [EUR 528.93], Customer Amount [NOK 5258.52], Status [APPROVED], Operation [DIRECT], UUID [3622849-1458728694-187] [23/03/2016 at 10:24:00]"/>
  </r>
  <r>
    <s v="3622834-1458728679-125"/>
    <s v="Spot"/>
    <s v="3622834-1458728679-125"/>
    <n v="0"/>
    <d v="2016-03-31T00:00:00"/>
    <x v="2303"/>
    <s v="125"/>
    <s v="SELL"/>
    <n v="9.9420000000000002"/>
    <x v="0"/>
    <x v="1"/>
    <n v="149.13"/>
    <s v="Deal"/>
    <m/>
    <s v="Original Amount [EUR 15], Merchant Amount [EUR 15], Customer Amount [NOK 149.13], Status [APPROVED], Operation [DIRECT], UUID [3622834-1458728679-125] [23/03/2016 at 10:24:00]"/>
  </r>
  <r>
    <s v="3622825-1458728668-126"/>
    <s v="Spot"/>
    <s v="3622825-1458728668-126"/>
    <n v="0"/>
    <d v="2016-03-31T00:00:00"/>
    <x v="2304"/>
    <s v="126"/>
    <s v="SELL"/>
    <n v="9.9418536585365853"/>
    <x v="0"/>
    <x v="1"/>
    <n v="509.52"/>
    <s v="Deal"/>
    <m/>
    <s v="Original Amount [EUR 51.25], Merchant Amount [EUR 51.25], Customer Amount [NOK 509.52], Status [APPROVED], Operation [DIRECT], UUID [3622825-1458728668-126] [23/03/2016 at 10:24:00]"/>
  </r>
  <r>
    <s v="3622846-1458728692-56"/>
    <s v="Spot"/>
    <s v="3622846-1458728692-56"/>
    <n v="0"/>
    <d v="2016-03-31T00:00:00"/>
    <x v="2305"/>
    <s v="56"/>
    <s v="SELL"/>
    <n v="3.3975"/>
    <x v="0"/>
    <x v="0"/>
    <n v="27.18"/>
    <s v="Deal"/>
    <m/>
    <s v="Original Amount [EUR 8], Merchant Amount [EUR 8], Customer Amount [TRY 27.18], Status [APPROVED], Operation [3DAUTH], UUID [3622846-1458728692-56] [23/03/2016 at 10:24:00]"/>
  </r>
  <r>
    <s v="3622837-1458728680-107"/>
    <s v="Spot"/>
    <s v="3622837-1458728680-107"/>
    <n v="0"/>
    <d v="2016-03-31T00:00:00"/>
    <x v="2306"/>
    <s v="107"/>
    <s v="SELL"/>
    <n v="3.3970588235294117"/>
    <x v="0"/>
    <x v="0"/>
    <n v="189.42"/>
    <s v="Deal"/>
    <m/>
    <s v="Original Amount [EUR 55.76], Merchant Amount [EUR 55.76], Customer Amount [TRY 189.42], Status [APPROVED], Operation [3DAUTH], UUID [3622837-1458728680-107] [23/03/2016 at 10:24:00]"/>
  </r>
  <r>
    <s v="3622810-1458728645-238"/>
    <s v="Spot"/>
    <s v="3622810-1458728645-238"/>
    <n v="0"/>
    <d v="2016-03-31T00:00:00"/>
    <x v="23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10-1458728645-238] [23/03/2016 at 10:24:00]"/>
  </r>
  <r>
    <s v="3622801-1458728615-216"/>
    <s v="Spot"/>
    <s v="3622801-1458728615-216"/>
    <n v="0"/>
    <d v="2016-03-31T00:00:00"/>
    <x v="2308"/>
    <s v="216"/>
    <s v="SELL"/>
    <n v="3.3920534910633924"/>
    <x v="0"/>
    <x v="0"/>
    <n v="263.8"/>
    <s v="Deal"/>
    <m/>
    <s v="Original Amount [EUR 77.77], Merchant Amount [EUR 77.77], Customer Amount [TRY 263.8], Status [WAITING], Operation [3D], UUID [3622801-1458728615-216] [23/03/2016 at 10:23:00]"/>
  </r>
  <r>
    <s v="3622831-1458728679-101"/>
    <s v="Spot"/>
    <s v="3622831-1458728679-101"/>
    <n v="0"/>
    <d v="2016-03-31T00:00:00"/>
    <x v="2309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831-1458728679-101] [23/03/2016 at 10:24:00]"/>
  </r>
  <r>
    <s v="3622804-1458728636-56"/>
    <s v="Spot"/>
    <s v="3622804-1458728636-56"/>
    <n v="0"/>
    <d v="2016-03-31T00:00:00"/>
    <x v="2310"/>
    <s v="56"/>
    <s v="SELL"/>
    <n v="3.3923611111111107"/>
    <x v="0"/>
    <x v="0"/>
    <n v="29.31"/>
    <s v="Deal"/>
    <m/>
    <s v="Original Amount [EUR 8.64], Merchant Amount [EUR 8.64], Customer Amount [TRY 29.31], Status [APPROVED], Operation [3DAUTH], UUID [3622804-1458728636-56] [23/03/2016 at 10:23:00]"/>
  </r>
  <r>
    <s v="3622792-1458728610-126"/>
    <s v="Spot"/>
    <s v="3622792-1458728610-126"/>
    <n v="0"/>
    <d v="2016-03-31T00:00:00"/>
    <x v="2311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2792-1458728610-126] [23/03/2016 at 10:23:00]"/>
  </r>
  <r>
    <s v="3622789-1458728604-199"/>
    <s v="Spot"/>
    <s v="3622789-1458728604-199"/>
    <n v="0"/>
    <d v="2016-03-31T00:00:00"/>
    <x v="2312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2789-1458728604-199] [23/03/2016 at 10:23:00]"/>
  </r>
  <r>
    <s v="3622786-1458728600-200"/>
    <s v="Spot"/>
    <s v="3622786-1458728600-200"/>
    <n v="0"/>
    <d v="2016-03-31T00:00:00"/>
    <x v="2313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2786-1458728600-200] [23/03/2016 at 10:23:00]"/>
  </r>
  <r>
    <s v="3622783-1458728595-126"/>
    <s v="Spot"/>
    <s v="3622783-1458728595-126"/>
    <n v="0"/>
    <d v="2016-03-31T00:00:00"/>
    <x v="2314"/>
    <s v="126"/>
    <s v="SELL"/>
    <n v="9.9414824447334205"/>
    <x v="0"/>
    <x v="1"/>
    <n v="152.9"/>
    <s v="Deal"/>
    <m/>
    <s v="Original Amount [EUR 15.38], Merchant Amount [EUR 15.38], Customer Amount [NOK 152.9], Status [APPROVED], Operation [DIRECT], UUID [3622783-1458728595-126] [23/03/2016 at 10:23:00]"/>
  </r>
  <r>
    <s v="3622807-1458728638-216"/>
    <s v="Spot"/>
    <s v="3622807-1458728638-216"/>
    <n v="0"/>
    <d v="2016-03-31T00:00:00"/>
    <x v="2315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2807-1458728638-216] [23/03/2016 at 10:23:00]"/>
  </r>
  <r>
    <s v="3622771-1458728557-119"/>
    <s v="Spot"/>
    <s v="3622771-1458728557-119"/>
    <n v="0"/>
    <d v="2016-03-31T00:00:00"/>
    <x v="2316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2771-1458728557-119] [23/03/2016 at 10:22:00]"/>
  </r>
  <r>
    <s v="3622768-1458728545-126"/>
    <s v="Spot"/>
    <s v="3622768-1458728545-126"/>
    <n v="0"/>
    <d v="2016-03-31T00:00:00"/>
    <x v="2317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2768-1458728545-126] [23/03/2016 at 10:22:00]"/>
  </r>
  <r>
    <s v="3622765-1458728540-224"/>
    <s v="Spot"/>
    <s v="3622765-1458728540-224"/>
    <n v="0"/>
    <d v="2016-03-31T00:00:00"/>
    <x v="2318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2765-1458728540-224] [23/03/2016 at 10:22:00]"/>
  </r>
  <r>
    <s v="3622777-1458728559-216"/>
    <s v="Spot"/>
    <s v="3622777-1458728559-216"/>
    <n v="0"/>
    <d v="2016-03-31T00:00:00"/>
    <x v="2319"/>
    <s v="216"/>
    <s v="SELL"/>
    <n v="3.392156862745098"/>
    <x v="0"/>
    <x v="0"/>
    <n v="105.53"/>
    <s v="Deal"/>
    <m/>
    <s v="Original Amount [EUR 31.11], Merchant Amount [EUR 31.11], Customer Amount [TRY 105.53], Status [APPROVED], Operation [3DAUTH], UUID [3622777-1458728559-216] [23/03/2016 at 10:22:00]"/>
  </r>
  <r>
    <s v="3622759-1458728532-126"/>
    <s v="Spot"/>
    <s v="3622759-1458728532-126"/>
    <n v="0"/>
    <d v="2016-03-31T00:00:00"/>
    <x v="2320"/>
    <s v="126"/>
    <s v="SELL"/>
    <n v="9.9410731707317073"/>
    <x v="0"/>
    <x v="1"/>
    <n v="3056.88"/>
    <s v="Deal"/>
    <m/>
    <s v="Original Amount [EUR 307.5], Merchant Amount [EUR 307.5], Customer Amount [NOK 3056.88], Status [APPROVED], Operation [DIRECT], UUID [3622759-1458728532-126] [23/03/2016 at 10:22:00]"/>
  </r>
  <r>
    <s v="3622756-1458728525-224"/>
    <s v="Spot"/>
    <s v="3622756-1458728525-224"/>
    <n v="0"/>
    <d v="2016-03-31T00:00:00"/>
    <x v="2321"/>
    <s v="224"/>
    <s v="SELL"/>
    <n v="9.9411259131929537"/>
    <x v="0"/>
    <x v="1"/>
    <n v="925.32"/>
    <s v="Deal"/>
    <m/>
    <s v="Original Amount [EUR 93.08], Merchant Amount [EUR 93.08], Customer Amount [NOK 925.32], Status [APPROVED], Operation [DIRECT], UUID [3622756-1458728525-224] [23/03/2016 at 10:22:00]"/>
  </r>
  <r>
    <s v="3622750-1458728512-119"/>
    <s v="Spot"/>
    <s v="3622750-1458728512-119"/>
    <n v="0"/>
    <d v="2016-03-31T00:00:00"/>
    <x v="2322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2750-1458728512-119] [23/03/2016 at 10:21:00]"/>
  </r>
  <r>
    <s v="3622747-1458728501-224"/>
    <s v="Spot"/>
    <s v="3622747-1458728501-224"/>
    <n v="0"/>
    <d v="2016-03-31T00:00:00"/>
    <x v="2323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2747-1458728501-224] [23/03/2016 at 10:21:00]"/>
  </r>
  <r>
    <s v="3622738-1458728483-199"/>
    <s v="Spot"/>
    <s v="3622738-1458728483-199"/>
    <n v="0"/>
    <d v="2016-03-31T00:00:00"/>
    <x v="2324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2738-1458728483-199] [23/03/2016 at 10:21:00]"/>
  </r>
  <r>
    <s v="3622735-1458728482-82"/>
    <s v="Spot"/>
    <s v="3622735-1458728482-82"/>
    <n v="0"/>
    <d v="2016-03-31T00:00:00"/>
    <x v="2325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735-1458728482-82] [23/03/2016 at 10:21:00]"/>
  </r>
  <r>
    <s v="3622729-1458728470-200"/>
    <s v="Spot"/>
    <s v="3622729-1458728470-200"/>
    <n v="0"/>
    <d v="2016-03-31T00:00:00"/>
    <x v="2326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2729-1458728470-200] [23/03/2016 at 10:21:00]"/>
  </r>
  <r>
    <s v="3622723-1458728454-216"/>
    <s v="Spot"/>
    <s v="3622723-1458728454-216"/>
    <n v="0"/>
    <d v="2016-03-31T00:00:00"/>
    <x v="2327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2723-1458728454-216] [23/03/2016 at 10:20:00]"/>
  </r>
  <r>
    <s v="3622717-1458728451-119"/>
    <s v="Spot"/>
    <s v="3622717-1458728451-119"/>
    <n v="0"/>
    <d v="2016-03-31T00:00:00"/>
    <x v="2328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2717-1458728451-119] [23/03/2016 at 10:20:00]"/>
  </r>
  <r>
    <s v="3622732-1458728482-119"/>
    <s v="Spot"/>
    <s v="3622732-1458728482-119"/>
    <n v="0"/>
    <d v="2016-03-31T00:00:00"/>
    <x v="2329"/>
    <s v="119"/>
    <s v="SELL"/>
    <n v="9.9505999999999997"/>
    <x v="0"/>
    <x v="1"/>
    <n v="497.53"/>
    <s v="Deal"/>
    <m/>
    <s v="Original Amount [EUR 50], Merchant Amount [EUR 50], Customer Amount [NOK 497.53], Status [APPROVED], Operation [3DAUTH], UUID [3622732-1458728482-119] [23/03/2016 at 10:21:00]"/>
  </r>
  <r>
    <s v="3622702-1458728434-187"/>
    <s v="Spot"/>
    <s v="3622702-1458728434-187"/>
    <n v="0"/>
    <d v="2016-03-31T00:00:00"/>
    <x v="2330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2702-1458728434-187] [23/03/2016 at 10:20:00]"/>
  </r>
  <r>
    <s v="3622699-1458728433-82"/>
    <s v="Spot"/>
    <s v="3622699-1458728433-82"/>
    <n v="0"/>
    <d v="2016-03-31T00:00:00"/>
    <x v="23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699-1458728433-82] [23/03/2016 at 10:20:00]"/>
  </r>
  <r>
    <s v="3622705-1458728443-56"/>
    <s v="Spot"/>
    <s v="3622705-1458728443-56"/>
    <n v="0"/>
    <d v="2016-03-31T00:00:00"/>
    <x v="2332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2705-1458728443-56] [23/03/2016 at 10:20:00]"/>
  </r>
  <r>
    <s v="3622687-1458728401-224"/>
    <s v="Spot"/>
    <s v="3622687-1458728401-224"/>
    <n v="0"/>
    <d v="2016-03-31T00:00:00"/>
    <x v="2333"/>
    <s v="224"/>
    <s v="SELL"/>
    <n v="132.83276216586702"/>
    <x v="0"/>
    <x v="3"/>
    <n v="1938.03"/>
    <s v="Deal"/>
    <m/>
    <s v="Original Amount [EUR 14.59], Merchant Amount [EUR 14.59], Customer Amount [JPY 1938.03], Status [APPROVED], Operation [DIRECT], UUID [3622687-1458728401-224] [23/03/2016 at 10:20:00]"/>
  </r>
  <r>
    <s v="3622684-1458728393-224"/>
    <s v="Spot"/>
    <s v="3622684-1458728393-224"/>
    <n v="0"/>
    <d v="2016-03-31T00:00:00"/>
    <x v="233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22684-1458728393-224] [23/03/2016 at 10:19:00]"/>
  </r>
  <r>
    <s v="3622681-1458728387-261"/>
    <s v="Spot"/>
    <s v="3622681-1458728387-261"/>
    <n v="0"/>
    <d v="2016-03-31T00:00:00"/>
    <x v="2335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22681-1458728387-261] [23/03/2016 at 10:19:00]"/>
  </r>
  <r>
    <s v="3623254-1458729246-102"/>
    <s v="Spot"/>
    <s v="3623254-1458729246-102"/>
    <n v="0"/>
    <d v="2016-03-31T00:00:00"/>
    <x v="2336"/>
    <s v="102"/>
    <s v="SELL"/>
    <n v="3.3978494623655915"/>
    <x v="0"/>
    <x v="0"/>
    <n v="31.6"/>
    <s v="Deal"/>
    <m/>
    <s v="Original Amount [EUR 9.3], Merchant Amount [EUR 9.3], Customer Amount [TRY 31.6], Status [APPROVED], Operation [3DAUTH], UUID [3623254-1458729246-102] [23/03/2016 at 10:34:00]"/>
  </r>
  <r>
    <s v="3622672-1458728368-224"/>
    <s v="Spot"/>
    <s v="3622672-1458728368-224"/>
    <n v="0"/>
    <d v="2016-03-31T00:00:00"/>
    <x v="2337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22672-1458728368-224] [23/03/2016 at 10:19:00]"/>
  </r>
  <r>
    <s v="3622660-1458728357-56"/>
    <s v="Spot"/>
    <s v="3622660-1458728357-56"/>
    <n v="0"/>
    <d v="2016-03-31T00:00:00"/>
    <x v="2338"/>
    <s v="56"/>
    <s v="SELL"/>
    <n v="3.3975"/>
    <x v="0"/>
    <x v="0"/>
    <n v="27.18"/>
    <s v="Deal"/>
    <m/>
    <s v="Original Amount [EUR 8], Merchant Amount [EUR 8], Customer Amount [TRY 27.18], Status [APPROVED], Operation [3DAUTH], UUID [3622660-1458728357-56] [23/03/2016 at 10:19:00]"/>
  </r>
  <r>
    <s v="3622651-1458728328-216"/>
    <s v="Spot"/>
    <s v="3622651-1458728328-216"/>
    <n v="0"/>
    <d v="2016-03-31T00:00:00"/>
    <x v="233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651-1458728328-216] [23/03/2016 at 10:18:00]"/>
  </r>
  <r>
    <s v="3622648-1458728327-102"/>
    <s v="Spot"/>
    <s v="3622648-1458728327-102"/>
    <n v="0"/>
    <d v="2016-03-31T00:00:00"/>
    <x v="2340"/>
    <s v="102"/>
    <s v="SELL"/>
    <n v="3.3978494623655915"/>
    <x v="0"/>
    <x v="0"/>
    <n v="31.6"/>
    <s v="Deal"/>
    <m/>
    <s v="Original Amount [EUR 9.3], Merchant Amount [EUR 9.3], Customer Amount [TRY 31.6], Status [WAITING], Operation [3D], UUID [3622648-1458728327-102] [23/03/2016 at 10:18:00]"/>
  </r>
  <r>
    <s v="3622645-1458728325-145"/>
    <s v="Spot"/>
    <s v="3622645-1458728325-145"/>
    <n v="0"/>
    <d v="2016-03-31T00:00:00"/>
    <x v="2341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2645-1458728325-145] [23/03/2016 at 10:18:00]"/>
  </r>
  <r>
    <s v="3622642-1458728325-224"/>
    <s v="Spot"/>
    <s v="3622642-1458728325-224"/>
    <n v="0"/>
    <d v="2016-03-31T00:00:00"/>
    <x v="2342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2642-1458728325-224] [23/03/2016 at 10:18:00]"/>
  </r>
  <r>
    <s v="3622639-1458728312-200"/>
    <s v="Spot"/>
    <s v="3622639-1458728312-200"/>
    <n v="0"/>
    <d v="2016-03-31T00:00:00"/>
    <x v="2343"/>
    <s v="200"/>
    <s v="SELL"/>
    <n v="9.9505999999999997"/>
    <x v="0"/>
    <x v="1"/>
    <n v="497.53"/>
    <s v="Deal"/>
    <m/>
    <s v="Original Amount [EUR 50], Merchant Amount [EUR 50], Customer Amount [NOK 497.53], Status [APPROVED], Operation [STORED], UUID [3622639-1458728312-200] [23/03/2016 at 10:18:00]"/>
  </r>
  <r>
    <s v="3622627-1458728293-224"/>
    <s v="Spot"/>
    <s v="3622627-1458728293-224"/>
    <n v="0"/>
    <d v="2016-03-31T00:00:00"/>
    <x v="2344"/>
    <s v="224"/>
    <s v="SELL"/>
    <n v="9.9506210861307878"/>
    <x v="0"/>
    <x v="1"/>
    <n v="969.29"/>
    <s v="Deal"/>
    <m/>
    <s v="Original Amount [EUR 97.41], Merchant Amount [EUR 97.41], Customer Amount [NOK 969.29], Status [APPROVED], Operation [DIRECT], UUID [3622627-1458728293-224] [23/03/2016 at 10:18:00]"/>
  </r>
  <r>
    <s v="3622630-1458728303-56"/>
    <s v="Spot"/>
    <s v="3622630-1458728303-56"/>
    <n v="0"/>
    <d v="2016-03-31T00:00:00"/>
    <x v="2345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2630-1458728303-56] [23/03/2016 at 10:18:00]"/>
  </r>
  <r>
    <s v="3622618-1458728275-199"/>
    <s v="Spot"/>
    <s v="3622618-1458728275-199"/>
    <n v="0"/>
    <d v="2016-03-31T00:00:00"/>
    <x v="234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2618-1458728275-199] [23/03/2016 at 10:17:00]"/>
  </r>
  <r>
    <s v="3622609-1458728267-119"/>
    <s v="Spot"/>
    <s v="3622609-1458728267-119"/>
    <n v="0"/>
    <d v="2016-03-31T00:00:00"/>
    <x v="2347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2609-1458728267-119] [23/03/2016 at 10:17:00]"/>
  </r>
  <r>
    <s v="3622606-1458728261-126"/>
    <s v="Spot"/>
    <s v="3622606-1458728261-126"/>
    <n v="0"/>
    <d v="2016-03-31T00:00:00"/>
    <x v="23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2606-1458728261-126] [23/03/2016 at 10:17:00]"/>
  </r>
  <r>
    <s v="3622585-1458728246-82"/>
    <s v="Spot"/>
    <s v="3622585-1458728246-82"/>
    <n v="0"/>
    <d v="2016-03-31T00:00:00"/>
    <x v="2349"/>
    <s v="82"/>
    <s v="SELL"/>
    <n v="0.8362068965517242"/>
    <x v="0"/>
    <x v="4"/>
    <n v="1.94"/>
    <s v="Deal"/>
    <m/>
    <s v="Original Amount [GBP 1.94], Merchant Amount [EUR 2.32], Customer Amount [GBP 1.94], Status [APPROVED], Operation [DIRECT], UUID [3622585-1458728246-82] [23/03/2016 at 10:17:00]"/>
  </r>
  <r>
    <s v="3622582-1458728242-119"/>
    <s v="Spot"/>
    <s v="3622582-1458728242-119"/>
    <n v="0"/>
    <d v="2016-03-31T00:00:00"/>
    <x v="2350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22582-1458728242-119] [23/03/2016 at 10:17:00]"/>
  </r>
  <r>
    <s v="3622591-1458728250-107"/>
    <s v="Spot"/>
    <s v="3622591-1458728250-107"/>
    <n v="0"/>
    <d v="2016-03-31T00:00:00"/>
    <x v="2351"/>
    <s v="107"/>
    <s v="SELL"/>
    <n v="3.397371472748357"/>
    <x v="0"/>
    <x v="0"/>
    <n v="87.89"/>
    <s v="Deal"/>
    <m/>
    <s v="Original Amount [EUR 25.87], Merchant Amount [EUR 25.87], Customer Amount [TRY 87.89], Status [APPROVED], Operation [3DAUTH], UUID [3622591-1458728250-107] [23/03/2016 at 10:17:00]"/>
  </r>
  <r>
    <s v="3622573-1458728228-238"/>
    <s v="Spot"/>
    <s v="3622573-1458728228-238"/>
    <n v="0"/>
    <d v="2016-03-31T00:00:00"/>
    <x v="235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573-1458728228-238] [23/03/2016 at 10:17:00]"/>
  </r>
  <r>
    <s v="3622600-1458728257-203"/>
    <s v="Spot"/>
    <s v="3622600-1458728257-203"/>
    <n v="0"/>
    <d v="2016-03-31T00:00:00"/>
    <x v="2353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2600-1458728257-203] [23/03/2016 at 10:17:00]"/>
  </r>
  <r>
    <s v="3622567-1458728226-126"/>
    <s v="Spot"/>
    <s v="3622567-1458728226-126"/>
    <n v="0"/>
    <d v="2016-03-31T00:00:00"/>
    <x v="2354"/>
    <s v="126"/>
    <s v="SELL"/>
    <n v="9.9505691056910575"/>
    <x v="0"/>
    <x v="1"/>
    <n v="305.98"/>
    <s v="Deal"/>
    <m/>
    <s v="Original Amount [EUR 30.75], Merchant Amount [EUR 30.75], Customer Amount [NOK 305.98], Status [APPROVED], Operation [DIRECT], UUID [3622567-1458728226-126] [23/03/2016 at 10:17:00]"/>
  </r>
  <r>
    <s v="3622564-1458728215-82"/>
    <s v="Spot"/>
    <s v="3622564-1458728215-82"/>
    <n v="0"/>
    <d v="2016-03-31T00:00:00"/>
    <x v="235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22564-1458728215-82] [23/03/2016 at 10:16:00]"/>
  </r>
  <r>
    <s v="3622555-1458728199-119"/>
    <s v="Spot"/>
    <s v="3622555-1458728199-119"/>
    <n v="0"/>
    <d v="2016-03-31T00:00:00"/>
    <x v="23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2555-1458728199-119] [23/03/2016 at 10:16:00]"/>
  </r>
  <r>
    <s v="3622549-1458728181-145"/>
    <s v="Spot"/>
    <s v="3622549-1458728181-145"/>
    <n v="0"/>
    <d v="2016-03-31T00:00:00"/>
    <x v="2357"/>
    <s v="145"/>
    <s v="SELL"/>
    <n v="9.9509665252239508"/>
    <x v="0"/>
    <x v="1"/>
    <n v="211.06"/>
    <s v="Deal"/>
    <m/>
    <s v="Original Amount [EUR 21.21], Merchant Amount [EUR 21.21], Customer Amount [NOK 211.06], Status [APPROVED], Operation [DIRECT], UUID [3622549-1458728181-145] [23/03/2016 at 10:16:00]"/>
  </r>
  <r>
    <s v="3622546-1458728173-216"/>
    <s v="Spot"/>
    <s v="3622546-1458728173-216"/>
    <n v="0"/>
    <d v="2016-03-31T00:00:00"/>
    <x v="2358"/>
    <s v="216"/>
    <s v="SELL"/>
    <n v="3.3973097112860891"/>
    <x v="0"/>
    <x v="0"/>
    <n v="103.55"/>
    <s v="Deal"/>
    <m/>
    <s v="Original Amount [EUR 30.48], Merchant Amount [EUR 30.48], Customer Amount [TRY 103.55], Status [WAITING], Operation [3D], UUID [3622546-1458728173-216] [23/03/2016 at 10:16:00]"/>
  </r>
  <r>
    <s v="3622540-1458728165-224"/>
    <s v="Spot"/>
    <s v="3622540-1458728165-224"/>
    <n v="0"/>
    <d v="2016-03-31T00:00:00"/>
    <x v="2359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22540-1458728165-224] [23/03/2016 at 10:16:00]"/>
  </r>
  <r>
    <s v="3622552-1458728193-216"/>
    <s v="Spot"/>
    <s v="3622552-1458728193-216"/>
    <n v="0"/>
    <d v="2016-03-31T00:00:00"/>
    <x v="2360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2552-1458728193-216] [23/03/2016 at 10:16:00]"/>
  </r>
  <r>
    <s v="3622519-1458728133-216"/>
    <s v="Spot"/>
    <s v="3622519-1458728133-216"/>
    <n v="0"/>
    <d v="2016-03-31T00:00:00"/>
    <x v="2361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519-1458728133-216] [23/03/2016 at 10:15:00]"/>
  </r>
  <r>
    <s v="3622513-1458728128-224"/>
    <s v="Spot"/>
    <s v="3622513-1458728128-224"/>
    <n v="0"/>
    <d v="2016-03-31T00:00:00"/>
    <x v="2362"/>
    <s v="224"/>
    <s v="SELL"/>
    <n v="132.99332906881111"/>
    <x v="0"/>
    <x v="3"/>
    <n v="14553.46"/>
    <s v="Deal"/>
    <m/>
    <s v="Original Amount [EUR 109.43], Merchant Amount [EUR 109.43], Customer Amount [JPY 14553.46], Status [APPROVED], Operation [DIRECT], UUID [3622513-1458728128-224] [23/03/2016 at 10:15:00]"/>
  </r>
  <r>
    <s v="3622528-1458728148-56"/>
    <s v="Spot"/>
    <s v="3622528-1458728148-56"/>
    <n v="0"/>
    <d v="2016-03-31T00:00:00"/>
    <x v="2363"/>
    <s v="56"/>
    <s v="SELL"/>
    <n v="3.3975"/>
    <x v="0"/>
    <x v="0"/>
    <n v="27.18"/>
    <s v="Deal"/>
    <m/>
    <s v="Original Amount [EUR 8], Merchant Amount [EUR 8], Customer Amount [TRY 27.18], Status [APPROVED], Operation [3DAUTH], UUID [3622528-1458728148-56] [23/03/2016 at 10:15:00]"/>
  </r>
  <r>
    <s v="3622486-1458728113-187"/>
    <s v="Spot"/>
    <s v="3622486-1458728113-187"/>
    <n v="0"/>
    <d v="2016-03-31T00:00:00"/>
    <x v="236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2486-1458728113-187] [23/03/2016 at 10:15:00]"/>
  </r>
  <r>
    <s v="3622504-1458728123-216"/>
    <s v="Spot"/>
    <s v="3622504-1458728123-216"/>
    <n v="0"/>
    <d v="2016-03-31T00:00:00"/>
    <x v="2365"/>
    <s v="216"/>
    <s v="SELL"/>
    <n v="3.3919845692241752"/>
    <x v="0"/>
    <x v="0"/>
    <n v="158.27000000000001"/>
    <s v="Deal"/>
    <m/>
    <s v="Original Amount [EUR 46.66], Merchant Amount [EUR 46.66], Customer Amount [TRY 158.27], Status [APPROVED], Operation [3DAUTH], UUID [3622504-1458728123-216] [23/03/2016 at 10:15:00]"/>
  </r>
  <r>
    <s v="3622522-1458728134-150"/>
    <s v="Spot"/>
    <s v="3622522-1458728134-150"/>
    <n v="0"/>
    <d v="2016-03-31T00:00:00"/>
    <x v="2366"/>
    <s v="150"/>
    <s v="SELL"/>
    <n v="3.3923778851315087"/>
    <x v="0"/>
    <x v="0"/>
    <n v="63.2"/>
    <s v="Deal"/>
    <m/>
    <s v="Original Amount [EUR 18.63], Merchant Amount [EUR 18.63], Customer Amount [TRY 63.2], Status [APPROVED], Operation [3DAUTH], UUID [3622522-1458728134-150] [23/03/2016 at 10:15:00]"/>
  </r>
  <r>
    <s v="3622525-1458728135-216"/>
    <s v="Spot"/>
    <s v="3622525-1458728135-216"/>
    <n v="0"/>
    <d v="2016-03-31T00:00:00"/>
    <x v="2367"/>
    <s v="216"/>
    <s v="SELL"/>
    <n v="3.391938250428816"/>
    <x v="0"/>
    <x v="0"/>
    <n v="39.549999999999997"/>
    <s v="Deal"/>
    <m/>
    <s v="Original Amount [EUR 11.66], Merchant Amount [EUR 11.66], Customer Amount [TRY 39.55], Status [APPROVED], Operation [3DAUTH], UUID [3622525-1458728135-216] [23/03/2016 at 10:15:00]"/>
  </r>
  <r>
    <s v="3622456-1458728081-224"/>
    <s v="Spot"/>
    <s v="3622456-1458728081-224"/>
    <n v="0"/>
    <d v="2016-03-31T00:00:00"/>
    <x v="2368"/>
    <s v="224"/>
    <s v="SELL"/>
    <n v="9.942018942018942"/>
    <x v="0"/>
    <x v="1"/>
    <n v="430.39"/>
    <s v="Deal"/>
    <m/>
    <s v="Original Amount [EUR 43.29], Merchant Amount [EUR 43.29], Customer Amount [NOK 430.39], Status [APPROVED], Operation [DIRECT], UUID [3622456-1458728081-224] [23/03/2016 at 10:14:00]"/>
  </r>
  <r>
    <s v="3622438-1458728051-216"/>
    <s v="Spot"/>
    <s v="3622438-1458728051-216"/>
    <n v="0"/>
    <d v="2016-03-31T00:00:00"/>
    <x v="2369"/>
    <s v="216"/>
    <s v="SELL"/>
    <n v="3.3922829581993565"/>
    <x v="0"/>
    <x v="0"/>
    <n v="52.75"/>
    <s v="Deal"/>
    <m/>
    <s v="Original Amount [EUR 15.55], Merchant Amount [EUR 15.55], Customer Amount [TRY 52.75], Status [WAITING], Operation [3D], UUID [3622438-1458728051-216] [23/03/2016 at 10:14:00]"/>
  </r>
  <r>
    <s v="3622435-1458728048-200"/>
    <s v="Spot"/>
    <s v="3622435-1458728048-200"/>
    <n v="0"/>
    <d v="2016-03-31T00:00:00"/>
    <x v="2370"/>
    <s v="200"/>
    <s v="SELL"/>
    <n v="9.9417999999999989"/>
    <x v="0"/>
    <x v="1"/>
    <n v="994.18"/>
    <s v="Deal"/>
    <m/>
    <s v="Original Amount [EUR 100], Merchant Amount [EUR 100], Customer Amount [NOK 994.18], Status [APPROVED], Operation [STORED], UUID [3622435-1458728048-200] [23/03/2016 at 10:14:00]"/>
  </r>
  <r>
    <s v="3622423-1458728037-199"/>
    <s v="Spot"/>
    <s v="3622423-1458728037-199"/>
    <n v="0"/>
    <d v="2016-03-31T00:00:00"/>
    <x v="2371"/>
    <s v="199"/>
    <s v="SELL"/>
    <n v="9.9423312883435582"/>
    <x v="0"/>
    <x v="1"/>
    <n v="162.06"/>
    <s v="Deal"/>
    <m/>
    <s v="Original Amount [EUR 16.3], Merchant Amount [EUR 16.3], Customer Amount [NOK 162.06], Status [APPROVED], Operation [DIRECT], UUID [3622423-1458728037-199] [23/03/2016 at 10:13:00]"/>
  </r>
  <r>
    <s v="3622453-1458728080-216"/>
    <s v="Spot"/>
    <s v="3622453-1458728080-216"/>
    <n v="0"/>
    <d v="2016-03-31T00:00:00"/>
    <x v="2372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53-1458728080-216] [23/03/2016 at 10:14:00]"/>
  </r>
  <r>
    <s v="3622417-1458728024-119"/>
    <s v="Spot"/>
    <s v="3622417-1458728024-119"/>
    <n v="0"/>
    <d v="2016-03-31T00:00:00"/>
    <x v="2373"/>
    <s v="119"/>
    <s v="SELL"/>
    <n v="9.9417999999999989"/>
    <x v="0"/>
    <x v="1"/>
    <n v="994.18"/>
    <s v="Deal"/>
    <m/>
    <s v="Original Amount [EUR 100], Merchant Amount [EUR 100], Customer Amount [NOK 994.18], Status [APPROVED], Operation [DIRECT], UUID [3622417-1458728024-119] [23/03/2016 at 10:13:00]"/>
  </r>
  <r>
    <s v="3622444-1458728054-216"/>
    <s v="Spot"/>
    <s v="3622444-1458728054-216"/>
    <n v="0"/>
    <d v="2016-03-31T00:00:00"/>
    <x v="2374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444-1458728054-216] [23/03/2016 at 10:14:00]"/>
  </r>
  <r>
    <s v="3622432-1458728047-216"/>
    <s v="Spot"/>
    <s v="3622432-1458728047-216"/>
    <n v="0"/>
    <d v="2016-03-31T00:00:00"/>
    <x v="2375"/>
    <s v="216"/>
    <s v="SELL"/>
    <n v="3.391933330036105"/>
    <x v="0"/>
    <x v="0"/>
    <n v="1371.63"/>
    <s v="Deal"/>
    <m/>
    <s v="Original Amount [EUR 404.38], Merchant Amount [EUR 404.38], Customer Amount [TRY 1371.63], Status [APPROVED], Operation [3DAUTH], UUID [3622432-1458728047-216] [23/03/2016 at 10:14:00]"/>
  </r>
  <r>
    <s v="3622447-1458728059-101"/>
    <s v="Spot"/>
    <s v="3622447-1458728059-101"/>
    <n v="0"/>
    <d v="2016-03-31T00:00:00"/>
    <x v="2376"/>
    <s v="101"/>
    <s v="SELL"/>
    <n v="3.3923723335488036"/>
    <x v="0"/>
    <x v="0"/>
    <n v="52.48"/>
    <s v="Deal"/>
    <m/>
    <s v="Original Amount [EUR 15.47], Merchant Amount [EUR 15.47], Customer Amount [TRY 52.48], Status [APPROVED], Operation [3DAUTH], UUID [3622447-1458728059-101] [23/03/2016 at 10:14:00]"/>
  </r>
  <r>
    <s v="3622375-1458727987-82"/>
    <s v="Spot"/>
    <s v="3622375-1458727987-82"/>
    <n v="0"/>
    <d v="2016-03-31T00:00:00"/>
    <x v="237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375-1458727987-82] [23/03/2016 at 10:13:00]"/>
  </r>
  <r>
    <s v="3622408-1458728019-216"/>
    <s v="Spot"/>
    <s v="3622408-1458728019-216"/>
    <n v="0"/>
    <d v="2016-03-31T00:00:00"/>
    <x v="237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08-1458728019-216] [23/03/2016 at 10:13:00]"/>
  </r>
  <r>
    <s v="3622411-1458728022-203"/>
    <s v="Spot"/>
    <s v="3622411-1458728022-203"/>
    <n v="0"/>
    <d v="2016-03-31T00:00:00"/>
    <x v="2379"/>
    <s v="203"/>
    <s v="SELL"/>
    <n v="3.3922580645161293"/>
    <x v="0"/>
    <x v="0"/>
    <n v="78.87"/>
    <s v="Deal"/>
    <m/>
    <s v="Original Amount [EUR 23.25], Merchant Amount [EUR 23.25], Customer Amount [TRY 78.87], Status [APPROVED], Operation [3DAUTH], UUID [3622411-1458728022-203] [23/03/2016 at 10:13:00]"/>
  </r>
  <r>
    <s v="3622357-1458727972-119"/>
    <s v="Spot"/>
    <s v="3622357-1458727972-119"/>
    <n v="0"/>
    <d v="2016-03-31T00:00:00"/>
    <x v="2380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357-1458727972-119] [23/03/2016 at 10:12:00]"/>
  </r>
  <r>
    <s v="3622390-1458728002-56"/>
    <s v="Spot"/>
    <s v="3622390-1458728002-56"/>
    <n v="0"/>
    <d v="2016-03-31T00:00:00"/>
    <x v="2381"/>
    <s v="56"/>
    <s v="SELL"/>
    <n v="3.3921323758975959"/>
    <x v="0"/>
    <x v="0"/>
    <n v="108.65"/>
    <s v="Deal"/>
    <m/>
    <s v="Original Amount [EUR 32.03], Merchant Amount [EUR 32.03], Customer Amount [TRY 108.65], Status [APPROVED], Operation [3DAUTH], UUID [3622390-1458728002-56] [23/03/2016 at 10:13:00]"/>
  </r>
  <r>
    <s v="3622336-1458727955-82"/>
    <s v="Spot"/>
    <s v="3622336-1458727955-82"/>
    <n v="0"/>
    <d v="2016-03-31T00:00:00"/>
    <x v="23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336-1458727955-82] [23/03/2016 at 10:12:00]"/>
  </r>
  <r>
    <s v="3622342-1458727967-264"/>
    <s v="Spot"/>
    <s v="3622342-1458727967-264"/>
    <n v="0"/>
    <d v="2016-03-31T00:00:00"/>
    <x v="2383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2342-1458727967-264] [23/03/2016 at 10:12:00]"/>
  </r>
  <r>
    <s v="3622345-1458727968-216"/>
    <s v="Spot"/>
    <s v="3622345-1458727968-216"/>
    <n v="0"/>
    <d v="2016-03-31T00:00:00"/>
    <x v="2384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345-1458727968-216] [23/03/2016 at 10:12:00]"/>
  </r>
  <r>
    <s v="3622327-1458727945-187"/>
    <s v="Spot"/>
    <s v="3622327-1458727945-187"/>
    <n v="0"/>
    <d v="2016-03-31T00:00:00"/>
    <x v="2385"/>
    <s v="187"/>
    <s v="SELL"/>
    <n v="9.9418622971482584"/>
    <x v="0"/>
    <x v="1"/>
    <n v="631.01"/>
    <s v="Deal"/>
    <m/>
    <s v="Original Amount [EUR 63.47], Merchant Amount [EUR 63.47], Customer Amount [NOK 631.01], Status [APPROVED], Operation [DIRECT], UUID [3622327-1458727945-187] [23/03/2016 at 10:12:00]"/>
  </r>
  <r>
    <s v="3622384-1458727996-101"/>
    <s v="Spot"/>
    <s v="3622384-1458727996-101"/>
    <n v="0"/>
    <d v="2016-03-31T00:00:00"/>
    <x v="2386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384-1458727996-101] [23/03/2016 at 10:13:00]"/>
  </r>
  <r>
    <s v="3622348-1458727968-216"/>
    <s v="Spot"/>
    <s v="3622348-1458727968-216"/>
    <n v="0"/>
    <d v="2016-03-31T00:00:00"/>
    <x v="2387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348-1458727968-216] [23/03/2016 at 10:12:00]"/>
  </r>
  <r>
    <s v="3622309-1458727927-82"/>
    <s v="Spot"/>
    <s v="3622309-1458727927-82"/>
    <n v="0"/>
    <d v="2016-03-31T00:00:00"/>
    <x v="2388"/>
    <s v="82"/>
    <s v="SELL"/>
    <n v="0.83539603960396036"/>
    <x v="0"/>
    <x v="4"/>
    <n v="13.5"/>
    <s v="Deal"/>
    <m/>
    <s v="Original Amount [GBP 13.5], Merchant Amount [EUR 16.16], Customer Amount [GBP 13.5], Status [APPROVED], Operation [DIRECT], UUID [3622309-1458727927-82] [23/03/2016 at 10:12:00]"/>
  </r>
  <r>
    <s v="3622297-1458727923-216"/>
    <s v="Spot"/>
    <s v="3622297-1458727923-216"/>
    <n v="0"/>
    <d v="2016-03-31T00:00:00"/>
    <x v="2389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297-1458727923-216] [23/03/2016 at 10:12:00]"/>
  </r>
  <r>
    <s v="3622318-1458727938-101"/>
    <s v="Spot"/>
    <s v="3622318-1458727938-101"/>
    <n v="0"/>
    <d v="2016-03-31T00:00:00"/>
    <x v="2390"/>
    <s v="101"/>
    <s v="SELL"/>
    <n v="3.3970657093803656"/>
    <x v="0"/>
    <x v="0"/>
    <n v="435.3"/>
    <s v="Deal"/>
    <m/>
    <s v="Original Amount [EUR 128.14], Merchant Amount [EUR 128.14], Customer Amount [TRY 435.3], Status [APPROVED], Operation [3DAUTH], UUID [3622318-1458727938-101] [23/03/2016 at 10:12:00]"/>
  </r>
  <r>
    <s v="3622273-1458727903-199"/>
    <s v="Spot"/>
    <s v="3622273-1458727903-199"/>
    <n v="0"/>
    <d v="2016-03-31T00:00:00"/>
    <x v="2391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22273-1458727903-199] [23/03/2016 at 10:11:00]"/>
  </r>
  <r>
    <s v="3622315-1458727931-216"/>
    <s v="Spot"/>
    <s v="3622315-1458727931-216"/>
    <n v="0"/>
    <d v="2016-03-31T00:00:00"/>
    <x v="2392"/>
    <s v="216"/>
    <s v="SELL"/>
    <n v="3.397128161165881"/>
    <x v="0"/>
    <x v="0"/>
    <n v="158.51"/>
    <s v="Deal"/>
    <m/>
    <s v="Original Amount [EUR 46.66], Merchant Amount [EUR 46.66], Customer Amount [TRY 158.51], Status [APPROVED], Operation [3DAUTH], UUID [3622315-1458727931-216] [23/03/2016 at 10:12:00]"/>
  </r>
  <r>
    <s v="3622255-1458727886-224"/>
    <s v="Spot"/>
    <s v="3622255-1458727886-224"/>
    <n v="0"/>
    <d v="2016-03-31T00:00:00"/>
    <x v="239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2255-1458727886-224] [23/03/2016 at 10:11:00]"/>
  </r>
  <r>
    <s v="3622279-1458727906-151"/>
    <s v="Spot"/>
    <s v="3622279-1458727906-151"/>
    <n v="0"/>
    <d v="2016-03-31T00:00:00"/>
    <x v="2394"/>
    <s v="151"/>
    <s v="SELL"/>
    <n v="3.3970694791079623"/>
    <x v="0"/>
    <x v="0"/>
    <n v="421.95"/>
    <s v="Deal"/>
    <m/>
    <s v="Original Amount [EUR 124.21], Merchant Amount [EUR 124.21], Customer Amount [TRY 421.95], Status [APPROVED], Operation [3DAUTH], UUID [3622279-1458727906-151] [23/03/2016 at 10:11:00]"/>
  </r>
  <r>
    <s v="3622246-1458727876-224"/>
    <s v="Spot"/>
    <s v="3622246-1458727876-224"/>
    <n v="0"/>
    <d v="2016-03-31T00:00:00"/>
    <x v="2395"/>
    <s v="224"/>
    <s v="SELL"/>
    <n v="9.9545609416137513"/>
    <x v="0"/>
    <x v="1"/>
    <n v="3213.83"/>
    <s v="Deal"/>
    <m/>
    <s v="Original Amount [EUR 322.85], Merchant Amount [EUR 322.85], Customer Amount [NOK 3213.83], Status [APPROVED], Operation [DIRECT], UUID [3622246-1458727876-224] [23/03/2016 at 10:11:00]"/>
  </r>
  <r>
    <s v="3622243-1458727870-126"/>
    <s v="Spot"/>
    <s v="3622243-1458727870-126"/>
    <n v="0"/>
    <d v="2016-03-31T00:00:00"/>
    <x v="239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43-1458727870-126] [23/03/2016 at 10:11:00]"/>
  </r>
  <r>
    <s v="3622240-1458727870-216"/>
    <s v="Spot"/>
    <s v="3622240-1458727870-216"/>
    <n v="0"/>
    <d v="2016-03-31T00:00:00"/>
    <x v="2397"/>
    <s v="216"/>
    <s v="SELL"/>
    <n v="3.3972999035679847"/>
    <x v="0"/>
    <x v="0"/>
    <n v="105.69"/>
    <s v="Deal"/>
    <m/>
    <s v="Original Amount [EUR 31.11], Merchant Amount [EUR 31.11], Customer Amount [TRY 105.69], Status [WAITING], Operation [3D], UUID [3622240-1458727870-216] [23/03/2016 at 10:11:00]"/>
  </r>
  <r>
    <s v="3622237-1458727865-126"/>
    <s v="Spot"/>
    <s v="3622237-1458727865-126"/>
    <n v="0"/>
    <d v="2016-03-31T00:00:00"/>
    <x v="239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22237-1458727865-126] [23/03/2016 at 10:11:00]"/>
  </r>
  <r>
    <s v="3622231-1458727856-126"/>
    <s v="Spot"/>
    <s v="3622231-1458727856-126"/>
    <n v="0"/>
    <d v="2016-03-31T00:00:00"/>
    <x v="2399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31-1458727856-126] [23/03/2016 at 10:10:00]"/>
  </r>
  <r>
    <s v="3622225-1458727853-224"/>
    <s v="Spot"/>
    <s v="3622225-1458727853-224"/>
    <n v="0"/>
    <d v="2016-03-31T00:00:00"/>
    <x v="2400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2225-1458727853-224] [23/03/2016 at 10:10:00]"/>
  </r>
  <r>
    <s v="3622222-1458727849-224"/>
    <s v="Spot"/>
    <s v="3622222-1458727849-224"/>
    <n v="0"/>
    <d v="2016-03-31T00:00:00"/>
    <x v="2401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2222-1458727849-224] [23/03/2016 at 10:10:00]"/>
  </r>
  <r>
    <s v="3622261-1458727891-216"/>
    <s v="Spot"/>
    <s v="3622261-1458727891-216"/>
    <n v="0"/>
    <d v="2016-03-31T00:00:00"/>
    <x v="2402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261-1458727891-216] [23/03/2016 at 10:11:00]"/>
  </r>
  <r>
    <s v="3622204-1458727824-82"/>
    <s v="Spot"/>
    <s v="3622204-1458727824-82"/>
    <n v="0"/>
    <d v="2016-03-31T00:00:00"/>
    <x v="2403"/>
    <s v="82"/>
    <s v="SELL"/>
    <n v="1.1866125760649089"/>
    <x v="0"/>
    <x v="7"/>
    <n v="40.950000000000003"/>
    <s v="Deal"/>
    <m/>
    <s v="Original Amount [USD 40.95], Merchant Amount [EUR 34.51], Customer Amount [USD 40.95], Status [APPROVED], Operation [DIRECT], UUID [3622204-1458727824-82] [23/03/2016 at 10:10:00]"/>
  </r>
  <r>
    <s v="3622201-1458727819-224"/>
    <s v="Spot"/>
    <s v="3622201-1458727819-224"/>
    <n v="0"/>
    <d v="2016-03-31T00:00:00"/>
    <x v="2404"/>
    <s v="224"/>
    <s v="SELL"/>
    <n v="132.882796435915"/>
    <x v="0"/>
    <x v="3"/>
    <n v="9693.7999999999993"/>
    <s v="Deal"/>
    <m/>
    <s v="Original Amount [EUR 72.95], Merchant Amount [EUR 72.95], Customer Amount [JPY 9693.8], Status [APPROVED], Operation [DIRECT], UUID [3622201-1458727819-224] [23/03/2016 at 10:10:00]"/>
  </r>
  <r>
    <s v="3622195-1458727817-126"/>
    <s v="Spot"/>
    <s v="3622195-1458727817-126"/>
    <n v="0"/>
    <d v="2016-03-31T00:00:00"/>
    <x v="240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2195-1458727817-126] [23/03/2016 at 10:10:00]"/>
  </r>
  <r>
    <s v="3622186-1458727810-216"/>
    <s v="Spot"/>
    <s v="3622186-1458727810-216"/>
    <n v="0"/>
    <d v="2016-03-31T00:00:00"/>
    <x v="240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2186-1458727810-216] [23/03/2016 at 10:10:00]"/>
  </r>
  <r>
    <s v="3622177-1458727789-261"/>
    <s v="Spot"/>
    <s v="3622177-1458727789-261"/>
    <n v="0"/>
    <d v="2016-03-31T00:00:00"/>
    <x v="240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2177-1458727789-261] [23/03/2016 at 10:09:00]"/>
  </r>
  <r>
    <s v="3622168-1458727767-200"/>
    <s v="Spot"/>
    <s v="3622168-1458727767-200"/>
    <n v="0"/>
    <d v="2016-03-31T00:00:00"/>
    <x v="240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2168-1458727767-200] [23/03/2016 at 10:09:00]"/>
  </r>
  <r>
    <s v="3622174-1458727784-216"/>
    <s v="Spot"/>
    <s v="3622174-1458727784-216"/>
    <n v="0"/>
    <d v="2016-03-31T00:00:00"/>
    <x v="2409"/>
    <s v="216"/>
    <s v="SELL"/>
    <n v="3.397068278256397"/>
    <x v="0"/>
    <x v="0"/>
    <n v="264.19"/>
    <s v="Deal"/>
    <m/>
    <s v="Original Amount [EUR 77.77], Merchant Amount [EUR 77.77], Customer Amount [TRY 264.19], Status [APPROVED], Operation [3DAUTH], UUID [3622174-1458727784-216] [23/03/2016 at 10:09:00]"/>
  </r>
  <r>
    <s v="3622162-1458727765-224"/>
    <s v="Spot"/>
    <s v="3622162-1458727765-224"/>
    <n v="0"/>
    <d v="2016-03-31T00:00:00"/>
    <x v="2410"/>
    <s v="224"/>
    <s v="SELL"/>
    <n v="132.88301462317207"/>
    <x v="0"/>
    <x v="3"/>
    <n v="4725.32"/>
    <s v="Deal"/>
    <m/>
    <s v="Original Amount [EUR 35.56], Merchant Amount [EUR 35.56], Customer Amount [JPY 4725.32], Status [APPROVED], Operation [DIRECT], UUID [3622162-1458727765-224] [23/03/2016 at 10:09:00]"/>
  </r>
  <r>
    <s v="3622198-1458727819-102"/>
    <s v="Spot"/>
    <s v="3622198-1458727819-102"/>
    <n v="0"/>
    <d v="2016-03-31T00:00:00"/>
    <x v="2411"/>
    <s v="102"/>
    <s v="SELL"/>
    <n v="3.3970967741935483"/>
    <x v="0"/>
    <x v="0"/>
    <n v="105.31"/>
    <s v="Deal"/>
    <m/>
    <s v="Original Amount [EUR 31], Merchant Amount [EUR 31], Customer Amount [TRY 105.31], Status [APPROVED], Operation [3DAUTH], UUID [3622198-1458727819-102] [23/03/2016 at 10:10:00]"/>
  </r>
  <r>
    <s v="3622144-1458727744-238"/>
    <s v="Spot"/>
    <s v="3622144-1458727744-238"/>
    <n v="0"/>
    <d v="2016-03-31T00:00:00"/>
    <x v="241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144-1458727744-238] [23/03/2016 at 10:09:00]"/>
  </r>
  <r>
    <s v="3622135-1458727735-224"/>
    <s v="Spot"/>
    <s v="3622135-1458727735-224"/>
    <n v="0"/>
    <d v="2016-03-31T00:00:00"/>
    <x v="2413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22135-1458727735-224] [23/03/2016 at 10:08:00]"/>
  </r>
  <r>
    <s v="3622129-1458727723-224"/>
    <s v="Spot"/>
    <s v="3622129-1458727723-224"/>
    <n v="0"/>
    <d v="2016-03-31T00:00:00"/>
    <x v="2414"/>
    <s v="224"/>
    <s v="SELL"/>
    <n v="9.9418478260869563"/>
    <x v="0"/>
    <x v="1"/>
    <n v="914.65"/>
    <s v="Deal"/>
    <m/>
    <s v="Original Amount [EUR 92], Merchant Amount [EUR 92], Customer Amount [NOK 914.65], Status [APPROVED], Operation [DIRECT], UUID [3622129-1458727723-224] [23/03/2016 at 10:08:00]"/>
  </r>
  <r>
    <s v="3622120-1458727716-187"/>
    <s v="Spot"/>
    <s v="3622120-1458727716-187"/>
    <n v="0"/>
    <d v="2016-03-31T00:00:00"/>
    <x v="2415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2120-1458727716-187] [23/03/2016 at 10:08:00]"/>
  </r>
  <r>
    <s v="3622114-1458727709-119"/>
    <s v="Spot"/>
    <s v="3622114-1458727709-119"/>
    <n v="0"/>
    <d v="2016-03-31T00:00:00"/>
    <x v="2416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114-1458727709-119] [23/03/2016 at 10:08:00]"/>
  </r>
  <r>
    <s v="3622111-1458727702-134"/>
    <s v="Spot"/>
    <s v="3622111-1458727702-134"/>
    <n v="0"/>
    <d v="2016-03-31T00:00:00"/>
    <x v="2417"/>
    <s v="134"/>
    <s v="SELL"/>
    <n v="132.8324289173917"/>
    <x v="0"/>
    <x v="3"/>
    <n v="59237.95"/>
    <s v="Deal"/>
    <m/>
    <s v="Original Amount [EUR 445.96], Merchant Amount [EUR 445.96], Customer Amount [JPY 59237.95], Status [APPROVED], Operation [STORED], UUID [3622111-1458727702-134] [23/03/2016 at 10:08:00]"/>
  </r>
  <r>
    <s v="3622102-1458727698-82"/>
    <s v="Spot"/>
    <s v="3622102-1458727698-82"/>
    <n v="0"/>
    <d v="2016-03-31T00:00:00"/>
    <x v="241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102-1458727698-82] [23/03/2016 at 10:08:00]"/>
  </r>
  <r>
    <s v="3622099-1458727692-261"/>
    <s v="Spot"/>
    <s v="3622099-1458727692-261"/>
    <n v="0"/>
    <d v="2016-03-31T00:00:00"/>
    <x v="2419"/>
    <s v="261"/>
    <s v="SELL"/>
    <n v="9.9418582912693942"/>
    <x v="0"/>
    <x v="1"/>
    <n v="531.79"/>
    <s v="Deal"/>
    <m/>
    <s v="Original Amount [EUR 53.49], Merchant Amount [EUR 53.49], Customer Amount [NOK 531.79], Status [APPROVED], Operation [DIRECT], UUID [3622099-1458727692-261] [23/03/2016 at 10:08:00]"/>
  </r>
  <r>
    <s v="3622081-1458727678-82"/>
    <s v="Spot"/>
    <s v="3622081-1458727678-82"/>
    <n v="0"/>
    <d v="2016-03-31T00:00:00"/>
    <x v="242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81-1458727678-82] [23/03/2016 at 10:07:00]"/>
  </r>
  <r>
    <s v="3622078-1458727673-216"/>
    <s v="Spot"/>
    <s v="3622078-1458727673-216"/>
    <n v="0"/>
    <d v="2016-03-31T00:00:00"/>
    <x v="242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078-1458727673-216] [23/03/2016 at 10:07:00]"/>
  </r>
  <r>
    <s v="3622075-1458727669-82"/>
    <s v="Spot"/>
    <s v="3622075-1458727669-82"/>
    <n v="0"/>
    <d v="2016-03-31T00:00:00"/>
    <x v="2422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STORED], UUID [3622075-1458727669-82] [23/03/2016 at 10:07:00]"/>
  </r>
  <r>
    <s v="3622108-1458727701-216"/>
    <s v="Spot"/>
    <s v="3622108-1458727701-216"/>
    <n v="0"/>
    <d v="2016-03-31T00:00:00"/>
    <x v="2423"/>
    <s v="216"/>
    <s v="SELL"/>
    <n v="3.3919845692241752"/>
    <x v="0"/>
    <x v="0"/>
    <n v="474.81"/>
    <s v="Deal"/>
    <m/>
    <s v="Original Amount [EUR 139.98], Merchant Amount [EUR 139.98], Customer Amount [TRY 474.81], Status [APPROVED], Operation [3DAUTH], UUID [3622108-1458727701-216] [23/03/2016 at 10:08:00]"/>
  </r>
  <r>
    <s v="3622084-1458727681-56"/>
    <s v="Spot"/>
    <s v="3622084-1458727681-56"/>
    <n v="0"/>
    <d v="2016-03-31T00:00:00"/>
    <x v="2424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2084-1458727681-56] [23/03/2016 at 10:08:00]"/>
  </r>
  <r>
    <s v="3622087-1458727681-56"/>
    <s v="Spot"/>
    <s v="3622087-1458727681-56"/>
    <n v="0"/>
    <d v="2016-03-31T00:00:00"/>
    <x v="242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87-1458727681-56] [23/03/2016 at 10:08:00]"/>
  </r>
  <r>
    <s v="3622117-1458727711-216"/>
    <s v="Spot"/>
    <s v="3622117-1458727711-216"/>
    <n v="0"/>
    <d v="2016-03-31T00:00:00"/>
    <x v="2426"/>
    <s v="216"/>
    <s v="SELL"/>
    <n v="3.3922829581993565"/>
    <x v="0"/>
    <x v="0"/>
    <n v="73.849999999999994"/>
    <s v="Deal"/>
    <m/>
    <s v="Original Amount [EUR 21.77], Merchant Amount [EUR 21.77], Customer Amount [TRY 73.85], Status [APPROVED], Operation [3DAUTH], UUID [3622117-1458727711-216] [23/03/2016 at 10:08:00]"/>
  </r>
  <r>
    <s v="3622048-1458727622-82"/>
    <s v="Spot"/>
    <s v="3622048-1458727622-82"/>
    <n v="0"/>
    <d v="2016-03-31T00:00:00"/>
    <x v="242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48-1458727622-82] [23/03/2016 at 10:07:00]"/>
  </r>
  <r>
    <s v="3622045-1458727620-82"/>
    <s v="Spot"/>
    <s v="3622045-1458727620-82"/>
    <n v="0"/>
    <d v="2016-03-31T00:00:00"/>
    <x v="242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045-1458727620-82] [23/03/2016 at 10:07:00]"/>
  </r>
  <r>
    <s v="3622039-1458727620-119"/>
    <s v="Spot"/>
    <s v="3622039-1458727620-119"/>
    <n v="0"/>
    <d v="2016-03-31T00:00:00"/>
    <x v="2429"/>
    <s v="119"/>
    <s v="SELL"/>
    <n v="9.9417999999999989"/>
    <x v="0"/>
    <x v="1"/>
    <n v="1988.36"/>
    <s v="Deal"/>
    <m/>
    <s v="Original Amount [EUR 200], Merchant Amount [EUR 200], Customer Amount [NOK 1988.36], Status [APPROVED], Operation [DIRECT], UUID [3622039-1458727620-119] [23/03/2016 at 10:07:00]"/>
  </r>
  <r>
    <s v="3622027-1458727603-216"/>
    <s v="Spot"/>
    <s v="3622027-1458727603-216"/>
    <n v="0"/>
    <d v="2016-03-31T00:00:00"/>
    <x v="2430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2027-1458727603-216] [23/03/2016 at 10:06:00]"/>
  </r>
  <r>
    <s v="3622018-1458727594-125"/>
    <s v="Spot"/>
    <s v="3622018-1458727594-125"/>
    <n v="0"/>
    <d v="2016-03-31T00:00:00"/>
    <x v="2431"/>
    <s v="125"/>
    <s v="SELL"/>
    <n v="132.832425"/>
    <x v="0"/>
    <x v="3"/>
    <n v="53132.97"/>
    <s v="Deal"/>
    <m/>
    <s v="Original Amount [EUR 400], Merchant Amount [EUR 400], Customer Amount [JPY 53132.97], Status [APPROVED], Operation [DIRECT], UUID [3622018-1458727594-125] [23/03/2016 at 10:06:00]"/>
  </r>
  <r>
    <s v="3622012-1458727585-126"/>
    <s v="Spot"/>
    <s v="3622012-1458727585-126"/>
    <n v="0"/>
    <d v="2016-03-31T00:00:00"/>
    <x v="2432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012-1458727585-126] [23/03/2016 at 10:06:00]"/>
  </r>
  <r>
    <s v="3622036-1458727609-216"/>
    <s v="Spot"/>
    <s v="3622036-1458727609-216"/>
    <n v="0"/>
    <d v="2016-03-31T00:00:00"/>
    <x v="2433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2036-1458727609-216] [23/03/2016 at 10:06:00]"/>
  </r>
  <r>
    <s v="3621988-1458727572-82"/>
    <s v="Spot"/>
    <s v="3621988-1458727572-82"/>
    <n v="0"/>
    <d v="2016-03-31T00:00:00"/>
    <x v="2434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21988-1458727572-82] [23/03/2016 at 10:06:00]"/>
  </r>
  <r>
    <s v="3621982-1458727558-199"/>
    <s v="Spot"/>
    <s v="3621982-1458727558-199"/>
    <n v="0"/>
    <d v="2016-03-31T00:00:00"/>
    <x v="2435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982-1458727558-199] [23/03/2016 at 10:05:00]"/>
  </r>
  <r>
    <s v="3621979-1458727557-216"/>
    <s v="Spot"/>
    <s v="3621979-1458727557-216"/>
    <n v="0"/>
    <d v="2016-03-31T00:00:00"/>
    <x v="2436"/>
    <s v="216"/>
    <s v="SELL"/>
    <n v="3.3927019982623805"/>
    <x v="0"/>
    <x v="0"/>
    <n v="39.049999999999997"/>
    <s v="Deal"/>
    <m/>
    <s v="Original Amount [EUR 11.51], Merchant Amount [EUR 11.51], Customer Amount [TRY 39.05], Status [WAITING], Operation [3D], UUID [3621979-1458727557-216] [23/03/2016 at 10:05:00]"/>
  </r>
  <r>
    <s v="3621976-1458727551-224"/>
    <s v="Spot"/>
    <s v="3621976-1458727551-224"/>
    <n v="0"/>
    <d v="2016-03-31T00:00:00"/>
    <x v="2437"/>
    <s v="224"/>
    <s v="SELL"/>
    <n v="9.9414483821263477"/>
    <x v="0"/>
    <x v="1"/>
    <n v="129.04"/>
    <s v="Deal"/>
    <m/>
    <s v="Original Amount [EUR 12.98], Merchant Amount [EUR 12.98], Customer Amount [NOK 129.04], Status [APPROVED], Operation [DIRECT], UUID [3621976-1458727551-224] [23/03/2016 at 10:05:00]"/>
  </r>
  <r>
    <s v="3621973-1458727544-187"/>
    <s v="Spot"/>
    <s v="3621973-1458727544-187"/>
    <n v="0"/>
    <d v="2016-03-31T00:00:00"/>
    <x v="2438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1973-1458727544-187] [23/03/2016 at 10:05:00]"/>
  </r>
  <r>
    <s v="3621964-1458727529-82"/>
    <s v="Spot"/>
    <s v="3621964-1458727529-82"/>
    <n v="0"/>
    <d v="2016-03-31T00:00:00"/>
    <x v="2439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64-1458727529-82] [23/03/2016 at 10:05:00]"/>
  </r>
  <r>
    <s v="3621961-1458727527-119"/>
    <s v="Spot"/>
    <s v="3621961-1458727527-119"/>
    <n v="0"/>
    <d v="2016-03-31T00:00:00"/>
    <x v="2440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961-1458727527-119] [23/03/2016 at 10:05:00]"/>
  </r>
  <r>
    <s v="3621958-1458727525-216"/>
    <s v="Spot"/>
    <s v="3621958-1458727525-216"/>
    <n v="0"/>
    <d v="2016-03-31T00:00:00"/>
    <x v="2441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58-1458727525-216] [23/03/2016 at 10:05:00]"/>
  </r>
  <r>
    <s v="3621955-1458727521-224"/>
    <s v="Spot"/>
    <s v="3621955-1458727521-224"/>
    <n v="0"/>
    <d v="2016-03-31T00:00:00"/>
    <x v="2442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1955-1458727521-224] [23/03/2016 at 10:05:00]"/>
  </r>
  <r>
    <s v="3621952-1458727519-200"/>
    <s v="Spot"/>
    <s v="3621952-1458727519-200"/>
    <n v="0"/>
    <d v="2016-03-31T00:00:00"/>
    <x v="2443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1952-1458727519-200] [23/03/2016 at 10:05:00]"/>
  </r>
  <r>
    <s v="3621970-1458727543-216"/>
    <s v="Spot"/>
    <s v="3621970-1458727543-216"/>
    <n v="0"/>
    <d v="2016-03-31T00:00:00"/>
    <x v="244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70-1458727543-216] [23/03/2016 at 10:05:00]"/>
  </r>
  <r>
    <s v="3622009-1458727582-56"/>
    <s v="Spot"/>
    <s v="3622009-1458727582-56"/>
    <n v="0"/>
    <d v="2016-03-31T00:00:00"/>
    <x v="244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09-1458727582-56] [23/03/2016 at 10:06:00]"/>
  </r>
  <r>
    <s v="3621937-1458727510-82"/>
    <s v="Spot"/>
    <s v="3621937-1458727510-82"/>
    <n v="0"/>
    <d v="2016-03-31T00:00:00"/>
    <x v="244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37-1458727510-82] [23/03/2016 at 10:05:00]"/>
  </r>
  <r>
    <s v="3621919-1458727474-119"/>
    <s v="Spot"/>
    <s v="3621919-1458727474-119"/>
    <n v="0"/>
    <d v="2016-03-31T00:00:00"/>
    <x v="2447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9-1458727474-119] [23/03/2016 at 10:04:00]"/>
  </r>
  <r>
    <s v="3621910-1458727467-119"/>
    <s v="Spot"/>
    <s v="3621910-1458727467-119"/>
    <n v="0"/>
    <d v="2016-03-31T00:00:00"/>
    <x v="244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0-1458727467-119] [23/03/2016 at 10:04:00]"/>
  </r>
  <r>
    <s v="3621904-1458727466-216"/>
    <s v="Spot"/>
    <s v="3621904-1458727466-216"/>
    <n v="0"/>
    <d v="2016-03-31T00:00:00"/>
    <x v="2449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04-1458727466-216] [23/03/2016 at 10:04:00]"/>
  </r>
  <r>
    <s v="3621898-1458727460-224"/>
    <s v="Spot"/>
    <s v="3621898-1458727460-224"/>
    <n v="0"/>
    <d v="2016-03-31T00:00:00"/>
    <x v="2450"/>
    <s v="224"/>
    <s v="SELL"/>
    <n v="9.9413639260675595"/>
    <x v="0"/>
    <x v="1"/>
    <n v="155.97999999999999"/>
    <s v="Deal"/>
    <m/>
    <s v="Original Amount [EUR 15.69], Merchant Amount [EUR 15.69], Customer Amount [NOK 155.98], Status [APPROVED], Operation [DIRECT], UUID [3621898-1458727460-224] [23/03/2016 at 10:04:00]"/>
  </r>
  <r>
    <s v="3621892-1458727447-126"/>
    <s v="Spot"/>
    <s v="3621892-1458727447-126"/>
    <n v="0"/>
    <d v="2016-03-31T00:00:00"/>
    <x v="2451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1892-1458727447-126] [23/03/2016 at 10:04:00]"/>
  </r>
  <r>
    <s v="3621889-1458727447-224"/>
    <s v="Spot"/>
    <s v="3621889-1458727447-224"/>
    <n v="0"/>
    <d v="2016-03-31T00:00:00"/>
    <x v="2452"/>
    <s v="224"/>
    <s v="SELL"/>
    <n v="9.9413123844731981"/>
    <x v="0"/>
    <x v="1"/>
    <n v="215.13"/>
    <s v="Deal"/>
    <m/>
    <s v="Original Amount [EUR 21.64], Merchant Amount [EUR 21.64], Customer Amount [NOK 215.13], Status [APPROVED], Operation [DIRECT], UUID [3621889-1458727447-224] [23/03/2016 at 10:04:00]"/>
  </r>
  <r>
    <s v="3621913-1458727469-216"/>
    <s v="Spot"/>
    <s v="3621913-1458727469-216"/>
    <n v="0"/>
    <d v="2016-03-31T00:00:00"/>
    <x v="2453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13-1458727469-216] [23/03/2016 at 10:04:00]"/>
  </r>
  <r>
    <s v="3621901-1458727463-56"/>
    <s v="Spot"/>
    <s v="3621901-1458727463-56"/>
    <n v="0"/>
    <d v="2016-03-31T00:00:00"/>
    <x v="2454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1901-1458727463-56] [23/03/2016 at 10:04:00]"/>
  </r>
  <r>
    <s v="3621877-1458727434-82"/>
    <s v="Spot"/>
    <s v="3621877-1458727434-82"/>
    <n v="0"/>
    <d v="2016-03-31T00:00:00"/>
    <x v="245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77-1458727434-82] [23/03/2016 at 10:03:00]"/>
  </r>
  <r>
    <s v="3621871-1458727423-216"/>
    <s v="Spot"/>
    <s v="3621871-1458727423-216"/>
    <n v="0"/>
    <d v="2016-03-31T00:00:00"/>
    <x v="2456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1871-1458727423-216] [23/03/2016 at 10:03:00]"/>
  </r>
  <r>
    <s v="3621859-1458727398-216"/>
    <s v="Spot"/>
    <s v="3621859-1458727398-216"/>
    <n v="0"/>
    <d v="2016-03-31T00:00:00"/>
    <x v="2457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859-1458727398-216] [23/03/2016 at 10:03:00]"/>
  </r>
  <r>
    <s v="3621856-1458727395-199"/>
    <s v="Spot"/>
    <s v="3621856-1458727395-199"/>
    <n v="0"/>
    <d v="2016-03-31T00:00:00"/>
    <x v="2458"/>
    <s v="199"/>
    <s v="SELL"/>
    <n v="9.9413881748071997"/>
    <x v="0"/>
    <x v="1"/>
    <n v="193.36"/>
    <s v="Deal"/>
    <m/>
    <s v="Original Amount [EUR 19.45], Merchant Amount [EUR 19.45], Customer Amount [NOK 193.36], Status [APPROVED], Operation [DIRECT], UUID [3621856-1458727395-199] [23/03/2016 at 10:03:00]"/>
  </r>
  <r>
    <s v="3621835-1458727369-224"/>
    <s v="Spot"/>
    <s v="3621835-1458727369-224"/>
    <n v="0"/>
    <d v="2016-03-31T00:00:00"/>
    <x v="2459"/>
    <s v="224"/>
    <s v="SELL"/>
    <n v="9.9414664202094887"/>
    <x v="0"/>
    <x v="1"/>
    <n v="161.35"/>
    <s v="Deal"/>
    <m/>
    <s v="Original Amount [EUR 16.23], Merchant Amount [EUR 16.23], Customer Amount [NOK 161.35], Status [APPROVED], Operation [DIRECT], UUID [3621835-1458727369-224] [23/03/2016 at 10:02:00]"/>
  </r>
  <r>
    <s v="3621832-1458727366-200"/>
    <s v="Spot"/>
    <s v="3621832-1458727366-200"/>
    <n v="0"/>
    <d v="2016-03-31T00:00:00"/>
    <x v="2460"/>
    <s v="200"/>
    <s v="SELL"/>
    <n v="9.9410925518635214"/>
    <x v="0"/>
    <x v="1"/>
    <n v="1672.39"/>
    <s v="Deal"/>
    <m/>
    <s v="Original Amount [EUR 168.23], Merchant Amount [EUR 168.23], Customer Amount [NOK 1672.39], Status [APPROVED], Operation [STORED], UUID [3621832-1458727366-200] [23/03/2016 at 10:02:00]"/>
  </r>
  <r>
    <s v="3621829-1458727366-107"/>
    <s v="Spot"/>
    <s v="3621829-1458727366-107"/>
    <n v="0"/>
    <d v="2016-03-31T00:00:00"/>
    <x v="2461"/>
    <s v="107"/>
    <s v="SELL"/>
    <n v="3.3972602739726026"/>
    <x v="0"/>
    <x v="0"/>
    <n v="34.72"/>
    <s v="Deal"/>
    <m/>
    <s v="Original Amount [EUR 10.22], Merchant Amount [EUR 10.22], Customer Amount [TRY 34.72], Status [WAITING], Operation [3D], UUID [3621829-1458727366-107] [23/03/2016 at 10:02:00]"/>
  </r>
  <r>
    <s v="3621826-1458727365-119"/>
    <s v="Spot"/>
    <s v="3621826-1458727365-119"/>
    <n v="0"/>
    <d v="2016-03-31T00:00:00"/>
    <x v="2462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826-1458727365-119] [23/03/2016 at 10:02:00]"/>
  </r>
  <r>
    <s v="3621823-1458727362-199"/>
    <s v="Spot"/>
    <s v="3621823-1458727362-199"/>
    <n v="0"/>
    <d v="2016-03-31T00:00:00"/>
    <x v="246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823-1458727362-199] [23/03/2016 at 10:02:00]"/>
  </r>
  <r>
    <s v="3621820-1458727358-82"/>
    <s v="Spot"/>
    <s v="3621820-1458727358-82"/>
    <n v="0"/>
    <d v="2016-03-31T00:00:00"/>
    <x v="24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20-1458727358-82] [23/03/2016 at 10:02:00]"/>
  </r>
  <r>
    <s v="3621811-1458727343-124"/>
    <s v="Spot"/>
    <s v="3621811-1458727343-124"/>
    <n v="0"/>
    <d v="2016-03-31T00:00:00"/>
    <x v="2465"/>
    <s v="124"/>
    <s v="SELL"/>
    <n v="9.9411147265666013"/>
    <x v="0"/>
    <x v="1"/>
    <n v="947.09"/>
    <s v="Deal"/>
    <m/>
    <s v="Original Amount [EUR 95.27], Merchant Amount [EUR 95.27], Customer Amount [NOK 947.09], Status [APPROVED], Operation [DIRECT], UUID [3621811-1458727343-124] [23/03/2016 at 10:02:00]"/>
  </r>
  <r>
    <s v="3621805-1458727340-145"/>
    <s v="Spot"/>
    <s v="3621805-1458727340-145"/>
    <n v="0"/>
    <d v="2016-03-31T00:00:00"/>
    <x v="2466"/>
    <s v="145"/>
    <s v="SELL"/>
    <n v="1.546875"/>
    <x v="0"/>
    <x v="2"/>
    <n v="15.84"/>
    <s v="Deal"/>
    <m/>
    <s v="Original Amount [EUR 10.24], Merchant Amount [EUR 10.24], Customer Amount [CAD 15.84], Status [APPROVED], Operation [DIRECT], UUID [3621805-1458727340-145] [23/03/2016 at 10:02:00]"/>
  </r>
  <r>
    <s v="3621802-1458727336-224"/>
    <s v="Spot"/>
    <s v="3621802-1458727336-224"/>
    <n v="0"/>
    <d v="2016-03-31T00:00:00"/>
    <x v="2467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802-1458727336-224] [23/03/2016 at 10:02:00]"/>
  </r>
  <r>
    <s v="3621799-1458727336-82"/>
    <s v="Spot"/>
    <s v="3621799-1458727336-82"/>
    <n v="0"/>
    <d v="2016-03-31T00:00:00"/>
    <x v="246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799-1458727336-82] [23/03/2016 at 10:02:00]"/>
  </r>
  <r>
    <s v="3621796-1458727332-224"/>
    <s v="Spot"/>
    <s v="3621796-1458727332-224"/>
    <n v="0"/>
    <d v="2016-03-31T00:00:00"/>
    <x v="2469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796-1458727332-224] [23/03/2016 at 10:02:00]"/>
  </r>
  <r>
    <s v="3621814-1458727347-216"/>
    <s v="Spot"/>
    <s v="3621814-1458727347-216"/>
    <n v="0"/>
    <d v="2016-03-31T00:00:00"/>
    <x v="2470"/>
    <s v="216"/>
    <s v="SELL"/>
    <n v="3.3970567223889128"/>
    <x v="0"/>
    <x v="0"/>
    <n v="237.76"/>
    <s v="Deal"/>
    <m/>
    <s v="Original Amount [EUR 69.99], Merchant Amount [EUR 69.99], Customer Amount [TRY 237.76], Status [APPROVED], Operation [3DAUTH], UUID [3621814-1458727347-216] [23/03/2016 at 10:02:00]"/>
  </r>
  <r>
    <s v="3621790-1458727323-119"/>
    <s v="Spot"/>
    <s v="3621790-1458727323-119"/>
    <n v="0"/>
    <d v="2016-03-31T00:00:00"/>
    <x v="247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90-1458727323-119] [23/03/2016 at 10:02:00]"/>
  </r>
  <r>
    <s v="3621850-1458727385-107"/>
    <s v="Spot"/>
    <s v="3621850-1458727385-107"/>
    <n v="0"/>
    <d v="2016-03-31T00:00:00"/>
    <x v="2472"/>
    <s v="107"/>
    <s v="SELL"/>
    <n v="3.3972194637537241"/>
    <x v="0"/>
    <x v="0"/>
    <n v="68.42"/>
    <s v="Deal"/>
    <m/>
    <s v="Original Amount [EUR 20.14], Merchant Amount [EUR 20.14], Customer Amount [TRY 68.42], Status [APPROVED], Operation [3DAUTH], UUID [3621850-1458727385-107] [23/03/2016 at 10:03:00]"/>
  </r>
  <r>
    <s v="3621778-1458727312-224"/>
    <s v="Spot"/>
    <s v="3621778-1458727312-224"/>
    <n v="0"/>
    <d v="2016-03-31T00:00:00"/>
    <x v="2473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78-1458727312-224] [23/03/2016 at 10:01:00]"/>
  </r>
  <r>
    <s v="3621763-1458727257-216"/>
    <s v="Spot"/>
    <s v="3621763-1458727257-216"/>
    <n v="0"/>
    <d v="2016-03-31T00:00:00"/>
    <x v="2474"/>
    <s v="216"/>
    <s v="SELL"/>
    <n v="3.3970149253731345"/>
    <x v="0"/>
    <x v="0"/>
    <n v="147.94"/>
    <s v="Deal"/>
    <m/>
    <s v="Original Amount [EUR 43.55], Merchant Amount [EUR 43.55], Customer Amount [TRY 147.94], Status [APPROVED], Operation [3DAUTH], UUID [3621763-1458727257-216] [23/03/2016 at 10:00:00]"/>
  </r>
  <r>
    <s v="3621748-1458727225-119"/>
    <s v="Spot"/>
    <s v="3621748-1458727225-119"/>
    <n v="0"/>
    <d v="2016-03-31T00:00:00"/>
    <x v="2475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48-1458727225-119] [23/03/2016 at 10:00:00]"/>
  </r>
  <r>
    <s v="3621733-1458727185-224"/>
    <s v="Spot"/>
    <s v="3621733-1458727185-224"/>
    <n v="0"/>
    <d v="2016-03-31T00:00:00"/>
    <x v="2476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1733-1458727185-224] [23/03/2016 at 09:59:00]"/>
  </r>
  <r>
    <s v="3621754-1458727228-216"/>
    <s v="Spot"/>
    <s v="3621754-1458727228-216"/>
    <n v="0"/>
    <d v="2016-03-31T00:00:00"/>
    <x v="2477"/>
    <s v="216"/>
    <s v="SELL"/>
    <n v="3.3978149100257067"/>
    <x v="0"/>
    <x v="0"/>
    <n v="52.87"/>
    <s v="Deal"/>
    <m/>
    <s v="Original Amount [EUR 15.56], Merchant Amount [EUR 15.56], Customer Amount [TRY 52.87], Status [APPROVED], Operation [3DAUTH], UUID [3621754-1458727228-216] [23/03/2016 at 10:00:00]"/>
  </r>
  <r>
    <s v="3621727-1458727181-126"/>
    <s v="Spot"/>
    <s v="3621727-1458727181-126"/>
    <n v="0"/>
    <d v="2016-03-31T00:00:00"/>
    <x v="2478"/>
    <s v="126"/>
    <s v="SELL"/>
    <n v="9.9410731707317073"/>
    <x v="0"/>
    <x v="1"/>
    <n v="1018.96"/>
    <s v="Deal"/>
    <m/>
    <s v="Original Amount [EUR 102.5], Merchant Amount [EUR 102.5], Customer Amount [NOK 1018.96], Status [WAITING], Operation [3D], UUID [3621727-1458727181-126] [23/03/2016 at 09:59:00]"/>
  </r>
  <r>
    <s v="3621724-1458727175-119"/>
    <s v="Spot"/>
    <s v="3621724-1458727175-119"/>
    <n v="0"/>
    <d v="2016-03-31T00:00:00"/>
    <x v="247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724-1458727175-119] [23/03/2016 at 09:59:00]"/>
  </r>
  <r>
    <s v="3621742-1458727201-126"/>
    <s v="Spot"/>
    <s v="3621742-1458727201-126"/>
    <n v="0"/>
    <d v="2016-03-31T00:00:00"/>
    <x v="2480"/>
    <s v="126"/>
    <s v="SELL"/>
    <n v="9.9414634146341463"/>
    <x v="0"/>
    <x v="1"/>
    <n v="203.8"/>
    <s v="Deal"/>
    <m/>
    <s v="Original Amount [EUR 20.5], Merchant Amount [EUR 20.5], Customer Amount [NOK 203.8], Status [APPROVED], Operation [3DAUTH], UUID [3621742-1458727201-126] [23/03/2016 at 10:00:00]"/>
  </r>
  <r>
    <s v="3621721-1458727174-216"/>
    <s v="Spot"/>
    <s v="3621721-1458727174-216"/>
    <n v="0"/>
    <d v="2016-03-31T00:00:00"/>
    <x v="248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721-1458727174-216] [23/03/2016 at 09:59:00]"/>
  </r>
  <r>
    <s v="3621709-1458727138-224"/>
    <s v="Spot"/>
    <s v="3621709-1458727138-224"/>
    <n v="0"/>
    <d v="2016-03-31T00:00:00"/>
    <x v="2482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09-1458727138-224] [23/03/2016 at 09:58:00]"/>
  </r>
  <r>
    <s v="3621706-1458727138-224"/>
    <s v="Spot"/>
    <s v="3621706-1458727138-224"/>
    <n v="0"/>
    <d v="2016-03-31T00:00:00"/>
    <x v="2483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1706-1458727138-224] [23/03/2016 at 09:58:00]"/>
  </r>
  <r>
    <s v="3621745-1458727203-126"/>
    <s v="Spot"/>
    <s v="3621745-1458727203-126"/>
    <n v="0"/>
    <d v="2016-03-31T00:00:00"/>
    <x v="2484"/>
    <s v="126"/>
    <s v="SELL"/>
    <n v="9.9410846664065549"/>
    <x v="0"/>
    <x v="1"/>
    <n v="254.79"/>
    <s v="Deal"/>
    <m/>
    <s v="Original Amount [EUR 25.63], Merchant Amount [EUR 25.63], Customer Amount [NOK 254.79], Status [APPROVED], Operation [3DAUTH], UUID [3621745-1458727203-126] [23/03/2016 at 10:00:00]"/>
  </r>
  <r>
    <s v="3621715-1458727168-101"/>
    <s v="Spot"/>
    <s v="3621715-1458727168-101"/>
    <n v="0"/>
    <d v="2016-03-31T00:00:00"/>
    <x v="2485"/>
    <s v="101"/>
    <s v="SELL"/>
    <n v="3.3973558575100995"/>
    <x v="0"/>
    <x v="0"/>
    <n v="92.51"/>
    <s v="Deal"/>
    <m/>
    <s v="Original Amount [EUR 27.23], Merchant Amount [EUR 27.23], Customer Amount [TRY 92.51], Status [APPROVED], Operation [3DAUTH], UUID [3621715-1458727168-101] [23/03/2016 at 09:59:00]"/>
  </r>
  <r>
    <s v="3621691-1458727103-119"/>
    <s v="Spot"/>
    <s v="3621691-1458727103-119"/>
    <n v="0"/>
    <d v="2016-03-31T00:00:00"/>
    <x v="248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691-1458727103-119] [23/03/2016 at 09:58:00]"/>
  </r>
  <r>
    <s v="3621682-1458727091-126"/>
    <s v="Spot"/>
    <s v="3621682-1458727091-126"/>
    <n v="0"/>
    <d v="2016-03-31T00:00:00"/>
    <x v="2487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682-1458727091-126] [23/03/2016 at 09:58:00]"/>
  </r>
  <r>
    <s v="3621700-1458727127-56"/>
    <s v="Spot"/>
    <s v="3621700-1458727127-56"/>
    <n v="0"/>
    <d v="2016-03-31T00:00:00"/>
    <x v="2488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1700-1458727127-56] [23/03/2016 at 09:58:00]"/>
  </r>
  <r>
    <s v="3621676-1458727082-126"/>
    <s v="Spot"/>
    <s v="3621676-1458727082-126"/>
    <n v="0"/>
    <d v="2016-03-31T00:00:00"/>
    <x v="2489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1676-1458727082-126] [23/03/2016 at 09:58:00]"/>
  </r>
  <r>
    <s v="3621685-1458727096-216"/>
    <s v="Spot"/>
    <s v="3621685-1458727096-216"/>
    <n v="0"/>
    <d v="2016-03-31T00:00:00"/>
    <x v="2490"/>
    <s v="216"/>
    <s v="SELL"/>
    <n v="3.3978571428571427"/>
    <x v="0"/>
    <x v="0"/>
    <n v="47.57"/>
    <s v="Deal"/>
    <m/>
    <s v="Original Amount [EUR 14], Merchant Amount [EUR 14], Customer Amount [TRY 47.57], Status [APPROVED], Operation [3DAUTH], UUID [3621685-1458727096-216] [23/03/2016 at 09:58:00]"/>
  </r>
  <r>
    <s v="3621688-1458727098-101"/>
    <s v="Spot"/>
    <s v="3621688-1458727098-101"/>
    <n v="0"/>
    <d v="2016-03-31T00:00:00"/>
    <x v="2491"/>
    <s v="101"/>
    <s v="SELL"/>
    <n v="3.3974280465401105"/>
    <x v="0"/>
    <x v="0"/>
    <n v="55.48"/>
    <s v="Deal"/>
    <m/>
    <s v="Original Amount [EUR 16.33], Merchant Amount [EUR 16.33], Customer Amount [TRY 55.48], Status [APPROVED], Operation [3DAUTH], UUID [3621688-1458727098-101] [23/03/2016 at 09:58:00]"/>
  </r>
  <r>
    <s v="3621655-1458727039-107"/>
    <s v="Spot"/>
    <s v="3621655-1458727039-107"/>
    <n v="0"/>
    <d v="2016-03-31T00:00:00"/>
    <x v="2492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1655-1458727039-107] [23/03/2016 at 09:57:00]"/>
  </r>
  <r>
    <s v="3621643-1458727017-126"/>
    <s v="Spot"/>
    <s v="3621643-1458727017-126"/>
    <n v="0"/>
    <d v="2016-03-31T00:00:00"/>
    <x v="2493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643-1458727017-126] [23/03/2016 at 09:56:00]"/>
  </r>
  <r>
    <s v="3621640-1458727016-224"/>
    <s v="Spot"/>
    <s v="3621640-1458727016-224"/>
    <n v="0"/>
    <d v="2016-03-31T00:00:00"/>
    <x v="2494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1640-1458727016-224] [23/03/2016 at 09:56:00]"/>
  </r>
  <r>
    <s v="3621625-1458726984-119"/>
    <s v="Spot"/>
    <s v="3621625-1458726984-119"/>
    <n v="0"/>
    <d v="2016-03-31T00:00:00"/>
    <x v="2495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625-1458726984-119] [23/03/2016 at 09:56:00]"/>
  </r>
  <r>
    <s v="3621601-1458726931-187"/>
    <s v="Spot"/>
    <s v="3621601-1458726931-187"/>
    <n v="0"/>
    <d v="2016-03-31T00:00:00"/>
    <x v="2496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1601-1458726931-187] [23/03/2016 at 09:55:00]"/>
  </r>
  <r>
    <s v="3621613-1458726957-216"/>
    <s v="Spot"/>
    <s v="3621613-1458726957-216"/>
    <n v="0"/>
    <d v="2016-03-31T00:00:00"/>
    <x v="2497"/>
    <s v="216"/>
    <s v="SELL"/>
    <n v="3.3970753655793029"/>
    <x v="0"/>
    <x v="0"/>
    <n v="211.4"/>
    <s v="Deal"/>
    <m/>
    <s v="Original Amount [EUR 62.23], Merchant Amount [EUR 62.23], Customer Amount [TRY 211.4], Status [APPROVED], Operation [3DAUTH], UUID [3621613-1458726957-216] [23/03/2016 at 09:55:00]"/>
  </r>
  <r>
    <s v="3621610-1458726947-264"/>
    <s v="Spot"/>
    <s v="3621610-1458726947-264"/>
    <n v="0"/>
    <d v="2016-03-31T00:00:00"/>
    <x v="2498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1610-1458726947-264] [23/03/2016 at 09:55:00]"/>
  </r>
  <r>
    <s v="3621589-1458726916-199"/>
    <s v="Spot"/>
    <s v="3621589-1458726916-199"/>
    <n v="0"/>
    <d v="2016-03-31T00:00:00"/>
    <x v="2499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21589-1458726916-199] [23/03/2016 at 09:55:00]"/>
  </r>
  <r>
    <s v="3621583-1458726903-125"/>
    <s v="Spot"/>
    <s v="3621583-1458726903-125"/>
    <n v="0"/>
    <d v="2016-03-31T00:00:00"/>
    <x v="2500"/>
    <s v="125"/>
    <s v="SELL"/>
    <n v="9.9550000000000001"/>
    <x v="0"/>
    <x v="1"/>
    <n v="99.55"/>
    <s v="Deal"/>
    <m/>
    <s v="Original Amount [EUR 10], Merchant Amount [EUR 10], Customer Amount [NOK 99.55], Status [APPROVED], Operation [DIRECT], UUID [3621583-1458726903-125] [23/03/2016 at 09:55:00]"/>
  </r>
  <r>
    <s v="3621580-1458726903-224"/>
    <s v="Spot"/>
    <s v="3621580-1458726903-224"/>
    <n v="0"/>
    <d v="2016-03-31T00:00:00"/>
    <x v="250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1580-1458726903-224] [23/03/2016 at 09:55:00]"/>
  </r>
  <r>
    <s v="3621574-1458726896-216"/>
    <s v="Spot"/>
    <s v="3621574-1458726896-216"/>
    <n v="0"/>
    <d v="2016-03-31T00:00:00"/>
    <x v="250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74-1458726896-216] [23/03/2016 at 09:54:00]"/>
  </r>
  <r>
    <s v="3621592-1458726925-56"/>
    <s v="Spot"/>
    <s v="3621592-1458726925-56"/>
    <n v="0"/>
    <d v="2016-03-31T00:00:00"/>
    <x v="2503"/>
    <s v="56"/>
    <s v="SELL"/>
    <n v="3.3975"/>
    <x v="0"/>
    <x v="0"/>
    <n v="27.18"/>
    <s v="Deal"/>
    <m/>
    <s v="Original Amount [EUR 8], Merchant Amount [EUR 8], Customer Amount [TRY 27.18], Status [APPROVED], Operation [3DAUTH], UUID [3621592-1458726925-56] [23/03/2016 at 09:55:00]"/>
  </r>
  <r>
    <s v="3621556-1458726880-107"/>
    <s v="Spot"/>
    <s v="3621556-1458726880-107"/>
    <n v="0"/>
    <d v="2016-03-31T00:00:00"/>
    <x v="2504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1556-1458726880-107] [23/03/2016 at 09:54:00]"/>
  </r>
  <r>
    <s v="3621553-1458726879-126"/>
    <s v="Spot"/>
    <s v="3621553-1458726879-126"/>
    <n v="0"/>
    <d v="2016-03-31T00:00:00"/>
    <x v="250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553-1458726879-126] [23/03/2016 at 09:54:00]"/>
  </r>
  <r>
    <s v="3621547-1458726877-187"/>
    <s v="Spot"/>
    <s v="3621547-1458726877-187"/>
    <n v="0"/>
    <d v="2016-03-31T00:00:00"/>
    <x v="2506"/>
    <s v="187"/>
    <s v="SELL"/>
    <n v="9.9546313799621924"/>
    <x v="0"/>
    <x v="1"/>
    <n v="210.64"/>
    <s v="Deal"/>
    <m/>
    <s v="Original Amount [EUR 21.16], Merchant Amount [EUR 21.16], Customer Amount [NOK 210.64], Status [APPROVED], Operation [DIRECT], UUID [3621547-1458726877-187] [23/03/2016 at 09:54:00]"/>
  </r>
  <r>
    <s v="3621529-1458726856-260"/>
    <s v="Spot"/>
    <s v="3621529-1458726856-260"/>
    <n v="0"/>
    <d v="2016-03-31T00:00:00"/>
    <x v="2507"/>
    <s v="260"/>
    <s v="SELL"/>
    <n v="9.7360000000000007"/>
    <x v="0"/>
    <x v="12"/>
    <n v="48.68"/>
    <s v="Deal"/>
    <m/>
    <s v="Original Amount [EUR 5], Merchant Amount [EUR 5], Customer Amount [SEK 48.68], Status [APPROVED], Operation [DIRECT], UUID [3621529-1458726856-260] [23/03/2016 at 09:54:00]"/>
  </r>
  <r>
    <s v="3621517-1458726845-119"/>
    <s v="Spot"/>
    <s v="3621517-1458726845-119"/>
    <n v="0"/>
    <d v="2016-03-31T00:00:00"/>
    <x v="2508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517-1458726845-119] [23/03/2016 at 09:54:00]"/>
  </r>
  <r>
    <s v="3621514-1458726844-216"/>
    <s v="Spot"/>
    <s v="3621514-1458726844-216"/>
    <n v="0"/>
    <d v="2016-03-31T00:00:00"/>
    <x v="250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14-1458726844-216] [23/03/2016 at 09:54:00]"/>
  </r>
  <r>
    <s v="3621559-1458726881-216"/>
    <s v="Spot"/>
    <s v="3621559-1458726881-216"/>
    <n v="0"/>
    <d v="2016-03-31T00:00:00"/>
    <x v="2510"/>
    <s v="216"/>
    <s v="SELL"/>
    <n v="3.3970172280791981"/>
    <x v="0"/>
    <x v="0"/>
    <n v="264.22000000000003"/>
    <s v="Deal"/>
    <m/>
    <s v="Original Amount [EUR 77.78], Merchant Amount [EUR 77.78], Customer Amount [TRY 264.22], Status [APPROVED], Operation [3DAUTH], UUID [3621559-1458726881-216] [23/03/2016 at 09:54:00]"/>
  </r>
  <r>
    <s v="3621523-1458726850-216"/>
    <s v="Spot"/>
    <s v="3621523-1458726850-216"/>
    <n v="0"/>
    <d v="2016-03-31T00:00:00"/>
    <x v="251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523-1458726850-216] [23/03/2016 at 09:54:00]"/>
  </r>
  <r>
    <s v="3621487-1458726805-224"/>
    <s v="Spot"/>
    <s v="3621487-1458726805-224"/>
    <n v="0"/>
    <d v="2016-03-31T00:00:00"/>
    <x v="2512"/>
    <s v="224"/>
    <s v="SELL"/>
    <n v="9.9547482472912687"/>
    <x v="0"/>
    <x v="1"/>
    <n v="156.19"/>
    <s v="Deal"/>
    <m/>
    <s v="Original Amount [EUR 15.69], Merchant Amount [EUR 15.69], Customer Amount [NOK 156.19], Status [APPROVED], Operation [DIRECT], UUID [3621487-1458726805-224] [23/03/2016 at 09:53:00]"/>
  </r>
  <r>
    <s v="3621466-1458726785-56"/>
    <s v="Spot"/>
    <s v="3621466-1458726785-56"/>
    <n v="0"/>
    <d v="2016-03-31T00:00:00"/>
    <x v="2513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466-1458726785-56] [23/03/2016 at 09:53:00]"/>
  </r>
  <r>
    <s v="3621484-1458726796-216"/>
    <s v="Spot"/>
    <s v="3621484-1458726796-216"/>
    <n v="0"/>
    <d v="2016-03-31T00:00:00"/>
    <x v="2514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1484-1458726796-216] [23/03/2016 at 09:53:00]"/>
  </r>
  <r>
    <s v="3621445-1458726768-216"/>
    <s v="Spot"/>
    <s v="3621445-1458726768-216"/>
    <n v="0"/>
    <d v="2016-03-31T00:00:00"/>
    <x v="2515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445-1458726768-216] [23/03/2016 at 09:52:00]"/>
  </r>
  <r>
    <s v="3621475-1458726792-101"/>
    <s v="Spot"/>
    <s v="3621475-1458726792-101"/>
    <n v="0"/>
    <d v="2016-03-31T00:00:00"/>
    <x v="2516"/>
    <s v="101"/>
    <s v="SELL"/>
    <n v="3.3970262055368434"/>
    <x v="0"/>
    <x v="0"/>
    <n v="413.52"/>
    <s v="Deal"/>
    <m/>
    <s v="Original Amount [EUR 121.73], Merchant Amount [EUR 121.73], Customer Amount [TRY 413.52], Status [APPROVED], Operation [3DAUTH], UUID [3621475-1458726792-101] [23/03/2016 at 09:53:00]"/>
  </r>
  <r>
    <s v="3621436-1458726756-224"/>
    <s v="Spot"/>
    <s v="3621436-1458726756-224"/>
    <n v="0"/>
    <d v="2016-03-31T00:00:00"/>
    <x v="2517"/>
    <s v="224"/>
    <s v="SELL"/>
    <n v="9.9545734524176162"/>
    <x v="0"/>
    <x v="1"/>
    <n v="1939.35"/>
    <s v="Deal"/>
    <m/>
    <s v="Original Amount [EUR 194.82], Merchant Amount [EUR 194.82], Customer Amount [NOK 1939.35], Status [APPROVED], Operation [DIRECT], UUID [3621436-1458726756-224] [23/03/2016 at 09:52:00]"/>
  </r>
  <r>
    <s v="3621430-1458726750-119"/>
    <s v="Spot"/>
    <s v="3621430-1458726750-119"/>
    <n v="0"/>
    <d v="2016-03-31T00:00:00"/>
    <x v="2518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21430-1458726750-119] [23/03/2016 at 09:52:00]"/>
  </r>
  <r>
    <s v="3621427-1458726749-216"/>
    <s v="Spot"/>
    <s v="3621427-1458726749-216"/>
    <n v="0"/>
    <d v="2016-03-31T00:00:00"/>
    <x v="25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427-1458726749-216] [23/03/2016 at 09:52:00]"/>
  </r>
  <r>
    <s v="3621424-1458726749-101"/>
    <s v="Spot"/>
    <s v="3621424-1458726749-101"/>
    <n v="0"/>
    <d v="2016-03-31T00:00:00"/>
    <x v="2520"/>
    <s v="101"/>
    <s v="SELL"/>
    <n v="3.3975"/>
    <x v="0"/>
    <x v="0"/>
    <n v="27.18"/>
    <s v="Deal"/>
    <m/>
    <s v="Original Amount [EUR 8], Merchant Amount [EUR 8], Customer Amount [TRY 27.18], Status [WAITING], Operation [3D], UUID [3621424-1458726749-101] [23/03/2016 at 09:52:00]"/>
  </r>
  <r>
    <s v="3621415-1458726744-126"/>
    <s v="Spot"/>
    <s v="3621415-1458726744-126"/>
    <n v="0"/>
    <d v="2016-03-31T00:00:00"/>
    <x v="2521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415-1458726744-126] [23/03/2016 at 09:52:00]"/>
  </r>
  <r>
    <s v="3621409-1458726738-199"/>
    <s v="Spot"/>
    <s v="3621409-1458726738-199"/>
    <n v="0"/>
    <d v="2016-03-31T00:00:00"/>
    <x v="2522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9-1458726738-199] [23/03/2016 at 09:52:00]"/>
  </r>
  <r>
    <s v="3621406-1458726733-119"/>
    <s v="Spot"/>
    <s v="3621406-1458726733-119"/>
    <n v="0"/>
    <d v="2016-03-31T00:00:00"/>
    <x v="252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406-1458726733-119] [23/03/2016 at 09:52:00]"/>
  </r>
  <r>
    <s v="3621457-1458726774-107"/>
    <s v="Spot"/>
    <s v="3621457-1458726774-107"/>
    <n v="0"/>
    <d v="2016-03-31T00:00:00"/>
    <x v="252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457-1458726774-107] [23/03/2016 at 09:52:00]"/>
  </r>
  <r>
    <s v="3621400-1458726726-199"/>
    <s v="Spot"/>
    <s v="3621400-1458726726-199"/>
    <n v="0"/>
    <d v="2016-03-31T00:00:00"/>
    <x v="252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0-1458726726-199] [23/03/2016 at 09:52:00]"/>
  </r>
  <r>
    <s v="3621397-1458726721-126"/>
    <s v="Spot"/>
    <s v="3621397-1458726721-126"/>
    <n v="0"/>
    <d v="2016-03-31T00:00:00"/>
    <x v="25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397-1458726721-126] [23/03/2016 at 09:52:00]"/>
  </r>
  <r>
    <s v="3621388-1458726711-200"/>
    <s v="Spot"/>
    <s v="3621388-1458726711-200"/>
    <n v="0"/>
    <d v="2016-03-31T00:00:00"/>
    <x v="252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8-1458726711-200] [23/03/2016 at 09:51:00]"/>
  </r>
  <r>
    <s v="3621385-1458726706-200"/>
    <s v="Spot"/>
    <s v="3621385-1458726706-200"/>
    <n v="0"/>
    <d v="2016-03-31T00:00:00"/>
    <x v="252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5-1458726706-200] [23/03/2016 at 09:51:00]"/>
  </r>
  <r>
    <s v="3621379-1458726684-101"/>
    <s v="Spot"/>
    <s v="3621379-1458726684-101"/>
    <n v="0"/>
    <d v="2016-03-31T00:00:00"/>
    <x v="2529"/>
    <s v="101"/>
    <s v="SELL"/>
    <n v="3.3970657093803656"/>
    <x v="0"/>
    <x v="0"/>
    <n v="435.3"/>
    <s v="Deal"/>
    <m/>
    <s v="Original Amount [EUR 128.14], Merchant Amount [EUR 128.14], Customer Amount [TRY 435.3], Status [WAITING], Operation [3D], UUID [3621379-1458726684-101] [23/03/2016 at 09:51:00]"/>
  </r>
  <r>
    <s v="3621361-1458726665-238"/>
    <s v="Spot"/>
    <s v="3621361-1458726665-238"/>
    <n v="0"/>
    <d v="2016-03-31T00:00:00"/>
    <x v="253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1361-1458726665-238] [23/03/2016 at 09:51:00]"/>
  </r>
  <r>
    <s v="3621358-1458726664-119"/>
    <s v="Spot"/>
    <s v="3621358-1458726664-119"/>
    <n v="0"/>
    <d v="2016-03-31T00:00:00"/>
    <x v="2531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358-1458726664-119] [23/03/2016 at 09:51:00]"/>
  </r>
  <r>
    <s v="3621349-1458726647-56"/>
    <s v="Spot"/>
    <s v="3621349-1458726647-56"/>
    <n v="0"/>
    <d v="2016-03-31T00:00:00"/>
    <x v="2532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349-1458726647-56] [23/03/2016 at 09:50:00]"/>
  </r>
  <r>
    <s v="3621346-1458726641-126"/>
    <s v="Spot"/>
    <s v="3621346-1458726641-126"/>
    <n v="0"/>
    <d v="2016-03-31T00:00:00"/>
    <x v="2533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346-1458726641-126] [23/03/2016 at 09:50:00]"/>
  </r>
  <r>
    <s v="3621364-1458726676-56"/>
    <s v="Spot"/>
    <s v="3621364-1458726676-56"/>
    <n v="0"/>
    <d v="2016-03-31T00:00:00"/>
    <x v="2534"/>
    <s v="56"/>
    <s v="SELL"/>
    <n v="3.3981481481481479"/>
    <x v="0"/>
    <x v="0"/>
    <n v="29.36"/>
    <s v="Deal"/>
    <m/>
    <s v="Original Amount [EUR 8.64], Merchant Amount [EUR 8.64], Customer Amount [TRY 29.36], Status [APPROVED], Operation [3DAUTH], UUID [3621364-1458726676-56] [23/03/2016 at 09:51:00]"/>
  </r>
  <r>
    <s v="3621340-1458726632-238"/>
    <s v="Spot"/>
    <s v="3621340-1458726632-238"/>
    <n v="0"/>
    <d v="2016-03-31T00:00:00"/>
    <x v="2535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1340-1458726632-238] [23/03/2016 at 09:50:00]"/>
  </r>
  <r>
    <s v="3621337-1458726631-224"/>
    <s v="Spot"/>
    <s v="3621337-1458726631-224"/>
    <n v="0"/>
    <d v="2016-03-31T00:00:00"/>
    <x v="253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1337-1458726631-224] [23/03/2016 at 09:50:00]"/>
  </r>
  <r>
    <s v="3621331-1458726610-119"/>
    <s v="Spot"/>
    <s v="3621331-1458726610-119"/>
    <n v="0"/>
    <d v="2016-03-31T00:00:00"/>
    <x v="2537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1331-1458726610-119] [23/03/2016 at 09:50:00]"/>
  </r>
  <r>
    <s v="3621328-1458726610-224"/>
    <s v="Spot"/>
    <s v="3621328-1458726610-224"/>
    <n v="0"/>
    <d v="2016-03-31T00:00:00"/>
    <x v="2538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1328-1458726610-224] [23/03/2016 at 09:50:00]"/>
  </r>
  <r>
    <s v="3621322-1458726607-119"/>
    <s v="Spot"/>
    <s v="3621322-1458726607-119"/>
    <n v="0"/>
    <d v="2016-03-31T00:00:00"/>
    <x v="253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322-1458726607-119] [23/03/2016 at 09:50:00]"/>
  </r>
  <r>
    <s v="3621304-1458726567-119"/>
    <s v="Spot"/>
    <s v="3621304-1458726567-119"/>
    <n v="0"/>
    <d v="2016-03-31T00:00:00"/>
    <x v="2540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1304-1458726567-119] [23/03/2016 at 09:49:00]"/>
  </r>
  <r>
    <s v="3621301-1458726565-216"/>
    <s v="Spot"/>
    <s v="3621301-1458726565-216"/>
    <n v="0"/>
    <d v="2016-03-31T00:00:00"/>
    <x v="2541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301-1458726565-216] [23/03/2016 at 09:49:00]"/>
  </r>
  <r>
    <s v="3621292-1458726557-224"/>
    <s v="Spot"/>
    <s v="3621292-1458726557-224"/>
    <n v="0"/>
    <d v="2016-03-31T00:00:00"/>
    <x v="2542"/>
    <s v="224"/>
    <s v="SELL"/>
    <n v="132.88274939293325"/>
    <x v="0"/>
    <x v="3"/>
    <n v="53628.82"/>
    <s v="Deal"/>
    <m/>
    <s v="Original Amount [EUR 403.58], Merchant Amount [EUR 403.58], Customer Amount [JPY 53628.82], Status [APPROVED], Operation [DIRECT], UUID [3621292-1458726557-224] [23/03/2016 at 09:49:00]"/>
  </r>
  <r>
    <s v="3621274-1458726523-199"/>
    <s v="Spot"/>
    <s v="3621274-1458726523-199"/>
    <n v="0"/>
    <d v="2016-03-31T00:00:00"/>
    <x v="254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274-1458726523-199] [23/03/2016 at 09:48:00]"/>
  </r>
  <r>
    <s v="3621283-1458726543-107"/>
    <s v="Spot"/>
    <s v="3621283-1458726543-107"/>
    <n v="0"/>
    <d v="2016-03-31T00:00:00"/>
    <x v="254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283-1458726543-107] [23/03/2016 at 09:49:00]"/>
  </r>
  <r>
    <s v="3621262-1458726509-224"/>
    <s v="Spot"/>
    <s v="3621262-1458726509-224"/>
    <n v="0"/>
    <d v="2016-03-31T00:00:00"/>
    <x v="2545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262-1458726509-224] [23/03/2016 at 09:48:00]"/>
  </r>
  <r>
    <s v="3621256-1458726504-199"/>
    <s v="Spot"/>
    <s v="3621256-1458726504-199"/>
    <n v="0"/>
    <d v="2016-03-31T00:00:00"/>
    <x v="2546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1256-1458726504-199] [23/03/2016 at 09:48:00]"/>
  </r>
  <r>
    <s v="3621268-1458726521-216"/>
    <s v="Spot"/>
    <s v="3621268-1458726521-216"/>
    <n v="0"/>
    <d v="2016-03-31T00:00:00"/>
    <x v="2547"/>
    <s v="216"/>
    <s v="SELL"/>
    <n v="3.3971583220568338"/>
    <x v="0"/>
    <x v="0"/>
    <n v="100.42"/>
    <s v="Deal"/>
    <m/>
    <s v="Original Amount [EUR 29.56], Merchant Amount [EUR 29.56], Customer Amount [TRY 100.42], Status [APPROVED], Operation [3DAUTH], UUID [3621268-1458726521-216] [23/03/2016 at 09:48:00]"/>
  </r>
  <r>
    <s v="3621286-1458726544-107"/>
    <s v="Spot"/>
    <s v="3621286-1458726544-107"/>
    <n v="0"/>
    <d v="2016-03-31T00:00:00"/>
    <x v="2548"/>
    <s v="107"/>
    <s v="SELL"/>
    <n v="3.39703034215623"/>
    <x v="0"/>
    <x v="0"/>
    <n v="315.72000000000003"/>
    <s v="Deal"/>
    <m/>
    <s v="Original Amount [EUR 92.94], Merchant Amount [EUR 92.94], Customer Amount [TRY 315.72], Status [APPROVED], Operation [3DAUTH], UUID [3621286-1458726544-107] [23/03/2016 at 09:49:00]"/>
  </r>
  <r>
    <s v="3621214-1458726447-216"/>
    <s v="Spot"/>
    <s v="3621214-1458726447-216"/>
    <n v="0"/>
    <d v="2016-03-31T00:00:00"/>
    <x v="254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214-1458726447-216] [23/03/2016 at 09:47:00]"/>
  </r>
  <r>
    <s v="3621211-1458726443-200"/>
    <s v="Spot"/>
    <s v="3621211-1458726443-200"/>
    <n v="0"/>
    <d v="2016-03-31T00:00:00"/>
    <x v="2550"/>
    <s v="200"/>
    <s v="SELL"/>
    <n v="9.9411227749885889"/>
    <x v="0"/>
    <x v="1"/>
    <n v="217.81"/>
    <s v="Deal"/>
    <m/>
    <s v="Original Amount [EUR 21.91], Merchant Amount [EUR 21.91], Customer Amount [NOK 217.81], Status [APPROVED], Operation [STORED], UUID [3621211-1458726443-200] [23/03/2016 at 09:47:00]"/>
  </r>
  <r>
    <s v="3621208-1458726443-224"/>
    <s v="Spot"/>
    <s v="3621208-1458726443-224"/>
    <n v="0"/>
    <d v="2016-03-31T00:00:00"/>
    <x v="2551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1208-1458726443-224] [23/03/2016 at 09:47:00]"/>
  </r>
  <r>
    <s v="3621226-1458726462-203"/>
    <s v="Spot"/>
    <s v="3621226-1458726462-203"/>
    <n v="0"/>
    <d v="2016-03-31T00:00:00"/>
    <x v="2552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1226-1458726462-203] [23/03/2016 at 09:47:00]"/>
  </r>
  <r>
    <s v="3621205-1458726442-56"/>
    <s v="Spot"/>
    <s v="3621205-1458726442-56"/>
    <n v="0"/>
    <d v="2016-03-31T00:00:00"/>
    <x v="2553"/>
    <s v="56"/>
    <s v="SELL"/>
    <n v="3.3971276927880112"/>
    <x v="0"/>
    <x v="0"/>
    <n v="217.62"/>
    <s v="Deal"/>
    <m/>
    <s v="Original Amount [EUR 64.06], Merchant Amount [EUR 64.06], Customer Amount [TRY 217.62], Status [APPROVED], Operation [3DAUTH], UUID [3621205-1458726442-56] [23/03/2016 at 09:47:00]"/>
  </r>
  <r>
    <s v="3621172-1458726403-224"/>
    <s v="Spot"/>
    <s v="3621172-1458726403-224"/>
    <n v="0"/>
    <d v="2016-03-31T00:00:00"/>
    <x v="2554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72-1458726403-224] [23/03/2016 at 09:46:00]"/>
  </r>
  <r>
    <s v="3621163-1458726389-107"/>
    <s v="Spot"/>
    <s v="3621163-1458726389-107"/>
    <n v="0"/>
    <d v="2016-03-31T00:00:00"/>
    <x v="2555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1163-1458726389-107] [23/03/2016 at 09:46:00]"/>
  </r>
  <r>
    <s v="3621160-1458726383-216"/>
    <s v="Spot"/>
    <s v="3621160-1458726383-216"/>
    <n v="0"/>
    <d v="2016-03-31T00:00:00"/>
    <x v="255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160-1458726383-216] [23/03/2016 at 09:46:00]"/>
  </r>
  <r>
    <s v="3621157-1458726374-200"/>
    <s v="Spot"/>
    <s v="3621157-1458726374-200"/>
    <n v="0"/>
    <d v="2016-03-31T00:00:00"/>
    <x v="2557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1157-1458726374-200] [23/03/2016 at 09:46:00]"/>
  </r>
  <r>
    <s v="3621154-1458726369-216"/>
    <s v="Spot"/>
    <s v="3621154-1458726369-216"/>
    <n v="0"/>
    <d v="2016-03-31T00:00:00"/>
    <x v="2558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54-1458726369-216] [23/03/2016 at 09:46:00]"/>
  </r>
  <r>
    <s v="3621151-1458726365-200"/>
    <s v="Spot"/>
    <s v="3621151-1458726365-200"/>
    <n v="0"/>
    <d v="2016-03-31T00:00:00"/>
    <x v="255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1151-1458726365-200] [23/03/2016 at 09:46:00]"/>
  </r>
  <r>
    <s v="3621142-1458726355-187"/>
    <s v="Spot"/>
    <s v="3621142-1458726355-187"/>
    <n v="0"/>
    <d v="2016-03-31T00:00:00"/>
    <x v="256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1142-1458726355-187] [23/03/2016 at 09:45:00]"/>
  </r>
  <r>
    <s v="3621133-1458726353-216"/>
    <s v="Spot"/>
    <s v="3621133-1458726353-216"/>
    <n v="0"/>
    <d v="2016-03-31T00:00:00"/>
    <x v="2561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33-1458726353-216] [23/03/2016 at 09:45:00]"/>
  </r>
  <r>
    <s v="3621112-1458726339-224"/>
    <s v="Spot"/>
    <s v="3621112-1458726339-224"/>
    <n v="0"/>
    <d v="2016-03-31T00:00:00"/>
    <x v="2562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12-1458726339-224] [23/03/2016 at 09:45:00]"/>
  </r>
  <r>
    <s v="3621106-1458726335-107"/>
    <s v="Spot"/>
    <s v="3621106-1458726335-107"/>
    <n v="0"/>
    <d v="2016-03-31T00:00:00"/>
    <x v="2563"/>
    <s v="107"/>
    <s v="SELL"/>
    <n v="3.3970486511413425"/>
    <x v="0"/>
    <x v="0"/>
    <n v="147.33000000000001"/>
    <s v="Deal"/>
    <m/>
    <s v="Original Amount [EUR 43.37], Merchant Amount [EUR 43.37], Customer Amount [TRY 147.33], Status [APPROVED], Operation [3DAUTH], UUID [3621106-1458726335-107] [23/03/2016 at 09:45:00]"/>
  </r>
  <r>
    <s v="3621127-1458726349-107"/>
    <s v="Spot"/>
    <s v="3621127-1458726349-107"/>
    <n v="0"/>
    <d v="2016-03-31T00:00:00"/>
    <x v="2564"/>
    <s v="107"/>
    <s v="SELL"/>
    <n v="3.3974181650530193"/>
    <x v="0"/>
    <x v="0"/>
    <n v="73.69"/>
    <s v="Deal"/>
    <m/>
    <s v="Original Amount [EUR 21.69], Merchant Amount [EUR 21.69], Customer Amount [TRY 73.69], Status [APPROVED], Operation [3DAUTH], UUID [3621127-1458726349-107] [23/03/2016 at 09:45:00]"/>
  </r>
  <r>
    <s v="3621094-1458726312-224"/>
    <s v="Spot"/>
    <s v="3621094-1458726312-224"/>
    <n v="0"/>
    <d v="2016-03-31T00:00:00"/>
    <x v="2565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094-1458726312-224] [23/03/2016 at 09:45:00]"/>
  </r>
  <r>
    <s v="3621088-1458726309-199"/>
    <s v="Spot"/>
    <s v="3621088-1458726309-199"/>
    <n v="0"/>
    <d v="2016-03-31T00:00:00"/>
    <x v="2566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1088-1458726309-199] [23/03/2016 at 09:45:00]"/>
  </r>
  <r>
    <s v="3621115-1458726340-124"/>
    <s v="Spot"/>
    <s v="3621115-1458726340-124"/>
    <n v="0"/>
    <d v="2016-03-31T00:00:00"/>
    <x v="2567"/>
    <s v="124"/>
    <s v="SELL"/>
    <n v="9.9411764705882337"/>
    <x v="0"/>
    <x v="1"/>
    <n v="346.45"/>
    <s v="Deal"/>
    <m/>
    <s v="Original Amount [EUR 34.85], Merchant Amount [EUR 34.85], Customer Amount [NOK 346.45], Status [APPROVED], Operation [3DAUTH], UUID [3621115-1458726340-124] [23/03/2016 at 09:45:00]"/>
  </r>
  <r>
    <s v="3621076-1458726300-199"/>
    <s v="Spot"/>
    <s v="3621076-1458726300-199"/>
    <n v="0"/>
    <d v="2016-03-31T00:00:00"/>
    <x v="2568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1076-1458726300-199] [23/03/2016 at 09:45:00]"/>
  </r>
  <r>
    <s v="3621121-1458726345-264"/>
    <s v="Spot"/>
    <s v="3621121-1458726345-264"/>
    <n v="0"/>
    <d v="2016-03-31T00:00:00"/>
    <x v="2569"/>
    <s v="264"/>
    <s v="SELL"/>
    <n v="80.141430412371136"/>
    <x v="0"/>
    <x v="8"/>
    <n v="2487.59"/>
    <s v="Deal"/>
    <m/>
    <s v="Original Amount [TRY 100], Merchant Amount [EUR 31.04], Customer Amount [RUB 2487.59], Status [APPROVED], Operation [3DAUTH], UUID [3621121-1458726345-264] [23/03/2016 at 09:45:00]"/>
  </r>
  <r>
    <s v="3621082-1458726301-124"/>
    <s v="Spot"/>
    <s v="3621082-1458726301-124"/>
    <n v="0"/>
    <d v="2016-03-31T00:00:00"/>
    <x v="2570"/>
    <s v="124"/>
    <s v="SELL"/>
    <n v="9.968030018761727"/>
    <x v="0"/>
    <x v="1"/>
    <n v="1328.24"/>
    <s v="Deal"/>
    <m/>
    <s v="Original Amount [EUR 133.25], Merchant Amount [EUR 133.25], Customer Amount [NOK 1328.24], Status [APPROVED], Operation [3DAUTH], UUID [3621082-1458726301-124] [23/03/2016 at 09:45:00]"/>
  </r>
  <r>
    <s v="3621058-1458726264-216"/>
    <s v="Spot"/>
    <s v="3621058-1458726264-216"/>
    <n v="0"/>
    <d v="2016-03-31T00:00:00"/>
    <x v="2571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1058-1458726264-216] [23/03/2016 at 09:44:00]"/>
  </r>
  <r>
    <s v="3621067-1458726280-216"/>
    <s v="Spot"/>
    <s v="3621067-1458726280-216"/>
    <n v="0"/>
    <d v="2016-03-31T00:00:00"/>
    <x v="2572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21067-1458726280-216] [23/03/2016 at 09:44:00]"/>
  </r>
  <r>
    <s v="3621064-1458726277-107"/>
    <s v="Spot"/>
    <s v="3621064-1458726277-107"/>
    <n v="0"/>
    <d v="2016-03-31T00:00:00"/>
    <x v="2573"/>
    <s v="107"/>
    <s v="SELL"/>
    <n v="3.3957391865719821"/>
    <x v="0"/>
    <x v="0"/>
    <n v="52.6"/>
    <s v="Deal"/>
    <m/>
    <s v="Original Amount [EUR 15.49], Merchant Amount [EUR 15.49], Customer Amount [TRY 52.6], Status [APPROVED], Operation [3DAUTH], UUID [3621064-1458726277-107] [23/03/2016 at 09:44:00]"/>
  </r>
  <r>
    <s v="3621049-1458726255-224"/>
    <s v="Spot"/>
    <s v="3621049-1458726255-224"/>
    <n v="0"/>
    <d v="2016-03-31T00:00:00"/>
    <x v="2574"/>
    <s v="224"/>
    <s v="SELL"/>
    <n v="9.9679905157083564"/>
    <x v="0"/>
    <x v="1"/>
    <n v="2690.56"/>
    <s v="Deal"/>
    <m/>
    <s v="Original Amount [EUR 269.92], Merchant Amount [EUR 269.92], Customer Amount [NOK 2690.56], Status [APPROVED], Operation [DIRECT], UUID [3621049-1458726255-224] [23/03/2016 at 09:44:00]"/>
  </r>
  <r>
    <s v="3621040-1458726249-82"/>
    <s v="Spot"/>
    <s v="3621040-1458726249-82"/>
    <n v="0"/>
    <d v="2016-03-31T00:00:00"/>
    <x v="2575"/>
    <s v="82"/>
    <s v="SELL"/>
    <n v="0"/>
    <x v="0"/>
    <x v="7"/>
    <n v="0.01"/>
    <s v="Deal"/>
    <m/>
    <s v="Original Amount [USD 0.01], Merchant Amount [EUR 0], Customer Amount [USD 0.01], Status [APPROVED], Operation [STORED], UUID [3621040-1458726249-82] [23/03/2016 at 09:44:00]"/>
  </r>
  <r>
    <s v="3621037-1458726243-187"/>
    <s v="Spot"/>
    <s v="3621037-1458726243-187"/>
    <n v="0"/>
    <d v="2016-03-31T00:00:00"/>
    <x v="2576"/>
    <s v="187"/>
    <s v="SELL"/>
    <n v="9.9688090737240067"/>
    <x v="0"/>
    <x v="1"/>
    <n v="105.47"/>
    <s v="Deal"/>
    <m/>
    <s v="Original Amount [EUR 10.58], Merchant Amount [EUR 10.58], Customer Amount [NOK 105.47], Status [APPROVED], Operation [DIRECT], UUID [3621037-1458726243-187] [23/03/2016 at 09:44:00]"/>
  </r>
  <r>
    <s v="3621028-1458726224-224"/>
    <s v="Spot"/>
    <s v="3621028-1458726224-224"/>
    <n v="0"/>
    <d v="2016-03-31T00:00:00"/>
    <x v="2577"/>
    <s v="224"/>
    <s v="SELL"/>
    <n v="132.96697413403857"/>
    <x v="0"/>
    <x v="3"/>
    <n v="20613.87"/>
    <s v="Deal"/>
    <m/>
    <s v="Original Amount [EUR 155.03], Merchant Amount [EUR 155.03], Customer Amount [JPY 20613.87], Status [APPROVED], Operation [DIRECT], UUID [3621028-1458726224-224] [23/03/2016 at 09:43:00]"/>
  </r>
  <r>
    <s v="3621001-1458726200-224"/>
    <s v="Spot"/>
    <s v="3621001-1458726200-224"/>
    <n v="0"/>
    <d v="2016-03-31T00:00:00"/>
    <x v="2578"/>
    <s v="224"/>
    <s v="SELL"/>
    <n v="9.9680280909258911"/>
    <x v="0"/>
    <x v="1"/>
    <n v="539.37"/>
    <s v="Deal"/>
    <m/>
    <s v="Original Amount [EUR 54.11], Merchant Amount [EUR 54.11], Customer Amount [NOK 539.37], Status [APPROVED], Operation [DIRECT], UUID [3621001-1458726200-224] [23/03/2016 at 09:43:00]"/>
  </r>
  <r>
    <s v="3620989-1458726184-216"/>
    <s v="Spot"/>
    <s v="3620989-1458726184-216"/>
    <n v="0"/>
    <d v="2016-03-31T00:00:00"/>
    <x v="2579"/>
    <s v="216"/>
    <s v="SELL"/>
    <n v="3.396032831737346"/>
    <x v="0"/>
    <x v="0"/>
    <n v="49.65"/>
    <s v="Deal"/>
    <m/>
    <s v="Original Amount [EUR 14.62], Merchant Amount [EUR 14.62], Customer Amount [TRY 49.65], Status [WAITING], Operation [3D], UUID [3620989-1458726184-216] [23/03/2016 at 09:43:00]"/>
  </r>
  <r>
    <s v="3620983-1458726173-216"/>
    <s v="Spot"/>
    <s v="3620983-1458726173-216"/>
    <n v="0"/>
    <d v="2016-03-31T00:00:00"/>
    <x v="2580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0983-1458726173-216] [23/03/2016 at 09:42:00]"/>
  </r>
  <r>
    <s v="3621004-1458726201-216"/>
    <s v="Spot"/>
    <s v="3621004-1458726201-216"/>
    <n v="0"/>
    <d v="2016-03-31T00:00:00"/>
    <x v="2581"/>
    <s v="216"/>
    <s v="SELL"/>
    <n v="3.3955323423061468"/>
    <x v="0"/>
    <x v="0"/>
    <n v="2112.87"/>
    <s v="Deal"/>
    <m/>
    <s v="Original Amount [EUR 622.25], Merchant Amount [EUR 622.25], Customer Amount [TRY 2112.87], Status [APPROVED], Operation [3DAUTH], UUID [3621004-1458726201-216] [23/03/2016 at 09:43:00]"/>
  </r>
  <r>
    <s v="3620977-1458726162-171"/>
    <s v="Spot"/>
    <s v="3620977-1458726162-171"/>
    <n v="0"/>
    <d v="2016-03-31T00:00:00"/>
    <x v="2582"/>
    <s v="171"/>
    <s v="SELL"/>
    <n v="9.968"/>
    <x v="0"/>
    <x v="1"/>
    <n v="398.72"/>
    <s v="Deal"/>
    <m/>
    <s v="Original Amount [EUR 40], Merchant Amount [EUR 40], Customer Amount [NOK 398.72], Status [APPROVED], Operation [DIRECT], UUID [3620977-1458726162-171] [23/03/2016 at 09:42:00]"/>
  </r>
  <r>
    <s v="3620974-1458726148-224"/>
    <s v="Spot"/>
    <s v="3620974-1458726148-224"/>
    <n v="0"/>
    <d v="2016-03-31T00:00:00"/>
    <x v="2583"/>
    <s v="224"/>
    <s v="SELL"/>
    <n v="9.9679704342469986"/>
    <x v="0"/>
    <x v="1"/>
    <n v="323.66000000000003"/>
    <s v="Deal"/>
    <m/>
    <s v="Original Amount [EUR 32.47], Merchant Amount [EUR 32.47], Customer Amount [NOK 323.66], Status [APPROVED], Operation [DIRECT], UUID [3620974-1458726148-224] [23/03/2016 at 09:42:00]"/>
  </r>
  <r>
    <s v="3620968-1458726122-119"/>
    <s v="Spot"/>
    <s v="3620968-1458726122-119"/>
    <n v="0"/>
    <d v="2016-03-31T00:00:00"/>
    <x v="2584"/>
    <s v="119"/>
    <s v="SELL"/>
    <n v="9.968"/>
    <x v="0"/>
    <x v="1"/>
    <n v="498.4"/>
    <s v="Deal"/>
    <m/>
    <s v="Original Amount [EUR 50], Merchant Amount [EUR 50], Customer Amount [NOK 498.4], Status [APPROVED], Operation [DIRECT], UUID [3620968-1458726122-119] [23/03/2016 at 09:42:00]"/>
  </r>
  <r>
    <s v="3621013-1458726211-216"/>
    <s v="Spot"/>
    <s v="3621013-1458726211-216"/>
    <n v="0"/>
    <d v="2016-03-31T00:00:00"/>
    <x v="2585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21013-1458726211-216] [23/03/2016 at 09:43:00]"/>
  </r>
  <r>
    <s v="3620962-1458726109-119"/>
    <s v="Spot"/>
    <s v="3620962-1458726109-119"/>
    <n v="0"/>
    <d v="2016-03-31T00:00:00"/>
    <x v="2586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0962-1458726109-119] [23/03/2016 at 09:41:00]"/>
  </r>
  <r>
    <s v="3620959-1458726109-216"/>
    <s v="Spot"/>
    <s v="3620959-1458726109-216"/>
    <n v="0"/>
    <d v="2016-03-31T00:00:00"/>
    <x v="2587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59-1458726109-216] [23/03/2016 at 09:41:00]"/>
  </r>
  <r>
    <s v="3620971-1458726129-56"/>
    <s v="Spot"/>
    <s v="3620971-1458726129-56"/>
    <n v="0"/>
    <d v="2016-03-31T00:00:00"/>
    <x v="2588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0971-1458726129-56] [23/03/2016 at 09:42:00]"/>
  </r>
  <r>
    <s v="3620926-1458726060-216"/>
    <s v="Spot"/>
    <s v="3620926-1458726060-216"/>
    <n v="0"/>
    <d v="2016-03-31T00:00:00"/>
    <x v="258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26-1458726060-216] [23/03/2016 at 09:41:00]"/>
  </r>
  <r>
    <s v="3620953-1458726095-216"/>
    <s v="Spot"/>
    <s v="3620953-1458726095-216"/>
    <n v="0"/>
    <d v="2016-03-31T00:00:00"/>
    <x v="2590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953-1458726095-216] [23/03/2016 at 09:41:00]"/>
  </r>
  <r>
    <s v="3620917-1458726045-224"/>
    <s v="Spot"/>
    <s v="3620917-1458726045-224"/>
    <n v="0"/>
    <d v="2016-03-31T00:00:00"/>
    <x v="259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0917-1458726045-224] [23/03/2016 at 09:40:00]"/>
  </r>
  <r>
    <s v="3620905-1458726026-224"/>
    <s v="Spot"/>
    <s v="3620905-1458726026-224"/>
    <n v="0"/>
    <d v="2016-03-31T00:00:00"/>
    <x v="259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905-1458726026-224] [23/03/2016 at 09:40:00]"/>
  </r>
  <r>
    <s v="3620902-1458726026-224"/>
    <s v="Spot"/>
    <s v="3620902-1458726026-224"/>
    <n v="0"/>
    <d v="2016-03-31T00:00:00"/>
    <x v="2593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902-1458726026-224] [23/03/2016 at 09:40:00]"/>
  </r>
  <r>
    <s v="3620899-1458726026-224"/>
    <s v="Spot"/>
    <s v="3620899-1458726026-224"/>
    <n v="0"/>
    <d v="2016-03-31T00:00:00"/>
    <x v="2594"/>
    <s v="224"/>
    <s v="SELL"/>
    <n v="9.9545791345583865"/>
    <x v="0"/>
    <x v="1"/>
    <n v="2686.94"/>
    <s v="Deal"/>
    <m/>
    <s v="Original Amount [EUR 269.92], Merchant Amount [EUR 269.92], Customer Amount [NOK 2686.94], Status [APPROVED], Operation [DIRECT], UUID [3620899-1458726026-224] [23/03/2016 at 09:40:00]"/>
  </r>
  <r>
    <s v="3620893-1458726009-126"/>
    <s v="Spot"/>
    <s v="3620893-1458726009-126"/>
    <n v="0"/>
    <d v="2016-03-31T00:00:00"/>
    <x v="259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0893-1458726009-126] [23/03/2016 at 09:40:00]"/>
  </r>
  <r>
    <s v="3620908-1458726038-216"/>
    <s v="Spot"/>
    <s v="3620908-1458726038-216"/>
    <n v="0"/>
    <d v="2016-03-31T00:00:00"/>
    <x v="2596"/>
    <s v="216"/>
    <s v="SELL"/>
    <n v="3.3968200270635993"/>
    <x v="0"/>
    <x v="0"/>
    <n v="100.41"/>
    <s v="Deal"/>
    <m/>
    <s v="Original Amount [EUR 29.56], Merchant Amount [EUR 29.56], Customer Amount [TRY 100.41], Status [APPROVED], Operation [3DAUTH], UUID [3620908-1458726038-216] [23/03/2016 at 09:40:00]"/>
  </r>
  <r>
    <s v="3620884-1458726004-216"/>
    <s v="Spot"/>
    <s v="3620884-1458726004-216"/>
    <n v="0"/>
    <d v="2016-03-31T00:00:00"/>
    <x v="2597"/>
    <s v="216"/>
    <s v="SELL"/>
    <n v="3.3966009711511003"/>
    <x v="0"/>
    <x v="0"/>
    <n v="237.83"/>
    <s v="Deal"/>
    <m/>
    <s v="Original Amount [EUR 70.02], Merchant Amount [EUR 70.02], Customer Amount [TRY 237.83], Status [APPROVED], Operation [3DAUTH], UUID [3620884-1458726004-216] [23/03/2016 at 09:40:00]"/>
  </r>
  <r>
    <s v="3620872-1458725972-216"/>
    <s v="Spot"/>
    <s v="3620872-1458725972-216"/>
    <n v="0"/>
    <d v="2016-03-31T00:00:00"/>
    <x v="2598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872-1458725972-216] [23/03/2016 at 09:39:00]"/>
  </r>
  <r>
    <s v="3620863-1458725943-224"/>
    <s v="Spot"/>
    <s v="3620863-1458725943-224"/>
    <n v="0"/>
    <d v="2016-03-31T00:00:00"/>
    <x v="2599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0863-1458725943-224] [23/03/2016 at 09:39:00]"/>
  </r>
  <r>
    <s v="3620854-1458725930-216"/>
    <s v="Spot"/>
    <s v="3620854-1458725930-216"/>
    <n v="0"/>
    <d v="2016-03-31T00:00:00"/>
    <x v="2600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54-1458725930-216] [23/03/2016 at 09:38:00]"/>
  </r>
  <r>
    <s v="3620851-1458725927-119"/>
    <s v="Spot"/>
    <s v="3620851-1458725927-119"/>
    <n v="0"/>
    <d v="2016-03-31T00:00:00"/>
    <x v="2601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851-1458725927-119] [23/03/2016 at 09:38:00]"/>
  </r>
  <r>
    <s v="3620848-1458725926-224"/>
    <s v="Spot"/>
    <s v="3620848-1458725926-224"/>
    <n v="0"/>
    <d v="2016-03-31T00:00:00"/>
    <x v="2602"/>
    <s v="224"/>
    <s v="SELL"/>
    <n v="9.9418950826403876"/>
    <x v="0"/>
    <x v="1"/>
    <n v="968.44"/>
    <s v="Deal"/>
    <m/>
    <s v="Original Amount [EUR 97.41], Merchant Amount [EUR 97.41], Customer Amount [NOK 968.44], Status [APPROVED], Operation [DIRECT], UUID [3620848-1458725926-224] [23/03/2016 at 09:38:00]"/>
  </r>
  <r>
    <s v="3620842-1458725918-200"/>
    <s v="Spot"/>
    <s v="3620842-1458725918-200"/>
    <n v="0"/>
    <d v="2016-03-31T00:00:00"/>
    <x v="2603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0842-1458725918-200] [23/03/2016 at 09:38:00]"/>
  </r>
  <r>
    <s v="3620839-1458725916-216"/>
    <s v="Spot"/>
    <s v="3620839-1458725916-216"/>
    <n v="0"/>
    <d v="2016-03-31T00:00:00"/>
    <x v="2604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20839-1458725916-216] [23/03/2016 at 09:38:00]"/>
  </r>
  <r>
    <s v="3620845-1458725923-216"/>
    <s v="Spot"/>
    <s v="3620845-1458725923-216"/>
    <n v="0"/>
    <d v="2016-03-31T00:00:00"/>
    <x v="2605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45-1458725923-216] [23/03/2016 at 09:38:00]"/>
  </r>
  <r>
    <s v="3620827-1458725892-216"/>
    <s v="Spot"/>
    <s v="3620827-1458725892-216"/>
    <n v="0"/>
    <d v="2016-03-31T00:00:00"/>
    <x v="2606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27-1458725892-216] [23/03/2016 at 09:38:00]"/>
  </r>
  <r>
    <s v="3620815-1458725880-224"/>
    <s v="Spot"/>
    <s v="3620815-1458725880-224"/>
    <n v="0"/>
    <d v="2016-03-31T00:00:00"/>
    <x v="2607"/>
    <s v="224"/>
    <s v="SELL"/>
    <n v="132.97225572979494"/>
    <x v="0"/>
    <x v="3"/>
    <n v="12125.74"/>
    <s v="Deal"/>
    <m/>
    <s v="Original Amount [EUR 91.19], Merchant Amount [EUR 91.19], Customer Amount [JPY 12125.74], Status [APPROVED], Operation [DIRECT], UUID [3620815-1458725880-224] [23/03/2016 at 09:38:00]"/>
  </r>
  <r>
    <s v="3620809-1458725868-126"/>
    <s v="Spot"/>
    <s v="3620809-1458725868-126"/>
    <n v="0"/>
    <d v="2016-03-31T00:00:00"/>
    <x v="2608"/>
    <s v="126"/>
    <s v="SELL"/>
    <n v="9.9419512195121946"/>
    <x v="0"/>
    <x v="1"/>
    <n v="407.62"/>
    <s v="Deal"/>
    <m/>
    <s v="Original Amount [EUR 41], Merchant Amount [EUR 41], Customer Amount [NOK 407.62], Status [APPROVED], Operation [DIRECT], UUID [3620809-1458725868-126] [23/03/2016 at 09:37:00]"/>
  </r>
  <r>
    <s v="3620818-1458725883-216"/>
    <s v="Spot"/>
    <s v="3620818-1458725883-216"/>
    <n v="0"/>
    <d v="2016-03-31T00:00:00"/>
    <x v="2609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0818-1458725883-216] [23/03/2016 at 09:38:00]"/>
  </r>
  <r>
    <s v="3620824-1458725887-216"/>
    <s v="Spot"/>
    <s v="3620824-1458725887-216"/>
    <n v="0"/>
    <d v="2016-03-31T00:00:00"/>
    <x v="261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24-1458725887-216] [23/03/2016 at 09:38:00]"/>
  </r>
  <r>
    <s v="3620791-1458725838-261"/>
    <s v="Spot"/>
    <s v="3620791-1458725838-261"/>
    <n v="0"/>
    <d v="2016-03-31T00:00:00"/>
    <x v="261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91-1458725838-261] [23/03/2016 at 09:37:00]"/>
  </r>
  <r>
    <s v="3620788-1458725837-224"/>
    <s v="Spot"/>
    <s v="3620788-1458725837-224"/>
    <n v="0"/>
    <d v="2016-03-31T00:00:00"/>
    <x v="261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0788-1458725837-224] [23/03/2016 at 09:37:00]"/>
  </r>
  <r>
    <s v="3620785-1458725834-200"/>
    <s v="Spot"/>
    <s v="3620785-1458725834-200"/>
    <n v="0"/>
    <d v="2016-03-31T00:00:00"/>
    <x v="2613"/>
    <s v="200"/>
    <s v="SELL"/>
    <n v="9.9419099756690983"/>
    <x v="0"/>
    <x v="1"/>
    <n v="326.89"/>
    <s v="Deal"/>
    <m/>
    <s v="Original Amount [EUR 32.88], Merchant Amount [EUR 32.88], Customer Amount [NOK 326.89], Status [APPROVED], Operation [STORED], UUID [3620785-1458725834-200] [23/03/2016 at 09:37:00]"/>
  </r>
  <r>
    <s v="3620797-1458725848-101"/>
    <s v="Spot"/>
    <s v="3620797-1458725848-101"/>
    <n v="0"/>
    <d v="2016-03-31T00:00:00"/>
    <x v="2614"/>
    <s v="101"/>
    <s v="SELL"/>
    <n v="3.3922315308453919"/>
    <x v="0"/>
    <x v="0"/>
    <n v="44.54"/>
    <s v="Deal"/>
    <m/>
    <s v="Original Amount [EUR 13.13], Merchant Amount [EUR 13.13], Customer Amount [TRY 44.54], Status [APPROVED], Operation [3DAUTH], UUID [3620797-1458725848-101] [23/03/2016 at 09:37:00]"/>
  </r>
  <r>
    <s v="3620773-1458725812-119"/>
    <s v="Spot"/>
    <s v="3620773-1458725812-119"/>
    <n v="0"/>
    <d v="2016-03-31T00:00:00"/>
    <x v="2615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3-1458725812-119] [23/03/2016 at 09:36:00]"/>
  </r>
  <r>
    <s v="3620770-1458725810-119"/>
    <s v="Spot"/>
    <s v="3620770-1458725810-119"/>
    <n v="0"/>
    <d v="2016-03-31T00:00:00"/>
    <x v="2616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0-1458725810-119] [23/03/2016 at 09:36:00]"/>
  </r>
  <r>
    <s v="3620779-1458725827-107"/>
    <s v="Spot"/>
    <s v="3620779-1458725827-107"/>
    <n v="0"/>
    <d v="2016-03-31T00:00:00"/>
    <x v="2617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779-1458725827-107] [23/03/2016 at 09:37:00]"/>
  </r>
  <r>
    <s v="3620761-1458725766-124"/>
    <s v="Spot"/>
    <s v="3620761-1458725766-124"/>
    <n v="0"/>
    <d v="2016-03-31T00:00:00"/>
    <x v="2618"/>
    <s v="124"/>
    <s v="SELL"/>
    <n v="9.9423984891407002"/>
    <x v="0"/>
    <x v="1"/>
    <n v="105.29"/>
    <s v="Deal"/>
    <m/>
    <s v="Original Amount [EUR 10.59], Merchant Amount [EUR 10.59], Customer Amount [NOK 105.29], Status [APPROVED], Operation [DIRECT], UUID [3620761-1458725766-124] [23/03/2016 at 09:36:00]"/>
  </r>
  <r>
    <s v="3620758-1458725749-216"/>
    <s v="Spot"/>
    <s v="3620758-1458725749-216"/>
    <n v="0"/>
    <d v="2016-03-31T00:00:00"/>
    <x v="26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58-1458725749-216] [23/03/2016 at 09:35:00]"/>
  </r>
  <r>
    <s v="3620743-1458725726-224"/>
    <s v="Spot"/>
    <s v="3620743-1458725726-224"/>
    <n v="0"/>
    <d v="2016-03-31T00:00:00"/>
    <x v="2620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0743-1458725726-224] [23/03/2016 at 09:35:00]"/>
  </r>
  <r>
    <s v="3620740-1458725714-261"/>
    <s v="Spot"/>
    <s v="3620740-1458725714-261"/>
    <n v="0"/>
    <d v="2016-03-31T00:00:00"/>
    <x v="262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40-1458725714-261] [23/03/2016 at 09:35:00]"/>
  </r>
  <r>
    <s v="3620746-1458725727-124"/>
    <s v="Spot"/>
    <s v="3620746-1458725727-124"/>
    <n v="0"/>
    <d v="2016-03-31T00:00:00"/>
    <x v="2622"/>
    <s v="124"/>
    <s v="SELL"/>
    <n v="9.9419068736141902"/>
    <x v="0"/>
    <x v="1"/>
    <n v="672.57"/>
    <s v="Deal"/>
    <m/>
    <s v="Original Amount [EUR 67.65], Merchant Amount [EUR 67.65], Customer Amount [NOK 672.57], Status [APPROVED], Operation [3DAUTH], UUID [3620746-1458725727-124] [23/03/2016 at 09:35:00]"/>
  </r>
  <r>
    <s v="3620725-1458725670-224"/>
    <s v="Spot"/>
    <s v="3620725-1458725670-224"/>
    <n v="0"/>
    <d v="2016-03-31T00:00:00"/>
    <x v="2623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0725-1458725670-224] [23/03/2016 at 09:34:00]"/>
  </r>
  <r>
    <s v="3620722-1458725666-216"/>
    <s v="Spot"/>
    <s v="3620722-1458725666-216"/>
    <n v="0"/>
    <d v="2016-03-31T00:00:00"/>
    <x v="2624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22-1458725666-216] [23/03/2016 at 09:34:00]"/>
  </r>
  <r>
    <s v="3620719-1458725662-119"/>
    <s v="Spot"/>
    <s v="3620719-1458725662-119"/>
    <n v="0"/>
    <d v="2016-03-31T00:00:00"/>
    <x v="2625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3DAUTH], UUID [3620719-1458725662-119] [23/03/2016 at 09:34:00]"/>
  </r>
  <r>
    <s v="3620707-1458725640-224"/>
    <s v="Spot"/>
    <s v="3620707-1458725640-224"/>
    <n v="0"/>
    <d v="2016-03-31T00:00:00"/>
    <x v="2626"/>
    <s v="224"/>
    <s v="SELL"/>
    <n v="9.941869417924238"/>
    <x v="0"/>
    <x v="1"/>
    <n v="1291.25"/>
    <s v="Deal"/>
    <m/>
    <s v="Original Amount [EUR 129.88], Merchant Amount [EUR 129.88], Customer Amount [NOK 1291.25], Status [APPROVED], Operation [DIRECT], UUID [3620707-1458725640-224] [23/03/2016 at 09:34:00]"/>
  </r>
  <r>
    <s v="3620704-1458725640-56"/>
    <s v="Spot"/>
    <s v="3620704-1458725640-56"/>
    <n v="0"/>
    <d v="2016-03-31T00:00:00"/>
    <x v="2627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0704-1458725640-56] [23/03/2016 at 09:34:00]"/>
  </r>
  <r>
    <s v="3620701-1458725630-150"/>
    <s v="Spot"/>
    <s v="3620701-1458725630-150"/>
    <n v="0"/>
    <d v="2016-03-31T00:00:00"/>
    <x v="2628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0701-1458725630-150] [23/03/2016 at 09:33:00]"/>
  </r>
  <r>
    <s v="3620686-1458725602-261"/>
    <s v="Spot"/>
    <s v="3620686-1458725602-261"/>
    <n v="0"/>
    <d v="2016-03-31T00:00:00"/>
    <x v="2629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0686-1458725602-261] [23/03/2016 at 09:33:00]"/>
  </r>
  <r>
    <s v="3620674-1458725569-161"/>
    <s v="Spot"/>
    <s v="3620674-1458725569-161"/>
    <n v="0"/>
    <d v="2016-03-31T00:00:00"/>
    <x v="2630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674-1458725569-161] [23/03/2016 at 09:32:00]"/>
  </r>
  <r>
    <s v="3620662-1458725563-224"/>
    <s v="Spot"/>
    <s v="3620662-1458725563-224"/>
    <n v="0"/>
    <d v="2016-03-31T00:00:00"/>
    <x v="2631"/>
    <s v="224"/>
    <s v="SELL"/>
    <n v="9.941056609365738"/>
    <x v="0"/>
    <x v="1"/>
    <n v="2683.29"/>
    <s v="Deal"/>
    <m/>
    <s v="Original Amount [EUR 269.92], Merchant Amount [EUR 269.92], Customer Amount [NOK 2683.29], Status [APPROVED], Operation [DIRECT], UUID [3620662-1458725563-224] [23/03/2016 at 09:32:00]"/>
  </r>
  <r>
    <s v="3620671-1458725568-107"/>
    <s v="Spot"/>
    <s v="3620671-1458725568-107"/>
    <n v="0"/>
    <d v="2016-03-31T00:00:00"/>
    <x v="2632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671-1458725568-107] [23/03/2016 at 09:32:00]"/>
  </r>
  <r>
    <s v="3620677-1458725569-107"/>
    <s v="Spot"/>
    <s v="3620677-1458725569-107"/>
    <n v="0"/>
    <d v="2016-03-31T00:00:00"/>
    <x v="2633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20677-1458725569-107] [23/03/2016 at 09:32:00]"/>
  </r>
  <r>
    <s v="3620605-1458725525-241"/>
    <s v="Spot"/>
    <s v="3620605-1458725525-241"/>
    <n v="0"/>
    <d v="2016-03-31T00:00:00"/>
    <x v="2634"/>
    <s v="241"/>
    <s v="SELL"/>
    <n v="0.83294431477159059"/>
    <x v="0"/>
    <x v="4"/>
    <n v="24.98"/>
    <s v="Deal"/>
    <m/>
    <s v="Original Amount [EUR 29.99], Merchant Amount [EUR 29.99], Customer Amount [GBP 24.98], Status [APPROVED], Operation [DIRECT], UUID [3620605-1458725525-241] [23/03/2016 at 09:32:00]"/>
  </r>
  <r>
    <s v="3620590-1458725518-199"/>
    <s v="Spot"/>
    <s v="3620590-1458725518-199"/>
    <n v="0"/>
    <d v="2016-03-31T00:00:00"/>
    <x v="263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590-1458725518-199] [23/03/2016 at 09:31:00]"/>
  </r>
  <r>
    <s v="3620581-1458725509-224"/>
    <s v="Spot"/>
    <s v="3620581-1458725509-224"/>
    <n v="0"/>
    <d v="2016-03-31T00:00:00"/>
    <x v="2636"/>
    <s v="224"/>
    <s v="SELL"/>
    <n v="9.9410738117236424"/>
    <x v="0"/>
    <x v="1"/>
    <n v="968.36"/>
    <s v="Deal"/>
    <m/>
    <s v="Original Amount [EUR 97.41], Merchant Amount [EUR 97.41], Customer Amount [NOK 968.36], Status [APPROVED], Operation [DIRECT], UUID [3620581-1458725509-224] [23/03/2016 at 09:31:00]"/>
  </r>
  <r>
    <s v="3620578-1458725508-82"/>
    <s v="Spot"/>
    <s v="3620578-1458725508-82"/>
    <n v="0"/>
    <d v="2016-03-31T00:00:00"/>
    <x v="2637"/>
    <s v="82"/>
    <s v="SELL"/>
    <n v="0.84033613445378152"/>
    <x v="0"/>
    <x v="4"/>
    <n v="1"/>
    <s v="Deal"/>
    <m/>
    <s v="Original Amount [GBP 1], Merchant Amount [EUR 1.19], Customer Amount [GBP 1], Status [APPROVED], Operation [STORED], UUID [3620578-1458725508-82] [23/03/2016 at 09:31:00]"/>
  </r>
  <r>
    <s v="3620575-1458725508-161"/>
    <s v="Spot"/>
    <s v="3620575-1458725508-161"/>
    <n v="0"/>
    <d v="2016-03-31T00:00:00"/>
    <x v="263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575-1458725508-161] [23/03/2016 at 09:31:00]"/>
  </r>
  <r>
    <s v="3620566-1458725500-126"/>
    <s v="Spot"/>
    <s v="3620566-1458725500-126"/>
    <n v="0"/>
    <d v="2016-03-31T00:00:00"/>
    <x v="263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566-1458725500-126] [23/03/2016 at 09:31:00]"/>
  </r>
  <r>
    <s v="3620560-1458725498-216"/>
    <s v="Spot"/>
    <s v="3620560-1458725498-216"/>
    <n v="0"/>
    <d v="2016-03-31T00:00:00"/>
    <x v="2640"/>
    <s v="216"/>
    <s v="SELL"/>
    <n v="3.3920308483290489"/>
    <x v="0"/>
    <x v="0"/>
    <n v="158.34"/>
    <s v="Deal"/>
    <m/>
    <s v="Original Amount [EUR 46.68], Merchant Amount [EUR 46.68], Customer Amount [TRY 158.34], Status [APPROVED], Operation [3DAUTH], UUID [3620560-1458725498-216] [23/03/2016 at 09:31:00]"/>
  </r>
  <r>
    <s v="3620515-1458725455-187"/>
    <s v="Spot"/>
    <s v="3620515-1458725455-187"/>
    <n v="0"/>
    <d v="2016-03-31T00:00:00"/>
    <x v="2641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515-1458725455-187] [23/03/2016 at 09:30:00]"/>
  </r>
  <r>
    <s v="3620512-1458725454-161"/>
    <s v="Spot"/>
    <s v="3620512-1458725454-161"/>
    <n v="0"/>
    <d v="2016-03-31T00:00:00"/>
    <x v="2642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12-1458725454-161] [23/03/2016 at 09:30:00]"/>
  </r>
  <r>
    <s v="3620536-1458725480-264"/>
    <s v="Spot"/>
    <s v="3620536-1458725480-264"/>
    <n v="0"/>
    <d v="2016-03-31T00:00:00"/>
    <x v="2643"/>
    <s v="264"/>
    <s v="SELL"/>
    <n v="3.3977401129943505"/>
    <x v="0"/>
    <x v="0"/>
    <n v="60.14"/>
    <s v="Deal"/>
    <m/>
    <s v="Original Amount [TRY 57], Merchant Amount [EUR 17.7], Customer Amount [TRY 60.14], Status [APPROVED], Operation [3DAUTH], UUID [3620536-1458725480-264] [23/03/2016 at 09:31:00]"/>
  </r>
  <r>
    <s v="3620500-1458725443-161"/>
    <s v="Spot"/>
    <s v="3620500-1458725443-161"/>
    <n v="0"/>
    <d v="2016-03-31T00:00:00"/>
    <x v="2644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00-1458725443-161] [23/03/2016 at 09:30:00]"/>
  </r>
  <r>
    <s v="3620479-1458725412-119"/>
    <s v="Spot"/>
    <s v="3620479-1458725412-119"/>
    <n v="0"/>
    <d v="2016-03-31T00:00:00"/>
    <x v="2645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0479-1458725412-119] [23/03/2016 at 09:30:00]"/>
  </r>
  <r>
    <s v="3620476-1458725411-161"/>
    <s v="Spot"/>
    <s v="3620476-1458725411-161"/>
    <n v="0"/>
    <d v="2016-03-31T00:00:00"/>
    <x v="2646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476-1458725411-161] [23/03/2016 at 09:30:00]"/>
  </r>
  <r>
    <s v="3620452-1458725390-145"/>
    <s v="Spot"/>
    <s v="3620452-1458725390-145"/>
    <n v="0"/>
    <d v="2016-03-31T00:00:00"/>
    <x v="2647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0452-1458725390-145] [23/03/2016 at 09:29:00]"/>
  </r>
  <r>
    <s v="3620443-1458725375-126"/>
    <s v="Spot"/>
    <s v="3620443-1458725375-126"/>
    <n v="0"/>
    <d v="2016-03-31T00:00:00"/>
    <x v="26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0443-1458725375-126] [23/03/2016 at 09:29:00]"/>
  </r>
  <r>
    <s v="3620467-1458725397-119"/>
    <s v="Spot"/>
    <s v="3620467-1458725397-119"/>
    <n v="0"/>
    <d v="2016-03-31T00:00:00"/>
    <x v="2649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20467-1458725397-119] [23/03/2016 at 09:29:00]"/>
  </r>
  <r>
    <s v="3620458-1458725392-216"/>
    <s v="Spot"/>
    <s v="3620458-1458725392-216"/>
    <n v="0"/>
    <d v="2016-03-31T00:00:00"/>
    <x v="265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58-1458725392-216] [23/03/2016 at 09:29:00]"/>
  </r>
  <r>
    <s v="3620449-1458725378-216"/>
    <s v="Spot"/>
    <s v="3620449-1458725378-216"/>
    <n v="0"/>
    <d v="2016-03-31T00:00:00"/>
    <x v="265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49-1458725378-216] [23/03/2016 at 09:29:00]"/>
  </r>
  <r>
    <s v="3620446-1458725376-216"/>
    <s v="Spot"/>
    <s v="3620446-1458725376-216"/>
    <n v="0"/>
    <d v="2016-03-31T00:00:00"/>
    <x v="2652"/>
    <s v="216"/>
    <s v="SELL"/>
    <n v="3.3974471830985915"/>
    <x v="0"/>
    <x v="0"/>
    <n v="77.19"/>
    <s v="Deal"/>
    <m/>
    <s v="Original Amount [EUR 22.72], Merchant Amount [EUR 22.72], Customer Amount [TRY 77.19], Status [APPROVED], Operation [3DAUTH], UUID [3620446-1458725376-216] [23/03/2016 at 09:29:00]"/>
  </r>
  <r>
    <s v="3620416-1458725335-107"/>
    <s v="Spot"/>
    <s v="3620416-1458725335-107"/>
    <n v="0"/>
    <d v="2016-03-31T00:00:00"/>
    <x v="2653"/>
    <s v="107"/>
    <s v="SELL"/>
    <n v="3.3976377952755907"/>
    <x v="0"/>
    <x v="0"/>
    <n v="43.15"/>
    <s v="Deal"/>
    <m/>
    <s v="Original Amount [EUR 12.7], Merchant Amount [EUR 12.7], Customer Amount [TRY 43.15], Status [APPROVED], Operation [3DAUTH], UUID [3620416-1458725335-107] [23/03/2016 at 09:28:00]"/>
  </r>
  <r>
    <s v="3620404-1458725322-216"/>
    <s v="Spot"/>
    <s v="3620404-1458725322-216"/>
    <n v="0"/>
    <d v="2016-03-31T00:00:00"/>
    <x v="2654"/>
    <s v="216"/>
    <s v="SELL"/>
    <n v="3.3972299168975066"/>
    <x v="0"/>
    <x v="0"/>
    <n v="61.32"/>
    <s v="Deal"/>
    <m/>
    <s v="Original Amount [EUR 18.05], Merchant Amount [EUR 18.05], Customer Amount [TRY 61.32], Status [APPROVED], Operation [3DAUTH], UUID [3620404-1458725322-216] [23/03/2016 at 09:28:00]"/>
  </r>
  <r>
    <s v="3620374-1458725268-261"/>
    <s v="Spot"/>
    <s v="3620374-1458725268-261"/>
    <n v="0"/>
    <d v="2016-03-31T00:00:00"/>
    <x v="2655"/>
    <s v="261"/>
    <s v="SELL"/>
    <n v="9.95067497403946"/>
    <x v="0"/>
    <x v="1"/>
    <n v="191.65"/>
    <s v="Deal"/>
    <m/>
    <s v="Original Amount [EUR 19.26], Merchant Amount [EUR 19.26], Customer Amount [NOK 191.65], Status [APPROVED], Operation [DIRECT], UUID [3620374-1458725268-261] [23/03/2016 at 09:27:00]"/>
  </r>
  <r>
    <s v="3620398-1458725303-203"/>
    <s v="Spot"/>
    <s v="3620398-1458725303-203"/>
    <n v="0"/>
    <d v="2016-03-31T00:00:00"/>
    <x v="2656"/>
    <s v="203"/>
    <s v="SELL"/>
    <n v="3.3974193548387093"/>
    <x v="0"/>
    <x v="0"/>
    <n v="157.97999999999999"/>
    <s v="Deal"/>
    <m/>
    <s v="Original Amount [EUR 46.5], Merchant Amount [EUR 46.5], Customer Amount [TRY 157.98], Status [APPROVED], Operation [3DAUTH], UUID [3620398-1458725303-203] [23/03/2016 at 09:28:00]"/>
  </r>
  <r>
    <s v="3620362-1458725256-107"/>
    <s v="Spot"/>
    <s v="3620362-1458725256-107"/>
    <n v="0"/>
    <d v="2016-03-31T00:00:00"/>
    <x v="2657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0362-1458725256-107] [23/03/2016 at 09:27:00]"/>
  </r>
  <r>
    <s v="3620383-1458725285-124"/>
    <s v="Spot"/>
    <s v="3620383-1458725285-124"/>
    <n v="0"/>
    <d v="2016-03-31T00:00:00"/>
    <x v="2658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20383-1458725285-124] [23/03/2016 at 09:28:00]"/>
  </r>
  <r>
    <s v="3620368-1458725264-216"/>
    <s v="Spot"/>
    <s v="3620368-1458725264-216"/>
    <n v="0"/>
    <d v="2016-03-31T00:00:00"/>
    <x v="26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368-1458725264-216] [23/03/2016 at 09:27:00]"/>
  </r>
  <r>
    <s v="3620350-1458725241-119"/>
    <s v="Spot"/>
    <s v="3620350-1458725241-119"/>
    <n v="0"/>
    <d v="2016-03-31T00:00:00"/>
    <x v="266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20350-1458725241-119] [23/03/2016 at 09:27:00]"/>
  </r>
  <r>
    <s v="3620347-1458725235-187"/>
    <s v="Spot"/>
    <s v="3620347-1458725235-187"/>
    <n v="0"/>
    <d v="2016-03-31T00:00:00"/>
    <x v="2661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0347-1458725235-187] [23/03/2016 at 09:27:00]"/>
  </r>
  <r>
    <s v="3620329-1458725185-134"/>
    <s v="Spot"/>
    <s v="3620329-1458725185-134"/>
    <n v="0"/>
    <d v="2016-03-31T00:00:00"/>
    <x v="2662"/>
    <s v="134"/>
    <s v="SELL"/>
    <n v="132.8329596412556"/>
    <x v="0"/>
    <x v="3"/>
    <n v="1184.8699999999999"/>
    <s v="Deal"/>
    <m/>
    <s v="Original Amount [EUR 8.92], Merchant Amount [EUR 8.92], Customer Amount [JPY 1184.87], Status [APPROVED], Operation [STORED], UUID [3620329-1458725185-134] [23/03/2016 at 09:26:00]"/>
  </r>
  <r>
    <s v="3620335-1458725211-107"/>
    <s v="Spot"/>
    <s v="3620335-1458725211-107"/>
    <n v="0"/>
    <d v="2016-03-31T00:00:00"/>
    <x v="2663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335-1458725211-107] [23/03/2016 at 09:26:00]"/>
  </r>
  <r>
    <s v="3620332-1458725192-126"/>
    <s v="Spot"/>
    <s v="3620332-1458725192-126"/>
    <n v="0"/>
    <d v="2016-03-31T00:00:00"/>
    <x v="2664"/>
    <s v="126"/>
    <s v="SELL"/>
    <n v="9.9410731707317073"/>
    <x v="0"/>
    <x v="1"/>
    <n v="1018.96"/>
    <s v="Deal"/>
    <m/>
    <s v="Original Amount [EUR 102.5], Merchant Amount [EUR 102.5], Customer Amount [NOK 1018.96], Status [APPROVED], Operation [3DAUTH], UUID [3620332-1458725192-126] [23/03/2016 at 09:26:00]"/>
  </r>
  <r>
    <s v="3620311-1458725128-126"/>
    <s v="Spot"/>
    <s v="3620311-1458725128-126"/>
    <n v="0"/>
    <d v="2016-03-31T00:00:00"/>
    <x v="2665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0311-1458725128-126] [23/03/2016 at 09:25:00]"/>
  </r>
  <r>
    <s v="3620305-1458725116-199"/>
    <s v="Spot"/>
    <s v="3620305-1458725116-199"/>
    <n v="0"/>
    <d v="2016-03-31T00:00:00"/>
    <x v="2666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0305-1458725116-199] [23/03/2016 at 09:25:00]"/>
  </r>
  <r>
    <s v="3620299-1458725099-82"/>
    <s v="Spot"/>
    <s v="3620299-1458725099-82"/>
    <n v="0"/>
    <d v="2016-03-31T00:00:00"/>
    <x v="266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0299-1458725099-82] [23/03/2016 at 09:24:00]"/>
  </r>
  <r>
    <s v="3620293-1458725093-126"/>
    <s v="Spot"/>
    <s v="3620293-1458725093-126"/>
    <n v="0"/>
    <d v="2016-03-31T00:00:00"/>
    <x v="2668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293-1458725093-126] [23/03/2016 at 09:24:00]"/>
  </r>
  <r>
    <s v="3620308-1458725119-216"/>
    <s v="Spot"/>
    <s v="3620308-1458725119-216"/>
    <n v="0"/>
    <d v="2016-03-31T00:00:00"/>
    <x v="2669"/>
    <s v="216"/>
    <s v="SELL"/>
    <n v="3.3920308483290489"/>
    <x v="0"/>
    <x v="0"/>
    <n v="79.17"/>
    <s v="Deal"/>
    <m/>
    <s v="Original Amount [EUR 23.34], Merchant Amount [EUR 23.34], Customer Amount [TRY 79.17], Status [APPROVED], Operation [3DAUTH], UUID [3620308-1458725119-216] [23/03/2016 at 09:25:00]"/>
  </r>
  <r>
    <s v="3620278-1458725084-224"/>
    <s v="Spot"/>
    <s v="3620278-1458725084-224"/>
    <n v="0"/>
    <d v="2016-03-31T00:00:00"/>
    <x v="2670"/>
    <s v="224"/>
    <s v="SELL"/>
    <n v="132.83242785226537"/>
    <x v="0"/>
    <x v="3"/>
    <n v="26650.17"/>
    <s v="Deal"/>
    <m/>
    <s v="Original Amount [EUR 200.63], Merchant Amount [EUR 200.63], Customer Amount [JPY 26650.17], Status [APPROVED], Operation [DIRECT], UUID [3620278-1458725084-224] [23/03/2016 at 09:24:00]"/>
  </r>
  <r>
    <s v="3620272-1458725073-126"/>
    <s v="Spot"/>
    <s v="3620272-1458725073-126"/>
    <n v="0"/>
    <d v="2016-03-31T00:00:00"/>
    <x v="2671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0272-1458725073-126] [23/03/2016 at 09:24:00]"/>
  </r>
  <r>
    <s v="3620263-1458725059-224"/>
    <s v="Spot"/>
    <s v="3620263-1458725059-224"/>
    <n v="0"/>
    <d v="2016-03-31T00:00:00"/>
    <x v="2672"/>
    <s v="224"/>
    <s v="SELL"/>
    <n v="9.9417744916820698"/>
    <x v="0"/>
    <x v="1"/>
    <n v="107.57"/>
    <s v="Deal"/>
    <m/>
    <s v="Original Amount [EUR 10.82], Merchant Amount [EUR 10.82], Customer Amount [NOK 107.57], Status [APPROVED], Operation [DIRECT], UUID [3620263-1458725059-224] [23/03/2016 at 09:24:00]"/>
  </r>
  <r>
    <s v="3620248-1458725033-126"/>
    <s v="Spot"/>
    <s v="3620248-1458725033-126"/>
    <n v="0"/>
    <d v="2016-03-31T00:00:00"/>
    <x v="2673"/>
    <s v="126"/>
    <s v="SELL"/>
    <n v="9.9546341463414638"/>
    <x v="0"/>
    <x v="1"/>
    <n v="408.14"/>
    <s v="Deal"/>
    <m/>
    <s v="Original Amount [EUR 41], Merchant Amount [EUR 41], Customer Amount [NOK 408.14], Status [APPROVED], Operation [DIRECT], UUID [3620248-1458725033-126] [23/03/2016 at 09:23:00]"/>
  </r>
  <r>
    <s v="3620245-1458725030-224"/>
    <s v="Spot"/>
    <s v="3620245-1458725030-224"/>
    <n v="0"/>
    <d v="2016-03-31T00:00:00"/>
    <x v="2674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0245-1458725030-224] [23/03/2016 at 09:23:00]"/>
  </r>
  <r>
    <s v="3620242-1458725027-224"/>
    <s v="Spot"/>
    <s v="3620242-1458725027-224"/>
    <n v="0"/>
    <d v="2016-03-31T00:00:00"/>
    <x v="2675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242-1458725027-224] [23/03/2016 at 09:23:00]"/>
  </r>
  <r>
    <s v="3620275-1458725079-160"/>
    <s v="Spot"/>
    <s v="3620275-1458725079-160"/>
    <n v="0"/>
    <d v="2016-03-31T00:00:00"/>
    <x v="2676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0275-1458725079-160] [23/03/2016 at 09:24:00]"/>
  </r>
  <r>
    <s v="3620266-1458725071-216"/>
    <s v="Spot"/>
    <s v="3620266-1458725071-216"/>
    <n v="0"/>
    <d v="2016-03-31T00:00:00"/>
    <x v="2677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266-1458725071-216] [23/03/2016 at 09:24:00]"/>
  </r>
  <r>
    <s v="3620215-1458724998-224"/>
    <s v="Spot"/>
    <s v="3620215-1458724998-224"/>
    <n v="0"/>
    <d v="2016-03-31T00:00:00"/>
    <x v="2678"/>
    <s v="224"/>
    <s v="SELL"/>
    <n v="9.9546084546084543"/>
    <x v="0"/>
    <x v="1"/>
    <n v="861.87"/>
    <s v="Deal"/>
    <m/>
    <s v="Original Amount [EUR 86.58], Merchant Amount [EUR 86.58], Customer Amount [NOK 861.87], Status [APPROVED], Operation [DIRECT], UUID [3620215-1458724998-224] [23/03/2016 at 09:23:00]"/>
  </r>
  <r>
    <s v="3620209-1458724992-119"/>
    <s v="Spot"/>
    <s v="3620209-1458724992-119"/>
    <n v="0"/>
    <d v="2016-03-31T00:00:00"/>
    <x v="2679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0209-1458724992-119] [23/03/2016 at 09:23:00]"/>
  </r>
  <r>
    <s v="3620206-1458724986-224"/>
    <s v="Spot"/>
    <s v="3620206-1458724986-224"/>
    <n v="0"/>
    <d v="2016-03-31T00:00:00"/>
    <x v="2680"/>
    <s v="224"/>
    <s v="SELL"/>
    <n v="132.8828947368421"/>
    <x v="0"/>
    <x v="3"/>
    <n v="6059.46"/>
    <s v="Deal"/>
    <m/>
    <s v="Original Amount [EUR 45.6], Merchant Amount [EUR 45.6], Customer Amount [JPY 6059.46], Status [APPROVED], Operation [DIRECT], UUID [3620206-1458724986-224] [23/03/2016 at 09:23:00]"/>
  </r>
  <r>
    <s v="3620200-1458724967-224"/>
    <s v="Spot"/>
    <s v="3620200-1458724967-224"/>
    <n v="0"/>
    <d v="2016-03-31T00:00:00"/>
    <x v="2681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0200-1458724967-224] [23/03/2016 at 09:22:00]"/>
  </r>
  <r>
    <s v="3620197-1458724965-224"/>
    <s v="Spot"/>
    <s v="3620197-1458724965-224"/>
    <n v="0"/>
    <d v="2016-03-31T00:00:00"/>
    <x v="268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197-1458724965-224] [23/03/2016 at 09:22:00]"/>
  </r>
  <r>
    <s v="3620194-1458724951-125"/>
    <s v="Spot"/>
    <s v="3620194-1458724951-125"/>
    <n v="0"/>
    <d v="2016-03-31T00:00:00"/>
    <x v="2683"/>
    <s v="125"/>
    <s v="SELL"/>
    <n v="9.954559999999999"/>
    <x v="0"/>
    <x v="1"/>
    <n v="9954.56"/>
    <s v="Deal"/>
    <m/>
    <s v="Original Amount [EUR 1000], Merchant Amount [EUR 1000], Customer Amount [NOK 9954.56], Status [APPROVED], Operation [DIRECT], UUID [3620194-1458724951-125] [23/03/2016 at 09:22:00]"/>
  </r>
  <r>
    <s v="3620182-1458724937-261"/>
    <s v="Spot"/>
    <s v="3620182-1458724937-261"/>
    <n v="0"/>
    <d v="2016-03-31T00:00:00"/>
    <x v="2684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0182-1458724937-261] [23/03/2016 at 09:22:00]"/>
  </r>
  <r>
    <s v="3620176-1458724918-200"/>
    <s v="Spot"/>
    <s v="3620176-1458724918-200"/>
    <n v="0"/>
    <d v="2016-03-31T00:00:00"/>
    <x v="2685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20176-1458724918-200] [23/03/2016 at 09:21:00]"/>
  </r>
  <r>
    <s v="3620167-1458724903-264"/>
    <s v="Spot"/>
    <s v="3620167-1458724903-264"/>
    <n v="0"/>
    <d v="2016-03-31T00:00:00"/>
    <x v="2686"/>
    <s v="264"/>
    <s v="SELL"/>
    <n v="3.3913043478260874"/>
    <x v="0"/>
    <x v="0"/>
    <n v="17.940000000000001"/>
    <s v="Deal"/>
    <m/>
    <s v="Original Amount [TRY 17], Merchant Amount [EUR 5.29], Customer Amount [TRY 17.94], Status [APPROVED], Operation [3DAUTH], UUID [3620167-1458724903-264] [23/03/2016 at 09:21:00]"/>
  </r>
  <r>
    <s v="3620155-1458724867-134"/>
    <s v="Spot"/>
    <s v="3620155-1458724867-134"/>
    <n v="0"/>
    <d v="2016-03-31T00:00:00"/>
    <x v="2687"/>
    <s v="134"/>
    <s v="SELL"/>
    <n v="132.88295964125561"/>
    <x v="0"/>
    <x v="3"/>
    <n v="5926.58"/>
    <s v="Deal"/>
    <m/>
    <s v="Original Amount [EUR 44.6], Merchant Amount [EUR 44.6], Customer Amount [JPY 5926.58], Status [APPROVED], Operation [STORED], UUID [3620155-1458724867-134] [23/03/2016 at 09:21:00]"/>
  </r>
  <r>
    <s v="3620146-1458724860-126"/>
    <s v="Spot"/>
    <s v="3620146-1458724860-126"/>
    <n v="0"/>
    <d v="2016-03-31T00:00:00"/>
    <x v="2688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0146-1458724860-126] [23/03/2016 at 09:21:00]"/>
  </r>
  <r>
    <s v="3620137-1458724850-224"/>
    <s v="Spot"/>
    <s v="3620137-1458724850-224"/>
    <n v="0"/>
    <d v="2016-03-31T00:00:00"/>
    <x v="2689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0137-1458724850-224] [23/03/2016 at 09:20:00]"/>
  </r>
  <r>
    <s v="3620134-1458724847-187"/>
    <s v="Spot"/>
    <s v="3620134-1458724847-187"/>
    <n v="0"/>
    <d v="2016-03-31T00:00:00"/>
    <x v="2690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134-1458724847-187] [23/03/2016 at 09:20:00]"/>
  </r>
  <r>
    <s v="3620158-1458724883-216"/>
    <s v="Spot"/>
    <s v="3620158-1458724883-216"/>
    <n v="0"/>
    <d v="2016-03-31T00:00:00"/>
    <x v="269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158-1458724883-216] [23/03/2016 at 09:21:00]"/>
  </r>
  <r>
    <s v="3620152-1458724866-101"/>
    <s v="Spot"/>
    <s v="3620152-1458724866-101"/>
    <n v="0"/>
    <d v="2016-03-31T00:00:00"/>
    <x v="2692"/>
    <s v="101"/>
    <s v="SELL"/>
    <n v="3.3973526473526476"/>
    <x v="0"/>
    <x v="0"/>
    <n v="136.03"/>
    <s v="Deal"/>
    <m/>
    <s v="Original Amount [EUR 40.04], Merchant Amount [EUR 40.04], Customer Amount [TRY 136.03], Status [APPROVED], Operation [3DAUTH], UUID [3620152-1458724866-101] [23/03/2016 at 09:21:00]"/>
  </r>
  <r>
    <s v="3620170-1458724906-107"/>
    <s v="Spot"/>
    <s v="3620170-1458724906-107"/>
    <n v="0"/>
    <d v="2016-03-31T00:00:00"/>
    <x v="2693"/>
    <s v="107"/>
    <s v="SELL"/>
    <n v="3.3978947368421055"/>
    <x v="0"/>
    <x v="0"/>
    <n v="48.42"/>
    <s v="Deal"/>
    <m/>
    <s v="Original Amount [EUR 14.25], Merchant Amount [EUR 14.25], Customer Amount [TRY 48.42], Status [APPROVED], Operation [3DAUTH], UUID [3620170-1458724906-107] [23/03/2016 at 09:21:00]"/>
  </r>
  <r>
    <s v="3620104-1458724795-264"/>
    <s v="Spot"/>
    <s v="3620104-1458724795-264"/>
    <n v="0"/>
    <d v="2016-03-31T00:00:00"/>
    <x v="2694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0104-1458724795-264] [23/03/2016 at 09:19:00]"/>
  </r>
  <r>
    <s v="3620083-1458724759-216"/>
    <s v="Spot"/>
    <s v="3620083-1458724759-216"/>
    <n v="0"/>
    <d v="2016-03-31T00:00:00"/>
    <x v="2695"/>
    <s v="216"/>
    <s v="SELL"/>
    <n v="3.3973658849983943"/>
    <x v="0"/>
    <x v="0"/>
    <n v="211.52"/>
    <s v="Deal"/>
    <m/>
    <s v="Original Amount [EUR 62.26], Merchant Amount [EUR 62.26], Customer Amount [TRY 211.52], Status [APPROVED], Operation [3DAUTH], UUID [3620083-1458724759-216] [23/03/2016 at 09:19:00]"/>
  </r>
  <r>
    <s v="3620053-1458724693-216"/>
    <s v="Spot"/>
    <s v="3620053-1458724693-216"/>
    <n v="0"/>
    <d v="2016-03-31T00:00:00"/>
    <x v="2696"/>
    <s v="216"/>
    <s v="SELL"/>
    <n v="3.3973658849983943"/>
    <x v="0"/>
    <x v="0"/>
    <n v="105.76"/>
    <s v="Deal"/>
    <m/>
    <s v="Original Amount [EUR 31.13], Merchant Amount [EUR 31.13], Customer Amount [TRY 105.76], Status [WAITING], Operation [3D], UUID [3620053-1458724693-216] [23/03/2016 at 09:18:00]"/>
  </r>
  <r>
    <s v="3620050-1458724690-199"/>
    <s v="Spot"/>
    <s v="3620050-1458724690-199"/>
    <n v="0"/>
    <d v="2016-03-31T00:00:00"/>
    <x v="2697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050-1458724690-199] [23/03/2016 at 09:18:00]"/>
  </r>
  <r>
    <s v="3620047-1458724677-261"/>
    <s v="Spot"/>
    <s v="3620047-1458724677-261"/>
    <n v="0"/>
    <d v="2016-03-31T00:00:00"/>
    <x v="2698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0047-1458724677-261] [23/03/2016 at 09:17:00]"/>
  </r>
  <r>
    <s v="3620059-1458724700-216"/>
    <s v="Spot"/>
    <s v="3620059-1458724700-216"/>
    <n v="0"/>
    <d v="2016-03-31T00:00:00"/>
    <x v="269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059-1458724700-216] [23/03/2016 at 09:18:00]"/>
  </r>
  <r>
    <s v="3620035-1458724642-224"/>
    <s v="Spot"/>
    <s v="3620035-1458724642-224"/>
    <n v="0"/>
    <d v="2016-03-31T00:00:00"/>
    <x v="2700"/>
    <s v="224"/>
    <s v="SELL"/>
    <n v="132.94590643274856"/>
    <x v="0"/>
    <x v="3"/>
    <n v="1818.7"/>
    <s v="Deal"/>
    <m/>
    <s v="Original Amount [EUR 13.68], Merchant Amount [EUR 13.68], Customer Amount [JPY 1818.7], Status [APPROVED], Operation [DIRECT], UUID [3620035-1458724642-224] [23/03/2016 at 09:17:00]"/>
  </r>
  <r>
    <s v="3620032-1458724642-199"/>
    <s v="Spot"/>
    <s v="3620032-1458724642-199"/>
    <n v="0"/>
    <d v="2016-03-31T00:00:00"/>
    <x v="27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0032-1458724642-199] [23/03/2016 at 09:17:00]"/>
  </r>
  <r>
    <s v="3620023-1458724622-134"/>
    <s v="Spot"/>
    <s v="3620023-1458724622-134"/>
    <n v="0"/>
    <d v="2016-03-31T00:00:00"/>
    <x v="2702"/>
    <s v="134"/>
    <s v="SELL"/>
    <n v="132.9461883408072"/>
    <x v="0"/>
    <x v="3"/>
    <n v="1185.8800000000001"/>
    <s v="Deal"/>
    <m/>
    <s v="Original Amount [EUR 8.92], Merchant Amount [EUR 8.92], Customer Amount [JPY 1185.88], Status [APPROVED], Operation [STORED], UUID [3620023-1458724622-134] [23/03/2016 at 09:17:00]"/>
  </r>
  <r>
    <s v="3620017-1458724614-260"/>
    <s v="Spot"/>
    <s v="3620017-1458724614-260"/>
    <n v="0"/>
    <d v="2016-03-31T00:00:00"/>
    <x v="2703"/>
    <s v="260"/>
    <s v="SELL"/>
    <n v="9.7480000000000011"/>
    <x v="0"/>
    <x v="12"/>
    <n v="48.74"/>
    <s v="Deal"/>
    <m/>
    <s v="Original Amount [EUR 5], Merchant Amount [EUR 5], Customer Amount [SEK 48.74], Status [APPROVED], Operation [DIRECT], UUID [3620017-1458724614-260] [23/03/2016 at 09:16:00]"/>
  </r>
  <r>
    <s v="3620020-1458724618-216"/>
    <s v="Spot"/>
    <s v="3620020-1458724618-216"/>
    <n v="0"/>
    <d v="2016-03-31T00:00:00"/>
    <x v="2704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0020-1458724618-216] [23/03/2016 at 09:16:00]"/>
  </r>
  <r>
    <s v="3620008-1458724580-238"/>
    <s v="Spot"/>
    <s v="3620008-1458724580-238"/>
    <n v="0"/>
    <d v="2016-03-31T00:00:00"/>
    <x v="27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0008-1458724580-238] [23/03/2016 at 09:16:00]"/>
  </r>
  <r>
    <s v="3619999-1458724563-261"/>
    <s v="Spot"/>
    <s v="3619999-1458724563-261"/>
    <n v="0"/>
    <d v="2016-03-31T00:00:00"/>
    <x v="2706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19999-1458724563-261] [23/03/2016 at 09:16:00]"/>
  </r>
  <r>
    <s v="3619996-1458724562-125"/>
    <s v="Spot"/>
    <s v="3619996-1458724562-125"/>
    <n v="0"/>
    <d v="2016-03-31T00:00:00"/>
    <x v="2707"/>
    <s v="125"/>
    <s v="SELL"/>
    <n v="9.9420000000000002"/>
    <x v="0"/>
    <x v="1"/>
    <n v="99.42"/>
    <s v="Deal"/>
    <m/>
    <s v="Original Amount [EUR 10], Merchant Amount [EUR 10], Customer Amount [NOK 99.42], Status [APPROVED], Operation [DIRECT], UUID [3619996-1458724562-125] [23/03/2016 at 09:16:00]"/>
  </r>
  <r>
    <s v="3619978-1458724547-145"/>
    <s v="Spot"/>
    <s v="3619978-1458724547-145"/>
    <n v="0"/>
    <d v="2016-03-31T00:00:00"/>
    <x v="2708"/>
    <s v="145"/>
    <s v="SELL"/>
    <n v="1.544921875"/>
    <x v="0"/>
    <x v="2"/>
    <n v="15.82"/>
    <s v="Deal"/>
    <m/>
    <s v="Original Amount [EUR 10.24], Merchant Amount [EUR 10.24], Customer Amount [CAD 15.82], Status [APPROVED], Operation [DIRECT], UUID [3619978-1458724547-145] [23/03/2016 at 09:15:00]"/>
  </r>
  <r>
    <s v="3619984-1458724551-56"/>
    <s v="Spot"/>
    <s v="3619984-1458724551-56"/>
    <n v="0"/>
    <d v="2016-03-31T00:00:00"/>
    <x v="2709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19984-1458724551-56] [23/03/2016 at 09:15:00]"/>
  </r>
  <r>
    <s v="3619945-1458724517-216"/>
    <s v="Spot"/>
    <s v="3619945-1458724517-216"/>
    <n v="0"/>
    <d v="2016-03-31T00:00:00"/>
    <x v="2710"/>
    <s v="216"/>
    <s v="SELL"/>
    <n v="3.3970446514616128"/>
    <x v="0"/>
    <x v="0"/>
    <n v="105.75"/>
    <s v="Deal"/>
    <m/>
    <s v="Original Amount [EUR 31.13], Merchant Amount [EUR 31.13], Customer Amount [TRY 105.75], Status [WAITING], Operation [3D], UUID [3619945-1458724517-216] [23/03/2016 at 09:15:00]"/>
  </r>
  <r>
    <s v="3619927-1458724505-171"/>
    <s v="Spot"/>
    <s v="3619927-1458724505-171"/>
    <n v="0"/>
    <d v="2016-03-31T00:00:00"/>
    <x v="2711"/>
    <s v="171"/>
    <s v="SELL"/>
    <n v="1.5441860465116277"/>
    <x v="0"/>
    <x v="2"/>
    <n v="126.16"/>
    <s v="Deal"/>
    <m/>
    <s v="Original Amount [EUR 81.7], Merchant Amount [EUR 81.7], Customer Amount [CAD 126.16], Status [APPROVED], Operation [DIRECT], UUID [3619927-1458724505-171] [23/03/2016 at 09:15:00]"/>
  </r>
  <r>
    <s v="3619924-1458724502-119"/>
    <s v="Spot"/>
    <s v="3619924-1458724502-119"/>
    <n v="0"/>
    <d v="2016-03-31T00:00:00"/>
    <x v="2712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DIRECT], UUID [3619924-1458724502-119] [23/03/2016 at 09:15:00]"/>
  </r>
  <r>
    <s v="3619918-1458724500-119"/>
    <s v="Spot"/>
    <s v="3619918-1458724500-119"/>
    <n v="0"/>
    <d v="2016-03-31T00:00:00"/>
    <x v="271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19918-1458724500-119] [23/03/2016 at 09:15:00]"/>
  </r>
  <r>
    <s v="3619915-1458724499-224"/>
    <s v="Spot"/>
    <s v="3619915-1458724499-224"/>
    <n v="0"/>
    <d v="2016-03-31T00:00:00"/>
    <x v="2714"/>
    <s v="224"/>
    <s v="SELL"/>
    <n v="132.97230600493558"/>
    <x v="0"/>
    <x v="3"/>
    <n v="4849.5"/>
    <s v="Deal"/>
    <m/>
    <s v="Original Amount [EUR 36.47], Merchant Amount [EUR 36.47], Customer Amount [JPY 4849.5], Status [APPROVED], Operation [DIRECT], UUID [3619915-1458724499-224] [23/03/2016 at 09:14:00]"/>
  </r>
  <r>
    <s v="3619894-1458724480-126"/>
    <s v="Spot"/>
    <s v="3619894-1458724480-126"/>
    <n v="0"/>
    <d v="2016-03-31T00:00:00"/>
    <x v="271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19894-1458724480-126] [23/03/2016 at 09:14:00]"/>
  </r>
  <r>
    <s v="3619882-1458724467-260"/>
    <s v="Spot"/>
    <s v="3619882-1458724467-260"/>
    <n v="0"/>
    <d v="2016-03-31T00:00:00"/>
    <x v="2716"/>
    <s v="260"/>
    <s v="SELL"/>
    <n v="9.734"/>
    <x v="0"/>
    <x v="12"/>
    <n v="48.67"/>
    <s v="Deal"/>
    <m/>
    <s v="Original Amount [EUR 5], Merchant Amount [EUR 5], Customer Amount [SEK 48.67], Status [APPROVED], Operation [DIRECT], UUID [3619882-1458724467-260] [23/03/2016 at 09:14:00]"/>
  </r>
  <r>
    <s v="3619846-1458724446-199"/>
    <s v="Spot"/>
    <s v="3619846-1458724446-199"/>
    <n v="0"/>
    <d v="2016-03-31T00:00:00"/>
    <x v="2717"/>
    <s v="199"/>
    <s v="SELL"/>
    <n v="9.9545919410922483"/>
    <x v="0"/>
    <x v="1"/>
    <n v="973.36"/>
    <s v="Deal"/>
    <m/>
    <s v="Original Amount [EUR 97.78], Merchant Amount [EUR 97.78], Customer Amount [NOK 973.36], Status [APPROVED], Operation [DIRECT], UUID [3619846-1458724446-199] [23/03/2016 at 09:14:00]"/>
  </r>
  <r>
    <s v="3619843-1458724444-126"/>
    <s v="Spot"/>
    <s v="3619843-1458724444-126"/>
    <n v="0"/>
    <d v="2016-03-31T00:00:00"/>
    <x v="2718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19843-1458724444-126] [23/03/2016 at 09:14:00]"/>
  </r>
  <r>
    <s v="3619831-1458724437-200"/>
    <s v="Spot"/>
    <s v="3619831-1458724437-200"/>
    <n v="0"/>
    <d v="2016-03-31T00:00:00"/>
    <x v="27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19831-1458724437-200] [23/03/2016 at 09:13:00]"/>
  </r>
  <r>
    <m/>
    <m/>
    <m/>
    <m/>
    <m/>
    <x v="2720"/>
    <m/>
    <m/>
    <m/>
    <x v="1"/>
    <x v="15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20" firstHeaderRow="1" firstDataRow="1" firstDataCol="2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17">
        <item x="9"/>
        <item x="5"/>
        <item x="13"/>
        <item x="14"/>
        <item x="2"/>
        <item x="10"/>
        <item x="11"/>
        <item x="4"/>
        <item x="3"/>
        <item x="1"/>
        <item x="6"/>
        <item x="8"/>
        <item x="12"/>
        <item x="0"/>
        <item x="7"/>
        <item x="15"/>
        <item t="default"/>
      </items>
    </pivotField>
    <pivotField showAll="0"/>
    <pivotField showAll="0"/>
    <pivotField showAll="0"/>
    <pivotField showAll="0"/>
  </pivotFields>
  <rowFields count="2">
    <field x="9"/>
    <field x="10"/>
  </rowFields>
  <rowItems count="17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>
      <x v="1"/>
      <x v="15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file:///\\ldn-srv-cent01\bkg\std\systems\bkg-prd\sys-2\data\dealImportStaging" TargetMode="External"/><Relationship Id="rId1" Type="http://schemas.openxmlformats.org/officeDocument/2006/relationships/hyperlink" Target="file:///\\ldn-srv-cent01\bkg\std\systems\bkg-prd\sys-2\data\dealImportStaging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83"/>
  <sheetViews>
    <sheetView workbookViewId="0">
      <selection activeCell="B14" sqref="B14"/>
    </sheetView>
  </sheetViews>
  <sheetFormatPr defaultColWidth="8.85546875" defaultRowHeight="15" x14ac:dyDescent="0.25"/>
  <cols>
    <col min="1" max="1" width="14" customWidth="1"/>
    <col min="2" max="2" width="97" bestFit="1" customWidth="1"/>
  </cols>
  <sheetData>
    <row r="1" spans="1:2" x14ac:dyDescent="0.25">
      <c r="A1" s="1" t="s">
        <v>0</v>
      </c>
      <c r="B1" s="6" t="s">
        <v>578</v>
      </c>
    </row>
    <row r="2" spans="1:2" x14ac:dyDescent="0.25">
      <c r="A2" s="23" t="s">
        <v>71</v>
      </c>
      <c r="B2" s="6" t="s">
        <v>291</v>
      </c>
    </row>
    <row r="3" spans="1:2" x14ac:dyDescent="0.25">
      <c r="A3" s="13"/>
      <c r="B3" s="14"/>
    </row>
    <row r="4" spans="1:2" x14ac:dyDescent="0.25">
      <c r="A4" s="14"/>
      <c r="B4" s="14"/>
    </row>
    <row r="5" spans="1:2" x14ac:dyDescent="0.25">
      <c r="A5" s="14"/>
      <c r="B5" s="14"/>
    </row>
    <row r="6" spans="1:2" x14ac:dyDescent="0.25">
      <c r="A6" s="14"/>
      <c r="B6" s="14" t="s">
        <v>333</v>
      </c>
    </row>
    <row r="7" spans="1:2" x14ac:dyDescent="0.25">
      <c r="A7" s="14"/>
      <c r="B7" s="14"/>
    </row>
    <row r="8" spans="1:2" x14ac:dyDescent="0.25">
      <c r="A8" s="14"/>
      <c r="B8" s="14"/>
    </row>
    <row r="9" spans="1:2" x14ac:dyDescent="0.25">
      <c r="A9" s="14"/>
      <c r="B9" s="14"/>
    </row>
    <row r="10" spans="1:2" x14ac:dyDescent="0.25">
      <c r="A10" s="13"/>
      <c r="B10" s="14"/>
    </row>
    <row r="11" spans="1:2" x14ac:dyDescent="0.25">
      <c r="A11" s="14"/>
      <c r="B11" s="14"/>
    </row>
    <row r="12" spans="1:2" x14ac:dyDescent="0.25">
      <c r="A12" s="14"/>
      <c r="B12" s="14"/>
    </row>
    <row r="13" spans="1:2" x14ac:dyDescent="0.25">
      <c r="A13" s="14"/>
      <c r="B13" s="14"/>
    </row>
    <row r="14" spans="1:2" x14ac:dyDescent="0.25">
      <c r="A14" s="14"/>
      <c r="B14" s="14"/>
    </row>
    <row r="15" spans="1:2" x14ac:dyDescent="0.25">
      <c r="A15" s="14"/>
      <c r="B15" s="14"/>
    </row>
    <row r="16" spans="1:2" x14ac:dyDescent="0.25">
      <c r="A16" s="14"/>
      <c r="B16" s="14"/>
    </row>
    <row r="17" spans="1:2" x14ac:dyDescent="0.25">
      <c r="A17" s="14"/>
      <c r="B17" s="14"/>
    </row>
    <row r="18" spans="1:2" x14ac:dyDescent="0.25">
      <c r="A18" s="13"/>
      <c r="B18" s="13"/>
    </row>
    <row r="19" spans="1:2" x14ac:dyDescent="0.25">
      <c r="A19" s="14"/>
      <c r="B19" s="14"/>
    </row>
    <row r="20" spans="1:2" x14ac:dyDescent="0.25">
      <c r="A20" s="14"/>
      <c r="B20" s="14"/>
    </row>
    <row r="21" spans="1:2" x14ac:dyDescent="0.25">
      <c r="A21" s="14"/>
      <c r="B21" s="14"/>
    </row>
    <row r="22" spans="1:2" x14ac:dyDescent="0.25">
      <c r="A22" s="14"/>
      <c r="B22" s="14"/>
    </row>
    <row r="23" spans="1:2" x14ac:dyDescent="0.25">
      <c r="A23" s="14"/>
      <c r="B23" s="14"/>
    </row>
    <row r="24" spans="1:2" x14ac:dyDescent="0.25">
      <c r="A24" s="14"/>
      <c r="B24" s="14"/>
    </row>
    <row r="25" spans="1:2" x14ac:dyDescent="0.25">
      <c r="A25" s="14"/>
      <c r="B25" s="14"/>
    </row>
    <row r="26" spans="1:2" x14ac:dyDescent="0.25">
      <c r="A26" s="14"/>
      <c r="B26" s="14"/>
    </row>
    <row r="27" spans="1:2" x14ac:dyDescent="0.25">
      <c r="A27" s="14"/>
      <c r="B27" s="14"/>
    </row>
    <row r="28" spans="1:2" x14ac:dyDescent="0.25">
      <c r="A28" s="14"/>
      <c r="B28" s="14"/>
    </row>
    <row r="29" spans="1:2" x14ac:dyDescent="0.25">
      <c r="A29" s="14"/>
      <c r="B29" s="14"/>
    </row>
    <row r="30" spans="1:2" x14ac:dyDescent="0.25">
      <c r="A30" s="14"/>
      <c r="B30" s="14"/>
    </row>
    <row r="31" spans="1:2" x14ac:dyDescent="0.25">
      <c r="A31" s="14"/>
      <c r="B31" s="14"/>
    </row>
    <row r="32" spans="1:2" x14ac:dyDescent="0.25">
      <c r="A32" s="14"/>
      <c r="B32" s="14"/>
    </row>
    <row r="33" spans="1:2" x14ac:dyDescent="0.25">
      <c r="A33" s="14"/>
      <c r="B33" s="14"/>
    </row>
    <row r="34" spans="1:2" x14ac:dyDescent="0.25">
      <c r="A34" s="14"/>
      <c r="B34" s="14"/>
    </row>
    <row r="35" spans="1:2" x14ac:dyDescent="0.25">
      <c r="A35" s="14"/>
      <c r="B35" s="14"/>
    </row>
    <row r="36" spans="1:2" x14ac:dyDescent="0.25">
      <c r="A36" s="14"/>
      <c r="B36" s="14"/>
    </row>
    <row r="37" spans="1:2" x14ac:dyDescent="0.25">
      <c r="A37" s="14"/>
      <c r="B37" s="14"/>
    </row>
    <row r="38" spans="1:2" x14ac:dyDescent="0.25">
      <c r="A38" s="14"/>
      <c r="B38" s="14"/>
    </row>
    <row r="39" spans="1:2" x14ac:dyDescent="0.25">
      <c r="A39" s="14"/>
      <c r="B39" s="14"/>
    </row>
    <row r="40" spans="1:2" x14ac:dyDescent="0.25">
      <c r="A40" s="14"/>
      <c r="B40" s="14"/>
    </row>
    <row r="41" spans="1:2" x14ac:dyDescent="0.25">
      <c r="A41" s="14"/>
      <c r="B41" s="14"/>
    </row>
    <row r="42" spans="1:2" x14ac:dyDescent="0.25">
      <c r="A42" s="14"/>
      <c r="B42" s="14"/>
    </row>
    <row r="43" spans="1:2" x14ac:dyDescent="0.25">
      <c r="A43" s="14"/>
      <c r="B43" s="14"/>
    </row>
    <row r="44" spans="1:2" x14ac:dyDescent="0.25">
      <c r="A44" s="14"/>
      <c r="B44" s="14"/>
    </row>
    <row r="45" spans="1:2" x14ac:dyDescent="0.25">
      <c r="A45" s="14"/>
      <c r="B45" s="14"/>
    </row>
    <row r="46" spans="1:2" x14ac:dyDescent="0.25">
      <c r="A46" s="14"/>
      <c r="B46" s="14"/>
    </row>
    <row r="47" spans="1:2" x14ac:dyDescent="0.25">
      <c r="A47" s="14"/>
      <c r="B47" s="14"/>
    </row>
    <row r="48" spans="1:2" x14ac:dyDescent="0.25">
      <c r="A48" s="14"/>
      <c r="B48" s="14"/>
    </row>
    <row r="49" spans="1:2" x14ac:dyDescent="0.25">
      <c r="A49" s="14"/>
      <c r="B49" s="14"/>
    </row>
    <row r="50" spans="1:2" x14ac:dyDescent="0.25">
      <c r="A50" s="14"/>
      <c r="B50" s="14"/>
    </row>
    <row r="51" spans="1:2" x14ac:dyDescent="0.25">
      <c r="A51" s="14"/>
      <c r="B51" s="14"/>
    </row>
    <row r="52" spans="1:2" x14ac:dyDescent="0.25">
      <c r="A52" s="14"/>
      <c r="B52" s="14"/>
    </row>
    <row r="53" spans="1:2" x14ac:dyDescent="0.25">
      <c r="A53" s="14"/>
      <c r="B53" s="14"/>
    </row>
    <row r="54" spans="1:2" x14ac:dyDescent="0.25">
      <c r="A54" s="14"/>
      <c r="B54" s="14"/>
    </row>
    <row r="55" spans="1:2" x14ac:dyDescent="0.25">
      <c r="A55" s="14"/>
      <c r="B55" s="14"/>
    </row>
    <row r="56" spans="1:2" x14ac:dyDescent="0.25">
      <c r="A56" s="14"/>
      <c r="B56" s="14"/>
    </row>
    <row r="57" spans="1:2" x14ac:dyDescent="0.25">
      <c r="A57" s="14"/>
      <c r="B57" s="14"/>
    </row>
    <row r="58" spans="1:2" x14ac:dyDescent="0.25">
      <c r="A58" s="14"/>
      <c r="B58" s="14"/>
    </row>
    <row r="59" spans="1:2" x14ac:dyDescent="0.25">
      <c r="A59" s="14"/>
      <c r="B59" s="14"/>
    </row>
    <row r="60" spans="1:2" x14ac:dyDescent="0.25">
      <c r="A60" s="14"/>
      <c r="B60" s="14"/>
    </row>
    <row r="61" spans="1:2" x14ac:dyDescent="0.25">
      <c r="A61" s="14"/>
      <c r="B61" s="14"/>
    </row>
    <row r="62" spans="1:2" x14ac:dyDescent="0.25">
      <c r="A62" s="13"/>
      <c r="B62" s="14"/>
    </row>
    <row r="63" spans="1:2" x14ac:dyDescent="0.25">
      <c r="A63" s="14"/>
      <c r="B63" s="14"/>
    </row>
    <row r="64" spans="1:2" x14ac:dyDescent="0.25">
      <c r="A64" s="14"/>
      <c r="B64" s="14"/>
    </row>
    <row r="65" spans="1:2" x14ac:dyDescent="0.25">
      <c r="A65" s="14"/>
      <c r="B65" s="14"/>
    </row>
    <row r="66" spans="1:2" x14ac:dyDescent="0.25">
      <c r="A66" s="14"/>
      <c r="B66" s="14"/>
    </row>
    <row r="67" spans="1:2" x14ac:dyDescent="0.25">
      <c r="A67" s="14"/>
      <c r="B67" s="14"/>
    </row>
    <row r="68" spans="1:2" x14ac:dyDescent="0.25">
      <c r="A68" s="13"/>
      <c r="B68" s="13"/>
    </row>
    <row r="69" spans="1:2" x14ac:dyDescent="0.25">
      <c r="A69" s="14"/>
      <c r="B69" s="14"/>
    </row>
    <row r="70" spans="1:2" x14ac:dyDescent="0.25">
      <c r="A70" s="14"/>
      <c r="B70" s="14"/>
    </row>
    <row r="71" spans="1:2" x14ac:dyDescent="0.25">
      <c r="A71" s="14"/>
      <c r="B71" s="14"/>
    </row>
    <row r="72" spans="1:2" x14ac:dyDescent="0.25">
      <c r="A72" s="12"/>
      <c r="B72" s="12"/>
    </row>
    <row r="73" spans="1:2" x14ac:dyDescent="0.25">
      <c r="A73" s="12"/>
      <c r="B73" s="12"/>
    </row>
    <row r="74" spans="1:2" x14ac:dyDescent="0.25">
      <c r="A74" s="12"/>
      <c r="B74" s="12"/>
    </row>
    <row r="75" spans="1:2" x14ac:dyDescent="0.25">
      <c r="A75" s="12"/>
      <c r="B75" s="12"/>
    </row>
    <row r="76" spans="1:2" x14ac:dyDescent="0.25">
      <c r="A76" s="12"/>
      <c r="B76" s="12"/>
    </row>
    <row r="77" spans="1:2" x14ac:dyDescent="0.25">
      <c r="A77" s="12"/>
      <c r="B77" s="12"/>
    </row>
    <row r="78" spans="1:2" x14ac:dyDescent="0.25">
      <c r="A78" s="12"/>
      <c r="B78" s="12"/>
    </row>
    <row r="79" spans="1:2" x14ac:dyDescent="0.25">
      <c r="A79" s="12"/>
      <c r="B79" s="12"/>
    </row>
    <row r="80" spans="1:2" x14ac:dyDescent="0.25">
      <c r="A80" s="12"/>
      <c r="B80" s="12"/>
    </row>
    <row r="81" spans="1:2" x14ac:dyDescent="0.25">
      <c r="A81" s="12"/>
      <c r="B81" s="12"/>
    </row>
    <row r="82" spans="1:2" x14ac:dyDescent="0.25">
      <c r="A82" s="12"/>
      <c r="B82" s="12"/>
    </row>
    <row r="83" spans="1:2" x14ac:dyDescent="0.25">
      <c r="A83" s="12"/>
      <c r="B83" s="12"/>
    </row>
  </sheetData>
  <phoneticPr fontId="3" type="noConversion"/>
  <hyperlinks>
    <hyperlink ref="B2" r:id="rId1" display="\\ldn-srv-cent01\bkg\std\systems\bkg-prd\sys-2\data\dealImportStaging\" xr:uid="{D9B55D0F-1856-434D-A7F0-E4FB60122B17}"/>
    <hyperlink ref="B1" r:id="rId2" display="\\ldn-srv-cent01\bkg\std\systems\bkg-prd\sys-2\data\dealImportStaging\" xr:uid="{E552BC8B-FC18-4027-8711-92FF038E1469}"/>
  </hyperlinks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V241"/>
  <sheetViews>
    <sheetView workbookViewId="0">
      <selection activeCell="F27" sqref="F27"/>
    </sheetView>
  </sheetViews>
  <sheetFormatPr defaultColWidth="16" defaultRowHeight="15" x14ac:dyDescent="0.25"/>
  <cols>
    <col min="1" max="4" width="16" style="8"/>
    <col min="5" max="5" width="16" style="21"/>
    <col min="6" max="6" width="30.140625" style="8" bestFit="1" customWidth="1"/>
    <col min="7" max="12" width="16" style="8"/>
    <col min="13" max="13" width="16" style="21"/>
    <col min="14" max="18" width="16" style="8"/>
    <col min="19" max="19" width="78.42578125" style="8" customWidth="1"/>
    <col min="20" max="20" width="61" style="8" bestFit="1" customWidth="1"/>
    <col min="21" max="21" width="21" style="8" bestFit="1" customWidth="1"/>
    <col min="22" max="16384" width="16" style="8"/>
  </cols>
  <sheetData>
    <row r="1" spans="1:22" x14ac:dyDescent="0.25">
      <c r="A1" s="9" t="s">
        <v>10</v>
      </c>
      <c r="B1" s="9" t="s">
        <v>6</v>
      </c>
      <c r="C1" s="9" t="s">
        <v>11</v>
      </c>
      <c r="D1" s="9" t="s">
        <v>12</v>
      </c>
      <c r="E1" s="24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24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39</v>
      </c>
      <c r="T1" s="20" t="s">
        <v>261</v>
      </c>
      <c r="U1" s="22" t="s">
        <v>262</v>
      </c>
      <c r="V1" s="22" t="s">
        <v>305</v>
      </c>
    </row>
    <row r="2" spans="1:22" x14ac:dyDescent="0.25">
      <c r="A2" s="8">
        <v>4</v>
      </c>
      <c r="B2" s="5" t="s">
        <v>78</v>
      </c>
      <c r="C2" s="5">
        <v>4</v>
      </c>
      <c r="D2" s="5">
        <v>1</v>
      </c>
      <c r="E2" s="25">
        <v>43704</v>
      </c>
      <c r="F2" t="str">
        <f>U2</f>
        <v>CAD Account 9--------1</v>
      </c>
      <c r="G2" s="8" t="s">
        <v>297</v>
      </c>
      <c r="H2" s="8" t="s">
        <v>49</v>
      </c>
      <c r="I2" s="8">
        <v>0</v>
      </c>
      <c r="J2" s="8" t="s">
        <v>60</v>
      </c>
      <c r="K2" s="8">
        <v>0</v>
      </c>
      <c r="L2" s="8" t="s">
        <v>299</v>
      </c>
      <c r="M2" s="28">
        <v>43102</v>
      </c>
      <c r="O2" s="8" t="s">
        <v>76</v>
      </c>
      <c r="P2" s="8" t="s">
        <v>8</v>
      </c>
      <c r="R2" s="8">
        <v>0</v>
      </c>
      <c r="S2" s="8" t="str">
        <f>"Standard "&amp;LEFT(T2,3)&amp;" Account"</f>
        <v>Standard CAD Account</v>
      </c>
      <c r="T2" t="str">
        <f>U2</f>
        <v>CAD Account 9--------1</v>
      </c>
      <c r="U2" s="27" t="s">
        <v>292</v>
      </c>
      <c r="V2" s="8" t="s">
        <v>306</v>
      </c>
    </row>
    <row r="3" spans="1:22" x14ac:dyDescent="0.25">
      <c r="A3" s="8">
        <v>5</v>
      </c>
      <c r="B3" s="5" t="s">
        <v>78</v>
      </c>
      <c r="C3" s="5">
        <v>5</v>
      </c>
      <c r="D3" s="5">
        <f>D2</f>
        <v>1</v>
      </c>
      <c r="E3" s="25">
        <f t="shared" ref="E3:E13" si="0">$E$2</f>
        <v>43704</v>
      </c>
      <c r="F3" s="27" t="str">
        <f t="shared" ref="F3:F34" si="1">U3</f>
        <v>EUR Account 9--------1</v>
      </c>
      <c r="G3" s="8" t="s">
        <v>297</v>
      </c>
      <c r="H3" s="8" t="s">
        <v>49</v>
      </c>
      <c r="I3" s="8">
        <v>0</v>
      </c>
      <c r="J3" s="8" t="s">
        <v>57</v>
      </c>
      <c r="K3" s="8">
        <v>0</v>
      </c>
      <c r="L3" s="8" t="s">
        <v>299</v>
      </c>
      <c r="M3" s="21">
        <f>$M$2</f>
        <v>43102</v>
      </c>
      <c r="O3" s="8" t="s">
        <v>76</v>
      </c>
      <c r="P3" s="8" t="s">
        <v>8</v>
      </c>
      <c r="R3" s="8">
        <f>$R$2</f>
        <v>0</v>
      </c>
      <c r="S3" s="8" t="str">
        <f>"Standard "&amp;LEFT(T3,3)&amp;" Account"</f>
        <v>Standard EUR Account</v>
      </c>
      <c r="T3" s="27" t="str">
        <f>U3</f>
        <v>EUR Account 9--------1</v>
      </c>
      <c r="U3" s="27" t="s">
        <v>293</v>
      </c>
      <c r="V3" s="8" t="s">
        <v>306</v>
      </c>
    </row>
    <row r="4" spans="1:22" x14ac:dyDescent="0.25">
      <c r="A4" s="8">
        <v>6</v>
      </c>
      <c r="B4" s="5" t="s">
        <v>78</v>
      </c>
      <c r="C4" s="5">
        <v>6</v>
      </c>
      <c r="D4" s="5">
        <f t="shared" ref="D4:D34" si="2">D3</f>
        <v>1</v>
      </c>
      <c r="E4" s="25">
        <f t="shared" si="0"/>
        <v>43704</v>
      </c>
      <c r="F4" s="27" t="str">
        <f t="shared" si="1"/>
        <v>EUR Account 9--------2</v>
      </c>
      <c r="G4" s="8" t="s">
        <v>297</v>
      </c>
      <c r="H4" s="8" t="s">
        <v>49</v>
      </c>
      <c r="I4" s="8">
        <v>0</v>
      </c>
      <c r="J4" s="8" t="s">
        <v>57</v>
      </c>
      <c r="K4" s="8">
        <v>0</v>
      </c>
      <c r="L4" s="8" t="s">
        <v>299</v>
      </c>
      <c r="M4" s="28">
        <f t="shared" ref="M4:M34" si="3">$M$2</f>
        <v>43102</v>
      </c>
      <c r="O4" s="8" t="s">
        <v>76</v>
      </c>
      <c r="P4" s="8" t="s">
        <v>8</v>
      </c>
      <c r="R4" s="8">
        <f t="shared" ref="R4:R34" si="4">$R$2</f>
        <v>0</v>
      </c>
      <c r="S4" s="8" t="str">
        <f>"Standard "&amp;LEFT(T4,3)&amp;" Account"</f>
        <v>Standard EUR Account</v>
      </c>
      <c r="T4" s="27" t="str">
        <f>U4</f>
        <v>EUR Account 9--------2</v>
      </c>
      <c r="U4" s="27" t="s">
        <v>294</v>
      </c>
      <c r="V4" s="8" t="s">
        <v>306</v>
      </c>
    </row>
    <row r="5" spans="1:22" x14ac:dyDescent="0.25">
      <c r="A5" s="8">
        <v>7</v>
      </c>
      <c r="B5" s="5" t="s">
        <v>78</v>
      </c>
      <c r="C5" s="5">
        <v>7</v>
      </c>
      <c r="D5" s="5">
        <f t="shared" si="2"/>
        <v>1</v>
      </c>
      <c r="E5" s="25">
        <f t="shared" si="0"/>
        <v>43704</v>
      </c>
      <c r="F5" s="27" t="str">
        <f t="shared" si="1"/>
        <v>USD Account 7--------1</v>
      </c>
      <c r="G5" s="8" t="s">
        <v>297</v>
      </c>
      <c r="H5" s="8" t="s">
        <v>49</v>
      </c>
      <c r="I5" s="8">
        <v>0</v>
      </c>
      <c r="J5" s="8" t="s">
        <v>56</v>
      </c>
      <c r="K5" s="8">
        <v>0</v>
      </c>
      <c r="L5" s="8" t="s">
        <v>299</v>
      </c>
      <c r="M5" s="28">
        <f t="shared" si="3"/>
        <v>43102</v>
      </c>
      <c r="O5" s="8" t="s">
        <v>76</v>
      </c>
      <c r="P5" s="8" t="s">
        <v>8</v>
      </c>
      <c r="R5" s="8">
        <f t="shared" si="4"/>
        <v>0</v>
      </c>
      <c r="S5" s="8" t="str">
        <f>"Standard "&amp;LEFT(T5,3)&amp;" Account"</f>
        <v>Standard USD Account</v>
      </c>
      <c r="T5" s="27" t="str">
        <f>U5</f>
        <v>USD Account 7--------1</v>
      </c>
      <c r="U5" s="27" t="s">
        <v>295</v>
      </c>
      <c r="V5" s="8" t="s">
        <v>306</v>
      </c>
    </row>
    <row r="6" spans="1:22" x14ac:dyDescent="0.25">
      <c r="A6" s="8">
        <v>8</v>
      </c>
      <c r="B6" s="5" t="s">
        <v>78</v>
      </c>
      <c r="C6" s="5">
        <v>8</v>
      </c>
      <c r="D6" s="5">
        <f t="shared" si="2"/>
        <v>1</v>
      </c>
      <c r="E6" s="25">
        <f t="shared" si="0"/>
        <v>43704</v>
      </c>
      <c r="F6" s="27" t="str">
        <f t="shared" si="1"/>
        <v>ZAR Account 6--------1</v>
      </c>
      <c r="G6" s="8" t="s">
        <v>297</v>
      </c>
      <c r="H6" s="8" t="s">
        <v>49</v>
      </c>
      <c r="I6" s="8">
        <v>0</v>
      </c>
      <c r="J6" s="8" t="s">
        <v>5</v>
      </c>
      <c r="K6" s="8">
        <v>0</v>
      </c>
      <c r="L6" s="8" t="s">
        <v>299</v>
      </c>
      <c r="M6" s="28">
        <f t="shared" si="3"/>
        <v>43102</v>
      </c>
      <c r="O6" s="8" t="s">
        <v>76</v>
      </c>
      <c r="P6" s="8" t="s">
        <v>8</v>
      </c>
      <c r="R6" s="8">
        <f t="shared" si="4"/>
        <v>0</v>
      </c>
      <c r="S6" s="8" t="str">
        <f>"Standard "&amp;LEFT(T6,3)&amp;" Account"</f>
        <v>Standard ZAR Account</v>
      </c>
      <c r="T6" s="27" t="str">
        <f>U6</f>
        <v>ZAR Account 6--------1</v>
      </c>
      <c r="U6" s="27" t="s">
        <v>296</v>
      </c>
      <c r="V6" s="8" t="s">
        <v>306</v>
      </c>
    </row>
    <row r="7" spans="1:22" x14ac:dyDescent="0.25">
      <c r="A7" s="8">
        <v>9</v>
      </c>
      <c r="B7" s="5" t="s">
        <v>78</v>
      </c>
      <c r="C7" s="5">
        <v>9</v>
      </c>
      <c r="D7" s="5">
        <f t="shared" si="2"/>
        <v>1</v>
      </c>
      <c r="E7" s="25">
        <f t="shared" si="0"/>
        <v>43704</v>
      </c>
      <c r="F7" s="27" t="str">
        <f t="shared" si="1"/>
        <v>USD0000HSBEL</v>
      </c>
      <c r="G7" s="8" t="s">
        <v>300</v>
      </c>
      <c r="H7" s="8" t="s">
        <v>49</v>
      </c>
      <c r="I7" s="8">
        <v>0</v>
      </c>
      <c r="J7" s="8" t="s">
        <v>56</v>
      </c>
      <c r="K7" s="8">
        <v>0</v>
      </c>
      <c r="L7" s="8" t="s">
        <v>299</v>
      </c>
      <c r="M7" s="28">
        <f t="shared" si="3"/>
        <v>43102</v>
      </c>
      <c r="O7" s="8" t="s">
        <v>76</v>
      </c>
      <c r="P7" s="8" t="s">
        <v>8</v>
      </c>
      <c r="R7" s="8">
        <f t="shared" si="4"/>
        <v>0</v>
      </c>
      <c r="S7" s="8" t="str">
        <f>"Internal "&amp;LEFT(T7,3)&amp;" Auto Generated Account"</f>
        <v>Internal USD Auto Generated Account</v>
      </c>
      <c r="T7" t="str">
        <f>J7&amp;" "&amp;G7&amp;" ACCOUNT"</f>
        <v>USD HSBEL ACCOUNT</v>
      </c>
      <c r="U7" s="8" t="str">
        <f>LEFT(T7,3)&amp;"0000"&amp;G7</f>
        <v>USD0000HSBEL</v>
      </c>
      <c r="V7" s="8" t="s">
        <v>303</v>
      </c>
    </row>
    <row r="8" spans="1:22" x14ac:dyDescent="0.25">
      <c r="A8" s="8">
        <v>10</v>
      </c>
      <c r="B8" s="5" t="s">
        <v>78</v>
      </c>
      <c r="C8" s="5">
        <v>10</v>
      </c>
      <c r="D8" s="5">
        <f t="shared" si="2"/>
        <v>1</v>
      </c>
      <c r="E8" s="25">
        <f t="shared" si="0"/>
        <v>43704</v>
      </c>
      <c r="F8" s="27" t="str">
        <f t="shared" si="1"/>
        <v>EUR0000HSBEL</v>
      </c>
      <c r="G8" s="8" t="s">
        <v>300</v>
      </c>
      <c r="H8" s="8" t="s">
        <v>49</v>
      </c>
      <c r="I8" s="8">
        <v>0</v>
      </c>
      <c r="J8" s="8" t="s">
        <v>57</v>
      </c>
      <c r="K8" s="8">
        <v>0</v>
      </c>
      <c r="L8" s="8" t="s">
        <v>299</v>
      </c>
      <c r="M8" s="28">
        <f t="shared" si="3"/>
        <v>43102</v>
      </c>
      <c r="O8" s="8" t="s">
        <v>76</v>
      </c>
      <c r="P8" s="8" t="s">
        <v>8</v>
      </c>
      <c r="R8" s="8">
        <f t="shared" si="4"/>
        <v>0</v>
      </c>
      <c r="S8" s="8" t="str">
        <f t="shared" ref="S8:S34" si="5">"Internal "&amp;LEFT(T8,3)&amp;" Auto Generated Account"</f>
        <v>Internal EUR Auto Generated Account</v>
      </c>
      <c r="T8" s="27" t="str">
        <f t="shared" ref="T8:T34" si="6">J8&amp;" "&amp;G8&amp;" ACCOUNT"</f>
        <v>EUR HSBEL ACCOUNT</v>
      </c>
      <c r="U8" s="8" t="str">
        <f t="shared" ref="U8:U34" si="7">LEFT(T8,3)&amp;"0000"&amp;G8</f>
        <v>EUR0000HSBEL</v>
      </c>
      <c r="V8" s="8" t="s">
        <v>303</v>
      </c>
    </row>
    <row r="9" spans="1:22" x14ac:dyDescent="0.25">
      <c r="A9" s="8">
        <v>11</v>
      </c>
      <c r="B9" s="5" t="s">
        <v>78</v>
      </c>
      <c r="C9" s="5">
        <v>11</v>
      </c>
      <c r="D9" s="5">
        <f t="shared" si="2"/>
        <v>1</v>
      </c>
      <c r="E9" s="25">
        <f t="shared" si="0"/>
        <v>43704</v>
      </c>
      <c r="F9" s="27" t="str">
        <f t="shared" si="1"/>
        <v>GBP0000HSBEL</v>
      </c>
      <c r="G9" s="8" t="s">
        <v>300</v>
      </c>
      <c r="H9" s="8" t="s">
        <v>49</v>
      </c>
      <c r="I9" s="8">
        <v>0</v>
      </c>
      <c r="J9" s="8" t="s">
        <v>55</v>
      </c>
      <c r="K9" s="8">
        <v>0</v>
      </c>
      <c r="L9" s="8" t="s">
        <v>299</v>
      </c>
      <c r="M9" s="28">
        <f t="shared" si="3"/>
        <v>43102</v>
      </c>
      <c r="O9" s="8" t="s">
        <v>76</v>
      </c>
      <c r="P9" s="8" t="s">
        <v>8</v>
      </c>
      <c r="R9" s="8">
        <f t="shared" si="4"/>
        <v>0</v>
      </c>
      <c r="S9" s="8" t="str">
        <f t="shared" si="5"/>
        <v>Internal GBP Auto Generated Account</v>
      </c>
      <c r="T9" s="27" t="str">
        <f t="shared" si="6"/>
        <v>GBP HSBEL ACCOUNT</v>
      </c>
      <c r="U9" s="8" t="str">
        <f t="shared" si="7"/>
        <v>GBP0000HSBEL</v>
      </c>
      <c r="V9" s="8" t="s">
        <v>303</v>
      </c>
    </row>
    <row r="10" spans="1:22" x14ac:dyDescent="0.25">
      <c r="A10" s="8">
        <v>12</v>
      </c>
      <c r="B10" s="5" t="s">
        <v>78</v>
      </c>
      <c r="C10" s="5">
        <v>12</v>
      </c>
      <c r="D10" s="5">
        <f t="shared" si="2"/>
        <v>1</v>
      </c>
      <c r="E10" s="25">
        <f t="shared" si="0"/>
        <v>43704</v>
      </c>
      <c r="F10" s="27" t="str">
        <f t="shared" si="1"/>
        <v>JPY0000HSBEL</v>
      </c>
      <c r="G10" s="8" t="s">
        <v>300</v>
      </c>
      <c r="H10" s="8" t="s">
        <v>49</v>
      </c>
      <c r="I10" s="8">
        <v>0</v>
      </c>
      <c r="J10" s="8" t="s">
        <v>61</v>
      </c>
      <c r="K10" s="8">
        <v>0</v>
      </c>
      <c r="L10" s="8" t="s">
        <v>299</v>
      </c>
      <c r="M10" s="28">
        <f t="shared" si="3"/>
        <v>43102</v>
      </c>
      <c r="O10" s="8" t="s">
        <v>76</v>
      </c>
      <c r="P10" s="8" t="s">
        <v>8</v>
      </c>
      <c r="R10" s="8">
        <f t="shared" si="4"/>
        <v>0</v>
      </c>
      <c r="S10" s="8" t="str">
        <f t="shared" si="5"/>
        <v>Internal JPY Auto Generated Account</v>
      </c>
      <c r="T10" s="27" t="str">
        <f t="shared" si="6"/>
        <v>JPY HSBEL ACCOUNT</v>
      </c>
      <c r="U10" s="8" t="str">
        <f t="shared" si="7"/>
        <v>JPY0000HSBEL</v>
      </c>
      <c r="V10" s="8" t="s">
        <v>303</v>
      </c>
    </row>
    <row r="11" spans="1:22" x14ac:dyDescent="0.25">
      <c r="A11" s="8">
        <v>13</v>
      </c>
      <c r="B11" s="5" t="s">
        <v>78</v>
      </c>
      <c r="C11" s="5">
        <v>13</v>
      </c>
      <c r="D11" s="5">
        <f t="shared" si="2"/>
        <v>1</v>
      </c>
      <c r="E11" s="25">
        <f t="shared" si="0"/>
        <v>43704</v>
      </c>
      <c r="F11" s="27" t="str">
        <f t="shared" si="1"/>
        <v>AUD0000HSBEL</v>
      </c>
      <c r="G11" s="8" t="s">
        <v>300</v>
      </c>
      <c r="H11" s="8" t="s">
        <v>49</v>
      </c>
      <c r="I11" s="8">
        <v>0</v>
      </c>
      <c r="J11" s="8" t="s">
        <v>63</v>
      </c>
      <c r="K11" s="8">
        <v>0</v>
      </c>
      <c r="L11" s="8" t="s">
        <v>299</v>
      </c>
      <c r="M11" s="28">
        <f t="shared" si="3"/>
        <v>43102</v>
      </c>
      <c r="O11" s="8" t="s">
        <v>76</v>
      </c>
      <c r="P11" s="8" t="s">
        <v>8</v>
      </c>
      <c r="R11" s="8">
        <f t="shared" si="4"/>
        <v>0</v>
      </c>
      <c r="S11" s="8" t="str">
        <f t="shared" si="5"/>
        <v>Internal AUD Auto Generated Account</v>
      </c>
      <c r="T11" s="27" t="str">
        <f t="shared" si="6"/>
        <v>AUD HSBEL ACCOUNT</v>
      </c>
      <c r="U11" s="8" t="str">
        <f t="shared" si="7"/>
        <v>AUD0000HSBEL</v>
      </c>
      <c r="V11" s="8" t="s">
        <v>303</v>
      </c>
    </row>
    <row r="12" spans="1:22" x14ac:dyDescent="0.25">
      <c r="A12" s="8">
        <v>14</v>
      </c>
      <c r="B12" s="5" t="s">
        <v>78</v>
      </c>
      <c r="C12" s="5">
        <v>14</v>
      </c>
      <c r="D12" s="5">
        <f t="shared" si="2"/>
        <v>1</v>
      </c>
      <c r="E12" s="25">
        <f t="shared" si="0"/>
        <v>43704</v>
      </c>
      <c r="F12" s="27" t="str">
        <f t="shared" si="1"/>
        <v>NZD0000HSBEL</v>
      </c>
      <c r="G12" s="8" t="s">
        <v>300</v>
      </c>
      <c r="H12" s="8" t="s">
        <v>49</v>
      </c>
      <c r="I12" s="8">
        <v>0</v>
      </c>
      <c r="J12" s="8" t="s">
        <v>64</v>
      </c>
      <c r="K12" s="8">
        <v>0</v>
      </c>
      <c r="L12" s="8" t="s">
        <v>299</v>
      </c>
      <c r="M12" s="28">
        <v>43103</v>
      </c>
      <c r="O12" s="8" t="s">
        <v>76</v>
      </c>
      <c r="P12" s="8" t="s">
        <v>8</v>
      </c>
      <c r="R12" s="8">
        <f t="shared" si="4"/>
        <v>0</v>
      </c>
      <c r="S12" s="8" t="str">
        <f t="shared" si="5"/>
        <v>Internal NZD Auto Generated Account</v>
      </c>
      <c r="T12" s="27" t="str">
        <f t="shared" si="6"/>
        <v>NZD HSBEL ACCOUNT</v>
      </c>
      <c r="U12" s="8" t="str">
        <f t="shared" si="7"/>
        <v>NZD0000HSBEL</v>
      </c>
      <c r="V12" s="8" t="s">
        <v>303</v>
      </c>
    </row>
    <row r="13" spans="1:22" x14ac:dyDescent="0.25">
      <c r="A13" s="8">
        <v>15</v>
      </c>
      <c r="B13" s="5" t="s">
        <v>78</v>
      </c>
      <c r="C13" s="5">
        <v>15</v>
      </c>
      <c r="D13" s="5">
        <f t="shared" si="2"/>
        <v>1</v>
      </c>
      <c r="E13" s="25">
        <f t="shared" si="0"/>
        <v>43704</v>
      </c>
      <c r="F13" s="27" t="str">
        <f t="shared" si="1"/>
        <v>CAD0000HSBEL</v>
      </c>
      <c r="G13" s="8" t="s">
        <v>300</v>
      </c>
      <c r="H13" s="8" t="s">
        <v>49</v>
      </c>
      <c r="I13" s="8">
        <v>0</v>
      </c>
      <c r="J13" s="8" t="s">
        <v>60</v>
      </c>
      <c r="K13" s="8">
        <v>0</v>
      </c>
      <c r="L13" s="8" t="s">
        <v>299</v>
      </c>
      <c r="M13" s="28">
        <f t="shared" si="3"/>
        <v>43102</v>
      </c>
      <c r="O13" s="8" t="s">
        <v>76</v>
      </c>
      <c r="P13" s="8" t="s">
        <v>8</v>
      </c>
      <c r="R13" s="8">
        <f t="shared" si="4"/>
        <v>0</v>
      </c>
      <c r="S13" s="8" t="str">
        <f t="shared" si="5"/>
        <v>Internal CAD Auto Generated Account</v>
      </c>
      <c r="T13" s="27" t="str">
        <f t="shared" si="6"/>
        <v>CAD HSBEL ACCOUNT</v>
      </c>
      <c r="U13" s="8" t="str">
        <f t="shared" si="7"/>
        <v>CAD0000HSBEL</v>
      </c>
      <c r="V13" s="8" t="s">
        <v>303</v>
      </c>
    </row>
    <row r="14" spans="1:22" x14ac:dyDescent="0.25">
      <c r="A14" s="8">
        <v>16</v>
      </c>
      <c r="B14" s="5" t="s">
        <v>78</v>
      </c>
      <c r="C14" s="5">
        <v>16</v>
      </c>
      <c r="D14" s="5">
        <f t="shared" si="2"/>
        <v>1</v>
      </c>
      <c r="E14" s="25">
        <f>$E$2</f>
        <v>43704</v>
      </c>
      <c r="F14" s="27" t="str">
        <f t="shared" si="1"/>
        <v>CHF0000HSBEL</v>
      </c>
      <c r="G14" s="8" t="s">
        <v>300</v>
      </c>
      <c r="H14" s="8" t="str">
        <f>H13</f>
        <v>DEPO</v>
      </c>
      <c r="I14" s="8">
        <f>I13</f>
        <v>0</v>
      </c>
      <c r="J14" s="8" t="s">
        <v>298</v>
      </c>
      <c r="K14" s="8">
        <f>K13</f>
        <v>0</v>
      </c>
      <c r="L14" s="8" t="s">
        <v>299</v>
      </c>
      <c r="M14" s="28">
        <v>43103</v>
      </c>
      <c r="O14" s="8" t="s">
        <v>76</v>
      </c>
      <c r="P14" s="8" t="s">
        <v>8</v>
      </c>
      <c r="R14" s="8">
        <f t="shared" si="4"/>
        <v>0</v>
      </c>
      <c r="S14" s="8" t="str">
        <f t="shared" si="5"/>
        <v>Internal CHF Auto Generated Account</v>
      </c>
      <c r="T14" s="27" t="str">
        <f t="shared" si="6"/>
        <v>CHF HSBEL ACCOUNT</v>
      </c>
      <c r="U14" s="8" t="str">
        <f t="shared" si="7"/>
        <v>CHF0000HSBEL</v>
      </c>
      <c r="V14" s="8" t="s">
        <v>303</v>
      </c>
    </row>
    <row r="15" spans="1:22" x14ac:dyDescent="0.25">
      <c r="A15" s="8">
        <v>17</v>
      </c>
      <c r="B15" s="5" t="s">
        <v>78</v>
      </c>
      <c r="C15" s="5">
        <v>17</v>
      </c>
      <c r="D15" s="5">
        <f t="shared" si="2"/>
        <v>1</v>
      </c>
      <c r="E15" s="25">
        <f t="shared" ref="E15:E34" si="8">$E$2</f>
        <v>43704</v>
      </c>
      <c r="F15" s="27" t="str">
        <f t="shared" si="1"/>
        <v>NOK0000HSBEL</v>
      </c>
      <c r="G15" s="8" t="s">
        <v>300</v>
      </c>
      <c r="H15" s="8" t="str">
        <f t="shared" ref="H15:H34" si="9">H14</f>
        <v>DEPO</v>
      </c>
      <c r="I15" s="8">
        <f t="shared" ref="I15:I34" si="10">I14</f>
        <v>0</v>
      </c>
      <c r="J15" s="8" t="s">
        <v>59</v>
      </c>
      <c r="K15" s="8">
        <v>0</v>
      </c>
      <c r="L15" s="8" t="s">
        <v>299</v>
      </c>
      <c r="M15" s="28">
        <f t="shared" si="3"/>
        <v>43102</v>
      </c>
      <c r="O15" s="8" t="s">
        <v>76</v>
      </c>
      <c r="P15" s="8" t="s">
        <v>8</v>
      </c>
      <c r="R15" s="8">
        <f t="shared" si="4"/>
        <v>0</v>
      </c>
      <c r="S15" s="8" t="str">
        <f t="shared" si="5"/>
        <v>Internal NOK Auto Generated Account</v>
      </c>
      <c r="T15" s="27" t="str">
        <f t="shared" si="6"/>
        <v>NOK HSBEL ACCOUNT</v>
      </c>
      <c r="U15" s="8" t="str">
        <f t="shared" si="7"/>
        <v>NOK0000HSBEL</v>
      </c>
      <c r="V15" s="8" t="s">
        <v>303</v>
      </c>
    </row>
    <row r="16" spans="1:22" x14ac:dyDescent="0.25">
      <c r="A16" s="8">
        <v>18</v>
      </c>
      <c r="B16" s="5" t="s">
        <v>78</v>
      </c>
      <c r="C16" s="5">
        <v>18</v>
      </c>
      <c r="D16" s="5">
        <f t="shared" si="2"/>
        <v>1</v>
      </c>
      <c r="E16" s="25">
        <f t="shared" si="8"/>
        <v>43704</v>
      </c>
      <c r="F16" s="27" t="str">
        <f t="shared" si="1"/>
        <v>SEK0000HSBEL</v>
      </c>
      <c r="G16" s="8" t="s">
        <v>300</v>
      </c>
      <c r="H16" s="8" t="str">
        <f t="shared" si="9"/>
        <v>DEPO</v>
      </c>
      <c r="I16" s="8">
        <f t="shared" si="10"/>
        <v>0</v>
      </c>
      <c r="J16" s="8" t="s">
        <v>69</v>
      </c>
      <c r="K16" s="8">
        <f>K15</f>
        <v>0</v>
      </c>
      <c r="L16" s="8" t="s">
        <v>299</v>
      </c>
      <c r="M16" s="28">
        <f t="shared" si="3"/>
        <v>43102</v>
      </c>
      <c r="O16" s="8" t="s">
        <v>76</v>
      </c>
      <c r="P16" s="8" t="s">
        <v>8</v>
      </c>
      <c r="R16" s="8">
        <f t="shared" si="4"/>
        <v>0</v>
      </c>
      <c r="S16" s="8" t="str">
        <f t="shared" si="5"/>
        <v>Internal SEK Auto Generated Account</v>
      </c>
      <c r="T16" s="27" t="str">
        <f t="shared" si="6"/>
        <v>SEK HSBEL ACCOUNT</v>
      </c>
      <c r="U16" s="8" t="str">
        <f t="shared" si="7"/>
        <v>SEK0000HSBEL</v>
      </c>
      <c r="V16" s="8" t="s">
        <v>303</v>
      </c>
    </row>
    <row r="17" spans="1:22" x14ac:dyDescent="0.25">
      <c r="A17" s="8">
        <v>19</v>
      </c>
      <c r="B17" s="5" t="s">
        <v>78</v>
      </c>
      <c r="C17" s="5">
        <v>19</v>
      </c>
      <c r="D17" s="5">
        <f t="shared" si="2"/>
        <v>1</v>
      </c>
      <c r="E17" s="25">
        <f t="shared" si="8"/>
        <v>43704</v>
      </c>
      <c r="F17" s="27" t="str">
        <f t="shared" si="1"/>
        <v>ZAR0000HSBEL</v>
      </c>
      <c r="G17" s="8" t="s">
        <v>300</v>
      </c>
      <c r="H17" s="8" t="str">
        <f t="shared" si="9"/>
        <v>DEPO</v>
      </c>
      <c r="I17" s="8">
        <f t="shared" si="10"/>
        <v>0</v>
      </c>
      <c r="J17" s="8" t="s">
        <v>5</v>
      </c>
      <c r="K17" s="8">
        <f t="shared" ref="K17:K34" si="11">K16</f>
        <v>0</v>
      </c>
      <c r="L17" s="8" t="s">
        <v>299</v>
      </c>
      <c r="M17" s="28">
        <f t="shared" si="3"/>
        <v>43102</v>
      </c>
      <c r="O17" s="8" t="s">
        <v>76</v>
      </c>
      <c r="P17" s="8" t="s">
        <v>8</v>
      </c>
      <c r="R17" s="8">
        <f t="shared" si="4"/>
        <v>0</v>
      </c>
      <c r="S17" s="8" t="str">
        <f t="shared" si="5"/>
        <v>Internal ZAR Auto Generated Account</v>
      </c>
      <c r="T17" s="27" t="str">
        <f t="shared" si="6"/>
        <v>ZAR HSBEL ACCOUNT</v>
      </c>
      <c r="U17" s="8" t="str">
        <f t="shared" si="7"/>
        <v>ZAR0000HSBEL</v>
      </c>
      <c r="V17" s="8" t="s">
        <v>303</v>
      </c>
    </row>
    <row r="18" spans="1:22" x14ac:dyDescent="0.25">
      <c r="A18" s="8">
        <v>20</v>
      </c>
      <c r="B18" s="5" t="s">
        <v>78</v>
      </c>
      <c r="C18" s="5">
        <v>20</v>
      </c>
      <c r="D18" s="5">
        <f t="shared" si="2"/>
        <v>1</v>
      </c>
      <c r="E18" s="25">
        <f t="shared" si="8"/>
        <v>43704</v>
      </c>
      <c r="F18" s="27" t="str">
        <f t="shared" si="1"/>
        <v>CHF0000HSBEL</v>
      </c>
      <c r="G18" s="8" t="s">
        <v>300</v>
      </c>
      <c r="H18" s="8" t="str">
        <f t="shared" si="9"/>
        <v>DEPO</v>
      </c>
      <c r="I18" s="8">
        <f t="shared" si="10"/>
        <v>0</v>
      </c>
      <c r="J18" s="8" t="s">
        <v>298</v>
      </c>
      <c r="K18" s="8">
        <f t="shared" si="11"/>
        <v>0</v>
      </c>
      <c r="L18" s="8" t="s">
        <v>299</v>
      </c>
      <c r="M18" s="28">
        <v>43103</v>
      </c>
      <c r="O18" s="8" t="s">
        <v>76</v>
      </c>
      <c r="P18" s="8" t="s">
        <v>8</v>
      </c>
      <c r="R18" s="8">
        <f t="shared" si="4"/>
        <v>0</v>
      </c>
      <c r="S18" s="8" t="str">
        <f t="shared" si="5"/>
        <v>Internal CHF Auto Generated Account</v>
      </c>
      <c r="T18" s="27" t="str">
        <f t="shared" si="6"/>
        <v>CHF HSBEL ACCOUNT</v>
      </c>
      <c r="U18" s="8" t="str">
        <f t="shared" si="7"/>
        <v>CHF0000HSBEL</v>
      </c>
      <c r="V18" s="8" t="s">
        <v>303</v>
      </c>
    </row>
    <row r="19" spans="1:22" x14ac:dyDescent="0.25">
      <c r="A19" s="8">
        <v>21</v>
      </c>
      <c r="B19" s="5" t="s">
        <v>78</v>
      </c>
      <c r="C19" s="5">
        <v>21</v>
      </c>
      <c r="D19" s="5">
        <f t="shared" si="2"/>
        <v>1</v>
      </c>
      <c r="E19" s="25">
        <f t="shared" si="8"/>
        <v>43704</v>
      </c>
      <c r="F19" s="27" t="str">
        <f t="shared" si="1"/>
        <v>DKK0000HSBEL</v>
      </c>
      <c r="G19" s="8" t="s">
        <v>300</v>
      </c>
      <c r="H19" s="8" t="str">
        <f t="shared" si="9"/>
        <v>DEPO</v>
      </c>
      <c r="I19" s="8">
        <f t="shared" si="10"/>
        <v>0</v>
      </c>
      <c r="J19" s="8" t="s">
        <v>68</v>
      </c>
      <c r="K19" s="8">
        <f t="shared" si="11"/>
        <v>0</v>
      </c>
      <c r="L19" s="8" t="s">
        <v>299</v>
      </c>
      <c r="M19" s="28">
        <f t="shared" si="3"/>
        <v>43102</v>
      </c>
      <c r="O19" s="8" t="s">
        <v>76</v>
      </c>
      <c r="P19" s="8" t="s">
        <v>8</v>
      </c>
      <c r="R19" s="8">
        <f t="shared" si="4"/>
        <v>0</v>
      </c>
      <c r="S19" s="8" t="str">
        <f t="shared" si="5"/>
        <v>Internal DKK Auto Generated Account</v>
      </c>
      <c r="T19" s="27" t="str">
        <f t="shared" si="6"/>
        <v>DKK HSBEL ACCOUNT</v>
      </c>
      <c r="U19" s="8" t="str">
        <f t="shared" si="7"/>
        <v>DKK0000HSBEL</v>
      </c>
      <c r="V19" s="8" t="s">
        <v>303</v>
      </c>
    </row>
    <row r="20" spans="1:22" x14ac:dyDescent="0.25">
      <c r="A20" s="8">
        <v>22</v>
      </c>
      <c r="B20" s="5" t="s">
        <v>78</v>
      </c>
      <c r="C20" s="5">
        <v>22</v>
      </c>
      <c r="D20" s="5">
        <f t="shared" si="2"/>
        <v>1</v>
      </c>
      <c r="E20" s="25">
        <f t="shared" si="8"/>
        <v>43704</v>
      </c>
      <c r="F20" s="27" t="str">
        <f t="shared" si="1"/>
        <v>BTC0000HSBEL</v>
      </c>
      <c r="G20" s="8" t="s">
        <v>300</v>
      </c>
      <c r="H20" s="8" t="str">
        <f t="shared" si="9"/>
        <v>DEPO</v>
      </c>
      <c r="I20" s="8">
        <f t="shared" si="10"/>
        <v>0</v>
      </c>
      <c r="J20" s="8" t="s">
        <v>290</v>
      </c>
      <c r="K20" s="8">
        <f t="shared" si="11"/>
        <v>0</v>
      </c>
      <c r="L20" s="8" t="s">
        <v>299</v>
      </c>
      <c r="M20" s="28">
        <f t="shared" si="3"/>
        <v>43102</v>
      </c>
      <c r="O20" s="8" t="s">
        <v>76</v>
      </c>
      <c r="P20" s="8" t="s">
        <v>8</v>
      </c>
      <c r="R20" s="8">
        <f t="shared" si="4"/>
        <v>0</v>
      </c>
      <c r="S20" s="8" t="str">
        <f t="shared" si="5"/>
        <v>Internal BTC Auto Generated Account</v>
      </c>
      <c r="T20" s="27" t="str">
        <f t="shared" si="6"/>
        <v>BTC HSBEL ACCOUNT</v>
      </c>
      <c r="U20" s="8" t="str">
        <f t="shared" si="7"/>
        <v>BTC0000HSBEL</v>
      </c>
      <c r="V20" s="8" t="s">
        <v>303</v>
      </c>
    </row>
    <row r="21" spans="1:22" x14ac:dyDescent="0.25">
      <c r="A21" s="8">
        <v>23</v>
      </c>
      <c r="B21" s="5" t="s">
        <v>78</v>
      </c>
      <c r="C21" s="5">
        <v>23</v>
      </c>
      <c r="D21" s="5">
        <f t="shared" si="2"/>
        <v>1</v>
      </c>
      <c r="E21" s="25">
        <f t="shared" si="8"/>
        <v>43704</v>
      </c>
      <c r="F21" s="27" t="str">
        <f t="shared" si="1"/>
        <v>USD0000HSFRA</v>
      </c>
      <c r="G21" s="8" t="s">
        <v>301</v>
      </c>
      <c r="H21" s="8" t="str">
        <f t="shared" si="9"/>
        <v>DEPO</v>
      </c>
      <c r="I21" s="8">
        <f t="shared" si="10"/>
        <v>0</v>
      </c>
      <c r="J21" s="8" t="s">
        <v>56</v>
      </c>
      <c r="K21" s="8">
        <f t="shared" si="11"/>
        <v>0</v>
      </c>
      <c r="L21" s="8" t="s">
        <v>302</v>
      </c>
      <c r="M21" s="28">
        <f t="shared" si="3"/>
        <v>43102</v>
      </c>
      <c r="O21" s="8" t="s">
        <v>76</v>
      </c>
      <c r="P21" s="8" t="s">
        <v>8</v>
      </c>
      <c r="R21" s="8">
        <f t="shared" si="4"/>
        <v>0</v>
      </c>
      <c r="S21" s="8" t="str">
        <f t="shared" si="5"/>
        <v>Internal USD Auto Generated Account</v>
      </c>
      <c r="T21" s="27" t="str">
        <f t="shared" si="6"/>
        <v>USD HSFRA ACCOUNT</v>
      </c>
      <c r="U21" s="8" t="str">
        <f t="shared" si="7"/>
        <v>USD0000HSFRA</v>
      </c>
      <c r="V21" s="8" t="s">
        <v>304</v>
      </c>
    </row>
    <row r="22" spans="1:22" x14ac:dyDescent="0.25">
      <c r="A22" s="8">
        <v>24</v>
      </c>
      <c r="B22" s="5" t="s">
        <v>78</v>
      </c>
      <c r="C22" s="5">
        <v>24</v>
      </c>
      <c r="D22" s="5">
        <f t="shared" si="2"/>
        <v>1</v>
      </c>
      <c r="E22" s="25">
        <f t="shared" si="8"/>
        <v>43704</v>
      </c>
      <c r="F22" s="27" t="str">
        <f t="shared" si="1"/>
        <v>EUR0000HSFRA</v>
      </c>
      <c r="G22" s="8" t="s">
        <v>301</v>
      </c>
      <c r="H22" s="8" t="str">
        <f t="shared" si="9"/>
        <v>DEPO</v>
      </c>
      <c r="I22" s="8">
        <f t="shared" si="10"/>
        <v>0</v>
      </c>
      <c r="J22" s="8" t="s">
        <v>57</v>
      </c>
      <c r="K22" s="8">
        <f t="shared" si="11"/>
        <v>0</v>
      </c>
      <c r="L22" s="8" t="s">
        <v>302</v>
      </c>
      <c r="M22" s="28">
        <f t="shared" si="3"/>
        <v>43102</v>
      </c>
      <c r="O22" s="8" t="s">
        <v>76</v>
      </c>
      <c r="P22" s="8" t="s">
        <v>8</v>
      </c>
      <c r="R22" s="8">
        <f t="shared" si="4"/>
        <v>0</v>
      </c>
      <c r="S22" s="8" t="str">
        <f t="shared" si="5"/>
        <v>Internal EUR Auto Generated Account</v>
      </c>
      <c r="T22" s="27" t="str">
        <f t="shared" si="6"/>
        <v>EUR HSFRA ACCOUNT</v>
      </c>
      <c r="U22" s="8" t="str">
        <f t="shared" si="7"/>
        <v>EUR0000HSFRA</v>
      </c>
      <c r="V22" s="8" t="s">
        <v>304</v>
      </c>
    </row>
    <row r="23" spans="1:22" x14ac:dyDescent="0.25">
      <c r="A23" s="8">
        <v>25</v>
      </c>
      <c r="B23" s="5" t="s">
        <v>78</v>
      </c>
      <c r="C23" s="5">
        <v>25</v>
      </c>
      <c r="D23" s="5">
        <f t="shared" si="2"/>
        <v>1</v>
      </c>
      <c r="E23" s="25">
        <f t="shared" si="8"/>
        <v>43704</v>
      </c>
      <c r="F23" s="27" t="str">
        <f t="shared" si="1"/>
        <v>GBP0000HSFRA</v>
      </c>
      <c r="G23" s="8" t="s">
        <v>301</v>
      </c>
      <c r="H23" s="8" t="str">
        <f t="shared" si="9"/>
        <v>DEPO</v>
      </c>
      <c r="I23" s="8">
        <f t="shared" si="10"/>
        <v>0</v>
      </c>
      <c r="J23" s="8" t="s">
        <v>55</v>
      </c>
      <c r="K23" s="8">
        <f t="shared" si="11"/>
        <v>0</v>
      </c>
      <c r="L23" s="8" t="s">
        <v>302</v>
      </c>
      <c r="M23" s="28">
        <f t="shared" si="3"/>
        <v>43102</v>
      </c>
      <c r="O23" s="8" t="s">
        <v>76</v>
      </c>
      <c r="P23" s="8" t="s">
        <v>8</v>
      </c>
      <c r="R23" s="8">
        <f t="shared" si="4"/>
        <v>0</v>
      </c>
      <c r="S23" s="8" t="str">
        <f t="shared" si="5"/>
        <v>Internal GBP Auto Generated Account</v>
      </c>
      <c r="T23" s="27" t="str">
        <f t="shared" si="6"/>
        <v>GBP HSFRA ACCOUNT</v>
      </c>
      <c r="U23" s="8" t="str">
        <f t="shared" si="7"/>
        <v>GBP0000HSFRA</v>
      </c>
      <c r="V23" s="8" t="s">
        <v>304</v>
      </c>
    </row>
    <row r="24" spans="1:22" x14ac:dyDescent="0.25">
      <c r="A24" s="8">
        <v>26</v>
      </c>
      <c r="B24" s="5" t="s">
        <v>78</v>
      </c>
      <c r="C24" s="5">
        <v>26</v>
      </c>
      <c r="D24" s="5">
        <f t="shared" si="2"/>
        <v>1</v>
      </c>
      <c r="E24" s="25">
        <f t="shared" si="8"/>
        <v>43704</v>
      </c>
      <c r="F24" s="27" t="str">
        <f t="shared" si="1"/>
        <v>JPY0000HSFRA</v>
      </c>
      <c r="G24" s="8" t="s">
        <v>301</v>
      </c>
      <c r="H24" s="8" t="str">
        <f t="shared" si="9"/>
        <v>DEPO</v>
      </c>
      <c r="I24" s="8">
        <f t="shared" si="10"/>
        <v>0</v>
      </c>
      <c r="J24" s="8" t="s">
        <v>61</v>
      </c>
      <c r="K24" s="8">
        <f t="shared" si="11"/>
        <v>0</v>
      </c>
      <c r="L24" s="8" t="s">
        <v>302</v>
      </c>
      <c r="M24" s="28">
        <f t="shared" si="3"/>
        <v>43102</v>
      </c>
      <c r="O24" s="8" t="s">
        <v>76</v>
      </c>
      <c r="P24" s="8" t="s">
        <v>8</v>
      </c>
      <c r="R24" s="8">
        <f t="shared" si="4"/>
        <v>0</v>
      </c>
      <c r="S24" s="8" t="str">
        <f t="shared" si="5"/>
        <v>Internal JPY Auto Generated Account</v>
      </c>
      <c r="T24" s="27" t="str">
        <f t="shared" si="6"/>
        <v>JPY HSFRA ACCOUNT</v>
      </c>
      <c r="U24" s="8" t="str">
        <f t="shared" si="7"/>
        <v>JPY0000HSFRA</v>
      </c>
      <c r="V24" s="8" t="s">
        <v>304</v>
      </c>
    </row>
    <row r="25" spans="1:22" x14ac:dyDescent="0.25">
      <c r="A25" s="8">
        <v>27</v>
      </c>
      <c r="B25" s="5" t="s">
        <v>78</v>
      </c>
      <c r="C25" s="5">
        <v>27</v>
      </c>
      <c r="D25" s="5">
        <f t="shared" si="2"/>
        <v>1</v>
      </c>
      <c r="E25" s="25">
        <f t="shared" si="8"/>
        <v>43704</v>
      </c>
      <c r="F25" s="27" t="str">
        <f t="shared" si="1"/>
        <v>AUD0000HSFRA</v>
      </c>
      <c r="G25" s="8" t="s">
        <v>301</v>
      </c>
      <c r="H25" s="8" t="str">
        <f t="shared" si="9"/>
        <v>DEPO</v>
      </c>
      <c r="I25" s="8">
        <f t="shared" si="10"/>
        <v>0</v>
      </c>
      <c r="J25" s="8" t="s">
        <v>63</v>
      </c>
      <c r="K25" s="8">
        <f t="shared" si="11"/>
        <v>0</v>
      </c>
      <c r="L25" s="8" t="s">
        <v>302</v>
      </c>
      <c r="M25" s="28">
        <f t="shared" si="3"/>
        <v>43102</v>
      </c>
      <c r="O25" s="8" t="s">
        <v>76</v>
      </c>
      <c r="P25" s="8" t="s">
        <v>8</v>
      </c>
      <c r="R25" s="8">
        <f t="shared" si="4"/>
        <v>0</v>
      </c>
      <c r="S25" s="8" t="str">
        <f t="shared" si="5"/>
        <v>Internal AUD Auto Generated Account</v>
      </c>
      <c r="T25" s="27" t="str">
        <f t="shared" si="6"/>
        <v>AUD HSFRA ACCOUNT</v>
      </c>
      <c r="U25" s="8" t="str">
        <f t="shared" si="7"/>
        <v>AUD0000HSFRA</v>
      </c>
      <c r="V25" s="8" t="s">
        <v>304</v>
      </c>
    </row>
    <row r="26" spans="1:22" x14ac:dyDescent="0.25">
      <c r="A26" s="8">
        <v>28</v>
      </c>
      <c r="B26" s="5" t="s">
        <v>78</v>
      </c>
      <c r="C26" s="5">
        <v>28</v>
      </c>
      <c r="D26" s="5">
        <f t="shared" si="2"/>
        <v>1</v>
      </c>
      <c r="E26" s="25">
        <f t="shared" si="8"/>
        <v>43704</v>
      </c>
      <c r="F26" s="27" t="str">
        <f t="shared" si="1"/>
        <v>NZD0000HSFRA</v>
      </c>
      <c r="G26" s="8" t="s">
        <v>301</v>
      </c>
      <c r="H26" s="8" t="str">
        <f t="shared" si="9"/>
        <v>DEPO</v>
      </c>
      <c r="I26" s="8">
        <f t="shared" si="10"/>
        <v>0</v>
      </c>
      <c r="J26" s="8" t="s">
        <v>64</v>
      </c>
      <c r="K26" s="8">
        <f t="shared" si="11"/>
        <v>0</v>
      </c>
      <c r="L26" s="8" t="s">
        <v>302</v>
      </c>
      <c r="M26" s="28">
        <v>43103</v>
      </c>
      <c r="O26" s="8" t="s">
        <v>76</v>
      </c>
      <c r="P26" s="8" t="s">
        <v>8</v>
      </c>
      <c r="R26" s="8">
        <f t="shared" si="4"/>
        <v>0</v>
      </c>
      <c r="S26" s="8" t="str">
        <f t="shared" si="5"/>
        <v>Internal NZD Auto Generated Account</v>
      </c>
      <c r="T26" s="27" t="str">
        <f t="shared" si="6"/>
        <v>NZD HSFRA ACCOUNT</v>
      </c>
      <c r="U26" s="8" t="str">
        <f t="shared" si="7"/>
        <v>NZD0000HSFRA</v>
      </c>
      <c r="V26" s="8" t="s">
        <v>304</v>
      </c>
    </row>
    <row r="27" spans="1:22" x14ac:dyDescent="0.25">
      <c r="A27" s="8">
        <v>29</v>
      </c>
      <c r="B27" s="5" t="s">
        <v>78</v>
      </c>
      <c r="C27" s="5">
        <v>29</v>
      </c>
      <c r="D27" s="5">
        <f t="shared" si="2"/>
        <v>1</v>
      </c>
      <c r="E27" s="25">
        <f t="shared" si="8"/>
        <v>43704</v>
      </c>
      <c r="F27" s="27" t="str">
        <f t="shared" si="1"/>
        <v>CAD0000HSFRA</v>
      </c>
      <c r="G27" s="8" t="s">
        <v>301</v>
      </c>
      <c r="H27" s="8" t="str">
        <f t="shared" si="9"/>
        <v>DEPO</v>
      </c>
      <c r="I27" s="8">
        <f t="shared" si="10"/>
        <v>0</v>
      </c>
      <c r="J27" s="8" t="s">
        <v>60</v>
      </c>
      <c r="K27" s="8">
        <f t="shared" si="11"/>
        <v>0</v>
      </c>
      <c r="L27" s="8" t="s">
        <v>302</v>
      </c>
      <c r="M27" s="28">
        <f t="shared" si="3"/>
        <v>43102</v>
      </c>
      <c r="O27" s="8" t="s">
        <v>76</v>
      </c>
      <c r="P27" s="8" t="s">
        <v>8</v>
      </c>
      <c r="R27" s="8">
        <f t="shared" si="4"/>
        <v>0</v>
      </c>
      <c r="S27" s="8" t="str">
        <f t="shared" si="5"/>
        <v>Internal CAD Auto Generated Account</v>
      </c>
      <c r="T27" s="27" t="str">
        <f t="shared" si="6"/>
        <v>CAD HSFRA ACCOUNT</v>
      </c>
      <c r="U27" s="8" t="str">
        <f t="shared" si="7"/>
        <v>CAD0000HSFRA</v>
      </c>
      <c r="V27" s="8" t="s">
        <v>304</v>
      </c>
    </row>
    <row r="28" spans="1:22" x14ac:dyDescent="0.25">
      <c r="A28" s="8">
        <v>30</v>
      </c>
      <c r="B28" s="5" t="s">
        <v>78</v>
      </c>
      <c r="C28" s="5">
        <v>30</v>
      </c>
      <c r="D28" s="5">
        <f t="shared" si="2"/>
        <v>1</v>
      </c>
      <c r="E28" s="25">
        <f t="shared" si="8"/>
        <v>43704</v>
      </c>
      <c r="F28" s="27" t="str">
        <f t="shared" si="1"/>
        <v>CHF0000HSFRA</v>
      </c>
      <c r="G28" s="8" t="s">
        <v>301</v>
      </c>
      <c r="H28" s="8" t="str">
        <f t="shared" si="9"/>
        <v>DEPO</v>
      </c>
      <c r="I28" s="8">
        <f t="shared" si="10"/>
        <v>0</v>
      </c>
      <c r="J28" s="8" t="s">
        <v>298</v>
      </c>
      <c r="K28" s="8">
        <f t="shared" si="11"/>
        <v>0</v>
      </c>
      <c r="L28" s="8" t="s">
        <v>302</v>
      </c>
      <c r="M28" s="28">
        <v>43103</v>
      </c>
      <c r="O28" s="8" t="s">
        <v>76</v>
      </c>
      <c r="P28" s="8" t="s">
        <v>8</v>
      </c>
      <c r="R28" s="8">
        <f t="shared" si="4"/>
        <v>0</v>
      </c>
      <c r="S28" s="8" t="str">
        <f t="shared" si="5"/>
        <v>Internal CHF Auto Generated Account</v>
      </c>
      <c r="T28" s="27" t="str">
        <f t="shared" si="6"/>
        <v>CHF HSFRA ACCOUNT</v>
      </c>
      <c r="U28" s="8" t="str">
        <f t="shared" si="7"/>
        <v>CHF0000HSFRA</v>
      </c>
      <c r="V28" s="8" t="s">
        <v>304</v>
      </c>
    </row>
    <row r="29" spans="1:22" x14ac:dyDescent="0.25">
      <c r="A29" s="8">
        <v>31</v>
      </c>
      <c r="B29" s="5" t="s">
        <v>78</v>
      </c>
      <c r="C29" s="5">
        <v>31</v>
      </c>
      <c r="D29" s="5">
        <f t="shared" si="2"/>
        <v>1</v>
      </c>
      <c r="E29" s="25">
        <f t="shared" si="8"/>
        <v>43704</v>
      </c>
      <c r="F29" s="27" t="str">
        <f t="shared" si="1"/>
        <v>NOK0000HSFRA</v>
      </c>
      <c r="G29" s="8" t="s">
        <v>301</v>
      </c>
      <c r="H29" s="8" t="str">
        <f t="shared" si="9"/>
        <v>DEPO</v>
      </c>
      <c r="I29" s="8">
        <f t="shared" si="10"/>
        <v>0</v>
      </c>
      <c r="J29" s="8" t="s">
        <v>59</v>
      </c>
      <c r="K29" s="8">
        <f t="shared" si="11"/>
        <v>0</v>
      </c>
      <c r="L29" s="8" t="s">
        <v>302</v>
      </c>
      <c r="M29" s="28">
        <f t="shared" si="3"/>
        <v>43102</v>
      </c>
      <c r="O29" s="8" t="s">
        <v>76</v>
      </c>
      <c r="P29" s="8" t="s">
        <v>8</v>
      </c>
      <c r="R29" s="8">
        <f t="shared" si="4"/>
        <v>0</v>
      </c>
      <c r="S29" s="8" t="str">
        <f t="shared" si="5"/>
        <v>Internal NOK Auto Generated Account</v>
      </c>
      <c r="T29" s="27" t="str">
        <f t="shared" si="6"/>
        <v>NOK HSFRA ACCOUNT</v>
      </c>
      <c r="U29" s="8" t="str">
        <f t="shared" si="7"/>
        <v>NOK0000HSFRA</v>
      </c>
      <c r="V29" s="8" t="s">
        <v>304</v>
      </c>
    </row>
    <row r="30" spans="1:22" x14ac:dyDescent="0.25">
      <c r="A30" s="8">
        <v>32</v>
      </c>
      <c r="B30" s="5" t="s">
        <v>78</v>
      </c>
      <c r="C30" s="5">
        <v>32</v>
      </c>
      <c r="D30" s="5">
        <f t="shared" si="2"/>
        <v>1</v>
      </c>
      <c r="E30" s="25">
        <f t="shared" si="8"/>
        <v>43704</v>
      </c>
      <c r="F30" s="27" t="str">
        <f t="shared" si="1"/>
        <v>SEK0000HSFRA</v>
      </c>
      <c r="G30" s="8" t="s">
        <v>301</v>
      </c>
      <c r="H30" s="8" t="str">
        <f t="shared" si="9"/>
        <v>DEPO</v>
      </c>
      <c r="I30" s="8">
        <f t="shared" si="10"/>
        <v>0</v>
      </c>
      <c r="J30" s="8" t="s">
        <v>69</v>
      </c>
      <c r="K30" s="8">
        <f t="shared" si="11"/>
        <v>0</v>
      </c>
      <c r="L30" s="8" t="s">
        <v>302</v>
      </c>
      <c r="M30" s="28">
        <f t="shared" si="3"/>
        <v>43102</v>
      </c>
      <c r="O30" s="8" t="s">
        <v>76</v>
      </c>
      <c r="P30" s="8" t="s">
        <v>8</v>
      </c>
      <c r="R30" s="8">
        <f t="shared" si="4"/>
        <v>0</v>
      </c>
      <c r="S30" s="8" t="str">
        <f t="shared" si="5"/>
        <v>Internal SEK Auto Generated Account</v>
      </c>
      <c r="T30" s="27" t="str">
        <f t="shared" si="6"/>
        <v>SEK HSFRA ACCOUNT</v>
      </c>
      <c r="U30" s="8" t="str">
        <f t="shared" si="7"/>
        <v>SEK0000HSFRA</v>
      </c>
      <c r="V30" s="8" t="s">
        <v>304</v>
      </c>
    </row>
    <row r="31" spans="1:22" x14ac:dyDescent="0.25">
      <c r="A31" s="8">
        <v>33</v>
      </c>
      <c r="B31" s="5" t="s">
        <v>78</v>
      </c>
      <c r="C31" s="5">
        <v>33</v>
      </c>
      <c r="D31" s="5">
        <f t="shared" si="2"/>
        <v>1</v>
      </c>
      <c r="E31" s="25">
        <f t="shared" si="8"/>
        <v>43704</v>
      </c>
      <c r="F31" s="27" t="str">
        <f t="shared" si="1"/>
        <v>ZAR0000HSFRA</v>
      </c>
      <c r="G31" s="8" t="s">
        <v>301</v>
      </c>
      <c r="H31" s="8" t="str">
        <f t="shared" si="9"/>
        <v>DEPO</v>
      </c>
      <c r="I31" s="8">
        <f t="shared" si="10"/>
        <v>0</v>
      </c>
      <c r="J31" s="8" t="s">
        <v>5</v>
      </c>
      <c r="K31" s="8">
        <f t="shared" si="11"/>
        <v>0</v>
      </c>
      <c r="L31" s="8" t="s">
        <v>302</v>
      </c>
      <c r="M31" s="28">
        <f t="shared" si="3"/>
        <v>43102</v>
      </c>
      <c r="O31" s="8" t="s">
        <v>76</v>
      </c>
      <c r="P31" s="8" t="s">
        <v>8</v>
      </c>
      <c r="R31" s="8">
        <f t="shared" si="4"/>
        <v>0</v>
      </c>
      <c r="S31" s="8" t="str">
        <f t="shared" si="5"/>
        <v>Internal ZAR Auto Generated Account</v>
      </c>
      <c r="T31" s="27" t="str">
        <f t="shared" si="6"/>
        <v>ZAR HSFRA ACCOUNT</v>
      </c>
      <c r="U31" s="8" t="str">
        <f t="shared" si="7"/>
        <v>ZAR0000HSFRA</v>
      </c>
      <c r="V31" s="8" t="s">
        <v>304</v>
      </c>
    </row>
    <row r="32" spans="1:22" x14ac:dyDescent="0.25">
      <c r="A32" s="8">
        <v>34</v>
      </c>
      <c r="B32" s="5" t="s">
        <v>78</v>
      </c>
      <c r="C32" s="5">
        <v>34</v>
      </c>
      <c r="D32" s="5">
        <f t="shared" si="2"/>
        <v>1</v>
      </c>
      <c r="E32" s="25">
        <f t="shared" si="8"/>
        <v>43704</v>
      </c>
      <c r="F32" s="27" t="str">
        <f t="shared" si="1"/>
        <v>CHF0000HSFRA</v>
      </c>
      <c r="G32" s="8" t="s">
        <v>301</v>
      </c>
      <c r="H32" s="8" t="str">
        <f t="shared" si="9"/>
        <v>DEPO</v>
      </c>
      <c r="I32" s="8">
        <f t="shared" si="10"/>
        <v>0</v>
      </c>
      <c r="J32" s="8" t="s">
        <v>298</v>
      </c>
      <c r="K32" s="8">
        <f t="shared" si="11"/>
        <v>0</v>
      </c>
      <c r="L32" s="8" t="s">
        <v>302</v>
      </c>
      <c r="M32" s="28">
        <v>43103</v>
      </c>
      <c r="O32" s="8" t="s">
        <v>76</v>
      </c>
      <c r="P32" s="8" t="s">
        <v>8</v>
      </c>
      <c r="R32" s="8">
        <f t="shared" si="4"/>
        <v>0</v>
      </c>
      <c r="S32" s="8" t="str">
        <f t="shared" si="5"/>
        <v>Internal CHF Auto Generated Account</v>
      </c>
      <c r="T32" s="27" t="str">
        <f t="shared" si="6"/>
        <v>CHF HSFRA ACCOUNT</v>
      </c>
      <c r="U32" s="8" t="str">
        <f t="shared" si="7"/>
        <v>CHF0000HSFRA</v>
      </c>
      <c r="V32" s="8" t="s">
        <v>304</v>
      </c>
    </row>
    <row r="33" spans="1:22" x14ac:dyDescent="0.25">
      <c r="A33" s="8">
        <v>35</v>
      </c>
      <c r="B33" s="5" t="s">
        <v>78</v>
      </c>
      <c r="C33" s="5">
        <v>35</v>
      </c>
      <c r="D33" s="5">
        <f t="shared" si="2"/>
        <v>1</v>
      </c>
      <c r="E33" s="25">
        <f t="shared" si="8"/>
        <v>43704</v>
      </c>
      <c r="F33" s="27" t="str">
        <f t="shared" si="1"/>
        <v>DKK0000HSFRA</v>
      </c>
      <c r="G33" s="8" t="s">
        <v>301</v>
      </c>
      <c r="H33" s="8" t="str">
        <f t="shared" si="9"/>
        <v>DEPO</v>
      </c>
      <c r="I33" s="8">
        <f t="shared" si="10"/>
        <v>0</v>
      </c>
      <c r="J33" s="8" t="s">
        <v>68</v>
      </c>
      <c r="K33" s="8">
        <f t="shared" si="11"/>
        <v>0</v>
      </c>
      <c r="L33" s="8" t="s">
        <v>302</v>
      </c>
      <c r="M33" s="28">
        <f t="shared" si="3"/>
        <v>43102</v>
      </c>
      <c r="O33" s="8" t="s">
        <v>76</v>
      </c>
      <c r="P33" s="8" t="s">
        <v>8</v>
      </c>
      <c r="R33" s="8">
        <f t="shared" si="4"/>
        <v>0</v>
      </c>
      <c r="S33" s="8" t="str">
        <f t="shared" si="5"/>
        <v>Internal DKK Auto Generated Account</v>
      </c>
      <c r="T33" s="27" t="str">
        <f t="shared" si="6"/>
        <v>DKK HSFRA ACCOUNT</v>
      </c>
      <c r="U33" s="8" t="str">
        <f t="shared" si="7"/>
        <v>DKK0000HSFRA</v>
      </c>
      <c r="V33" s="8" t="s">
        <v>304</v>
      </c>
    </row>
    <row r="34" spans="1:22" x14ac:dyDescent="0.25">
      <c r="A34" s="8">
        <v>36</v>
      </c>
      <c r="B34" s="5" t="s">
        <v>78</v>
      </c>
      <c r="C34" s="5">
        <f t="shared" ref="C34:C51" si="12">A34</f>
        <v>36</v>
      </c>
      <c r="D34" s="5">
        <f t="shared" si="2"/>
        <v>1</v>
      </c>
      <c r="E34" s="25">
        <f t="shared" si="8"/>
        <v>43704</v>
      </c>
      <c r="F34" s="27" t="str">
        <f t="shared" si="1"/>
        <v>BTC0000HSFRA</v>
      </c>
      <c r="G34" s="8" t="s">
        <v>301</v>
      </c>
      <c r="H34" s="8" t="str">
        <f t="shared" si="9"/>
        <v>DEPO</v>
      </c>
      <c r="I34" s="8">
        <f t="shared" si="10"/>
        <v>0</v>
      </c>
      <c r="J34" s="8" t="s">
        <v>290</v>
      </c>
      <c r="K34" s="8">
        <f t="shared" si="11"/>
        <v>0</v>
      </c>
      <c r="L34" s="8" t="s">
        <v>302</v>
      </c>
      <c r="M34" s="28">
        <f t="shared" si="3"/>
        <v>43102</v>
      </c>
      <c r="O34" s="8" t="s">
        <v>76</v>
      </c>
      <c r="P34" s="8" t="s">
        <v>8</v>
      </c>
      <c r="R34" s="8">
        <f t="shared" si="4"/>
        <v>0</v>
      </c>
      <c r="S34" s="8" t="str">
        <f t="shared" si="5"/>
        <v>Internal BTC Auto Generated Account</v>
      </c>
      <c r="T34" s="27" t="str">
        <f t="shared" si="6"/>
        <v>BTC HSFRA ACCOUNT</v>
      </c>
      <c r="U34" s="8" t="str">
        <f t="shared" si="7"/>
        <v>BTC0000HSFRA</v>
      </c>
      <c r="V34" s="8" t="s">
        <v>304</v>
      </c>
    </row>
    <row r="35" spans="1:22" x14ac:dyDescent="0.25">
      <c r="A35" s="8">
        <v>37</v>
      </c>
      <c r="B35" s="5" t="s">
        <v>78</v>
      </c>
      <c r="C35" s="5">
        <f t="shared" si="12"/>
        <v>37</v>
      </c>
      <c r="D35" s="5">
        <v>1</v>
      </c>
      <c r="E35" s="25">
        <v>43704</v>
      </c>
      <c r="F35" s="27" t="str">
        <f>U35</f>
        <v>CAD Account 9-------1</v>
      </c>
      <c r="G35" s="8" t="s">
        <v>312</v>
      </c>
      <c r="H35" s="8" t="s">
        <v>49</v>
      </c>
      <c r="I35" s="8">
        <v>0</v>
      </c>
      <c r="J35" s="8" t="s">
        <v>60</v>
      </c>
      <c r="K35" s="8">
        <v>0</v>
      </c>
      <c r="L35" s="8" t="s">
        <v>299</v>
      </c>
      <c r="M35" s="28">
        <v>43102</v>
      </c>
      <c r="O35" s="8" t="s">
        <v>76</v>
      </c>
      <c r="P35" s="8" t="s">
        <v>8</v>
      </c>
      <c r="R35" s="8">
        <v>0</v>
      </c>
      <c r="S35" s="8" t="str">
        <f t="shared" ref="S35:S51" si="13">"Standard "&amp;LEFT(T35,3)&amp;" Account"</f>
        <v>Standard CAD Account</v>
      </c>
      <c r="T35" s="27" t="str">
        <f>U35</f>
        <v>CAD Account 9-------1</v>
      </c>
      <c r="U35" s="27" t="s">
        <v>307</v>
      </c>
      <c r="V35" s="8" t="s">
        <v>313</v>
      </c>
    </row>
    <row r="36" spans="1:22" x14ac:dyDescent="0.25">
      <c r="A36" s="8">
        <v>38</v>
      </c>
      <c r="B36" s="5" t="s">
        <v>78</v>
      </c>
      <c r="C36" s="5">
        <f t="shared" si="12"/>
        <v>38</v>
      </c>
      <c r="D36" s="5">
        <f t="shared" ref="D36:D51" si="14">D35</f>
        <v>1</v>
      </c>
      <c r="E36" s="25">
        <f t="shared" ref="E36:E51" si="15">$E$2</f>
        <v>43704</v>
      </c>
      <c r="F36" s="27" t="str">
        <f>U36</f>
        <v>EUR Account 9-------1</v>
      </c>
      <c r="G36" s="8" t="s">
        <v>312</v>
      </c>
      <c r="H36" s="8" t="s">
        <v>49</v>
      </c>
      <c r="I36" s="8">
        <v>0</v>
      </c>
      <c r="J36" s="8" t="s">
        <v>57</v>
      </c>
      <c r="K36" s="8">
        <v>0</v>
      </c>
      <c r="L36" s="8" t="s">
        <v>299</v>
      </c>
      <c r="M36" s="28">
        <f>$M$2</f>
        <v>43102</v>
      </c>
      <c r="O36" s="8" t="s">
        <v>76</v>
      </c>
      <c r="P36" s="8" t="s">
        <v>8</v>
      </c>
      <c r="R36" s="8">
        <f>$R$2</f>
        <v>0</v>
      </c>
      <c r="S36" s="8" t="str">
        <f t="shared" si="13"/>
        <v>Standard EUR Account</v>
      </c>
      <c r="T36" s="27" t="str">
        <f>U36</f>
        <v>EUR Account 9-------1</v>
      </c>
      <c r="U36" s="27" t="s">
        <v>308</v>
      </c>
      <c r="V36" s="8" t="s">
        <v>313</v>
      </c>
    </row>
    <row r="37" spans="1:22" x14ac:dyDescent="0.25">
      <c r="A37" s="8">
        <v>39</v>
      </c>
      <c r="B37" s="5" t="s">
        <v>78</v>
      </c>
      <c r="C37" s="5">
        <f t="shared" si="12"/>
        <v>39</v>
      </c>
      <c r="D37" s="5">
        <f t="shared" si="14"/>
        <v>1</v>
      </c>
      <c r="E37" s="25">
        <f t="shared" si="15"/>
        <v>43704</v>
      </c>
      <c r="F37" s="27" t="str">
        <f>U37</f>
        <v>EUR Account 9-------2</v>
      </c>
      <c r="G37" s="8" t="s">
        <v>312</v>
      </c>
      <c r="H37" s="8" t="s">
        <v>49</v>
      </c>
      <c r="I37" s="8">
        <v>0</v>
      </c>
      <c r="J37" s="8" t="s">
        <v>57</v>
      </c>
      <c r="K37" s="8">
        <v>0</v>
      </c>
      <c r="L37" s="8" t="s">
        <v>299</v>
      </c>
      <c r="M37" s="28">
        <f t="shared" ref="M37:M51" si="16">$M$2</f>
        <v>43102</v>
      </c>
      <c r="O37" s="8" t="s">
        <v>76</v>
      </c>
      <c r="P37" s="8" t="s">
        <v>8</v>
      </c>
      <c r="R37" s="8">
        <f t="shared" ref="R37:R51" si="17">$R$2</f>
        <v>0</v>
      </c>
      <c r="S37" s="8" t="str">
        <f t="shared" si="13"/>
        <v>Standard EUR Account</v>
      </c>
      <c r="T37" s="27" t="str">
        <f>U37</f>
        <v>EUR Account 9-------2</v>
      </c>
      <c r="U37" s="27" t="s">
        <v>309</v>
      </c>
      <c r="V37" s="8" t="s">
        <v>313</v>
      </c>
    </row>
    <row r="38" spans="1:22" x14ac:dyDescent="0.25">
      <c r="A38" s="8">
        <v>40</v>
      </c>
      <c r="B38" s="5" t="s">
        <v>78</v>
      </c>
      <c r="C38" s="5">
        <f t="shared" si="12"/>
        <v>40</v>
      </c>
      <c r="D38" s="5">
        <f t="shared" si="14"/>
        <v>1</v>
      </c>
      <c r="E38" s="25">
        <f t="shared" si="15"/>
        <v>43704</v>
      </c>
      <c r="F38" s="27" t="str">
        <f>U38</f>
        <v>USD Account 7-------1</v>
      </c>
      <c r="G38" s="8" t="s">
        <v>312</v>
      </c>
      <c r="H38" s="8" t="s">
        <v>49</v>
      </c>
      <c r="I38" s="8">
        <v>0</v>
      </c>
      <c r="J38" s="8" t="s">
        <v>56</v>
      </c>
      <c r="K38" s="8">
        <v>0</v>
      </c>
      <c r="L38" s="8" t="s">
        <v>299</v>
      </c>
      <c r="M38" s="28">
        <f t="shared" si="16"/>
        <v>43102</v>
      </c>
      <c r="O38" s="8" t="s">
        <v>76</v>
      </c>
      <c r="P38" s="8" t="s">
        <v>8</v>
      </c>
      <c r="R38" s="8">
        <f t="shared" si="17"/>
        <v>0</v>
      </c>
      <c r="S38" s="8" t="str">
        <f t="shared" si="13"/>
        <v>Standard USD Account</v>
      </c>
      <c r="T38" s="27" t="str">
        <f>U38</f>
        <v>USD Account 7-------1</v>
      </c>
      <c r="U38" s="27" t="s">
        <v>310</v>
      </c>
      <c r="V38" s="8" t="s">
        <v>313</v>
      </c>
    </row>
    <row r="39" spans="1:22" x14ac:dyDescent="0.25">
      <c r="A39" s="8">
        <v>41</v>
      </c>
      <c r="B39" s="5" t="s">
        <v>78</v>
      </c>
      <c r="C39" s="5">
        <f t="shared" si="12"/>
        <v>41</v>
      </c>
      <c r="D39" s="5">
        <f t="shared" si="14"/>
        <v>1</v>
      </c>
      <c r="E39" s="25">
        <f t="shared" si="15"/>
        <v>43704</v>
      </c>
      <c r="F39" s="27" t="str">
        <f>U39</f>
        <v>ZAR Account 6-------1</v>
      </c>
      <c r="G39" s="8" t="s">
        <v>312</v>
      </c>
      <c r="H39" s="8" t="s">
        <v>49</v>
      </c>
      <c r="I39" s="8">
        <v>0</v>
      </c>
      <c r="J39" s="8" t="s">
        <v>5</v>
      </c>
      <c r="K39" s="8">
        <v>0</v>
      </c>
      <c r="L39" s="8" t="s">
        <v>299</v>
      </c>
      <c r="M39" s="28">
        <f t="shared" si="16"/>
        <v>43102</v>
      </c>
      <c r="O39" s="8" t="s">
        <v>76</v>
      </c>
      <c r="P39" s="8" t="s">
        <v>8</v>
      </c>
      <c r="R39" s="8">
        <f t="shared" si="17"/>
        <v>0</v>
      </c>
      <c r="S39" s="8" t="str">
        <f t="shared" si="13"/>
        <v>Standard ZAR Account</v>
      </c>
      <c r="T39" s="27" t="str">
        <f>U39</f>
        <v>ZAR Account 6-------1</v>
      </c>
      <c r="U39" s="27" t="s">
        <v>311</v>
      </c>
      <c r="V39" s="8" t="s">
        <v>313</v>
      </c>
    </row>
    <row r="40" spans="1:22" x14ac:dyDescent="0.25">
      <c r="A40" s="8">
        <v>42</v>
      </c>
      <c r="B40" s="5" t="s">
        <v>78</v>
      </c>
      <c r="C40" s="5">
        <f t="shared" si="12"/>
        <v>42</v>
      </c>
      <c r="D40" s="5">
        <f t="shared" si="14"/>
        <v>1</v>
      </c>
      <c r="E40" s="25">
        <f t="shared" si="15"/>
        <v>43704</v>
      </c>
      <c r="F40" s="27" t="str">
        <f>J40&amp;" Account "&amp;U40</f>
        <v>CHF Account CHF---------1</v>
      </c>
      <c r="G40" s="8" t="s">
        <v>297</v>
      </c>
      <c r="H40" s="8" t="s">
        <v>49</v>
      </c>
      <c r="I40" s="8">
        <f t="shared" ref="I40:I51" si="18">I39</f>
        <v>0</v>
      </c>
      <c r="J40" s="8" t="s">
        <v>298</v>
      </c>
      <c r="K40" s="8">
        <v>0</v>
      </c>
      <c r="L40" s="8" t="s">
        <v>299</v>
      </c>
      <c r="M40" s="28">
        <f t="shared" si="16"/>
        <v>43102</v>
      </c>
      <c r="O40" s="8" t="s">
        <v>76</v>
      </c>
      <c r="P40" s="8" t="s">
        <v>8</v>
      </c>
      <c r="R40" s="8">
        <f t="shared" si="17"/>
        <v>0</v>
      </c>
      <c r="S40" s="8" t="str">
        <f t="shared" si="13"/>
        <v>Standard CHF Account</v>
      </c>
      <c r="T40" s="27" t="str">
        <f t="shared" ref="T40:T51" si="19">U40</f>
        <v>CHF---------1</v>
      </c>
      <c r="U40" s="8" t="str">
        <f>J40&amp;REPT("-",LEN(G40))&amp;"----1"</f>
        <v>CHF---------1</v>
      </c>
      <c r="V40" s="8" t="s">
        <v>306</v>
      </c>
    </row>
    <row r="41" spans="1:22" x14ac:dyDescent="0.25">
      <c r="A41" s="8">
        <v>43</v>
      </c>
      <c r="B41" s="5" t="s">
        <v>78</v>
      </c>
      <c r="C41" s="5">
        <f t="shared" si="12"/>
        <v>43</v>
      </c>
      <c r="D41" s="5">
        <f t="shared" si="14"/>
        <v>1</v>
      </c>
      <c r="E41" s="25">
        <f t="shared" si="15"/>
        <v>43704</v>
      </c>
      <c r="F41" s="27" t="str">
        <f t="shared" ref="F41:F51" si="20">J41&amp;" Account "&amp;U41</f>
        <v>CHF Account CHF----------1</v>
      </c>
      <c r="G41" s="8" t="s">
        <v>312</v>
      </c>
      <c r="H41" s="8" t="s">
        <v>49</v>
      </c>
      <c r="I41" s="8">
        <f t="shared" si="18"/>
        <v>0</v>
      </c>
      <c r="J41" s="8" t="s">
        <v>298</v>
      </c>
      <c r="K41" s="8">
        <v>0</v>
      </c>
      <c r="L41" s="8" t="s">
        <v>302</v>
      </c>
      <c r="M41" s="28">
        <f t="shared" si="16"/>
        <v>43102</v>
      </c>
      <c r="O41" s="8" t="s">
        <v>76</v>
      </c>
      <c r="P41" s="8" t="s">
        <v>8</v>
      </c>
      <c r="R41" s="8">
        <f t="shared" si="17"/>
        <v>0</v>
      </c>
      <c r="S41" s="8" t="str">
        <f t="shared" si="13"/>
        <v>Standard CHF Account</v>
      </c>
      <c r="T41" s="27" t="str">
        <f t="shared" si="19"/>
        <v>CHF----------1</v>
      </c>
      <c r="U41" s="8" t="str">
        <f t="shared" ref="U41:U51" si="21">J41&amp;REPT("-",LEN(G41))&amp;"----1"</f>
        <v>CHF----------1</v>
      </c>
      <c r="V41" s="8" t="s">
        <v>313</v>
      </c>
    </row>
    <row r="42" spans="1:22" x14ac:dyDescent="0.25">
      <c r="A42" s="8">
        <v>44</v>
      </c>
      <c r="B42" s="5" t="s">
        <v>78</v>
      </c>
      <c r="C42" s="5">
        <f t="shared" si="12"/>
        <v>44</v>
      </c>
      <c r="D42" s="5">
        <f t="shared" si="14"/>
        <v>1</v>
      </c>
      <c r="E42" s="25">
        <f t="shared" si="15"/>
        <v>43704</v>
      </c>
      <c r="F42" s="27" t="str">
        <f t="shared" si="20"/>
        <v>JPY Account JPY---------1</v>
      </c>
      <c r="G42" s="8" t="s">
        <v>297</v>
      </c>
      <c r="H42" s="8" t="s">
        <v>49</v>
      </c>
      <c r="I42" s="8">
        <f t="shared" si="18"/>
        <v>0</v>
      </c>
      <c r="J42" s="8" t="s">
        <v>61</v>
      </c>
      <c r="K42" s="8">
        <v>0</v>
      </c>
      <c r="L42" s="8" t="s">
        <v>299</v>
      </c>
      <c r="M42" s="28">
        <f t="shared" si="16"/>
        <v>43102</v>
      </c>
      <c r="O42" s="8" t="s">
        <v>76</v>
      </c>
      <c r="P42" s="8" t="s">
        <v>8</v>
      </c>
      <c r="R42" s="8">
        <f t="shared" si="17"/>
        <v>0</v>
      </c>
      <c r="S42" s="8" t="str">
        <f t="shared" si="13"/>
        <v>Standard JPY Account</v>
      </c>
      <c r="T42" s="27" t="str">
        <f t="shared" si="19"/>
        <v>JPY---------1</v>
      </c>
      <c r="U42" s="8" t="str">
        <f t="shared" si="21"/>
        <v>JPY---------1</v>
      </c>
      <c r="V42" s="8" t="s">
        <v>306</v>
      </c>
    </row>
    <row r="43" spans="1:22" x14ac:dyDescent="0.25">
      <c r="A43" s="8">
        <v>45</v>
      </c>
      <c r="B43" s="5" t="s">
        <v>78</v>
      </c>
      <c r="C43" s="5">
        <f t="shared" si="12"/>
        <v>45</v>
      </c>
      <c r="D43" s="5">
        <f t="shared" si="14"/>
        <v>1</v>
      </c>
      <c r="E43" s="25">
        <f t="shared" si="15"/>
        <v>43704</v>
      </c>
      <c r="F43" s="27" t="str">
        <f t="shared" si="20"/>
        <v>JPY Account JPY----------1</v>
      </c>
      <c r="G43" s="8" t="s">
        <v>312</v>
      </c>
      <c r="H43" s="8" t="s">
        <v>49</v>
      </c>
      <c r="I43" s="8">
        <f t="shared" si="18"/>
        <v>0</v>
      </c>
      <c r="J43" s="8" t="s">
        <v>61</v>
      </c>
      <c r="K43" s="8">
        <v>0</v>
      </c>
      <c r="L43" s="8" t="s">
        <v>302</v>
      </c>
      <c r="M43" s="28">
        <f t="shared" si="16"/>
        <v>43102</v>
      </c>
      <c r="O43" s="8" t="s">
        <v>76</v>
      </c>
      <c r="P43" s="8" t="s">
        <v>8</v>
      </c>
      <c r="R43" s="8">
        <f t="shared" si="17"/>
        <v>0</v>
      </c>
      <c r="S43" s="8" t="str">
        <f t="shared" si="13"/>
        <v>Standard JPY Account</v>
      </c>
      <c r="T43" s="27" t="str">
        <f t="shared" si="19"/>
        <v>JPY----------1</v>
      </c>
      <c r="U43" s="8" t="str">
        <f t="shared" si="21"/>
        <v>JPY----------1</v>
      </c>
      <c r="V43" s="8" t="s">
        <v>313</v>
      </c>
    </row>
    <row r="44" spans="1:22" x14ac:dyDescent="0.25">
      <c r="A44" s="8">
        <v>46</v>
      </c>
      <c r="B44" s="5" t="s">
        <v>78</v>
      </c>
      <c r="C44" s="5">
        <f t="shared" si="12"/>
        <v>46</v>
      </c>
      <c r="D44" s="5">
        <f t="shared" si="14"/>
        <v>1</v>
      </c>
      <c r="E44" s="25">
        <f t="shared" si="15"/>
        <v>43704</v>
      </c>
      <c r="F44" s="27" t="str">
        <f t="shared" si="20"/>
        <v>NZD Account NZD---------1</v>
      </c>
      <c r="G44" s="8" t="s">
        <v>297</v>
      </c>
      <c r="H44" s="8" t="s">
        <v>49</v>
      </c>
      <c r="I44" s="8">
        <f t="shared" si="18"/>
        <v>0</v>
      </c>
      <c r="J44" s="8" t="s">
        <v>64</v>
      </c>
      <c r="K44" s="8">
        <v>0</v>
      </c>
      <c r="L44" s="8" t="s">
        <v>299</v>
      </c>
      <c r="M44" s="28">
        <f t="shared" si="16"/>
        <v>43102</v>
      </c>
      <c r="O44" s="8" t="s">
        <v>76</v>
      </c>
      <c r="P44" s="8" t="s">
        <v>8</v>
      </c>
      <c r="R44" s="8">
        <f t="shared" si="17"/>
        <v>0</v>
      </c>
      <c r="S44" s="8" t="str">
        <f t="shared" si="13"/>
        <v>Standard NZD Account</v>
      </c>
      <c r="T44" s="27" t="str">
        <f t="shared" si="19"/>
        <v>NZD---------1</v>
      </c>
      <c r="U44" s="8" t="str">
        <f t="shared" si="21"/>
        <v>NZD---------1</v>
      </c>
      <c r="V44" s="8" t="s">
        <v>306</v>
      </c>
    </row>
    <row r="45" spans="1:22" x14ac:dyDescent="0.25">
      <c r="A45" s="8">
        <v>47</v>
      </c>
      <c r="B45" s="5" t="s">
        <v>78</v>
      </c>
      <c r="C45" s="5">
        <f t="shared" si="12"/>
        <v>47</v>
      </c>
      <c r="D45" s="5">
        <f t="shared" si="14"/>
        <v>1</v>
      </c>
      <c r="E45" s="25">
        <f t="shared" si="15"/>
        <v>43704</v>
      </c>
      <c r="F45" s="27" t="str">
        <f t="shared" si="20"/>
        <v>NZD Account NZD----------1</v>
      </c>
      <c r="G45" s="8" t="s">
        <v>312</v>
      </c>
      <c r="H45" s="8" t="s">
        <v>49</v>
      </c>
      <c r="I45" s="8">
        <f t="shared" si="18"/>
        <v>0</v>
      </c>
      <c r="J45" s="8" t="s">
        <v>64</v>
      </c>
      <c r="K45" s="8">
        <v>0</v>
      </c>
      <c r="L45" s="8" t="s">
        <v>302</v>
      </c>
      <c r="M45" s="28">
        <f t="shared" si="16"/>
        <v>43102</v>
      </c>
      <c r="O45" s="8" t="s">
        <v>76</v>
      </c>
      <c r="P45" s="8" t="s">
        <v>8</v>
      </c>
      <c r="R45" s="8">
        <f t="shared" si="17"/>
        <v>0</v>
      </c>
      <c r="S45" s="8" t="str">
        <f t="shared" si="13"/>
        <v>Standard NZD Account</v>
      </c>
      <c r="T45" s="27" t="str">
        <f t="shared" si="19"/>
        <v>NZD----------1</v>
      </c>
      <c r="U45" s="8" t="str">
        <f t="shared" si="21"/>
        <v>NZD----------1</v>
      </c>
      <c r="V45" s="8" t="s">
        <v>313</v>
      </c>
    </row>
    <row r="46" spans="1:22" x14ac:dyDescent="0.25">
      <c r="A46" s="8">
        <v>48</v>
      </c>
      <c r="B46" s="5" t="s">
        <v>78</v>
      </c>
      <c r="C46" s="5">
        <f t="shared" si="12"/>
        <v>48</v>
      </c>
      <c r="D46" s="5">
        <f t="shared" si="14"/>
        <v>1</v>
      </c>
      <c r="E46" s="25">
        <f t="shared" si="15"/>
        <v>43704</v>
      </c>
      <c r="F46" s="27" t="str">
        <f t="shared" si="20"/>
        <v>AUD Account AUD---------1</v>
      </c>
      <c r="G46" s="8" t="s">
        <v>297</v>
      </c>
      <c r="H46" s="8" t="s">
        <v>49</v>
      </c>
      <c r="I46" s="8">
        <f t="shared" si="18"/>
        <v>0</v>
      </c>
      <c r="J46" s="8" t="s">
        <v>63</v>
      </c>
      <c r="K46" s="8">
        <v>0</v>
      </c>
      <c r="L46" s="8" t="s">
        <v>299</v>
      </c>
      <c r="M46" s="28">
        <f t="shared" si="16"/>
        <v>43102</v>
      </c>
      <c r="O46" s="8" t="s">
        <v>76</v>
      </c>
      <c r="P46" s="8" t="s">
        <v>8</v>
      </c>
      <c r="R46" s="8">
        <f t="shared" si="17"/>
        <v>0</v>
      </c>
      <c r="S46" s="8" t="str">
        <f t="shared" si="13"/>
        <v>Standard AUD Account</v>
      </c>
      <c r="T46" s="27" t="str">
        <f t="shared" si="19"/>
        <v>AUD---------1</v>
      </c>
      <c r="U46" s="8" t="str">
        <f t="shared" si="21"/>
        <v>AUD---------1</v>
      </c>
      <c r="V46" s="8" t="s">
        <v>306</v>
      </c>
    </row>
    <row r="47" spans="1:22" x14ac:dyDescent="0.25">
      <c r="A47" s="8">
        <v>49</v>
      </c>
      <c r="B47" s="5" t="s">
        <v>78</v>
      </c>
      <c r="C47" s="5">
        <f t="shared" si="12"/>
        <v>49</v>
      </c>
      <c r="D47" s="5">
        <f t="shared" si="14"/>
        <v>1</v>
      </c>
      <c r="E47" s="25">
        <f t="shared" si="15"/>
        <v>43704</v>
      </c>
      <c r="F47" s="27" t="str">
        <f t="shared" si="20"/>
        <v>AUD Account AUD----------1</v>
      </c>
      <c r="G47" s="8" t="s">
        <v>312</v>
      </c>
      <c r="H47" s="8" t="s">
        <v>49</v>
      </c>
      <c r="I47" s="8">
        <f t="shared" si="18"/>
        <v>0</v>
      </c>
      <c r="J47" s="8" t="s">
        <v>63</v>
      </c>
      <c r="K47" s="8">
        <v>0</v>
      </c>
      <c r="L47" s="8" t="s">
        <v>302</v>
      </c>
      <c r="M47" s="28">
        <f t="shared" si="16"/>
        <v>43102</v>
      </c>
      <c r="O47" s="8" t="s">
        <v>76</v>
      </c>
      <c r="P47" s="8" t="s">
        <v>8</v>
      </c>
      <c r="R47" s="8">
        <f t="shared" si="17"/>
        <v>0</v>
      </c>
      <c r="S47" s="8" t="str">
        <f t="shared" si="13"/>
        <v>Standard AUD Account</v>
      </c>
      <c r="T47" s="27" t="str">
        <f t="shared" si="19"/>
        <v>AUD----------1</v>
      </c>
      <c r="U47" s="8" t="str">
        <f t="shared" si="21"/>
        <v>AUD----------1</v>
      </c>
      <c r="V47" s="8" t="s">
        <v>313</v>
      </c>
    </row>
    <row r="48" spans="1:22" x14ac:dyDescent="0.25">
      <c r="A48" s="8">
        <v>50</v>
      </c>
      <c r="B48" s="5" t="s">
        <v>78</v>
      </c>
      <c r="C48" s="5">
        <f t="shared" si="12"/>
        <v>50</v>
      </c>
      <c r="D48" s="5">
        <f t="shared" si="14"/>
        <v>1</v>
      </c>
      <c r="E48" s="25">
        <f t="shared" si="15"/>
        <v>43704</v>
      </c>
      <c r="F48" s="27" t="str">
        <f t="shared" si="20"/>
        <v>BTC Account BTC---------1</v>
      </c>
      <c r="G48" s="8" t="s">
        <v>297</v>
      </c>
      <c r="H48" s="8" t="s">
        <v>49</v>
      </c>
      <c r="I48" s="8">
        <f t="shared" si="18"/>
        <v>0</v>
      </c>
      <c r="J48" s="8" t="s">
        <v>290</v>
      </c>
      <c r="K48" s="8">
        <v>0</v>
      </c>
      <c r="L48" s="8" t="s">
        <v>299</v>
      </c>
      <c r="M48" s="28">
        <f t="shared" si="16"/>
        <v>43102</v>
      </c>
      <c r="O48" s="8" t="s">
        <v>76</v>
      </c>
      <c r="P48" s="8" t="s">
        <v>8</v>
      </c>
      <c r="R48" s="8">
        <f t="shared" si="17"/>
        <v>0</v>
      </c>
      <c r="S48" s="8" t="str">
        <f t="shared" si="13"/>
        <v>Standard BTC Account</v>
      </c>
      <c r="T48" s="27" t="str">
        <f t="shared" si="19"/>
        <v>BTC---------1</v>
      </c>
      <c r="U48" s="8" t="str">
        <f t="shared" si="21"/>
        <v>BTC---------1</v>
      </c>
      <c r="V48" s="8" t="s">
        <v>306</v>
      </c>
    </row>
    <row r="49" spans="1:22" x14ac:dyDescent="0.25">
      <c r="A49" s="8">
        <v>51</v>
      </c>
      <c r="B49" s="5" t="s">
        <v>78</v>
      </c>
      <c r="C49" s="5">
        <f t="shared" si="12"/>
        <v>51</v>
      </c>
      <c r="D49" s="5">
        <f t="shared" si="14"/>
        <v>1</v>
      </c>
      <c r="E49" s="25">
        <f t="shared" si="15"/>
        <v>43704</v>
      </c>
      <c r="F49" s="27" t="str">
        <f t="shared" si="20"/>
        <v>BTC Account BTC----------1</v>
      </c>
      <c r="G49" s="8" t="s">
        <v>312</v>
      </c>
      <c r="H49" s="8" t="s">
        <v>49</v>
      </c>
      <c r="I49" s="8">
        <f t="shared" si="18"/>
        <v>0</v>
      </c>
      <c r="J49" s="8" t="s">
        <v>290</v>
      </c>
      <c r="K49" s="8">
        <v>0</v>
      </c>
      <c r="L49" s="8" t="s">
        <v>302</v>
      </c>
      <c r="M49" s="28">
        <f t="shared" si="16"/>
        <v>43102</v>
      </c>
      <c r="O49" s="8" t="s">
        <v>76</v>
      </c>
      <c r="P49" s="8" t="s">
        <v>8</v>
      </c>
      <c r="R49" s="8">
        <f t="shared" si="17"/>
        <v>0</v>
      </c>
      <c r="S49" s="8" t="str">
        <f t="shared" si="13"/>
        <v>Standard BTC Account</v>
      </c>
      <c r="T49" s="27" t="str">
        <f t="shared" si="19"/>
        <v>BTC----------1</v>
      </c>
      <c r="U49" s="8" t="str">
        <f t="shared" si="21"/>
        <v>BTC----------1</v>
      </c>
      <c r="V49" s="8" t="s">
        <v>313</v>
      </c>
    </row>
    <row r="50" spans="1:22" x14ac:dyDescent="0.25">
      <c r="A50" s="8">
        <v>52</v>
      </c>
      <c r="B50" s="5" t="s">
        <v>78</v>
      </c>
      <c r="C50" s="5">
        <f t="shared" si="12"/>
        <v>52</v>
      </c>
      <c r="D50" s="5">
        <f t="shared" si="14"/>
        <v>1</v>
      </c>
      <c r="E50" s="25">
        <f t="shared" si="15"/>
        <v>43704</v>
      </c>
      <c r="F50" s="27" t="str">
        <f t="shared" si="20"/>
        <v>DKK Account DKK---------1</v>
      </c>
      <c r="G50" s="8" t="s">
        <v>297</v>
      </c>
      <c r="H50" s="8" t="s">
        <v>49</v>
      </c>
      <c r="I50" s="8">
        <f t="shared" si="18"/>
        <v>0</v>
      </c>
      <c r="J50" s="8" t="s">
        <v>68</v>
      </c>
      <c r="K50" s="8">
        <v>0</v>
      </c>
      <c r="L50" s="8" t="s">
        <v>299</v>
      </c>
      <c r="M50" s="28">
        <f t="shared" si="16"/>
        <v>43102</v>
      </c>
      <c r="O50" s="8" t="s">
        <v>76</v>
      </c>
      <c r="P50" s="8" t="s">
        <v>8</v>
      </c>
      <c r="R50" s="8">
        <f t="shared" si="17"/>
        <v>0</v>
      </c>
      <c r="S50" s="8" t="str">
        <f t="shared" si="13"/>
        <v>Standard DKK Account</v>
      </c>
      <c r="T50" s="27" t="str">
        <f t="shared" si="19"/>
        <v>DKK---------1</v>
      </c>
      <c r="U50" s="8" t="str">
        <f t="shared" si="21"/>
        <v>DKK---------1</v>
      </c>
      <c r="V50" s="8" t="s">
        <v>306</v>
      </c>
    </row>
    <row r="51" spans="1:22" x14ac:dyDescent="0.25">
      <c r="A51" s="8">
        <v>53</v>
      </c>
      <c r="B51" s="5" t="s">
        <v>78</v>
      </c>
      <c r="C51" s="5">
        <f t="shared" si="12"/>
        <v>53</v>
      </c>
      <c r="D51" s="5">
        <f t="shared" si="14"/>
        <v>1</v>
      </c>
      <c r="E51" s="25">
        <f t="shared" si="15"/>
        <v>43704</v>
      </c>
      <c r="F51" s="27" t="str">
        <f t="shared" si="20"/>
        <v>DKK Account DKK----------1</v>
      </c>
      <c r="G51" s="8" t="s">
        <v>312</v>
      </c>
      <c r="H51" s="8" t="s">
        <v>49</v>
      </c>
      <c r="I51" s="8">
        <f t="shared" si="18"/>
        <v>0</v>
      </c>
      <c r="J51" s="8" t="s">
        <v>68</v>
      </c>
      <c r="K51" s="8">
        <v>0</v>
      </c>
      <c r="L51" s="8" t="s">
        <v>302</v>
      </c>
      <c r="M51" s="28">
        <f t="shared" si="16"/>
        <v>43102</v>
      </c>
      <c r="O51" s="8" t="s">
        <v>76</v>
      </c>
      <c r="P51" s="8" t="s">
        <v>8</v>
      </c>
      <c r="R51" s="8">
        <f t="shared" si="17"/>
        <v>0</v>
      </c>
      <c r="S51" s="8" t="str">
        <f t="shared" si="13"/>
        <v>Standard DKK Account</v>
      </c>
      <c r="T51" s="27" t="str">
        <f t="shared" si="19"/>
        <v>DKK----------1</v>
      </c>
      <c r="U51" s="8" t="str">
        <f t="shared" si="21"/>
        <v>DKK----------1</v>
      </c>
      <c r="V51" s="8" t="s">
        <v>313</v>
      </c>
    </row>
    <row r="52" spans="1:22" x14ac:dyDescent="0.25">
      <c r="B52" s="5"/>
      <c r="C52" s="5"/>
      <c r="D52" s="5"/>
      <c r="E52" s="25"/>
      <c r="F52" s="5"/>
      <c r="T52"/>
    </row>
    <row r="53" spans="1:22" x14ac:dyDescent="0.25">
      <c r="B53" s="5"/>
      <c r="C53" s="5"/>
      <c r="D53" s="5"/>
      <c r="E53" s="25"/>
      <c r="F53" s="5"/>
      <c r="T53"/>
    </row>
    <row r="54" spans="1:22" x14ac:dyDescent="0.25">
      <c r="B54" s="5"/>
      <c r="C54" s="5"/>
      <c r="D54" s="5"/>
      <c r="E54" s="25"/>
      <c r="F54" s="5"/>
      <c r="T54"/>
    </row>
    <row r="55" spans="1:22" x14ac:dyDescent="0.25">
      <c r="B55" s="5"/>
      <c r="C55" s="5"/>
      <c r="D55" s="5"/>
      <c r="E55" s="25"/>
      <c r="F55" s="5"/>
      <c r="T55"/>
    </row>
    <row r="56" spans="1:22" x14ac:dyDescent="0.25">
      <c r="B56" s="5"/>
      <c r="C56" s="5"/>
      <c r="D56" s="5"/>
      <c r="E56" s="25"/>
      <c r="F56" s="5"/>
      <c r="T56"/>
    </row>
    <row r="57" spans="1:22" x14ac:dyDescent="0.25">
      <c r="B57" s="5"/>
      <c r="C57" s="5"/>
      <c r="D57" s="5"/>
      <c r="E57" s="25"/>
      <c r="F57" s="5"/>
      <c r="T57"/>
    </row>
    <row r="58" spans="1:22" x14ac:dyDescent="0.25">
      <c r="B58" s="5"/>
      <c r="C58" s="5"/>
      <c r="D58" s="5"/>
      <c r="E58" s="25"/>
      <c r="F58" s="5"/>
      <c r="T58"/>
    </row>
    <row r="59" spans="1:22" x14ac:dyDescent="0.25">
      <c r="B59" s="5"/>
      <c r="C59" s="5"/>
      <c r="D59" s="5"/>
      <c r="E59" s="25"/>
      <c r="F59" s="5"/>
      <c r="T59"/>
    </row>
    <row r="60" spans="1:22" x14ac:dyDescent="0.25">
      <c r="B60" s="5"/>
      <c r="C60" s="5"/>
      <c r="D60" s="5"/>
      <c r="E60" s="25"/>
      <c r="F60" s="5"/>
      <c r="T60"/>
    </row>
    <row r="61" spans="1:22" x14ac:dyDescent="0.25">
      <c r="B61" s="5"/>
      <c r="C61" s="5"/>
      <c r="D61" s="5"/>
      <c r="E61" s="25"/>
      <c r="F61" s="5"/>
      <c r="T61"/>
    </row>
    <row r="62" spans="1:22" x14ac:dyDescent="0.25">
      <c r="B62" s="5"/>
      <c r="C62" s="5"/>
      <c r="D62" s="5"/>
      <c r="E62" s="25"/>
      <c r="F62" s="5"/>
      <c r="T62"/>
    </row>
    <row r="63" spans="1:22" x14ac:dyDescent="0.25">
      <c r="B63" s="5"/>
      <c r="C63" s="5"/>
      <c r="D63" s="5"/>
      <c r="E63" s="25"/>
      <c r="F63" s="5"/>
      <c r="T63"/>
    </row>
    <row r="64" spans="1:22" x14ac:dyDescent="0.25">
      <c r="B64" s="5"/>
      <c r="C64" s="5"/>
      <c r="D64" s="5"/>
      <c r="E64" s="25"/>
      <c r="F64" s="5"/>
      <c r="T64"/>
    </row>
    <row r="65" spans="2:20" x14ac:dyDescent="0.25">
      <c r="B65" s="5"/>
      <c r="C65" s="5"/>
      <c r="D65" s="5"/>
      <c r="E65" s="25"/>
      <c r="F65" s="5"/>
      <c r="T65"/>
    </row>
    <row r="66" spans="2:20" x14ac:dyDescent="0.25">
      <c r="B66" s="5"/>
      <c r="C66" s="5"/>
      <c r="D66" s="5"/>
      <c r="E66" s="25"/>
      <c r="F66" s="5"/>
      <c r="T66"/>
    </row>
    <row r="67" spans="2:20" x14ac:dyDescent="0.25">
      <c r="B67" s="5"/>
      <c r="C67" s="5"/>
      <c r="D67" s="5"/>
      <c r="E67" s="25"/>
      <c r="F67" s="5"/>
      <c r="T67"/>
    </row>
    <row r="68" spans="2:20" x14ac:dyDescent="0.25">
      <c r="B68" s="5"/>
      <c r="C68" s="5"/>
      <c r="D68" s="5"/>
      <c r="E68" s="25"/>
      <c r="F68" s="5"/>
      <c r="T68"/>
    </row>
    <row r="69" spans="2:20" x14ac:dyDescent="0.25">
      <c r="B69" s="5"/>
      <c r="C69" s="5"/>
      <c r="D69" s="5"/>
      <c r="E69" s="25"/>
      <c r="F69" s="5"/>
      <c r="T69"/>
    </row>
    <row r="70" spans="2:20" x14ac:dyDescent="0.25">
      <c r="B70" s="5"/>
      <c r="C70" s="5"/>
      <c r="D70" s="5"/>
      <c r="E70" s="25"/>
      <c r="F70" s="5"/>
      <c r="T70"/>
    </row>
    <row r="71" spans="2:20" x14ac:dyDescent="0.25">
      <c r="B71" s="5"/>
      <c r="C71" s="5"/>
      <c r="D71" s="5"/>
      <c r="E71" s="25"/>
      <c r="F71" s="5"/>
      <c r="T71"/>
    </row>
    <row r="72" spans="2:20" x14ac:dyDescent="0.25">
      <c r="B72" s="5"/>
      <c r="C72" s="5"/>
      <c r="D72" s="5"/>
      <c r="E72" s="25"/>
      <c r="F72" s="5"/>
      <c r="T72"/>
    </row>
    <row r="73" spans="2:20" x14ac:dyDescent="0.25">
      <c r="B73" s="5"/>
      <c r="C73" s="5"/>
      <c r="D73" s="5"/>
      <c r="E73" s="25"/>
      <c r="F73" s="5"/>
      <c r="T73"/>
    </row>
    <row r="74" spans="2:20" x14ac:dyDescent="0.25">
      <c r="B74" s="5"/>
      <c r="C74" s="5"/>
      <c r="D74" s="5"/>
      <c r="E74" s="25"/>
      <c r="F74" s="5"/>
      <c r="T74"/>
    </row>
    <row r="75" spans="2:20" x14ac:dyDescent="0.25">
      <c r="B75" s="5"/>
      <c r="C75" s="5"/>
      <c r="D75" s="5"/>
      <c r="E75" s="25"/>
      <c r="F75" s="5"/>
    </row>
    <row r="76" spans="2:20" x14ac:dyDescent="0.25">
      <c r="B76" s="5"/>
      <c r="C76" s="5"/>
      <c r="D76" s="5"/>
      <c r="E76" s="25"/>
      <c r="F76" s="5"/>
    </row>
    <row r="77" spans="2:20" x14ac:dyDescent="0.25">
      <c r="B77" s="5"/>
      <c r="C77" s="5"/>
      <c r="D77" s="5"/>
      <c r="E77" s="25"/>
      <c r="F77" s="5"/>
    </row>
    <row r="78" spans="2:20" x14ac:dyDescent="0.25">
      <c r="B78" s="5"/>
      <c r="C78" s="5"/>
      <c r="D78" s="5"/>
      <c r="E78" s="25"/>
      <c r="F78" s="5"/>
    </row>
    <row r="79" spans="2:20" x14ac:dyDescent="0.25">
      <c r="B79" s="5"/>
      <c r="C79" s="5"/>
      <c r="D79" s="5"/>
      <c r="E79" s="25"/>
      <c r="F79" s="5"/>
    </row>
    <row r="80" spans="2:20" x14ac:dyDescent="0.25">
      <c r="B80" s="5"/>
      <c r="C80" s="5"/>
      <c r="D80" s="5"/>
      <c r="E80" s="25"/>
      <c r="F80" s="5"/>
    </row>
    <row r="81" spans="2:6" x14ac:dyDescent="0.25">
      <c r="B81" s="5"/>
      <c r="C81" s="5"/>
      <c r="D81" s="5"/>
      <c r="E81" s="25"/>
      <c r="F81" s="5"/>
    </row>
    <row r="82" spans="2:6" x14ac:dyDescent="0.25">
      <c r="B82" s="5"/>
      <c r="C82" s="5"/>
      <c r="D82" s="5"/>
      <c r="E82" s="25"/>
      <c r="F82" s="5"/>
    </row>
    <row r="83" spans="2:6" x14ac:dyDescent="0.25">
      <c r="B83" s="5"/>
      <c r="C83" s="5"/>
      <c r="D83" s="5"/>
      <c r="E83" s="25"/>
      <c r="F83" s="5"/>
    </row>
    <row r="84" spans="2:6" x14ac:dyDescent="0.25">
      <c r="B84" s="5"/>
      <c r="C84" s="5"/>
      <c r="D84" s="5"/>
      <c r="E84" s="25"/>
      <c r="F84" s="5"/>
    </row>
    <row r="85" spans="2:6" x14ac:dyDescent="0.25">
      <c r="B85" s="5"/>
      <c r="C85" s="5"/>
      <c r="D85" s="5"/>
      <c r="E85" s="25"/>
      <c r="F85" s="5"/>
    </row>
    <row r="86" spans="2:6" x14ac:dyDescent="0.25">
      <c r="B86" s="5"/>
      <c r="C86" s="5"/>
      <c r="D86" s="5"/>
      <c r="E86" s="25"/>
      <c r="F86" s="5"/>
    </row>
    <row r="87" spans="2:6" x14ac:dyDescent="0.25">
      <c r="B87" s="5"/>
      <c r="C87" s="5"/>
      <c r="D87" s="5"/>
      <c r="E87" s="25"/>
      <c r="F87" s="5"/>
    </row>
    <row r="88" spans="2:6" x14ac:dyDescent="0.25">
      <c r="B88" s="5"/>
      <c r="C88" s="5"/>
      <c r="D88" s="5"/>
      <c r="E88" s="25"/>
      <c r="F88" s="5"/>
    </row>
    <row r="89" spans="2:6" x14ac:dyDescent="0.25">
      <c r="B89" s="5"/>
      <c r="C89" s="5"/>
      <c r="D89" s="5"/>
      <c r="E89" s="25"/>
      <c r="F89" s="5"/>
    </row>
    <row r="90" spans="2:6" x14ac:dyDescent="0.25">
      <c r="B90" s="5"/>
      <c r="C90" s="5"/>
      <c r="D90" s="5"/>
      <c r="E90" s="25"/>
      <c r="F90" s="5"/>
    </row>
    <row r="91" spans="2:6" x14ac:dyDescent="0.25">
      <c r="B91" s="5"/>
      <c r="C91" s="5"/>
      <c r="D91" s="5"/>
      <c r="E91" s="25"/>
      <c r="F91" s="5"/>
    </row>
    <row r="92" spans="2:6" x14ac:dyDescent="0.25">
      <c r="B92" s="5"/>
      <c r="C92" s="5"/>
      <c r="D92" s="5"/>
      <c r="E92" s="25"/>
      <c r="F92" s="5"/>
    </row>
    <row r="93" spans="2:6" x14ac:dyDescent="0.25">
      <c r="B93" s="5"/>
      <c r="C93" s="5"/>
      <c r="D93" s="5"/>
      <c r="E93" s="25"/>
      <c r="F93" s="5"/>
    </row>
    <row r="94" spans="2:6" x14ac:dyDescent="0.25">
      <c r="B94" s="5"/>
      <c r="C94" s="5"/>
      <c r="D94" s="5"/>
      <c r="E94" s="25"/>
      <c r="F94" s="5"/>
    </row>
    <row r="95" spans="2:6" x14ac:dyDescent="0.25">
      <c r="B95" s="5"/>
      <c r="C95" s="5"/>
      <c r="D95" s="5"/>
      <c r="E95" s="25"/>
      <c r="F95" s="5"/>
    </row>
    <row r="96" spans="2:6" x14ac:dyDescent="0.25">
      <c r="B96" s="5"/>
      <c r="C96" s="5"/>
      <c r="D96" s="5"/>
      <c r="E96" s="25"/>
      <c r="F96" s="5"/>
    </row>
    <row r="97" spans="2:6" x14ac:dyDescent="0.25">
      <c r="B97" s="5"/>
      <c r="C97" s="5"/>
      <c r="D97" s="5"/>
      <c r="E97" s="25"/>
      <c r="F97" s="5"/>
    </row>
    <row r="98" spans="2:6" x14ac:dyDescent="0.25">
      <c r="B98" s="5"/>
      <c r="C98" s="5"/>
      <c r="D98" s="5"/>
      <c r="E98" s="25"/>
      <c r="F98" s="5"/>
    </row>
    <row r="99" spans="2:6" x14ac:dyDescent="0.25">
      <c r="B99" s="5"/>
      <c r="C99" s="5"/>
      <c r="D99" s="5"/>
      <c r="E99" s="25"/>
      <c r="F99" s="5"/>
    </row>
    <row r="100" spans="2:6" x14ac:dyDescent="0.25">
      <c r="B100" s="5"/>
      <c r="C100" s="5"/>
      <c r="D100" s="5"/>
      <c r="E100" s="25"/>
      <c r="F100" s="5"/>
    </row>
    <row r="101" spans="2:6" x14ac:dyDescent="0.25">
      <c r="B101" s="5"/>
      <c r="C101" s="5"/>
      <c r="D101" s="5"/>
      <c r="E101" s="25"/>
      <c r="F101" s="5"/>
    </row>
    <row r="102" spans="2:6" x14ac:dyDescent="0.25">
      <c r="B102" s="5"/>
      <c r="C102" s="5"/>
      <c r="D102" s="5"/>
      <c r="E102" s="25"/>
      <c r="F102" s="5"/>
    </row>
    <row r="103" spans="2:6" x14ac:dyDescent="0.25">
      <c r="B103" s="5"/>
      <c r="C103" s="5"/>
      <c r="D103" s="5"/>
      <c r="E103" s="25"/>
      <c r="F103" s="5"/>
    </row>
    <row r="104" spans="2:6" x14ac:dyDescent="0.25">
      <c r="B104" s="5"/>
      <c r="C104" s="5"/>
      <c r="D104" s="5"/>
      <c r="E104" s="25"/>
      <c r="F104" s="5"/>
    </row>
    <row r="105" spans="2:6" x14ac:dyDescent="0.25">
      <c r="B105" s="5"/>
      <c r="C105" s="5"/>
      <c r="D105" s="5"/>
      <c r="E105" s="25"/>
      <c r="F105" s="5"/>
    </row>
    <row r="106" spans="2:6" x14ac:dyDescent="0.25">
      <c r="B106" s="5"/>
      <c r="C106" s="5"/>
      <c r="D106" s="5"/>
      <c r="E106" s="25"/>
      <c r="F106" s="5"/>
    </row>
    <row r="107" spans="2:6" x14ac:dyDescent="0.25">
      <c r="B107" s="5"/>
      <c r="C107" s="5"/>
      <c r="D107" s="5"/>
      <c r="E107" s="25"/>
      <c r="F107" s="5"/>
    </row>
    <row r="108" spans="2:6" x14ac:dyDescent="0.25">
      <c r="B108" s="5"/>
      <c r="C108" s="5"/>
      <c r="D108" s="5"/>
      <c r="E108" s="25"/>
      <c r="F108" s="5"/>
    </row>
    <row r="109" spans="2:6" x14ac:dyDescent="0.25">
      <c r="B109" s="5"/>
      <c r="C109" s="5"/>
      <c r="D109" s="5"/>
      <c r="E109" s="25"/>
      <c r="F109" s="5"/>
    </row>
    <row r="110" spans="2:6" x14ac:dyDescent="0.25">
      <c r="B110" s="5"/>
      <c r="C110" s="5"/>
      <c r="D110" s="5"/>
      <c r="E110" s="25"/>
      <c r="F110" s="5"/>
    </row>
    <row r="111" spans="2:6" x14ac:dyDescent="0.25">
      <c r="B111" s="5"/>
      <c r="C111" s="5"/>
      <c r="D111" s="5"/>
      <c r="E111" s="25"/>
      <c r="F111" s="5"/>
    </row>
    <row r="112" spans="2:6" x14ac:dyDescent="0.25">
      <c r="B112" s="5"/>
      <c r="C112" s="5"/>
      <c r="D112" s="5"/>
      <c r="E112" s="25"/>
      <c r="F112" s="5"/>
    </row>
    <row r="113" spans="2:6" x14ac:dyDescent="0.25">
      <c r="B113" s="5"/>
      <c r="C113" s="5"/>
      <c r="D113" s="5"/>
      <c r="E113" s="25"/>
      <c r="F113" s="5"/>
    </row>
    <row r="114" spans="2:6" x14ac:dyDescent="0.25">
      <c r="B114" s="5"/>
      <c r="C114" s="5"/>
      <c r="D114" s="5"/>
      <c r="E114" s="25"/>
      <c r="F114" s="5"/>
    </row>
    <row r="115" spans="2:6" x14ac:dyDescent="0.25">
      <c r="B115" s="5"/>
      <c r="C115" s="5"/>
      <c r="D115" s="5"/>
      <c r="E115" s="25"/>
      <c r="F115" s="5"/>
    </row>
    <row r="116" spans="2:6" x14ac:dyDescent="0.25">
      <c r="B116" s="5"/>
      <c r="C116" s="5"/>
      <c r="D116" s="5"/>
      <c r="E116" s="25"/>
      <c r="F116" s="5"/>
    </row>
    <row r="117" spans="2:6" x14ac:dyDescent="0.25">
      <c r="B117" s="5"/>
      <c r="C117" s="5"/>
      <c r="D117" s="5"/>
      <c r="E117" s="25"/>
      <c r="F117" s="5"/>
    </row>
    <row r="118" spans="2:6" x14ac:dyDescent="0.25">
      <c r="B118" s="5"/>
      <c r="C118" s="5"/>
      <c r="D118" s="5"/>
      <c r="E118" s="25"/>
      <c r="F118" s="5"/>
    </row>
    <row r="119" spans="2:6" x14ac:dyDescent="0.25">
      <c r="B119" s="5"/>
      <c r="C119" s="5"/>
      <c r="D119" s="5"/>
      <c r="E119" s="25"/>
      <c r="F119" s="5"/>
    </row>
    <row r="120" spans="2:6" x14ac:dyDescent="0.25">
      <c r="B120" s="5"/>
      <c r="C120" s="5"/>
      <c r="D120" s="5"/>
      <c r="E120" s="25"/>
      <c r="F120" s="5"/>
    </row>
    <row r="121" spans="2:6" x14ac:dyDescent="0.25">
      <c r="B121" s="5"/>
      <c r="C121" s="5"/>
      <c r="D121" s="5"/>
      <c r="E121" s="25"/>
      <c r="F121" s="5"/>
    </row>
    <row r="122" spans="2:6" x14ac:dyDescent="0.25">
      <c r="B122" s="5"/>
      <c r="C122" s="5"/>
      <c r="D122" s="5"/>
      <c r="E122" s="25"/>
      <c r="F122" s="5"/>
    </row>
    <row r="123" spans="2:6" x14ac:dyDescent="0.25">
      <c r="B123" s="5"/>
      <c r="C123" s="5"/>
      <c r="D123" s="5"/>
      <c r="E123" s="25"/>
      <c r="F123" s="5"/>
    </row>
    <row r="124" spans="2:6" x14ac:dyDescent="0.25">
      <c r="B124" s="5"/>
      <c r="C124" s="5"/>
      <c r="D124" s="5"/>
      <c r="E124" s="25"/>
      <c r="F124" s="5"/>
    </row>
    <row r="125" spans="2:6" x14ac:dyDescent="0.25">
      <c r="B125" s="5"/>
      <c r="C125" s="5"/>
      <c r="D125" s="5"/>
      <c r="E125" s="25"/>
      <c r="F125" s="5"/>
    </row>
    <row r="126" spans="2:6" x14ac:dyDescent="0.25">
      <c r="B126" s="5"/>
      <c r="C126" s="5"/>
      <c r="D126" s="5"/>
      <c r="E126" s="25"/>
      <c r="F126" s="5"/>
    </row>
    <row r="127" spans="2:6" x14ac:dyDescent="0.25">
      <c r="B127" s="5"/>
      <c r="C127" s="5"/>
      <c r="D127" s="5"/>
      <c r="E127" s="25"/>
      <c r="F127" s="5"/>
    </row>
    <row r="128" spans="2:6" x14ac:dyDescent="0.25">
      <c r="B128" s="5"/>
      <c r="C128" s="5"/>
      <c r="D128" s="5"/>
      <c r="E128" s="25"/>
      <c r="F128" s="5"/>
    </row>
    <row r="129" spans="2:6" x14ac:dyDescent="0.25">
      <c r="B129" s="5"/>
      <c r="C129" s="5"/>
      <c r="D129" s="5"/>
      <c r="E129" s="25"/>
      <c r="F129" s="5"/>
    </row>
    <row r="130" spans="2:6" x14ac:dyDescent="0.25">
      <c r="B130" s="5"/>
      <c r="C130" s="5"/>
      <c r="D130" s="5"/>
      <c r="E130" s="25"/>
      <c r="F130" s="5"/>
    </row>
    <row r="131" spans="2:6" x14ac:dyDescent="0.25">
      <c r="B131" s="5"/>
      <c r="C131" s="5"/>
      <c r="D131" s="5"/>
      <c r="E131" s="25"/>
      <c r="F131" s="5"/>
    </row>
    <row r="132" spans="2:6" x14ac:dyDescent="0.25">
      <c r="B132" s="5"/>
      <c r="C132" s="5"/>
      <c r="D132" s="5"/>
      <c r="E132" s="25"/>
      <c r="F132" s="5"/>
    </row>
    <row r="133" spans="2:6" x14ac:dyDescent="0.25">
      <c r="B133" s="5"/>
      <c r="C133" s="5"/>
      <c r="D133" s="5"/>
      <c r="E133" s="25"/>
      <c r="F133" s="5"/>
    </row>
    <row r="134" spans="2:6" x14ac:dyDescent="0.25">
      <c r="B134" s="5"/>
      <c r="C134" s="5"/>
      <c r="D134" s="5"/>
      <c r="E134" s="25"/>
      <c r="F134" s="5"/>
    </row>
    <row r="135" spans="2:6" x14ac:dyDescent="0.25">
      <c r="B135" s="5"/>
      <c r="C135" s="5"/>
      <c r="D135" s="5"/>
      <c r="E135" s="25"/>
      <c r="F135" s="5"/>
    </row>
    <row r="136" spans="2:6" x14ac:dyDescent="0.25">
      <c r="B136" s="5"/>
      <c r="C136" s="5"/>
      <c r="D136" s="5"/>
      <c r="E136" s="25"/>
      <c r="F136" s="5"/>
    </row>
    <row r="137" spans="2:6" x14ac:dyDescent="0.25">
      <c r="B137" s="5"/>
      <c r="C137" s="5"/>
      <c r="D137" s="5"/>
      <c r="E137" s="25"/>
      <c r="F137" s="5"/>
    </row>
    <row r="138" spans="2:6" x14ac:dyDescent="0.25">
      <c r="B138" s="5"/>
      <c r="C138" s="5"/>
      <c r="D138" s="5"/>
      <c r="E138" s="25"/>
      <c r="F138" s="5"/>
    </row>
    <row r="139" spans="2:6" x14ac:dyDescent="0.25">
      <c r="B139" s="5"/>
      <c r="C139" s="5"/>
      <c r="D139" s="5"/>
      <c r="E139" s="25"/>
      <c r="F139" s="5"/>
    </row>
    <row r="140" spans="2:6" x14ac:dyDescent="0.25">
      <c r="B140" s="5"/>
      <c r="C140" s="5"/>
      <c r="D140" s="5"/>
      <c r="E140" s="25"/>
      <c r="F140" s="5"/>
    </row>
    <row r="141" spans="2:6" x14ac:dyDescent="0.25">
      <c r="B141" s="5"/>
      <c r="C141" s="5"/>
      <c r="D141" s="5"/>
      <c r="E141" s="25"/>
      <c r="F141" s="5"/>
    </row>
    <row r="142" spans="2:6" x14ac:dyDescent="0.25">
      <c r="B142" s="5"/>
      <c r="C142" s="5"/>
      <c r="D142" s="5"/>
      <c r="E142" s="25"/>
      <c r="F142" s="5"/>
    </row>
    <row r="143" spans="2:6" x14ac:dyDescent="0.25">
      <c r="B143" s="5"/>
      <c r="C143" s="5"/>
      <c r="D143" s="5"/>
      <c r="E143" s="25"/>
      <c r="F143" s="5"/>
    </row>
    <row r="144" spans="2:6" x14ac:dyDescent="0.25">
      <c r="B144" s="5"/>
      <c r="C144" s="5"/>
      <c r="D144" s="5"/>
      <c r="E144" s="25"/>
      <c r="F144" s="5"/>
    </row>
    <row r="145" spans="2:6" x14ac:dyDescent="0.25">
      <c r="B145" s="5"/>
      <c r="C145" s="5"/>
      <c r="D145" s="5"/>
      <c r="E145" s="25"/>
      <c r="F145" s="5"/>
    </row>
    <row r="146" spans="2:6" x14ac:dyDescent="0.25">
      <c r="B146" s="5"/>
      <c r="C146" s="5"/>
      <c r="D146" s="5"/>
      <c r="E146" s="25"/>
      <c r="F146" s="5"/>
    </row>
    <row r="147" spans="2:6" x14ac:dyDescent="0.25">
      <c r="B147" s="5"/>
      <c r="C147" s="5"/>
      <c r="D147" s="5"/>
      <c r="E147" s="25"/>
      <c r="F147" s="5"/>
    </row>
    <row r="148" spans="2:6" x14ac:dyDescent="0.25">
      <c r="B148" s="5"/>
      <c r="C148" s="5"/>
      <c r="D148" s="5"/>
      <c r="E148" s="25"/>
      <c r="F148" s="5"/>
    </row>
    <row r="149" spans="2:6" x14ac:dyDescent="0.25">
      <c r="B149" s="5"/>
      <c r="C149" s="5"/>
      <c r="D149" s="5"/>
      <c r="E149" s="25"/>
      <c r="F149" s="5"/>
    </row>
    <row r="150" spans="2:6" x14ac:dyDescent="0.25">
      <c r="B150" s="5"/>
      <c r="C150" s="5"/>
      <c r="D150" s="5"/>
      <c r="E150" s="25"/>
      <c r="F150" s="5"/>
    </row>
    <row r="151" spans="2:6" x14ac:dyDescent="0.25">
      <c r="B151" s="5"/>
      <c r="C151" s="5"/>
      <c r="D151" s="5"/>
      <c r="E151" s="25"/>
      <c r="F151" s="5"/>
    </row>
    <row r="152" spans="2:6" x14ac:dyDescent="0.25">
      <c r="B152" s="5"/>
      <c r="C152" s="5"/>
      <c r="D152" s="5"/>
      <c r="E152" s="25"/>
      <c r="F152" s="5"/>
    </row>
    <row r="153" spans="2:6" x14ac:dyDescent="0.25">
      <c r="B153" s="5"/>
      <c r="C153" s="5"/>
      <c r="D153" s="5"/>
      <c r="E153" s="25"/>
      <c r="F153" s="5"/>
    </row>
    <row r="154" spans="2:6" x14ac:dyDescent="0.25">
      <c r="B154" s="5"/>
      <c r="C154" s="5"/>
      <c r="D154" s="5"/>
      <c r="E154" s="25"/>
      <c r="F154" s="5"/>
    </row>
    <row r="155" spans="2:6" x14ac:dyDescent="0.25">
      <c r="B155" s="5"/>
      <c r="C155" s="5"/>
      <c r="D155" s="5"/>
      <c r="E155" s="25"/>
      <c r="F155" s="5"/>
    </row>
    <row r="156" spans="2:6" x14ac:dyDescent="0.25">
      <c r="B156" s="5"/>
      <c r="C156" s="5"/>
      <c r="D156" s="5"/>
      <c r="E156" s="25"/>
      <c r="F156" s="5"/>
    </row>
    <row r="157" spans="2:6" x14ac:dyDescent="0.25">
      <c r="B157" s="5"/>
      <c r="C157" s="5"/>
      <c r="D157" s="5"/>
      <c r="E157" s="25"/>
      <c r="F157" s="5"/>
    </row>
    <row r="158" spans="2:6" x14ac:dyDescent="0.25">
      <c r="B158" s="5"/>
      <c r="C158" s="5"/>
      <c r="D158" s="5"/>
      <c r="E158" s="25"/>
      <c r="F158" s="5"/>
    </row>
    <row r="159" spans="2:6" x14ac:dyDescent="0.25">
      <c r="B159" s="5"/>
      <c r="C159" s="5"/>
      <c r="D159" s="5"/>
      <c r="E159" s="25"/>
      <c r="F159" s="5"/>
    </row>
    <row r="160" spans="2:6" x14ac:dyDescent="0.25">
      <c r="B160" s="5"/>
      <c r="C160" s="5"/>
      <c r="D160" s="5"/>
      <c r="E160" s="25"/>
      <c r="F160" s="5"/>
    </row>
    <row r="161" spans="2:6" x14ac:dyDescent="0.25">
      <c r="B161" s="5"/>
      <c r="C161" s="5"/>
      <c r="D161" s="5"/>
      <c r="E161" s="25"/>
      <c r="F161" s="5"/>
    </row>
    <row r="162" spans="2:6" x14ac:dyDescent="0.25">
      <c r="B162" s="5"/>
      <c r="C162" s="5"/>
      <c r="D162" s="5"/>
      <c r="E162" s="25"/>
      <c r="F162" s="5"/>
    </row>
    <row r="163" spans="2:6" x14ac:dyDescent="0.25">
      <c r="B163" s="5"/>
      <c r="C163" s="5"/>
      <c r="D163" s="5"/>
      <c r="E163" s="25"/>
      <c r="F163" s="5"/>
    </row>
    <row r="164" spans="2:6" x14ac:dyDescent="0.25">
      <c r="B164" s="5"/>
      <c r="C164" s="5"/>
      <c r="D164" s="5"/>
      <c r="E164" s="25"/>
      <c r="F164" s="5"/>
    </row>
    <row r="165" spans="2:6" x14ac:dyDescent="0.25">
      <c r="B165" s="5"/>
      <c r="C165" s="5"/>
      <c r="D165" s="5"/>
      <c r="E165" s="25"/>
      <c r="F165" s="5"/>
    </row>
    <row r="166" spans="2:6" x14ac:dyDescent="0.25">
      <c r="B166" s="5"/>
      <c r="C166" s="5"/>
      <c r="D166" s="5"/>
      <c r="E166" s="25"/>
      <c r="F166" s="5"/>
    </row>
    <row r="167" spans="2:6" x14ac:dyDescent="0.25">
      <c r="B167" s="5"/>
      <c r="C167" s="5"/>
      <c r="D167" s="5"/>
      <c r="E167" s="25"/>
      <c r="F167" s="5"/>
    </row>
    <row r="168" spans="2:6" x14ac:dyDescent="0.25">
      <c r="B168" s="5"/>
      <c r="C168" s="5"/>
      <c r="D168" s="5"/>
      <c r="E168" s="25"/>
      <c r="F168" s="5"/>
    </row>
    <row r="169" spans="2:6" x14ac:dyDescent="0.25">
      <c r="B169" s="5"/>
      <c r="C169" s="5"/>
      <c r="D169" s="5"/>
      <c r="E169" s="25"/>
      <c r="F169" s="5"/>
    </row>
    <row r="170" spans="2:6" x14ac:dyDescent="0.25">
      <c r="B170" s="5"/>
      <c r="C170" s="5"/>
      <c r="D170" s="5"/>
      <c r="E170" s="25"/>
      <c r="F170" s="5"/>
    </row>
    <row r="171" spans="2:6" x14ac:dyDescent="0.25">
      <c r="B171" s="5"/>
      <c r="C171" s="5"/>
      <c r="D171" s="5"/>
      <c r="E171" s="25"/>
      <c r="F171" s="5"/>
    </row>
    <row r="172" spans="2:6" x14ac:dyDescent="0.25">
      <c r="B172" s="5"/>
      <c r="C172" s="5"/>
      <c r="D172" s="5"/>
      <c r="E172" s="25"/>
      <c r="F172" s="5"/>
    </row>
    <row r="173" spans="2:6" x14ac:dyDescent="0.25">
      <c r="B173" s="5"/>
      <c r="C173" s="5"/>
      <c r="D173" s="5"/>
      <c r="E173" s="25"/>
      <c r="F173" s="5"/>
    </row>
    <row r="174" spans="2:6" x14ac:dyDescent="0.25">
      <c r="B174" s="5"/>
      <c r="C174" s="5"/>
      <c r="D174" s="5"/>
      <c r="E174" s="25"/>
      <c r="F174" s="5"/>
    </row>
    <row r="175" spans="2:6" x14ac:dyDescent="0.25">
      <c r="B175" s="5"/>
      <c r="C175" s="5"/>
      <c r="D175" s="5"/>
      <c r="E175" s="25"/>
      <c r="F175" s="5"/>
    </row>
    <row r="176" spans="2:6" x14ac:dyDescent="0.25">
      <c r="B176" s="5"/>
      <c r="C176" s="5"/>
      <c r="D176" s="5"/>
      <c r="E176" s="25"/>
      <c r="F176" s="5"/>
    </row>
    <row r="177" spans="2:6" x14ac:dyDescent="0.25">
      <c r="B177" s="5"/>
      <c r="C177" s="5"/>
      <c r="D177" s="5"/>
      <c r="E177" s="25"/>
      <c r="F177" s="5"/>
    </row>
    <row r="178" spans="2:6" x14ac:dyDescent="0.25">
      <c r="B178" s="5"/>
      <c r="C178" s="5"/>
      <c r="D178" s="5"/>
      <c r="E178" s="25"/>
      <c r="F178" s="5"/>
    </row>
    <row r="179" spans="2:6" x14ac:dyDescent="0.25">
      <c r="B179" s="5"/>
      <c r="C179" s="5"/>
      <c r="D179" s="5"/>
      <c r="E179" s="25"/>
      <c r="F179" s="5"/>
    </row>
    <row r="180" spans="2:6" x14ac:dyDescent="0.25">
      <c r="B180" s="5"/>
      <c r="C180" s="5"/>
      <c r="D180" s="5"/>
      <c r="E180" s="25"/>
      <c r="F180" s="5"/>
    </row>
    <row r="181" spans="2:6" x14ac:dyDescent="0.25">
      <c r="B181" s="5"/>
      <c r="C181" s="5"/>
      <c r="D181" s="5"/>
      <c r="E181" s="25"/>
      <c r="F181" s="5"/>
    </row>
    <row r="182" spans="2:6" x14ac:dyDescent="0.25">
      <c r="B182" s="5"/>
      <c r="C182" s="5"/>
      <c r="D182" s="5"/>
      <c r="E182" s="25"/>
      <c r="F182" s="5"/>
    </row>
    <row r="183" spans="2:6" x14ac:dyDescent="0.25">
      <c r="B183" s="5"/>
      <c r="C183" s="5"/>
      <c r="D183" s="5"/>
      <c r="E183" s="25"/>
      <c r="F183" s="5"/>
    </row>
    <row r="184" spans="2:6" x14ac:dyDescent="0.25">
      <c r="B184" s="5"/>
      <c r="C184" s="5"/>
      <c r="D184" s="5"/>
      <c r="E184" s="25"/>
      <c r="F184" s="5"/>
    </row>
    <row r="185" spans="2:6" x14ac:dyDescent="0.25">
      <c r="B185" s="5"/>
      <c r="C185" s="5"/>
      <c r="D185" s="5"/>
      <c r="E185" s="25"/>
      <c r="F185" s="5"/>
    </row>
    <row r="186" spans="2:6" x14ac:dyDescent="0.25">
      <c r="B186" s="5"/>
      <c r="C186" s="5"/>
      <c r="D186" s="5"/>
      <c r="E186" s="25"/>
      <c r="F186" s="5"/>
    </row>
    <row r="187" spans="2:6" x14ac:dyDescent="0.25">
      <c r="B187" s="5"/>
      <c r="C187" s="5"/>
      <c r="D187" s="5"/>
      <c r="E187" s="25"/>
      <c r="F187" s="5"/>
    </row>
    <row r="188" spans="2:6" x14ac:dyDescent="0.25">
      <c r="B188" s="5"/>
      <c r="C188" s="5"/>
      <c r="D188" s="5"/>
      <c r="E188" s="25"/>
      <c r="F188" s="5"/>
    </row>
    <row r="189" spans="2:6" x14ac:dyDescent="0.25">
      <c r="B189" s="5"/>
      <c r="C189" s="5"/>
      <c r="D189" s="5"/>
      <c r="E189" s="25"/>
      <c r="F189" s="5"/>
    </row>
    <row r="190" spans="2:6" x14ac:dyDescent="0.25">
      <c r="B190" s="5"/>
      <c r="C190" s="5"/>
      <c r="D190" s="5"/>
      <c r="E190" s="25"/>
      <c r="F190" s="5"/>
    </row>
    <row r="191" spans="2:6" x14ac:dyDescent="0.25">
      <c r="B191" s="5"/>
      <c r="C191" s="5"/>
      <c r="D191" s="5"/>
      <c r="E191" s="25"/>
      <c r="F191" s="5"/>
    </row>
    <row r="192" spans="2:6" x14ac:dyDescent="0.25">
      <c r="B192" s="5"/>
      <c r="C192" s="5"/>
      <c r="D192" s="5"/>
      <c r="E192" s="25"/>
      <c r="F192" s="5"/>
    </row>
    <row r="193" spans="2:6" x14ac:dyDescent="0.25">
      <c r="B193" s="5"/>
      <c r="C193" s="5"/>
      <c r="D193" s="5"/>
      <c r="E193" s="25"/>
      <c r="F193" s="5"/>
    </row>
    <row r="194" spans="2:6" x14ac:dyDescent="0.25">
      <c r="B194" s="5"/>
      <c r="C194" s="5"/>
      <c r="D194" s="5"/>
      <c r="E194" s="25"/>
      <c r="F194" s="5"/>
    </row>
    <row r="195" spans="2:6" x14ac:dyDescent="0.25">
      <c r="B195" s="5"/>
      <c r="C195" s="5"/>
      <c r="D195" s="5"/>
      <c r="E195" s="25"/>
      <c r="F195" s="5"/>
    </row>
    <row r="196" spans="2:6" x14ac:dyDescent="0.25">
      <c r="B196" s="5"/>
      <c r="C196" s="5"/>
      <c r="D196" s="5"/>
      <c r="E196" s="25"/>
      <c r="F196" s="5"/>
    </row>
    <row r="197" spans="2:6" x14ac:dyDescent="0.25">
      <c r="B197" s="5"/>
      <c r="C197" s="5"/>
      <c r="D197" s="5"/>
      <c r="E197" s="25"/>
      <c r="F197" s="5"/>
    </row>
    <row r="198" spans="2:6" x14ac:dyDescent="0.25">
      <c r="B198" s="5"/>
      <c r="C198" s="5"/>
      <c r="D198" s="5"/>
      <c r="E198" s="25"/>
      <c r="F198" s="5"/>
    </row>
    <row r="199" spans="2:6" x14ac:dyDescent="0.25">
      <c r="B199" s="5"/>
      <c r="C199" s="5"/>
      <c r="D199" s="5"/>
      <c r="E199" s="25"/>
      <c r="F199" s="5"/>
    </row>
    <row r="200" spans="2:6" x14ac:dyDescent="0.25">
      <c r="B200" s="5"/>
      <c r="C200" s="5"/>
      <c r="D200" s="5"/>
      <c r="E200" s="25"/>
      <c r="F200" s="5"/>
    </row>
    <row r="201" spans="2:6" x14ac:dyDescent="0.25">
      <c r="B201" s="5"/>
      <c r="C201" s="5"/>
      <c r="D201" s="5"/>
      <c r="E201" s="25"/>
      <c r="F201" s="5"/>
    </row>
    <row r="202" spans="2:6" x14ac:dyDescent="0.25">
      <c r="B202" s="5"/>
      <c r="C202" s="5"/>
      <c r="D202" s="5"/>
      <c r="E202" s="25"/>
      <c r="F202" s="5"/>
    </row>
    <row r="203" spans="2:6" x14ac:dyDescent="0.25">
      <c r="B203" s="5"/>
      <c r="C203" s="5"/>
      <c r="D203" s="5"/>
      <c r="E203" s="25"/>
      <c r="F203" s="5"/>
    </row>
    <row r="204" spans="2:6" x14ac:dyDescent="0.25">
      <c r="B204" s="5"/>
      <c r="C204" s="5"/>
      <c r="D204" s="5"/>
      <c r="E204" s="25"/>
      <c r="F204" s="5"/>
    </row>
    <row r="205" spans="2:6" x14ac:dyDescent="0.25">
      <c r="B205" s="5"/>
      <c r="C205" s="5"/>
      <c r="D205" s="5"/>
      <c r="E205" s="25"/>
      <c r="F205" s="5"/>
    </row>
    <row r="206" spans="2:6" x14ac:dyDescent="0.25">
      <c r="B206" s="5"/>
      <c r="C206" s="5"/>
      <c r="D206" s="5"/>
      <c r="E206" s="25"/>
      <c r="F206" s="5"/>
    </row>
    <row r="207" spans="2:6" x14ac:dyDescent="0.25">
      <c r="B207" s="5"/>
      <c r="C207" s="5"/>
      <c r="D207" s="5"/>
      <c r="E207" s="25"/>
      <c r="F207" s="5"/>
    </row>
    <row r="208" spans="2:6" x14ac:dyDescent="0.25">
      <c r="B208" s="5"/>
      <c r="C208" s="5"/>
      <c r="D208" s="5"/>
      <c r="E208" s="25"/>
      <c r="F208" s="5"/>
    </row>
    <row r="209" spans="2:6" x14ac:dyDescent="0.25">
      <c r="B209" s="5"/>
      <c r="C209" s="5"/>
      <c r="D209" s="5"/>
      <c r="E209" s="25"/>
      <c r="F209" s="5"/>
    </row>
    <row r="210" spans="2:6" x14ac:dyDescent="0.25">
      <c r="B210" s="5"/>
      <c r="C210" s="5"/>
      <c r="D210" s="5"/>
      <c r="E210" s="25"/>
      <c r="F210" s="5"/>
    </row>
    <row r="211" spans="2:6" x14ac:dyDescent="0.25">
      <c r="B211" s="5"/>
      <c r="C211" s="5"/>
      <c r="D211" s="5"/>
      <c r="E211" s="25"/>
      <c r="F211" s="5"/>
    </row>
    <row r="212" spans="2:6" x14ac:dyDescent="0.25">
      <c r="B212" s="5"/>
      <c r="C212" s="5"/>
      <c r="D212" s="5"/>
      <c r="E212" s="25"/>
      <c r="F212" s="5"/>
    </row>
    <row r="213" spans="2:6" x14ac:dyDescent="0.25">
      <c r="B213" s="5"/>
      <c r="C213" s="5"/>
      <c r="D213" s="5"/>
      <c r="E213" s="25"/>
      <c r="F213" s="5"/>
    </row>
    <row r="214" spans="2:6" x14ac:dyDescent="0.25">
      <c r="B214" s="5"/>
      <c r="C214" s="5"/>
      <c r="D214" s="5"/>
      <c r="E214" s="25"/>
      <c r="F214" s="5"/>
    </row>
    <row r="215" spans="2:6" x14ac:dyDescent="0.25">
      <c r="B215" s="5"/>
      <c r="C215" s="5"/>
      <c r="D215" s="5"/>
      <c r="E215" s="25"/>
      <c r="F215" s="5"/>
    </row>
    <row r="216" spans="2:6" x14ac:dyDescent="0.25">
      <c r="B216" s="5"/>
      <c r="C216" s="5"/>
      <c r="D216" s="5"/>
      <c r="E216" s="25"/>
      <c r="F216" s="5"/>
    </row>
    <row r="217" spans="2:6" x14ac:dyDescent="0.25">
      <c r="B217" s="5"/>
      <c r="C217" s="5"/>
      <c r="D217" s="5"/>
      <c r="E217" s="25"/>
      <c r="F217" s="5"/>
    </row>
    <row r="218" spans="2:6" x14ac:dyDescent="0.25">
      <c r="B218" s="5"/>
      <c r="C218" s="5"/>
      <c r="D218" s="5"/>
      <c r="E218" s="25"/>
      <c r="F218" s="5"/>
    </row>
    <row r="219" spans="2:6" x14ac:dyDescent="0.25">
      <c r="B219" s="5"/>
      <c r="C219" s="5"/>
      <c r="D219" s="5"/>
      <c r="E219" s="25"/>
      <c r="F219" s="5"/>
    </row>
    <row r="220" spans="2:6" x14ac:dyDescent="0.25">
      <c r="B220" s="5"/>
      <c r="C220" s="5"/>
      <c r="D220" s="5"/>
      <c r="E220" s="25"/>
      <c r="F220" s="5"/>
    </row>
    <row r="221" spans="2:6" x14ac:dyDescent="0.25">
      <c r="B221" s="5"/>
      <c r="C221" s="5"/>
      <c r="D221" s="5"/>
      <c r="E221" s="25"/>
      <c r="F221" s="5"/>
    </row>
    <row r="222" spans="2:6" x14ac:dyDescent="0.25">
      <c r="B222" s="5"/>
      <c r="C222" s="5"/>
      <c r="D222" s="5"/>
      <c r="E222" s="25"/>
      <c r="F222" s="5"/>
    </row>
    <row r="223" spans="2:6" x14ac:dyDescent="0.25">
      <c r="B223" s="5"/>
      <c r="C223" s="5"/>
      <c r="D223" s="5"/>
      <c r="E223" s="25"/>
      <c r="F223" s="5"/>
    </row>
    <row r="224" spans="2:6" x14ac:dyDescent="0.25">
      <c r="B224" s="5"/>
      <c r="C224" s="5"/>
      <c r="D224" s="5"/>
      <c r="E224" s="25"/>
      <c r="F224" s="5"/>
    </row>
    <row r="225" spans="2:6" x14ac:dyDescent="0.25">
      <c r="B225" s="5"/>
      <c r="C225" s="5"/>
      <c r="D225" s="5"/>
      <c r="E225" s="25"/>
      <c r="F225" s="5"/>
    </row>
    <row r="226" spans="2:6" x14ac:dyDescent="0.25">
      <c r="B226" s="5"/>
      <c r="C226" s="5"/>
      <c r="D226" s="5"/>
      <c r="E226" s="25"/>
      <c r="F226" s="5"/>
    </row>
    <row r="227" spans="2:6" x14ac:dyDescent="0.25">
      <c r="B227" s="5"/>
      <c r="C227" s="5"/>
      <c r="D227" s="5"/>
      <c r="E227" s="25"/>
      <c r="F227" s="5"/>
    </row>
    <row r="228" spans="2:6" x14ac:dyDescent="0.25">
      <c r="B228" s="5"/>
      <c r="C228" s="5"/>
      <c r="D228" s="5"/>
      <c r="E228" s="25"/>
      <c r="F228" s="5"/>
    </row>
    <row r="229" spans="2:6" x14ac:dyDescent="0.25">
      <c r="B229" s="5"/>
      <c r="C229" s="5"/>
      <c r="D229" s="5"/>
      <c r="E229" s="25"/>
      <c r="F229" s="5"/>
    </row>
    <row r="230" spans="2:6" x14ac:dyDescent="0.25">
      <c r="B230" s="5"/>
      <c r="C230" s="5"/>
      <c r="D230" s="5"/>
      <c r="E230" s="25"/>
      <c r="F230" s="5"/>
    </row>
    <row r="231" spans="2:6" x14ac:dyDescent="0.25">
      <c r="B231" s="5"/>
      <c r="C231" s="5"/>
      <c r="D231" s="5"/>
      <c r="E231" s="25"/>
      <c r="F231" s="5"/>
    </row>
    <row r="232" spans="2:6" x14ac:dyDescent="0.25">
      <c r="B232" s="5"/>
      <c r="C232" s="5"/>
      <c r="D232" s="5"/>
      <c r="E232" s="25"/>
      <c r="F232" s="5"/>
    </row>
    <row r="233" spans="2:6" x14ac:dyDescent="0.25">
      <c r="B233" s="5"/>
      <c r="C233" s="5"/>
      <c r="D233" s="5"/>
      <c r="E233" s="25"/>
      <c r="F233" s="5"/>
    </row>
    <row r="234" spans="2:6" x14ac:dyDescent="0.25">
      <c r="B234" s="5"/>
      <c r="C234" s="5"/>
      <c r="D234" s="5"/>
      <c r="E234" s="25"/>
      <c r="F234" s="5"/>
    </row>
    <row r="235" spans="2:6" x14ac:dyDescent="0.25">
      <c r="B235" s="5"/>
      <c r="C235" s="5"/>
      <c r="D235" s="5"/>
      <c r="E235" s="25"/>
      <c r="F235" s="5"/>
    </row>
    <row r="236" spans="2:6" x14ac:dyDescent="0.25">
      <c r="B236" s="5"/>
      <c r="C236" s="5"/>
      <c r="D236" s="5"/>
      <c r="E236" s="26"/>
      <c r="F236" s="5"/>
    </row>
    <row r="237" spans="2:6" x14ac:dyDescent="0.25">
      <c r="B237" s="5"/>
      <c r="C237" s="5"/>
      <c r="D237" s="5"/>
      <c r="E237" s="26"/>
      <c r="F237" s="5"/>
    </row>
    <row r="238" spans="2:6" x14ac:dyDescent="0.25">
      <c r="B238" s="5"/>
      <c r="C238" s="5"/>
      <c r="D238" s="5"/>
      <c r="E238" s="26"/>
      <c r="F238" s="5"/>
    </row>
    <row r="239" spans="2:6" x14ac:dyDescent="0.25">
      <c r="B239" s="5"/>
      <c r="C239" s="5"/>
      <c r="D239" s="5"/>
      <c r="E239" s="26"/>
      <c r="F239" s="5"/>
    </row>
    <row r="240" spans="2:6" x14ac:dyDescent="0.25">
      <c r="B240" s="5"/>
      <c r="C240" s="5"/>
      <c r="D240" s="5"/>
      <c r="E240" s="26"/>
      <c r="F240" s="5"/>
    </row>
    <row r="241" spans="2:6" x14ac:dyDescent="0.25">
      <c r="B241" s="5"/>
      <c r="C241" s="5"/>
      <c r="D241" s="5"/>
      <c r="E241" s="26"/>
      <c r="F241" s="5"/>
    </row>
  </sheetData>
  <autoFilter ref="A1:U241" xr:uid="{CAE70484-4703-4D3E-9CBC-E5471FAB5331}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1"/>
  <dimension ref="A1:R2"/>
  <sheetViews>
    <sheetView workbookViewId="0">
      <pane ySplit="1" topLeftCell="A2" activePane="bottomLeft" state="frozen"/>
      <selection pane="bottomLeft" activeCell="H9" sqref="H9"/>
    </sheetView>
  </sheetViews>
  <sheetFormatPr defaultColWidth="16" defaultRowHeight="15" x14ac:dyDescent="0.25"/>
  <cols>
    <col min="1" max="1" width="22.85546875" style="8" bestFit="1" customWidth="1"/>
    <col min="2" max="2" width="16" style="8"/>
    <col min="3" max="3" width="22.85546875" style="8" bestFit="1" customWidth="1"/>
    <col min="4" max="5" width="16" style="8"/>
    <col min="6" max="6" width="28.7109375" style="8" bestFit="1" customWidth="1"/>
    <col min="7" max="13" width="16" style="8"/>
    <col min="14" max="14" width="23.42578125" style="8" bestFit="1" customWidth="1"/>
    <col min="15" max="15" width="22.140625" style="8" bestFit="1" customWidth="1"/>
    <col min="16" max="16384" width="16" style="8"/>
  </cols>
  <sheetData>
    <row r="1" spans="1:18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54</v>
      </c>
      <c r="L1" s="9" t="s">
        <v>24</v>
      </c>
      <c r="M1" s="9" t="s">
        <v>3</v>
      </c>
      <c r="N1" s="9" t="s">
        <v>322</v>
      </c>
      <c r="O1" s="9" t="s">
        <v>323</v>
      </c>
      <c r="P1" s="9" t="s">
        <v>26</v>
      </c>
      <c r="Q1" s="9" t="s">
        <v>39</v>
      </c>
      <c r="R1" s="22" t="s">
        <v>305</v>
      </c>
    </row>
    <row r="2" spans="1:18" x14ac:dyDescent="0.25">
      <c r="A2" t="s">
        <v>62</v>
      </c>
      <c r="B2" t="s">
        <v>53</v>
      </c>
      <c r="C2" s="27" t="s">
        <v>320</v>
      </c>
      <c r="D2">
        <v>1</v>
      </c>
      <c r="E2" s="15">
        <f ca="1">TODAY()</f>
        <v>43724</v>
      </c>
      <c r="F2" s="4" t="s">
        <v>324</v>
      </c>
      <c r="G2" t="s">
        <v>297</v>
      </c>
      <c r="H2" t="s">
        <v>72</v>
      </c>
      <c r="I2" s="16">
        <v>6844.03</v>
      </c>
      <c r="J2" t="s">
        <v>290</v>
      </c>
      <c r="K2" t="s">
        <v>56</v>
      </c>
      <c r="L2">
        <v>76000.2</v>
      </c>
      <c r="M2" t="s">
        <v>299</v>
      </c>
      <c r="N2" s="27" t="s">
        <v>321</v>
      </c>
      <c r="O2" s="27" t="s">
        <v>295</v>
      </c>
      <c r="P2" s="15"/>
      <c r="Q2"/>
      <c r="R2" s="8" t="s">
        <v>306</v>
      </c>
    </row>
  </sheetData>
  <autoFilter ref="A1:Q2" xr:uid="{00000000-0009-0000-0000-000001000000}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FF0273C7-081D-4F4D-8DFB-5067FCA16595}">
          <x14:formula1>
            <xm:f>Accounts!$F:$F</xm:f>
          </x14:formula1>
          <xm:sqref>N2:O1048576</xm:sqref>
        </x14:dataValidation>
        <x14:dataValidation type="list" allowBlank="1" showInputMessage="1" showErrorMessage="1" xr:uid="{F1C6D55E-BFB8-4F07-BE6F-3A0C9863546B}">
          <x14:formula1>
            <xm:f>Accounts!$G:$G</xm:f>
          </x14:formula1>
          <xm:sqref>G1:G1048576</xm:sqref>
        </x14:dataValidation>
        <x14:dataValidation type="list" allowBlank="1" showInputMessage="1" showErrorMessage="1" xr:uid="{D759C096-2EBD-4131-A20E-DBE7ADF4C5D8}">
          <x14:formula1>
            <xm:f>Accounts!$J:$J</xm:f>
          </x14:formula1>
          <xm:sqref>J1:K1048576</xm:sqref>
        </x14:dataValidation>
        <x14:dataValidation type="list" allowBlank="1" showInputMessage="1" showErrorMessage="1" xr:uid="{CA2FD19A-92D1-4B42-8AC0-2A32C7C09743}">
          <x14:formula1>
            <xm:f>Accounts!$L:$L</xm:f>
          </x14:formula1>
          <xm:sqref>M1:M1048576</xm:sqref>
        </x14:dataValidation>
        <x14:dataValidation type="list" allowBlank="1" showInputMessage="1" showErrorMessage="1" xr:uid="{89C51564-EC17-4A87-BB40-4E992B555808}">
          <x14:formula1>
            <xm:f>Accounts!$V:$V</xm:f>
          </x14:formula1>
          <xm:sqref>R1:R1048576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3:B20"/>
  <sheetViews>
    <sheetView workbookViewId="0">
      <selection activeCell="A3" sqref="A3:B18"/>
    </sheetView>
  </sheetViews>
  <sheetFormatPr defaultColWidth="8.85546875" defaultRowHeight="15" x14ac:dyDescent="0.25"/>
  <cols>
    <col min="1" max="1" width="13.140625" bestFit="1" customWidth="1"/>
    <col min="2" max="2" width="17.85546875" bestFit="1" customWidth="1"/>
    <col min="3" max="3" width="5" customWidth="1"/>
    <col min="4" max="4" width="4.7109375" customWidth="1"/>
    <col min="5" max="5" width="4.140625" customWidth="1"/>
    <col min="6" max="6" width="4.7109375" customWidth="1"/>
    <col min="7" max="8" width="4.42578125" customWidth="1"/>
    <col min="9" max="9" width="4.7109375" customWidth="1"/>
    <col min="10" max="10" width="4" customWidth="1"/>
    <col min="11" max="11" width="5" customWidth="1"/>
    <col min="12" max="13" width="4.7109375" customWidth="1"/>
    <col min="14" max="14" width="4.140625" customWidth="1"/>
    <col min="15" max="15" width="4.28515625" customWidth="1"/>
    <col min="16" max="16" width="4.7109375" customWidth="1"/>
    <col min="17" max="17" width="7.28515625" customWidth="1"/>
    <col min="18" max="18" width="11.28515625" bestFit="1" customWidth="1"/>
  </cols>
  <sheetData>
    <row r="3" spans="1:2" x14ac:dyDescent="0.25">
      <c r="A3" s="17" t="s">
        <v>73</v>
      </c>
      <c r="B3" s="17" t="s">
        <v>54</v>
      </c>
    </row>
    <row r="4" spans="1:2" x14ac:dyDescent="0.25">
      <c r="A4" s="18" t="s">
        <v>57</v>
      </c>
      <c r="B4" s="18" t="s">
        <v>67</v>
      </c>
    </row>
    <row r="5" spans="1:2" x14ac:dyDescent="0.25">
      <c r="A5" s="18" t="s">
        <v>57</v>
      </c>
      <c r="B5" s="18" t="s">
        <v>63</v>
      </c>
    </row>
    <row r="6" spans="1:2" x14ac:dyDescent="0.25">
      <c r="A6" s="18" t="s">
        <v>57</v>
      </c>
      <c r="B6" s="18" t="s">
        <v>70</v>
      </c>
    </row>
    <row r="7" spans="1:2" x14ac:dyDescent="0.25">
      <c r="A7" s="18" t="s">
        <v>57</v>
      </c>
      <c r="B7" s="18" t="s">
        <v>66</v>
      </c>
    </row>
    <row r="8" spans="1:2" x14ac:dyDescent="0.25">
      <c r="A8" s="18" t="s">
        <v>57</v>
      </c>
      <c r="B8" s="18" t="s">
        <v>60</v>
      </c>
    </row>
    <row r="9" spans="1:2" x14ac:dyDescent="0.25">
      <c r="A9" s="18" t="s">
        <v>57</v>
      </c>
      <c r="B9" s="18" t="s">
        <v>68</v>
      </c>
    </row>
    <row r="10" spans="1:2" x14ac:dyDescent="0.25">
      <c r="A10" s="18" t="s">
        <v>57</v>
      </c>
      <c r="B10" s="18" t="s">
        <v>57</v>
      </c>
    </row>
    <row r="11" spans="1:2" x14ac:dyDescent="0.25">
      <c r="A11" s="18" t="s">
        <v>57</v>
      </c>
      <c r="B11" s="18" t="s">
        <v>55</v>
      </c>
    </row>
    <row r="12" spans="1:2" x14ac:dyDescent="0.25">
      <c r="A12" s="18" t="s">
        <v>57</v>
      </c>
      <c r="B12" s="18" t="s">
        <v>61</v>
      </c>
    </row>
    <row r="13" spans="1:2" x14ac:dyDescent="0.25">
      <c r="A13" s="18" t="s">
        <v>57</v>
      </c>
      <c r="B13" s="18" t="s">
        <v>59</v>
      </c>
    </row>
    <row r="14" spans="1:2" x14ac:dyDescent="0.25">
      <c r="A14" s="18" t="s">
        <v>57</v>
      </c>
      <c r="B14" s="18" t="s">
        <v>64</v>
      </c>
    </row>
    <row r="15" spans="1:2" x14ac:dyDescent="0.25">
      <c r="A15" s="18" t="s">
        <v>57</v>
      </c>
      <c r="B15" s="18" t="s">
        <v>65</v>
      </c>
    </row>
    <row r="16" spans="1:2" x14ac:dyDescent="0.25">
      <c r="A16" s="18" t="s">
        <v>57</v>
      </c>
      <c r="B16" s="18" t="s">
        <v>69</v>
      </c>
    </row>
    <row r="17" spans="1:2" x14ac:dyDescent="0.25">
      <c r="A17" s="18" t="s">
        <v>57</v>
      </c>
      <c r="B17" s="18" t="s">
        <v>58</v>
      </c>
    </row>
    <row r="18" spans="1:2" x14ac:dyDescent="0.25">
      <c r="A18" s="18" t="s">
        <v>57</v>
      </c>
      <c r="B18" s="18" t="s">
        <v>56</v>
      </c>
    </row>
    <row r="19" spans="1:2" x14ac:dyDescent="0.25">
      <c r="A19" s="18" t="s">
        <v>74</v>
      </c>
      <c r="B19" s="18" t="s">
        <v>74</v>
      </c>
    </row>
    <row r="20" spans="1:2" x14ac:dyDescent="0.25">
      <c r="A20" s="18" t="s">
        <v>75</v>
      </c>
    </row>
  </sheetData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L10960"/>
  <sheetViews>
    <sheetView workbookViewId="0">
      <selection activeCell="I13" sqref="I13"/>
    </sheetView>
  </sheetViews>
  <sheetFormatPr defaultColWidth="16" defaultRowHeight="15" x14ac:dyDescent="0.25"/>
  <cols>
    <col min="1" max="1" width="21.140625" style="27" bestFit="1" customWidth="1"/>
    <col min="2" max="2" width="20" style="27" bestFit="1" customWidth="1"/>
    <col min="3" max="3" width="8.85546875" style="27" customWidth="1"/>
    <col min="4" max="4" width="10.42578125" style="28" customWidth="1"/>
    <col min="5" max="5" width="8.85546875" style="27"/>
    <col min="6" max="6" width="57.7109375" style="27" bestFit="1" customWidth="1"/>
    <col min="7" max="7" width="9.28515625" style="27" customWidth="1"/>
    <col min="8" max="8" width="19.85546875" style="27" customWidth="1"/>
    <col min="9" max="9" width="8.85546875" style="27" customWidth="1"/>
    <col min="10" max="10" width="8.85546875" style="27"/>
    <col min="11" max="16384" width="16" style="8"/>
  </cols>
  <sheetData>
    <row r="1" spans="1:12" s="29" customFormat="1" ht="14.25" customHeight="1" x14ac:dyDescent="0.25">
      <c r="A1" s="30" t="s">
        <v>79</v>
      </c>
      <c r="B1" s="30" t="s">
        <v>6</v>
      </c>
      <c r="C1" s="30" t="s">
        <v>12</v>
      </c>
      <c r="D1" s="33" t="s">
        <v>26</v>
      </c>
      <c r="E1" s="31" t="s">
        <v>80</v>
      </c>
      <c r="F1" s="30" t="s">
        <v>39</v>
      </c>
      <c r="G1" s="30" t="s">
        <v>32</v>
      </c>
      <c r="H1" s="30" t="s">
        <v>14</v>
      </c>
      <c r="I1" s="30" t="s">
        <v>81</v>
      </c>
      <c r="J1" s="32" t="s">
        <v>84</v>
      </c>
      <c r="K1" s="29" t="s">
        <v>3</v>
      </c>
      <c r="L1" s="29" t="s">
        <v>305</v>
      </c>
    </row>
    <row r="2" spans="1:12" x14ac:dyDescent="0.25">
      <c r="A2" s="27" t="s">
        <v>292</v>
      </c>
      <c r="B2" s="27" t="s">
        <v>82</v>
      </c>
      <c r="C2" s="27">
        <v>0</v>
      </c>
      <c r="D2" s="28">
        <v>43255</v>
      </c>
      <c r="E2" s="27">
        <v>397.14</v>
      </c>
      <c r="F2" s="27" t="s">
        <v>276</v>
      </c>
      <c r="G2" s="27" t="s">
        <v>8</v>
      </c>
      <c r="H2" s="27" t="s">
        <v>277</v>
      </c>
      <c r="I2" s="27" t="s">
        <v>77</v>
      </c>
      <c r="J2" s="27">
        <v>0</v>
      </c>
    </row>
    <row r="3" spans="1:12" x14ac:dyDescent="0.25">
      <c r="A3" s="27" t="s">
        <v>314</v>
      </c>
      <c r="B3" s="27" t="s">
        <v>82</v>
      </c>
      <c r="C3" s="27">
        <v>0</v>
      </c>
      <c r="D3" s="28">
        <v>43301</v>
      </c>
      <c r="E3" s="27">
        <v>1509.13</v>
      </c>
      <c r="F3" s="27" t="s">
        <v>278</v>
      </c>
      <c r="G3" s="27" t="s">
        <v>8</v>
      </c>
      <c r="H3" s="27" t="s">
        <v>279</v>
      </c>
      <c r="I3" s="27" t="s">
        <v>77</v>
      </c>
      <c r="J3" s="27">
        <v>0</v>
      </c>
    </row>
    <row r="4" spans="1:12" x14ac:dyDescent="0.25">
      <c r="A4" s="27" t="s">
        <v>315</v>
      </c>
      <c r="B4" s="27" t="s">
        <v>82</v>
      </c>
      <c r="C4" s="27">
        <v>0</v>
      </c>
      <c r="D4" s="28">
        <v>43314</v>
      </c>
      <c r="E4" s="27">
        <v>1906.27</v>
      </c>
      <c r="F4" s="27" t="s">
        <v>280</v>
      </c>
      <c r="G4" s="27" t="s">
        <v>8</v>
      </c>
      <c r="H4" s="27" t="s">
        <v>281</v>
      </c>
      <c r="I4" s="27" t="s">
        <v>77</v>
      </c>
      <c r="J4" s="27">
        <v>0</v>
      </c>
    </row>
    <row r="5" spans="1:12" x14ac:dyDescent="0.25">
      <c r="A5" s="27" t="s">
        <v>316</v>
      </c>
      <c r="B5" s="27" t="s">
        <v>82</v>
      </c>
      <c r="C5" s="27">
        <v>0</v>
      </c>
      <c r="D5" s="28">
        <v>43318</v>
      </c>
      <c r="E5" s="27">
        <v>794.28</v>
      </c>
      <c r="F5" s="27" t="s">
        <v>282</v>
      </c>
      <c r="G5" s="27" t="s">
        <v>8</v>
      </c>
      <c r="H5" s="27" t="s">
        <v>283</v>
      </c>
      <c r="I5" s="27" t="s">
        <v>77</v>
      </c>
      <c r="J5" s="27">
        <v>0</v>
      </c>
    </row>
    <row r="6" spans="1:12" x14ac:dyDescent="0.25">
      <c r="A6" s="27" t="s">
        <v>317</v>
      </c>
      <c r="B6" s="27" t="s">
        <v>82</v>
      </c>
      <c r="C6" s="27">
        <v>0</v>
      </c>
      <c r="D6" s="28">
        <v>43321</v>
      </c>
      <c r="E6" s="27">
        <v>7942.81</v>
      </c>
      <c r="F6" s="27" t="s">
        <v>284</v>
      </c>
      <c r="G6" s="27" t="s">
        <v>8</v>
      </c>
      <c r="H6" s="27" t="s">
        <v>285</v>
      </c>
      <c r="I6" s="27" t="s">
        <v>77</v>
      </c>
      <c r="J6" s="27">
        <v>0</v>
      </c>
    </row>
    <row r="7" spans="1:12" x14ac:dyDescent="0.25">
      <c r="A7" s="27" t="s">
        <v>318</v>
      </c>
      <c r="B7" s="27" t="s">
        <v>82</v>
      </c>
      <c r="C7" s="27">
        <v>0</v>
      </c>
      <c r="D7" s="28">
        <v>43321</v>
      </c>
      <c r="E7" s="27">
        <v>1667.99</v>
      </c>
      <c r="F7" s="27" t="s">
        <v>286</v>
      </c>
      <c r="G7" s="27" t="s">
        <v>8</v>
      </c>
      <c r="H7" s="27" t="s">
        <v>287</v>
      </c>
      <c r="I7" s="27" t="s">
        <v>77</v>
      </c>
      <c r="J7" s="27">
        <v>0</v>
      </c>
    </row>
    <row r="8" spans="1:12" x14ac:dyDescent="0.25">
      <c r="A8" s="27" t="s">
        <v>319</v>
      </c>
      <c r="B8" s="27" t="s">
        <v>82</v>
      </c>
      <c r="C8" s="27">
        <v>0</v>
      </c>
      <c r="D8" s="28">
        <v>43343</v>
      </c>
      <c r="E8" s="27">
        <v>-11914.22</v>
      </c>
      <c r="F8" s="27" t="s">
        <v>288</v>
      </c>
      <c r="G8" s="27" t="s">
        <v>8</v>
      </c>
      <c r="H8" s="27" t="s">
        <v>289</v>
      </c>
      <c r="I8" s="27" t="s">
        <v>77</v>
      </c>
      <c r="J8" s="27">
        <v>0</v>
      </c>
    </row>
    <row r="1667" spans="11:11" x14ac:dyDescent="0.25">
      <c r="K1667" s="8" t="e">
        <f t="shared" ref="K1667:K1730" si="0">LEFT(A1667,FIND("/",A1667)-1)</f>
        <v>#VALUE!</v>
      </c>
    </row>
    <row r="1668" spans="11:11" x14ac:dyDescent="0.25">
      <c r="K1668" s="8" t="e">
        <f t="shared" si="0"/>
        <v>#VALUE!</v>
      </c>
    </row>
    <row r="1669" spans="11:11" x14ac:dyDescent="0.25">
      <c r="K1669" s="8" t="e">
        <f t="shared" si="0"/>
        <v>#VALUE!</v>
      </c>
    </row>
    <row r="1670" spans="11:11" x14ac:dyDescent="0.25">
      <c r="K1670" s="8" t="e">
        <f t="shared" si="0"/>
        <v>#VALUE!</v>
      </c>
    </row>
    <row r="1671" spans="11:11" x14ac:dyDescent="0.25">
      <c r="K1671" s="8" t="e">
        <f t="shared" si="0"/>
        <v>#VALUE!</v>
      </c>
    </row>
    <row r="1672" spans="11:11" x14ac:dyDescent="0.25">
      <c r="K1672" s="8" t="e">
        <f t="shared" si="0"/>
        <v>#VALUE!</v>
      </c>
    </row>
    <row r="1673" spans="11:11" x14ac:dyDescent="0.25">
      <c r="K1673" s="8" t="e">
        <f t="shared" si="0"/>
        <v>#VALUE!</v>
      </c>
    </row>
    <row r="1674" spans="11:11" x14ac:dyDescent="0.25">
      <c r="K1674" s="8" t="e">
        <f t="shared" si="0"/>
        <v>#VALUE!</v>
      </c>
    </row>
    <row r="1675" spans="11:11" x14ac:dyDescent="0.25">
      <c r="K1675" s="8" t="e">
        <f t="shared" si="0"/>
        <v>#VALUE!</v>
      </c>
    </row>
    <row r="1676" spans="11:11" x14ac:dyDescent="0.25">
      <c r="K1676" s="8" t="e">
        <f t="shared" si="0"/>
        <v>#VALUE!</v>
      </c>
    </row>
    <row r="1677" spans="11:11" x14ac:dyDescent="0.25">
      <c r="K1677" s="8" t="e">
        <f t="shared" si="0"/>
        <v>#VALUE!</v>
      </c>
    </row>
    <row r="1678" spans="11:11" x14ac:dyDescent="0.25">
      <c r="K1678" s="8" t="e">
        <f t="shared" si="0"/>
        <v>#VALUE!</v>
      </c>
    </row>
    <row r="1679" spans="11:11" x14ac:dyDescent="0.25">
      <c r="K1679" s="8" t="e">
        <f t="shared" si="0"/>
        <v>#VALUE!</v>
      </c>
    </row>
    <row r="1680" spans="11:11" x14ac:dyDescent="0.25">
      <c r="K1680" s="8" t="e">
        <f t="shared" si="0"/>
        <v>#VALUE!</v>
      </c>
    </row>
    <row r="1681" spans="11:11" x14ac:dyDescent="0.25">
      <c r="K1681" s="8" t="e">
        <f t="shared" si="0"/>
        <v>#VALUE!</v>
      </c>
    </row>
    <row r="1682" spans="11:11" x14ac:dyDescent="0.25">
      <c r="K1682" s="8" t="e">
        <f t="shared" si="0"/>
        <v>#VALUE!</v>
      </c>
    </row>
    <row r="1683" spans="11:11" x14ac:dyDescent="0.25">
      <c r="K1683" s="8" t="e">
        <f t="shared" si="0"/>
        <v>#VALUE!</v>
      </c>
    </row>
    <row r="1684" spans="11:11" x14ac:dyDescent="0.25">
      <c r="K1684" s="8" t="e">
        <f t="shared" si="0"/>
        <v>#VALUE!</v>
      </c>
    </row>
    <row r="1685" spans="11:11" x14ac:dyDescent="0.25">
      <c r="K1685" s="8" t="e">
        <f t="shared" si="0"/>
        <v>#VALUE!</v>
      </c>
    </row>
    <row r="1686" spans="11:11" x14ac:dyDescent="0.25">
      <c r="K1686" s="8" t="e">
        <f t="shared" si="0"/>
        <v>#VALUE!</v>
      </c>
    </row>
    <row r="1687" spans="11:11" x14ac:dyDescent="0.25">
      <c r="K1687" s="8" t="e">
        <f t="shared" si="0"/>
        <v>#VALUE!</v>
      </c>
    </row>
    <row r="1688" spans="11:11" x14ac:dyDescent="0.25">
      <c r="K1688" s="8" t="e">
        <f t="shared" si="0"/>
        <v>#VALUE!</v>
      </c>
    </row>
    <row r="1689" spans="11:11" x14ac:dyDescent="0.25">
      <c r="K1689" s="8" t="e">
        <f t="shared" si="0"/>
        <v>#VALUE!</v>
      </c>
    </row>
    <row r="1690" spans="11:11" x14ac:dyDescent="0.25">
      <c r="K1690" s="8" t="e">
        <f t="shared" si="0"/>
        <v>#VALUE!</v>
      </c>
    </row>
    <row r="1691" spans="11:11" x14ac:dyDescent="0.25">
      <c r="K1691" s="8" t="e">
        <f t="shared" si="0"/>
        <v>#VALUE!</v>
      </c>
    </row>
    <row r="1692" spans="11:11" x14ac:dyDescent="0.25">
      <c r="K1692" s="8" t="e">
        <f t="shared" si="0"/>
        <v>#VALUE!</v>
      </c>
    </row>
    <row r="1693" spans="11:11" x14ac:dyDescent="0.25">
      <c r="K1693" s="8" t="e">
        <f t="shared" si="0"/>
        <v>#VALUE!</v>
      </c>
    </row>
    <row r="1694" spans="11:11" x14ac:dyDescent="0.25">
      <c r="K1694" s="8" t="e">
        <f t="shared" si="0"/>
        <v>#VALUE!</v>
      </c>
    </row>
    <row r="1695" spans="11:11" x14ac:dyDescent="0.25">
      <c r="K1695" s="8" t="e">
        <f t="shared" si="0"/>
        <v>#VALUE!</v>
      </c>
    </row>
    <row r="1696" spans="11:11" x14ac:dyDescent="0.25">
      <c r="K1696" s="8" t="e">
        <f t="shared" si="0"/>
        <v>#VALUE!</v>
      </c>
    </row>
    <row r="1697" spans="11:11" x14ac:dyDescent="0.25">
      <c r="K1697" s="8" t="e">
        <f t="shared" si="0"/>
        <v>#VALUE!</v>
      </c>
    </row>
    <row r="1698" spans="11:11" x14ac:dyDescent="0.25">
      <c r="K1698" s="8" t="e">
        <f t="shared" si="0"/>
        <v>#VALUE!</v>
      </c>
    </row>
    <row r="1699" spans="11:11" x14ac:dyDescent="0.25">
      <c r="K1699" s="8" t="e">
        <f t="shared" si="0"/>
        <v>#VALUE!</v>
      </c>
    </row>
    <row r="1700" spans="11:11" x14ac:dyDescent="0.25">
      <c r="K1700" s="8" t="e">
        <f t="shared" si="0"/>
        <v>#VALUE!</v>
      </c>
    </row>
    <row r="1701" spans="11:11" x14ac:dyDescent="0.25">
      <c r="K1701" s="8" t="e">
        <f t="shared" si="0"/>
        <v>#VALUE!</v>
      </c>
    </row>
    <row r="1702" spans="11:11" x14ac:dyDescent="0.25">
      <c r="K1702" s="8" t="e">
        <f t="shared" si="0"/>
        <v>#VALUE!</v>
      </c>
    </row>
    <row r="1703" spans="11:11" x14ac:dyDescent="0.25">
      <c r="K1703" s="8" t="e">
        <f t="shared" si="0"/>
        <v>#VALUE!</v>
      </c>
    </row>
    <row r="1704" spans="11:11" x14ac:dyDescent="0.25">
      <c r="K1704" s="8" t="e">
        <f t="shared" si="0"/>
        <v>#VALUE!</v>
      </c>
    </row>
    <row r="1705" spans="11:11" x14ac:dyDescent="0.25">
      <c r="K1705" s="8" t="e">
        <f t="shared" si="0"/>
        <v>#VALUE!</v>
      </c>
    </row>
    <row r="1706" spans="11:11" x14ac:dyDescent="0.25">
      <c r="K1706" s="8" t="e">
        <f t="shared" si="0"/>
        <v>#VALUE!</v>
      </c>
    </row>
    <row r="1707" spans="11:11" x14ac:dyDescent="0.25">
      <c r="K1707" s="8" t="e">
        <f t="shared" si="0"/>
        <v>#VALUE!</v>
      </c>
    </row>
    <row r="1708" spans="11:11" x14ac:dyDescent="0.25">
      <c r="K1708" s="8" t="e">
        <f t="shared" si="0"/>
        <v>#VALUE!</v>
      </c>
    </row>
    <row r="1709" spans="11:11" x14ac:dyDescent="0.25">
      <c r="K1709" s="8" t="e">
        <f t="shared" si="0"/>
        <v>#VALUE!</v>
      </c>
    </row>
    <row r="1710" spans="11:11" x14ac:dyDescent="0.25">
      <c r="K1710" s="8" t="e">
        <f t="shared" si="0"/>
        <v>#VALUE!</v>
      </c>
    </row>
    <row r="1711" spans="11:11" x14ac:dyDescent="0.25">
      <c r="K1711" s="8" t="e">
        <f t="shared" si="0"/>
        <v>#VALUE!</v>
      </c>
    </row>
    <row r="1712" spans="11:11" x14ac:dyDescent="0.25">
      <c r="K1712" s="8" t="e">
        <f t="shared" si="0"/>
        <v>#VALUE!</v>
      </c>
    </row>
    <row r="1713" spans="11:11" x14ac:dyDescent="0.25">
      <c r="K1713" s="8" t="e">
        <f t="shared" si="0"/>
        <v>#VALUE!</v>
      </c>
    </row>
    <row r="1714" spans="11:11" x14ac:dyDescent="0.25">
      <c r="K1714" s="8" t="e">
        <f t="shared" si="0"/>
        <v>#VALUE!</v>
      </c>
    </row>
    <row r="1715" spans="11:11" x14ac:dyDescent="0.25">
      <c r="K1715" s="8" t="e">
        <f t="shared" si="0"/>
        <v>#VALUE!</v>
      </c>
    </row>
    <row r="1716" spans="11:11" x14ac:dyDescent="0.25">
      <c r="K1716" s="8" t="e">
        <f t="shared" si="0"/>
        <v>#VALUE!</v>
      </c>
    </row>
    <row r="1717" spans="11:11" x14ac:dyDescent="0.25">
      <c r="K1717" s="8" t="e">
        <f t="shared" si="0"/>
        <v>#VALUE!</v>
      </c>
    </row>
    <row r="1718" spans="11:11" x14ac:dyDescent="0.25">
      <c r="K1718" s="8" t="e">
        <f t="shared" si="0"/>
        <v>#VALUE!</v>
      </c>
    </row>
    <row r="1719" spans="11:11" x14ac:dyDescent="0.25">
      <c r="K1719" s="8" t="e">
        <f t="shared" si="0"/>
        <v>#VALUE!</v>
      </c>
    </row>
    <row r="1720" spans="11:11" x14ac:dyDescent="0.25">
      <c r="K1720" s="8" t="e">
        <f t="shared" si="0"/>
        <v>#VALUE!</v>
      </c>
    </row>
    <row r="1721" spans="11:11" x14ac:dyDescent="0.25">
      <c r="K1721" s="8" t="e">
        <f t="shared" si="0"/>
        <v>#VALUE!</v>
      </c>
    </row>
    <row r="1722" spans="11:11" x14ac:dyDescent="0.25">
      <c r="K1722" s="8" t="e">
        <f t="shared" si="0"/>
        <v>#VALUE!</v>
      </c>
    </row>
    <row r="1723" spans="11:11" x14ac:dyDescent="0.25">
      <c r="K1723" s="8" t="e">
        <f t="shared" si="0"/>
        <v>#VALUE!</v>
      </c>
    </row>
    <row r="1724" spans="11:11" x14ac:dyDescent="0.25">
      <c r="K1724" s="8" t="e">
        <f t="shared" si="0"/>
        <v>#VALUE!</v>
      </c>
    </row>
    <row r="1725" spans="11:11" x14ac:dyDescent="0.25">
      <c r="K1725" s="8" t="e">
        <f t="shared" si="0"/>
        <v>#VALUE!</v>
      </c>
    </row>
    <row r="1726" spans="11:11" x14ac:dyDescent="0.25">
      <c r="K1726" s="8" t="e">
        <f t="shared" si="0"/>
        <v>#VALUE!</v>
      </c>
    </row>
    <row r="1727" spans="11:11" x14ac:dyDescent="0.25">
      <c r="K1727" s="8" t="e">
        <f t="shared" si="0"/>
        <v>#VALUE!</v>
      </c>
    </row>
    <row r="1728" spans="11:11" x14ac:dyDescent="0.25">
      <c r="K1728" s="8" t="e">
        <f t="shared" si="0"/>
        <v>#VALUE!</v>
      </c>
    </row>
    <row r="1729" spans="11:11" x14ac:dyDescent="0.25">
      <c r="K1729" s="8" t="e">
        <f t="shared" si="0"/>
        <v>#VALUE!</v>
      </c>
    </row>
    <row r="1730" spans="11:11" x14ac:dyDescent="0.25">
      <c r="K1730" s="8" t="e">
        <f t="shared" si="0"/>
        <v>#VALUE!</v>
      </c>
    </row>
    <row r="1731" spans="11:11" x14ac:dyDescent="0.25">
      <c r="K1731" s="8" t="e">
        <f t="shared" ref="K1731:K1794" si="1">LEFT(A1731,FIND("/",A1731)-1)</f>
        <v>#VALUE!</v>
      </c>
    </row>
    <row r="1732" spans="11:11" x14ac:dyDescent="0.25">
      <c r="K1732" s="8" t="e">
        <f t="shared" si="1"/>
        <v>#VALUE!</v>
      </c>
    </row>
    <row r="1733" spans="11:11" x14ac:dyDescent="0.25">
      <c r="K1733" s="8" t="e">
        <f t="shared" si="1"/>
        <v>#VALUE!</v>
      </c>
    </row>
    <row r="1734" spans="11:11" x14ac:dyDescent="0.25">
      <c r="K1734" s="8" t="e">
        <f t="shared" si="1"/>
        <v>#VALUE!</v>
      </c>
    </row>
    <row r="1735" spans="11:11" x14ac:dyDescent="0.25">
      <c r="K1735" s="8" t="e">
        <f t="shared" si="1"/>
        <v>#VALUE!</v>
      </c>
    </row>
    <row r="1736" spans="11:11" x14ac:dyDescent="0.25">
      <c r="K1736" s="8" t="e">
        <f t="shared" si="1"/>
        <v>#VALUE!</v>
      </c>
    </row>
    <row r="1737" spans="11:11" x14ac:dyDescent="0.25">
      <c r="K1737" s="8" t="e">
        <f t="shared" si="1"/>
        <v>#VALUE!</v>
      </c>
    </row>
    <row r="1738" spans="11:11" x14ac:dyDescent="0.25">
      <c r="K1738" s="8" t="e">
        <f t="shared" si="1"/>
        <v>#VALUE!</v>
      </c>
    </row>
    <row r="1739" spans="11:11" x14ac:dyDescent="0.25">
      <c r="K1739" s="8" t="e">
        <f t="shared" si="1"/>
        <v>#VALUE!</v>
      </c>
    </row>
    <row r="1740" spans="11:11" x14ac:dyDescent="0.25">
      <c r="K1740" s="8" t="e">
        <f t="shared" si="1"/>
        <v>#VALUE!</v>
      </c>
    </row>
    <row r="1741" spans="11:11" x14ac:dyDescent="0.25">
      <c r="K1741" s="8" t="e">
        <f t="shared" si="1"/>
        <v>#VALUE!</v>
      </c>
    </row>
    <row r="1742" spans="11:11" x14ac:dyDescent="0.25">
      <c r="K1742" s="8" t="e">
        <f t="shared" si="1"/>
        <v>#VALUE!</v>
      </c>
    </row>
    <row r="1743" spans="11:11" x14ac:dyDescent="0.25">
      <c r="K1743" s="8" t="e">
        <f t="shared" si="1"/>
        <v>#VALUE!</v>
      </c>
    </row>
    <row r="1744" spans="11:11" x14ac:dyDescent="0.25">
      <c r="K1744" s="8" t="e">
        <f t="shared" si="1"/>
        <v>#VALUE!</v>
      </c>
    </row>
    <row r="1745" spans="11:11" x14ac:dyDescent="0.25">
      <c r="K1745" s="8" t="e">
        <f t="shared" si="1"/>
        <v>#VALUE!</v>
      </c>
    </row>
    <row r="1746" spans="11:11" x14ac:dyDescent="0.25">
      <c r="K1746" s="8" t="e">
        <f t="shared" si="1"/>
        <v>#VALUE!</v>
      </c>
    </row>
    <row r="1747" spans="11:11" x14ac:dyDescent="0.25">
      <c r="K1747" s="8" t="e">
        <f t="shared" si="1"/>
        <v>#VALUE!</v>
      </c>
    </row>
    <row r="1748" spans="11:11" x14ac:dyDescent="0.25">
      <c r="K1748" s="8" t="e">
        <f t="shared" si="1"/>
        <v>#VALUE!</v>
      </c>
    </row>
    <row r="1749" spans="11:11" x14ac:dyDescent="0.25">
      <c r="K1749" s="8" t="e">
        <f t="shared" si="1"/>
        <v>#VALUE!</v>
      </c>
    </row>
    <row r="1750" spans="11:11" x14ac:dyDescent="0.25">
      <c r="K1750" s="8" t="e">
        <f t="shared" si="1"/>
        <v>#VALUE!</v>
      </c>
    </row>
    <row r="1751" spans="11:11" x14ac:dyDescent="0.25">
      <c r="K1751" s="8" t="e">
        <f t="shared" si="1"/>
        <v>#VALUE!</v>
      </c>
    </row>
    <row r="1752" spans="11:11" x14ac:dyDescent="0.25">
      <c r="K1752" s="8" t="e">
        <f t="shared" si="1"/>
        <v>#VALUE!</v>
      </c>
    </row>
    <row r="1753" spans="11:11" x14ac:dyDescent="0.25">
      <c r="K1753" s="8" t="e">
        <f t="shared" si="1"/>
        <v>#VALUE!</v>
      </c>
    </row>
    <row r="1754" spans="11:11" x14ac:dyDescent="0.25">
      <c r="K1754" s="8" t="e">
        <f t="shared" si="1"/>
        <v>#VALUE!</v>
      </c>
    </row>
    <row r="1755" spans="11:11" x14ac:dyDescent="0.25">
      <c r="K1755" s="8" t="e">
        <f t="shared" si="1"/>
        <v>#VALUE!</v>
      </c>
    </row>
    <row r="1756" spans="11:11" x14ac:dyDescent="0.25">
      <c r="K1756" s="8" t="e">
        <f t="shared" si="1"/>
        <v>#VALUE!</v>
      </c>
    </row>
    <row r="1757" spans="11:11" x14ac:dyDescent="0.25">
      <c r="K1757" s="8" t="e">
        <f t="shared" si="1"/>
        <v>#VALUE!</v>
      </c>
    </row>
    <row r="1758" spans="11:11" x14ac:dyDescent="0.25">
      <c r="K1758" s="8" t="e">
        <f t="shared" si="1"/>
        <v>#VALUE!</v>
      </c>
    </row>
    <row r="1759" spans="11:11" x14ac:dyDescent="0.25">
      <c r="K1759" s="8" t="e">
        <f t="shared" si="1"/>
        <v>#VALUE!</v>
      </c>
    </row>
    <row r="1760" spans="11:11" x14ac:dyDescent="0.25">
      <c r="K1760" s="8" t="e">
        <f t="shared" si="1"/>
        <v>#VALUE!</v>
      </c>
    </row>
    <row r="1761" spans="11:11" x14ac:dyDescent="0.25">
      <c r="K1761" s="8" t="e">
        <f t="shared" si="1"/>
        <v>#VALUE!</v>
      </c>
    </row>
    <row r="1762" spans="11:11" x14ac:dyDescent="0.25">
      <c r="K1762" s="8" t="e">
        <f t="shared" si="1"/>
        <v>#VALUE!</v>
      </c>
    </row>
    <row r="1763" spans="11:11" x14ac:dyDescent="0.25">
      <c r="K1763" s="8" t="e">
        <f t="shared" si="1"/>
        <v>#VALUE!</v>
      </c>
    </row>
    <row r="1764" spans="11:11" x14ac:dyDescent="0.25">
      <c r="K1764" s="8" t="e">
        <f t="shared" si="1"/>
        <v>#VALUE!</v>
      </c>
    </row>
    <row r="1765" spans="11:11" x14ac:dyDescent="0.25">
      <c r="K1765" s="8" t="e">
        <f t="shared" si="1"/>
        <v>#VALUE!</v>
      </c>
    </row>
    <row r="1766" spans="11:11" x14ac:dyDescent="0.25">
      <c r="K1766" s="8" t="e">
        <f t="shared" si="1"/>
        <v>#VALUE!</v>
      </c>
    </row>
    <row r="1767" spans="11:11" x14ac:dyDescent="0.25">
      <c r="K1767" s="8" t="e">
        <f t="shared" si="1"/>
        <v>#VALUE!</v>
      </c>
    </row>
    <row r="1768" spans="11:11" x14ac:dyDescent="0.25">
      <c r="K1768" s="8" t="e">
        <f t="shared" si="1"/>
        <v>#VALUE!</v>
      </c>
    </row>
    <row r="1769" spans="11:11" x14ac:dyDescent="0.25">
      <c r="K1769" s="8" t="e">
        <f t="shared" si="1"/>
        <v>#VALUE!</v>
      </c>
    </row>
    <row r="1770" spans="11:11" x14ac:dyDescent="0.25">
      <c r="K1770" s="8" t="e">
        <f t="shared" si="1"/>
        <v>#VALUE!</v>
      </c>
    </row>
    <row r="1771" spans="11:11" x14ac:dyDescent="0.25">
      <c r="K1771" s="8" t="e">
        <f t="shared" si="1"/>
        <v>#VALUE!</v>
      </c>
    </row>
    <row r="1772" spans="11:11" x14ac:dyDescent="0.25">
      <c r="K1772" s="8" t="e">
        <f t="shared" si="1"/>
        <v>#VALUE!</v>
      </c>
    </row>
    <row r="1773" spans="11:11" x14ac:dyDescent="0.25">
      <c r="K1773" s="8" t="e">
        <f t="shared" si="1"/>
        <v>#VALUE!</v>
      </c>
    </row>
    <row r="1774" spans="11:11" x14ac:dyDescent="0.25">
      <c r="K1774" s="8" t="e">
        <f t="shared" si="1"/>
        <v>#VALUE!</v>
      </c>
    </row>
    <row r="1775" spans="11:11" x14ac:dyDescent="0.25">
      <c r="K1775" s="8" t="e">
        <f t="shared" si="1"/>
        <v>#VALUE!</v>
      </c>
    </row>
    <row r="1776" spans="11:11" x14ac:dyDescent="0.25">
      <c r="K1776" s="8" t="e">
        <f t="shared" si="1"/>
        <v>#VALUE!</v>
      </c>
    </row>
    <row r="1777" spans="11:11" x14ac:dyDescent="0.25">
      <c r="K1777" s="8" t="e">
        <f t="shared" si="1"/>
        <v>#VALUE!</v>
      </c>
    </row>
    <row r="1778" spans="11:11" x14ac:dyDescent="0.25">
      <c r="K1778" s="8" t="e">
        <f t="shared" si="1"/>
        <v>#VALUE!</v>
      </c>
    </row>
    <row r="1779" spans="11:11" x14ac:dyDescent="0.25">
      <c r="K1779" s="8" t="e">
        <f t="shared" si="1"/>
        <v>#VALUE!</v>
      </c>
    </row>
    <row r="1780" spans="11:11" x14ac:dyDescent="0.25">
      <c r="K1780" s="8" t="e">
        <f t="shared" si="1"/>
        <v>#VALUE!</v>
      </c>
    </row>
    <row r="1781" spans="11:11" x14ac:dyDescent="0.25">
      <c r="K1781" s="8" t="e">
        <f t="shared" si="1"/>
        <v>#VALUE!</v>
      </c>
    </row>
    <row r="1782" spans="11:11" x14ac:dyDescent="0.25">
      <c r="K1782" s="8" t="e">
        <f t="shared" si="1"/>
        <v>#VALUE!</v>
      </c>
    </row>
    <row r="1783" spans="11:11" x14ac:dyDescent="0.25">
      <c r="K1783" s="8" t="e">
        <f t="shared" si="1"/>
        <v>#VALUE!</v>
      </c>
    </row>
    <row r="1784" spans="11:11" x14ac:dyDescent="0.25">
      <c r="K1784" s="8" t="e">
        <f t="shared" si="1"/>
        <v>#VALUE!</v>
      </c>
    </row>
    <row r="1785" spans="11:11" x14ac:dyDescent="0.25">
      <c r="K1785" s="8" t="e">
        <f t="shared" si="1"/>
        <v>#VALUE!</v>
      </c>
    </row>
    <row r="1786" spans="11:11" x14ac:dyDescent="0.25">
      <c r="K1786" s="8" t="e">
        <f t="shared" si="1"/>
        <v>#VALUE!</v>
      </c>
    </row>
    <row r="1787" spans="11:11" x14ac:dyDescent="0.25">
      <c r="K1787" s="8" t="e">
        <f t="shared" si="1"/>
        <v>#VALUE!</v>
      </c>
    </row>
    <row r="1788" spans="11:11" x14ac:dyDescent="0.25">
      <c r="K1788" s="8" t="e">
        <f t="shared" si="1"/>
        <v>#VALUE!</v>
      </c>
    </row>
    <row r="1789" spans="11:11" x14ac:dyDescent="0.25">
      <c r="K1789" s="8" t="e">
        <f t="shared" si="1"/>
        <v>#VALUE!</v>
      </c>
    </row>
    <row r="1790" spans="11:11" x14ac:dyDescent="0.25">
      <c r="K1790" s="8" t="e">
        <f t="shared" si="1"/>
        <v>#VALUE!</v>
      </c>
    </row>
    <row r="1791" spans="11:11" x14ac:dyDescent="0.25">
      <c r="K1791" s="8" t="e">
        <f t="shared" si="1"/>
        <v>#VALUE!</v>
      </c>
    </row>
    <row r="1792" spans="11:11" x14ac:dyDescent="0.25">
      <c r="K1792" s="8" t="e">
        <f t="shared" si="1"/>
        <v>#VALUE!</v>
      </c>
    </row>
    <row r="1793" spans="11:11" x14ac:dyDescent="0.25">
      <c r="K1793" s="8" t="e">
        <f t="shared" si="1"/>
        <v>#VALUE!</v>
      </c>
    </row>
    <row r="1794" spans="11:11" x14ac:dyDescent="0.25">
      <c r="K1794" s="8" t="e">
        <f t="shared" si="1"/>
        <v>#VALUE!</v>
      </c>
    </row>
    <row r="1795" spans="11:11" x14ac:dyDescent="0.25">
      <c r="K1795" s="8" t="e">
        <f t="shared" ref="K1795:K1858" si="2">LEFT(A1795,FIND("/",A1795)-1)</f>
        <v>#VALUE!</v>
      </c>
    </row>
    <row r="1796" spans="11:11" x14ac:dyDescent="0.25">
      <c r="K1796" s="8" t="e">
        <f t="shared" si="2"/>
        <v>#VALUE!</v>
      </c>
    </row>
    <row r="1797" spans="11:11" x14ac:dyDescent="0.25">
      <c r="K1797" s="8" t="e">
        <f t="shared" si="2"/>
        <v>#VALUE!</v>
      </c>
    </row>
    <row r="1798" spans="11:11" x14ac:dyDescent="0.25">
      <c r="K1798" s="8" t="e">
        <f t="shared" si="2"/>
        <v>#VALUE!</v>
      </c>
    </row>
    <row r="1799" spans="11:11" x14ac:dyDescent="0.25">
      <c r="K1799" s="8" t="e">
        <f t="shared" si="2"/>
        <v>#VALUE!</v>
      </c>
    </row>
    <row r="1800" spans="11:11" x14ac:dyDescent="0.25">
      <c r="K1800" s="8" t="e">
        <f t="shared" si="2"/>
        <v>#VALUE!</v>
      </c>
    </row>
    <row r="1801" spans="11:11" x14ac:dyDescent="0.25">
      <c r="K1801" s="8" t="e">
        <f t="shared" si="2"/>
        <v>#VALUE!</v>
      </c>
    </row>
    <row r="1802" spans="11:11" x14ac:dyDescent="0.25">
      <c r="K1802" s="8" t="e">
        <f t="shared" si="2"/>
        <v>#VALUE!</v>
      </c>
    </row>
    <row r="1803" spans="11:11" x14ac:dyDescent="0.25">
      <c r="K1803" s="8" t="e">
        <f t="shared" si="2"/>
        <v>#VALUE!</v>
      </c>
    </row>
    <row r="1804" spans="11:11" x14ac:dyDescent="0.25">
      <c r="K1804" s="8" t="e">
        <f t="shared" si="2"/>
        <v>#VALUE!</v>
      </c>
    </row>
    <row r="1805" spans="11:11" x14ac:dyDescent="0.25">
      <c r="K1805" s="8" t="e">
        <f t="shared" si="2"/>
        <v>#VALUE!</v>
      </c>
    </row>
    <row r="1806" spans="11:11" x14ac:dyDescent="0.25">
      <c r="K1806" s="8" t="e">
        <f t="shared" si="2"/>
        <v>#VALUE!</v>
      </c>
    </row>
    <row r="1807" spans="11:11" x14ac:dyDescent="0.25">
      <c r="K1807" s="8" t="e">
        <f t="shared" si="2"/>
        <v>#VALUE!</v>
      </c>
    </row>
    <row r="1808" spans="11:11" x14ac:dyDescent="0.25">
      <c r="K1808" s="8" t="e">
        <f t="shared" si="2"/>
        <v>#VALUE!</v>
      </c>
    </row>
    <row r="1809" spans="11:11" x14ac:dyDescent="0.25">
      <c r="K1809" s="8" t="e">
        <f t="shared" si="2"/>
        <v>#VALUE!</v>
      </c>
    </row>
    <row r="1810" spans="11:11" x14ac:dyDescent="0.25">
      <c r="K1810" s="8" t="e">
        <f t="shared" si="2"/>
        <v>#VALUE!</v>
      </c>
    </row>
    <row r="1811" spans="11:11" x14ac:dyDescent="0.25">
      <c r="K1811" s="8" t="e">
        <f t="shared" si="2"/>
        <v>#VALUE!</v>
      </c>
    </row>
    <row r="1812" spans="11:11" x14ac:dyDescent="0.25">
      <c r="K1812" s="8" t="e">
        <f t="shared" si="2"/>
        <v>#VALUE!</v>
      </c>
    </row>
    <row r="1813" spans="11:11" x14ac:dyDescent="0.25">
      <c r="K1813" s="8" t="e">
        <f t="shared" si="2"/>
        <v>#VALUE!</v>
      </c>
    </row>
    <row r="1814" spans="11:11" x14ac:dyDescent="0.25">
      <c r="K1814" s="8" t="e">
        <f t="shared" si="2"/>
        <v>#VALUE!</v>
      </c>
    </row>
    <row r="1815" spans="11:11" x14ac:dyDescent="0.25">
      <c r="K1815" s="8" t="e">
        <f t="shared" si="2"/>
        <v>#VALUE!</v>
      </c>
    </row>
    <row r="1816" spans="11:11" x14ac:dyDescent="0.25">
      <c r="K1816" s="8" t="e">
        <f t="shared" si="2"/>
        <v>#VALUE!</v>
      </c>
    </row>
    <row r="1817" spans="11:11" x14ac:dyDescent="0.25">
      <c r="K1817" s="8" t="e">
        <f t="shared" si="2"/>
        <v>#VALUE!</v>
      </c>
    </row>
    <row r="1818" spans="11:11" x14ac:dyDescent="0.25">
      <c r="K1818" s="8" t="e">
        <f t="shared" si="2"/>
        <v>#VALUE!</v>
      </c>
    </row>
    <row r="1819" spans="11:11" x14ac:dyDescent="0.25">
      <c r="K1819" s="8" t="e">
        <f t="shared" si="2"/>
        <v>#VALUE!</v>
      </c>
    </row>
    <row r="1820" spans="11:11" x14ac:dyDescent="0.25">
      <c r="K1820" s="8" t="e">
        <f t="shared" si="2"/>
        <v>#VALUE!</v>
      </c>
    </row>
    <row r="1821" spans="11:11" x14ac:dyDescent="0.25">
      <c r="K1821" s="8" t="e">
        <f t="shared" si="2"/>
        <v>#VALUE!</v>
      </c>
    </row>
    <row r="1822" spans="11:11" x14ac:dyDescent="0.25">
      <c r="K1822" s="8" t="e">
        <f t="shared" si="2"/>
        <v>#VALUE!</v>
      </c>
    </row>
    <row r="1823" spans="11:11" x14ac:dyDescent="0.25">
      <c r="K1823" s="8" t="e">
        <f t="shared" si="2"/>
        <v>#VALUE!</v>
      </c>
    </row>
    <row r="1824" spans="11:11" x14ac:dyDescent="0.25">
      <c r="K1824" s="8" t="e">
        <f t="shared" si="2"/>
        <v>#VALUE!</v>
      </c>
    </row>
    <row r="1825" spans="11:11" x14ac:dyDescent="0.25">
      <c r="K1825" s="8" t="e">
        <f t="shared" si="2"/>
        <v>#VALUE!</v>
      </c>
    </row>
    <row r="1826" spans="11:11" x14ac:dyDescent="0.25">
      <c r="K1826" s="8" t="e">
        <f t="shared" si="2"/>
        <v>#VALUE!</v>
      </c>
    </row>
    <row r="1827" spans="11:11" x14ac:dyDescent="0.25">
      <c r="K1827" s="8" t="e">
        <f t="shared" si="2"/>
        <v>#VALUE!</v>
      </c>
    </row>
    <row r="1828" spans="11:11" x14ac:dyDescent="0.25">
      <c r="K1828" s="8" t="e">
        <f t="shared" si="2"/>
        <v>#VALUE!</v>
      </c>
    </row>
    <row r="1829" spans="11:11" x14ac:dyDescent="0.25">
      <c r="K1829" s="8" t="e">
        <f t="shared" si="2"/>
        <v>#VALUE!</v>
      </c>
    </row>
    <row r="1830" spans="11:11" x14ac:dyDescent="0.25">
      <c r="K1830" s="8" t="e">
        <f t="shared" si="2"/>
        <v>#VALUE!</v>
      </c>
    </row>
    <row r="1831" spans="11:11" x14ac:dyDescent="0.25">
      <c r="K1831" s="8" t="e">
        <f t="shared" si="2"/>
        <v>#VALUE!</v>
      </c>
    </row>
    <row r="1832" spans="11:11" x14ac:dyDescent="0.25">
      <c r="K1832" s="8" t="e">
        <f t="shared" si="2"/>
        <v>#VALUE!</v>
      </c>
    </row>
    <row r="1833" spans="11:11" x14ac:dyDescent="0.25">
      <c r="K1833" s="8" t="e">
        <f t="shared" si="2"/>
        <v>#VALUE!</v>
      </c>
    </row>
    <row r="1834" spans="11:11" x14ac:dyDescent="0.25">
      <c r="K1834" s="8" t="e">
        <f t="shared" si="2"/>
        <v>#VALUE!</v>
      </c>
    </row>
    <row r="1835" spans="11:11" x14ac:dyDescent="0.25">
      <c r="K1835" s="8" t="e">
        <f t="shared" si="2"/>
        <v>#VALUE!</v>
      </c>
    </row>
    <row r="1836" spans="11:11" x14ac:dyDescent="0.25">
      <c r="K1836" s="8" t="e">
        <f t="shared" si="2"/>
        <v>#VALUE!</v>
      </c>
    </row>
    <row r="1837" spans="11:11" x14ac:dyDescent="0.25">
      <c r="K1837" s="8" t="e">
        <f t="shared" si="2"/>
        <v>#VALUE!</v>
      </c>
    </row>
    <row r="1838" spans="11:11" x14ac:dyDescent="0.25">
      <c r="K1838" s="8" t="e">
        <f t="shared" si="2"/>
        <v>#VALUE!</v>
      </c>
    </row>
    <row r="1839" spans="11:11" x14ac:dyDescent="0.25">
      <c r="K1839" s="8" t="e">
        <f t="shared" si="2"/>
        <v>#VALUE!</v>
      </c>
    </row>
    <row r="1840" spans="11:11" x14ac:dyDescent="0.25">
      <c r="K1840" s="8" t="e">
        <f t="shared" si="2"/>
        <v>#VALUE!</v>
      </c>
    </row>
    <row r="1841" spans="11:11" x14ac:dyDescent="0.25">
      <c r="K1841" s="8" t="e">
        <f t="shared" si="2"/>
        <v>#VALUE!</v>
      </c>
    </row>
    <row r="1842" spans="11:11" x14ac:dyDescent="0.25">
      <c r="K1842" s="8" t="e">
        <f t="shared" si="2"/>
        <v>#VALUE!</v>
      </c>
    </row>
    <row r="1843" spans="11:11" x14ac:dyDescent="0.25">
      <c r="K1843" s="8" t="e">
        <f t="shared" si="2"/>
        <v>#VALUE!</v>
      </c>
    </row>
    <row r="1844" spans="11:11" x14ac:dyDescent="0.25">
      <c r="K1844" s="8" t="e">
        <f t="shared" si="2"/>
        <v>#VALUE!</v>
      </c>
    </row>
    <row r="1845" spans="11:11" x14ac:dyDescent="0.25">
      <c r="K1845" s="8" t="e">
        <f t="shared" si="2"/>
        <v>#VALUE!</v>
      </c>
    </row>
    <row r="1846" spans="11:11" x14ac:dyDescent="0.25">
      <c r="K1846" s="8" t="e">
        <f t="shared" si="2"/>
        <v>#VALUE!</v>
      </c>
    </row>
    <row r="1847" spans="11:11" x14ac:dyDescent="0.25">
      <c r="K1847" s="8" t="e">
        <f t="shared" si="2"/>
        <v>#VALUE!</v>
      </c>
    </row>
    <row r="1848" spans="11:11" x14ac:dyDescent="0.25">
      <c r="K1848" s="8" t="e">
        <f t="shared" si="2"/>
        <v>#VALUE!</v>
      </c>
    </row>
    <row r="1849" spans="11:11" x14ac:dyDescent="0.25">
      <c r="K1849" s="8" t="e">
        <f t="shared" si="2"/>
        <v>#VALUE!</v>
      </c>
    </row>
    <row r="1850" spans="11:11" x14ac:dyDescent="0.25">
      <c r="K1850" s="8" t="e">
        <f t="shared" si="2"/>
        <v>#VALUE!</v>
      </c>
    </row>
    <row r="1851" spans="11:11" x14ac:dyDescent="0.25">
      <c r="K1851" s="8" t="e">
        <f t="shared" si="2"/>
        <v>#VALUE!</v>
      </c>
    </row>
    <row r="1852" spans="11:11" x14ac:dyDescent="0.25">
      <c r="K1852" s="8" t="e">
        <f t="shared" si="2"/>
        <v>#VALUE!</v>
      </c>
    </row>
    <row r="1853" spans="11:11" x14ac:dyDescent="0.25">
      <c r="K1853" s="8" t="e">
        <f t="shared" si="2"/>
        <v>#VALUE!</v>
      </c>
    </row>
    <row r="1854" spans="11:11" x14ac:dyDescent="0.25">
      <c r="K1854" s="8" t="e">
        <f t="shared" si="2"/>
        <v>#VALUE!</v>
      </c>
    </row>
    <row r="1855" spans="11:11" x14ac:dyDescent="0.25">
      <c r="K1855" s="8" t="e">
        <f t="shared" si="2"/>
        <v>#VALUE!</v>
      </c>
    </row>
    <row r="1856" spans="11:11" x14ac:dyDescent="0.25">
      <c r="K1856" s="8" t="e">
        <f t="shared" si="2"/>
        <v>#VALUE!</v>
      </c>
    </row>
    <row r="1857" spans="11:11" x14ac:dyDescent="0.25">
      <c r="K1857" s="8" t="e">
        <f t="shared" si="2"/>
        <v>#VALUE!</v>
      </c>
    </row>
    <row r="1858" spans="11:11" x14ac:dyDescent="0.25">
      <c r="K1858" s="8" t="e">
        <f t="shared" si="2"/>
        <v>#VALUE!</v>
      </c>
    </row>
    <row r="1859" spans="11:11" x14ac:dyDescent="0.25">
      <c r="K1859" s="8" t="e">
        <f t="shared" ref="K1859:K1922" si="3">LEFT(A1859,FIND("/",A1859)-1)</f>
        <v>#VALUE!</v>
      </c>
    </row>
    <row r="1860" spans="11:11" x14ac:dyDescent="0.25">
      <c r="K1860" s="8" t="e">
        <f t="shared" si="3"/>
        <v>#VALUE!</v>
      </c>
    </row>
    <row r="1861" spans="11:11" x14ac:dyDescent="0.25">
      <c r="K1861" s="8" t="e">
        <f t="shared" si="3"/>
        <v>#VALUE!</v>
      </c>
    </row>
    <row r="1862" spans="11:11" x14ac:dyDescent="0.25">
      <c r="K1862" s="8" t="e">
        <f t="shared" si="3"/>
        <v>#VALUE!</v>
      </c>
    </row>
    <row r="1863" spans="11:11" x14ac:dyDescent="0.25">
      <c r="K1863" s="8" t="e">
        <f t="shared" si="3"/>
        <v>#VALUE!</v>
      </c>
    </row>
    <row r="1864" spans="11:11" x14ac:dyDescent="0.25">
      <c r="K1864" s="8" t="e">
        <f t="shared" si="3"/>
        <v>#VALUE!</v>
      </c>
    </row>
    <row r="1865" spans="11:11" x14ac:dyDescent="0.25">
      <c r="K1865" s="8" t="e">
        <f t="shared" si="3"/>
        <v>#VALUE!</v>
      </c>
    </row>
    <row r="1866" spans="11:11" x14ac:dyDescent="0.25">
      <c r="K1866" s="8" t="e">
        <f t="shared" si="3"/>
        <v>#VALUE!</v>
      </c>
    </row>
    <row r="1867" spans="11:11" x14ac:dyDescent="0.25">
      <c r="K1867" s="8" t="e">
        <f t="shared" si="3"/>
        <v>#VALUE!</v>
      </c>
    </row>
    <row r="1868" spans="11:11" x14ac:dyDescent="0.25">
      <c r="K1868" s="8" t="e">
        <f t="shared" si="3"/>
        <v>#VALUE!</v>
      </c>
    </row>
    <row r="1869" spans="11:11" x14ac:dyDescent="0.25">
      <c r="K1869" s="8" t="e">
        <f t="shared" si="3"/>
        <v>#VALUE!</v>
      </c>
    </row>
    <row r="1870" spans="11:11" x14ac:dyDescent="0.25">
      <c r="K1870" s="8" t="e">
        <f t="shared" si="3"/>
        <v>#VALUE!</v>
      </c>
    </row>
    <row r="1871" spans="11:11" x14ac:dyDescent="0.25">
      <c r="K1871" s="8" t="e">
        <f t="shared" si="3"/>
        <v>#VALUE!</v>
      </c>
    </row>
    <row r="1872" spans="11:11" x14ac:dyDescent="0.25">
      <c r="K1872" s="8" t="e">
        <f t="shared" si="3"/>
        <v>#VALUE!</v>
      </c>
    </row>
    <row r="1873" spans="11:11" x14ac:dyDescent="0.25">
      <c r="K1873" s="8" t="e">
        <f t="shared" si="3"/>
        <v>#VALUE!</v>
      </c>
    </row>
    <row r="1874" spans="11:11" x14ac:dyDescent="0.25">
      <c r="K1874" s="8" t="e">
        <f t="shared" si="3"/>
        <v>#VALUE!</v>
      </c>
    </row>
    <row r="1875" spans="11:11" x14ac:dyDescent="0.25">
      <c r="K1875" s="8" t="e">
        <f t="shared" si="3"/>
        <v>#VALUE!</v>
      </c>
    </row>
    <row r="1876" spans="11:11" x14ac:dyDescent="0.25">
      <c r="K1876" s="8" t="e">
        <f t="shared" si="3"/>
        <v>#VALUE!</v>
      </c>
    </row>
    <row r="1877" spans="11:11" x14ac:dyDescent="0.25">
      <c r="K1877" s="8" t="e">
        <f t="shared" si="3"/>
        <v>#VALUE!</v>
      </c>
    </row>
    <row r="1878" spans="11:11" x14ac:dyDescent="0.25">
      <c r="K1878" s="8" t="e">
        <f t="shared" si="3"/>
        <v>#VALUE!</v>
      </c>
    </row>
    <row r="1879" spans="11:11" x14ac:dyDescent="0.25">
      <c r="K1879" s="8" t="e">
        <f t="shared" si="3"/>
        <v>#VALUE!</v>
      </c>
    </row>
    <row r="1880" spans="11:11" x14ac:dyDescent="0.25">
      <c r="K1880" s="8" t="e">
        <f t="shared" si="3"/>
        <v>#VALUE!</v>
      </c>
    </row>
    <row r="1881" spans="11:11" x14ac:dyDescent="0.25">
      <c r="K1881" s="8" t="e">
        <f t="shared" si="3"/>
        <v>#VALUE!</v>
      </c>
    </row>
    <row r="1882" spans="11:11" x14ac:dyDescent="0.25">
      <c r="K1882" s="8" t="e">
        <f t="shared" si="3"/>
        <v>#VALUE!</v>
      </c>
    </row>
    <row r="1883" spans="11:11" x14ac:dyDescent="0.25">
      <c r="K1883" s="8" t="e">
        <f t="shared" si="3"/>
        <v>#VALUE!</v>
      </c>
    </row>
    <row r="1884" spans="11:11" x14ac:dyDescent="0.25">
      <c r="K1884" s="8" t="e">
        <f t="shared" si="3"/>
        <v>#VALUE!</v>
      </c>
    </row>
    <row r="1885" spans="11:11" x14ac:dyDescent="0.25">
      <c r="K1885" s="8" t="e">
        <f t="shared" si="3"/>
        <v>#VALUE!</v>
      </c>
    </row>
    <row r="1886" spans="11:11" x14ac:dyDescent="0.25">
      <c r="K1886" s="8" t="e">
        <f t="shared" si="3"/>
        <v>#VALUE!</v>
      </c>
    </row>
    <row r="1887" spans="11:11" x14ac:dyDescent="0.25">
      <c r="K1887" s="8" t="e">
        <f t="shared" si="3"/>
        <v>#VALUE!</v>
      </c>
    </row>
    <row r="1888" spans="11:11" x14ac:dyDescent="0.25">
      <c r="K1888" s="8" t="e">
        <f t="shared" si="3"/>
        <v>#VALUE!</v>
      </c>
    </row>
    <row r="1889" spans="11:11" x14ac:dyDescent="0.25">
      <c r="K1889" s="8" t="e">
        <f t="shared" si="3"/>
        <v>#VALUE!</v>
      </c>
    </row>
    <row r="1890" spans="11:11" x14ac:dyDescent="0.25">
      <c r="K1890" s="8" t="e">
        <f t="shared" si="3"/>
        <v>#VALUE!</v>
      </c>
    </row>
    <row r="1891" spans="11:11" x14ac:dyDescent="0.25">
      <c r="K1891" s="8" t="e">
        <f t="shared" si="3"/>
        <v>#VALUE!</v>
      </c>
    </row>
    <row r="1892" spans="11:11" x14ac:dyDescent="0.25">
      <c r="K1892" s="8" t="e">
        <f t="shared" si="3"/>
        <v>#VALUE!</v>
      </c>
    </row>
    <row r="1893" spans="11:11" x14ac:dyDescent="0.25">
      <c r="K1893" s="8" t="e">
        <f t="shared" si="3"/>
        <v>#VALUE!</v>
      </c>
    </row>
    <row r="1894" spans="11:11" x14ac:dyDescent="0.25">
      <c r="K1894" s="8" t="e">
        <f t="shared" si="3"/>
        <v>#VALUE!</v>
      </c>
    </row>
    <row r="1895" spans="11:11" x14ac:dyDescent="0.25">
      <c r="K1895" s="8" t="e">
        <f t="shared" si="3"/>
        <v>#VALUE!</v>
      </c>
    </row>
    <row r="1896" spans="11:11" x14ac:dyDescent="0.25">
      <c r="K1896" s="8" t="e">
        <f t="shared" si="3"/>
        <v>#VALUE!</v>
      </c>
    </row>
    <row r="1897" spans="11:11" x14ac:dyDescent="0.25">
      <c r="K1897" s="8" t="e">
        <f t="shared" si="3"/>
        <v>#VALUE!</v>
      </c>
    </row>
    <row r="1898" spans="11:11" x14ac:dyDescent="0.25">
      <c r="K1898" s="8" t="e">
        <f t="shared" si="3"/>
        <v>#VALUE!</v>
      </c>
    </row>
    <row r="1899" spans="11:11" x14ac:dyDescent="0.25">
      <c r="K1899" s="8" t="e">
        <f t="shared" si="3"/>
        <v>#VALUE!</v>
      </c>
    </row>
    <row r="1900" spans="11:11" x14ac:dyDescent="0.25">
      <c r="K1900" s="8" t="e">
        <f t="shared" si="3"/>
        <v>#VALUE!</v>
      </c>
    </row>
    <row r="1901" spans="11:11" x14ac:dyDescent="0.25">
      <c r="K1901" s="8" t="e">
        <f t="shared" si="3"/>
        <v>#VALUE!</v>
      </c>
    </row>
    <row r="1902" spans="11:11" x14ac:dyDescent="0.25">
      <c r="K1902" s="8" t="e">
        <f t="shared" si="3"/>
        <v>#VALUE!</v>
      </c>
    </row>
    <row r="1903" spans="11:11" x14ac:dyDescent="0.25">
      <c r="K1903" s="8" t="e">
        <f t="shared" si="3"/>
        <v>#VALUE!</v>
      </c>
    </row>
    <row r="1904" spans="11:11" x14ac:dyDescent="0.25">
      <c r="K1904" s="8" t="e">
        <f t="shared" si="3"/>
        <v>#VALUE!</v>
      </c>
    </row>
    <row r="1905" spans="11:11" x14ac:dyDescent="0.25">
      <c r="K1905" s="8" t="e">
        <f t="shared" si="3"/>
        <v>#VALUE!</v>
      </c>
    </row>
    <row r="1906" spans="11:11" x14ac:dyDescent="0.25">
      <c r="K1906" s="8" t="e">
        <f t="shared" si="3"/>
        <v>#VALUE!</v>
      </c>
    </row>
    <row r="1907" spans="11:11" x14ac:dyDescent="0.25">
      <c r="K1907" s="8" t="e">
        <f t="shared" si="3"/>
        <v>#VALUE!</v>
      </c>
    </row>
    <row r="1908" spans="11:11" x14ac:dyDescent="0.25">
      <c r="K1908" s="8" t="e">
        <f t="shared" si="3"/>
        <v>#VALUE!</v>
      </c>
    </row>
    <row r="1909" spans="11:11" x14ac:dyDescent="0.25">
      <c r="K1909" s="8" t="e">
        <f t="shared" si="3"/>
        <v>#VALUE!</v>
      </c>
    </row>
    <row r="1910" spans="11:11" x14ac:dyDescent="0.25">
      <c r="K1910" s="8" t="e">
        <f t="shared" si="3"/>
        <v>#VALUE!</v>
      </c>
    </row>
    <row r="1911" spans="11:11" x14ac:dyDescent="0.25">
      <c r="K1911" s="8" t="e">
        <f t="shared" si="3"/>
        <v>#VALUE!</v>
      </c>
    </row>
    <row r="1912" spans="11:11" x14ac:dyDescent="0.25">
      <c r="K1912" s="8" t="e">
        <f t="shared" si="3"/>
        <v>#VALUE!</v>
      </c>
    </row>
    <row r="1913" spans="11:11" x14ac:dyDescent="0.25">
      <c r="K1913" s="8" t="e">
        <f t="shared" si="3"/>
        <v>#VALUE!</v>
      </c>
    </row>
    <row r="1914" spans="11:11" x14ac:dyDescent="0.25">
      <c r="K1914" s="8" t="e">
        <f t="shared" si="3"/>
        <v>#VALUE!</v>
      </c>
    </row>
    <row r="1915" spans="11:11" x14ac:dyDescent="0.25">
      <c r="K1915" s="8" t="e">
        <f t="shared" si="3"/>
        <v>#VALUE!</v>
      </c>
    </row>
    <row r="1916" spans="11:11" x14ac:dyDescent="0.25">
      <c r="K1916" s="8" t="e">
        <f t="shared" si="3"/>
        <v>#VALUE!</v>
      </c>
    </row>
    <row r="1917" spans="11:11" x14ac:dyDescent="0.25">
      <c r="K1917" s="8" t="e">
        <f t="shared" si="3"/>
        <v>#VALUE!</v>
      </c>
    </row>
    <row r="1918" spans="11:11" x14ac:dyDescent="0.25">
      <c r="K1918" s="8" t="e">
        <f t="shared" si="3"/>
        <v>#VALUE!</v>
      </c>
    </row>
    <row r="1919" spans="11:11" x14ac:dyDescent="0.25">
      <c r="K1919" s="8" t="e">
        <f t="shared" si="3"/>
        <v>#VALUE!</v>
      </c>
    </row>
    <row r="1920" spans="11:11" x14ac:dyDescent="0.25">
      <c r="K1920" s="8" t="e">
        <f t="shared" si="3"/>
        <v>#VALUE!</v>
      </c>
    </row>
    <row r="1921" spans="11:11" x14ac:dyDescent="0.25">
      <c r="K1921" s="8" t="e">
        <f t="shared" si="3"/>
        <v>#VALUE!</v>
      </c>
    </row>
    <row r="1922" spans="11:11" x14ac:dyDescent="0.25">
      <c r="K1922" s="8" t="e">
        <f t="shared" si="3"/>
        <v>#VALUE!</v>
      </c>
    </row>
    <row r="1923" spans="11:11" x14ac:dyDescent="0.25">
      <c r="K1923" s="8" t="e">
        <f t="shared" ref="K1923:K1986" si="4">LEFT(A1923,FIND("/",A1923)-1)</f>
        <v>#VALUE!</v>
      </c>
    </row>
    <row r="1924" spans="11:11" x14ac:dyDescent="0.25">
      <c r="K1924" s="8" t="e">
        <f t="shared" si="4"/>
        <v>#VALUE!</v>
      </c>
    </row>
    <row r="1925" spans="11:11" x14ac:dyDescent="0.25">
      <c r="K1925" s="8" t="e">
        <f t="shared" si="4"/>
        <v>#VALUE!</v>
      </c>
    </row>
    <row r="1926" spans="11:11" x14ac:dyDescent="0.25">
      <c r="K1926" s="8" t="e">
        <f t="shared" si="4"/>
        <v>#VALUE!</v>
      </c>
    </row>
    <row r="1927" spans="11:11" x14ac:dyDescent="0.25">
      <c r="K1927" s="8" t="e">
        <f t="shared" si="4"/>
        <v>#VALUE!</v>
      </c>
    </row>
    <row r="1928" spans="11:11" x14ac:dyDescent="0.25">
      <c r="K1928" s="8" t="e">
        <f t="shared" si="4"/>
        <v>#VALUE!</v>
      </c>
    </row>
    <row r="1929" spans="11:11" x14ac:dyDescent="0.25">
      <c r="K1929" s="8" t="e">
        <f t="shared" si="4"/>
        <v>#VALUE!</v>
      </c>
    </row>
    <row r="1930" spans="11:11" x14ac:dyDescent="0.25">
      <c r="K1930" s="8" t="e">
        <f t="shared" si="4"/>
        <v>#VALUE!</v>
      </c>
    </row>
    <row r="1931" spans="11:11" x14ac:dyDescent="0.25">
      <c r="K1931" s="8" t="e">
        <f t="shared" si="4"/>
        <v>#VALUE!</v>
      </c>
    </row>
    <row r="1932" spans="11:11" x14ac:dyDescent="0.25">
      <c r="K1932" s="8" t="e">
        <f t="shared" si="4"/>
        <v>#VALUE!</v>
      </c>
    </row>
    <row r="1933" spans="11:11" x14ac:dyDescent="0.25">
      <c r="K1933" s="8" t="e">
        <f t="shared" si="4"/>
        <v>#VALUE!</v>
      </c>
    </row>
    <row r="1934" spans="11:11" x14ac:dyDescent="0.25">
      <c r="K1934" s="8" t="e">
        <f t="shared" si="4"/>
        <v>#VALUE!</v>
      </c>
    </row>
    <row r="1935" spans="11:11" x14ac:dyDescent="0.25">
      <c r="K1935" s="8" t="e">
        <f t="shared" si="4"/>
        <v>#VALUE!</v>
      </c>
    </row>
    <row r="1936" spans="11:11" x14ac:dyDescent="0.25">
      <c r="K1936" s="8" t="e">
        <f t="shared" si="4"/>
        <v>#VALUE!</v>
      </c>
    </row>
    <row r="1937" spans="11:11" x14ac:dyDescent="0.25">
      <c r="K1937" s="8" t="e">
        <f t="shared" si="4"/>
        <v>#VALUE!</v>
      </c>
    </row>
    <row r="1938" spans="11:11" x14ac:dyDescent="0.25">
      <c r="K1938" s="8" t="e">
        <f t="shared" si="4"/>
        <v>#VALUE!</v>
      </c>
    </row>
    <row r="1939" spans="11:11" x14ac:dyDescent="0.25">
      <c r="K1939" s="8" t="e">
        <f t="shared" si="4"/>
        <v>#VALUE!</v>
      </c>
    </row>
    <row r="1940" spans="11:11" x14ac:dyDescent="0.25">
      <c r="K1940" s="8" t="e">
        <f t="shared" si="4"/>
        <v>#VALUE!</v>
      </c>
    </row>
    <row r="1941" spans="11:11" x14ac:dyDescent="0.25">
      <c r="K1941" s="8" t="e">
        <f t="shared" si="4"/>
        <v>#VALUE!</v>
      </c>
    </row>
    <row r="1942" spans="11:11" x14ac:dyDescent="0.25">
      <c r="K1942" s="8" t="e">
        <f t="shared" si="4"/>
        <v>#VALUE!</v>
      </c>
    </row>
    <row r="1943" spans="11:11" x14ac:dyDescent="0.25">
      <c r="K1943" s="8" t="e">
        <f t="shared" si="4"/>
        <v>#VALUE!</v>
      </c>
    </row>
    <row r="1944" spans="11:11" x14ac:dyDescent="0.25">
      <c r="K1944" s="8" t="e">
        <f t="shared" si="4"/>
        <v>#VALUE!</v>
      </c>
    </row>
    <row r="1945" spans="11:11" x14ac:dyDescent="0.25">
      <c r="K1945" s="8" t="e">
        <f t="shared" si="4"/>
        <v>#VALUE!</v>
      </c>
    </row>
    <row r="1946" spans="11:11" x14ac:dyDescent="0.25">
      <c r="K1946" s="8" t="e">
        <f t="shared" si="4"/>
        <v>#VALUE!</v>
      </c>
    </row>
    <row r="1947" spans="11:11" x14ac:dyDescent="0.25">
      <c r="K1947" s="8" t="e">
        <f t="shared" si="4"/>
        <v>#VALUE!</v>
      </c>
    </row>
    <row r="1948" spans="11:11" x14ac:dyDescent="0.25">
      <c r="K1948" s="8" t="e">
        <f t="shared" si="4"/>
        <v>#VALUE!</v>
      </c>
    </row>
    <row r="1949" spans="11:11" x14ac:dyDescent="0.25">
      <c r="K1949" s="8" t="e">
        <f t="shared" si="4"/>
        <v>#VALUE!</v>
      </c>
    </row>
    <row r="1950" spans="11:11" x14ac:dyDescent="0.25">
      <c r="K1950" s="8" t="e">
        <f t="shared" si="4"/>
        <v>#VALUE!</v>
      </c>
    </row>
    <row r="1951" spans="11:11" x14ac:dyDescent="0.25">
      <c r="K1951" s="8" t="e">
        <f t="shared" si="4"/>
        <v>#VALUE!</v>
      </c>
    </row>
    <row r="1952" spans="11:11" x14ac:dyDescent="0.25">
      <c r="K1952" s="8" t="e">
        <f t="shared" si="4"/>
        <v>#VALUE!</v>
      </c>
    </row>
    <row r="1953" spans="11:11" x14ac:dyDescent="0.25">
      <c r="K1953" s="8" t="e">
        <f t="shared" si="4"/>
        <v>#VALUE!</v>
      </c>
    </row>
    <row r="1954" spans="11:11" x14ac:dyDescent="0.25">
      <c r="K1954" s="8" t="e">
        <f t="shared" si="4"/>
        <v>#VALUE!</v>
      </c>
    </row>
    <row r="1955" spans="11:11" x14ac:dyDescent="0.25">
      <c r="K1955" s="8" t="e">
        <f t="shared" si="4"/>
        <v>#VALUE!</v>
      </c>
    </row>
    <row r="1956" spans="11:11" x14ac:dyDescent="0.25">
      <c r="K1956" s="8" t="e">
        <f t="shared" si="4"/>
        <v>#VALUE!</v>
      </c>
    </row>
    <row r="1957" spans="11:11" x14ac:dyDescent="0.25">
      <c r="K1957" s="8" t="e">
        <f t="shared" si="4"/>
        <v>#VALUE!</v>
      </c>
    </row>
    <row r="1958" spans="11:11" x14ac:dyDescent="0.25">
      <c r="K1958" s="8" t="e">
        <f t="shared" si="4"/>
        <v>#VALUE!</v>
      </c>
    </row>
    <row r="1959" spans="11:11" x14ac:dyDescent="0.25">
      <c r="K1959" s="8" t="e">
        <f t="shared" si="4"/>
        <v>#VALUE!</v>
      </c>
    </row>
    <row r="1960" spans="11:11" x14ac:dyDescent="0.25">
      <c r="K1960" s="8" t="e">
        <f t="shared" si="4"/>
        <v>#VALUE!</v>
      </c>
    </row>
    <row r="1961" spans="11:11" x14ac:dyDescent="0.25">
      <c r="K1961" s="8" t="e">
        <f t="shared" si="4"/>
        <v>#VALUE!</v>
      </c>
    </row>
    <row r="1962" spans="11:11" x14ac:dyDescent="0.25">
      <c r="K1962" s="8" t="e">
        <f t="shared" si="4"/>
        <v>#VALUE!</v>
      </c>
    </row>
    <row r="1963" spans="11:11" x14ac:dyDescent="0.25">
      <c r="K1963" s="8" t="e">
        <f t="shared" si="4"/>
        <v>#VALUE!</v>
      </c>
    </row>
    <row r="1964" spans="11:11" x14ac:dyDescent="0.25">
      <c r="K1964" s="8" t="e">
        <f t="shared" si="4"/>
        <v>#VALUE!</v>
      </c>
    </row>
    <row r="1965" spans="11:11" x14ac:dyDescent="0.25">
      <c r="K1965" s="8" t="e">
        <f t="shared" si="4"/>
        <v>#VALUE!</v>
      </c>
    </row>
    <row r="1966" spans="11:11" x14ac:dyDescent="0.25">
      <c r="K1966" s="8" t="e">
        <f t="shared" si="4"/>
        <v>#VALUE!</v>
      </c>
    </row>
    <row r="1967" spans="11:11" x14ac:dyDescent="0.25">
      <c r="K1967" s="8" t="e">
        <f t="shared" si="4"/>
        <v>#VALUE!</v>
      </c>
    </row>
    <row r="1968" spans="11:11" x14ac:dyDescent="0.25">
      <c r="K1968" s="8" t="e">
        <f t="shared" si="4"/>
        <v>#VALUE!</v>
      </c>
    </row>
    <row r="1969" spans="11:11" x14ac:dyDescent="0.25">
      <c r="K1969" s="8" t="e">
        <f t="shared" si="4"/>
        <v>#VALUE!</v>
      </c>
    </row>
    <row r="1970" spans="11:11" x14ac:dyDescent="0.25">
      <c r="K1970" s="8" t="e">
        <f t="shared" si="4"/>
        <v>#VALUE!</v>
      </c>
    </row>
    <row r="1971" spans="11:11" x14ac:dyDescent="0.25">
      <c r="K1971" s="8" t="e">
        <f t="shared" si="4"/>
        <v>#VALUE!</v>
      </c>
    </row>
    <row r="1972" spans="11:11" x14ac:dyDescent="0.25">
      <c r="K1972" s="8" t="e">
        <f t="shared" si="4"/>
        <v>#VALUE!</v>
      </c>
    </row>
    <row r="1973" spans="11:11" x14ac:dyDescent="0.25">
      <c r="K1973" s="8" t="e">
        <f t="shared" si="4"/>
        <v>#VALUE!</v>
      </c>
    </row>
    <row r="1974" spans="11:11" x14ac:dyDescent="0.25">
      <c r="K1974" s="8" t="e">
        <f t="shared" si="4"/>
        <v>#VALUE!</v>
      </c>
    </row>
    <row r="1975" spans="11:11" x14ac:dyDescent="0.25">
      <c r="K1975" s="8" t="e">
        <f t="shared" si="4"/>
        <v>#VALUE!</v>
      </c>
    </row>
    <row r="1976" spans="11:11" x14ac:dyDescent="0.25">
      <c r="K1976" s="8" t="e">
        <f t="shared" si="4"/>
        <v>#VALUE!</v>
      </c>
    </row>
    <row r="1977" spans="11:11" x14ac:dyDescent="0.25">
      <c r="K1977" s="8" t="e">
        <f t="shared" si="4"/>
        <v>#VALUE!</v>
      </c>
    </row>
    <row r="1978" spans="11:11" x14ac:dyDescent="0.25">
      <c r="K1978" s="8" t="e">
        <f t="shared" si="4"/>
        <v>#VALUE!</v>
      </c>
    </row>
    <row r="1979" spans="11:11" x14ac:dyDescent="0.25">
      <c r="K1979" s="8" t="e">
        <f t="shared" si="4"/>
        <v>#VALUE!</v>
      </c>
    </row>
    <row r="1980" spans="11:11" x14ac:dyDescent="0.25">
      <c r="K1980" s="8" t="e">
        <f t="shared" si="4"/>
        <v>#VALUE!</v>
      </c>
    </row>
    <row r="1981" spans="11:11" x14ac:dyDescent="0.25">
      <c r="K1981" s="8" t="e">
        <f t="shared" si="4"/>
        <v>#VALUE!</v>
      </c>
    </row>
    <row r="1982" spans="11:11" x14ac:dyDescent="0.25">
      <c r="K1982" s="8" t="e">
        <f t="shared" si="4"/>
        <v>#VALUE!</v>
      </c>
    </row>
    <row r="1983" spans="11:11" x14ac:dyDescent="0.25">
      <c r="K1983" s="8" t="e">
        <f t="shared" si="4"/>
        <v>#VALUE!</v>
      </c>
    </row>
    <row r="1984" spans="11:11" x14ac:dyDescent="0.25">
      <c r="K1984" s="8" t="e">
        <f t="shared" si="4"/>
        <v>#VALUE!</v>
      </c>
    </row>
    <row r="1985" spans="11:11" x14ac:dyDescent="0.25">
      <c r="K1985" s="8" t="e">
        <f t="shared" si="4"/>
        <v>#VALUE!</v>
      </c>
    </row>
    <row r="1986" spans="11:11" x14ac:dyDescent="0.25">
      <c r="K1986" s="8" t="e">
        <f t="shared" si="4"/>
        <v>#VALUE!</v>
      </c>
    </row>
    <row r="1987" spans="11:11" x14ac:dyDescent="0.25">
      <c r="K1987" s="8" t="e">
        <f t="shared" ref="K1987:K2050" si="5">LEFT(A1987,FIND("/",A1987)-1)</f>
        <v>#VALUE!</v>
      </c>
    </row>
    <row r="1988" spans="11:11" x14ac:dyDescent="0.25">
      <c r="K1988" s="8" t="e">
        <f t="shared" si="5"/>
        <v>#VALUE!</v>
      </c>
    </row>
    <row r="1989" spans="11:11" x14ac:dyDescent="0.25">
      <c r="K1989" s="8" t="e">
        <f t="shared" si="5"/>
        <v>#VALUE!</v>
      </c>
    </row>
    <row r="1990" spans="11:11" x14ac:dyDescent="0.25">
      <c r="K1990" s="8" t="e">
        <f t="shared" si="5"/>
        <v>#VALUE!</v>
      </c>
    </row>
    <row r="1991" spans="11:11" x14ac:dyDescent="0.25">
      <c r="K1991" s="8" t="e">
        <f t="shared" si="5"/>
        <v>#VALUE!</v>
      </c>
    </row>
    <row r="1992" spans="11:11" x14ac:dyDescent="0.25">
      <c r="K1992" s="8" t="e">
        <f t="shared" si="5"/>
        <v>#VALUE!</v>
      </c>
    </row>
    <row r="1993" spans="11:11" x14ac:dyDescent="0.25">
      <c r="K1993" s="8" t="e">
        <f t="shared" si="5"/>
        <v>#VALUE!</v>
      </c>
    </row>
    <row r="1994" spans="11:11" x14ac:dyDescent="0.25">
      <c r="K1994" s="8" t="e">
        <f t="shared" si="5"/>
        <v>#VALUE!</v>
      </c>
    </row>
    <row r="1995" spans="11:11" x14ac:dyDescent="0.25">
      <c r="K1995" s="8" t="e">
        <f t="shared" si="5"/>
        <v>#VALUE!</v>
      </c>
    </row>
    <row r="1996" spans="11:11" x14ac:dyDescent="0.25">
      <c r="K1996" s="8" t="e">
        <f t="shared" si="5"/>
        <v>#VALUE!</v>
      </c>
    </row>
    <row r="1997" spans="11:11" x14ac:dyDescent="0.25">
      <c r="K1997" s="8" t="e">
        <f t="shared" si="5"/>
        <v>#VALUE!</v>
      </c>
    </row>
    <row r="1998" spans="11:11" x14ac:dyDescent="0.25">
      <c r="K1998" s="8" t="e">
        <f t="shared" si="5"/>
        <v>#VALUE!</v>
      </c>
    </row>
    <row r="1999" spans="11:11" x14ac:dyDescent="0.25">
      <c r="K1999" s="8" t="e">
        <f t="shared" si="5"/>
        <v>#VALUE!</v>
      </c>
    </row>
    <row r="2000" spans="11:11" x14ac:dyDescent="0.25">
      <c r="K2000" s="8" t="e">
        <f t="shared" si="5"/>
        <v>#VALUE!</v>
      </c>
    </row>
    <row r="2001" spans="11:11" x14ac:dyDescent="0.25">
      <c r="K2001" s="8" t="e">
        <f t="shared" si="5"/>
        <v>#VALUE!</v>
      </c>
    </row>
    <row r="2002" spans="11:11" x14ac:dyDescent="0.25">
      <c r="K2002" s="8" t="e">
        <f t="shared" si="5"/>
        <v>#VALUE!</v>
      </c>
    </row>
    <row r="2003" spans="11:11" x14ac:dyDescent="0.25">
      <c r="K2003" s="8" t="e">
        <f t="shared" si="5"/>
        <v>#VALUE!</v>
      </c>
    </row>
    <row r="2004" spans="11:11" x14ac:dyDescent="0.25">
      <c r="K2004" s="8" t="e">
        <f t="shared" si="5"/>
        <v>#VALUE!</v>
      </c>
    </row>
    <row r="2005" spans="11:11" x14ac:dyDescent="0.25">
      <c r="K2005" s="8" t="e">
        <f t="shared" si="5"/>
        <v>#VALUE!</v>
      </c>
    </row>
    <row r="2006" spans="11:11" x14ac:dyDescent="0.25">
      <c r="K2006" s="8" t="e">
        <f t="shared" si="5"/>
        <v>#VALUE!</v>
      </c>
    </row>
    <row r="2007" spans="11:11" x14ac:dyDescent="0.25">
      <c r="K2007" s="8" t="e">
        <f t="shared" si="5"/>
        <v>#VALUE!</v>
      </c>
    </row>
    <row r="2008" spans="11:11" x14ac:dyDescent="0.25">
      <c r="K2008" s="8" t="e">
        <f t="shared" si="5"/>
        <v>#VALUE!</v>
      </c>
    </row>
    <row r="2009" spans="11:11" x14ac:dyDescent="0.25">
      <c r="K2009" s="8" t="e">
        <f t="shared" si="5"/>
        <v>#VALUE!</v>
      </c>
    </row>
    <row r="2010" spans="11:11" x14ac:dyDescent="0.25">
      <c r="K2010" s="8" t="e">
        <f t="shared" si="5"/>
        <v>#VALUE!</v>
      </c>
    </row>
    <row r="2011" spans="11:11" x14ac:dyDescent="0.25">
      <c r="K2011" s="8" t="e">
        <f t="shared" si="5"/>
        <v>#VALUE!</v>
      </c>
    </row>
    <row r="2012" spans="11:11" x14ac:dyDescent="0.25">
      <c r="K2012" s="8" t="e">
        <f t="shared" si="5"/>
        <v>#VALUE!</v>
      </c>
    </row>
    <row r="2013" spans="11:11" x14ac:dyDescent="0.25">
      <c r="K2013" s="8" t="e">
        <f t="shared" si="5"/>
        <v>#VALUE!</v>
      </c>
    </row>
    <row r="2014" spans="11:11" x14ac:dyDescent="0.25">
      <c r="K2014" s="8" t="e">
        <f t="shared" si="5"/>
        <v>#VALUE!</v>
      </c>
    </row>
    <row r="2015" spans="11:11" x14ac:dyDescent="0.25">
      <c r="K2015" s="8" t="e">
        <f t="shared" si="5"/>
        <v>#VALUE!</v>
      </c>
    </row>
    <row r="2016" spans="11:11" x14ac:dyDescent="0.25">
      <c r="K2016" s="8" t="e">
        <f t="shared" si="5"/>
        <v>#VALUE!</v>
      </c>
    </row>
    <row r="2017" spans="11:11" x14ac:dyDescent="0.25">
      <c r="K2017" s="8" t="e">
        <f t="shared" si="5"/>
        <v>#VALUE!</v>
      </c>
    </row>
    <row r="2018" spans="11:11" x14ac:dyDescent="0.25">
      <c r="K2018" s="8" t="e">
        <f t="shared" si="5"/>
        <v>#VALUE!</v>
      </c>
    </row>
    <row r="2019" spans="11:11" x14ac:dyDescent="0.25">
      <c r="K2019" s="8" t="e">
        <f t="shared" si="5"/>
        <v>#VALUE!</v>
      </c>
    </row>
    <row r="2020" spans="11:11" x14ac:dyDescent="0.25">
      <c r="K2020" s="8" t="e">
        <f t="shared" si="5"/>
        <v>#VALUE!</v>
      </c>
    </row>
    <row r="2021" spans="11:11" x14ac:dyDescent="0.25">
      <c r="K2021" s="8" t="e">
        <f t="shared" si="5"/>
        <v>#VALUE!</v>
      </c>
    </row>
    <row r="2022" spans="11:11" x14ac:dyDescent="0.25">
      <c r="K2022" s="8" t="e">
        <f t="shared" si="5"/>
        <v>#VALUE!</v>
      </c>
    </row>
    <row r="2023" spans="11:11" x14ac:dyDescent="0.25">
      <c r="K2023" s="8" t="e">
        <f t="shared" si="5"/>
        <v>#VALUE!</v>
      </c>
    </row>
    <row r="2024" spans="11:11" x14ac:dyDescent="0.25">
      <c r="K2024" s="8" t="e">
        <f t="shared" si="5"/>
        <v>#VALUE!</v>
      </c>
    </row>
    <row r="2025" spans="11:11" x14ac:dyDescent="0.25">
      <c r="K2025" s="8" t="e">
        <f t="shared" si="5"/>
        <v>#VALUE!</v>
      </c>
    </row>
    <row r="2026" spans="11:11" x14ac:dyDescent="0.25">
      <c r="K2026" s="8" t="e">
        <f t="shared" si="5"/>
        <v>#VALUE!</v>
      </c>
    </row>
    <row r="2027" spans="11:11" x14ac:dyDescent="0.25">
      <c r="K2027" s="8" t="e">
        <f t="shared" si="5"/>
        <v>#VALUE!</v>
      </c>
    </row>
    <row r="2028" spans="11:11" x14ac:dyDescent="0.25">
      <c r="K2028" s="8" t="e">
        <f t="shared" si="5"/>
        <v>#VALUE!</v>
      </c>
    </row>
    <row r="2029" spans="11:11" x14ac:dyDescent="0.25">
      <c r="K2029" s="8" t="e">
        <f t="shared" si="5"/>
        <v>#VALUE!</v>
      </c>
    </row>
    <row r="2030" spans="11:11" x14ac:dyDescent="0.25">
      <c r="K2030" s="8" t="e">
        <f t="shared" si="5"/>
        <v>#VALUE!</v>
      </c>
    </row>
    <row r="2031" spans="11:11" x14ac:dyDescent="0.25">
      <c r="K2031" s="8" t="e">
        <f t="shared" si="5"/>
        <v>#VALUE!</v>
      </c>
    </row>
    <row r="2032" spans="11:11" x14ac:dyDescent="0.25">
      <c r="K2032" s="8" t="e">
        <f t="shared" si="5"/>
        <v>#VALUE!</v>
      </c>
    </row>
    <row r="2033" spans="11:11" x14ac:dyDescent="0.25">
      <c r="K2033" s="8" t="e">
        <f t="shared" si="5"/>
        <v>#VALUE!</v>
      </c>
    </row>
    <row r="2034" spans="11:11" x14ac:dyDescent="0.25">
      <c r="K2034" s="8" t="e">
        <f t="shared" si="5"/>
        <v>#VALUE!</v>
      </c>
    </row>
    <row r="2035" spans="11:11" x14ac:dyDescent="0.25">
      <c r="K2035" s="8" t="e">
        <f t="shared" si="5"/>
        <v>#VALUE!</v>
      </c>
    </row>
    <row r="2036" spans="11:11" x14ac:dyDescent="0.25">
      <c r="K2036" s="8" t="e">
        <f t="shared" si="5"/>
        <v>#VALUE!</v>
      </c>
    </row>
    <row r="2037" spans="11:11" x14ac:dyDescent="0.25">
      <c r="K2037" s="8" t="e">
        <f t="shared" si="5"/>
        <v>#VALUE!</v>
      </c>
    </row>
    <row r="2038" spans="11:11" x14ac:dyDescent="0.25">
      <c r="K2038" s="8" t="e">
        <f t="shared" si="5"/>
        <v>#VALUE!</v>
      </c>
    </row>
    <row r="2039" spans="11:11" x14ac:dyDescent="0.25">
      <c r="K2039" s="8" t="e">
        <f t="shared" si="5"/>
        <v>#VALUE!</v>
      </c>
    </row>
    <row r="2040" spans="11:11" x14ac:dyDescent="0.25">
      <c r="K2040" s="8" t="e">
        <f t="shared" si="5"/>
        <v>#VALUE!</v>
      </c>
    </row>
    <row r="2041" spans="11:11" x14ac:dyDescent="0.25">
      <c r="K2041" s="8" t="e">
        <f t="shared" si="5"/>
        <v>#VALUE!</v>
      </c>
    </row>
    <row r="2042" spans="11:11" x14ac:dyDescent="0.25">
      <c r="K2042" s="8" t="e">
        <f t="shared" si="5"/>
        <v>#VALUE!</v>
      </c>
    </row>
    <row r="2043" spans="11:11" x14ac:dyDescent="0.25">
      <c r="K2043" s="8" t="e">
        <f t="shared" si="5"/>
        <v>#VALUE!</v>
      </c>
    </row>
    <row r="2044" spans="11:11" x14ac:dyDescent="0.25">
      <c r="K2044" s="8" t="e">
        <f t="shared" si="5"/>
        <v>#VALUE!</v>
      </c>
    </row>
    <row r="2045" spans="11:11" x14ac:dyDescent="0.25">
      <c r="K2045" s="8" t="e">
        <f t="shared" si="5"/>
        <v>#VALUE!</v>
      </c>
    </row>
    <row r="2046" spans="11:11" x14ac:dyDescent="0.25">
      <c r="K2046" s="8" t="e">
        <f t="shared" si="5"/>
        <v>#VALUE!</v>
      </c>
    </row>
    <row r="2047" spans="11:11" x14ac:dyDescent="0.25">
      <c r="K2047" s="8" t="e">
        <f t="shared" si="5"/>
        <v>#VALUE!</v>
      </c>
    </row>
    <row r="2048" spans="11:11" x14ac:dyDescent="0.25">
      <c r="K2048" s="8" t="e">
        <f t="shared" si="5"/>
        <v>#VALUE!</v>
      </c>
    </row>
    <row r="2049" spans="11:11" x14ac:dyDescent="0.25">
      <c r="K2049" s="8" t="e">
        <f t="shared" si="5"/>
        <v>#VALUE!</v>
      </c>
    </row>
    <row r="2050" spans="11:11" x14ac:dyDescent="0.25">
      <c r="K2050" s="8" t="e">
        <f t="shared" si="5"/>
        <v>#VALUE!</v>
      </c>
    </row>
    <row r="2051" spans="11:11" x14ac:dyDescent="0.25">
      <c r="K2051" s="8" t="e">
        <f t="shared" ref="K2051:K2114" si="6">LEFT(A2051,FIND("/",A2051)-1)</f>
        <v>#VALUE!</v>
      </c>
    </row>
    <row r="2052" spans="11:11" x14ac:dyDescent="0.25">
      <c r="K2052" s="8" t="e">
        <f t="shared" si="6"/>
        <v>#VALUE!</v>
      </c>
    </row>
    <row r="2053" spans="11:11" x14ac:dyDescent="0.25">
      <c r="K2053" s="8" t="e">
        <f t="shared" si="6"/>
        <v>#VALUE!</v>
      </c>
    </row>
    <row r="2054" spans="11:11" x14ac:dyDescent="0.25">
      <c r="K2054" s="8" t="e">
        <f t="shared" si="6"/>
        <v>#VALUE!</v>
      </c>
    </row>
    <row r="2055" spans="11:11" x14ac:dyDescent="0.25">
      <c r="K2055" s="8" t="e">
        <f t="shared" si="6"/>
        <v>#VALUE!</v>
      </c>
    </row>
    <row r="2056" spans="11:11" x14ac:dyDescent="0.25">
      <c r="K2056" s="8" t="e">
        <f t="shared" si="6"/>
        <v>#VALUE!</v>
      </c>
    </row>
    <row r="2057" spans="11:11" x14ac:dyDescent="0.25">
      <c r="K2057" s="8" t="e">
        <f t="shared" si="6"/>
        <v>#VALUE!</v>
      </c>
    </row>
    <row r="2058" spans="11:11" x14ac:dyDescent="0.25">
      <c r="K2058" s="8" t="e">
        <f t="shared" si="6"/>
        <v>#VALUE!</v>
      </c>
    </row>
    <row r="2059" spans="11:11" x14ac:dyDescent="0.25">
      <c r="K2059" s="8" t="e">
        <f t="shared" si="6"/>
        <v>#VALUE!</v>
      </c>
    </row>
    <row r="2060" spans="11:11" x14ac:dyDescent="0.25">
      <c r="K2060" s="8" t="e">
        <f t="shared" si="6"/>
        <v>#VALUE!</v>
      </c>
    </row>
    <row r="2061" spans="11:11" x14ac:dyDescent="0.25">
      <c r="K2061" s="8" t="e">
        <f t="shared" si="6"/>
        <v>#VALUE!</v>
      </c>
    </row>
    <row r="2062" spans="11:11" x14ac:dyDescent="0.25">
      <c r="K2062" s="8" t="e">
        <f t="shared" si="6"/>
        <v>#VALUE!</v>
      </c>
    </row>
    <row r="2063" spans="11:11" x14ac:dyDescent="0.25">
      <c r="K2063" s="8" t="e">
        <f t="shared" si="6"/>
        <v>#VALUE!</v>
      </c>
    </row>
    <row r="2064" spans="11:11" x14ac:dyDescent="0.25">
      <c r="K2064" s="8" t="e">
        <f t="shared" si="6"/>
        <v>#VALUE!</v>
      </c>
    </row>
    <row r="2065" spans="11:11" x14ac:dyDescent="0.25">
      <c r="K2065" s="8" t="e">
        <f t="shared" si="6"/>
        <v>#VALUE!</v>
      </c>
    </row>
    <row r="2066" spans="11:11" x14ac:dyDescent="0.25">
      <c r="K2066" s="8" t="e">
        <f t="shared" si="6"/>
        <v>#VALUE!</v>
      </c>
    </row>
    <row r="2067" spans="11:11" x14ac:dyDescent="0.25">
      <c r="K2067" s="8" t="e">
        <f t="shared" si="6"/>
        <v>#VALUE!</v>
      </c>
    </row>
    <row r="2068" spans="11:11" x14ac:dyDescent="0.25">
      <c r="K2068" s="8" t="e">
        <f t="shared" si="6"/>
        <v>#VALUE!</v>
      </c>
    </row>
    <row r="2069" spans="11:11" x14ac:dyDescent="0.25">
      <c r="K2069" s="8" t="e">
        <f t="shared" si="6"/>
        <v>#VALUE!</v>
      </c>
    </row>
    <row r="2070" spans="11:11" x14ac:dyDescent="0.25">
      <c r="K2070" s="8" t="e">
        <f t="shared" si="6"/>
        <v>#VALUE!</v>
      </c>
    </row>
    <row r="2071" spans="11:11" x14ac:dyDescent="0.25">
      <c r="K2071" s="8" t="e">
        <f t="shared" si="6"/>
        <v>#VALUE!</v>
      </c>
    </row>
    <row r="2072" spans="11:11" x14ac:dyDescent="0.25">
      <c r="K2072" s="8" t="e">
        <f t="shared" si="6"/>
        <v>#VALUE!</v>
      </c>
    </row>
    <row r="2073" spans="11:11" x14ac:dyDescent="0.25">
      <c r="K2073" s="8" t="e">
        <f t="shared" si="6"/>
        <v>#VALUE!</v>
      </c>
    </row>
    <row r="2074" spans="11:11" x14ac:dyDescent="0.25">
      <c r="K2074" s="8" t="e">
        <f t="shared" si="6"/>
        <v>#VALUE!</v>
      </c>
    </row>
    <row r="2075" spans="11:11" x14ac:dyDescent="0.25">
      <c r="K2075" s="8" t="e">
        <f t="shared" si="6"/>
        <v>#VALUE!</v>
      </c>
    </row>
    <row r="2076" spans="11:11" x14ac:dyDescent="0.25">
      <c r="K2076" s="8" t="e">
        <f t="shared" si="6"/>
        <v>#VALUE!</v>
      </c>
    </row>
    <row r="2077" spans="11:11" x14ac:dyDescent="0.25">
      <c r="K2077" s="8" t="e">
        <f t="shared" si="6"/>
        <v>#VALUE!</v>
      </c>
    </row>
    <row r="2078" spans="11:11" x14ac:dyDescent="0.25">
      <c r="K2078" s="8" t="e">
        <f t="shared" si="6"/>
        <v>#VALUE!</v>
      </c>
    </row>
    <row r="2079" spans="11:11" x14ac:dyDescent="0.25">
      <c r="K2079" s="8" t="e">
        <f t="shared" si="6"/>
        <v>#VALUE!</v>
      </c>
    </row>
    <row r="2080" spans="11:11" x14ac:dyDescent="0.25">
      <c r="K2080" s="8" t="e">
        <f t="shared" si="6"/>
        <v>#VALUE!</v>
      </c>
    </row>
    <row r="2081" spans="11:11" x14ac:dyDescent="0.25">
      <c r="K2081" s="8" t="e">
        <f t="shared" si="6"/>
        <v>#VALUE!</v>
      </c>
    </row>
    <row r="2082" spans="11:11" x14ac:dyDescent="0.25">
      <c r="K2082" s="8" t="e">
        <f t="shared" si="6"/>
        <v>#VALUE!</v>
      </c>
    </row>
    <row r="2083" spans="11:11" x14ac:dyDescent="0.25">
      <c r="K2083" s="8" t="e">
        <f t="shared" si="6"/>
        <v>#VALUE!</v>
      </c>
    </row>
    <row r="2084" spans="11:11" x14ac:dyDescent="0.25">
      <c r="K2084" s="8" t="e">
        <f t="shared" si="6"/>
        <v>#VALUE!</v>
      </c>
    </row>
    <row r="2085" spans="11:11" x14ac:dyDescent="0.25">
      <c r="K2085" s="8" t="e">
        <f t="shared" si="6"/>
        <v>#VALUE!</v>
      </c>
    </row>
    <row r="2086" spans="11:11" x14ac:dyDescent="0.25">
      <c r="K2086" s="8" t="e">
        <f t="shared" si="6"/>
        <v>#VALUE!</v>
      </c>
    </row>
    <row r="2087" spans="11:11" x14ac:dyDescent="0.25">
      <c r="K2087" s="8" t="e">
        <f t="shared" si="6"/>
        <v>#VALUE!</v>
      </c>
    </row>
    <row r="2088" spans="11:11" x14ac:dyDescent="0.25">
      <c r="K2088" s="8" t="e">
        <f t="shared" si="6"/>
        <v>#VALUE!</v>
      </c>
    </row>
    <row r="2089" spans="11:11" x14ac:dyDescent="0.25">
      <c r="K2089" s="8" t="e">
        <f t="shared" si="6"/>
        <v>#VALUE!</v>
      </c>
    </row>
    <row r="2090" spans="11:11" x14ac:dyDescent="0.25">
      <c r="K2090" s="8" t="e">
        <f t="shared" si="6"/>
        <v>#VALUE!</v>
      </c>
    </row>
    <row r="2091" spans="11:11" x14ac:dyDescent="0.25">
      <c r="K2091" s="8" t="e">
        <f t="shared" si="6"/>
        <v>#VALUE!</v>
      </c>
    </row>
    <row r="2092" spans="11:11" x14ac:dyDescent="0.25">
      <c r="K2092" s="8" t="e">
        <f t="shared" si="6"/>
        <v>#VALUE!</v>
      </c>
    </row>
    <row r="2093" spans="11:11" x14ac:dyDescent="0.25">
      <c r="K2093" s="8" t="e">
        <f t="shared" si="6"/>
        <v>#VALUE!</v>
      </c>
    </row>
    <row r="2094" spans="11:11" x14ac:dyDescent="0.25">
      <c r="K2094" s="8" t="e">
        <f t="shared" si="6"/>
        <v>#VALUE!</v>
      </c>
    </row>
    <row r="2095" spans="11:11" x14ac:dyDescent="0.25">
      <c r="K2095" s="8" t="e">
        <f t="shared" si="6"/>
        <v>#VALUE!</v>
      </c>
    </row>
    <row r="2096" spans="11:11" x14ac:dyDescent="0.25">
      <c r="K2096" s="8" t="e">
        <f t="shared" si="6"/>
        <v>#VALUE!</v>
      </c>
    </row>
    <row r="2097" spans="11:11" x14ac:dyDescent="0.25">
      <c r="K2097" s="8" t="e">
        <f t="shared" si="6"/>
        <v>#VALUE!</v>
      </c>
    </row>
    <row r="2098" spans="11:11" x14ac:dyDescent="0.25">
      <c r="K2098" s="8" t="e">
        <f t="shared" si="6"/>
        <v>#VALUE!</v>
      </c>
    </row>
    <row r="2099" spans="11:11" x14ac:dyDescent="0.25">
      <c r="K2099" s="8" t="e">
        <f t="shared" si="6"/>
        <v>#VALUE!</v>
      </c>
    </row>
    <row r="2100" spans="11:11" x14ac:dyDescent="0.25">
      <c r="K2100" s="8" t="e">
        <f t="shared" si="6"/>
        <v>#VALUE!</v>
      </c>
    </row>
    <row r="2101" spans="11:11" x14ac:dyDescent="0.25">
      <c r="K2101" s="8" t="e">
        <f t="shared" si="6"/>
        <v>#VALUE!</v>
      </c>
    </row>
    <row r="2102" spans="11:11" x14ac:dyDescent="0.25">
      <c r="K2102" s="8" t="e">
        <f t="shared" si="6"/>
        <v>#VALUE!</v>
      </c>
    </row>
    <row r="2103" spans="11:11" x14ac:dyDescent="0.25">
      <c r="K2103" s="8" t="e">
        <f t="shared" si="6"/>
        <v>#VALUE!</v>
      </c>
    </row>
    <row r="2104" spans="11:11" x14ac:dyDescent="0.25">
      <c r="K2104" s="8" t="e">
        <f t="shared" si="6"/>
        <v>#VALUE!</v>
      </c>
    </row>
    <row r="2105" spans="11:11" x14ac:dyDescent="0.25">
      <c r="K2105" s="8" t="e">
        <f t="shared" si="6"/>
        <v>#VALUE!</v>
      </c>
    </row>
    <row r="2106" spans="11:11" x14ac:dyDescent="0.25">
      <c r="K2106" s="8" t="e">
        <f t="shared" si="6"/>
        <v>#VALUE!</v>
      </c>
    </row>
    <row r="2107" spans="11:11" x14ac:dyDescent="0.25">
      <c r="K2107" s="8" t="e">
        <f t="shared" si="6"/>
        <v>#VALUE!</v>
      </c>
    </row>
    <row r="2108" spans="11:11" x14ac:dyDescent="0.25">
      <c r="K2108" s="8" t="e">
        <f t="shared" si="6"/>
        <v>#VALUE!</v>
      </c>
    </row>
    <row r="2109" spans="11:11" x14ac:dyDescent="0.25">
      <c r="K2109" s="8" t="e">
        <f t="shared" si="6"/>
        <v>#VALUE!</v>
      </c>
    </row>
    <row r="2110" spans="11:11" x14ac:dyDescent="0.25">
      <c r="K2110" s="8" t="e">
        <f t="shared" si="6"/>
        <v>#VALUE!</v>
      </c>
    </row>
    <row r="2111" spans="11:11" x14ac:dyDescent="0.25">
      <c r="K2111" s="8" t="e">
        <f t="shared" si="6"/>
        <v>#VALUE!</v>
      </c>
    </row>
    <row r="2112" spans="11:11" x14ac:dyDescent="0.25">
      <c r="K2112" s="8" t="e">
        <f t="shared" si="6"/>
        <v>#VALUE!</v>
      </c>
    </row>
    <row r="2113" spans="11:11" x14ac:dyDescent="0.25">
      <c r="K2113" s="8" t="e">
        <f t="shared" si="6"/>
        <v>#VALUE!</v>
      </c>
    </row>
    <row r="2114" spans="11:11" x14ac:dyDescent="0.25">
      <c r="K2114" s="8" t="e">
        <f t="shared" si="6"/>
        <v>#VALUE!</v>
      </c>
    </row>
    <row r="2115" spans="11:11" x14ac:dyDescent="0.25">
      <c r="K2115" s="8" t="e">
        <f t="shared" ref="K2115:K2178" si="7">LEFT(A2115,FIND("/",A2115)-1)</f>
        <v>#VALUE!</v>
      </c>
    </row>
    <row r="2116" spans="11:11" x14ac:dyDescent="0.25">
      <c r="K2116" s="8" t="e">
        <f t="shared" si="7"/>
        <v>#VALUE!</v>
      </c>
    </row>
    <row r="2117" spans="11:11" x14ac:dyDescent="0.25">
      <c r="K2117" s="8" t="e">
        <f t="shared" si="7"/>
        <v>#VALUE!</v>
      </c>
    </row>
    <row r="2118" spans="11:11" x14ac:dyDescent="0.25">
      <c r="K2118" s="8" t="e">
        <f t="shared" si="7"/>
        <v>#VALUE!</v>
      </c>
    </row>
    <row r="2119" spans="11:11" x14ac:dyDescent="0.25">
      <c r="K2119" s="8" t="e">
        <f t="shared" si="7"/>
        <v>#VALUE!</v>
      </c>
    </row>
    <row r="2120" spans="11:11" x14ac:dyDescent="0.25">
      <c r="K2120" s="8" t="e">
        <f t="shared" si="7"/>
        <v>#VALUE!</v>
      </c>
    </row>
    <row r="2121" spans="11:11" x14ac:dyDescent="0.25">
      <c r="K2121" s="8" t="e">
        <f t="shared" si="7"/>
        <v>#VALUE!</v>
      </c>
    </row>
    <row r="2122" spans="11:11" x14ac:dyDescent="0.25">
      <c r="K2122" s="8" t="e">
        <f t="shared" si="7"/>
        <v>#VALUE!</v>
      </c>
    </row>
    <row r="2123" spans="11:11" x14ac:dyDescent="0.25">
      <c r="K2123" s="8" t="e">
        <f t="shared" si="7"/>
        <v>#VALUE!</v>
      </c>
    </row>
    <row r="2124" spans="11:11" x14ac:dyDescent="0.25">
      <c r="K2124" s="8" t="e">
        <f t="shared" si="7"/>
        <v>#VALUE!</v>
      </c>
    </row>
    <row r="2125" spans="11:11" x14ac:dyDescent="0.25">
      <c r="K2125" s="8" t="e">
        <f t="shared" si="7"/>
        <v>#VALUE!</v>
      </c>
    </row>
    <row r="2126" spans="11:11" x14ac:dyDescent="0.25">
      <c r="K2126" s="8" t="e">
        <f t="shared" si="7"/>
        <v>#VALUE!</v>
      </c>
    </row>
    <row r="2127" spans="11:11" x14ac:dyDescent="0.25">
      <c r="K2127" s="8" t="e">
        <f t="shared" si="7"/>
        <v>#VALUE!</v>
      </c>
    </row>
    <row r="2128" spans="11:11" x14ac:dyDescent="0.25">
      <c r="K2128" s="8" t="e">
        <f t="shared" si="7"/>
        <v>#VALUE!</v>
      </c>
    </row>
    <row r="2129" spans="11:11" x14ac:dyDescent="0.25">
      <c r="K2129" s="8" t="e">
        <f t="shared" si="7"/>
        <v>#VALUE!</v>
      </c>
    </row>
    <row r="2130" spans="11:11" x14ac:dyDescent="0.25">
      <c r="K2130" s="8" t="e">
        <f t="shared" si="7"/>
        <v>#VALUE!</v>
      </c>
    </row>
    <row r="2131" spans="11:11" x14ac:dyDescent="0.25">
      <c r="K2131" s="8" t="e">
        <f t="shared" si="7"/>
        <v>#VALUE!</v>
      </c>
    </row>
    <row r="2132" spans="11:11" x14ac:dyDescent="0.25">
      <c r="K2132" s="8" t="e">
        <f t="shared" si="7"/>
        <v>#VALUE!</v>
      </c>
    </row>
    <row r="2133" spans="11:11" x14ac:dyDescent="0.25">
      <c r="K2133" s="8" t="e">
        <f t="shared" si="7"/>
        <v>#VALUE!</v>
      </c>
    </row>
    <row r="2134" spans="11:11" x14ac:dyDescent="0.25">
      <c r="K2134" s="8" t="e">
        <f t="shared" si="7"/>
        <v>#VALUE!</v>
      </c>
    </row>
    <row r="2135" spans="11:11" x14ac:dyDescent="0.25">
      <c r="K2135" s="8" t="e">
        <f t="shared" si="7"/>
        <v>#VALUE!</v>
      </c>
    </row>
    <row r="2136" spans="11:11" x14ac:dyDescent="0.25">
      <c r="K2136" s="8" t="e">
        <f t="shared" si="7"/>
        <v>#VALUE!</v>
      </c>
    </row>
    <row r="2137" spans="11:11" x14ac:dyDescent="0.25">
      <c r="K2137" s="8" t="e">
        <f t="shared" si="7"/>
        <v>#VALUE!</v>
      </c>
    </row>
    <row r="2138" spans="11:11" x14ac:dyDescent="0.25">
      <c r="K2138" s="8" t="e">
        <f t="shared" si="7"/>
        <v>#VALUE!</v>
      </c>
    </row>
    <row r="2139" spans="11:11" x14ac:dyDescent="0.25">
      <c r="K2139" s="8" t="e">
        <f t="shared" si="7"/>
        <v>#VALUE!</v>
      </c>
    </row>
    <row r="2140" spans="11:11" x14ac:dyDescent="0.25">
      <c r="K2140" s="8" t="e">
        <f t="shared" si="7"/>
        <v>#VALUE!</v>
      </c>
    </row>
    <row r="2141" spans="11:11" x14ac:dyDescent="0.25">
      <c r="K2141" s="8" t="e">
        <f t="shared" si="7"/>
        <v>#VALUE!</v>
      </c>
    </row>
    <row r="2142" spans="11:11" x14ac:dyDescent="0.25">
      <c r="K2142" s="8" t="e">
        <f t="shared" si="7"/>
        <v>#VALUE!</v>
      </c>
    </row>
    <row r="2143" spans="11:11" x14ac:dyDescent="0.25">
      <c r="K2143" s="8" t="e">
        <f t="shared" si="7"/>
        <v>#VALUE!</v>
      </c>
    </row>
    <row r="2144" spans="11:11" x14ac:dyDescent="0.25">
      <c r="K2144" s="8" t="e">
        <f t="shared" si="7"/>
        <v>#VALUE!</v>
      </c>
    </row>
    <row r="2145" spans="11:11" x14ac:dyDescent="0.25">
      <c r="K2145" s="8" t="e">
        <f t="shared" si="7"/>
        <v>#VALUE!</v>
      </c>
    </row>
    <row r="2146" spans="11:11" x14ac:dyDescent="0.25">
      <c r="K2146" s="8" t="e">
        <f t="shared" si="7"/>
        <v>#VALUE!</v>
      </c>
    </row>
    <row r="2147" spans="11:11" x14ac:dyDescent="0.25">
      <c r="K2147" s="8" t="e">
        <f t="shared" si="7"/>
        <v>#VALUE!</v>
      </c>
    </row>
    <row r="2148" spans="11:11" x14ac:dyDescent="0.25">
      <c r="K2148" s="8" t="e">
        <f t="shared" si="7"/>
        <v>#VALUE!</v>
      </c>
    </row>
    <row r="2149" spans="11:11" x14ac:dyDescent="0.25">
      <c r="K2149" s="8" t="e">
        <f t="shared" si="7"/>
        <v>#VALUE!</v>
      </c>
    </row>
    <row r="2150" spans="11:11" x14ac:dyDescent="0.25">
      <c r="K2150" s="8" t="e">
        <f t="shared" si="7"/>
        <v>#VALUE!</v>
      </c>
    </row>
    <row r="2151" spans="11:11" x14ac:dyDescent="0.25">
      <c r="K2151" s="8" t="e">
        <f t="shared" si="7"/>
        <v>#VALUE!</v>
      </c>
    </row>
    <row r="2152" spans="11:11" x14ac:dyDescent="0.25">
      <c r="K2152" s="8" t="e">
        <f t="shared" si="7"/>
        <v>#VALUE!</v>
      </c>
    </row>
    <row r="2153" spans="11:11" x14ac:dyDescent="0.25">
      <c r="K2153" s="8" t="e">
        <f t="shared" si="7"/>
        <v>#VALUE!</v>
      </c>
    </row>
    <row r="2154" spans="11:11" x14ac:dyDescent="0.25">
      <c r="K2154" s="8" t="e">
        <f t="shared" si="7"/>
        <v>#VALUE!</v>
      </c>
    </row>
    <row r="2155" spans="11:11" x14ac:dyDescent="0.25">
      <c r="K2155" s="8" t="e">
        <f t="shared" si="7"/>
        <v>#VALUE!</v>
      </c>
    </row>
    <row r="2156" spans="11:11" x14ac:dyDescent="0.25">
      <c r="K2156" s="8" t="e">
        <f t="shared" si="7"/>
        <v>#VALUE!</v>
      </c>
    </row>
    <row r="2157" spans="11:11" x14ac:dyDescent="0.25">
      <c r="K2157" s="8" t="e">
        <f t="shared" si="7"/>
        <v>#VALUE!</v>
      </c>
    </row>
    <row r="2158" spans="11:11" x14ac:dyDescent="0.25">
      <c r="K2158" s="8" t="e">
        <f t="shared" si="7"/>
        <v>#VALUE!</v>
      </c>
    </row>
    <row r="2159" spans="11:11" x14ac:dyDescent="0.25">
      <c r="K2159" s="8" t="e">
        <f t="shared" si="7"/>
        <v>#VALUE!</v>
      </c>
    </row>
    <row r="2160" spans="11:11" x14ac:dyDescent="0.25">
      <c r="K2160" s="8" t="e">
        <f t="shared" si="7"/>
        <v>#VALUE!</v>
      </c>
    </row>
    <row r="2161" spans="11:11" x14ac:dyDescent="0.25">
      <c r="K2161" s="8" t="e">
        <f t="shared" si="7"/>
        <v>#VALUE!</v>
      </c>
    </row>
    <row r="2162" spans="11:11" x14ac:dyDescent="0.25">
      <c r="K2162" s="8" t="e">
        <f t="shared" si="7"/>
        <v>#VALUE!</v>
      </c>
    </row>
    <row r="2163" spans="11:11" x14ac:dyDescent="0.25">
      <c r="K2163" s="8" t="e">
        <f t="shared" si="7"/>
        <v>#VALUE!</v>
      </c>
    </row>
    <row r="2164" spans="11:11" x14ac:dyDescent="0.25">
      <c r="K2164" s="8" t="e">
        <f t="shared" si="7"/>
        <v>#VALUE!</v>
      </c>
    </row>
    <row r="2165" spans="11:11" x14ac:dyDescent="0.25">
      <c r="K2165" s="8" t="e">
        <f t="shared" si="7"/>
        <v>#VALUE!</v>
      </c>
    </row>
    <row r="2166" spans="11:11" x14ac:dyDescent="0.25">
      <c r="K2166" s="8" t="e">
        <f t="shared" si="7"/>
        <v>#VALUE!</v>
      </c>
    </row>
    <row r="2167" spans="11:11" x14ac:dyDescent="0.25">
      <c r="K2167" s="8" t="e">
        <f t="shared" si="7"/>
        <v>#VALUE!</v>
      </c>
    </row>
    <row r="2168" spans="11:11" x14ac:dyDescent="0.25">
      <c r="K2168" s="8" t="e">
        <f t="shared" si="7"/>
        <v>#VALUE!</v>
      </c>
    </row>
    <row r="2169" spans="11:11" x14ac:dyDescent="0.25">
      <c r="K2169" s="8" t="e">
        <f t="shared" si="7"/>
        <v>#VALUE!</v>
      </c>
    </row>
    <row r="2170" spans="11:11" x14ac:dyDescent="0.25">
      <c r="K2170" s="8" t="e">
        <f t="shared" si="7"/>
        <v>#VALUE!</v>
      </c>
    </row>
    <row r="2171" spans="11:11" x14ac:dyDescent="0.25">
      <c r="K2171" s="8" t="e">
        <f t="shared" si="7"/>
        <v>#VALUE!</v>
      </c>
    </row>
    <row r="2172" spans="11:11" x14ac:dyDescent="0.25">
      <c r="K2172" s="8" t="e">
        <f t="shared" si="7"/>
        <v>#VALUE!</v>
      </c>
    </row>
    <row r="2173" spans="11:11" x14ac:dyDescent="0.25">
      <c r="K2173" s="8" t="e">
        <f t="shared" si="7"/>
        <v>#VALUE!</v>
      </c>
    </row>
    <row r="2174" spans="11:11" x14ac:dyDescent="0.25">
      <c r="K2174" s="8" t="e">
        <f t="shared" si="7"/>
        <v>#VALUE!</v>
      </c>
    </row>
    <row r="2175" spans="11:11" x14ac:dyDescent="0.25">
      <c r="K2175" s="8" t="e">
        <f t="shared" si="7"/>
        <v>#VALUE!</v>
      </c>
    </row>
    <row r="2176" spans="11:11" x14ac:dyDescent="0.25">
      <c r="K2176" s="8" t="e">
        <f t="shared" si="7"/>
        <v>#VALUE!</v>
      </c>
    </row>
    <row r="2177" spans="11:11" x14ac:dyDescent="0.25">
      <c r="K2177" s="8" t="e">
        <f t="shared" si="7"/>
        <v>#VALUE!</v>
      </c>
    </row>
    <row r="2178" spans="11:11" x14ac:dyDescent="0.25">
      <c r="K2178" s="8" t="e">
        <f t="shared" si="7"/>
        <v>#VALUE!</v>
      </c>
    </row>
    <row r="2179" spans="11:11" x14ac:dyDescent="0.25">
      <c r="K2179" s="8" t="e">
        <f t="shared" ref="K2179:K2242" si="8">LEFT(A2179,FIND("/",A2179)-1)</f>
        <v>#VALUE!</v>
      </c>
    </row>
    <row r="2180" spans="11:11" x14ac:dyDescent="0.25">
      <c r="K2180" s="8" t="e">
        <f t="shared" si="8"/>
        <v>#VALUE!</v>
      </c>
    </row>
    <row r="2181" spans="11:11" x14ac:dyDescent="0.25">
      <c r="K2181" s="8" t="e">
        <f t="shared" si="8"/>
        <v>#VALUE!</v>
      </c>
    </row>
    <row r="2182" spans="11:11" x14ac:dyDescent="0.25">
      <c r="K2182" s="8" t="e">
        <f t="shared" si="8"/>
        <v>#VALUE!</v>
      </c>
    </row>
    <row r="2183" spans="11:11" x14ac:dyDescent="0.25">
      <c r="K2183" s="8" t="e">
        <f t="shared" si="8"/>
        <v>#VALUE!</v>
      </c>
    </row>
    <row r="2184" spans="11:11" x14ac:dyDescent="0.25">
      <c r="K2184" s="8" t="e">
        <f t="shared" si="8"/>
        <v>#VALUE!</v>
      </c>
    </row>
    <row r="2185" spans="11:11" x14ac:dyDescent="0.25">
      <c r="K2185" s="8" t="e">
        <f t="shared" si="8"/>
        <v>#VALUE!</v>
      </c>
    </row>
    <row r="2186" spans="11:11" x14ac:dyDescent="0.25">
      <c r="K2186" s="8" t="e">
        <f t="shared" si="8"/>
        <v>#VALUE!</v>
      </c>
    </row>
    <row r="2187" spans="11:11" x14ac:dyDescent="0.25">
      <c r="K2187" s="8" t="e">
        <f t="shared" si="8"/>
        <v>#VALUE!</v>
      </c>
    </row>
    <row r="2188" spans="11:11" x14ac:dyDescent="0.25">
      <c r="K2188" s="8" t="e">
        <f t="shared" si="8"/>
        <v>#VALUE!</v>
      </c>
    </row>
    <row r="2189" spans="11:11" x14ac:dyDescent="0.25">
      <c r="K2189" s="8" t="e">
        <f t="shared" si="8"/>
        <v>#VALUE!</v>
      </c>
    </row>
    <row r="2190" spans="11:11" x14ac:dyDescent="0.25">
      <c r="K2190" s="8" t="e">
        <f t="shared" si="8"/>
        <v>#VALUE!</v>
      </c>
    </row>
    <row r="2191" spans="11:11" x14ac:dyDescent="0.25">
      <c r="K2191" s="8" t="e">
        <f t="shared" si="8"/>
        <v>#VALUE!</v>
      </c>
    </row>
    <row r="2192" spans="11:11" x14ac:dyDescent="0.25">
      <c r="K2192" s="8" t="e">
        <f t="shared" si="8"/>
        <v>#VALUE!</v>
      </c>
    </row>
    <row r="2193" spans="11:11" x14ac:dyDescent="0.25">
      <c r="K2193" s="8" t="e">
        <f t="shared" si="8"/>
        <v>#VALUE!</v>
      </c>
    </row>
    <row r="2194" spans="11:11" x14ac:dyDescent="0.25">
      <c r="K2194" s="8" t="e">
        <f t="shared" si="8"/>
        <v>#VALUE!</v>
      </c>
    </row>
    <row r="2195" spans="11:11" x14ac:dyDescent="0.25">
      <c r="K2195" s="8" t="e">
        <f t="shared" si="8"/>
        <v>#VALUE!</v>
      </c>
    </row>
    <row r="2196" spans="11:11" x14ac:dyDescent="0.25">
      <c r="K2196" s="8" t="e">
        <f t="shared" si="8"/>
        <v>#VALUE!</v>
      </c>
    </row>
    <row r="2197" spans="11:11" x14ac:dyDescent="0.25">
      <c r="K2197" s="8" t="e">
        <f t="shared" si="8"/>
        <v>#VALUE!</v>
      </c>
    </row>
    <row r="2198" spans="11:11" x14ac:dyDescent="0.25">
      <c r="K2198" s="8" t="e">
        <f t="shared" si="8"/>
        <v>#VALUE!</v>
      </c>
    </row>
    <row r="2199" spans="11:11" x14ac:dyDescent="0.25">
      <c r="K2199" s="8" t="e">
        <f t="shared" si="8"/>
        <v>#VALUE!</v>
      </c>
    </row>
    <row r="2200" spans="11:11" x14ac:dyDescent="0.25">
      <c r="K2200" s="8" t="e">
        <f t="shared" si="8"/>
        <v>#VALUE!</v>
      </c>
    </row>
    <row r="2201" spans="11:11" x14ac:dyDescent="0.25">
      <c r="K2201" s="8" t="e">
        <f t="shared" si="8"/>
        <v>#VALUE!</v>
      </c>
    </row>
    <row r="2202" spans="11:11" x14ac:dyDescent="0.25">
      <c r="K2202" s="8" t="e">
        <f t="shared" si="8"/>
        <v>#VALUE!</v>
      </c>
    </row>
    <row r="2203" spans="11:11" x14ac:dyDescent="0.25">
      <c r="K2203" s="8" t="e">
        <f t="shared" si="8"/>
        <v>#VALUE!</v>
      </c>
    </row>
    <row r="2204" spans="11:11" x14ac:dyDescent="0.25">
      <c r="K2204" s="8" t="e">
        <f t="shared" si="8"/>
        <v>#VALUE!</v>
      </c>
    </row>
    <row r="2205" spans="11:11" x14ac:dyDescent="0.25">
      <c r="K2205" s="8" t="e">
        <f t="shared" si="8"/>
        <v>#VALUE!</v>
      </c>
    </row>
    <row r="2206" spans="11:11" x14ac:dyDescent="0.25">
      <c r="K2206" s="8" t="e">
        <f t="shared" si="8"/>
        <v>#VALUE!</v>
      </c>
    </row>
    <row r="2207" spans="11:11" x14ac:dyDescent="0.25">
      <c r="K2207" s="8" t="e">
        <f t="shared" si="8"/>
        <v>#VALUE!</v>
      </c>
    </row>
    <row r="2208" spans="11:11" x14ac:dyDescent="0.25">
      <c r="K2208" s="8" t="e">
        <f t="shared" si="8"/>
        <v>#VALUE!</v>
      </c>
    </row>
    <row r="2209" spans="11:11" x14ac:dyDescent="0.25">
      <c r="K2209" s="8" t="e">
        <f t="shared" si="8"/>
        <v>#VALUE!</v>
      </c>
    </row>
    <row r="2210" spans="11:11" x14ac:dyDescent="0.25">
      <c r="K2210" s="8" t="e">
        <f t="shared" si="8"/>
        <v>#VALUE!</v>
      </c>
    </row>
    <row r="2211" spans="11:11" x14ac:dyDescent="0.25">
      <c r="K2211" s="8" t="e">
        <f t="shared" si="8"/>
        <v>#VALUE!</v>
      </c>
    </row>
    <row r="2212" spans="11:11" x14ac:dyDescent="0.25">
      <c r="K2212" s="8" t="e">
        <f t="shared" si="8"/>
        <v>#VALUE!</v>
      </c>
    </row>
    <row r="2213" spans="11:11" x14ac:dyDescent="0.25">
      <c r="K2213" s="8" t="e">
        <f t="shared" si="8"/>
        <v>#VALUE!</v>
      </c>
    </row>
    <row r="2214" spans="11:11" x14ac:dyDescent="0.25">
      <c r="K2214" s="8" t="e">
        <f t="shared" si="8"/>
        <v>#VALUE!</v>
      </c>
    </row>
    <row r="2215" spans="11:11" x14ac:dyDescent="0.25">
      <c r="K2215" s="8" t="e">
        <f t="shared" si="8"/>
        <v>#VALUE!</v>
      </c>
    </row>
    <row r="2216" spans="11:11" x14ac:dyDescent="0.25">
      <c r="K2216" s="8" t="e">
        <f t="shared" si="8"/>
        <v>#VALUE!</v>
      </c>
    </row>
    <row r="2217" spans="11:11" x14ac:dyDescent="0.25">
      <c r="K2217" s="8" t="e">
        <f t="shared" si="8"/>
        <v>#VALUE!</v>
      </c>
    </row>
    <row r="2218" spans="11:11" x14ac:dyDescent="0.25">
      <c r="K2218" s="8" t="e">
        <f t="shared" si="8"/>
        <v>#VALUE!</v>
      </c>
    </row>
    <row r="2219" spans="11:11" x14ac:dyDescent="0.25">
      <c r="K2219" s="8" t="e">
        <f t="shared" si="8"/>
        <v>#VALUE!</v>
      </c>
    </row>
    <row r="2220" spans="11:11" x14ac:dyDescent="0.25">
      <c r="K2220" s="8" t="e">
        <f t="shared" si="8"/>
        <v>#VALUE!</v>
      </c>
    </row>
    <row r="2221" spans="11:11" x14ac:dyDescent="0.25">
      <c r="K2221" s="8" t="e">
        <f t="shared" si="8"/>
        <v>#VALUE!</v>
      </c>
    </row>
    <row r="2222" spans="11:11" x14ac:dyDescent="0.25">
      <c r="K2222" s="8" t="e">
        <f t="shared" si="8"/>
        <v>#VALUE!</v>
      </c>
    </row>
    <row r="2223" spans="11:11" x14ac:dyDescent="0.25">
      <c r="K2223" s="8" t="e">
        <f t="shared" si="8"/>
        <v>#VALUE!</v>
      </c>
    </row>
    <row r="2224" spans="11:11" x14ac:dyDescent="0.25">
      <c r="K2224" s="8" t="e">
        <f t="shared" si="8"/>
        <v>#VALUE!</v>
      </c>
    </row>
    <row r="2225" spans="11:11" x14ac:dyDescent="0.25">
      <c r="K2225" s="8" t="e">
        <f t="shared" si="8"/>
        <v>#VALUE!</v>
      </c>
    </row>
    <row r="2226" spans="11:11" x14ac:dyDescent="0.25">
      <c r="K2226" s="8" t="e">
        <f t="shared" si="8"/>
        <v>#VALUE!</v>
      </c>
    </row>
    <row r="2227" spans="11:11" x14ac:dyDescent="0.25">
      <c r="K2227" s="8" t="e">
        <f t="shared" si="8"/>
        <v>#VALUE!</v>
      </c>
    </row>
    <row r="2228" spans="11:11" x14ac:dyDescent="0.25">
      <c r="K2228" s="8" t="e">
        <f t="shared" si="8"/>
        <v>#VALUE!</v>
      </c>
    </row>
    <row r="2229" spans="11:11" x14ac:dyDescent="0.25">
      <c r="K2229" s="8" t="e">
        <f t="shared" si="8"/>
        <v>#VALUE!</v>
      </c>
    </row>
    <row r="2230" spans="11:11" x14ac:dyDescent="0.25">
      <c r="K2230" s="8" t="e">
        <f t="shared" si="8"/>
        <v>#VALUE!</v>
      </c>
    </row>
    <row r="2231" spans="11:11" x14ac:dyDescent="0.25">
      <c r="K2231" s="8" t="e">
        <f t="shared" si="8"/>
        <v>#VALUE!</v>
      </c>
    </row>
    <row r="2232" spans="11:11" x14ac:dyDescent="0.25">
      <c r="K2232" s="8" t="e">
        <f t="shared" si="8"/>
        <v>#VALUE!</v>
      </c>
    </row>
    <row r="2233" spans="11:11" x14ac:dyDescent="0.25">
      <c r="K2233" s="8" t="e">
        <f t="shared" si="8"/>
        <v>#VALUE!</v>
      </c>
    </row>
    <row r="2234" spans="11:11" x14ac:dyDescent="0.25">
      <c r="K2234" s="8" t="e">
        <f t="shared" si="8"/>
        <v>#VALUE!</v>
      </c>
    </row>
    <row r="2235" spans="11:11" x14ac:dyDescent="0.25">
      <c r="K2235" s="8" t="e">
        <f t="shared" si="8"/>
        <v>#VALUE!</v>
      </c>
    </row>
    <row r="2236" spans="11:11" x14ac:dyDescent="0.25">
      <c r="K2236" s="8" t="e">
        <f t="shared" si="8"/>
        <v>#VALUE!</v>
      </c>
    </row>
    <row r="2237" spans="11:11" x14ac:dyDescent="0.25">
      <c r="K2237" s="8" t="e">
        <f t="shared" si="8"/>
        <v>#VALUE!</v>
      </c>
    </row>
    <row r="2238" spans="11:11" x14ac:dyDescent="0.25">
      <c r="K2238" s="8" t="e">
        <f t="shared" si="8"/>
        <v>#VALUE!</v>
      </c>
    </row>
    <row r="2239" spans="11:11" x14ac:dyDescent="0.25">
      <c r="K2239" s="8" t="e">
        <f t="shared" si="8"/>
        <v>#VALUE!</v>
      </c>
    </row>
    <row r="2240" spans="11:11" x14ac:dyDescent="0.25">
      <c r="K2240" s="8" t="e">
        <f t="shared" si="8"/>
        <v>#VALUE!</v>
      </c>
    </row>
    <row r="2241" spans="11:11" x14ac:dyDescent="0.25">
      <c r="K2241" s="8" t="e">
        <f t="shared" si="8"/>
        <v>#VALUE!</v>
      </c>
    </row>
    <row r="2242" spans="11:11" x14ac:dyDescent="0.25">
      <c r="K2242" s="8" t="e">
        <f t="shared" si="8"/>
        <v>#VALUE!</v>
      </c>
    </row>
    <row r="2243" spans="11:11" x14ac:dyDescent="0.25">
      <c r="K2243" s="8" t="e">
        <f t="shared" ref="K2243:K2306" si="9">LEFT(A2243,FIND("/",A2243)-1)</f>
        <v>#VALUE!</v>
      </c>
    </row>
    <row r="2244" spans="11:11" x14ac:dyDescent="0.25">
      <c r="K2244" s="8" t="e">
        <f t="shared" si="9"/>
        <v>#VALUE!</v>
      </c>
    </row>
    <row r="2245" spans="11:11" x14ac:dyDescent="0.25">
      <c r="K2245" s="8" t="e">
        <f t="shared" si="9"/>
        <v>#VALUE!</v>
      </c>
    </row>
    <row r="2246" spans="11:11" x14ac:dyDescent="0.25">
      <c r="K2246" s="8" t="e">
        <f t="shared" si="9"/>
        <v>#VALUE!</v>
      </c>
    </row>
    <row r="2247" spans="11:11" x14ac:dyDescent="0.25">
      <c r="K2247" s="8" t="e">
        <f t="shared" si="9"/>
        <v>#VALUE!</v>
      </c>
    </row>
    <row r="2248" spans="11:11" x14ac:dyDescent="0.25">
      <c r="K2248" s="8" t="e">
        <f t="shared" si="9"/>
        <v>#VALUE!</v>
      </c>
    </row>
    <row r="2249" spans="11:11" x14ac:dyDescent="0.25">
      <c r="K2249" s="8" t="e">
        <f t="shared" si="9"/>
        <v>#VALUE!</v>
      </c>
    </row>
    <row r="2250" spans="11:11" x14ac:dyDescent="0.25">
      <c r="K2250" s="8" t="e">
        <f t="shared" si="9"/>
        <v>#VALUE!</v>
      </c>
    </row>
    <row r="2251" spans="11:11" x14ac:dyDescent="0.25">
      <c r="K2251" s="8" t="e">
        <f t="shared" si="9"/>
        <v>#VALUE!</v>
      </c>
    </row>
    <row r="2252" spans="11:11" x14ac:dyDescent="0.25">
      <c r="K2252" s="8" t="e">
        <f t="shared" si="9"/>
        <v>#VALUE!</v>
      </c>
    </row>
    <row r="2253" spans="11:11" x14ac:dyDescent="0.25">
      <c r="K2253" s="8" t="e">
        <f t="shared" si="9"/>
        <v>#VALUE!</v>
      </c>
    </row>
    <row r="2254" spans="11:11" x14ac:dyDescent="0.25">
      <c r="K2254" s="8" t="e">
        <f t="shared" si="9"/>
        <v>#VALUE!</v>
      </c>
    </row>
    <row r="2255" spans="11:11" x14ac:dyDescent="0.25">
      <c r="K2255" s="8" t="e">
        <f t="shared" si="9"/>
        <v>#VALUE!</v>
      </c>
    </row>
    <row r="2256" spans="11:11" x14ac:dyDescent="0.25">
      <c r="K2256" s="8" t="e">
        <f t="shared" si="9"/>
        <v>#VALUE!</v>
      </c>
    </row>
    <row r="2257" spans="11:11" x14ac:dyDescent="0.25">
      <c r="K2257" s="8" t="e">
        <f t="shared" si="9"/>
        <v>#VALUE!</v>
      </c>
    </row>
    <row r="2258" spans="11:11" x14ac:dyDescent="0.25">
      <c r="K2258" s="8" t="e">
        <f t="shared" si="9"/>
        <v>#VALUE!</v>
      </c>
    </row>
    <row r="2259" spans="11:11" x14ac:dyDescent="0.25">
      <c r="K2259" s="8" t="e">
        <f t="shared" si="9"/>
        <v>#VALUE!</v>
      </c>
    </row>
    <row r="2260" spans="11:11" x14ac:dyDescent="0.25">
      <c r="K2260" s="8" t="e">
        <f t="shared" si="9"/>
        <v>#VALUE!</v>
      </c>
    </row>
    <row r="2261" spans="11:11" x14ac:dyDescent="0.25">
      <c r="K2261" s="8" t="e">
        <f t="shared" si="9"/>
        <v>#VALUE!</v>
      </c>
    </row>
    <row r="2262" spans="11:11" x14ac:dyDescent="0.25">
      <c r="K2262" s="8" t="e">
        <f t="shared" si="9"/>
        <v>#VALUE!</v>
      </c>
    </row>
    <row r="2263" spans="11:11" x14ac:dyDescent="0.25">
      <c r="K2263" s="8" t="e">
        <f t="shared" si="9"/>
        <v>#VALUE!</v>
      </c>
    </row>
    <row r="2264" spans="11:11" x14ac:dyDescent="0.25">
      <c r="K2264" s="8" t="e">
        <f t="shared" si="9"/>
        <v>#VALUE!</v>
      </c>
    </row>
    <row r="2265" spans="11:11" x14ac:dyDescent="0.25">
      <c r="K2265" s="8" t="e">
        <f t="shared" si="9"/>
        <v>#VALUE!</v>
      </c>
    </row>
    <row r="2266" spans="11:11" x14ac:dyDescent="0.25">
      <c r="K2266" s="8" t="e">
        <f t="shared" si="9"/>
        <v>#VALUE!</v>
      </c>
    </row>
    <row r="2267" spans="11:11" x14ac:dyDescent="0.25">
      <c r="K2267" s="8" t="e">
        <f t="shared" si="9"/>
        <v>#VALUE!</v>
      </c>
    </row>
    <row r="2268" spans="11:11" x14ac:dyDescent="0.25">
      <c r="K2268" s="8" t="e">
        <f t="shared" si="9"/>
        <v>#VALUE!</v>
      </c>
    </row>
    <row r="2269" spans="11:11" x14ac:dyDescent="0.25">
      <c r="K2269" s="8" t="e">
        <f t="shared" si="9"/>
        <v>#VALUE!</v>
      </c>
    </row>
    <row r="2270" spans="11:11" x14ac:dyDescent="0.25">
      <c r="K2270" s="8" t="e">
        <f t="shared" si="9"/>
        <v>#VALUE!</v>
      </c>
    </row>
    <row r="2271" spans="11:11" x14ac:dyDescent="0.25">
      <c r="K2271" s="8" t="e">
        <f t="shared" si="9"/>
        <v>#VALUE!</v>
      </c>
    </row>
    <row r="2272" spans="11:11" x14ac:dyDescent="0.25">
      <c r="K2272" s="8" t="e">
        <f t="shared" si="9"/>
        <v>#VALUE!</v>
      </c>
    </row>
    <row r="2273" spans="11:11" x14ac:dyDescent="0.25">
      <c r="K2273" s="8" t="e">
        <f t="shared" si="9"/>
        <v>#VALUE!</v>
      </c>
    </row>
    <row r="2274" spans="11:11" x14ac:dyDescent="0.25">
      <c r="K2274" s="8" t="e">
        <f t="shared" si="9"/>
        <v>#VALUE!</v>
      </c>
    </row>
    <row r="2275" spans="11:11" x14ac:dyDescent="0.25">
      <c r="K2275" s="8" t="e">
        <f t="shared" si="9"/>
        <v>#VALUE!</v>
      </c>
    </row>
    <row r="2276" spans="11:11" x14ac:dyDescent="0.25">
      <c r="K2276" s="8" t="e">
        <f t="shared" si="9"/>
        <v>#VALUE!</v>
      </c>
    </row>
    <row r="2277" spans="11:11" x14ac:dyDescent="0.25">
      <c r="K2277" s="8" t="e">
        <f t="shared" si="9"/>
        <v>#VALUE!</v>
      </c>
    </row>
    <row r="2278" spans="11:11" x14ac:dyDescent="0.25">
      <c r="K2278" s="8" t="e">
        <f t="shared" si="9"/>
        <v>#VALUE!</v>
      </c>
    </row>
    <row r="2279" spans="11:11" x14ac:dyDescent="0.25">
      <c r="K2279" s="8" t="e">
        <f t="shared" si="9"/>
        <v>#VALUE!</v>
      </c>
    </row>
    <row r="2280" spans="11:11" x14ac:dyDescent="0.25">
      <c r="K2280" s="8" t="e">
        <f t="shared" si="9"/>
        <v>#VALUE!</v>
      </c>
    </row>
    <row r="2281" spans="11:11" x14ac:dyDescent="0.25">
      <c r="K2281" s="8" t="e">
        <f t="shared" si="9"/>
        <v>#VALUE!</v>
      </c>
    </row>
    <row r="2282" spans="11:11" x14ac:dyDescent="0.25">
      <c r="K2282" s="8" t="e">
        <f t="shared" si="9"/>
        <v>#VALUE!</v>
      </c>
    </row>
    <row r="2283" spans="11:11" x14ac:dyDescent="0.25">
      <c r="K2283" s="8" t="e">
        <f t="shared" si="9"/>
        <v>#VALUE!</v>
      </c>
    </row>
    <row r="2284" spans="11:11" x14ac:dyDescent="0.25">
      <c r="K2284" s="8" t="e">
        <f t="shared" si="9"/>
        <v>#VALUE!</v>
      </c>
    </row>
    <row r="2285" spans="11:11" x14ac:dyDescent="0.25">
      <c r="K2285" s="8" t="e">
        <f t="shared" si="9"/>
        <v>#VALUE!</v>
      </c>
    </row>
    <row r="2286" spans="11:11" x14ac:dyDescent="0.25">
      <c r="K2286" s="8" t="e">
        <f t="shared" si="9"/>
        <v>#VALUE!</v>
      </c>
    </row>
    <row r="2287" spans="11:11" x14ac:dyDescent="0.25">
      <c r="K2287" s="8" t="e">
        <f t="shared" si="9"/>
        <v>#VALUE!</v>
      </c>
    </row>
    <row r="2288" spans="11:11" x14ac:dyDescent="0.25">
      <c r="K2288" s="8" t="e">
        <f t="shared" si="9"/>
        <v>#VALUE!</v>
      </c>
    </row>
    <row r="2289" spans="11:11" x14ac:dyDescent="0.25">
      <c r="K2289" s="8" t="e">
        <f t="shared" si="9"/>
        <v>#VALUE!</v>
      </c>
    </row>
    <row r="2290" spans="11:11" x14ac:dyDescent="0.25">
      <c r="K2290" s="8" t="e">
        <f t="shared" si="9"/>
        <v>#VALUE!</v>
      </c>
    </row>
    <row r="2291" spans="11:11" x14ac:dyDescent="0.25">
      <c r="K2291" s="8" t="e">
        <f t="shared" si="9"/>
        <v>#VALUE!</v>
      </c>
    </row>
    <row r="2292" spans="11:11" x14ac:dyDescent="0.25">
      <c r="K2292" s="8" t="e">
        <f t="shared" si="9"/>
        <v>#VALUE!</v>
      </c>
    </row>
    <row r="2293" spans="11:11" x14ac:dyDescent="0.25">
      <c r="K2293" s="8" t="e">
        <f t="shared" si="9"/>
        <v>#VALUE!</v>
      </c>
    </row>
    <row r="2294" spans="11:11" x14ac:dyDescent="0.25">
      <c r="K2294" s="8" t="e">
        <f t="shared" si="9"/>
        <v>#VALUE!</v>
      </c>
    </row>
    <row r="2295" spans="11:11" x14ac:dyDescent="0.25">
      <c r="K2295" s="8" t="e">
        <f t="shared" si="9"/>
        <v>#VALUE!</v>
      </c>
    </row>
    <row r="2296" spans="11:11" x14ac:dyDescent="0.25">
      <c r="K2296" s="8" t="e">
        <f t="shared" si="9"/>
        <v>#VALUE!</v>
      </c>
    </row>
    <row r="2297" spans="11:11" x14ac:dyDescent="0.25">
      <c r="K2297" s="8" t="e">
        <f t="shared" si="9"/>
        <v>#VALUE!</v>
      </c>
    </row>
    <row r="2298" spans="11:11" x14ac:dyDescent="0.25">
      <c r="K2298" s="8" t="e">
        <f t="shared" si="9"/>
        <v>#VALUE!</v>
      </c>
    </row>
    <row r="2299" spans="11:11" x14ac:dyDescent="0.25">
      <c r="K2299" s="8" t="e">
        <f t="shared" si="9"/>
        <v>#VALUE!</v>
      </c>
    </row>
    <row r="2300" spans="11:11" x14ac:dyDescent="0.25">
      <c r="K2300" s="8" t="e">
        <f t="shared" si="9"/>
        <v>#VALUE!</v>
      </c>
    </row>
    <row r="2301" spans="11:11" x14ac:dyDescent="0.25">
      <c r="K2301" s="8" t="e">
        <f t="shared" si="9"/>
        <v>#VALUE!</v>
      </c>
    </row>
    <row r="2302" spans="11:11" x14ac:dyDescent="0.25">
      <c r="K2302" s="8" t="e">
        <f t="shared" si="9"/>
        <v>#VALUE!</v>
      </c>
    </row>
    <row r="2303" spans="11:11" x14ac:dyDescent="0.25">
      <c r="K2303" s="8" t="e">
        <f t="shared" si="9"/>
        <v>#VALUE!</v>
      </c>
    </row>
    <row r="2304" spans="11:11" x14ac:dyDescent="0.25">
      <c r="K2304" s="8" t="e">
        <f t="shared" si="9"/>
        <v>#VALUE!</v>
      </c>
    </row>
    <row r="2305" spans="11:11" x14ac:dyDescent="0.25">
      <c r="K2305" s="8" t="e">
        <f t="shared" si="9"/>
        <v>#VALUE!</v>
      </c>
    </row>
    <row r="2306" spans="11:11" x14ac:dyDescent="0.25">
      <c r="K2306" s="8" t="e">
        <f t="shared" si="9"/>
        <v>#VALUE!</v>
      </c>
    </row>
    <row r="2307" spans="11:11" x14ac:dyDescent="0.25">
      <c r="K2307" s="8" t="e">
        <f t="shared" ref="K2307:K2370" si="10">LEFT(A2307,FIND("/",A2307)-1)</f>
        <v>#VALUE!</v>
      </c>
    </row>
    <row r="2308" spans="11:11" x14ac:dyDescent="0.25">
      <c r="K2308" s="8" t="e">
        <f t="shared" si="10"/>
        <v>#VALUE!</v>
      </c>
    </row>
    <row r="2309" spans="11:11" x14ac:dyDescent="0.25">
      <c r="K2309" s="8" t="e">
        <f t="shared" si="10"/>
        <v>#VALUE!</v>
      </c>
    </row>
    <row r="2310" spans="11:11" x14ac:dyDescent="0.25">
      <c r="K2310" s="8" t="e">
        <f t="shared" si="10"/>
        <v>#VALUE!</v>
      </c>
    </row>
    <row r="2311" spans="11:11" x14ac:dyDescent="0.25">
      <c r="K2311" s="8" t="e">
        <f t="shared" si="10"/>
        <v>#VALUE!</v>
      </c>
    </row>
    <row r="2312" spans="11:11" x14ac:dyDescent="0.25">
      <c r="K2312" s="8" t="e">
        <f t="shared" si="10"/>
        <v>#VALUE!</v>
      </c>
    </row>
    <row r="2313" spans="11:11" x14ac:dyDescent="0.25">
      <c r="K2313" s="8" t="e">
        <f t="shared" si="10"/>
        <v>#VALUE!</v>
      </c>
    </row>
    <row r="2314" spans="11:11" x14ac:dyDescent="0.25">
      <c r="K2314" s="8" t="e">
        <f t="shared" si="10"/>
        <v>#VALUE!</v>
      </c>
    </row>
    <row r="2315" spans="11:11" x14ac:dyDescent="0.25">
      <c r="K2315" s="8" t="e">
        <f t="shared" si="10"/>
        <v>#VALUE!</v>
      </c>
    </row>
    <row r="2316" spans="11:11" x14ac:dyDescent="0.25">
      <c r="K2316" s="8" t="e">
        <f t="shared" si="10"/>
        <v>#VALUE!</v>
      </c>
    </row>
    <row r="2317" spans="11:11" x14ac:dyDescent="0.25">
      <c r="K2317" s="8" t="e">
        <f t="shared" si="10"/>
        <v>#VALUE!</v>
      </c>
    </row>
    <row r="2318" spans="11:11" x14ac:dyDescent="0.25">
      <c r="K2318" s="8" t="e">
        <f t="shared" si="10"/>
        <v>#VALUE!</v>
      </c>
    </row>
    <row r="2319" spans="11:11" x14ac:dyDescent="0.25">
      <c r="K2319" s="8" t="e">
        <f t="shared" si="10"/>
        <v>#VALUE!</v>
      </c>
    </row>
    <row r="2320" spans="11:11" x14ac:dyDescent="0.25">
      <c r="K2320" s="8" t="e">
        <f t="shared" si="10"/>
        <v>#VALUE!</v>
      </c>
    </row>
    <row r="2321" spans="11:11" x14ac:dyDescent="0.25">
      <c r="K2321" s="8" t="e">
        <f t="shared" si="10"/>
        <v>#VALUE!</v>
      </c>
    </row>
    <row r="2322" spans="11:11" x14ac:dyDescent="0.25">
      <c r="K2322" s="8" t="e">
        <f t="shared" si="10"/>
        <v>#VALUE!</v>
      </c>
    </row>
    <row r="2323" spans="11:11" x14ac:dyDescent="0.25">
      <c r="K2323" s="8" t="e">
        <f t="shared" si="10"/>
        <v>#VALUE!</v>
      </c>
    </row>
    <row r="2324" spans="11:11" x14ac:dyDescent="0.25">
      <c r="K2324" s="8" t="e">
        <f t="shared" si="10"/>
        <v>#VALUE!</v>
      </c>
    </row>
    <row r="2325" spans="11:11" x14ac:dyDescent="0.25">
      <c r="K2325" s="8" t="e">
        <f t="shared" si="10"/>
        <v>#VALUE!</v>
      </c>
    </row>
    <row r="2326" spans="11:11" x14ac:dyDescent="0.25">
      <c r="K2326" s="8" t="e">
        <f t="shared" si="10"/>
        <v>#VALUE!</v>
      </c>
    </row>
    <row r="2327" spans="11:11" x14ac:dyDescent="0.25">
      <c r="K2327" s="8" t="e">
        <f t="shared" si="10"/>
        <v>#VALUE!</v>
      </c>
    </row>
    <row r="2328" spans="11:11" x14ac:dyDescent="0.25">
      <c r="K2328" s="8" t="e">
        <f t="shared" si="10"/>
        <v>#VALUE!</v>
      </c>
    </row>
    <row r="2329" spans="11:11" x14ac:dyDescent="0.25">
      <c r="K2329" s="8" t="e">
        <f t="shared" si="10"/>
        <v>#VALUE!</v>
      </c>
    </row>
    <row r="2330" spans="11:11" x14ac:dyDescent="0.25">
      <c r="K2330" s="8" t="e">
        <f t="shared" si="10"/>
        <v>#VALUE!</v>
      </c>
    </row>
    <row r="2331" spans="11:11" x14ac:dyDescent="0.25">
      <c r="K2331" s="8" t="e">
        <f t="shared" si="10"/>
        <v>#VALUE!</v>
      </c>
    </row>
    <row r="2332" spans="11:11" x14ac:dyDescent="0.25">
      <c r="K2332" s="8" t="e">
        <f t="shared" si="10"/>
        <v>#VALUE!</v>
      </c>
    </row>
    <row r="2333" spans="11:11" x14ac:dyDescent="0.25">
      <c r="K2333" s="8" t="e">
        <f t="shared" si="10"/>
        <v>#VALUE!</v>
      </c>
    </row>
    <row r="2334" spans="11:11" x14ac:dyDescent="0.25">
      <c r="K2334" s="8" t="e">
        <f t="shared" si="10"/>
        <v>#VALUE!</v>
      </c>
    </row>
    <row r="2335" spans="11:11" x14ac:dyDescent="0.25">
      <c r="K2335" s="8" t="e">
        <f t="shared" si="10"/>
        <v>#VALUE!</v>
      </c>
    </row>
    <row r="2336" spans="11:11" x14ac:dyDescent="0.25">
      <c r="K2336" s="8" t="e">
        <f t="shared" si="10"/>
        <v>#VALUE!</v>
      </c>
    </row>
    <row r="2337" spans="11:11" x14ac:dyDescent="0.25">
      <c r="K2337" s="8" t="e">
        <f t="shared" si="10"/>
        <v>#VALUE!</v>
      </c>
    </row>
    <row r="2338" spans="11:11" x14ac:dyDescent="0.25">
      <c r="K2338" s="8" t="e">
        <f t="shared" si="10"/>
        <v>#VALUE!</v>
      </c>
    </row>
    <row r="2339" spans="11:11" x14ac:dyDescent="0.25">
      <c r="K2339" s="8" t="e">
        <f t="shared" si="10"/>
        <v>#VALUE!</v>
      </c>
    </row>
    <row r="2340" spans="11:11" x14ac:dyDescent="0.25">
      <c r="K2340" s="8" t="e">
        <f t="shared" si="10"/>
        <v>#VALUE!</v>
      </c>
    </row>
    <row r="2341" spans="11:11" x14ac:dyDescent="0.25">
      <c r="K2341" s="8" t="e">
        <f t="shared" si="10"/>
        <v>#VALUE!</v>
      </c>
    </row>
    <row r="2342" spans="11:11" x14ac:dyDescent="0.25">
      <c r="K2342" s="8" t="e">
        <f t="shared" si="10"/>
        <v>#VALUE!</v>
      </c>
    </row>
    <row r="2343" spans="11:11" x14ac:dyDescent="0.25">
      <c r="K2343" s="8" t="e">
        <f t="shared" si="10"/>
        <v>#VALUE!</v>
      </c>
    </row>
    <row r="2344" spans="11:11" x14ac:dyDescent="0.25">
      <c r="K2344" s="8" t="e">
        <f t="shared" si="10"/>
        <v>#VALUE!</v>
      </c>
    </row>
    <row r="2345" spans="11:11" x14ac:dyDescent="0.25">
      <c r="K2345" s="8" t="e">
        <f t="shared" si="10"/>
        <v>#VALUE!</v>
      </c>
    </row>
    <row r="2346" spans="11:11" x14ac:dyDescent="0.25">
      <c r="K2346" s="8" t="e">
        <f t="shared" si="10"/>
        <v>#VALUE!</v>
      </c>
    </row>
    <row r="2347" spans="11:11" x14ac:dyDescent="0.25">
      <c r="K2347" s="8" t="e">
        <f t="shared" si="10"/>
        <v>#VALUE!</v>
      </c>
    </row>
    <row r="2348" spans="11:11" x14ac:dyDescent="0.25">
      <c r="K2348" s="8" t="e">
        <f t="shared" si="10"/>
        <v>#VALUE!</v>
      </c>
    </row>
    <row r="2349" spans="11:11" x14ac:dyDescent="0.25">
      <c r="K2349" s="8" t="e">
        <f t="shared" si="10"/>
        <v>#VALUE!</v>
      </c>
    </row>
    <row r="2350" spans="11:11" x14ac:dyDescent="0.25">
      <c r="K2350" s="8" t="e">
        <f t="shared" si="10"/>
        <v>#VALUE!</v>
      </c>
    </row>
    <row r="2351" spans="11:11" x14ac:dyDescent="0.25">
      <c r="K2351" s="8" t="e">
        <f t="shared" si="10"/>
        <v>#VALUE!</v>
      </c>
    </row>
    <row r="2352" spans="11:11" x14ac:dyDescent="0.25">
      <c r="K2352" s="8" t="e">
        <f t="shared" si="10"/>
        <v>#VALUE!</v>
      </c>
    </row>
    <row r="2353" spans="11:11" x14ac:dyDescent="0.25">
      <c r="K2353" s="8" t="e">
        <f t="shared" si="10"/>
        <v>#VALUE!</v>
      </c>
    </row>
    <row r="2354" spans="11:11" x14ac:dyDescent="0.25">
      <c r="K2354" s="8" t="e">
        <f t="shared" si="10"/>
        <v>#VALUE!</v>
      </c>
    </row>
    <row r="2355" spans="11:11" x14ac:dyDescent="0.25">
      <c r="K2355" s="8" t="e">
        <f t="shared" si="10"/>
        <v>#VALUE!</v>
      </c>
    </row>
    <row r="2356" spans="11:11" x14ac:dyDescent="0.25">
      <c r="K2356" s="8" t="e">
        <f t="shared" si="10"/>
        <v>#VALUE!</v>
      </c>
    </row>
    <row r="2357" spans="11:11" x14ac:dyDescent="0.25">
      <c r="K2357" s="8" t="e">
        <f t="shared" si="10"/>
        <v>#VALUE!</v>
      </c>
    </row>
    <row r="2358" spans="11:11" x14ac:dyDescent="0.25">
      <c r="K2358" s="8" t="e">
        <f t="shared" si="10"/>
        <v>#VALUE!</v>
      </c>
    </row>
    <row r="2359" spans="11:11" x14ac:dyDescent="0.25">
      <c r="K2359" s="8" t="e">
        <f t="shared" si="10"/>
        <v>#VALUE!</v>
      </c>
    </row>
    <row r="2360" spans="11:11" x14ac:dyDescent="0.25">
      <c r="K2360" s="8" t="e">
        <f t="shared" si="10"/>
        <v>#VALUE!</v>
      </c>
    </row>
    <row r="2361" spans="11:11" x14ac:dyDescent="0.25">
      <c r="K2361" s="8" t="e">
        <f t="shared" si="10"/>
        <v>#VALUE!</v>
      </c>
    </row>
    <row r="2362" spans="11:11" x14ac:dyDescent="0.25">
      <c r="K2362" s="8" t="e">
        <f t="shared" si="10"/>
        <v>#VALUE!</v>
      </c>
    </row>
    <row r="2363" spans="11:11" x14ac:dyDescent="0.25">
      <c r="K2363" s="8" t="e">
        <f t="shared" si="10"/>
        <v>#VALUE!</v>
      </c>
    </row>
    <row r="2364" spans="11:11" x14ac:dyDescent="0.25">
      <c r="K2364" s="8" t="e">
        <f t="shared" si="10"/>
        <v>#VALUE!</v>
      </c>
    </row>
    <row r="2365" spans="11:11" x14ac:dyDescent="0.25">
      <c r="K2365" s="8" t="e">
        <f t="shared" si="10"/>
        <v>#VALUE!</v>
      </c>
    </row>
    <row r="2366" spans="11:11" x14ac:dyDescent="0.25">
      <c r="K2366" s="8" t="e">
        <f t="shared" si="10"/>
        <v>#VALUE!</v>
      </c>
    </row>
    <row r="2367" spans="11:11" x14ac:dyDescent="0.25">
      <c r="K2367" s="8" t="e">
        <f t="shared" si="10"/>
        <v>#VALUE!</v>
      </c>
    </row>
    <row r="2368" spans="11:11" x14ac:dyDescent="0.25">
      <c r="K2368" s="8" t="e">
        <f t="shared" si="10"/>
        <v>#VALUE!</v>
      </c>
    </row>
    <row r="2369" spans="11:11" x14ac:dyDescent="0.25">
      <c r="K2369" s="8" t="e">
        <f t="shared" si="10"/>
        <v>#VALUE!</v>
      </c>
    </row>
    <row r="2370" spans="11:11" x14ac:dyDescent="0.25">
      <c r="K2370" s="8" t="e">
        <f t="shared" si="10"/>
        <v>#VALUE!</v>
      </c>
    </row>
    <row r="2371" spans="11:11" x14ac:dyDescent="0.25">
      <c r="K2371" s="8" t="e">
        <f t="shared" ref="K2371:K2434" si="11">LEFT(A2371,FIND("/",A2371)-1)</f>
        <v>#VALUE!</v>
      </c>
    </row>
    <row r="2372" spans="11:11" x14ac:dyDescent="0.25">
      <c r="K2372" s="8" t="e">
        <f t="shared" si="11"/>
        <v>#VALUE!</v>
      </c>
    </row>
    <row r="2373" spans="11:11" x14ac:dyDescent="0.25">
      <c r="K2373" s="8" t="e">
        <f t="shared" si="11"/>
        <v>#VALUE!</v>
      </c>
    </row>
    <row r="2374" spans="11:11" x14ac:dyDescent="0.25">
      <c r="K2374" s="8" t="e">
        <f t="shared" si="11"/>
        <v>#VALUE!</v>
      </c>
    </row>
    <row r="2375" spans="11:11" x14ac:dyDescent="0.25">
      <c r="K2375" s="8" t="e">
        <f t="shared" si="11"/>
        <v>#VALUE!</v>
      </c>
    </row>
    <row r="2376" spans="11:11" x14ac:dyDescent="0.25">
      <c r="K2376" s="8" t="e">
        <f t="shared" si="11"/>
        <v>#VALUE!</v>
      </c>
    </row>
    <row r="2377" spans="11:11" x14ac:dyDescent="0.25">
      <c r="K2377" s="8" t="e">
        <f t="shared" si="11"/>
        <v>#VALUE!</v>
      </c>
    </row>
    <row r="2378" spans="11:11" x14ac:dyDescent="0.25">
      <c r="K2378" s="8" t="e">
        <f t="shared" si="11"/>
        <v>#VALUE!</v>
      </c>
    </row>
    <row r="2379" spans="11:11" x14ac:dyDescent="0.25">
      <c r="K2379" s="8" t="e">
        <f t="shared" si="11"/>
        <v>#VALUE!</v>
      </c>
    </row>
    <row r="2380" spans="11:11" x14ac:dyDescent="0.25">
      <c r="K2380" s="8" t="e">
        <f t="shared" si="11"/>
        <v>#VALUE!</v>
      </c>
    </row>
    <row r="2381" spans="11:11" x14ac:dyDescent="0.25">
      <c r="K2381" s="8" t="e">
        <f t="shared" si="11"/>
        <v>#VALUE!</v>
      </c>
    </row>
    <row r="2382" spans="11:11" x14ac:dyDescent="0.25">
      <c r="K2382" s="8" t="e">
        <f t="shared" si="11"/>
        <v>#VALUE!</v>
      </c>
    </row>
    <row r="2383" spans="11:11" x14ac:dyDescent="0.25">
      <c r="K2383" s="8" t="e">
        <f t="shared" si="11"/>
        <v>#VALUE!</v>
      </c>
    </row>
    <row r="2384" spans="11:11" x14ac:dyDescent="0.25">
      <c r="K2384" s="8" t="e">
        <f t="shared" si="11"/>
        <v>#VALUE!</v>
      </c>
    </row>
    <row r="2385" spans="11:11" x14ac:dyDescent="0.25">
      <c r="K2385" s="8" t="e">
        <f t="shared" si="11"/>
        <v>#VALUE!</v>
      </c>
    </row>
    <row r="2386" spans="11:11" x14ac:dyDescent="0.25">
      <c r="K2386" s="8" t="e">
        <f t="shared" si="11"/>
        <v>#VALUE!</v>
      </c>
    </row>
    <row r="2387" spans="11:11" x14ac:dyDescent="0.25">
      <c r="K2387" s="8" t="e">
        <f t="shared" si="11"/>
        <v>#VALUE!</v>
      </c>
    </row>
    <row r="2388" spans="11:11" x14ac:dyDescent="0.25">
      <c r="K2388" s="8" t="e">
        <f t="shared" si="11"/>
        <v>#VALUE!</v>
      </c>
    </row>
    <row r="2389" spans="11:11" x14ac:dyDescent="0.25">
      <c r="K2389" s="8" t="e">
        <f t="shared" si="11"/>
        <v>#VALUE!</v>
      </c>
    </row>
    <row r="2390" spans="11:11" x14ac:dyDescent="0.25">
      <c r="K2390" s="8" t="e">
        <f t="shared" si="11"/>
        <v>#VALUE!</v>
      </c>
    </row>
    <row r="2391" spans="11:11" x14ac:dyDescent="0.25">
      <c r="K2391" s="8" t="e">
        <f t="shared" si="11"/>
        <v>#VALUE!</v>
      </c>
    </row>
    <row r="2392" spans="11:11" x14ac:dyDescent="0.25">
      <c r="K2392" s="8" t="e">
        <f t="shared" si="11"/>
        <v>#VALUE!</v>
      </c>
    </row>
    <row r="2393" spans="11:11" x14ac:dyDescent="0.25">
      <c r="K2393" s="8" t="e">
        <f t="shared" si="11"/>
        <v>#VALUE!</v>
      </c>
    </row>
    <row r="2394" spans="11:11" x14ac:dyDescent="0.25">
      <c r="K2394" s="8" t="e">
        <f t="shared" si="11"/>
        <v>#VALUE!</v>
      </c>
    </row>
    <row r="2395" spans="11:11" x14ac:dyDescent="0.25">
      <c r="K2395" s="8" t="e">
        <f t="shared" si="11"/>
        <v>#VALUE!</v>
      </c>
    </row>
    <row r="2396" spans="11:11" x14ac:dyDescent="0.25">
      <c r="K2396" s="8" t="e">
        <f t="shared" si="11"/>
        <v>#VALUE!</v>
      </c>
    </row>
    <row r="2397" spans="11:11" x14ac:dyDescent="0.25">
      <c r="K2397" s="8" t="e">
        <f t="shared" si="11"/>
        <v>#VALUE!</v>
      </c>
    </row>
    <row r="2398" spans="11:11" x14ac:dyDescent="0.25">
      <c r="K2398" s="8" t="e">
        <f t="shared" si="11"/>
        <v>#VALUE!</v>
      </c>
    </row>
    <row r="2399" spans="11:11" x14ac:dyDescent="0.25">
      <c r="K2399" s="8" t="e">
        <f t="shared" si="11"/>
        <v>#VALUE!</v>
      </c>
    </row>
    <row r="2400" spans="11:11" x14ac:dyDescent="0.25">
      <c r="K2400" s="8" t="e">
        <f t="shared" si="11"/>
        <v>#VALUE!</v>
      </c>
    </row>
    <row r="2401" spans="11:11" x14ac:dyDescent="0.25">
      <c r="K2401" s="8" t="e">
        <f t="shared" si="11"/>
        <v>#VALUE!</v>
      </c>
    </row>
    <row r="2402" spans="11:11" x14ac:dyDescent="0.25">
      <c r="K2402" s="8" t="e">
        <f t="shared" si="11"/>
        <v>#VALUE!</v>
      </c>
    </row>
    <row r="2403" spans="11:11" x14ac:dyDescent="0.25">
      <c r="K2403" s="8" t="e">
        <f t="shared" si="11"/>
        <v>#VALUE!</v>
      </c>
    </row>
    <row r="2404" spans="11:11" x14ac:dyDescent="0.25">
      <c r="K2404" s="8" t="e">
        <f t="shared" si="11"/>
        <v>#VALUE!</v>
      </c>
    </row>
    <row r="2405" spans="11:11" x14ac:dyDescent="0.25">
      <c r="K2405" s="8" t="e">
        <f t="shared" si="11"/>
        <v>#VALUE!</v>
      </c>
    </row>
    <row r="2406" spans="11:11" x14ac:dyDescent="0.25">
      <c r="K2406" s="8" t="e">
        <f t="shared" si="11"/>
        <v>#VALUE!</v>
      </c>
    </row>
    <row r="2407" spans="11:11" x14ac:dyDescent="0.25">
      <c r="K2407" s="8" t="e">
        <f t="shared" si="11"/>
        <v>#VALUE!</v>
      </c>
    </row>
    <row r="2408" spans="11:11" x14ac:dyDescent="0.25">
      <c r="K2408" s="8" t="e">
        <f t="shared" si="11"/>
        <v>#VALUE!</v>
      </c>
    </row>
    <row r="2409" spans="11:11" x14ac:dyDescent="0.25">
      <c r="K2409" s="8" t="e">
        <f t="shared" si="11"/>
        <v>#VALUE!</v>
      </c>
    </row>
    <row r="2410" spans="11:11" x14ac:dyDescent="0.25">
      <c r="K2410" s="8" t="e">
        <f t="shared" si="11"/>
        <v>#VALUE!</v>
      </c>
    </row>
    <row r="2411" spans="11:11" x14ac:dyDescent="0.25">
      <c r="K2411" s="8" t="e">
        <f t="shared" si="11"/>
        <v>#VALUE!</v>
      </c>
    </row>
    <row r="2412" spans="11:11" x14ac:dyDescent="0.25">
      <c r="K2412" s="8" t="e">
        <f t="shared" si="11"/>
        <v>#VALUE!</v>
      </c>
    </row>
    <row r="2413" spans="11:11" x14ac:dyDescent="0.25">
      <c r="K2413" s="8" t="e">
        <f t="shared" si="11"/>
        <v>#VALUE!</v>
      </c>
    </row>
    <row r="2414" spans="11:11" x14ac:dyDescent="0.25">
      <c r="K2414" s="8" t="e">
        <f t="shared" si="11"/>
        <v>#VALUE!</v>
      </c>
    </row>
    <row r="2415" spans="11:11" x14ac:dyDescent="0.25">
      <c r="K2415" s="8" t="e">
        <f t="shared" si="11"/>
        <v>#VALUE!</v>
      </c>
    </row>
    <row r="2416" spans="11:11" x14ac:dyDescent="0.25">
      <c r="K2416" s="8" t="e">
        <f t="shared" si="11"/>
        <v>#VALUE!</v>
      </c>
    </row>
    <row r="2417" spans="11:11" x14ac:dyDescent="0.25">
      <c r="K2417" s="8" t="e">
        <f t="shared" si="11"/>
        <v>#VALUE!</v>
      </c>
    </row>
    <row r="2418" spans="11:11" x14ac:dyDescent="0.25">
      <c r="K2418" s="8" t="e">
        <f t="shared" si="11"/>
        <v>#VALUE!</v>
      </c>
    </row>
    <row r="2419" spans="11:11" x14ac:dyDescent="0.25">
      <c r="K2419" s="8" t="e">
        <f t="shared" si="11"/>
        <v>#VALUE!</v>
      </c>
    </row>
    <row r="2420" spans="11:11" x14ac:dyDescent="0.25">
      <c r="K2420" s="8" t="e">
        <f t="shared" si="11"/>
        <v>#VALUE!</v>
      </c>
    </row>
    <row r="2421" spans="11:11" x14ac:dyDescent="0.25">
      <c r="K2421" s="8" t="e">
        <f t="shared" si="11"/>
        <v>#VALUE!</v>
      </c>
    </row>
    <row r="2422" spans="11:11" x14ac:dyDescent="0.25">
      <c r="K2422" s="8" t="e">
        <f t="shared" si="11"/>
        <v>#VALUE!</v>
      </c>
    </row>
    <row r="2423" spans="11:11" x14ac:dyDescent="0.25">
      <c r="K2423" s="8" t="e">
        <f t="shared" si="11"/>
        <v>#VALUE!</v>
      </c>
    </row>
    <row r="2424" spans="11:11" x14ac:dyDescent="0.25">
      <c r="K2424" s="8" t="e">
        <f t="shared" si="11"/>
        <v>#VALUE!</v>
      </c>
    </row>
    <row r="2425" spans="11:11" x14ac:dyDescent="0.25">
      <c r="K2425" s="8" t="e">
        <f t="shared" si="11"/>
        <v>#VALUE!</v>
      </c>
    </row>
    <row r="2426" spans="11:11" x14ac:dyDescent="0.25">
      <c r="K2426" s="8" t="e">
        <f t="shared" si="11"/>
        <v>#VALUE!</v>
      </c>
    </row>
    <row r="2427" spans="11:11" x14ac:dyDescent="0.25">
      <c r="K2427" s="8" t="e">
        <f t="shared" si="11"/>
        <v>#VALUE!</v>
      </c>
    </row>
    <row r="2428" spans="11:11" x14ac:dyDescent="0.25">
      <c r="K2428" s="8" t="e">
        <f t="shared" si="11"/>
        <v>#VALUE!</v>
      </c>
    </row>
    <row r="2429" spans="11:11" x14ac:dyDescent="0.25">
      <c r="K2429" s="8" t="e">
        <f t="shared" si="11"/>
        <v>#VALUE!</v>
      </c>
    </row>
    <row r="2430" spans="11:11" x14ac:dyDescent="0.25">
      <c r="K2430" s="8" t="e">
        <f t="shared" si="11"/>
        <v>#VALUE!</v>
      </c>
    </row>
    <row r="2431" spans="11:11" x14ac:dyDescent="0.25">
      <c r="K2431" s="8" t="e">
        <f t="shared" si="11"/>
        <v>#VALUE!</v>
      </c>
    </row>
    <row r="2432" spans="11:11" x14ac:dyDescent="0.25">
      <c r="K2432" s="8" t="e">
        <f t="shared" si="11"/>
        <v>#VALUE!</v>
      </c>
    </row>
    <row r="2433" spans="11:11" x14ac:dyDescent="0.25">
      <c r="K2433" s="8" t="e">
        <f t="shared" si="11"/>
        <v>#VALUE!</v>
      </c>
    </row>
    <row r="2434" spans="11:11" x14ac:dyDescent="0.25">
      <c r="K2434" s="8" t="e">
        <f t="shared" si="11"/>
        <v>#VALUE!</v>
      </c>
    </row>
    <row r="2435" spans="11:11" x14ac:dyDescent="0.25">
      <c r="K2435" s="8" t="e">
        <f t="shared" ref="K2435:K2498" si="12">LEFT(A2435,FIND("/",A2435)-1)</f>
        <v>#VALUE!</v>
      </c>
    </row>
    <row r="2436" spans="11:11" x14ac:dyDescent="0.25">
      <c r="K2436" s="8" t="e">
        <f t="shared" si="12"/>
        <v>#VALUE!</v>
      </c>
    </row>
    <row r="2437" spans="11:11" x14ac:dyDescent="0.25">
      <c r="K2437" s="8" t="e">
        <f t="shared" si="12"/>
        <v>#VALUE!</v>
      </c>
    </row>
    <row r="2438" spans="11:11" x14ac:dyDescent="0.25">
      <c r="K2438" s="8" t="e">
        <f t="shared" si="12"/>
        <v>#VALUE!</v>
      </c>
    </row>
    <row r="2439" spans="11:11" x14ac:dyDescent="0.25">
      <c r="K2439" s="8" t="e">
        <f t="shared" si="12"/>
        <v>#VALUE!</v>
      </c>
    </row>
    <row r="2440" spans="11:11" x14ac:dyDescent="0.25">
      <c r="K2440" s="8" t="e">
        <f t="shared" si="12"/>
        <v>#VALUE!</v>
      </c>
    </row>
    <row r="2441" spans="11:11" x14ac:dyDescent="0.25">
      <c r="K2441" s="8" t="e">
        <f t="shared" si="12"/>
        <v>#VALUE!</v>
      </c>
    </row>
    <row r="2442" spans="11:11" x14ac:dyDescent="0.25">
      <c r="K2442" s="8" t="e">
        <f t="shared" si="12"/>
        <v>#VALUE!</v>
      </c>
    </row>
    <row r="2443" spans="11:11" x14ac:dyDescent="0.25">
      <c r="K2443" s="8" t="e">
        <f t="shared" si="12"/>
        <v>#VALUE!</v>
      </c>
    </row>
    <row r="2444" spans="11:11" x14ac:dyDescent="0.25">
      <c r="K2444" s="8" t="e">
        <f t="shared" si="12"/>
        <v>#VALUE!</v>
      </c>
    </row>
    <row r="2445" spans="11:11" x14ac:dyDescent="0.25">
      <c r="K2445" s="8" t="e">
        <f t="shared" si="12"/>
        <v>#VALUE!</v>
      </c>
    </row>
    <row r="2446" spans="11:11" x14ac:dyDescent="0.25">
      <c r="K2446" s="8" t="e">
        <f t="shared" si="12"/>
        <v>#VALUE!</v>
      </c>
    </row>
    <row r="2447" spans="11:11" x14ac:dyDescent="0.25">
      <c r="K2447" s="8" t="e">
        <f t="shared" si="12"/>
        <v>#VALUE!</v>
      </c>
    </row>
    <row r="2448" spans="11:11" x14ac:dyDescent="0.25">
      <c r="K2448" s="8" t="e">
        <f t="shared" si="12"/>
        <v>#VALUE!</v>
      </c>
    </row>
    <row r="2449" spans="11:11" x14ac:dyDescent="0.25">
      <c r="K2449" s="8" t="e">
        <f t="shared" si="12"/>
        <v>#VALUE!</v>
      </c>
    </row>
    <row r="2450" spans="11:11" x14ac:dyDescent="0.25">
      <c r="K2450" s="8" t="e">
        <f t="shared" si="12"/>
        <v>#VALUE!</v>
      </c>
    </row>
    <row r="2451" spans="11:11" x14ac:dyDescent="0.25">
      <c r="K2451" s="8" t="e">
        <f t="shared" si="12"/>
        <v>#VALUE!</v>
      </c>
    </row>
    <row r="2452" spans="11:11" x14ac:dyDescent="0.25">
      <c r="K2452" s="8" t="e">
        <f t="shared" si="12"/>
        <v>#VALUE!</v>
      </c>
    </row>
    <row r="2453" spans="11:11" x14ac:dyDescent="0.25">
      <c r="K2453" s="8" t="e">
        <f t="shared" si="12"/>
        <v>#VALUE!</v>
      </c>
    </row>
    <row r="2454" spans="11:11" x14ac:dyDescent="0.25">
      <c r="K2454" s="8" t="e">
        <f t="shared" si="12"/>
        <v>#VALUE!</v>
      </c>
    </row>
    <row r="2455" spans="11:11" x14ac:dyDescent="0.25">
      <c r="K2455" s="8" t="e">
        <f t="shared" si="12"/>
        <v>#VALUE!</v>
      </c>
    </row>
    <row r="2456" spans="11:11" x14ac:dyDescent="0.25">
      <c r="K2456" s="8" t="e">
        <f t="shared" si="12"/>
        <v>#VALUE!</v>
      </c>
    </row>
    <row r="2457" spans="11:11" x14ac:dyDescent="0.25">
      <c r="K2457" s="8" t="e">
        <f t="shared" si="12"/>
        <v>#VALUE!</v>
      </c>
    </row>
    <row r="2458" spans="11:11" x14ac:dyDescent="0.25">
      <c r="K2458" s="8" t="e">
        <f t="shared" si="12"/>
        <v>#VALUE!</v>
      </c>
    </row>
    <row r="2459" spans="11:11" x14ac:dyDescent="0.25">
      <c r="K2459" s="8" t="e">
        <f t="shared" si="12"/>
        <v>#VALUE!</v>
      </c>
    </row>
    <row r="2460" spans="11:11" x14ac:dyDescent="0.25">
      <c r="K2460" s="8" t="e">
        <f t="shared" si="12"/>
        <v>#VALUE!</v>
      </c>
    </row>
    <row r="2461" spans="11:11" x14ac:dyDescent="0.25">
      <c r="K2461" s="8" t="e">
        <f t="shared" si="12"/>
        <v>#VALUE!</v>
      </c>
    </row>
    <row r="2462" spans="11:11" x14ac:dyDescent="0.25">
      <c r="K2462" s="8" t="e">
        <f t="shared" si="12"/>
        <v>#VALUE!</v>
      </c>
    </row>
    <row r="2463" spans="11:11" x14ac:dyDescent="0.25">
      <c r="K2463" s="8" t="e">
        <f t="shared" si="12"/>
        <v>#VALUE!</v>
      </c>
    </row>
    <row r="2464" spans="11:11" x14ac:dyDescent="0.25">
      <c r="K2464" s="8" t="e">
        <f t="shared" si="12"/>
        <v>#VALUE!</v>
      </c>
    </row>
    <row r="2465" spans="11:11" x14ac:dyDescent="0.25">
      <c r="K2465" s="8" t="e">
        <f t="shared" si="12"/>
        <v>#VALUE!</v>
      </c>
    </row>
    <row r="2466" spans="11:11" x14ac:dyDescent="0.25">
      <c r="K2466" s="8" t="e">
        <f t="shared" si="12"/>
        <v>#VALUE!</v>
      </c>
    </row>
    <row r="2467" spans="11:11" x14ac:dyDescent="0.25">
      <c r="K2467" s="8" t="e">
        <f t="shared" si="12"/>
        <v>#VALUE!</v>
      </c>
    </row>
    <row r="2468" spans="11:11" x14ac:dyDescent="0.25">
      <c r="K2468" s="8" t="e">
        <f t="shared" si="12"/>
        <v>#VALUE!</v>
      </c>
    </row>
    <row r="2469" spans="11:11" x14ac:dyDescent="0.25">
      <c r="K2469" s="8" t="e">
        <f t="shared" si="12"/>
        <v>#VALUE!</v>
      </c>
    </row>
    <row r="2470" spans="11:11" x14ac:dyDescent="0.25">
      <c r="K2470" s="8" t="e">
        <f t="shared" si="12"/>
        <v>#VALUE!</v>
      </c>
    </row>
    <row r="2471" spans="11:11" x14ac:dyDescent="0.25">
      <c r="K2471" s="8" t="e">
        <f t="shared" si="12"/>
        <v>#VALUE!</v>
      </c>
    </row>
    <row r="2472" spans="11:11" x14ac:dyDescent="0.25">
      <c r="K2472" s="8" t="e">
        <f t="shared" si="12"/>
        <v>#VALUE!</v>
      </c>
    </row>
    <row r="2473" spans="11:11" x14ac:dyDescent="0.25">
      <c r="K2473" s="8" t="e">
        <f t="shared" si="12"/>
        <v>#VALUE!</v>
      </c>
    </row>
    <row r="2474" spans="11:11" x14ac:dyDescent="0.25">
      <c r="K2474" s="8" t="e">
        <f t="shared" si="12"/>
        <v>#VALUE!</v>
      </c>
    </row>
    <row r="2475" spans="11:11" x14ac:dyDescent="0.25">
      <c r="K2475" s="8" t="e">
        <f t="shared" si="12"/>
        <v>#VALUE!</v>
      </c>
    </row>
    <row r="2476" spans="11:11" x14ac:dyDescent="0.25">
      <c r="K2476" s="8" t="e">
        <f t="shared" si="12"/>
        <v>#VALUE!</v>
      </c>
    </row>
    <row r="2477" spans="11:11" x14ac:dyDescent="0.25">
      <c r="K2477" s="8" t="e">
        <f t="shared" si="12"/>
        <v>#VALUE!</v>
      </c>
    </row>
    <row r="2478" spans="11:11" x14ac:dyDescent="0.25">
      <c r="K2478" s="8" t="e">
        <f t="shared" si="12"/>
        <v>#VALUE!</v>
      </c>
    </row>
    <row r="2479" spans="11:11" x14ac:dyDescent="0.25">
      <c r="K2479" s="8" t="e">
        <f t="shared" si="12"/>
        <v>#VALUE!</v>
      </c>
    </row>
    <row r="2480" spans="11:11" x14ac:dyDescent="0.25">
      <c r="K2480" s="8" t="e">
        <f t="shared" si="12"/>
        <v>#VALUE!</v>
      </c>
    </row>
    <row r="2481" spans="11:11" x14ac:dyDescent="0.25">
      <c r="K2481" s="8" t="e">
        <f t="shared" si="12"/>
        <v>#VALUE!</v>
      </c>
    </row>
    <row r="2482" spans="11:11" x14ac:dyDescent="0.25">
      <c r="K2482" s="8" t="e">
        <f t="shared" si="12"/>
        <v>#VALUE!</v>
      </c>
    </row>
    <row r="2483" spans="11:11" x14ac:dyDescent="0.25">
      <c r="K2483" s="8" t="e">
        <f t="shared" si="12"/>
        <v>#VALUE!</v>
      </c>
    </row>
    <row r="2484" spans="11:11" x14ac:dyDescent="0.25">
      <c r="K2484" s="8" t="e">
        <f t="shared" si="12"/>
        <v>#VALUE!</v>
      </c>
    </row>
    <row r="2485" spans="11:11" x14ac:dyDescent="0.25">
      <c r="K2485" s="8" t="e">
        <f t="shared" si="12"/>
        <v>#VALUE!</v>
      </c>
    </row>
    <row r="2486" spans="11:11" x14ac:dyDescent="0.25">
      <c r="K2486" s="8" t="e">
        <f t="shared" si="12"/>
        <v>#VALUE!</v>
      </c>
    </row>
    <row r="2487" spans="11:11" x14ac:dyDescent="0.25">
      <c r="K2487" s="8" t="e">
        <f t="shared" si="12"/>
        <v>#VALUE!</v>
      </c>
    </row>
    <row r="2488" spans="11:11" x14ac:dyDescent="0.25">
      <c r="K2488" s="8" t="e">
        <f t="shared" si="12"/>
        <v>#VALUE!</v>
      </c>
    </row>
    <row r="2489" spans="11:11" x14ac:dyDescent="0.25">
      <c r="K2489" s="8" t="e">
        <f t="shared" si="12"/>
        <v>#VALUE!</v>
      </c>
    </row>
    <row r="2490" spans="11:11" x14ac:dyDescent="0.25">
      <c r="K2490" s="8" t="e">
        <f t="shared" si="12"/>
        <v>#VALUE!</v>
      </c>
    </row>
    <row r="2491" spans="11:11" x14ac:dyDescent="0.25">
      <c r="K2491" s="8" t="e">
        <f t="shared" si="12"/>
        <v>#VALUE!</v>
      </c>
    </row>
    <row r="2492" spans="11:11" x14ac:dyDescent="0.25">
      <c r="K2492" s="8" t="e">
        <f t="shared" si="12"/>
        <v>#VALUE!</v>
      </c>
    </row>
    <row r="2493" spans="11:11" x14ac:dyDescent="0.25">
      <c r="K2493" s="8" t="e">
        <f t="shared" si="12"/>
        <v>#VALUE!</v>
      </c>
    </row>
    <row r="2494" spans="11:11" x14ac:dyDescent="0.25">
      <c r="K2494" s="8" t="e">
        <f t="shared" si="12"/>
        <v>#VALUE!</v>
      </c>
    </row>
    <row r="2495" spans="11:11" x14ac:dyDescent="0.25">
      <c r="K2495" s="8" t="e">
        <f t="shared" si="12"/>
        <v>#VALUE!</v>
      </c>
    </row>
    <row r="2496" spans="11:11" x14ac:dyDescent="0.25">
      <c r="K2496" s="8" t="e">
        <f t="shared" si="12"/>
        <v>#VALUE!</v>
      </c>
    </row>
    <row r="2497" spans="11:11" x14ac:dyDescent="0.25">
      <c r="K2497" s="8" t="e">
        <f t="shared" si="12"/>
        <v>#VALUE!</v>
      </c>
    </row>
    <row r="2498" spans="11:11" x14ac:dyDescent="0.25">
      <c r="K2498" s="8" t="e">
        <f t="shared" si="12"/>
        <v>#VALUE!</v>
      </c>
    </row>
    <row r="2499" spans="11:11" x14ac:dyDescent="0.25">
      <c r="K2499" s="8" t="e">
        <f t="shared" ref="K2499:K2562" si="13">LEFT(A2499,FIND("/",A2499)-1)</f>
        <v>#VALUE!</v>
      </c>
    </row>
    <row r="2500" spans="11:11" x14ac:dyDescent="0.25">
      <c r="K2500" s="8" t="e">
        <f t="shared" si="13"/>
        <v>#VALUE!</v>
      </c>
    </row>
    <row r="2501" spans="11:11" x14ac:dyDescent="0.25">
      <c r="K2501" s="8" t="e">
        <f t="shared" si="13"/>
        <v>#VALUE!</v>
      </c>
    </row>
    <row r="2502" spans="11:11" x14ac:dyDescent="0.25">
      <c r="K2502" s="8" t="e">
        <f t="shared" si="13"/>
        <v>#VALUE!</v>
      </c>
    </row>
    <row r="2503" spans="11:11" x14ac:dyDescent="0.25">
      <c r="K2503" s="8" t="e">
        <f t="shared" si="13"/>
        <v>#VALUE!</v>
      </c>
    </row>
    <row r="2504" spans="11:11" x14ac:dyDescent="0.25">
      <c r="K2504" s="8" t="e">
        <f t="shared" si="13"/>
        <v>#VALUE!</v>
      </c>
    </row>
    <row r="2505" spans="11:11" x14ac:dyDescent="0.25">
      <c r="K2505" s="8" t="e">
        <f t="shared" si="13"/>
        <v>#VALUE!</v>
      </c>
    </row>
    <row r="2506" spans="11:11" x14ac:dyDescent="0.25">
      <c r="K2506" s="8" t="e">
        <f t="shared" si="13"/>
        <v>#VALUE!</v>
      </c>
    </row>
    <row r="2507" spans="11:11" x14ac:dyDescent="0.25">
      <c r="K2507" s="8" t="e">
        <f t="shared" si="13"/>
        <v>#VALUE!</v>
      </c>
    </row>
    <row r="2508" spans="11:11" x14ac:dyDescent="0.25">
      <c r="K2508" s="8" t="e">
        <f t="shared" si="13"/>
        <v>#VALUE!</v>
      </c>
    </row>
    <row r="2509" spans="11:11" x14ac:dyDescent="0.25">
      <c r="K2509" s="8" t="e">
        <f t="shared" si="13"/>
        <v>#VALUE!</v>
      </c>
    </row>
    <row r="2510" spans="11:11" x14ac:dyDescent="0.25">
      <c r="K2510" s="8" t="e">
        <f t="shared" si="13"/>
        <v>#VALUE!</v>
      </c>
    </row>
    <row r="2511" spans="11:11" x14ac:dyDescent="0.25">
      <c r="K2511" s="8" t="e">
        <f t="shared" si="13"/>
        <v>#VALUE!</v>
      </c>
    </row>
    <row r="2512" spans="11:11" x14ac:dyDescent="0.25">
      <c r="K2512" s="8" t="e">
        <f t="shared" si="13"/>
        <v>#VALUE!</v>
      </c>
    </row>
    <row r="2513" spans="11:11" x14ac:dyDescent="0.25">
      <c r="K2513" s="8" t="e">
        <f t="shared" si="13"/>
        <v>#VALUE!</v>
      </c>
    </row>
    <row r="2514" spans="11:11" x14ac:dyDescent="0.25">
      <c r="K2514" s="8" t="e">
        <f t="shared" si="13"/>
        <v>#VALUE!</v>
      </c>
    </row>
    <row r="2515" spans="11:11" x14ac:dyDescent="0.25">
      <c r="K2515" s="8" t="e">
        <f t="shared" si="13"/>
        <v>#VALUE!</v>
      </c>
    </row>
    <row r="2516" spans="11:11" x14ac:dyDescent="0.25">
      <c r="K2516" s="8" t="e">
        <f t="shared" si="13"/>
        <v>#VALUE!</v>
      </c>
    </row>
    <row r="2517" spans="11:11" x14ac:dyDescent="0.25">
      <c r="K2517" s="8" t="e">
        <f t="shared" si="13"/>
        <v>#VALUE!</v>
      </c>
    </row>
    <row r="2518" spans="11:11" x14ac:dyDescent="0.25">
      <c r="K2518" s="8" t="e">
        <f t="shared" si="13"/>
        <v>#VALUE!</v>
      </c>
    </row>
    <row r="2519" spans="11:11" x14ac:dyDescent="0.25">
      <c r="K2519" s="8" t="e">
        <f t="shared" si="13"/>
        <v>#VALUE!</v>
      </c>
    </row>
    <row r="2520" spans="11:11" x14ac:dyDescent="0.25">
      <c r="K2520" s="8" t="e">
        <f t="shared" si="13"/>
        <v>#VALUE!</v>
      </c>
    </row>
    <row r="2521" spans="11:11" x14ac:dyDescent="0.25">
      <c r="K2521" s="8" t="e">
        <f t="shared" si="13"/>
        <v>#VALUE!</v>
      </c>
    </row>
    <row r="2522" spans="11:11" x14ac:dyDescent="0.25">
      <c r="K2522" s="8" t="e">
        <f t="shared" si="13"/>
        <v>#VALUE!</v>
      </c>
    </row>
    <row r="2523" spans="11:11" x14ac:dyDescent="0.25">
      <c r="K2523" s="8" t="e">
        <f t="shared" si="13"/>
        <v>#VALUE!</v>
      </c>
    </row>
    <row r="2524" spans="11:11" x14ac:dyDescent="0.25">
      <c r="K2524" s="8" t="e">
        <f t="shared" si="13"/>
        <v>#VALUE!</v>
      </c>
    </row>
    <row r="2525" spans="11:11" x14ac:dyDescent="0.25">
      <c r="K2525" s="8" t="e">
        <f t="shared" si="13"/>
        <v>#VALUE!</v>
      </c>
    </row>
    <row r="2526" spans="11:11" x14ac:dyDescent="0.25">
      <c r="K2526" s="8" t="e">
        <f t="shared" si="13"/>
        <v>#VALUE!</v>
      </c>
    </row>
    <row r="2527" spans="11:11" x14ac:dyDescent="0.25">
      <c r="K2527" s="8" t="e">
        <f t="shared" si="13"/>
        <v>#VALUE!</v>
      </c>
    </row>
    <row r="2528" spans="11:11" x14ac:dyDescent="0.25">
      <c r="K2528" s="8" t="e">
        <f t="shared" si="13"/>
        <v>#VALUE!</v>
      </c>
    </row>
    <row r="2529" spans="11:11" x14ac:dyDescent="0.25">
      <c r="K2529" s="8" t="e">
        <f t="shared" si="13"/>
        <v>#VALUE!</v>
      </c>
    </row>
    <row r="2530" spans="11:11" x14ac:dyDescent="0.25">
      <c r="K2530" s="8" t="e">
        <f t="shared" si="13"/>
        <v>#VALUE!</v>
      </c>
    </row>
    <row r="2531" spans="11:11" x14ac:dyDescent="0.25">
      <c r="K2531" s="8" t="e">
        <f t="shared" si="13"/>
        <v>#VALUE!</v>
      </c>
    </row>
    <row r="2532" spans="11:11" x14ac:dyDescent="0.25">
      <c r="K2532" s="8" t="e">
        <f t="shared" si="13"/>
        <v>#VALUE!</v>
      </c>
    </row>
    <row r="2533" spans="11:11" x14ac:dyDescent="0.25">
      <c r="K2533" s="8" t="e">
        <f t="shared" si="13"/>
        <v>#VALUE!</v>
      </c>
    </row>
    <row r="2534" spans="11:11" x14ac:dyDescent="0.25">
      <c r="K2534" s="8" t="e">
        <f t="shared" si="13"/>
        <v>#VALUE!</v>
      </c>
    </row>
    <row r="2535" spans="11:11" x14ac:dyDescent="0.25">
      <c r="K2535" s="8" t="e">
        <f t="shared" si="13"/>
        <v>#VALUE!</v>
      </c>
    </row>
    <row r="2536" spans="11:11" x14ac:dyDescent="0.25">
      <c r="K2536" s="8" t="e">
        <f t="shared" si="13"/>
        <v>#VALUE!</v>
      </c>
    </row>
    <row r="2537" spans="11:11" x14ac:dyDescent="0.25">
      <c r="K2537" s="8" t="e">
        <f t="shared" si="13"/>
        <v>#VALUE!</v>
      </c>
    </row>
    <row r="2538" spans="11:11" x14ac:dyDescent="0.25">
      <c r="K2538" s="8" t="e">
        <f t="shared" si="13"/>
        <v>#VALUE!</v>
      </c>
    </row>
    <row r="2539" spans="11:11" x14ac:dyDescent="0.25">
      <c r="K2539" s="8" t="e">
        <f t="shared" si="13"/>
        <v>#VALUE!</v>
      </c>
    </row>
    <row r="2540" spans="11:11" x14ac:dyDescent="0.25">
      <c r="K2540" s="8" t="e">
        <f t="shared" si="13"/>
        <v>#VALUE!</v>
      </c>
    </row>
    <row r="2541" spans="11:11" x14ac:dyDescent="0.25">
      <c r="K2541" s="8" t="e">
        <f t="shared" si="13"/>
        <v>#VALUE!</v>
      </c>
    </row>
    <row r="2542" spans="11:11" x14ac:dyDescent="0.25">
      <c r="K2542" s="8" t="e">
        <f t="shared" si="13"/>
        <v>#VALUE!</v>
      </c>
    </row>
    <row r="2543" spans="11:11" x14ac:dyDescent="0.25">
      <c r="K2543" s="8" t="e">
        <f t="shared" si="13"/>
        <v>#VALUE!</v>
      </c>
    </row>
    <row r="2544" spans="11:11" x14ac:dyDescent="0.25">
      <c r="K2544" s="8" t="e">
        <f t="shared" si="13"/>
        <v>#VALUE!</v>
      </c>
    </row>
    <row r="2545" spans="11:11" x14ac:dyDescent="0.25">
      <c r="K2545" s="8" t="e">
        <f t="shared" si="13"/>
        <v>#VALUE!</v>
      </c>
    </row>
    <row r="2546" spans="11:11" x14ac:dyDescent="0.25">
      <c r="K2546" s="8" t="e">
        <f t="shared" si="13"/>
        <v>#VALUE!</v>
      </c>
    </row>
    <row r="2547" spans="11:11" x14ac:dyDescent="0.25">
      <c r="K2547" s="8" t="e">
        <f t="shared" si="13"/>
        <v>#VALUE!</v>
      </c>
    </row>
    <row r="2548" spans="11:11" x14ac:dyDescent="0.25">
      <c r="K2548" s="8" t="e">
        <f t="shared" si="13"/>
        <v>#VALUE!</v>
      </c>
    </row>
    <row r="2549" spans="11:11" x14ac:dyDescent="0.25">
      <c r="K2549" s="8" t="e">
        <f t="shared" si="13"/>
        <v>#VALUE!</v>
      </c>
    </row>
    <row r="2550" spans="11:11" x14ac:dyDescent="0.25">
      <c r="K2550" s="8" t="e">
        <f t="shared" si="13"/>
        <v>#VALUE!</v>
      </c>
    </row>
    <row r="2551" spans="11:11" x14ac:dyDescent="0.25">
      <c r="K2551" s="8" t="e">
        <f t="shared" si="13"/>
        <v>#VALUE!</v>
      </c>
    </row>
    <row r="2552" spans="11:11" x14ac:dyDescent="0.25">
      <c r="K2552" s="8" t="e">
        <f t="shared" si="13"/>
        <v>#VALUE!</v>
      </c>
    </row>
    <row r="2553" spans="11:11" x14ac:dyDescent="0.25">
      <c r="K2553" s="8" t="e">
        <f t="shared" si="13"/>
        <v>#VALUE!</v>
      </c>
    </row>
    <row r="2554" spans="11:11" x14ac:dyDescent="0.25">
      <c r="K2554" s="8" t="e">
        <f t="shared" si="13"/>
        <v>#VALUE!</v>
      </c>
    </row>
    <row r="2555" spans="11:11" x14ac:dyDescent="0.25">
      <c r="K2555" s="8" t="e">
        <f t="shared" si="13"/>
        <v>#VALUE!</v>
      </c>
    </row>
    <row r="2556" spans="11:11" x14ac:dyDescent="0.25">
      <c r="K2556" s="8" t="e">
        <f t="shared" si="13"/>
        <v>#VALUE!</v>
      </c>
    </row>
    <row r="2557" spans="11:11" x14ac:dyDescent="0.25">
      <c r="K2557" s="8" t="e">
        <f t="shared" si="13"/>
        <v>#VALUE!</v>
      </c>
    </row>
    <row r="2558" spans="11:11" x14ac:dyDescent="0.25">
      <c r="K2558" s="8" t="e">
        <f t="shared" si="13"/>
        <v>#VALUE!</v>
      </c>
    </row>
    <row r="2559" spans="11:11" x14ac:dyDescent="0.25">
      <c r="K2559" s="8" t="e">
        <f t="shared" si="13"/>
        <v>#VALUE!</v>
      </c>
    </row>
    <row r="2560" spans="11:11" x14ac:dyDescent="0.25">
      <c r="K2560" s="8" t="e">
        <f t="shared" si="13"/>
        <v>#VALUE!</v>
      </c>
    </row>
    <row r="2561" spans="11:11" x14ac:dyDescent="0.25">
      <c r="K2561" s="8" t="e">
        <f t="shared" si="13"/>
        <v>#VALUE!</v>
      </c>
    </row>
    <row r="2562" spans="11:11" x14ac:dyDescent="0.25">
      <c r="K2562" s="8" t="e">
        <f t="shared" si="13"/>
        <v>#VALUE!</v>
      </c>
    </row>
    <row r="2563" spans="11:11" x14ac:dyDescent="0.25">
      <c r="K2563" s="8" t="e">
        <f t="shared" ref="K2563:K2626" si="14">LEFT(A2563,FIND("/",A2563)-1)</f>
        <v>#VALUE!</v>
      </c>
    </row>
    <row r="2564" spans="11:11" x14ac:dyDescent="0.25">
      <c r="K2564" s="8" t="e">
        <f t="shared" si="14"/>
        <v>#VALUE!</v>
      </c>
    </row>
    <row r="2565" spans="11:11" x14ac:dyDescent="0.25">
      <c r="K2565" s="8" t="e">
        <f t="shared" si="14"/>
        <v>#VALUE!</v>
      </c>
    </row>
    <row r="2566" spans="11:11" x14ac:dyDescent="0.25">
      <c r="K2566" s="8" t="e">
        <f t="shared" si="14"/>
        <v>#VALUE!</v>
      </c>
    </row>
    <row r="2567" spans="11:11" x14ac:dyDescent="0.25">
      <c r="K2567" s="8" t="e">
        <f t="shared" si="14"/>
        <v>#VALUE!</v>
      </c>
    </row>
    <row r="2568" spans="11:11" x14ac:dyDescent="0.25">
      <c r="K2568" s="8" t="e">
        <f t="shared" si="14"/>
        <v>#VALUE!</v>
      </c>
    </row>
    <row r="2569" spans="11:11" x14ac:dyDescent="0.25">
      <c r="K2569" s="8" t="e">
        <f t="shared" si="14"/>
        <v>#VALUE!</v>
      </c>
    </row>
    <row r="2570" spans="11:11" x14ac:dyDescent="0.25">
      <c r="K2570" s="8" t="e">
        <f t="shared" si="14"/>
        <v>#VALUE!</v>
      </c>
    </row>
    <row r="2571" spans="11:11" x14ac:dyDescent="0.25">
      <c r="K2571" s="8" t="e">
        <f t="shared" si="14"/>
        <v>#VALUE!</v>
      </c>
    </row>
    <row r="2572" spans="11:11" x14ac:dyDescent="0.25">
      <c r="K2572" s="8" t="e">
        <f t="shared" si="14"/>
        <v>#VALUE!</v>
      </c>
    </row>
    <row r="2573" spans="11:11" x14ac:dyDescent="0.25">
      <c r="K2573" s="8" t="e">
        <f t="shared" si="14"/>
        <v>#VALUE!</v>
      </c>
    </row>
    <row r="2574" spans="11:11" x14ac:dyDescent="0.25">
      <c r="K2574" s="8" t="e">
        <f t="shared" si="14"/>
        <v>#VALUE!</v>
      </c>
    </row>
    <row r="2575" spans="11:11" x14ac:dyDescent="0.25">
      <c r="K2575" s="8" t="e">
        <f t="shared" si="14"/>
        <v>#VALUE!</v>
      </c>
    </row>
    <row r="2576" spans="11:11" x14ac:dyDescent="0.25">
      <c r="K2576" s="8" t="e">
        <f t="shared" si="14"/>
        <v>#VALUE!</v>
      </c>
    </row>
    <row r="2577" spans="11:11" x14ac:dyDescent="0.25">
      <c r="K2577" s="8" t="e">
        <f t="shared" si="14"/>
        <v>#VALUE!</v>
      </c>
    </row>
    <row r="2578" spans="11:11" x14ac:dyDescent="0.25">
      <c r="K2578" s="8" t="e">
        <f t="shared" si="14"/>
        <v>#VALUE!</v>
      </c>
    </row>
    <row r="2579" spans="11:11" x14ac:dyDescent="0.25">
      <c r="K2579" s="8" t="e">
        <f t="shared" si="14"/>
        <v>#VALUE!</v>
      </c>
    </row>
    <row r="2580" spans="11:11" x14ac:dyDescent="0.25">
      <c r="K2580" s="8" t="e">
        <f t="shared" si="14"/>
        <v>#VALUE!</v>
      </c>
    </row>
    <row r="2581" spans="11:11" x14ac:dyDescent="0.25">
      <c r="K2581" s="8" t="e">
        <f t="shared" si="14"/>
        <v>#VALUE!</v>
      </c>
    </row>
    <row r="2582" spans="11:11" x14ac:dyDescent="0.25">
      <c r="K2582" s="8" t="e">
        <f t="shared" si="14"/>
        <v>#VALUE!</v>
      </c>
    </row>
    <row r="2583" spans="11:11" x14ac:dyDescent="0.25">
      <c r="K2583" s="8" t="e">
        <f t="shared" si="14"/>
        <v>#VALUE!</v>
      </c>
    </row>
    <row r="2584" spans="11:11" x14ac:dyDescent="0.25">
      <c r="K2584" s="8" t="e">
        <f t="shared" si="14"/>
        <v>#VALUE!</v>
      </c>
    </row>
    <row r="2585" spans="11:11" x14ac:dyDescent="0.25">
      <c r="K2585" s="8" t="e">
        <f t="shared" si="14"/>
        <v>#VALUE!</v>
      </c>
    </row>
    <row r="2586" spans="11:11" x14ac:dyDescent="0.25">
      <c r="K2586" s="8" t="e">
        <f t="shared" si="14"/>
        <v>#VALUE!</v>
      </c>
    </row>
    <row r="2587" spans="11:11" x14ac:dyDescent="0.25">
      <c r="K2587" s="8" t="e">
        <f t="shared" si="14"/>
        <v>#VALUE!</v>
      </c>
    </row>
    <row r="2588" spans="11:11" x14ac:dyDescent="0.25">
      <c r="K2588" s="8" t="e">
        <f t="shared" si="14"/>
        <v>#VALUE!</v>
      </c>
    </row>
    <row r="2589" spans="11:11" x14ac:dyDescent="0.25">
      <c r="K2589" s="8" t="e">
        <f t="shared" si="14"/>
        <v>#VALUE!</v>
      </c>
    </row>
    <row r="2590" spans="11:11" x14ac:dyDescent="0.25">
      <c r="K2590" s="8" t="e">
        <f t="shared" si="14"/>
        <v>#VALUE!</v>
      </c>
    </row>
    <row r="2591" spans="11:11" x14ac:dyDescent="0.25">
      <c r="K2591" s="8" t="e">
        <f t="shared" si="14"/>
        <v>#VALUE!</v>
      </c>
    </row>
    <row r="2592" spans="11:11" x14ac:dyDescent="0.25">
      <c r="K2592" s="8" t="e">
        <f t="shared" si="14"/>
        <v>#VALUE!</v>
      </c>
    </row>
    <row r="2593" spans="11:11" x14ac:dyDescent="0.25">
      <c r="K2593" s="8" t="e">
        <f t="shared" si="14"/>
        <v>#VALUE!</v>
      </c>
    </row>
    <row r="2594" spans="11:11" x14ac:dyDescent="0.25">
      <c r="K2594" s="8" t="e">
        <f t="shared" si="14"/>
        <v>#VALUE!</v>
      </c>
    </row>
    <row r="2595" spans="11:11" x14ac:dyDescent="0.25">
      <c r="K2595" s="8" t="e">
        <f t="shared" si="14"/>
        <v>#VALUE!</v>
      </c>
    </row>
    <row r="2596" spans="11:11" x14ac:dyDescent="0.25">
      <c r="K2596" s="8" t="e">
        <f t="shared" si="14"/>
        <v>#VALUE!</v>
      </c>
    </row>
    <row r="2597" spans="11:11" x14ac:dyDescent="0.25">
      <c r="K2597" s="8" t="e">
        <f t="shared" si="14"/>
        <v>#VALUE!</v>
      </c>
    </row>
    <row r="2598" spans="11:11" x14ac:dyDescent="0.25">
      <c r="K2598" s="8" t="e">
        <f t="shared" si="14"/>
        <v>#VALUE!</v>
      </c>
    </row>
    <row r="2599" spans="11:11" x14ac:dyDescent="0.25">
      <c r="K2599" s="8" t="e">
        <f t="shared" si="14"/>
        <v>#VALUE!</v>
      </c>
    </row>
    <row r="2600" spans="11:11" x14ac:dyDescent="0.25">
      <c r="K2600" s="8" t="e">
        <f t="shared" si="14"/>
        <v>#VALUE!</v>
      </c>
    </row>
    <row r="2601" spans="11:11" x14ac:dyDescent="0.25">
      <c r="K2601" s="8" t="e">
        <f t="shared" si="14"/>
        <v>#VALUE!</v>
      </c>
    </row>
    <row r="2602" spans="11:11" x14ac:dyDescent="0.25">
      <c r="K2602" s="8" t="e">
        <f t="shared" si="14"/>
        <v>#VALUE!</v>
      </c>
    </row>
    <row r="2603" spans="11:11" x14ac:dyDescent="0.25">
      <c r="K2603" s="8" t="e">
        <f t="shared" si="14"/>
        <v>#VALUE!</v>
      </c>
    </row>
    <row r="2604" spans="11:11" x14ac:dyDescent="0.25">
      <c r="K2604" s="8" t="e">
        <f t="shared" si="14"/>
        <v>#VALUE!</v>
      </c>
    </row>
    <row r="2605" spans="11:11" x14ac:dyDescent="0.25">
      <c r="K2605" s="8" t="e">
        <f t="shared" si="14"/>
        <v>#VALUE!</v>
      </c>
    </row>
    <row r="2606" spans="11:11" x14ac:dyDescent="0.25">
      <c r="K2606" s="8" t="e">
        <f t="shared" si="14"/>
        <v>#VALUE!</v>
      </c>
    </row>
    <row r="2607" spans="11:11" x14ac:dyDescent="0.25">
      <c r="K2607" s="8" t="e">
        <f t="shared" si="14"/>
        <v>#VALUE!</v>
      </c>
    </row>
    <row r="2608" spans="11:11" x14ac:dyDescent="0.25">
      <c r="K2608" s="8" t="e">
        <f t="shared" si="14"/>
        <v>#VALUE!</v>
      </c>
    </row>
    <row r="2609" spans="11:11" x14ac:dyDescent="0.25">
      <c r="K2609" s="8" t="e">
        <f t="shared" si="14"/>
        <v>#VALUE!</v>
      </c>
    </row>
    <row r="2610" spans="11:11" x14ac:dyDescent="0.25">
      <c r="K2610" s="8" t="e">
        <f t="shared" si="14"/>
        <v>#VALUE!</v>
      </c>
    </row>
    <row r="2611" spans="11:11" x14ac:dyDescent="0.25">
      <c r="K2611" s="8" t="e">
        <f t="shared" si="14"/>
        <v>#VALUE!</v>
      </c>
    </row>
    <row r="2612" spans="11:11" x14ac:dyDescent="0.25">
      <c r="K2612" s="8" t="e">
        <f t="shared" si="14"/>
        <v>#VALUE!</v>
      </c>
    </row>
    <row r="2613" spans="11:11" x14ac:dyDescent="0.25">
      <c r="K2613" s="8" t="e">
        <f t="shared" si="14"/>
        <v>#VALUE!</v>
      </c>
    </row>
    <row r="2614" spans="11:11" x14ac:dyDescent="0.25">
      <c r="K2614" s="8" t="e">
        <f t="shared" si="14"/>
        <v>#VALUE!</v>
      </c>
    </row>
    <row r="2615" spans="11:11" x14ac:dyDescent="0.25">
      <c r="K2615" s="8" t="e">
        <f t="shared" si="14"/>
        <v>#VALUE!</v>
      </c>
    </row>
    <row r="2616" spans="11:11" x14ac:dyDescent="0.25">
      <c r="K2616" s="8" t="e">
        <f t="shared" si="14"/>
        <v>#VALUE!</v>
      </c>
    </row>
    <row r="2617" spans="11:11" x14ac:dyDescent="0.25">
      <c r="K2617" s="8" t="e">
        <f t="shared" si="14"/>
        <v>#VALUE!</v>
      </c>
    </row>
    <row r="2618" spans="11:11" x14ac:dyDescent="0.25">
      <c r="K2618" s="8" t="e">
        <f t="shared" si="14"/>
        <v>#VALUE!</v>
      </c>
    </row>
    <row r="2619" spans="11:11" x14ac:dyDescent="0.25">
      <c r="K2619" s="8" t="e">
        <f t="shared" si="14"/>
        <v>#VALUE!</v>
      </c>
    </row>
    <row r="2620" spans="11:11" x14ac:dyDescent="0.25">
      <c r="K2620" s="8" t="e">
        <f t="shared" si="14"/>
        <v>#VALUE!</v>
      </c>
    </row>
    <row r="2621" spans="11:11" x14ac:dyDescent="0.25">
      <c r="K2621" s="8" t="e">
        <f t="shared" si="14"/>
        <v>#VALUE!</v>
      </c>
    </row>
    <row r="2622" spans="11:11" x14ac:dyDescent="0.25">
      <c r="K2622" s="8" t="e">
        <f t="shared" si="14"/>
        <v>#VALUE!</v>
      </c>
    </row>
    <row r="2623" spans="11:11" x14ac:dyDescent="0.25">
      <c r="K2623" s="8" t="e">
        <f t="shared" si="14"/>
        <v>#VALUE!</v>
      </c>
    </row>
    <row r="2624" spans="11:11" x14ac:dyDescent="0.25">
      <c r="K2624" s="8" t="e">
        <f t="shared" si="14"/>
        <v>#VALUE!</v>
      </c>
    </row>
    <row r="2625" spans="11:11" x14ac:dyDescent="0.25">
      <c r="K2625" s="8" t="e">
        <f t="shared" si="14"/>
        <v>#VALUE!</v>
      </c>
    </row>
    <row r="2626" spans="11:11" x14ac:dyDescent="0.25">
      <c r="K2626" s="8" t="e">
        <f t="shared" si="14"/>
        <v>#VALUE!</v>
      </c>
    </row>
    <row r="2627" spans="11:11" x14ac:dyDescent="0.25">
      <c r="K2627" s="8" t="e">
        <f t="shared" ref="K2627:K2690" si="15">LEFT(A2627,FIND("/",A2627)-1)</f>
        <v>#VALUE!</v>
      </c>
    </row>
    <row r="2628" spans="11:11" x14ac:dyDescent="0.25">
      <c r="K2628" s="8" t="e">
        <f t="shared" si="15"/>
        <v>#VALUE!</v>
      </c>
    </row>
    <row r="2629" spans="11:11" x14ac:dyDescent="0.25">
      <c r="K2629" s="8" t="e">
        <f t="shared" si="15"/>
        <v>#VALUE!</v>
      </c>
    </row>
    <row r="2630" spans="11:11" x14ac:dyDescent="0.25">
      <c r="K2630" s="8" t="e">
        <f t="shared" si="15"/>
        <v>#VALUE!</v>
      </c>
    </row>
    <row r="2631" spans="11:11" x14ac:dyDescent="0.25">
      <c r="K2631" s="8" t="e">
        <f t="shared" si="15"/>
        <v>#VALUE!</v>
      </c>
    </row>
    <row r="2632" spans="11:11" x14ac:dyDescent="0.25">
      <c r="K2632" s="8" t="e">
        <f t="shared" si="15"/>
        <v>#VALUE!</v>
      </c>
    </row>
    <row r="2633" spans="11:11" x14ac:dyDescent="0.25">
      <c r="K2633" s="8" t="e">
        <f t="shared" si="15"/>
        <v>#VALUE!</v>
      </c>
    </row>
    <row r="2634" spans="11:11" x14ac:dyDescent="0.25">
      <c r="K2634" s="8" t="e">
        <f t="shared" si="15"/>
        <v>#VALUE!</v>
      </c>
    </row>
    <row r="2635" spans="11:11" x14ac:dyDescent="0.25">
      <c r="K2635" s="8" t="e">
        <f t="shared" si="15"/>
        <v>#VALUE!</v>
      </c>
    </row>
    <row r="2636" spans="11:11" x14ac:dyDescent="0.25">
      <c r="K2636" s="8" t="e">
        <f t="shared" si="15"/>
        <v>#VALUE!</v>
      </c>
    </row>
    <row r="2637" spans="11:11" x14ac:dyDescent="0.25">
      <c r="K2637" s="8" t="e">
        <f t="shared" si="15"/>
        <v>#VALUE!</v>
      </c>
    </row>
    <row r="2638" spans="11:11" x14ac:dyDescent="0.25">
      <c r="K2638" s="8" t="e">
        <f t="shared" si="15"/>
        <v>#VALUE!</v>
      </c>
    </row>
    <row r="2639" spans="11:11" x14ac:dyDescent="0.25">
      <c r="K2639" s="8" t="e">
        <f t="shared" si="15"/>
        <v>#VALUE!</v>
      </c>
    </row>
    <row r="2640" spans="11:11" x14ac:dyDescent="0.25">
      <c r="K2640" s="8" t="e">
        <f t="shared" si="15"/>
        <v>#VALUE!</v>
      </c>
    </row>
    <row r="2641" spans="11:11" x14ac:dyDescent="0.25">
      <c r="K2641" s="8" t="e">
        <f t="shared" si="15"/>
        <v>#VALUE!</v>
      </c>
    </row>
    <row r="2642" spans="11:11" x14ac:dyDescent="0.25">
      <c r="K2642" s="8" t="e">
        <f t="shared" si="15"/>
        <v>#VALUE!</v>
      </c>
    </row>
    <row r="2643" spans="11:11" x14ac:dyDescent="0.25">
      <c r="K2643" s="8" t="e">
        <f t="shared" si="15"/>
        <v>#VALUE!</v>
      </c>
    </row>
    <row r="2644" spans="11:11" x14ac:dyDescent="0.25">
      <c r="K2644" s="8" t="e">
        <f t="shared" si="15"/>
        <v>#VALUE!</v>
      </c>
    </row>
    <row r="2645" spans="11:11" x14ac:dyDescent="0.25">
      <c r="K2645" s="8" t="e">
        <f t="shared" si="15"/>
        <v>#VALUE!</v>
      </c>
    </row>
    <row r="2646" spans="11:11" x14ac:dyDescent="0.25">
      <c r="K2646" s="8" t="e">
        <f t="shared" si="15"/>
        <v>#VALUE!</v>
      </c>
    </row>
    <row r="2647" spans="11:11" x14ac:dyDescent="0.25">
      <c r="K2647" s="8" t="e">
        <f t="shared" si="15"/>
        <v>#VALUE!</v>
      </c>
    </row>
    <row r="2648" spans="11:11" x14ac:dyDescent="0.25">
      <c r="K2648" s="8" t="e">
        <f t="shared" si="15"/>
        <v>#VALUE!</v>
      </c>
    </row>
    <row r="2649" spans="11:11" x14ac:dyDescent="0.25">
      <c r="K2649" s="8" t="e">
        <f t="shared" si="15"/>
        <v>#VALUE!</v>
      </c>
    </row>
    <row r="2650" spans="11:11" x14ac:dyDescent="0.25">
      <c r="K2650" s="8" t="e">
        <f t="shared" si="15"/>
        <v>#VALUE!</v>
      </c>
    </row>
    <row r="2651" spans="11:11" x14ac:dyDescent="0.25">
      <c r="K2651" s="8" t="e">
        <f t="shared" si="15"/>
        <v>#VALUE!</v>
      </c>
    </row>
    <row r="2652" spans="11:11" x14ac:dyDescent="0.25">
      <c r="K2652" s="8" t="e">
        <f t="shared" si="15"/>
        <v>#VALUE!</v>
      </c>
    </row>
    <row r="2653" spans="11:11" x14ac:dyDescent="0.25">
      <c r="K2653" s="8" t="e">
        <f t="shared" si="15"/>
        <v>#VALUE!</v>
      </c>
    </row>
    <row r="2654" spans="11:11" x14ac:dyDescent="0.25">
      <c r="K2654" s="8" t="e">
        <f t="shared" si="15"/>
        <v>#VALUE!</v>
      </c>
    </row>
    <row r="2655" spans="11:11" x14ac:dyDescent="0.25">
      <c r="K2655" s="8" t="e">
        <f t="shared" si="15"/>
        <v>#VALUE!</v>
      </c>
    </row>
    <row r="2656" spans="11:11" x14ac:dyDescent="0.25">
      <c r="K2656" s="8" t="e">
        <f t="shared" si="15"/>
        <v>#VALUE!</v>
      </c>
    </row>
    <row r="2657" spans="11:11" x14ac:dyDescent="0.25">
      <c r="K2657" s="8" t="e">
        <f t="shared" si="15"/>
        <v>#VALUE!</v>
      </c>
    </row>
    <row r="2658" spans="11:11" x14ac:dyDescent="0.25">
      <c r="K2658" s="8" t="e">
        <f t="shared" si="15"/>
        <v>#VALUE!</v>
      </c>
    </row>
    <row r="2659" spans="11:11" x14ac:dyDescent="0.25">
      <c r="K2659" s="8" t="e">
        <f t="shared" si="15"/>
        <v>#VALUE!</v>
      </c>
    </row>
    <row r="2660" spans="11:11" x14ac:dyDescent="0.25">
      <c r="K2660" s="8" t="e">
        <f t="shared" si="15"/>
        <v>#VALUE!</v>
      </c>
    </row>
    <row r="2661" spans="11:11" x14ac:dyDescent="0.25">
      <c r="K2661" s="8" t="e">
        <f t="shared" si="15"/>
        <v>#VALUE!</v>
      </c>
    </row>
    <row r="2662" spans="11:11" x14ac:dyDescent="0.25">
      <c r="K2662" s="8" t="e">
        <f t="shared" si="15"/>
        <v>#VALUE!</v>
      </c>
    </row>
    <row r="2663" spans="11:11" x14ac:dyDescent="0.25">
      <c r="K2663" s="8" t="e">
        <f t="shared" si="15"/>
        <v>#VALUE!</v>
      </c>
    </row>
    <row r="2664" spans="11:11" x14ac:dyDescent="0.25">
      <c r="K2664" s="8" t="e">
        <f t="shared" si="15"/>
        <v>#VALUE!</v>
      </c>
    </row>
    <row r="2665" spans="11:11" x14ac:dyDescent="0.25">
      <c r="K2665" s="8" t="e">
        <f t="shared" si="15"/>
        <v>#VALUE!</v>
      </c>
    </row>
    <row r="2666" spans="11:11" x14ac:dyDescent="0.25">
      <c r="K2666" s="8" t="e">
        <f t="shared" si="15"/>
        <v>#VALUE!</v>
      </c>
    </row>
    <row r="2667" spans="11:11" x14ac:dyDescent="0.25">
      <c r="K2667" s="8" t="e">
        <f t="shared" si="15"/>
        <v>#VALUE!</v>
      </c>
    </row>
    <row r="2668" spans="11:11" x14ac:dyDescent="0.25">
      <c r="K2668" s="8" t="e">
        <f t="shared" si="15"/>
        <v>#VALUE!</v>
      </c>
    </row>
    <row r="2669" spans="11:11" x14ac:dyDescent="0.25">
      <c r="K2669" s="8" t="e">
        <f t="shared" si="15"/>
        <v>#VALUE!</v>
      </c>
    </row>
    <row r="2670" spans="11:11" x14ac:dyDescent="0.25">
      <c r="K2670" s="8" t="e">
        <f t="shared" si="15"/>
        <v>#VALUE!</v>
      </c>
    </row>
    <row r="2671" spans="11:11" x14ac:dyDescent="0.25">
      <c r="K2671" s="8" t="e">
        <f t="shared" si="15"/>
        <v>#VALUE!</v>
      </c>
    </row>
    <row r="2672" spans="11:11" x14ac:dyDescent="0.25">
      <c r="K2672" s="8" t="e">
        <f t="shared" si="15"/>
        <v>#VALUE!</v>
      </c>
    </row>
    <row r="2673" spans="11:11" x14ac:dyDescent="0.25">
      <c r="K2673" s="8" t="e">
        <f t="shared" si="15"/>
        <v>#VALUE!</v>
      </c>
    </row>
    <row r="2674" spans="11:11" x14ac:dyDescent="0.25">
      <c r="K2674" s="8" t="e">
        <f t="shared" si="15"/>
        <v>#VALUE!</v>
      </c>
    </row>
    <row r="2675" spans="11:11" x14ac:dyDescent="0.25">
      <c r="K2675" s="8" t="e">
        <f t="shared" si="15"/>
        <v>#VALUE!</v>
      </c>
    </row>
    <row r="2676" spans="11:11" x14ac:dyDescent="0.25">
      <c r="K2676" s="8" t="e">
        <f t="shared" si="15"/>
        <v>#VALUE!</v>
      </c>
    </row>
    <row r="2677" spans="11:11" x14ac:dyDescent="0.25">
      <c r="K2677" s="8" t="e">
        <f t="shared" si="15"/>
        <v>#VALUE!</v>
      </c>
    </row>
    <row r="2678" spans="11:11" x14ac:dyDescent="0.25">
      <c r="K2678" s="8" t="e">
        <f t="shared" si="15"/>
        <v>#VALUE!</v>
      </c>
    </row>
    <row r="2679" spans="11:11" x14ac:dyDescent="0.25">
      <c r="K2679" s="8" t="e">
        <f t="shared" si="15"/>
        <v>#VALUE!</v>
      </c>
    </row>
    <row r="2680" spans="11:11" x14ac:dyDescent="0.25">
      <c r="K2680" s="8" t="e">
        <f t="shared" si="15"/>
        <v>#VALUE!</v>
      </c>
    </row>
    <row r="2681" spans="11:11" x14ac:dyDescent="0.25">
      <c r="K2681" s="8" t="e">
        <f t="shared" si="15"/>
        <v>#VALUE!</v>
      </c>
    </row>
    <row r="2682" spans="11:11" x14ac:dyDescent="0.25">
      <c r="K2682" s="8" t="e">
        <f t="shared" si="15"/>
        <v>#VALUE!</v>
      </c>
    </row>
    <row r="2683" spans="11:11" x14ac:dyDescent="0.25">
      <c r="K2683" s="8" t="e">
        <f t="shared" si="15"/>
        <v>#VALUE!</v>
      </c>
    </row>
    <row r="2684" spans="11:11" x14ac:dyDescent="0.25">
      <c r="K2684" s="8" t="e">
        <f t="shared" si="15"/>
        <v>#VALUE!</v>
      </c>
    </row>
    <row r="2685" spans="11:11" x14ac:dyDescent="0.25">
      <c r="K2685" s="8" t="e">
        <f t="shared" si="15"/>
        <v>#VALUE!</v>
      </c>
    </row>
    <row r="2686" spans="11:11" x14ac:dyDescent="0.25">
      <c r="K2686" s="8" t="e">
        <f t="shared" si="15"/>
        <v>#VALUE!</v>
      </c>
    </row>
    <row r="2687" spans="11:11" x14ac:dyDescent="0.25">
      <c r="K2687" s="8" t="e">
        <f t="shared" si="15"/>
        <v>#VALUE!</v>
      </c>
    </row>
    <row r="2688" spans="11:11" x14ac:dyDescent="0.25">
      <c r="K2688" s="8" t="e">
        <f t="shared" si="15"/>
        <v>#VALUE!</v>
      </c>
    </row>
    <row r="2689" spans="11:11" x14ac:dyDescent="0.25">
      <c r="K2689" s="8" t="e">
        <f t="shared" si="15"/>
        <v>#VALUE!</v>
      </c>
    </row>
    <row r="2690" spans="11:11" x14ac:dyDescent="0.25">
      <c r="K2690" s="8" t="e">
        <f t="shared" si="15"/>
        <v>#VALUE!</v>
      </c>
    </row>
    <row r="2691" spans="11:11" x14ac:dyDescent="0.25">
      <c r="K2691" s="8" t="e">
        <f t="shared" ref="K2691:K2754" si="16">LEFT(A2691,FIND("/",A2691)-1)</f>
        <v>#VALUE!</v>
      </c>
    </row>
    <row r="2692" spans="11:11" x14ac:dyDescent="0.25">
      <c r="K2692" s="8" t="e">
        <f t="shared" si="16"/>
        <v>#VALUE!</v>
      </c>
    </row>
    <row r="2693" spans="11:11" x14ac:dyDescent="0.25">
      <c r="K2693" s="8" t="e">
        <f t="shared" si="16"/>
        <v>#VALUE!</v>
      </c>
    </row>
    <row r="2694" spans="11:11" x14ac:dyDescent="0.25">
      <c r="K2694" s="8" t="e">
        <f t="shared" si="16"/>
        <v>#VALUE!</v>
      </c>
    </row>
    <row r="2695" spans="11:11" x14ac:dyDescent="0.25">
      <c r="K2695" s="8" t="e">
        <f t="shared" si="16"/>
        <v>#VALUE!</v>
      </c>
    </row>
    <row r="2696" spans="11:11" x14ac:dyDescent="0.25">
      <c r="K2696" s="8" t="e">
        <f t="shared" si="16"/>
        <v>#VALUE!</v>
      </c>
    </row>
    <row r="2697" spans="11:11" x14ac:dyDescent="0.25">
      <c r="K2697" s="8" t="e">
        <f t="shared" si="16"/>
        <v>#VALUE!</v>
      </c>
    </row>
    <row r="2698" spans="11:11" x14ac:dyDescent="0.25">
      <c r="K2698" s="8" t="e">
        <f t="shared" si="16"/>
        <v>#VALUE!</v>
      </c>
    </row>
    <row r="2699" spans="11:11" x14ac:dyDescent="0.25">
      <c r="K2699" s="8" t="e">
        <f t="shared" si="16"/>
        <v>#VALUE!</v>
      </c>
    </row>
    <row r="2700" spans="11:11" x14ac:dyDescent="0.25">
      <c r="K2700" s="8" t="e">
        <f t="shared" si="16"/>
        <v>#VALUE!</v>
      </c>
    </row>
    <row r="2701" spans="11:11" x14ac:dyDescent="0.25">
      <c r="K2701" s="8" t="e">
        <f t="shared" si="16"/>
        <v>#VALUE!</v>
      </c>
    </row>
    <row r="2702" spans="11:11" x14ac:dyDescent="0.25">
      <c r="K2702" s="8" t="e">
        <f t="shared" si="16"/>
        <v>#VALUE!</v>
      </c>
    </row>
    <row r="2703" spans="11:11" x14ac:dyDescent="0.25">
      <c r="K2703" s="8" t="e">
        <f t="shared" si="16"/>
        <v>#VALUE!</v>
      </c>
    </row>
    <row r="2704" spans="11:11" x14ac:dyDescent="0.25">
      <c r="K2704" s="8" t="e">
        <f t="shared" si="16"/>
        <v>#VALUE!</v>
      </c>
    </row>
    <row r="2705" spans="11:11" x14ac:dyDescent="0.25">
      <c r="K2705" s="8" t="e">
        <f t="shared" si="16"/>
        <v>#VALUE!</v>
      </c>
    </row>
    <row r="2706" spans="11:11" x14ac:dyDescent="0.25">
      <c r="K2706" s="8" t="e">
        <f t="shared" si="16"/>
        <v>#VALUE!</v>
      </c>
    </row>
    <row r="2707" spans="11:11" x14ac:dyDescent="0.25">
      <c r="K2707" s="8" t="e">
        <f t="shared" si="16"/>
        <v>#VALUE!</v>
      </c>
    </row>
    <row r="2708" spans="11:11" x14ac:dyDescent="0.25">
      <c r="K2708" s="8" t="e">
        <f t="shared" si="16"/>
        <v>#VALUE!</v>
      </c>
    </row>
    <row r="2709" spans="11:11" x14ac:dyDescent="0.25">
      <c r="K2709" s="8" t="e">
        <f t="shared" si="16"/>
        <v>#VALUE!</v>
      </c>
    </row>
    <row r="2710" spans="11:11" x14ac:dyDescent="0.25">
      <c r="K2710" s="8" t="e">
        <f t="shared" si="16"/>
        <v>#VALUE!</v>
      </c>
    </row>
    <row r="2711" spans="11:11" x14ac:dyDescent="0.25">
      <c r="K2711" s="8" t="e">
        <f t="shared" si="16"/>
        <v>#VALUE!</v>
      </c>
    </row>
    <row r="2712" spans="11:11" x14ac:dyDescent="0.25">
      <c r="K2712" s="8" t="e">
        <f t="shared" si="16"/>
        <v>#VALUE!</v>
      </c>
    </row>
    <row r="2713" spans="11:11" x14ac:dyDescent="0.25">
      <c r="K2713" s="8" t="e">
        <f t="shared" si="16"/>
        <v>#VALUE!</v>
      </c>
    </row>
    <row r="2714" spans="11:11" x14ac:dyDescent="0.25">
      <c r="K2714" s="8" t="e">
        <f t="shared" si="16"/>
        <v>#VALUE!</v>
      </c>
    </row>
    <row r="2715" spans="11:11" x14ac:dyDescent="0.25">
      <c r="K2715" s="8" t="e">
        <f t="shared" si="16"/>
        <v>#VALUE!</v>
      </c>
    </row>
    <row r="2716" spans="11:11" x14ac:dyDescent="0.25">
      <c r="K2716" s="8" t="e">
        <f t="shared" si="16"/>
        <v>#VALUE!</v>
      </c>
    </row>
    <row r="2717" spans="11:11" x14ac:dyDescent="0.25">
      <c r="K2717" s="8" t="e">
        <f t="shared" si="16"/>
        <v>#VALUE!</v>
      </c>
    </row>
    <row r="2718" spans="11:11" x14ac:dyDescent="0.25">
      <c r="K2718" s="8" t="e">
        <f t="shared" si="16"/>
        <v>#VALUE!</v>
      </c>
    </row>
    <row r="2719" spans="11:11" x14ac:dyDescent="0.25">
      <c r="K2719" s="8" t="e">
        <f t="shared" si="16"/>
        <v>#VALUE!</v>
      </c>
    </row>
    <row r="2720" spans="11:11" x14ac:dyDescent="0.25">
      <c r="K2720" s="8" t="e">
        <f t="shared" si="16"/>
        <v>#VALUE!</v>
      </c>
    </row>
    <row r="2721" spans="11:11" x14ac:dyDescent="0.25">
      <c r="K2721" s="8" t="e">
        <f t="shared" si="16"/>
        <v>#VALUE!</v>
      </c>
    </row>
    <row r="2722" spans="11:11" x14ac:dyDescent="0.25">
      <c r="K2722" s="8" t="e">
        <f t="shared" si="16"/>
        <v>#VALUE!</v>
      </c>
    </row>
    <row r="2723" spans="11:11" x14ac:dyDescent="0.25">
      <c r="K2723" s="8" t="e">
        <f t="shared" si="16"/>
        <v>#VALUE!</v>
      </c>
    </row>
    <row r="2724" spans="11:11" x14ac:dyDescent="0.25">
      <c r="K2724" s="8" t="e">
        <f t="shared" si="16"/>
        <v>#VALUE!</v>
      </c>
    </row>
    <row r="2725" spans="11:11" x14ac:dyDescent="0.25">
      <c r="K2725" s="8" t="e">
        <f t="shared" si="16"/>
        <v>#VALUE!</v>
      </c>
    </row>
    <row r="2726" spans="11:11" x14ac:dyDescent="0.25">
      <c r="K2726" s="8" t="e">
        <f t="shared" si="16"/>
        <v>#VALUE!</v>
      </c>
    </row>
    <row r="2727" spans="11:11" x14ac:dyDescent="0.25">
      <c r="K2727" s="8" t="e">
        <f t="shared" si="16"/>
        <v>#VALUE!</v>
      </c>
    </row>
    <row r="2728" spans="11:11" x14ac:dyDescent="0.25">
      <c r="K2728" s="8" t="e">
        <f t="shared" si="16"/>
        <v>#VALUE!</v>
      </c>
    </row>
    <row r="2729" spans="11:11" x14ac:dyDescent="0.25">
      <c r="K2729" s="8" t="e">
        <f t="shared" si="16"/>
        <v>#VALUE!</v>
      </c>
    </row>
    <row r="2730" spans="11:11" x14ac:dyDescent="0.25">
      <c r="K2730" s="8" t="e">
        <f t="shared" si="16"/>
        <v>#VALUE!</v>
      </c>
    </row>
    <row r="2731" spans="11:11" x14ac:dyDescent="0.25">
      <c r="K2731" s="8" t="e">
        <f t="shared" si="16"/>
        <v>#VALUE!</v>
      </c>
    </row>
    <row r="2732" spans="11:11" x14ac:dyDescent="0.25">
      <c r="K2732" s="8" t="e">
        <f t="shared" si="16"/>
        <v>#VALUE!</v>
      </c>
    </row>
    <row r="2733" spans="11:11" x14ac:dyDescent="0.25">
      <c r="K2733" s="8" t="e">
        <f t="shared" si="16"/>
        <v>#VALUE!</v>
      </c>
    </row>
    <row r="2734" spans="11:11" x14ac:dyDescent="0.25">
      <c r="K2734" s="8" t="e">
        <f t="shared" si="16"/>
        <v>#VALUE!</v>
      </c>
    </row>
    <row r="2735" spans="11:11" x14ac:dyDescent="0.25">
      <c r="K2735" s="8" t="e">
        <f t="shared" si="16"/>
        <v>#VALUE!</v>
      </c>
    </row>
    <row r="2736" spans="11:11" x14ac:dyDescent="0.25">
      <c r="K2736" s="8" t="e">
        <f t="shared" si="16"/>
        <v>#VALUE!</v>
      </c>
    </row>
    <row r="2737" spans="11:11" x14ac:dyDescent="0.25">
      <c r="K2737" s="8" t="e">
        <f t="shared" si="16"/>
        <v>#VALUE!</v>
      </c>
    </row>
    <row r="2738" spans="11:11" x14ac:dyDescent="0.25">
      <c r="K2738" s="8" t="e">
        <f t="shared" si="16"/>
        <v>#VALUE!</v>
      </c>
    </row>
    <row r="2739" spans="11:11" x14ac:dyDescent="0.25">
      <c r="K2739" s="8" t="e">
        <f t="shared" si="16"/>
        <v>#VALUE!</v>
      </c>
    </row>
    <row r="2740" spans="11:11" x14ac:dyDescent="0.25">
      <c r="K2740" s="8" t="e">
        <f t="shared" si="16"/>
        <v>#VALUE!</v>
      </c>
    </row>
    <row r="2741" spans="11:11" x14ac:dyDescent="0.25">
      <c r="K2741" s="8" t="e">
        <f t="shared" si="16"/>
        <v>#VALUE!</v>
      </c>
    </row>
    <row r="2742" spans="11:11" x14ac:dyDescent="0.25">
      <c r="K2742" s="8" t="e">
        <f t="shared" si="16"/>
        <v>#VALUE!</v>
      </c>
    </row>
    <row r="2743" spans="11:11" x14ac:dyDescent="0.25">
      <c r="K2743" s="8" t="e">
        <f t="shared" si="16"/>
        <v>#VALUE!</v>
      </c>
    </row>
    <row r="2744" spans="11:11" x14ac:dyDescent="0.25">
      <c r="K2744" s="8" t="e">
        <f t="shared" si="16"/>
        <v>#VALUE!</v>
      </c>
    </row>
    <row r="2745" spans="11:11" x14ac:dyDescent="0.25">
      <c r="K2745" s="8" t="e">
        <f t="shared" si="16"/>
        <v>#VALUE!</v>
      </c>
    </row>
    <row r="2746" spans="11:11" x14ac:dyDescent="0.25">
      <c r="K2746" s="8" t="e">
        <f t="shared" si="16"/>
        <v>#VALUE!</v>
      </c>
    </row>
    <row r="2747" spans="11:11" x14ac:dyDescent="0.25">
      <c r="K2747" s="8" t="e">
        <f t="shared" si="16"/>
        <v>#VALUE!</v>
      </c>
    </row>
    <row r="2748" spans="11:11" x14ac:dyDescent="0.25">
      <c r="K2748" s="8" t="e">
        <f t="shared" si="16"/>
        <v>#VALUE!</v>
      </c>
    </row>
    <row r="2749" spans="11:11" x14ac:dyDescent="0.25">
      <c r="K2749" s="8" t="e">
        <f t="shared" si="16"/>
        <v>#VALUE!</v>
      </c>
    </row>
    <row r="2750" spans="11:11" x14ac:dyDescent="0.25">
      <c r="K2750" s="8" t="e">
        <f t="shared" si="16"/>
        <v>#VALUE!</v>
      </c>
    </row>
    <row r="2751" spans="11:11" x14ac:dyDescent="0.25">
      <c r="K2751" s="8" t="e">
        <f t="shared" si="16"/>
        <v>#VALUE!</v>
      </c>
    </row>
    <row r="2752" spans="11:11" x14ac:dyDescent="0.25">
      <c r="K2752" s="8" t="e">
        <f t="shared" si="16"/>
        <v>#VALUE!</v>
      </c>
    </row>
    <row r="2753" spans="11:11" x14ac:dyDescent="0.25">
      <c r="K2753" s="8" t="e">
        <f t="shared" si="16"/>
        <v>#VALUE!</v>
      </c>
    </row>
    <row r="2754" spans="11:11" x14ac:dyDescent="0.25">
      <c r="K2754" s="8" t="e">
        <f t="shared" si="16"/>
        <v>#VALUE!</v>
      </c>
    </row>
    <row r="2755" spans="11:11" x14ac:dyDescent="0.25">
      <c r="K2755" s="8" t="e">
        <f t="shared" ref="K2755:K2818" si="17">LEFT(A2755,FIND("/",A2755)-1)</f>
        <v>#VALUE!</v>
      </c>
    </row>
    <row r="2756" spans="11:11" x14ac:dyDescent="0.25">
      <c r="K2756" s="8" t="e">
        <f t="shared" si="17"/>
        <v>#VALUE!</v>
      </c>
    </row>
    <row r="2757" spans="11:11" x14ac:dyDescent="0.25">
      <c r="K2757" s="8" t="e">
        <f t="shared" si="17"/>
        <v>#VALUE!</v>
      </c>
    </row>
    <row r="2758" spans="11:11" x14ac:dyDescent="0.25">
      <c r="K2758" s="8" t="e">
        <f t="shared" si="17"/>
        <v>#VALUE!</v>
      </c>
    </row>
    <row r="2759" spans="11:11" x14ac:dyDescent="0.25">
      <c r="K2759" s="8" t="e">
        <f t="shared" si="17"/>
        <v>#VALUE!</v>
      </c>
    </row>
    <row r="2760" spans="11:11" x14ac:dyDescent="0.25">
      <c r="K2760" s="8" t="e">
        <f t="shared" si="17"/>
        <v>#VALUE!</v>
      </c>
    </row>
    <row r="2761" spans="11:11" x14ac:dyDescent="0.25">
      <c r="K2761" s="8" t="e">
        <f t="shared" si="17"/>
        <v>#VALUE!</v>
      </c>
    </row>
    <row r="2762" spans="11:11" x14ac:dyDescent="0.25">
      <c r="K2762" s="8" t="e">
        <f t="shared" si="17"/>
        <v>#VALUE!</v>
      </c>
    </row>
    <row r="2763" spans="11:11" x14ac:dyDescent="0.25">
      <c r="K2763" s="8" t="e">
        <f t="shared" si="17"/>
        <v>#VALUE!</v>
      </c>
    </row>
    <row r="2764" spans="11:11" x14ac:dyDescent="0.25">
      <c r="K2764" s="8" t="e">
        <f t="shared" si="17"/>
        <v>#VALUE!</v>
      </c>
    </row>
    <row r="2765" spans="11:11" x14ac:dyDescent="0.25">
      <c r="K2765" s="8" t="e">
        <f t="shared" si="17"/>
        <v>#VALUE!</v>
      </c>
    </row>
    <row r="2766" spans="11:11" x14ac:dyDescent="0.25">
      <c r="K2766" s="8" t="e">
        <f t="shared" si="17"/>
        <v>#VALUE!</v>
      </c>
    </row>
    <row r="2767" spans="11:11" x14ac:dyDescent="0.25">
      <c r="K2767" s="8" t="e">
        <f t="shared" si="17"/>
        <v>#VALUE!</v>
      </c>
    </row>
    <row r="2768" spans="11:11" x14ac:dyDescent="0.25">
      <c r="K2768" s="8" t="e">
        <f t="shared" si="17"/>
        <v>#VALUE!</v>
      </c>
    </row>
    <row r="2769" spans="11:11" x14ac:dyDescent="0.25">
      <c r="K2769" s="8" t="e">
        <f t="shared" si="17"/>
        <v>#VALUE!</v>
      </c>
    </row>
    <row r="2770" spans="11:11" x14ac:dyDescent="0.25">
      <c r="K2770" s="8" t="e">
        <f t="shared" si="17"/>
        <v>#VALUE!</v>
      </c>
    </row>
    <row r="2771" spans="11:11" x14ac:dyDescent="0.25">
      <c r="K2771" s="8" t="e">
        <f t="shared" si="17"/>
        <v>#VALUE!</v>
      </c>
    </row>
    <row r="2772" spans="11:11" x14ac:dyDescent="0.25">
      <c r="K2772" s="8" t="e">
        <f t="shared" si="17"/>
        <v>#VALUE!</v>
      </c>
    </row>
    <row r="2773" spans="11:11" x14ac:dyDescent="0.25">
      <c r="K2773" s="8" t="e">
        <f t="shared" si="17"/>
        <v>#VALUE!</v>
      </c>
    </row>
    <row r="2774" spans="11:11" x14ac:dyDescent="0.25">
      <c r="K2774" s="8" t="e">
        <f t="shared" si="17"/>
        <v>#VALUE!</v>
      </c>
    </row>
    <row r="2775" spans="11:11" x14ac:dyDescent="0.25">
      <c r="K2775" s="8" t="e">
        <f t="shared" si="17"/>
        <v>#VALUE!</v>
      </c>
    </row>
    <row r="2776" spans="11:11" x14ac:dyDescent="0.25">
      <c r="K2776" s="8" t="e">
        <f t="shared" si="17"/>
        <v>#VALUE!</v>
      </c>
    </row>
    <row r="2777" spans="11:11" x14ac:dyDescent="0.25">
      <c r="K2777" s="8" t="e">
        <f t="shared" si="17"/>
        <v>#VALUE!</v>
      </c>
    </row>
    <row r="2778" spans="11:11" x14ac:dyDescent="0.25">
      <c r="K2778" s="8" t="e">
        <f t="shared" si="17"/>
        <v>#VALUE!</v>
      </c>
    </row>
    <row r="2779" spans="11:11" x14ac:dyDescent="0.25">
      <c r="K2779" s="8" t="e">
        <f t="shared" si="17"/>
        <v>#VALUE!</v>
      </c>
    </row>
    <row r="2780" spans="11:11" x14ac:dyDescent="0.25">
      <c r="K2780" s="8" t="e">
        <f t="shared" si="17"/>
        <v>#VALUE!</v>
      </c>
    </row>
    <row r="2781" spans="11:11" x14ac:dyDescent="0.25">
      <c r="K2781" s="8" t="e">
        <f t="shared" si="17"/>
        <v>#VALUE!</v>
      </c>
    </row>
    <row r="2782" spans="11:11" x14ac:dyDescent="0.25">
      <c r="K2782" s="8" t="e">
        <f t="shared" si="17"/>
        <v>#VALUE!</v>
      </c>
    </row>
    <row r="2783" spans="11:11" x14ac:dyDescent="0.25">
      <c r="K2783" s="8" t="e">
        <f t="shared" si="17"/>
        <v>#VALUE!</v>
      </c>
    </row>
    <row r="2784" spans="11:11" x14ac:dyDescent="0.25">
      <c r="K2784" s="8" t="e">
        <f t="shared" si="17"/>
        <v>#VALUE!</v>
      </c>
    </row>
    <row r="2785" spans="11:11" x14ac:dyDescent="0.25">
      <c r="K2785" s="8" t="e">
        <f t="shared" si="17"/>
        <v>#VALUE!</v>
      </c>
    </row>
    <row r="2786" spans="11:11" x14ac:dyDescent="0.25">
      <c r="K2786" s="8" t="e">
        <f t="shared" si="17"/>
        <v>#VALUE!</v>
      </c>
    </row>
    <row r="2787" spans="11:11" x14ac:dyDescent="0.25">
      <c r="K2787" s="8" t="e">
        <f t="shared" si="17"/>
        <v>#VALUE!</v>
      </c>
    </row>
    <row r="2788" spans="11:11" x14ac:dyDescent="0.25">
      <c r="K2788" s="8" t="e">
        <f t="shared" si="17"/>
        <v>#VALUE!</v>
      </c>
    </row>
    <row r="2789" spans="11:11" x14ac:dyDescent="0.25">
      <c r="K2789" s="8" t="e">
        <f t="shared" si="17"/>
        <v>#VALUE!</v>
      </c>
    </row>
    <row r="2790" spans="11:11" x14ac:dyDescent="0.25">
      <c r="K2790" s="8" t="e">
        <f t="shared" si="17"/>
        <v>#VALUE!</v>
      </c>
    </row>
    <row r="2791" spans="11:11" x14ac:dyDescent="0.25">
      <c r="K2791" s="8" t="e">
        <f t="shared" si="17"/>
        <v>#VALUE!</v>
      </c>
    </row>
    <row r="2792" spans="11:11" x14ac:dyDescent="0.25">
      <c r="K2792" s="8" t="e">
        <f t="shared" si="17"/>
        <v>#VALUE!</v>
      </c>
    </row>
    <row r="2793" spans="11:11" x14ac:dyDescent="0.25">
      <c r="K2793" s="8" t="e">
        <f t="shared" si="17"/>
        <v>#VALUE!</v>
      </c>
    </row>
    <row r="2794" spans="11:11" x14ac:dyDescent="0.25">
      <c r="K2794" s="8" t="e">
        <f t="shared" si="17"/>
        <v>#VALUE!</v>
      </c>
    </row>
    <row r="2795" spans="11:11" x14ac:dyDescent="0.25">
      <c r="K2795" s="8" t="e">
        <f t="shared" si="17"/>
        <v>#VALUE!</v>
      </c>
    </row>
    <row r="2796" spans="11:11" x14ac:dyDescent="0.25">
      <c r="K2796" s="8" t="e">
        <f t="shared" si="17"/>
        <v>#VALUE!</v>
      </c>
    </row>
    <row r="2797" spans="11:11" x14ac:dyDescent="0.25">
      <c r="K2797" s="8" t="e">
        <f t="shared" si="17"/>
        <v>#VALUE!</v>
      </c>
    </row>
    <row r="2798" spans="11:11" x14ac:dyDescent="0.25">
      <c r="K2798" s="8" t="e">
        <f t="shared" si="17"/>
        <v>#VALUE!</v>
      </c>
    </row>
    <row r="2799" spans="11:11" x14ac:dyDescent="0.25">
      <c r="K2799" s="8" t="e">
        <f t="shared" si="17"/>
        <v>#VALUE!</v>
      </c>
    </row>
    <row r="2800" spans="11:11" x14ac:dyDescent="0.25">
      <c r="K2800" s="8" t="e">
        <f t="shared" si="17"/>
        <v>#VALUE!</v>
      </c>
    </row>
    <row r="2801" spans="11:11" x14ac:dyDescent="0.25">
      <c r="K2801" s="8" t="e">
        <f t="shared" si="17"/>
        <v>#VALUE!</v>
      </c>
    </row>
    <row r="2802" spans="11:11" x14ac:dyDescent="0.25">
      <c r="K2802" s="8" t="e">
        <f t="shared" si="17"/>
        <v>#VALUE!</v>
      </c>
    </row>
    <row r="2803" spans="11:11" x14ac:dyDescent="0.25">
      <c r="K2803" s="8" t="e">
        <f t="shared" si="17"/>
        <v>#VALUE!</v>
      </c>
    </row>
    <row r="2804" spans="11:11" x14ac:dyDescent="0.25">
      <c r="K2804" s="8" t="e">
        <f t="shared" si="17"/>
        <v>#VALUE!</v>
      </c>
    </row>
    <row r="2805" spans="11:11" x14ac:dyDescent="0.25">
      <c r="K2805" s="8" t="e">
        <f t="shared" si="17"/>
        <v>#VALUE!</v>
      </c>
    </row>
    <row r="2806" spans="11:11" x14ac:dyDescent="0.25">
      <c r="K2806" s="8" t="e">
        <f t="shared" si="17"/>
        <v>#VALUE!</v>
      </c>
    </row>
    <row r="2807" spans="11:11" x14ac:dyDescent="0.25">
      <c r="K2807" s="8" t="e">
        <f t="shared" si="17"/>
        <v>#VALUE!</v>
      </c>
    </row>
    <row r="2808" spans="11:11" x14ac:dyDescent="0.25">
      <c r="K2808" s="8" t="e">
        <f t="shared" si="17"/>
        <v>#VALUE!</v>
      </c>
    </row>
    <row r="2809" spans="11:11" x14ac:dyDescent="0.25">
      <c r="K2809" s="8" t="e">
        <f t="shared" si="17"/>
        <v>#VALUE!</v>
      </c>
    </row>
    <row r="2810" spans="11:11" x14ac:dyDescent="0.25">
      <c r="K2810" s="8" t="e">
        <f t="shared" si="17"/>
        <v>#VALUE!</v>
      </c>
    </row>
    <row r="2811" spans="11:11" x14ac:dyDescent="0.25">
      <c r="K2811" s="8" t="e">
        <f t="shared" si="17"/>
        <v>#VALUE!</v>
      </c>
    </row>
    <row r="2812" spans="11:11" x14ac:dyDescent="0.25">
      <c r="K2812" s="8" t="e">
        <f t="shared" si="17"/>
        <v>#VALUE!</v>
      </c>
    </row>
    <row r="2813" spans="11:11" x14ac:dyDescent="0.25">
      <c r="K2813" s="8" t="e">
        <f t="shared" si="17"/>
        <v>#VALUE!</v>
      </c>
    </row>
    <row r="2814" spans="11:11" x14ac:dyDescent="0.25">
      <c r="K2814" s="8" t="e">
        <f t="shared" si="17"/>
        <v>#VALUE!</v>
      </c>
    </row>
    <row r="2815" spans="11:11" x14ac:dyDescent="0.25">
      <c r="K2815" s="8" t="e">
        <f t="shared" si="17"/>
        <v>#VALUE!</v>
      </c>
    </row>
    <row r="2816" spans="11:11" x14ac:dyDescent="0.25">
      <c r="K2816" s="8" t="e">
        <f t="shared" si="17"/>
        <v>#VALUE!</v>
      </c>
    </row>
    <row r="2817" spans="11:11" x14ac:dyDescent="0.25">
      <c r="K2817" s="8" t="e">
        <f t="shared" si="17"/>
        <v>#VALUE!</v>
      </c>
    </row>
    <row r="2818" spans="11:11" x14ac:dyDescent="0.25">
      <c r="K2818" s="8" t="e">
        <f t="shared" si="17"/>
        <v>#VALUE!</v>
      </c>
    </row>
    <row r="2819" spans="11:11" x14ac:dyDescent="0.25">
      <c r="K2819" s="8" t="e">
        <f t="shared" ref="K2819:K2882" si="18">LEFT(A2819,FIND("/",A2819)-1)</f>
        <v>#VALUE!</v>
      </c>
    </row>
    <row r="2820" spans="11:11" x14ac:dyDescent="0.25">
      <c r="K2820" s="8" t="e">
        <f t="shared" si="18"/>
        <v>#VALUE!</v>
      </c>
    </row>
    <row r="2821" spans="11:11" x14ac:dyDescent="0.25">
      <c r="K2821" s="8" t="e">
        <f t="shared" si="18"/>
        <v>#VALUE!</v>
      </c>
    </row>
    <row r="2822" spans="11:11" x14ac:dyDescent="0.25">
      <c r="K2822" s="8" t="e">
        <f t="shared" si="18"/>
        <v>#VALUE!</v>
      </c>
    </row>
    <row r="2823" spans="11:11" x14ac:dyDescent="0.25">
      <c r="K2823" s="8" t="e">
        <f t="shared" si="18"/>
        <v>#VALUE!</v>
      </c>
    </row>
    <row r="2824" spans="11:11" x14ac:dyDescent="0.25">
      <c r="K2824" s="8" t="e">
        <f t="shared" si="18"/>
        <v>#VALUE!</v>
      </c>
    </row>
    <row r="2825" spans="11:11" x14ac:dyDescent="0.25">
      <c r="K2825" s="8" t="e">
        <f t="shared" si="18"/>
        <v>#VALUE!</v>
      </c>
    </row>
    <row r="2826" spans="11:11" x14ac:dyDescent="0.25">
      <c r="K2826" s="8" t="e">
        <f t="shared" si="18"/>
        <v>#VALUE!</v>
      </c>
    </row>
    <row r="2827" spans="11:11" x14ac:dyDescent="0.25">
      <c r="K2827" s="8" t="e">
        <f t="shared" si="18"/>
        <v>#VALUE!</v>
      </c>
    </row>
    <row r="2828" spans="11:11" x14ac:dyDescent="0.25">
      <c r="K2828" s="8" t="e">
        <f t="shared" si="18"/>
        <v>#VALUE!</v>
      </c>
    </row>
    <row r="2829" spans="11:11" x14ac:dyDescent="0.25">
      <c r="K2829" s="8" t="e">
        <f t="shared" si="18"/>
        <v>#VALUE!</v>
      </c>
    </row>
    <row r="2830" spans="11:11" x14ac:dyDescent="0.25">
      <c r="K2830" s="8" t="e">
        <f t="shared" si="18"/>
        <v>#VALUE!</v>
      </c>
    </row>
    <row r="2831" spans="11:11" x14ac:dyDescent="0.25">
      <c r="K2831" s="8" t="e">
        <f t="shared" si="18"/>
        <v>#VALUE!</v>
      </c>
    </row>
    <row r="2832" spans="11:11" x14ac:dyDescent="0.25">
      <c r="K2832" s="8" t="e">
        <f t="shared" si="18"/>
        <v>#VALUE!</v>
      </c>
    </row>
    <row r="2833" spans="11:11" x14ac:dyDescent="0.25">
      <c r="K2833" s="8" t="e">
        <f t="shared" si="18"/>
        <v>#VALUE!</v>
      </c>
    </row>
    <row r="2834" spans="11:11" x14ac:dyDescent="0.25">
      <c r="K2834" s="8" t="e">
        <f t="shared" si="18"/>
        <v>#VALUE!</v>
      </c>
    </row>
    <row r="2835" spans="11:11" x14ac:dyDescent="0.25">
      <c r="K2835" s="8" t="e">
        <f t="shared" si="18"/>
        <v>#VALUE!</v>
      </c>
    </row>
    <row r="2836" spans="11:11" x14ac:dyDescent="0.25">
      <c r="K2836" s="8" t="e">
        <f t="shared" si="18"/>
        <v>#VALUE!</v>
      </c>
    </row>
    <row r="2837" spans="11:11" x14ac:dyDescent="0.25">
      <c r="K2837" s="8" t="e">
        <f t="shared" si="18"/>
        <v>#VALUE!</v>
      </c>
    </row>
    <row r="2838" spans="11:11" x14ac:dyDescent="0.25">
      <c r="K2838" s="8" t="e">
        <f t="shared" si="18"/>
        <v>#VALUE!</v>
      </c>
    </row>
    <row r="2839" spans="11:11" x14ac:dyDescent="0.25">
      <c r="K2839" s="8" t="e">
        <f t="shared" si="18"/>
        <v>#VALUE!</v>
      </c>
    </row>
    <row r="2840" spans="11:11" x14ac:dyDescent="0.25">
      <c r="K2840" s="8" t="e">
        <f t="shared" si="18"/>
        <v>#VALUE!</v>
      </c>
    </row>
    <row r="2841" spans="11:11" x14ac:dyDescent="0.25">
      <c r="K2841" s="8" t="e">
        <f t="shared" si="18"/>
        <v>#VALUE!</v>
      </c>
    </row>
    <row r="2842" spans="11:11" x14ac:dyDescent="0.25">
      <c r="K2842" s="8" t="e">
        <f t="shared" si="18"/>
        <v>#VALUE!</v>
      </c>
    </row>
    <row r="2843" spans="11:11" x14ac:dyDescent="0.25">
      <c r="K2843" s="8" t="e">
        <f t="shared" si="18"/>
        <v>#VALUE!</v>
      </c>
    </row>
    <row r="2844" spans="11:11" x14ac:dyDescent="0.25">
      <c r="K2844" s="8" t="e">
        <f t="shared" si="18"/>
        <v>#VALUE!</v>
      </c>
    </row>
    <row r="2845" spans="11:11" x14ac:dyDescent="0.25">
      <c r="K2845" s="8" t="e">
        <f t="shared" si="18"/>
        <v>#VALUE!</v>
      </c>
    </row>
    <row r="2846" spans="11:11" x14ac:dyDescent="0.25">
      <c r="K2846" s="8" t="e">
        <f t="shared" si="18"/>
        <v>#VALUE!</v>
      </c>
    </row>
    <row r="2847" spans="11:11" x14ac:dyDescent="0.25">
      <c r="K2847" s="8" t="e">
        <f t="shared" si="18"/>
        <v>#VALUE!</v>
      </c>
    </row>
    <row r="2848" spans="11:11" x14ac:dyDescent="0.25">
      <c r="K2848" s="8" t="e">
        <f t="shared" si="18"/>
        <v>#VALUE!</v>
      </c>
    </row>
    <row r="2849" spans="11:11" x14ac:dyDescent="0.25">
      <c r="K2849" s="8" t="e">
        <f t="shared" si="18"/>
        <v>#VALUE!</v>
      </c>
    </row>
    <row r="2850" spans="11:11" x14ac:dyDescent="0.25">
      <c r="K2850" s="8" t="e">
        <f t="shared" si="18"/>
        <v>#VALUE!</v>
      </c>
    </row>
    <row r="2851" spans="11:11" x14ac:dyDescent="0.25">
      <c r="K2851" s="8" t="e">
        <f t="shared" si="18"/>
        <v>#VALUE!</v>
      </c>
    </row>
    <row r="2852" spans="11:11" x14ac:dyDescent="0.25">
      <c r="K2852" s="8" t="e">
        <f t="shared" si="18"/>
        <v>#VALUE!</v>
      </c>
    </row>
    <row r="2853" spans="11:11" x14ac:dyDescent="0.25">
      <c r="K2853" s="8" t="e">
        <f t="shared" si="18"/>
        <v>#VALUE!</v>
      </c>
    </row>
    <row r="2854" spans="11:11" x14ac:dyDescent="0.25">
      <c r="K2854" s="8" t="e">
        <f t="shared" si="18"/>
        <v>#VALUE!</v>
      </c>
    </row>
    <row r="2855" spans="11:11" x14ac:dyDescent="0.25">
      <c r="K2855" s="8" t="e">
        <f t="shared" si="18"/>
        <v>#VALUE!</v>
      </c>
    </row>
    <row r="2856" spans="11:11" x14ac:dyDescent="0.25">
      <c r="K2856" s="8" t="e">
        <f t="shared" si="18"/>
        <v>#VALUE!</v>
      </c>
    </row>
    <row r="2857" spans="11:11" x14ac:dyDescent="0.25">
      <c r="K2857" s="8" t="e">
        <f t="shared" si="18"/>
        <v>#VALUE!</v>
      </c>
    </row>
    <row r="2858" spans="11:11" x14ac:dyDescent="0.25">
      <c r="K2858" s="8" t="e">
        <f t="shared" si="18"/>
        <v>#VALUE!</v>
      </c>
    </row>
    <row r="2859" spans="11:11" x14ac:dyDescent="0.25">
      <c r="K2859" s="8" t="e">
        <f t="shared" si="18"/>
        <v>#VALUE!</v>
      </c>
    </row>
    <row r="2860" spans="11:11" x14ac:dyDescent="0.25">
      <c r="K2860" s="8" t="e">
        <f t="shared" si="18"/>
        <v>#VALUE!</v>
      </c>
    </row>
    <row r="2861" spans="11:11" x14ac:dyDescent="0.25">
      <c r="K2861" s="8" t="e">
        <f t="shared" si="18"/>
        <v>#VALUE!</v>
      </c>
    </row>
    <row r="2862" spans="11:11" x14ac:dyDescent="0.25">
      <c r="K2862" s="8" t="e">
        <f t="shared" si="18"/>
        <v>#VALUE!</v>
      </c>
    </row>
    <row r="2863" spans="11:11" x14ac:dyDescent="0.25">
      <c r="K2863" s="8" t="e">
        <f t="shared" si="18"/>
        <v>#VALUE!</v>
      </c>
    </row>
    <row r="2864" spans="11:11" x14ac:dyDescent="0.25">
      <c r="K2864" s="8" t="e">
        <f t="shared" si="18"/>
        <v>#VALUE!</v>
      </c>
    </row>
    <row r="2865" spans="11:11" x14ac:dyDescent="0.25">
      <c r="K2865" s="8" t="e">
        <f t="shared" si="18"/>
        <v>#VALUE!</v>
      </c>
    </row>
    <row r="2866" spans="11:11" x14ac:dyDescent="0.25">
      <c r="K2866" s="8" t="e">
        <f t="shared" si="18"/>
        <v>#VALUE!</v>
      </c>
    </row>
    <row r="2867" spans="11:11" x14ac:dyDescent="0.25">
      <c r="K2867" s="8" t="e">
        <f t="shared" si="18"/>
        <v>#VALUE!</v>
      </c>
    </row>
    <row r="2868" spans="11:11" x14ac:dyDescent="0.25">
      <c r="K2868" s="8" t="e">
        <f t="shared" si="18"/>
        <v>#VALUE!</v>
      </c>
    </row>
    <row r="2869" spans="11:11" x14ac:dyDescent="0.25">
      <c r="K2869" s="8" t="e">
        <f t="shared" si="18"/>
        <v>#VALUE!</v>
      </c>
    </row>
    <row r="2870" spans="11:11" x14ac:dyDescent="0.25">
      <c r="K2870" s="8" t="e">
        <f t="shared" si="18"/>
        <v>#VALUE!</v>
      </c>
    </row>
    <row r="2871" spans="11:11" x14ac:dyDescent="0.25">
      <c r="K2871" s="8" t="e">
        <f t="shared" si="18"/>
        <v>#VALUE!</v>
      </c>
    </row>
    <row r="2872" spans="11:11" x14ac:dyDescent="0.25">
      <c r="K2872" s="8" t="e">
        <f t="shared" si="18"/>
        <v>#VALUE!</v>
      </c>
    </row>
    <row r="2873" spans="11:11" x14ac:dyDescent="0.25">
      <c r="K2873" s="8" t="e">
        <f t="shared" si="18"/>
        <v>#VALUE!</v>
      </c>
    </row>
    <row r="2874" spans="11:11" x14ac:dyDescent="0.25">
      <c r="K2874" s="8" t="e">
        <f t="shared" si="18"/>
        <v>#VALUE!</v>
      </c>
    </row>
    <row r="2875" spans="11:11" x14ac:dyDescent="0.25">
      <c r="K2875" s="8" t="e">
        <f t="shared" si="18"/>
        <v>#VALUE!</v>
      </c>
    </row>
    <row r="2876" spans="11:11" x14ac:dyDescent="0.25">
      <c r="K2876" s="8" t="e">
        <f t="shared" si="18"/>
        <v>#VALUE!</v>
      </c>
    </row>
    <row r="2877" spans="11:11" x14ac:dyDescent="0.25">
      <c r="K2877" s="8" t="e">
        <f t="shared" si="18"/>
        <v>#VALUE!</v>
      </c>
    </row>
    <row r="2878" spans="11:11" x14ac:dyDescent="0.25">
      <c r="K2878" s="8" t="e">
        <f t="shared" si="18"/>
        <v>#VALUE!</v>
      </c>
    </row>
    <row r="2879" spans="11:11" x14ac:dyDescent="0.25">
      <c r="K2879" s="8" t="e">
        <f t="shared" si="18"/>
        <v>#VALUE!</v>
      </c>
    </row>
    <row r="2880" spans="11:11" x14ac:dyDescent="0.25">
      <c r="K2880" s="8" t="e">
        <f t="shared" si="18"/>
        <v>#VALUE!</v>
      </c>
    </row>
    <row r="2881" spans="11:11" x14ac:dyDescent="0.25">
      <c r="K2881" s="8" t="e">
        <f t="shared" si="18"/>
        <v>#VALUE!</v>
      </c>
    </row>
    <row r="2882" spans="11:11" x14ac:dyDescent="0.25">
      <c r="K2882" s="8" t="e">
        <f t="shared" si="18"/>
        <v>#VALUE!</v>
      </c>
    </row>
    <row r="2883" spans="11:11" x14ac:dyDescent="0.25">
      <c r="K2883" s="8" t="e">
        <f t="shared" ref="K2883:K2946" si="19">LEFT(A2883,FIND("/",A2883)-1)</f>
        <v>#VALUE!</v>
      </c>
    </row>
    <row r="2884" spans="11:11" x14ac:dyDescent="0.25">
      <c r="K2884" s="8" t="e">
        <f t="shared" si="19"/>
        <v>#VALUE!</v>
      </c>
    </row>
    <row r="2885" spans="11:11" x14ac:dyDescent="0.25">
      <c r="K2885" s="8" t="e">
        <f t="shared" si="19"/>
        <v>#VALUE!</v>
      </c>
    </row>
    <row r="2886" spans="11:11" x14ac:dyDescent="0.25">
      <c r="K2886" s="8" t="e">
        <f t="shared" si="19"/>
        <v>#VALUE!</v>
      </c>
    </row>
    <row r="2887" spans="11:11" x14ac:dyDescent="0.25">
      <c r="K2887" s="8" t="e">
        <f t="shared" si="19"/>
        <v>#VALUE!</v>
      </c>
    </row>
    <row r="2888" spans="11:11" x14ac:dyDescent="0.25">
      <c r="K2888" s="8" t="e">
        <f t="shared" si="19"/>
        <v>#VALUE!</v>
      </c>
    </row>
    <row r="2889" spans="11:11" x14ac:dyDescent="0.25">
      <c r="K2889" s="8" t="e">
        <f t="shared" si="19"/>
        <v>#VALUE!</v>
      </c>
    </row>
    <row r="2890" spans="11:11" x14ac:dyDescent="0.25">
      <c r="K2890" s="8" t="e">
        <f t="shared" si="19"/>
        <v>#VALUE!</v>
      </c>
    </row>
    <row r="2891" spans="11:11" x14ac:dyDescent="0.25">
      <c r="K2891" s="8" t="e">
        <f t="shared" si="19"/>
        <v>#VALUE!</v>
      </c>
    </row>
    <row r="2892" spans="11:11" x14ac:dyDescent="0.25">
      <c r="K2892" s="8" t="e">
        <f t="shared" si="19"/>
        <v>#VALUE!</v>
      </c>
    </row>
    <row r="2893" spans="11:11" x14ac:dyDescent="0.25">
      <c r="K2893" s="8" t="e">
        <f t="shared" si="19"/>
        <v>#VALUE!</v>
      </c>
    </row>
    <row r="2894" spans="11:11" x14ac:dyDescent="0.25">
      <c r="K2894" s="8" t="e">
        <f t="shared" si="19"/>
        <v>#VALUE!</v>
      </c>
    </row>
    <row r="2895" spans="11:11" x14ac:dyDescent="0.25">
      <c r="K2895" s="8" t="e">
        <f t="shared" si="19"/>
        <v>#VALUE!</v>
      </c>
    </row>
    <row r="2896" spans="11:11" x14ac:dyDescent="0.25">
      <c r="K2896" s="8" t="e">
        <f t="shared" si="19"/>
        <v>#VALUE!</v>
      </c>
    </row>
    <row r="2897" spans="11:11" x14ac:dyDescent="0.25">
      <c r="K2897" s="8" t="e">
        <f t="shared" si="19"/>
        <v>#VALUE!</v>
      </c>
    </row>
    <row r="2898" spans="11:11" x14ac:dyDescent="0.25">
      <c r="K2898" s="8" t="e">
        <f t="shared" si="19"/>
        <v>#VALUE!</v>
      </c>
    </row>
    <row r="2899" spans="11:11" x14ac:dyDescent="0.25">
      <c r="K2899" s="8" t="e">
        <f t="shared" si="19"/>
        <v>#VALUE!</v>
      </c>
    </row>
    <row r="2900" spans="11:11" x14ac:dyDescent="0.25">
      <c r="K2900" s="8" t="e">
        <f t="shared" si="19"/>
        <v>#VALUE!</v>
      </c>
    </row>
    <row r="2901" spans="11:11" x14ac:dyDescent="0.25">
      <c r="K2901" s="8" t="e">
        <f t="shared" si="19"/>
        <v>#VALUE!</v>
      </c>
    </row>
    <row r="2902" spans="11:11" x14ac:dyDescent="0.25">
      <c r="K2902" s="8" t="e">
        <f t="shared" si="19"/>
        <v>#VALUE!</v>
      </c>
    </row>
    <row r="2903" spans="11:11" x14ac:dyDescent="0.25">
      <c r="K2903" s="8" t="e">
        <f t="shared" si="19"/>
        <v>#VALUE!</v>
      </c>
    </row>
    <row r="2904" spans="11:11" x14ac:dyDescent="0.25">
      <c r="K2904" s="8" t="e">
        <f t="shared" si="19"/>
        <v>#VALUE!</v>
      </c>
    </row>
    <row r="2905" spans="11:11" x14ac:dyDescent="0.25">
      <c r="K2905" s="8" t="e">
        <f t="shared" si="19"/>
        <v>#VALUE!</v>
      </c>
    </row>
    <row r="2906" spans="11:11" x14ac:dyDescent="0.25">
      <c r="K2906" s="8" t="e">
        <f t="shared" si="19"/>
        <v>#VALUE!</v>
      </c>
    </row>
    <row r="2907" spans="11:11" x14ac:dyDescent="0.25">
      <c r="K2907" s="8" t="e">
        <f t="shared" si="19"/>
        <v>#VALUE!</v>
      </c>
    </row>
    <row r="2908" spans="11:11" x14ac:dyDescent="0.25">
      <c r="K2908" s="8" t="e">
        <f t="shared" si="19"/>
        <v>#VALUE!</v>
      </c>
    </row>
    <row r="2909" spans="11:11" x14ac:dyDescent="0.25">
      <c r="K2909" s="8" t="e">
        <f t="shared" si="19"/>
        <v>#VALUE!</v>
      </c>
    </row>
    <row r="2910" spans="11:11" x14ac:dyDescent="0.25">
      <c r="K2910" s="8" t="e">
        <f t="shared" si="19"/>
        <v>#VALUE!</v>
      </c>
    </row>
    <row r="2911" spans="11:11" x14ac:dyDescent="0.25">
      <c r="K2911" s="8" t="e">
        <f t="shared" si="19"/>
        <v>#VALUE!</v>
      </c>
    </row>
    <row r="2912" spans="11:11" x14ac:dyDescent="0.25">
      <c r="K2912" s="8" t="e">
        <f t="shared" si="19"/>
        <v>#VALUE!</v>
      </c>
    </row>
    <row r="2913" spans="11:11" x14ac:dyDescent="0.25">
      <c r="K2913" s="8" t="e">
        <f t="shared" si="19"/>
        <v>#VALUE!</v>
      </c>
    </row>
    <row r="2914" spans="11:11" x14ac:dyDescent="0.25">
      <c r="K2914" s="8" t="e">
        <f t="shared" si="19"/>
        <v>#VALUE!</v>
      </c>
    </row>
    <row r="2915" spans="11:11" x14ac:dyDescent="0.25">
      <c r="K2915" s="8" t="e">
        <f t="shared" si="19"/>
        <v>#VALUE!</v>
      </c>
    </row>
    <row r="2916" spans="11:11" x14ac:dyDescent="0.25">
      <c r="K2916" s="8" t="e">
        <f t="shared" si="19"/>
        <v>#VALUE!</v>
      </c>
    </row>
    <row r="2917" spans="11:11" x14ac:dyDescent="0.25">
      <c r="K2917" s="8" t="e">
        <f t="shared" si="19"/>
        <v>#VALUE!</v>
      </c>
    </row>
    <row r="2918" spans="11:11" x14ac:dyDescent="0.25">
      <c r="K2918" s="8" t="e">
        <f t="shared" si="19"/>
        <v>#VALUE!</v>
      </c>
    </row>
    <row r="2919" spans="11:11" x14ac:dyDescent="0.25">
      <c r="K2919" s="8" t="e">
        <f t="shared" si="19"/>
        <v>#VALUE!</v>
      </c>
    </row>
    <row r="2920" spans="11:11" x14ac:dyDescent="0.25">
      <c r="K2920" s="8" t="e">
        <f t="shared" si="19"/>
        <v>#VALUE!</v>
      </c>
    </row>
    <row r="2921" spans="11:11" x14ac:dyDescent="0.25">
      <c r="K2921" s="8" t="e">
        <f t="shared" si="19"/>
        <v>#VALUE!</v>
      </c>
    </row>
    <row r="2922" spans="11:11" x14ac:dyDescent="0.25">
      <c r="K2922" s="8" t="e">
        <f t="shared" si="19"/>
        <v>#VALUE!</v>
      </c>
    </row>
    <row r="2923" spans="11:11" x14ac:dyDescent="0.25">
      <c r="K2923" s="8" t="e">
        <f t="shared" si="19"/>
        <v>#VALUE!</v>
      </c>
    </row>
    <row r="2924" spans="11:11" x14ac:dyDescent="0.25">
      <c r="K2924" s="8" t="e">
        <f t="shared" si="19"/>
        <v>#VALUE!</v>
      </c>
    </row>
    <row r="2925" spans="11:11" x14ac:dyDescent="0.25">
      <c r="K2925" s="8" t="e">
        <f t="shared" si="19"/>
        <v>#VALUE!</v>
      </c>
    </row>
    <row r="2926" spans="11:11" x14ac:dyDescent="0.25">
      <c r="K2926" s="8" t="e">
        <f t="shared" si="19"/>
        <v>#VALUE!</v>
      </c>
    </row>
    <row r="2927" spans="11:11" x14ac:dyDescent="0.25">
      <c r="K2927" s="8" t="e">
        <f t="shared" si="19"/>
        <v>#VALUE!</v>
      </c>
    </row>
    <row r="2928" spans="11:11" x14ac:dyDescent="0.25">
      <c r="K2928" s="8" t="e">
        <f t="shared" si="19"/>
        <v>#VALUE!</v>
      </c>
    </row>
    <row r="2929" spans="11:11" x14ac:dyDescent="0.25">
      <c r="K2929" s="8" t="e">
        <f t="shared" si="19"/>
        <v>#VALUE!</v>
      </c>
    </row>
    <row r="2930" spans="11:11" x14ac:dyDescent="0.25">
      <c r="K2930" s="8" t="e">
        <f t="shared" si="19"/>
        <v>#VALUE!</v>
      </c>
    </row>
    <row r="2931" spans="11:11" x14ac:dyDescent="0.25">
      <c r="K2931" s="8" t="e">
        <f t="shared" si="19"/>
        <v>#VALUE!</v>
      </c>
    </row>
    <row r="2932" spans="11:11" x14ac:dyDescent="0.25">
      <c r="K2932" s="8" t="e">
        <f t="shared" si="19"/>
        <v>#VALUE!</v>
      </c>
    </row>
    <row r="2933" spans="11:11" x14ac:dyDescent="0.25">
      <c r="K2933" s="8" t="e">
        <f t="shared" si="19"/>
        <v>#VALUE!</v>
      </c>
    </row>
    <row r="2934" spans="11:11" x14ac:dyDescent="0.25">
      <c r="K2934" s="8" t="e">
        <f t="shared" si="19"/>
        <v>#VALUE!</v>
      </c>
    </row>
    <row r="2935" spans="11:11" x14ac:dyDescent="0.25">
      <c r="K2935" s="8" t="e">
        <f t="shared" si="19"/>
        <v>#VALUE!</v>
      </c>
    </row>
    <row r="2936" spans="11:11" x14ac:dyDescent="0.25">
      <c r="K2936" s="8" t="e">
        <f t="shared" si="19"/>
        <v>#VALUE!</v>
      </c>
    </row>
    <row r="2937" spans="11:11" x14ac:dyDescent="0.25">
      <c r="K2937" s="8" t="e">
        <f t="shared" si="19"/>
        <v>#VALUE!</v>
      </c>
    </row>
    <row r="2938" spans="11:11" x14ac:dyDescent="0.25">
      <c r="K2938" s="8" t="e">
        <f t="shared" si="19"/>
        <v>#VALUE!</v>
      </c>
    </row>
    <row r="2939" spans="11:11" x14ac:dyDescent="0.25">
      <c r="K2939" s="8" t="e">
        <f t="shared" si="19"/>
        <v>#VALUE!</v>
      </c>
    </row>
    <row r="2940" spans="11:11" x14ac:dyDescent="0.25">
      <c r="K2940" s="8" t="e">
        <f t="shared" si="19"/>
        <v>#VALUE!</v>
      </c>
    </row>
    <row r="2941" spans="11:11" x14ac:dyDescent="0.25">
      <c r="K2941" s="8" t="e">
        <f t="shared" si="19"/>
        <v>#VALUE!</v>
      </c>
    </row>
    <row r="2942" spans="11:11" x14ac:dyDescent="0.25">
      <c r="K2942" s="8" t="e">
        <f t="shared" si="19"/>
        <v>#VALUE!</v>
      </c>
    </row>
    <row r="2943" spans="11:11" x14ac:dyDescent="0.25">
      <c r="K2943" s="8" t="e">
        <f t="shared" si="19"/>
        <v>#VALUE!</v>
      </c>
    </row>
    <row r="2944" spans="11:11" x14ac:dyDescent="0.25">
      <c r="K2944" s="8" t="e">
        <f t="shared" si="19"/>
        <v>#VALUE!</v>
      </c>
    </row>
    <row r="2945" spans="11:11" x14ac:dyDescent="0.25">
      <c r="K2945" s="8" t="e">
        <f t="shared" si="19"/>
        <v>#VALUE!</v>
      </c>
    </row>
    <row r="2946" spans="11:11" x14ac:dyDescent="0.25">
      <c r="K2946" s="8" t="e">
        <f t="shared" si="19"/>
        <v>#VALUE!</v>
      </c>
    </row>
    <row r="2947" spans="11:11" x14ac:dyDescent="0.25">
      <c r="K2947" s="8" t="e">
        <f t="shared" ref="K2947:K3010" si="20">LEFT(A2947,FIND("/",A2947)-1)</f>
        <v>#VALUE!</v>
      </c>
    </row>
    <row r="2948" spans="11:11" x14ac:dyDescent="0.25">
      <c r="K2948" s="8" t="e">
        <f t="shared" si="20"/>
        <v>#VALUE!</v>
      </c>
    </row>
    <row r="2949" spans="11:11" x14ac:dyDescent="0.25">
      <c r="K2949" s="8" t="e">
        <f t="shared" si="20"/>
        <v>#VALUE!</v>
      </c>
    </row>
    <row r="2950" spans="11:11" x14ac:dyDescent="0.25">
      <c r="K2950" s="8" t="e">
        <f t="shared" si="20"/>
        <v>#VALUE!</v>
      </c>
    </row>
    <row r="2951" spans="11:11" x14ac:dyDescent="0.25">
      <c r="K2951" s="8" t="e">
        <f t="shared" si="20"/>
        <v>#VALUE!</v>
      </c>
    </row>
    <row r="2952" spans="11:11" x14ac:dyDescent="0.25">
      <c r="K2952" s="8" t="e">
        <f t="shared" si="20"/>
        <v>#VALUE!</v>
      </c>
    </row>
    <row r="2953" spans="11:11" x14ac:dyDescent="0.25">
      <c r="K2953" s="8" t="e">
        <f t="shared" si="20"/>
        <v>#VALUE!</v>
      </c>
    </row>
    <row r="2954" spans="11:11" x14ac:dyDescent="0.25">
      <c r="K2954" s="8" t="e">
        <f t="shared" si="20"/>
        <v>#VALUE!</v>
      </c>
    </row>
    <row r="2955" spans="11:11" x14ac:dyDescent="0.25">
      <c r="K2955" s="8" t="e">
        <f t="shared" si="20"/>
        <v>#VALUE!</v>
      </c>
    </row>
    <row r="2956" spans="11:11" x14ac:dyDescent="0.25">
      <c r="K2956" s="8" t="e">
        <f t="shared" si="20"/>
        <v>#VALUE!</v>
      </c>
    </row>
    <row r="2957" spans="11:11" x14ac:dyDescent="0.25">
      <c r="K2957" s="8" t="e">
        <f t="shared" si="20"/>
        <v>#VALUE!</v>
      </c>
    </row>
    <row r="2958" spans="11:11" x14ac:dyDescent="0.25">
      <c r="K2958" s="8" t="e">
        <f t="shared" si="20"/>
        <v>#VALUE!</v>
      </c>
    </row>
    <row r="2959" spans="11:11" x14ac:dyDescent="0.25">
      <c r="K2959" s="8" t="e">
        <f t="shared" si="20"/>
        <v>#VALUE!</v>
      </c>
    </row>
    <row r="2960" spans="11:11" x14ac:dyDescent="0.25">
      <c r="K2960" s="8" t="e">
        <f t="shared" si="20"/>
        <v>#VALUE!</v>
      </c>
    </row>
    <row r="2961" spans="11:11" x14ac:dyDescent="0.25">
      <c r="K2961" s="8" t="e">
        <f t="shared" si="20"/>
        <v>#VALUE!</v>
      </c>
    </row>
    <row r="2962" spans="11:11" x14ac:dyDescent="0.25">
      <c r="K2962" s="8" t="e">
        <f t="shared" si="20"/>
        <v>#VALUE!</v>
      </c>
    </row>
    <row r="2963" spans="11:11" x14ac:dyDescent="0.25">
      <c r="K2963" s="8" t="e">
        <f t="shared" si="20"/>
        <v>#VALUE!</v>
      </c>
    </row>
    <row r="2964" spans="11:11" x14ac:dyDescent="0.25">
      <c r="K2964" s="8" t="e">
        <f t="shared" si="20"/>
        <v>#VALUE!</v>
      </c>
    </row>
    <row r="2965" spans="11:11" x14ac:dyDescent="0.25">
      <c r="K2965" s="8" t="e">
        <f t="shared" si="20"/>
        <v>#VALUE!</v>
      </c>
    </row>
    <row r="2966" spans="11:11" x14ac:dyDescent="0.25">
      <c r="K2966" s="8" t="e">
        <f t="shared" si="20"/>
        <v>#VALUE!</v>
      </c>
    </row>
    <row r="2967" spans="11:11" x14ac:dyDescent="0.25">
      <c r="K2967" s="8" t="e">
        <f t="shared" si="20"/>
        <v>#VALUE!</v>
      </c>
    </row>
    <row r="2968" spans="11:11" x14ac:dyDescent="0.25">
      <c r="K2968" s="8" t="e">
        <f t="shared" si="20"/>
        <v>#VALUE!</v>
      </c>
    </row>
    <row r="2969" spans="11:11" x14ac:dyDescent="0.25">
      <c r="K2969" s="8" t="e">
        <f t="shared" si="20"/>
        <v>#VALUE!</v>
      </c>
    </row>
    <row r="2970" spans="11:11" x14ac:dyDescent="0.25">
      <c r="K2970" s="8" t="e">
        <f t="shared" si="20"/>
        <v>#VALUE!</v>
      </c>
    </row>
    <row r="2971" spans="11:11" x14ac:dyDescent="0.25">
      <c r="K2971" s="8" t="e">
        <f t="shared" si="20"/>
        <v>#VALUE!</v>
      </c>
    </row>
    <row r="2972" spans="11:11" x14ac:dyDescent="0.25">
      <c r="K2972" s="8" t="e">
        <f t="shared" si="20"/>
        <v>#VALUE!</v>
      </c>
    </row>
    <row r="2973" spans="11:11" x14ac:dyDescent="0.25">
      <c r="K2973" s="8" t="e">
        <f t="shared" si="20"/>
        <v>#VALUE!</v>
      </c>
    </row>
    <row r="2974" spans="11:11" x14ac:dyDescent="0.25">
      <c r="K2974" s="8" t="e">
        <f t="shared" si="20"/>
        <v>#VALUE!</v>
      </c>
    </row>
    <row r="2975" spans="11:11" x14ac:dyDescent="0.25">
      <c r="K2975" s="8" t="e">
        <f t="shared" si="20"/>
        <v>#VALUE!</v>
      </c>
    </row>
    <row r="2976" spans="11:11" x14ac:dyDescent="0.25">
      <c r="K2976" s="8" t="e">
        <f t="shared" si="20"/>
        <v>#VALUE!</v>
      </c>
    </row>
    <row r="2977" spans="11:11" x14ac:dyDescent="0.25">
      <c r="K2977" s="8" t="e">
        <f t="shared" si="20"/>
        <v>#VALUE!</v>
      </c>
    </row>
    <row r="2978" spans="11:11" x14ac:dyDescent="0.25">
      <c r="K2978" s="8" t="e">
        <f t="shared" si="20"/>
        <v>#VALUE!</v>
      </c>
    </row>
    <row r="2979" spans="11:11" x14ac:dyDescent="0.25">
      <c r="K2979" s="8" t="e">
        <f t="shared" si="20"/>
        <v>#VALUE!</v>
      </c>
    </row>
    <row r="2980" spans="11:11" x14ac:dyDescent="0.25">
      <c r="K2980" s="8" t="e">
        <f t="shared" si="20"/>
        <v>#VALUE!</v>
      </c>
    </row>
    <row r="2981" spans="11:11" x14ac:dyDescent="0.25">
      <c r="K2981" s="8" t="e">
        <f t="shared" si="20"/>
        <v>#VALUE!</v>
      </c>
    </row>
    <row r="2982" spans="11:11" x14ac:dyDescent="0.25">
      <c r="K2982" s="8" t="e">
        <f t="shared" si="20"/>
        <v>#VALUE!</v>
      </c>
    </row>
    <row r="2983" spans="11:11" x14ac:dyDescent="0.25">
      <c r="K2983" s="8" t="e">
        <f t="shared" si="20"/>
        <v>#VALUE!</v>
      </c>
    </row>
    <row r="2984" spans="11:11" x14ac:dyDescent="0.25">
      <c r="K2984" s="8" t="e">
        <f t="shared" si="20"/>
        <v>#VALUE!</v>
      </c>
    </row>
    <row r="2985" spans="11:11" x14ac:dyDescent="0.25">
      <c r="K2985" s="8" t="e">
        <f t="shared" si="20"/>
        <v>#VALUE!</v>
      </c>
    </row>
    <row r="2986" spans="11:11" x14ac:dyDescent="0.25">
      <c r="K2986" s="8" t="e">
        <f t="shared" si="20"/>
        <v>#VALUE!</v>
      </c>
    </row>
    <row r="2987" spans="11:11" x14ac:dyDescent="0.25">
      <c r="K2987" s="8" t="e">
        <f t="shared" si="20"/>
        <v>#VALUE!</v>
      </c>
    </row>
    <row r="2988" spans="11:11" x14ac:dyDescent="0.25">
      <c r="K2988" s="8" t="e">
        <f t="shared" si="20"/>
        <v>#VALUE!</v>
      </c>
    </row>
    <row r="2989" spans="11:11" x14ac:dyDescent="0.25">
      <c r="K2989" s="8" t="e">
        <f t="shared" si="20"/>
        <v>#VALUE!</v>
      </c>
    </row>
    <row r="2990" spans="11:11" x14ac:dyDescent="0.25">
      <c r="K2990" s="8" t="e">
        <f t="shared" si="20"/>
        <v>#VALUE!</v>
      </c>
    </row>
    <row r="2991" spans="11:11" x14ac:dyDescent="0.25">
      <c r="K2991" s="8" t="e">
        <f t="shared" si="20"/>
        <v>#VALUE!</v>
      </c>
    </row>
    <row r="2992" spans="11:11" x14ac:dyDescent="0.25">
      <c r="K2992" s="8" t="e">
        <f t="shared" si="20"/>
        <v>#VALUE!</v>
      </c>
    </row>
    <row r="2993" spans="11:11" x14ac:dyDescent="0.25">
      <c r="K2993" s="8" t="e">
        <f t="shared" si="20"/>
        <v>#VALUE!</v>
      </c>
    </row>
    <row r="2994" spans="11:11" x14ac:dyDescent="0.25">
      <c r="K2994" s="8" t="e">
        <f t="shared" si="20"/>
        <v>#VALUE!</v>
      </c>
    </row>
    <row r="2995" spans="11:11" x14ac:dyDescent="0.25">
      <c r="K2995" s="8" t="e">
        <f t="shared" si="20"/>
        <v>#VALUE!</v>
      </c>
    </row>
    <row r="2996" spans="11:11" x14ac:dyDescent="0.25">
      <c r="K2996" s="8" t="e">
        <f t="shared" si="20"/>
        <v>#VALUE!</v>
      </c>
    </row>
    <row r="2997" spans="11:11" x14ac:dyDescent="0.25">
      <c r="K2997" s="8" t="e">
        <f t="shared" si="20"/>
        <v>#VALUE!</v>
      </c>
    </row>
    <row r="2998" spans="11:11" x14ac:dyDescent="0.25">
      <c r="K2998" s="8" t="e">
        <f t="shared" si="20"/>
        <v>#VALUE!</v>
      </c>
    </row>
    <row r="2999" spans="11:11" x14ac:dyDescent="0.25">
      <c r="K2999" s="8" t="e">
        <f t="shared" si="20"/>
        <v>#VALUE!</v>
      </c>
    </row>
    <row r="3000" spans="11:11" x14ac:dyDescent="0.25">
      <c r="K3000" s="8" t="e">
        <f t="shared" si="20"/>
        <v>#VALUE!</v>
      </c>
    </row>
    <row r="3001" spans="11:11" x14ac:dyDescent="0.25">
      <c r="K3001" s="8" t="e">
        <f t="shared" si="20"/>
        <v>#VALUE!</v>
      </c>
    </row>
    <row r="3002" spans="11:11" x14ac:dyDescent="0.25">
      <c r="K3002" s="8" t="e">
        <f t="shared" si="20"/>
        <v>#VALUE!</v>
      </c>
    </row>
    <row r="3003" spans="11:11" x14ac:dyDescent="0.25">
      <c r="K3003" s="8" t="e">
        <f t="shared" si="20"/>
        <v>#VALUE!</v>
      </c>
    </row>
    <row r="3004" spans="11:11" x14ac:dyDescent="0.25">
      <c r="K3004" s="8" t="e">
        <f t="shared" si="20"/>
        <v>#VALUE!</v>
      </c>
    </row>
    <row r="3005" spans="11:11" x14ac:dyDescent="0.25">
      <c r="K3005" s="8" t="e">
        <f t="shared" si="20"/>
        <v>#VALUE!</v>
      </c>
    </row>
    <row r="3006" spans="11:11" x14ac:dyDescent="0.25">
      <c r="K3006" s="8" t="e">
        <f t="shared" si="20"/>
        <v>#VALUE!</v>
      </c>
    </row>
    <row r="3007" spans="11:11" x14ac:dyDescent="0.25">
      <c r="K3007" s="8" t="e">
        <f t="shared" si="20"/>
        <v>#VALUE!</v>
      </c>
    </row>
    <row r="3008" spans="11:11" x14ac:dyDescent="0.25">
      <c r="K3008" s="8" t="e">
        <f t="shared" si="20"/>
        <v>#VALUE!</v>
      </c>
    </row>
    <row r="3009" spans="11:11" x14ac:dyDescent="0.25">
      <c r="K3009" s="8" t="e">
        <f t="shared" si="20"/>
        <v>#VALUE!</v>
      </c>
    </row>
    <row r="3010" spans="11:11" x14ac:dyDescent="0.25">
      <c r="K3010" s="8" t="e">
        <f t="shared" si="20"/>
        <v>#VALUE!</v>
      </c>
    </row>
    <row r="3011" spans="11:11" x14ac:dyDescent="0.25">
      <c r="K3011" s="8" t="e">
        <f t="shared" ref="K3011:K3074" si="21">LEFT(A3011,FIND("/",A3011)-1)</f>
        <v>#VALUE!</v>
      </c>
    </row>
    <row r="3012" spans="11:11" x14ac:dyDescent="0.25">
      <c r="K3012" s="8" t="e">
        <f t="shared" si="21"/>
        <v>#VALUE!</v>
      </c>
    </row>
    <row r="3013" spans="11:11" x14ac:dyDescent="0.25">
      <c r="K3013" s="8" t="e">
        <f t="shared" si="21"/>
        <v>#VALUE!</v>
      </c>
    </row>
    <row r="3014" spans="11:11" x14ac:dyDescent="0.25">
      <c r="K3014" s="8" t="e">
        <f t="shared" si="21"/>
        <v>#VALUE!</v>
      </c>
    </row>
    <row r="3015" spans="11:11" x14ac:dyDescent="0.25">
      <c r="K3015" s="8" t="e">
        <f t="shared" si="21"/>
        <v>#VALUE!</v>
      </c>
    </row>
    <row r="3016" spans="11:11" x14ac:dyDescent="0.25">
      <c r="K3016" s="8" t="e">
        <f t="shared" si="21"/>
        <v>#VALUE!</v>
      </c>
    </row>
    <row r="3017" spans="11:11" x14ac:dyDescent="0.25">
      <c r="K3017" s="8" t="e">
        <f t="shared" si="21"/>
        <v>#VALUE!</v>
      </c>
    </row>
    <row r="3018" spans="11:11" x14ac:dyDescent="0.25">
      <c r="K3018" s="8" t="e">
        <f t="shared" si="21"/>
        <v>#VALUE!</v>
      </c>
    </row>
    <row r="3019" spans="11:11" x14ac:dyDescent="0.25">
      <c r="K3019" s="8" t="e">
        <f t="shared" si="21"/>
        <v>#VALUE!</v>
      </c>
    </row>
    <row r="3020" spans="11:11" x14ac:dyDescent="0.25">
      <c r="K3020" s="8" t="e">
        <f t="shared" si="21"/>
        <v>#VALUE!</v>
      </c>
    </row>
    <row r="3021" spans="11:11" x14ac:dyDescent="0.25">
      <c r="K3021" s="8" t="e">
        <f t="shared" si="21"/>
        <v>#VALUE!</v>
      </c>
    </row>
    <row r="3022" spans="11:11" x14ac:dyDescent="0.25">
      <c r="K3022" s="8" t="e">
        <f t="shared" si="21"/>
        <v>#VALUE!</v>
      </c>
    </row>
    <row r="3023" spans="11:11" x14ac:dyDescent="0.25">
      <c r="K3023" s="8" t="e">
        <f t="shared" si="21"/>
        <v>#VALUE!</v>
      </c>
    </row>
    <row r="3024" spans="11:11" x14ac:dyDescent="0.25">
      <c r="K3024" s="8" t="e">
        <f t="shared" si="21"/>
        <v>#VALUE!</v>
      </c>
    </row>
    <row r="3025" spans="11:11" x14ac:dyDescent="0.25">
      <c r="K3025" s="8" t="e">
        <f t="shared" si="21"/>
        <v>#VALUE!</v>
      </c>
    </row>
    <row r="3026" spans="11:11" x14ac:dyDescent="0.25">
      <c r="K3026" s="8" t="e">
        <f t="shared" si="21"/>
        <v>#VALUE!</v>
      </c>
    </row>
    <row r="3027" spans="11:11" x14ac:dyDescent="0.25">
      <c r="K3027" s="8" t="e">
        <f t="shared" si="21"/>
        <v>#VALUE!</v>
      </c>
    </row>
    <row r="3028" spans="11:11" x14ac:dyDescent="0.25">
      <c r="K3028" s="8" t="e">
        <f t="shared" si="21"/>
        <v>#VALUE!</v>
      </c>
    </row>
    <row r="3029" spans="11:11" x14ac:dyDescent="0.25">
      <c r="K3029" s="8" t="e">
        <f t="shared" si="21"/>
        <v>#VALUE!</v>
      </c>
    </row>
    <row r="3030" spans="11:11" x14ac:dyDescent="0.25">
      <c r="K3030" s="8" t="e">
        <f t="shared" si="21"/>
        <v>#VALUE!</v>
      </c>
    </row>
    <row r="3031" spans="11:11" x14ac:dyDescent="0.25">
      <c r="K3031" s="8" t="e">
        <f t="shared" si="21"/>
        <v>#VALUE!</v>
      </c>
    </row>
    <row r="3032" spans="11:11" x14ac:dyDescent="0.25">
      <c r="K3032" s="8" t="e">
        <f t="shared" si="21"/>
        <v>#VALUE!</v>
      </c>
    </row>
    <row r="3033" spans="11:11" x14ac:dyDescent="0.25">
      <c r="K3033" s="8" t="e">
        <f t="shared" si="21"/>
        <v>#VALUE!</v>
      </c>
    </row>
    <row r="3034" spans="11:11" x14ac:dyDescent="0.25">
      <c r="K3034" s="8" t="e">
        <f t="shared" si="21"/>
        <v>#VALUE!</v>
      </c>
    </row>
    <row r="3035" spans="11:11" x14ac:dyDescent="0.25">
      <c r="K3035" s="8" t="e">
        <f t="shared" si="21"/>
        <v>#VALUE!</v>
      </c>
    </row>
    <row r="3036" spans="11:11" x14ac:dyDescent="0.25">
      <c r="K3036" s="8" t="e">
        <f t="shared" si="21"/>
        <v>#VALUE!</v>
      </c>
    </row>
    <row r="3037" spans="11:11" x14ac:dyDescent="0.25">
      <c r="K3037" s="8" t="e">
        <f t="shared" si="21"/>
        <v>#VALUE!</v>
      </c>
    </row>
    <row r="3038" spans="11:11" x14ac:dyDescent="0.25">
      <c r="K3038" s="8" t="e">
        <f t="shared" si="21"/>
        <v>#VALUE!</v>
      </c>
    </row>
    <row r="3039" spans="11:11" x14ac:dyDescent="0.25">
      <c r="K3039" s="8" t="e">
        <f t="shared" si="21"/>
        <v>#VALUE!</v>
      </c>
    </row>
    <row r="3040" spans="11:11" x14ac:dyDescent="0.25">
      <c r="K3040" s="8" t="e">
        <f t="shared" si="21"/>
        <v>#VALUE!</v>
      </c>
    </row>
    <row r="3041" spans="11:11" x14ac:dyDescent="0.25">
      <c r="K3041" s="8" t="e">
        <f t="shared" si="21"/>
        <v>#VALUE!</v>
      </c>
    </row>
    <row r="3042" spans="11:11" x14ac:dyDescent="0.25">
      <c r="K3042" s="8" t="e">
        <f t="shared" si="21"/>
        <v>#VALUE!</v>
      </c>
    </row>
    <row r="3043" spans="11:11" x14ac:dyDescent="0.25">
      <c r="K3043" s="8" t="e">
        <f t="shared" si="21"/>
        <v>#VALUE!</v>
      </c>
    </row>
    <row r="3044" spans="11:11" x14ac:dyDescent="0.25">
      <c r="K3044" s="8" t="e">
        <f t="shared" si="21"/>
        <v>#VALUE!</v>
      </c>
    </row>
    <row r="3045" spans="11:11" x14ac:dyDescent="0.25">
      <c r="K3045" s="8" t="e">
        <f t="shared" si="21"/>
        <v>#VALUE!</v>
      </c>
    </row>
    <row r="3046" spans="11:11" x14ac:dyDescent="0.25">
      <c r="K3046" s="8" t="e">
        <f t="shared" si="21"/>
        <v>#VALUE!</v>
      </c>
    </row>
    <row r="3047" spans="11:11" x14ac:dyDescent="0.25">
      <c r="K3047" s="8" t="e">
        <f t="shared" si="21"/>
        <v>#VALUE!</v>
      </c>
    </row>
    <row r="3048" spans="11:11" x14ac:dyDescent="0.25">
      <c r="K3048" s="8" t="e">
        <f t="shared" si="21"/>
        <v>#VALUE!</v>
      </c>
    </row>
    <row r="3049" spans="11:11" x14ac:dyDescent="0.25">
      <c r="K3049" s="8" t="e">
        <f t="shared" si="21"/>
        <v>#VALUE!</v>
      </c>
    </row>
    <row r="3050" spans="11:11" x14ac:dyDescent="0.25">
      <c r="K3050" s="8" t="e">
        <f t="shared" si="21"/>
        <v>#VALUE!</v>
      </c>
    </row>
    <row r="3051" spans="11:11" x14ac:dyDescent="0.25">
      <c r="K3051" s="8" t="e">
        <f t="shared" si="21"/>
        <v>#VALUE!</v>
      </c>
    </row>
    <row r="3052" spans="11:11" x14ac:dyDescent="0.25">
      <c r="K3052" s="8" t="e">
        <f t="shared" si="21"/>
        <v>#VALUE!</v>
      </c>
    </row>
    <row r="3053" spans="11:11" x14ac:dyDescent="0.25">
      <c r="K3053" s="8" t="e">
        <f t="shared" si="21"/>
        <v>#VALUE!</v>
      </c>
    </row>
    <row r="3054" spans="11:11" x14ac:dyDescent="0.25">
      <c r="K3054" s="8" t="e">
        <f t="shared" si="21"/>
        <v>#VALUE!</v>
      </c>
    </row>
    <row r="3055" spans="11:11" x14ac:dyDescent="0.25">
      <c r="K3055" s="8" t="e">
        <f t="shared" si="21"/>
        <v>#VALUE!</v>
      </c>
    </row>
    <row r="3056" spans="11:11" x14ac:dyDescent="0.25">
      <c r="K3056" s="8" t="e">
        <f t="shared" si="21"/>
        <v>#VALUE!</v>
      </c>
    </row>
    <row r="3057" spans="11:11" x14ac:dyDescent="0.25">
      <c r="K3057" s="8" t="e">
        <f t="shared" si="21"/>
        <v>#VALUE!</v>
      </c>
    </row>
    <row r="3058" spans="11:11" x14ac:dyDescent="0.25">
      <c r="K3058" s="8" t="e">
        <f t="shared" si="21"/>
        <v>#VALUE!</v>
      </c>
    </row>
    <row r="3059" spans="11:11" x14ac:dyDescent="0.25">
      <c r="K3059" s="8" t="e">
        <f t="shared" si="21"/>
        <v>#VALUE!</v>
      </c>
    </row>
    <row r="3060" spans="11:11" x14ac:dyDescent="0.25">
      <c r="K3060" s="8" t="e">
        <f t="shared" si="21"/>
        <v>#VALUE!</v>
      </c>
    </row>
    <row r="3061" spans="11:11" x14ac:dyDescent="0.25">
      <c r="K3061" s="8" t="e">
        <f t="shared" si="21"/>
        <v>#VALUE!</v>
      </c>
    </row>
    <row r="3062" spans="11:11" x14ac:dyDescent="0.25">
      <c r="K3062" s="8" t="e">
        <f t="shared" si="21"/>
        <v>#VALUE!</v>
      </c>
    </row>
    <row r="3063" spans="11:11" x14ac:dyDescent="0.25">
      <c r="K3063" s="8" t="e">
        <f t="shared" si="21"/>
        <v>#VALUE!</v>
      </c>
    </row>
    <row r="3064" spans="11:11" x14ac:dyDescent="0.25">
      <c r="K3064" s="8" t="e">
        <f t="shared" si="21"/>
        <v>#VALUE!</v>
      </c>
    </row>
    <row r="3065" spans="11:11" x14ac:dyDescent="0.25">
      <c r="K3065" s="8" t="e">
        <f t="shared" si="21"/>
        <v>#VALUE!</v>
      </c>
    </row>
    <row r="3066" spans="11:11" x14ac:dyDescent="0.25">
      <c r="K3066" s="8" t="e">
        <f t="shared" si="21"/>
        <v>#VALUE!</v>
      </c>
    </row>
    <row r="3067" spans="11:11" x14ac:dyDescent="0.25">
      <c r="K3067" s="8" t="e">
        <f t="shared" si="21"/>
        <v>#VALUE!</v>
      </c>
    </row>
    <row r="3068" spans="11:11" x14ac:dyDescent="0.25">
      <c r="K3068" s="8" t="e">
        <f t="shared" si="21"/>
        <v>#VALUE!</v>
      </c>
    </row>
    <row r="3069" spans="11:11" x14ac:dyDescent="0.25">
      <c r="K3069" s="8" t="e">
        <f t="shared" si="21"/>
        <v>#VALUE!</v>
      </c>
    </row>
    <row r="3070" spans="11:11" x14ac:dyDescent="0.25">
      <c r="K3070" s="8" t="e">
        <f t="shared" si="21"/>
        <v>#VALUE!</v>
      </c>
    </row>
    <row r="3071" spans="11:11" x14ac:dyDescent="0.25">
      <c r="K3071" s="8" t="e">
        <f t="shared" si="21"/>
        <v>#VALUE!</v>
      </c>
    </row>
    <row r="3072" spans="11:11" x14ac:dyDescent="0.25">
      <c r="K3072" s="8" t="e">
        <f t="shared" si="21"/>
        <v>#VALUE!</v>
      </c>
    </row>
    <row r="3073" spans="11:11" x14ac:dyDescent="0.25">
      <c r="K3073" s="8" t="e">
        <f t="shared" si="21"/>
        <v>#VALUE!</v>
      </c>
    </row>
    <row r="3074" spans="11:11" x14ac:dyDescent="0.25">
      <c r="K3074" s="8" t="e">
        <f t="shared" si="21"/>
        <v>#VALUE!</v>
      </c>
    </row>
    <row r="3075" spans="11:11" x14ac:dyDescent="0.25">
      <c r="K3075" s="8" t="e">
        <f t="shared" ref="K3075:K3138" si="22">LEFT(A3075,FIND("/",A3075)-1)</f>
        <v>#VALUE!</v>
      </c>
    </row>
    <row r="3076" spans="11:11" x14ac:dyDescent="0.25">
      <c r="K3076" s="8" t="e">
        <f t="shared" si="22"/>
        <v>#VALUE!</v>
      </c>
    </row>
    <row r="3077" spans="11:11" x14ac:dyDescent="0.25">
      <c r="K3077" s="8" t="e">
        <f t="shared" si="22"/>
        <v>#VALUE!</v>
      </c>
    </row>
    <row r="3078" spans="11:11" x14ac:dyDescent="0.25">
      <c r="K3078" s="8" t="e">
        <f t="shared" si="22"/>
        <v>#VALUE!</v>
      </c>
    </row>
    <row r="3079" spans="11:11" x14ac:dyDescent="0.25">
      <c r="K3079" s="8" t="e">
        <f t="shared" si="22"/>
        <v>#VALUE!</v>
      </c>
    </row>
    <row r="3080" spans="11:11" x14ac:dyDescent="0.25">
      <c r="K3080" s="8" t="e">
        <f t="shared" si="22"/>
        <v>#VALUE!</v>
      </c>
    </row>
    <row r="3081" spans="11:11" x14ac:dyDescent="0.25">
      <c r="K3081" s="8" t="e">
        <f t="shared" si="22"/>
        <v>#VALUE!</v>
      </c>
    </row>
    <row r="3082" spans="11:11" x14ac:dyDescent="0.25">
      <c r="K3082" s="8" t="e">
        <f t="shared" si="22"/>
        <v>#VALUE!</v>
      </c>
    </row>
    <row r="3083" spans="11:11" x14ac:dyDescent="0.25">
      <c r="K3083" s="8" t="e">
        <f t="shared" si="22"/>
        <v>#VALUE!</v>
      </c>
    </row>
    <row r="3084" spans="11:11" x14ac:dyDescent="0.25">
      <c r="K3084" s="8" t="e">
        <f t="shared" si="22"/>
        <v>#VALUE!</v>
      </c>
    </row>
    <row r="3085" spans="11:11" x14ac:dyDescent="0.25">
      <c r="K3085" s="8" t="e">
        <f t="shared" si="22"/>
        <v>#VALUE!</v>
      </c>
    </row>
    <row r="3086" spans="11:11" x14ac:dyDescent="0.25">
      <c r="K3086" s="8" t="e">
        <f t="shared" si="22"/>
        <v>#VALUE!</v>
      </c>
    </row>
    <row r="3087" spans="11:11" x14ac:dyDescent="0.25">
      <c r="K3087" s="8" t="e">
        <f t="shared" si="22"/>
        <v>#VALUE!</v>
      </c>
    </row>
    <row r="3088" spans="11:11" x14ac:dyDescent="0.25">
      <c r="K3088" s="8" t="e">
        <f t="shared" si="22"/>
        <v>#VALUE!</v>
      </c>
    </row>
    <row r="3089" spans="11:11" x14ac:dyDescent="0.25">
      <c r="K3089" s="8" t="e">
        <f t="shared" si="22"/>
        <v>#VALUE!</v>
      </c>
    </row>
    <row r="3090" spans="11:11" x14ac:dyDescent="0.25">
      <c r="K3090" s="8" t="e">
        <f t="shared" si="22"/>
        <v>#VALUE!</v>
      </c>
    </row>
    <row r="3091" spans="11:11" x14ac:dyDescent="0.25">
      <c r="K3091" s="8" t="e">
        <f t="shared" si="22"/>
        <v>#VALUE!</v>
      </c>
    </row>
    <row r="3092" spans="11:11" x14ac:dyDescent="0.25">
      <c r="K3092" s="8" t="e">
        <f t="shared" si="22"/>
        <v>#VALUE!</v>
      </c>
    </row>
    <row r="3093" spans="11:11" x14ac:dyDescent="0.25">
      <c r="K3093" s="8" t="e">
        <f t="shared" si="22"/>
        <v>#VALUE!</v>
      </c>
    </row>
    <row r="3094" spans="11:11" x14ac:dyDescent="0.25">
      <c r="K3094" s="8" t="e">
        <f t="shared" si="22"/>
        <v>#VALUE!</v>
      </c>
    </row>
    <row r="3095" spans="11:11" x14ac:dyDescent="0.25">
      <c r="K3095" s="8" t="e">
        <f t="shared" si="22"/>
        <v>#VALUE!</v>
      </c>
    </row>
    <row r="3096" spans="11:11" x14ac:dyDescent="0.25">
      <c r="K3096" s="8" t="e">
        <f t="shared" si="22"/>
        <v>#VALUE!</v>
      </c>
    </row>
    <row r="3097" spans="11:11" x14ac:dyDescent="0.25">
      <c r="K3097" s="8" t="e">
        <f t="shared" si="22"/>
        <v>#VALUE!</v>
      </c>
    </row>
    <row r="3098" spans="11:11" x14ac:dyDescent="0.25">
      <c r="K3098" s="8" t="e">
        <f t="shared" si="22"/>
        <v>#VALUE!</v>
      </c>
    </row>
    <row r="3099" spans="11:11" x14ac:dyDescent="0.25">
      <c r="K3099" s="8" t="e">
        <f t="shared" si="22"/>
        <v>#VALUE!</v>
      </c>
    </row>
    <row r="3100" spans="11:11" x14ac:dyDescent="0.25">
      <c r="K3100" s="8" t="e">
        <f t="shared" si="22"/>
        <v>#VALUE!</v>
      </c>
    </row>
    <row r="3101" spans="11:11" x14ac:dyDescent="0.25">
      <c r="K3101" s="8" t="e">
        <f t="shared" si="22"/>
        <v>#VALUE!</v>
      </c>
    </row>
    <row r="3102" spans="11:11" x14ac:dyDescent="0.25">
      <c r="K3102" s="8" t="e">
        <f t="shared" si="22"/>
        <v>#VALUE!</v>
      </c>
    </row>
    <row r="3103" spans="11:11" x14ac:dyDescent="0.25">
      <c r="K3103" s="8" t="e">
        <f t="shared" si="22"/>
        <v>#VALUE!</v>
      </c>
    </row>
    <row r="3104" spans="11:11" x14ac:dyDescent="0.25">
      <c r="K3104" s="8" t="e">
        <f t="shared" si="22"/>
        <v>#VALUE!</v>
      </c>
    </row>
    <row r="3105" spans="11:11" x14ac:dyDescent="0.25">
      <c r="K3105" s="8" t="e">
        <f t="shared" si="22"/>
        <v>#VALUE!</v>
      </c>
    </row>
    <row r="3106" spans="11:11" x14ac:dyDescent="0.25">
      <c r="K3106" s="8" t="e">
        <f t="shared" si="22"/>
        <v>#VALUE!</v>
      </c>
    </row>
    <row r="3107" spans="11:11" x14ac:dyDescent="0.25">
      <c r="K3107" s="8" t="e">
        <f t="shared" si="22"/>
        <v>#VALUE!</v>
      </c>
    </row>
    <row r="3108" spans="11:11" x14ac:dyDescent="0.25">
      <c r="K3108" s="8" t="e">
        <f t="shared" si="22"/>
        <v>#VALUE!</v>
      </c>
    </row>
    <row r="3109" spans="11:11" x14ac:dyDescent="0.25">
      <c r="K3109" s="8" t="e">
        <f t="shared" si="22"/>
        <v>#VALUE!</v>
      </c>
    </row>
    <row r="3110" spans="11:11" x14ac:dyDescent="0.25">
      <c r="K3110" s="8" t="e">
        <f t="shared" si="22"/>
        <v>#VALUE!</v>
      </c>
    </row>
    <row r="3111" spans="11:11" x14ac:dyDescent="0.25">
      <c r="K3111" s="8" t="e">
        <f t="shared" si="22"/>
        <v>#VALUE!</v>
      </c>
    </row>
    <row r="3112" spans="11:11" x14ac:dyDescent="0.25">
      <c r="K3112" s="8" t="e">
        <f t="shared" si="22"/>
        <v>#VALUE!</v>
      </c>
    </row>
    <row r="3113" spans="11:11" x14ac:dyDescent="0.25">
      <c r="K3113" s="8" t="e">
        <f t="shared" si="22"/>
        <v>#VALUE!</v>
      </c>
    </row>
    <row r="3114" spans="11:11" x14ac:dyDescent="0.25">
      <c r="K3114" s="8" t="e">
        <f t="shared" si="22"/>
        <v>#VALUE!</v>
      </c>
    </row>
    <row r="3115" spans="11:11" x14ac:dyDescent="0.25">
      <c r="K3115" s="8" t="e">
        <f t="shared" si="22"/>
        <v>#VALUE!</v>
      </c>
    </row>
    <row r="3116" spans="11:11" x14ac:dyDescent="0.25">
      <c r="K3116" s="8" t="e">
        <f t="shared" si="22"/>
        <v>#VALUE!</v>
      </c>
    </row>
    <row r="3117" spans="11:11" x14ac:dyDescent="0.25">
      <c r="K3117" s="8" t="e">
        <f t="shared" si="22"/>
        <v>#VALUE!</v>
      </c>
    </row>
    <row r="3118" spans="11:11" x14ac:dyDescent="0.25">
      <c r="K3118" s="8" t="e">
        <f t="shared" si="22"/>
        <v>#VALUE!</v>
      </c>
    </row>
    <row r="3119" spans="11:11" x14ac:dyDescent="0.25">
      <c r="K3119" s="8" t="e">
        <f t="shared" si="22"/>
        <v>#VALUE!</v>
      </c>
    </row>
    <row r="3120" spans="11:11" x14ac:dyDescent="0.25">
      <c r="K3120" s="8" t="e">
        <f t="shared" si="22"/>
        <v>#VALUE!</v>
      </c>
    </row>
    <row r="3121" spans="11:11" x14ac:dyDescent="0.25">
      <c r="K3121" s="8" t="e">
        <f t="shared" si="22"/>
        <v>#VALUE!</v>
      </c>
    </row>
    <row r="3122" spans="11:11" x14ac:dyDescent="0.25">
      <c r="K3122" s="8" t="e">
        <f t="shared" si="22"/>
        <v>#VALUE!</v>
      </c>
    </row>
    <row r="3123" spans="11:11" x14ac:dyDescent="0.25">
      <c r="K3123" s="8" t="e">
        <f t="shared" si="22"/>
        <v>#VALUE!</v>
      </c>
    </row>
    <row r="3124" spans="11:11" x14ac:dyDescent="0.25">
      <c r="K3124" s="8" t="e">
        <f t="shared" si="22"/>
        <v>#VALUE!</v>
      </c>
    </row>
    <row r="3125" spans="11:11" x14ac:dyDescent="0.25">
      <c r="K3125" s="8" t="e">
        <f t="shared" si="22"/>
        <v>#VALUE!</v>
      </c>
    </row>
    <row r="3126" spans="11:11" x14ac:dyDescent="0.25">
      <c r="K3126" s="8" t="e">
        <f t="shared" si="22"/>
        <v>#VALUE!</v>
      </c>
    </row>
    <row r="3127" spans="11:11" x14ac:dyDescent="0.25">
      <c r="K3127" s="8" t="e">
        <f t="shared" si="22"/>
        <v>#VALUE!</v>
      </c>
    </row>
    <row r="3128" spans="11:11" x14ac:dyDescent="0.25">
      <c r="K3128" s="8" t="e">
        <f t="shared" si="22"/>
        <v>#VALUE!</v>
      </c>
    </row>
    <row r="3129" spans="11:11" x14ac:dyDescent="0.25">
      <c r="K3129" s="8" t="e">
        <f t="shared" si="22"/>
        <v>#VALUE!</v>
      </c>
    </row>
    <row r="3130" spans="11:11" x14ac:dyDescent="0.25">
      <c r="K3130" s="8" t="e">
        <f t="shared" si="22"/>
        <v>#VALUE!</v>
      </c>
    </row>
    <row r="3131" spans="11:11" x14ac:dyDescent="0.25">
      <c r="K3131" s="8" t="e">
        <f t="shared" si="22"/>
        <v>#VALUE!</v>
      </c>
    </row>
    <row r="3132" spans="11:11" x14ac:dyDescent="0.25">
      <c r="K3132" s="8" t="e">
        <f t="shared" si="22"/>
        <v>#VALUE!</v>
      </c>
    </row>
    <row r="3133" spans="11:11" x14ac:dyDescent="0.25">
      <c r="K3133" s="8" t="e">
        <f t="shared" si="22"/>
        <v>#VALUE!</v>
      </c>
    </row>
    <row r="3134" spans="11:11" x14ac:dyDescent="0.25">
      <c r="K3134" s="8" t="e">
        <f t="shared" si="22"/>
        <v>#VALUE!</v>
      </c>
    </row>
    <row r="3135" spans="11:11" x14ac:dyDescent="0.25">
      <c r="K3135" s="8" t="e">
        <f t="shared" si="22"/>
        <v>#VALUE!</v>
      </c>
    </row>
    <row r="3136" spans="11:11" x14ac:dyDescent="0.25">
      <c r="K3136" s="8" t="e">
        <f t="shared" si="22"/>
        <v>#VALUE!</v>
      </c>
    </row>
    <row r="3137" spans="11:11" x14ac:dyDescent="0.25">
      <c r="K3137" s="8" t="e">
        <f t="shared" si="22"/>
        <v>#VALUE!</v>
      </c>
    </row>
    <row r="3138" spans="11:11" x14ac:dyDescent="0.25">
      <c r="K3138" s="8" t="e">
        <f t="shared" si="22"/>
        <v>#VALUE!</v>
      </c>
    </row>
    <row r="3139" spans="11:11" x14ac:dyDescent="0.25">
      <c r="K3139" s="8" t="e">
        <f t="shared" ref="K3139:K3202" si="23">LEFT(A3139,FIND("/",A3139)-1)</f>
        <v>#VALUE!</v>
      </c>
    </row>
    <row r="3140" spans="11:11" x14ac:dyDescent="0.25">
      <c r="K3140" s="8" t="e">
        <f t="shared" si="23"/>
        <v>#VALUE!</v>
      </c>
    </row>
    <row r="3141" spans="11:11" x14ac:dyDescent="0.25">
      <c r="K3141" s="8" t="e">
        <f t="shared" si="23"/>
        <v>#VALUE!</v>
      </c>
    </row>
    <row r="3142" spans="11:11" x14ac:dyDescent="0.25">
      <c r="K3142" s="8" t="e">
        <f t="shared" si="23"/>
        <v>#VALUE!</v>
      </c>
    </row>
    <row r="3143" spans="11:11" x14ac:dyDescent="0.25">
      <c r="K3143" s="8" t="e">
        <f t="shared" si="23"/>
        <v>#VALUE!</v>
      </c>
    </row>
    <row r="3144" spans="11:11" x14ac:dyDescent="0.25">
      <c r="K3144" s="8" t="e">
        <f t="shared" si="23"/>
        <v>#VALUE!</v>
      </c>
    </row>
    <row r="3145" spans="11:11" x14ac:dyDescent="0.25">
      <c r="K3145" s="8" t="e">
        <f t="shared" si="23"/>
        <v>#VALUE!</v>
      </c>
    </row>
    <row r="3146" spans="11:11" x14ac:dyDescent="0.25">
      <c r="K3146" s="8" t="e">
        <f t="shared" si="23"/>
        <v>#VALUE!</v>
      </c>
    </row>
    <row r="3147" spans="11:11" x14ac:dyDescent="0.25">
      <c r="K3147" s="8" t="e">
        <f t="shared" si="23"/>
        <v>#VALUE!</v>
      </c>
    </row>
    <row r="3148" spans="11:11" x14ac:dyDescent="0.25">
      <c r="K3148" s="8" t="e">
        <f t="shared" si="23"/>
        <v>#VALUE!</v>
      </c>
    </row>
    <row r="3149" spans="11:11" x14ac:dyDescent="0.25">
      <c r="K3149" s="8" t="e">
        <f t="shared" si="23"/>
        <v>#VALUE!</v>
      </c>
    </row>
    <row r="3150" spans="11:11" x14ac:dyDescent="0.25">
      <c r="K3150" s="8" t="e">
        <f t="shared" si="23"/>
        <v>#VALUE!</v>
      </c>
    </row>
    <row r="3151" spans="11:11" x14ac:dyDescent="0.25">
      <c r="K3151" s="8" t="e">
        <f t="shared" si="23"/>
        <v>#VALUE!</v>
      </c>
    </row>
    <row r="3152" spans="11:11" x14ac:dyDescent="0.25">
      <c r="K3152" s="8" t="e">
        <f t="shared" si="23"/>
        <v>#VALUE!</v>
      </c>
    </row>
    <row r="3153" spans="11:11" x14ac:dyDescent="0.25">
      <c r="K3153" s="8" t="e">
        <f t="shared" si="23"/>
        <v>#VALUE!</v>
      </c>
    </row>
    <row r="3154" spans="11:11" x14ac:dyDescent="0.25">
      <c r="K3154" s="8" t="e">
        <f t="shared" si="23"/>
        <v>#VALUE!</v>
      </c>
    </row>
    <row r="3155" spans="11:11" x14ac:dyDescent="0.25">
      <c r="K3155" s="8" t="e">
        <f t="shared" si="23"/>
        <v>#VALUE!</v>
      </c>
    </row>
    <row r="3156" spans="11:11" x14ac:dyDescent="0.25">
      <c r="K3156" s="8" t="e">
        <f t="shared" si="23"/>
        <v>#VALUE!</v>
      </c>
    </row>
    <row r="3157" spans="11:11" x14ac:dyDescent="0.25">
      <c r="K3157" s="8" t="e">
        <f t="shared" si="23"/>
        <v>#VALUE!</v>
      </c>
    </row>
    <row r="3158" spans="11:11" x14ac:dyDescent="0.25">
      <c r="K3158" s="8" t="e">
        <f t="shared" si="23"/>
        <v>#VALUE!</v>
      </c>
    </row>
    <row r="3159" spans="11:11" x14ac:dyDescent="0.25">
      <c r="K3159" s="8" t="e">
        <f t="shared" si="23"/>
        <v>#VALUE!</v>
      </c>
    </row>
    <row r="3160" spans="11:11" x14ac:dyDescent="0.25">
      <c r="K3160" s="8" t="e">
        <f t="shared" si="23"/>
        <v>#VALUE!</v>
      </c>
    </row>
    <row r="3161" spans="11:11" x14ac:dyDescent="0.25">
      <c r="K3161" s="8" t="e">
        <f t="shared" si="23"/>
        <v>#VALUE!</v>
      </c>
    </row>
    <row r="3162" spans="11:11" x14ac:dyDescent="0.25">
      <c r="K3162" s="8" t="e">
        <f t="shared" si="23"/>
        <v>#VALUE!</v>
      </c>
    </row>
    <row r="3163" spans="11:11" x14ac:dyDescent="0.25">
      <c r="K3163" s="8" t="e">
        <f t="shared" si="23"/>
        <v>#VALUE!</v>
      </c>
    </row>
    <row r="3164" spans="11:11" x14ac:dyDescent="0.25">
      <c r="K3164" s="8" t="e">
        <f t="shared" si="23"/>
        <v>#VALUE!</v>
      </c>
    </row>
    <row r="3165" spans="11:11" x14ac:dyDescent="0.25">
      <c r="K3165" s="8" t="e">
        <f t="shared" si="23"/>
        <v>#VALUE!</v>
      </c>
    </row>
    <row r="3166" spans="11:11" x14ac:dyDescent="0.25">
      <c r="K3166" s="8" t="e">
        <f t="shared" si="23"/>
        <v>#VALUE!</v>
      </c>
    </row>
    <row r="3167" spans="11:11" x14ac:dyDescent="0.25">
      <c r="K3167" s="8" t="e">
        <f t="shared" si="23"/>
        <v>#VALUE!</v>
      </c>
    </row>
    <row r="3168" spans="11:11" x14ac:dyDescent="0.25">
      <c r="K3168" s="8" t="e">
        <f t="shared" si="23"/>
        <v>#VALUE!</v>
      </c>
    </row>
    <row r="3169" spans="11:11" x14ac:dyDescent="0.25">
      <c r="K3169" s="8" t="e">
        <f t="shared" si="23"/>
        <v>#VALUE!</v>
      </c>
    </row>
    <row r="3170" spans="11:11" x14ac:dyDescent="0.25">
      <c r="K3170" s="8" t="e">
        <f t="shared" si="23"/>
        <v>#VALUE!</v>
      </c>
    </row>
    <row r="3171" spans="11:11" x14ac:dyDescent="0.25">
      <c r="K3171" s="8" t="e">
        <f t="shared" si="23"/>
        <v>#VALUE!</v>
      </c>
    </row>
    <row r="3172" spans="11:11" x14ac:dyDescent="0.25">
      <c r="K3172" s="8" t="e">
        <f t="shared" si="23"/>
        <v>#VALUE!</v>
      </c>
    </row>
    <row r="3173" spans="11:11" x14ac:dyDescent="0.25">
      <c r="K3173" s="8" t="e">
        <f t="shared" si="23"/>
        <v>#VALUE!</v>
      </c>
    </row>
    <row r="3174" spans="11:11" x14ac:dyDescent="0.25">
      <c r="K3174" s="8" t="e">
        <f t="shared" si="23"/>
        <v>#VALUE!</v>
      </c>
    </row>
    <row r="3175" spans="11:11" x14ac:dyDescent="0.25">
      <c r="K3175" s="8" t="e">
        <f t="shared" si="23"/>
        <v>#VALUE!</v>
      </c>
    </row>
    <row r="3176" spans="11:11" x14ac:dyDescent="0.25">
      <c r="K3176" s="8" t="e">
        <f t="shared" si="23"/>
        <v>#VALUE!</v>
      </c>
    </row>
    <row r="3177" spans="11:11" x14ac:dyDescent="0.25">
      <c r="K3177" s="8" t="e">
        <f t="shared" si="23"/>
        <v>#VALUE!</v>
      </c>
    </row>
    <row r="3178" spans="11:11" x14ac:dyDescent="0.25">
      <c r="K3178" s="8" t="e">
        <f t="shared" si="23"/>
        <v>#VALUE!</v>
      </c>
    </row>
    <row r="3179" spans="11:11" x14ac:dyDescent="0.25">
      <c r="K3179" s="8" t="e">
        <f t="shared" si="23"/>
        <v>#VALUE!</v>
      </c>
    </row>
    <row r="3180" spans="11:11" x14ac:dyDescent="0.25">
      <c r="K3180" s="8" t="e">
        <f t="shared" si="23"/>
        <v>#VALUE!</v>
      </c>
    </row>
    <row r="3181" spans="11:11" x14ac:dyDescent="0.25">
      <c r="K3181" s="8" t="e">
        <f t="shared" si="23"/>
        <v>#VALUE!</v>
      </c>
    </row>
    <row r="3182" spans="11:11" x14ac:dyDescent="0.25">
      <c r="K3182" s="8" t="e">
        <f t="shared" si="23"/>
        <v>#VALUE!</v>
      </c>
    </row>
    <row r="3183" spans="11:11" x14ac:dyDescent="0.25">
      <c r="K3183" s="8" t="e">
        <f t="shared" si="23"/>
        <v>#VALUE!</v>
      </c>
    </row>
    <row r="3184" spans="11:11" x14ac:dyDescent="0.25">
      <c r="K3184" s="8" t="e">
        <f t="shared" si="23"/>
        <v>#VALUE!</v>
      </c>
    </row>
    <row r="3185" spans="11:11" x14ac:dyDescent="0.25">
      <c r="K3185" s="8" t="e">
        <f t="shared" si="23"/>
        <v>#VALUE!</v>
      </c>
    </row>
    <row r="3186" spans="11:11" x14ac:dyDescent="0.25">
      <c r="K3186" s="8" t="e">
        <f t="shared" si="23"/>
        <v>#VALUE!</v>
      </c>
    </row>
    <row r="3187" spans="11:11" x14ac:dyDescent="0.25">
      <c r="K3187" s="8" t="e">
        <f t="shared" si="23"/>
        <v>#VALUE!</v>
      </c>
    </row>
    <row r="3188" spans="11:11" x14ac:dyDescent="0.25">
      <c r="K3188" s="8" t="e">
        <f t="shared" si="23"/>
        <v>#VALUE!</v>
      </c>
    </row>
    <row r="3189" spans="11:11" x14ac:dyDescent="0.25">
      <c r="K3189" s="8" t="e">
        <f t="shared" si="23"/>
        <v>#VALUE!</v>
      </c>
    </row>
    <row r="3190" spans="11:11" x14ac:dyDescent="0.25">
      <c r="K3190" s="8" t="e">
        <f t="shared" si="23"/>
        <v>#VALUE!</v>
      </c>
    </row>
    <row r="3191" spans="11:11" x14ac:dyDescent="0.25">
      <c r="K3191" s="8" t="e">
        <f t="shared" si="23"/>
        <v>#VALUE!</v>
      </c>
    </row>
    <row r="3192" spans="11:11" x14ac:dyDescent="0.25">
      <c r="K3192" s="8" t="e">
        <f t="shared" si="23"/>
        <v>#VALUE!</v>
      </c>
    </row>
    <row r="3193" spans="11:11" x14ac:dyDescent="0.25">
      <c r="K3193" s="8" t="e">
        <f t="shared" si="23"/>
        <v>#VALUE!</v>
      </c>
    </row>
    <row r="3194" spans="11:11" x14ac:dyDescent="0.25">
      <c r="K3194" s="8" t="e">
        <f t="shared" si="23"/>
        <v>#VALUE!</v>
      </c>
    </row>
    <row r="3195" spans="11:11" x14ac:dyDescent="0.25">
      <c r="K3195" s="8" t="e">
        <f t="shared" si="23"/>
        <v>#VALUE!</v>
      </c>
    </row>
    <row r="3196" spans="11:11" x14ac:dyDescent="0.25">
      <c r="K3196" s="8" t="e">
        <f t="shared" si="23"/>
        <v>#VALUE!</v>
      </c>
    </row>
    <row r="3197" spans="11:11" x14ac:dyDescent="0.25">
      <c r="K3197" s="8" t="e">
        <f t="shared" si="23"/>
        <v>#VALUE!</v>
      </c>
    </row>
    <row r="3198" spans="11:11" x14ac:dyDescent="0.25">
      <c r="K3198" s="8" t="e">
        <f t="shared" si="23"/>
        <v>#VALUE!</v>
      </c>
    </row>
    <row r="3199" spans="11:11" x14ac:dyDescent="0.25">
      <c r="K3199" s="8" t="e">
        <f t="shared" si="23"/>
        <v>#VALUE!</v>
      </c>
    </row>
    <row r="3200" spans="11:11" x14ac:dyDescent="0.25">
      <c r="K3200" s="8" t="e">
        <f t="shared" si="23"/>
        <v>#VALUE!</v>
      </c>
    </row>
    <row r="3201" spans="11:11" x14ac:dyDescent="0.25">
      <c r="K3201" s="8" t="e">
        <f t="shared" si="23"/>
        <v>#VALUE!</v>
      </c>
    </row>
    <row r="3202" spans="11:11" x14ac:dyDescent="0.25">
      <c r="K3202" s="8" t="e">
        <f t="shared" si="23"/>
        <v>#VALUE!</v>
      </c>
    </row>
    <row r="3203" spans="11:11" x14ac:dyDescent="0.25">
      <c r="K3203" s="8" t="e">
        <f t="shared" ref="K3203:K3266" si="24">LEFT(A3203,FIND("/",A3203)-1)</f>
        <v>#VALUE!</v>
      </c>
    </row>
    <row r="3204" spans="11:11" x14ac:dyDescent="0.25">
      <c r="K3204" s="8" t="e">
        <f t="shared" si="24"/>
        <v>#VALUE!</v>
      </c>
    </row>
    <row r="3205" spans="11:11" x14ac:dyDescent="0.25">
      <c r="K3205" s="8" t="e">
        <f t="shared" si="24"/>
        <v>#VALUE!</v>
      </c>
    </row>
    <row r="3206" spans="11:11" x14ac:dyDescent="0.25">
      <c r="K3206" s="8" t="e">
        <f t="shared" si="24"/>
        <v>#VALUE!</v>
      </c>
    </row>
    <row r="3207" spans="11:11" x14ac:dyDescent="0.25">
      <c r="K3207" s="8" t="e">
        <f t="shared" si="24"/>
        <v>#VALUE!</v>
      </c>
    </row>
    <row r="3208" spans="11:11" x14ac:dyDescent="0.25">
      <c r="K3208" s="8" t="e">
        <f t="shared" si="24"/>
        <v>#VALUE!</v>
      </c>
    </row>
    <row r="3209" spans="11:11" x14ac:dyDescent="0.25">
      <c r="K3209" s="8" t="e">
        <f t="shared" si="24"/>
        <v>#VALUE!</v>
      </c>
    </row>
    <row r="3210" spans="11:11" x14ac:dyDescent="0.25">
      <c r="K3210" s="8" t="e">
        <f t="shared" si="24"/>
        <v>#VALUE!</v>
      </c>
    </row>
    <row r="3211" spans="11:11" x14ac:dyDescent="0.25">
      <c r="K3211" s="8" t="e">
        <f t="shared" si="24"/>
        <v>#VALUE!</v>
      </c>
    </row>
    <row r="3212" spans="11:11" x14ac:dyDescent="0.25">
      <c r="K3212" s="8" t="e">
        <f t="shared" si="24"/>
        <v>#VALUE!</v>
      </c>
    </row>
    <row r="3213" spans="11:11" x14ac:dyDescent="0.25">
      <c r="K3213" s="8" t="e">
        <f t="shared" si="24"/>
        <v>#VALUE!</v>
      </c>
    </row>
    <row r="3214" spans="11:11" x14ac:dyDescent="0.25">
      <c r="K3214" s="8" t="e">
        <f t="shared" si="24"/>
        <v>#VALUE!</v>
      </c>
    </row>
    <row r="3215" spans="11:11" x14ac:dyDescent="0.25">
      <c r="K3215" s="8" t="e">
        <f t="shared" si="24"/>
        <v>#VALUE!</v>
      </c>
    </row>
    <row r="3216" spans="11:11" x14ac:dyDescent="0.25">
      <c r="K3216" s="8" t="e">
        <f t="shared" si="24"/>
        <v>#VALUE!</v>
      </c>
    </row>
    <row r="3217" spans="11:11" x14ac:dyDescent="0.25">
      <c r="K3217" s="8" t="e">
        <f t="shared" si="24"/>
        <v>#VALUE!</v>
      </c>
    </row>
    <row r="3218" spans="11:11" x14ac:dyDescent="0.25">
      <c r="K3218" s="8" t="e">
        <f t="shared" si="24"/>
        <v>#VALUE!</v>
      </c>
    </row>
    <row r="3219" spans="11:11" x14ac:dyDescent="0.25">
      <c r="K3219" s="8" t="e">
        <f t="shared" si="24"/>
        <v>#VALUE!</v>
      </c>
    </row>
    <row r="3220" spans="11:11" x14ac:dyDescent="0.25">
      <c r="K3220" s="8" t="e">
        <f t="shared" si="24"/>
        <v>#VALUE!</v>
      </c>
    </row>
    <row r="3221" spans="11:11" x14ac:dyDescent="0.25">
      <c r="K3221" s="8" t="e">
        <f t="shared" si="24"/>
        <v>#VALUE!</v>
      </c>
    </row>
    <row r="3222" spans="11:11" x14ac:dyDescent="0.25">
      <c r="K3222" s="8" t="e">
        <f t="shared" si="24"/>
        <v>#VALUE!</v>
      </c>
    </row>
    <row r="3223" spans="11:11" x14ac:dyDescent="0.25">
      <c r="K3223" s="8" t="e">
        <f t="shared" si="24"/>
        <v>#VALUE!</v>
      </c>
    </row>
    <row r="3224" spans="11:11" x14ac:dyDescent="0.25">
      <c r="K3224" s="8" t="e">
        <f t="shared" si="24"/>
        <v>#VALUE!</v>
      </c>
    </row>
    <row r="3225" spans="11:11" x14ac:dyDescent="0.25">
      <c r="K3225" s="8" t="e">
        <f t="shared" si="24"/>
        <v>#VALUE!</v>
      </c>
    </row>
    <row r="3226" spans="11:11" x14ac:dyDescent="0.25">
      <c r="K3226" s="8" t="e">
        <f t="shared" si="24"/>
        <v>#VALUE!</v>
      </c>
    </row>
    <row r="3227" spans="11:11" x14ac:dyDescent="0.25">
      <c r="K3227" s="8" t="e">
        <f t="shared" si="24"/>
        <v>#VALUE!</v>
      </c>
    </row>
    <row r="3228" spans="11:11" x14ac:dyDescent="0.25">
      <c r="K3228" s="8" t="e">
        <f t="shared" si="24"/>
        <v>#VALUE!</v>
      </c>
    </row>
    <row r="3229" spans="11:11" x14ac:dyDescent="0.25">
      <c r="K3229" s="8" t="e">
        <f t="shared" si="24"/>
        <v>#VALUE!</v>
      </c>
    </row>
    <row r="3230" spans="11:11" x14ac:dyDescent="0.25">
      <c r="K3230" s="8" t="e">
        <f t="shared" si="24"/>
        <v>#VALUE!</v>
      </c>
    </row>
    <row r="3231" spans="11:11" x14ac:dyDescent="0.25">
      <c r="K3231" s="8" t="e">
        <f t="shared" si="24"/>
        <v>#VALUE!</v>
      </c>
    </row>
    <row r="3232" spans="11:11" x14ac:dyDescent="0.25">
      <c r="K3232" s="8" t="e">
        <f t="shared" si="24"/>
        <v>#VALUE!</v>
      </c>
    </row>
    <row r="3233" spans="11:11" x14ac:dyDescent="0.25">
      <c r="K3233" s="8" t="e">
        <f t="shared" si="24"/>
        <v>#VALUE!</v>
      </c>
    </row>
    <row r="3234" spans="11:11" x14ac:dyDescent="0.25">
      <c r="K3234" s="8" t="e">
        <f t="shared" si="24"/>
        <v>#VALUE!</v>
      </c>
    </row>
    <row r="3235" spans="11:11" x14ac:dyDescent="0.25">
      <c r="K3235" s="8" t="e">
        <f t="shared" si="24"/>
        <v>#VALUE!</v>
      </c>
    </row>
    <row r="3236" spans="11:11" x14ac:dyDescent="0.25">
      <c r="K3236" s="8" t="e">
        <f t="shared" si="24"/>
        <v>#VALUE!</v>
      </c>
    </row>
    <row r="3237" spans="11:11" x14ac:dyDescent="0.25">
      <c r="K3237" s="8" t="e">
        <f t="shared" si="24"/>
        <v>#VALUE!</v>
      </c>
    </row>
    <row r="3238" spans="11:11" x14ac:dyDescent="0.25">
      <c r="K3238" s="8" t="e">
        <f t="shared" si="24"/>
        <v>#VALUE!</v>
      </c>
    </row>
    <row r="3239" spans="11:11" x14ac:dyDescent="0.25">
      <c r="K3239" s="8" t="e">
        <f t="shared" si="24"/>
        <v>#VALUE!</v>
      </c>
    </row>
    <row r="3240" spans="11:11" x14ac:dyDescent="0.25">
      <c r="K3240" s="8" t="e">
        <f t="shared" si="24"/>
        <v>#VALUE!</v>
      </c>
    </row>
    <row r="3241" spans="11:11" x14ac:dyDescent="0.25">
      <c r="K3241" s="8" t="e">
        <f t="shared" si="24"/>
        <v>#VALUE!</v>
      </c>
    </row>
    <row r="3242" spans="11:11" x14ac:dyDescent="0.25">
      <c r="K3242" s="8" t="e">
        <f t="shared" si="24"/>
        <v>#VALUE!</v>
      </c>
    </row>
    <row r="3243" spans="11:11" x14ac:dyDescent="0.25">
      <c r="K3243" s="8" t="e">
        <f t="shared" si="24"/>
        <v>#VALUE!</v>
      </c>
    </row>
    <row r="3244" spans="11:11" x14ac:dyDescent="0.25">
      <c r="K3244" s="8" t="e">
        <f t="shared" si="24"/>
        <v>#VALUE!</v>
      </c>
    </row>
    <row r="3245" spans="11:11" x14ac:dyDescent="0.25">
      <c r="K3245" s="8" t="e">
        <f t="shared" si="24"/>
        <v>#VALUE!</v>
      </c>
    </row>
    <row r="3246" spans="11:11" x14ac:dyDescent="0.25">
      <c r="K3246" s="8" t="e">
        <f t="shared" si="24"/>
        <v>#VALUE!</v>
      </c>
    </row>
    <row r="3247" spans="11:11" x14ac:dyDescent="0.25">
      <c r="K3247" s="8" t="e">
        <f t="shared" si="24"/>
        <v>#VALUE!</v>
      </c>
    </row>
    <row r="3248" spans="11:11" x14ac:dyDescent="0.25">
      <c r="K3248" s="8" t="e">
        <f t="shared" si="24"/>
        <v>#VALUE!</v>
      </c>
    </row>
    <row r="3249" spans="11:11" x14ac:dyDescent="0.25">
      <c r="K3249" s="8" t="e">
        <f t="shared" si="24"/>
        <v>#VALUE!</v>
      </c>
    </row>
    <row r="3250" spans="11:11" x14ac:dyDescent="0.25">
      <c r="K3250" s="8" t="e">
        <f t="shared" si="24"/>
        <v>#VALUE!</v>
      </c>
    </row>
    <row r="3251" spans="11:11" x14ac:dyDescent="0.25">
      <c r="K3251" s="8" t="e">
        <f t="shared" si="24"/>
        <v>#VALUE!</v>
      </c>
    </row>
    <row r="3252" spans="11:11" x14ac:dyDescent="0.25">
      <c r="K3252" s="8" t="e">
        <f t="shared" si="24"/>
        <v>#VALUE!</v>
      </c>
    </row>
    <row r="3253" spans="11:11" x14ac:dyDescent="0.25">
      <c r="K3253" s="8" t="e">
        <f t="shared" si="24"/>
        <v>#VALUE!</v>
      </c>
    </row>
    <row r="3254" spans="11:11" x14ac:dyDescent="0.25">
      <c r="K3254" s="8" t="e">
        <f t="shared" si="24"/>
        <v>#VALUE!</v>
      </c>
    </row>
    <row r="3255" spans="11:11" x14ac:dyDescent="0.25">
      <c r="K3255" s="8" t="e">
        <f t="shared" si="24"/>
        <v>#VALUE!</v>
      </c>
    </row>
    <row r="3256" spans="11:11" x14ac:dyDescent="0.25">
      <c r="K3256" s="8" t="e">
        <f t="shared" si="24"/>
        <v>#VALUE!</v>
      </c>
    </row>
    <row r="3257" spans="11:11" x14ac:dyDescent="0.25">
      <c r="K3257" s="8" t="e">
        <f t="shared" si="24"/>
        <v>#VALUE!</v>
      </c>
    </row>
    <row r="3258" spans="11:11" x14ac:dyDescent="0.25">
      <c r="K3258" s="8" t="e">
        <f t="shared" si="24"/>
        <v>#VALUE!</v>
      </c>
    </row>
    <row r="3259" spans="11:11" x14ac:dyDescent="0.25">
      <c r="K3259" s="8" t="e">
        <f t="shared" si="24"/>
        <v>#VALUE!</v>
      </c>
    </row>
    <row r="3260" spans="11:11" x14ac:dyDescent="0.25">
      <c r="K3260" s="8" t="e">
        <f t="shared" si="24"/>
        <v>#VALUE!</v>
      </c>
    </row>
    <row r="3261" spans="11:11" x14ac:dyDescent="0.25">
      <c r="K3261" s="8" t="e">
        <f t="shared" si="24"/>
        <v>#VALUE!</v>
      </c>
    </row>
    <row r="3262" spans="11:11" x14ac:dyDescent="0.25">
      <c r="K3262" s="8" t="e">
        <f t="shared" si="24"/>
        <v>#VALUE!</v>
      </c>
    </row>
    <row r="3263" spans="11:11" x14ac:dyDescent="0.25">
      <c r="K3263" s="8" t="e">
        <f t="shared" si="24"/>
        <v>#VALUE!</v>
      </c>
    </row>
    <row r="3264" spans="11:11" x14ac:dyDescent="0.25">
      <c r="K3264" s="8" t="e">
        <f t="shared" si="24"/>
        <v>#VALUE!</v>
      </c>
    </row>
    <row r="3265" spans="11:11" x14ac:dyDescent="0.25">
      <c r="K3265" s="8" t="e">
        <f t="shared" si="24"/>
        <v>#VALUE!</v>
      </c>
    </row>
    <row r="3266" spans="11:11" x14ac:dyDescent="0.25">
      <c r="K3266" s="8" t="e">
        <f t="shared" si="24"/>
        <v>#VALUE!</v>
      </c>
    </row>
    <row r="3267" spans="11:11" x14ac:dyDescent="0.25">
      <c r="K3267" s="8" t="e">
        <f t="shared" ref="K3267:K3330" si="25">LEFT(A3267,FIND("/",A3267)-1)</f>
        <v>#VALUE!</v>
      </c>
    </row>
    <row r="3268" spans="11:11" x14ac:dyDescent="0.25">
      <c r="K3268" s="8" t="e">
        <f t="shared" si="25"/>
        <v>#VALUE!</v>
      </c>
    </row>
    <row r="3269" spans="11:11" x14ac:dyDescent="0.25">
      <c r="K3269" s="8" t="e">
        <f t="shared" si="25"/>
        <v>#VALUE!</v>
      </c>
    </row>
    <row r="3270" spans="11:11" x14ac:dyDescent="0.25">
      <c r="K3270" s="8" t="e">
        <f t="shared" si="25"/>
        <v>#VALUE!</v>
      </c>
    </row>
    <row r="3271" spans="11:11" x14ac:dyDescent="0.25">
      <c r="K3271" s="8" t="e">
        <f t="shared" si="25"/>
        <v>#VALUE!</v>
      </c>
    </row>
    <row r="3272" spans="11:11" x14ac:dyDescent="0.25">
      <c r="K3272" s="8" t="e">
        <f t="shared" si="25"/>
        <v>#VALUE!</v>
      </c>
    </row>
    <row r="3273" spans="11:11" x14ac:dyDescent="0.25">
      <c r="K3273" s="8" t="e">
        <f t="shared" si="25"/>
        <v>#VALUE!</v>
      </c>
    </row>
    <row r="3274" spans="11:11" x14ac:dyDescent="0.25">
      <c r="K3274" s="8" t="e">
        <f t="shared" si="25"/>
        <v>#VALUE!</v>
      </c>
    </row>
    <row r="3275" spans="11:11" x14ac:dyDescent="0.25">
      <c r="K3275" s="8" t="e">
        <f t="shared" si="25"/>
        <v>#VALUE!</v>
      </c>
    </row>
    <row r="3276" spans="11:11" x14ac:dyDescent="0.25">
      <c r="K3276" s="8" t="e">
        <f t="shared" si="25"/>
        <v>#VALUE!</v>
      </c>
    </row>
    <row r="3277" spans="11:11" x14ac:dyDescent="0.25">
      <c r="K3277" s="8" t="e">
        <f t="shared" si="25"/>
        <v>#VALUE!</v>
      </c>
    </row>
    <row r="3278" spans="11:11" x14ac:dyDescent="0.25">
      <c r="K3278" s="8" t="e">
        <f t="shared" si="25"/>
        <v>#VALUE!</v>
      </c>
    </row>
    <row r="3279" spans="11:11" x14ac:dyDescent="0.25">
      <c r="K3279" s="8" t="e">
        <f t="shared" si="25"/>
        <v>#VALUE!</v>
      </c>
    </row>
    <row r="3280" spans="11:11" x14ac:dyDescent="0.25">
      <c r="K3280" s="8" t="e">
        <f t="shared" si="25"/>
        <v>#VALUE!</v>
      </c>
    </row>
    <row r="3281" spans="11:11" x14ac:dyDescent="0.25">
      <c r="K3281" s="8" t="e">
        <f t="shared" si="25"/>
        <v>#VALUE!</v>
      </c>
    </row>
    <row r="3282" spans="11:11" x14ac:dyDescent="0.25">
      <c r="K3282" s="8" t="e">
        <f t="shared" si="25"/>
        <v>#VALUE!</v>
      </c>
    </row>
    <row r="3283" spans="11:11" x14ac:dyDescent="0.25">
      <c r="K3283" s="8" t="e">
        <f t="shared" si="25"/>
        <v>#VALUE!</v>
      </c>
    </row>
    <row r="3284" spans="11:11" x14ac:dyDescent="0.25">
      <c r="K3284" s="8" t="e">
        <f t="shared" si="25"/>
        <v>#VALUE!</v>
      </c>
    </row>
    <row r="3285" spans="11:11" x14ac:dyDescent="0.25">
      <c r="K3285" s="8" t="e">
        <f t="shared" si="25"/>
        <v>#VALUE!</v>
      </c>
    </row>
    <row r="3286" spans="11:11" x14ac:dyDescent="0.25">
      <c r="K3286" s="8" t="e">
        <f t="shared" si="25"/>
        <v>#VALUE!</v>
      </c>
    </row>
    <row r="3287" spans="11:11" x14ac:dyDescent="0.25">
      <c r="K3287" s="8" t="e">
        <f t="shared" si="25"/>
        <v>#VALUE!</v>
      </c>
    </row>
    <row r="3288" spans="11:11" x14ac:dyDescent="0.25">
      <c r="K3288" s="8" t="e">
        <f t="shared" si="25"/>
        <v>#VALUE!</v>
      </c>
    </row>
    <row r="3289" spans="11:11" x14ac:dyDescent="0.25">
      <c r="K3289" s="8" t="e">
        <f t="shared" si="25"/>
        <v>#VALUE!</v>
      </c>
    </row>
    <row r="3290" spans="11:11" x14ac:dyDescent="0.25">
      <c r="K3290" s="8" t="e">
        <f t="shared" si="25"/>
        <v>#VALUE!</v>
      </c>
    </row>
    <row r="3291" spans="11:11" x14ac:dyDescent="0.25">
      <c r="K3291" s="8" t="e">
        <f t="shared" si="25"/>
        <v>#VALUE!</v>
      </c>
    </row>
    <row r="3292" spans="11:11" x14ac:dyDescent="0.25">
      <c r="K3292" s="8" t="e">
        <f t="shared" si="25"/>
        <v>#VALUE!</v>
      </c>
    </row>
    <row r="3293" spans="11:11" x14ac:dyDescent="0.25">
      <c r="K3293" s="8" t="e">
        <f t="shared" si="25"/>
        <v>#VALUE!</v>
      </c>
    </row>
    <row r="3294" spans="11:11" x14ac:dyDescent="0.25">
      <c r="K3294" s="8" t="e">
        <f t="shared" si="25"/>
        <v>#VALUE!</v>
      </c>
    </row>
    <row r="3295" spans="11:11" x14ac:dyDescent="0.25">
      <c r="K3295" s="8" t="e">
        <f t="shared" si="25"/>
        <v>#VALUE!</v>
      </c>
    </row>
    <row r="3296" spans="11:11" x14ac:dyDescent="0.25">
      <c r="K3296" s="8" t="e">
        <f t="shared" si="25"/>
        <v>#VALUE!</v>
      </c>
    </row>
    <row r="3297" spans="11:11" x14ac:dyDescent="0.25">
      <c r="K3297" s="8" t="e">
        <f t="shared" si="25"/>
        <v>#VALUE!</v>
      </c>
    </row>
    <row r="3298" spans="11:11" x14ac:dyDescent="0.25">
      <c r="K3298" s="8" t="e">
        <f t="shared" si="25"/>
        <v>#VALUE!</v>
      </c>
    </row>
    <row r="3299" spans="11:11" x14ac:dyDescent="0.25">
      <c r="K3299" s="8" t="e">
        <f t="shared" si="25"/>
        <v>#VALUE!</v>
      </c>
    </row>
    <row r="3300" spans="11:11" x14ac:dyDescent="0.25">
      <c r="K3300" s="8" t="e">
        <f t="shared" si="25"/>
        <v>#VALUE!</v>
      </c>
    </row>
    <row r="3301" spans="11:11" x14ac:dyDescent="0.25">
      <c r="K3301" s="8" t="e">
        <f t="shared" si="25"/>
        <v>#VALUE!</v>
      </c>
    </row>
    <row r="3302" spans="11:11" x14ac:dyDescent="0.25">
      <c r="K3302" s="8" t="e">
        <f t="shared" si="25"/>
        <v>#VALUE!</v>
      </c>
    </row>
    <row r="3303" spans="11:11" x14ac:dyDescent="0.25">
      <c r="K3303" s="8" t="e">
        <f t="shared" si="25"/>
        <v>#VALUE!</v>
      </c>
    </row>
    <row r="3304" spans="11:11" x14ac:dyDescent="0.25">
      <c r="K3304" s="8" t="e">
        <f t="shared" si="25"/>
        <v>#VALUE!</v>
      </c>
    </row>
    <row r="3305" spans="11:11" x14ac:dyDescent="0.25">
      <c r="K3305" s="8" t="e">
        <f t="shared" si="25"/>
        <v>#VALUE!</v>
      </c>
    </row>
    <row r="3306" spans="11:11" x14ac:dyDescent="0.25">
      <c r="K3306" s="8" t="e">
        <f t="shared" si="25"/>
        <v>#VALUE!</v>
      </c>
    </row>
    <row r="3307" spans="11:11" x14ac:dyDescent="0.25">
      <c r="K3307" s="8" t="e">
        <f t="shared" si="25"/>
        <v>#VALUE!</v>
      </c>
    </row>
    <row r="3308" spans="11:11" x14ac:dyDescent="0.25">
      <c r="K3308" s="8" t="e">
        <f t="shared" si="25"/>
        <v>#VALUE!</v>
      </c>
    </row>
    <row r="3309" spans="11:11" x14ac:dyDescent="0.25">
      <c r="K3309" s="8" t="e">
        <f t="shared" si="25"/>
        <v>#VALUE!</v>
      </c>
    </row>
    <row r="3310" spans="11:11" x14ac:dyDescent="0.25">
      <c r="K3310" s="8" t="e">
        <f t="shared" si="25"/>
        <v>#VALUE!</v>
      </c>
    </row>
    <row r="3311" spans="11:11" x14ac:dyDescent="0.25">
      <c r="K3311" s="8" t="e">
        <f t="shared" si="25"/>
        <v>#VALUE!</v>
      </c>
    </row>
    <row r="3312" spans="11:11" x14ac:dyDescent="0.25">
      <c r="K3312" s="8" t="e">
        <f t="shared" si="25"/>
        <v>#VALUE!</v>
      </c>
    </row>
    <row r="3313" spans="11:11" x14ac:dyDescent="0.25">
      <c r="K3313" s="8" t="e">
        <f t="shared" si="25"/>
        <v>#VALUE!</v>
      </c>
    </row>
    <row r="3314" spans="11:11" x14ac:dyDescent="0.25">
      <c r="K3314" s="8" t="e">
        <f t="shared" si="25"/>
        <v>#VALUE!</v>
      </c>
    </row>
    <row r="3315" spans="11:11" x14ac:dyDescent="0.25">
      <c r="K3315" s="8" t="e">
        <f t="shared" si="25"/>
        <v>#VALUE!</v>
      </c>
    </row>
    <row r="3316" spans="11:11" x14ac:dyDescent="0.25">
      <c r="K3316" s="8" t="e">
        <f t="shared" si="25"/>
        <v>#VALUE!</v>
      </c>
    </row>
    <row r="3317" spans="11:11" x14ac:dyDescent="0.25">
      <c r="K3317" s="8" t="e">
        <f t="shared" si="25"/>
        <v>#VALUE!</v>
      </c>
    </row>
    <row r="3318" spans="11:11" x14ac:dyDescent="0.25">
      <c r="K3318" s="8" t="e">
        <f t="shared" si="25"/>
        <v>#VALUE!</v>
      </c>
    </row>
    <row r="3319" spans="11:11" x14ac:dyDescent="0.25">
      <c r="K3319" s="8" t="e">
        <f t="shared" si="25"/>
        <v>#VALUE!</v>
      </c>
    </row>
    <row r="3320" spans="11:11" x14ac:dyDescent="0.25">
      <c r="K3320" s="8" t="e">
        <f t="shared" si="25"/>
        <v>#VALUE!</v>
      </c>
    </row>
    <row r="3321" spans="11:11" x14ac:dyDescent="0.25">
      <c r="K3321" s="8" t="e">
        <f t="shared" si="25"/>
        <v>#VALUE!</v>
      </c>
    </row>
    <row r="3322" spans="11:11" x14ac:dyDescent="0.25">
      <c r="K3322" s="8" t="e">
        <f t="shared" si="25"/>
        <v>#VALUE!</v>
      </c>
    </row>
    <row r="3323" spans="11:11" x14ac:dyDescent="0.25">
      <c r="K3323" s="8" t="e">
        <f t="shared" si="25"/>
        <v>#VALUE!</v>
      </c>
    </row>
    <row r="3324" spans="11:11" x14ac:dyDescent="0.25">
      <c r="K3324" s="8" t="e">
        <f t="shared" si="25"/>
        <v>#VALUE!</v>
      </c>
    </row>
    <row r="3325" spans="11:11" x14ac:dyDescent="0.25">
      <c r="K3325" s="8" t="e">
        <f t="shared" si="25"/>
        <v>#VALUE!</v>
      </c>
    </row>
    <row r="3326" spans="11:11" x14ac:dyDescent="0.25">
      <c r="K3326" s="8" t="e">
        <f t="shared" si="25"/>
        <v>#VALUE!</v>
      </c>
    </row>
    <row r="3327" spans="11:11" x14ac:dyDescent="0.25">
      <c r="K3327" s="8" t="e">
        <f t="shared" si="25"/>
        <v>#VALUE!</v>
      </c>
    </row>
    <row r="3328" spans="11:11" x14ac:dyDescent="0.25">
      <c r="K3328" s="8" t="e">
        <f t="shared" si="25"/>
        <v>#VALUE!</v>
      </c>
    </row>
    <row r="3329" spans="11:11" x14ac:dyDescent="0.25">
      <c r="K3329" s="8" t="e">
        <f t="shared" si="25"/>
        <v>#VALUE!</v>
      </c>
    </row>
    <row r="3330" spans="11:11" x14ac:dyDescent="0.25">
      <c r="K3330" s="8" t="e">
        <f t="shared" si="25"/>
        <v>#VALUE!</v>
      </c>
    </row>
    <row r="3331" spans="11:11" x14ac:dyDescent="0.25">
      <c r="K3331" s="8" t="e">
        <f t="shared" ref="K3331:K3394" si="26">LEFT(A3331,FIND("/",A3331)-1)</f>
        <v>#VALUE!</v>
      </c>
    </row>
    <row r="3332" spans="11:11" x14ac:dyDescent="0.25">
      <c r="K3332" s="8" t="e">
        <f t="shared" si="26"/>
        <v>#VALUE!</v>
      </c>
    </row>
    <row r="3333" spans="11:11" x14ac:dyDescent="0.25">
      <c r="K3333" s="8" t="e">
        <f t="shared" si="26"/>
        <v>#VALUE!</v>
      </c>
    </row>
    <row r="3334" spans="11:11" x14ac:dyDescent="0.25">
      <c r="K3334" s="8" t="e">
        <f t="shared" si="26"/>
        <v>#VALUE!</v>
      </c>
    </row>
    <row r="3335" spans="11:11" x14ac:dyDescent="0.25">
      <c r="K3335" s="8" t="e">
        <f t="shared" si="26"/>
        <v>#VALUE!</v>
      </c>
    </row>
    <row r="3336" spans="11:11" x14ac:dyDescent="0.25">
      <c r="K3336" s="8" t="e">
        <f t="shared" si="26"/>
        <v>#VALUE!</v>
      </c>
    </row>
    <row r="3337" spans="11:11" x14ac:dyDescent="0.25">
      <c r="K3337" s="8" t="e">
        <f t="shared" si="26"/>
        <v>#VALUE!</v>
      </c>
    </row>
    <row r="3338" spans="11:11" x14ac:dyDescent="0.25">
      <c r="K3338" s="8" t="e">
        <f t="shared" si="26"/>
        <v>#VALUE!</v>
      </c>
    </row>
    <row r="3339" spans="11:11" x14ac:dyDescent="0.25">
      <c r="K3339" s="8" t="e">
        <f t="shared" si="26"/>
        <v>#VALUE!</v>
      </c>
    </row>
    <row r="3340" spans="11:11" x14ac:dyDescent="0.25">
      <c r="K3340" s="8" t="e">
        <f t="shared" si="26"/>
        <v>#VALUE!</v>
      </c>
    </row>
    <row r="3341" spans="11:11" x14ac:dyDescent="0.25">
      <c r="K3341" s="8" t="e">
        <f t="shared" si="26"/>
        <v>#VALUE!</v>
      </c>
    </row>
    <row r="3342" spans="11:11" x14ac:dyDescent="0.25">
      <c r="K3342" s="8" t="e">
        <f t="shared" si="26"/>
        <v>#VALUE!</v>
      </c>
    </row>
    <row r="3343" spans="11:11" x14ac:dyDescent="0.25">
      <c r="K3343" s="8" t="e">
        <f t="shared" si="26"/>
        <v>#VALUE!</v>
      </c>
    </row>
    <row r="3344" spans="11:11" x14ac:dyDescent="0.25">
      <c r="K3344" s="8" t="e">
        <f t="shared" si="26"/>
        <v>#VALUE!</v>
      </c>
    </row>
    <row r="3345" spans="11:11" x14ac:dyDescent="0.25">
      <c r="K3345" s="8" t="e">
        <f t="shared" si="26"/>
        <v>#VALUE!</v>
      </c>
    </row>
    <row r="3346" spans="11:11" x14ac:dyDescent="0.25">
      <c r="K3346" s="8" t="e">
        <f t="shared" si="26"/>
        <v>#VALUE!</v>
      </c>
    </row>
    <row r="3347" spans="11:11" x14ac:dyDescent="0.25">
      <c r="K3347" s="8" t="e">
        <f t="shared" si="26"/>
        <v>#VALUE!</v>
      </c>
    </row>
    <row r="3348" spans="11:11" x14ac:dyDescent="0.25">
      <c r="K3348" s="8" t="e">
        <f t="shared" si="26"/>
        <v>#VALUE!</v>
      </c>
    </row>
    <row r="3349" spans="11:11" x14ac:dyDescent="0.25">
      <c r="K3349" s="8" t="e">
        <f t="shared" si="26"/>
        <v>#VALUE!</v>
      </c>
    </row>
    <row r="3350" spans="11:11" x14ac:dyDescent="0.25">
      <c r="K3350" s="8" t="e">
        <f t="shared" si="26"/>
        <v>#VALUE!</v>
      </c>
    </row>
    <row r="3351" spans="11:11" x14ac:dyDescent="0.25">
      <c r="K3351" s="8" t="e">
        <f t="shared" si="26"/>
        <v>#VALUE!</v>
      </c>
    </row>
    <row r="3352" spans="11:11" x14ac:dyDescent="0.25">
      <c r="K3352" s="8" t="e">
        <f t="shared" si="26"/>
        <v>#VALUE!</v>
      </c>
    </row>
    <row r="3353" spans="11:11" x14ac:dyDescent="0.25">
      <c r="K3353" s="8" t="e">
        <f t="shared" si="26"/>
        <v>#VALUE!</v>
      </c>
    </row>
    <row r="3354" spans="11:11" x14ac:dyDescent="0.25">
      <c r="K3354" s="8" t="e">
        <f t="shared" si="26"/>
        <v>#VALUE!</v>
      </c>
    </row>
    <row r="3355" spans="11:11" x14ac:dyDescent="0.25">
      <c r="K3355" s="8" t="e">
        <f t="shared" si="26"/>
        <v>#VALUE!</v>
      </c>
    </row>
    <row r="3356" spans="11:11" x14ac:dyDescent="0.25">
      <c r="K3356" s="8" t="e">
        <f t="shared" si="26"/>
        <v>#VALUE!</v>
      </c>
    </row>
    <row r="3357" spans="11:11" x14ac:dyDescent="0.25">
      <c r="K3357" s="8" t="e">
        <f t="shared" si="26"/>
        <v>#VALUE!</v>
      </c>
    </row>
    <row r="3358" spans="11:11" x14ac:dyDescent="0.25">
      <c r="K3358" s="8" t="e">
        <f t="shared" si="26"/>
        <v>#VALUE!</v>
      </c>
    </row>
    <row r="3359" spans="11:11" x14ac:dyDescent="0.25">
      <c r="K3359" s="8" t="e">
        <f t="shared" si="26"/>
        <v>#VALUE!</v>
      </c>
    </row>
    <row r="3360" spans="11:11" x14ac:dyDescent="0.25">
      <c r="K3360" s="8" t="e">
        <f t="shared" si="26"/>
        <v>#VALUE!</v>
      </c>
    </row>
    <row r="3361" spans="11:11" x14ac:dyDescent="0.25">
      <c r="K3361" s="8" t="e">
        <f t="shared" si="26"/>
        <v>#VALUE!</v>
      </c>
    </row>
    <row r="3362" spans="11:11" x14ac:dyDescent="0.25">
      <c r="K3362" s="8" t="e">
        <f t="shared" si="26"/>
        <v>#VALUE!</v>
      </c>
    </row>
    <row r="3363" spans="11:11" x14ac:dyDescent="0.25">
      <c r="K3363" s="8" t="e">
        <f t="shared" si="26"/>
        <v>#VALUE!</v>
      </c>
    </row>
    <row r="3364" spans="11:11" x14ac:dyDescent="0.25">
      <c r="K3364" s="8" t="e">
        <f t="shared" si="26"/>
        <v>#VALUE!</v>
      </c>
    </row>
    <row r="3365" spans="11:11" x14ac:dyDescent="0.25">
      <c r="K3365" s="8" t="e">
        <f t="shared" si="26"/>
        <v>#VALUE!</v>
      </c>
    </row>
    <row r="3366" spans="11:11" x14ac:dyDescent="0.25">
      <c r="K3366" s="8" t="e">
        <f t="shared" si="26"/>
        <v>#VALUE!</v>
      </c>
    </row>
    <row r="3367" spans="11:11" x14ac:dyDescent="0.25">
      <c r="K3367" s="8" t="e">
        <f t="shared" si="26"/>
        <v>#VALUE!</v>
      </c>
    </row>
    <row r="3368" spans="11:11" x14ac:dyDescent="0.25">
      <c r="K3368" s="8" t="e">
        <f t="shared" si="26"/>
        <v>#VALUE!</v>
      </c>
    </row>
    <row r="3369" spans="11:11" x14ac:dyDescent="0.25">
      <c r="K3369" s="8" t="e">
        <f t="shared" si="26"/>
        <v>#VALUE!</v>
      </c>
    </row>
    <row r="3370" spans="11:11" x14ac:dyDescent="0.25">
      <c r="K3370" s="8" t="e">
        <f t="shared" si="26"/>
        <v>#VALUE!</v>
      </c>
    </row>
    <row r="3371" spans="11:11" x14ac:dyDescent="0.25">
      <c r="K3371" s="8" t="e">
        <f t="shared" si="26"/>
        <v>#VALUE!</v>
      </c>
    </row>
    <row r="3372" spans="11:11" x14ac:dyDescent="0.25">
      <c r="K3372" s="8" t="e">
        <f t="shared" si="26"/>
        <v>#VALUE!</v>
      </c>
    </row>
    <row r="3373" spans="11:11" x14ac:dyDescent="0.25">
      <c r="K3373" s="8" t="e">
        <f t="shared" si="26"/>
        <v>#VALUE!</v>
      </c>
    </row>
    <row r="3374" spans="11:11" x14ac:dyDescent="0.25">
      <c r="K3374" s="8" t="e">
        <f t="shared" si="26"/>
        <v>#VALUE!</v>
      </c>
    </row>
    <row r="3375" spans="11:11" x14ac:dyDescent="0.25">
      <c r="K3375" s="8" t="e">
        <f t="shared" si="26"/>
        <v>#VALUE!</v>
      </c>
    </row>
    <row r="3376" spans="11:11" x14ac:dyDescent="0.25">
      <c r="K3376" s="8" t="e">
        <f t="shared" si="26"/>
        <v>#VALUE!</v>
      </c>
    </row>
    <row r="3377" spans="11:11" x14ac:dyDescent="0.25">
      <c r="K3377" s="8" t="e">
        <f t="shared" si="26"/>
        <v>#VALUE!</v>
      </c>
    </row>
    <row r="3378" spans="11:11" x14ac:dyDescent="0.25">
      <c r="K3378" s="8" t="e">
        <f t="shared" si="26"/>
        <v>#VALUE!</v>
      </c>
    </row>
    <row r="3379" spans="11:11" x14ac:dyDescent="0.25">
      <c r="K3379" s="8" t="e">
        <f t="shared" si="26"/>
        <v>#VALUE!</v>
      </c>
    </row>
    <row r="3380" spans="11:11" x14ac:dyDescent="0.25">
      <c r="K3380" s="8" t="e">
        <f t="shared" si="26"/>
        <v>#VALUE!</v>
      </c>
    </row>
    <row r="3381" spans="11:11" x14ac:dyDescent="0.25">
      <c r="K3381" s="8" t="e">
        <f t="shared" si="26"/>
        <v>#VALUE!</v>
      </c>
    </row>
    <row r="3382" spans="11:11" x14ac:dyDescent="0.25">
      <c r="K3382" s="8" t="e">
        <f t="shared" si="26"/>
        <v>#VALUE!</v>
      </c>
    </row>
    <row r="3383" spans="11:11" x14ac:dyDescent="0.25">
      <c r="K3383" s="8" t="e">
        <f t="shared" si="26"/>
        <v>#VALUE!</v>
      </c>
    </row>
    <row r="3384" spans="11:11" x14ac:dyDescent="0.25">
      <c r="K3384" s="8" t="e">
        <f t="shared" si="26"/>
        <v>#VALUE!</v>
      </c>
    </row>
    <row r="3385" spans="11:11" x14ac:dyDescent="0.25">
      <c r="K3385" s="8" t="e">
        <f t="shared" si="26"/>
        <v>#VALUE!</v>
      </c>
    </row>
    <row r="3386" spans="11:11" x14ac:dyDescent="0.25">
      <c r="K3386" s="8" t="e">
        <f t="shared" si="26"/>
        <v>#VALUE!</v>
      </c>
    </row>
    <row r="3387" spans="11:11" x14ac:dyDescent="0.25">
      <c r="K3387" s="8" t="e">
        <f t="shared" si="26"/>
        <v>#VALUE!</v>
      </c>
    </row>
    <row r="3388" spans="11:11" x14ac:dyDescent="0.25">
      <c r="K3388" s="8" t="e">
        <f t="shared" si="26"/>
        <v>#VALUE!</v>
      </c>
    </row>
    <row r="3389" spans="11:11" x14ac:dyDescent="0.25">
      <c r="K3389" s="8" t="e">
        <f t="shared" si="26"/>
        <v>#VALUE!</v>
      </c>
    </row>
    <row r="3390" spans="11:11" x14ac:dyDescent="0.25">
      <c r="K3390" s="8" t="e">
        <f t="shared" si="26"/>
        <v>#VALUE!</v>
      </c>
    </row>
    <row r="3391" spans="11:11" x14ac:dyDescent="0.25">
      <c r="K3391" s="8" t="e">
        <f t="shared" si="26"/>
        <v>#VALUE!</v>
      </c>
    </row>
    <row r="3392" spans="11:11" x14ac:dyDescent="0.25">
      <c r="K3392" s="8" t="e">
        <f t="shared" si="26"/>
        <v>#VALUE!</v>
      </c>
    </row>
    <row r="3393" spans="11:11" x14ac:dyDescent="0.25">
      <c r="K3393" s="8" t="e">
        <f t="shared" si="26"/>
        <v>#VALUE!</v>
      </c>
    </row>
    <row r="3394" spans="11:11" x14ac:dyDescent="0.25">
      <c r="K3394" s="8" t="e">
        <f t="shared" si="26"/>
        <v>#VALUE!</v>
      </c>
    </row>
    <row r="3395" spans="11:11" x14ac:dyDescent="0.25">
      <c r="K3395" s="8" t="e">
        <f t="shared" ref="K3395:K3458" si="27">LEFT(A3395,FIND("/",A3395)-1)</f>
        <v>#VALUE!</v>
      </c>
    </row>
    <row r="3396" spans="11:11" x14ac:dyDescent="0.25">
      <c r="K3396" s="8" t="e">
        <f t="shared" si="27"/>
        <v>#VALUE!</v>
      </c>
    </row>
    <row r="3397" spans="11:11" x14ac:dyDescent="0.25">
      <c r="K3397" s="8" t="e">
        <f t="shared" si="27"/>
        <v>#VALUE!</v>
      </c>
    </row>
    <row r="3398" spans="11:11" x14ac:dyDescent="0.25">
      <c r="K3398" s="8" t="e">
        <f t="shared" si="27"/>
        <v>#VALUE!</v>
      </c>
    </row>
    <row r="3399" spans="11:11" x14ac:dyDescent="0.25">
      <c r="K3399" s="8" t="e">
        <f t="shared" si="27"/>
        <v>#VALUE!</v>
      </c>
    </row>
    <row r="3400" spans="11:11" x14ac:dyDescent="0.25">
      <c r="K3400" s="8" t="e">
        <f t="shared" si="27"/>
        <v>#VALUE!</v>
      </c>
    </row>
    <row r="3401" spans="11:11" x14ac:dyDescent="0.25">
      <c r="K3401" s="8" t="e">
        <f t="shared" si="27"/>
        <v>#VALUE!</v>
      </c>
    </row>
    <row r="3402" spans="11:11" x14ac:dyDescent="0.25">
      <c r="K3402" s="8" t="e">
        <f t="shared" si="27"/>
        <v>#VALUE!</v>
      </c>
    </row>
    <row r="3403" spans="11:11" x14ac:dyDescent="0.25">
      <c r="K3403" s="8" t="e">
        <f t="shared" si="27"/>
        <v>#VALUE!</v>
      </c>
    </row>
    <row r="3404" spans="11:11" x14ac:dyDescent="0.25">
      <c r="K3404" s="8" t="e">
        <f t="shared" si="27"/>
        <v>#VALUE!</v>
      </c>
    </row>
    <row r="3405" spans="11:11" x14ac:dyDescent="0.25">
      <c r="K3405" s="8" t="e">
        <f t="shared" si="27"/>
        <v>#VALUE!</v>
      </c>
    </row>
    <row r="3406" spans="11:11" x14ac:dyDescent="0.25">
      <c r="K3406" s="8" t="e">
        <f t="shared" si="27"/>
        <v>#VALUE!</v>
      </c>
    </row>
    <row r="3407" spans="11:11" x14ac:dyDescent="0.25">
      <c r="K3407" s="8" t="e">
        <f t="shared" si="27"/>
        <v>#VALUE!</v>
      </c>
    </row>
    <row r="3408" spans="11:11" x14ac:dyDescent="0.25">
      <c r="K3408" s="8" t="e">
        <f t="shared" si="27"/>
        <v>#VALUE!</v>
      </c>
    </row>
    <row r="3409" spans="11:11" x14ac:dyDescent="0.25">
      <c r="K3409" s="8" t="e">
        <f t="shared" si="27"/>
        <v>#VALUE!</v>
      </c>
    </row>
    <row r="3410" spans="11:11" x14ac:dyDescent="0.25">
      <c r="K3410" s="8" t="e">
        <f t="shared" si="27"/>
        <v>#VALUE!</v>
      </c>
    </row>
    <row r="3411" spans="11:11" x14ac:dyDescent="0.25">
      <c r="K3411" s="8" t="e">
        <f t="shared" si="27"/>
        <v>#VALUE!</v>
      </c>
    </row>
    <row r="3412" spans="11:11" x14ac:dyDescent="0.25">
      <c r="K3412" s="8" t="e">
        <f t="shared" si="27"/>
        <v>#VALUE!</v>
      </c>
    </row>
    <row r="3413" spans="11:11" x14ac:dyDescent="0.25">
      <c r="K3413" s="8" t="e">
        <f t="shared" si="27"/>
        <v>#VALUE!</v>
      </c>
    </row>
    <row r="3414" spans="11:11" x14ac:dyDescent="0.25">
      <c r="K3414" s="8" t="e">
        <f t="shared" si="27"/>
        <v>#VALUE!</v>
      </c>
    </row>
    <row r="3415" spans="11:11" x14ac:dyDescent="0.25">
      <c r="K3415" s="8" t="e">
        <f t="shared" si="27"/>
        <v>#VALUE!</v>
      </c>
    </row>
    <row r="3416" spans="11:11" x14ac:dyDescent="0.25">
      <c r="K3416" s="8" t="e">
        <f t="shared" si="27"/>
        <v>#VALUE!</v>
      </c>
    </row>
    <row r="3417" spans="11:11" x14ac:dyDescent="0.25">
      <c r="K3417" s="8" t="e">
        <f t="shared" si="27"/>
        <v>#VALUE!</v>
      </c>
    </row>
    <row r="3418" spans="11:11" x14ac:dyDescent="0.25">
      <c r="K3418" s="8" t="e">
        <f t="shared" si="27"/>
        <v>#VALUE!</v>
      </c>
    </row>
    <row r="3419" spans="11:11" x14ac:dyDescent="0.25">
      <c r="K3419" s="8" t="e">
        <f t="shared" si="27"/>
        <v>#VALUE!</v>
      </c>
    </row>
    <row r="3420" spans="11:11" x14ac:dyDescent="0.25">
      <c r="K3420" s="8" t="e">
        <f t="shared" si="27"/>
        <v>#VALUE!</v>
      </c>
    </row>
    <row r="3421" spans="11:11" x14ac:dyDescent="0.25">
      <c r="K3421" s="8" t="e">
        <f t="shared" si="27"/>
        <v>#VALUE!</v>
      </c>
    </row>
    <row r="3422" spans="11:11" x14ac:dyDescent="0.25">
      <c r="K3422" s="8" t="e">
        <f t="shared" si="27"/>
        <v>#VALUE!</v>
      </c>
    </row>
    <row r="3423" spans="11:11" x14ac:dyDescent="0.25">
      <c r="K3423" s="8" t="e">
        <f t="shared" si="27"/>
        <v>#VALUE!</v>
      </c>
    </row>
    <row r="3424" spans="11:11" x14ac:dyDescent="0.25">
      <c r="K3424" s="8" t="e">
        <f t="shared" si="27"/>
        <v>#VALUE!</v>
      </c>
    </row>
    <row r="3425" spans="11:11" x14ac:dyDescent="0.25">
      <c r="K3425" s="8" t="e">
        <f t="shared" si="27"/>
        <v>#VALUE!</v>
      </c>
    </row>
    <row r="3426" spans="11:11" x14ac:dyDescent="0.25">
      <c r="K3426" s="8" t="e">
        <f t="shared" si="27"/>
        <v>#VALUE!</v>
      </c>
    </row>
    <row r="3427" spans="11:11" x14ac:dyDescent="0.25">
      <c r="K3427" s="8" t="e">
        <f t="shared" si="27"/>
        <v>#VALUE!</v>
      </c>
    </row>
    <row r="3428" spans="11:11" x14ac:dyDescent="0.25">
      <c r="K3428" s="8" t="e">
        <f t="shared" si="27"/>
        <v>#VALUE!</v>
      </c>
    </row>
    <row r="3429" spans="11:11" x14ac:dyDescent="0.25">
      <c r="K3429" s="8" t="e">
        <f t="shared" si="27"/>
        <v>#VALUE!</v>
      </c>
    </row>
    <row r="3430" spans="11:11" x14ac:dyDescent="0.25">
      <c r="K3430" s="8" t="e">
        <f t="shared" si="27"/>
        <v>#VALUE!</v>
      </c>
    </row>
    <row r="3431" spans="11:11" x14ac:dyDescent="0.25">
      <c r="K3431" s="8" t="e">
        <f t="shared" si="27"/>
        <v>#VALUE!</v>
      </c>
    </row>
    <row r="3432" spans="11:11" x14ac:dyDescent="0.25">
      <c r="K3432" s="8" t="e">
        <f t="shared" si="27"/>
        <v>#VALUE!</v>
      </c>
    </row>
    <row r="3433" spans="11:11" x14ac:dyDescent="0.25">
      <c r="K3433" s="8" t="e">
        <f t="shared" si="27"/>
        <v>#VALUE!</v>
      </c>
    </row>
    <row r="3434" spans="11:11" x14ac:dyDescent="0.25">
      <c r="K3434" s="8" t="e">
        <f t="shared" si="27"/>
        <v>#VALUE!</v>
      </c>
    </row>
    <row r="3435" spans="11:11" x14ac:dyDescent="0.25">
      <c r="K3435" s="8" t="e">
        <f t="shared" si="27"/>
        <v>#VALUE!</v>
      </c>
    </row>
    <row r="3436" spans="11:11" x14ac:dyDescent="0.25">
      <c r="K3436" s="8" t="e">
        <f t="shared" si="27"/>
        <v>#VALUE!</v>
      </c>
    </row>
    <row r="3437" spans="11:11" x14ac:dyDescent="0.25">
      <c r="K3437" s="8" t="e">
        <f t="shared" si="27"/>
        <v>#VALUE!</v>
      </c>
    </row>
    <row r="3438" spans="11:11" x14ac:dyDescent="0.25">
      <c r="K3438" s="8" t="e">
        <f t="shared" si="27"/>
        <v>#VALUE!</v>
      </c>
    </row>
    <row r="3439" spans="11:11" x14ac:dyDescent="0.25">
      <c r="K3439" s="8" t="e">
        <f t="shared" si="27"/>
        <v>#VALUE!</v>
      </c>
    </row>
    <row r="3440" spans="11:11" x14ac:dyDescent="0.25">
      <c r="K3440" s="8" t="e">
        <f t="shared" si="27"/>
        <v>#VALUE!</v>
      </c>
    </row>
    <row r="3441" spans="11:11" x14ac:dyDescent="0.25">
      <c r="K3441" s="8" t="e">
        <f t="shared" si="27"/>
        <v>#VALUE!</v>
      </c>
    </row>
    <row r="3442" spans="11:11" x14ac:dyDescent="0.25">
      <c r="K3442" s="8" t="e">
        <f t="shared" si="27"/>
        <v>#VALUE!</v>
      </c>
    </row>
    <row r="3443" spans="11:11" x14ac:dyDescent="0.25">
      <c r="K3443" s="8" t="e">
        <f t="shared" si="27"/>
        <v>#VALUE!</v>
      </c>
    </row>
    <row r="3444" spans="11:11" x14ac:dyDescent="0.25">
      <c r="K3444" s="8" t="e">
        <f t="shared" si="27"/>
        <v>#VALUE!</v>
      </c>
    </row>
    <row r="3445" spans="11:11" x14ac:dyDescent="0.25">
      <c r="K3445" s="8" t="e">
        <f t="shared" si="27"/>
        <v>#VALUE!</v>
      </c>
    </row>
    <row r="3446" spans="11:11" x14ac:dyDescent="0.25">
      <c r="K3446" s="8" t="e">
        <f t="shared" si="27"/>
        <v>#VALUE!</v>
      </c>
    </row>
    <row r="3447" spans="11:11" x14ac:dyDescent="0.25">
      <c r="K3447" s="8" t="e">
        <f t="shared" si="27"/>
        <v>#VALUE!</v>
      </c>
    </row>
    <row r="3448" spans="11:11" x14ac:dyDescent="0.25">
      <c r="K3448" s="8" t="e">
        <f t="shared" si="27"/>
        <v>#VALUE!</v>
      </c>
    </row>
    <row r="3449" spans="11:11" x14ac:dyDescent="0.25">
      <c r="K3449" s="8" t="e">
        <f t="shared" si="27"/>
        <v>#VALUE!</v>
      </c>
    </row>
    <row r="3450" spans="11:11" x14ac:dyDescent="0.25">
      <c r="K3450" s="8" t="e">
        <f t="shared" si="27"/>
        <v>#VALUE!</v>
      </c>
    </row>
    <row r="3451" spans="11:11" x14ac:dyDescent="0.25">
      <c r="K3451" s="8" t="e">
        <f t="shared" si="27"/>
        <v>#VALUE!</v>
      </c>
    </row>
    <row r="3452" spans="11:11" x14ac:dyDescent="0.25">
      <c r="K3452" s="8" t="e">
        <f t="shared" si="27"/>
        <v>#VALUE!</v>
      </c>
    </row>
    <row r="3453" spans="11:11" x14ac:dyDescent="0.25">
      <c r="K3453" s="8" t="e">
        <f t="shared" si="27"/>
        <v>#VALUE!</v>
      </c>
    </row>
    <row r="3454" spans="11:11" x14ac:dyDescent="0.25">
      <c r="K3454" s="8" t="e">
        <f t="shared" si="27"/>
        <v>#VALUE!</v>
      </c>
    </row>
    <row r="3455" spans="11:11" x14ac:dyDescent="0.25">
      <c r="K3455" s="8" t="e">
        <f t="shared" si="27"/>
        <v>#VALUE!</v>
      </c>
    </row>
    <row r="3456" spans="11:11" x14ac:dyDescent="0.25">
      <c r="K3456" s="8" t="e">
        <f t="shared" si="27"/>
        <v>#VALUE!</v>
      </c>
    </row>
    <row r="3457" spans="11:11" x14ac:dyDescent="0.25">
      <c r="K3457" s="8" t="e">
        <f t="shared" si="27"/>
        <v>#VALUE!</v>
      </c>
    </row>
    <row r="3458" spans="11:11" x14ac:dyDescent="0.25">
      <c r="K3458" s="8" t="e">
        <f t="shared" si="27"/>
        <v>#VALUE!</v>
      </c>
    </row>
    <row r="3459" spans="11:11" x14ac:dyDescent="0.25">
      <c r="K3459" s="8" t="e">
        <f t="shared" ref="K3459:K3522" si="28">LEFT(A3459,FIND("/",A3459)-1)</f>
        <v>#VALUE!</v>
      </c>
    </row>
    <row r="3460" spans="11:11" x14ac:dyDescent="0.25">
      <c r="K3460" s="8" t="e">
        <f t="shared" si="28"/>
        <v>#VALUE!</v>
      </c>
    </row>
    <row r="3461" spans="11:11" x14ac:dyDescent="0.25">
      <c r="K3461" s="8" t="e">
        <f t="shared" si="28"/>
        <v>#VALUE!</v>
      </c>
    </row>
    <row r="3462" spans="11:11" x14ac:dyDescent="0.25">
      <c r="K3462" s="8" t="e">
        <f t="shared" si="28"/>
        <v>#VALUE!</v>
      </c>
    </row>
    <row r="3463" spans="11:11" x14ac:dyDescent="0.25">
      <c r="K3463" s="8" t="e">
        <f t="shared" si="28"/>
        <v>#VALUE!</v>
      </c>
    </row>
    <row r="3464" spans="11:11" x14ac:dyDescent="0.25">
      <c r="K3464" s="8" t="e">
        <f t="shared" si="28"/>
        <v>#VALUE!</v>
      </c>
    </row>
    <row r="3465" spans="11:11" x14ac:dyDescent="0.25">
      <c r="K3465" s="8" t="e">
        <f t="shared" si="28"/>
        <v>#VALUE!</v>
      </c>
    </row>
    <row r="3466" spans="11:11" x14ac:dyDescent="0.25">
      <c r="K3466" s="8" t="e">
        <f t="shared" si="28"/>
        <v>#VALUE!</v>
      </c>
    </row>
    <row r="3467" spans="11:11" x14ac:dyDescent="0.25">
      <c r="K3467" s="8" t="e">
        <f t="shared" si="28"/>
        <v>#VALUE!</v>
      </c>
    </row>
    <row r="3468" spans="11:11" x14ac:dyDescent="0.25">
      <c r="K3468" s="8" t="e">
        <f t="shared" si="28"/>
        <v>#VALUE!</v>
      </c>
    </row>
    <row r="3469" spans="11:11" x14ac:dyDescent="0.25">
      <c r="K3469" s="8" t="e">
        <f t="shared" si="28"/>
        <v>#VALUE!</v>
      </c>
    </row>
    <row r="3470" spans="11:11" x14ac:dyDescent="0.25">
      <c r="K3470" s="8" t="e">
        <f t="shared" si="28"/>
        <v>#VALUE!</v>
      </c>
    </row>
    <row r="3471" spans="11:11" x14ac:dyDescent="0.25">
      <c r="K3471" s="8" t="e">
        <f t="shared" si="28"/>
        <v>#VALUE!</v>
      </c>
    </row>
    <row r="3472" spans="11:11" x14ac:dyDescent="0.25">
      <c r="K3472" s="8" t="e">
        <f t="shared" si="28"/>
        <v>#VALUE!</v>
      </c>
    </row>
    <row r="3473" spans="11:11" x14ac:dyDescent="0.25">
      <c r="K3473" s="8" t="e">
        <f t="shared" si="28"/>
        <v>#VALUE!</v>
      </c>
    </row>
    <row r="3474" spans="11:11" x14ac:dyDescent="0.25">
      <c r="K3474" s="8" t="e">
        <f t="shared" si="28"/>
        <v>#VALUE!</v>
      </c>
    </row>
    <row r="3475" spans="11:11" x14ac:dyDescent="0.25">
      <c r="K3475" s="8" t="e">
        <f t="shared" si="28"/>
        <v>#VALUE!</v>
      </c>
    </row>
    <row r="3476" spans="11:11" x14ac:dyDescent="0.25">
      <c r="K3476" s="8" t="e">
        <f t="shared" si="28"/>
        <v>#VALUE!</v>
      </c>
    </row>
    <row r="3477" spans="11:11" x14ac:dyDescent="0.25">
      <c r="K3477" s="8" t="e">
        <f t="shared" si="28"/>
        <v>#VALUE!</v>
      </c>
    </row>
    <row r="3478" spans="11:11" x14ac:dyDescent="0.25">
      <c r="K3478" s="8" t="e">
        <f t="shared" si="28"/>
        <v>#VALUE!</v>
      </c>
    </row>
    <row r="3479" spans="11:11" x14ac:dyDescent="0.25">
      <c r="K3479" s="8" t="e">
        <f t="shared" si="28"/>
        <v>#VALUE!</v>
      </c>
    </row>
    <row r="3480" spans="11:11" x14ac:dyDescent="0.25">
      <c r="K3480" s="8" t="e">
        <f t="shared" si="28"/>
        <v>#VALUE!</v>
      </c>
    </row>
    <row r="3481" spans="11:11" x14ac:dyDescent="0.25">
      <c r="K3481" s="8" t="e">
        <f t="shared" si="28"/>
        <v>#VALUE!</v>
      </c>
    </row>
    <row r="3482" spans="11:11" x14ac:dyDescent="0.25">
      <c r="K3482" s="8" t="e">
        <f t="shared" si="28"/>
        <v>#VALUE!</v>
      </c>
    </row>
    <row r="3483" spans="11:11" x14ac:dyDescent="0.25">
      <c r="K3483" s="8" t="e">
        <f t="shared" si="28"/>
        <v>#VALUE!</v>
      </c>
    </row>
    <row r="3484" spans="11:11" x14ac:dyDescent="0.25">
      <c r="K3484" s="8" t="e">
        <f t="shared" si="28"/>
        <v>#VALUE!</v>
      </c>
    </row>
    <row r="3485" spans="11:11" x14ac:dyDescent="0.25">
      <c r="K3485" s="8" t="e">
        <f t="shared" si="28"/>
        <v>#VALUE!</v>
      </c>
    </row>
    <row r="3486" spans="11:11" x14ac:dyDescent="0.25">
      <c r="K3486" s="8" t="e">
        <f t="shared" si="28"/>
        <v>#VALUE!</v>
      </c>
    </row>
    <row r="3487" spans="11:11" x14ac:dyDescent="0.25">
      <c r="K3487" s="8" t="e">
        <f t="shared" si="28"/>
        <v>#VALUE!</v>
      </c>
    </row>
    <row r="3488" spans="11:11" x14ac:dyDescent="0.25">
      <c r="K3488" s="8" t="e">
        <f t="shared" si="28"/>
        <v>#VALUE!</v>
      </c>
    </row>
    <row r="3489" spans="11:11" x14ac:dyDescent="0.25">
      <c r="K3489" s="8" t="e">
        <f t="shared" si="28"/>
        <v>#VALUE!</v>
      </c>
    </row>
    <row r="3490" spans="11:11" x14ac:dyDescent="0.25">
      <c r="K3490" s="8" t="e">
        <f t="shared" si="28"/>
        <v>#VALUE!</v>
      </c>
    </row>
    <row r="3491" spans="11:11" x14ac:dyDescent="0.25">
      <c r="K3491" s="8" t="e">
        <f t="shared" si="28"/>
        <v>#VALUE!</v>
      </c>
    </row>
    <row r="3492" spans="11:11" x14ac:dyDescent="0.25">
      <c r="K3492" s="8" t="e">
        <f t="shared" si="28"/>
        <v>#VALUE!</v>
      </c>
    </row>
    <row r="3493" spans="11:11" x14ac:dyDescent="0.25">
      <c r="K3493" s="8" t="e">
        <f t="shared" si="28"/>
        <v>#VALUE!</v>
      </c>
    </row>
    <row r="3494" spans="11:11" x14ac:dyDescent="0.25">
      <c r="K3494" s="8" t="e">
        <f t="shared" si="28"/>
        <v>#VALUE!</v>
      </c>
    </row>
    <row r="3495" spans="11:11" x14ac:dyDescent="0.25">
      <c r="K3495" s="8" t="e">
        <f t="shared" si="28"/>
        <v>#VALUE!</v>
      </c>
    </row>
    <row r="3496" spans="11:11" x14ac:dyDescent="0.25">
      <c r="K3496" s="8" t="e">
        <f t="shared" si="28"/>
        <v>#VALUE!</v>
      </c>
    </row>
    <row r="3497" spans="11:11" x14ac:dyDescent="0.25">
      <c r="K3497" s="8" t="e">
        <f t="shared" si="28"/>
        <v>#VALUE!</v>
      </c>
    </row>
    <row r="3498" spans="11:11" x14ac:dyDescent="0.25">
      <c r="K3498" s="8" t="e">
        <f t="shared" si="28"/>
        <v>#VALUE!</v>
      </c>
    </row>
    <row r="3499" spans="11:11" x14ac:dyDescent="0.25">
      <c r="K3499" s="8" t="e">
        <f t="shared" si="28"/>
        <v>#VALUE!</v>
      </c>
    </row>
    <row r="3500" spans="11:11" x14ac:dyDescent="0.25">
      <c r="K3500" s="8" t="e">
        <f t="shared" si="28"/>
        <v>#VALUE!</v>
      </c>
    </row>
    <row r="3501" spans="11:11" x14ac:dyDescent="0.25">
      <c r="K3501" s="8" t="e">
        <f t="shared" si="28"/>
        <v>#VALUE!</v>
      </c>
    </row>
    <row r="3502" spans="11:11" x14ac:dyDescent="0.25">
      <c r="K3502" s="8" t="e">
        <f t="shared" si="28"/>
        <v>#VALUE!</v>
      </c>
    </row>
    <row r="3503" spans="11:11" x14ac:dyDescent="0.25">
      <c r="K3503" s="8" t="e">
        <f t="shared" si="28"/>
        <v>#VALUE!</v>
      </c>
    </row>
    <row r="3504" spans="11:11" x14ac:dyDescent="0.25">
      <c r="K3504" s="8" t="e">
        <f t="shared" si="28"/>
        <v>#VALUE!</v>
      </c>
    </row>
    <row r="3505" spans="11:11" x14ac:dyDescent="0.25">
      <c r="K3505" s="8" t="e">
        <f t="shared" si="28"/>
        <v>#VALUE!</v>
      </c>
    </row>
    <row r="3506" spans="11:11" x14ac:dyDescent="0.25">
      <c r="K3506" s="8" t="e">
        <f t="shared" si="28"/>
        <v>#VALUE!</v>
      </c>
    </row>
    <row r="3507" spans="11:11" x14ac:dyDescent="0.25">
      <c r="K3507" s="8" t="e">
        <f t="shared" si="28"/>
        <v>#VALUE!</v>
      </c>
    </row>
    <row r="3508" spans="11:11" x14ac:dyDescent="0.25">
      <c r="K3508" s="8" t="e">
        <f t="shared" si="28"/>
        <v>#VALUE!</v>
      </c>
    </row>
    <row r="3509" spans="11:11" x14ac:dyDescent="0.25">
      <c r="K3509" s="8" t="e">
        <f t="shared" si="28"/>
        <v>#VALUE!</v>
      </c>
    </row>
    <row r="3510" spans="11:11" x14ac:dyDescent="0.25">
      <c r="K3510" s="8" t="e">
        <f t="shared" si="28"/>
        <v>#VALUE!</v>
      </c>
    </row>
    <row r="3511" spans="11:11" x14ac:dyDescent="0.25">
      <c r="K3511" s="8" t="e">
        <f t="shared" si="28"/>
        <v>#VALUE!</v>
      </c>
    </row>
    <row r="3512" spans="11:11" x14ac:dyDescent="0.25">
      <c r="K3512" s="8" t="e">
        <f t="shared" si="28"/>
        <v>#VALUE!</v>
      </c>
    </row>
    <row r="3513" spans="11:11" x14ac:dyDescent="0.25">
      <c r="K3513" s="8" t="e">
        <f t="shared" si="28"/>
        <v>#VALUE!</v>
      </c>
    </row>
    <row r="3514" spans="11:11" x14ac:dyDescent="0.25">
      <c r="K3514" s="8" t="e">
        <f t="shared" si="28"/>
        <v>#VALUE!</v>
      </c>
    </row>
    <row r="3515" spans="11:11" x14ac:dyDescent="0.25">
      <c r="K3515" s="8" t="e">
        <f t="shared" si="28"/>
        <v>#VALUE!</v>
      </c>
    </row>
    <row r="3516" spans="11:11" x14ac:dyDescent="0.25">
      <c r="K3516" s="8" t="e">
        <f t="shared" si="28"/>
        <v>#VALUE!</v>
      </c>
    </row>
    <row r="3517" spans="11:11" x14ac:dyDescent="0.25">
      <c r="K3517" s="8" t="e">
        <f t="shared" si="28"/>
        <v>#VALUE!</v>
      </c>
    </row>
    <row r="3518" spans="11:11" x14ac:dyDescent="0.25">
      <c r="K3518" s="8" t="e">
        <f t="shared" si="28"/>
        <v>#VALUE!</v>
      </c>
    </row>
    <row r="3519" spans="11:11" x14ac:dyDescent="0.25">
      <c r="K3519" s="8" t="e">
        <f t="shared" si="28"/>
        <v>#VALUE!</v>
      </c>
    </row>
    <row r="3520" spans="11:11" x14ac:dyDescent="0.25">
      <c r="K3520" s="8" t="e">
        <f t="shared" si="28"/>
        <v>#VALUE!</v>
      </c>
    </row>
    <row r="3521" spans="11:11" x14ac:dyDescent="0.25">
      <c r="K3521" s="8" t="e">
        <f t="shared" si="28"/>
        <v>#VALUE!</v>
      </c>
    </row>
    <row r="3522" spans="11:11" x14ac:dyDescent="0.25">
      <c r="K3522" s="8" t="e">
        <f t="shared" si="28"/>
        <v>#VALUE!</v>
      </c>
    </row>
    <row r="3523" spans="11:11" x14ac:dyDescent="0.25">
      <c r="K3523" s="8" t="e">
        <f t="shared" ref="K3523:K3586" si="29">LEFT(A3523,FIND("/",A3523)-1)</f>
        <v>#VALUE!</v>
      </c>
    </row>
    <row r="3524" spans="11:11" x14ac:dyDescent="0.25">
      <c r="K3524" s="8" t="e">
        <f t="shared" si="29"/>
        <v>#VALUE!</v>
      </c>
    </row>
    <row r="3525" spans="11:11" x14ac:dyDescent="0.25">
      <c r="K3525" s="8" t="e">
        <f t="shared" si="29"/>
        <v>#VALUE!</v>
      </c>
    </row>
    <row r="3526" spans="11:11" x14ac:dyDescent="0.25">
      <c r="K3526" s="8" t="e">
        <f t="shared" si="29"/>
        <v>#VALUE!</v>
      </c>
    </row>
    <row r="3527" spans="11:11" x14ac:dyDescent="0.25">
      <c r="K3527" s="8" t="e">
        <f t="shared" si="29"/>
        <v>#VALUE!</v>
      </c>
    </row>
    <row r="3528" spans="11:11" x14ac:dyDescent="0.25">
      <c r="K3528" s="8" t="e">
        <f t="shared" si="29"/>
        <v>#VALUE!</v>
      </c>
    </row>
    <row r="3529" spans="11:11" x14ac:dyDescent="0.25">
      <c r="K3529" s="8" t="e">
        <f t="shared" si="29"/>
        <v>#VALUE!</v>
      </c>
    </row>
    <row r="3530" spans="11:11" x14ac:dyDescent="0.25">
      <c r="K3530" s="8" t="e">
        <f t="shared" si="29"/>
        <v>#VALUE!</v>
      </c>
    </row>
    <row r="3531" spans="11:11" x14ac:dyDescent="0.25">
      <c r="K3531" s="8" t="e">
        <f t="shared" si="29"/>
        <v>#VALUE!</v>
      </c>
    </row>
    <row r="3532" spans="11:11" x14ac:dyDescent="0.25">
      <c r="K3532" s="8" t="e">
        <f t="shared" si="29"/>
        <v>#VALUE!</v>
      </c>
    </row>
    <row r="3533" spans="11:11" x14ac:dyDescent="0.25">
      <c r="K3533" s="8" t="e">
        <f t="shared" si="29"/>
        <v>#VALUE!</v>
      </c>
    </row>
    <row r="3534" spans="11:11" x14ac:dyDescent="0.25">
      <c r="K3534" s="8" t="e">
        <f t="shared" si="29"/>
        <v>#VALUE!</v>
      </c>
    </row>
    <row r="3535" spans="11:11" x14ac:dyDescent="0.25">
      <c r="K3535" s="8" t="e">
        <f t="shared" si="29"/>
        <v>#VALUE!</v>
      </c>
    </row>
    <row r="3536" spans="11:11" x14ac:dyDescent="0.25">
      <c r="K3536" s="8" t="e">
        <f t="shared" si="29"/>
        <v>#VALUE!</v>
      </c>
    </row>
    <row r="3537" spans="11:11" x14ac:dyDescent="0.25">
      <c r="K3537" s="8" t="e">
        <f t="shared" si="29"/>
        <v>#VALUE!</v>
      </c>
    </row>
    <row r="3538" spans="11:11" x14ac:dyDescent="0.25">
      <c r="K3538" s="8" t="e">
        <f t="shared" si="29"/>
        <v>#VALUE!</v>
      </c>
    </row>
    <row r="3539" spans="11:11" x14ac:dyDescent="0.25">
      <c r="K3539" s="8" t="e">
        <f t="shared" si="29"/>
        <v>#VALUE!</v>
      </c>
    </row>
    <row r="3540" spans="11:11" x14ac:dyDescent="0.25">
      <c r="K3540" s="8" t="e">
        <f t="shared" si="29"/>
        <v>#VALUE!</v>
      </c>
    </row>
    <row r="3541" spans="11:11" x14ac:dyDescent="0.25">
      <c r="K3541" s="8" t="e">
        <f t="shared" si="29"/>
        <v>#VALUE!</v>
      </c>
    </row>
    <row r="3542" spans="11:11" x14ac:dyDescent="0.25">
      <c r="K3542" s="8" t="e">
        <f t="shared" si="29"/>
        <v>#VALUE!</v>
      </c>
    </row>
    <row r="3543" spans="11:11" x14ac:dyDescent="0.25">
      <c r="K3543" s="8" t="e">
        <f t="shared" si="29"/>
        <v>#VALUE!</v>
      </c>
    </row>
    <row r="3544" spans="11:11" x14ac:dyDescent="0.25">
      <c r="K3544" s="8" t="e">
        <f t="shared" si="29"/>
        <v>#VALUE!</v>
      </c>
    </row>
    <row r="3545" spans="11:11" x14ac:dyDescent="0.25">
      <c r="K3545" s="8" t="e">
        <f t="shared" si="29"/>
        <v>#VALUE!</v>
      </c>
    </row>
    <row r="3546" spans="11:11" x14ac:dyDescent="0.25">
      <c r="K3546" s="8" t="e">
        <f t="shared" si="29"/>
        <v>#VALUE!</v>
      </c>
    </row>
    <row r="3547" spans="11:11" x14ac:dyDescent="0.25">
      <c r="K3547" s="8" t="e">
        <f t="shared" si="29"/>
        <v>#VALUE!</v>
      </c>
    </row>
    <row r="3548" spans="11:11" x14ac:dyDescent="0.25">
      <c r="K3548" s="8" t="e">
        <f t="shared" si="29"/>
        <v>#VALUE!</v>
      </c>
    </row>
    <row r="3549" spans="11:11" x14ac:dyDescent="0.25">
      <c r="K3549" s="8" t="e">
        <f t="shared" si="29"/>
        <v>#VALUE!</v>
      </c>
    </row>
    <row r="3550" spans="11:11" x14ac:dyDescent="0.25">
      <c r="K3550" s="8" t="e">
        <f t="shared" si="29"/>
        <v>#VALUE!</v>
      </c>
    </row>
    <row r="3551" spans="11:11" x14ac:dyDescent="0.25">
      <c r="K3551" s="8" t="e">
        <f t="shared" si="29"/>
        <v>#VALUE!</v>
      </c>
    </row>
    <row r="3552" spans="11:11" x14ac:dyDescent="0.25">
      <c r="K3552" s="8" t="e">
        <f t="shared" si="29"/>
        <v>#VALUE!</v>
      </c>
    </row>
    <row r="3553" spans="11:11" x14ac:dyDescent="0.25">
      <c r="K3553" s="8" t="e">
        <f t="shared" si="29"/>
        <v>#VALUE!</v>
      </c>
    </row>
    <row r="3554" spans="11:11" x14ac:dyDescent="0.25">
      <c r="K3554" s="8" t="e">
        <f t="shared" si="29"/>
        <v>#VALUE!</v>
      </c>
    </row>
    <row r="3555" spans="11:11" x14ac:dyDescent="0.25">
      <c r="K3555" s="8" t="e">
        <f t="shared" si="29"/>
        <v>#VALUE!</v>
      </c>
    </row>
    <row r="3556" spans="11:11" x14ac:dyDescent="0.25">
      <c r="K3556" s="8" t="e">
        <f t="shared" si="29"/>
        <v>#VALUE!</v>
      </c>
    </row>
    <row r="3557" spans="11:11" x14ac:dyDescent="0.25">
      <c r="K3557" s="8" t="e">
        <f t="shared" si="29"/>
        <v>#VALUE!</v>
      </c>
    </row>
    <row r="3558" spans="11:11" x14ac:dyDescent="0.25">
      <c r="K3558" s="8" t="e">
        <f t="shared" si="29"/>
        <v>#VALUE!</v>
      </c>
    </row>
    <row r="3559" spans="11:11" x14ac:dyDescent="0.25">
      <c r="K3559" s="8" t="e">
        <f t="shared" si="29"/>
        <v>#VALUE!</v>
      </c>
    </row>
    <row r="3560" spans="11:11" x14ac:dyDescent="0.25">
      <c r="K3560" s="8" t="e">
        <f t="shared" si="29"/>
        <v>#VALUE!</v>
      </c>
    </row>
    <row r="3561" spans="11:11" x14ac:dyDescent="0.25">
      <c r="K3561" s="8" t="e">
        <f t="shared" si="29"/>
        <v>#VALUE!</v>
      </c>
    </row>
    <row r="3562" spans="11:11" x14ac:dyDescent="0.25">
      <c r="K3562" s="8" t="e">
        <f t="shared" si="29"/>
        <v>#VALUE!</v>
      </c>
    </row>
    <row r="3563" spans="11:11" x14ac:dyDescent="0.25">
      <c r="K3563" s="8" t="e">
        <f t="shared" si="29"/>
        <v>#VALUE!</v>
      </c>
    </row>
    <row r="3564" spans="11:11" x14ac:dyDescent="0.25">
      <c r="K3564" s="8" t="e">
        <f t="shared" si="29"/>
        <v>#VALUE!</v>
      </c>
    </row>
    <row r="3565" spans="11:11" x14ac:dyDescent="0.25">
      <c r="K3565" s="8" t="e">
        <f t="shared" si="29"/>
        <v>#VALUE!</v>
      </c>
    </row>
    <row r="3566" spans="11:11" x14ac:dyDescent="0.25">
      <c r="K3566" s="8" t="e">
        <f t="shared" si="29"/>
        <v>#VALUE!</v>
      </c>
    </row>
    <row r="3567" spans="11:11" x14ac:dyDescent="0.25">
      <c r="K3567" s="8" t="e">
        <f t="shared" si="29"/>
        <v>#VALUE!</v>
      </c>
    </row>
    <row r="3568" spans="11:11" x14ac:dyDescent="0.25">
      <c r="K3568" s="8" t="e">
        <f t="shared" si="29"/>
        <v>#VALUE!</v>
      </c>
    </row>
    <row r="3569" spans="11:11" x14ac:dyDescent="0.25">
      <c r="K3569" s="8" t="e">
        <f t="shared" si="29"/>
        <v>#VALUE!</v>
      </c>
    </row>
    <row r="3570" spans="11:11" x14ac:dyDescent="0.25">
      <c r="K3570" s="8" t="e">
        <f t="shared" si="29"/>
        <v>#VALUE!</v>
      </c>
    </row>
    <row r="3571" spans="11:11" x14ac:dyDescent="0.25">
      <c r="K3571" s="8" t="e">
        <f t="shared" si="29"/>
        <v>#VALUE!</v>
      </c>
    </row>
    <row r="3572" spans="11:11" x14ac:dyDescent="0.25">
      <c r="K3572" s="8" t="e">
        <f t="shared" si="29"/>
        <v>#VALUE!</v>
      </c>
    </row>
    <row r="3573" spans="11:11" x14ac:dyDescent="0.25">
      <c r="K3573" s="8" t="e">
        <f t="shared" si="29"/>
        <v>#VALUE!</v>
      </c>
    </row>
    <row r="3574" spans="11:11" x14ac:dyDescent="0.25">
      <c r="K3574" s="8" t="e">
        <f t="shared" si="29"/>
        <v>#VALUE!</v>
      </c>
    </row>
    <row r="3575" spans="11:11" x14ac:dyDescent="0.25">
      <c r="K3575" s="8" t="e">
        <f t="shared" si="29"/>
        <v>#VALUE!</v>
      </c>
    </row>
    <row r="3576" spans="11:11" x14ac:dyDescent="0.25">
      <c r="K3576" s="8" t="e">
        <f t="shared" si="29"/>
        <v>#VALUE!</v>
      </c>
    </row>
    <row r="3577" spans="11:11" x14ac:dyDescent="0.25">
      <c r="K3577" s="8" t="e">
        <f t="shared" si="29"/>
        <v>#VALUE!</v>
      </c>
    </row>
    <row r="3578" spans="11:11" x14ac:dyDescent="0.25">
      <c r="K3578" s="8" t="e">
        <f t="shared" si="29"/>
        <v>#VALUE!</v>
      </c>
    </row>
    <row r="3579" spans="11:11" x14ac:dyDescent="0.25">
      <c r="K3579" s="8" t="e">
        <f t="shared" si="29"/>
        <v>#VALUE!</v>
      </c>
    </row>
    <row r="3580" spans="11:11" x14ac:dyDescent="0.25">
      <c r="K3580" s="8" t="e">
        <f t="shared" si="29"/>
        <v>#VALUE!</v>
      </c>
    </row>
    <row r="3581" spans="11:11" x14ac:dyDescent="0.25">
      <c r="K3581" s="8" t="e">
        <f t="shared" si="29"/>
        <v>#VALUE!</v>
      </c>
    </row>
    <row r="3582" spans="11:11" x14ac:dyDescent="0.25">
      <c r="K3582" s="8" t="e">
        <f t="shared" si="29"/>
        <v>#VALUE!</v>
      </c>
    </row>
    <row r="3583" spans="11:11" x14ac:dyDescent="0.25">
      <c r="K3583" s="8" t="e">
        <f t="shared" si="29"/>
        <v>#VALUE!</v>
      </c>
    </row>
    <row r="3584" spans="11:11" x14ac:dyDescent="0.25">
      <c r="K3584" s="8" t="e">
        <f t="shared" si="29"/>
        <v>#VALUE!</v>
      </c>
    </row>
    <row r="3585" spans="11:11" x14ac:dyDescent="0.25">
      <c r="K3585" s="8" t="e">
        <f t="shared" si="29"/>
        <v>#VALUE!</v>
      </c>
    </row>
    <row r="3586" spans="11:11" x14ac:dyDescent="0.25">
      <c r="K3586" s="8" t="e">
        <f t="shared" si="29"/>
        <v>#VALUE!</v>
      </c>
    </row>
    <row r="3587" spans="11:11" x14ac:dyDescent="0.25">
      <c r="K3587" s="8" t="e">
        <f t="shared" ref="K3587:K3650" si="30">LEFT(A3587,FIND("/",A3587)-1)</f>
        <v>#VALUE!</v>
      </c>
    </row>
    <row r="3588" spans="11:11" x14ac:dyDescent="0.25">
      <c r="K3588" s="8" t="e">
        <f t="shared" si="30"/>
        <v>#VALUE!</v>
      </c>
    </row>
    <row r="3589" spans="11:11" x14ac:dyDescent="0.25">
      <c r="K3589" s="8" t="e">
        <f t="shared" si="30"/>
        <v>#VALUE!</v>
      </c>
    </row>
    <row r="3590" spans="11:11" x14ac:dyDescent="0.25">
      <c r="K3590" s="8" t="e">
        <f t="shared" si="30"/>
        <v>#VALUE!</v>
      </c>
    </row>
    <row r="3591" spans="11:11" x14ac:dyDescent="0.25">
      <c r="K3591" s="8" t="e">
        <f t="shared" si="30"/>
        <v>#VALUE!</v>
      </c>
    </row>
    <row r="3592" spans="11:11" x14ac:dyDescent="0.25">
      <c r="K3592" s="8" t="e">
        <f t="shared" si="30"/>
        <v>#VALUE!</v>
      </c>
    </row>
    <row r="3593" spans="11:11" x14ac:dyDescent="0.25">
      <c r="K3593" s="8" t="e">
        <f t="shared" si="30"/>
        <v>#VALUE!</v>
      </c>
    </row>
    <row r="3594" spans="11:11" x14ac:dyDescent="0.25">
      <c r="K3594" s="8" t="e">
        <f t="shared" si="30"/>
        <v>#VALUE!</v>
      </c>
    </row>
    <row r="3595" spans="11:11" x14ac:dyDescent="0.25">
      <c r="K3595" s="8" t="e">
        <f t="shared" si="30"/>
        <v>#VALUE!</v>
      </c>
    </row>
    <row r="3596" spans="11:11" x14ac:dyDescent="0.25">
      <c r="K3596" s="8" t="e">
        <f t="shared" si="30"/>
        <v>#VALUE!</v>
      </c>
    </row>
    <row r="3597" spans="11:11" x14ac:dyDescent="0.25">
      <c r="K3597" s="8" t="e">
        <f t="shared" si="30"/>
        <v>#VALUE!</v>
      </c>
    </row>
    <row r="3598" spans="11:11" x14ac:dyDescent="0.25">
      <c r="K3598" s="8" t="e">
        <f t="shared" si="30"/>
        <v>#VALUE!</v>
      </c>
    </row>
    <row r="3599" spans="11:11" x14ac:dyDescent="0.25">
      <c r="K3599" s="8" t="e">
        <f t="shared" si="30"/>
        <v>#VALUE!</v>
      </c>
    </row>
    <row r="3600" spans="11:11" x14ac:dyDescent="0.25">
      <c r="K3600" s="8" t="e">
        <f t="shared" si="30"/>
        <v>#VALUE!</v>
      </c>
    </row>
    <row r="3601" spans="11:11" x14ac:dyDescent="0.25">
      <c r="K3601" s="8" t="e">
        <f t="shared" si="30"/>
        <v>#VALUE!</v>
      </c>
    </row>
    <row r="3602" spans="11:11" x14ac:dyDescent="0.25">
      <c r="K3602" s="8" t="e">
        <f t="shared" si="30"/>
        <v>#VALUE!</v>
      </c>
    </row>
    <row r="3603" spans="11:11" x14ac:dyDescent="0.25">
      <c r="K3603" s="8" t="e">
        <f t="shared" si="30"/>
        <v>#VALUE!</v>
      </c>
    </row>
    <row r="3604" spans="11:11" x14ac:dyDescent="0.25">
      <c r="K3604" s="8" t="e">
        <f t="shared" si="30"/>
        <v>#VALUE!</v>
      </c>
    </row>
    <row r="3605" spans="11:11" x14ac:dyDescent="0.25">
      <c r="K3605" s="8" t="e">
        <f t="shared" si="30"/>
        <v>#VALUE!</v>
      </c>
    </row>
    <row r="3606" spans="11:11" x14ac:dyDescent="0.25">
      <c r="K3606" s="8" t="e">
        <f t="shared" si="30"/>
        <v>#VALUE!</v>
      </c>
    </row>
    <row r="3607" spans="11:11" x14ac:dyDescent="0.25">
      <c r="K3607" s="8" t="e">
        <f t="shared" si="30"/>
        <v>#VALUE!</v>
      </c>
    </row>
    <row r="3608" spans="11:11" x14ac:dyDescent="0.25">
      <c r="K3608" s="8" t="e">
        <f t="shared" si="30"/>
        <v>#VALUE!</v>
      </c>
    </row>
    <row r="3609" spans="11:11" x14ac:dyDescent="0.25">
      <c r="K3609" s="8" t="e">
        <f t="shared" si="30"/>
        <v>#VALUE!</v>
      </c>
    </row>
    <row r="3610" spans="11:11" x14ac:dyDescent="0.25">
      <c r="K3610" s="8" t="e">
        <f t="shared" si="30"/>
        <v>#VALUE!</v>
      </c>
    </row>
    <row r="3611" spans="11:11" x14ac:dyDescent="0.25">
      <c r="K3611" s="8" t="e">
        <f t="shared" si="30"/>
        <v>#VALUE!</v>
      </c>
    </row>
    <row r="3612" spans="11:11" x14ac:dyDescent="0.25">
      <c r="K3612" s="8" t="e">
        <f t="shared" si="30"/>
        <v>#VALUE!</v>
      </c>
    </row>
    <row r="3613" spans="11:11" x14ac:dyDescent="0.25">
      <c r="K3613" s="8" t="e">
        <f t="shared" si="30"/>
        <v>#VALUE!</v>
      </c>
    </row>
    <row r="3614" spans="11:11" x14ac:dyDescent="0.25">
      <c r="K3614" s="8" t="e">
        <f t="shared" si="30"/>
        <v>#VALUE!</v>
      </c>
    </row>
    <row r="3615" spans="11:11" x14ac:dyDescent="0.25">
      <c r="K3615" s="8" t="e">
        <f t="shared" si="30"/>
        <v>#VALUE!</v>
      </c>
    </row>
    <row r="3616" spans="11:11" x14ac:dyDescent="0.25">
      <c r="K3616" s="8" t="e">
        <f t="shared" si="30"/>
        <v>#VALUE!</v>
      </c>
    </row>
    <row r="3617" spans="11:11" x14ac:dyDescent="0.25">
      <c r="K3617" s="8" t="e">
        <f t="shared" si="30"/>
        <v>#VALUE!</v>
      </c>
    </row>
    <row r="3618" spans="11:11" x14ac:dyDescent="0.25">
      <c r="K3618" s="8" t="e">
        <f t="shared" si="30"/>
        <v>#VALUE!</v>
      </c>
    </row>
    <row r="3619" spans="11:11" x14ac:dyDescent="0.25">
      <c r="K3619" s="8" t="e">
        <f t="shared" si="30"/>
        <v>#VALUE!</v>
      </c>
    </row>
    <row r="3620" spans="11:11" x14ac:dyDescent="0.25">
      <c r="K3620" s="8" t="e">
        <f t="shared" si="30"/>
        <v>#VALUE!</v>
      </c>
    </row>
    <row r="3621" spans="11:11" x14ac:dyDescent="0.25">
      <c r="K3621" s="8" t="e">
        <f t="shared" si="30"/>
        <v>#VALUE!</v>
      </c>
    </row>
    <row r="3622" spans="11:11" x14ac:dyDescent="0.25">
      <c r="K3622" s="8" t="e">
        <f t="shared" si="30"/>
        <v>#VALUE!</v>
      </c>
    </row>
    <row r="3623" spans="11:11" x14ac:dyDescent="0.25">
      <c r="K3623" s="8" t="e">
        <f t="shared" si="30"/>
        <v>#VALUE!</v>
      </c>
    </row>
    <row r="3624" spans="11:11" x14ac:dyDescent="0.25">
      <c r="K3624" s="8" t="e">
        <f t="shared" si="30"/>
        <v>#VALUE!</v>
      </c>
    </row>
    <row r="3625" spans="11:11" x14ac:dyDescent="0.25">
      <c r="K3625" s="8" t="e">
        <f t="shared" si="30"/>
        <v>#VALUE!</v>
      </c>
    </row>
    <row r="3626" spans="11:11" x14ac:dyDescent="0.25">
      <c r="K3626" s="8" t="e">
        <f t="shared" si="30"/>
        <v>#VALUE!</v>
      </c>
    </row>
    <row r="3627" spans="11:11" x14ac:dyDescent="0.25">
      <c r="K3627" s="8" t="e">
        <f t="shared" si="30"/>
        <v>#VALUE!</v>
      </c>
    </row>
    <row r="3628" spans="11:11" x14ac:dyDescent="0.25">
      <c r="K3628" s="8" t="e">
        <f t="shared" si="30"/>
        <v>#VALUE!</v>
      </c>
    </row>
    <row r="3629" spans="11:11" x14ac:dyDescent="0.25">
      <c r="K3629" s="8" t="e">
        <f t="shared" si="30"/>
        <v>#VALUE!</v>
      </c>
    </row>
    <row r="3630" spans="11:11" x14ac:dyDescent="0.25">
      <c r="K3630" s="8" t="e">
        <f t="shared" si="30"/>
        <v>#VALUE!</v>
      </c>
    </row>
    <row r="3631" spans="11:11" x14ac:dyDescent="0.25">
      <c r="K3631" s="8" t="e">
        <f t="shared" si="30"/>
        <v>#VALUE!</v>
      </c>
    </row>
    <row r="3632" spans="11:11" x14ac:dyDescent="0.25">
      <c r="K3632" s="8" t="e">
        <f t="shared" si="30"/>
        <v>#VALUE!</v>
      </c>
    </row>
    <row r="3633" spans="11:11" x14ac:dyDescent="0.25">
      <c r="K3633" s="8" t="e">
        <f t="shared" si="30"/>
        <v>#VALUE!</v>
      </c>
    </row>
    <row r="3634" spans="11:11" x14ac:dyDescent="0.25">
      <c r="K3634" s="8" t="e">
        <f t="shared" si="30"/>
        <v>#VALUE!</v>
      </c>
    </row>
    <row r="3635" spans="11:11" x14ac:dyDescent="0.25">
      <c r="K3635" s="8" t="e">
        <f t="shared" si="30"/>
        <v>#VALUE!</v>
      </c>
    </row>
    <row r="3636" spans="11:11" x14ac:dyDescent="0.25">
      <c r="K3636" s="8" t="e">
        <f t="shared" si="30"/>
        <v>#VALUE!</v>
      </c>
    </row>
    <row r="3637" spans="11:11" x14ac:dyDescent="0.25">
      <c r="K3637" s="8" t="e">
        <f t="shared" si="30"/>
        <v>#VALUE!</v>
      </c>
    </row>
    <row r="3638" spans="11:11" x14ac:dyDescent="0.25">
      <c r="K3638" s="8" t="e">
        <f t="shared" si="30"/>
        <v>#VALUE!</v>
      </c>
    </row>
    <row r="3639" spans="11:11" x14ac:dyDescent="0.25">
      <c r="K3639" s="8" t="e">
        <f t="shared" si="30"/>
        <v>#VALUE!</v>
      </c>
    </row>
    <row r="3640" spans="11:11" x14ac:dyDescent="0.25">
      <c r="K3640" s="8" t="e">
        <f t="shared" si="30"/>
        <v>#VALUE!</v>
      </c>
    </row>
    <row r="3641" spans="11:11" x14ac:dyDescent="0.25">
      <c r="K3641" s="8" t="e">
        <f t="shared" si="30"/>
        <v>#VALUE!</v>
      </c>
    </row>
    <row r="3642" spans="11:11" x14ac:dyDescent="0.25">
      <c r="K3642" s="8" t="e">
        <f t="shared" si="30"/>
        <v>#VALUE!</v>
      </c>
    </row>
    <row r="3643" spans="11:11" x14ac:dyDescent="0.25">
      <c r="K3643" s="8" t="e">
        <f t="shared" si="30"/>
        <v>#VALUE!</v>
      </c>
    </row>
    <row r="3644" spans="11:11" x14ac:dyDescent="0.25">
      <c r="K3644" s="8" t="e">
        <f t="shared" si="30"/>
        <v>#VALUE!</v>
      </c>
    </row>
    <row r="3645" spans="11:11" x14ac:dyDescent="0.25">
      <c r="K3645" s="8" t="e">
        <f t="shared" si="30"/>
        <v>#VALUE!</v>
      </c>
    </row>
    <row r="3646" spans="11:11" x14ac:dyDescent="0.25">
      <c r="K3646" s="8" t="e">
        <f t="shared" si="30"/>
        <v>#VALUE!</v>
      </c>
    </row>
    <row r="3647" spans="11:11" x14ac:dyDescent="0.25">
      <c r="K3647" s="8" t="e">
        <f t="shared" si="30"/>
        <v>#VALUE!</v>
      </c>
    </row>
    <row r="3648" spans="11:11" x14ac:dyDescent="0.25">
      <c r="K3648" s="8" t="e">
        <f t="shared" si="30"/>
        <v>#VALUE!</v>
      </c>
    </row>
    <row r="3649" spans="11:11" x14ac:dyDescent="0.25">
      <c r="K3649" s="8" t="e">
        <f t="shared" si="30"/>
        <v>#VALUE!</v>
      </c>
    </row>
    <row r="3650" spans="11:11" x14ac:dyDescent="0.25">
      <c r="K3650" s="8" t="e">
        <f t="shared" si="30"/>
        <v>#VALUE!</v>
      </c>
    </row>
    <row r="3651" spans="11:11" x14ac:dyDescent="0.25">
      <c r="K3651" s="8" t="e">
        <f t="shared" ref="K3651:K3714" si="31">LEFT(A3651,FIND("/",A3651)-1)</f>
        <v>#VALUE!</v>
      </c>
    </row>
    <row r="3652" spans="11:11" x14ac:dyDescent="0.25">
      <c r="K3652" s="8" t="e">
        <f t="shared" si="31"/>
        <v>#VALUE!</v>
      </c>
    </row>
    <row r="3653" spans="11:11" x14ac:dyDescent="0.25">
      <c r="K3653" s="8" t="e">
        <f t="shared" si="31"/>
        <v>#VALUE!</v>
      </c>
    </row>
    <row r="3654" spans="11:11" x14ac:dyDescent="0.25">
      <c r="K3654" s="8" t="e">
        <f t="shared" si="31"/>
        <v>#VALUE!</v>
      </c>
    </row>
    <row r="3655" spans="11:11" x14ac:dyDescent="0.25">
      <c r="K3655" s="8" t="e">
        <f t="shared" si="31"/>
        <v>#VALUE!</v>
      </c>
    </row>
    <row r="3656" spans="11:11" x14ac:dyDescent="0.25">
      <c r="K3656" s="8" t="e">
        <f t="shared" si="31"/>
        <v>#VALUE!</v>
      </c>
    </row>
    <row r="3657" spans="11:11" x14ac:dyDescent="0.25">
      <c r="K3657" s="8" t="e">
        <f t="shared" si="31"/>
        <v>#VALUE!</v>
      </c>
    </row>
    <row r="3658" spans="11:11" x14ac:dyDescent="0.25">
      <c r="K3658" s="8" t="e">
        <f t="shared" si="31"/>
        <v>#VALUE!</v>
      </c>
    </row>
    <row r="3659" spans="11:11" x14ac:dyDescent="0.25">
      <c r="K3659" s="8" t="e">
        <f t="shared" si="31"/>
        <v>#VALUE!</v>
      </c>
    </row>
    <row r="3660" spans="11:11" x14ac:dyDescent="0.25">
      <c r="K3660" s="8" t="e">
        <f t="shared" si="31"/>
        <v>#VALUE!</v>
      </c>
    </row>
    <row r="3661" spans="11:11" x14ac:dyDescent="0.25">
      <c r="K3661" s="8" t="e">
        <f t="shared" si="31"/>
        <v>#VALUE!</v>
      </c>
    </row>
    <row r="3662" spans="11:11" x14ac:dyDescent="0.25">
      <c r="K3662" s="8" t="e">
        <f t="shared" si="31"/>
        <v>#VALUE!</v>
      </c>
    </row>
    <row r="3663" spans="11:11" x14ac:dyDescent="0.25">
      <c r="K3663" s="8" t="e">
        <f t="shared" si="31"/>
        <v>#VALUE!</v>
      </c>
    </row>
    <row r="3664" spans="11:11" x14ac:dyDescent="0.25">
      <c r="K3664" s="8" t="e">
        <f t="shared" si="31"/>
        <v>#VALUE!</v>
      </c>
    </row>
    <row r="3665" spans="11:11" x14ac:dyDescent="0.25">
      <c r="K3665" s="8" t="e">
        <f t="shared" si="31"/>
        <v>#VALUE!</v>
      </c>
    </row>
    <row r="3666" spans="11:11" x14ac:dyDescent="0.25">
      <c r="K3666" s="8" t="e">
        <f t="shared" si="31"/>
        <v>#VALUE!</v>
      </c>
    </row>
    <row r="3667" spans="11:11" x14ac:dyDescent="0.25">
      <c r="K3667" s="8" t="e">
        <f t="shared" si="31"/>
        <v>#VALUE!</v>
      </c>
    </row>
    <row r="3668" spans="11:11" x14ac:dyDescent="0.25">
      <c r="K3668" s="8" t="e">
        <f t="shared" si="31"/>
        <v>#VALUE!</v>
      </c>
    </row>
    <row r="3669" spans="11:11" x14ac:dyDescent="0.25">
      <c r="K3669" s="8" t="e">
        <f t="shared" si="31"/>
        <v>#VALUE!</v>
      </c>
    </row>
    <row r="3670" spans="11:11" x14ac:dyDescent="0.25">
      <c r="K3670" s="8" t="e">
        <f t="shared" si="31"/>
        <v>#VALUE!</v>
      </c>
    </row>
    <row r="3671" spans="11:11" x14ac:dyDescent="0.25">
      <c r="K3671" s="8" t="e">
        <f t="shared" si="31"/>
        <v>#VALUE!</v>
      </c>
    </row>
    <row r="3672" spans="11:11" x14ac:dyDescent="0.25">
      <c r="K3672" s="8" t="e">
        <f t="shared" si="31"/>
        <v>#VALUE!</v>
      </c>
    </row>
    <row r="3673" spans="11:11" x14ac:dyDescent="0.25">
      <c r="K3673" s="8" t="e">
        <f t="shared" si="31"/>
        <v>#VALUE!</v>
      </c>
    </row>
    <row r="3674" spans="11:11" x14ac:dyDescent="0.25">
      <c r="K3674" s="8" t="e">
        <f t="shared" si="31"/>
        <v>#VALUE!</v>
      </c>
    </row>
    <row r="3675" spans="11:11" x14ac:dyDescent="0.25">
      <c r="K3675" s="8" t="e">
        <f t="shared" si="31"/>
        <v>#VALUE!</v>
      </c>
    </row>
    <row r="3676" spans="11:11" x14ac:dyDescent="0.25">
      <c r="K3676" s="8" t="e">
        <f t="shared" si="31"/>
        <v>#VALUE!</v>
      </c>
    </row>
    <row r="3677" spans="11:11" x14ac:dyDescent="0.25">
      <c r="K3677" s="8" t="e">
        <f t="shared" si="31"/>
        <v>#VALUE!</v>
      </c>
    </row>
    <row r="3678" spans="11:11" x14ac:dyDescent="0.25">
      <c r="K3678" s="8" t="e">
        <f t="shared" si="31"/>
        <v>#VALUE!</v>
      </c>
    </row>
    <row r="3679" spans="11:11" x14ac:dyDescent="0.25">
      <c r="K3679" s="8" t="e">
        <f t="shared" si="31"/>
        <v>#VALUE!</v>
      </c>
    </row>
    <row r="3680" spans="11:11" x14ac:dyDescent="0.25">
      <c r="K3680" s="8" t="e">
        <f t="shared" si="31"/>
        <v>#VALUE!</v>
      </c>
    </row>
    <row r="3681" spans="11:11" x14ac:dyDescent="0.25">
      <c r="K3681" s="8" t="e">
        <f t="shared" si="31"/>
        <v>#VALUE!</v>
      </c>
    </row>
    <row r="3682" spans="11:11" x14ac:dyDescent="0.25">
      <c r="K3682" s="8" t="e">
        <f t="shared" si="31"/>
        <v>#VALUE!</v>
      </c>
    </row>
    <row r="3683" spans="11:11" x14ac:dyDescent="0.25">
      <c r="K3683" s="8" t="e">
        <f t="shared" si="31"/>
        <v>#VALUE!</v>
      </c>
    </row>
    <row r="3684" spans="11:11" x14ac:dyDescent="0.25">
      <c r="K3684" s="8" t="e">
        <f t="shared" si="31"/>
        <v>#VALUE!</v>
      </c>
    </row>
    <row r="3685" spans="11:11" x14ac:dyDescent="0.25">
      <c r="K3685" s="8" t="e">
        <f t="shared" si="31"/>
        <v>#VALUE!</v>
      </c>
    </row>
    <row r="3686" spans="11:11" x14ac:dyDescent="0.25">
      <c r="K3686" s="8" t="e">
        <f t="shared" si="31"/>
        <v>#VALUE!</v>
      </c>
    </row>
    <row r="3687" spans="11:11" x14ac:dyDescent="0.25">
      <c r="K3687" s="8" t="e">
        <f t="shared" si="31"/>
        <v>#VALUE!</v>
      </c>
    </row>
    <row r="3688" spans="11:11" x14ac:dyDescent="0.25">
      <c r="K3688" s="8" t="e">
        <f t="shared" si="31"/>
        <v>#VALUE!</v>
      </c>
    </row>
    <row r="3689" spans="11:11" x14ac:dyDescent="0.25">
      <c r="K3689" s="8" t="e">
        <f t="shared" si="31"/>
        <v>#VALUE!</v>
      </c>
    </row>
    <row r="3690" spans="11:11" x14ac:dyDescent="0.25">
      <c r="K3690" s="8" t="e">
        <f t="shared" si="31"/>
        <v>#VALUE!</v>
      </c>
    </row>
    <row r="3691" spans="11:11" x14ac:dyDescent="0.25">
      <c r="K3691" s="8" t="e">
        <f t="shared" si="31"/>
        <v>#VALUE!</v>
      </c>
    </row>
    <row r="3692" spans="11:11" x14ac:dyDescent="0.25">
      <c r="K3692" s="8" t="e">
        <f t="shared" si="31"/>
        <v>#VALUE!</v>
      </c>
    </row>
    <row r="3693" spans="11:11" x14ac:dyDescent="0.25">
      <c r="K3693" s="8" t="e">
        <f t="shared" si="31"/>
        <v>#VALUE!</v>
      </c>
    </row>
    <row r="3694" spans="11:11" x14ac:dyDescent="0.25">
      <c r="K3694" s="8" t="e">
        <f t="shared" si="31"/>
        <v>#VALUE!</v>
      </c>
    </row>
    <row r="3695" spans="11:11" x14ac:dyDescent="0.25">
      <c r="K3695" s="8" t="e">
        <f t="shared" si="31"/>
        <v>#VALUE!</v>
      </c>
    </row>
    <row r="3696" spans="11:11" x14ac:dyDescent="0.25">
      <c r="K3696" s="8" t="e">
        <f t="shared" si="31"/>
        <v>#VALUE!</v>
      </c>
    </row>
    <row r="3697" spans="11:11" x14ac:dyDescent="0.25">
      <c r="K3697" s="8" t="e">
        <f t="shared" si="31"/>
        <v>#VALUE!</v>
      </c>
    </row>
    <row r="3698" spans="11:11" x14ac:dyDescent="0.25">
      <c r="K3698" s="8" t="e">
        <f t="shared" si="31"/>
        <v>#VALUE!</v>
      </c>
    </row>
    <row r="3699" spans="11:11" x14ac:dyDescent="0.25">
      <c r="K3699" s="8" t="e">
        <f t="shared" si="31"/>
        <v>#VALUE!</v>
      </c>
    </row>
    <row r="3700" spans="11:11" x14ac:dyDescent="0.25">
      <c r="K3700" s="8" t="e">
        <f t="shared" si="31"/>
        <v>#VALUE!</v>
      </c>
    </row>
    <row r="3701" spans="11:11" x14ac:dyDescent="0.25">
      <c r="K3701" s="8" t="e">
        <f t="shared" si="31"/>
        <v>#VALUE!</v>
      </c>
    </row>
    <row r="3702" spans="11:11" x14ac:dyDescent="0.25">
      <c r="K3702" s="8" t="e">
        <f t="shared" si="31"/>
        <v>#VALUE!</v>
      </c>
    </row>
    <row r="3703" spans="11:11" x14ac:dyDescent="0.25">
      <c r="K3703" s="8" t="e">
        <f t="shared" si="31"/>
        <v>#VALUE!</v>
      </c>
    </row>
    <row r="3704" spans="11:11" x14ac:dyDescent="0.25">
      <c r="K3704" s="8" t="e">
        <f t="shared" si="31"/>
        <v>#VALUE!</v>
      </c>
    </row>
    <row r="3705" spans="11:11" x14ac:dyDescent="0.25">
      <c r="K3705" s="8" t="e">
        <f t="shared" si="31"/>
        <v>#VALUE!</v>
      </c>
    </row>
    <row r="3706" spans="11:11" x14ac:dyDescent="0.25">
      <c r="K3706" s="8" t="e">
        <f t="shared" si="31"/>
        <v>#VALUE!</v>
      </c>
    </row>
    <row r="3707" spans="11:11" x14ac:dyDescent="0.25">
      <c r="K3707" s="8" t="e">
        <f t="shared" si="31"/>
        <v>#VALUE!</v>
      </c>
    </row>
    <row r="3708" spans="11:11" x14ac:dyDescent="0.25">
      <c r="K3708" s="8" t="e">
        <f t="shared" si="31"/>
        <v>#VALUE!</v>
      </c>
    </row>
    <row r="3709" spans="11:11" x14ac:dyDescent="0.25">
      <c r="K3709" s="8" t="e">
        <f t="shared" si="31"/>
        <v>#VALUE!</v>
      </c>
    </row>
    <row r="3710" spans="11:11" x14ac:dyDescent="0.25">
      <c r="K3710" s="8" t="e">
        <f t="shared" si="31"/>
        <v>#VALUE!</v>
      </c>
    </row>
    <row r="3711" spans="11:11" x14ac:dyDescent="0.25">
      <c r="K3711" s="8" t="e">
        <f t="shared" si="31"/>
        <v>#VALUE!</v>
      </c>
    </row>
    <row r="3712" spans="11:11" x14ac:dyDescent="0.25">
      <c r="K3712" s="8" t="e">
        <f t="shared" si="31"/>
        <v>#VALUE!</v>
      </c>
    </row>
    <row r="3713" spans="11:11" x14ac:dyDescent="0.25">
      <c r="K3713" s="8" t="e">
        <f t="shared" si="31"/>
        <v>#VALUE!</v>
      </c>
    </row>
    <row r="3714" spans="11:11" x14ac:dyDescent="0.25">
      <c r="K3714" s="8" t="e">
        <f t="shared" si="31"/>
        <v>#VALUE!</v>
      </c>
    </row>
    <row r="3715" spans="11:11" x14ac:dyDescent="0.25">
      <c r="K3715" s="8" t="e">
        <f t="shared" ref="K3715:K3778" si="32">LEFT(A3715,FIND("/",A3715)-1)</f>
        <v>#VALUE!</v>
      </c>
    </row>
    <row r="3716" spans="11:11" x14ac:dyDescent="0.25">
      <c r="K3716" s="8" t="e">
        <f t="shared" si="32"/>
        <v>#VALUE!</v>
      </c>
    </row>
    <row r="3717" spans="11:11" x14ac:dyDescent="0.25">
      <c r="K3717" s="8" t="e">
        <f t="shared" si="32"/>
        <v>#VALUE!</v>
      </c>
    </row>
    <row r="3718" spans="11:11" x14ac:dyDescent="0.25">
      <c r="K3718" s="8" t="e">
        <f t="shared" si="32"/>
        <v>#VALUE!</v>
      </c>
    </row>
    <row r="3719" spans="11:11" x14ac:dyDescent="0.25">
      <c r="K3719" s="8" t="e">
        <f t="shared" si="32"/>
        <v>#VALUE!</v>
      </c>
    </row>
    <row r="3720" spans="11:11" x14ac:dyDescent="0.25">
      <c r="K3720" s="8" t="e">
        <f t="shared" si="32"/>
        <v>#VALUE!</v>
      </c>
    </row>
    <row r="3721" spans="11:11" x14ac:dyDescent="0.25">
      <c r="K3721" s="8" t="e">
        <f t="shared" si="32"/>
        <v>#VALUE!</v>
      </c>
    </row>
    <row r="3722" spans="11:11" x14ac:dyDescent="0.25">
      <c r="K3722" s="8" t="e">
        <f t="shared" si="32"/>
        <v>#VALUE!</v>
      </c>
    </row>
    <row r="3723" spans="11:11" x14ac:dyDescent="0.25">
      <c r="K3723" s="8" t="e">
        <f t="shared" si="32"/>
        <v>#VALUE!</v>
      </c>
    </row>
    <row r="3724" spans="11:11" x14ac:dyDescent="0.25">
      <c r="K3724" s="8" t="e">
        <f t="shared" si="32"/>
        <v>#VALUE!</v>
      </c>
    </row>
    <row r="3725" spans="11:11" x14ac:dyDescent="0.25">
      <c r="K3725" s="8" t="e">
        <f t="shared" si="32"/>
        <v>#VALUE!</v>
      </c>
    </row>
    <row r="3726" spans="11:11" x14ac:dyDescent="0.25">
      <c r="K3726" s="8" t="e">
        <f t="shared" si="32"/>
        <v>#VALUE!</v>
      </c>
    </row>
    <row r="3727" spans="11:11" x14ac:dyDescent="0.25">
      <c r="K3727" s="8" t="e">
        <f t="shared" si="32"/>
        <v>#VALUE!</v>
      </c>
    </row>
    <row r="3728" spans="11:11" x14ac:dyDescent="0.25">
      <c r="K3728" s="8" t="e">
        <f t="shared" si="32"/>
        <v>#VALUE!</v>
      </c>
    </row>
    <row r="3729" spans="11:11" x14ac:dyDescent="0.25">
      <c r="K3729" s="8" t="e">
        <f t="shared" si="32"/>
        <v>#VALUE!</v>
      </c>
    </row>
    <row r="3730" spans="11:11" x14ac:dyDescent="0.25">
      <c r="K3730" s="8" t="e">
        <f t="shared" si="32"/>
        <v>#VALUE!</v>
      </c>
    </row>
    <row r="3731" spans="11:11" x14ac:dyDescent="0.25">
      <c r="K3731" s="8" t="e">
        <f t="shared" si="32"/>
        <v>#VALUE!</v>
      </c>
    </row>
    <row r="3732" spans="11:11" x14ac:dyDescent="0.25">
      <c r="K3732" s="8" t="e">
        <f t="shared" si="32"/>
        <v>#VALUE!</v>
      </c>
    </row>
    <row r="3733" spans="11:11" x14ac:dyDescent="0.25">
      <c r="K3733" s="8" t="e">
        <f t="shared" si="32"/>
        <v>#VALUE!</v>
      </c>
    </row>
    <row r="3734" spans="11:11" x14ac:dyDescent="0.25">
      <c r="K3734" s="8" t="e">
        <f t="shared" si="32"/>
        <v>#VALUE!</v>
      </c>
    </row>
    <row r="3735" spans="11:11" x14ac:dyDescent="0.25">
      <c r="K3735" s="8" t="e">
        <f t="shared" si="32"/>
        <v>#VALUE!</v>
      </c>
    </row>
    <row r="3736" spans="11:11" x14ac:dyDescent="0.25">
      <c r="K3736" s="8" t="e">
        <f t="shared" si="32"/>
        <v>#VALUE!</v>
      </c>
    </row>
    <row r="3737" spans="11:11" x14ac:dyDescent="0.25">
      <c r="K3737" s="8" t="e">
        <f t="shared" si="32"/>
        <v>#VALUE!</v>
      </c>
    </row>
    <row r="3738" spans="11:11" x14ac:dyDescent="0.25">
      <c r="K3738" s="8" t="e">
        <f t="shared" si="32"/>
        <v>#VALUE!</v>
      </c>
    </row>
    <row r="3739" spans="11:11" x14ac:dyDescent="0.25">
      <c r="K3739" s="8" t="e">
        <f t="shared" si="32"/>
        <v>#VALUE!</v>
      </c>
    </row>
    <row r="3740" spans="11:11" x14ac:dyDescent="0.25">
      <c r="K3740" s="8" t="e">
        <f t="shared" si="32"/>
        <v>#VALUE!</v>
      </c>
    </row>
    <row r="3741" spans="11:11" x14ac:dyDescent="0.25">
      <c r="K3741" s="8" t="e">
        <f t="shared" si="32"/>
        <v>#VALUE!</v>
      </c>
    </row>
    <row r="3742" spans="11:11" x14ac:dyDescent="0.25">
      <c r="K3742" s="8" t="e">
        <f t="shared" si="32"/>
        <v>#VALUE!</v>
      </c>
    </row>
    <row r="3743" spans="11:11" x14ac:dyDescent="0.25">
      <c r="K3743" s="8" t="e">
        <f t="shared" si="32"/>
        <v>#VALUE!</v>
      </c>
    </row>
    <row r="3744" spans="11:11" x14ac:dyDescent="0.25">
      <c r="K3744" s="8" t="e">
        <f t="shared" si="32"/>
        <v>#VALUE!</v>
      </c>
    </row>
    <row r="3745" spans="11:11" x14ac:dyDescent="0.25">
      <c r="K3745" s="8" t="e">
        <f t="shared" si="32"/>
        <v>#VALUE!</v>
      </c>
    </row>
    <row r="3746" spans="11:11" x14ac:dyDescent="0.25">
      <c r="K3746" s="8" t="e">
        <f t="shared" si="32"/>
        <v>#VALUE!</v>
      </c>
    </row>
    <row r="3747" spans="11:11" x14ac:dyDescent="0.25">
      <c r="K3747" s="8" t="e">
        <f t="shared" si="32"/>
        <v>#VALUE!</v>
      </c>
    </row>
    <row r="3748" spans="11:11" x14ac:dyDescent="0.25">
      <c r="K3748" s="8" t="e">
        <f t="shared" si="32"/>
        <v>#VALUE!</v>
      </c>
    </row>
    <row r="3749" spans="11:11" x14ac:dyDescent="0.25">
      <c r="K3749" s="8" t="e">
        <f t="shared" si="32"/>
        <v>#VALUE!</v>
      </c>
    </row>
    <row r="3750" spans="11:11" x14ac:dyDescent="0.25">
      <c r="K3750" s="8" t="e">
        <f t="shared" si="32"/>
        <v>#VALUE!</v>
      </c>
    </row>
    <row r="3751" spans="11:11" x14ac:dyDescent="0.25">
      <c r="K3751" s="8" t="e">
        <f t="shared" si="32"/>
        <v>#VALUE!</v>
      </c>
    </row>
    <row r="3752" spans="11:11" x14ac:dyDescent="0.25">
      <c r="K3752" s="8" t="e">
        <f t="shared" si="32"/>
        <v>#VALUE!</v>
      </c>
    </row>
    <row r="3753" spans="11:11" x14ac:dyDescent="0.25">
      <c r="K3753" s="8" t="e">
        <f t="shared" si="32"/>
        <v>#VALUE!</v>
      </c>
    </row>
    <row r="3754" spans="11:11" x14ac:dyDescent="0.25">
      <c r="K3754" s="8" t="e">
        <f t="shared" si="32"/>
        <v>#VALUE!</v>
      </c>
    </row>
    <row r="3755" spans="11:11" x14ac:dyDescent="0.25">
      <c r="K3755" s="8" t="e">
        <f t="shared" si="32"/>
        <v>#VALUE!</v>
      </c>
    </row>
    <row r="3756" spans="11:11" x14ac:dyDescent="0.25">
      <c r="K3756" s="8" t="e">
        <f t="shared" si="32"/>
        <v>#VALUE!</v>
      </c>
    </row>
    <row r="3757" spans="11:11" x14ac:dyDescent="0.25">
      <c r="K3757" s="8" t="e">
        <f t="shared" si="32"/>
        <v>#VALUE!</v>
      </c>
    </row>
    <row r="3758" spans="11:11" x14ac:dyDescent="0.25">
      <c r="K3758" s="8" t="e">
        <f t="shared" si="32"/>
        <v>#VALUE!</v>
      </c>
    </row>
    <row r="3759" spans="11:11" x14ac:dyDescent="0.25">
      <c r="K3759" s="8" t="e">
        <f t="shared" si="32"/>
        <v>#VALUE!</v>
      </c>
    </row>
    <row r="3760" spans="11:11" x14ac:dyDescent="0.25">
      <c r="K3760" s="8" t="e">
        <f t="shared" si="32"/>
        <v>#VALUE!</v>
      </c>
    </row>
    <row r="3761" spans="11:11" x14ac:dyDescent="0.25">
      <c r="K3761" s="8" t="e">
        <f t="shared" si="32"/>
        <v>#VALUE!</v>
      </c>
    </row>
    <row r="3762" spans="11:11" x14ac:dyDescent="0.25">
      <c r="K3762" s="8" t="e">
        <f t="shared" si="32"/>
        <v>#VALUE!</v>
      </c>
    </row>
    <row r="3763" spans="11:11" x14ac:dyDescent="0.25">
      <c r="K3763" s="8" t="e">
        <f t="shared" si="32"/>
        <v>#VALUE!</v>
      </c>
    </row>
    <row r="3764" spans="11:11" x14ac:dyDescent="0.25">
      <c r="K3764" s="8" t="e">
        <f t="shared" si="32"/>
        <v>#VALUE!</v>
      </c>
    </row>
    <row r="3765" spans="11:11" x14ac:dyDescent="0.25">
      <c r="K3765" s="8" t="e">
        <f t="shared" si="32"/>
        <v>#VALUE!</v>
      </c>
    </row>
    <row r="3766" spans="11:11" x14ac:dyDescent="0.25">
      <c r="K3766" s="8" t="e">
        <f t="shared" si="32"/>
        <v>#VALUE!</v>
      </c>
    </row>
    <row r="3767" spans="11:11" x14ac:dyDescent="0.25">
      <c r="K3767" s="8" t="e">
        <f t="shared" si="32"/>
        <v>#VALUE!</v>
      </c>
    </row>
    <row r="3768" spans="11:11" x14ac:dyDescent="0.25">
      <c r="K3768" s="8" t="e">
        <f t="shared" si="32"/>
        <v>#VALUE!</v>
      </c>
    </row>
    <row r="3769" spans="11:11" x14ac:dyDescent="0.25">
      <c r="K3769" s="8" t="e">
        <f t="shared" si="32"/>
        <v>#VALUE!</v>
      </c>
    </row>
    <row r="3770" spans="11:11" x14ac:dyDescent="0.25">
      <c r="K3770" s="8" t="e">
        <f t="shared" si="32"/>
        <v>#VALUE!</v>
      </c>
    </row>
    <row r="3771" spans="11:11" x14ac:dyDescent="0.25">
      <c r="K3771" s="8" t="e">
        <f t="shared" si="32"/>
        <v>#VALUE!</v>
      </c>
    </row>
    <row r="3772" spans="11:11" x14ac:dyDescent="0.25">
      <c r="K3772" s="8" t="e">
        <f t="shared" si="32"/>
        <v>#VALUE!</v>
      </c>
    </row>
    <row r="3773" spans="11:11" x14ac:dyDescent="0.25">
      <c r="K3773" s="8" t="e">
        <f t="shared" si="32"/>
        <v>#VALUE!</v>
      </c>
    </row>
    <row r="3774" spans="11:11" x14ac:dyDescent="0.25">
      <c r="K3774" s="8" t="e">
        <f t="shared" si="32"/>
        <v>#VALUE!</v>
      </c>
    </row>
    <row r="3775" spans="11:11" x14ac:dyDescent="0.25">
      <c r="K3775" s="8" t="e">
        <f t="shared" si="32"/>
        <v>#VALUE!</v>
      </c>
    </row>
    <row r="3776" spans="11:11" x14ac:dyDescent="0.25">
      <c r="K3776" s="8" t="e">
        <f t="shared" si="32"/>
        <v>#VALUE!</v>
      </c>
    </row>
    <row r="3777" spans="11:11" x14ac:dyDescent="0.25">
      <c r="K3777" s="8" t="e">
        <f t="shared" si="32"/>
        <v>#VALUE!</v>
      </c>
    </row>
    <row r="3778" spans="11:11" x14ac:dyDescent="0.25">
      <c r="K3778" s="8" t="e">
        <f t="shared" si="32"/>
        <v>#VALUE!</v>
      </c>
    </row>
    <row r="3779" spans="11:11" x14ac:dyDescent="0.25">
      <c r="K3779" s="8" t="e">
        <f t="shared" ref="K3779:K3842" si="33">LEFT(A3779,FIND("/",A3779)-1)</f>
        <v>#VALUE!</v>
      </c>
    </row>
    <row r="3780" spans="11:11" x14ac:dyDescent="0.25">
      <c r="K3780" s="8" t="e">
        <f t="shared" si="33"/>
        <v>#VALUE!</v>
      </c>
    </row>
    <row r="3781" spans="11:11" x14ac:dyDescent="0.25">
      <c r="K3781" s="8" t="e">
        <f t="shared" si="33"/>
        <v>#VALUE!</v>
      </c>
    </row>
    <row r="3782" spans="11:11" x14ac:dyDescent="0.25">
      <c r="K3782" s="8" t="e">
        <f t="shared" si="33"/>
        <v>#VALUE!</v>
      </c>
    </row>
    <row r="3783" spans="11:11" x14ac:dyDescent="0.25">
      <c r="K3783" s="8" t="e">
        <f t="shared" si="33"/>
        <v>#VALUE!</v>
      </c>
    </row>
    <row r="3784" spans="11:11" x14ac:dyDescent="0.25">
      <c r="K3784" s="8" t="e">
        <f t="shared" si="33"/>
        <v>#VALUE!</v>
      </c>
    </row>
    <row r="3785" spans="11:11" x14ac:dyDescent="0.25">
      <c r="K3785" s="8" t="e">
        <f t="shared" si="33"/>
        <v>#VALUE!</v>
      </c>
    </row>
    <row r="3786" spans="11:11" x14ac:dyDescent="0.25">
      <c r="K3786" s="8" t="e">
        <f t="shared" si="33"/>
        <v>#VALUE!</v>
      </c>
    </row>
    <row r="3787" spans="11:11" x14ac:dyDescent="0.25">
      <c r="K3787" s="8" t="e">
        <f t="shared" si="33"/>
        <v>#VALUE!</v>
      </c>
    </row>
    <row r="3788" spans="11:11" x14ac:dyDescent="0.25">
      <c r="K3788" s="8" t="e">
        <f t="shared" si="33"/>
        <v>#VALUE!</v>
      </c>
    </row>
    <row r="3789" spans="11:11" x14ac:dyDescent="0.25">
      <c r="K3789" s="8" t="e">
        <f t="shared" si="33"/>
        <v>#VALUE!</v>
      </c>
    </row>
    <row r="3790" spans="11:11" x14ac:dyDescent="0.25">
      <c r="K3790" s="8" t="e">
        <f t="shared" si="33"/>
        <v>#VALUE!</v>
      </c>
    </row>
    <row r="3791" spans="11:11" x14ac:dyDescent="0.25">
      <c r="K3791" s="8" t="e">
        <f t="shared" si="33"/>
        <v>#VALUE!</v>
      </c>
    </row>
    <row r="3792" spans="11:11" x14ac:dyDescent="0.25">
      <c r="K3792" s="8" t="e">
        <f t="shared" si="33"/>
        <v>#VALUE!</v>
      </c>
    </row>
    <row r="3793" spans="11:11" x14ac:dyDescent="0.25">
      <c r="K3793" s="8" t="e">
        <f t="shared" si="33"/>
        <v>#VALUE!</v>
      </c>
    </row>
    <row r="3794" spans="11:11" x14ac:dyDescent="0.25">
      <c r="K3794" s="8" t="e">
        <f t="shared" si="33"/>
        <v>#VALUE!</v>
      </c>
    </row>
    <row r="3795" spans="11:11" x14ac:dyDescent="0.25">
      <c r="K3795" s="8" t="e">
        <f t="shared" si="33"/>
        <v>#VALUE!</v>
      </c>
    </row>
    <row r="3796" spans="11:11" x14ac:dyDescent="0.25">
      <c r="K3796" s="8" t="e">
        <f t="shared" si="33"/>
        <v>#VALUE!</v>
      </c>
    </row>
    <row r="3797" spans="11:11" x14ac:dyDescent="0.25">
      <c r="K3797" s="8" t="e">
        <f t="shared" si="33"/>
        <v>#VALUE!</v>
      </c>
    </row>
    <row r="3798" spans="11:11" x14ac:dyDescent="0.25">
      <c r="K3798" s="8" t="e">
        <f t="shared" si="33"/>
        <v>#VALUE!</v>
      </c>
    </row>
    <row r="3799" spans="11:11" x14ac:dyDescent="0.25">
      <c r="K3799" s="8" t="e">
        <f t="shared" si="33"/>
        <v>#VALUE!</v>
      </c>
    </row>
    <row r="3800" spans="11:11" x14ac:dyDescent="0.25">
      <c r="K3800" s="8" t="e">
        <f t="shared" si="33"/>
        <v>#VALUE!</v>
      </c>
    </row>
    <row r="3801" spans="11:11" x14ac:dyDescent="0.25">
      <c r="K3801" s="8" t="e">
        <f t="shared" si="33"/>
        <v>#VALUE!</v>
      </c>
    </row>
    <row r="3802" spans="11:11" x14ac:dyDescent="0.25">
      <c r="K3802" s="8" t="e">
        <f t="shared" si="33"/>
        <v>#VALUE!</v>
      </c>
    </row>
    <row r="3803" spans="11:11" x14ac:dyDescent="0.25">
      <c r="K3803" s="8" t="e">
        <f t="shared" si="33"/>
        <v>#VALUE!</v>
      </c>
    </row>
    <row r="3804" spans="11:11" x14ac:dyDescent="0.25">
      <c r="K3804" s="8" t="e">
        <f t="shared" si="33"/>
        <v>#VALUE!</v>
      </c>
    </row>
    <row r="3805" spans="11:11" x14ac:dyDescent="0.25">
      <c r="K3805" s="8" t="e">
        <f t="shared" si="33"/>
        <v>#VALUE!</v>
      </c>
    </row>
    <row r="3806" spans="11:11" x14ac:dyDescent="0.25">
      <c r="K3806" s="8" t="e">
        <f t="shared" si="33"/>
        <v>#VALUE!</v>
      </c>
    </row>
    <row r="3807" spans="11:11" x14ac:dyDescent="0.25">
      <c r="K3807" s="8" t="e">
        <f t="shared" si="33"/>
        <v>#VALUE!</v>
      </c>
    </row>
    <row r="3808" spans="11:11" x14ac:dyDescent="0.25">
      <c r="K3808" s="8" t="e">
        <f t="shared" si="33"/>
        <v>#VALUE!</v>
      </c>
    </row>
    <row r="3809" spans="11:11" x14ac:dyDescent="0.25">
      <c r="K3809" s="8" t="e">
        <f t="shared" si="33"/>
        <v>#VALUE!</v>
      </c>
    </row>
    <row r="3810" spans="11:11" x14ac:dyDescent="0.25">
      <c r="K3810" s="8" t="e">
        <f t="shared" si="33"/>
        <v>#VALUE!</v>
      </c>
    </row>
    <row r="3811" spans="11:11" x14ac:dyDescent="0.25">
      <c r="K3811" s="8" t="e">
        <f t="shared" si="33"/>
        <v>#VALUE!</v>
      </c>
    </row>
    <row r="3812" spans="11:11" x14ac:dyDescent="0.25">
      <c r="K3812" s="8" t="e">
        <f t="shared" si="33"/>
        <v>#VALUE!</v>
      </c>
    </row>
    <row r="3813" spans="11:11" x14ac:dyDescent="0.25">
      <c r="K3813" s="8" t="e">
        <f t="shared" si="33"/>
        <v>#VALUE!</v>
      </c>
    </row>
    <row r="3814" spans="11:11" x14ac:dyDescent="0.25">
      <c r="K3814" s="8" t="e">
        <f t="shared" si="33"/>
        <v>#VALUE!</v>
      </c>
    </row>
    <row r="3815" spans="11:11" x14ac:dyDescent="0.25">
      <c r="K3815" s="8" t="e">
        <f t="shared" si="33"/>
        <v>#VALUE!</v>
      </c>
    </row>
    <row r="3816" spans="11:11" x14ac:dyDescent="0.25">
      <c r="K3816" s="8" t="e">
        <f t="shared" si="33"/>
        <v>#VALUE!</v>
      </c>
    </row>
    <row r="3817" spans="11:11" x14ac:dyDescent="0.25">
      <c r="K3817" s="8" t="e">
        <f t="shared" si="33"/>
        <v>#VALUE!</v>
      </c>
    </row>
    <row r="3818" spans="11:11" x14ac:dyDescent="0.25">
      <c r="K3818" s="8" t="e">
        <f t="shared" si="33"/>
        <v>#VALUE!</v>
      </c>
    </row>
    <row r="3819" spans="11:11" x14ac:dyDescent="0.25">
      <c r="K3819" s="8" t="e">
        <f t="shared" si="33"/>
        <v>#VALUE!</v>
      </c>
    </row>
    <row r="3820" spans="11:11" x14ac:dyDescent="0.25">
      <c r="K3820" s="8" t="e">
        <f t="shared" si="33"/>
        <v>#VALUE!</v>
      </c>
    </row>
    <row r="3821" spans="11:11" x14ac:dyDescent="0.25">
      <c r="K3821" s="8" t="e">
        <f t="shared" si="33"/>
        <v>#VALUE!</v>
      </c>
    </row>
    <row r="3822" spans="11:11" x14ac:dyDescent="0.25">
      <c r="K3822" s="8" t="e">
        <f t="shared" si="33"/>
        <v>#VALUE!</v>
      </c>
    </row>
    <row r="3823" spans="11:11" x14ac:dyDescent="0.25">
      <c r="K3823" s="8" t="e">
        <f t="shared" si="33"/>
        <v>#VALUE!</v>
      </c>
    </row>
    <row r="3824" spans="11:11" x14ac:dyDescent="0.25">
      <c r="K3824" s="8" t="e">
        <f t="shared" si="33"/>
        <v>#VALUE!</v>
      </c>
    </row>
    <row r="3825" spans="11:11" x14ac:dyDescent="0.25">
      <c r="K3825" s="8" t="e">
        <f t="shared" si="33"/>
        <v>#VALUE!</v>
      </c>
    </row>
    <row r="3826" spans="11:11" x14ac:dyDescent="0.25">
      <c r="K3826" s="8" t="e">
        <f t="shared" si="33"/>
        <v>#VALUE!</v>
      </c>
    </row>
    <row r="3827" spans="11:11" x14ac:dyDescent="0.25">
      <c r="K3827" s="8" t="e">
        <f t="shared" si="33"/>
        <v>#VALUE!</v>
      </c>
    </row>
    <row r="3828" spans="11:11" x14ac:dyDescent="0.25">
      <c r="K3828" s="8" t="e">
        <f t="shared" si="33"/>
        <v>#VALUE!</v>
      </c>
    </row>
    <row r="3829" spans="11:11" x14ac:dyDescent="0.25">
      <c r="K3829" s="8" t="e">
        <f t="shared" si="33"/>
        <v>#VALUE!</v>
      </c>
    </row>
    <row r="3830" spans="11:11" x14ac:dyDescent="0.25">
      <c r="K3830" s="8" t="e">
        <f t="shared" si="33"/>
        <v>#VALUE!</v>
      </c>
    </row>
    <row r="3831" spans="11:11" x14ac:dyDescent="0.25">
      <c r="K3831" s="8" t="e">
        <f t="shared" si="33"/>
        <v>#VALUE!</v>
      </c>
    </row>
    <row r="3832" spans="11:11" x14ac:dyDescent="0.25">
      <c r="K3832" s="8" t="e">
        <f t="shared" si="33"/>
        <v>#VALUE!</v>
      </c>
    </row>
    <row r="3833" spans="11:11" x14ac:dyDescent="0.25">
      <c r="K3833" s="8" t="e">
        <f t="shared" si="33"/>
        <v>#VALUE!</v>
      </c>
    </row>
    <row r="3834" spans="11:11" x14ac:dyDescent="0.25">
      <c r="K3834" s="8" t="e">
        <f t="shared" si="33"/>
        <v>#VALUE!</v>
      </c>
    </row>
    <row r="3835" spans="11:11" x14ac:dyDescent="0.25">
      <c r="K3835" s="8" t="e">
        <f t="shared" si="33"/>
        <v>#VALUE!</v>
      </c>
    </row>
    <row r="3836" spans="11:11" x14ac:dyDescent="0.25">
      <c r="K3836" s="8" t="e">
        <f t="shared" si="33"/>
        <v>#VALUE!</v>
      </c>
    </row>
    <row r="3837" spans="11:11" x14ac:dyDescent="0.25">
      <c r="K3837" s="8" t="e">
        <f t="shared" si="33"/>
        <v>#VALUE!</v>
      </c>
    </row>
    <row r="3838" spans="11:11" x14ac:dyDescent="0.25">
      <c r="K3838" s="8" t="e">
        <f t="shared" si="33"/>
        <v>#VALUE!</v>
      </c>
    </row>
    <row r="3839" spans="11:11" x14ac:dyDescent="0.25">
      <c r="K3839" s="8" t="e">
        <f t="shared" si="33"/>
        <v>#VALUE!</v>
      </c>
    </row>
    <row r="3840" spans="11:11" x14ac:dyDescent="0.25">
      <c r="K3840" s="8" t="e">
        <f t="shared" si="33"/>
        <v>#VALUE!</v>
      </c>
    </row>
    <row r="3841" spans="11:11" x14ac:dyDescent="0.25">
      <c r="K3841" s="8" t="e">
        <f t="shared" si="33"/>
        <v>#VALUE!</v>
      </c>
    </row>
    <row r="3842" spans="11:11" x14ac:dyDescent="0.25">
      <c r="K3842" s="8" t="e">
        <f t="shared" si="33"/>
        <v>#VALUE!</v>
      </c>
    </row>
    <row r="3843" spans="11:11" x14ac:dyDescent="0.25">
      <c r="K3843" s="8" t="e">
        <f t="shared" ref="K3843:K3906" si="34">LEFT(A3843,FIND("/",A3843)-1)</f>
        <v>#VALUE!</v>
      </c>
    </row>
    <row r="3844" spans="11:11" x14ac:dyDescent="0.25">
      <c r="K3844" s="8" t="e">
        <f t="shared" si="34"/>
        <v>#VALUE!</v>
      </c>
    </row>
    <row r="3845" spans="11:11" x14ac:dyDescent="0.25">
      <c r="K3845" s="8" t="e">
        <f t="shared" si="34"/>
        <v>#VALUE!</v>
      </c>
    </row>
    <row r="3846" spans="11:11" x14ac:dyDescent="0.25">
      <c r="K3846" s="8" t="e">
        <f t="shared" si="34"/>
        <v>#VALUE!</v>
      </c>
    </row>
    <row r="3847" spans="11:11" x14ac:dyDescent="0.25">
      <c r="K3847" s="8" t="e">
        <f t="shared" si="34"/>
        <v>#VALUE!</v>
      </c>
    </row>
    <row r="3848" spans="11:11" x14ac:dyDescent="0.25">
      <c r="K3848" s="8" t="e">
        <f t="shared" si="34"/>
        <v>#VALUE!</v>
      </c>
    </row>
    <row r="3849" spans="11:11" x14ac:dyDescent="0.25">
      <c r="K3849" s="8" t="e">
        <f t="shared" si="34"/>
        <v>#VALUE!</v>
      </c>
    </row>
    <row r="3850" spans="11:11" x14ac:dyDescent="0.25">
      <c r="K3850" s="8" t="e">
        <f t="shared" si="34"/>
        <v>#VALUE!</v>
      </c>
    </row>
    <row r="3851" spans="11:11" x14ac:dyDescent="0.25">
      <c r="K3851" s="8" t="e">
        <f t="shared" si="34"/>
        <v>#VALUE!</v>
      </c>
    </row>
    <row r="3852" spans="11:11" x14ac:dyDescent="0.25">
      <c r="K3852" s="8" t="e">
        <f t="shared" si="34"/>
        <v>#VALUE!</v>
      </c>
    </row>
    <row r="3853" spans="11:11" x14ac:dyDescent="0.25">
      <c r="K3853" s="8" t="e">
        <f t="shared" si="34"/>
        <v>#VALUE!</v>
      </c>
    </row>
    <row r="3854" spans="11:11" x14ac:dyDescent="0.25">
      <c r="K3854" s="8" t="e">
        <f t="shared" si="34"/>
        <v>#VALUE!</v>
      </c>
    </row>
    <row r="3855" spans="11:11" x14ac:dyDescent="0.25">
      <c r="K3855" s="8" t="e">
        <f t="shared" si="34"/>
        <v>#VALUE!</v>
      </c>
    </row>
    <row r="3856" spans="11:11" x14ac:dyDescent="0.25">
      <c r="K3856" s="8" t="e">
        <f t="shared" si="34"/>
        <v>#VALUE!</v>
      </c>
    </row>
    <row r="3857" spans="11:11" x14ac:dyDescent="0.25">
      <c r="K3857" s="8" t="e">
        <f t="shared" si="34"/>
        <v>#VALUE!</v>
      </c>
    </row>
    <row r="3858" spans="11:11" x14ac:dyDescent="0.25">
      <c r="K3858" s="8" t="e">
        <f t="shared" si="34"/>
        <v>#VALUE!</v>
      </c>
    </row>
    <row r="3859" spans="11:11" x14ac:dyDescent="0.25">
      <c r="K3859" s="8" t="e">
        <f t="shared" si="34"/>
        <v>#VALUE!</v>
      </c>
    </row>
    <row r="3860" spans="11:11" x14ac:dyDescent="0.25">
      <c r="K3860" s="8" t="e">
        <f t="shared" si="34"/>
        <v>#VALUE!</v>
      </c>
    </row>
    <row r="3861" spans="11:11" x14ac:dyDescent="0.25">
      <c r="K3861" s="8" t="e">
        <f t="shared" si="34"/>
        <v>#VALUE!</v>
      </c>
    </row>
    <row r="3862" spans="11:11" x14ac:dyDescent="0.25">
      <c r="K3862" s="8" t="e">
        <f t="shared" si="34"/>
        <v>#VALUE!</v>
      </c>
    </row>
    <row r="3863" spans="11:11" x14ac:dyDescent="0.25">
      <c r="K3863" s="8" t="e">
        <f t="shared" si="34"/>
        <v>#VALUE!</v>
      </c>
    </row>
    <row r="3864" spans="11:11" x14ac:dyDescent="0.25">
      <c r="K3864" s="8" t="e">
        <f t="shared" si="34"/>
        <v>#VALUE!</v>
      </c>
    </row>
    <row r="3865" spans="11:11" x14ac:dyDescent="0.25">
      <c r="K3865" s="8" t="e">
        <f t="shared" si="34"/>
        <v>#VALUE!</v>
      </c>
    </row>
    <row r="3866" spans="11:11" x14ac:dyDescent="0.25">
      <c r="K3866" s="8" t="e">
        <f t="shared" si="34"/>
        <v>#VALUE!</v>
      </c>
    </row>
    <row r="3867" spans="11:11" x14ac:dyDescent="0.25">
      <c r="K3867" s="8" t="e">
        <f t="shared" si="34"/>
        <v>#VALUE!</v>
      </c>
    </row>
    <row r="3868" spans="11:11" x14ac:dyDescent="0.25">
      <c r="K3868" s="8" t="e">
        <f t="shared" si="34"/>
        <v>#VALUE!</v>
      </c>
    </row>
    <row r="3869" spans="11:11" x14ac:dyDescent="0.25">
      <c r="K3869" s="8" t="e">
        <f t="shared" si="34"/>
        <v>#VALUE!</v>
      </c>
    </row>
    <row r="3870" spans="11:11" x14ac:dyDescent="0.25">
      <c r="K3870" s="8" t="e">
        <f t="shared" si="34"/>
        <v>#VALUE!</v>
      </c>
    </row>
    <row r="3871" spans="11:11" x14ac:dyDescent="0.25">
      <c r="K3871" s="8" t="e">
        <f t="shared" si="34"/>
        <v>#VALUE!</v>
      </c>
    </row>
    <row r="3872" spans="11:11" x14ac:dyDescent="0.25">
      <c r="K3872" s="8" t="e">
        <f t="shared" si="34"/>
        <v>#VALUE!</v>
      </c>
    </row>
    <row r="3873" spans="11:11" x14ac:dyDescent="0.25">
      <c r="K3873" s="8" t="e">
        <f t="shared" si="34"/>
        <v>#VALUE!</v>
      </c>
    </row>
    <row r="3874" spans="11:11" x14ac:dyDescent="0.25">
      <c r="K3874" s="8" t="e">
        <f t="shared" si="34"/>
        <v>#VALUE!</v>
      </c>
    </row>
    <row r="3875" spans="11:11" x14ac:dyDescent="0.25">
      <c r="K3875" s="8" t="e">
        <f t="shared" si="34"/>
        <v>#VALUE!</v>
      </c>
    </row>
    <row r="3876" spans="11:11" x14ac:dyDescent="0.25">
      <c r="K3876" s="8" t="e">
        <f t="shared" si="34"/>
        <v>#VALUE!</v>
      </c>
    </row>
    <row r="3877" spans="11:11" x14ac:dyDescent="0.25">
      <c r="K3877" s="8" t="e">
        <f t="shared" si="34"/>
        <v>#VALUE!</v>
      </c>
    </row>
    <row r="3878" spans="11:11" x14ac:dyDescent="0.25">
      <c r="K3878" s="8" t="e">
        <f t="shared" si="34"/>
        <v>#VALUE!</v>
      </c>
    </row>
    <row r="3879" spans="11:11" x14ac:dyDescent="0.25">
      <c r="K3879" s="8" t="e">
        <f t="shared" si="34"/>
        <v>#VALUE!</v>
      </c>
    </row>
    <row r="3880" spans="11:11" x14ac:dyDescent="0.25">
      <c r="K3880" s="8" t="e">
        <f t="shared" si="34"/>
        <v>#VALUE!</v>
      </c>
    </row>
    <row r="3881" spans="11:11" x14ac:dyDescent="0.25">
      <c r="K3881" s="8" t="e">
        <f t="shared" si="34"/>
        <v>#VALUE!</v>
      </c>
    </row>
    <row r="3882" spans="11:11" x14ac:dyDescent="0.25">
      <c r="K3882" s="8" t="e">
        <f t="shared" si="34"/>
        <v>#VALUE!</v>
      </c>
    </row>
    <row r="3883" spans="11:11" x14ac:dyDescent="0.25">
      <c r="K3883" s="8" t="e">
        <f t="shared" si="34"/>
        <v>#VALUE!</v>
      </c>
    </row>
    <row r="3884" spans="11:11" x14ac:dyDescent="0.25">
      <c r="K3884" s="8" t="e">
        <f t="shared" si="34"/>
        <v>#VALUE!</v>
      </c>
    </row>
    <row r="3885" spans="11:11" x14ac:dyDescent="0.25">
      <c r="K3885" s="8" t="e">
        <f t="shared" si="34"/>
        <v>#VALUE!</v>
      </c>
    </row>
    <row r="3886" spans="11:11" x14ac:dyDescent="0.25">
      <c r="K3886" s="8" t="e">
        <f t="shared" si="34"/>
        <v>#VALUE!</v>
      </c>
    </row>
    <row r="3887" spans="11:11" x14ac:dyDescent="0.25">
      <c r="K3887" s="8" t="e">
        <f t="shared" si="34"/>
        <v>#VALUE!</v>
      </c>
    </row>
    <row r="3888" spans="11:11" x14ac:dyDescent="0.25">
      <c r="K3888" s="8" t="e">
        <f t="shared" si="34"/>
        <v>#VALUE!</v>
      </c>
    </row>
    <row r="3889" spans="11:11" x14ac:dyDescent="0.25">
      <c r="K3889" s="8" t="e">
        <f t="shared" si="34"/>
        <v>#VALUE!</v>
      </c>
    </row>
    <row r="3890" spans="11:11" x14ac:dyDescent="0.25">
      <c r="K3890" s="8" t="e">
        <f t="shared" si="34"/>
        <v>#VALUE!</v>
      </c>
    </row>
    <row r="3891" spans="11:11" x14ac:dyDescent="0.25">
      <c r="K3891" s="8" t="e">
        <f t="shared" si="34"/>
        <v>#VALUE!</v>
      </c>
    </row>
    <row r="3892" spans="11:11" x14ac:dyDescent="0.25">
      <c r="K3892" s="8" t="e">
        <f t="shared" si="34"/>
        <v>#VALUE!</v>
      </c>
    </row>
    <row r="3893" spans="11:11" x14ac:dyDescent="0.25">
      <c r="K3893" s="8" t="e">
        <f t="shared" si="34"/>
        <v>#VALUE!</v>
      </c>
    </row>
    <row r="3894" spans="11:11" x14ac:dyDescent="0.25">
      <c r="K3894" s="8" t="e">
        <f t="shared" si="34"/>
        <v>#VALUE!</v>
      </c>
    </row>
    <row r="3895" spans="11:11" x14ac:dyDescent="0.25">
      <c r="K3895" s="8" t="e">
        <f t="shared" si="34"/>
        <v>#VALUE!</v>
      </c>
    </row>
    <row r="3896" spans="11:11" x14ac:dyDescent="0.25">
      <c r="K3896" s="8" t="e">
        <f t="shared" si="34"/>
        <v>#VALUE!</v>
      </c>
    </row>
    <row r="3897" spans="11:11" x14ac:dyDescent="0.25">
      <c r="K3897" s="8" t="e">
        <f t="shared" si="34"/>
        <v>#VALUE!</v>
      </c>
    </row>
    <row r="3898" spans="11:11" x14ac:dyDescent="0.25">
      <c r="K3898" s="8" t="e">
        <f t="shared" si="34"/>
        <v>#VALUE!</v>
      </c>
    </row>
    <row r="3899" spans="11:11" x14ac:dyDescent="0.25">
      <c r="K3899" s="8" t="e">
        <f t="shared" si="34"/>
        <v>#VALUE!</v>
      </c>
    </row>
    <row r="3900" spans="11:11" x14ac:dyDescent="0.25">
      <c r="K3900" s="8" t="e">
        <f t="shared" si="34"/>
        <v>#VALUE!</v>
      </c>
    </row>
    <row r="3901" spans="11:11" x14ac:dyDescent="0.25">
      <c r="K3901" s="8" t="e">
        <f t="shared" si="34"/>
        <v>#VALUE!</v>
      </c>
    </row>
    <row r="3902" spans="11:11" x14ac:dyDescent="0.25">
      <c r="K3902" s="8" t="e">
        <f t="shared" si="34"/>
        <v>#VALUE!</v>
      </c>
    </row>
    <row r="3903" spans="11:11" x14ac:dyDescent="0.25">
      <c r="K3903" s="8" t="e">
        <f t="shared" si="34"/>
        <v>#VALUE!</v>
      </c>
    </row>
    <row r="3904" spans="11:11" x14ac:dyDescent="0.25">
      <c r="K3904" s="8" t="e">
        <f t="shared" si="34"/>
        <v>#VALUE!</v>
      </c>
    </row>
    <row r="3905" spans="11:11" x14ac:dyDescent="0.25">
      <c r="K3905" s="8" t="e">
        <f t="shared" si="34"/>
        <v>#VALUE!</v>
      </c>
    </row>
    <row r="3906" spans="11:11" x14ac:dyDescent="0.25">
      <c r="K3906" s="8" t="e">
        <f t="shared" si="34"/>
        <v>#VALUE!</v>
      </c>
    </row>
    <row r="3907" spans="11:11" x14ac:dyDescent="0.25">
      <c r="K3907" s="8" t="e">
        <f t="shared" ref="K3907:K3970" si="35">LEFT(A3907,FIND("/",A3907)-1)</f>
        <v>#VALUE!</v>
      </c>
    </row>
    <row r="3908" spans="11:11" x14ac:dyDescent="0.25">
      <c r="K3908" s="8" t="e">
        <f t="shared" si="35"/>
        <v>#VALUE!</v>
      </c>
    </row>
    <row r="3909" spans="11:11" x14ac:dyDescent="0.25">
      <c r="K3909" s="8" t="e">
        <f t="shared" si="35"/>
        <v>#VALUE!</v>
      </c>
    </row>
    <row r="3910" spans="11:11" x14ac:dyDescent="0.25">
      <c r="K3910" s="8" t="e">
        <f t="shared" si="35"/>
        <v>#VALUE!</v>
      </c>
    </row>
    <row r="3911" spans="11:11" x14ac:dyDescent="0.25">
      <c r="K3911" s="8" t="e">
        <f t="shared" si="35"/>
        <v>#VALUE!</v>
      </c>
    </row>
    <row r="3912" spans="11:11" x14ac:dyDescent="0.25">
      <c r="K3912" s="8" t="e">
        <f t="shared" si="35"/>
        <v>#VALUE!</v>
      </c>
    </row>
    <row r="3913" spans="11:11" x14ac:dyDescent="0.25">
      <c r="K3913" s="8" t="e">
        <f t="shared" si="35"/>
        <v>#VALUE!</v>
      </c>
    </row>
    <row r="3914" spans="11:11" x14ac:dyDescent="0.25">
      <c r="K3914" s="8" t="e">
        <f t="shared" si="35"/>
        <v>#VALUE!</v>
      </c>
    </row>
    <row r="3915" spans="11:11" x14ac:dyDescent="0.25">
      <c r="K3915" s="8" t="e">
        <f t="shared" si="35"/>
        <v>#VALUE!</v>
      </c>
    </row>
    <row r="3916" spans="11:11" x14ac:dyDescent="0.25">
      <c r="K3916" s="8" t="e">
        <f t="shared" si="35"/>
        <v>#VALUE!</v>
      </c>
    </row>
    <row r="3917" spans="11:11" x14ac:dyDescent="0.25">
      <c r="K3917" s="8" t="e">
        <f t="shared" si="35"/>
        <v>#VALUE!</v>
      </c>
    </row>
    <row r="3918" spans="11:11" x14ac:dyDescent="0.25">
      <c r="K3918" s="8" t="e">
        <f t="shared" si="35"/>
        <v>#VALUE!</v>
      </c>
    </row>
    <row r="3919" spans="11:11" x14ac:dyDescent="0.25">
      <c r="K3919" s="8" t="e">
        <f t="shared" si="35"/>
        <v>#VALUE!</v>
      </c>
    </row>
    <row r="3920" spans="11:11" x14ac:dyDescent="0.25">
      <c r="K3920" s="8" t="e">
        <f t="shared" si="35"/>
        <v>#VALUE!</v>
      </c>
    </row>
    <row r="3921" spans="11:11" x14ac:dyDescent="0.25">
      <c r="K3921" s="8" t="e">
        <f t="shared" si="35"/>
        <v>#VALUE!</v>
      </c>
    </row>
    <row r="3922" spans="11:11" x14ac:dyDescent="0.25">
      <c r="K3922" s="8" t="e">
        <f t="shared" si="35"/>
        <v>#VALUE!</v>
      </c>
    </row>
    <row r="3923" spans="11:11" x14ac:dyDescent="0.25">
      <c r="K3923" s="8" t="e">
        <f t="shared" si="35"/>
        <v>#VALUE!</v>
      </c>
    </row>
    <row r="3924" spans="11:11" x14ac:dyDescent="0.25">
      <c r="K3924" s="8" t="e">
        <f t="shared" si="35"/>
        <v>#VALUE!</v>
      </c>
    </row>
    <row r="3925" spans="11:11" x14ac:dyDescent="0.25">
      <c r="K3925" s="8" t="e">
        <f t="shared" si="35"/>
        <v>#VALUE!</v>
      </c>
    </row>
    <row r="3926" spans="11:11" x14ac:dyDescent="0.25">
      <c r="K3926" s="8" t="e">
        <f t="shared" si="35"/>
        <v>#VALUE!</v>
      </c>
    </row>
    <row r="3927" spans="11:11" x14ac:dyDescent="0.25">
      <c r="K3927" s="8" t="e">
        <f t="shared" si="35"/>
        <v>#VALUE!</v>
      </c>
    </row>
    <row r="3928" spans="11:11" x14ac:dyDescent="0.25">
      <c r="K3928" s="8" t="e">
        <f t="shared" si="35"/>
        <v>#VALUE!</v>
      </c>
    </row>
    <row r="3929" spans="11:11" x14ac:dyDescent="0.25">
      <c r="K3929" s="8" t="e">
        <f t="shared" si="35"/>
        <v>#VALUE!</v>
      </c>
    </row>
    <row r="3930" spans="11:11" x14ac:dyDescent="0.25">
      <c r="K3930" s="8" t="e">
        <f t="shared" si="35"/>
        <v>#VALUE!</v>
      </c>
    </row>
    <row r="3931" spans="11:11" x14ac:dyDescent="0.25">
      <c r="K3931" s="8" t="e">
        <f t="shared" si="35"/>
        <v>#VALUE!</v>
      </c>
    </row>
    <row r="3932" spans="11:11" x14ac:dyDescent="0.25">
      <c r="K3932" s="8" t="e">
        <f t="shared" si="35"/>
        <v>#VALUE!</v>
      </c>
    </row>
    <row r="3933" spans="11:11" x14ac:dyDescent="0.25">
      <c r="K3933" s="8" t="e">
        <f t="shared" si="35"/>
        <v>#VALUE!</v>
      </c>
    </row>
    <row r="3934" spans="11:11" x14ac:dyDescent="0.25">
      <c r="K3934" s="8" t="e">
        <f t="shared" si="35"/>
        <v>#VALUE!</v>
      </c>
    </row>
    <row r="3935" spans="11:11" x14ac:dyDescent="0.25">
      <c r="K3935" s="8" t="e">
        <f t="shared" si="35"/>
        <v>#VALUE!</v>
      </c>
    </row>
    <row r="3936" spans="11:11" x14ac:dyDescent="0.25">
      <c r="K3936" s="8" t="e">
        <f t="shared" si="35"/>
        <v>#VALUE!</v>
      </c>
    </row>
    <row r="3937" spans="11:11" x14ac:dyDescent="0.25">
      <c r="K3937" s="8" t="e">
        <f t="shared" si="35"/>
        <v>#VALUE!</v>
      </c>
    </row>
    <row r="3938" spans="11:11" x14ac:dyDescent="0.25">
      <c r="K3938" s="8" t="e">
        <f t="shared" si="35"/>
        <v>#VALUE!</v>
      </c>
    </row>
    <row r="3939" spans="11:11" x14ac:dyDescent="0.25">
      <c r="K3939" s="8" t="e">
        <f t="shared" si="35"/>
        <v>#VALUE!</v>
      </c>
    </row>
    <row r="3940" spans="11:11" x14ac:dyDescent="0.25">
      <c r="K3940" s="8" t="e">
        <f t="shared" si="35"/>
        <v>#VALUE!</v>
      </c>
    </row>
    <row r="3941" spans="11:11" x14ac:dyDescent="0.25">
      <c r="K3941" s="8" t="e">
        <f t="shared" si="35"/>
        <v>#VALUE!</v>
      </c>
    </row>
    <row r="3942" spans="11:11" x14ac:dyDescent="0.25">
      <c r="K3942" s="8" t="e">
        <f t="shared" si="35"/>
        <v>#VALUE!</v>
      </c>
    </row>
    <row r="3943" spans="11:11" x14ac:dyDescent="0.25">
      <c r="K3943" s="8" t="e">
        <f t="shared" si="35"/>
        <v>#VALUE!</v>
      </c>
    </row>
    <row r="3944" spans="11:11" x14ac:dyDescent="0.25">
      <c r="K3944" s="8" t="e">
        <f t="shared" si="35"/>
        <v>#VALUE!</v>
      </c>
    </row>
    <row r="3945" spans="11:11" x14ac:dyDescent="0.25">
      <c r="K3945" s="8" t="e">
        <f t="shared" si="35"/>
        <v>#VALUE!</v>
      </c>
    </row>
    <row r="3946" spans="11:11" x14ac:dyDescent="0.25">
      <c r="K3946" s="8" t="e">
        <f t="shared" si="35"/>
        <v>#VALUE!</v>
      </c>
    </row>
    <row r="3947" spans="11:11" x14ac:dyDescent="0.25">
      <c r="K3947" s="8" t="e">
        <f t="shared" si="35"/>
        <v>#VALUE!</v>
      </c>
    </row>
    <row r="3948" spans="11:11" x14ac:dyDescent="0.25">
      <c r="K3948" s="8" t="e">
        <f t="shared" si="35"/>
        <v>#VALUE!</v>
      </c>
    </row>
    <row r="3949" spans="11:11" x14ac:dyDescent="0.25">
      <c r="K3949" s="8" t="e">
        <f t="shared" si="35"/>
        <v>#VALUE!</v>
      </c>
    </row>
    <row r="3950" spans="11:11" x14ac:dyDescent="0.25">
      <c r="K3950" s="8" t="e">
        <f t="shared" si="35"/>
        <v>#VALUE!</v>
      </c>
    </row>
    <row r="3951" spans="11:11" x14ac:dyDescent="0.25">
      <c r="K3951" s="8" t="e">
        <f t="shared" si="35"/>
        <v>#VALUE!</v>
      </c>
    </row>
    <row r="3952" spans="11:11" x14ac:dyDescent="0.25">
      <c r="K3952" s="8" t="e">
        <f t="shared" si="35"/>
        <v>#VALUE!</v>
      </c>
    </row>
    <row r="3953" spans="11:11" x14ac:dyDescent="0.25">
      <c r="K3953" s="8" t="e">
        <f t="shared" si="35"/>
        <v>#VALUE!</v>
      </c>
    </row>
    <row r="3954" spans="11:11" x14ac:dyDescent="0.25">
      <c r="K3954" s="8" t="e">
        <f t="shared" si="35"/>
        <v>#VALUE!</v>
      </c>
    </row>
    <row r="3955" spans="11:11" x14ac:dyDescent="0.25">
      <c r="K3955" s="8" t="e">
        <f t="shared" si="35"/>
        <v>#VALUE!</v>
      </c>
    </row>
    <row r="3956" spans="11:11" x14ac:dyDescent="0.25">
      <c r="K3956" s="8" t="e">
        <f t="shared" si="35"/>
        <v>#VALUE!</v>
      </c>
    </row>
    <row r="3957" spans="11:11" x14ac:dyDescent="0.25">
      <c r="K3957" s="8" t="e">
        <f t="shared" si="35"/>
        <v>#VALUE!</v>
      </c>
    </row>
    <row r="3958" spans="11:11" x14ac:dyDescent="0.25">
      <c r="K3958" s="8" t="e">
        <f t="shared" si="35"/>
        <v>#VALUE!</v>
      </c>
    </row>
    <row r="3959" spans="11:11" x14ac:dyDescent="0.25">
      <c r="K3959" s="8" t="e">
        <f t="shared" si="35"/>
        <v>#VALUE!</v>
      </c>
    </row>
    <row r="3960" spans="11:11" x14ac:dyDescent="0.25">
      <c r="K3960" s="8" t="e">
        <f t="shared" si="35"/>
        <v>#VALUE!</v>
      </c>
    </row>
    <row r="3961" spans="11:11" x14ac:dyDescent="0.25">
      <c r="K3961" s="8" t="e">
        <f t="shared" si="35"/>
        <v>#VALUE!</v>
      </c>
    </row>
    <row r="3962" spans="11:11" x14ac:dyDescent="0.25">
      <c r="K3962" s="8" t="e">
        <f t="shared" si="35"/>
        <v>#VALUE!</v>
      </c>
    </row>
    <row r="3963" spans="11:11" x14ac:dyDescent="0.25">
      <c r="K3963" s="8" t="e">
        <f t="shared" si="35"/>
        <v>#VALUE!</v>
      </c>
    </row>
    <row r="3964" spans="11:11" x14ac:dyDescent="0.25">
      <c r="K3964" s="8" t="e">
        <f t="shared" si="35"/>
        <v>#VALUE!</v>
      </c>
    </row>
    <row r="3965" spans="11:11" x14ac:dyDescent="0.25">
      <c r="K3965" s="8" t="e">
        <f t="shared" si="35"/>
        <v>#VALUE!</v>
      </c>
    </row>
    <row r="3966" spans="11:11" x14ac:dyDescent="0.25">
      <c r="K3966" s="8" t="e">
        <f t="shared" si="35"/>
        <v>#VALUE!</v>
      </c>
    </row>
    <row r="3967" spans="11:11" x14ac:dyDescent="0.25">
      <c r="K3967" s="8" t="e">
        <f t="shared" si="35"/>
        <v>#VALUE!</v>
      </c>
    </row>
    <row r="3968" spans="11:11" x14ac:dyDescent="0.25">
      <c r="K3968" s="8" t="e">
        <f t="shared" si="35"/>
        <v>#VALUE!</v>
      </c>
    </row>
    <row r="3969" spans="11:11" x14ac:dyDescent="0.25">
      <c r="K3969" s="8" t="e">
        <f t="shared" si="35"/>
        <v>#VALUE!</v>
      </c>
    </row>
    <row r="3970" spans="11:11" x14ac:dyDescent="0.25">
      <c r="K3970" s="8" t="e">
        <f t="shared" si="35"/>
        <v>#VALUE!</v>
      </c>
    </row>
    <row r="3971" spans="11:11" x14ac:dyDescent="0.25">
      <c r="K3971" s="8" t="e">
        <f t="shared" ref="K3971:K4034" si="36">LEFT(A3971,FIND("/",A3971)-1)</f>
        <v>#VALUE!</v>
      </c>
    </row>
    <row r="3972" spans="11:11" x14ac:dyDescent="0.25">
      <c r="K3972" s="8" t="e">
        <f t="shared" si="36"/>
        <v>#VALUE!</v>
      </c>
    </row>
    <row r="3973" spans="11:11" x14ac:dyDescent="0.25">
      <c r="K3973" s="8" t="e">
        <f t="shared" si="36"/>
        <v>#VALUE!</v>
      </c>
    </row>
    <row r="3974" spans="11:11" x14ac:dyDescent="0.25">
      <c r="K3974" s="8" t="e">
        <f t="shared" si="36"/>
        <v>#VALUE!</v>
      </c>
    </row>
    <row r="3975" spans="11:11" x14ac:dyDescent="0.25">
      <c r="K3975" s="8" t="e">
        <f t="shared" si="36"/>
        <v>#VALUE!</v>
      </c>
    </row>
    <row r="3976" spans="11:11" x14ac:dyDescent="0.25">
      <c r="K3976" s="8" t="e">
        <f t="shared" si="36"/>
        <v>#VALUE!</v>
      </c>
    </row>
    <row r="3977" spans="11:11" x14ac:dyDescent="0.25">
      <c r="K3977" s="8" t="e">
        <f t="shared" si="36"/>
        <v>#VALUE!</v>
      </c>
    </row>
    <row r="3978" spans="11:11" x14ac:dyDescent="0.25">
      <c r="K3978" s="8" t="e">
        <f t="shared" si="36"/>
        <v>#VALUE!</v>
      </c>
    </row>
    <row r="3979" spans="11:11" x14ac:dyDescent="0.25">
      <c r="K3979" s="8" t="e">
        <f t="shared" si="36"/>
        <v>#VALUE!</v>
      </c>
    </row>
    <row r="3980" spans="11:11" x14ac:dyDescent="0.25">
      <c r="K3980" s="8" t="e">
        <f t="shared" si="36"/>
        <v>#VALUE!</v>
      </c>
    </row>
    <row r="3981" spans="11:11" x14ac:dyDescent="0.25">
      <c r="K3981" s="8" t="e">
        <f t="shared" si="36"/>
        <v>#VALUE!</v>
      </c>
    </row>
    <row r="3982" spans="11:11" x14ac:dyDescent="0.25">
      <c r="K3982" s="8" t="e">
        <f t="shared" si="36"/>
        <v>#VALUE!</v>
      </c>
    </row>
    <row r="3983" spans="11:11" x14ac:dyDescent="0.25">
      <c r="K3983" s="8" t="e">
        <f t="shared" si="36"/>
        <v>#VALUE!</v>
      </c>
    </row>
    <row r="3984" spans="11:11" x14ac:dyDescent="0.25">
      <c r="K3984" s="8" t="e">
        <f t="shared" si="36"/>
        <v>#VALUE!</v>
      </c>
    </row>
    <row r="3985" spans="11:11" x14ac:dyDescent="0.25">
      <c r="K3985" s="8" t="e">
        <f t="shared" si="36"/>
        <v>#VALUE!</v>
      </c>
    </row>
    <row r="3986" spans="11:11" x14ac:dyDescent="0.25">
      <c r="K3986" s="8" t="e">
        <f t="shared" si="36"/>
        <v>#VALUE!</v>
      </c>
    </row>
    <row r="3987" spans="11:11" x14ac:dyDescent="0.25">
      <c r="K3987" s="8" t="e">
        <f t="shared" si="36"/>
        <v>#VALUE!</v>
      </c>
    </row>
    <row r="3988" spans="11:11" x14ac:dyDescent="0.25">
      <c r="K3988" s="8" t="e">
        <f t="shared" si="36"/>
        <v>#VALUE!</v>
      </c>
    </row>
    <row r="3989" spans="11:11" x14ac:dyDescent="0.25">
      <c r="K3989" s="8" t="e">
        <f t="shared" si="36"/>
        <v>#VALUE!</v>
      </c>
    </row>
    <row r="3990" spans="11:11" x14ac:dyDescent="0.25">
      <c r="K3990" s="8" t="e">
        <f t="shared" si="36"/>
        <v>#VALUE!</v>
      </c>
    </row>
    <row r="3991" spans="11:11" x14ac:dyDescent="0.25">
      <c r="K3991" s="8" t="e">
        <f t="shared" si="36"/>
        <v>#VALUE!</v>
      </c>
    </row>
    <row r="3992" spans="11:11" x14ac:dyDescent="0.25">
      <c r="K3992" s="8" t="e">
        <f t="shared" si="36"/>
        <v>#VALUE!</v>
      </c>
    </row>
    <row r="3993" spans="11:11" x14ac:dyDescent="0.25">
      <c r="K3993" s="8" t="e">
        <f t="shared" si="36"/>
        <v>#VALUE!</v>
      </c>
    </row>
    <row r="3994" spans="11:11" x14ac:dyDescent="0.25">
      <c r="K3994" s="8" t="e">
        <f t="shared" si="36"/>
        <v>#VALUE!</v>
      </c>
    </row>
    <row r="3995" spans="11:11" x14ac:dyDescent="0.25">
      <c r="K3995" s="8" t="e">
        <f t="shared" si="36"/>
        <v>#VALUE!</v>
      </c>
    </row>
    <row r="3996" spans="11:11" x14ac:dyDescent="0.25">
      <c r="K3996" s="8" t="e">
        <f t="shared" si="36"/>
        <v>#VALUE!</v>
      </c>
    </row>
    <row r="3997" spans="11:11" x14ac:dyDescent="0.25">
      <c r="K3997" s="8" t="e">
        <f t="shared" si="36"/>
        <v>#VALUE!</v>
      </c>
    </row>
    <row r="3998" spans="11:11" x14ac:dyDescent="0.25">
      <c r="K3998" s="8" t="e">
        <f t="shared" si="36"/>
        <v>#VALUE!</v>
      </c>
    </row>
    <row r="3999" spans="11:11" x14ac:dyDescent="0.25">
      <c r="K3999" s="8" t="e">
        <f t="shared" si="36"/>
        <v>#VALUE!</v>
      </c>
    </row>
    <row r="4000" spans="11:11" x14ac:dyDescent="0.25">
      <c r="K4000" s="8" t="e">
        <f t="shared" si="36"/>
        <v>#VALUE!</v>
      </c>
    </row>
    <row r="4001" spans="11:11" x14ac:dyDescent="0.25">
      <c r="K4001" s="8" t="e">
        <f t="shared" si="36"/>
        <v>#VALUE!</v>
      </c>
    </row>
    <row r="4002" spans="11:11" x14ac:dyDescent="0.25">
      <c r="K4002" s="8" t="e">
        <f t="shared" si="36"/>
        <v>#VALUE!</v>
      </c>
    </row>
    <row r="4003" spans="11:11" x14ac:dyDescent="0.25">
      <c r="K4003" s="8" t="e">
        <f t="shared" si="36"/>
        <v>#VALUE!</v>
      </c>
    </row>
    <row r="4004" spans="11:11" x14ac:dyDescent="0.25">
      <c r="K4004" s="8" t="e">
        <f t="shared" si="36"/>
        <v>#VALUE!</v>
      </c>
    </row>
    <row r="4005" spans="11:11" x14ac:dyDescent="0.25">
      <c r="K4005" s="8" t="e">
        <f t="shared" si="36"/>
        <v>#VALUE!</v>
      </c>
    </row>
    <row r="4006" spans="11:11" x14ac:dyDescent="0.25">
      <c r="K4006" s="8" t="e">
        <f t="shared" si="36"/>
        <v>#VALUE!</v>
      </c>
    </row>
    <row r="4007" spans="11:11" x14ac:dyDescent="0.25">
      <c r="K4007" s="8" t="e">
        <f t="shared" si="36"/>
        <v>#VALUE!</v>
      </c>
    </row>
    <row r="4008" spans="11:11" x14ac:dyDescent="0.25">
      <c r="K4008" s="8" t="e">
        <f t="shared" si="36"/>
        <v>#VALUE!</v>
      </c>
    </row>
    <row r="4009" spans="11:11" x14ac:dyDescent="0.25">
      <c r="K4009" s="8" t="e">
        <f t="shared" si="36"/>
        <v>#VALUE!</v>
      </c>
    </row>
    <row r="4010" spans="11:11" x14ac:dyDescent="0.25">
      <c r="K4010" s="8" t="e">
        <f t="shared" si="36"/>
        <v>#VALUE!</v>
      </c>
    </row>
    <row r="4011" spans="11:11" x14ac:dyDescent="0.25">
      <c r="K4011" s="8" t="e">
        <f t="shared" si="36"/>
        <v>#VALUE!</v>
      </c>
    </row>
    <row r="4012" spans="11:11" x14ac:dyDescent="0.25">
      <c r="K4012" s="8" t="e">
        <f t="shared" si="36"/>
        <v>#VALUE!</v>
      </c>
    </row>
    <row r="4013" spans="11:11" x14ac:dyDescent="0.25">
      <c r="K4013" s="8" t="e">
        <f t="shared" si="36"/>
        <v>#VALUE!</v>
      </c>
    </row>
    <row r="4014" spans="11:11" x14ac:dyDescent="0.25">
      <c r="K4014" s="8" t="e">
        <f t="shared" si="36"/>
        <v>#VALUE!</v>
      </c>
    </row>
    <row r="4015" spans="11:11" x14ac:dyDescent="0.25">
      <c r="K4015" s="8" t="e">
        <f t="shared" si="36"/>
        <v>#VALUE!</v>
      </c>
    </row>
    <row r="4016" spans="11:11" x14ac:dyDescent="0.25">
      <c r="K4016" s="8" t="e">
        <f t="shared" si="36"/>
        <v>#VALUE!</v>
      </c>
    </row>
    <row r="4017" spans="11:11" x14ac:dyDescent="0.25">
      <c r="K4017" s="8" t="e">
        <f t="shared" si="36"/>
        <v>#VALUE!</v>
      </c>
    </row>
    <row r="4018" spans="11:11" x14ac:dyDescent="0.25">
      <c r="K4018" s="8" t="e">
        <f t="shared" si="36"/>
        <v>#VALUE!</v>
      </c>
    </row>
    <row r="4019" spans="11:11" x14ac:dyDescent="0.25">
      <c r="K4019" s="8" t="e">
        <f t="shared" si="36"/>
        <v>#VALUE!</v>
      </c>
    </row>
    <row r="4020" spans="11:11" x14ac:dyDescent="0.25">
      <c r="K4020" s="8" t="e">
        <f t="shared" si="36"/>
        <v>#VALUE!</v>
      </c>
    </row>
    <row r="4021" spans="11:11" x14ac:dyDescent="0.25">
      <c r="K4021" s="8" t="e">
        <f t="shared" si="36"/>
        <v>#VALUE!</v>
      </c>
    </row>
    <row r="4022" spans="11:11" x14ac:dyDescent="0.25">
      <c r="K4022" s="8" t="e">
        <f t="shared" si="36"/>
        <v>#VALUE!</v>
      </c>
    </row>
    <row r="4023" spans="11:11" x14ac:dyDescent="0.25">
      <c r="K4023" s="8" t="e">
        <f t="shared" si="36"/>
        <v>#VALUE!</v>
      </c>
    </row>
    <row r="4024" spans="11:11" x14ac:dyDescent="0.25">
      <c r="K4024" s="8" t="e">
        <f t="shared" si="36"/>
        <v>#VALUE!</v>
      </c>
    </row>
    <row r="4025" spans="11:11" x14ac:dyDescent="0.25">
      <c r="K4025" s="8" t="e">
        <f t="shared" si="36"/>
        <v>#VALUE!</v>
      </c>
    </row>
    <row r="4026" spans="11:11" x14ac:dyDescent="0.25">
      <c r="K4026" s="8" t="e">
        <f t="shared" si="36"/>
        <v>#VALUE!</v>
      </c>
    </row>
    <row r="4027" spans="11:11" x14ac:dyDescent="0.25">
      <c r="K4027" s="8" t="e">
        <f t="shared" si="36"/>
        <v>#VALUE!</v>
      </c>
    </row>
    <row r="4028" spans="11:11" x14ac:dyDescent="0.25">
      <c r="K4028" s="8" t="e">
        <f t="shared" si="36"/>
        <v>#VALUE!</v>
      </c>
    </row>
    <row r="4029" spans="11:11" x14ac:dyDescent="0.25">
      <c r="K4029" s="8" t="e">
        <f t="shared" si="36"/>
        <v>#VALUE!</v>
      </c>
    </row>
    <row r="4030" spans="11:11" x14ac:dyDescent="0.25">
      <c r="K4030" s="8" t="e">
        <f t="shared" si="36"/>
        <v>#VALUE!</v>
      </c>
    </row>
    <row r="4031" spans="11:11" x14ac:dyDescent="0.25">
      <c r="K4031" s="8" t="e">
        <f t="shared" si="36"/>
        <v>#VALUE!</v>
      </c>
    </row>
    <row r="4032" spans="11:11" x14ac:dyDescent="0.25">
      <c r="K4032" s="8" t="e">
        <f t="shared" si="36"/>
        <v>#VALUE!</v>
      </c>
    </row>
    <row r="4033" spans="11:11" x14ac:dyDescent="0.25">
      <c r="K4033" s="8" t="e">
        <f t="shared" si="36"/>
        <v>#VALUE!</v>
      </c>
    </row>
    <row r="4034" spans="11:11" x14ac:dyDescent="0.25">
      <c r="K4034" s="8" t="e">
        <f t="shared" si="36"/>
        <v>#VALUE!</v>
      </c>
    </row>
    <row r="4035" spans="11:11" x14ac:dyDescent="0.25">
      <c r="K4035" s="8" t="e">
        <f t="shared" ref="K4035:K4098" si="37">LEFT(A4035,FIND("/",A4035)-1)</f>
        <v>#VALUE!</v>
      </c>
    </row>
    <row r="4036" spans="11:11" x14ac:dyDescent="0.25">
      <c r="K4036" s="8" t="e">
        <f t="shared" si="37"/>
        <v>#VALUE!</v>
      </c>
    </row>
    <row r="4037" spans="11:11" x14ac:dyDescent="0.25">
      <c r="K4037" s="8" t="e">
        <f t="shared" si="37"/>
        <v>#VALUE!</v>
      </c>
    </row>
    <row r="4038" spans="11:11" x14ac:dyDescent="0.25">
      <c r="K4038" s="8" t="e">
        <f t="shared" si="37"/>
        <v>#VALUE!</v>
      </c>
    </row>
    <row r="4039" spans="11:11" x14ac:dyDescent="0.25">
      <c r="K4039" s="8" t="e">
        <f t="shared" si="37"/>
        <v>#VALUE!</v>
      </c>
    </row>
    <row r="4040" spans="11:11" x14ac:dyDescent="0.25">
      <c r="K4040" s="8" t="e">
        <f t="shared" si="37"/>
        <v>#VALUE!</v>
      </c>
    </row>
    <row r="4041" spans="11:11" x14ac:dyDescent="0.25">
      <c r="K4041" s="8" t="e">
        <f t="shared" si="37"/>
        <v>#VALUE!</v>
      </c>
    </row>
    <row r="4042" spans="11:11" x14ac:dyDescent="0.25">
      <c r="K4042" s="8" t="e">
        <f t="shared" si="37"/>
        <v>#VALUE!</v>
      </c>
    </row>
    <row r="4043" spans="11:11" x14ac:dyDescent="0.25">
      <c r="K4043" s="8" t="e">
        <f t="shared" si="37"/>
        <v>#VALUE!</v>
      </c>
    </row>
    <row r="4044" spans="11:11" x14ac:dyDescent="0.25">
      <c r="K4044" s="8" t="e">
        <f t="shared" si="37"/>
        <v>#VALUE!</v>
      </c>
    </row>
    <row r="4045" spans="11:11" x14ac:dyDescent="0.25">
      <c r="K4045" s="8" t="e">
        <f t="shared" si="37"/>
        <v>#VALUE!</v>
      </c>
    </row>
    <row r="4046" spans="11:11" x14ac:dyDescent="0.25">
      <c r="K4046" s="8" t="e">
        <f t="shared" si="37"/>
        <v>#VALUE!</v>
      </c>
    </row>
    <row r="4047" spans="11:11" x14ac:dyDescent="0.25">
      <c r="K4047" s="8" t="e">
        <f t="shared" si="37"/>
        <v>#VALUE!</v>
      </c>
    </row>
    <row r="4048" spans="11:11" x14ac:dyDescent="0.25">
      <c r="K4048" s="8" t="e">
        <f t="shared" si="37"/>
        <v>#VALUE!</v>
      </c>
    </row>
    <row r="4049" spans="11:11" x14ac:dyDescent="0.25">
      <c r="K4049" s="8" t="e">
        <f t="shared" si="37"/>
        <v>#VALUE!</v>
      </c>
    </row>
    <row r="4050" spans="11:11" x14ac:dyDescent="0.25">
      <c r="K4050" s="8" t="e">
        <f t="shared" si="37"/>
        <v>#VALUE!</v>
      </c>
    </row>
    <row r="4051" spans="11:11" x14ac:dyDescent="0.25">
      <c r="K4051" s="8" t="e">
        <f t="shared" si="37"/>
        <v>#VALUE!</v>
      </c>
    </row>
    <row r="4052" spans="11:11" x14ac:dyDescent="0.25">
      <c r="K4052" s="8" t="e">
        <f t="shared" si="37"/>
        <v>#VALUE!</v>
      </c>
    </row>
    <row r="4053" spans="11:11" x14ac:dyDescent="0.25">
      <c r="K4053" s="8" t="e">
        <f t="shared" si="37"/>
        <v>#VALUE!</v>
      </c>
    </row>
    <row r="4054" spans="11:11" x14ac:dyDescent="0.25">
      <c r="K4054" s="8" t="e">
        <f t="shared" si="37"/>
        <v>#VALUE!</v>
      </c>
    </row>
    <row r="4055" spans="11:11" x14ac:dyDescent="0.25">
      <c r="K4055" s="8" t="e">
        <f t="shared" si="37"/>
        <v>#VALUE!</v>
      </c>
    </row>
    <row r="4056" spans="11:11" x14ac:dyDescent="0.25">
      <c r="K4056" s="8" t="e">
        <f t="shared" si="37"/>
        <v>#VALUE!</v>
      </c>
    </row>
    <row r="4057" spans="11:11" x14ac:dyDescent="0.25">
      <c r="K4057" s="8" t="e">
        <f t="shared" si="37"/>
        <v>#VALUE!</v>
      </c>
    </row>
    <row r="4058" spans="11:11" x14ac:dyDescent="0.25">
      <c r="K4058" s="8" t="e">
        <f t="shared" si="37"/>
        <v>#VALUE!</v>
      </c>
    </row>
    <row r="4059" spans="11:11" x14ac:dyDescent="0.25">
      <c r="K4059" s="8" t="e">
        <f t="shared" si="37"/>
        <v>#VALUE!</v>
      </c>
    </row>
    <row r="4060" spans="11:11" x14ac:dyDescent="0.25">
      <c r="K4060" s="8" t="e">
        <f t="shared" si="37"/>
        <v>#VALUE!</v>
      </c>
    </row>
    <row r="4061" spans="11:11" x14ac:dyDescent="0.25">
      <c r="K4061" s="8" t="e">
        <f t="shared" si="37"/>
        <v>#VALUE!</v>
      </c>
    </row>
    <row r="4062" spans="11:11" x14ac:dyDescent="0.25">
      <c r="K4062" s="8" t="e">
        <f t="shared" si="37"/>
        <v>#VALUE!</v>
      </c>
    </row>
    <row r="4063" spans="11:11" x14ac:dyDescent="0.25">
      <c r="K4063" s="8" t="e">
        <f t="shared" si="37"/>
        <v>#VALUE!</v>
      </c>
    </row>
    <row r="4064" spans="11:11" x14ac:dyDescent="0.25">
      <c r="K4064" s="8" t="e">
        <f t="shared" si="37"/>
        <v>#VALUE!</v>
      </c>
    </row>
    <row r="4065" spans="11:11" x14ac:dyDescent="0.25">
      <c r="K4065" s="8" t="e">
        <f t="shared" si="37"/>
        <v>#VALUE!</v>
      </c>
    </row>
    <row r="4066" spans="11:11" x14ac:dyDescent="0.25">
      <c r="K4066" s="8" t="e">
        <f t="shared" si="37"/>
        <v>#VALUE!</v>
      </c>
    </row>
    <row r="4067" spans="11:11" x14ac:dyDescent="0.25">
      <c r="K4067" s="8" t="e">
        <f t="shared" si="37"/>
        <v>#VALUE!</v>
      </c>
    </row>
    <row r="4068" spans="11:11" x14ac:dyDescent="0.25">
      <c r="K4068" s="8" t="e">
        <f t="shared" si="37"/>
        <v>#VALUE!</v>
      </c>
    </row>
    <row r="4069" spans="11:11" x14ac:dyDescent="0.25">
      <c r="K4069" s="8" t="e">
        <f t="shared" si="37"/>
        <v>#VALUE!</v>
      </c>
    </row>
    <row r="4070" spans="11:11" x14ac:dyDescent="0.25">
      <c r="K4070" s="8" t="e">
        <f t="shared" si="37"/>
        <v>#VALUE!</v>
      </c>
    </row>
    <row r="4071" spans="11:11" x14ac:dyDescent="0.25">
      <c r="K4071" s="8" t="e">
        <f t="shared" si="37"/>
        <v>#VALUE!</v>
      </c>
    </row>
    <row r="4072" spans="11:11" x14ac:dyDescent="0.25">
      <c r="K4072" s="8" t="e">
        <f t="shared" si="37"/>
        <v>#VALUE!</v>
      </c>
    </row>
    <row r="4073" spans="11:11" x14ac:dyDescent="0.25">
      <c r="K4073" s="8" t="e">
        <f t="shared" si="37"/>
        <v>#VALUE!</v>
      </c>
    </row>
    <row r="4074" spans="11:11" x14ac:dyDescent="0.25">
      <c r="K4074" s="8" t="e">
        <f t="shared" si="37"/>
        <v>#VALUE!</v>
      </c>
    </row>
    <row r="4075" spans="11:11" x14ac:dyDescent="0.25">
      <c r="K4075" s="8" t="e">
        <f t="shared" si="37"/>
        <v>#VALUE!</v>
      </c>
    </row>
    <row r="4076" spans="11:11" x14ac:dyDescent="0.25">
      <c r="K4076" s="8" t="e">
        <f t="shared" si="37"/>
        <v>#VALUE!</v>
      </c>
    </row>
    <row r="4077" spans="11:11" x14ac:dyDescent="0.25">
      <c r="K4077" s="8" t="e">
        <f t="shared" si="37"/>
        <v>#VALUE!</v>
      </c>
    </row>
    <row r="4078" spans="11:11" x14ac:dyDescent="0.25">
      <c r="K4078" s="8" t="e">
        <f t="shared" si="37"/>
        <v>#VALUE!</v>
      </c>
    </row>
    <row r="4079" spans="11:11" x14ac:dyDescent="0.25">
      <c r="K4079" s="8" t="e">
        <f t="shared" si="37"/>
        <v>#VALUE!</v>
      </c>
    </row>
    <row r="4080" spans="11:11" x14ac:dyDescent="0.25">
      <c r="K4080" s="8" t="e">
        <f t="shared" si="37"/>
        <v>#VALUE!</v>
      </c>
    </row>
    <row r="4081" spans="11:11" x14ac:dyDescent="0.25">
      <c r="K4081" s="8" t="e">
        <f t="shared" si="37"/>
        <v>#VALUE!</v>
      </c>
    </row>
    <row r="4082" spans="11:11" x14ac:dyDescent="0.25">
      <c r="K4082" s="8" t="e">
        <f t="shared" si="37"/>
        <v>#VALUE!</v>
      </c>
    </row>
    <row r="4083" spans="11:11" x14ac:dyDescent="0.25">
      <c r="K4083" s="8" t="e">
        <f t="shared" si="37"/>
        <v>#VALUE!</v>
      </c>
    </row>
    <row r="4084" spans="11:11" x14ac:dyDescent="0.25">
      <c r="K4084" s="8" t="e">
        <f t="shared" si="37"/>
        <v>#VALUE!</v>
      </c>
    </row>
    <row r="4085" spans="11:11" x14ac:dyDescent="0.25">
      <c r="K4085" s="8" t="e">
        <f t="shared" si="37"/>
        <v>#VALUE!</v>
      </c>
    </row>
    <row r="4086" spans="11:11" x14ac:dyDescent="0.25">
      <c r="K4086" s="8" t="e">
        <f t="shared" si="37"/>
        <v>#VALUE!</v>
      </c>
    </row>
    <row r="4087" spans="11:11" x14ac:dyDescent="0.25">
      <c r="K4087" s="8" t="e">
        <f t="shared" si="37"/>
        <v>#VALUE!</v>
      </c>
    </row>
    <row r="4088" spans="11:11" x14ac:dyDescent="0.25">
      <c r="K4088" s="8" t="e">
        <f t="shared" si="37"/>
        <v>#VALUE!</v>
      </c>
    </row>
    <row r="4089" spans="11:11" x14ac:dyDescent="0.25">
      <c r="K4089" s="8" t="e">
        <f t="shared" si="37"/>
        <v>#VALUE!</v>
      </c>
    </row>
    <row r="4090" spans="11:11" x14ac:dyDescent="0.25">
      <c r="K4090" s="8" t="e">
        <f t="shared" si="37"/>
        <v>#VALUE!</v>
      </c>
    </row>
    <row r="4091" spans="11:11" x14ac:dyDescent="0.25">
      <c r="K4091" s="8" t="e">
        <f t="shared" si="37"/>
        <v>#VALUE!</v>
      </c>
    </row>
    <row r="4092" spans="11:11" x14ac:dyDescent="0.25">
      <c r="K4092" s="8" t="e">
        <f t="shared" si="37"/>
        <v>#VALUE!</v>
      </c>
    </row>
    <row r="4093" spans="11:11" x14ac:dyDescent="0.25">
      <c r="K4093" s="8" t="e">
        <f t="shared" si="37"/>
        <v>#VALUE!</v>
      </c>
    </row>
    <row r="4094" spans="11:11" x14ac:dyDescent="0.25">
      <c r="K4094" s="8" t="e">
        <f t="shared" si="37"/>
        <v>#VALUE!</v>
      </c>
    </row>
    <row r="4095" spans="11:11" x14ac:dyDescent="0.25">
      <c r="K4095" s="8" t="e">
        <f t="shared" si="37"/>
        <v>#VALUE!</v>
      </c>
    </row>
    <row r="4096" spans="11:11" x14ac:dyDescent="0.25">
      <c r="K4096" s="8" t="e">
        <f t="shared" si="37"/>
        <v>#VALUE!</v>
      </c>
    </row>
    <row r="4097" spans="11:11" x14ac:dyDescent="0.25">
      <c r="K4097" s="8" t="e">
        <f t="shared" si="37"/>
        <v>#VALUE!</v>
      </c>
    </row>
    <row r="4098" spans="11:11" x14ac:dyDescent="0.25">
      <c r="K4098" s="8" t="e">
        <f t="shared" si="37"/>
        <v>#VALUE!</v>
      </c>
    </row>
    <row r="4099" spans="11:11" x14ac:dyDescent="0.25">
      <c r="K4099" s="8" t="e">
        <f t="shared" ref="K4099:K4162" si="38">LEFT(A4099,FIND("/",A4099)-1)</f>
        <v>#VALUE!</v>
      </c>
    </row>
    <row r="4100" spans="11:11" x14ac:dyDescent="0.25">
      <c r="K4100" s="8" t="e">
        <f t="shared" si="38"/>
        <v>#VALUE!</v>
      </c>
    </row>
    <row r="4101" spans="11:11" x14ac:dyDescent="0.25">
      <c r="K4101" s="8" t="e">
        <f t="shared" si="38"/>
        <v>#VALUE!</v>
      </c>
    </row>
    <row r="4102" spans="11:11" x14ac:dyDescent="0.25">
      <c r="K4102" s="8" t="e">
        <f t="shared" si="38"/>
        <v>#VALUE!</v>
      </c>
    </row>
    <row r="4103" spans="11:11" x14ac:dyDescent="0.25">
      <c r="K4103" s="8" t="e">
        <f t="shared" si="38"/>
        <v>#VALUE!</v>
      </c>
    </row>
    <row r="4104" spans="11:11" x14ac:dyDescent="0.25">
      <c r="K4104" s="8" t="e">
        <f t="shared" si="38"/>
        <v>#VALUE!</v>
      </c>
    </row>
    <row r="4105" spans="11:11" x14ac:dyDescent="0.25">
      <c r="K4105" s="8" t="e">
        <f t="shared" si="38"/>
        <v>#VALUE!</v>
      </c>
    </row>
    <row r="4106" spans="11:11" x14ac:dyDescent="0.25">
      <c r="K4106" s="8" t="e">
        <f t="shared" si="38"/>
        <v>#VALUE!</v>
      </c>
    </row>
    <row r="4107" spans="11:11" x14ac:dyDescent="0.25">
      <c r="K4107" s="8" t="e">
        <f t="shared" si="38"/>
        <v>#VALUE!</v>
      </c>
    </row>
    <row r="4108" spans="11:11" x14ac:dyDescent="0.25">
      <c r="K4108" s="8" t="e">
        <f t="shared" si="38"/>
        <v>#VALUE!</v>
      </c>
    </row>
    <row r="4109" spans="11:11" x14ac:dyDescent="0.25">
      <c r="K4109" s="8" t="e">
        <f t="shared" si="38"/>
        <v>#VALUE!</v>
      </c>
    </row>
    <row r="4110" spans="11:11" x14ac:dyDescent="0.25">
      <c r="K4110" s="8" t="e">
        <f t="shared" si="38"/>
        <v>#VALUE!</v>
      </c>
    </row>
    <row r="4111" spans="11:11" x14ac:dyDescent="0.25">
      <c r="K4111" s="8" t="e">
        <f t="shared" si="38"/>
        <v>#VALUE!</v>
      </c>
    </row>
    <row r="4112" spans="11:11" x14ac:dyDescent="0.25">
      <c r="K4112" s="8" t="e">
        <f t="shared" si="38"/>
        <v>#VALUE!</v>
      </c>
    </row>
    <row r="4113" spans="11:11" x14ac:dyDescent="0.25">
      <c r="K4113" s="8" t="e">
        <f t="shared" si="38"/>
        <v>#VALUE!</v>
      </c>
    </row>
    <row r="4114" spans="11:11" x14ac:dyDescent="0.25">
      <c r="K4114" s="8" t="e">
        <f t="shared" si="38"/>
        <v>#VALUE!</v>
      </c>
    </row>
    <row r="4115" spans="11:11" x14ac:dyDescent="0.25">
      <c r="K4115" s="8" t="e">
        <f t="shared" si="38"/>
        <v>#VALUE!</v>
      </c>
    </row>
    <row r="4116" spans="11:11" x14ac:dyDescent="0.25">
      <c r="K4116" s="8" t="e">
        <f t="shared" si="38"/>
        <v>#VALUE!</v>
      </c>
    </row>
    <row r="4117" spans="11:11" x14ac:dyDescent="0.25">
      <c r="K4117" s="8" t="e">
        <f t="shared" si="38"/>
        <v>#VALUE!</v>
      </c>
    </row>
    <row r="4118" spans="11:11" x14ac:dyDescent="0.25">
      <c r="K4118" s="8" t="e">
        <f t="shared" si="38"/>
        <v>#VALUE!</v>
      </c>
    </row>
    <row r="4119" spans="11:11" x14ac:dyDescent="0.25">
      <c r="K4119" s="8" t="e">
        <f t="shared" si="38"/>
        <v>#VALUE!</v>
      </c>
    </row>
    <row r="4120" spans="11:11" x14ac:dyDescent="0.25">
      <c r="K4120" s="8" t="e">
        <f t="shared" si="38"/>
        <v>#VALUE!</v>
      </c>
    </row>
    <row r="4121" spans="11:11" x14ac:dyDescent="0.25">
      <c r="K4121" s="8" t="e">
        <f t="shared" si="38"/>
        <v>#VALUE!</v>
      </c>
    </row>
    <row r="4122" spans="11:11" x14ac:dyDescent="0.25">
      <c r="K4122" s="8" t="e">
        <f t="shared" si="38"/>
        <v>#VALUE!</v>
      </c>
    </row>
    <row r="4123" spans="11:11" x14ac:dyDescent="0.25">
      <c r="K4123" s="8" t="e">
        <f t="shared" si="38"/>
        <v>#VALUE!</v>
      </c>
    </row>
    <row r="4124" spans="11:11" x14ac:dyDescent="0.25">
      <c r="K4124" s="8" t="e">
        <f t="shared" si="38"/>
        <v>#VALUE!</v>
      </c>
    </row>
    <row r="4125" spans="11:11" x14ac:dyDescent="0.25">
      <c r="K4125" s="8" t="e">
        <f t="shared" si="38"/>
        <v>#VALUE!</v>
      </c>
    </row>
    <row r="4126" spans="11:11" x14ac:dyDescent="0.25">
      <c r="K4126" s="8" t="e">
        <f t="shared" si="38"/>
        <v>#VALUE!</v>
      </c>
    </row>
    <row r="4127" spans="11:11" x14ac:dyDescent="0.25">
      <c r="K4127" s="8" t="e">
        <f t="shared" si="38"/>
        <v>#VALUE!</v>
      </c>
    </row>
    <row r="4128" spans="11:11" x14ac:dyDescent="0.25">
      <c r="K4128" s="8" t="e">
        <f t="shared" si="38"/>
        <v>#VALUE!</v>
      </c>
    </row>
    <row r="4129" spans="11:11" x14ac:dyDescent="0.25">
      <c r="K4129" s="8" t="e">
        <f t="shared" si="38"/>
        <v>#VALUE!</v>
      </c>
    </row>
    <row r="4130" spans="11:11" x14ac:dyDescent="0.25">
      <c r="K4130" s="8" t="e">
        <f t="shared" si="38"/>
        <v>#VALUE!</v>
      </c>
    </row>
    <row r="4131" spans="11:11" x14ac:dyDescent="0.25">
      <c r="K4131" s="8" t="e">
        <f t="shared" si="38"/>
        <v>#VALUE!</v>
      </c>
    </row>
    <row r="4132" spans="11:11" x14ac:dyDescent="0.25">
      <c r="K4132" s="8" t="e">
        <f t="shared" si="38"/>
        <v>#VALUE!</v>
      </c>
    </row>
    <row r="4133" spans="11:11" x14ac:dyDescent="0.25">
      <c r="K4133" s="8" t="e">
        <f t="shared" si="38"/>
        <v>#VALUE!</v>
      </c>
    </row>
    <row r="4134" spans="11:11" x14ac:dyDescent="0.25">
      <c r="K4134" s="8" t="e">
        <f t="shared" si="38"/>
        <v>#VALUE!</v>
      </c>
    </row>
    <row r="4135" spans="11:11" x14ac:dyDescent="0.25">
      <c r="K4135" s="8" t="e">
        <f t="shared" si="38"/>
        <v>#VALUE!</v>
      </c>
    </row>
    <row r="4136" spans="11:11" x14ac:dyDescent="0.25">
      <c r="K4136" s="8" t="e">
        <f t="shared" si="38"/>
        <v>#VALUE!</v>
      </c>
    </row>
    <row r="4137" spans="11:11" x14ac:dyDescent="0.25">
      <c r="K4137" s="8" t="e">
        <f t="shared" si="38"/>
        <v>#VALUE!</v>
      </c>
    </row>
    <row r="4138" spans="11:11" x14ac:dyDescent="0.25">
      <c r="K4138" s="8" t="e">
        <f t="shared" si="38"/>
        <v>#VALUE!</v>
      </c>
    </row>
    <row r="4139" spans="11:11" x14ac:dyDescent="0.25">
      <c r="K4139" s="8" t="e">
        <f t="shared" si="38"/>
        <v>#VALUE!</v>
      </c>
    </row>
    <row r="4140" spans="11:11" x14ac:dyDescent="0.25">
      <c r="K4140" s="8" t="e">
        <f t="shared" si="38"/>
        <v>#VALUE!</v>
      </c>
    </row>
    <row r="4141" spans="11:11" x14ac:dyDescent="0.25">
      <c r="K4141" s="8" t="e">
        <f t="shared" si="38"/>
        <v>#VALUE!</v>
      </c>
    </row>
    <row r="4142" spans="11:11" x14ac:dyDescent="0.25">
      <c r="K4142" s="8" t="e">
        <f t="shared" si="38"/>
        <v>#VALUE!</v>
      </c>
    </row>
    <row r="4143" spans="11:11" x14ac:dyDescent="0.25">
      <c r="K4143" s="8" t="e">
        <f t="shared" si="38"/>
        <v>#VALUE!</v>
      </c>
    </row>
    <row r="4144" spans="11:11" x14ac:dyDescent="0.25">
      <c r="K4144" s="8" t="e">
        <f t="shared" si="38"/>
        <v>#VALUE!</v>
      </c>
    </row>
    <row r="4145" spans="11:11" x14ac:dyDescent="0.25">
      <c r="K4145" s="8" t="e">
        <f t="shared" si="38"/>
        <v>#VALUE!</v>
      </c>
    </row>
    <row r="4146" spans="11:11" x14ac:dyDescent="0.25">
      <c r="K4146" s="8" t="e">
        <f t="shared" si="38"/>
        <v>#VALUE!</v>
      </c>
    </row>
    <row r="4147" spans="11:11" x14ac:dyDescent="0.25">
      <c r="K4147" s="8" t="e">
        <f t="shared" si="38"/>
        <v>#VALUE!</v>
      </c>
    </row>
    <row r="4148" spans="11:11" x14ac:dyDescent="0.25">
      <c r="K4148" s="8" t="e">
        <f t="shared" si="38"/>
        <v>#VALUE!</v>
      </c>
    </row>
    <row r="4149" spans="11:11" x14ac:dyDescent="0.25">
      <c r="K4149" s="8" t="e">
        <f t="shared" si="38"/>
        <v>#VALUE!</v>
      </c>
    </row>
    <row r="4150" spans="11:11" x14ac:dyDescent="0.25">
      <c r="K4150" s="8" t="e">
        <f t="shared" si="38"/>
        <v>#VALUE!</v>
      </c>
    </row>
    <row r="4151" spans="11:11" x14ac:dyDescent="0.25">
      <c r="K4151" s="8" t="e">
        <f t="shared" si="38"/>
        <v>#VALUE!</v>
      </c>
    </row>
    <row r="4152" spans="11:11" x14ac:dyDescent="0.25">
      <c r="K4152" s="8" t="e">
        <f t="shared" si="38"/>
        <v>#VALUE!</v>
      </c>
    </row>
    <row r="4153" spans="11:11" x14ac:dyDescent="0.25">
      <c r="K4153" s="8" t="e">
        <f t="shared" si="38"/>
        <v>#VALUE!</v>
      </c>
    </row>
    <row r="4154" spans="11:11" x14ac:dyDescent="0.25">
      <c r="K4154" s="8" t="e">
        <f t="shared" si="38"/>
        <v>#VALUE!</v>
      </c>
    </row>
    <row r="4155" spans="11:11" x14ac:dyDescent="0.25">
      <c r="K4155" s="8" t="e">
        <f t="shared" si="38"/>
        <v>#VALUE!</v>
      </c>
    </row>
    <row r="4156" spans="11:11" x14ac:dyDescent="0.25">
      <c r="K4156" s="8" t="e">
        <f t="shared" si="38"/>
        <v>#VALUE!</v>
      </c>
    </row>
    <row r="4157" spans="11:11" x14ac:dyDescent="0.25">
      <c r="K4157" s="8" t="e">
        <f t="shared" si="38"/>
        <v>#VALUE!</v>
      </c>
    </row>
    <row r="4158" spans="11:11" x14ac:dyDescent="0.25">
      <c r="K4158" s="8" t="e">
        <f t="shared" si="38"/>
        <v>#VALUE!</v>
      </c>
    </row>
    <row r="4159" spans="11:11" x14ac:dyDescent="0.25">
      <c r="K4159" s="8" t="e">
        <f t="shared" si="38"/>
        <v>#VALUE!</v>
      </c>
    </row>
    <row r="4160" spans="11:11" x14ac:dyDescent="0.25">
      <c r="K4160" s="8" t="e">
        <f t="shared" si="38"/>
        <v>#VALUE!</v>
      </c>
    </row>
    <row r="4161" spans="11:11" x14ac:dyDescent="0.25">
      <c r="K4161" s="8" t="e">
        <f t="shared" si="38"/>
        <v>#VALUE!</v>
      </c>
    </row>
    <row r="4162" spans="11:11" x14ac:dyDescent="0.25">
      <c r="K4162" s="8" t="e">
        <f t="shared" si="38"/>
        <v>#VALUE!</v>
      </c>
    </row>
    <row r="4163" spans="11:11" x14ac:dyDescent="0.25">
      <c r="K4163" s="8" t="e">
        <f t="shared" ref="K4163:K4226" si="39">LEFT(A4163,FIND("/",A4163)-1)</f>
        <v>#VALUE!</v>
      </c>
    </row>
    <row r="4164" spans="11:11" x14ac:dyDescent="0.25">
      <c r="K4164" s="8" t="e">
        <f t="shared" si="39"/>
        <v>#VALUE!</v>
      </c>
    </row>
    <row r="4165" spans="11:11" x14ac:dyDescent="0.25">
      <c r="K4165" s="8" t="e">
        <f t="shared" si="39"/>
        <v>#VALUE!</v>
      </c>
    </row>
    <row r="4166" spans="11:11" x14ac:dyDescent="0.25">
      <c r="K4166" s="8" t="e">
        <f t="shared" si="39"/>
        <v>#VALUE!</v>
      </c>
    </row>
    <row r="4167" spans="11:11" x14ac:dyDescent="0.25">
      <c r="K4167" s="8" t="e">
        <f t="shared" si="39"/>
        <v>#VALUE!</v>
      </c>
    </row>
    <row r="4168" spans="11:11" x14ac:dyDescent="0.25">
      <c r="K4168" s="8" t="e">
        <f t="shared" si="39"/>
        <v>#VALUE!</v>
      </c>
    </row>
    <row r="4169" spans="11:11" x14ac:dyDescent="0.25">
      <c r="K4169" s="8" t="e">
        <f t="shared" si="39"/>
        <v>#VALUE!</v>
      </c>
    </row>
    <row r="4170" spans="11:11" x14ac:dyDescent="0.25">
      <c r="K4170" s="8" t="e">
        <f t="shared" si="39"/>
        <v>#VALUE!</v>
      </c>
    </row>
    <row r="4171" spans="11:11" x14ac:dyDescent="0.25">
      <c r="K4171" s="8" t="e">
        <f t="shared" si="39"/>
        <v>#VALUE!</v>
      </c>
    </row>
    <row r="4172" spans="11:11" x14ac:dyDescent="0.25">
      <c r="K4172" s="8" t="e">
        <f t="shared" si="39"/>
        <v>#VALUE!</v>
      </c>
    </row>
    <row r="4173" spans="11:11" x14ac:dyDescent="0.25">
      <c r="K4173" s="8" t="e">
        <f t="shared" si="39"/>
        <v>#VALUE!</v>
      </c>
    </row>
    <row r="4174" spans="11:11" x14ac:dyDescent="0.25">
      <c r="K4174" s="8" t="e">
        <f t="shared" si="39"/>
        <v>#VALUE!</v>
      </c>
    </row>
    <row r="4175" spans="11:11" x14ac:dyDescent="0.25">
      <c r="K4175" s="8" t="e">
        <f t="shared" si="39"/>
        <v>#VALUE!</v>
      </c>
    </row>
    <row r="4176" spans="11:11" x14ac:dyDescent="0.25">
      <c r="K4176" s="8" t="e">
        <f t="shared" si="39"/>
        <v>#VALUE!</v>
      </c>
    </row>
    <row r="4177" spans="11:11" x14ac:dyDescent="0.25">
      <c r="K4177" s="8" t="e">
        <f t="shared" si="39"/>
        <v>#VALUE!</v>
      </c>
    </row>
    <row r="4178" spans="11:11" x14ac:dyDescent="0.25">
      <c r="K4178" s="8" t="e">
        <f t="shared" si="39"/>
        <v>#VALUE!</v>
      </c>
    </row>
    <row r="4179" spans="11:11" x14ac:dyDescent="0.25">
      <c r="K4179" s="8" t="e">
        <f t="shared" si="39"/>
        <v>#VALUE!</v>
      </c>
    </row>
    <row r="4180" spans="11:11" x14ac:dyDescent="0.25">
      <c r="K4180" s="8" t="e">
        <f t="shared" si="39"/>
        <v>#VALUE!</v>
      </c>
    </row>
    <row r="4181" spans="11:11" x14ac:dyDescent="0.25">
      <c r="K4181" s="8" t="e">
        <f t="shared" si="39"/>
        <v>#VALUE!</v>
      </c>
    </row>
    <row r="4182" spans="11:11" x14ac:dyDescent="0.25">
      <c r="K4182" s="8" t="e">
        <f t="shared" si="39"/>
        <v>#VALUE!</v>
      </c>
    </row>
    <row r="4183" spans="11:11" x14ac:dyDescent="0.25">
      <c r="K4183" s="8" t="e">
        <f t="shared" si="39"/>
        <v>#VALUE!</v>
      </c>
    </row>
    <row r="4184" spans="11:11" x14ac:dyDescent="0.25">
      <c r="K4184" s="8" t="e">
        <f t="shared" si="39"/>
        <v>#VALUE!</v>
      </c>
    </row>
    <row r="4185" spans="11:11" x14ac:dyDescent="0.25">
      <c r="K4185" s="8" t="e">
        <f t="shared" si="39"/>
        <v>#VALUE!</v>
      </c>
    </row>
    <row r="4186" spans="11:11" x14ac:dyDescent="0.25">
      <c r="K4186" s="8" t="e">
        <f t="shared" si="39"/>
        <v>#VALUE!</v>
      </c>
    </row>
    <row r="4187" spans="11:11" x14ac:dyDescent="0.25">
      <c r="K4187" s="8" t="e">
        <f t="shared" si="39"/>
        <v>#VALUE!</v>
      </c>
    </row>
    <row r="4188" spans="11:11" x14ac:dyDescent="0.25">
      <c r="K4188" s="8" t="e">
        <f t="shared" si="39"/>
        <v>#VALUE!</v>
      </c>
    </row>
    <row r="4189" spans="11:11" x14ac:dyDescent="0.25">
      <c r="K4189" s="8" t="e">
        <f t="shared" si="39"/>
        <v>#VALUE!</v>
      </c>
    </row>
    <row r="4190" spans="11:11" x14ac:dyDescent="0.25">
      <c r="K4190" s="8" t="e">
        <f t="shared" si="39"/>
        <v>#VALUE!</v>
      </c>
    </row>
    <row r="4191" spans="11:11" x14ac:dyDescent="0.25">
      <c r="K4191" s="8" t="e">
        <f t="shared" si="39"/>
        <v>#VALUE!</v>
      </c>
    </row>
    <row r="4192" spans="11:11" x14ac:dyDescent="0.25">
      <c r="K4192" s="8" t="e">
        <f t="shared" si="39"/>
        <v>#VALUE!</v>
      </c>
    </row>
    <row r="4193" spans="11:11" x14ac:dyDescent="0.25">
      <c r="K4193" s="8" t="e">
        <f t="shared" si="39"/>
        <v>#VALUE!</v>
      </c>
    </row>
    <row r="4194" spans="11:11" x14ac:dyDescent="0.25">
      <c r="K4194" s="8" t="e">
        <f t="shared" si="39"/>
        <v>#VALUE!</v>
      </c>
    </row>
    <row r="4195" spans="11:11" x14ac:dyDescent="0.25">
      <c r="K4195" s="8" t="e">
        <f t="shared" si="39"/>
        <v>#VALUE!</v>
      </c>
    </row>
    <row r="4196" spans="11:11" x14ac:dyDescent="0.25">
      <c r="K4196" s="8" t="e">
        <f t="shared" si="39"/>
        <v>#VALUE!</v>
      </c>
    </row>
    <row r="4197" spans="11:11" x14ac:dyDescent="0.25">
      <c r="K4197" s="8" t="e">
        <f t="shared" si="39"/>
        <v>#VALUE!</v>
      </c>
    </row>
    <row r="4198" spans="11:11" x14ac:dyDescent="0.25">
      <c r="K4198" s="8" t="e">
        <f t="shared" si="39"/>
        <v>#VALUE!</v>
      </c>
    </row>
    <row r="4199" spans="11:11" x14ac:dyDescent="0.25">
      <c r="K4199" s="8" t="e">
        <f t="shared" si="39"/>
        <v>#VALUE!</v>
      </c>
    </row>
    <row r="4200" spans="11:11" x14ac:dyDescent="0.25">
      <c r="K4200" s="8" t="e">
        <f t="shared" si="39"/>
        <v>#VALUE!</v>
      </c>
    </row>
    <row r="4201" spans="11:11" x14ac:dyDescent="0.25">
      <c r="K4201" s="8" t="e">
        <f t="shared" si="39"/>
        <v>#VALUE!</v>
      </c>
    </row>
    <row r="4202" spans="11:11" x14ac:dyDescent="0.25">
      <c r="K4202" s="8" t="e">
        <f t="shared" si="39"/>
        <v>#VALUE!</v>
      </c>
    </row>
    <row r="4203" spans="11:11" x14ac:dyDescent="0.25">
      <c r="K4203" s="8" t="e">
        <f t="shared" si="39"/>
        <v>#VALUE!</v>
      </c>
    </row>
    <row r="4204" spans="11:11" x14ac:dyDescent="0.25">
      <c r="K4204" s="8" t="e">
        <f t="shared" si="39"/>
        <v>#VALUE!</v>
      </c>
    </row>
    <row r="4205" spans="11:11" x14ac:dyDescent="0.25">
      <c r="K4205" s="8" t="e">
        <f t="shared" si="39"/>
        <v>#VALUE!</v>
      </c>
    </row>
    <row r="4206" spans="11:11" x14ac:dyDescent="0.25">
      <c r="K4206" s="8" t="e">
        <f t="shared" si="39"/>
        <v>#VALUE!</v>
      </c>
    </row>
    <row r="4207" spans="11:11" x14ac:dyDescent="0.25">
      <c r="K4207" s="8" t="e">
        <f t="shared" si="39"/>
        <v>#VALUE!</v>
      </c>
    </row>
    <row r="4208" spans="11:11" x14ac:dyDescent="0.25">
      <c r="K4208" s="8" t="e">
        <f t="shared" si="39"/>
        <v>#VALUE!</v>
      </c>
    </row>
    <row r="4209" spans="11:11" x14ac:dyDescent="0.25">
      <c r="K4209" s="8" t="e">
        <f t="shared" si="39"/>
        <v>#VALUE!</v>
      </c>
    </row>
    <row r="4210" spans="11:11" x14ac:dyDescent="0.25">
      <c r="K4210" s="8" t="e">
        <f t="shared" si="39"/>
        <v>#VALUE!</v>
      </c>
    </row>
    <row r="4211" spans="11:11" x14ac:dyDescent="0.25">
      <c r="K4211" s="8" t="e">
        <f t="shared" si="39"/>
        <v>#VALUE!</v>
      </c>
    </row>
    <row r="4212" spans="11:11" x14ac:dyDescent="0.25">
      <c r="K4212" s="8" t="e">
        <f t="shared" si="39"/>
        <v>#VALUE!</v>
      </c>
    </row>
    <row r="4213" spans="11:11" x14ac:dyDescent="0.25">
      <c r="K4213" s="8" t="e">
        <f t="shared" si="39"/>
        <v>#VALUE!</v>
      </c>
    </row>
    <row r="4214" spans="11:11" x14ac:dyDescent="0.25">
      <c r="K4214" s="8" t="e">
        <f t="shared" si="39"/>
        <v>#VALUE!</v>
      </c>
    </row>
    <row r="4215" spans="11:11" x14ac:dyDescent="0.25">
      <c r="K4215" s="8" t="e">
        <f t="shared" si="39"/>
        <v>#VALUE!</v>
      </c>
    </row>
    <row r="4216" spans="11:11" x14ac:dyDescent="0.25">
      <c r="K4216" s="8" t="e">
        <f t="shared" si="39"/>
        <v>#VALUE!</v>
      </c>
    </row>
    <row r="4217" spans="11:11" x14ac:dyDescent="0.25">
      <c r="K4217" s="8" t="e">
        <f t="shared" si="39"/>
        <v>#VALUE!</v>
      </c>
    </row>
    <row r="4218" spans="11:11" x14ac:dyDescent="0.25">
      <c r="K4218" s="8" t="e">
        <f t="shared" si="39"/>
        <v>#VALUE!</v>
      </c>
    </row>
    <row r="4219" spans="11:11" x14ac:dyDescent="0.25">
      <c r="K4219" s="8" t="e">
        <f t="shared" si="39"/>
        <v>#VALUE!</v>
      </c>
    </row>
    <row r="4220" spans="11:11" x14ac:dyDescent="0.25">
      <c r="K4220" s="8" t="e">
        <f t="shared" si="39"/>
        <v>#VALUE!</v>
      </c>
    </row>
    <row r="4221" spans="11:11" x14ac:dyDescent="0.25">
      <c r="K4221" s="8" t="e">
        <f t="shared" si="39"/>
        <v>#VALUE!</v>
      </c>
    </row>
    <row r="4222" spans="11:11" x14ac:dyDescent="0.25">
      <c r="K4222" s="8" t="e">
        <f t="shared" si="39"/>
        <v>#VALUE!</v>
      </c>
    </row>
    <row r="4223" spans="11:11" x14ac:dyDescent="0.25">
      <c r="K4223" s="8" t="e">
        <f t="shared" si="39"/>
        <v>#VALUE!</v>
      </c>
    </row>
    <row r="4224" spans="11:11" x14ac:dyDescent="0.25">
      <c r="K4224" s="8" t="e">
        <f t="shared" si="39"/>
        <v>#VALUE!</v>
      </c>
    </row>
    <row r="4225" spans="11:11" x14ac:dyDescent="0.25">
      <c r="K4225" s="8" t="e">
        <f t="shared" si="39"/>
        <v>#VALUE!</v>
      </c>
    </row>
    <row r="4226" spans="11:11" x14ac:dyDescent="0.25">
      <c r="K4226" s="8" t="e">
        <f t="shared" si="39"/>
        <v>#VALUE!</v>
      </c>
    </row>
    <row r="4227" spans="11:11" x14ac:dyDescent="0.25">
      <c r="K4227" s="8" t="e">
        <f t="shared" ref="K4227:K4290" si="40">LEFT(A4227,FIND("/",A4227)-1)</f>
        <v>#VALUE!</v>
      </c>
    </row>
    <row r="4228" spans="11:11" x14ac:dyDescent="0.25">
      <c r="K4228" s="8" t="e">
        <f t="shared" si="40"/>
        <v>#VALUE!</v>
      </c>
    </row>
    <row r="4229" spans="11:11" x14ac:dyDescent="0.25">
      <c r="K4229" s="8" t="e">
        <f t="shared" si="40"/>
        <v>#VALUE!</v>
      </c>
    </row>
    <row r="4230" spans="11:11" x14ac:dyDescent="0.25">
      <c r="K4230" s="8" t="e">
        <f t="shared" si="40"/>
        <v>#VALUE!</v>
      </c>
    </row>
    <row r="4231" spans="11:11" x14ac:dyDescent="0.25">
      <c r="K4231" s="8" t="e">
        <f t="shared" si="40"/>
        <v>#VALUE!</v>
      </c>
    </row>
    <row r="4232" spans="11:11" x14ac:dyDescent="0.25">
      <c r="K4232" s="8" t="e">
        <f t="shared" si="40"/>
        <v>#VALUE!</v>
      </c>
    </row>
    <row r="4233" spans="11:11" x14ac:dyDescent="0.25">
      <c r="K4233" s="8" t="e">
        <f t="shared" si="40"/>
        <v>#VALUE!</v>
      </c>
    </row>
    <row r="4234" spans="11:11" x14ac:dyDescent="0.25">
      <c r="K4234" s="8" t="e">
        <f t="shared" si="40"/>
        <v>#VALUE!</v>
      </c>
    </row>
    <row r="4235" spans="11:11" x14ac:dyDescent="0.25">
      <c r="K4235" s="8" t="e">
        <f t="shared" si="40"/>
        <v>#VALUE!</v>
      </c>
    </row>
    <row r="4236" spans="11:11" x14ac:dyDescent="0.25">
      <c r="K4236" s="8" t="e">
        <f t="shared" si="40"/>
        <v>#VALUE!</v>
      </c>
    </row>
    <row r="4237" spans="11:11" x14ac:dyDescent="0.25">
      <c r="K4237" s="8" t="e">
        <f t="shared" si="40"/>
        <v>#VALUE!</v>
      </c>
    </row>
    <row r="4238" spans="11:11" x14ac:dyDescent="0.25">
      <c r="K4238" s="8" t="e">
        <f t="shared" si="40"/>
        <v>#VALUE!</v>
      </c>
    </row>
    <row r="4239" spans="11:11" x14ac:dyDescent="0.25">
      <c r="K4239" s="8" t="e">
        <f t="shared" si="40"/>
        <v>#VALUE!</v>
      </c>
    </row>
    <row r="4240" spans="11:11" x14ac:dyDescent="0.25">
      <c r="K4240" s="8" t="e">
        <f t="shared" si="40"/>
        <v>#VALUE!</v>
      </c>
    </row>
    <row r="4241" spans="11:11" x14ac:dyDescent="0.25">
      <c r="K4241" s="8" t="e">
        <f t="shared" si="40"/>
        <v>#VALUE!</v>
      </c>
    </row>
    <row r="4242" spans="11:11" x14ac:dyDescent="0.25">
      <c r="K4242" s="8" t="e">
        <f t="shared" si="40"/>
        <v>#VALUE!</v>
      </c>
    </row>
    <row r="4243" spans="11:11" x14ac:dyDescent="0.25">
      <c r="K4243" s="8" t="e">
        <f t="shared" si="40"/>
        <v>#VALUE!</v>
      </c>
    </row>
    <row r="4244" spans="11:11" x14ac:dyDescent="0.25">
      <c r="K4244" s="8" t="e">
        <f t="shared" si="40"/>
        <v>#VALUE!</v>
      </c>
    </row>
    <row r="4245" spans="11:11" x14ac:dyDescent="0.25">
      <c r="K4245" s="8" t="e">
        <f t="shared" si="40"/>
        <v>#VALUE!</v>
      </c>
    </row>
    <row r="4246" spans="11:11" x14ac:dyDescent="0.25">
      <c r="K4246" s="8" t="e">
        <f t="shared" si="40"/>
        <v>#VALUE!</v>
      </c>
    </row>
    <row r="4247" spans="11:11" x14ac:dyDescent="0.25">
      <c r="K4247" s="8" t="e">
        <f t="shared" si="40"/>
        <v>#VALUE!</v>
      </c>
    </row>
    <row r="4248" spans="11:11" x14ac:dyDescent="0.25">
      <c r="K4248" s="8" t="e">
        <f t="shared" si="40"/>
        <v>#VALUE!</v>
      </c>
    </row>
    <row r="4249" spans="11:11" x14ac:dyDescent="0.25">
      <c r="K4249" s="8" t="e">
        <f t="shared" si="40"/>
        <v>#VALUE!</v>
      </c>
    </row>
    <row r="4250" spans="11:11" x14ac:dyDescent="0.25">
      <c r="K4250" s="8" t="e">
        <f t="shared" si="40"/>
        <v>#VALUE!</v>
      </c>
    </row>
    <row r="4251" spans="11:11" x14ac:dyDescent="0.25">
      <c r="K4251" s="8" t="e">
        <f t="shared" si="40"/>
        <v>#VALUE!</v>
      </c>
    </row>
    <row r="4252" spans="11:11" x14ac:dyDescent="0.25">
      <c r="K4252" s="8" t="e">
        <f t="shared" si="40"/>
        <v>#VALUE!</v>
      </c>
    </row>
    <row r="4253" spans="11:11" x14ac:dyDescent="0.25">
      <c r="K4253" s="8" t="e">
        <f t="shared" si="40"/>
        <v>#VALUE!</v>
      </c>
    </row>
    <row r="4254" spans="11:11" x14ac:dyDescent="0.25">
      <c r="K4254" s="8" t="e">
        <f t="shared" si="40"/>
        <v>#VALUE!</v>
      </c>
    </row>
    <row r="4255" spans="11:11" x14ac:dyDescent="0.25">
      <c r="K4255" s="8" t="e">
        <f t="shared" si="40"/>
        <v>#VALUE!</v>
      </c>
    </row>
    <row r="4256" spans="11:11" x14ac:dyDescent="0.25">
      <c r="K4256" s="8" t="e">
        <f t="shared" si="40"/>
        <v>#VALUE!</v>
      </c>
    </row>
    <row r="4257" spans="11:11" x14ac:dyDescent="0.25">
      <c r="K4257" s="8" t="e">
        <f t="shared" si="40"/>
        <v>#VALUE!</v>
      </c>
    </row>
    <row r="4258" spans="11:11" x14ac:dyDescent="0.25">
      <c r="K4258" s="8" t="e">
        <f t="shared" si="40"/>
        <v>#VALUE!</v>
      </c>
    </row>
    <row r="4259" spans="11:11" x14ac:dyDescent="0.25">
      <c r="K4259" s="8" t="e">
        <f t="shared" si="40"/>
        <v>#VALUE!</v>
      </c>
    </row>
    <row r="4260" spans="11:11" x14ac:dyDescent="0.25">
      <c r="K4260" s="8" t="e">
        <f t="shared" si="40"/>
        <v>#VALUE!</v>
      </c>
    </row>
    <row r="4261" spans="11:11" x14ac:dyDescent="0.25">
      <c r="K4261" s="8" t="e">
        <f t="shared" si="40"/>
        <v>#VALUE!</v>
      </c>
    </row>
    <row r="4262" spans="11:11" x14ac:dyDescent="0.25">
      <c r="K4262" s="8" t="e">
        <f t="shared" si="40"/>
        <v>#VALUE!</v>
      </c>
    </row>
    <row r="4263" spans="11:11" x14ac:dyDescent="0.25">
      <c r="K4263" s="8" t="e">
        <f t="shared" si="40"/>
        <v>#VALUE!</v>
      </c>
    </row>
    <row r="4264" spans="11:11" x14ac:dyDescent="0.25">
      <c r="K4264" s="8" t="e">
        <f t="shared" si="40"/>
        <v>#VALUE!</v>
      </c>
    </row>
    <row r="4265" spans="11:11" x14ac:dyDescent="0.25">
      <c r="K4265" s="8" t="e">
        <f t="shared" si="40"/>
        <v>#VALUE!</v>
      </c>
    </row>
    <row r="4266" spans="11:11" x14ac:dyDescent="0.25">
      <c r="K4266" s="8" t="e">
        <f t="shared" si="40"/>
        <v>#VALUE!</v>
      </c>
    </row>
    <row r="4267" spans="11:11" x14ac:dyDescent="0.25">
      <c r="K4267" s="8" t="e">
        <f t="shared" si="40"/>
        <v>#VALUE!</v>
      </c>
    </row>
    <row r="4268" spans="11:11" x14ac:dyDescent="0.25">
      <c r="K4268" s="8" t="e">
        <f t="shared" si="40"/>
        <v>#VALUE!</v>
      </c>
    </row>
    <row r="4269" spans="11:11" x14ac:dyDescent="0.25">
      <c r="K4269" s="8" t="e">
        <f t="shared" si="40"/>
        <v>#VALUE!</v>
      </c>
    </row>
    <row r="4270" spans="11:11" x14ac:dyDescent="0.25">
      <c r="K4270" s="8" t="e">
        <f t="shared" si="40"/>
        <v>#VALUE!</v>
      </c>
    </row>
    <row r="4271" spans="11:11" x14ac:dyDescent="0.25">
      <c r="K4271" s="8" t="e">
        <f t="shared" si="40"/>
        <v>#VALUE!</v>
      </c>
    </row>
    <row r="4272" spans="11:11" x14ac:dyDescent="0.25">
      <c r="K4272" s="8" t="e">
        <f t="shared" si="40"/>
        <v>#VALUE!</v>
      </c>
    </row>
    <row r="4273" spans="11:11" x14ac:dyDescent="0.25">
      <c r="K4273" s="8" t="e">
        <f t="shared" si="40"/>
        <v>#VALUE!</v>
      </c>
    </row>
    <row r="4274" spans="11:11" x14ac:dyDescent="0.25">
      <c r="K4274" s="8" t="e">
        <f t="shared" si="40"/>
        <v>#VALUE!</v>
      </c>
    </row>
    <row r="4275" spans="11:11" x14ac:dyDescent="0.25">
      <c r="K4275" s="8" t="e">
        <f t="shared" si="40"/>
        <v>#VALUE!</v>
      </c>
    </row>
    <row r="4276" spans="11:11" x14ac:dyDescent="0.25">
      <c r="K4276" s="8" t="e">
        <f t="shared" si="40"/>
        <v>#VALUE!</v>
      </c>
    </row>
    <row r="4277" spans="11:11" x14ac:dyDescent="0.25">
      <c r="K4277" s="8" t="e">
        <f t="shared" si="40"/>
        <v>#VALUE!</v>
      </c>
    </row>
    <row r="4278" spans="11:11" x14ac:dyDescent="0.25">
      <c r="K4278" s="8" t="e">
        <f t="shared" si="40"/>
        <v>#VALUE!</v>
      </c>
    </row>
    <row r="4279" spans="11:11" x14ac:dyDescent="0.25">
      <c r="K4279" s="8" t="e">
        <f t="shared" si="40"/>
        <v>#VALUE!</v>
      </c>
    </row>
    <row r="4280" spans="11:11" x14ac:dyDescent="0.25">
      <c r="K4280" s="8" t="e">
        <f t="shared" si="40"/>
        <v>#VALUE!</v>
      </c>
    </row>
    <row r="4281" spans="11:11" x14ac:dyDescent="0.25">
      <c r="K4281" s="8" t="e">
        <f t="shared" si="40"/>
        <v>#VALUE!</v>
      </c>
    </row>
    <row r="4282" spans="11:11" x14ac:dyDescent="0.25">
      <c r="K4282" s="8" t="e">
        <f t="shared" si="40"/>
        <v>#VALUE!</v>
      </c>
    </row>
    <row r="4283" spans="11:11" x14ac:dyDescent="0.25">
      <c r="K4283" s="8" t="e">
        <f t="shared" si="40"/>
        <v>#VALUE!</v>
      </c>
    </row>
    <row r="4284" spans="11:11" x14ac:dyDescent="0.25">
      <c r="K4284" s="8" t="e">
        <f t="shared" si="40"/>
        <v>#VALUE!</v>
      </c>
    </row>
    <row r="4285" spans="11:11" x14ac:dyDescent="0.25">
      <c r="K4285" s="8" t="e">
        <f t="shared" si="40"/>
        <v>#VALUE!</v>
      </c>
    </row>
    <row r="4286" spans="11:11" x14ac:dyDescent="0.25">
      <c r="K4286" s="8" t="e">
        <f t="shared" si="40"/>
        <v>#VALUE!</v>
      </c>
    </row>
    <row r="4287" spans="11:11" x14ac:dyDescent="0.25">
      <c r="K4287" s="8" t="e">
        <f t="shared" si="40"/>
        <v>#VALUE!</v>
      </c>
    </row>
    <row r="4288" spans="11:11" x14ac:dyDescent="0.25">
      <c r="K4288" s="8" t="e">
        <f t="shared" si="40"/>
        <v>#VALUE!</v>
      </c>
    </row>
    <row r="4289" spans="11:11" x14ac:dyDescent="0.25">
      <c r="K4289" s="8" t="e">
        <f t="shared" si="40"/>
        <v>#VALUE!</v>
      </c>
    </row>
    <row r="4290" spans="11:11" x14ac:dyDescent="0.25">
      <c r="K4290" s="8" t="e">
        <f t="shared" si="40"/>
        <v>#VALUE!</v>
      </c>
    </row>
    <row r="4291" spans="11:11" x14ac:dyDescent="0.25">
      <c r="K4291" s="8" t="e">
        <f t="shared" ref="K4291:K4354" si="41">LEFT(A4291,FIND("/",A4291)-1)</f>
        <v>#VALUE!</v>
      </c>
    </row>
    <row r="4292" spans="11:11" x14ac:dyDescent="0.25">
      <c r="K4292" s="8" t="e">
        <f t="shared" si="41"/>
        <v>#VALUE!</v>
      </c>
    </row>
    <row r="4293" spans="11:11" x14ac:dyDescent="0.25">
      <c r="K4293" s="8" t="e">
        <f t="shared" si="41"/>
        <v>#VALUE!</v>
      </c>
    </row>
    <row r="4294" spans="11:11" x14ac:dyDescent="0.25">
      <c r="K4294" s="8" t="e">
        <f t="shared" si="41"/>
        <v>#VALUE!</v>
      </c>
    </row>
    <row r="4295" spans="11:11" x14ac:dyDescent="0.25">
      <c r="K4295" s="8" t="e">
        <f t="shared" si="41"/>
        <v>#VALUE!</v>
      </c>
    </row>
    <row r="4296" spans="11:11" x14ac:dyDescent="0.25">
      <c r="K4296" s="8" t="e">
        <f t="shared" si="41"/>
        <v>#VALUE!</v>
      </c>
    </row>
    <row r="4297" spans="11:11" x14ac:dyDescent="0.25">
      <c r="K4297" s="8" t="e">
        <f t="shared" si="41"/>
        <v>#VALUE!</v>
      </c>
    </row>
    <row r="4298" spans="11:11" x14ac:dyDescent="0.25">
      <c r="K4298" s="8" t="e">
        <f t="shared" si="41"/>
        <v>#VALUE!</v>
      </c>
    </row>
    <row r="4299" spans="11:11" x14ac:dyDescent="0.25">
      <c r="K4299" s="8" t="e">
        <f t="shared" si="41"/>
        <v>#VALUE!</v>
      </c>
    </row>
    <row r="4300" spans="11:11" x14ac:dyDescent="0.25">
      <c r="K4300" s="8" t="e">
        <f t="shared" si="41"/>
        <v>#VALUE!</v>
      </c>
    </row>
    <row r="4301" spans="11:11" x14ac:dyDescent="0.25">
      <c r="K4301" s="8" t="e">
        <f t="shared" si="41"/>
        <v>#VALUE!</v>
      </c>
    </row>
    <row r="4302" spans="11:11" x14ac:dyDescent="0.25">
      <c r="K4302" s="8" t="e">
        <f t="shared" si="41"/>
        <v>#VALUE!</v>
      </c>
    </row>
    <row r="4303" spans="11:11" x14ac:dyDescent="0.25">
      <c r="K4303" s="8" t="e">
        <f t="shared" si="41"/>
        <v>#VALUE!</v>
      </c>
    </row>
    <row r="4304" spans="11:11" x14ac:dyDescent="0.25">
      <c r="K4304" s="8" t="e">
        <f t="shared" si="41"/>
        <v>#VALUE!</v>
      </c>
    </row>
    <row r="4305" spans="11:11" x14ac:dyDescent="0.25">
      <c r="K4305" s="8" t="e">
        <f t="shared" si="41"/>
        <v>#VALUE!</v>
      </c>
    </row>
    <row r="4306" spans="11:11" x14ac:dyDescent="0.25">
      <c r="K4306" s="8" t="e">
        <f t="shared" si="41"/>
        <v>#VALUE!</v>
      </c>
    </row>
    <row r="4307" spans="11:11" x14ac:dyDescent="0.25">
      <c r="K4307" s="8" t="e">
        <f t="shared" si="41"/>
        <v>#VALUE!</v>
      </c>
    </row>
    <row r="4308" spans="11:11" x14ac:dyDescent="0.25">
      <c r="K4308" s="8" t="e">
        <f t="shared" si="41"/>
        <v>#VALUE!</v>
      </c>
    </row>
    <row r="4309" spans="11:11" x14ac:dyDescent="0.25">
      <c r="K4309" s="8" t="e">
        <f t="shared" si="41"/>
        <v>#VALUE!</v>
      </c>
    </row>
    <row r="4310" spans="11:11" x14ac:dyDescent="0.25">
      <c r="K4310" s="8" t="e">
        <f t="shared" si="41"/>
        <v>#VALUE!</v>
      </c>
    </row>
    <row r="4311" spans="11:11" x14ac:dyDescent="0.25">
      <c r="K4311" s="8" t="e">
        <f t="shared" si="41"/>
        <v>#VALUE!</v>
      </c>
    </row>
    <row r="4312" spans="11:11" x14ac:dyDescent="0.25">
      <c r="K4312" s="8" t="e">
        <f t="shared" si="41"/>
        <v>#VALUE!</v>
      </c>
    </row>
    <row r="4313" spans="11:11" x14ac:dyDescent="0.25">
      <c r="K4313" s="8" t="e">
        <f t="shared" si="41"/>
        <v>#VALUE!</v>
      </c>
    </row>
    <row r="4314" spans="11:11" x14ac:dyDescent="0.25">
      <c r="K4314" s="8" t="e">
        <f t="shared" si="41"/>
        <v>#VALUE!</v>
      </c>
    </row>
    <row r="4315" spans="11:11" x14ac:dyDescent="0.25">
      <c r="K4315" s="8" t="e">
        <f t="shared" si="41"/>
        <v>#VALUE!</v>
      </c>
    </row>
    <row r="4316" spans="11:11" x14ac:dyDescent="0.25">
      <c r="K4316" s="8" t="e">
        <f t="shared" si="41"/>
        <v>#VALUE!</v>
      </c>
    </row>
    <row r="4317" spans="11:11" x14ac:dyDescent="0.25">
      <c r="K4317" s="8" t="e">
        <f t="shared" si="41"/>
        <v>#VALUE!</v>
      </c>
    </row>
    <row r="4318" spans="11:11" x14ac:dyDescent="0.25">
      <c r="K4318" s="8" t="e">
        <f t="shared" si="41"/>
        <v>#VALUE!</v>
      </c>
    </row>
    <row r="4319" spans="11:11" x14ac:dyDescent="0.25">
      <c r="K4319" s="8" t="e">
        <f t="shared" si="41"/>
        <v>#VALUE!</v>
      </c>
    </row>
    <row r="4320" spans="11:11" x14ac:dyDescent="0.25">
      <c r="K4320" s="8" t="e">
        <f t="shared" si="41"/>
        <v>#VALUE!</v>
      </c>
    </row>
    <row r="4321" spans="11:11" x14ac:dyDescent="0.25">
      <c r="K4321" s="8" t="e">
        <f t="shared" si="41"/>
        <v>#VALUE!</v>
      </c>
    </row>
    <row r="4322" spans="11:11" x14ac:dyDescent="0.25">
      <c r="K4322" s="8" t="e">
        <f t="shared" si="41"/>
        <v>#VALUE!</v>
      </c>
    </row>
    <row r="4323" spans="11:11" x14ac:dyDescent="0.25">
      <c r="K4323" s="8" t="e">
        <f t="shared" si="41"/>
        <v>#VALUE!</v>
      </c>
    </row>
    <row r="4324" spans="11:11" x14ac:dyDescent="0.25">
      <c r="K4324" s="8" t="e">
        <f t="shared" si="41"/>
        <v>#VALUE!</v>
      </c>
    </row>
    <row r="4325" spans="11:11" x14ac:dyDescent="0.25">
      <c r="K4325" s="8" t="e">
        <f t="shared" si="41"/>
        <v>#VALUE!</v>
      </c>
    </row>
    <row r="4326" spans="11:11" x14ac:dyDescent="0.25">
      <c r="K4326" s="8" t="e">
        <f t="shared" si="41"/>
        <v>#VALUE!</v>
      </c>
    </row>
    <row r="4327" spans="11:11" x14ac:dyDescent="0.25">
      <c r="K4327" s="8" t="e">
        <f t="shared" si="41"/>
        <v>#VALUE!</v>
      </c>
    </row>
    <row r="4328" spans="11:11" x14ac:dyDescent="0.25">
      <c r="K4328" s="8" t="e">
        <f t="shared" si="41"/>
        <v>#VALUE!</v>
      </c>
    </row>
    <row r="4329" spans="11:11" x14ac:dyDescent="0.25">
      <c r="K4329" s="8" t="e">
        <f t="shared" si="41"/>
        <v>#VALUE!</v>
      </c>
    </row>
    <row r="4330" spans="11:11" x14ac:dyDescent="0.25">
      <c r="K4330" s="8" t="e">
        <f t="shared" si="41"/>
        <v>#VALUE!</v>
      </c>
    </row>
    <row r="4331" spans="11:11" x14ac:dyDescent="0.25">
      <c r="K4331" s="8" t="e">
        <f t="shared" si="41"/>
        <v>#VALUE!</v>
      </c>
    </row>
    <row r="4332" spans="11:11" x14ac:dyDescent="0.25">
      <c r="K4332" s="8" t="e">
        <f t="shared" si="41"/>
        <v>#VALUE!</v>
      </c>
    </row>
    <row r="4333" spans="11:11" x14ac:dyDescent="0.25">
      <c r="K4333" s="8" t="e">
        <f t="shared" si="41"/>
        <v>#VALUE!</v>
      </c>
    </row>
    <row r="4334" spans="11:11" x14ac:dyDescent="0.25">
      <c r="K4334" s="8" t="e">
        <f t="shared" si="41"/>
        <v>#VALUE!</v>
      </c>
    </row>
    <row r="4335" spans="11:11" x14ac:dyDescent="0.25">
      <c r="K4335" s="8" t="e">
        <f t="shared" si="41"/>
        <v>#VALUE!</v>
      </c>
    </row>
    <row r="4336" spans="11:11" x14ac:dyDescent="0.25">
      <c r="K4336" s="8" t="e">
        <f t="shared" si="41"/>
        <v>#VALUE!</v>
      </c>
    </row>
    <row r="4337" spans="11:11" x14ac:dyDescent="0.25">
      <c r="K4337" s="8" t="e">
        <f t="shared" si="41"/>
        <v>#VALUE!</v>
      </c>
    </row>
    <row r="4338" spans="11:11" x14ac:dyDescent="0.25">
      <c r="K4338" s="8" t="e">
        <f t="shared" si="41"/>
        <v>#VALUE!</v>
      </c>
    </row>
    <row r="4339" spans="11:11" x14ac:dyDescent="0.25">
      <c r="K4339" s="8" t="e">
        <f t="shared" si="41"/>
        <v>#VALUE!</v>
      </c>
    </row>
    <row r="4340" spans="11:11" x14ac:dyDescent="0.25">
      <c r="K4340" s="8" t="e">
        <f t="shared" si="41"/>
        <v>#VALUE!</v>
      </c>
    </row>
    <row r="4341" spans="11:11" x14ac:dyDescent="0.25">
      <c r="K4341" s="8" t="e">
        <f t="shared" si="41"/>
        <v>#VALUE!</v>
      </c>
    </row>
    <row r="4342" spans="11:11" x14ac:dyDescent="0.25">
      <c r="K4342" s="8" t="e">
        <f t="shared" si="41"/>
        <v>#VALUE!</v>
      </c>
    </row>
    <row r="4343" spans="11:11" x14ac:dyDescent="0.25">
      <c r="K4343" s="8" t="e">
        <f t="shared" si="41"/>
        <v>#VALUE!</v>
      </c>
    </row>
    <row r="4344" spans="11:11" x14ac:dyDescent="0.25">
      <c r="K4344" s="8" t="e">
        <f t="shared" si="41"/>
        <v>#VALUE!</v>
      </c>
    </row>
    <row r="4345" spans="11:11" x14ac:dyDescent="0.25">
      <c r="K4345" s="8" t="e">
        <f t="shared" si="41"/>
        <v>#VALUE!</v>
      </c>
    </row>
    <row r="4346" spans="11:11" x14ac:dyDescent="0.25">
      <c r="K4346" s="8" t="e">
        <f t="shared" si="41"/>
        <v>#VALUE!</v>
      </c>
    </row>
    <row r="4347" spans="11:11" x14ac:dyDescent="0.25">
      <c r="K4347" s="8" t="e">
        <f t="shared" si="41"/>
        <v>#VALUE!</v>
      </c>
    </row>
    <row r="4348" spans="11:11" x14ac:dyDescent="0.25">
      <c r="K4348" s="8" t="e">
        <f t="shared" si="41"/>
        <v>#VALUE!</v>
      </c>
    </row>
    <row r="4349" spans="11:11" x14ac:dyDescent="0.25">
      <c r="K4349" s="8" t="e">
        <f t="shared" si="41"/>
        <v>#VALUE!</v>
      </c>
    </row>
    <row r="4350" spans="11:11" x14ac:dyDescent="0.25">
      <c r="K4350" s="8" t="e">
        <f t="shared" si="41"/>
        <v>#VALUE!</v>
      </c>
    </row>
    <row r="4351" spans="11:11" x14ac:dyDescent="0.25">
      <c r="K4351" s="8" t="e">
        <f t="shared" si="41"/>
        <v>#VALUE!</v>
      </c>
    </row>
    <row r="4352" spans="11:11" x14ac:dyDescent="0.25">
      <c r="K4352" s="8" t="e">
        <f t="shared" si="41"/>
        <v>#VALUE!</v>
      </c>
    </row>
    <row r="4353" spans="11:11" x14ac:dyDescent="0.25">
      <c r="K4353" s="8" t="e">
        <f t="shared" si="41"/>
        <v>#VALUE!</v>
      </c>
    </row>
    <row r="4354" spans="11:11" x14ac:dyDescent="0.25">
      <c r="K4354" s="8" t="e">
        <f t="shared" si="41"/>
        <v>#VALUE!</v>
      </c>
    </row>
    <row r="4355" spans="11:11" x14ac:dyDescent="0.25">
      <c r="K4355" s="8" t="e">
        <f t="shared" ref="K4355:K4418" si="42">LEFT(A4355,FIND("/",A4355)-1)</f>
        <v>#VALUE!</v>
      </c>
    </row>
    <row r="4356" spans="11:11" x14ac:dyDescent="0.25">
      <c r="K4356" s="8" t="e">
        <f t="shared" si="42"/>
        <v>#VALUE!</v>
      </c>
    </row>
    <row r="4357" spans="11:11" x14ac:dyDescent="0.25">
      <c r="K4357" s="8" t="e">
        <f t="shared" si="42"/>
        <v>#VALUE!</v>
      </c>
    </row>
    <row r="4358" spans="11:11" x14ac:dyDescent="0.25">
      <c r="K4358" s="8" t="e">
        <f t="shared" si="42"/>
        <v>#VALUE!</v>
      </c>
    </row>
    <row r="4359" spans="11:11" x14ac:dyDescent="0.25">
      <c r="K4359" s="8" t="e">
        <f t="shared" si="42"/>
        <v>#VALUE!</v>
      </c>
    </row>
    <row r="4360" spans="11:11" x14ac:dyDescent="0.25">
      <c r="K4360" s="8" t="e">
        <f t="shared" si="42"/>
        <v>#VALUE!</v>
      </c>
    </row>
    <row r="4361" spans="11:11" x14ac:dyDescent="0.25">
      <c r="K4361" s="8" t="e">
        <f t="shared" si="42"/>
        <v>#VALUE!</v>
      </c>
    </row>
    <row r="4362" spans="11:11" x14ac:dyDescent="0.25">
      <c r="K4362" s="8" t="e">
        <f t="shared" si="42"/>
        <v>#VALUE!</v>
      </c>
    </row>
    <row r="4363" spans="11:11" x14ac:dyDescent="0.25">
      <c r="K4363" s="8" t="e">
        <f t="shared" si="42"/>
        <v>#VALUE!</v>
      </c>
    </row>
    <row r="4364" spans="11:11" x14ac:dyDescent="0.25">
      <c r="K4364" s="8" t="e">
        <f t="shared" si="42"/>
        <v>#VALUE!</v>
      </c>
    </row>
    <row r="4365" spans="11:11" x14ac:dyDescent="0.25">
      <c r="K4365" s="8" t="e">
        <f t="shared" si="42"/>
        <v>#VALUE!</v>
      </c>
    </row>
    <row r="4366" spans="11:11" x14ac:dyDescent="0.25">
      <c r="K4366" s="8" t="e">
        <f t="shared" si="42"/>
        <v>#VALUE!</v>
      </c>
    </row>
    <row r="4367" spans="11:11" x14ac:dyDescent="0.25">
      <c r="K4367" s="8" t="e">
        <f t="shared" si="42"/>
        <v>#VALUE!</v>
      </c>
    </row>
    <row r="4368" spans="11:11" x14ac:dyDescent="0.25">
      <c r="K4368" s="8" t="e">
        <f t="shared" si="42"/>
        <v>#VALUE!</v>
      </c>
    </row>
    <row r="4369" spans="11:11" x14ac:dyDescent="0.25">
      <c r="K4369" s="8" t="e">
        <f t="shared" si="42"/>
        <v>#VALUE!</v>
      </c>
    </row>
    <row r="4370" spans="11:11" x14ac:dyDescent="0.25">
      <c r="K4370" s="8" t="e">
        <f t="shared" si="42"/>
        <v>#VALUE!</v>
      </c>
    </row>
    <row r="4371" spans="11:11" x14ac:dyDescent="0.25">
      <c r="K4371" s="8" t="e">
        <f t="shared" si="42"/>
        <v>#VALUE!</v>
      </c>
    </row>
    <row r="4372" spans="11:11" x14ac:dyDescent="0.25">
      <c r="K4372" s="8" t="e">
        <f t="shared" si="42"/>
        <v>#VALUE!</v>
      </c>
    </row>
    <row r="4373" spans="11:11" x14ac:dyDescent="0.25">
      <c r="K4373" s="8" t="e">
        <f t="shared" si="42"/>
        <v>#VALUE!</v>
      </c>
    </row>
    <row r="4374" spans="11:11" x14ac:dyDescent="0.25">
      <c r="K4374" s="8" t="e">
        <f t="shared" si="42"/>
        <v>#VALUE!</v>
      </c>
    </row>
    <row r="4375" spans="11:11" x14ac:dyDescent="0.25">
      <c r="K4375" s="8" t="e">
        <f t="shared" si="42"/>
        <v>#VALUE!</v>
      </c>
    </row>
    <row r="4376" spans="11:11" x14ac:dyDescent="0.25">
      <c r="K4376" s="8" t="e">
        <f t="shared" si="42"/>
        <v>#VALUE!</v>
      </c>
    </row>
    <row r="4377" spans="11:11" x14ac:dyDescent="0.25">
      <c r="K4377" s="8" t="e">
        <f t="shared" si="42"/>
        <v>#VALUE!</v>
      </c>
    </row>
    <row r="4378" spans="11:11" x14ac:dyDescent="0.25">
      <c r="K4378" s="8" t="e">
        <f t="shared" si="42"/>
        <v>#VALUE!</v>
      </c>
    </row>
    <row r="4379" spans="11:11" x14ac:dyDescent="0.25">
      <c r="K4379" s="8" t="e">
        <f t="shared" si="42"/>
        <v>#VALUE!</v>
      </c>
    </row>
    <row r="4380" spans="11:11" x14ac:dyDescent="0.25">
      <c r="K4380" s="8" t="e">
        <f t="shared" si="42"/>
        <v>#VALUE!</v>
      </c>
    </row>
    <row r="4381" spans="11:11" x14ac:dyDescent="0.25">
      <c r="K4381" s="8" t="e">
        <f t="shared" si="42"/>
        <v>#VALUE!</v>
      </c>
    </row>
    <row r="4382" spans="11:11" x14ac:dyDescent="0.25">
      <c r="K4382" s="8" t="e">
        <f t="shared" si="42"/>
        <v>#VALUE!</v>
      </c>
    </row>
    <row r="4383" spans="11:11" x14ac:dyDescent="0.25">
      <c r="K4383" s="8" t="e">
        <f t="shared" si="42"/>
        <v>#VALUE!</v>
      </c>
    </row>
    <row r="4384" spans="11:11" x14ac:dyDescent="0.25">
      <c r="K4384" s="8" t="e">
        <f t="shared" si="42"/>
        <v>#VALUE!</v>
      </c>
    </row>
    <row r="4385" spans="11:11" x14ac:dyDescent="0.25">
      <c r="K4385" s="8" t="e">
        <f t="shared" si="42"/>
        <v>#VALUE!</v>
      </c>
    </row>
    <row r="4386" spans="11:11" x14ac:dyDescent="0.25">
      <c r="K4386" s="8" t="e">
        <f t="shared" si="42"/>
        <v>#VALUE!</v>
      </c>
    </row>
    <row r="4387" spans="11:11" x14ac:dyDescent="0.25">
      <c r="K4387" s="8" t="e">
        <f t="shared" si="42"/>
        <v>#VALUE!</v>
      </c>
    </row>
    <row r="4388" spans="11:11" x14ac:dyDescent="0.25">
      <c r="K4388" s="8" t="e">
        <f t="shared" si="42"/>
        <v>#VALUE!</v>
      </c>
    </row>
    <row r="4389" spans="11:11" x14ac:dyDescent="0.25">
      <c r="K4389" s="8" t="e">
        <f t="shared" si="42"/>
        <v>#VALUE!</v>
      </c>
    </row>
    <row r="4390" spans="11:11" x14ac:dyDescent="0.25">
      <c r="K4390" s="8" t="e">
        <f t="shared" si="42"/>
        <v>#VALUE!</v>
      </c>
    </row>
    <row r="4391" spans="11:11" x14ac:dyDescent="0.25">
      <c r="K4391" s="8" t="e">
        <f t="shared" si="42"/>
        <v>#VALUE!</v>
      </c>
    </row>
    <row r="4392" spans="11:11" x14ac:dyDescent="0.25">
      <c r="K4392" s="8" t="e">
        <f t="shared" si="42"/>
        <v>#VALUE!</v>
      </c>
    </row>
    <row r="4393" spans="11:11" x14ac:dyDescent="0.25">
      <c r="K4393" s="8" t="e">
        <f t="shared" si="42"/>
        <v>#VALUE!</v>
      </c>
    </row>
    <row r="4394" spans="11:11" x14ac:dyDescent="0.25">
      <c r="K4394" s="8" t="e">
        <f t="shared" si="42"/>
        <v>#VALUE!</v>
      </c>
    </row>
    <row r="4395" spans="11:11" x14ac:dyDescent="0.25">
      <c r="K4395" s="8" t="e">
        <f t="shared" si="42"/>
        <v>#VALUE!</v>
      </c>
    </row>
    <row r="4396" spans="11:11" x14ac:dyDescent="0.25">
      <c r="K4396" s="8" t="e">
        <f t="shared" si="42"/>
        <v>#VALUE!</v>
      </c>
    </row>
    <row r="4397" spans="11:11" x14ac:dyDescent="0.25">
      <c r="K4397" s="8" t="e">
        <f t="shared" si="42"/>
        <v>#VALUE!</v>
      </c>
    </row>
    <row r="4398" spans="11:11" x14ac:dyDescent="0.25">
      <c r="K4398" s="8" t="e">
        <f t="shared" si="42"/>
        <v>#VALUE!</v>
      </c>
    </row>
    <row r="4399" spans="11:11" x14ac:dyDescent="0.25">
      <c r="K4399" s="8" t="e">
        <f t="shared" si="42"/>
        <v>#VALUE!</v>
      </c>
    </row>
    <row r="4400" spans="11:11" x14ac:dyDescent="0.25">
      <c r="K4400" s="8" t="e">
        <f t="shared" si="42"/>
        <v>#VALUE!</v>
      </c>
    </row>
    <row r="4401" spans="11:11" x14ac:dyDescent="0.25">
      <c r="K4401" s="8" t="e">
        <f t="shared" si="42"/>
        <v>#VALUE!</v>
      </c>
    </row>
    <row r="4402" spans="11:11" x14ac:dyDescent="0.25">
      <c r="K4402" s="8" t="e">
        <f t="shared" si="42"/>
        <v>#VALUE!</v>
      </c>
    </row>
    <row r="4403" spans="11:11" x14ac:dyDescent="0.25">
      <c r="K4403" s="8" t="e">
        <f t="shared" si="42"/>
        <v>#VALUE!</v>
      </c>
    </row>
    <row r="4404" spans="11:11" x14ac:dyDescent="0.25">
      <c r="K4404" s="8" t="e">
        <f t="shared" si="42"/>
        <v>#VALUE!</v>
      </c>
    </row>
    <row r="4405" spans="11:11" x14ac:dyDescent="0.25">
      <c r="K4405" s="8" t="e">
        <f t="shared" si="42"/>
        <v>#VALUE!</v>
      </c>
    </row>
    <row r="4406" spans="11:11" x14ac:dyDescent="0.25">
      <c r="K4406" s="8" t="e">
        <f t="shared" si="42"/>
        <v>#VALUE!</v>
      </c>
    </row>
    <row r="4407" spans="11:11" x14ac:dyDescent="0.25">
      <c r="K4407" s="8" t="e">
        <f t="shared" si="42"/>
        <v>#VALUE!</v>
      </c>
    </row>
    <row r="4408" spans="11:11" x14ac:dyDescent="0.25">
      <c r="K4408" s="8" t="e">
        <f t="shared" si="42"/>
        <v>#VALUE!</v>
      </c>
    </row>
    <row r="4409" spans="11:11" x14ac:dyDescent="0.25">
      <c r="K4409" s="8" t="e">
        <f t="shared" si="42"/>
        <v>#VALUE!</v>
      </c>
    </row>
    <row r="4410" spans="11:11" x14ac:dyDescent="0.25">
      <c r="K4410" s="8" t="e">
        <f t="shared" si="42"/>
        <v>#VALUE!</v>
      </c>
    </row>
    <row r="4411" spans="11:11" x14ac:dyDescent="0.25">
      <c r="K4411" s="8" t="e">
        <f t="shared" si="42"/>
        <v>#VALUE!</v>
      </c>
    </row>
    <row r="4412" spans="11:11" x14ac:dyDescent="0.25">
      <c r="K4412" s="8" t="e">
        <f t="shared" si="42"/>
        <v>#VALUE!</v>
      </c>
    </row>
    <row r="4413" spans="11:11" x14ac:dyDescent="0.25">
      <c r="K4413" s="8" t="e">
        <f t="shared" si="42"/>
        <v>#VALUE!</v>
      </c>
    </row>
    <row r="4414" spans="11:11" x14ac:dyDescent="0.25">
      <c r="K4414" s="8" t="e">
        <f t="shared" si="42"/>
        <v>#VALUE!</v>
      </c>
    </row>
    <row r="4415" spans="11:11" x14ac:dyDescent="0.25">
      <c r="K4415" s="8" t="e">
        <f t="shared" si="42"/>
        <v>#VALUE!</v>
      </c>
    </row>
    <row r="4416" spans="11:11" x14ac:dyDescent="0.25">
      <c r="K4416" s="8" t="e">
        <f t="shared" si="42"/>
        <v>#VALUE!</v>
      </c>
    </row>
    <row r="4417" spans="11:11" x14ac:dyDescent="0.25">
      <c r="K4417" s="8" t="e">
        <f t="shared" si="42"/>
        <v>#VALUE!</v>
      </c>
    </row>
    <row r="4418" spans="11:11" x14ac:dyDescent="0.25">
      <c r="K4418" s="8" t="e">
        <f t="shared" si="42"/>
        <v>#VALUE!</v>
      </c>
    </row>
    <row r="4419" spans="11:11" x14ac:dyDescent="0.25">
      <c r="K4419" s="8" t="e">
        <f t="shared" ref="K4419:K4482" si="43">LEFT(A4419,FIND("/",A4419)-1)</f>
        <v>#VALUE!</v>
      </c>
    </row>
    <row r="4420" spans="11:11" x14ac:dyDescent="0.25">
      <c r="K4420" s="8" t="e">
        <f t="shared" si="43"/>
        <v>#VALUE!</v>
      </c>
    </row>
    <row r="4421" spans="11:11" x14ac:dyDescent="0.25">
      <c r="K4421" s="8" t="e">
        <f t="shared" si="43"/>
        <v>#VALUE!</v>
      </c>
    </row>
    <row r="4422" spans="11:11" x14ac:dyDescent="0.25">
      <c r="K4422" s="8" t="e">
        <f t="shared" si="43"/>
        <v>#VALUE!</v>
      </c>
    </row>
    <row r="4423" spans="11:11" x14ac:dyDescent="0.25">
      <c r="K4423" s="8" t="e">
        <f t="shared" si="43"/>
        <v>#VALUE!</v>
      </c>
    </row>
    <row r="4424" spans="11:11" x14ac:dyDescent="0.25">
      <c r="K4424" s="8" t="e">
        <f t="shared" si="43"/>
        <v>#VALUE!</v>
      </c>
    </row>
    <row r="4425" spans="11:11" x14ac:dyDescent="0.25">
      <c r="K4425" s="8" t="e">
        <f t="shared" si="43"/>
        <v>#VALUE!</v>
      </c>
    </row>
    <row r="4426" spans="11:11" x14ac:dyDescent="0.25">
      <c r="K4426" s="8" t="e">
        <f t="shared" si="43"/>
        <v>#VALUE!</v>
      </c>
    </row>
    <row r="4427" spans="11:11" x14ac:dyDescent="0.25">
      <c r="K4427" s="8" t="e">
        <f t="shared" si="43"/>
        <v>#VALUE!</v>
      </c>
    </row>
    <row r="4428" spans="11:11" x14ac:dyDescent="0.25">
      <c r="K4428" s="8" t="e">
        <f t="shared" si="43"/>
        <v>#VALUE!</v>
      </c>
    </row>
    <row r="4429" spans="11:11" x14ac:dyDescent="0.25">
      <c r="K4429" s="8" t="e">
        <f t="shared" si="43"/>
        <v>#VALUE!</v>
      </c>
    </row>
    <row r="4430" spans="11:11" x14ac:dyDescent="0.25">
      <c r="K4430" s="8" t="e">
        <f t="shared" si="43"/>
        <v>#VALUE!</v>
      </c>
    </row>
    <row r="4431" spans="11:11" x14ac:dyDescent="0.25">
      <c r="K4431" s="8" t="e">
        <f t="shared" si="43"/>
        <v>#VALUE!</v>
      </c>
    </row>
    <row r="4432" spans="11:11" x14ac:dyDescent="0.25">
      <c r="K4432" s="8" t="e">
        <f t="shared" si="43"/>
        <v>#VALUE!</v>
      </c>
    </row>
    <row r="4433" spans="11:11" x14ac:dyDescent="0.25">
      <c r="K4433" s="8" t="e">
        <f t="shared" si="43"/>
        <v>#VALUE!</v>
      </c>
    </row>
    <row r="4434" spans="11:11" x14ac:dyDescent="0.25">
      <c r="K4434" s="8" t="e">
        <f t="shared" si="43"/>
        <v>#VALUE!</v>
      </c>
    </row>
    <row r="4435" spans="11:11" x14ac:dyDescent="0.25">
      <c r="K4435" s="8" t="e">
        <f t="shared" si="43"/>
        <v>#VALUE!</v>
      </c>
    </row>
    <row r="4436" spans="11:11" x14ac:dyDescent="0.25">
      <c r="K4436" s="8" t="e">
        <f t="shared" si="43"/>
        <v>#VALUE!</v>
      </c>
    </row>
    <row r="4437" spans="11:11" x14ac:dyDescent="0.25">
      <c r="K4437" s="8" t="e">
        <f t="shared" si="43"/>
        <v>#VALUE!</v>
      </c>
    </row>
    <row r="4438" spans="11:11" x14ac:dyDescent="0.25">
      <c r="K4438" s="8" t="e">
        <f t="shared" si="43"/>
        <v>#VALUE!</v>
      </c>
    </row>
    <row r="4439" spans="11:11" x14ac:dyDescent="0.25">
      <c r="K4439" s="8" t="e">
        <f t="shared" si="43"/>
        <v>#VALUE!</v>
      </c>
    </row>
    <row r="4440" spans="11:11" x14ac:dyDescent="0.25">
      <c r="K4440" s="8" t="e">
        <f t="shared" si="43"/>
        <v>#VALUE!</v>
      </c>
    </row>
    <row r="4441" spans="11:11" x14ac:dyDescent="0.25">
      <c r="K4441" s="8" t="e">
        <f t="shared" si="43"/>
        <v>#VALUE!</v>
      </c>
    </row>
    <row r="4442" spans="11:11" x14ac:dyDescent="0.25">
      <c r="K4442" s="8" t="e">
        <f t="shared" si="43"/>
        <v>#VALUE!</v>
      </c>
    </row>
    <row r="4443" spans="11:11" x14ac:dyDescent="0.25">
      <c r="K4443" s="8" t="e">
        <f t="shared" si="43"/>
        <v>#VALUE!</v>
      </c>
    </row>
    <row r="4444" spans="11:11" x14ac:dyDescent="0.25">
      <c r="K4444" s="8" t="e">
        <f t="shared" si="43"/>
        <v>#VALUE!</v>
      </c>
    </row>
    <row r="4445" spans="11:11" x14ac:dyDescent="0.25">
      <c r="K4445" s="8" t="e">
        <f t="shared" si="43"/>
        <v>#VALUE!</v>
      </c>
    </row>
    <row r="4446" spans="11:11" x14ac:dyDescent="0.25">
      <c r="K4446" s="8" t="e">
        <f t="shared" si="43"/>
        <v>#VALUE!</v>
      </c>
    </row>
    <row r="4447" spans="11:11" x14ac:dyDescent="0.25">
      <c r="K4447" s="8" t="e">
        <f t="shared" si="43"/>
        <v>#VALUE!</v>
      </c>
    </row>
    <row r="4448" spans="11:11" x14ac:dyDescent="0.25">
      <c r="K4448" s="8" t="e">
        <f t="shared" si="43"/>
        <v>#VALUE!</v>
      </c>
    </row>
    <row r="4449" spans="11:11" x14ac:dyDescent="0.25">
      <c r="K4449" s="8" t="e">
        <f t="shared" si="43"/>
        <v>#VALUE!</v>
      </c>
    </row>
    <row r="4450" spans="11:11" x14ac:dyDescent="0.25">
      <c r="K4450" s="8" t="e">
        <f t="shared" si="43"/>
        <v>#VALUE!</v>
      </c>
    </row>
    <row r="4451" spans="11:11" x14ac:dyDescent="0.25">
      <c r="K4451" s="8" t="e">
        <f t="shared" si="43"/>
        <v>#VALUE!</v>
      </c>
    </row>
    <row r="4452" spans="11:11" x14ac:dyDescent="0.25">
      <c r="K4452" s="8" t="e">
        <f t="shared" si="43"/>
        <v>#VALUE!</v>
      </c>
    </row>
    <row r="4453" spans="11:11" x14ac:dyDescent="0.25">
      <c r="K4453" s="8" t="e">
        <f t="shared" si="43"/>
        <v>#VALUE!</v>
      </c>
    </row>
    <row r="4454" spans="11:11" x14ac:dyDescent="0.25">
      <c r="K4454" s="8" t="e">
        <f t="shared" si="43"/>
        <v>#VALUE!</v>
      </c>
    </row>
    <row r="4455" spans="11:11" x14ac:dyDescent="0.25">
      <c r="K4455" s="8" t="e">
        <f t="shared" si="43"/>
        <v>#VALUE!</v>
      </c>
    </row>
    <row r="4456" spans="11:11" x14ac:dyDescent="0.25">
      <c r="K4456" s="8" t="e">
        <f t="shared" si="43"/>
        <v>#VALUE!</v>
      </c>
    </row>
    <row r="4457" spans="11:11" x14ac:dyDescent="0.25">
      <c r="K4457" s="8" t="e">
        <f t="shared" si="43"/>
        <v>#VALUE!</v>
      </c>
    </row>
    <row r="4458" spans="11:11" x14ac:dyDescent="0.25">
      <c r="K4458" s="8" t="e">
        <f t="shared" si="43"/>
        <v>#VALUE!</v>
      </c>
    </row>
    <row r="4459" spans="11:11" x14ac:dyDescent="0.25">
      <c r="K4459" s="8" t="e">
        <f t="shared" si="43"/>
        <v>#VALUE!</v>
      </c>
    </row>
    <row r="4460" spans="11:11" x14ac:dyDescent="0.25">
      <c r="K4460" s="8" t="e">
        <f t="shared" si="43"/>
        <v>#VALUE!</v>
      </c>
    </row>
    <row r="4461" spans="11:11" x14ac:dyDescent="0.25">
      <c r="K4461" s="8" t="e">
        <f t="shared" si="43"/>
        <v>#VALUE!</v>
      </c>
    </row>
    <row r="4462" spans="11:11" x14ac:dyDescent="0.25">
      <c r="K4462" s="8" t="e">
        <f t="shared" si="43"/>
        <v>#VALUE!</v>
      </c>
    </row>
    <row r="4463" spans="11:11" x14ac:dyDescent="0.25">
      <c r="K4463" s="8" t="e">
        <f t="shared" si="43"/>
        <v>#VALUE!</v>
      </c>
    </row>
    <row r="4464" spans="11:11" x14ac:dyDescent="0.25">
      <c r="K4464" s="8" t="e">
        <f t="shared" si="43"/>
        <v>#VALUE!</v>
      </c>
    </row>
    <row r="4465" spans="11:11" x14ac:dyDescent="0.25">
      <c r="K4465" s="8" t="e">
        <f t="shared" si="43"/>
        <v>#VALUE!</v>
      </c>
    </row>
    <row r="4466" spans="11:11" x14ac:dyDescent="0.25">
      <c r="K4466" s="8" t="e">
        <f t="shared" si="43"/>
        <v>#VALUE!</v>
      </c>
    </row>
    <row r="4467" spans="11:11" x14ac:dyDescent="0.25">
      <c r="K4467" s="8" t="e">
        <f t="shared" si="43"/>
        <v>#VALUE!</v>
      </c>
    </row>
    <row r="4468" spans="11:11" x14ac:dyDescent="0.25">
      <c r="K4468" s="8" t="e">
        <f t="shared" si="43"/>
        <v>#VALUE!</v>
      </c>
    </row>
    <row r="4469" spans="11:11" x14ac:dyDescent="0.25">
      <c r="K4469" s="8" t="e">
        <f t="shared" si="43"/>
        <v>#VALUE!</v>
      </c>
    </row>
    <row r="4470" spans="11:11" x14ac:dyDescent="0.25">
      <c r="K4470" s="8" t="e">
        <f t="shared" si="43"/>
        <v>#VALUE!</v>
      </c>
    </row>
    <row r="4471" spans="11:11" x14ac:dyDescent="0.25">
      <c r="K4471" s="8" t="e">
        <f t="shared" si="43"/>
        <v>#VALUE!</v>
      </c>
    </row>
    <row r="4472" spans="11:11" x14ac:dyDescent="0.25">
      <c r="K4472" s="8" t="e">
        <f t="shared" si="43"/>
        <v>#VALUE!</v>
      </c>
    </row>
    <row r="4473" spans="11:11" x14ac:dyDescent="0.25">
      <c r="K4473" s="8" t="e">
        <f t="shared" si="43"/>
        <v>#VALUE!</v>
      </c>
    </row>
    <row r="4474" spans="11:11" x14ac:dyDescent="0.25">
      <c r="K4474" s="8" t="e">
        <f t="shared" si="43"/>
        <v>#VALUE!</v>
      </c>
    </row>
    <row r="4475" spans="11:11" x14ac:dyDescent="0.25">
      <c r="K4475" s="8" t="e">
        <f t="shared" si="43"/>
        <v>#VALUE!</v>
      </c>
    </row>
    <row r="4476" spans="11:11" x14ac:dyDescent="0.25">
      <c r="K4476" s="8" t="e">
        <f t="shared" si="43"/>
        <v>#VALUE!</v>
      </c>
    </row>
    <row r="4477" spans="11:11" x14ac:dyDescent="0.25">
      <c r="K4477" s="8" t="e">
        <f t="shared" si="43"/>
        <v>#VALUE!</v>
      </c>
    </row>
    <row r="4478" spans="11:11" x14ac:dyDescent="0.25">
      <c r="K4478" s="8" t="e">
        <f t="shared" si="43"/>
        <v>#VALUE!</v>
      </c>
    </row>
    <row r="4479" spans="11:11" x14ac:dyDescent="0.25">
      <c r="K4479" s="8" t="e">
        <f t="shared" si="43"/>
        <v>#VALUE!</v>
      </c>
    </row>
    <row r="4480" spans="11:11" x14ac:dyDescent="0.25">
      <c r="K4480" s="8" t="e">
        <f t="shared" si="43"/>
        <v>#VALUE!</v>
      </c>
    </row>
    <row r="4481" spans="11:11" x14ac:dyDescent="0.25">
      <c r="K4481" s="8" t="e">
        <f t="shared" si="43"/>
        <v>#VALUE!</v>
      </c>
    </row>
    <row r="4482" spans="11:11" x14ac:dyDescent="0.25">
      <c r="K4482" s="8" t="e">
        <f t="shared" si="43"/>
        <v>#VALUE!</v>
      </c>
    </row>
    <row r="4483" spans="11:11" x14ac:dyDescent="0.25">
      <c r="K4483" s="8" t="e">
        <f t="shared" ref="K4483:K4546" si="44">LEFT(A4483,FIND("/",A4483)-1)</f>
        <v>#VALUE!</v>
      </c>
    </row>
    <row r="4484" spans="11:11" x14ac:dyDescent="0.25">
      <c r="K4484" s="8" t="e">
        <f t="shared" si="44"/>
        <v>#VALUE!</v>
      </c>
    </row>
    <row r="4485" spans="11:11" x14ac:dyDescent="0.25">
      <c r="K4485" s="8" t="e">
        <f t="shared" si="44"/>
        <v>#VALUE!</v>
      </c>
    </row>
    <row r="4486" spans="11:11" x14ac:dyDescent="0.25">
      <c r="K4486" s="8" t="e">
        <f t="shared" si="44"/>
        <v>#VALUE!</v>
      </c>
    </row>
    <row r="4487" spans="11:11" x14ac:dyDescent="0.25">
      <c r="K4487" s="8" t="e">
        <f t="shared" si="44"/>
        <v>#VALUE!</v>
      </c>
    </row>
    <row r="4488" spans="11:11" x14ac:dyDescent="0.25">
      <c r="K4488" s="8" t="e">
        <f t="shared" si="44"/>
        <v>#VALUE!</v>
      </c>
    </row>
    <row r="4489" spans="11:11" x14ac:dyDescent="0.25">
      <c r="K4489" s="8" t="e">
        <f t="shared" si="44"/>
        <v>#VALUE!</v>
      </c>
    </row>
    <row r="4490" spans="11:11" x14ac:dyDescent="0.25">
      <c r="K4490" s="8" t="e">
        <f t="shared" si="44"/>
        <v>#VALUE!</v>
      </c>
    </row>
    <row r="4491" spans="11:11" x14ac:dyDescent="0.25">
      <c r="K4491" s="8" t="e">
        <f t="shared" si="44"/>
        <v>#VALUE!</v>
      </c>
    </row>
    <row r="4492" spans="11:11" x14ac:dyDescent="0.25">
      <c r="K4492" s="8" t="e">
        <f t="shared" si="44"/>
        <v>#VALUE!</v>
      </c>
    </row>
    <row r="4493" spans="11:11" x14ac:dyDescent="0.25">
      <c r="K4493" s="8" t="e">
        <f t="shared" si="44"/>
        <v>#VALUE!</v>
      </c>
    </row>
    <row r="4494" spans="11:11" x14ac:dyDescent="0.25">
      <c r="K4494" s="8" t="e">
        <f t="shared" si="44"/>
        <v>#VALUE!</v>
      </c>
    </row>
    <row r="4495" spans="11:11" x14ac:dyDescent="0.25">
      <c r="K4495" s="8" t="e">
        <f t="shared" si="44"/>
        <v>#VALUE!</v>
      </c>
    </row>
    <row r="4496" spans="11:11" x14ac:dyDescent="0.25">
      <c r="K4496" s="8" t="e">
        <f t="shared" si="44"/>
        <v>#VALUE!</v>
      </c>
    </row>
    <row r="4497" spans="11:11" x14ac:dyDescent="0.25">
      <c r="K4497" s="8" t="e">
        <f t="shared" si="44"/>
        <v>#VALUE!</v>
      </c>
    </row>
    <row r="4498" spans="11:11" x14ac:dyDescent="0.25">
      <c r="K4498" s="8" t="e">
        <f t="shared" si="44"/>
        <v>#VALUE!</v>
      </c>
    </row>
    <row r="4499" spans="11:11" x14ac:dyDescent="0.25">
      <c r="K4499" s="8" t="e">
        <f t="shared" si="44"/>
        <v>#VALUE!</v>
      </c>
    </row>
    <row r="4500" spans="11:11" x14ac:dyDescent="0.25">
      <c r="K4500" s="8" t="e">
        <f t="shared" si="44"/>
        <v>#VALUE!</v>
      </c>
    </row>
    <row r="4501" spans="11:11" x14ac:dyDescent="0.25">
      <c r="K4501" s="8" t="e">
        <f t="shared" si="44"/>
        <v>#VALUE!</v>
      </c>
    </row>
    <row r="4502" spans="11:11" x14ac:dyDescent="0.25">
      <c r="K4502" s="8" t="e">
        <f t="shared" si="44"/>
        <v>#VALUE!</v>
      </c>
    </row>
    <row r="4503" spans="11:11" x14ac:dyDescent="0.25">
      <c r="K4503" s="8" t="e">
        <f t="shared" si="44"/>
        <v>#VALUE!</v>
      </c>
    </row>
    <row r="4504" spans="11:11" x14ac:dyDescent="0.25">
      <c r="K4504" s="8" t="e">
        <f t="shared" si="44"/>
        <v>#VALUE!</v>
      </c>
    </row>
    <row r="4505" spans="11:11" x14ac:dyDescent="0.25">
      <c r="K4505" s="8" t="e">
        <f t="shared" si="44"/>
        <v>#VALUE!</v>
      </c>
    </row>
    <row r="4506" spans="11:11" x14ac:dyDescent="0.25">
      <c r="K4506" s="8" t="e">
        <f t="shared" si="44"/>
        <v>#VALUE!</v>
      </c>
    </row>
    <row r="4507" spans="11:11" x14ac:dyDescent="0.25">
      <c r="K4507" s="8" t="e">
        <f t="shared" si="44"/>
        <v>#VALUE!</v>
      </c>
    </row>
    <row r="4508" spans="11:11" x14ac:dyDescent="0.25">
      <c r="K4508" s="8" t="e">
        <f t="shared" si="44"/>
        <v>#VALUE!</v>
      </c>
    </row>
    <row r="4509" spans="11:11" x14ac:dyDescent="0.25">
      <c r="K4509" s="8" t="e">
        <f t="shared" si="44"/>
        <v>#VALUE!</v>
      </c>
    </row>
    <row r="4510" spans="11:11" x14ac:dyDescent="0.25">
      <c r="K4510" s="8" t="e">
        <f t="shared" si="44"/>
        <v>#VALUE!</v>
      </c>
    </row>
    <row r="4511" spans="11:11" x14ac:dyDescent="0.25">
      <c r="K4511" s="8" t="e">
        <f t="shared" si="44"/>
        <v>#VALUE!</v>
      </c>
    </row>
    <row r="4512" spans="11:11" x14ac:dyDescent="0.25">
      <c r="K4512" s="8" t="e">
        <f t="shared" si="44"/>
        <v>#VALUE!</v>
      </c>
    </row>
    <row r="4513" spans="11:11" x14ac:dyDescent="0.25">
      <c r="K4513" s="8" t="e">
        <f t="shared" si="44"/>
        <v>#VALUE!</v>
      </c>
    </row>
    <row r="4514" spans="11:11" x14ac:dyDescent="0.25">
      <c r="K4514" s="8" t="e">
        <f t="shared" si="44"/>
        <v>#VALUE!</v>
      </c>
    </row>
    <row r="4515" spans="11:11" x14ac:dyDescent="0.25">
      <c r="K4515" s="8" t="e">
        <f t="shared" si="44"/>
        <v>#VALUE!</v>
      </c>
    </row>
    <row r="4516" spans="11:11" x14ac:dyDescent="0.25">
      <c r="K4516" s="8" t="e">
        <f t="shared" si="44"/>
        <v>#VALUE!</v>
      </c>
    </row>
    <row r="4517" spans="11:11" x14ac:dyDescent="0.25">
      <c r="K4517" s="8" t="e">
        <f t="shared" si="44"/>
        <v>#VALUE!</v>
      </c>
    </row>
    <row r="4518" spans="11:11" x14ac:dyDescent="0.25">
      <c r="K4518" s="8" t="e">
        <f t="shared" si="44"/>
        <v>#VALUE!</v>
      </c>
    </row>
    <row r="4519" spans="11:11" x14ac:dyDescent="0.25">
      <c r="K4519" s="8" t="e">
        <f t="shared" si="44"/>
        <v>#VALUE!</v>
      </c>
    </row>
    <row r="4520" spans="11:11" x14ac:dyDescent="0.25">
      <c r="K4520" s="8" t="e">
        <f t="shared" si="44"/>
        <v>#VALUE!</v>
      </c>
    </row>
    <row r="4521" spans="11:11" x14ac:dyDescent="0.25">
      <c r="K4521" s="8" t="e">
        <f t="shared" si="44"/>
        <v>#VALUE!</v>
      </c>
    </row>
    <row r="4522" spans="11:11" x14ac:dyDescent="0.25">
      <c r="K4522" s="8" t="e">
        <f t="shared" si="44"/>
        <v>#VALUE!</v>
      </c>
    </row>
    <row r="4523" spans="11:11" x14ac:dyDescent="0.25">
      <c r="K4523" s="8" t="e">
        <f t="shared" si="44"/>
        <v>#VALUE!</v>
      </c>
    </row>
    <row r="4524" spans="11:11" x14ac:dyDescent="0.25">
      <c r="K4524" s="8" t="e">
        <f t="shared" si="44"/>
        <v>#VALUE!</v>
      </c>
    </row>
    <row r="4525" spans="11:11" x14ac:dyDescent="0.25">
      <c r="K4525" s="8" t="e">
        <f t="shared" si="44"/>
        <v>#VALUE!</v>
      </c>
    </row>
    <row r="4526" spans="11:11" x14ac:dyDescent="0.25">
      <c r="K4526" s="8" t="e">
        <f t="shared" si="44"/>
        <v>#VALUE!</v>
      </c>
    </row>
    <row r="4527" spans="11:11" x14ac:dyDescent="0.25">
      <c r="K4527" s="8" t="e">
        <f t="shared" si="44"/>
        <v>#VALUE!</v>
      </c>
    </row>
    <row r="4528" spans="11:11" x14ac:dyDescent="0.25">
      <c r="K4528" s="8" t="e">
        <f t="shared" si="44"/>
        <v>#VALUE!</v>
      </c>
    </row>
    <row r="4529" spans="11:11" x14ac:dyDescent="0.25">
      <c r="K4529" s="8" t="e">
        <f t="shared" si="44"/>
        <v>#VALUE!</v>
      </c>
    </row>
    <row r="4530" spans="11:11" x14ac:dyDescent="0.25">
      <c r="K4530" s="8" t="e">
        <f t="shared" si="44"/>
        <v>#VALUE!</v>
      </c>
    </row>
    <row r="4531" spans="11:11" x14ac:dyDescent="0.25">
      <c r="K4531" s="8" t="e">
        <f t="shared" si="44"/>
        <v>#VALUE!</v>
      </c>
    </row>
    <row r="4532" spans="11:11" x14ac:dyDescent="0.25">
      <c r="K4532" s="8" t="e">
        <f t="shared" si="44"/>
        <v>#VALUE!</v>
      </c>
    </row>
    <row r="4533" spans="11:11" x14ac:dyDescent="0.25">
      <c r="K4533" s="8" t="e">
        <f t="shared" si="44"/>
        <v>#VALUE!</v>
      </c>
    </row>
    <row r="4534" spans="11:11" x14ac:dyDescent="0.25">
      <c r="K4534" s="8" t="e">
        <f t="shared" si="44"/>
        <v>#VALUE!</v>
      </c>
    </row>
    <row r="4535" spans="11:11" x14ac:dyDescent="0.25">
      <c r="K4535" s="8" t="e">
        <f t="shared" si="44"/>
        <v>#VALUE!</v>
      </c>
    </row>
    <row r="4536" spans="11:11" x14ac:dyDescent="0.25">
      <c r="K4536" s="8" t="e">
        <f t="shared" si="44"/>
        <v>#VALUE!</v>
      </c>
    </row>
    <row r="4537" spans="11:11" x14ac:dyDescent="0.25">
      <c r="K4537" s="8" t="e">
        <f t="shared" si="44"/>
        <v>#VALUE!</v>
      </c>
    </row>
    <row r="4538" spans="11:11" x14ac:dyDescent="0.25">
      <c r="K4538" s="8" t="e">
        <f t="shared" si="44"/>
        <v>#VALUE!</v>
      </c>
    </row>
    <row r="4539" spans="11:11" x14ac:dyDescent="0.25">
      <c r="K4539" s="8" t="e">
        <f t="shared" si="44"/>
        <v>#VALUE!</v>
      </c>
    </row>
    <row r="4540" spans="11:11" x14ac:dyDescent="0.25">
      <c r="K4540" s="8" t="e">
        <f t="shared" si="44"/>
        <v>#VALUE!</v>
      </c>
    </row>
    <row r="4541" spans="11:11" x14ac:dyDescent="0.25">
      <c r="K4541" s="8" t="e">
        <f t="shared" si="44"/>
        <v>#VALUE!</v>
      </c>
    </row>
    <row r="4542" spans="11:11" x14ac:dyDescent="0.25">
      <c r="K4542" s="8" t="e">
        <f t="shared" si="44"/>
        <v>#VALUE!</v>
      </c>
    </row>
    <row r="4543" spans="11:11" x14ac:dyDescent="0.25">
      <c r="K4543" s="8" t="e">
        <f t="shared" si="44"/>
        <v>#VALUE!</v>
      </c>
    </row>
    <row r="4544" spans="11:11" x14ac:dyDescent="0.25">
      <c r="K4544" s="8" t="e">
        <f t="shared" si="44"/>
        <v>#VALUE!</v>
      </c>
    </row>
    <row r="4545" spans="11:11" x14ac:dyDescent="0.25">
      <c r="K4545" s="8" t="e">
        <f t="shared" si="44"/>
        <v>#VALUE!</v>
      </c>
    </row>
    <row r="4546" spans="11:11" x14ac:dyDescent="0.25">
      <c r="K4546" s="8" t="e">
        <f t="shared" si="44"/>
        <v>#VALUE!</v>
      </c>
    </row>
    <row r="4547" spans="11:11" x14ac:dyDescent="0.25">
      <c r="K4547" s="8" t="e">
        <f t="shared" ref="K4547:K4610" si="45">LEFT(A4547,FIND("/",A4547)-1)</f>
        <v>#VALUE!</v>
      </c>
    </row>
    <row r="4548" spans="11:11" x14ac:dyDescent="0.25">
      <c r="K4548" s="8" t="e">
        <f t="shared" si="45"/>
        <v>#VALUE!</v>
      </c>
    </row>
    <row r="4549" spans="11:11" x14ac:dyDescent="0.25">
      <c r="K4549" s="8" t="e">
        <f t="shared" si="45"/>
        <v>#VALUE!</v>
      </c>
    </row>
    <row r="4550" spans="11:11" x14ac:dyDescent="0.25">
      <c r="K4550" s="8" t="e">
        <f t="shared" si="45"/>
        <v>#VALUE!</v>
      </c>
    </row>
    <row r="4551" spans="11:11" x14ac:dyDescent="0.25">
      <c r="K4551" s="8" t="e">
        <f t="shared" si="45"/>
        <v>#VALUE!</v>
      </c>
    </row>
    <row r="4552" spans="11:11" x14ac:dyDescent="0.25">
      <c r="K4552" s="8" t="e">
        <f t="shared" si="45"/>
        <v>#VALUE!</v>
      </c>
    </row>
    <row r="4553" spans="11:11" x14ac:dyDescent="0.25">
      <c r="K4553" s="8" t="e">
        <f t="shared" si="45"/>
        <v>#VALUE!</v>
      </c>
    </row>
    <row r="4554" spans="11:11" x14ac:dyDescent="0.25">
      <c r="K4554" s="8" t="e">
        <f t="shared" si="45"/>
        <v>#VALUE!</v>
      </c>
    </row>
    <row r="4555" spans="11:11" x14ac:dyDescent="0.25">
      <c r="K4555" s="8" t="e">
        <f t="shared" si="45"/>
        <v>#VALUE!</v>
      </c>
    </row>
    <row r="4556" spans="11:11" x14ac:dyDescent="0.25">
      <c r="K4556" s="8" t="e">
        <f t="shared" si="45"/>
        <v>#VALUE!</v>
      </c>
    </row>
    <row r="4557" spans="11:11" x14ac:dyDescent="0.25">
      <c r="K4557" s="8" t="e">
        <f t="shared" si="45"/>
        <v>#VALUE!</v>
      </c>
    </row>
    <row r="4558" spans="11:11" x14ac:dyDescent="0.25">
      <c r="K4558" s="8" t="e">
        <f t="shared" si="45"/>
        <v>#VALUE!</v>
      </c>
    </row>
    <row r="4559" spans="11:11" x14ac:dyDescent="0.25">
      <c r="K4559" s="8" t="e">
        <f t="shared" si="45"/>
        <v>#VALUE!</v>
      </c>
    </row>
    <row r="4560" spans="11:11" x14ac:dyDescent="0.25">
      <c r="K4560" s="8" t="e">
        <f t="shared" si="45"/>
        <v>#VALUE!</v>
      </c>
    </row>
    <row r="4561" spans="11:11" x14ac:dyDescent="0.25">
      <c r="K4561" s="8" t="e">
        <f t="shared" si="45"/>
        <v>#VALUE!</v>
      </c>
    </row>
    <row r="4562" spans="11:11" x14ac:dyDescent="0.25">
      <c r="K4562" s="8" t="e">
        <f t="shared" si="45"/>
        <v>#VALUE!</v>
      </c>
    </row>
    <row r="4563" spans="11:11" x14ac:dyDescent="0.25">
      <c r="K4563" s="8" t="e">
        <f t="shared" si="45"/>
        <v>#VALUE!</v>
      </c>
    </row>
    <row r="4564" spans="11:11" x14ac:dyDescent="0.25">
      <c r="K4564" s="8" t="e">
        <f t="shared" si="45"/>
        <v>#VALUE!</v>
      </c>
    </row>
    <row r="4565" spans="11:11" x14ac:dyDescent="0.25">
      <c r="K4565" s="8" t="e">
        <f t="shared" si="45"/>
        <v>#VALUE!</v>
      </c>
    </row>
    <row r="4566" spans="11:11" x14ac:dyDescent="0.25">
      <c r="K4566" s="8" t="e">
        <f t="shared" si="45"/>
        <v>#VALUE!</v>
      </c>
    </row>
    <row r="4567" spans="11:11" x14ac:dyDescent="0.25">
      <c r="K4567" s="8" t="e">
        <f t="shared" si="45"/>
        <v>#VALUE!</v>
      </c>
    </row>
    <row r="4568" spans="11:11" x14ac:dyDescent="0.25">
      <c r="K4568" s="8" t="e">
        <f t="shared" si="45"/>
        <v>#VALUE!</v>
      </c>
    </row>
    <row r="4569" spans="11:11" x14ac:dyDescent="0.25">
      <c r="K4569" s="8" t="e">
        <f t="shared" si="45"/>
        <v>#VALUE!</v>
      </c>
    </row>
    <row r="4570" spans="11:11" x14ac:dyDescent="0.25">
      <c r="K4570" s="8" t="e">
        <f t="shared" si="45"/>
        <v>#VALUE!</v>
      </c>
    </row>
    <row r="4571" spans="11:11" x14ac:dyDescent="0.25">
      <c r="K4571" s="8" t="e">
        <f t="shared" si="45"/>
        <v>#VALUE!</v>
      </c>
    </row>
    <row r="4572" spans="11:11" x14ac:dyDescent="0.25">
      <c r="K4572" s="8" t="e">
        <f t="shared" si="45"/>
        <v>#VALUE!</v>
      </c>
    </row>
    <row r="4573" spans="11:11" x14ac:dyDescent="0.25">
      <c r="K4573" s="8" t="e">
        <f t="shared" si="45"/>
        <v>#VALUE!</v>
      </c>
    </row>
    <row r="4574" spans="11:11" x14ac:dyDescent="0.25">
      <c r="K4574" s="8" t="e">
        <f t="shared" si="45"/>
        <v>#VALUE!</v>
      </c>
    </row>
    <row r="4575" spans="11:11" x14ac:dyDescent="0.25">
      <c r="K4575" s="8" t="e">
        <f t="shared" si="45"/>
        <v>#VALUE!</v>
      </c>
    </row>
    <row r="4576" spans="11:11" x14ac:dyDescent="0.25">
      <c r="K4576" s="8" t="e">
        <f t="shared" si="45"/>
        <v>#VALUE!</v>
      </c>
    </row>
    <row r="4577" spans="11:11" x14ac:dyDescent="0.25">
      <c r="K4577" s="8" t="e">
        <f t="shared" si="45"/>
        <v>#VALUE!</v>
      </c>
    </row>
    <row r="4578" spans="11:11" x14ac:dyDescent="0.25">
      <c r="K4578" s="8" t="e">
        <f t="shared" si="45"/>
        <v>#VALUE!</v>
      </c>
    </row>
    <row r="4579" spans="11:11" x14ac:dyDescent="0.25">
      <c r="K4579" s="8" t="e">
        <f t="shared" si="45"/>
        <v>#VALUE!</v>
      </c>
    </row>
    <row r="4580" spans="11:11" x14ac:dyDescent="0.25">
      <c r="K4580" s="8" t="e">
        <f t="shared" si="45"/>
        <v>#VALUE!</v>
      </c>
    </row>
    <row r="4581" spans="11:11" x14ac:dyDescent="0.25">
      <c r="K4581" s="8" t="e">
        <f t="shared" si="45"/>
        <v>#VALUE!</v>
      </c>
    </row>
    <row r="4582" spans="11:11" x14ac:dyDescent="0.25">
      <c r="K4582" s="8" t="e">
        <f t="shared" si="45"/>
        <v>#VALUE!</v>
      </c>
    </row>
    <row r="4583" spans="11:11" x14ac:dyDescent="0.25">
      <c r="K4583" s="8" t="e">
        <f t="shared" si="45"/>
        <v>#VALUE!</v>
      </c>
    </row>
    <row r="4584" spans="11:11" x14ac:dyDescent="0.25">
      <c r="K4584" s="8" t="e">
        <f t="shared" si="45"/>
        <v>#VALUE!</v>
      </c>
    </row>
    <row r="4585" spans="11:11" x14ac:dyDescent="0.25">
      <c r="K4585" s="8" t="e">
        <f t="shared" si="45"/>
        <v>#VALUE!</v>
      </c>
    </row>
    <row r="4586" spans="11:11" x14ac:dyDescent="0.25">
      <c r="K4586" s="8" t="e">
        <f t="shared" si="45"/>
        <v>#VALUE!</v>
      </c>
    </row>
    <row r="4587" spans="11:11" x14ac:dyDescent="0.25">
      <c r="K4587" s="8" t="e">
        <f t="shared" si="45"/>
        <v>#VALUE!</v>
      </c>
    </row>
    <row r="4588" spans="11:11" x14ac:dyDescent="0.25">
      <c r="K4588" s="8" t="e">
        <f t="shared" si="45"/>
        <v>#VALUE!</v>
      </c>
    </row>
    <row r="4589" spans="11:11" x14ac:dyDescent="0.25">
      <c r="K4589" s="8" t="e">
        <f t="shared" si="45"/>
        <v>#VALUE!</v>
      </c>
    </row>
    <row r="4590" spans="11:11" x14ac:dyDescent="0.25">
      <c r="K4590" s="8" t="e">
        <f t="shared" si="45"/>
        <v>#VALUE!</v>
      </c>
    </row>
    <row r="4591" spans="11:11" x14ac:dyDescent="0.25">
      <c r="K4591" s="8" t="e">
        <f t="shared" si="45"/>
        <v>#VALUE!</v>
      </c>
    </row>
    <row r="4592" spans="11:11" x14ac:dyDescent="0.25">
      <c r="K4592" s="8" t="e">
        <f t="shared" si="45"/>
        <v>#VALUE!</v>
      </c>
    </row>
    <row r="4593" spans="11:11" x14ac:dyDescent="0.25">
      <c r="K4593" s="8" t="e">
        <f t="shared" si="45"/>
        <v>#VALUE!</v>
      </c>
    </row>
    <row r="4594" spans="11:11" x14ac:dyDescent="0.25">
      <c r="K4594" s="8" t="e">
        <f t="shared" si="45"/>
        <v>#VALUE!</v>
      </c>
    </row>
    <row r="4595" spans="11:11" x14ac:dyDescent="0.25">
      <c r="K4595" s="8" t="e">
        <f t="shared" si="45"/>
        <v>#VALUE!</v>
      </c>
    </row>
    <row r="4596" spans="11:11" x14ac:dyDescent="0.25">
      <c r="K4596" s="8" t="e">
        <f t="shared" si="45"/>
        <v>#VALUE!</v>
      </c>
    </row>
    <row r="4597" spans="11:11" x14ac:dyDescent="0.25">
      <c r="K4597" s="8" t="e">
        <f t="shared" si="45"/>
        <v>#VALUE!</v>
      </c>
    </row>
    <row r="4598" spans="11:11" x14ac:dyDescent="0.25">
      <c r="K4598" s="8" t="e">
        <f t="shared" si="45"/>
        <v>#VALUE!</v>
      </c>
    </row>
    <row r="4599" spans="11:11" x14ac:dyDescent="0.25">
      <c r="K4599" s="8" t="e">
        <f t="shared" si="45"/>
        <v>#VALUE!</v>
      </c>
    </row>
    <row r="4600" spans="11:11" x14ac:dyDescent="0.25">
      <c r="K4600" s="8" t="e">
        <f t="shared" si="45"/>
        <v>#VALUE!</v>
      </c>
    </row>
    <row r="4601" spans="11:11" x14ac:dyDescent="0.25">
      <c r="K4601" s="8" t="e">
        <f t="shared" si="45"/>
        <v>#VALUE!</v>
      </c>
    </row>
    <row r="4602" spans="11:11" x14ac:dyDescent="0.25">
      <c r="K4602" s="8" t="e">
        <f t="shared" si="45"/>
        <v>#VALUE!</v>
      </c>
    </row>
    <row r="4603" spans="11:11" x14ac:dyDescent="0.25">
      <c r="K4603" s="8" t="e">
        <f t="shared" si="45"/>
        <v>#VALUE!</v>
      </c>
    </row>
    <row r="4604" spans="11:11" x14ac:dyDescent="0.25">
      <c r="K4604" s="8" t="e">
        <f t="shared" si="45"/>
        <v>#VALUE!</v>
      </c>
    </row>
    <row r="4605" spans="11:11" x14ac:dyDescent="0.25">
      <c r="K4605" s="8" t="e">
        <f t="shared" si="45"/>
        <v>#VALUE!</v>
      </c>
    </row>
    <row r="4606" spans="11:11" x14ac:dyDescent="0.25">
      <c r="K4606" s="8" t="e">
        <f t="shared" si="45"/>
        <v>#VALUE!</v>
      </c>
    </row>
    <row r="4607" spans="11:11" x14ac:dyDescent="0.25">
      <c r="K4607" s="8" t="e">
        <f t="shared" si="45"/>
        <v>#VALUE!</v>
      </c>
    </row>
    <row r="4608" spans="11:11" x14ac:dyDescent="0.25">
      <c r="K4608" s="8" t="e">
        <f t="shared" si="45"/>
        <v>#VALUE!</v>
      </c>
    </row>
    <row r="4609" spans="11:11" x14ac:dyDescent="0.25">
      <c r="K4609" s="8" t="e">
        <f t="shared" si="45"/>
        <v>#VALUE!</v>
      </c>
    </row>
    <row r="4610" spans="11:11" x14ac:dyDescent="0.25">
      <c r="K4610" s="8" t="e">
        <f t="shared" si="45"/>
        <v>#VALUE!</v>
      </c>
    </row>
    <row r="4611" spans="11:11" x14ac:dyDescent="0.25">
      <c r="K4611" s="8" t="e">
        <f t="shared" ref="K4611:K4674" si="46">LEFT(A4611,FIND("/",A4611)-1)</f>
        <v>#VALUE!</v>
      </c>
    </row>
    <row r="4612" spans="11:11" x14ac:dyDescent="0.25">
      <c r="K4612" s="8" t="e">
        <f t="shared" si="46"/>
        <v>#VALUE!</v>
      </c>
    </row>
    <row r="4613" spans="11:11" x14ac:dyDescent="0.25">
      <c r="K4613" s="8" t="e">
        <f t="shared" si="46"/>
        <v>#VALUE!</v>
      </c>
    </row>
    <row r="4614" spans="11:11" x14ac:dyDescent="0.25">
      <c r="K4614" s="8" t="e">
        <f t="shared" si="46"/>
        <v>#VALUE!</v>
      </c>
    </row>
    <row r="4615" spans="11:11" x14ac:dyDescent="0.25">
      <c r="K4615" s="8" t="e">
        <f t="shared" si="46"/>
        <v>#VALUE!</v>
      </c>
    </row>
    <row r="4616" spans="11:11" x14ac:dyDescent="0.25">
      <c r="K4616" s="8" t="e">
        <f t="shared" si="46"/>
        <v>#VALUE!</v>
      </c>
    </row>
    <row r="4617" spans="11:11" x14ac:dyDescent="0.25">
      <c r="K4617" s="8" t="e">
        <f t="shared" si="46"/>
        <v>#VALUE!</v>
      </c>
    </row>
    <row r="4618" spans="11:11" x14ac:dyDescent="0.25">
      <c r="K4618" s="8" t="e">
        <f t="shared" si="46"/>
        <v>#VALUE!</v>
      </c>
    </row>
    <row r="4619" spans="11:11" x14ac:dyDescent="0.25">
      <c r="K4619" s="8" t="e">
        <f t="shared" si="46"/>
        <v>#VALUE!</v>
      </c>
    </row>
    <row r="4620" spans="11:11" x14ac:dyDescent="0.25">
      <c r="K4620" s="8" t="e">
        <f t="shared" si="46"/>
        <v>#VALUE!</v>
      </c>
    </row>
    <row r="4621" spans="11:11" x14ac:dyDescent="0.25">
      <c r="K4621" s="8" t="e">
        <f t="shared" si="46"/>
        <v>#VALUE!</v>
      </c>
    </row>
    <row r="4622" spans="11:11" x14ac:dyDescent="0.25">
      <c r="K4622" s="8" t="e">
        <f t="shared" si="46"/>
        <v>#VALUE!</v>
      </c>
    </row>
    <row r="4623" spans="11:11" x14ac:dyDescent="0.25">
      <c r="K4623" s="8" t="e">
        <f t="shared" si="46"/>
        <v>#VALUE!</v>
      </c>
    </row>
    <row r="4624" spans="11:11" x14ac:dyDescent="0.25">
      <c r="K4624" s="8" t="e">
        <f t="shared" si="46"/>
        <v>#VALUE!</v>
      </c>
    </row>
    <row r="4625" spans="11:11" x14ac:dyDescent="0.25">
      <c r="K4625" s="8" t="e">
        <f t="shared" si="46"/>
        <v>#VALUE!</v>
      </c>
    </row>
    <row r="4626" spans="11:11" x14ac:dyDescent="0.25">
      <c r="K4626" s="8" t="e">
        <f t="shared" si="46"/>
        <v>#VALUE!</v>
      </c>
    </row>
    <row r="4627" spans="11:11" x14ac:dyDescent="0.25">
      <c r="K4627" s="8" t="e">
        <f t="shared" si="46"/>
        <v>#VALUE!</v>
      </c>
    </row>
    <row r="4628" spans="11:11" x14ac:dyDescent="0.25">
      <c r="K4628" s="8" t="e">
        <f t="shared" si="46"/>
        <v>#VALUE!</v>
      </c>
    </row>
    <row r="4629" spans="11:11" x14ac:dyDescent="0.25">
      <c r="K4629" s="8" t="e">
        <f t="shared" si="46"/>
        <v>#VALUE!</v>
      </c>
    </row>
    <row r="4630" spans="11:11" x14ac:dyDescent="0.25">
      <c r="K4630" s="8" t="e">
        <f t="shared" si="46"/>
        <v>#VALUE!</v>
      </c>
    </row>
    <row r="4631" spans="11:11" x14ac:dyDescent="0.25">
      <c r="K4631" s="8" t="e">
        <f t="shared" si="46"/>
        <v>#VALUE!</v>
      </c>
    </row>
    <row r="4632" spans="11:11" x14ac:dyDescent="0.25">
      <c r="K4632" s="8" t="e">
        <f t="shared" si="46"/>
        <v>#VALUE!</v>
      </c>
    </row>
    <row r="4633" spans="11:11" x14ac:dyDescent="0.25">
      <c r="K4633" s="8" t="e">
        <f t="shared" si="46"/>
        <v>#VALUE!</v>
      </c>
    </row>
    <row r="4634" spans="11:11" x14ac:dyDescent="0.25">
      <c r="K4634" s="8" t="e">
        <f t="shared" si="46"/>
        <v>#VALUE!</v>
      </c>
    </row>
    <row r="4635" spans="11:11" x14ac:dyDescent="0.25">
      <c r="K4635" s="8" t="e">
        <f t="shared" si="46"/>
        <v>#VALUE!</v>
      </c>
    </row>
    <row r="4636" spans="11:11" x14ac:dyDescent="0.25">
      <c r="K4636" s="8" t="e">
        <f t="shared" si="46"/>
        <v>#VALUE!</v>
      </c>
    </row>
    <row r="4637" spans="11:11" x14ac:dyDescent="0.25">
      <c r="K4637" s="8" t="e">
        <f t="shared" si="46"/>
        <v>#VALUE!</v>
      </c>
    </row>
    <row r="4638" spans="11:11" x14ac:dyDescent="0.25">
      <c r="K4638" s="8" t="e">
        <f t="shared" si="46"/>
        <v>#VALUE!</v>
      </c>
    </row>
    <row r="4639" spans="11:11" x14ac:dyDescent="0.25">
      <c r="K4639" s="8" t="e">
        <f t="shared" si="46"/>
        <v>#VALUE!</v>
      </c>
    </row>
    <row r="4640" spans="11:11" x14ac:dyDescent="0.25">
      <c r="K4640" s="8" t="e">
        <f t="shared" si="46"/>
        <v>#VALUE!</v>
      </c>
    </row>
    <row r="4641" spans="11:11" x14ac:dyDescent="0.25">
      <c r="K4641" s="8" t="e">
        <f t="shared" si="46"/>
        <v>#VALUE!</v>
      </c>
    </row>
    <row r="4642" spans="11:11" x14ac:dyDescent="0.25">
      <c r="K4642" s="8" t="e">
        <f t="shared" si="46"/>
        <v>#VALUE!</v>
      </c>
    </row>
    <row r="4643" spans="11:11" x14ac:dyDescent="0.25">
      <c r="K4643" s="8" t="e">
        <f t="shared" si="46"/>
        <v>#VALUE!</v>
      </c>
    </row>
    <row r="4644" spans="11:11" x14ac:dyDescent="0.25">
      <c r="K4644" s="8" t="e">
        <f t="shared" si="46"/>
        <v>#VALUE!</v>
      </c>
    </row>
    <row r="4645" spans="11:11" x14ac:dyDescent="0.25">
      <c r="K4645" s="8" t="e">
        <f t="shared" si="46"/>
        <v>#VALUE!</v>
      </c>
    </row>
    <row r="4646" spans="11:11" x14ac:dyDescent="0.25">
      <c r="K4646" s="8" t="e">
        <f t="shared" si="46"/>
        <v>#VALUE!</v>
      </c>
    </row>
    <row r="4647" spans="11:11" x14ac:dyDescent="0.25">
      <c r="K4647" s="8" t="e">
        <f t="shared" si="46"/>
        <v>#VALUE!</v>
      </c>
    </row>
    <row r="4648" spans="11:11" x14ac:dyDescent="0.25">
      <c r="K4648" s="8" t="e">
        <f t="shared" si="46"/>
        <v>#VALUE!</v>
      </c>
    </row>
    <row r="4649" spans="11:11" x14ac:dyDescent="0.25">
      <c r="K4649" s="8" t="e">
        <f t="shared" si="46"/>
        <v>#VALUE!</v>
      </c>
    </row>
    <row r="4650" spans="11:11" x14ac:dyDescent="0.25">
      <c r="K4650" s="8" t="e">
        <f t="shared" si="46"/>
        <v>#VALUE!</v>
      </c>
    </row>
    <row r="4651" spans="11:11" x14ac:dyDescent="0.25">
      <c r="K4651" s="8" t="e">
        <f t="shared" si="46"/>
        <v>#VALUE!</v>
      </c>
    </row>
    <row r="4652" spans="11:11" x14ac:dyDescent="0.25">
      <c r="K4652" s="8" t="e">
        <f t="shared" si="46"/>
        <v>#VALUE!</v>
      </c>
    </row>
    <row r="4653" spans="11:11" x14ac:dyDescent="0.25">
      <c r="K4653" s="8" t="e">
        <f t="shared" si="46"/>
        <v>#VALUE!</v>
      </c>
    </row>
    <row r="4654" spans="11:11" x14ac:dyDescent="0.25">
      <c r="K4654" s="8" t="e">
        <f t="shared" si="46"/>
        <v>#VALUE!</v>
      </c>
    </row>
    <row r="4655" spans="11:11" x14ac:dyDescent="0.25">
      <c r="K4655" s="8" t="e">
        <f t="shared" si="46"/>
        <v>#VALUE!</v>
      </c>
    </row>
    <row r="4656" spans="11:11" x14ac:dyDescent="0.25">
      <c r="K4656" s="8" t="e">
        <f t="shared" si="46"/>
        <v>#VALUE!</v>
      </c>
    </row>
    <row r="4657" spans="11:11" x14ac:dyDescent="0.25">
      <c r="K4657" s="8" t="e">
        <f t="shared" si="46"/>
        <v>#VALUE!</v>
      </c>
    </row>
    <row r="4658" spans="11:11" x14ac:dyDescent="0.25">
      <c r="K4658" s="8" t="e">
        <f t="shared" si="46"/>
        <v>#VALUE!</v>
      </c>
    </row>
    <row r="4659" spans="11:11" x14ac:dyDescent="0.25">
      <c r="K4659" s="8" t="e">
        <f t="shared" si="46"/>
        <v>#VALUE!</v>
      </c>
    </row>
    <row r="4660" spans="11:11" x14ac:dyDescent="0.25">
      <c r="K4660" s="8" t="e">
        <f t="shared" si="46"/>
        <v>#VALUE!</v>
      </c>
    </row>
    <row r="4661" spans="11:11" x14ac:dyDescent="0.25">
      <c r="K4661" s="8" t="e">
        <f t="shared" si="46"/>
        <v>#VALUE!</v>
      </c>
    </row>
    <row r="4662" spans="11:11" x14ac:dyDescent="0.25">
      <c r="K4662" s="8" t="e">
        <f t="shared" si="46"/>
        <v>#VALUE!</v>
      </c>
    </row>
    <row r="4663" spans="11:11" x14ac:dyDescent="0.25">
      <c r="K4663" s="8" t="e">
        <f t="shared" si="46"/>
        <v>#VALUE!</v>
      </c>
    </row>
    <row r="4664" spans="11:11" x14ac:dyDescent="0.25">
      <c r="K4664" s="8" t="e">
        <f t="shared" si="46"/>
        <v>#VALUE!</v>
      </c>
    </row>
    <row r="4665" spans="11:11" x14ac:dyDescent="0.25">
      <c r="K4665" s="8" t="e">
        <f t="shared" si="46"/>
        <v>#VALUE!</v>
      </c>
    </row>
    <row r="4666" spans="11:11" x14ac:dyDescent="0.25">
      <c r="K4666" s="8" t="e">
        <f t="shared" si="46"/>
        <v>#VALUE!</v>
      </c>
    </row>
    <row r="4667" spans="11:11" x14ac:dyDescent="0.25">
      <c r="K4667" s="8" t="e">
        <f t="shared" si="46"/>
        <v>#VALUE!</v>
      </c>
    </row>
    <row r="4668" spans="11:11" x14ac:dyDescent="0.25">
      <c r="K4668" s="8" t="e">
        <f t="shared" si="46"/>
        <v>#VALUE!</v>
      </c>
    </row>
    <row r="4669" spans="11:11" x14ac:dyDescent="0.25">
      <c r="K4669" s="8" t="e">
        <f t="shared" si="46"/>
        <v>#VALUE!</v>
      </c>
    </row>
    <row r="4670" spans="11:11" x14ac:dyDescent="0.25">
      <c r="K4670" s="8" t="e">
        <f t="shared" si="46"/>
        <v>#VALUE!</v>
      </c>
    </row>
    <row r="4671" spans="11:11" x14ac:dyDescent="0.25">
      <c r="K4671" s="8" t="e">
        <f t="shared" si="46"/>
        <v>#VALUE!</v>
      </c>
    </row>
    <row r="4672" spans="11:11" x14ac:dyDescent="0.25">
      <c r="K4672" s="8" t="e">
        <f t="shared" si="46"/>
        <v>#VALUE!</v>
      </c>
    </row>
    <row r="4673" spans="11:11" x14ac:dyDescent="0.25">
      <c r="K4673" s="8" t="e">
        <f t="shared" si="46"/>
        <v>#VALUE!</v>
      </c>
    </row>
    <row r="4674" spans="11:11" x14ac:dyDescent="0.25">
      <c r="K4674" s="8" t="e">
        <f t="shared" si="46"/>
        <v>#VALUE!</v>
      </c>
    </row>
    <row r="4675" spans="11:11" x14ac:dyDescent="0.25">
      <c r="K4675" s="8" t="e">
        <f t="shared" ref="K4675:K4738" si="47">LEFT(A4675,FIND("/",A4675)-1)</f>
        <v>#VALUE!</v>
      </c>
    </row>
    <row r="4676" spans="11:11" x14ac:dyDescent="0.25">
      <c r="K4676" s="8" t="e">
        <f t="shared" si="47"/>
        <v>#VALUE!</v>
      </c>
    </row>
    <row r="4677" spans="11:11" x14ac:dyDescent="0.25">
      <c r="K4677" s="8" t="e">
        <f t="shared" si="47"/>
        <v>#VALUE!</v>
      </c>
    </row>
    <row r="4678" spans="11:11" x14ac:dyDescent="0.25">
      <c r="K4678" s="8" t="e">
        <f t="shared" si="47"/>
        <v>#VALUE!</v>
      </c>
    </row>
    <row r="4679" spans="11:11" x14ac:dyDescent="0.25">
      <c r="K4679" s="8" t="e">
        <f t="shared" si="47"/>
        <v>#VALUE!</v>
      </c>
    </row>
    <row r="4680" spans="11:11" x14ac:dyDescent="0.25">
      <c r="K4680" s="8" t="e">
        <f t="shared" si="47"/>
        <v>#VALUE!</v>
      </c>
    </row>
    <row r="4681" spans="11:11" x14ac:dyDescent="0.25">
      <c r="K4681" s="8" t="e">
        <f t="shared" si="47"/>
        <v>#VALUE!</v>
      </c>
    </row>
    <row r="4682" spans="11:11" x14ac:dyDescent="0.25">
      <c r="K4682" s="8" t="e">
        <f t="shared" si="47"/>
        <v>#VALUE!</v>
      </c>
    </row>
    <row r="4683" spans="11:11" x14ac:dyDescent="0.25">
      <c r="K4683" s="8" t="e">
        <f t="shared" si="47"/>
        <v>#VALUE!</v>
      </c>
    </row>
    <row r="4684" spans="11:11" x14ac:dyDescent="0.25">
      <c r="K4684" s="8" t="e">
        <f t="shared" si="47"/>
        <v>#VALUE!</v>
      </c>
    </row>
    <row r="4685" spans="11:11" x14ac:dyDescent="0.25">
      <c r="K4685" s="8" t="e">
        <f t="shared" si="47"/>
        <v>#VALUE!</v>
      </c>
    </row>
    <row r="4686" spans="11:11" x14ac:dyDescent="0.25">
      <c r="K4686" s="8" t="e">
        <f t="shared" si="47"/>
        <v>#VALUE!</v>
      </c>
    </row>
    <row r="4687" spans="11:11" x14ac:dyDescent="0.25">
      <c r="K4687" s="8" t="e">
        <f t="shared" si="47"/>
        <v>#VALUE!</v>
      </c>
    </row>
    <row r="4688" spans="11:11" x14ac:dyDescent="0.25">
      <c r="K4688" s="8" t="e">
        <f t="shared" si="47"/>
        <v>#VALUE!</v>
      </c>
    </row>
    <row r="4689" spans="11:11" x14ac:dyDescent="0.25">
      <c r="K4689" s="8" t="e">
        <f t="shared" si="47"/>
        <v>#VALUE!</v>
      </c>
    </row>
    <row r="4690" spans="11:11" x14ac:dyDescent="0.25">
      <c r="K4690" s="8" t="e">
        <f t="shared" si="47"/>
        <v>#VALUE!</v>
      </c>
    </row>
    <row r="4691" spans="11:11" x14ac:dyDescent="0.25">
      <c r="K4691" s="8" t="e">
        <f t="shared" si="47"/>
        <v>#VALUE!</v>
      </c>
    </row>
    <row r="4692" spans="11:11" x14ac:dyDescent="0.25">
      <c r="K4692" s="8" t="e">
        <f t="shared" si="47"/>
        <v>#VALUE!</v>
      </c>
    </row>
    <row r="4693" spans="11:11" x14ac:dyDescent="0.25">
      <c r="K4693" s="8" t="e">
        <f t="shared" si="47"/>
        <v>#VALUE!</v>
      </c>
    </row>
    <row r="4694" spans="11:11" x14ac:dyDescent="0.25">
      <c r="K4694" s="8" t="e">
        <f t="shared" si="47"/>
        <v>#VALUE!</v>
      </c>
    </row>
    <row r="4695" spans="11:11" x14ac:dyDescent="0.25">
      <c r="K4695" s="8" t="e">
        <f t="shared" si="47"/>
        <v>#VALUE!</v>
      </c>
    </row>
    <row r="4696" spans="11:11" x14ac:dyDescent="0.25">
      <c r="K4696" s="8" t="e">
        <f t="shared" si="47"/>
        <v>#VALUE!</v>
      </c>
    </row>
    <row r="4697" spans="11:11" x14ac:dyDescent="0.25">
      <c r="K4697" s="8" t="e">
        <f t="shared" si="47"/>
        <v>#VALUE!</v>
      </c>
    </row>
    <row r="4698" spans="11:11" x14ac:dyDescent="0.25">
      <c r="K4698" s="8" t="e">
        <f t="shared" si="47"/>
        <v>#VALUE!</v>
      </c>
    </row>
    <row r="4699" spans="11:11" x14ac:dyDescent="0.25">
      <c r="K4699" s="8" t="e">
        <f t="shared" si="47"/>
        <v>#VALUE!</v>
      </c>
    </row>
    <row r="4700" spans="11:11" x14ac:dyDescent="0.25">
      <c r="K4700" s="8" t="e">
        <f t="shared" si="47"/>
        <v>#VALUE!</v>
      </c>
    </row>
    <row r="4701" spans="11:11" x14ac:dyDescent="0.25">
      <c r="K4701" s="8" t="e">
        <f t="shared" si="47"/>
        <v>#VALUE!</v>
      </c>
    </row>
    <row r="4702" spans="11:11" x14ac:dyDescent="0.25">
      <c r="K4702" s="8" t="e">
        <f t="shared" si="47"/>
        <v>#VALUE!</v>
      </c>
    </row>
    <row r="4703" spans="11:11" x14ac:dyDescent="0.25">
      <c r="K4703" s="8" t="e">
        <f t="shared" si="47"/>
        <v>#VALUE!</v>
      </c>
    </row>
    <row r="4704" spans="11:11" x14ac:dyDescent="0.25">
      <c r="K4704" s="8" t="e">
        <f t="shared" si="47"/>
        <v>#VALUE!</v>
      </c>
    </row>
    <row r="4705" spans="11:11" x14ac:dyDescent="0.25">
      <c r="K4705" s="8" t="e">
        <f t="shared" si="47"/>
        <v>#VALUE!</v>
      </c>
    </row>
    <row r="4706" spans="11:11" x14ac:dyDescent="0.25">
      <c r="K4706" s="8" t="e">
        <f t="shared" si="47"/>
        <v>#VALUE!</v>
      </c>
    </row>
    <row r="4707" spans="11:11" x14ac:dyDescent="0.25">
      <c r="K4707" s="8" t="e">
        <f t="shared" si="47"/>
        <v>#VALUE!</v>
      </c>
    </row>
    <row r="4708" spans="11:11" x14ac:dyDescent="0.25">
      <c r="K4708" s="8" t="e">
        <f t="shared" si="47"/>
        <v>#VALUE!</v>
      </c>
    </row>
    <row r="4709" spans="11:11" x14ac:dyDescent="0.25">
      <c r="K4709" s="8" t="e">
        <f t="shared" si="47"/>
        <v>#VALUE!</v>
      </c>
    </row>
    <row r="4710" spans="11:11" x14ac:dyDescent="0.25">
      <c r="K4710" s="8" t="e">
        <f t="shared" si="47"/>
        <v>#VALUE!</v>
      </c>
    </row>
    <row r="4711" spans="11:11" x14ac:dyDescent="0.25">
      <c r="K4711" s="8" t="e">
        <f t="shared" si="47"/>
        <v>#VALUE!</v>
      </c>
    </row>
    <row r="4712" spans="11:11" x14ac:dyDescent="0.25">
      <c r="K4712" s="8" t="e">
        <f t="shared" si="47"/>
        <v>#VALUE!</v>
      </c>
    </row>
    <row r="4713" spans="11:11" x14ac:dyDescent="0.25">
      <c r="K4713" s="8" t="e">
        <f t="shared" si="47"/>
        <v>#VALUE!</v>
      </c>
    </row>
    <row r="4714" spans="11:11" x14ac:dyDescent="0.25">
      <c r="K4714" s="8" t="e">
        <f t="shared" si="47"/>
        <v>#VALUE!</v>
      </c>
    </row>
    <row r="4715" spans="11:11" x14ac:dyDescent="0.25">
      <c r="K4715" s="8" t="e">
        <f t="shared" si="47"/>
        <v>#VALUE!</v>
      </c>
    </row>
    <row r="4716" spans="11:11" x14ac:dyDescent="0.25">
      <c r="K4716" s="8" t="e">
        <f t="shared" si="47"/>
        <v>#VALUE!</v>
      </c>
    </row>
    <row r="4717" spans="11:11" x14ac:dyDescent="0.25">
      <c r="K4717" s="8" t="e">
        <f t="shared" si="47"/>
        <v>#VALUE!</v>
      </c>
    </row>
    <row r="4718" spans="11:11" x14ac:dyDescent="0.25">
      <c r="K4718" s="8" t="e">
        <f t="shared" si="47"/>
        <v>#VALUE!</v>
      </c>
    </row>
    <row r="4719" spans="11:11" x14ac:dyDescent="0.25">
      <c r="K4719" s="8" t="e">
        <f t="shared" si="47"/>
        <v>#VALUE!</v>
      </c>
    </row>
    <row r="4720" spans="11:11" x14ac:dyDescent="0.25">
      <c r="K4720" s="8" t="e">
        <f t="shared" si="47"/>
        <v>#VALUE!</v>
      </c>
    </row>
    <row r="4721" spans="11:11" x14ac:dyDescent="0.25">
      <c r="K4721" s="8" t="e">
        <f t="shared" si="47"/>
        <v>#VALUE!</v>
      </c>
    </row>
    <row r="4722" spans="11:11" x14ac:dyDescent="0.25">
      <c r="K4722" s="8" t="e">
        <f t="shared" si="47"/>
        <v>#VALUE!</v>
      </c>
    </row>
    <row r="4723" spans="11:11" x14ac:dyDescent="0.25">
      <c r="K4723" s="8" t="e">
        <f t="shared" si="47"/>
        <v>#VALUE!</v>
      </c>
    </row>
    <row r="4724" spans="11:11" x14ac:dyDescent="0.25">
      <c r="K4724" s="8" t="e">
        <f t="shared" si="47"/>
        <v>#VALUE!</v>
      </c>
    </row>
    <row r="4725" spans="11:11" x14ac:dyDescent="0.25">
      <c r="K4725" s="8" t="e">
        <f t="shared" si="47"/>
        <v>#VALUE!</v>
      </c>
    </row>
    <row r="4726" spans="11:11" x14ac:dyDescent="0.25">
      <c r="K4726" s="8" t="e">
        <f t="shared" si="47"/>
        <v>#VALUE!</v>
      </c>
    </row>
    <row r="4727" spans="11:11" x14ac:dyDescent="0.25">
      <c r="K4727" s="8" t="e">
        <f t="shared" si="47"/>
        <v>#VALUE!</v>
      </c>
    </row>
    <row r="4728" spans="11:11" x14ac:dyDescent="0.25">
      <c r="K4728" s="8" t="e">
        <f t="shared" si="47"/>
        <v>#VALUE!</v>
      </c>
    </row>
    <row r="4729" spans="11:11" x14ac:dyDescent="0.25">
      <c r="K4729" s="8" t="e">
        <f t="shared" si="47"/>
        <v>#VALUE!</v>
      </c>
    </row>
    <row r="4730" spans="11:11" x14ac:dyDescent="0.25">
      <c r="K4730" s="8" t="e">
        <f t="shared" si="47"/>
        <v>#VALUE!</v>
      </c>
    </row>
    <row r="4731" spans="11:11" x14ac:dyDescent="0.25">
      <c r="K4731" s="8" t="e">
        <f t="shared" si="47"/>
        <v>#VALUE!</v>
      </c>
    </row>
    <row r="4732" spans="11:11" x14ac:dyDescent="0.25">
      <c r="K4732" s="8" t="e">
        <f t="shared" si="47"/>
        <v>#VALUE!</v>
      </c>
    </row>
    <row r="4733" spans="11:11" x14ac:dyDescent="0.25">
      <c r="K4733" s="8" t="e">
        <f t="shared" si="47"/>
        <v>#VALUE!</v>
      </c>
    </row>
    <row r="4734" spans="11:11" x14ac:dyDescent="0.25">
      <c r="K4734" s="8" t="e">
        <f t="shared" si="47"/>
        <v>#VALUE!</v>
      </c>
    </row>
    <row r="4735" spans="11:11" x14ac:dyDescent="0.25">
      <c r="K4735" s="8" t="e">
        <f t="shared" si="47"/>
        <v>#VALUE!</v>
      </c>
    </row>
    <row r="4736" spans="11:11" x14ac:dyDescent="0.25">
      <c r="K4736" s="8" t="e">
        <f t="shared" si="47"/>
        <v>#VALUE!</v>
      </c>
    </row>
    <row r="4737" spans="11:11" x14ac:dyDescent="0.25">
      <c r="K4737" s="8" t="e">
        <f t="shared" si="47"/>
        <v>#VALUE!</v>
      </c>
    </row>
    <row r="4738" spans="11:11" x14ac:dyDescent="0.25">
      <c r="K4738" s="8" t="e">
        <f t="shared" si="47"/>
        <v>#VALUE!</v>
      </c>
    </row>
    <row r="4739" spans="11:11" x14ac:dyDescent="0.25">
      <c r="K4739" s="8" t="e">
        <f t="shared" ref="K4739:K4802" si="48">LEFT(A4739,FIND("/",A4739)-1)</f>
        <v>#VALUE!</v>
      </c>
    </row>
    <row r="4740" spans="11:11" x14ac:dyDescent="0.25">
      <c r="K4740" s="8" t="e">
        <f t="shared" si="48"/>
        <v>#VALUE!</v>
      </c>
    </row>
    <row r="4741" spans="11:11" x14ac:dyDescent="0.25">
      <c r="K4741" s="8" t="e">
        <f t="shared" si="48"/>
        <v>#VALUE!</v>
      </c>
    </row>
    <row r="4742" spans="11:11" x14ac:dyDescent="0.25">
      <c r="K4742" s="8" t="e">
        <f t="shared" si="48"/>
        <v>#VALUE!</v>
      </c>
    </row>
    <row r="4743" spans="11:11" x14ac:dyDescent="0.25">
      <c r="K4743" s="8" t="e">
        <f t="shared" si="48"/>
        <v>#VALUE!</v>
      </c>
    </row>
    <row r="4744" spans="11:11" x14ac:dyDescent="0.25">
      <c r="K4744" s="8" t="e">
        <f t="shared" si="48"/>
        <v>#VALUE!</v>
      </c>
    </row>
    <row r="4745" spans="11:11" x14ac:dyDescent="0.25">
      <c r="K4745" s="8" t="e">
        <f t="shared" si="48"/>
        <v>#VALUE!</v>
      </c>
    </row>
    <row r="4746" spans="11:11" x14ac:dyDescent="0.25">
      <c r="K4746" s="8" t="e">
        <f t="shared" si="48"/>
        <v>#VALUE!</v>
      </c>
    </row>
    <row r="4747" spans="11:11" x14ac:dyDescent="0.25">
      <c r="K4747" s="8" t="e">
        <f t="shared" si="48"/>
        <v>#VALUE!</v>
      </c>
    </row>
    <row r="4748" spans="11:11" x14ac:dyDescent="0.25">
      <c r="K4748" s="8" t="e">
        <f t="shared" si="48"/>
        <v>#VALUE!</v>
      </c>
    </row>
    <row r="4749" spans="11:11" x14ac:dyDescent="0.25">
      <c r="K4749" s="8" t="e">
        <f t="shared" si="48"/>
        <v>#VALUE!</v>
      </c>
    </row>
    <row r="4750" spans="11:11" x14ac:dyDescent="0.25">
      <c r="K4750" s="8" t="e">
        <f t="shared" si="48"/>
        <v>#VALUE!</v>
      </c>
    </row>
    <row r="4751" spans="11:11" x14ac:dyDescent="0.25">
      <c r="K4751" s="8" t="e">
        <f t="shared" si="48"/>
        <v>#VALUE!</v>
      </c>
    </row>
    <row r="4752" spans="11:11" x14ac:dyDescent="0.25">
      <c r="K4752" s="8" t="e">
        <f t="shared" si="48"/>
        <v>#VALUE!</v>
      </c>
    </row>
    <row r="4753" spans="11:11" x14ac:dyDescent="0.25">
      <c r="K4753" s="8" t="e">
        <f t="shared" si="48"/>
        <v>#VALUE!</v>
      </c>
    </row>
    <row r="4754" spans="11:11" x14ac:dyDescent="0.25">
      <c r="K4754" s="8" t="e">
        <f t="shared" si="48"/>
        <v>#VALUE!</v>
      </c>
    </row>
    <row r="4755" spans="11:11" x14ac:dyDescent="0.25">
      <c r="K4755" s="8" t="e">
        <f t="shared" si="48"/>
        <v>#VALUE!</v>
      </c>
    </row>
    <row r="4756" spans="11:11" x14ac:dyDescent="0.25">
      <c r="K4756" s="8" t="e">
        <f t="shared" si="48"/>
        <v>#VALUE!</v>
      </c>
    </row>
    <row r="4757" spans="11:11" x14ac:dyDescent="0.25">
      <c r="K4757" s="8" t="e">
        <f t="shared" si="48"/>
        <v>#VALUE!</v>
      </c>
    </row>
    <row r="4758" spans="11:11" x14ac:dyDescent="0.25">
      <c r="K4758" s="8" t="e">
        <f t="shared" si="48"/>
        <v>#VALUE!</v>
      </c>
    </row>
    <row r="4759" spans="11:11" x14ac:dyDescent="0.25">
      <c r="K4759" s="8" t="e">
        <f t="shared" si="48"/>
        <v>#VALUE!</v>
      </c>
    </row>
    <row r="4760" spans="11:11" x14ac:dyDescent="0.25">
      <c r="K4760" s="8" t="e">
        <f t="shared" si="48"/>
        <v>#VALUE!</v>
      </c>
    </row>
    <row r="4761" spans="11:11" x14ac:dyDescent="0.25">
      <c r="K4761" s="8" t="e">
        <f t="shared" si="48"/>
        <v>#VALUE!</v>
      </c>
    </row>
    <row r="4762" spans="11:11" x14ac:dyDescent="0.25">
      <c r="K4762" s="8" t="e">
        <f t="shared" si="48"/>
        <v>#VALUE!</v>
      </c>
    </row>
    <row r="4763" spans="11:11" x14ac:dyDescent="0.25">
      <c r="K4763" s="8" t="e">
        <f t="shared" si="48"/>
        <v>#VALUE!</v>
      </c>
    </row>
    <row r="4764" spans="11:11" x14ac:dyDescent="0.25">
      <c r="K4764" s="8" t="e">
        <f t="shared" si="48"/>
        <v>#VALUE!</v>
      </c>
    </row>
    <row r="4765" spans="11:11" x14ac:dyDescent="0.25">
      <c r="K4765" s="8" t="e">
        <f t="shared" si="48"/>
        <v>#VALUE!</v>
      </c>
    </row>
    <row r="4766" spans="11:11" x14ac:dyDescent="0.25">
      <c r="K4766" s="8" t="e">
        <f t="shared" si="48"/>
        <v>#VALUE!</v>
      </c>
    </row>
    <row r="4767" spans="11:11" x14ac:dyDescent="0.25">
      <c r="K4767" s="8" t="e">
        <f t="shared" si="48"/>
        <v>#VALUE!</v>
      </c>
    </row>
    <row r="4768" spans="11:11" x14ac:dyDescent="0.25">
      <c r="K4768" s="8" t="e">
        <f t="shared" si="48"/>
        <v>#VALUE!</v>
      </c>
    </row>
    <row r="4769" spans="11:11" x14ac:dyDescent="0.25">
      <c r="K4769" s="8" t="e">
        <f t="shared" si="48"/>
        <v>#VALUE!</v>
      </c>
    </row>
    <row r="4770" spans="11:11" x14ac:dyDescent="0.25">
      <c r="K4770" s="8" t="e">
        <f t="shared" si="48"/>
        <v>#VALUE!</v>
      </c>
    </row>
    <row r="4771" spans="11:11" x14ac:dyDescent="0.25">
      <c r="K4771" s="8" t="e">
        <f t="shared" si="48"/>
        <v>#VALUE!</v>
      </c>
    </row>
    <row r="4772" spans="11:11" x14ac:dyDescent="0.25">
      <c r="K4772" s="8" t="e">
        <f t="shared" si="48"/>
        <v>#VALUE!</v>
      </c>
    </row>
    <row r="4773" spans="11:11" x14ac:dyDescent="0.25">
      <c r="K4773" s="8" t="e">
        <f t="shared" si="48"/>
        <v>#VALUE!</v>
      </c>
    </row>
    <row r="4774" spans="11:11" x14ac:dyDescent="0.25">
      <c r="K4774" s="8" t="e">
        <f t="shared" si="48"/>
        <v>#VALUE!</v>
      </c>
    </row>
    <row r="4775" spans="11:11" x14ac:dyDescent="0.25">
      <c r="K4775" s="8" t="e">
        <f t="shared" si="48"/>
        <v>#VALUE!</v>
      </c>
    </row>
    <row r="4776" spans="11:11" x14ac:dyDescent="0.25">
      <c r="K4776" s="8" t="e">
        <f t="shared" si="48"/>
        <v>#VALUE!</v>
      </c>
    </row>
    <row r="4777" spans="11:11" x14ac:dyDescent="0.25">
      <c r="K4777" s="8" t="e">
        <f t="shared" si="48"/>
        <v>#VALUE!</v>
      </c>
    </row>
    <row r="4778" spans="11:11" x14ac:dyDescent="0.25">
      <c r="K4778" s="8" t="e">
        <f t="shared" si="48"/>
        <v>#VALUE!</v>
      </c>
    </row>
    <row r="4779" spans="11:11" x14ac:dyDescent="0.25">
      <c r="K4779" s="8" t="e">
        <f t="shared" si="48"/>
        <v>#VALUE!</v>
      </c>
    </row>
    <row r="4780" spans="11:11" x14ac:dyDescent="0.25">
      <c r="K4780" s="8" t="e">
        <f t="shared" si="48"/>
        <v>#VALUE!</v>
      </c>
    </row>
    <row r="4781" spans="11:11" x14ac:dyDescent="0.25">
      <c r="K4781" s="8" t="e">
        <f t="shared" si="48"/>
        <v>#VALUE!</v>
      </c>
    </row>
    <row r="4782" spans="11:11" x14ac:dyDescent="0.25">
      <c r="K4782" s="8" t="e">
        <f t="shared" si="48"/>
        <v>#VALUE!</v>
      </c>
    </row>
    <row r="4783" spans="11:11" x14ac:dyDescent="0.25">
      <c r="K4783" s="8" t="e">
        <f t="shared" si="48"/>
        <v>#VALUE!</v>
      </c>
    </row>
    <row r="4784" spans="11:11" x14ac:dyDescent="0.25">
      <c r="K4784" s="8" t="e">
        <f t="shared" si="48"/>
        <v>#VALUE!</v>
      </c>
    </row>
    <row r="4785" spans="11:11" x14ac:dyDescent="0.25">
      <c r="K4785" s="8" t="e">
        <f t="shared" si="48"/>
        <v>#VALUE!</v>
      </c>
    </row>
    <row r="4786" spans="11:11" x14ac:dyDescent="0.25">
      <c r="K4786" s="8" t="e">
        <f t="shared" si="48"/>
        <v>#VALUE!</v>
      </c>
    </row>
    <row r="4787" spans="11:11" x14ac:dyDescent="0.25">
      <c r="K4787" s="8" t="e">
        <f t="shared" si="48"/>
        <v>#VALUE!</v>
      </c>
    </row>
    <row r="4788" spans="11:11" x14ac:dyDescent="0.25">
      <c r="K4788" s="8" t="e">
        <f t="shared" si="48"/>
        <v>#VALUE!</v>
      </c>
    </row>
    <row r="4789" spans="11:11" x14ac:dyDescent="0.25">
      <c r="K4789" s="8" t="e">
        <f t="shared" si="48"/>
        <v>#VALUE!</v>
      </c>
    </row>
    <row r="4790" spans="11:11" x14ac:dyDescent="0.25">
      <c r="K4790" s="8" t="e">
        <f t="shared" si="48"/>
        <v>#VALUE!</v>
      </c>
    </row>
    <row r="4791" spans="11:11" x14ac:dyDescent="0.25">
      <c r="K4791" s="8" t="e">
        <f t="shared" si="48"/>
        <v>#VALUE!</v>
      </c>
    </row>
    <row r="4792" spans="11:11" x14ac:dyDescent="0.25">
      <c r="K4792" s="8" t="e">
        <f t="shared" si="48"/>
        <v>#VALUE!</v>
      </c>
    </row>
    <row r="4793" spans="11:11" x14ac:dyDescent="0.25">
      <c r="K4793" s="8" t="e">
        <f t="shared" si="48"/>
        <v>#VALUE!</v>
      </c>
    </row>
    <row r="4794" spans="11:11" x14ac:dyDescent="0.25">
      <c r="K4794" s="8" t="e">
        <f t="shared" si="48"/>
        <v>#VALUE!</v>
      </c>
    </row>
    <row r="4795" spans="11:11" x14ac:dyDescent="0.25">
      <c r="K4795" s="8" t="e">
        <f t="shared" si="48"/>
        <v>#VALUE!</v>
      </c>
    </row>
    <row r="4796" spans="11:11" x14ac:dyDescent="0.25">
      <c r="K4796" s="8" t="e">
        <f t="shared" si="48"/>
        <v>#VALUE!</v>
      </c>
    </row>
    <row r="4797" spans="11:11" x14ac:dyDescent="0.25">
      <c r="K4797" s="8" t="e">
        <f t="shared" si="48"/>
        <v>#VALUE!</v>
      </c>
    </row>
    <row r="4798" spans="11:11" x14ac:dyDescent="0.25">
      <c r="K4798" s="8" t="e">
        <f t="shared" si="48"/>
        <v>#VALUE!</v>
      </c>
    </row>
    <row r="4799" spans="11:11" x14ac:dyDescent="0.25">
      <c r="K4799" s="8" t="e">
        <f t="shared" si="48"/>
        <v>#VALUE!</v>
      </c>
    </row>
    <row r="4800" spans="11:11" x14ac:dyDescent="0.25">
      <c r="K4800" s="8" t="e">
        <f t="shared" si="48"/>
        <v>#VALUE!</v>
      </c>
    </row>
    <row r="4801" spans="11:11" x14ac:dyDescent="0.25">
      <c r="K4801" s="8" t="e">
        <f t="shared" si="48"/>
        <v>#VALUE!</v>
      </c>
    </row>
    <row r="4802" spans="11:11" x14ac:dyDescent="0.25">
      <c r="K4802" s="8" t="e">
        <f t="shared" si="48"/>
        <v>#VALUE!</v>
      </c>
    </row>
    <row r="4803" spans="11:11" x14ac:dyDescent="0.25">
      <c r="K4803" s="8" t="e">
        <f t="shared" ref="K4803:K4866" si="49">LEFT(A4803,FIND("/",A4803)-1)</f>
        <v>#VALUE!</v>
      </c>
    </row>
    <row r="4804" spans="11:11" x14ac:dyDescent="0.25">
      <c r="K4804" s="8" t="e">
        <f t="shared" si="49"/>
        <v>#VALUE!</v>
      </c>
    </row>
    <row r="4805" spans="11:11" x14ac:dyDescent="0.25">
      <c r="K4805" s="8" t="e">
        <f t="shared" si="49"/>
        <v>#VALUE!</v>
      </c>
    </row>
    <row r="4806" spans="11:11" x14ac:dyDescent="0.25">
      <c r="K4806" s="8" t="e">
        <f t="shared" si="49"/>
        <v>#VALUE!</v>
      </c>
    </row>
    <row r="4807" spans="11:11" x14ac:dyDescent="0.25">
      <c r="K4807" s="8" t="e">
        <f t="shared" si="49"/>
        <v>#VALUE!</v>
      </c>
    </row>
    <row r="4808" spans="11:11" x14ac:dyDescent="0.25">
      <c r="K4808" s="8" t="e">
        <f t="shared" si="49"/>
        <v>#VALUE!</v>
      </c>
    </row>
    <row r="4809" spans="11:11" x14ac:dyDescent="0.25">
      <c r="K4809" s="8" t="e">
        <f t="shared" si="49"/>
        <v>#VALUE!</v>
      </c>
    </row>
    <row r="4810" spans="11:11" x14ac:dyDescent="0.25">
      <c r="K4810" s="8" t="e">
        <f t="shared" si="49"/>
        <v>#VALUE!</v>
      </c>
    </row>
    <row r="4811" spans="11:11" x14ac:dyDescent="0.25">
      <c r="K4811" s="8" t="e">
        <f t="shared" si="49"/>
        <v>#VALUE!</v>
      </c>
    </row>
    <row r="4812" spans="11:11" x14ac:dyDescent="0.25">
      <c r="K4812" s="8" t="e">
        <f t="shared" si="49"/>
        <v>#VALUE!</v>
      </c>
    </row>
    <row r="4813" spans="11:11" x14ac:dyDescent="0.25">
      <c r="K4813" s="8" t="e">
        <f t="shared" si="49"/>
        <v>#VALUE!</v>
      </c>
    </row>
    <row r="4814" spans="11:11" x14ac:dyDescent="0.25">
      <c r="K4814" s="8" t="e">
        <f t="shared" si="49"/>
        <v>#VALUE!</v>
      </c>
    </row>
    <row r="4815" spans="11:11" x14ac:dyDescent="0.25">
      <c r="K4815" s="8" t="e">
        <f t="shared" si="49"/>
        <v>#VALUE!</v>
      </c>
    </row>
    <row r="4816" spans="11:11" x14ac:dyDescent="0.25">
      <c r="K4816" s="8" t="e">
        <f t="shared" si="49"/>
        <v>#VALUE!</v>
      </c>
    </row>
    <row r="4817" spans="11:11" x14ac:dyDescent="0.25">
      <c r="K4817" s="8" t="e">
        <f t="shared" si="49"/>
        <v>#VALUE!</v>
      </c>
    </row>
    <row r="4818" spans="11:11" x14ac:dyDescent="0.25">
      <c r="K4818" s="8" t="e">
        <f t="shared" si="49"/>
        <v>#VALUE!</v>
      </c>
    </row>
    <row r="4819" spans="11:11" x14ac:dyDescent="0.25">
      <c r="K4819" s="8" t="e">
        <f t="shared" si="49"/>
        <v>#VALUE!</v>
      </c>
    </row>
    <row r="4820" spans="11:11" x14ac:dyDescent="0.25">
      <c r="K4820" s="8" t="e">
        <f t="shared" si="49"/>
        <v>#VALUE!</v>
      </c>
    </row>
    <row r="4821" spans="11:11" x14ac:dyDescent="0.25">
      <c r="K4821" s="8" t="e">
        <f t="shared" si="49"/>
        <v>#VALUE!</v>
      </c>
    </row>
    <row r="4822" spans="11:11" x14ac:dyDescent="0.25">
      <c r="K4822" s="8" t="e">
        <f t="shared" si="49"/>
        <v>#VALUE!</v>
      </c>
    </row>
    <row r="4823" spans="11:11" x14ac:dyDescent="0.25">
      <c r="K4823" s="8" t="e">
        <f t="shared" si="49"/>
        <v>#VALUE!</v>
      </c>
    </row>
    <row r="4824" spans="11:11" x14ac:dyDescent="0.25">
      <c r="K4824" s="8" t="e">
        <f t="shared" si="49"/>
        <v>#VALUE!</v>
      </c>
    </row>
    <row r="4825" spans="11:11" x14ac:dyDescent="0.25">
      <c r="K4825" s="8" t="e">
        <f t="shared" si="49"/>
        <v>#VALUE!</v>
      </c>
    </row>
    <row r="4826" spans="11:11" x14ac:dyDescent="0.25">
      <c r="K4826" s="8" t="e">
        <f t="shared" si="49"/>
        <v>#VALUE!</v>
      </c>
    </row>
    <row r="4827" spans="11:11" x14ac:dyDescent="0.25">
      <c r="K4827" s="8" t="e">
        <f t="shared" si="49"/>
        <v>#VALUE!</v>
      </c>
    </row>
    <row r="4828" spans="11:11" x14ac:dyDescent="0.25">
      <c r="K4828" s="8" t="e">
        <f t="shared" si="49"/>
        <v>#VALUE!</v>
      </c>
    </row>
    <row r="4829" spans="11:11" x14ac:dyDescent="0.25">
      <c r="K4829" s="8" t="e">
        <f t="shared" si="49"/>
        <v>#VALUE!</v>
      </c>
    </row>
    <row r="4830" spans="11:11" x14ac:dyDescent="0.25">
      <c r="K4830" s="8" t="e">
        <f t="shared" si="49"/>
        <v>#VALUE!</v>
      </c>
    </row>
    <row r="4831" spans="11:11" x14ac:dyDescent="0.25">
      <c r="K4831" s="8" t="e">
        <f t="shared" si="49"/>
        <v>#VALUE!</v>
      </c>
    </row>
    <row r="4832" spans="11:11" x14ac:dyDescent="0.25">
      <c r="K4832" s="8" t="e">
        <f t="shared" si="49"/>
        <v>#VALUE!</v>
      </c>
    </row>
    <row r="4833" spans="11:11" x14ac:dyDescent="0.25">
      <c r="K4833" s="8" t="e">
        <f t="shared" si="49"/>
        <v>#VALUE!</v>
      </c>
    </row>
    <row r="4834" spans="11:11" x14ac:dyDescent="0.25">
      <c r="K4834" s="8" t="e">
        <f t="shared" si="49"/>
        <v>#VALUE!</v>
      </c>
    </row>
    <row r="4835" spans="11:11" x14ac:dyDescent="0.25">
      <c r="K4835" s="8" t="e">
        <f t="shared" si="49"/>
        <v>#VALUE!</v>
      </c>
    </row>
    <row r="4836" spans="11:11" x14ac:dyDescent="0.25">
      <c r="K4836" s="8" t="e">
        <f t="shared" si="49"/>
        <v>#VALUE!</v>
      </c>
    </row>
    <row r="4837" spans="11:11" x14ac:dyDescent="0.25">
      <c r="K4837" s="8" t="e">
        <f t="shared" si="49"/>
        <v>#VALUE!</v>
      </c>
    </row>
    <row r="4838" spans="11:11" x14ac:dyDescent="0.25">
      <c r="K4838" s="8" t="e">
        <f t="shared" si="49"/>
        <v>#VALUE!</v>
      </c>
    </row>
    <row r="4839" spans="11:11" x14ac:dyDescent="0.25">
      <c r="K4839" s="8" t="e">
        <f t="shared" si="49"/>
        <v>#VALUE!</v>
      </c>
    </row>
    <row r="4840" spans="11:11" x14ac:dyDescent="0.25">
      <c r="K4840" s="8" t="e">
        <f t="shared" si="49"/>
        <v>#VALUE!</v>
      </c>
    </row>
    <row r="4841" spans="11:11" x14ac:dyDescent="0.25">
      <c r="K4841" s="8" t="e">
        <f t="shared" si="49"/>
        <v>#VALUE!</v>
      </c>
    </row>
    <row r="4842" spans="11:11" x14ac:dyDescent="0.25">
      <c r="K4842" s="8" t="e">
        <f t="shared" si="49"/>
        <v>#VALUE!</v>
      </c>
    </row>
    <row r="4843" spans="11:11" x14ac:dyDescent="0.25">
      <c r="K4843" s="8" t="e">
        <f t="shared" si="49"/>
        <v>#VALUE!</v>
      </c>
    </row>
    <row r="4844" spans="11:11" x14ac:dyDescent="0.25">
      <c r="K4844" s="8" t="e">
        <f t="shared" si="49"/>
        <v>#VALUE!</v>
      </c>
    </row>
    <row r="4845" spans="11:11" x14ac:dyDescent="0.25">
      <c r="K4845" s="8" t="e">
        <f t="shared" si="49"/>
        <v>#VALUE!</v>
      </c>
    </row>
    <row r="4846" spans="11:11" x14ac:dyDescent="0.25">
      <c r="K4846" s="8" t="e">
        <f t="shared" si="49"/>
        <v>#VALUE!</v>
      </c>
    </row>
    <row r="4847" spans="11:11" x14ac:dyDescent="0.25">
      <c r="K4847" s="8" t="e">
        <f t="shared" si="49"/>
        <v>#VALUE!</v>
      </c>
    </row>
    <row r="4848" spans="11:11" x14ac:dyDescent="0.25">
      <c r="K4848" s="8" t="e">
        <f t="shared" si="49"/>
        <v>#VALUE!</v>
      </c>
    </row>
    <row r="4849" spans="11:11" x14ac:dyDescent="0.25">
      <c r="K4849" s="8" t="e">
        <f t="shared" si="49"/>
        <v>#VALUE!</v>
      </c>
    </row>
    <row r="4850" spans="11:11" x14ac:dyDescent="0.25">
      <c r="K4850" s="8" t="e">
        <f t="shared" si="49"/>
        <v>#VALUE!</v>
      </c>
    </row>
    <row r="4851" spans="11:11" x14ac:dyDescent="0.25">
      <c r="K4851" s="8" t="e">
        <f t="shared" si="49"/>
        <v>#VALUE!</v>
      </c>
    </row>
    <row r="4852" spans="11:11" x14ac:dyDescent="0.25">
      <c r="K4852" s="8" t="e">
        <f t="shared" si="49"/>
        <v>#VALUE!</v>
      </c>
    </row>
    <row r="4853" spans="11:11" x14ac:dyDescent="0.25">
      <c r="K4853" s="8" t="e">
        <f t="shared" si="49"/>
        <v>#VALUE!</v>
      </c>
    </row>
    <row r="4854" spans="11:11" x14ac:dyDescent="0.25">
      <c r="K4854" s="8" t="e">
        <f t="shared" si="49"/>
        <v>#VALUE!</v>
      </c>
    </row>
    <row r="4855" spans="11:11" x14ac:dyDescent="0.25">
      <c r="K4855" s="8" t="e">
        <f t="shared" si="49"/>
        <v>#VALUE!</v>
      </c>
    </row>
    <row r="4856" spans="11:11" x14ac:dyDescent="0.25">
      <c r="K4856" s="8" t="e">
        <f t="shared" si="49"/>
        <v>#VALUE!</v>
      </c>
    </row>
    <row r="4857" spans="11:11" x14ac:dyDescent="0.25">
      <c r="K4857" s="8" t="e">
        <f t="shared" si="49"/>
        <v>#VALUE!</v>
      </c>
    </row>
    <row r="4858" spans="11:11" x14ac:dyDescent="0.25">
      <c r="K4858" s="8" t="e">
        <f t="shared" si="49"/>
        <v>#VALUE!</v>
      </c>
    </row>
    <row r="4859" spans="11:11" x14ac:dyDescent="0.25">
      <c r="K4859" s="8" t="e">
        <f t="shared" si="49"/>
        <v>#VALUE!</v>
      </c>
    </row>
    <row r="4860" spans="11:11" x14ac:dyDescent="0.25">
      <c r="K4860" s="8" t="e">
        <f t="shared" si="49"/>
        <v>#VALUE!</v>
      </c>
    </row>
    <row r="4861" spans="11:11" x14ac:dyDescent="0.25">
      <c r="K4861" s="8" t="e">
        <f t="shared" si="49"/>
        <v>#VALUE!</v>
      </c>
    </row>
    <row r="4862" spans="11:11" x14ac:dyDescent="0.25">
      <c r="K4862" s="8" t="e">
        <f t="shared" si="49"/>
        <v>#VALUE!</v>
      </c>
    </row>
    <row r="4863" spans="11:11" x14ac:dyDescent="0.25">
      <c r="K4863" s="8" t="e">
        <f t="shared" si="49"/>
        <v>#VALUE!</v>
      </c>
    </row>
    <row r="4864" spans="11:11" x14ac:dyDescent="0.25">
      <c r="K4864" s="8" t="e">
        <f t="shared" si="49"/>
        <v>#VALUE!</v>
      </c>
    </row>
    <row r="4865" spans="11:11" x14ac:dyDescent="0.25">
      <c r="K4865" s="8" t="e">
        <f t="shared" si="49"/>
        <v>#VALUE!</v>
      </c>
    </row>
    <row r="4866" spans="11:11" x14ac:dyDescent="0.25">
      <c r="K4866" s="8" t="e">
        <f t="shared" si="49"/>
        <v>#VALUE!</v>
      </c>
    </row>
    <row r="4867" spans="11:11" x14ac:dyDescent="0.25">
      <c r="K4867" s="8" t="e">
        <f t="shared" ref="K4867:K4930" si="50">LEFT(A4867,FIND("/",A4867)-1)</f>
        <v>#VALUE!</v>
      </c>
    </row>
    <row r="4868" spans="11:11" x14ac:dyDescent="0.25">
      <c r="K4868" s="8" t="e">
        <f t="shared" si="50"/>
        <v>#VALUE!</v>
      </c>
    </row>
    <row r="4869" spans="11:11" x14ac:dyDescent="0.25">
      <c r="K4869" s="8" t="e">
        <f t="shared" si="50"/>
        <v>#VALUE!</v>
      </c>
    </row>
    <row r="4870" spans="11:11" x14ac:dyDescent="0.25">
      <c r="K4870" s="8" t="e">
        <f t="shared" si="50"/>
        <v>#VALUE!</v>
      </c>
    </row>
    <row r="4871" spans="11:11" x14ac:dyDescent="0.25">
      <c r="K4871" s="8" t="e">
        <f t="shared" si="50"/>
        <v>#VALUE!</v>
      </c>
    </row>
    <row r="4872" spans="11:11" x14ac:dyDescent="0.25">
      <c r="K4872" s="8" t="e">
        <f t="shared" si="50"/>
        <v>#VALUE!</v>
      </c>
    </row>
    <row r="4873" spans="11:11" x14ac:dyDescent="0.25">
      <c r="K4873" s="8" t="e">
        <f t="shared" si="50"/>
        <v>#VALUE!</v>
      </c>
    </row>
    <row r="4874" spans="11:11" x14ac:dyDescent="0.25">
      <c r="K4874" s="8" t="e">
        <f t="shared" si="50"/>
        <v>#VALUE!</v>
      </c>
    </row>
    <row r="4875" spans="11:11" x14ac:dyDescent="0.25">
      <c r="K4875" s="8" t="e">
        <f t="shared" si="50"/>
        <v>#VALUE!</v>
      </c>
    </row>
    <row r="4876" spans="11:11" x14ac:dyDescent="0.25">
      <c r="K4876" s="8" t="e">
        <f t="shared" si="50"/>
        <v>#VALUE!</v>
      </c>
    </row>
    <row r="4877" spans="11:11" x14ac:dyDescent="0.25">
      <c r="K4877" s="8" t="e">
        <f t="shared" si="50"/>
        <v>#VALUE!</v>
      </c>
    </row>
    <row r="4878" spans="11:11" x14ac:dyDescent="0.25">
      <c r="K4878" s="8" t="e">
        <f t="shared" si="50"/>
        <v>#VALUE!</v>
      </c>
    </row>
    <row r="4879" spans="11:11" x14ac:dyDescent="0.25">
      <c r="K4879" s="8" t="e">
        <f t="shared" si="50"/>
        <v>#VALUE!</v>
      </c>
    </row>
    <row r="4880" spans="11:11" x14ac:dyDescent="0.25">
      <c r="K4880" s="8" t="e">
        <f t="shared" si="50"/>
        <v>#VALUE!</v>
      </c>
    </row>
    <row r="4881" spans="11:11" x14ac:dyDescent="0.25">
      <c r="K4881" s="8" t="e">
        <f t="shared" si="50"/>
        <v>#VALUE!</v>
      </c>
    </row>
    <row r="4882" spans="11:11" x14ac:dyDescent="0.25">
      <c r="K4882" s="8" t="e">
        <f t="shared" si="50"/>
        <v>#VALUE!</v>
      </c>
    </row>
    <row r="4883" spans="11:11" x14ac:dyDescent="0.25">
      <c r="K4883" s="8" t="e">
        <f t="shared" si="50"/>
        <v>#VALUE!</v>
      </c>
    </row>
    <row r="4884" spans="11:11" x14ac:dyDescent="0.25">
      <c r="K4884" s="8" t="e">
        <f t="shared" si="50"/>
        <v>#VALUE!</v>
      </c>
    </row>
    <row r="4885" spans="11:11" x14ac:dyDescent="0.25">
      <c r="K4885" s="8" t="e">
        <f t="shared" si="50"/>
        <v>#VALUE!</v>
      </c>
    </row>
    <row r="4886" spans="11:11" x14ac:dyDescent="0.25">
      <c r="K4886" s="8" t="e">
        <f t="shared" si="50"/>
        <v>#VALUE!</v>
      </c>
    </row>
    <row r="4887" spans="11:11" x14ac:dyDescent="0.25">
      <c r="K4887" s="8" t="e">
        <f t="shared" si="50"/>
        <v>#VALUE!</v>
      </c>
    </row>
    <row r="4888" spans="11:11" x14ac:dyDescent="0.25">
      <c r="K4888" s="8" t="e">
        <f t="shared" si="50"/>
        <v>#VALUE!</v>
      </c>
    </row>
    <row r="4889" spans="11:11" x14ac:dyDescent="0.25">
      <c r="K4889" s="8" t="e">
        <f t="shared" si="50"/>
        <v>#VALUE!</v>
      </c>
    </row>
    <row r="4890" spans="11:11" x14ac:dyDescent="0.25">
      <c r="K4890" s="8" t="e">
        <f t="shared" si="50"/>
        <v>#VALUE!</v>
      </c>
    </row>
    <row r="4891" spans="11:11" x14ac:dyDescent="0.25">
      <c r="K4891" s="8" t="e">
        <f t="shared" si="50"/>
        <v>#VALUE!</v>
      </c>
    </row>
    <row r="4892" spans="11:11" x14ac:dyDescent="0.25">
      <c r="K4892" s="8" t="e">
        <f t="shared" si="50"/>
        <v>#VALUE!</v>
      </c>
    </row>
    <row r="4893" spans="11:11" x14ac:dyDescent="0.25">
      <c r="K4893" s="8" t="e">
        <f t="shared" si="50"/>
        <v>#VALUE!</v>
      </c>
    </row>
    <row r="4894" spans="11:11" x14ac:dyDescent="0.25">
      <c r="K4894" s="8" t="e">
        <f t="shared" si="50"/>
        <v>#VALUE!</v>
      </c>
    </row>
    <row r="4895" spans="11:11" x14ac:dyDescent="0.25">
      <c r="K4895" s="8" t="e">
        <f t="shared" si="50"/>
        <v>#VALUE!</v>
      </c>
    </row>
    <row r="4896" spans="11:11" x14ac:dyDescent="0.25">
      <c r="K4896" s="8" t="e">
        <f t="shared" si="50"/>
        <v>#VALUE!</v>
      </c>
    </row>
    <row r="4897" spans="11:11" x14ac:dyDescent="0.25">
      <c r="K4897" s="8" t="e">
        <f t="shared" si="50"/>
        <v>#VALUE!</v>
      </c>
    </row>
    <row r="4898" spans="11:11" x14ac:dyDescent="0.25">
      <c r="K4898" s="8" t="e">
        <f t="shared" si="50"/>
        <v>#VALUE!</v>
      </c>
    </row>
    <row r="4899" spans="11:11" x14ac:dyDescent="0.25">
      <c r="K4899" s="8" t="e">
        <f t="shared" si="50"/>
        <v>#VALUE!</v>
      </c>
    </row>
    <row r="4900" spans="11:11" x14ac:dyDescent="0.25">
      <c r="K4900" s="8" t="e">
        <f t="shared" si="50"/>
        <v>#VALUE!</v>
      </c>
    </row>
    <row r="4901" spans="11:11" x14ac:dyDescent="0.25">
      <c r="K4901" s="8" t="e">
        <f t="shared" si="50"/>
        <v>#VALUE!</v>
      </c>
    </row>
    <row r="4902" spans="11:11" x14ac:dyDescent="0.25">
      <c r="K4902" s="8" t="e">
        <f t="shared" si="50"/>
        <v>#VALUE!</v>
      </c>
    </row>
    <row r="4903" spans="11:11" x14ac:dyDescent="0.25">
      <c r="K4903" s="8" t="e">
        <f t="shared" si="50"/>
        <v>#VALUE!</v>
      </c>
    </row>
    <row r="4904" spans="11:11" x14ac:dyDescent="0.25">
      <c r="K4904" s="8" t="e">
        <f t="shared" si="50"/>
        <v>#VALUE!</v>
      </c>
    </row>
    <row r="4905" spans="11:11" x14ac:dyDescent="0.25">
      <c r="K4905" s="8" t="e">
        <f t="shared" si="50"/>
        <v>#VALUE!</v>
      </c>
    </row>
    <row r="4906" spans="11:11" x14ac:dyDescent="0.25">
      <c r="K4906" s="8" t="e">
        <f t="shared" si="50"/>
        <v>#VALUE!</v>
      </c>
    </row>
    <row r="4907" spans="11:11" x14ac:dyDescent="0.25">
      <c r="K4907" s="8" t="e">
        <f t="shared" si="50"/>
        <v>#VALUE!</v>
      </c>
    </row>
    <row r="4908" spans="11:11" x14ac:dyDescent="0.25">
      <c r="K4908" s="8" t="e">
        <f t="shared" si="50"/>
        <v>#VALUE!</v>
      </c>
    </row>
    <row r="4909" spans="11:11" x14ac:dyDescent="0.25">
      <c r="K4909" s="8" t="e">
        <f t="shared" si="50"/>
        <v>#VALUE!</v>
      </c>
    </row>
    <row r="4910" spans="11:11" x14ac:dyDescent="0.25">
      <c r="K4910" s="8" t="e">
        <f t="shared" si="50"/>
        <v>#VALUE!</v>
      </c>
    </row>
    <row r="4911" spans="11:11" x14ac:dyDescent="0.25">
      <c r="K4911" s="8" t="e">
        <f t="shared" si="50"/>
        <v>#VALUE!</v>
      </c>
    </row>
    <row r="4912" spans="11:11" x14ac:dyDescent="0.25">
      <c r="K4912" s="8" t="e">
        <f t="shared" si="50"/>
        <v>#VALUE!</v>
      </c>
    </row>
    <row r="4913" spans="11:11" x14ac:dyDescent="0.25">
      <c r="K4913" s="8" t="e">
        <f t="shared" si="50"/>
        <v>#VALUE!</v>
      </c>
    </row>
    <row r="4914" spans="11:11" x14ac:dyDescent="0.25">
      <c r="K4914" s="8" t="e">
        <f t="shared" si="50"/>
        <v>#VALUE!</v>
      </c>
    </row>
    <row r="4915" spans="11:11" x14ac:dyDescent="0.25">
      <c r="K4915" s="8" t="e">
        <f t="shared" si="50"/>
        <v>#VALUE!</v>
      </c>
    </row>
    <row r="4916" spans="11:11" x14ac:dyDescent="0.25">
      <c r="K4916" s="8" t="e">
        <f t="shared" si="50"/>
        <v>#VALUE!</v>
      </c>
    </row>
    <row r="4917" spans="11:11" x14ac:dyDescent="0.25">
      <c r="K4917" s="8" t="e">
        <f t="shared" si="50"/>
        <v>#VALUE!</v>
      </c>
    </row>
    <row r="4918" spans="11:11" x14ac:dyDescent="0.25">
      <c r="K4918" s="8" t="e">
        <f t="shared" si="50"/>
        <v>#VALUE!</v>
      </c>
    </row>
    <row r="4919" spans="11:11" x14ac:dyDescent="0.25">
      <c r="K4919" s="8" t="e">
        <f t="shared" si="50"/>
        <v>#VALUE!</v>
      </c>
    </row>
    <row r="4920" spans="11:11" x14ac:dyDescent="0.25">
      <c r="K4920" s="8" t="e">
        <f t="shared" si="50"/>
        <v>#VALUE!</v>
      </c>
    </row>
    <row r="4921" spans="11:11" x14ac:dyDescent="0.25">
      <c r="K4921" s="8" t="e">
        <f t="shared" si="50"/>
        <v>#VALUE!</v>
      </c>
    </row>
    <row r="4922" spans="11:11" x14ac:dyDescent="0.25">
      <c r="K4922" s="8" t="e">
        <f t="shared" si="50"/>
        <v>#VALUE!</v>
      </c>
    </row>
    <row r="4923" spans="11:11" x14ac:dyDescent="0.25">
      <c r="K4923" s="8" t="e">
        <f t="shared" si="50"/>
        <v>#VALUE!</v>
      </c>
    </row>
    <row r="4924" spans="11:11" x14ac:dyDescent="0.25">
      <c r="K4924" s="8" t="e">
        <f t="shared" si="50"/>
        <v>#VALUE!</v>
      </c>
    </row>
    <row r="4925" spans="11:11" x14ac:dyDescent="0.25">
      <c r="K4925" s="8" t="e">
        <f t="shared" si="50"/>
        <v>#VALUE!</v>
      </c>
    </row>
    <row r="4926" spans="11:11" x14ac:dyDescent="0.25">
      <c r="K4926" s="8" t="e">
        <f t="shared" si="50"/>
        <v>#VALUE!</v>
      </c>
    </row>
    <row r="4927" spans="11:11" x14ac:dyDescent="0.25">
      <c r="K4927" s="8" t="e">
        <f t="shared" si="50"/>
        <v>#VALUE!</v>
      </c>
    </row>
    <row r="4928" spans="11:11" x14ac:dyDescent="0.25">
      <c r="K4928" s="8" t="e">
        <f t="shared" si="50"/>
        <v>#VALUE!</v>
      </c>
    </row>
    <row r="4929" spans="11:11" x14ac:dyDescent="0.25">
      <c r="K4929" s="8" t="e">
        <f t="shared" si="50"/>
        <v>#VALUE!</v>
      </c>
    </row>
    <row r="4930" spans="11:11" x14ac:dyDescent="0.25">
      <c r="K4930" s="8" t="e">
        <f t="shared" si="50"/>
        <v>#VALUE!</v>
      </c>
    </row>
    <row r="4931" spans="11:11" x14ac:dyDescent="0.25">
      <c r="K4931" s="8" t="e">
        <f t="shared" ref="K4931:K4994" si="51">LEFT(A4931,FIND("/",A4931)-1)</f>
        <v>#VALUE!</v>
      </c>
    </row>
    <row r="4932" spans="11:11" x14ac:dyDescent="0.25">
      <c r="K4932" s="8" t="e">
        <f t="shared" si="51"/>
        <v>#VALUE!</v>
      </c>
    </row>
    <row r="4933" spans="11:11" x14ac:dyDescent="0.25">
      <c r="K4933" s="8" t="e">
        <f t="shared" si="51"/>
        <v>#VALUE!</v>
      </c>
    </row>
    <row r="4934" spans="11:11" x14ac:dyDescent="0.25">
      <c r="K4934" s="8" t="e">
        <f t="shared" si="51"/>
        <v>#VALUE!</v>
      </c>
    </row>
    <row r="4935" spans="11:11" x14ac:dyDescent="0.25">
      <c r="K4935" s="8" t="e">
        <f t="shared" si="51"/>
        <v>#VALUE!</v>
      </c>
    </row>
    <row r="4936" spans="11:11" x14ac:dyDescent="0.25">
      <c r="K4936" s="8" t="e">
        <f t="shared" si="51"/>
        <v>#VALUE!</v>
      </c>
    </row>
    <row r="4937" spans="11:11" x14ac:dyDescent="0.25">
      <c r="K4937" s="8" t="e">
        <f t="shared" si="51"/>
        <v>#VALUE!</v>
      </c>
    </row>
    <row r="4938" spans="11:11" x14ac:dyDescent="0.25">
      <c r="K4938" s="8" t="e">
        <f t="shared" si="51"/>
        <v>#VALUE!</v>
      </c>
    </row>
    <row r="4939" spans="11:11" x14ac:dyDescent="0.25">
      <c r="K4939" s="8" t="e">
        <f t="shared" si="51"/>
        <v>#VALUE!</v>
      </c>
    </row>
    <row r="4940" spans="11:11" x14ac:dyDescent="0.25">
      <c r="K4940" s="8" t="e">
        <f t="shared" si="51"/>
        <v>#VALUE!</v>
      </c>
    </row>
    <row r="4941" spans="11:11" x14ac:dyDescent="0.25">
      <c r="K4941" s="8" t="e">
        <f t="shared" si="51"/>
        <v>#VALUE!</v>
      </c>
    </row>
    <row r="4942" spans="11:11" x14ac:dyDescent="0.25">
      <c r="K4942" s="8" t="e">
        <f t="shared" si="51"/>
        <v>#VALUE!</v>
      </c>
    </row>
    <row r="4943" spans="11:11" x14ac:dyDescent="0.25">
      <c r="K4943" s="8" t="e">
        <f t="shared" si="51"/>
        <v>#VALUE!</v>
      </c>
    </row>
    <row r="4944" spans="11:11" x14ac:dyDescent="0.25">
      <c r="K4944" s="8" t="e">
        <f t="shared" si="51"/>
        <v>#VALUE!</v>
      </c>
    </row>
    <row r="4945" spans="11:11" x14ac:dyDescent="0.25">
      <c r="K4945" s="8" t="e">
        <f t="shared" si="51"/>
        <v>#VALUE!</v>
      </c>
    </row>
    <row r="4946" spans="11:11" x14ac:dyDescent="0.25">
      <c r="K4946" s="8" t="e">
        <f t="shared" si="51"/>
        <v>#VALUE!</v>
      </c>
    </row>
    <row r="4947" spans="11:11" x14ac:dyDescent="0.25">
      <c r="K4947" s="8" t="e">
        <f t="shared" si="51"/>
        <v>#VALUE!</v>
      </c>
    </row>
    <row r="4948" spans="11:11" x14ac:dyDescent="0.25">
      <c r="K4948" s="8" t="e">
        <f t="shared" si="51"/>
        <v>#VALUE!</v>
      </c>
    </row>
    <row r="4949" spans="11:11" x14ac:dyDescent="0.25">
      <c r="K4949" s="8" t="e">
        <f t="shared" si="51"/>
        <v>#VALUE!</v>
      </c>
    </row>
    <row r="4950" spans="11:11" x14ac:dyDescent="0.25">
      <c r="K4950" s="8" t="e">
        <f t="shared" si="51"/>
        <v>#VALUE!</v>
      </c>
    </row>
    <row r="4951" spans="11:11" x14ac:dyDescent="0.25">
      <c r="K4951" s="8" t="e">
        <f t="shared" si="51"/>
        <v>#VALUE!</v>
      </c>
    </row>
    <row r="4952" spans="11:11" x14ac:dyDescent="0.25">
      <c r="K4952" s="8" t="e">
        <f t="shared" si="51"/>
        <v>#VALUE!</v>
      </c>
    </row>
    <row r="4953" spans="11:11" x14ac:dyDescent="0.25">
      <c r="K4953" s="8" t="e">
        <f t="shared" si="51"/>
        <v>#VALUE!</v>
      </c>
    </row>
    <row r="4954" spans="11:11" x14ac:dyDescent="0.25">
      <c r="K4954" s="8" t="e">
        <f t="shared" si="51"/>
        <v>#VALUE!</v>
      </c>
    </row>
    <row r="4955" spans="11:11" x14ac:dyDescent="0.25">
      <c r="K4955" s="8" t="e">
        <f t="shared" si="51"/>
        <v>#VALUE!</v>
      </c>
    </row>
    <row r="4956" spans="11:11" x14ac:dyDescent="0.25">
      <c r="K4956" s="8" t="e">
        <f t="shared" si="51"/>
        <v>#VALUE!</v>
      </c>
    </row>
    <row r="4957" spans="11:11" x14ac:dyDescent="0.25">
      <c r="K4957" s="8" t="e">
        <f t="shared" si="51"/>
        <v>#VALUE!</v>
      </c>
    </row>
    <row r="4958" spans="11:11" x14ac:dyDescent="0.25">
      <c r="K4958" s="8" t="e">
        <f t="shared" si="51"/>
        <v>#VALUE!</v>
      </c>
    </row>
    <row r="4959" spans="11:11" x14ac:dyDescent="0.25">
      <c r="K4959" s="8" t="e">
        <f t="shared" si="51"/>
        <v>#VALUE!</v>
      </c>
    </row>
    <row r="4960" spans="11:11" x14ac:dyDescent="0.25">
      <c r="K4960" s="8" t="e">
        <f t="shared" si="51"/>
        <v>#VALUE!</v>
      </c>
    </row>
    <row r="4961" spans="11:11" x14ac:dyDescent="0.25">
      <c r="K4961" s="8" t="e">
        <f t="shared" si="51"/>
        <v>#VALUE!</v>
      </c>
    </row>
    <row r="4962" spans="11:11" x14ac:dyDescent="0.25">
      <c r="K4962" s="8" t="e">
        <f t="shared" si="51"/>
        <v>#VALUE!</v>
      </c>
    </row>
    <row r="4963" spans="11:11" x14ac:dyDescent="0.25">
      <c r="K4963" s="8" t="e">
        <f t="shared" si="51"/>
        <v>#VALUE!</v>
      </c>
    </row>
    <row r="4964" spans="11:11" x14ac:dyDescent="0.25">
      <c r="K4964" s="8" t="e">
        <f t="shared" si="51"/>
        <v>#VALUE!</v>
      </c>
    </row>
    <row r="4965" spans="11:11" x14ac:dyDescent="0.25">
      <c r="K4965" s="8" t="e">
        <f t="shared" si="51"/>
        <v>#VALUE!</v>
      </c>
    </row>
    <row r="4966" spans="11:11" x14ac:dyDescent="0.25">
      <c r="K4966" s="8" t="e">
        <f t="shared" si="51"/>
        <v>#VALUE!</v>
      </c>
    </row>
    <row r="4967" spans="11:11" x14ac:dyDescent="0.25">
      <c r="K4967" s="8" t="e">
        <f t="shared" si="51"/>
        <v>#VALUE!</v>
      </c>
    </row>
    <row r="4968" spans="11:11" x14ac:dyDescent="0.25">
      <c r="K4968" s="8" t="e">
        <f t="shared" si="51"/>
        <v>#VALUE!</v>
      </c>
    </row>
    <row r="4969" spans="11:11" x14ac:dyDescent="0.25">
      <c r="K4969" s="8" t="e">
        <f t="shared" si="51"/>
        <v>#VALUE!</v>
      </c>
    </row>
    <row r="4970" spans="11:11" x14ac:dyDescent="0.25">
      <c r="K4970" s="8" t="e">
        <f t="shared" si="51"/>
        <v>#VALUE!</v>
      </c>
    </row>
    <row r="4971" spans="11:11" x14ac:dyDescent="0.25">
      <c r="K4971" s="8" t="e">
        <f t="shared" si="51"/>
        <v>#VALUE!</v>
      </c>
    </row>
    <row r="4972" spans="11:11" x14ac:dyDescent="0.25">
      <c r="K4972" s="8" t="e">
        <f t="shared" si="51"/>
        <v>#VALUE!</v>
      </c>
    </row>
    <row r="4973" spans="11:11" x14ac:dyDescent="0.25">
      <c r="K4973" s="8" t="e">
        <f t="shared" si="51"/>
        <v>#VALUE!</v>
      </c>
    </row>
    <row r="4974" spans="11:11" x14ac:dyDescent="0.25">
      <c r="K4974" s="8" t="e">
        <f t="shared" si="51"/>
        <v>#VALUE!</v>
      </c>
    </row>
    <row r="4975" spans="11:11" x14ac:dyDescent="0.25">
      <c r="K4975" s="8" t="e">
        <f t="shared" si="51"/>
        <v>#VALUE!</v>
      </c>
    </row>
    <row r="4976" spans="11:11" x14ac:dyDescent="0.25">
      <c r="K4976" s="8" t="e">
        <f t="shared" si="51"/>
        <v>#VALUE!</v>
      </c>
    </row>
    <row r="4977" spans="11:11" x14ac:dyDescent="0.25">
      <c r="K4977" s="8" t="e">
        <f t="shared" si="51"/>
        <v>#VALUE!</v>
      </c>
    </row>
    <row r="4978" spans="11:11" x14ac:dyDescent="0.25">
      <c r="K4978" s="8" t="e">
        <f t="shared" si="51"/>
        <v>#VALUE!</v>
      </c>
    </row>
    <row r="4979" spans="11:11" x14ac:dyDescent="0.25">
      <c r="K4979" s="8" t="e">
        <f t="shared" si="51"/>
        <v>#VALUE!</v>
      </c>
    </row>
    <row r="4980" spans="11:11" x14ac:dyDescent="0.25">
      <c r="K4980" s="8" t="e">
        <f t="shared" si="51"/>
        <v>#VALUE!</v>
      </c>
    </row>
    <row r="4981" spans="11:11" x14ac:dyDescent="0.25">
      <c r="K4981" s="8" t="e">
        <f t="shared" si="51"/>
        <v>#VALUE!</v>
      </c>
    </row>
    <row r="4982" spans="11:11" x14ac:dyDescent="0.25">
      <c r="K4982" s="8" t="e">
        <f t="shared" si="51"/>
        <v>#VALUE!</v>
      </c>
    </row>
    <row r="4983" spans="11:11" x14ac:dyDescent="0.25">
      <c r="K4983" s="8" t="e">
        <f t="shared" si="51"/>
        <v>#VALUE!</v>
      </c>
    </row>
    <row r="4984" spans="11:11" x14ac:dyDescent="0.25">
      <c r="K4984" s="8" t="e">
        <f t="shared" si="51"/>
        <v>#VALUE!</v>
      </c>
    </row>
    <row r="4985" spans="11:11" x14ac:dyDescent="0.25">
      <c r="K4985" s="8" t="e">
        <f t="shared" si="51"/>
        <v>#VALUE!</v>
      </c>
    </row>
    <row r="4986" spans="11:11" x14ac:dyDescent="0.25">
      <c r="K4986" s="8" t="e">
        <f t="shared" si="51"/>
        <v>#VALUE!</v>
      </c>
    </row>
    <row r="4987" spans="11:11" x14ac:dyDescent="0.25">
      <c r="K4987" s="8" t="e">
        <f t="shared" si="51"/>
        <v>#VALUE!</v>
      </c>
    </row>
    <row r="4988" spans="11:11" x14ac:dyDescent="0.25">
      <c r="K4988" s="8" t="e">
        <f t="shared" si="51"/>
        <v>#VALUE!</v>
      </c>
    </row>
    <row r="4989" spans="11:11" x14ac:dyDescent="0.25">
      <c r="K4989" s="8" t="e">
        <f t="shared" si="51"/>
        <v>#VALUE!</v>
      </c>
    </row>
    <row r="4990" spans="11:11" x14ac:dyDescent="0.25">
      <c r="K4990" s="8" t="e">
        <f t="shared" si="51"/>
        <v>#VALUE!</v>
      </c>
    </row>
    <row r="4991" spans="11:11" x14ac:dyDescent="0.25">
      <c r="K4991" s="8" t="e">
        <f t="shared" si="51"/>
        <v>#VALUE!</v>
      </c>
    </row>
    <row r="4992" spans="11:11" x14ac:dyDescent="0.25">
      <c r="K4992" s="8" t="e">
        <f t="shared" si="51"/>
        <v>#VALUE!</v>
      </c>
    </row>
    <row r="4993" spans="11:11" x14ac:dyDescent="0.25">
      <c r="K4993" s="8" t="e">
        <f t="shared" si="51"/>
        <v>#VALUE!</v>
      </c>
    </row>
    <row r="4994" spans="11:11" x14ac:dyDescent="0.25">
      <c r="K4994" s="8" t="e">
        <f t="shared" si="51"/>
        <v>#VALUE!</v>
      </c>
    </row>
    <row r="4995" spans="11:11" x14ac:dyDescent="0.25">
      <c r="K4995" s="8" t="e">
        <f t="shared" ref="K4995:K5058" si="52">LEFT(A4995,FIND("/",A4995)-1)</f>
        <v>#VALUE!</v>
      </c>
    </row>
    <row r="4996" spans="11:11" x14ac:dyDescent="0.25">
      <c r="K4996" s="8" t="e">
        <f t="shared" si="52"/>
        <v>#VALUE!</v>
      </c>
    </row>
    <row r="4997" spans="11:11" x14ac:dyDescent="0.25">
      <c r="K4997" s="8" t="e">
        <f t="shared" si="52"/>
        <v>#VALUE!</v>
      </c>
    </row>
    <row r="4998" spans="11:11" x14ac:dyDescent="0.25">
      <c r="K4998" s="8" t="e">
        <f t="shared" si="52"/>
        <v>#VALUE!</v>
      </c>
    </row>
    <row r="4999" spans="11:11" x14ac:dyDescent="0.25">
      <c r="K4999" s="8" t="e">
        <f t="shared" si="52"/>
        <v>#VALUE!</v>
      </c>
    </row>
    <row r="5000" spans="11:11" x14ac:dyDescent="0.25">
      <c r="K5000" s="8" t="e">
        <f t="shared" si="52"/>
        <v>#VALUE!</v>
      </c>
    </row>
    <row r="5001" spans="11:11" x14ac:dyDescent="0.25">
      <c r="K5001" s="8" t="e">
        <f t="shared" si="52"/>
        <v>#VALUE!</v>
      </c>
    </row>
    <row r="5002" spans="11:11" x14ac:dyDescent="0.25">
      <c r="K5002" s="8" t="e">
        <f t="shared" si="52"/>
        <v>#VALUE!</v>
      </c>
    </row>
    <row r="5003" spans="11:11" x14ac:dyDescent="0.25">
      <c r="K5003" s="8" t="e">
        <f t="shared" si="52"/>
        <v>#VALUE!</v>
      </c>
    </row>
    <row r="5004" spans="11:11" x14ac:dyDescent="0.25">
      <c r="K5004" s="8" t="e">
        <f t="shared" si="52"/>
        <v>#VALUE!</v>
      </c>
    </row>
    <row r="5005" spans="11:11" x14ac:dyDescent="0.25">
      <c r="K5005" s="8" t="e">
        <f t="shared" si="52"/>
        <v>#VALUE!</v>
      </c>
    </row>
    <row r="5006" spans="11:11" x14ac:dyDescent="0.25">
      <c r="K5006" s="8" t="e">
        <f t="shared" si="52"/>
        <v>#VALUE!</v>
      </c>
    </row>
    <row r="5007" spans="11:11" x14ac:dyDescent="0.25">
      <c r="K5007" s="8" t="e">
        <f t="shared" si="52"/>
        <v>#VALUE!</v>
      </c>
    </row>
    <row r="5008" spans="11:11" x14ac:dyDescent="0.25">
      <c r="K5008" s="8" t="e">
        <f t="shared" si="52"/>
        <v>#VALUE!</v>
      </c>
    </row>
    <row r="5009" spans="11:11" x14ac:dyDescent="0.25">
      <c r="K5009" s="8" t="e">
        <f t="shared" si="52"/>
        <v>#VALUE!</v>
      </c>
    </row>
    <row r="5010" spans="11:11" x14ac:dyDescent="0.25">
      <c r="K5010" s="8" t="e">
        <f t="shared" si="52"/>
        <v>#VALUE!</v>
      </c>
    </row>
    <row r="5011" spans="11:11" x14ac:dyDescent="0.25">
      <c r="K5011" s="8" t="e">
        <f t="shared" si="52"/>
        <v>#VALUE!</v>
      </c>
    </row>
    <row r="5012" spans="11:11" x14ac:dyDescent="0.25">
      <c r="K5012" s="8" t="e">
        <f t="shared" si="52"/>
        <v>#VALUE!</v>
      </c>
    </row>
    <row r="5013" spans="11:11" x14ac:dyDescent="0.25">
      <c r="K5013" s="8" t="e">
        <f t="shared" si="52"/>
        <v>#VALUE!</v>
      </c>
    </row>
    <row r="5014" spans="11:11" x14ac:dyDescent="0.25">
      <c r="K5014" s="8" t="e">
        <f t="shared" si="52"/>
        <v>#VALUE!</v>
      </c>
    </row>
    <row r="5015" spans="11:11" x14ac:dyDescent="0.25">
      <c r="K5015" s="8" t="e">
        <f t="shared" si="52"/>
        <v>#VALUE!</v>
      </c>
    </row>
    <row r="5016" spans="11:11" x14ac:dyDescent="0.25">
      <c r="K5016" s="8" t="e">
        <f t="shared" si="52"/>
        <v>#VALUE!</v>
      </c>
    </row>
    <row r="5017" spans="11:11" x14ac:dyDescent="0.25">
      <c r="K5017" s="8" t="e">
        <f t="shared" si="52"/>
        <v>#VALUE!</v>
      </c>
    </row>
    <row r="5018" spans="11:11" x14ac:dyDescent="0.25">
      <c r="K5018" s="8" t="e">
        <f t="shared" si="52"/>
        <v>#VALUE!</v>
      </c>
    </row>
    <row r="5019" spans="11:11" x14ac:dyDescent="0.25">
      <c r="K5019" s="8" t="e">
        <f t="shared" si="52"/>
        <v>#VALUE!</v>
      </c>
    </row>
    <row r="5020" spans="11:11" x14ac:dyDescent="0.25">
      <c r="K5020" s="8" t="e">
        <f t="shared" si="52"/>
        <v>#VALUE!</v>
      </c>
    </row>
    <row r="5021" spans="11:11" x14ac:dyDescent="0.25">
      <c r="K5021" s="8" t="e">
        <f t="shared" si="52"/>
        <v>#VALUE!</v>
      </c>
    </row>
    <row r="5022" spans="11:11" x14ac:dyDescent="0.25">
      <c r="K5022" s="8" t="e">
        <f t="shared" si="52"/>
        <v>#VALUE!</v>
      </c>
    </row>
    <row r="5023" spans="11:11" x14ac:dyDescent="0.25">
      <c r="K5023" s="8" t="e">
        <f t="shared" si="52"/>
        <v>#VALUE!</v>
      </c>
    </row>
    <row r="5024" spans="11:11" x14ac:dyDescent="0.25">
      <c r="K5024" s="8" t="e">
        <f t="shared" si="52"/>
        <v>#VALUE!</v>
      </c>
    </row>
    <row r="5025" spans="11:11" x14ac:dyDescent="0.25">
      <c r="K5025" s="8" t="e">
        <f t="shared" si="52"/>
        <v>#VALUE!</v>
      </c>
    </row>
    <row r="5026" spans="11:11" x14ac:dyDescent="0.25">
      <c r="K5026" s="8" t="e">
        <f t="shared" si="52"/>
        <v>#VALUE!</v>
      </c>
    </row>
    <row r="5027" spans="11:11" x14ac:dyDescent="0.25">
      <c r="K5027" s="8" t="e">
        <f t="shared" si="52"/>
        <v>#VALUE!</v>
      </c>
    </row>
    <row r="5028" spans="11:11" x14ac:dyDescent="0.25">
      <c r="K5028" s="8" t="e">
        <f t="shared" si="52"/>
        <v>#VALUE!</v>
      </c>
    </row>
    <row r="5029" spans="11:11" x14ac:dyDescent="0.25">
      <c r="K5029" s="8" t="e">
        <f t="shared" si="52"/>
        <v>#VALUE!</v>
      </c>
    </row>
    <row r="5030" spans="11:11" x14ac:dyDescent="0.25">
      <c r="K5030" s="8" t="e">
        <f t="shared" si="52"/>
        <v>#VALUE!</v>
      </c>
    </row>
    <row r="5031" spans="11:11" x14ac:dyDescent="0.25">
      <c r="K5031" s="8" t="e">
        <f t="shared" si="52"/>
        <v>#VALUE!</v>
      </c>
    </row>
    <row r="5032" spans="11:11" x14ac:dyDescent="0.25">
      <c r="K5032" s="8" t="e">
        <f t="shared" si="52"/>
        <v>#VALUE!</v>
      </c>
    </row>
    <row r="5033" spans="11:11" x14ac:dyDescent="0.25">
      <c r="K5033" s="8" t="e">
        <f t="shared" si="52"/>
        <v>#VALUE!</v>
      </c>
    </row>
    <row r="5034" spans="11:11" x14ac:dyDescent="0.25">
      <c r="K5034" s="8" t="e">
        <f t="shared" si="52"/>
        <v>#VALUE!</v>
      </c>
    </row>
    <row r="5035" spans="11:11" x14ac:dyDescent="0.25">
      <c r="K5035" s="8" t="e">
        <f t="shared" si="52"/>
        <v>#VALUE!</v>
      </c>
    </row>
    <row r="5036" spans="11:11" x14ac:dyDescent="0.25">
      <c r="K5036" s="8" t="e">
        <f t="shared" si="52"/>
        <v>#VALUE!</v>
      </c>
    </row>
    <row r="5037" spans="11:11" x14ac:dyDescent="0.25">
      <c r="K5037" s="8" t="e">
        <f t="shared" si="52"/>
        <v>#VALUE!</v>
      </c>
    </row>
    <row r="5038" spans="11:11" x14ac:dyDescent="0.25">
      <c r="K5038" s="8" t="e">
        <f t="shared" si="52"/>
        <v>#VALUE!</v>
      </c>
    </row>
    <row r="5039" spans="11:11" x14ac:dyDescent="0.25">
      <c r="K5039" s="8" t="e">
        <f t="shared" si="52"/>
        <v>#VALUE!</v>
      </c>
    </row>
    <row r="5040" spans="11:11" x14ac:dyDescent="0.25">
      <c r="K5040" s="8" t="e">
        <f t="shared" si="52"/>
        <v>#VALUE!</v>
      </c>
    </row>
    <row r="5041" spans="11:11" x14ac:dyDescent="0.25">
      <c r="K5041" s="8" t="e">
        <f t="shared" si="52"/>
        <v>#VALUE!</v>
      </c>
    </row>
    <row r="5042" spans="11:11" x14ac:dyDescent="0.25">
      <c r="K5042" s="8" t="e">
        <f t="shared" si="52"/>
        <v>#VALUE!</v>
      </c>
    </row>
    <row r="5043" spans="11:11" x14ac:dyDescent="0.25">
      <c r="K5043" s="8" t="e">
        <f t="shared" si="52"/>
        <v>#VALUE!</v>
      </c>
    </row>
    <row r="5044" spans="11:11" x14ac:dyDescent="0.25">
      <c r="K5044" s="8" t="e">
        <f t="shared" si="52"/>
        <v>#VALUE!</v>
      </c>
    </row>
    <row r="5045" spans="11:11" x14ac:dyDescent="0.25">
      <c r="K5045" s="8" t="e">
        <f t="shared" si="52"/>
        <v>#VALUE!</v>
      </c>
    </row>
    <row r="5046" spans="11:11" x14ac:dyDescent="0.25">
      <c r="K5046" s="8" t="e">
        <f t="shared" si="52"/>
        <v>#VALUE!</v>
      </c>
    </row>
    <row r="5047" spans="11:11" x14ac:dyDescent="0.25">
      <c r="K5047" s="8" t="e">
        <f t="shared" si="52"/>
        <v>#VALUE!</v>
      </c>
    </row>
    <row r="5048" spans="11:11" x14ac:dyDescent="0.25">
      <c r="K5048" s="8" t="e">
        <f t="shared" si="52"/>
        <v>#VALUE!</v>
      </c>
    </row>
    <row r="5049" spans="11:11" x14ac:dyDescent="0.25">
      <c r="K5049" s="8" t="e">
        <f t="shared" si="52"/>
        <v>#VALUE!</v>
      </c>
    </row>
    <row r="5050" spans="11:11" x14ac:dyDescent="0.25">
      <c r="K5050" s="8" t="e">
        <f t="shared" si="52"/>
        <v>#VALUE!</v>
      </c>
    </row>
    <row r="5051" spans="11:11" x14ac:dyDescent="0.25">
      <c r="K5051" s="8" t="e">
        <f t="shared" si="52"/>
        <v>#VALUE!</v>
      </c>
    </row>
    <row r="5052" spans="11:11" x14ac:dyDescent="0.25">
      <c r="K5052" s="8" t="e">
        <f t="shared" si="52"/>
        <v>#VALUE!</v>
      </c>
    </row>
    <row r="5053" spans="11:11" x14ac:dyDescent="0.25">
      <c r="K5053" s="8" t="e">
        <f t="shared" si="52"/>
        <v>#VALUE!</v>
      </c>
    </row>
    <row r="5054" spans="11:11" x14ac:dyDescent="0.25">
      <c r="K5054" s="8" t="e">
        <f t="shared" si="52"/>
        <v>#VALUE!</v>
      </c>
    </row>
    <row r="5055" spans="11:11" x14ac:dyDescent="0.25">
      <c r="K5055" s="8" t="e">
        <f t="shared" si="52"/>
        <v>#VALUE!</v>
      </c>
    </row>
    <row r="5056" spans="11:11" x14ac:dyDescent="0.25">
      <c r="K5056" s="8" t="e">
        <f t="shared" si="52"/>
        <v>#VALUE!</v>
      </c>
    </row>
    <row r="5057" spans="11:11" x14ac:dyDescent="0.25">
      <c r="K5057" s="8" t="e">
        <f t="shared" si="52"/>
        <v>#VALUE!</v>
      </c>
    </row>
    <row r="5058" spans="11:11" x14ac:dyDescent="0.25">
      <c r="K5058" s="8" t="e">
        <f t="shared" si="52"/>
        <v>#VALUE!</v>
      </c>
    </row>
    <row r="5059" spans="11:11" x14ac:dyDescent="0.25">
      <c r="K5059" s="8" t="e">
        <f t="shared" ref="K5059:K5122" si="53">LEFT(A5059,FIND("/",A5059)-1)</f>
        <v>#VALUE!</v>
      </c>
    </row>
    <row r="5060" spans="11:11" x14ac:dyDescent="0.25">
      <c r="K5060" s="8" t="e">
        <f t="shared" si="53"/>
        <v>#VALUE!</v>
      </c>
    </row>
    <row r="5061" spans="11:11" x14ac:dyDescent="0.25">
      <c r="K5061" s="8" t="e">
        <f t="shared" si="53"/>
        <v>#VALUE!</v>
      </c>
    </row>
    <row r="5062" spans="11:11" x14ac:dyDescent="0.25">
      <c r="K5062" s="8" t="e">
        <f t="shared" si="53"/>
        <v>#VALUE!</v>
      </c>
    </row>
    <row r="5063" spans="11:11" x14ac:dyDescent="0.25">
      <c r="K5063" s="8" t="e">
        <f t="shared" si="53"/>
        <v>#VALUE!</v>
      </c>
    </row>
    <row r="5064" spans="11:11" x14ac:dyDescent="0.25">
      <c r="K5064" s="8" t="e">
        <f t="shared" si="53"/>
        <v>#VALUE!</v>
      </c>
    </row>
    <row r="5065" spans="11:11" x14ac:dyDescent="0.25">
      <c r="K5065" s="8" t="e">
        <f t="shared" si="53"/>
        <v>#VALUE!</v>
      </c>
    </row>
    <row r="5066" spans="11:11" x14ac:dyDescent="0.25">
      <c r="K5066" s="8" t="e">
        <f t="shared" si="53"/>
        <v>#VALUE!</v>
      </c>
    </row>
    <row r="5067" spans="11:11" x14ac:dyDescent="0.25">
      <c r="K5067" s="8" t="e">
        <f t="shared" si="53"/>
        <v>#VALUE!</v>
      </c>
    </row>
    <row r="5068" spans="11:11" x14ac:dyDescent="0.25">
      <c r="K5068" s="8" t="e">
        <f t="shared" si="53"/>
        <v>#VALUE!</v>
      </c>
    </row>
    <row r="5069" spans="11:11" x14ac:dyDescent="0.25">
      <c r="K5069" s="8" t="e">
        <f t="shared" si="53"/>
        <v>#VALUE!</v>
      </c>
    </row>
    <row r="5070" spans="11:11" x14ac:dyDescent="0.25">
      <c r="K5070" s="8" t="e">
        <f t="shared" si="53"/>
        <v>#VALUE!</v>
      </c>
    </row>
    <row r="5071" spans="11:11" x14ac:dyDescent="0.25">
      <c r="K5071" s="8" t="e">
        <f t="shared" si="53"/>
        <v>#VALUE!</v>
      </c>
    </row>
    <row r="5072" spans="11:11" x14ac:dyDescent="0.25">
      <c r="K5072" s="8" t="e">
        <f t="shared" si="53"/>
        <v>#VALUE!</v>
      </c>
    </row>
    <row r="5073" spans="11:11" x14ac:dyDescent="0.25">
      <c r="K5073" s="8" t="e">
        <f t="shared" si="53"/>
        <v>#VALUE!</v>
      </c>
    </row>
    <row r="5074" spans="11:11" x14ac:dyDescent="0.25">
      <c r="K5074" s="8" t="e">
        <f t="shared" si="53"/>
        <v>#VALUE!</v>
      </c>
    </row>
    <row r="5075" spans="11:11" x14ac:dyDescent="0.25">
      <c r="K5075" s="8" t="e">
        <f t="shared" si="53"/>
        <v>#VALUE!</v>
      </c>
    </row>
    <row r="5076" spans="11:11" x14ac:dyDescent="0.25">
      <c r="K5076" s="8" t="e">
        <f t="shared" si="53"/>
        <v>#VALUE!</v>
      </c>
    </row>
    <row r="5077" spans="11:11" x14ac:dyDescent="0.25">
      <c r="K5077" s="8" t="e">
        <f t="shared" si="53"/>
        <v>#VALUE!</v>
      </c>
    </row>
    <row r="5078" spans="11:11" x14ac:dyDescent="0.25">
      <c r="K5078" s="8" t="e">
        <f t="shared" si="53"/>
        <v>#VALUE!</v>
      </c>
    </row>
    <row r="5079" spans="11:11" x14ac:dyDescent="0.25">
      <c r="K5079" s="8" t="e">
        <f t="shared" si="53"/>
        <v>#VALUE!</v>
      </c>
    </row>
    <row r="5080" spans="11:11" x14ac:dyDescent="0.25">
      <c r="K5080" s="8" t="e">
        <f t="shared" si="53"/>
        <v>#VALUE!</v>
      </c>
    </row>
    <row r="5081" spans="11:11" x14ac:dyDescent="0.25">
      <c r="K5081" s="8" t="e">
        <f t="shared" si="53"/>
        <v>#VALUE!</v>
      </c>
    </row>
    <row r="5082" spans="11:11" x14ac:dyDescent="0.25">
      <c r="K5082" s="8" t="e">
        <f t="shared" si="53"/>
        <v>#VALUE!</v>
      </c>
    </row>
    <row r="5083" spans="11:11" x14ac:dyDescent="0.25">
      <c r="K5083" s="8" t="e">
        <f t="shared" si="53"/>
        <v>#VALUE!</v>
      </c>
    </row>
    <row r="5084" spans="11:11" x14ac:dyDescent="0.25">
      <c r="K5084" s="8" t="e">
        <f t="shared" si="53"/>
        <v>#VALUE!</v>
      </c>
    </row>
    <row r="5085" spans="11:11" x14ac:dyDescent="0.25">
      <c r="K5085" s="8" t="e">
        <f t="shared" si="53"/>
        <v>#VALUE!</v>
      </c>
    </row>
    <row r="5086" spans="11:11" x14ac:dyDescent="0.25">
      <c r="K5086" s="8" t="e">
        <f t="shared" si="53"/>
        <v>#VALUE!</v>
      </c>
    </row>
    <row r="5087" spans="11:11" x14ac:dyDescent="0.25">
      <c r="K5087" s="8" t="e">
        <f t="shared" si="53"/>
        <v>#VALUE!</v>
      </c>
    </row>
    <row r="5088" spans="11:11" x14ac:dyDescent="0.25">
      <c r="K5088" s="8" t="e">
        <f t="shared" si="53"/>
        <v>#VALUE!</v>
      </c>
    </row>
    <row r="5089" spans="11:11" x14ac:dyDescent="0.25">
      <c r="K5089" s="8" t="e">
        <f t="shared" si="53"/>
        <v>#VALUE!</v>
      </c>
    </row>
    <row r="5090" spans="11:11" x14ac:dyDescent="0.25">
      <c r="K5090" s="8" t="e">
        <f t="shared" si="53"/>
        <v>#VALUE!</v>
      </c>
    </row>
    <row r="5091" spans="11:11" x14ac:dyDescent="0.25">
      <c r="K5091" s="8" t="e">
        <f t="shared" si="53"/>
        <v>#VALUE!</v>
      </c>
    </row>
    <row r="5092" spans="11:11" x14ac:dyDescent="0.25">
      <c r="K5092" s="8" t="e">
        <f t="shared" si="53"/>
        <v>#VALUE!</v>
      </c>
    </row>
    <row r="5093" spans="11:11" x14ac:dyDescent="0.25">
      <c r="K5093" s="8" t="e">
        <f t="shared" si="53"/>
        <v>#VALUE!</v>
      </c>
    </row>
    <row r="5094" spans="11:11" x14ac:dyDescent="0.25">
      <c r="K5094" s="8" t="e">
        <f t="shared" si="53"/>
        <v>#VALUE!</v>
      </c>
    </row>
    <row r="5095" spans="11:11" x14ac:dyDescent="0.25">
      <c r="K5095" s="8" t="e">
        <f t="shared" si="53"/>
        <v>#VALUE!</v>
      </c>
    </row>
    <row r="5096" spans="11:11" x14ac:dyDescent="0.25">
      <c r="K5096" s="8" t="e">
        <f t="shared" si="53"/>
        <v>#VALUE!</v>
      </c>
    </row>
    <row r="5097" spans="11:11" x14ac:dyDescent="0.25">
      <c r="K5097" s="8" t="e">
        <f t="shared" si="53"/>
        <v>#VALUE!</v>
      </c>
    </row>
    <row r="5098" spans="11:11" x14ac:dyDescent="0.25">
      <c r="K5098" s="8" t="e">
        <f t="shared" si="53"/>
        <v>#VALUE!</v>
      </c>
    </row>
    <row r="5099" spans="11:11" x14ac:dyDescent="0.25">
      <c r="K5099" s="8" t="e">
        <f t="shared" si="53"/>
        <v>#VALUE!</v>
      </c>
    </row>
    <row r="5100" spans="11:11" x14ac:dyDescent="0.25">
      <c r="K5100" s="8" t="e">
        <f t="shared" si="53"/>
        <v>#VALUE!</v>
      </c>
    </row>
    <row r="5101" spans="11:11" x14ac:dyDescent="0.25">
      <c r="K5101" s="8" t="e">
        <f t="shared" si="53"/>
        <v>#VALUE!</v>
      </c>
    </row>
    <row r="5102" spans="11:11" x14ac:dyDescent="0.25">
      <c r="K5102" s="8" t="e">
        <f t="shared" si="53"/>
        <v>#VALUE!</v>
      </c>
    </row>
    <row r="5103" spans="11:11" x14ac:dyDescent="0.25">
      <c r="K5103" s="8" t="e">
        <f t="shared" si="53"/>
        <v>#VALUE!</v>
      </c>
    </row>
    <row r="5104" spans="11:11" x14ac:dyDescent="0.25">
      <c r="K5104" s="8" t="e">
        <f t="shared" si="53"/>
        <v>#VALUE!</v>
      </c>
    </row>
    <row r="5105" spans="11:11" x14ac:dyDescent="0.25">
      <c r="K5105" s="8" t="e">
        <f t="shared" si="53"/>
        <v>#VALUE!</v>
      </c>
    </row>
    <row r="5106" spans="11:11" x14ac:dyDescent="0.25">
      <c r="K5106" s="8" t="e">
        <f t="shared" si="53"/>
        <v>#VALUE!</v>
      </c>
    </row>
    <row r="5107" spans="11:11" x14ac:dyDescent="0.25">
      <c r="K5107" s="8" t="e">
        <f t="shared" si="53"/>
        <v>#VALUE!</v>
      </c>
    </row>
    <row r="5108" spans="11:11" x14ac:dyDescent="0.25">
      <c r="K5108" s="8" t="e">
        <f t="shared" si="53"/>
        <v>#VALUE!</v>
      </c>
    </row>
    <row r="5109" spans="11:11" x14ac:dyDescent="0.25">
      <c r="K5109" s="8" t="e">
        <f t="shared" si="53"/>
        <v>#VALUE!</v>
      </c>
    </row>
    <row r="5110" spans="11:11" x14ac:dyDescent="0.25">
      <c r="K5110" s="8" t="e">
        <f t="shared" si="53"/>
        <v>#VALUE!</v>
      </c>
    </row>
    <row r="5111" spans="11:11" x14ac:dyDescent="0.25">
      <c r="K5111" s="8" t="e">
        <f t="shared" si="53"/>
        <v>#VALUE!</v>
      </c>
    </row>
    <row r="5112" spans="11:11" x14ac:dyDescent="0.25">
      <c r="K5112" s="8" t="e">
        <f t="shared" si="53"/>
        <v>#VALUE!</v>
      </c>
    </row>
    <row r="5113" spans="11:11" x14ac:dyDescent="0.25">
      <c r="K5113" s="8" t="e">
        <f t="shared" si="53"/>
        <v>#VALUE!</v>
      </c>
    </row>
    <row r="5114" spans="11:11" x14ac:dyDescent="0.25">
      <c r="K5114" s="8" t="e">
        <f t="shared" si="53"/>
        <v>#VALUE!</v>
      </c>
    </row>
    <row r="5115" spans="11:11" x14ac:dyDescent="0.25">
      <c r="K5115" s="8" t="e">
        <f t="shared" si="53"/>
        <v>#VALUE!</v>
      </c>
    </row>
    <row r="5116" spans="11:11" x14ac:dyDescent="0.25">
      <c r="K5116" s="8" t="e">
        <f t="shared" si="53"/>
        <v>#VALUE!</v>
      </c>
    </row>
    <row r="5117" spans="11:11" x14ac:dyDescent="0.25">
      <c r="K5117" s="8" t="e">
        <f t="shared" si="53"/>
        <v>#VALUE!</v>
      </c>
    </row>
    <row r="5118" spans="11:11" x14ac:dyDescent="0.25">
      <c r="K5118" s="8" t="e">
        <f t="shared" si="53"/>
        <v>#VALUE!</v>
      </c>
    </row>
    <row r="5119" spans="11:11" x14ac:dyDescent="0.25">
      <c r="K5119" s="8" t="e">
        <f t="shared" si="53"/>
        <v>#VALUE!</v>
      </c>
    </row>
    <row r="5120" spans="11:11" x14ac:dyDescent="0.25">
      <c r="K5120" s="8" t="e">
        <f t="shared" si="53"/>
        <v>#VALUE!</v>
      </c>
    </row>
    <row r="5121" spans="11:11" x14ac:dyDescent="0.25">
      <c r="K5121" s="8" t="e">
        <f t="shared" si="53"/>
        <v>#VALUE!</v>
      </c>
    </row>
    <row r="5122" spans="11:11" x14ac:dyDescent="0.25">
      <c r="K5122" s="8" t="e">
        <f t="shared" si="53"/>
        <v>#VALUE!</v>
      </c>
    </row>
    <row r="5123" spans="11:11" x14ac:dyDescent="0.25">
      <c r="K5123" s="8" t="e">
        <f t="shared" ref="K5123:K5186" si="54">LEFT(A5123,FIND("/",A5123)-1)</f>
        <v>#VALUE!</v>
      </c>
    </row>
    <row r="5124" spans="11:11" x14ac:dyDescent="0.25">
      <c r="K5124" s="8" t="e">
        <f t="shared" si="54"/>
        <v>#VALUE!</v>
      </c>
    </row>
    <row r="5125" spans="11:11" x14ac:dyDescent="0.25">
      <c r="K5125" s="8" t="e">
        <f t="shared" si="54"/>
        <v>#VALUE!</v>
      </c>
    </row>
    <row r="5126" spans="11:11" x14ac:dyDescent="0.25">
      <c r="K5126" s="8" t="e">
        <f t="shared" si="54"/>
        <v>#VALUE!</v>
      </c>
    </row>
    <row r="5127" spans="11:11" x14ac:dyDescent="0.25">
      <c r="K5127" s="8" t="e">
        <f t="shared" si="54"/>
        <v>#VALUE!</v>
      </c>
    </row>
    <row r="5128" spans="11:11" x14ac:dyDescent="0.25">
      <c r="K5128" s="8" t="e">
        <f t="shared" si="54"/>
        <v>#VALUE!</v>
      </c>
    </row>
    <row r="5129" spans="11:11" x14ac:dyDescent="0.25">
      <c r="K5129" s="8" t="e">
        <f t="shared" si="54"/>
        <v>#VALUE!</v>
      </c>
    </row>
    <row r="5130" spans="11:11" x14ac:dyDescent="0.25">
      <c r="K5130" s="8" t="e">
        <f t="shared" si="54"/>
        <v>#VALUE!</v>
      </c>
    </row>
    <row r="5131" spans="11:11" x14ac:dyDescent="0.25">
      <c r="K5131" s="8" t="e">
        <f t="shared" si="54"/>
        <v>#VALUE!</v>
      </c>
    </row>
    <row r="5132" spans="11:11" x14ac:dyDescent="0.25">
      <c r="K5132" s="8" t="e">
        <f t="shared" si="54"/>
        <v>#VALUE!</v>
      </c>
    </row>
    <row r="5133" spans="11:11" x14ac:dyDescent="0.25">
      <c r="K5133" s="8" t="e">
        <f t="shared" si="54"/>
        <v>#VALUE!</v>
      </c>
    </row>
    <row r="5134" spans="11:11" x14ac:dyDescent="0.25">
      <c r="K5134" s="8" t="e">
        <f t="shared" si="54"/>
        <v>#VALUE!</v>
      </c>
    </row>
    <row r="5135" spans="11:11" x14ac:dyDescent="0.25">
      <c r="K5135" s="8" t="e">
        <f t="shared" si="54"/>
        <v>#VALUE!</v>
      </c>
    </row>
    <row r="5136" spans="11:11" x14ac:dyDescent="0.25">
      <c r="K5136" s="8" t="e">
        <f t="shared" si="54"/>
        <v>#VALUE!</v>
      </c>
    </row>
    <row r="5137" spans="11:11" x14ac:dyDescent="0.25">
      <c r="K5137" s="8" t="e">
        <f t="shared" si="54"/>
        <v>#VALUE!</v>
      </c>
    </row>
    <row r="5138" spans="11:11" x14ac:dyDescent="0.25">
      <c r="K5138" s="8" t="e">
        <f t="shared" si="54"/>
        <v>#VALUE!</v>
      </c>
    </row>
    <row r="5139" spans="11:11" x14ac:dyDescent="0.25">
      <c r="K5139" s="8" t="e">
        <f t="shared" si="54"/>
        <v>#VALUE!</v>
      </c>
    </row>
    <row r="5140" spans="11:11" x14ac:dyDescent="0.25">
      <c r="K5140" s="8" t="e">
        <f t="shared" si="54"/>
        <v>#VALUE!</v>
      </c>
    </row>
    <row r="5141" spans="11:11" x14ac:dyDescent="0.25">
      <c r="K5141" s="8" t="e">
        <f t="shared" si="54"/>
        <v>#VALUE!</v>
      </c>
    </row>
    <row r="5142" spans="11:11" x14ac:dyDescent="0.25">
      <c r="K5142" s="8" t="e">
        <f t="shared" si="54"/>
        <v>#VALUE!</v>
      </c>
    </row>
    <row r="5143" spans="11:11" x14ac:dyDescent="0.25">
      <c r="K5143" s="8" t="e">
        <f t="shared" si="54"/>
        <v>#VALUE!</v>
      </c>
    </row>
    <row r="5144" spans="11:11" x14ac:dyDescent="0.25">
      <c r="K5144" s="8" t="e">
        <f t="shared" si="54"/>
        <v>#VALUE!</v>
      </c>
    </row>
    <row r="5145" spans="11:11" x14ac:dyDescent="0.25">
      <c r="K5145" s="8" t="e">
        <f t="shared" si="54"/>
        <v>#VALUE!</v>
      </c>
    </row>
    <row r="5146" spans="11:11" x14ac:dyDescent="0.25">
      <c r="K5146" s="8" t="e">
        <f t="shared" si="54"/>
        <v>#VALUE!</v>
      </c>
    </row>
    <row r="5147" spans="11:11" x14ac:dyDescent="0.25">
      <c r="K5147" s="8" t="e">
        <f t="shared" si="54"/>
        <v>#VALUE!</v>
      </c>
    </row>
    <row r="5148" spans="11:11" x14ac:dyDescent="0.25">
      <c r="K5148" s="8" t="e">
        <f t="shared" si="54"/>
        <v>#VALUE!</v>
      </c>
    </row>
    <row r="5149" spans="11:11" x14ac:dyDescent="0.25">
      <c r="K5149" s="8" t="e">
        <f t="shared" si="54"/>
        <v>#VALUE!</v>
      </c>
    </row>
    <row r="5150" spans="11:11" x14ac:dyDescent="0.25">
      <c r="K5150" s="8" t="e">
        <f t="shared" si="54"/>
        <v>#VALUE!</v>
      </c>
    </row>
    <row r="5151" spans="11:11" x14ac:dyDescent="0.25">
      <c r="K5151" s="8" t="e">
        <f t="shared" si="54"/>
        <v>#VALUE!</v>
      </c>
    </row>
    <row r="5152" spans="11:11" x14ac:dyDescent="0.25">
      <c r="K5152" s="8" t="e">
        <f t="shared" si="54"/>
        <v>#VALUE!</v>
      </c>
    </row>
    <row r="5153" spans="11:11" x14ac:dyDescent="0.25">
      <c r="K5153" s="8" t="e">
        <f t="shared" si="54"/>
        <v>#VALUE!</v>
      </c>
    </row>
    <row r="5154" spans="11:11" x14ac:dyDescent="0.25">
      <c r="K5154" s="8" t="e">
        <f t="shared" si="54"/>
        <v>#VALUE!</v>
      </c>
    </row>
    <row r="5155" spans="11:11" x14ac:dyDescent="0.25">
      <c r="K5155" s="8" t="e">
        <f t="shared" si="54"/>
        <v>#VALUE!</v>
      </c>
    </row>
    <row r="5156" spans="11:11" x14ac:dyDescent="0.25">
      <c r="K5156" s="8" t="e">
        <f t="shared" si="54"/>
        <v>#VALUE!</v>
      </c>
    </row>
    <row r="5157" spans="11:11" x14ac:dyDescent="0.25">
      <c r="K5157" s="8" t="e">
        <f t="shared" si="54"/>
        <v>#VALUE!</v>
      </c>
    </row>
    <row r="5158" spans="11:11" x14ac:dyDescent="0.25">
      <c r="K5158" s="8" t="e">
        <f t="shared" si="54"/>
        <v>#VALUE!</v>
      </c>
    </row>
    <row r="5159" spans="11:11" x14ac:dyDescent="0.25">
      <c r="K5159" s="8" t="e">
        <f t="shared" si="54"/>
        <v>#VALUE!</v>
      </c>
    </row>
    <row r="5160" spans="11:11" x14ac:dyDescent="0.25">
      <c r="K5160" s="8" t="e">
        <f t="shared" si="54"/>
        <v>#VALUE!</v>
      </c>
    </row>
    <row r="5161" spans="11:11" x14ac:dyDescent="0.25">
      <c r="K5161" s="8" t="e">
        <f t="shared" si="54"/>
        <v>#VALUE!</v>
      </c>
    </row>
    <row r="5162" spans="11:11" x14ac:dyDescent="0.25">
      <c r="K5162" s="8" t="e">
        <f t="shared" si="54"/>
        <v>#VALUE!</v>
      </c>
    </row>
    <row r="5163" spans="11:11" x14ac:dyDescent="0.25">
      <c r="K5163" s="8" t="e">
        <f t="shared" si="54"/>
        <v>#VALUE!</v>
      </c>
    </row>
    <row r="5164" spans="11:11" x14ac:dyDescent="0.25">
      <c r="K5164" s="8" t="e">
        <f t="shared" si="54"/>
        <v>#VALUE!</v>
      </c>
    </row>
    <row r="5165" spans="11:11" x14ac:dyDescent="0.25">
      <c r="K5165" s="8" t="e">
        <f t="shared" si="54"/>
        <v>#VALUE!</v>
      </c>
    </row>
    <row r="5166" spans="11:11" x14ac:dyDescent="0.25">
      <c r="K5166" s="8" t="e">
        <f t="shared" si="54"/>
        <v>#VALUE!</v>
      </c>
    </row>
    <row r="5167" spans="11:11" x14ac:dyDescent="0.25">
      <c r="K5167" s="8" t="e">
        <f t="shared" si="54"/>
        <v>#VALUE!</v>
      </c>
    </row>
    <row r="5168" spans="11:11" x14ac:dyDescent="0.25">
      <c r="K5168" s="8" t="e">
        <f t="shared" si="54"/>
        <v>#VALUE!</v>
      </c>
    </row>
    <row r="5169" spans="11:11" x14ac:dyDescent="0.25">
      <c r="K5169" s="8" t="e">
        <f t="shared" si="54"/>
        <v>#VALUE!</v>
      </c>
    </row>
    <row r="5170" spans="11:11" x14ac:dyDescent="0.25">
      <c r="K5170" s="8" t="e">
        <f t="shared" si="54"/>
        <v>#VALUE!</v>
      </c>
    </row>
    <row r="5171" spans="11:11" x14ac:dyDescent="0.25">
      <c r="K5171" s="8" t="e">
        <f t="shared" si="54"/>
        <v>#VALUE!</v>
      </c>
    </row>
    <row r="5172" spans="11:11" x14ac:dyDescent="0.25">
      <c r="K5172" s="8" t="e">
        <f t="shared" si="54"/>
        <v>#VALUE!</v>
      </c>
    </row>
    <row r="5173" spans="11:11" x14ac:dyDescent="0.25">
      <c r="K5173" s="8" t="e">
        <f t="shared" si="54"/>
        <v>#VALUE!</v>
      </c>
    </row>
    <row r="5174" spans="11:11" x14ac:dyDescent="0.25">
      <c r="K5174" s="8" t="e">
        <f t="shared" si="54"/>
        <v>#VALUE!</v>
      </c>
    </row>
    <row r="5175" spans="11:11" x14ac:dyDescent="0.25">
      <c r="K5175" s="8" t="e">
        <f t="shared" si="54"/>
        <v>#VALUE!</v>
      </c>
    </row>
    <row r="5176" spans="11:11" x14ac:dyDescent="0.25">
      <c r="K5176" s="8" t="e">
        <f t="shared" si="54"/>
        <v>#VALUE!</v>
      </c>
    </row>
    <row r="5177" spans="11:11" x14ac:dyDescent="0.25">
      <c r="K5177" s="8" t="e">
        <f t="shared" si="54"/>
        <v>#VALUE!</v>
      </c>
    </row>
    <row r="5178" spans="11:11" x14ac:dyDescent="0.25">
      <c r="K5178" s="8" t="e">
        <f t="shared" si="54"/>
        <v>#VALUE!</v>
      </c>
    </row>
    <row r="5179" spans="11:11" x14ac:dyDescent="0.25">
      <c r="K5179" s="8" t="e">
        <f t="shared" si="54"/>
        <v>#VALUE!</v>
      </c>
    </row>
    <row r="5180" spans="11:11" x14ac:dyDescent="0.25">
      <c r="K5180" s="8" t="e">
        <f t="shared" si="54"/>
        <v>#VALUE!</v>
      </c>
    </row>
    <row r="5181" spans="11:11" x14ac:dyDescent="0.25">
      <c r="K5181" s="8" t="e">
        <f t="shared" si="54"/>
        <v>#VALUE!</v>
      </c>
    </row>
    <row r="5182" spans="11:11" x14ac:dyDescent="0.25">
      <c r="K5182" s="8" t="e">
        <f t="shared" si="54"/>
        <v>#VALUE!</v>
      </c>
    </row>
    <row r="5183" spans="11:11" x14ac:dyDescent="0.25">
      <c r="K5183" s="8" t="e">
        <f t="shared" si="54"/>
        <v>#VALUE!</v>
      </c>
    </row>
    <row r="5184" spans="11:11" x14ac:dyDescent="0.25">
      <c r="K5184" s="8" t="e">
        <f t="shared" si="54"/>
        <v>#VALUE!</v>
      </c>
    </row>
    <row r="5185" spans="11:11" x14ac:dyDescent="0.25">
      <c r="K5185" s="8" t="e">
        <f t="shared" si="54"/>
        <v>#VALUE!</v>
      </c>
    </row>
    <row r="5186" spans="11:11" x14ac:dyDescent="0.25">
      <c r="K5186" s="8" t="e">
        <f t="shared" si="54"/>
        <v>#VALUE!</v>
      </c>
    </row>
    <row r="5187" spans="11:11" x14ac:dyDescent="0.25">
      <c r="K5187" s="8" t="e">
        <f t="shared" ref="K5187:K5250" si="55">LEFT(A5187,FIND("/",A5187)-1)</f>
        <v>#VALUE!</v>
      </c>
    </row>
    <row r="5188" spans="11:11" x14ac:dyDescent="0.25">
      <c r="K5188" s="8" t="e">
        <f t="shared" si="55"/>
        <v>#VALUE!</v>
      </c>
    </row>
    <row r="5189" spans="11:11" x14ac:dyDescent="0.25">
      <c r="K5189" s="8" t="e">
        <f t="shared" si="55"/>
        <v>#VALUE!</v>
      </c>
    </row>
    <row r="5190" spans="11:11" x14ac:dyDescent="0.25">
      <c r="K5190" s="8" t="e">
        <f t="shared" si="55"/>
        <v>#VALUE!</v>
      </c>
    </row>
    <row r="5191" spans="11:11" x14ac:dyDescent="0.25">
      <c r="K5191" s="8" t="e">
        <f t="shared" si="55"/>
        <v>#VALUE!</v>
      </c>
    </row>
    <row r="5192" spans="11:11" x14ac:dyDescent="0.25">
      <c r="K5192" s="8" t="e">
        <f t="shared" si="55"/>
        <v>#VALUE!</v>
      </c>
    </row>
    <row r="5193" spans="11:11" x14ac:dyDescent="0.25">
      <c r="K5193" s="8" t="e">
        <f t="shared" si="55"/>
        <v>#VALUE!</v>
      </c>
    </row>
    <row r="5194" spans="11:11" x14ac:dyDescent="0.25">
      <c r="K5194" s="8" t="e">
        <f t="shared" si="55"/>
        <v>#VALUE!</v>
      </c>
    </row>
    <row r="5195" spans="11:11" x14ac:dyDescent="0.25">
      <c r="K5195" s="8" t="e">
        <f t="shared" si="55"/>
        <v>#VALUE!</v>
      </c>
    </row>
    <row r="5196" spans="11:11" x14ac:dyDescent="0.25">
      <c r="K5196" s="8" t="e">
        <f t="shared" si="55"/>
        <v>#VALUE!</v>
      </c>
    </row>
    <row r="5197" spans="11:11" x14ac:dyDescent="0.25">
      <c r="K5197" s="8" t="e">
        <f t="shared" si="55"/>
        <v>#VALUE!</v>
      </c>
    </row>
    <row r="5198" spans="11:11" x14ac:dyDescent="0.25">
      <c r="K5198" s="8" t="e">
        <f t="shared" si="55"/>
        <v>#VALUE!</v>
      </c>
    </row>
    <row r="5199" spans="11:11" x14ac:dyDescent="0.25">
      <c r="K5199" s="8" t="e">
        <f t="shared" si="55"/>
        <v>#VALUE!</v>
      </c>
    </row>
    <row r="5200" spans="11:11" x14ac:dyDescent="0.25">
      <c r="K5200" s="8" t="e">
        <f t="shared" si="55"/>
        <v>#VALUE!</v>
      </c>
    </row>
    <row r="5201" spans="11:11" x14ac:dyDescent="0.25">
      <c r="K5201" s="8" t="e">
        <f t="shared" si="55"/>
        <v>#VALUE!</v>
      </c>
    </row>
    <row r="5202" spans="11:11" x14ac:dyDescent="0.25">
      <c r="K5202" s="8" t="e">
        <f t="shared" si="55"/>
        <v>#VALUE!</v>
      </c>
    </row>
    <row r="5203" spans="11:11" x14ac:dyDescent="0.25">
      <c r="K5203" s="8" t="e">
        <f t="shared" si="55"/>
        <v>#VALUE!</v>
      </c>
    </row>
    <row r="5204" spans="11:11" x14ac:dyDescent="0.25">
      <c r="K5204" s="8" t="e">
        <f t="shared" si="55"/>
        <v>#VALUE!</v>
      </c>
    </row>
    <row r="5205" spans="11:11" x14ac:dyDescent="0.25">
      <c r="K5205" s="8" t="e">
        <f t="shared" si="55"/>
        <v>#VALUE!</v>
      </c>
    </row>
    <row r="5206" spans="11:11" x14ac:dyDescent="0.25">
      <c r="K5206" s="8" t="e">
        <f t="shared" si="55"/>
        <v>#VALUE!</v>
      </c>
    </row>
    <row r="5207" spans="11:11" x14ac:dyDescent="0.25">
      <c r="K5207" s="8" t="e">
        <f t="shared" si="55"/>
        <v>#VALUE!</v>
      </c>
    </row>
    <row r="5208" spans="11:11" x14ac:dyDescent="0.25">
      <c r="K5208" s="8" t="e">
        <f t="shared" si="55"/>
        <v>#VALUE!</v>
      </c>
    </row>
    <row r="5209" spans="11:11" x14ac:dyDescent="0.25">
      <c r="K5209" s="8" t="e">
        <f t="shared" si="55"/>
        <v>#VALUE!</v>
      </c>
    </row>
    <row r="5210" spans="11:11" x14ac:dyDescent="0.25">
      <c r="K5210" s="8" t="e">
        <f t="shared" si="55"/>
        <v>#VALUE!</v>
      </c>
    </row>
    <row r="5211" spans="11:11" x14ac:dyDescent="0.25">
      <c r="K5211" s="8" t="e">
        <f t="shared" si="55"/>
        <v>#VALUE!</v>
      </c>
    </row>
    <row r="5212" spans="11:11" x14ac:dyDescent="0.25">
      <c r="K5212" s="8" t="e">
        <f t="shared" si="55"/>
        <v>#VALUE!</v>
      </c>
    </row>
    <row r="5213" spans="11:11" x14ac:dyDescent="0.25">
      <c r="K5213" s="8" t="e">
        <f t="shared" si="55"/>
        <v>#VALUE!</v>
      </c>
    </row>
    <row r="5214" spans="11:11" x14ac:dyDescent="0.25">
      <c r="K5214" s="8" t="e">
        <f t="shared" si="55"/>
        <v>#VALUE!</v>
      </c>
    </row>
    <row r="5215" spans="11:11" x14ac:dyDescent="0.25">
      <c r="K5215" s="8" t="e">
        <f t="shared" si="55"/>
        <v>#VALUE!</v>
      </c>
    </row>
    <row r="5216" spans="11:11" x14ac:dyDescent="0.25">
      <c r="K5216" s="8" t="e">
        <f t="shared" si="55"/>
        <v>#VALUE!</v>
      </c>
    </row>
    <row r="5217" spans="11:11" x14ac:dyDescent="0.25">
      <c r="K5217" s="8" t="e">
        <f t="shared" si="55"/>
        <v>#VALUE!</v>
      </c>
    </row>
    <row r="5218" spans="11:11" x14ac:dyDescent="0.25">
      <c r="K5218" s="8" t="e">
        <f t="shared" si="55"/>
        <v>#VALUE!</v>
      </c>
    </row>
    <row r="5219" spans="11:11" x14ac:dyDescent="0.25">
      <c r="K5219" s="8" t="e">
        <f t="shared" si="55"/>
        <v>#VALUE!</v>
      </c>
    </row>
    <row r="5220" spans="11:11" x14ac:dyDescent="0.25">
      <c r="K5220" s="8" t="e">
        <f t="shared" si="55"/>
        <v>#VALUE!</v>
      </c>
    </row>
    <row r="5221" spans="11:11" x14ac:dyDescent="0.25">
      <c r="K5221" s="8" t="e">
        <f t="shared" si="55"/>
        <v>#VALUE!</v>
      </c>
    </row>
    <row r="5222" spans="11:11" x14ac:dyDescent="0.25">
      <c r="K5222" s="8" t="e">
        <f t="shared" si="55"/>
        <v>#VALUE!</v>
      </c>
    </row>
    <row r="5223" spans="11:11" x14ac:dyDescent="0.25">
      <c r="K5223" s="8" t="e">
        <f t="shared" si="55"/>
        <v>#VALUE!</v>
      </c>
    </row>
    <row r="5224" spans="11:11" x14ac:dyDescent="0.25">
      <c r="K5224" s="8" t="e">
        <f t="shared" si="55"/>
        <v>#VALUE!</v>
      </c>
    </row>
    <row r="5225" spans="11:11" x14ac:dyDescent="0.25">
      <c r="K5225" s="8" t="e">
        <f t="shared" si="55"/>
        <v>#VALUE!</v>
      </c>
    </row>
    <row r="5226" spans="11:11" x14ac:dyDescent="0.25">
      <c r="K5226" s="8" t="e">
        <f t="shared" si="55"/>
        <v>#VALUE!</v>
      </c>
    </row>
    <row r="5227" spans="11:11" x14ac:dyDescent="0.25">
      <c r="K5227" s="8" t="e">
        <f t="shared" si="55"/>
        <v>#VALUE!</v>
      </c>
    </row>
    <row r="5228" spans="11:11" x14ac:dyDescent="0.25">
      <c r="K5228" s="8" t="e">
        <f t="shared" si="55"/>
        <v>#VALUE!</v>
      </c>
    </row>
    <row r="5229" spans="11:11" x14ac:dyDescent="0.25">
      <c r="K5229" s="8" t="e">
        <f t="shared" si="55"/>
        <v>#VALUE!</v>
      </c>
    </row>
    <row r="5230" spans="11:11" x14ac:dyDescent="0.25">
      <c r="K5230" s="8" t="e">
        <f t="shared" si="55"/>
        <v>#VALUE!</v>
      </c>
    </row>
    <row r="5231" spans="11:11" x14ac:dyDescent="0.25">
      <c r="K5231" s="8" t="e">
        <f t="shared" si="55"/>
        <v>#VALUE!</v>
      </c>
    </row>
    <row r="5232" spans="11:11" x14ac:dyDescent="0.25">
      <c r="K5232" s="8" t="e">
        <f t="shared" si="55"/>
        <v>#VALUE!</v>
      </c>
    </row>
    <row r="5233" spans="11:11" x14ac:dyDescent="0.25">
      <c r="K5233" s="8" t="e">
        <f t="shared" si="55"/>
        <v>#VALUE!</v>
      </c>
    </row>
    <row r="5234" spans="11:11" x14ac:dyDescent="0.25">
      <c r="K5234" s="8" t="e">
        <f t="shared" si="55"/>
        <v>#VALUE!</v>
      </c>
    </row>
    <row r="5235" spans="11:11" x14ac:dyDescent="0.25">
      <c r="K5235" s="8" t="e">
        <f t="shared" si="55"/>
        <v>#VALUE!</v>
      </c>
    </row>
    <row r="5236" spans="11:11" x14ac:dyDescent="0.25">
      <c r="K5236" s="8" t="e">
        <f t="shared" si="55"/>
        <v>#VALUE!</v>
      </c>
    </row>
    <row r="5237" spans="11:11" x14ac:dyDescent="0.25">
      <c r="K5237" s="8" t="e">
        <f t="shared" si="55"/>
        <v>#VALUE!</v>
      </c>
    </row>
    <row r="5238" spans="11:11" x14ac:dyDescent="0.25">
      <c r="K5238" s="8" t="e">
        <f t="shared" si="55"/>
        <v>#VALUE!</v>
      </c>
    </row>
    <row r="5239" spans="11:11" x14ac:dyDescent="0.25">
      <c r="K5239" s="8" t="e">
        <f t="shared" si="55"/>
        <v>#VALUE!</v>
      </c>
    </row>
    <row r="5240" spans="11:11" x14ac:dyDescent="0.25">
      <c r="K5240" s="8" t="e">
        <f t="shared" si="55"/>
        <v>#VALUE!</v>
      </c>
    </row>
    <row r="5241" spans="11:11" x14ac:dyDescent="0.25">
      <c r="K5241" s="8" t="e">
        <f t="shared" si="55"/>
        <v>#VALUE!</v>
      </c>
    </row>
    <row r="5242" spans="11:11" x14ac:dyDescent="0.25">
      <c r="K5242" s="8" t="e">
        <f t="shared" si="55"/>
        <v>#VALUE!</v>
      </c>
    </row>
    <row r="5243" spans="11:11" x14ac:dyDescent="0.25">
      <c r="K5243" s="8" t="e">
        <f t="shared" si="55"/>
        <v>#VALUE!</v>
      </c>
    </row>
    <row r="5244" spans="11:11" x14ac:dyDescent="0.25">
      <c r="K5244" s="8" t="e">
        <f t="shared" si="55"/>
        <v>#VALUE!</v>
      </c>
    </row>
    <row r="5245" spans="11:11" x14ac:dyDescent="0.25">
      <c r="K5245" s="8" t="e">
        <f t="shared" si="55"/>
        <v>#VALUE!</v>
      </c>
    </row>
    <row r="5246" spans="11:11" x14ac:dyDescent="0.25">
      <c r="K5246" s="8" t="e">
        <f t="shared" si="55"/>
        <v>#VALUE!</v>
      </c>
    </row>
    <row r="5247" spans="11:11" x14ac:dyDescent="0.25">
      <c r="K5247" s="8" t="e">
        <f t="shared" si="55"/>
        <v>#VALUE!</v>
      </c>
    </row>
    <row r="5248" spans="11:11" x14ac:dyDescent="0.25">
      <c r="K5248" s="8" t="e">
        <f t="shared" si="55"/>
        <v>#VALUE!</v>
      </c>
    </row>
    <row r="5249" spans="11:11" x14ac:dyDescent="0.25">
      <c r="K5249" s="8" t="e">
        <f t="shared" si="55"/>
        <v>#VALUE!</v>
      </c>
    </row>
    <row r="5250" spans="11:11" x14ac:dyDescent="0.25">
      <c r="K5250" s="8" t="e">
        <f t="shared" si="55"/>
        <v>#VALUE!</v>
      </c>
    </row>
    <row r="5251" spans="11:11" x14ac:dyDescent="0.25">
      <c r="K5251" s="8" t="e">
        <f t="shared" ref="K5251:K5314" si="56">LEFT(A5251,FIND("/",A5251)-1)</f>
        <v>#VALUE!</v>
      </c>
    </row>
    <row r="5252" spans="11:11" x14ac:dyDescent="0.25">
      <c r="K5252" s="8" t="e">
        <f t="shared" si="56"/>
        <v>#VALUE!</v>
      </c>
    </row>
    <row r="5253" spans="11:11" x14ac:dyDescent="0.25">
      <c r="K5253" s="8" t="e">
        <f t="shared" si="56"/>
        <v>#VALUE!</v>
      </c>
    </row>
    <row r="5254" spans="11:11" x14ac:dyDescent="0.25">
      <c r="K5254" s="8" t="e">
        <f t="shared" si="56"/>
        <v>#VALUE!</v>
      </c>
    </row>
    <row r="5255" spans="11:11" x14ac:dyDescent="0.25">
      <c r="K5255" s="8" t="e">
        <f t="shared" si="56"/>
        <v>#VALUE!</v>
      </c>
    </row>
    <row r="5256" spans="11:11" x14ac:dyDescent="0.25">
      <c r="K5256" s="8" t="e">
        <f t="shared" si="56"/>
        <v>#VALUE!</v>
      </c>
    </row>
    <row r="5257" spans="11:11" x14ac:dyDescent="0.25">
      <c r="K5257" s="8" t="e">
        <f t="shared" si="56"/>
        <v>#VALUE!</v>
      </c>
    </row>
    <row r="5258" spans="11:11" x14ac:dyDescent="0.25">
      <c r="K5258" s="8" t="e">
        <f t="shared" si="56"/>
        <v>#VALUE!</v>
      </c>
    </row>
    <row r="5259" spans="11:11" x14ac:dyDescent="0.25">
      <c r="K5259" s="8" t="e">
        <f t="shared" si="56"/>
        <v>#VALUE!</v>
      </c>
    </row>
    <row r="5260" spans="11:11" x14ac:dyDescent="0.25">
      <c r="K5260" s="8" t="e">
        <f t="shared" si="56"/>
        <v>#VALUE!</v>
      </c>
    </row>
    <row r="5261" spans="11:11" x14ac:dyDescent="0.25">
      <c r="K5261" s="8" t="e">
        <f t="shared" si="56"/>
        <v>#VALUE!</v>
      </c>
    </row>
    <row r="5262" spans="11:11" x14ac:dyDescent="0.25">
      <c r="K5262" s="8" t="e">
        <f t="shared" si="56"/>
        <v>#VALUE!</v>
      </c>
    </row>
    <row r="5263" spans="11:11" x14ac:dyDescent="0.25">
      <c r="K5263" s="8" t="e">
        <f t="shared" si="56"/>
        <v>#VALUE!</v>
      </c>
    </row>
    <row r="5264" spans="11:11" x14ac:dyDescent="0.25">
      <c r="K5264" s="8" t="e">
        <f t="shared" si="56"/>
        <v>#VALUE!</v>
      </c>
    </row>
    <row r="5265" spans="11:11" x14ac:dyDescent="0.25">
      <c r="K5265" s="8" t="e">
        <f t="shared" si="56"/>
        <v>#VALUE!</v>
      </c>
    </row>
    <row r="5266" spans="11:11" x14ac:dyDescent="0.25">
      <c r="K5266" s="8" t="e">
        <f t="shared" si="56"/>
        <v>#VALUE!</v>
      </c>
    </row>
    <row r="5267" spans="11:11" x14ac:dyDescent="0.25">
      <c r="K5267" s="8" t="e">
        <f t="shared" si="56"/>
        <v>#VALUE!</v>
      </c>
    </row>
    <row r="5268" spans="11:11" x14ac:dyDescent="0.25">
      <c r="K5268" s="8" t="e">
        <f t="shared" si="56"/>
        <v>#VALUE!</v>
      </c>
    </row>
    <row r="5269" spans="11:11" x14ac:dyDescent="0.25">
      <c r="K5269" s="8" t="e">
        <f t="shared" si="56"/>
        <v>#VALUE!</v>
      </c>
    </row>
    <row r="5270" spans="11:11" x14ac:dyDescent="0.25">
      <c r="K5270" s="8" t="e">
        <f t="shared" si="56"/>
        <v>#VALUE!</v>
      </c>
    </row>
    <row r="5271" spans="11:11" x14ac:dyDescent="0.25">
      <c r="K5271" s="8" t="e">
        <f t="shared" si="56"/>
        <v>#VALUE!</v>
      </c>
    </row>
    <row r="5272" spans="11:11" x14ac:dyDescent="0.25">
      <c r="K5272" s="8" t="e">
        <f t="shared" si="56"/>
        <v>#VALUE!</v>
      </c>
    </row>
    <row r="5273" spans="11:11" x14ac:dyDescent="0.25">
      <c r="K5273" s="8" t="e">
        <f t="shared" si="56"/>
        <v>#VALUE!</v>
      </c>
    </row>
    <row r="5274" spans="11:11" x14ac:dyDescent="0.25">
      <c r="K5274" s="8" t="e">
        <f t="shared" si="56"/>
        <v>#VALUE!</v>
      </c>
    </row>
    <row r="5275" spans="11:11" x14ac:dyDescent="0.25">
      <c r="K5275" s="8" t="e">
        <f t="shared" si="56"/>
        <v>#VALUE!</v>
      </c>
    </row>
    <row r="5276" spans="11:11" x14ac:dyDescent="0.25">
      <c r="K5276" s="8" t="e">
        <f t="shared" si="56"/>
        <v>#VALUE!</v>
      </c>
    </row>
    <row r="5277" spans="11:11" x14ac:dyDescent="0.25">
      <c r="K5277" s="8" t="e">
        <f t="shared" si="56"/>
        <v>#VALUE!</v>
      </c>
    </row>
    <row r="5278" spans="11:11" x14ac:dyDescent="0.25">
      <c r="K5278" s="8" t="e">
        <f t="shared" si="56"/>
        <v>#VALUE!</v>
      </c>
    </row>
    <row r="5279" spans="11:11" x14ac:dyDescent="0.25">
      <c r="K5279" s="8" t="e">
        <f t="shared" si="56"/>
        <v>#VALUE!</v>
      </c>
    </row>
    <row r="5280" spans="11:11" x14ac:dyDescent="0.25">
      <c r="K5280" s="8" t="e">
        <f t="shared" si="56"/>
        <v>#VALUE!</v>
      </c>
    </row>
    <row r="5281" spans="11:11" x14ac:dyDescent="0.25">
      <c r="K5281" s="8" t="e">
        <f t="shared" si="56"/>
        <v>#VALUE!</v>
      </c>
    </row>
    <row r="5282" spans="11:11" x14ac:dyDescent="0.25">
      <c r="K5282" s="8" t="e">
        <f t="shared" si="56"/>
        <v>#VALUE!</v>
      </c>
    </row>
    <row r="5283" spans="11:11" x14ac:dyDescent="0.25">
      <c r="K5283" s="8" t="e">
        <f t="shared" si="56"/>
        <v>#VALUE!</v>
      </c>
    </row>
    <row r="5284" spans="11:11" x14ac:dyDescent="0.25">
      <c r="K5284" s="8" t="e">
        <f t="shared" si="56"/>
        <v>#VALUE!</v>
      </c>
    </row>
    <row r="5285" spans="11:11" x14ac:dyDescent="0.25">
      <c r="K5285" s="8" t="e">
        <f t="shared" si="56"/>
        <v>#VALUE!</v>
      </c>
    </row>
    <row r="5286" spans="11:11" x14ac:dyDescent="0.25">
      <c r="K5286" s="8" t="e">
        <f t="shared" si="56"/>
        <v>#VALUE!</v>
      </c>
    </row>
    <row r="5287" spans="11:11" x14ac:dyDescent="0.25">
      <c r="K5287" s="8" t="e">
        <f t="shared" si="56"/>
        <v>#VALUE!</v>
      </c>
    </row>
    <row r="5288" spans="11:11" x14ac:dyDescent="0.25">
      <c r="K5288" s="8" t="e">
        <f t="shared" si="56"/>
        <v>#VALUE!</v>
      </c>
    </row>
    <row r="5289" spans="11:11" x14ac:dyDescent="0.25">
      <c r="K5289" s="8" t="e">
        <f t="shared" si="56"/>
        <v>#VALUE!</v>
      </c>
    </row>
    <row r="5290" spans="11:11" x14ac:dyDescent="0.25">
      <c r="K5290" s="8" t="e">
        <f t="shared" si="56"/>
        <v>#VALUE!</v>
      </c>
    </row>
    <row r="5291" spans="11:11" x14ac:dyDescent="0.25">
      <c r="K5291" s="8" t="e">
        <f t="shared" si="56"/>
        <v>#VALUE!</v>
      </c>
    </row>
    <row r="5292" spans="11:11" x14ac:dyDescent="0.25">
      <c r="K5292" s="8" t="e">
        <f t="shared" si="56"/>
        <v>#VALUE!</v>
      </c>
    </row>
    <row r="5293" spans="11:11" x14ac:dyDescent="0.25">
      <c r="K5293" s="8" t="e">
        <f t="shared" si="56"/>
        <v>#VALUE!</v>
      </c>
    </row>
    <row r="5294" spans="11:11" x14ac:dyDescent="0.25">
      <c r="K5294" s="8" t="e">
        <f t="shared" si="56"/>
        <v>#VALUE!</v>
      </c>
    </row>
    <row r="5295" spans="11:11" x14ac:dyDescent="0.25">
      <c r="K5295" s="8" t="e">
        <f t="shared" si="56"/>
        <v>#VALUE!</v>
      </c>
    </row>
    <row r="5296" spans="11:11" x14ac:dyDescent="0.25">
      <c r="K5296" s="8" t="e">
        <f t="shared" si="56"/>
        <v>#VALUE!</v>
      </c>
    </row>
    <row r="5297" spans="11:11" x14ac:dyDescent="0.25">
      <c r="K5297" s="8" t="e">
        <f t="shared" si="56"/>
        <v>#VALUE!</v>
      </c>
    </row>
    <row r="5298" spans="11:11" x14ac:dyDescent="0.25">
      <c r="K5298" s="8" t="e">
        <f t="shared" si="56"/>
        <v>#VALUE!</v>
      </c>
    </row>
    <row r="5299" spans="11:11" x14ac:dyDescent="0.25">
      <c r="K5299" s="8" t="e">
        <f t="shared" si="56"/>
        <v>#VALUE!</v>
      </c>
    </row>
    <row r="5300" spans="11:11" x14ac:dyDescent="0.25">
      <c r="K5300" s="8" t="e">
        <f t="shared" si="56"/>
        <v>#VALUE!</v>
      </c>
    </row>
    <row r="5301" spans="11:11" x14ac:dyDescent="0.25">
      <c r="K5301" s="8" t="e">
        <f t="shared" si="56"/>
        <v>#VALUE!</v>
      </c>
    </row>
    <row r="5302" spans="11:11" x14ac:dyDescent="0.25">
      <c r="K5302" s="8" t="e">
        <f t="shared" si="56"/>
        <v>#VALUE!</v>
      </c>
    </row>
    <row r="5303" spans="11:11" x14ac:dyDescent="0.25">
      <c r="K5303" s="8" t="e">
        <f t="shared" si="56"/>
        <v>#VALUE!</v>
      </c>
    </row>
    <row r="5304" spans="11:11" x14ac:dyDescent="0.25">
      <c r="K5304" s="8" t="e">
        <f t="shared" si="56"/>
        <v>#VALUE!</v>
      </c>
    </row>
    <row r="5305" spans="11:11" x14ac:dyDescent="0.25">
      <c r="K5305" s="8" t="e">
        <f t="shared" si="56"/>
        <v>#VALUE!</v>
      </c>
    </row>
    <row r="5306" spans="11:11" x14ac:dyDescent="0.25">
      <c r="K5306" s="8" t="e">
        <f t="shared" si="56"/>
        <v>#VALUE!</v>
      </c>
    </row>
    <row r="5307" spans="11:11" x14ac:dyDescent="0.25">
      <c r="K5307" s="8" t="e">
        <f t="shared" si="56"/>
        <v>#VALUE!</v>
      </c>
    </row>
    <row r="5308" spans="11:11" x14ac:dyDescent="0.25">
      <c r="K5308" s="8" t="e">
        <f t="shared" si="56"/>
        <v>#VALUE!</v>
      </c>
    </row>
    <row r="5309" spans="11:11" x14ac:dyDescent="0.25">
      <c r="K5309" s="8" t="e">
        <f t="shared" si="56"/>
        <v>#VALUE!</v>
      </c>
    </row>
    <row r="5310" spans="11:11" x14ac:dyDescent="0.25">
      <c r="K5310" s="8" t="e">
        <f t="shared" si="56"/>
        <v>#VALUE!</v>
      </c>
    </row>
    <row r="5311" spans="11:11" x14ac:dyDescent="0.25">
      <c r="K5311" s="8" t="e">
        <f t="shared" si="56"/>
        <v>#VALUE!</v>
      </c>
    </row>
    <row r="5312" spans="11:11" x14ac:dyDescent="0.25">
      <c r="K5312" s="8" t="e">
        <f t="shared" si="56"/>
        <v>#VALUE!</v>
      </c>
    </row>
    <row r="5313" spans="11:11" x14ac:dyDescent="0.25">
      <c r="K5313" s="8" t="e">
        <f t="shared" si="56"/>
        <v>#VALUE!</v>
      </c>
    </row>
    <row r="5314" spans="11:11" x14ac:dyDescent="0.25">
      <c r="K5314" s="8" t="e">
        <f t="shared" si="56"/>
        <v>#VALUE!</v>
      </c>
    </row>
    <row r="5315" spans="11:11" x14ac:dyDescent="0.25">
      <c r="K5315" s="8" t="e">
        <f t="shared" ref="K5315:K5378" si="57">LEFT(A5315,FIND("/",A5315)-1)</f>
        <v>#VALUE!</v>
      </c>
    </row>
    <row r="5316" spans="11:11" x14ac:dyDescent="0.25">
      <c r="K5316" s="8" t="e">
        <f t="shared" si="57"/>
        <v>#VALUE!</v>
      </c>
    </row>
    <row r="5317" spans="11:11" x14ac:dyDescent="0.25">
      <c r="K5317" s="8" t="e">
        <f t="shared" si="57"/>
        <v>#VALUE!</v>
      </c>
    </row>
    <row r="5318" spans="11:11" x14ac:dyDescent="0.25">
      <c r="K5318" s="8" t="e">
        <f t="shared" si="57"/>
        <v>#VALUE!</v>
      </c>
    </row>
    <row r="5319" spans="11:11" x14ac:dyDescent="0.25">
      <c r="K5319" s="8" t="e">
        <f t="shared" si="57"/>
        <v>#VALUE!</v>
      </c>
    </row>
    <row r="5320" spans="11:11" x14ac:dyDescent="0.25">
      <c r="K5320" s="8" t="e">
        <f t="shared" si="57"/>
        <v>#VALUE!</v>
      </c>
    </row>
    <row r="5321" spans="11:11" x14ac:dyDescent="0.25">
      <c r="K5321" s="8" t="e">
        <f t="shared" si="57"/>
        <v>#VALUE!</v>
      </c>
    </row>
    <row r="5322" spans="11:11" x14ac:dyDescent="0.25">
      <c r="K5322" s="8" t="e">
        <f t="shared" si="57"/>
        <v>#VALUE!</v>
      </c>
    </row>
    <row r="5323" spans="11:11" x14ac:dyDescent="0.25">
      <c r="K5323" s="8" t="e">
        <f t="shared" si="57"/>
        <v>#VALUE!</v>
      </c>
    </row>
    <row r="5324" spans="11:11" x14ac:dyDescent="0.25">
      <c r="K5324" s="8" t="e">
        <f t="shared" si="57"/>
        <v>#VALUE!</v>
      </c>
    </row>
    <row r="5325" spans="11:11" x14ac:dyDescent="0.25">
      <c r="K5325" s="8" t="e">
        <f t="shared" si="57"/>
        <v>#VALUE!</v>
      </c>
    </row>
    <row r="5326" spans="11:11" x14ac:dyDescent="0.25">
      <c r="K5326" s="8" t="e">
        <f t="shared" si="57"/>
        <v>#VALUE!</v>
      </c>
    </row>
    <row r="5327" spans="11:11" x14ac:dyDescent="0.25">
      <c r="K5327" s="8" t="e">
        <f t="shared" si="57"/>
        <v>#VALUE!</v>
      </c>
    </row>
    <row r="5328" spans="11:11" x14ac:dyDescent="0.25">
      <c r="K5328" s="8" t="e">
        <f t="shared" si="57"/>
        <v>#VALUE!</v>
      </c>
    </row>
    <row r="5329" spans="11:11" x14ac:dyDescent="0.25">
      <c r="K5329" s="8" t="e">
        <f t="shared" si="57"/>
        <v>#VALUE!</v>
      </c>
    </row>
    <row r="5330" spans="11:11" x14ac:dyDescent="0.25">
      <c r="K5330" s="8" t="e">
        <f t="shared" si="57"/>
        <v>#VALUE!</v>
      </c>
    </row>
    <row r="5331" spans="11:11" x14ac:dyDescent="0.25">
      <c r="K5331" s="8" t="e">
        <f t="shared" si="57"/>
        <v>#VALUE!</v>
      </c>
    </row>
    <row r="5332" spans="11:11" x14ac:dyDescent="0.25">
      <c r="K5332" s="8" t="e">
        <f t="shared" si="57"/>
        <v>#VALUE!</v>
      </c>
    </row>
    <row r="5333" spans="11:11" x14ac:dyDescent="0.25">
      <c r="K5333" s="8" t="e">
        <f t="shared" si="57"/>
        <v>#VALUE!</v>
      </c>
    </row>
    <row r="5334" spans="11:11" x14ac:dyDescent="0.25">
      <c r="K5334" s="8" t="e">
        <f t="shared" si="57"/>
        <v>#VALUE!</v>
      </c>
    </row>
    <row r="5335" spans="11:11" x14ac:dyDescent="0.25">
      <c r="K5335" s="8" t="e">
        <f t="shared" si="57"/>
        <v>#VALUE!</v>
      </c>
    </row>
    <row r="5336" spans="11:11" x14ac:dyDescent="0.25">
      <c r="K5336" s="8" t="e">
        <f t="shared" si="57"/>
        <v>#VALUE!</v>
      </c>
    </row>
    <row r="5337" spans="11:11" x14ac:dyDescent="0.25">
      <c r="K5337" s="8" t="e">
        <f t="shared" si="57"/>
        <v>#VALUE!</v>
      </c>
    </row>
    <row r="5338" spans="11:11" x14ac:dyDescent="0.25">
      <c r="K5338" s="8" t="e">
        <f t="shared" si="57"/>
        <v>#VALUE!</v>
      </c>
    </row>
    <row r="5339" spans="11:11" x14ac:dyDescent="0.25">
      <c r="K5339" s="8" t="e">
        <f t="shared" si="57"/>
        <v>#VALUE!</v>
      </c>
    </row>
    <row r="5340" spans="11:11" x14ac:dyDescent="0.25">
      <c r="K5340" s="8" t="e">
        <f t="shared" si="57"/>
        <v>#VALUE!</v>
      </c>
    </row>
    <row r="5341" spans="11:11" x14ac:dyDescent="0.25">
      <c r="K5341" s="8" t="e">
        <f t="shared" si="57"/>
        <v>#VALUE!</v>
      </c>
    </row>
    <row r="5342" spans="11:11" x14ac:dyDescent="0.25">
      <c r="K5342" s="8" t="e">
        <f t="shared" si="57"/>
        <v>#VALUE!</v>
      </c>
    </row>
    <row r="5343" spans="11:11" x14ac:dyDescent="0.25">
      <c r="K5343" s="8" t="e">
        <f t="shared" si="57"/>
        <v>#VALUE!</v>
      </c>
    </row>
    <row r="5344" spans="11:11" x14ac:dyDescent="0.25">
      <c r="K5344" s="8" t="e">
        <f t="shared" si="57"/>
        <v>#VALUE!</v>
      </c>
    </row>
    <row r="5345" spans="11:11" x14ac:dyDescent="0.25">
      <c r="K5345" s="8" t="e">
        <f t="shared" si="57"/>
        <v>#VALUE!</v>
      </c>
    </row>
    <row r="5346" spans="11:11" x14ac:dyDescent="0.25">
      <c r="K5346" s="8" t="e">
        <f t="shared" si="57"/>
        <v>#VALUE!</v>
      </c>
    </row>
    <row r="5347" spans="11:11" x14ac:dyDescent="0.25">
      <c r="K5347" s="8" t="e">
        <f t="shared" si="57"/>
        <v>#VALUE!</v>
      </c>
    </row>
    <row r="5348" spans="11:11" x14ac:dyDescent="0.25">
      <c r="K5348" s="8" t="e">
        <f t="shared" si="57"/>
        <v>#VALUE!</v>
      </c>
    </row>
    <row r="5349" spans="11:11" x14ac:dyDescent="0.25">
      <c r="K5349" s="8" t="e">
        <f t="shared" si="57"/>
        <v>#VALUE!</v>
      </c>
    </row>
    <row r="5350" spans="11:11" x14ac:dyDescent="0.25">
      <c r="K5350" s="8" t="e">
        <f t="shared" si="57"/>
        <v>#VALUE!</v>
      </c>
    </row>
    <row r="5351" spans="11:11" x14ac:dyDescent="0.25">
      <c r="K5351" s="8" t="e">
        <f t="shared" si="57"/>
        <v>#VALUE!</v>
      </c>
    </row>
    <row r="5352" spans="11:11" x14ac:dyDescent="0.25">
      <c r="K5352" s="8" t="e">
        <f t="shared" si="57"/>
        <v>#VALUE!</v>
      </c>
    </row>
    <row r="5353" spans="11:11" x14ac:dyDescent="0.25">
      <c r="K5353" s="8" t="e">
        <f t="shared" si="57"/>
        <v>#VALUE!</v>
      </c>
    </row>
    <row r="5354" spans="11:11" x14ac:dyDescent="0.25">
      <c r="K5354" s="8" t="e">
        <f t="shared" si="57"/>
        <v>#VALUE!</v>
      </c>
    </row>
    <row r="5355" spans="11:11" x14ac:dyDescent="0.25">
      <c r="K5355" s="8" t="e">
        <f t="shared" si="57"/>
        <v>#VALUE!</v>
      </c>
    </row>
    <row r="5356" spans="11:11" x14ac:dyDescent="0.25">
      <c r="K5356" s="8" t="e">
        <f t="shared" si="57"/>
        <v>#VALUE!</v>
      </c>
    </row>
    <row r="5357" spans="11:11" x14ac:dyDescent="0.25">
      <c r="K5357" s="8" t="e">
        <f t="shared" si="57"/>
        <v>#VALUE!</v>
      </c>
    </row>
    <row r="5358" spans="11:11" x14ac:dyDescent="0.25">
      <c r="K5358" s="8" t="e">
        <f t="shared" si="57"/>
        <v>#VALUE!</v>
      </c>
    </row>
    <row r="5359" spans="11:11" x14ac:dyDescent="0.25">
      <c r="K5359" s="8" t="e">
        <f t="shared" si="57"/>
        <v>#VALUE!</v>
      </c>
    </row>
    <row r="5360" spans="11:11" x14ac:dyDescent="0.25">
      <c r="K5360" s="8" t="e">
        <f t="shared" si="57"/>
        <v>#VALUE!</v>
      </c>
    </row>
    <row r="5361" spans="11:11" x14ac:dyDescent="0.25">
      <c r="K5361" s="8" t="e">
        <f t="shared" si="57"/>
        <v>#VALUE!</v>
      </c>
    </row>
    <row r="5362" spans="11:11" x14ac:dyDescent="0.25">
      <c r="K5362" s="8" t="e">
        <f t="shared" si="57"/>
        <v>#VALUE!</v>
      </c>
    </row>
    <row r="5363" spans="11:11" x14ac:dyDescent="0.25">
      <c r="K5363" s="8" t="e">
        <f t="shared" si="57"/>
        <v>#VALUE!</v>
      </c>
    </row>
    <row r="5364" spans="11:11" x14ac:dyDescent="0.25">
      <c r="K5364" s="8" t="e">
        <f t="shared" si="57"/>
        <v>#VALUE!</v>
      </c>
    </row>
    <row r="5365" spans="11:11" x14ac:dyDescent="0.25">
      <c r="K5365" s="8" t="e">
        <f t="shared" si="57"/>
        <v>#VALUE!</v>
      </c>
    </row>
    <row r="5366" spans="11:11" x14ac:dyDescent="0.25">
      <c r="K5366" s="8" t="e">
        <f t="shared" si="57"/>
        <v>#VALUE!</v>
      </c>
    </row>
    <row r="5367" spans="11:11" x14ac:dyDescent="0.25">
      <c r="K5367" s="8" t="e">
        <f t="shared" si="57"/>
        <v>#VALUE!</v>
      </c>
    </row>
    <row r="5368" spans="11:11" x14ac:dyDescent="0.25">
      <c r="K5368" s="8" t="e">
        <f t="shared" si="57"/>
        <v>#VALUE!</v>
      </c>
    </row>
    <row r="5369" spans="11:11" x14ac:dyDescent="0.25">
      <c r="K5369" s="8" t="e">
        <f t="shared" si="57"/>
        <v>#VALUE!</v>
      </c>
    </row>
    <row r="5370" spans="11:11" x14ac:dyDescent="0.25">
      <c r="K5370" s="8" t="e">
        <f t="shared" si="57"/>
        <v>#VALUE!</v>
      </c>
    </row>
    <row r="5371" spans="11:11" x14ac:dyDescent="0.25">
      <c r="K5371" s="8" t="e">
        <f t="shared" si="57"/>
        <v>#VALUE!</v>
      </c>
    </row>
    <row r="5372" spans="11:11" x14ac:dyDescent="0.25">
      <c r="K5372" s="8" t="e">
        <f t="shared" si="57"/>
        <v>#VALUE!</v>
      </c>
    </row>
    <row r="5373" spans="11:11" x14ac:dyDescent="0.25">
      <c r="K5373" s="8" t="e">
        <f t="shared" si="57"/>
        <v>#VALUE!</v>
      </c>
    </row>
    <row r="5374" spans="11:11" x14ac:dyDescent="0.25">
      <c r="K5374" s="8" t="e">
        <f t="shared" si="57"/>
        <v>#VALUE!</v>
      </c>
    </row>
    <row r="5375" spans="11:11" x14ac:dyDescent="0.25">
      <c r="K5375" s="8" t="e">
        <f t="shared" si="57"/>
        <v>#VALUE!</v>
      </c>
    </row>
    <row r="5376" spans="11:11" x14ac:dyDescent="0.25">
      <c r="K5376" s="8" t="e">
        <f t="shared" si="57"/>
        <v>#VALUE!</v>
      </c>
    </row>
    <row r="5377" spans="11:11" x14ac:dyDescent="0.25">
      <c r="K5377" s="8" t="e">
        <f t="shared" si="57"/>
        <v>#VALUE!</v>
      </c>
    </row>
    <row r="5378" spans="11:11" x14ac:dyDescent="0.25">
      <c r="K5378" s="8" t="e">
        <f t="shared" si="57"/>
        <v>#VALUE!</v>
      </c>
    </row>
    <row r="5379" spans="11:11" x14ac:dyDescent="0.25">
      <c r="K5379" s="8" t="e">
        <f t="shared" ref="K5379:K5442" si="58">LEFT(A5379,FIND("/",A5379)-1)</f>
        <v>#VALUE!</v>
      </c>
    </row>
    <row r="5380" spans="11:11" x14ac:dyDescent="0.25">
      <c r="K5380" s="8" t="e">
        <f t="shared" si="58"/>
        <v>#VALUE!</v>
      </c>
    </row>
    <row r="5381" spans="11:11" x14ac:dyDescent="0.25">
      <c r="K5381" s="8" t="e">
        <f t="shared" si="58"/>
        <v>#VALUE!</v>
      </c>
    </row>
    <row r="5382" spans="11:11" x14ac:dyDescent="0.25">
      <c r="K5382" s="8" t="e">
        <f t="shared" si="58"/>
        <v>#VALUE!</v>
      </c>
    </row>
    <row r="5383" spans="11:11" x14ac:dyDescent="0.25">
      <c r="K5383" s="8" t="e">
        <f t="shared" si="58"/>
        <v>#VALUE!</v>
      </c>
    </row>
    <row r="5384" spans="11:11" x14ac:dyDescent="0.25">
      <c r="K5384" s="8" t="e">
        <f t="shared" si="58"/>
        <v>#VALUE!</v>
      </c>
    </row>
    <row r="5385" spans="11:11" x14ac:dyDescent="0.25">
      <c r="K5385" s="8" t="e">
        <f t="shared" si="58"/>
        <v>#VALUE!</v>
      </c>
    </row>
    <row r="5386" spans="11:11" x14ac:dyDescent="0.25">
      <c r="K5386" s="8" t="e">
        <f t="shared" si="58"/>
        <v>#VALUE!</v>
      </c>
    </row>
    <row r="5387" spans="11:11" x14ac:dyDescent="0.25">
      <c r="K5387" s="8" t="e">
        <f t="shared" si="58"/>
        <v>#VALUE!</v>
      </c>
    </row>
    <row r="5388" spans="11:11" x14ac:dyDescent="0.25">
      <c r="K5388" s="8" t="e">
        <f t="shared" si="58"/>
        <v>#VALUE!</v>
      </c>
    </row>
    <row r="5389" spans="11:11" x14ac:dyDescent="0.25">
      <c r="K5389" s="8" t="e">
        <f t="shared" si="58"/>
        <v>#VALUE!</v>
      </c>
    </row>
    <row r="5390" spans="11:11" x14ac:dyDescent="0.25">
      <c r="K5390" s="8" t="e">
        <f t="shared" si="58"/>
        <v>#VALUE!</v>
      </c>
    </row>
    <row r="5391" spans="11:11" x14ac:dyDescent="0.25">
      <c r="K5391" s="8" t="e">
        <f t="shared" si="58"/>
        <v>#VALUE!</v>
      </c>
    </row>
    <row r="5392" spans="11:11" x14ac:dyDescent="0.25">
      <c r="K5392" s="8" t="e">
        <f t="shared" si="58"/>
        <v>#VALUE!</v>
      </c>
    </row>
    <row r="5393" spans="11:11" x14ac:dyDescent="0.25">
      <c r="K5393" s="8" t="e">
        <f t="shared" si="58"/>
        <v>#VALUE!</v>
      </c>
    </row>
    <row r="5394" spans="11:11" x14ac:dyDescent="0.25">
      <c r="K5394" s="8" t="e">
        <f t="shared" si="58"/>
        <v>#VALUE!</v>
      </c>
    </row>
    <row r="5395" spans="11:11" x14ac:dyDescent="0.25">
      <c r="K5395" s="8" t="e">
        <f t="shared" si="58"/>
        <v>#VALUE!</v>
      </c>
    </row>
    <row r="5396" spans="11:11" x14ac:dyDescent="0.25">
      <c r="K5396" s="8" t="e">
        <f t="shared" si="58"/>
        <v>#VALUE!</v>
      </c>
    </row>
    <row r="5397" spans="11:11" x14ac:dyDescent="0.25">
      <c r="K5397" s="8" t="e">
        <f t="shared" si="58"/>
        <v>#VALUE!</v>
      </c>
    </row>
    <row r="5398" spans="11:11" x14ac:dyDescent="0.25">
      <c r="K5398" s="8" t="e">
        <f t="shared" si="58"/>
        <v>#VALUE!</v>
      </c>
    </row>
    <row r="5399" spans="11:11" x14ac:dyDescent="0.25">
      <c r="K5399" s="8" t="e">
        <f t="shared" si="58"/>
        <v>#VALUE!</v>
      </c>
    </row>
    <row r="5400" spans="11:11" x14ac:dyDescent="0.25">
      <c r="K5400" s="8" t="e">
        <f t="shared" si="58"/>
        <v>#VALUE!</v>
      </c>
    </row>
    <row r="5401" spans="11:11" x14ac:dyDescent="0.25">
      <c r="K5401" s="8" t="e">
        <f t="shared" si="58"/>
        <v>#VALUE!</v>
      </c>
    </row>
    <row r="5402" spans="11:11" x14ac:dyDescent="0.25">
      <c r="K5402" s="8" t="e">
        <f t="shared" si="58"/>
        <v>#VALUE!</v>
      </c>
    </row>
    <row r="5403" spans="11:11" x14ac:dyDescent="0.25">
      <c r="K5403" s="8" t="e">
        <f t="shared" si="58"/>
        <v>#VALUE!</v>
      </c>
    </row>
    <row r="5404" spans="11:11" x14ac:dyDescent="0.25">
      <c r="K5404" s="8" t="e">
        <f t="shared" si="58"/>
        <v>#VALUE!</v>
      </c>
    </row>
    <row r="5405" spans="11:11" x14ac:dyDescent="0.25">
      <c r="K5405" s="8" t="e">
        <f t="shared" si="58"/>
        <v>#VALUE!</v>
      </c>
    </row>
    <row r="5406" spans="11:11" x14ac:dyDescent="0.25">
      <c r="K5406" s="8" t="e">
        <f t="shared" si="58"/>
        <v>#VALUE!</v>
      </c>
    </row>
    <row r="5407" spans="11:11" x14ac:dyDescent="0.25">
      <c r="K5407" s="8" t="e">
        <f t="shared" si="58"/>
        <v>#VALUE!</v>
      </c>
    </row>
    <row r="5408" spans="11:11" x14ac:dyDescent="0.25">
      <c r="K5408" s="8" t="e">
        <f t="shared" si="58"/>
        <v>#VALUE!</v>
      </c>
    </row>
    <row r="5409" spans="11:11" x14ac:dyDescent="0.25">
      <c r="K5409" s="8" t="e">
        <f t="shared" si="58"/>
        <v>#VALUE!</v>
      </c>
    </row>
    <row r="5410" spans="11:11" x14ac:dyDescent="0.25">
      <c r="K5410" s="8" t="e">
        <f t="shared" si="58"/>
        <v>#VALUE!</v>
      </c>
    </row>
    <row r="5411" spans="11:11" x14ac:dyDescent="0.25">
      <c r="K5411" s="8" t="e">
        <f t="shared" si="58"/>
        <v>#VALUE!</v>
      </c>
    </row>
    <row r="5412" spans="11:11" x14ac:dyDescent="0.25">
      <c r="K5412" s="8" t="e">
        <f t="shared" si="58"/>
        <v>#VALUE!</v>
      </c>
    </row>
    <row r="5413" spans="11:11" x14ac:dyDescent="0.25">
      <c r="K5413" s="8" t="e">
        <f t="shared" si="58"/>
        <v>#VALUE!</v>
      </c>
    </row>
    <row r="5414" spans="11:11" x14ac:dyDescent="0.25">
      <c r="K5414" s="8" t="e">
        <f t="shared" si="58"/>
        <v>#VALUE!</v>
      </c>
    </row>
    <row r="5415" spans="11:11" x14ac:dyDescent="0.25">
      <c r="K5415" s="8" t="e">
        <f t="shared" si="58"/>
        <v>#VALUE!</v>
      </c>
    </row>
    <row r="5416" spans="11:11" x14ac:dyDescent="0.25">
      <c r="K5416" s="8" t="e">
        <f t="shared" si="58"/>
        <v>#VALUE!</v>
      </c>
    </row>
    <row r="5417" spans="11:11" x14ac:dyDescent="0.25">
      <c r="K5417" s="8" t="e">
        <f t="shared" si="58"/>
        <v>#VALUE!</v>
      </c>
    </row>
    <row r="5418" spans="11:11" x14ac:dyDescent="0.25">
      <c r="K5418" s="8" t="e">
        <f t="shared" si="58"/>
        <v>#VALUE!</v>
      </c>
    </row>
    <row r="5419" spans="11:11" x14ac:dyDescent="0.25">
      <c r="K5419" s="8" t="e">
        <f t="shared" si="58"/>
        <v>#VALUE!</v>
      </c>
    </row>
    <row r="5420" spans="11:11" x14ac:dyDescent="0.25">
      <c r="K5420" s="8" t="e">
        <f t="shared" si="58"/>
        <v>#VALUE!</v>
      </c>
    </row>
    <row r="5421" spans="11:11" x14ac:dyDescent="0.25">
      <c r="K5421" s="8" t="e">
        <f t="shared" si="58"/>
        <v>#VALUE!</v>
      </c>
    </row>
    <row r="5422" spans="11:11" x14ac:dyDescent="0.25">
      <c r="K5422" s="8" t="e">
        <f t="shared" si="58"/>
        <v>#VALUE!</v>
      </c>
    </row>
    <row r="5423" spans="11:11" x14ac:dyDescent="0.25">
      <c r="K5423" s="8" t="e">
        <f t="shared" si="58"/>
        <v>#VALUE!</v>
      </c>
    </row>
    <row r="5424" spans="11:11" x14ac:dyDescent="0.25">
      <c r="K5424" s="8" t="e">
        <f t="shared" si="58"/>
        <v>#VALUE!</v>
      </c>
    </row>
    <row r="5425" spans="11:11" x14ac:dyDescent="0.25">
      <c r="K5425" s="8" t="e">
        <f t="shared" si="58"/>
        <v>#VALUE!</v>
      </c>
    </row>
    <row r="5426" spans="11:11" x14ac:dyDescent="0.25">
      <c r="K5426" s="8" t="e">
        <f t="shared" si="58"/>
        <v>#VALUE!</v>
      </c>
    </row>
    <row r="5427" spans="11:11" x14ac:dyDescent="0.25">
      <c r="K5427" s="8" t="e">
        <f t="shared" si="58"/>
        <v>#VALUE!</v>
      </c>
    </row>
    <row r="5428" spans="11:11" x14ac:dyDescent="0.25">
      <c r="K5428" s="8" t="e">
        <f t="shared" si="58"/>
        <v>#VALUE!</v>
      </c>
    </row>
    <row r="5429" spans="11:11" x14ac:dyDescent="0.25">
      <c r="K5429" s="8" t="e">
        <f t="shared" si="58"/>
        <v>#VALUE!</v>
      </c>
    </row>
    <row r="5430" spans="11:11" x14ac:dyDescent="0.25">
      <c r="K5430" s="8" t="e">
        <f t="shared" si="58"/>
        <v>#VALUE!</v>
      </c>
    </row>
    <row r="5431" spans="11:11" x14ac:dyDescent="0.25">
      <c r="K5431" s="8" t="e">
        <f t="shared" si="58"/>
        <v>#VALUE!</v>
      </c>
    </row>
    <row r="5432" spans="11:11" x14ac:dyDescent="0.25">
      <c r="K5432" s="8" t="e">
        <f t="shared" si="58"/>
        <v>#VALUE!</v>
      </c>
    </row>
    <row r="5433" spans="11:11" x14ac:dyDescent="0.25">
      <c r="K5433" s="8" t="e">
        <f t="shared" si="58"/>
        <v>#VALUE!</v>
      </c>
    </row>
    <row r="5434" spans="11:11" x14ac:dyDescent="0.25">
      <c r="K5434" s="8" t="e">
        <f t="shared" si="58"/>
        <v>#VALUE!</v>
      </c>
    </row>
    <row r="5435" spans="11:11" x14ac:dyDescent="0.25">
      <c r="K5435" s="8" t="e">
        <f t="shared" si="58"/>
        <v>#VALUE!</v>
      </c>
    </row>
    <row r="5436" spans="11:11" x14ac:dyDescent="0.25">
      <c r="K5436" s="8" t="e">
        <f t="shared" si="58"/>
        <v>#VALUE!</v>
      </c>
    </row>
    <row r="5437" spans="11:11" x14ac:dyDescent="0.25">
      <c r="K5437" s="8" t="e">
        <f t="shared" si="58"/>
        <v>#VALUE!</v>
      </c>
    </row>
    <row r="5438" spans="11:11" x14ac:dyDescent="0.25">
      <c r="K5438" s="8" t="e">
        <f t="shared" si="58"/>
        <v>#VALUE!</v>
      </c>
    </row>
    <row r="5439" spans="11:11" x14ac:dyDescent="0.25">
      <c r="K5439" s="8" t="e">
        <f t="shared" si="58"/>
        <v>#VALUE!</v>
      </c>
    </row>
    <row r="5440" spans="11:11" x14ac:dyDescent="0.25">
      <c r="K5440" s="8" t="e">
        <f t="shared" si="58"/>
        <v>#VALUE!</v>
      </c>
    </row>
    <row r="5441" spans="11:11" x14ac:dyDescent="0.25">
      <c r="K5441" s="8" t="e">
        <f t="shared" si="58"/>
        <v>#VALUE!</v>
      </c>
    </row>
    <row r="5442" spans="11:11" x14ac:dyDescent="0.25">
      <c r="K5442" s="8" t="e">
        <f t="shared" si="58"/>
        <v>#VALUE!</v>
      </c>
    </row>
    <row r="5443" spans="11:11" x14ac:dyDescent="0.25">
      <c r="K5443" s="8" t="e">
        <f t="shared" ref="K5443:K5506" si="59">LEFT(A5443,FIND("/",A5443)-1)</f>
        <v>#VALUE!</v>
      </c>
    </row>
    <row r="5444" spans="11:11" x14ac:dyDescent="0.25">
      <c r="K5444" s="8" t="e">
        <f t="shared" si="59"/>
        <v>#VALUE!</v>
      </c>
    </row>
    <row r="5445" spans="11:11" x14ac:dyDescent="0.25">
      <c r="K5445" s="8" t="e">
        <f t="shared" si="59"/>
        <v>#VALUE!</v>
      </c>
    </row>
    <row r="5446" spans="11:11" x14ac:dyDescent="0.25">
      <c r="K5446" s="8" t="e">
        <f t="shared" si="59"/>
        <v>#VALUE!</v>
      </c>
    </row>
    <row r="5447" spans="11:11" x14ac:dyDescent="0.25">
      <c r="K5447" s="8" t="e">
        <f t="shared" si="59"/>
        <v>#VALUE!</v>
      </c>
    </row>
    <row r="5448" spans="11:11" x14ac:dyDescent="0.25">
      <c r="K5448" s="8" t="e">
        <f t="shared" si="59"/>
        <v>#VALUE!</v>
      </c>
    </row>
    <row r="5449" spans="11:11" x14ac:dyDescent="0.25">
      <c r="K5449" s="8" t="e">
        <f t="shared" si="59"/>
        <v>#VALUE!</v>
      </c>
    </row>
    <row r="5450" spans="11:11" x14ac:dyDescent="0.25">
      <c r="K5450" s="8" t="e">
        <f t="shared" si="59"/>
        <v>#VALUE!</v>
      </c>
    </row>
    <row r="5451" spans="11:11" x14ac:dyDescent="0.25">
      <c r="K5451" s="8" t="e">
        <f t="shared" si="59"/>
        <v>#VALUE!</v>
      </c>
    </row>
    <row r="5452" spans="11:11" x14ac:dyDescent="0.25">
      <c r="K5452" s="8" t="e">
        <f t="shared" si="59"/>
        <v>#VALUE!</v>
      </c>
    </row>
    <row r="5453" spans="11:11" x14ac:dyDescent="0.25">
      <c r="K5453" s="8" t="e">
        <f t="shared" si="59"/>
        <v>#VALUE!</v>
      </c>
    </row>
    <row r="5454" spans="11:11" x14ac:dyDescent="0.25">
      <c r="K5454" s="8" t="e">
        <f t="shared" si="59"/>
        <v>#VALUE!</v>
      </c>
    </row>
    <row r="5455" spans="11:11" x14ac:dyDescent="0.25">
      <c r="K5455" s="8" t="e">
        <f t="shared" si="59"/>
        <v>#VALUE!</v>
      </c>
    </row>
    <row r="5456" spans="11:11" x14ac:dyDescent="0.25">
      <c r="K5456" s="8" t="e">
        <f t="shared" si="59"/>
        <v>#VALUE!</v>
      </c>
    </row>
    <row r="5457" spans="11:11" x14ac:dyDescent="0.25">
      <c r="K5457" s="8" t="e">
        <f t="shared" si="59"/>
        <v>#VALUE!</v>
      </c>
    </row>
    <row r="5458" spans="11:11" x14ac:dyDescent="0.25">
      <c r="K5458" s="8" t="e">
        <f t="shared" si="59"/>
        <v>#VALUE!</v>
      </c>
    </row>
    <row r="5459" spans="11:11" x14ac:dyDescent="0.25">
      <c r="K5459" s="8" t="e">
        <f t="shared" si="59"/>
        <v>#VALUE!</v>
      </c>
    </row>
    <row r="5460" spans="11:11" x14ac:dyDescent="0.25">
      <c r="K5460" s="8" t="e">
        <f t="shared" si="59"/>
        <v>#VALUE!</v>
      </c>
    </row>
    <row r="5461" spans="11:11" x14ac:dyDescent="0.25">
      <c r="K5461" s="8" t="e">
        <f t="shared" si="59"/>
        <v>#VALUE!</v>
      </c>
    </row>
    <row r="5462" spans="11:11" x14ac:dyDescent="0.25">
      <c r="K5462" s="8" t="e">
        <f t="shared" si="59"/>
        <v>#VALUE!</v>
      </c>
    </row>
    <row r="5463" spans="11:11" x14ac:dyDescent="0.25">
      <c r="K5463" s="8" t="e">
        <f t="shared" si="59"/>
        <v>#VALUE!</v>
      </c>
    </row>
    <row r="5464" spans="11:11" x14ac:dyDescent="0.25">
      <c r="K5464" s="8" t="e">
        <f t="shared" si="59"/>
        <v>#VALUE!</v>
      </c>
    </row>
    <row r="5465" spans="11:11" x14ac:dyDescent="0.25">
      <c r="K5465" s="8" t="e">
        <f t="shared" si="59"/>
        <v>#VALUE!</v>
      </c>
    </row>
    <row r="5466" spans="11:11" x14ac:dyDescent="0.25">
      <c r="K5466" s="8" t="e">
        <f t="shared" si="59"/>
        <v>#VALUE!</v>
      </c>
    </row>
    <row r="5467" spans="11:11" x14ac:dyDescent="0.25">
      <c r="K5467" s="8" t="e">
        <f t="shared" si="59"/>
        <v>#VALUE!</v>
      </c>
    </row>
    <row r="5468" spans="11:11" x14ac:dyDescent="0.25">
      <c r="K5468" s="8" t="e">
        <f t="shared" si="59"/>
        <v>#VALUE!</v>
      </c>
    </row>
    <row r="5469" spans="11:11" x14ac:dyDescent="0.25">
      <c r="K5469" s="8" t="e">
        <f t="shared" si="59"/>
        <v>#VALUE!</v>
      </c>
    </row>
    <row r="5470" spans="11:11" x14ac:dyDescent="0.25">
      <c r="K5470" s="8" t="e">
        <f t="shared" si="59"/>
        <v>#VALUE!</v>
      </c>
    </row>
    <row r="5471" spans="11:11" x14ac:dyDescent="0.25">
      <c r="K5471" s="8" t="e">
        <f t="shared" si="59"/>
        <v>#VALUE!</v>
      </c>
    </row>
    <row r="5472" spans="11:11" x14ac:dyDescent="0.25">
      <c r="K5472" s="8" t="e">
        <f t="shared" si="59"/>
        <v>#VALUE!</v>
      </c>
    </row>
    <row r="5473" spans="11:11" x14ac:dyDescent="0.25">
      <c r="K5473" s="8" t="e">
        <f t="shared" si="59"/>
        <v>#VALUE!</v>
      </c>
    </row>
    <row r="5474" spans="11:11" x14ac:dyDescent="0.25">
      <c r="K5474" s="8" t="e">
        <f t="shared" si="59"/>
        <v>#VALUE!</v>
      </c>
    </row>
    <row r="5475" spans="11:11" x14ac:dyDescent="0.25">
      <c r="K5475" s="8" t="e">
        <f t="shared" si="59"/>
        <v>#VALUE!</v>
      </c>
    </row>
    <row r="5476" spans="11:11" x14ac:dyDescent="0.25">
      <c r="K5476" s="8" t="e">
        <f t="shared" si="59"/>
        <v>#VALUE!</v>
      </c>
    </row>
    <row r="5477" spans="11:11" x14ac:dyDescent="0.25">
      <c r="K5477" s="8" t="e">
        <f t="shared" si="59"/>
        <v>#VALUE!</v>
      </c>
    </row>
    <row r="5478" spans="11:11" x14ac:dyDescent="0.25">
      <c r="K5478" s="8" t="e">
        <f t="shared" si="59"/>
        <v>#VALUE!</v>
      </c>
    </row>
    <row r="5479" spans="11:11" x14ac:dyDescent="0.25">
      <c r="K5479" s="8" t="e">
        <f t="shared" si="59"/>
        <v>#VALUE!</v>
      </c>
    </row>
    <row r="5480" spans="11:11" x14ac:dyDescent="0.25">
      <c r="K5480" s="8" t="e">
        <f t="shared" si="59"/>
        <v>#VALUE!</v>
      </c>
    </row>
    <row r="5481" spans="11:11" x14ac:dyDescent="0.25">
      <c r="K5481" s="8" t="e">
        <f t="shared" si="59"/>
        <v>#VALUE!</v>
      </c>
    </row>
    <row r="5482" spans="11:11" x14ac:dyDescent="0.25">
      <c r="K5482" s="8" t="e">
        <f t="shared" si="59"/>
        <v>#VALUE!</v>
      </c>
    </row>
    <row r="5483" spans="11:11" x14ac:dyDescent="0.25">
      <c r="K5483" s="8" t="e">
        <f t="shared" si="59"/>
        <v>#VALUE!</v>
      </c>
    </row>
    <row r="5484" spans="11:11" x14ac:dyDescent="0.25">
      <c r="K5484" s="8" t="e">
        <f t="shared" si="59"/>
        <v>#VALUE!</v>
      </c>
    </row>
    <row r="5485" spans="11:11" x14ac:dyDescent="0.25">
      <c r="K5485" s="8" t="e">
        <f t="shared" si="59"/>
        <v>#VALUE!</v>
      </c>
    </row>
    <row r="5486" spans="11:11" x14ac:dyDescent="0.25">
      <c r="K5486" s="8" t="e">
        <f t="shared" si="59"/>
        <v>#VALUE!</v>
      </c>
    </row>
    <row r="5487" spans="11:11" x14ac:dyDescent="0.25">
      <c r="K5487" s="8" t="e">
        <f t="shared" si="59"/>
        <v>#VALUE!</v>
      </c>
    </row>
    <row r="5488" spans="11:11" x14ac:dyDescent="0.25">
      <c r="K5488" s="8" t="e">
        <f t="shared" si="59"/>
        <v>#VALUE!</v>
      </c>
    </row>
    <row r="5489" spans="11:11" x14ac:dyDescent="0.25">
      <c r="K5489" s="8" t="e">
        <f t="shared" si="59"/>
        <v>#VALUE!</v>
      </c>
    </row>
    <row r="5490" spans="11:11" x14ac:dyDescent="0.25">
      <c r="K5490" s="8" t="e">
        <f t="shared" si="59"/>
        <v>#VALUE!</v>
      </c>
    </row>
    <row r="5491" spans="11:11" x14ac:dyDescent="0.25">
      <c r="K5491" s="8" t="e">
        <f t="shared" si="59"/>
        <v>#VALUE!</v>
      </c>
    </row>
    <row r="5492" spans="11:11" x14ac:dyDescent="0.25">
      <c r="K5492" s="8" t="e">
        <f t="shared" si="59"/>
        <v>#VALUE!</v>
      </c>
    </row>
    <row r="5493" spans="11:11" x14ac:dyDescent="0.25">
      <c r="K5493" s="8" t="e">
        <f t="shared" si="59"/>
        <v>#VALUE!</v>
      </c>
    </row>
    <row r="5494" spans="11:11" x14ac:dyDescent="0.25">
      <c r="K5494" s="8" t="e">
        <f t="shared" si="59"/>
        <v>#VALUE!</v>
      </c>
    </row>
    <row r="5495" spans="11:11" x14ac:dyDescent="0.25">
      <c r="K5495" s="8" t="e">
        <f t="shared" si="59"/>
        <v>#VALUE!</v>
      </c>
    </row>
    <row r="5496" spans="11:11" x14ac:dyDescent="0.25">
      <c r="K5496" s="8" t="e">
        <f t="shared" si="59"/>
        <v>#VALUE!</v>
      </c>
    </row>
    <row r="5497" spans="11:11" x14ac:dyDescent="0.25">
      <c r="K5497" s="8" t="e">
        <f t="shared" si="59"/>
        <v>#VALUE!</v>
      </c>
    </row>
    <row r="5498" spans="11:11" x14ac:dyDescent="0.25">
      <c r="K5498" s="8" t="e">
        <f t="shared" si="59"/>
        <v>#VALUE!</v>
      </c>
    </row>
    <row r="5499" spans="11:11" x14ac:dyDescent="0.25">
      <c r="K5499" s="8" t="e">
        <f t="shared" si="59"/>
        <v>#VALUE!</v>
      </c>
    </row>
    <row r="5500" spans="11:11" x14ac:dyDescent="0.25">
      <c r="K5500" s="8" t="e">
        <f t="shared" si="59"/>
        <v>#VALUE!</v>
      </c>
    </row>
    <row r="5501" spans="11:11" x14ac:dyDescent="0.25">
      <c r="K5501" s="8" t="e">
        <f t="shared" si="59"/>
        <v>#VALUE!</v>
      </c>
    </row>
    <row r="5502" spans="11:11" x14ac:dyDescent="0.25">
      <c r="K5502" s="8" t="e">
        <f t="shared" si="59"/>
        <v>#VALUE!</v>
      </c>
    </row>
    <row r="5503" spans="11:11" x14ac:dyDescent="0.25">
      <c r="K5503" s="8" t="e">
        <f t="shared" si="59"/>
        <v>#VALUE!</v>
      </c>
    </row>
    <row r="5504" spans="11:11" x14ac:dyDescent="0.25">
      <c r="K5504" s="8" t="e">
        <f t="shared" si="59"/>
        <v>#VALUE!</v>
      </c>
    </row>
    <row r="5505" spans="11:11" x14ac:dyDescent="0.25">
      <c r="K5505" s="8" t="e">
        <f t="shared" si="59"/>
        <v>#VALUE!</v>
      </c>
    </row>
    <row r="5506" spans="11:11" x14ac:dyDescent="0.25">
      <c r="K5506" s="8" t="e">
        <f t="shared" si="59"/>
        <v>#VALUE!</v>
      </c>
    </row>
    <row r="5507" spans="11:11" x14ac:dyDescent="0.25">
      <c r="K5507" s="8" t="e">
        <f t="shared" ref="K5507:K5570" si="60">LEFT(A5507,FIND("/",A5507)-1)</f>
        <v>#VALUE!</v>
      </c>
    </row>
    <row r="5508" spans="11:11" x14ac:dyDescent="0.25">
      <c r="K5508" s="8" t="e">
        <f t="shared" si="60"/>
        <v>#VALUE!</v>
      </c>
    </row>
    <row r="5509" spans="11:11" x14ac:dyDescent="0.25">
      <c r="K5509" s="8" t="e">
        <f t="shared" si="60"/>
        <v>#VALUE!</v>
      </c>
    </row>
    <row r="5510" spans="11:11" x14ac:dyDescent="0.25">
      <c r="K5510" s="8" t="e">
        <f t="shared" si="60"/>
        <v>#VALUE!</v>
      </c>
    </row>
    <row r="5511" spans="11:11" x14ac:dyDescent="0.25">
      <c r="K5511" s="8" t="e">
        <f t="shared" si="60"/>
        <v>#VALUE!</v>
      </c>
    </row>
    <row r="5512" spans="11:11" x14ac:dyDescent="0.25">
      <c r="K5512" s="8" t="e">
        <f t="shared" si="60"/>
        <v>#VALUE!</v>
      </c>
    </row>
    <row r="5513" spans="11:11" x14ac:dyDescent="0.25">
      <c r="K5513" s="8" t="e">
        <f t="shared" si="60"/>
        <v>#VALUE!</v>
      </c>
    </row>
    <row r="5514" spans="11:11" x14ac:dyDescent="0.25">
      <c r="K5514" s="8" t="e">
        <f t="shared" si="60"/>
        <v>#VALUE!</v>
      </c>
    </row>
    <row r="5515" spans="11:11" x14ac:dyDescent="0.25">
      <c r="K5515" s="8" t="e">
        <f t="shared" si="60"/>
        <v>#VALUE!</v>
      </c>
    </row>
    <row r="5516" spans="11:11" x14ac:dyDescent="0.25">
      <c r="K5516" s="8" t="e">
        <f t="shared" si="60"/>
        <v>#VALUE!</v>
      </c>
    </row>
    <row r="5517" spans="11:11" x14ac:dyDescent="0.25">
      <c r="K5517" s="8" t="e">
        <f t="shared" si="60"/>
        <v>#VALUE!</v>
      </c>
    </row>
    <row r="5518" spans="11:11" x14ac:dyDescent="0.25">
      <c r="K5518" s="8" t="e">
        <f t="shared" si="60"/>
        <v>#VALUE!</v>
      </c>
    </row>
    <row r="5519" spans="11:11" x14ac:dyDescent="0.25">
      <c r="K5519" s="8" t="e">
        <f t="shared" si="60"/>
        <v>#VALUE!</v>
      </c>
    </row>
    <row r="5520" spans="11:11" x14ac:dyDescent="0.25">
      <c r="K5520" s="8" t="e">
        <f t="shared" si="60"/>
        <v>#VALUE!</v>
      </c>
    </row>
    <row r="5521" spans="11:11" x14ac:dyDescent="0.25">
      <c r="K5521" s="8" t="e">
        <f t="shared" si="60"/>
        <v>#VALUE!</v>
      </c>
    </row>
    <row r="5522" spans="11:11" x14ac:dyDescent="0.25">
      <c r="K5522" s="8" t="e">
        <f t="shared" si="60"/>
        <v>#VALUE!</v>
      </c>
    </row>
    <row r="5523" spans="11:11" x14ac:dyDescent="0.25">
      <c r="K5523" s="8" t="e">
        <f t="shared" si="60"/>
        <v>#VALUE!</v>
      </c>
    </row>
    <row r="5524" spans="11:11" x14ac:dyDescent="0.25">
      <c r="K5524" s="8" t="e">
        <f t="shared" si="60"/>
        <v>#VALUE!</v>
      </c>
    </row>
    <row r="5525" spans="11:11" x14ac:dyDescent="0.25">
      <c r="K5525" s="8" t="e">
        <f t="shared" si="60"/>
        <v>#VALUE!</v>
      </c>
    </row>
    <row r="5526" spans="11:11" x14ac:dyDescent="0.25">
      <c r="K5526" s="8" t="e">
        <f t="shared" si="60"/>
        <v>#VALUE!</v>
      </c>
    </row>
    <row r="5527" spans="11:11" x14ac:dyDescent="0.25">
      <c r="K5527" s="8" t="e">
        <f t="shared" si="60"/>
        <v>#VALUE!</v>
      </c>
    </row>
    <row r="5528" spans="11:11" x14ac:dyDescent="0.25">
      <c r="K5528" s="8" t="e">
        <f t="shared" si="60"/>
        <v>#VALUE!</v>
      </c>
    </row>
    <row r="5529" spans="11:11" x14ac:dyDescent="0.25">
      <c r="K5529" s="8" t="e">
        <f t="shared" si="60"/>
        <v>#VALUE!</v>
      </c>
    </row>
    <row r="5530" spans="11:11" x14ac:dyDescent="0.25">
      <c r="K5530" s="8" t="e">
        <f t="shared" si="60"/>
        <v>#VALUE!</v>
      </c>
    </row>
    <row r="5531" spans="11:11" x14ac:dyDescent="0.25">
      <c r="K5531" s="8" t="e">
        <f t="shared" si="60"/>
        <v>#VALUE!</v>
      </c>
    </row>
    <row r="5532" spans="11:11" x14ac:dyDescent="0.25">
      <c r="K5532" s="8" t="e">
        <f t="shared" si="60"/>
        <v>#VALUE!</v>
      </c>
    </row>
    <row r="5533" spans="11:11" x14ac:dyDescent="0.25">
      <c r="K5533" s="8" t="e">
        <f t="shared" si="60"/>
        <v>#VALUE!</v>
      </c>
    </row>
    <row r="5534" spans="11:11" x14ac:dyDescent="0.25">
      <c r="K5534" s="8" t="e">
        <f t="shared" si="60"/>
        <v>#VALUE!</v>
      </c>
    </row>
    <row r="5535" spans="11:11" x14ac:dyDescent="0.25">
      <c r="K5535" s="8" t="e">
        <f t="shared" si="60"/>
        <v>#VALUE!</v>
      </c>
    </row>
    <row r="5536" spans="11:11" x14ac:dyDescent="0.25">
      <c r="K5536" s="8" t="e">
        <f t="shared" si="60"/>
        <v>#VALUE!</v>
      </c>
    </row>
    <row r="5537" spans="11:11" x14ac:dyDescent="0.25">
      <c r="K5537" s="8" t="e">
        <f t="shared" si="60"/>
        <v>#VALUE!</v>
      </c>
    </row>
    <row r="5538" spans="11:11" x14ac:dyDescent="0.25">
      <c r="K5538" s="8" t="e">
        <f t="shared" si="60"/>
        <v>#VALUE!</v>
      </c>
    </row>
    <row r="5539" spans="11:11" x14ac:dyDescent="0.25">
      <c r="K5539" s="8" t="e">
        <f t="shared" si="60"/>
        <v>#VALUE!</v>
      </c>
    </row>
    <row r="5540" spans="11:11" x14ac:dyDescent="0.25">
      <c r="K5540" s="8" t="e">
        <f t="shared" si="60"/>
        <v>#VALUE!</v>
      </c>
    </row>
    <row r="5541" spans="11:11" x14ac:dyDescent="0.25">
      <c r="K5541" s="8" t="e">
        <f t="shared" si="60"/>
        <v>#VALUE!</v>
      </c>
    </row>
    <row r="5542" spans="11:11" x14ac:dyDescent="0.25">
      <c r="K5542" s="8" t="e">
        <f t="shared" si="60"/>
        <v>#VALUE!</v>
      </c>
    </row>
    <row r="5543" spans="11:11" x14ac:dyDescent="0.25">
      <c r="K5543" s="8" t="e">
        <f t="shared" si="60"/>
        <v>#VALUE!</v>
      </c>
    </row>
    <row r="5544" spans="11:11" x14ac:dyDescent="0.25">
      <c r="K5544" s="8" t="e">
        <f t="shared" si="60"/>
        <v>#VALUE!</v>
      </c>
    </row>
    <row r="5545" spans="11:11" x14ac:dyDescent="0.25">
      <c r="K5545" s="8" t="e">
        <f t="shared" si="60"/>
        <v>#VALUE!</v>
      </c>
    </row>
    <row r="5546" spans="11:11" x14ac:dyDescent="0.25">
      <c r="K5546" s="8" t="e">
        <f t="shared" si="60"/>
        <v>#VALUE!</v>
      </c>
    </row>
    <row r="5547" spans="11:11" x14ac:dyDescent="0.25">
      <c r="K5547" s="8" t="e">
        <f t="shared" si="60"/>
        <v>#VALUE!</v>
      </c>
    </row>
    <row r="5548" spans="11:11" x14ac:dyDescent="0.25">
      <c r="K5548" s="8" t="e">
        <f t="shared" si="60"/>
        <v>#VALUE!</v>
      </c>
    </row>
    <row r="5549" spans="11:11" x14ac:dyDescent="0.25">
      <c r="K5549" s="8" t="e">
        <f t="shared" si="60"/>
        <v>#VALUE!</v>
      </c>
    </row>
    <row r="5550" spans="11:11" x14ac:dyDescent="0.25">
      <c r="K5550" s="8" t="e">
        <f t="shared" si="60"/>
        <v>#VALUE!</v>
      </c>
    </row>
    <row r="5551" spans="11:11" x14ac:dyDescent="0.25">
      <c r="K5551" s="8" t="e">
        <f t="shared" si="60"/>
        <v>#VALUE!</v>
      </c>
    </row>
    <row r="5552" spans="11:11" x14ac:dyDescent="0.25">
      <c r="K5552" s="8" t="e">
        <f t="shared" si="60"/>
        <v>#VALUE!</v>
      </c>
    </row>
    <row r="5553" spans="11:11" x14ac:dyDescent="0.25">
      <c r="K5553" s="8" t="e">
        <f t="shared" si="60"/>
        <v>#VALUE!</v>
      </c>
    </row>
    <row r="5554" spans="11:11" x14ac:dyDescent="0.25">
      <c r="K5554" s="8" t="e">
        <f t="shared" si="60"/>
        <v>#VALUE!</v>
      </c>
    </row>
    <row r="5555" spans="11:11" x14ac:dyDescent="0.25">
      <c r="K5555" s="8" t="e">
        <f t="shared" si="60"/>
        <v>#VALUE!</v>
      </c>
    </row>
    <row r="5556" spans="11:11" x14ac:dyDescent="0.25">
      <c r="K5556" s="8" t="e">
        <f t="shared" si="60"/>
        <v>#VALUE!</v>
      </c>
    </row>
    <row r="5557" spans="11:11" x14ac:dyDescent="0.25">
      <c r="K5557" s="8" t="e">
        <f t="shared" si="60"/>
        <v>#VALUE!</v>
      </c>
    </row>
    <row r="5558" spans="11:11" x14ac:dyDescent="0.25">
      <c r="K5558" s="8" t="e">
        <f t="shared" si="60"/>
        <v>#VALUE!</v>
      </c>
    </row>
    <row r="5559" spans="11:11" x14ac:dyDescent="0.25">
      <c r="K5559" s="8" t="e">
        <f t="shared" si="60"/>
        <v>#VALUE!</v>
      </c>
    </row>
    <row r="5560" spans="11:11" x14ac:dyDescent="0.25">
      <c r="K5560" s="8" t="e">
        <f t="shared" si="60"/>
        <v>#VALUE!</v>
      </c>
    </row>
    <row r="5561" spans="11:11" x14ac:dyDescent="0.25">
      <c r="K5561" s="8" t="e">
        <f t="shared" si="60"/>
        <v>#VALUE!</v>
      </c>
    </row>
    <row r="5562" spans="11:11" x14ac:dyDescent="0.25">
      <c r="K5562" s="8" t="e">
        <f t="shared" si="60"/>
        <v>#VALUE!</v>
      </c>
    </row>
    <row r="5563" spans="11:11" x14ac:dyDescent="0.25">
      <c r="K5563" s="8" t="e">
        <f t="shared" si="60"/>
        <v>#VALUE!</v>
      </c>
    </row>
    <row r="5564" spans="11:11" x14ac:dyDescent="0.25">
      <c r="K5564" s="8" t="e">
        <f t="shared" si="60"/>
        <v>#VALUE!</v>
      </c>
    </row>
    <row r="5565" spans="11:11" x14ac:dyDescent="0.25">
      <c r="K5565" s="8" t="e">
        <f t="shared" si="60"/>
        <v>#VALUE!</v>
      </c>
    </row>
    <row r="5566" spans="11:11" x14ac:dyDescent="0.25">
      <c r="K5566" s="8" t="e">
        <f t="shared" si="60"/>
        <v>#VALUE!</v>
      </c>
    </row>
    <row r="5567" spans="11:11" x14ac:dyDescent="0.25">
      <c r="K5567" s="8" t="e">
        <f t="shared" si="60"/>
        <v>#VALUE!</v>
      </c>
    </row>
    <row r="5568" spans="11:11" x14ac:dyDescent="0.25">
      <c r="K5568" s="8" t="e">
        <f t="shared" si="60"/>
        <v>#VALUE!</v>
      </c>
    </row>
    <row r="5569" spans="11:11" x14ac:dyDescent="0.25">
      <c r="K5569" s="8" t="e">
        <f t="shared" si="60"/>
        <v>#VALUE!</v>
      </c>
    </row>
    <row r="5570" spans="11:11" x14ac:dyDescent="0.25">
      <c r="K5570" s="8" t="e">
        <f t="shared" si="60"/>
        <v>#VALUE!</v>
      </c>
    </row>
    <row r="5571" spans="11:11" x14ac:dyDescent="0.25">
      <c r="K5571" s="8" t="e">
        <f t="shared" ref="K5571:K5634" si="61">LEFT(A5571,FIND("/",A5571)-1)</f>
        <v>#VALUE!</v>
      </c>
    </row>
    <row r="5572" spans="11:11" x14ac:dyDescent="0.25">
      <c r="K5572" s="8" t="e">
        <f t="shared" si="61"/>
        <v>#VALUE!</v>
      </c>
    </row>
    <row r="5573" spans="11:11" x14ac:dyDescent="0.25">
      <c r="K5573" s="8" t="e">
        <f t="shared" si="61"/>
        <v>#VALUE!</v>
      </c>
    </row>
    <row r="5574" spans="11:11" x14ac:dyDescent="0.25">
      <c r="K5574" s="8" t="e">
        <f t="shared" si="61"/>
        <v>#VALUE!</v>
      </c>
    </row>
    <row r="5575" spans="11:11" x14ac:dyDescent="0.25">
      <c r="K5575" s="8" t="e">
        <f t="shared" si="61"/>
        <v>#VALUE!</v>
      </c>
    </row>
    <row r="5576" spans="11:11" x14ac:dyDescent="0.25">
      <c r="K5576" s="8" t="e">
        <f t="shared" si="61"/>
        <v>#VALUE!</v>
      </c>
    </row>
    <row r="5577" spans="11:11" x14ac:dyDescent="0.25">
      <c r="K5577" s="8" t="e">
        <f t="shared" si="61"/>
        <v>#VALUE!</v>
      </c>
    </row>
    <row r="5578" spans="11:11" x14ac:dyDescent="0.25">
      <c r="K5578" s="8" t="e">
        <f t="shared" si="61"/>
        <v>#VALUE!</v>
      </c>
    </row>
    <row r="5579" spans="11:11" x14ac:dyDescent="0.25">
      <c r="K5579" s="8" t="e">
        <f t="shared" si="61"/>
        <v>#VALUE!</v>
      </c>
    </row>
    <row r="5580" spans="11:11" x14ac:dyDescent="0.25">
      <c r="K5580" s="8" t="e">
        <f t="shared" si="61"/>
        <v>#VALUE!</v>
      </c>
    </row>
    <row r="5581" spans="11:11" x14ac:dyDescent="0.25">
      <c r="K5581" s="8" t="e">
        <f t="shared" si="61"/>
        <v>#VALUE!</v>
      </c>
    </row>
    <row r="5582" spans="11:11" x14ac:dyDescent="0.25">
      <c r="K5582" s="8" t="e">
        <f t="shared" si="61"/>
        <v>#VALUE!</v>
      </c>
    </row>
    <row r="5583" spans="11:11" x14ac:dyDescent="0.25">
      <c r="K5583" s="8" t="e">
        <f t="shared" si="61"/>
        <v>#VALUE!</v>
      </c>
    </row>
    <row r="5584" spans="11:11" x14ac:dyDescent="0.25">
      <c r="K5584" s="8" t="e">
        <f t="shared" si="61"/>
        <v>#VALUE!</v>
      </c>
    </row>
    <row r="5585" spans="11:11" x14ac:dyDescent="0.25">
      <c r="K5585" s="8" t="e">
        <f t="shared" si="61"/>
        <v>#VALUE!</v>
      </c>
    </row>
    <row r="5586" spans="11:11" x14ac:dyDescent="0.25">
      <c r="K5586" s="8" t="e">
        <f t="shared" si="61"/>
        <v>#VALUE!</v>
      </c>
    </row>
    <row r="5587" spans="11:11" x14ac:dyDescent="0.25">
      <c r="K5587" s="8" t="e">
        <f t="shared" si="61"/>
        <v>#VALUE!</v>
      </c>
    </row>
    <row r="5588" spans="11:11" x14ac:dyDescent="0.25">
      <c r="K5588" s="8" t="e">
        <f t="shared" si="61"/>
        <v>#VALUE!</v>
      </c>
    </row>
    <row r="5589" spans="11:11" x14ac:dyDescent="0.25">
      <c r="K5589" s="8" t="e">
        <f t="shared" si="61"/>
        <v>#VALUE!</v>
      </c>
    </row>
    <row r="5590" spans="11:11" x14ac:dyDescent="0.25">
      <c r="K5590" s="8" t="e">
        <f t="shared" si="61"/>
        <v>#VALUE!</v>
      </c>
    </row>
    <row r="5591" spans="11:11" x14ac:dyDescent="0.25">
      <c r="K5591" s="8" t="e">
        <f t="shared" si="61"/>
        <v>#VALUE!</v>
      </c>
    </row>
    <row r="5592" spans="11:11" x14ac:dyDescent="0.25">
      <c r="K5592" s="8" t="e">
        <f t="shared" si="61"/>
        <v>#VALUE!</v>
      </c>
    </row>
    <row r="5593" spans="11:11" x14ac:dyDescent="0.25">
      <c r="K5593" s="8" t="e">
        <f t="shared" si="61"/>
        <v>#VALUE!</v>
      </c>
    </row>
    <row r="5594" spans="11:11" x14ac:dyDescent="0.25">
      <c r="K5594" s="8" t="e">
        <f t="shared" si="61"/>
        <v>#VALUE!</v>
      </c>
    </row>
    <row r="5595" spans="11:11" x14ac:dyDescent="0.25">
      <c r="K5595" s="8" t="e">
        <f t="shared" si="61"/>
        <v>#VALUE!</v>
      </c>
    </row>
    <row r="5596" spans="11:11" x14ac:dyDescent="0.25">
      <c r="K5596" s="8" t="e">
        <f t="shared" si="61"/>
        <v>#VALUE!</v>
      </c>
    </row>
    <row r="5597" spans="11:11" x14ac:dyDescent="0.25">
      <c r="K5597" s="8" t="e">
        <f t="shared" si="61"/>
        <v>#VALUE!</v>
      </c>
    </row>
    <row r="5598" spans="11:11" x14ac:dyDescent="0.25">
      <c r="K5598" s="8" t="e">
        <f t="shared" si="61"/>
        <v>#VALUE!</v>
      </c>
    </row>
    <row r="5599" spans="11:11" x14ac:dyDescent="0.25">
      <c r="K5599" s="8" t="e">
        <f t="shared" si="61"/>
        <v>#VALUE!</v>
      </c>
    </row>
    <row r="5600" spans="11:11" x14ac:dyDescent="0.25">
      <c r="K5600" s="8" t="e">
        <f t="shared" si="61"/>
        <v>#VALUE!</v>
      </c>
    </row>
    <row r="5601" spans="11:11" x14ac:dyDescent="0.25">
      <c r="K5601" s="8" t="e">
        <f t="shared" si="61"/>
        <v>#VALUE!</v>
      </c>
    </row>
    <row r="5602" spans="11:11" x14ac:dyDescent="0.25">
      <c r="K5602" s="8" t="e">
        <f t="shared" si="61"/>
        <v>#VALUE!</v>
      </c>
    </row>
    <row r="5603" spans="11:11" x14ac:dyDescent="0.25">
      <c r="K5603" s="8" t="e">
        <f t="shared" si="61"/>
        <v>#VALUE!</v>
      </c>
    </row>
    <row r="5604" spans="11:11" x14ac:dyDescent="0.25">
      <c r="K5604" s="8" t="e">
        <f t="shared" si="61"/>
        <v>#VALUE!</v>
      </c>
    </row>
    <row r="5605" spans="11:11" x14ac:dyDescent="0.25">
      <c r="K5605" s="8" t="e">
        <f t="shared" si="61"/>
        <v>#VALUE!</v>
      </c>
    </row>
    <row r="5606" spans="11:11" x14ac:dyDescent="0.25">
      <c r="K5606" s="8" t="e">
        <f t="shared" si="61"/>
        <v>#VALUE!</v>
      </c>
    </row>
    <row r="5607" spans="11:11" x14ac:dyDescent="0.25">
      <c r="K5607" s="8" t="e">
        <f t="shared" si="61"/>
        <v>#VALUE!</v>
      </c>
    </row>
    <row r="5608" spans="11:11" x14ac:dyDescent="0.25">
      <c r="K5608" s="8" t="e">
        <f t="shared" si="61"/>
        <v>#VALUE!</v>
      </c>
    </row>
    <row r="5609" spans="11:11" x14ac:dyDescent="0.25">
      <c r="K5609" s="8" t="e">
        <f t="shared" si="61"/>
        <v>#VALUE!</v>
      </c>
    </row>
    <row r="5610" spans="11:11" x14ac:dyDescent="0.25">
      <c r="K5610" s="8" t="e">
        <f t="shared" si="61"/>
        <v>#VALUE!</v>
      </c>
    </row>
    <row r="5611" spans="11:11" x14ac:dyDescent="0.25">
      <c r="K5611" s="8" t="e">
        <f t="shared" si="61"/>
        <v>#VALUE!</v>
      </c>
    </row>
    <row r="5612" spans="11:11" x14ac:dyDescent="0.25">
      <c r="K5612" s="8" t="e">
        <f t="shared" si="61"/>
        <v>#VALUE!</v>
      </c>
    </row>
    <row r="5613" spans="11:11" x14ac:dyDescent="0.25">
      <c r="K5613" s="8" t="e">
        <f t="shared" si="61"/>
        <v>#VALUE!</v>
      </c>
    </row>
    <row r="5614" spans="11:11" x14ac:dyDescent="0.25">
      <c r="K5614" s="8" t="e">
        <f t="shared" si="61"/>
        <v>#VALUE!</v>
      </c>
    </row>
    <row r="5615" spans="11:11" x14ac:dyDescent="0.25">
      <c r="K5615" s="8" t="e">
        <f t="shared" si="61"/>
        <v>#VALUE!</v>
      </c>
    </row>
    <row r="5616" spans="11:11" x14ac:dyDescent="0.25">
      <c r="K5616" s="8" t="e">
        <f t="shared" si="61"/>
        <v>#VALUE!</v>
      </c>
    </row>
    <row r="5617" spans="11:11" x14ac:dyDescent="0.25">
      <c r="K5617" s="8" t="e">
        <f t="shared" si="61"/>
        <v>#VALUE!</v>
      </c>
    </row>
    <row r="5618" spans="11:11" x14ac:dyDescent="0.25">
      <c r="K5618" s="8" t="e">
        <f t="shared" si="61"/>
        <v>#VALUE!</v>
      </c>
    </row>
    <row r="5619" spans="11:11" x14ac:dyDescent="0.25">
      <c r="K5619" s="8" t="e">
        <f t="shared" si="61"/>
        <v>#VALUE!</v>
      </c>
    </row>
    <row r="5620" spans="11:11" x14ac:dyDescent="0.25">
      <c r="K5620" s="8" t="e">
        <f t="shared" si="61"/>
        <v>#VALUE!</v>
      </c>
    </row>
    <row r="5621" spans="11:11" x14ac:dyDescent="0.25">
      <c r="K5621" s="8" t="e">
        <f t="shared" si="61"/>
        <v>#VALUE!</v>
      </c>
    </row>
    <row r="5622" spans="11:11" x14ac:dyDescent="0.25">
      <c r="K5622" s="8" t="e">
        <f t="shared" si="61"/>
        <v>#VALUE!</v>
      </c>
    </row>
    <row r="5623" spans="11:11" x14ac:dyDescent="0.25">
      <c r="K5623" s="8" t="e">
        <f t="shared" si="61"/>
        <v>#VALUE!</v>
      </c>
    </row>
    <row r="5624" spans="11:11" x14ac:dyDescent="0.25">
      <c r="K5624" s="8" t="e">
        <f t="shared" si="61"/>
        <v>#VALUE!</v>
      </c>
    </row>
    <row r="5625" spans="11:11" x14ac:dyDescent="0.25">
      <c r="K5625" s="8" t="e">
        <f t="shared" si="61"/>
        <v>#VALUE!</v>
      </c>
    </row>
    <row r="5626" spans="11:11" x14ac:dyDescent="0.25">
      <c r="K5626" s="8" t="e">
        <f t="shared" si="61"/>
        <v>#VALUE!</v>
      </c>
    </row>
    <row r="5627" spans="11:11" x14ac:dyDescent="0.25">
      <c r="K5627" s="8" t="e">
        <f t="shared" si="61"/>
        <v>#VALUE!</v>
      </c>
    </row>
    <row r="5628" spans="11:11" x14ac:dyDescent="0.25">
      <c r="K5628" s="8" t="e">
        <f t="shared" si="61"/>
        <v>#VALUE!</v>
      </c>
    </row>
    <row r="5629" spans="11:11" x14ac:dyDescent="0.25">
      <c r="K5629" s="8" t="e">
        <f t="shared" si="61"/>
        <v>#VALUE!</v>
      </c>
    </row>
    <row r="5630" spans="11:11" x14ac:dyDescent="0.25">
      <c r="K5630" s="8" t="e">
        <f t="shared" si="61"/>
        <v>#VALUE!</v>
      </c>
    </row>
    <row r="5631" spans="11:11" x14ac:dyDescent="0.25">
      <c r="K5631" s="8" t="e">
        <f t="shared" si="61"/>
        <v>#VALUE!</v>
      </c>
    </row>
    <row r="5632" spans="11:11" x14ac:dyDescent="0.25">
      <c r="K5632" s="8" t="e">
        <f t="shared" si="61"/>
        <v>#VALUE!</v>
      </c>
    </row>
    <row r="5633" spans="11:11" x14ac:dyDescent="0.25">
      <c r="K5633" s="8" t="e">
        <f t="shared" si="61"/>
        <v>#VALUE!</v>
      </c>
    </row>
    <row r="5634" spans="11:11" x14ac:dyDescent="0.25">
      <c r="K5634" s="8" t="e">
        <f t="shared" si="61"/>
        <v>#VALUE!</v>
      </c>
    </row>
    <row r="5635" spans="11:11" x14ac:dyDescent="0.25">
      <c r="K5635" s="8" t="e">
        <f t="shared" ref="K5635:K5698" si="62">LEFT(A5635,FIND("/",A5635)-1)</f>
        <v>#VALUE!</v>
      </c>
    </row>
    <row r="5636" spans="11:11" x14ac:dyDescent="0.25">
      <c r="K5636" s="8" t="e">
        <f t="shared" si="62"/>
        <v>#VALUE!</v>
      </c>
    </row>
    <row r="5637" spans="11:11" x14ac:dyDescent="0.25">
      <c r="K5637" s="8" t="e">
        <f t="shared" si="62"/>
        <v>#VALUE!</v>
      </c>
    </row>
    <row r="5638" spans="11:11" x14ac:dyDescent="0.25">
      <c r="K5638" s="8" t="e">
        <f t="shared" si="62"/>
        <v>#VALUE!</v>
      </c>
    </row>
    <row r="5639" spans="11:11" x14ac:dyDescent="0.25">
      <c r="K5639" s="8" t="e">
        <f t="shared" si="62"/>
        <v>#VALUE!</v>
      </c>
    </row>
    <row r="5640" spans="11:11" x14ac:dyDescent="0.25">
      <c r="K5640" s="8" t="e">
        <f t="shared" si="62"/>
        <v>#VALUE!</v>
      </c>
    </row>
    <row r="5641" spans="11:11" x14ac:dyDescent="0.25">
      <c r="K5641" s="8" t="e">
        <f t="shared" si="62"/>
        <v>#VALUE!</v>
      </c>
    </row>
    <row r="5642" spans="11:11" x14ac:dyDescent="0.25">
      <c r="K5642" s="8" t="e">
        <f t="shared" si="62"/>
        <v>#VALUE!</v>
      </c>
    </row>
    <row r="5643" spans="11:11" x14ac:dyDescent="0.25">
      <c r="K5643" s="8" t="e">
        <f t="shared" si="62"/>
        <v>#VALUE!</v>
      </c>
    </row>
    <row r="5644" spans="11:11" x14ac:dyDescent="0.25">
      <c r="K5644" s="8" t="e">
        <f t="shared" si="62"/>
        <v>#VALUE!</v>
      </c>
    </row>
    <row r="5645" spans="11:11" x14ac:dyDescent="0.25">
      <c r="K5645" s="8" t="e">
        <f t="shared" si="62"/>
        <v>#VALUE!</v>
      </c>
    </row>
    <row r="5646" spans="11:11" x14ac:dyDescent="0.25">
      <c r="K5646" s="8" t="e">
        <f t="shared" si="62"/>
        <v>#VALUE!</v>
      </c>
    </row>
    <row r="5647" spans="11:11" x14ac:dyDescent="0.25">
      <c r="K5647" s="8" t="e">
        <f t="shared" si="62"/>
        <v>#VALUE!</v>
      </c>
    </row>
    <row r="5648" spans="11:11" x14ac:dyDescent="0.25">
      <c r="K5648" s="8" t="e">
        <f t="shared" si="62"/>
        <v>#VALUE!</v>
      </c>
    </row>
    <row r="5649" spans="11:11" x14ac:dyDescent="0.25">
      <c r="K5649" s="8" t="e">
        <f t="shared" si="62"/>
        <v>#VALUE!</v>
      </c>
    </row>
    <row r="5650" spans="11:11" x14ac:dyDescent="0.25">
      <c r="K5650" s="8" t="e">
        <f t="shared" si="62"/>
        <v>#VALUE!</v>
      </c>
    </row>
    <row r="5651" spans="11:11" x14ac:dyDescent="0.25">
      <c r="K5651" s="8" t="e">
        <f t="shared" si="62"/>
        <v>#VALUE!</v>
      </c>
    </row>
    <row r="5652" spans="11:11" x14ac:dyDescent="0.25">
      <c r="K5652" s="8" t="e">
        <f t="shared" si="62"/>
        <v>#VALUE!</v>
      </c>
    </row>
    <row r="5653" spans="11:11" x14ac:dyDescent="0.25">
      <c r="K5653" s="8" t="e">
        <f t="shared" si="62"/>
        <v>#VALUE!</v>
      </c>
    </row>
    <row r="5654" spans="11:11" x14ac:dyDescent="0.25">
      <c r="K5654" s="8" t="e">
        <f t="shared" si="62"/>
        <v>#VALUE!</v>
      </c>
    </row>
    <row r="5655" spans="11:11" x14ac:dyDescent="0.25">
      <c r="K5655" s="8" t="e">
        <f t="shared" si="62"/>
        <v>#VALUE!</v>
      </c>
    </row>
    <row r="5656" spans="11:11" x14ac:dyDescent="0.25">
      <c r="K5656" s="8" t="e">
        <f t="shared" si="62"/>
        <v>#VALUE!</v>
      </c>
    </row>
    <row r="5657" spans="11:11" x14ac:dyDescent="0.25">
      <c r="K5657" s="8" t="e">
        <f t="shared" si="62"/>
        <v>#VALUE!</v>
      </c>
    </row>
    <row r="5658" spans="11:11" x14ac:dyDescent="0.25">
      <c r="K5658" s="8" t="e">
        <f t="shared" si="62"/>
        <v>#VALUE!</v>
      </c>
    </row>
    <row r="5659" spans="11:11" x14ac:dyDescent="0.25">
      <c r="K5659" s="8" t="e">
        <f t="shared" si="62"/>
        <v>#VALUE!</v>
      </c>
    </row>
    <row r="5660" spans="11:11" x14ac:dyDescent="0.25">
      <c r="K5660" s="8" t="e">
        <f t="shared" si="62"/>
        <v>#VALUE!</v>
      </c>
    </row>
    <row r="5661" spans="11:11" x14ac:dyDescent="0.25">
      <c r="K5661" s="8" t="e">
        <f t="shared" si="62"/>
        <v>#VALUE!</v>
      </c>
    </row>
    <row r="5662" spans="11:11" x14ac:dyDescent="0.25">
      <c r="K5662" s="8" t="e">
        <f t="shared" si="62"/>
        <v>#VALUE!</v>
      </c>
    </row>
    <row r="5663" spans="11:11" x14ac:dyDescent="0.25">
      <c r="K5663" s="8" t="e">
        <f t="shared" si="62"/>
        <v>#VALUE!</v>
      </c>
    </row>
    <row r="5664" spans="11:11" x14ac:dyDescent="0.25">
      <c r="K5664" s="8" t="e">
        <f t="shared" si="62"/>
        <v>#VALUE!</v>
      </c>
    </row>
    <row r="5665" spans="11:11" x14ac:dyDescent="0.25">
      <c r="K5665" s="8" t="e">
        <f t="shared" si="62"/>
        <v>#VALUE!</v>
      </c>
    </row>
    <row r="5666" spans="11:11" x14ac:dyDescent="0.25">
      <c r="K5666" s="8" t="e">
        <f t="shared" si="62"/>
        <v>#VALUE!</v>
      </c>
    </row>
    <row r="5667" spans="11:11" x14ac:dyDescent="0.25">
      <c r="K5667" s="8" t="e">
        <f t="shared" si="62"/>
        <v>#VALUE!</v>
      </c>
    </row>
    <row r="5668" spans="11:11" x14ac:dyDescent="0.25">
      <c r="K5668" s="8" t="e">
        <f t="shared" si="62"/>
        <v>#VALUE!</v>
      </c>
    </row>
    <row r="5669" spans="11:11" x14ac:dyDescent="0.25">
      <c r="K5669" s="8" t="e">
        <f t="shared" si="62"/>
        <v>#VALUE!</v>
      </c>
    </row>
    <row r="5670" spans="11:11" x14ac:dyDescent="0.25">
      <c r="K5670" s="8" t="e">
        <f t="shared" si="62"/>
        <v>#VALUE!</v>
      </c>
    </row>
    <row r="5671" spans="11:11" x14ac:dyDescent="0.25">
      <c r="K5671" s="8" t="e">
        <f t="shared" si="62"/>
        <v>#VALUE!</v>
      </c>
    </row>
    <row r="5672" spans="11:11" x14ac:dyDescent="0.25">
      <c r="K5672" s="8" t="e">
        <f t="shared" si="62"/>
        <v>#VALUE!</v>
      </c>
    </row>
    <row r="5673" spans="11:11" x14ac:dyDescent="0.25">
      <c r="K5673" s="8" t="e">
        <f t="shared" si="62"/>
        <v>#VALUE!</v>
      </c>
    </row>
    <row r="5674" spans="11:11" x14ac:dyDescent="0.25">
      <c r="K5674" s="8" t="e">
        <f t="shared" si="62"/>
        <v>#VALUE!</v>
      </c>
    </row>
    <row r="5675" spans="11:11" x14ac:dyDescent="0.25">
      <c r="K5675" s="8" t="e">
        <f t="shared" si="62"/>
        <v>#VALUE!</v>
      </c>
    </row>
    <row r="5676" spans="11:11" x14ac:dyDescent="0.25">
      <c r="K5676" s="8" t="e">
        <f t="shared" si="62"/>
        <v>#VALUE!</v>
      </c>
    </row>
    <row r="5677" spans="11:11" x14ac:dyDescent="0.25">
      <c r="K5677" s="8" t="e">
        <f t="shared" si="62"/>
        <v>#VALUE!</v>
      </c>
    </row>
    <row r="5678" spans="11:11" x14ac:dyDescent="0.25">
      <c r="K5678" s="8" t="e">
        <f t="shared" si="62"/>
        <v>#VALUE!</v>
      </c>
    </row>
    <row r="5679" spans="11:11" x14ac:dyDescent="0.25">
      <c r="K5679" s="8" t="e">
        <f t="shared" si="62"/>
        <v>#VALUE!</v>
      </c>
    </row>
    <row r="5680" spans="11:11" x14ac:dyDescent="0.25">
      <c r="K5680" s="8" t="e">
        <f t="shared" si="62"/>
        <v>#VALUE!</v>
      </c>
    </row>
    <row r="5681" spans="11:11" x14ac:dyDescent="0.25">
      <c r="K5681" s="8" t="e">
        <f t="shared" si="62"/>
        <v>#VALUE!</v>
      </c>
    </row>
    <row r="5682" spans="11:11" x14ac:dyDescent="0.25">
      <c r="K5682" s="8" t="e">
        <f t="shared" si="62"/>
        <v>#VALUE!</v>
      </c>
    </row>
    <row r="5683" spans="11:11" x14ac:dyDescent="0.25">
      <c r="K5683" s="8" t="e">
        <f t="shared" si="62"/>
        <v>#VALUE!</v>
      </c>
    </row>
    <row r="5684" spans="11:11" x14ac:dyDescent="0.25">
      <c r="K5684" s="8" t="e">
        <f t="shared" si="62"/>
        <v>#VALUE!</v>
      </c>
    </row>
    <row r="5685" spans="11:11" x14ac:dyDescent="0.25">
      <c r="K5685" s="8" t="e">
        <f t="shared" si="62"/>
        <v>#VALUE!</v>
      </c>
    </row>
    <row r="5686" spans="11:11" x14ac:dyDescent="0.25">
      <c r="K5686" s="8" t="e">
        <f t="shared" si="62"/>
        <v>#VALUE!</v>
      </c>
    </row>
    <row r="5687" spans="11:11" x14ac:dyDescent="0.25">
      <c r="K5687" s="8" t="e">
        <f t="shared" si="62"/>
        <v>#VALUE!</v>
      </c>
    </row>
    <row r="5688" spans="11:11" x14ac:dyDescent="0.25">
      <c r="K5688" s="8" t="e">
        <f t="shared" si="62"/>
        <v>#VALUE!</v>
      </c>
    </row>
    <row r="5689" spans="11:11" x14ac:dyDescent="0.25">
      <c r="K5689" s="8" t="e">
        <f t="shared" si="62"/>
        <v>#VALUE!</v>
      </c>
    </row>
    <row r="5690" spans="11:11" x14ac:dyDescent="0.25">
      <c r="K5690" s="8" t="e">
        <f t="shared" si="62"/>
        <v>#VALUE!</v>
      </c>
    </row>
    <row r="5691" spans="11:11" x14ac:dyDescent="0.25">
      <c r="K5691" s="8" t="e">
        <f t="shared" si="62"/>
        <v>#VALUE!</v>
      </c>
    </row>
    <row r="5692" spans="11:11" x14ac:dyDescent="0.25">
      <c r="K5692" s="8" t="e">
        <f t="shared" si="62"/>
        <v>#VALUE!</v>
      </c>
    </row>
    <row r="5693" spans="11:11" x14ac:dyDescent="0.25">
      <c r="K5693" s="8" t="e">
        <f t="shared" si="62"/>
        <v>#VALUE!</v>
      </c>
    </row>
    <row r="5694" spans="11:11" x14ac:dyDescent="0.25">
      <c r="K5694" s="8" t="e">
        <f t="shared" si="62"/>
        <v>#VALUE!</v>
      </c>
    </row>
    <row r="5695" spans="11:11" x14ac:dyDescent="0.25">
      <c r="K5695" s="8" t="e">
        <f t="shared" si="62"/>
        <v>#VALUE!</v>
      </c>
    </row>
    <row r="5696" spans="11:11" x14ac:dyDescent="0.25">
      <c r="K5696" s="8" t="e">
        <f t="shared" si="62"/>
        <v>#VALUE!</v>
      </c>
    </row>
    <row r="5697" spans="11:11" x14ac:dyDescent="0.25">
      <c r="K5697" s="8" t="e">
        <f t="shared" si="62"/>
        <v>#VALUE!</v>
      </c>
    </row>
    <row r="5698" spans="11:11" x14ac:dyDescent="0.25">
      <c r="K5698" s="8" t="e">
        <f t="shared" si="62"/>
        <v>#VALUE!</v>
      </c>
    </row>
    <row r="5699" spans="11:11" x14ac:dyDescent="0.25">
      <c r="K5699" s="8" t="e">
        <f t="shared" ref="K5699:K5762" si="63">LEFT(A5699,FIND("/",A5699)-1)</f>
        <v>#VALUE!</v>
      </c>
    </row>
    <row r="5700" spans="11:11" x14ac:dyDescent="0.25">
      <c r="K5700" s="8" t="e">
        <f t="shared" si="63"/>
        <v>#VALUE!</v>
      </c>
    </row>
    <row r="5701" spans="11:11" x14ac:dyDescent="0.25">
      <c r="K5701" s="8" t="e">
        <f t="shared" si="63"/>
        <v>#VALUE!</v>
      </c>
    </row>
    <row r="5702" spans="11:11" x14ac:dyDescent="0.25">
      <c r="K5702" s="8" t="e">
        <f t="shared" si="63"/>
        <v>#VALUE!</v>
      </c>
    </row>
    <row r="5703" spans="11:11" x14ac:dyDescent="0.25">
      <c r="K5703" s="8" t="e">
        <f t="shared" si="63"/>
        <v>#VALUE!</v>
      </c>
    </row>
    <row r="5704" spans="11:11" x14ac:dyDescent="0.25">
      <c r="K5704" s="8" t="e">
        <f t="shared" si="63"/>
        <v>#VALUE!</v>
      </c>
    </row>
    <row r="5705" spans="11:11" x14ac:dyDescent="0.25">
      <c r="K5705" s="8" t="e">
        <f t="shared" si="63"/>
        <v>#VALUE!</v>
      </c>
    </row>
    <row r="5706" spans="11:11" x14ac:dyDescent="0.25">
      <c r="K5706" s="8" t="e">
        <f t="shared" si="63"/>
        <v>#VALUE!</v>
      </c>
    </row>
    <row r="5707" spans="11:11" x14ac:dyDescent="0.25">
      <c r="K5707" s="8" t="e">
        <f t="shared" si="63"/>
        <v>#VALUE!</v>
      </c>
    </row>
    <row r="5708" spans="11:11" x14ac:dyDescent="0.25">
      <c r="K5708" s="8" t="e">
        <f t="shared" si="63"/>
        <v>#VALUE!</v>
      </c>
    </row>
    <row r="5709" spans="11:11" x14ac:dyDescent="0.25">
      <c r="K5709" s="8" t="e">
        <f t="shared" si="63"/>
        <v>#VALUE!</v>
      </c>
    </row>
    <row r="5710" spans="11:11" x14ac:dyDescent="0.25">
      <c r="K5710" s="8" t="e">
        <f t="shared" si="63"/>
        <v>#VALUE!</v>
      </c>
    </row>
    <row r="5711" spans="11:11" x14ac:dyDescent="0.25">
      <c r="K5711" s="8" t="e">
        <f t="shared" si="63"/>
        <v>#VALUE!</v>
      </c>
    </row>
    <row r="5712" spans="11:11" x14ac:dyDescent="0.25">
      <c r="K5712" s="8" t="e">
        <f t="shared" si="63"/>
        <v>#VALUE!</v>
      </c>
    </row>
    <row r="5713" spans="11:11" x14ac:dyDescent="0.25">
      <c r="K5713" s="8" t="e">
        <f t="shared" si="63"/>
        <v>#VALUE!</v>
      </c>
    </row>
    <row r="5714" spans="11:11" x14ac:dyDescent="0.25">
      <c r="K5714" s="8" t="e">
        <f t="shared" si="63"/>
        <v>#VALUE!</v>
      </c>
    </row>
    <row r="5715" spans="11:11" x14ac:dyDescent="0.25">
      <c r="K5715" s="8" t="e">
        <f t="shared" si="63"/>
        <v>#VALUE!</v>
      </c>
    </row>
    <row r="5716" spans="11:11" x14ac:dyDescent="0.25">
      <c r="K5716" s="8" t="e">
        <f t="shared" si="63"/>
        <v>#VALUE!</v>
      </c>
    </row>
    <row r="5717" spans="11:11" x14ac:dyDescent="0.25">
      <c r="K5717" s="8" t="e">
        <f t="shared" si="63"/>
        <v>#VALUE!</v>
      </c>
    </row>
    <row r="5718" spans="11:11" x14ac:dyDescent="0.25">
      <c r="K5718" s="8" t="e">
        <f t="shared" si="63"/>
        <v>#VALUE!</v>
      </c>
    </row>
    <row r="5719" spans="11:11" x14ac:dyDescent="0.25">
      <c r="K5719" s="8" t="e">
        <f t="shared" si="63"/>
        <v>#VALUE!</v>
      </c>
    </row>
    <row r="5720" spans="11:11" x14ac:dyDescent="0.25">
      <c r="K5720" s="8" t="e">
        <f t="shared" si="63"/>
        <v>#VALUE!</v>
      </c>
    </row>
    <row r="5721" spans="11:11" x14ac:dyDescent="0.25">
      <c r="K5721" s="8" t="e">
        <f t="shared" si="63"/>
        <v>#VALUE!</v>
      </c>
    </row>
    <row r="5722" spans="11:11" x14ac:dyDescent="0.25">
      <c r="K5722" s="8" t="e">
        <f t="shared" si="63"/>
        <v>#VALUE!</v>
      </c>
    </row>
    <row r="5723" spans="11:11" x14ac:dyDescent="0.25">
      <c r="K5723" s="8" t="e">
        <f t="shared" si="63"/>
        <v>#VALUE!</v>
      </c>
    </row>
    <row r="5724" spans="11:11" x14ac:dyDescent="0.25">
      <c r="K5724" s="8" t="e">
        <f t="shared" si="63"/>
        <v>#VALUE!</v>
      </c>
    </row>
    <row r="5725" spans="11:11" x14ac:dyDescent="0.25">
      <c r="K5725" s="8" t="e">
        <f t="shared" si="63"/>
        <v>#VALUE!</v>
      </c>
    </row>
    <row r="5726" spans="11:11" x14ac:dyDescent="0.25">
      <c r="K5726" s="8" t="e">
        <f t="shared" si="63"/>
        <v>#VALUE!</v>
      </c>
    </row>
    <row r="5727" spans="11:11" x14ac:dyDescent="0.25">
      <c r="K5727" s="8" t="e">
        <f t="shared" si="63"/>
        <v>#VALUE!</v>
      </c>
    </row>
    <row r="5728" spans="11:11" x14ac:dyDescent="0.25">
      <c r="K5728" s="8" t="e">
        <f t="shared" si="63"/>
        <v>#VALUE!</v>
      </c>
    </row>
    <row r="5729" spans="11:11" x14ac:dyDescent="0.25">
      <c r="K5729" s="8" t="e">
        <f t="shared" si="63"/>
        <v>#VALUE!</v>
      </c>
    </row>
    <row r="5730" spans="11:11" x14ac:dyDescent="0.25">
      <c r="K5730" s="8" t="e">
        <f t="shared" si="63"/>
        <v>#VALUE!</v>
      </c>
    </row>
    <row r="5731" spans="11:11" x14ac:dyDescent="0.25">
      <c r="K5731" s="8" t="e">
        <f t="shared" si="63"/>
        <v>#VALUE!</v>
      </c>
    </row>
    <row r="5732" spans="11:11" x14ac:dyDescent="0.25">
      <c r="K5732" s="8" t="e">
        <f t="shared" si="63"/>
        <v>#VALUE!</v>
      </c>
    </row>
    <row r="5733" spans="11:11" x14ac:dyDescent="0.25">
      <c r="K5733" s="8" t="e">
        <f t="shared" si="63"/>
        <v>#VALUE!</v>
      </c>
    </row>
    <row r="5734" spans="11:11" x14ac:dyDescent="0.25">
      <c r="K5734" s="8" t="e">
        <f t="shared" si="63"/>
        <v>#VALUE!</v>
      </c>
    </row>
    <row r="5735" spans="11:11" x14ac:dyDescent="0.25">
      <c r="K5735" s="8" t="e">
        <f t="shared" si="63"/>
        <v>#VALUE!</v>
      </c>
    </row>
    <row r="5736" spans="11:11" x14ac:dyDescent="0.25">
      <c r="K5736" s="8" t="e">
        <f t="shared" si="63"/>
        <v>#VALUE!</v>
      </c>
    </row>
    <row r="5737" spans="11:11" x14ac:dyDescent="0.25">
      <c r="K5737" s="8" t="e">
        <f t="shared" si="63"/>
        <v>#VALUE!</v>
      </c>
    </row>
    <row r="5738" spans="11:11" x14ac:dyDescent="0.25">
      <c r="K5738" s="8" t="e">
        <f t="shared" si="63"/>
        <v>#VALUE!</v>
      </c>
    </row>
    <row r="5739" spans="11:11" x14ac:dyDescent="0.25">
      <c r="K5739" s="8" t="e">
        <f t="shared" si="63"/>
        <v>#VALUE!</v>
      </c>
    </row>
    <row r="5740" spans="11:11" x14ac:dyDescent="0.25">
      <c r="K5740" s="8" t="e">
        <f t="shared" si="63"/>
        <v>#VALUE!</v>
      </c>
    </row>
    <row r="5741" spans="11:11" x14ac:dyDescent="0.25">
      <c r="K5741" s="8" t="e">
        <f t="shared" si="63"/>
        <v>#VALUE!</v>
      </c>
    </row>
    <row r="5742" spans="11:11" x14ac:dyDescent="0.25">
      <c r="K5742" s="8" t="e">
        <f t="shared" si="63"/>
        <v>#VALUE!</v>
      </c>
    </row>
    <row r="5743" spans="11:11" x14ac:dyDescent="0.25">
      <c r="K5743" s="8" t="e">
        <f t="shared" si="63"/>
        <v>#VALUE!</v>
      </c>
    </row>
    <row r="5744" spans="11:11" x14ac:dyDescent="0.25">
      <c r="K5744" s="8" t="e">
        <f t="shared" si="63"/>
        <v>#VALUE!</v>
      </c>
    </row>
    <row r="5745" spans="11:11" x14ac:dyDescent="0.25">
      <c r="K5745" s="8" t="e">
        <f t="shared" si="63"/>
        <v>#VALUE!</v>
      </c>
    </row>
    <row r="5746" spans="11:11" x14ac:dyDescent="0.25">
      <c r="K5746" s="8" t="e">
        <f t="shared" si="63"/>
        <v>#VALUE!</v>
      </c>
    </row>
    <row r="5747" spans="11:11" x14ac:dyDescent="0.25">
      <c r="K5747" s="8" t="e">
        <f t="shared" si="63"/>
        <v>#VALUE!</v>
      </c>
    </row>
    <row r="5748" spans="11:11" x14ac:dyDescent="0.25">
      <c r="K5748" s="8" t="e">
        <f t="shared" si="63"/>
        <v>#VALUE!</v>
      </c>
    </row>
    <row r="5749" spans="11:11" x14ac:dyDescent="0.25">
      <c r="K5749" s="8" t="e">
        <f t="shared" si="63"/>
        <v>#VALUE!</v>
      </c>
    </row>
    <row r="5750" spans="11:11" x14ac:dyDescent="0.25">
      <c r="K5750" s="8" t="e">
        <f t="shared" si="63"/>
        <v>#VALUE!</v>
      </c>
    </row>
    <row r="5751" spans="11:11" x14ac:dyDescent="0.25">
      <c r="K5751" s="8" t="e">
        <f t="shared" si="63"/>
        <v>#VALUE!</v>
      </c>
    </row>
    <row r="5752" spans="11:11" x14ac:dyDescent="0.25">
      <c r="K5752" s="8" t="e">
        <f t="shared" si="63"/>
        <v>#VALUE!</v>
      </c>
    </row>
    <row r="5753" spans="11:11" x14ac:dyDescent="0.25">
      <c r="K5753" s="8" t="e">
        <f t="shared" si="63"/>
        <v>#VALUE!</v>
      </c>
    </row>
    <row r="5754" spans="11:11" x14ac:dyDescent="0.25">
      <c r="K5754" s="8" t="e">
        <f t="shared" si="63"/>
        <v>#VALUE!</v>
      </c>
    </row>
    <row r="5755" spans="11:11" x14ac:dyDescent="0.25">
      <c r="K5755" s="8" t="e">
        <f t="shared" si="63"/>
        <v>#VALUE!</v>
      </c>
    </row>
    <row r="5756" spans="11:11" x14ac:dyDescent="0.25">
      <c r="K5756" s="8" t="e">
        <f t="shared" si="63"/>
        <v>#VALUE!</v>
      </c>
    </row>
    <row r="5757" spans="11:11" x14ac:dyDescent="0.25">
      <c r="K5757" s="8" t="e">
        <f t="shared" si="63"/>
        <v>#VALUE!</v>
      </c>
    </row>
    <row r="5758" spans="11:11" x14ac:dyDescent="0.25">
      <c r="K5758" s="8" t="e">
        <f t="shared" si="63"/>
        <v>#VALUE!</v>
      </c>
    </row>
    <row r="5759" spans="11:11" x14ac:dyDescent="0.25">
      <c r="K5759" s="8" t="e">
        <f t="shared" si="63"/>
        <v>#VALUE!</v>
      </c>
    </row>
    <row r="5760" spans="11:11" x14ac:dyDescent="0.25">
      <c r="K5760" s="8" t="e">
        <f t="shared" si="63"/>
        <v>#VALUE!</v>
      </c>
    </row>
    <row r="5761" spans="11:11" x14ac:dyDescent="0.25">
      <c r="K5761" s="8" t="e">
        <f t="shared" si="63"/>
        <v>#VALUE!</v>
      </c>
    </row>
    <row r="5762" spans="11:11" x14ac:dyDescent="0.25">
      <c r="K5762" s="8" t="e">
        <f t="shared" si="63"/>
        <v>#VALUE!</v>
      </c>
    </row>
    <row r="5763" spans="11:11" x14ac:dyDescent="0.25">
      <c r="K5763" s="8" t="e">
        <f t="shared" ref="K5763:K5826" si="64">LEFT(A5763,FIND("/",A5763)-1)</f>
        <v>#VALUE!</v>
      </c>
    </row>
    <row r="5764" spans="11:11" x14ac:dyDescent="0.25">
      <c r="K5764" s="8" t="e">
        <f t="shared" si="64"/>
        <v>#VALUE!</v>
      </c>
    </row>
    <row r="5765" spans="11:11" x14ac:dyDescent="0.25">
      <c r="K5765" s="8" t="e">
        <f t="shared" si="64"/>
        <v>#VALUE!</v>
      </c>
    </row>
    <row r="5766" spans="11:11" x14ac:dyDescent="0.25">
      <c r="K5766" s="8" t="e">
        <f t="shared" si="64"/>
        <v>#VALUE!</v>
      </c>
    </row>
    <row r="5767" spans="11:11" x14ac:dyDescent="0.25">
      <c r="K5767" s="8" t="e">
        <f t="shared" si="64"/>
        <v>#VALUE!</v>
      </c>
    </row>
    <row r="5768" spans="11:11" x14ac:dyDescent="0.25">
      <c r="K5768" s="8" t="e">
        <f t="shared" si="64"/>
        <v>#VALUE!</v>
      </c>
    </row>
    <row r="5769" spans="11:11" x14ac:dyDescent="0.25">
      <c r="K5769" s="8" t="e">
        <f t="shared" si="64"/>
        <v>#VALUE!</v>
      </c>
    </row>
    <row r="5770" spans="11:11" x14ac:dyDescent="0.25">
      <c r="K5770" s="8" t="e">
        <f t="shared" si="64"/>
        <v>#VALUE!</v>
      </c>
    </row>
    <row r="5771" spans="11:11" x14ac:dyDescent="0.25">
      <c r="K5771" s="8" t="e">
        <f t="shared" si="64"/>
        <v>#VALUE!</v>
      </c>
    </row>
    <row r="5772" spans="11:11" x14ac:dyDescent="0.25">
      <c r="K5772" s="8" t="e">
        <f t="shared" si="64"/>
        <v>#VALUE!</v>
      </c>
    </row>
    <row r="5773" spans="11:11" x14ac:dyDescent="0.25">
      <c r="K5773" s="8" t="e">
        <f t="shared" si="64"/>
        <v>#VALUE!</v>
      </c>
    </row>
    <row r="5774" spans="11:11" x14ac:dyDescent="0.25">
      <c r="K5774" s="8" t="e">
        <f t="shared" si="64"/>
        <v>#VALUE!</v>
      </c>
    </row>
    <row r="5775" spans="11:11" x14ac:dyDescent="0.25">
      <c r="K5775" s="8" t="e">
        <f t="shared" si="64"/>
        <v>#VALUE!</v>
      </c>
    </row>
    <row r="5776" spans="11:11" x14ac:dyDescent="0.25">
      <c r="K5776" s="8" t="e">
        <f t="shared" si="64"/>
        <v>#VALUE!</v>
      </c>
    </row>
    <row r="5777" spans="11:11" x14ac:dyDescent="0.25">
      <c r="K5777" s="8" t="e">
        <f t="shared" si="64"/>
        <v>#VALUE!</v>
      </c>
    </row>
    <row r="5778" spans="11:11" x14ac:dyDescent="0.25">
      <c r="K5778" s="8" t="e">
        <f t="shared" si="64"/>
        <v>#VALUE!</v>
      </c>
    </row>
    <row r="5779" spans="11:11" x14ac:dyDescent="0.25">
      <c r="K5779" s="8" t="e">
        <f t="shared" si="64"/>
        <v>#VALUE!</v>
      </c>
    </row>
    <row r="5780" spans="11:11" x14ac:dyDescent="0.25">
      <c r="K5780" s="8" t="e">
        <f t="shared" si="64"/>
        <v>#VALUE!</v>
      </c>
    </row>
    <row r="5781" spans="11:11" x14ac:dyDescent="0.25">
      <c r="K5781" s="8" t="e">
        <f t="shared" si="64"/>
        <v>#VALUE!</v>
      </c>
    </row>
    <row r="5782" spans="11:11" x14ac:dyDescent="0.25">
      <c r="K5782" s="8" t="e">
        <f t="shared" si="64"/>
        <v>#VALUE!</v>
      </c>
    </row>
    <row r="5783" spans="11:11" x14ac:dyDescent="0.25">
      <c r="K5783" s="8" t="e">
        <f t="shared" si="64"/>
        <v>#VALUE!</v>
      </c>
    </row>
    <row r="5784" spans="11:11" x14ac:dyDescent="0.25">
      <c r="K5784" s="8" t="e">
        <f t="shared" si="64"/>
        <v>#VALUE!</v>
      </c>
    </row>
    <row r="5785" spans="11:11" x14ac:dyDescent="0.25">
      <c r="K5785" s="8" t="e">
        <f t="shared" si="64"/>
        <v>#VALUE!</v>
      </c>
    </row>
    <row r="5786" spans="11:11" x14ac:dyDescent="0.25">
      <c r="K5786" s="8" t="e">
        <f t="shared" si="64"/>
        <v>#VALUE!</v>
      </c>
    </row>
    <row r="5787" spans="11:11" x14ac:dyDescent="0.25">
      <c r="K5787" s="8" t="e">
        <f t="shared" si="64"/>
        <v>#VALUE!</v>
      </c>
    </row>
    <row r="5788" spans="11:11" x14ac:dyDescent="0.25">
      <c r="K5788" s="8" t="e">
        <f t="shared" si="64"/>
        <v>#VALUE!</v>
      </c>
    </row>
    <row r="5789" spans="11:11" x14ac:dyDescent="0.25">
      <c r="K5789" s="8" t="e">
        <f t="shared" si="64"/>
        <v>#VALUE!</v>
      </c>
    </row>
    <row r="5790" spans="11:11" x14ac:dyDescent="0.25">
      <c r="K5790" s="8" t="e">
        <f t="shared" si="64"/>
        <v>#VALUE!</v>
      </c>
    </row>
    <row r="5791" spans="11:11" x14ac:dyDescent="0.25">
      <c r="K5791" s="8" t="e">
        <f t="shared" si="64"/>
        <v>#VALUE!</v>
      </c>
    </row>
    <row r="5792" spans="11:11" x14ac:dyDescent="0.25">
      <c r="K5792" s="8" t="e">
        <f t="shared" si="64"/>
        <v>#VALUE!</v>
      </c>
    </row>
    <row r="5793" spans="11:11" x14ac:dyDescent="0.25">
      <c r="K5793" s="8" t="e">
        <f t="shared" si="64"/>
        <v>#VALUE!</v>
      </c>
    </row>
    <row r="5794" spans="11:11" x14ac:dyDescent="0.25">
      <c r="K5794" s="8" t="e">
        <f t="shared" si="64"/>
        <v>#VALUE!</v>
      </c>
    </row>
    <row r="5795" spans="11:11" x14ac:dyDescent="0.25">
      <c r="K5795" s="8" t="e">
        <f t="shared" si="64"/>
        <v>#VALUE!</v>
      </c>
    </row>
    <row r="5796" spans="11:11" x14ac:dyDescent="0.25">
      <c r="K5796" s="8" t="e">
        <f t="shared" si="64"/>
        <v>#VALUE!</v>
      </c>
    </row>
    <row r="5797" spans="11:11" x14ac:dyDescent="0.25">
      <c r="K5797" s="8" t="e">
        <f t="shared" si="64"/>
        <v>#VALUE!</v>
      </c>
    </row>
    <row r="5798" spans="11:11" x14ac:dyDescent="0.25">
      <c r="K5798" s="8" t="e">
        <f t="shared" si="64"/>
        <v>#VALUE!</v>
      </c>
    </row>
    <row r="5799" spans="11:11" x14ac:dyDescent="0.25">
      <c r="K5799" s="8" t="e">
        <f t="shared" si="64"/>
        <v>#VALUE!</v>
      </c>
    </row>
    <row r="5800" spans="11:11" x14ac:dyDescent="0.25">
      <c r="K5800" s="8" t="e">
        <f t="shared" si="64"/>
        <v>#VALUE!</v>
      </c>
    </row>
    <row r="5801" spans="11:11" x14ac:dyDescent="0.25">
      <c r="K5801" s="8" t="e">
        <f t="shared" si="64"/>
        <v>#VALUE!</v>
      </c>
    </row>
    <row r="5802" spans="11:11" x14ac:dyDescent="0.25">
      <c r="K5802" s="8" t="e">
        <f t="shared" si="64"/>
        <v>#VALUE!</v>
      </c>
    </row>
    <row r="5803" spans="11:11" x14ac:dyDescent="0.25">
      <c r="K5803" s="8" t="e">
        <f t="shared" si="64"/>
        <v>#VALUE!</v>
      </c>
    </row>
    <row r="5804" spans="11:11" x14ac:dyDescent="0.25">
      <c r="K5804" s="8" t="e">
        <f t="shared" si="64"/>
        <v>#VALUE!</v>
      </c>
    </row>
    <row r="5805" spans="11:11" x14ac:dyDescent="0.25">
      <c r="K5805" s="8" t="e">
        <f t="shared" si="64"/>
        <v>#VALUE!</v>
      </c>
    </row>
    <row r="5806" spans="11:11" x14ac:dyDescent="0.25">
      <c r="K5806" s="8" t="e">
        <f t="shared" si="64"/>
        <v>#VALUE!</v>
      </c>
    </row>
    <row r="5807" spans="11:11" x14ac:dyDescent="0.25">
      <c r="K5807" s="8" t="e">
        <f t="shared" si="64"/>
        <v>#VALUE!</v>
      </c>
    </row>
    <row r="5808" spans="11:11" x14ac:dyDescent="0.25">
      <c r="K5808" s="8" t="e">
        <f t="shared" si="64"/>
        <v>#VALUE!</v>
      </c>
    </row>
    <row r="5809" spans="11:11" x14ac:dyDescent="0.25">
      <c r="K5809" s="8" t="e">
        <f t="shared" si="64"/>
        <v>#VALUE!</v>
      </c>
    </row>
    <row r="5810" spans="11:11" x14ac:dyDescent="0.25">
      <c r="K5810" s="8" t="e">
        <f t="shared" si="64"/>
        <v>#VALUE!</v>
      </c>
    </row>
    <row r="5811" spans="11:11" x14ac:dyDescent="0.25">
      <c r="K5811" s="8" t="e">
        <f t="shared" si="64"/>
        <v>#VALUE!</v>
      </c>
    </row>
    <row r="5812" spans="11:11" x14ac:dyDescent="0.25">
      <c r="K5812" s="8" t="e">
        <f t="shared" si="64"/>
        <v>#VALUE!</v>
      </c>
    </row>
    <row r="5813" spans="11:11" x14ac:dyDescent="0.25">
      <c r="K5813" s="8" t="e">
        <f t="shared" si="64"/>
        <v>#VALUE!</v>
      </c>
    </row>
    <row r="5814" spans="11:11" x14ac:dyDescent="0.25">
      <c r="K5814" s="8" t="e">
        <f t="shared" si="64"/>
        <v>#VALUE!</v>
      </c>
    </row>
    <row r="5815" spans="11:11" x14ac:dyDescent="0.25">
      <c r="K5815" s="8" t="e">
        <f t="shared" si="64"/>
        <v>#VALUE!</v>
      </c>
    </row>
    <row r="5816" spans="11:11" x14ac:dyDescent="0.25">
      <c r="K5816" s="8" t="e">
        <f t="shared" si="64"/>
        <v>#VALUE!</v>
      </c>
    </row>
    <row r="5817" spans="11:11" x14ac:dyDescent="0.25">
      <c r="K5817" s="8" t="e">
        <f t="shared" si="64"/>
        <v>#VALUE!</v>
      </c>
    </row>
    <row r="5818" spans="11:11" x14ac:dyDescent="0.25">
      <c r="K5818" s="8" t="e">
        <f t="shared" si="64"/>
        <v>#VALUE!</v>
      </c>
    </row>
    <row r="5819" spans="11:11" x14ac:dyDescent="0.25">
      <c r="K5819" s="8" t="e">
        <f t="shared" si="64"/>
        <v>#VALUE!</v>
      </c>
    </row>
    <row r="5820" spans="11:11" x14ac:dyDescent="0.25">
      <c r="K5820" s="8" t="e">
        <f t="shared" si="64"/>
        <v>#VALUE!</v>
      </c>
    </row>
    <row r="5821" spans="11:11" x14ac:dyDescent="0.25">
      <c r="K5821" s="8" t="e">
        <f t="shared" si="64"/>
        <v>#VALUE!</v>
      </c>
    </row>
    <row r="5822" spans="11:11" x14ac:dyDescent="0.25">
      <c r="K5822" s="8" t="e">
        <f t="shared" si="64"/>
        <v>#VALUE!</v>
      </c>
    </row>
    <row r="5823" spans="11:11" x14ac:dyDescent="0.25">
      <c r="K5823" s="8" t="e">
        <f t="shared" si="64"/>
        <v>#VALUE!</v>
      </c>
    </row>
    <row r="5824" spans="11:11" x14ac:dyDescent="0.25">
      <c r="K5824" s="8" t="e">
        <f t="shared" si="64"/>
        <v>#VALUE!</v>
      </c>
    </row>
    <row r="5825" spans="11:11" x14ac:dyDescent="0.25">
      <c r="K5825" s="8" t="e">
        <f t="shared" si="64"/>
        <v>#VALUE!</v>
      </c>
    </row>
    <row r="5826" spans="11:11" x14ac:dyDescent="0.25">
      <c r="K5826" s="8" t="e">
        <f t="shared" si="64"/>
        <v>#VALUE!</v>
      </c>
    </row>
    <row r="5827" spans="11:11" x14ac:dyDescent="0.25">
      <c r="K5827" s="8" t="e">
        <f t="shared" ref="K5827:K5890" si="65">LEFT(A5827,FIND("/",A5827)-1)</f>
        <v>#VALUE!</v>
      </c>
    </row>
    <row r="5828" spans="11:11" x14ac:dyDescent="0.25">
      <c r="K5828" s="8" t="e">
        <f t="shared" si="65"/>
        <v>#VALUE!</v>
      </c>
    </row>
    <row r="5829" spans="11:11" x14ac:dyDescent="0.25">
      <c r="K5829" s="8" t="e">
        <f t="shared" si="65"/>
        <v>#VALUE!</v>
      </c>
    </row>
    <row r="5830" spans="11:11" x14ac:dyDescent="0.25">
      <c r="K5830" s="8" t="e">
        <f t="shared" si="65"/>
        <v>#VALUE!</v>
      </c>
    </row>
    <row r="5831" spans="11:11" x14ac:dyDescent="0.25">
      <c r="K5831" s="8" t="e">
        <f t="shared" si="65"/>
        <v>#VALUE!</v>
      </c>
    </row>
    <row r="5832" spans="11:11" x14ac:dyDescent="0.25">
      <c r="K5832" s="8" t="e">
        <f t="shared" si="65"/>
        <v>#VALUE!</v>
      </c>
    </row>
    <row r="5833" spans="11:11" x14ac:dyDescent="0.25">
      <c r="K5833" s="8" t="e">
        <f t="shared" si="65"/>
        <v>#VALUE!</v>
      </c>
    </row>
    <row r="5834" spans="11:11" x14ac:dyDescent="0.25">
      <c r="K5834" s="8" t="e">
        <f t="shared" si="65"/>
        <v>#VALUE!</v>
      </c>
    </row>
    <row r="5835" spans="11:11" x14ac:dyDescent="0.25">
      <c r="K5835" s="8" t="e">
        <f t="shared" si="65"/>
        <v>#VALUE!</v>
      </c>
    </row>
    <row r="5836" spans="11:11" x14ac:dyDescent="0.25">
      <c r="K5836" s="8" t="e">
        <f t="shared" si="65"/>
        <v>#VALUE!</v>
      </c>
    </row>
    <row r="5837" spans="11:11" x14ac:dyDescent="0.25">
      <c r="K5837" s="8" t="e">
        <f t="shared" si="65"/>
        <v>#VALUE!</v>
      </c>
    </row>
    <row r="5838" spans="11:11" x14ac:dyDescent="0.25">
      <c r="K5838" s="8" t="e">
        <f t="shared" si="65"/>
        <v>#VALUE!</v>
      </c>
    </row>
    <row r="5839" spans="11:11" x14ac:dyDescent="0.25">
      <c r="K5839" s="8" t="e">
        <f t="shared" si="65"/>
        <v>#VALUE!</v>
      </c>
    </row>
    <row r="5840" spans="11:11" x14ac:dyDescent="0.25">
      <c r="K5840" s="8" t="e">
        <f t="shared" si="65"/>
        <v>#VALUE!</v>
      </c>
    </row>
    <row r="5841" spans="11:11" x14ac:dyDescent="0.25">
      <c r="K5841" s="8" t="e">
        <f t="shared" si="65"/>
        <v>#VALUE!</v>
      </c>
    </row>
    <row r="5842" spans="11:11" x14ac:dyDescent="0.25">
      <c r="K5842" s="8" t="e">
        <f t="shared" si="65"/>
        <v>#VALUE!</v>
      </c>
    </row>
    <row r="5843" spans="11:11" x14ac:dyDescent="0.25">
      <c r="K5843" s="8" t="e">
        <f t="shared" si="65"/>
        <v>#VALUE!</v>
      </c>
    </row>
    <row r="5844" spans="11:11" x14ac:dyDescent="0.25">
      <c r="K5844" s="8" t="e">
        <f t="shared" si="65"/>
        <v>#VALUE!</v>
      </c>
    </row>
    <row r="5845" spans="11:11" x14ac:dyDescent="0.25">
      <c r="K5845" s="8" t="e">
        <f t="shared" si="65"/>
        <v>#VALUE!</v>
      </c>
    </row>
    <row r="5846" spans="11:11" x14ac:dyDescent="0.25">
      <c r="K5846" s="8" t="e">
        <f t="shared" si="65"/>
        <v>#VALUE!</v>
      </c>
    </row>
    <row r="5847" spans="11:11" x14ac:dyDescent="0.25">
      <c r="K5847" s="8" t="e">
        <f t="shared" si="65"/>
        <v>#VALUE!</v>
      </c>
    </row>
    <row r="5848" spans="11:11" x14ac:dyDescent="0.25">
      <c r="K5848" s="8" t="e">
        <f t="shared" si="65"/>
        <v>#VALUE!</v>
      </c>
    </row>
    <row r="5849" spans="11:11" x14ac:dyDescent="0.25">
      <c r="K5849" s="8" t="e">
        <f t="shared" si="65"/>
        <v>#VALUE!</v>
      </c>
    </row>
    <row r="5850" spans="11:11" x14ac:dyDescent="0.25">
      <c r="K5850" s="8" t="e">
        <f t="shared" si="65"/>
        <v>#VALUE!</v>
      </c>
    </row>
    <row r="5851" spans="11:11" x14ac:dyDescent="0.25">
      <c r="K5851" s="8" t="e">
        <f t="shared" si="65"/>
        <v>#VALUE!</v>
      </c>
    </row>
    <row r="5852" spans="11:11" x14ac:dyDescent="0.25">
      <c r="K5852" s="8" t="e">
        <f t="shared" si="65"/>
        <v>#VALUE!</v>
      </c>
    </row>
    <row r="5853" spans="11:11" x14ac:dyDescent="0.25">
      <c r="K5853" s="8" t="e">
        <f t="shared" si="65"/>
        <v>#VALUE!</v>
      </c>
    </row>
    <row r="5854" spans="11:11" x14ac:dyDescent="0.25">
      <c r="K5854" s="8" t="e">
        <f t="shared" si="65"/>
        <v>#VALUE!</v>
      </c>
    </row>
    <row r="5855" spans="11:11" x14ac:dyDescent="0.25">
      <c r="K5855" s="8" t="e">
        <f t="shared" si="65"/>
        <v>#VALUE!</v>
      </c>
    </row>
    <row r="5856" spans="11:11" x14ac:dyDescent="0.25">
      <c r="K5856" s="8" t="e">
        <f t="shared" si="65"/>
        <v>#VALUE!</v>
      </c>
    </row>
    <row r="5857" spans="11:11" x14ac:dyDescent="0.25">
      <c r="K5857" s="8" t="e">
        <f t="shared" si="65"/>
        <v>#VALUE!</v>
      </c>
    </row>
    <row r="5858" spans="11:11" x14ac:dyDescent="0.25">
      <c r="K5858" s="8" t="e">
        <f t="shared" si="65"/>
        <v>#VALUE!</v>
      </c>
    </row>
    <row r="5859" spans="11:11" x14ac:dyDescent="0.25">
      <c r="K5859" s="8" t="e">
        <f t="shared" si="65"/>
        <v>#VALUE!</v>
      </c>
    </row>
    <row r="5860" spans="11:11" x14ac:dyDescent="0.25">
      <c r="K5860" s="8" t="e">
        <f t="shared" si="65"/>
        <v>#VALUE!</v>
      </c>
    </row>
    <row r="5861" spans="11:11" x14ac:dyDescent="0.25">
      <c r="K5861" s="8" t="e">
        <f t="shared" si="65"/>
        <v>#VALUE!</v>
      </c>
    </row>
    <row r="5862" spans="11:11" x14ac:dyDescent="0.25">
      <c r="K5862" s="8" t="e">
        <f t="shared" si="65"/>
        <v>#VALUE!</v>
      </c>
    </row>
    <row r="5863" spans="11:11" x14ac:dyDescent="0.25">
      <c r="K5863" s="8" t="e">
        <f t="shared" si="65"/>
        <v>#VALUE!</v>
      </c>
    </row>
    <row r="5864" spans="11:11" x14ac:dyDescent="0.25">
      <c r="K5864" s="8" t="e">
        <f t="shared" si="65"/>
        <v>#VALUE!</v>
      </c>
    </row>
    <row r="5865" spans="11:11" x14ac:dyDescent="0.25">
      <c r="K5865" s="8" t="e">
        <f t="shared" si="65"/>
        <v>#VALUE!</v>
      </c>
    </row>
    <row r="5866" spans="11:11" x14ac:dyDescent="0.25">
      <c r="K5866" s="8" t="e">
        <f t="shared" si="65"/>
        <v>#VALUE!</v>
      </c>
    </row>
    <row r="5867" spans="11:11" x14ac:dyDescent="0.25">
      <c r="K5867" s="8" t="e">
        <f t="shared" si="65"/>
        <v>#VALUE!</v>
      </c>
    </row>
    <row r="5868" spans="11:11" x14ac:dyDescent="0.25">
      <c r="K5868" s="8" t="e">
        <f t="shared" si="65"/>
        <v>#VALUE!</v>
      </c>
    </row>
    <row r="5869" spans="11:11" x14ac:dyDescent="0.25">
      <c r="K5869" s="8" t="e">
        <f t="shared" si="65"/>
        <v>#VALUE!</v>
      </c>
    </row>
    <row r="5870" spans="11:11" x14ac:dyDescent="0.25">
      <c r="K5870" s="8" t="e">
        <f t="shared" si="65"/>
        <v>#VALUE!</v>
      </c>
    </row>
    <row r="5871" spans="11:11" x14ac:dyDescent="0.25">
      <c r="K5871" s="8" t="e">
        <f t="shared" si="65"/>
        <v>#VALUE!</v>
      </c>
    </row>
    <row r="5872" spans="11:11" x14ac:dyDescent="0.25">
      <c r="K5872" s="8" t="e">
        <f t="shared" si="65"/>
        <v>#VALUE!</v>
      </c>
    </row>
    <row r="5873" spans="11:11" x14ac:dyDescent="0.25">
      <c r="K5873" s="8" t="e">
        <f t="shared" si="65"/>
        <v>#VALUE!</v>
      </c>
    </row>
    <row r="5874" spans="11:11" x14ac:dyDescent="0.25">
      <c r="K5874" s="8" t="e">
        <f t="shared" si="65"/>
        <v>#VALUE!</v>
      </c>
    </row>
    <row r="5875" spans="11:11" x14ac:dyDescent="0.25">
      <c r="K5875" s="8" t="e">
        <f t="shared" si="65"/>
        <v>#VALUE!</v>
      </c>
    </row>
    <row r="5876" spans="11:11" x14ac:dyDescent="0.25">
      <c r="K5876" s="8" t="e">
        <f t="shared" si="65"/>
        <v>#VALUE!</v>
      </c>
    </row>
    <row r="5877" spans="11:11" x14ac:dyDescent="0.25">
      <c r="K5877" s="8" t="e">
        <f t="shared" si="65"/>
        <v>#VALUE!</v>
      </c>
    </row>
    <row r="5878" spans="11:11" x14ac:dyDescent="0.25">
      <c r="K5878" s="8" t="e">
        <f t="shared" si="65"/>
        <v>#VALUE!</v>
      </c>
    </row>
    <row r="5879" spans="11:11" x14ac:dyDescent="0.25">
      <c r="K5879" s="8" t="e">
        <f t="shared" si="65"/>
        <v>#VALUE!</v>
      </c>
    </row>
    <row r="5880" spans="11:11" x14ac:dyDescent="0.25">
      <c r="K5880" s="8" t="e">
        <f t="shared" si="65"/>
        <v>#VALUE!</v>
      </c>
    </row>
    <row r="5881" spans="11:11" x14ac:dyDescent="0.25">
      <c r="K5881" s="8" t="e">
        <f t="shared" si="65"/>
        <v>#VALUE!</v>
      </c>
    </row>
    <row r="5882" spans="11:11" x14ac:dyDescent="0.25">
      <c r="K5882" s="8" t="e">
        <f t="shared" si="65"/>
        <v>#VALUE!</v>
      </c>
    </row>
    <row r="5883" spans="11:11" x14ac:dyDescent="0.25">
      <c r="K5883" s="8" t="e">
        <f t="shared" si="65"/>
        <v>#VALUE!</v>
      </c>
    </row>
    <row r="5884" spans="11:11" x14ac:dyDescent="0.25">
      <c r="K5884" s="8" t="e">
        <f t="shared" si="65"/>
        <v>#VALUE!</v>
      </c>
    </row>
    <row r="5885" spans="11:11" x14ac:dyDescent="0.25">
      <c r="K5885" s="8" t="e">
        <f t="shared" si="65"/>
        <v>#VALUE!</v>
      </c>
    </row>
    <row r="5886" spans="11:11" x14ac:dyDescent="0.25">
      <c r="K5886" s="8" t="e">
        <f t="shared" si="65"/>
        <v>#VALUE!</v>
      </c>
    </row>
    <row r="5887" spans="11:11" x14ac:dyDescent="0.25">
      <c r="K5887" s="8" t="e">
        <f t="shared" si="65"/>
        <v>#VALUE!</v>
      </c>
    </row>
    <row r="5888" spans="11:11" x14ac:dyDescent="0.25">
      <c r="K5888" s="8" t="e">
        <f t="shared" si="65"/>
        <v>#VALUE!</v>
      </c>
    </row>
    <row r="5889" spans="11:11" x14ac:dyDescent="0.25">
      <c r="K5889" s="8" t="e">
        <f t="shared" si="65"/>
        <v>#VALUE!</v>
      </c>
    </row>
    <row r="5890" spans="11:11" x14ac:dyDescent="0.25">
      <c r="K5890" s="8" t="e">
        <f t="shared" si="65"/>
        <v>#VALUE!</v>
      </c>
    </row>
    <row r="5891" spans="11:11" x14ac:dyDescent="0.25">
      <c r="K5891" s="8" t="e">
        <f t="shared" ref="K5891:K5954" si="66">LEFT(A5891,FIND("/",A5891)-1)</f>
        <v>#VALUE!</v>
      </c>
    </row>
    <row r="5892" spans="11:11" x14ac:dyDescent="0.25">
      <c r="K5892" s="8" t="e">
        <f t="shared" si="66"/>
        <v>#VALUE!</v>
      </c>
    </row>
    <row r="5893" spans="11:11" x14ac:dyDescent="0.25">
      <c r="K5893" s="8" t="e">
        <f t="shared" si="66"/>
        <v>#VALUE!</v>
      </c>
    </row>
    <row r="5894" spans="11:11" x14ac:dyDescent="0.25">
      <c r="K5894" s="8" t="e">
        <f t="shared" si="66"/>
        <v>#VALUE!</v>
      </c>
    </row>
    <row r="5895" spans="11:11" x14ac:dyDescent="0.25">
      <c r="K5895" s="8" t="e">
        <f t="shared" si="66"/>
        <v>#VALUE!</v>
      </c>
    </row>
    <row r="5896" spans="11:11" x14ac:dyDescent="0.25">
      <c r="K5896" s="8" t="e">
        <f t="shared" si="66"/>
        <v>#VALUE!</v>
      </c>
    </row>
    <row r="5897" spans="11:11" x14ac:dyDescent="0.25">
      <c r="K5897" s="8" t="e">
        <f t="shared" si="66"/>
        <v>#VALUE!</v>
      </c>
    </row>
    <row r="5898" spans="11:11" x14ac:dyDescent="0.25">
      <c r="K5898" s="8" t="e">
        <f t="shared" si="66"/>
        <v>#VALUE!</v>
      </c>
    </row>
    <row r="5899" spans="11:11" x14ac:dyDescent="0.25">
      <c r="K5899" s="8" t="e">
        <f t="shared" si="66"/>
        <v>#VALUE!</v>
      </c>
    </row>
    <row r="5900" spans="11:11" x14ac:dyDescent="0.25">
      <c r="K5900" s="8" t="e">
        <f t="shared" si="66"/>
        <v>#VALUE!</v>
      </c>
    </row>
    <row r="5901" spans="11:11" x14ac:dyDescent="0.25">
      <c r="K5901" s="8" t="e">
        <f t="shared" si="66"/>
        <v>#VALUE!</v>
      </c>
    </row>
    <row r="5902" spans="11:11" x14ac:dyDescent="0.25">
      <c r="K5902" s="8" t="e">
        <f t="shared" si="66"/>
        <v>#VALUE!</v>
      </c>
    </row>
    <row r="5903" spans="11:11" x14ac:dyDescent="0.25">
      <c r="K5903" s="8" t="e">
        <f t="shared" si="66"/>
        <v>#VALUE!</v>
      </c>
    </row>
    <row r="5904" spans="11:11" x14ac:dyDescent="0.25">
      <c r="K5904" s="8" t="e">
        <f t="shared" si="66"/>
        <v>#VALUE!</v>
      </c>
    </row>
    <row r="5905" spans="11:11" x14ac:dyDescent="0.25">
      <c r="K5905" s="8" t="e">
        <f t="shared" si="66"/>
        <v>#VALUE!</v>
      </c>
    </row>
    <row r="5906" spans="11:11" x14ac:dyDescent="0.25">
      <c r="K5906" s="8" t="e">
        <f t="shared" si="66"/>
        <v>#VALUE!</v>
      </c>
    </row>
    <row r="5907" spans="11:11" x14ac:dyDescent="0.25">
      <c r="K5907" s="8" t="e">
        <f t="shared" si="66"/>
        <v>#VALUE!</v>
      </c>
    </row>
    <row r="5908" spans="11:11" x14ac:dyDescent="0.25">
      <c r="K5908" s="8" t="e">
        <f t="shared" si="66"/>
        <v>#VALUE!</v>
      </c>
    </row>
    <row r="5909" spans="11:11" x14ac:dyDescent="0.25">
      <c r="K5909" s="8" t="e">
        <f t="shared" si="66"/>
        <v>#VALUE!</v>
      </c>
    </row>
    <row r="5910" spans="11:11" x14ac:dyDescent="0.25">
      <c r="K5910" s="8" t="e">
        <f t="shared" si="66"/>
        <v>#VALUE!</v>
      </c>
    </row>
    <row r="5911" spans="11:11" x14ac:dyDescent="0.25">
      <c r="K5911" s="8" t="e">
        <f t="shared" si="66"/>
        <v>#VALUE!</v>
      </c>
    </row>
    <row r="5912" spans="11:11" x14ac:dyDescent="0.25">
      <c r="K5912" s="8" t="e">
        <f t="shared" si="66"/>
        <v>#VALUE!</v>
      </c>
    </row>
    <row r="5913" spans="11:11" x14ac:dyDescent="0.25">
      <c r="K5913" s="8" t="e">
        <f t="shared" si="66"/>
        <v>#VALUE!</v>
      </c>
    </row>
    <row r="5914" spans="11:11" x14ac:dyDescent="0.25">
      <c r="K5914" s="8" t="e">
        <f t="shared" si="66"/>
        <v>#VALUE!</v>
      </c>
    </row>
    <row r="5915" spans="11:11" x14ac:dyDescent="0.25">
      <c r="K5915" s="8" t="e">
        <f t="shared" si="66"/>
        <v>#VALUE!</v>
      </c>
    </row>
    <row r="5916" spans="11:11" x14ac:dyDescent="0.25">
      <c r="K5916" s="8" t="e">
        <f t="shared" si="66"/>
        <v>#VALUE!</v>
      </c>
    </row>
    <row r="5917" spans="11:11" x14ac:dyDescent="0.25">
      <c r="K5917" s="8" t="e">
        <f t="shared" si="66"/>
        <v>#VALUE!</v>
      </c>
    </row>
    <row r="5918" spans="11:11" x14ac:dyDescent="0.25">
      <c r="K5918" s="8" t="e">
        <f t="shared" si="66"/>
        <v>#VALUE!</v>
      </c>
    </row>
    <row r="5919" spans="11:11" x14ac:dyDescent="0.25">
      <c r="K5919" s="8" t="e">
        <f t="shared" si="66"/>
        <v>#VALUE!</v>
      </c>
    </row>
    <row r="5920" spans="11:11" x14ac:dyDescent="0.25">
      <c r="K5920" s="8" t="e">
        <f t="shared" si="66"/>
        <v>#VALUE!</v>
      </c>
    </row>
    <row r="5921" spans="11:11" x14ac:dyDescent="0.25">
      <c r="K5921" s="8" t="e">
        <f t="shared" si="66"/>
        <v>#VALUE!</v>
      </c>
    </row>
    <row r="5922" spans="11:11" x14ac:dyDescent="0.25">
      <c r="K5922" s="8" t="e">
        <f t="shared" si="66"/>
        <v>#VALUE!</v>
      </c>
    </row>
    <row r="5923" spans="11:11" x14ac:dyDescent="0.25">
      <c r="K5923" s="8" t="e">
        <f t="shared" si="66"/>
        <v>#VALUE!</v>
      </c>
    </row>
    <row r="5924" spans="11:11" x14ac:dyDescent="0.25">
      <c r="K5924" s="8" t="e">
        <f t="shared" si="66"/>
        <v>#VALUE!</v>
      </c>
    </row>
    <row r="5925" spans="11:11" x14ac:dyDescent="0.25">
      <c r="K5925" s="8" t="e">
        <f t="shared" si="66"/>
        <v>#VALUE!</v>
      </c>
    </row>
    <row r="5926" spans="11:11" x14ac:dyDescent="0.25">
      <c r="K5926" s="8" t="e">
        <f t="shared" si="66"/>
        <v>#VALUE!</v>
      </c>
    </row>
    <row r="5927" spans="11:11" x14ac:dyDescent="0.25">
      <c r="K5927" s="8" t="e">
        <f t="shared" si="66"/>
        <v>#VALUE!</v>
      </c>
    </row>
    <row r="5928" spans="11:11" x14ac:dyDescent="0.25">
      <c r="K5928" s="8" t="e">
        <f t="shared" si="66"/>
        <v>#VALUE!</v>
      </c>
    </row>
    <row r="5929" spans="11:11" x14ac:dyDescent="0.25">
      <c r="K5929" s="8" t="e">
        <f t="shared" si="66"/>
        <v>#VALUE!</v>
      </c>
    </row>
    <row r="5930" spans="11:11" x14ac:dyDescent="0.25">
      <c r="K5930" s="8" t="e">
        <f t="shared" si="66"/>
        <v>#VALUE!</v>
      </c>
    </row>
    <row r="5931" spans="11:11" x14ac:dyDescent="0.25">
      <c r="K5931" s="8" t="e">
        <f t="shared" si="66"/>
        <v>#VALUE!</v>
      </c>
    </row>
    <row r="5932" spans="11:11" x14ac:dyDescent="0.25">
      <c r="K5932" s="8" t="e">
        <f t="shared" si="66"/>
        <v>#VALUE!</v>
      </c>
    </row>
    <row r="5933" spans="11:11" x14ac:dyDescent="0.25">
      <c r="K5933" s="8" t="e">
        <f t="shared" si="66"/>
        <v>#VALUE!</v>
      </c>
    </row>
    <row r="5934" spans="11:11" x14ac:dyDescent="0.25">
      <c r="K5934" s="8" t="e">
        <f t="shared" si="66"/>
        <v>#VALUE!</v>
      </c>
    </row>
    <row r="5935" spans="11:11" x14ac:dyDescent="0.25">
      <c r="K5935" s="8" t="e">
        <f t="shared" si="66"/>
        <v>#VALUE!</v>
      </c>
    </row>
    <row r="5936" spans="11:11" x14ac:dyDescent="0.25">
      <c r="K5936" s="8" t="e">
        <f t="shared" si="66"/>
        <v>#VALUE!</v>
      </c>
    </row>
    <row r="5937" spans="11:11" x14ac:dyDescent="0.25">
      <c r="K5937" s="8" t="e">
        <f t="shared" si="66"/>
        <v>#VALUE!</v>
      </c>
    </row>
    <row r="5938" spans="11:11" x14ac:dyDescent="0.25">
      <c r="K5938" s="8" t="e">
        <f t="shared" si="66"/>
        <v>#VALUE!</v>
      </c>
    </row>
    <row r="5939" spans="11:11" x14ac:dyDescent="0.25">
      <c r="K5939" s="8" t="e">
        <f t="shared" si="66"/>
        <v>#VALUE!</v>
      </c>
    </row>
    <row r="5940" spans="11:11" x14ac:dyDescent="0.25">
      <c r="K5940" s="8" t="e">
        <f t="shared" si="66"/>
        <v>#VALUE!</v>
      </c>
    </row>
    <row r="5941" spans="11:11" x14ac:dyDescent="0.25">
      <c r="K5941" s="8" t="e">
        <f t="shared" si="66"/>
        <v>#VALUE!</v>
      </c>
    </row>
    <row r="5942" spans="11:11" x14ac:dyDescent="0.25">
      <c r="K5942" s="8" t="e">
        <f t="shared" si="66"/>
        <v>#VALUE!</v>
      </c>
    </row>
    <row r="5943" spans="11:11" x14ac:dyDescent="0.25">
      <c r="K5943" s="8" t="e">
        <f t="shared" si="66"/>
        <v>#VALUE!</v>
      </c>
    </row>
    <row r="5944" spans="11:11" x14ac:dyDescent="0.25">
      <c r="K5944" s="8" t="e">
        <f t="shared" si="66"/>
        <v>#VALUE!</v>
      </c>
    </row>
    <row r="5945" spans="11:11" x14ac:dyDescent="0.25">
      <c r="K5945" s="8" t="e">
        <f t="shared" si="66"/>
        <v>#VALUE!</v>
      </c>
    </row>
    <row r="5946" spans="11:11" x14ac:dyDescent="0.25">
      <c r="K5946" s="8" t="e">
        <f t="shared" si="66"/>
        <v>#VALUE!</v>
      </c>
    </row>
    <row r="5947" spans="11:11" x14ac:dyDescent="0.25">
      <c r="K5947" s="8" t="e">
        <f t="shared" si="66"/>
        <v>#VALUE!</v>
      </c>
    </row>
    <row r="5948" spans="11:11" x14ac:dyDescent="0.25">
      <c r="K5948" s="8" t="e">
        <f t="shared" si="66"/>
        <v>#VALUE!</v>
      </c>
    </row>
    <row r="5949" spans="11:11" x14ac:dyDescent="0.25">
      <c r="K5949" s="8" t="e">
        <f t="shared" si="66"/>
        <v>#VALUE!</v>
      </c>
    </row>
    <row r="5950" spans="11:11" x14ac:dyDescent="0.25">
      <c r="K5950" s="8" t="e">
        <f t="shared" si="66"/>
        <v>#VALUE!</v>
      </c>
    </row>
    <row r="5951" spans="11:11" x14ac:dyDescent="0.25">
      <c r="K5951" s="8" t="e">
        <f t="shared" si="66"/>
        <v>#VALUE!</v>
      </c>
    </row>
    <row r="5952" spans="11:11" x14ac:dyDescent="0.25">
      <c r="K5952" s="8" t="e">
        <f t="shared" si="66"/>
        <v>#VALUE!</v>
      </c>
    </row>
    <row r="5953" spans="11:11" x14ac:dyDescent="0.25">
      <c r="K5953" s="8" t="e">
        <f t="shared" si="66"/>
        <v>#VALUE!</v>
      </c>
    </row>
    <row r="5954" spans="11:11" x14ac:dyDescent="0.25">
      <c r="K5954" s="8" t="e">
        <f t="shared" si="66"/>
        <v>#VALUE!</v>
      </c>
    </row>
    <row r="5955" spans="11:11" x14ac:dyDescent="0.25">
      <c r="K5955" s="8" t="e">
        <f t="shared" ref="K5955:K6018" si="67">LEFT(A5955,FIND("/",A5955)-1)</f>
        <v>#VALUE!</v>
      </c>
    </row>
    <row r="5956" spans="11:11" x14ac:dyDescent="0.25">
      <c r="K5956" s="8" t="e">
        <f t="shared" si="67"/>
        <v>#VALUE!</v>
      </c>
    </row>
    <row r="5957" spans="11:11" x14ac:dyDescent="0.25">
      <c r="K5957" s="8" t="e">
        <f t="shared" si="67"/>
        <v>#VALUE!</v>
      </c>
    </row>
    <row r="5958" spans="11:11" x14ac:dyDescent="0.25">
      <c r="K5958" s="8" t="e">
        <f t="shared" si="67"/>
        <v>#VALUE!</v>
      </c>
    </row>
    <row r="5959" spans="11:11" x14ac:dyDescent="0.25">
      <c r="K5959" s="8" t="e">
        <f t="shared" si="67"/>
        <v>#VALUE!</v>
      </c>
    </row>
    <row r="5960" spans="11:11" x14ac:dyDescent="0.25">
      <c r="K5960" s="8" t="e">
        <f t="shared" si="67"/>
        <v>#VALUE!</v>
      </c>
    </row>
    <row r="5961" spans="11:11" x14ac:dyDescent="0.25">
      <c r="K5961" s="8" t="e">
        <f t="shared" si="67"/>
        <v>#VALUE!</v>
      </c>
    </row>
    <row r="5962" spans="11:11" x14ac:dyDescent="0.25">
      <c r="K5962" s="8" t="e">
        <f t="shared" si="67"/>
        <v>#VALUE!</v>
      </c>
    </row>
    <row r="5963" spans="11:11" x14ac:dyDescent="0.25">
      <c r="K5963" s="8" t="e">
        <f t="shared" si="67"/>
        <v>#VALUE!</v>
      </c>
    </row>
    <row r="5964" spans="11:11" x14ac:dyDescent="0.25">
      <c r="K5964" s="8" t="e">
        <f t="shared" si="67"/>
        <v>#VALUE!</v>
      </c>
    </row>
    <row r="5965" spans="11:11" x14ac:dyDescent="0.25">
      <c r="K5965" s="8" t="e">
        <f t="shared" si="67"/>
        <v>#VALUE!</v>
      </c>
    </row>
    <row r="5966" spans="11:11" x14ac:dyDescent="0.25">
      <c r="K5966" s="8" t="e">
        <f t="shared" si="67"/>
        <v>#VALUE!</v>
      </c>
    </row>
    <row r="5967" spans="11:11" x14ac:dyDescent="0.25">
      <c r="K5967" s="8" t="e">
        <f t="shared" si="67"/>
        <v>#VALUE!</v>
      </c>
    </row>
    <row r="5968" spans="11:11" x14ac:dyDescent="0.25">
      <c r="K5968" s="8" t="e">
        <f t="shared" si="67"/>
        <v>#VALUE!</v>
      </c>
    </row>
    <row r="5969" spans="11:11" x14ac:dyDescent="0.25">
      <c r="K5969" s="8" t="e">
        <f t="shared" si="67"/>
        <v>#VALUE!</v>
      </c>
    </row>
    <row r="5970" spans="11:11" x14ac:dyDescent="0.25">
      <c r="K5970" s="8" t="e">
        <f t="shared" si="67"/>
        <v>#VALUE!</v>
      </c>
    </row>
    <row r="5971" spans="11:11" x14ac:dyDescent="0.25">
      <c r="K5971" s="8" t="e">
        <f t="shared" si="67"/>
        <v>#VALUE!</v>
      </c>
    </row>
    <row r="5972" spans="11:11" x14ac:dyDescent="0.25">
      <c r="K5972" s="8" t="e">
        <f t="shared" si="67"/>
        <v>#VALUE!</v>
      </c>
    </row>
    <row r="5973" spans="11:11" x14ac:dyDescent="0.25">
      <c r="K5973" s="8" t="e">
        <f t="shared" si="67"/>
        <v>#VALUE!</v>
      </c>
    </row>
    <row r="5974" spans="11:11" x14ac:dyDescent="0.25">
      <c r="K5974" s="8" t="e">
        <f t="shared" si="67"/>
        <v>#VALUE!</v>
      </c>
    </row>
    <row r="5975" spans="11:11" x14ac:dyDescent="0.25">
      <c r="K5975" s="8" t="e">
        <f t="shared" si="67"/>
        <v>#VALUE!</v>
      </c>
    </row>
    <row r="5976" spans="11:11" x14ac:dyDescent="0.25">
      <c r="K5976" s="8" t="e">
        <f t="shared" si="67"/>
        <v>#VALUE!</v>
      </c>
    </row>
    <row r="5977" spans="11:11" x14ac:dyDescent="0.25">
      <c r="K5977" s="8" t="e">
        <f t="shared" si="67"/>
        <v>#VALUE!</v>
      </c>
    </row>
    <row r="5978" spans="11:11" x14ac:dyDescent="0.25">
      <c r="K5978" s="8" t="e">
        <f t="shared" si="67"/>
        <v>#VALUE!</v>
      </c>
    </row>
    <row r="5979" spans="11:11" x14ac:dyDescent="0.25">
      <c r="K5979" s="8" t="e">
        <f t="shared" si="67"/>
        <v>#VALUE!</v>
      </c>
    </row>
    <row r="5980" spans="11:11" x14ac:dyDescent="0.25">
      <c r="K5980" s="8" t="e">
        <f t="shared" si="67"/>
        <v>#VALUE!</v>
      </c>
    </row>
    <row r="5981" spans="11:11" x14ac:dyDescent="0.25">
      <c r="K5981" s="8" t="e">
        <f t="shared" si="67"/>
        <v>#VALUE!</v>
      </c>
    </row>
    <row r="5982" spans="11:11" x14ac:dyDescent="0.25">
      <c r="K5982" s="8" t="e">
        <f t="shared" si="67"/>
        <v>#VALUE!</v>
      </c>
    </row>
    <row r="5983" spans="11:11" x14ac:dyDescent="0.25">
      <c r="K5983" s="8" t="e">
        <f t="shared" si="67"/>
        <v>#VALUE!</v>
      </c>
    </row>
    <row r="5984" spans="11:11" x14ac:dyDescent="0.25">
      <c r="K5984" s="8" t="e">
        <f t="shared" si="67"/>
        <v>#VALUE!</v>
      </c>
    </row>
    <row r="5985" spans="11:11" x14ac:dyDescent="0.25">
      <c r="K5985" s="8" t="e">
        <f t="shared" si="67"/>
        <v>#VALUE!</v>
      </c>
    </row>
    <row r="5986" spans="11:11" x14ac:dyDescent="0.25">
      <c r="K5986" s="8" t="e">
        <f t="shared" si="67"/>
        <v>#VALUE!</v>
      </c>
    </row>
    <row r="5987" spans="11:11" x14ac:dyDescent="0.25">
      <c r="K5987" s="8" t="e">
        <f t="shared" si="67"/>
        <v>#VALUE!</v>
      </c>
    </row>
    <row r="5988" spans="11:11" x14ac:dyDescent="0.25">
      <c r="K5988" s="8" t="e">
        <f t="shared" si="67"/>
        <v>#VALUE!</v>
      </c>
    </row>
    <row r="5989" spans="11:11" x14ac:dyDescent="0.25">
      <c r="K5989" s="8" t="e">
        <f t="shared" si="67"/>
        <v>#VALUE!</v>
      </c>
    </row>
    <row r="5990" spans="11:11" x14ac:dyDescent="0.25">
      <c r="K5990" s="8" t="e">
        <f t="shared" si="67"/>
        <v>#VALUE!</v>
      </c>
    </row>
    <row r="5991" spans="11:11" x14ac:dyDescent="0.25">
      <c r="K5991" s="8" t="e">
        <f t="shared" si="67"/>
        <v>#VALUE!</v>
      </c>
    </row>
    <row r="5992" spans="11:11" x14ac:dyDescent="0.25">
      <c r="K5992" s="8" t="e">
        <f t="shared" si="67"/>
        <v>#VALUE!</v>
      </c>
    </row>
    <row r="5993" spans="11:11" x14ac:dyDescent="0.25">
      <c r="K5993" s="8" t="e">
        <f t="shared" si="67"/>
        <v>#VALUE!</v>
      </c>
    </row>
    <row r="5994" spans="11:11" x14ac:dyDescent="0.25">
      <c r="K5994" s="8" t="e">
        <f t="shared" si="67"/>
        <v>#VALUE!</v>
      </c>
    </row>
    <row r="5995" spans="11:11" x14ac:dyDescent="0.25">
      <c r="K5995" s="8" t="e">
        <f t="shared" si="67"/>
        <v>#VALUE!</v>
      </c>
    </row>
    <row r="5996" spans="11:11" x14ac:dyDescent="0.25">
      <c r="K5996" s="8" t="e">
        <f t="shared" si="67"/>
        <v>#VALUE!</v>
      </c>
    </row>
    <row r="5997" spans="11:11" x14ac:dyDescent="0.25">
      <c r="K5997" s="8" t="e">
        <f t="shared" si="67"/>
        <v>#VALUE!</v>
      </c>
    </row>
    <row r="5998" spans="11:11" x14ac:dyDescent="0.25">
      <c r="K5998" s="8" t="e">
        <f t="shared" si="67"/>
        <v>#VALUE!</v>
      </c>
    </row>
    <row r="5999" spans="11:11" x14ac:dyDescent="0.25">
      <c r="K5999" s="8" t="e">
        <f t="shared" si="67"/>
        <v>#VALUE!</v>
      </c>
    </row>
    <row r="6000" spans="11:11" x14ac:dyDescent="0.25">
      <c r="K6000" s="8" t="e">
        <f t="shared" si="67"/>
        <v>#VALUE!</v>
      </c>
    </row>
    <row r="6001" spans="11:11" x14ac:dyDescent="0.25">
      <c r="K6001" s="8" t="e">
        <f t="shared" si="67"/>
        <v>#VALUE!</v>
      </c>
    </row>
    <row r="6002" spans="11:11" x14ac:dyDescent="0.25">
      <c r="K6002" s="8" t="e">
        <f t="shared" si="67"/>
        <v>#VALUE!</v>
      </c>
    </row>
    <row r="6003" spans="11:11" x14ac:dyDescent="0.25">
      <c r="K6003" s="8" t="e">
        <f t="shared" si="67"/>
        <v>#VALUE!</v>
      </c>
    </row>
    <row r="6004" spans="11:11" x14ac:dyDescent="0.25">
      <c r="K6004" s="8" t="e">
        <f t="shared" si="67"/>
        <v>#VALUE!</v>
      </c>
    </row>
    <row r="6005" spans="11:11" x14ac:dyDescent="0.25">
      <c r="K6005" s="8" t="e">
        <f t="shared" si="67"/>
        <v>#VALUE!</v>
      </c>
    </row>
    <row r="6006" spans="11:11" x14ac:dyDescent="0.25">
      <c r="K6006" s="8" t="e">
        <f t="shared" si="67"/>
        <v>#VALUE!</v>
      </c>
    </row>
    <row r="6007" spans="11:11" x14ac:dyDescent="0.25">
      <c r="K6007" s="8" t="e">
        <f t="shared" si="67"/>
        <v>#VALUE!</v>
      </c>
    </row>
    <row r="6008" spans="11:11" x14ac:dyDescent="0.25">
      <c r="K6008" s="8" t="e">
        <f t="shared" si="67"/>
        <v>#VALUE!</v>
      </c>
    </row>
    <row r="6009" spans="11:11" x14ac:dyDescent="0.25">
      <c r="K6009" s="8" t="e">
        <f t="shared" si="67"/>
        <v>#VALUE!</v>
      </c>
    </row>
    <row r="6010" spans="11:11" x14ac:dyDescent="0.25">
      <c r="K6010" s="8" t="e">
        <f t="shared" si="67"/>
        <v>#VALUE!</v>
      </c>
    </row>
    <row r="6011" spans="11:11" x14ac:dyDescent="0.25">
      <c r="K6011" s="8" t="e">
        <f t="shared" si="67"/>
        <v>#VALUE!</v>
      </c>
    </row>
    <row r="6012" spans="11:11" x14ac:dyDescent="0.25">
      <c r="K6012" s="8" t="e">
        <f t="shared" si="67"/>
        <v>#VALUE!</v>
      </c>
    </row>
    <row r="6013" spans="11:11" x14ac:dyDescent="0.25">
      <c r="K6013" s="8" t="e">
        <f t="shared" si="67"/>
        <v>#VALUE!</v>
      </c>
    </row>
    <row r="6014" spans="11:11" x14ac:dyDescent="0.25">
      <c r="K6014" s="8" t="e">
        <f t="shared" si="67"/>
        <v>#VALUE!</v>
      </c>
    </row>
    <row r="6015" spans="11:11" x14ac:dyDescent="0.25">
      <c r="K6015" s="8" t="e">
        <f t="shared" si="67"/>
        <v>#VALUE!</v>
      </c>
    </row>
    <row r="6016" spans="11:11" x14ac:dyDescent="0.25">
      <c r="K6016" s="8" t="e">
        <f t="shared" si="67"/>
        <v>#VALUE!</v>
      </c>
    </row>
    <row r="6017" spans="11:11" x14ac:dyDescent="0.25">
      <c r="K6017" s="8" t="e">
        <f t="shared" si="67"/>
        <v>#VALUE!</v>
      </c>
    </row>
    <row r="6018" spans="11:11" x14ac:dyDescent="0.25">
      <c r="K6018" s="8" t="e">
        <f t="shared" si="67"/>
        <v>#VALUE!</v>
      </c>
    </row>
    <row r="6019" spans="11:11" x14ac:dyDescent="0.25">
      <c r="K6019" s="8" t="e">
        <f t="shared" ref="K6019:K6082" si="68">LEFT(A6019,FIND("/",A6019)-1)</f>
        <v>#VALUE!</v>
      </c>
    </row>
    <row r="6020" spans="11:11" x14ac:dyDescent="0.25">
      <c r="K6020" s="8" t="e">
        <f t="shared" si="68"/>
        <v>#VALUE!</v>
      </c>
    </row>
    <row r="6021" spans="11:11" x14ac:dyDescent="0.25">
      <c r="K6021" s="8" t="e">
        <f t="shared" si="68"/>
        <v>#VALUE!</v>
      </c>
    </row>
    <row r="6022" spans="11:11" x14ac:dyDescent="0.25">
      <c r="K6022" s="8" t="e">
        <f t="shared" si="68"/>
        <v>#VALUE!</v>
      </c>
    </row>
    <row r="6023" spans="11:11" x14ac:dyDescent="0.25">
      <c r="K6023" s="8" t="e">
        <f t="shared" si="68"/>
        <v>#VALUE!</v>
      </c>
    </row>
    <row r="6024" spans="11:11" x14ac:dyDescent="0.25">
      <c r="K6024" s="8" t="e">
        <f t="shared" si="68"/>
        <v>#VALUE!</v>
      </c>
    </row>
    <row r="6025" spans="11:11" x14ac:dyDescent="0.25">
      <c r="K6025" s="8" t="e">
        <f t="shared" si="68"/>
        <v>#VALUE!</v>
      </c>
    </row>
    <row r="6026" spans="11:11" x14ac:dyDescent="0.25">
      <c r="K6026" s="8" t="e">
        <f t="shared" si="68"/>
        <v>#VALUE!</v>
      </c>
    </row>
    <row r="6027" spans="11:11" x14ac:dyDescent="0.25">
      <c r="K6027" s="8" t="e">
        <f t="shared" si="68"/>
        <v>#VALUE!</v>
      </c>
    </row>
    <row r="6028" spans="11:11" x14ac:dyDescent="0.25">
      <c r="K6028" s="8" t="e">
        <f t="shared" si="68"/>
        <v>#VALUE!</v>
      </c>
    </row>
    <row r="6029" spans="11:11" x14ac:dyDescent="0.25">
      <c r="K6029" s="8" t="e">
        <f t="shared" si="68"/>
        <v>#VALUE!</v>
      </c>
    </row>
    <row r="6030" spans="11:11" x14ac:dyDescent="0.25">
      <c r="K6030" s="8" t="e">
        <f t="shared" si="68"/>
        <v>#VALUE!</v>
      </c>
    </row>
    <row r="6031" spans="11:11" x14ac:dyDescent="0.25">
      <c r="K6031" s="8" t="e">
        <f t="shared" si="68"/>
        <v>#VALUE!</v>
      </c>
    </row>
    <row r="6032" spans="11:11" x14ac:dyDescent="0.25">
      <c r="K6032" s="8" t="e">
        <f t="shared" si="68"/>
        <v>#VALUE!</v>
      </c>
    </row>
    <row r="6033" spans="11:11" x14ac:dyDescent="0.25">
      <c r="K6033" s="8" t="e">
        <f t="shared" si="68"/>
        <v>#VALUE!</v>
      </c>
    </row>
    <row r="6034" spans="11:11" x14ac:dyDescent="0.25">
      <c r="K6034" s="8" t="e">
        <f t="shared" si="68"/>
        <v>#VALUE!</v>
      </c>
    </row>
    <row r="6035" spans="11:11" x14ac:dyDescent="0.25">
      <c r="K6035" s="8" t="e">
        <f t="shared" si="68"/>
        <v>#VALUE!</v>
      </c>
    </row>
    <row r="6036" spans="11:11" x14ac:dyDescent="0.25">
      <c r="K6036" s="8" t="e">
        <f t="shared" si="68"/>
        <v>#VALUE!</v>
      </c>
    </row>
    <row r="6037" spans="11:11" x14ac:dyDescent="0.25">
      <c r="K6037" s="8" t="e">
        <f t="shared" si="68"/>
        <v>#VALUE!</v>
      </c>
    </row>
    <row r="6038" spans="11:11" x14ac:dyDescent="0.25">
      <c r="K6038" s="8" t="e">
        <f t="shared" si="68"/>
        <v>#VALUE!</v>
      </c>
    </row>
    <row r="6039" spans="11:11" x14ac:dyDescent="0.25">
      <c r="K6039" s="8" t="e">
        <f t="shared" si="68"/>
        <v>#VALUE!</v>
      </c>
    </row>
    <row r="6040" spans="11:11" x14ac:dyDescent="0.25">
      <c r="K6040" s="8" t="e">
        <f t="shared" si="68"/>
        <v>#VALUE!</v>
      </c>
    </row>
    <row r="6041" spans="11:11" x14ac:dyDescent="0.25">
      <c r="K6041" s="8" t="e">
        <f t="shared" si="68"/>
        <v>#VALUE!</v>
      </c>
    </row>
    <row r="6042" spans="11:11" x14ac:dyDescent="0.25">
      <c r="K6042" s="8" t="e">
        <f t="shared" si="68"/>
        <v>#VALUE!</v>
      </c>
    </row>
    <row r="6043" spans="11:11" x14ac:dyDescent="0.25">
      <c r="K6043" s="8" t="e">
        <f t="shared" si="68"/>
        <v>#VALUE!</v>
      </c>
    </row>
    <row r="6044" spans="11:11" x14ac:dyDescent="0.25">
      <c r="K6044" s="8" t="e">
        <f t="shared" si="68"/>
        <v>#VALUE!</v>
      </c>
    </row>
    <row r="6045" spans="11:11" x14ac:dyDescent="0.25">
      <c r="K6045" s="8" t="e">
        <f t="shared" si="68"/>
        <v>#VALUE!</v>
      </c>
    </row>
    <row r="6046" spans="11:11" x14ac:dyDescent="0.25">
      <c r="K6046" s="8" t="e">
        <f t="shared" si="68"/>
        <v>#VALUE!</v>
      </c>
    </row>
    <row r="6047" spans="11:11" x14ac:dyDescent="0.25">
      <c r="K6047" s="8" t="e">
        <f t="shared" si="68"/>
        <v>#VALUE!</v>
      </c>
    </row>
    <row r="6048" spans="11:11" x14ac:dyDescent="0.25">
      <c r="K6048" s="8" t="e">
        <f t="shared" si="68"/>
        <v>#VALUE!</v>
      </c>
    </row>
    <row r="6049" spans="11:11" x14ac:dyDescent="0.25">
      <c r="K6049" s="8" t="e">
        <f t="shared" si="68"/>
        <v>#VALUE!</v>
      </c>
    </row>
    <row r="6050" spans="11:11" x14ac:dyDescent="0.25">
      <c r="K6050" s="8" t="e">
        <f t="shared" si="68"/>
        <v>#VALUE!</v>
      </c>
    </row>
    <row r="6051" spans="11:11" x14ac:dyDescent="0.25">
      <c r="K6051" s="8" t="e">
        <f t="shared" si="68"/>
        <v>#VALUE!</v>
      </c>
    </row>
    <row r="6052" spans="11:11" x14ac:dyDescent="0.25">
      <c r="K6052" s="8" t="e">
        <f t="shared" si="68"/>
        <v>#VALUE!</v>
      </c>
    </row>
    <row r="6053" spans="11:11" x14ac:dyDescent="0.25">
      <c r="K6053" s="8" t="e">
        <f t="shared" si="68"/>
        <v>#VALUE!</v>
      </c>
    </row>
    <row r="6054" spans="11:11" x14ac:dyDescent="0.25">
      <c r="K6054" s="8" t="e">
        <f t="shared" si="68"/>
        <v>#VALUE!</v>
      </c>
    </row>
    <row r="6055" spans="11:11" x14ac:dyDescent="0.25">
      <c r="K6055" s="8" t="e">
        <f t="shared" si="68"/>
        <v>#VALUE!</v>
      </c>
    </row>
    <row r="6056" spans="11:11" x14ac:dyDescent="0.25">
      <c r="K6056" s="8" t="e">
        <f t="shared" si="68"/>
        <v>#VALUE!</v>
      </c>
    </row>
    <row r="6057" spans="11:11" x14ac:dyDescent="0.25">
      <c r="K6057" s="8" t="e">
        <f t="shared" si="68"/>
        <v>#VALUE!</v>
      </c>
    </row>
    <row r="6058" spans="11:11" x14ac:dyDescent="0.25">
      <c r="K6058" s="8" t="e">
        <f t="shared" si="68"/>
        <v>#VALUE!</v>
      </c>
    </row>
    <row r="6059" spans="11:11" x14ac:dyDescent="0.25">
      <c r="K6059" s="8" t="e">
        <f t="shared" si="68"/>
        <v>#VALUE!</v>
      </c>
    </row>
    <row r="6060" spans="11:11" x14ac:dyDescent="0.25">
      <c r="K6060" s="8" t="e">
        <f t="shared" si="68"/>
        <v>#VALUE!</v>
      </c>
    </row>
    <row r="6061" spans="11:11" x14ac:dyDescent="0.25">
      <c r="K6061" s="8" t="e">
        <f t="shared" si="68"/>
        <v>#VALUE!</v>
      </c>
    </row>
    <row r="6062" spans="11:11" x14ac:dyDescent="0.25">
      <c r="K6062" s="8" t="e">
        <f t="shared" si="68"/>
        <v>#VALUE!</v>
      </c>
    </row>
    <row r="6063" spans="11:11" x14ac:dyDescent="0.25">
      <c r="K6063" s="8" t="e">
        <f t="shared" si="68"/>
        <v>#VALUE!</v>
      </c>
    </row>
    <row r="6064" spans="11:11" x14ac:dyDescent="0.25">
      <c r="K6064" s="8" t="e">
        <f t="shared" si="68"/>
        <v>#VALUE!</v>
      </c>
    </row>
    <row r="6065" spans="11:11" x14ac:dyDescent="0.25">
      <c r="K6065" s="8" t="e">
        <f t="shared" si="68"/>
        <v>#VALUE!</v>
      </c>
    </row>
    <row r="6066" spans="11:11" x14ac:dyDescent="0.25">
      <c r="K6066" s="8" t="e">
        <f t="shared" si="68"/>
        <v>#VALUE!</v>
      </c>
    </row>
    <row r="6067" spans="11:11" x14ac:dyDescent="0.25">
      <c r="K6067" s="8" t="e">
        <f t="shared" si="68"/>
        <v>#VALUE!</v>
      </c>
    </row>
    <row r="6068" spans="11:11" x14ac:dyDescent="0.25">
      <c r="K6068" s="8" t="e">
        <f t="shared" si="68"/>
        <v>#VALUE!</v>
      </c>
    </row>
    <row r="6069" spans="11:11" x14ac:dyDescent="0.25">
      <c r="K6069" s="8" t="e">
        <f t="shared" si="68"/>
        <v>#VALUE!</v>
      </c>
    </row>
    <row r="6070" spans="11:11" x14ac:dyDescent="0.25">
      <c r="K6070" s="8" t="e">
        <f t="shared" si="68"/>
        <v>#VALUE!</v>
      </c>
    </row>
    <row r="6071" spans="11:11" x14ac:dyDescent="0.25">
      <c r="K6071" s="8" t="e">
        <f t="shared" si="68"/>
        <v>#VALUE!</v>
      </c>
    </row>
    <row r="6072" spans="11:11" x14ac:dyDescent="0.25">
      <c r="K6072" s="8" t="e">
        <f t="shared" si="68"/>
        <v>#VALUE!</v>
      </c>
    </row>
    <row r="6073" spans="11:11" x14ac:dyDescent="0.25">
      <c r="K6073" s="8" t="e">
        <f t="shared" si="68"/>
        <v>#VALUE!</v>
      </c>
    </row>
    <row r="6074" spans="11:11" x14ac:dyDescent="0.25">
      <c r="K6074" s="8" t="e">
        <f t="shared" si="68"/>
        <v>#VALUE!</v>
      </c>
    </row>
    <row r="6075" spans="11:11" x14ac:dyDescent="0.25">
      <c r="K6075" s="8" t="e">
        <f t="shared" si="68"/>
        <v>#VALUE!</v>
      </c>
    </row>
    <row r="6076" spans="11:11" x14ac:dyDescent="0.25">
      <c r="K6076" s="8" t="e">
        <f t="shared" si="68"/>
        <v>#VALUE!</v>
      </c>
    </row>
    <row r="6077" spans="11:11" x14ac:dyDescent="0.25">
      <c r="K6077" s="8" t="e">
        <f t="shared" si="68"/>
        <v>#VALUE!</v>
      </c>
    </row>
    <row r="6078" spans="11:11" x14ac:dyDescent="0.25">
      <c r="K6078" s="8" t="e">
        <f t="shared" si="68"/>
        <v>#VALUE!</v>
      </c>
    </row>
    <row r="6079" spans="11:11" x14ac:dyDescent="0.25">
      <c r="K6079" s="8" t="e">
        <f t="shared" si="68"/>
        <v>#VALUE!</v>
      </c>
    </row>
    <row r="6080" spans="11:11" x14ac:dyDescent="0.25">
      <c r="K6080" s="8" t="e">
        <f t="shared" si="68"/>
        <v>#VALUE!</v>
      </c>
    </row>
    <row r="6081" spans="11:11" x14ac:dyDescent="0.25">
      <c r="K6081" s="8" t="e">
        <f t="shared" si="68"/>
        <v>#VALUE!</v>
      </c>
    </row>
    <row r="6082" spans="11:11" x14ac:dyDescent="0.25">
      <c r="K6082" s="8" t="e">
        <f t="shared" si="68"/>
        <v>#VALUE!</v>
      </c>
    </row>
    <row r="6083" spans="11:11" x14ac:dyDescent="0.25">
      <c r="K6083" s="8" t="e">
        <f t="shared" ref="K6083:K6146" si="69">LEFT(A6083,FIND("/",A6083)-1)</f>
        <v>#VALUE!</v>
      </c>
    </row>
    <row r="6084" spans="11:11" x14ac:dyDescent="0.25">
      <c r="K6084" s="8" t="e">
        <f t="shared" si="69"/>
        <v>#VALUE!</v>
      </c>
    </row>
    <row r="6085" spans="11:11" x14ac:dyDescent="0.25">
      <c r="K6085" s="8" t="e">
        <f t="shared" si="69"/>
        <v>#VALUE!</v>
      </c>
    </row>
    <row r="6086" spans="11:11" x14ac:dyDescent="0.25">
      <c r="K6086" s="8" t="e">
        <f t="shared" si="69"/>
        <v>#VALUE!</v>
      </c>
    </row>
    <row r="6087" spans="11:11" x14ac:dyDescent="0.25">
      <c r="K6087" s="8" t="e">
        <f t="shared" si="69"/>
        <v>#VALUE!</v>
      </c>
    </row>
    <row r="6088" spans="11:11" x14ac:dyDescent="0.25">
      <c r="K6088" s="8" t="e">
        <f t="shared" si="69"/>
        <v>#VALUE!</v>
      </c>
    </row>
    <row r="6089" spans="11:11" x14ac:dyDescent="0.25">
      <c r="K6089" s="8" t="e">
        <f t="shared" si="69"/>
        <v>#VALUE!</v>
      </c>
    </row>
    <row r="6090" spans="11:11" x14ac:dyDescent="0.25">
      <c r="K6090" s="8" t="e">
        <f t="shared" si="69"/>
        <v>#VALUE!</v>
      </c>
    </row>
    <row r="6091" spans="11:11" x14ac:dyDescent="0.25">
      <c r="K6091" s="8" t="e">
        <f t="shared" si="69"/>
        <v>#VALUE!</v>
      </c>
    </row>
    <row r="6092" spans="11:11" x14ac:dyDescent="0.25">
      <c r="K6092" s="8" t="e">
        <f t="shared" si="69"/>
        <v>#VALUE!</v>
      </c>
    </row>
    <row r="6093" spans="11:11" x14ac:dyDescent="0.25">
      <c r="K6093" s="8" t="e">
        <f t="shared" si="69"/>
        <v>#VALUE!</v>
      </c>
    </row>
    <row r="6094" spans="11:11" x14ac:dyDescent="0.25">
      <c r="K6094" s="8" t="e">
        <f t="shared" si="69"/>
        <v>#VALUE!</v>
      </c>
    </row>
    <row r="6095" spans="11:11" x14ac:dyDescent="0.25">
      <c r="K6095" s="8" t="e">
        <f t="shared" si="69"/>
        <v>#VALUE!</v>
      </c>
    </row>
    <row r="6096" spans="11:11" x14ac:dyDescent="0.25">
      <c r="K6096" s="8" t="e">
        <f t="shared" si="69"/>
        <v>#VALUE!</v>
      </c>
    </row>
    <row r="6097" spans="11:11" x14ac:dyDescent="0.25">
      <c r="K6097" s="8" t="e">
        <f t="shared" si="69"/>
        <v>#VALUE!</v>
      </c>
    </row>
    <row r="6098" spans="11:11" x14ac:dyDescent="0.25">
      <c r="K6098" s="8" t="e">
        <f t="shared" si="69"/>
        <v>#VALUE!</v>
      </c>
    </row>
    <row r="6099" spans="11:11" x14ac:dyDescent="0.25">
      <c r="K6099" s="8" t="e">
        <f t="shared" si="69"/>
        <v>#VALUE!</v>
      </c>
    </row>
    <row r="6100" spans="11:11" x14ac:dyDescent="0.25">
      <c r="K6100" s="8" t="e">
        <f t="shared" si="69"/>
        <v>#VALUE!</v>
      </c>
    </row>
    <row r="6101" spans="11:11" x14ac:dyDescent="0.25">
      <c r="K6101" s="8" t="e">
        <f t="shared" si="69"/>
        <v>#VALUE!</v>
      </c>
    </row>
    <row r="6102" spans="11:11" x14ac:dyDescent="0.25">
      <c r="K6102" s="8" t="e">
        <f t="shared" si="69"/>
        <v>#VALUE!</v>
      </c>
    </row>
    <row r="6103" spans="11:11" x14ac:dyDescent="0.25">
      <c r="K6103" s="8" t="e">
        <f t="shared" si="69"/>
        <v>#VALUE!</v>
      </c>
    </row>
    <row r="6104" spans="11:11" x14ac:dyDescent="0.25">
      <c r="K6104" s="8" t="e">
        <f t="shared" si="69"/>
        <v>#VALUE!</v>
      </c>
    </row>
    <row r="6105" spans="11:11" x14ac:dyDescent="0.25">
      <c r="K6105" s="8" t="e">
        <f t="shared" si="69"/>
        <v>#VALUE!</v>
      </c>
    </row>
    <row r="6106" spans="11:11" x14ac:dyDescent="0.25">
      <c r="K6106" s="8" t="e">
        <f t="shared" si="69"/>
        <v>#VALUE!</v>
      </c>
    </row>
    <row r="6107" spans="11:11" x14ac:dyDescent="0.25">
      <c r="K6107" s="8" t="e">
        <f t="shared" si="69"/>
        <v>#VALUE!</v>
      </c>
    </row>
    <row r="6108" spans="11:11" x14ac:dyDescent="0.25">
      <c r="K6108" s="8" t="e">
        <f t="shared" si="69"/>
        <v>#VALUE!</v>
      </c>
    </row>
    <row r="6109" spans="11:11" x14ac:dyDescent="0.25">
      <c r="K6109" s="8" t="e">
        <f t="shared" si="69"/>
        <v>#VALUE!</v>
      </c>
    </row>
    <row r="6110" spans="11:11" x14ac:dyDescent="0.25">
      <c r="K6110" s="8" t="e">
        <f t="shared" si="69"/>
        <v>#VALUE!</v>
      </c>
    </row>
    <row r="6111" spans="11:11" x14ac:dyDescent="0.25">
      <c r="K6111" s="8" t="e">
        <f t="shared" si="69"/>
        <v>#VALUE!</v>
      </c>
    </row>
    <row r="6112" spans="11:11" x14ac:dyDescent="0.25">
      <c r="K6112" s="8" t="e">
        <f t="shared" si="69"/>
        <v>#VALUE!</v>
      </c>
    </row>
    <row r="6113" spans="11:11" x14ac:dyDescent="0.25">
      <c r="K6113" s="8" t="e">
        <f t="shared" si="69"/>
        <v>#VALUE!</v>
      </c>
    </row>
    <row r="6114" spans="11:11" x14ac:dyDescent="0.25">
      <c r="K6114" s="8" t="e">
        <f t="shared" si="69"/>
        <v>#VALUE!</v>
      </c>
    </row>
    <row r="6115" spans="11:11" x14ac:dyDescent="0.25">
      <c r="K6115" s="8" t="e">
        <f t="shared" si="69"/>
        <v>#VALUE!</v>
      </c>
    </row>
    <row r="6116" spans="11:11" x14ac:dyDescent="0.25">
      <c r="K6116" s="8" t="e">
        <f t="shared" si="69"/>
        <v>#VALUE!</v>
      </c>
    </row>
    <row r="6117" spans="11:11" x14ac:dyDescent="0.25">
      <c r="K6117" s="8" t="e">
        <f t="shared" si="69"/>
        <v>#VALUE!</v>
      </c>
    </row>
    <row r="6118" spans="11:11" x14ac:dyDescent="0.25">
      <c r="K6118" s="8" t="e">
        <f t="shared" si="69"/>
        <v>#VALUE!</v>
      </c>
    </row>
    <row r="6119" spans="11:11" x14ac:dyDescent="0.25">
      <c r="K6119" s="8" t="e">
        <f t="shared" si="69"/>
        <v>#VALUE!</v>
      </c>
    </row>
    <row r="6120" spans="11:11" x14ac:dyDescent="0.25">
      <c r="K6120" s="8" t="e">
        <f t="shared" si="69"/>
        <v>#VALUE!</v>
      </c>
    </row>
    <row r="6121" spans="11:11" x14ac:dyDescent="0.25">
      <c r="K6121" s="8" t="e">
        <f t="shared" si="69"/>
        <v>#VALUE!</v>
      </c>
    </row>
    <row r="6122" spans="11:11" x14ac:dyDescent="0.25">
      <c r="K6122" s="8" t="e">
        <f t="shared" si="69"/>
        <v>#VALUE!</v>
      </c>
    </row>
    <row r="6123" spans="11:11" x14ac:dyDescent="0.25">
      <c r="K6123" s="8" t="e">
        <f t="shared" si="69"/>
        <v>#VALUE!</v>
      </c>
    </row>
    <row r="6124" spans="11:11" x14ac:dyDescent="0.25">
      <c r="K6124" s="8" t="e">
        <f t="shared" si="69"/>
        <v>#VALUE!</v>
      </c>
    </row>
    <row r="6125" spans="11:11" x14ac:dyDescent="0.25">
      <c r="K6125" s="8" t="e">
        <f t="shared" si="69"/>
        <v>#VALUE!</v>
      </c>
    </row>
    <row r="6126" spans="11:11" x14ac:dyDescent="0.25">
      <c r="K6126" s="8" t="e">
        <f t="shared" si="69"/>
        <v>#VALUE!</v>
      </c>
    </row>
    <row r="6127" spans="11:11" x14ac:dyDescent="0.25">
      <c r="K6127" s="8" t="e">
        <f t="shared" si="69"/>
        <v>#VALUE!</v>
      </c>
    </row>
    <row r="6128" spans="11:11" x14ac:dyDescent="0.25">
      <c r="K6128" s="8" t="e">
        <f t="shared" si="69"/>
        <v>#VALUE!</v>
      </c>
    </row>
    <row r="6129" spans="11:11" x14ac:dyDescent="0.25">
      <c r="K6129" s="8" t="e">
        <f t="shared" si="69"/>
        <v>#VALUE!</v>
      </c>
    </row>
    <row r="6130" spans="11:11" x14ac:dyDescent="0.25">
      <c r="K6130" s="8" t="e">
        <f t="shared" si="69"/>
        <v>#VALUE!</v>
      </c>
    </row>
    <row r="6131" spans="11:11" x14ac:dyDescent="0.25">
      <c r="K6131" s="8" t="e">
        <f t="shared" si="69"/>
        <v>#VALUE!</v>
      </c>
    </row>
    <row r="6132" spans="11:11" x14ac:dyDescent="0.25">
      <c r="K6132" s="8" t="e">
        <f t="shared" si="69"/>
        <v>#VALUE!</v>
      </c>
    </row>
    <row r="6133" spans="11:11" x14ac:dyDescent="0.25">
      <c r="K6133" s="8" t="e">
        <f t="shared" si="69"/>
        <v>#VALUE!</v>
      </c>
    </row>
    <row r="6134" spans="11:11" x14ac:dyDescent="0.25">
      <c r="K6134" s="8" t="e">
        <f t="shared" si="69"/>
        <v>#VALUE!</v>
      </c>
    </row>
    <row r="6135" spans="11:11" x14ac:dyDescent="0.25">
      <c r="K6135" s="8" t="e">
        <f t="shared" si="69"/>
        <v>#VALUE!</v>
      </c>
    </row>
    <row r="6136" spans="11:11" x14ac:dyDescent="0.25">
      <c r="K6136" s="8" t="e">
        <f t="shared" si="69"/>
        <v>#VALUE!</v>
      </c>
    </row>
    <row r="6137" spans="11:11" x14ac:dyDescent="0.25">
      <c r="K6137" s="8" t="e">
        <f t="shared" si="69"/>
        <v>#VALUE!</v>
      </c>
    </row>
    <row r="6138" spans="11:11" x14ac:dyDescent="0.25">
      <c r="K6138" s="8" t="e">
        <f t="shared" si="69"/>
        <v>#VALUE!</v>
      </c>
    </row>
    <row r="6139" spans="11:11" x14ac:dyDescent="0.25">
      <c r="K6139" s="8" t="e">
        <f t="shared" si="69"/>
        <v>#VALUE!</v>
      </c>
    </row>
    <row r="6140" spans="11:11" x14ac:dyDescent="0.25">
      <c r="K6140" s="8" t="e">
        <f t="shared" si="69"/>
        <v>#VALUE!</v>
      </c>
    </row>
    <row r="6141" spans="11:11" x14ac:dyDescent="0.25">
      <c r="K6141" s="8" t="e">
        <f t="shared" si="69"/>
        <v>#VALUE!</v>
      </c>
    </row>
    <row r="6142" spans="11:11" x14ac:dyDescent="0.25">
      <c r="K6142" s="8" t="e">
        <f t="shared" si="69"/>
        <v>#VALUE!</v>
      </c>
    </row>
    <row r="6143" spans="11:11" x14ac:dyDescent="0.25">
      <c r="K6143" s="8" t="e">
        <f t="shared" si="69"/>
        <v>#VALUE!</v>
      </c>
    </row>
    <row r="6144" spans="11:11" x14ac:dyDescent="0.25">
      <c r="K6144" s="8" t="e">
        <f t="shared" si="69"/>
        <v>#VALUE!</v>
      </c>
    </row>
    <row r="6145" spans="11:11" x14ac:dyDescent="0.25">
      <c r="K6145" s="8" t="e">
        <f t="shared" si="69"/>
        <v>#VALUE!</v>
      </c>
    </row>
    <row r="6146" spans="11:11" x14ac:dyDescent="0.25">
      <c r="K6146" s="8" t="e">
        <f t="shared" si="69"/>
        <v>#VALUE!</v>
      </c>
    </row>
    <row r="6147" spans="11:11" x14ac:dyDescent="0.25">
      <c r="K6147" s="8" t="e">
        <f t="shared" ref="K6147:K6210" si="70">LEFT(A6147,FIND("/",A6147)-1)</f>
        <v>#VALUE!</v>
      </c>
    </row>
    <row r="6148" spans="11:11" x14ac:dyDescent="0.25">
      <c r="K6148" s="8" t="e">
        <f t="shared" si="70"/>
        <v>#VALUE!</v>
      </c>
    </row>
    <row r="6149" spans="11:11" x14ac:dyDescent="0.25">
      <c r="K6149" s="8" t="e">
        <f t="shared" si="70"/>
        <v>#VALUE!</v>
      </c>
    </row>
    <row r="6150" spans="11:11" x14ac:dyDescent="0.25">
      <c r="K6150" s="8" t="e">
        <f t="shared" si="70"/>
        <v>#VALUE!</v>
      </c>
    </row>
    <row r="6151" spans="11:11" x14ac:dyDescent="0.25">
      <c r="K6151" s="8" t="e">
        <f t="shared" si="70"/>
        <v>#VALUE!</v>
      </c>
    </row>
    <row r="6152" spans="11:11" x14ac:dyDescent="0.25">
      <c r="K6152" s="8" t="e">
        <f t="shared" si="70"/>
        <v>#VALUE!</v>
      </c>
    </row>
    <row r="6153" spans="11:11" x14ac:dyDescent="0.25">
      <c r="K6153" s="8" t="e">
        <f t="shared" si="70"/>
        <v>#VALUE!</v>
      </c>
    </row>
    <row r="6154" spans="11:11" x14ac:dyDescent="0.25">
      <c r="K6154" s="8" t="e">
        <f t="shared" si="70"/>
        <v>#VALUE!</v>
      </c>
    </row>
    <row r="6155" spans="11:11" x14ac:dyDescent="0.25">
      <c r="K6155" s="8" t="e">
        <f t="shared" si="70"/>
        <v>#VALUE!</v>
      </c>
    </row>
    <row r="6156" spans="11:11" x14ac:dyDescent="0.25">
      <c r="K6156" s="8" t="e">
        <f t="shared" si="70"/>
        <v>#VALUE!</v>
      </c>
    </row>
    <row r="6157" spans="11:11" x14ac:dyDescent="0.25">
      <c r="K6157" s="8" t="e">
        <f t="shared" si="70"/>
        <v>#VALUE!</v>
      </c>
    </row>
    <row r="6158" spans="11:11" x14ac:dyDescent="0.25">
      <c r="K6158" s="8" t="e">
        <f t="shared" si="70"/>
        <v>#VALUE!</v>
      </c>
    </row>
    <row r="6159" spans="11:11" x14ac:dyDescent="0.25">
      <c r="K6159" s="8" t="e">
        <f t="shared" si="70"/>
        <v>#VALUE!</v>
      </c>
    </row>
    <row r="6160" spans="11:11" x14ac:dyDescent="0.25">
      <c r="K6160" s="8" t="e">
        <f t="shared" si="70"/>
        <v>#VALUE!</v>
      </c>
    </row>
    <row r="6161" spans="11:11" x14ac:dyDescent="0.25">
      <c r="K6161" s="8" t="e">
        <f t="shared" si="70"/>
        <v>#VALUE!</v>
      </c>
    </row>
    <row r="6162" spans="11:11" x14ac:dyDescent="0.25">
      <c r="K6162" s="8" t="e">
        <f t="shared" si="70"/>
        <v>#VALUE!</v>
      </c>
    </row>
    <row r="6163" spans="11:11" x14ac:dyDescent="0.25">
      <c r="K6163" s="8" t="e">
        <f t="shared" si="70"/>
        <v>#VALUE!</v>
      </c>
    </row>
    <row r="6164" spans="11:11" x14ac:dyDescent="0.25">
      <c r="K6164" s="8" t="e">
        <f t="shared" si="70"/>
        <v>#VALUE!</v>
      </c>
    </row>
    <row r="6165" spans="11:11" x14ac:dyDescent="0.25">
      <c r="K6165" s="8" t="e">
        <f t="shared" si="70"/>
        <v>#VALUE!</v>
      </c>
    </row>
    <row r="6166" spans="11:11" x14ac:dyDescent="0.25">
      <c r="K6166" s="8" t="e">
        <f t="shared" si="70"/>
        <v>#VALUE!</v>
      </c>
    </row>
    <row r="6167" spans="11:11" x14ac:dyDescent="0.25">
      <c r="K6167" s="8" t="e">
        <f t="shared" si="70"/>
        <v>#VALUE!</v>
      </c>
    </row>
    <row r="6168" spans="11:11" x14ac:dyDescent="0.25">
      <c r="K6168" s="8" t="e">
        <f t="shared" si="70"/>
        <v>#VALUE!</v>
      </c>
    </row>
    <row r="6169" spans="11:11" x14ac:dyDescent="0.25">
      <c r="K6169" s="8" t="e">
        <f t="shared" si="70"/>
        <v>#VALUE!</v>
      </c>
    </row>
    <row r="6170" spans="11:11" x14ac:dyDescent="0.25">
      <c r="K6170" s="8" t="e">
        <f t="shared" si="70"/>
        <v>#VALUE!</v>
      </c>
    </row>
    <row r="6171" spans="11:11" x14ac:dyDescent="0.25">
      <c r="K6171" s="8" t="e">
        <f t="shared" si="70"/>
        <v>#VALUE!</v>
      </c>
    </row>
    <row r="6172" spans="11:11" x14ac:dyDescent="0.25">
      <c r="K6172" s="8" t="e">
        <f t="shared" si="70"/>
        <v>#VALUE!</v>
      </c>
    </row>
    <row r="6173" spans="11:11" x14ac:dyDescent="0.25">
      <c r="K6173" s="8" t="e">
        <f t="shared" si="70"/>
        <v>#VALUE!</v>
      </c>
    </row>
    <row r="6174" spans="11:11" x14ac:dyDescent="0.25">
      <c r="K6174" s="8" t="e">
        <f t="shared" si="70"/>
        <v>#VALUE!</v>
      </c>
    </row>
    <row r="6175" spans="11:11" x14ac:dyDescent="0.25">
      <c r="K6175" s="8" t="e">
        <f t="shared" si="70"/>
        <v>#VALUE!</v>
      </c>
    </row>
    <row r="6176" spans="11:11" x14ac:dyDescent="0.25">
      <c r="K6176" s="8" t="e">
        <f t="shared" si="70"/>
        <v>#VALUE!</v>
      </c>
    </row>
    <row r="6177" spans="11:11" x14ac:dyDescent="0.25">
      <c r="K6177" s="8" t="e">
        <f t="shared" si="70"/>
        <v>#VALUE!</v>
      </c>
    </row>
    <row r="6178" spans="11:11" x14ac:dyDescent="0.25">
      <c r="K6178" s="8" t="e">
        <f t="shared" si="70"/>
        <v>#VALUE!</v>
      </c>
    </row>
    <row r="6179" spans="11:11" x14ac:dyDescent="0.25">
      <c r="K6179" s="8" t="e">
        <f t="shared" si="70"/>
        <v>#VALUE!</v>
      </c>
    </row>
    <row r="6180" spans="11:11" x14ac:dyDescent="0.25">
      <c r="K6180" s="8" t="e">
        <f t="shared" si="70"/>
        <v>#VALUE!</v>
      </c>
    </row>
    <row r="6181" spans="11:11" x14ac:dyDescent="0.25">
      <c r="K6181" s="8" t="e">
        <f t="shared" si="70"/>
        <v>#VALUE!</v>
      </c>
    </row>
    <row r="6182" spans="11:11" x14ac:dyDescent="0.25">
      <c r="K6182" s="8" t="e">
        <f t="shared" si="70"/>
        <v>#VALUE!</v>
      </c>
    </row>
    <row r="6183" spans="11:11" x14ac:dyDescent="0.25">
      <c r="K6183" s="8" t="e">
        <f t="shared" si="70"/>
        <v>#VALUE!</v>
      </c>
    </row>
    <row r="6184" spans="11:11" x14ac:dyDescent="0.25">
      <c r="K6184" s="8" t="e">
        <f t="shared" si="70"/>
        <v>#VALUE!</v>
      </c>
    </row>
    <row r="6185" spans="11:11" x14ac:dyDescent="0.25">
      <c r="K6185" s="8" t="e">
        <f t="shared" si="70"/>
        <v>#VALUE!</v>
      </c>
    </row>
    <row r="6186" spans="11:11" x14ac:dyDescent="0.25">
      <c r="K6186" s="8" t="e">
        <f t="shared" si="70"/>
        <v>#VALUE!</v>
      </c>
    </row>
    <row r="6187" spans="11:11" x14ac:dyDescent="0.25">
      <c r="K6187" s="8" t="e">
        <f t="shared" si="70"/>
        <v>#VALUE!</v>
      </c>
    </row>
    <row r="6188" spans="11:11" x14ac:dyDescent="0.25">
      <c r="K6188" s="8" t="e">
        <f t="shared" si="70"/>
        <v>#VALUE!</v>
      </c>
    </row>
    <row r="6189" spans="11:11" x14ac:dyDescent="0.25">
      <c r="K6189" s="8" t="e">
        <f t="shared" si="70"/>
        <v>#VALUE!</v>
      </c>
    </row>
    <row r="6190" spans="11:11" x14ac:dyDescent="0.25">
      <c r="K6190" s="8" t="e">
        <f t="shared" si="70"/>
        <v>#VALUE!</v>
      </c>
    </row>
    <row r="6191" spans="11:11" x14ac:dyDescent="0.25">
      <c r="K6191" s="8" t="e">
        <f t="shared" si="70"/>
        <v>#VALUE!</v>
      </c>
    </row>
    <row r="6192" spans="11:11" x14ac:dyDescent="0.25">
      <c r="K6192" s="8" t="e">
        <f t="shared" si="70"/>
        <v>#VALUE!</v>
      </c>
    </row>
    <row r="6193" spans="11:11" x14ac:dyDescent="0.25">
      <c r="K6193" s="8" t="e">
        <f t="shared" si="70"/>
        <v>#VALUE!</v>
      </c>
    </row>
    <row r="6194" spans="11:11" x14ac:dyDescent="0.25">
      <c r="K6194" s="8" t="e">
        <f t="shared" si="70"/>
        <v>#VALUE!</v>
      </c>
    </row>
    <row r="6195" spans="11:11" x14ac:dyDescent="0.25">
      <c r="K6195" s="8" t="e">
        <f t="shared" si="70"/>
        <v>#VALUE!</v>
      </c>
    </row>
    <row r="6196" spans="11:11" x14ac:dyDescent="0.25">
      <c r="K6196" s="8" t="e">
        <f t="shared" si="70"/>
        <v>#VALUE!</v>
      </c>
    </row>
    <row r="6197" spans="11:11" x14ac:dyDescent="0.25">
      <c r="K6197" s="8" t="e">
        <f t="shared" si="70"/>
        <v>#VALUE!</v>
      </c>
    </row>
    <row r="6198" spans="11:11" x14ac:dyDescent="0.25">
      <c r="K6198" s="8" t="e">
        <f t="shared" si="70"/>
        <v>#VALUE!</v>
      </c>
    </row>
    <row r="6199" spans="11:11" x14ac:dyDescent="0.25">
      <c r="K6199" s="8" t="e">
        <f t="shared" si="70"/>
        <v>#VALUE!</v>
      </c>
    </row>
    <row r="6200" spans="11:11" x14ac:dyDescent="0.25">
      <c r="K6200" s="8" t="e">
        <f t="shared" si="70"/>
        <v>#VALUE!</v>
      </c>
    </row>
    <row r="6201" spans="11:11" x14ac:dyDescent="0.25">
      <c r="K6201" s="8" t="e">
        <f t="shared" si="70"/>
        <v>#VALUE!</v>
      </c>
    </row>
    <row r="6202" spans="11:11" x14ac:dyDescent="0.25">
      <c r="K6202" s="8" t="e">
        <f t="shared" si="70"/>
        <v>#VALUE!</v>
      </c>
    </row>
    <row r="6203" spans="11:11" x14ac:dyDescent="0.25">
      <c r="K6203" s="8" t="e">
        <f t="shared" si="70"/>
        <v>#VALUE!</v>
      </c>
    </row>
    <row r="6204" spans="11:11" x14ac:dyDescent="0.25">
      <c r="K6204" s="8" t="e">
        <f t="shared" si="70"/>
        <v>#VALUE!</v>
      </c>
    </row>
    <row r="6205" spans="11:11" x14ac:dyDescent="0.25">
      <c r="K6205" s="8" t="e">
        <f t="shared" si="70"/>
        <v>#VALUE!</v>
      </c>
    </row>
    <row r="6206" spans="11:11" x14ac:dyDescent="0.25">
      <c r="K6206" s="8" t="e">
        <f t="shared" si="70"/>
        <v>#VALUE!</v>
      </c>
    </row>
    <row r="6207" spans="11:11" x14ac:dyDescent="0.25">
      <c r="K6207" s="8" t="e">
        <f t="shared" si="70"/>
        <v>#VALUE!</v>
      </c>
    </row>
    <row r="6208" spans="11:11" x14ac:dyDescent="0.25">
      <c r="K6208" s="8" t="e">
        <f t="shared" si="70"/>
        <v>#VALUE!</v>
      </c>
    </row>
    <row r="6209" spans="11:11" x14ac:dyDescent="0.25">
      <c r="K6209" s="8" t="e">
        <f t="shared" si="70"/>
        <v>#VALUE!</v>
      </c>
    </row>
    <row r="6210" spans="11:11" x14ac:dyDescent="0.25">
      <c r="K6210" s="8" t="e">
        <f t="shared" si="70"/>
        <v>#VALUE!</v>
      </c>
    </row>
    <row r="6211" spans="11:11" x14ac:dyDescent="0.25">
      <c r="K6211" s="8" t="e">
        <f t="shared" ref="K6211:K6274" si="71">LEFT(A6211,FIND("/",A6211)-1)</f>
        <v>#VALUE!</v>
      </c>
    </row>
    <row r="6212" spans="11:11" x14ac:dyDescent="0.25">
      <c r="K6212" s="8" t="e">
        <f t="shared" si="71"/>
        <v>#VALUE!</v>
      </c>
    </row>
    <row r="6213" spans="11:11" x14ac:dyDescent="0.25">
      <c r="K6213" s="8" t="e">
        <f t="shared" si="71"/>
        <v>#VALUE!</v>
      </c>
    </row>
    <row r="6214" spans="11:11" x14ac:dyDescent="0.25">
      <c r="K6214" s="8" t="e">
        <f t="shared" si="71"/>
        <v>#VALUE!</v>
      </c>
    </row>
    <row r="6215" spans="11:11" x14ac:dyDescent="0.25">
      <c r="K6215" s="8" t="e">
        <f t="shared" si="71"/>
        <v>#VALUE!</v>
      </c>
    </row>
    <row r="6216" spans="11:11" x14ac:dyDescent="0.25">
      <c r="K6216" s="8" t="e">
        <f t="shared" si="71"/>
        <v>#VALUE!</v>
      </c>
    </row>
    <row r="6217" spans="11:11" x14ac:dyDescent="0.25">
      <c r="K6217" s="8" t="e">
        <f t="shared" si="71"/>
        <v>#VALUE!</v>
      </c>
    </row>
    <row r="6218" spans="11:11" x14ac:dyDescent="0.25">
      <c r="K6218" s="8" t="e">
        <f t="shared" si="71"/>
        <v>#VALUE!</v>
      </c>
    </row>
    <row r="6219" spans="11:11" x14ac:dyDescent="0.25">
      <c r="K6219" s="8" t="e">
        <f t="shared" si="71"/>
        <v>#VALUE!</v>
      </c>
    </row>
    <row r="6220" spans="11:11" x14ac:dyDescent="0.25">
      <c r="K6220" s="8" t="e">
        <f t="shared" si="71"/>
        <v>#VALUE!</v>
      </c>
    </row>
    <row r="6221" spans="11:11" x14ac:dyDescent="0.25">
      <c r="K6221" s="8" t="e">
        <f t="shared" si="71"/>
        <v>#VALUE!</v>
      </c>
    </row>
    <row r="6222" spans="11:11" x14ac:dyDescent="0.25">
      <c r="K6222" s="8" t="e">
        <f t="shared" si="71"/>
        <v>#VALUE!</v>
      </c>
    </row>
    <row r="6223" spans="11:11" x14ac:dyDescent="0.25">
      <c r="K6223" s="8" t="e">
        <f t="shared" si="71"/>
        <v>#VALUE!</v>
      </c>
    </row>
    <row r="6224" spans="11:11" x14ac:dyDescent="0.25">
      <c r="K6224" s="8" t="e">
        <f t="shared" si="71"/>
        <v>#VALUE!</v>
      </c>
    </row>
    <row r="6225" spans="11:11" x14ac:dyDescent="0.25">
      <c r="K6225" s="8" t="e">
        <f t="shared" si="71"/>
        <v>#VALUE!</v>
      </c>
    </row>
    <row r="6226" spans="11:11" x14ac:dyDescent="0.25">
      <c r="K6226" s="8" t="e">
        <f t="shared" si="71"/>
        <v>#VALUE!</v>
      </c>
    </row>
    <row r="6227" spans="11:11" x14ac:dyDescent="0.25">
      <c r="K6227" s="8" t="e">
        <f t="shared" si="71"/>
        <v>#VALUE!</v>
      </c>
    </row>
    <row r="6228" spans="11:11" x14ac:dyDescent="0.25">
      <c r="K6228" s="8" t="e">
        <f t="shared" si="71"/>
        <v>#VALUE!</v>
      </c>
    </row>
    <row r="6229" spans="11:11" x14ac:dyDescent="0.25">
      <c r="K6229" s="8" t="e">
        <f t="shared" si="71"/>
        <v>#VALUE!</v>
      </c>
    </row>
    <row r="6230" spans="11:11" x14ac:dyDescent="0.25">
      <c r="K6230" s="8" t="e">
        <f t="shared" si="71"/>
        <v>#VALUE!</v>
      </c>
    </row>
    <row r="6231" spans="11:11" x14ac:dyDescent="0.25">
      <c r="K6231" s="8" t="e">
        <f t="shared" si="71"/>
        <v>#VALUE!</v>
      </c>
    </row>
    <row r="6232" spans="11:11" x14ac:dyDescent="0.25">
      <c r="K6232" s="8" t="e">
        <f t="shared" si="71"/>
        <v>#VALUE!</v>
      </c>
    </row>
    <row r="6233" spans="11:11" x14ac:dyDescent="0.25">
      <c r="K6233" s="8" t="e">
        <f t="shared" si="71"/>
        <v>#VALUE!</v>
      </c>
    </row>
    <row r="6234" spans="11:11" x14ac:dyDescent="0.25">
      <c r="K6234" s="8" t="e">
        <f t="shared" si="71"/>
        <v>#VALUE!</v>
      </c>
    </row>
    <row r="6235" spans="11:11" x14ac:dyDescent="0.25">
      <c r="K6235" s="8" t="e">
        <f t="shared" si="71"/>
        <v>#VALUE!</v>
      </c>
    </row>
    <row r="6236" spans="11:11" x14ac:dyDescent="0.25">
      <c r="K6236" s="8" t="e">
        <f t="shared" si="71"/>
        <v>#VALUE!</v>
      </c>
    </row>
    <row r="6237" spans="11:11" x14ac:dyDescent="0.25">
      <c r="K6237" s="8" t="e">
        <f t="shared" si="71"/>
        <v>#VALUE!</v>
      </c>
    </row>
    <row r="6238" spans="11:11" x14ac:dyDescent="0.25">
      <c r="K6238" s="8" t="e">
        <f t="shared" si="71"/>
        <v>#VALUE!</v>
      </c>
    </row>
    <row r="6239" spans="11:11" x14ac:dyDescent="0.25">
      <c r="K6239" s="8" t="e">
        <f t="shared" si="71"/>
        <v>#VALUE!</v>
      </c>
    </row>
    <row r="6240" spans="11:11" x14ac:dyDescent="0.25">
      <c r="K6240" s="8" t="e">
        <f t="shared" si="71"/>
        <v>#VALUE!</v>
      </c>
    </row>
    <row r="6241" spans="11:11" x14ac:dyDescent="0.25">
      <c r="K6241" s="8" t="e">
        <f t="shared" si="71"/>
        <v>#VALUE!</v>
      </c>
    </row>
    <row r="6242" spans="11:11" x14ac:dyDescent="0.25">
      <c r="K6242" s="8" t="e">
        <f t="shared" si="71"/>
        <v>#VALUE!</v>
      </c>
    </row>
    <row r="6243" spans="11:11" x14ac:dyDescent="0.25">
      <c r="K6243" s="8" t="e">
        <f t="shared" si="71"/>
        <v>#VALUE!</v>
      </c>
    </row>
    <row r="6244" spans="11:11" x14ac:dyDescent="0.25">
      <c r="K6244" s="8" t="e">
        <f t="shared" si="71"/>
        <v>#VALUE!</v>
      </c>
    </row>
    <row r="6245" spans="11:11" x14ac:dyDescent="0.25">
      <c r="K6245" s="8" t="e">
        <f t="shared" si="71"/>
        <v>#VALUE!</v>
      </c>
    </row>
    <row r="6246" spans="11:11" x14ac:dyDescent="0.25">
      <c r="K6246" s="8" t="e">
        <f t="shared" si="71"/>
        <v>#VALUE!</v>
      </c>
    </row>
    <row r="6247" spans="11:11" x14ac:dyDescent="0.25">
      <c r="K6247" s="8" t="e">
        <f t="shared" si="71"/>
        <v>#VALUE!</v>
      </c>
    </row>
    <row r="6248" spans="11:11" x14ac:dyDescent="0.25">
      <c r="K6248" s="8" t="e">
        <f t="shared" si="71"/>
        <v>#VALUE!</v>
      </c>
    </row>
    <row r="6249" spans="11:11" x14ac:dyDescent="0.25">
      <c r="K6249" s="8" t="e">
        <f t="shared" si="71"/>
        <v>#VALUE!</v>
      </c>
    </row>
    <row r="6250" spans="11:11" x14ac:dyDescent="0.25">
      <c r="K6250" s="8" t="e">
        <f t="shared" si="71"/>
        <v>#VALUE!</v>
      </c>
    </row>
    <row r="6251" spans="11:11" x14ac:dyDescent="0.25">
      <c r="K6251" s="8" t="e">
        <f t="shared" si="71"/>
        <v>#VALUE!</v>
      </c>
    </row>
    <row r="6252" spans="11:11" x14ac:dyDescent="0.25">
      <c r="K6252" s="8" t="e">
        <f t="shared" si="71"/>
        <v>#VALUE!</v>
      </c>
    </row>
    <row r="6253" spans="11:11" x14ac:dyDescent="0.25">
      <c r="K6253" s="8" t="e">
        <f t="shared" si="71"/>
        <v>#VALUE!</v>
      </c>
    </row>
    <row r="6254" spans="11:11" x14ac:dyDescent="0.25">
      <c r="K6254" s="8" t="e">
        <f t="shared" si="71"/>
        <v>#VALUE!</v>
      </c>
    </row>
    <row r="6255" spans="11:11" x14ac:dyDescent="0.25">
      <c r="K6255" s="8" t="e">
        <f t="shared" si="71"/>
        <v>#VALUE!</v>
      </c>
    </row>
    <row r="6256" spans="11:11" x14ac:dyDescent="0.25">
      <c r="K6256" s="8" t="e">
        <f t="shared" si="71"/>
        <v>#VALUE!</v>
      </c>
    </row>
    <row r="6257" spans="11:11" x14ac:dyDescent="0.25">
      <c r="K6257" s="8" t="e">
        <f t="shared" si="71"/>
        <v>#VALUE!</v>
      </c>
    </row>
    <row r="6258" spans="11:11" x14ac:dyDescent="0.25">
      <c r="K6258" s="8" t="e">
        <f t="shared" si="71"/>
        <v>#VALUE!</v>
      </c>
    </row>
    <row r="6259" spans="11:11" x14ac:dyDescent="0.25">
      <c r="K6259" s="8" t="e">
        <f t="shared" si="71"/>
        <v>#VALUE!</v>
      </c>
    </row>
    <row r="6260" spans="11:11" x14ac:dyDescent="0.25">
      <c r="K6260" s="8" t="e">
        <f t="shared" si="71"/>
        <v>#VALUE!</v>
      </c>
    </row>
    <row r="6261" spans="11:11" x14ac:dyDescent="0.25">
      <c r="K6261" s="8" t="e">
        <f t="shared" si="71"/>
        <v>#VALUE!</v>
      </c>
    </row>
    <row r="6262" spans="11:11" x14ac:dyDescent="0.25">
      <c r="K6262" s="8" t="e">
        <f t="shared" si="71"/>
        <v>#VALUE!</v>
      </c>
    </row>
    <row r="6263" spans="11:11" x14ac:dyDescent="0.25">
      <c r="K6263" s="8" t="e">
        <f t="shared" si="71"/>
        <v>#VALUE!</v>
      </c>
    </row>
    <row r="6264" spans="11:11" x14ac:dyDescent="0.25">
      <c r="K6264" s="8" t="e">
        <f t="shared" si="71"/>
        <v>#VALUE!</v>
      </c>
    </row>
    <row r="6265" spans="11:11" x14ac:dyDescent="0.25">
      <c r="K6265" s="8" t="e">
        <f t="shared" si="71"/>
        <v>#VALUE!</v>
      </c>
    </row>
    <row r="6266" spans="11:11" x14ac:dyDescent="0.25">
      <c r="K6266" s="8" t="e">
        <f t="shared" si="71"/>
        <v>#VALUE!</v>
      </c>
    </row>
    <row r="6267" spans="11:11" x14ac:dyDescent="0.25">
      <c r="K6267" s="8" t="e">
        <f t="shared" si="71"/>
        <v>#VALUE!</v>
      </c>
    </row>
    <row r="6268" spans="11:11" x14ac:dyDescent="0.25">
      <c r="K6268" s="8" t="e">
        <f t="shared" si="71"/>
        <v>#VALUE!</v>
      </c>
    </row>
    <row r="6269" spans="11:11" x14ac:dyDescent="0.25">
      <c r="K6269" s="8" t="e">
        <f t="shared" si="71"/>
        <v>#VALUE!</v>
      </c>
    </row>
    <row r="6270" spans="11:11" x14ac:dyDescent="0.25">
      <c r="K6270" s="8" t="e">
        <f t="shared" si="71"/>
        <v>#VALUE!</v>
      </c>
    </row>
    <row r="6271" spans="11:11" x14ac:dyDescent="0.25">
      <c r="K6271" s="8" t="e">
        <f t="shared" si="71"/>
        <v>#VALUE!</v>
      </c>
    </row>
    <row r="6272" spans="11:11" x14ac:dyDescent="0.25">
      <c r="K6272" s="8" t="e">
        <f t="shared" si="71"/>
        <v>#VALUE!</v>
      </c>
    </row>
    <row r="6273" spans="11:11" x14ac:dyDescent="0.25">
      <c r="K6273" s="8" t="e">
        <f t="shared" si="71"/>
        <v>#VALUE!</v>
      </c>
    </row>
    <row r="6274" spans="11:11" x14ac:dyDescent="0.25">
      <c r="K6274" s="8" t="e">
        <f t="shared" si="71"/>
        <v>#VALUE!</v>
      </c>
    </row>
    <row r="6275" spans="11:11" x14ac:dyDescent="0.25">
      <c r="K6275" s="8" t="e">
        <f t="shared" ref="K6275:K6338" si="72">LEFT(A6275,FIND("/",A6275)-1)</f>
        <v>#VALUE!</v>
      </c>
    </row>
    <row r="6276" spans="11:11" x14ac:dyDescent="0.25">
      <c r="K6276" s="8" t="e">
        <f t="shared" si="72"/>
        <v>#VALUE!</v>
      </c>
    </row>
    <row r="6277" spans="11:11" x14ac:dyDescent="0.25">
      <c r="K6277" s="8" t="e">
        <f t="shared" si="72"/>
        <v>#VALUE!</v>
      </c>
    </row>
    <row r="6278" spans="11:11" x14ac:dyDescent="0.25">
      <c r="K6278" s="8" t="e">
        <f t="shared" si="72"/>
        <v>#VALUE!</v>
      </c>
    </row>
    <row r="6279" spans="11:11" x14ac:dyDescent="0.25">
      <c r="K6279" s="8" t="e">
        <f t="shared" si="72"/>
        <v>#VALUE!</v>
      </c>
    </row>
    <row r="6280" spans="11:11" x14ac:dyDescent="0.25">
      <c r="K6280" s="8" t="e">
        <f t="shared" si="72"/>
        <v>#VALUE!</v>
      </c>
    </row>
    <row r="6281" spans="11:11" x14ac:dyDescent="0.25">
      <c r="K6281" s="8" t="e">
        <f t="shared" si="72"/>
        <v>#VALUE!</v>
      </c>
    </row>
    <row r="6282" spans="11:11" x14ac:dyDescent="0.25">
      <c r="K6282" s="8" t="e">
        <f t="shared" si="72"/>
        <v>#VALUE!</v>
      </c>
    </row>
    <row r="6283" spans="11:11" x14ac:dyDescent="0.25">
      <c r="K6283" s="8" t="e">
        <f t="shared" si="72"/>
        <v>#VALUE!</v>
      </c>
    </row>
    <row r="6284" spans="11:11" x14ac:dyDescent="0.25">
      <c r="K6284" s="8" t="e">
        <f t="shared" si="72"/>
        <v>#VALUE!</v>
      </c>
    </row>
    <row r="6285" spans="11:11" x14ac:dyDescent="0.25">
      <c r="K6285" s="8" t="e">
        <f t="shared" si="72"/>
        <v>#VALUE!</v>
      </c>
    </row>
    <row r="6286" spans="11:11" x14ac:dyDescent="0.25">
      <c r="K6286" s="8" t="e">
        <f t="shared" si="72"/>
        <v>#VALUE!</v>
      </c>
    </row>
    <row r="6287" spans="11:11" x14ac:dyDescent="0.25">
      <c r="K6287" s="8" t="e">
        <f t="shared" si="72"/>
        <v>#VALUE!</v>
      </c>
    </row>
    <row r="6288" spans="11:11" x14ac:dyDescent="0.25">
      <c r="K6288" s="8" t="e">
        <f t="shared" si="72"/>
        <v>#VALUE!</v>
      </c>
    </row>
    <row r="6289" spans="11:11" x14ac:dyDescent="0.25">
      <c r="K6289" s="8" t="e">
        <f t="shared" si="72"/>
        <v>#VALUE!</v>
      </c>
    </row>
    <row r="6290" spans="11:11" x14ac:dyDescent="0.25">
      <c r="K6290" s="8" t="e">
        <f t="shared" si="72"/>
        <v>#VALUE!</v>
      </c>
    </row>
    <row r="6291" spans="11:11" x14ac:dyDescent="0.25">
      <c r="K6291" s="8" t="e">
        <f t="shared" si="72"/>
        <v>#VALUE!</v>
      </c>
    </row>
    <row r="6292" spans="11:11" x14ac:dyDescent="0.25">
      <c r="K6292" s="8" t="e">
        <f t="shared" si="72"/>
        <v>#VALUE!</v>
      </c>
    </row>
    <row r="6293" spans="11:11" x14ac:dyDescent="0.25">
      <c r="K6293" s="8" t="e">
        <f t="shared" si="72"/>
        <v>#VALUE!</v>
      </c>
    </row>
    <row r="6294" spans="11:11" x14ac:dyDescent="0.25">
      <c r="K6294" s="8" t="e">
        <f t="shared" si="72"/>
        <v>#VALUE!</v>
      </c>
    </row>
    <row r="6295" spans="11:11" x14ac:dyDescent="0.25">
      <c r="K6295" s="8" t="e">
        <f t="shared" si="72"/>
        <v>#VALUE!</v>
      </c>
    </row>
    <row r="6296" spans="11:11" x14ac:dyDescent="0.25">
      <c r="K6296" s="8" t="e">
        <f t="shared" si="72"/>
        <v>#VALUE!</v>
      </c>
    </row>
    <row r="6297" spans="11:11" x14ac:dyDescent="0.25">
      <c r="K6297" s="8" t="e">
        <f t="shared" si="72"/>
        <v>#VALUE!</v>
      </c>
    </row>
    <row r="6298" spans="11:11" x14ac:dyDescent="0.25">
      <c r="K6298" s="8" t="e">
        <f t="shared" si="72"/>
        <v>#VALUE!</v>
      </c>
    </row>
    <row r="6299" spans="11:11" x14ac:dyDescent="0.25">
      <c r="K6299" s="8" t="e">
        <f t="shared" si="72"/>
        <v>#VALUE!</v>
      </c>
    </row>
    <row r="6300" spans="11:11" x14ac:dyDescent="0.25">
      <c r="K6300" s="8" t="e">
        <f t="shared" si="72"/>
        <v>#VALUE!</v>
      </c>
    </row>
    <row r="6301" spans="11:11" x14ac:dyDescent="0.25">
      <c r="K6301" s="8" t="e">
        <f t="shared" si="72"/>
        <v>#VALUE!</v>
      </c>
    </row>
    <row r="6302" spans="11:11" x14ac:dyDescent="0.25">
      <c r="K6302" s="8" t="e">
        <f t="shared" si="72"/>
        <v>#VALUE!</v>
      </c>
    </row>
    <row r="6303" spans="11:11" x14ac:dyDescent="0.25">
      <c r="K6303" s="8" t="e">
        <f t="shared" si="72"/>
        <v>#VALUE!</v>
      </c>
    </row>
    <row r="6304" spans="11:11" x14ac:dyDescent="0.25">
      <c r="K6304" s="8" t="e">
        <f t="shared" si="72"/>
        <v>#VALUE!</v>
      </c>
    </row>
    <row r="6305" spans="11:11" x14ac:dyDescent="0.25">
      <c r="K6305" s="8" t="e">
        <f t="shared" si="72"/>
        <v>#VALUE!</v>
      </c>
    </row>
    <row r="6306" spans="11:11" x14ac:dyDescent="0.25">
      <c r="K6306" s="8" t="e">
        <f t="shared" si="72"/>
        <v>#VALUE!</v>
      </c>
    </row>
    <row r="6307" spans="11:11" x14ac:dyDescent="0.25">
      <c r="K6307" s="8" t="e">
        <f t="shared" si="72"/>
        <v>#VALUE!</v>
      </c>
    </row>
    <row r="6308" spans="11:11" x14ac:dyDescent="0.25">
      <c r="K6308" s="8" t="e">
        <f t="shared" si="72"/>
        <v>#VALUE!</v>
      </c>
    </row>
    <row r="6309" spans="11:11" x14ac:dyDescent="0.25">
      <c r="K6309" s="8" t="e">
        <f t="shared" si="72"/>
        <v>#VALUE!</v>
      </c>
    </row>
    <row r="6310" spans="11:11" x14ac:dyDescent="0.25">
      <c r="K6310" s="8" t="e">
        <f t="shared" si="72"/>
        <v>#VALUE!</v>
      </c>
    </row>
    <row r="6311" spans="11:11" x14ac:dyDescent="0.25">
      <c r="K6311" s="8" t="e">
        <f t="shared" si="72"/>
        <v>#VALUE!</v>
      </c>
    </row>
    <row r="6312" spans="11:11" x14ac:dyDescent="0.25">
      <c r="K6312" s="8" t="e">
        <f t="shared" si="72"/>
        <v>#VALUE!</v>
      </c>
    </row>
    <row r="6313" spans="11:11" x14ac:dyDescent="0.25">
      <c r="K6313" s="8" t="e">
        <f t="shared" si="72"/>
        <v>#VALUE!</v>
      </c>
    </row>
    <row r="6314" spans="11:11" x14ac:dyDescent="0.25">
      <c r="K6314" s="8" t="e">
        <f t="shared" si="72"/>
        <v>#VALUE!</v>
      </c>
    </row>
    <row r="6315" spans="11:11" x14ac:dyDescent="0.25">
      <c r="K6315" s="8" t="e">
        <f t="shared" si="72"/>
        <v>#VALUE!</v>
      </c>
    </row>
    <row r="6316" spans="11:11" x14ac:dyDescent="0.25">
      <c r="K6316" s="8" t="e">
        <f t="shared" si="72"/>
        <v>#VALUE!</v>
      </c>
    </row>
    <row r="6317" spans="11:11" x14ac:dyDescent="0.25">
      <c r="K6317" s="8" t="e">
        <f t="shared" si="72"/>
        <v>#VALUE!</v>
      </c>
    </row>
    <row r="6318" spans="11:11" x14ac:dyDescent="0.25">
      <c r="K6318" s="8" t="e">
        <f t="shared" si="72"/>
        <v>#VALUE!</v>
      </c>
    </row>
    <row r="6319" spans="11:11" x14ac:dyDescent="0.25">
      <c r="K6319" s="8" t="e">
        <f t="shared" si="72"/>
        <v>#VALUE!</v>
      </c>
    </row>
    <row r="6320" spans="11:11" x14ac:dyDescent="0.25">
      <c r="K6320" s="8" t="e">
        <f t="shared" si="72"/>
        <v>#VALUE!</v>
      </c>
    </row>
    <row r="6321" spans="11:11" x14ac:dyDescent="0.25">
      <c r="K6321" s="8" t="e">
        <f t="shared" si="72"/>
        <v>#VALUE!</v>
      </c>
    </row>
    <row r="6322" spans="11:11" x14ac:dyDescent="0.25">
      <c r="K6322" s="8" t="e">
        <f t="shared" si="72"/>
        <v>#VALUE!</v>
      </c>
    </row>
    <row r="6323" spans="11:11" x14ac:dyDescent="0.25">
      <c r="K6323" s="8" t="e">
        <f t="shared" si="72"/>
        <v>#VALUE!</v>
      </c>
    </row>
    <row r="6324" spans="11:11" x14ac:dyDescent="0.25">
      <c r="K6324" s="8" t="e">
        <f t="shared" si="72"/>
        <v>#VALUE!</v>
      </c>
    </row>
    <row r="6325" spans="11:11" x14ac:dyDescent="0.25">
      <c r="K6325" s="8" t="e">
        <f t="shared" si="72"/>
        <v>#VALUE!</v>
      </c>
    </row>
    <row r="6326" spans="11:11" x14ac:dyDescent="0.25">
      <c r="K6326" s="8" t="e">
        <f t="shared" si="72"/>
        <v>#VALUE!</v>
      </c>
    </row>
    <row r="6327" spans="11:11" x14ac:dyDescent="0.25">
      <c r="K6327" s="8" t="e">
        <f t="shared" si="72"/>
        <v>#VALUE!</v>
      </c>
    </row>
    <row r="6328" spans="11:11" x14ac:dyDescent="0.25">
      <c r="K6328" s="8" t="e">
        <f t="shared" si="72"/>
        <v>#VALUE!</v>
      </c>
    </row>
    <row r="6329" spans="11:11" x14ac:dyDescent="0.25">
      <c r="K6329" s="8" t="e">
        <f t="shared" si="72"/>
        <v>#VALUE!</v>
      </c>
    </row>
    <row r="6330" spans="11:11" x14ac:dyDescent="0.25">
      <c r="K6330" s="8" t="e">
        <f t="shared" si="72"/>
        <v>#VALUE!</v>
      </c>
    </row>
    <row r="6331" spans="11:11" x14ac:dyDescent="0.25">
      <c r="K6331" s="8" t="e">
        <f t="shared" si="72"/>
        <v>#VALUE!</v>
      </c>
    </row>
    <row r="6332" spans="11:11" x14ac:dyDescent="0.25">
      <c r="K6332" s="8" t="e">
        <f t="shared" si="72"/>
        <v>#VALUE!</v>
      </c>
    </row>
    <row r="6333" spans="11:11" x14ac:dyDescent="0.25">
      <c r="K6333" s="8" t="e">
        <f t="shared" si="72"/>
        <v>#VALUE!</v>
      </c>
    </row>
    <row r="6334" spans="11:11" x14ac:dyDescent="0.25">
      <c r="K6334" s="8" t="e">
        <f t="shared" si="72"/>
        <v>#VALUE!</v>
      </c>
    </row>
    <row r="6335" spans="11:11" x14ac:dyDescent="0.25">
      <c r="K6335" s="8" t="e">
        <f t="shared" si="72"/>
        <v>#VALUE!</v>
      </c>
    </row>
    <row r="6336" spans="11:11" x14ac:dyDescent="0.25">
      <c r="K6336" s="8" t="e">
        <f t="shared" si="72"/>
        <v>#VALUE!</v>
      </c>
    </row>
    <row r="6337" spans="11:11" x14ac:dyDescent="0.25">
      <c r="K6337" s="8" t="e">
        <f t="shared" si="72"/>
        <v>#VALUE!</v>
      </c>
    </row>
    <row r="6338" spans="11:11" x14ac:dyDescent="0.25">
      <c r="K6338" s="8" t="e">
        <f t="shared" si="72"/>
        <v>#VALUE!</v>
      </c>
    </row>
    <row r="6339" spans="11:11" x14ac:dyDescent="0.25">
      <c r="K6339" s="8" t="e">
        <f t="shared" ref="K6339:K6402" si="73">LEFT(A6339,FIND("/",A6339)-1)</f>
        <v>#VALUE!</v>
      </c>
    </row>
    <row r="6340" spans="11:11" x14ac:dyDescent="0.25">
      <c r="K6340" s="8" t="e">
        <f t="shared" si="73"/>
        <v>#VALUE!</v>
      </c>
    </row>
    <row r="6341" spans="11:11" x14ac:dyDescent="0.25">
      <c r="K6341" s="8" t="e">
        <f t="shared" si="73"/>
        <v>#VALUE!</v>
      </c>
    </row>
    <row r="6342" spans="11:11" x14ac:dyDescent="0.25">
      <c r="K6342" s="8" t="e">
        <f t="shared" si="73"/>
        <v>#VALUE!</v>
      </c>
    </row>
    <row r="6343" spans="11:11" x14ac:dyDescent="0.25">
      <c r="K6343" s="8" t="e">
        <f t="shared" si="73"/>
        <v>#VALUE!</v>
      </c>
    </row>
    <row r="6344" spans="11:11" x14ac:dyDescent="0.25">
      <c r="K6344" s="8" t="e">
        <f t="shared" si="73"/>
        <v>#VALUE!</v>
      </c>
    </row>
    <row r="6345" spans="11:11" x14ac:dyDescent="0.25">
      <c r="K6345" s="8" t="e">
        <f t="shared" si="73"/>
        <v>#VALUE!</v>
      </c>
    </row>
    <row r="6346" spans="11:11" x14ac:dyDescent="0.25">
      <c r="K6346" s="8" t="e">
        <f t="shared" si="73"/>
        <v>#VALUE!</v>
      </c>
    </row>
    <row r="6347" spans="11:11" x14ac:dyDescent="0.25">
      <c r="K6347" s="8" t="e">
        <f t="shared" si="73"/>
        <v>#VALUE!</v>
      </c>
    </row>
    <row r="6348" spans="11:11" x14ac:dyDescent="0.25">
      <c r="K6348" s="8" t="e">
        <f t="shared" si="73"/>
        <v>#VALUE!</v>
      </c>
    </row>
    <row r="6349" spans="11:11" x14ac:dyDescent="0.25">
      <c r="K6349" s="8" t="e">
        <f t="shared" si="73"/>
        <v>#VALUE!</v>
      </c>
    </row>
    <row r="6350" spans="11:11" x14ac:dyDescent="0.25">
      <c r="K6350" s="8" t="e">
        <f t="shared" si="73"/>
        <v>#VALUE!</v>
      </c>
    </row>
    <row r="6351" spans="11:11" x14ac:dyDescent="0.25">
      <c r="K6351" s="8" t="e">
        <f t="shared" si="73"/>
        <v>#VALUE!</v>
      </c>
    </row>
    <row r="6352" spans="11:11" x14ac:dyDescent="0.25">
      <c r="K6352" s="8" t="e">
        <f t="shared" si="73"/>
        <v>#VALUE!</v>
      </c>
    </row>
    <row r="6353" spans="11:11" x14ac:dyDescent="0.25">
      <c r="K6353" s="8" t="e">
        <f t="shared" si="73"/>
        <v>#VALUE!</v>
      </c>
    </row>
    <row r="6354" spans="11:11" x14ac:dyDescent="0.25">
      <c r="K6354" s="8" t="e">
        <f t="shared" si="73"/>
        <v>#VALUE!</v>
      </c>
    </row>
    <row r="6355" spans="11:11" x14ac:dyDescent="0.25">
      <c r="K6355" s="8" t="e">
        <f t="shared" si="73"/>
        <v>#VALUE!</v>
      </c>
    </row>
    <row r="6356" spans="11:11" x14ac:dyDescent="0.25">
      <c r="K6356" s="8" t="e">
        <f t="shared" si="73"/>
        <v>#VALUE!</v>
      </c>
    </row>
    <row r="6357" spans="11:11" x14ac:dyDescent="0.25">
      <c r="K6357" s="8" t="e">
        <f t="shared" si="73"/>
        <v>#VALUE!</v>
      </c>
    </row>
    <row r="6358" spans="11:11" x14ac:dyDescent="0.25">
      <c r="K6358" s="8" t="e">
        <f t="shared" si="73"/>
        <v>#VALUE!</v>
      </c>
    </row>
    <row r="6359" spans="11:11" x14ac:dyDescent="0.25">
      <c r="K6359" s="8" t="e">
        <f t="shared" si="73"/>
        <v>#VALUE!</v>
      </c>
    </row>
    <row r="6360" spans="11:11" x14ac:dyDescent="0.25">
      <c r="K6360" s="8" t="e">
        <f t="shared" si="73"/>
        <v>#VALUE!</v>
      </c>
    </row>
    <row r="6361" spans="11:11" x14ac:dyDescent="0.25">
      <c r="K6361" s="8" t="e">
        <f t="shared" si="73"/>
        <v>#VALUE!</v>
      </c>
    </row>
    <row r="6362" spans="11:11" x14ac:dyDescent="0.25">
      <c r="K6362" s="8" t="e">
        <f t="shared" si="73"/>
        <v>#VALUE!</v>
      </c>
    </row>
    <row r="6363" spans="11:11" x14ac:dyDescent="0.25">
      <c r="K6363" s="8" t="e">
        <f t="shared" si="73"/>
        <v>#VALUE!</v>
      </c>
    </row>
    <row r="6364" spans="11:11" x14ac:dyDescent="0.25">
      <c r="K6364" s="8" t="e">
        <f t="shared" si="73"/>
        <v>#VALUE!</v>
      </c>
    </row>
    <row r="6365" spans="11:11" x14ac:dyDescent="0.25">
      <c r="K6365" s="8" t="e">
        <f t="shared" si="73"/>
        <v>#VALUE!</v>
      </c>
    </row>
    <row r="6366" spans="11:11" x14ac:dyDescent="0.25">
      <c r="K6366" s="8" t="e">
        <f t="shared" si="73"/>
        <v>#VALUE!</v>
      </c>
    </row>
    <row r="6367" spans="11:11" x14ac:dyDescent="0.25">
      <c r="K6367" s="8" t="e">
        <f t="shared" si="73"/>
        <v>#VALUE!</v>
      </c>
    </row>
    <row r="6368" spans="11:11" x14ac:dyDescent="0.25">
      <c r="K6368" s="8" t="e">
        <f t="shared" si="73"/>
        <v>#VALUE!</v>
      </c>
    </row>
    <row r="6369" spans="11:11" x14ac:dyDescent="0.25">
      <c r="K6369" s="8" t="e">
        <f t="shared" si="73"/>
        <v>#VALUE!</v>
      </c>
    </row>
    <row r="6370" spans="11:11" x14ac:dyDescent="0.25">
      <c r="K6370" s="8" t="e">
        <f t="shared" si="73"/>
        <v>#VALUE!</v>
      </c>
    </row>
    <row r="6371" spans="11:11" x14ac:dyDescent="0.25">
      <c r="K6371" s="8" t="e">
        <f t="shared" si="73"/>
        <v>#VALUE!</v>
      </c>
    </row>
    <row r="6372" spans="11:11" x14ac:dyDescent="0.25">
      <c r="K6372" s="8" t="e">
        <f t="shared" si="73"/>
        <v>#VALUE!</v>
      </c>
    </row>
    <row r="6373" spans="11:11" x14ac:dyDescent="0.25">
      <c r="K6373" s="8" t="e">
        <f t="shared" si="73"/>
        <v>#VALUE!</v>
      </c>
    </row>
    <row r="6374" spans="11:11" x14ac:dyDescent="0.25">
      <c r="K6374" s="8" t="e">
        <f t="shared" si="73"/>
        <v>#VALUE!</v>
      </c>
    </row>
    <row r="6375" spans="11:11" x14ac:dyDescent="0.25">
      <c r="K6375" s="8" t="e">
        <f t="shared" si="73"/>
        <v>#VALUE!</v>
      </c>
    </row>
    <row r="6376" spans="11:11" x14ac:dyDescent="0.25">
      <c r="K6376" s="8" t="e">
        <f t="shared" si="73"/>
        <v>#VALUE!</v>
      </c>
    </row>
    <row r="6377" spans="11:11" x14ac:dyDescent="0.25">
      <c r="K6377" s="8" t="e">
        <f t="shared" si="73"/>
        <v>#VALUE!</v>
      </c>
    </row>
    <row r="6378" spans="11:11" x14ac:dyDescent="0.25">
      <c r="K6378" s="8" t="e">
        <f t="shared" si="73"/>
        <v>#VALUE!</v>
      </c>
    </row>
    <row r="6379" spans="11:11" x14ac:dyDescent="0.25">
      <c r="K6379" s="8" t="e">
        <f t="shared" si="73"/>
        <v>#VALUE!</v>
      </c>
    </row>
    <row r="6380" spans="11:11" x14ac:dyDescent="0.25">
      <c r="K6380" s="8" t="e">
        <f t="shared" si="73"/>
        <v>#VALUE!</v>
      </c>
    </row>
    <row r="6381" spans="11:11" x14ac:dyDescent="0.25">
      <c r="K6381" s="8" t="e">
        <f t="shared" si="73"/>
        <v>#VALUE!</v>
      </c>
    </row>
    <row r="6382" spans="11:11" x14ac:dyDescent="0.25">
      <c r="K6382" s="8" t="e">
        <f t="shared" si="73"/>
        <v>#VALUE!</v>
      </c>
    </row>
    <row r="6383" spans="11:11" x14ac:dyDescent="0.25">
      <c r="K6383" s="8" t="e">
        <f t="shared" si="73"/>
        <v>#VALUE!</v>
      </c>
    </row>
    <row r="6384" spans="11:11" x14ac:dyDescent="0.25">
      <c r="K6384" s="8" t="e">
        <f t="shared" si="73"/>
        <v>#VALUE!</v>
      </c>
    </row>
    <row r="6385" spans="11:11" x14ac:dyDescent="0.25">
      <c r="K6385" s="8" t="e">
        <f t="shared" si="73"/>
        <v>#VALUE!</v>
      </c>
    </row>
    <row r="6386" spans="11:11" x14ac:dyDescent="0.25">
      <c r="K6386" s="8" t="e">
        <f t="shared" si="73"/>
        <v>#VALUE!</v>
      </c>
    </row>
    <row r="6387" spans="11:11" x14ac:dyDescent="0.25">
      <c r="K6387" s="8" t="e">
        <f t="shared" si="73"/>
        <v>#VALUE!</v>
      </c>
    </row>
    <row r="6388" spans="11:11" x14ac:dyDescent="0.25">
      <c r="K6388" s="8" t="e">
        <f t="shared" si="73"/>
        <v>#VALUE!</v>
      </c>
    </row>
    <row r="6389" spans="11:11" x14ac:dyDescent="0.25">
      <c r="K6389" s="8" t="e">
        <f t="shared" si="73"/>
        <v>#VALUE!</v>
      </c>
    </row>
    <row r="6390" spans="11:11" x14ac:dyDescent="0.25">
      <c r="K6390" s="8" t="e">
        <f t="shared" si="73"/>
        <v>#VALUE!</v>
      </c>
    </row>
    <row r="6391" spans="11:11" x14ac:dyDescent="0.25">
      <c r="K6391" s="8" t="e">
        <f t="shared" si="73"/>
        <v>#VALUE!</v>
      </c>
    </row>
    <row r="6392" spans="11:11" x14ac:dyDescent="0.25">
      <c r="K6392" s="8" t="e">
        <f t="shared" si="73"/>
        <v>#VALUE!</v>
      </c>
    </row>
    <row r="6393" spans="11:11" x14ac:dyDescent="0.25">
      <c r="K6393" s="8" t="e">
        <f t="shared" si="73"/>
        <v>#VALUE!</v>
      </c>
    </row>
    <row r="6394" spans="11:11" x14ac:dyDescent="0.25">
      <c r="K6394" s="8" t="e">
        <f t="shared" si="73"/>
        <v>#VALUE!</v>
      </c>
    </row>
    <row r="6395" spans="11:11" x14ac:dyDescent="0.25">
      <c r="K6395" s="8" t="e">
        <f t="shared" si="73"/>
        <v>#VALUE!</v>
      </c>
    </row>
    <row r="6396" spans="11:11" x14ac:dyDescent="0.25">
      <c r="K6396" s="8" t="e">
        <f t="shared" si="73"/>
        <v>#VALUE!</v>
      </c>
    </row>
    <row r="6397" spans="11:11" x14ac:dyDescent="0.25">
      <c r="K6397" s="8" t="e">
        <f t="shared" si="73"/>
        <v>#VALUE!</v>
      </c>
    </row>
    <row r="6398" spans="11:11" x14ac:dyDescent="0.25">
      <c r="K6398" s="8" t="e">
        <f t="shared" si="73"/>
        <v>#VALUE!</v>
      </c>
    </row>
    <row r="6399" spans="11:11" x14ac:dyDescent="0.25">
      <c r="K6399" s="8" t="e">
        <f t="shared" si="73"/>
        <v>#VALUE!</v>
      </c>
    </row>
    <row r="6400" spans="11:11" x14ac:dyDescent="0.25">
      <c r="K6400" s="8" t="e">
        <f t="shared" si="73"/>
        <v>#VALUE!</v>
      </c>
    </row>
    <row r="6401" spans="11:11" x14ac:dyDescent="0.25">
      <c r="K6401" s="8" t="e">
        <f t="shared" si="73"/>
        <v>#VALUE!</v>
      </c>
    </row>
    <row r="6402" spans="11:11" x14ac:dyDescent="0.25">
      <c r="K6402" s="8" t="e">
        <f t="shared" si="73"/>
        <v>#VALUE!</v>
      </c>
    </row>
    <row r="6403" spans="11:11" x14ac:dyDescent="0.25">
      <c r="K6403" s="8" t="e">
        <f t="shared" ref="K6403:K6466" si="74">LEFT(A6403,FIND("/",A6403)-1)</f>
        <v>#VALUE!</v>
      </c>
    </row>
    <row r="6404" spans="11:11" x14ac:dyDescent="0.25">
      <c r="K6404" s="8" t="e">
        <f t="shared" si="74"/>
        <v>#VALUE!</v>
      </c>
    </row>
    <row r="6405" spans="11:11" x14ac:dyDescent="0.25">
      <c r="K6405" s="8" t="e">
        <f t="shared" si="74"/>
        <v>#VALUE!</v>
      </c>
    </row>
    <row r="6406" spans="11:11" x14ac:dyDescent="0.25">
      <c r="K6406" s="8" t="e">
        <f t="shared" si="74"/>
        <v>#VALUE!</v>
      </c>
    </row>
    <row r="6407" spans="11:11" x14ac:dyDescent="0.25">
      <c r="K6407" s="8" t="e">
        <f t="shared" si="74"/>
        <v>#VALUE!</v>
      </c>
    </row>
    <row r="6408" spans="11:11" x14ac:dyDescent="0.25">
      <c r="K6408" s="8" t="e">
        <f t="shared" si="74"/>
        <v>#VALUE!</v>
      </c>
    </row>
    <row r="6409" spans="11:11" x14ac:dyDescent="0.25">
      <c r="K6409" s="8" t="e">
        <f t="shared" si="74"/>
        <v>#VALUE!</v>
      </c>
    </row>
    <row r="6410" spans="11:11" x14ac:dyDescent="0.25">
      <c r="K6410" s="8" t="e">
        <f t="shared" si="74"/>
        <v>#VALUE!</v>
      </c>
    </row>
    <row r="6411" spans="11:11" x14ac:dyDescent="0.25">
      <c r="K6411" s="8" t="e">
        <f t="shared" si="74"/>
        <v>#VALUE!</v>
      </c>
    </row>
    <row r="6412" spans="11:11" x14ac:dyDescent="0.25">
      <c r="K6412" s="8" t="e">
        <f t="shared" si="74"/>
        <v>#VALUE!</v>
      </c>
    </row>
    <row r="6413" spans="11:11" x14ac:dyDescent="0.25">
      <c r="K6413" s="8" t="e">
        <f t="shared" si="74"/>
        <v>#VALUE!</v>
      </c>
    </row>
    <row r="6414" spans="11:11" x14ac:dyDescent="0.25">
      <c r="K6414" s="8" t="e">
        <f t="shared" si="74"/>
        <v>#VALUE!</v>
      </c>
    </row>
    <row r="6415" spans="11:11" x14ac:dyDescent="0.25">
      <c r="K6415" s="8" t="e">
        <f t="shared" si="74"/>
        <v>#VALUE!</v>
      </c>
    </row>
    <row r="6416" spans="11:11" x14ac:dyDescent="0.25">
      <c r="K6416" s="8" t="e">
        <f t="shared" si="74"/>
        <v>#VALUE!</v>
      </c>
    </row>
    <row r="6417" spans="11:11" x14ac:dyDescent="0.25">
      <c r="K6417" s="8" t="e">
        <f t="shared" si="74"/>
        <v>#VALUE!</v>
      </c>
    </row>
    <row r="6418" spans="11:11" x14ac:dyDescent="0.25">
      <c r="K6418" s="8" t="e">
        <f t="shared" si="74"/>
        <v>#VALUE!</v>
      </c>
    </row>
    <row r="6419" spans="11:11" x14ac:dyDescent="0.25">
      <c r="K6419" s="8" t="e">
        <f t="shared" si="74"/>
        <v>#VALUE!</v>
      </c>
    </row>
    <row r="6420" spans="11:11" x14ac:dyDescent="0.25">
      <c r="K6420" s="8" t="e">
        <f t="shared" si="74"/>
        <v>#VALUE!</v>
      </c>
    </row>
    <row r="6421" spans="11:11" x14ac:dyDescent="0.25">
      <c r="K6421" s="8" t="e">
        <f t="shared" si="74"/>
        <v>#VALUE!</v>
      </c>
    </row>
    <row r="6422" spans="11:11" x14ac:dyDescent="0.25">
      <c r="K6422" s="8" t="e">
        <f t="shared" si="74"/>
        <v>#VALUE!</v>
      </c>
    </row>
    <row r="6423" spans="11:11" x14ac:dyDescent="0.25">
      <c r="K6423" s="8" t="e">
        <f t="shared" si="74"/>
        <v>#VALUE!</v>
      </c>
    </row>
    <row r="6424" spans="11:11" x14ac:dyDescent="0.25">
      <c r="K6424" s="8" t="e">
        <f t="shared" si="74"/>
        <v>#VALUE!</v>
      </c>
    </row>
    <row r="6425" spans="11:11" x14ac:dyDescent="0.25">
      <c r="K6425" s="8" t="e">
        <f t="shared" si="74"/>
        <v>#VALUE!</v>
      </c>
    </row>
    <row r="6426" spans="11:11" x14ac:dyDescent="0.25">
      <c r="K6426" s="8" t="e">
        <f t="shared" si="74"/>
        <v>#VALUE!</v>
      </c>
    </row>
    <row r="6427" spans="11:11" x14ac:dyDescent="0.25">
      <c r="K6427" s="8" t="e">
        <f t="shared" si="74"/>
        <v>#VALUE!</v>
      </c>
    </row>
    <row r="6428" spans="11:11" x14ac:dyDescent="0.25">
      <c r="K6428" s="8" t="e">
        <f t="shared" si="74"/>
        <v>#VALUE!</v>
      </c>
    </row>
    <row r="6429" spans="11:11" x14ac:dyDescent="0.25">
      <c r="K6429" s="8" t="e">
        <f t="shared" si="74"/>
        <v>#VALUE!</v>
      </c>
    </row>
    <row r="6430" spans="11:11" x14ac:dyDescent="0.25">
      <c r="K6430" s="8" t="e">
        <f t="shared" si="74"/>
        <v>#VALUE!</v>
      </c>
    </row>
    <row r="6431" spans="11:11" x14ac:dyDescent="0.25">
      <c r="K6431" s="8" t="e">
        <f t="shared" si="74"/>
        <v>#VALUE!</v>
      </c>
    </row>
    <row r="6432" spans="11:11" x14ac:dyDescent="0.25">
      <c r="K6432" s="8" t="e">
        <f t="shared" si="74"/>
        <v>#VALUE!</v>
      </c>
    </row>
    <row r="6433" spans="11:11" x14ac:dyDescent="0.25">
      <c r="K6433" s="8" t="e">
        <f t="shared" si="74"/>
        <v>#VALUE!</v>
      </c>
    </row>
    <row r="6434" spans="11:11" x14ac:dyDescent="0.25">
      <c r="K6434" s="8" t="e">
        <f t="shared" si="74"/>
        <v>#VALUE!</v>
      </c>
    </row>
    <row r="6435" spans="11:11" x14ac:dyDescent="0.25">
      <c r="K6435" s="8" t="e">
        <f t="shared" si="74"/>
        <v>#VALUE!</v>
      </c>
    </row>
    <row r="6436" spans="11:11" x14ac:dyDescent="0.25">
      <c r="K6436" s="8" t="e">
        <f t="shared" si="74"/>
        <v>#VALUE!</v>
      </c>
    </row>
    <row r="6437" spans="11:11" x14ac:dyDescent="0.25">
      <c r="K6437" s="8" t="e">
        <f t="shared" si="74"/>
        <v>#VALUE!</v>
      </c>
    </row>
    <row r="6438" spans="11:11" x14ac:dyDescent="0.25">
      <c r="K6438" s="8" t="e">
        <f t="shared" si="74"/>
        <v>#VALUE!</v>
      </c>
    </row>
    <row r="6439" spans="11:11" x14ac:dyDescent="0.25">
      <c r="K6439" s="8" t="e">
        <f t="shared" si="74"/>
        <v>#VALUE!</v>
      </c>
    </row>
    <row r="6440" spans="11:11" x14ac:dyDescent="0.25">
      <c r="K6440" s="8" t="e">
        <f t="shared" si="74"/>
        <v>#VALUE!</v>
      </c>
    </row>
    <row r="6441" spans="11:11" x14ac:dyDescent="0.25">
      <c r="K6441" s="8" t="e">
        <f t="shared" si="74"/>
        <v>#VALUE!</v>
      </c>
    </row>
    <row r="6442" spans="11:11" x14ac:dyDescent="0.25">
      <c r="K6442" s="8" t="e">
        <f t="shared" si="74"/>
        <v>#VALUE!</v>
      </c>
    </row>
    <row r="6443" spans="11:11" x14ac:dyDescent="0.25">
      <c r="K6443" s="8" t="e">
        <f t="shared" si="74"/>
        <v>#VALUE!</v>
      </c>
    </row>
    <row r="6444" spans="11:11" x14ac:dyDescent="0.25">
      <c r="K6444" s="8" t="e">
        <f t="shared" si="74"/>
        <v>#VALUE!</v>
      </c>
    </row>
    <row r="6445" spans="11:11" x14ac:dyDescent="0.25">
      <c r="K6445" s="8" t="e">
        <f t="shared" si="74"/>
        <v>#VALUE!</v>
      </c>
    </row>
    <row r="6446" spans="11:11" x14ac:dyDescent="0.25">
      <c r="K6446" s="8" t="e">
        <f t="shared" si="74"/>
        <v>#VALUE!</v>
      </c>
    </row>
    <row r="6447" spans="11:11" x14ac:dyDescent="0.25">
      <c r="K6447" s="8" t="e">
        <f t="shared" si="74"/>
        <v>#VALUE!</v>
      </c>
    </row>
    <row r="6448" spans="11:11" x14ac:dyDescent="0.25">
      <c r="K6448" s="8" t="e">
        <f t="shared" si="74"/>
        <v>#VALUE!</v>
      </c>
    </row>
    <row r="6449" spans="11:11" x14ac:dyDescent="0.25">
      <c r="K6449" s="8" t="e">
        <f t="shared" si="74"/>
        <v>#VALUE!</v>
      </c>
    </row>
    <row r="6450" spans="11:11" x14ac:dyDescent="0.25">
      <c r="K6450" s="8" t="e">
        <f t="shared" si="74"/>
        <v>#VALUE!</v>
      </c>
    </row>
    <row r="6451" spans="11:11" x14ac:dyDescent="0.25">
      <c r="K6451" s="8" t="e">
        <f t="shared" si="74"/>
        <v>#VALUE!</v>
      </c>
    </row>
    <row r="6452" spans="11:11" x14ac:dyDescent="0.25">
      <c r="K6452" s="8" t="e">
        <f t="shared" si="74"/>
        <v>#VALUE!</v>
      </c>
    </row>
    <row r="6453" spans="11:11" x14ac:dyDescent="0.25">
      <c r="K6453" s="8" t="e">
        <f t="shared" si="74"/>
        <v>#VALUE!</v>
      </c>
    </row>
    <row r="6454" spans="11:11" x14ac:dyDescent="0.25">
      <c r="K6454" s="8" t="e">
        <f t="shared" si="74"/>
        <v>#VALUE!</v>
      </c>
    </row>
    <row r="6455" spans="11:11" x14ac:dyDescent="0.25">
      <c r="K6455" s="8" t="e">
        <f t="shared" si="74"/>
        <v>#VALUE!</v>
      </c>
    </row>
    <row r="6456" spans="11:11" x14ac:dyDescent="0.25">
      <c r="K6456" s="8" t="e">
        <f t="shared" si="74"/>
        <v>#VALUE!</v>
      </c>
    </row>
    <row r="6457" spans="11:11" x14ac:dyDescent="0.25">
      <c r="K6457" s="8" t="e">
        <f t="shared" si="74"/>
        <v>#VALUE!</v>
      </c>
    </row>
    <row r="6458" spans="11:11" x14ac:dyDescent="0.25">
      <c r="K6458" s="8" t="e">
        <f t="shared" si="74"/>
        <v>#VALUE!</v>
      </c>
    </row>
    <row r="6459" spans="11:11" x14ac:dyDescent="0.25">
      <c r="K6459" s="8" t="e">
        <f t="shared" si="74"/>
        <v>#VALUE!</v>
      </c>
    </row>
    <row r="6460" spans="11:11" x14ac:dyDescent="0.25">
      <c r="K6460" s="8" t="e">
        <f t="shared" si="74"/>
        <v>#VALUE!</v>
      </c>
    </row>
    <row r="6461" spans="11:11" x14ac:dyDescent="0.25">
      <c r="K6461" s="8" t="e">
        <f t="shared" si="74"/>
        <v>#VALUE!</v>
      </c>
    </row>
    <row r="6462" spans="11:11" x14ac:dyDescent="0.25">
      <c r="K6462" s="8" t="e">
        <f t="shared" si="74"/>
        <v>#VALUE!</v>
      </c>
    </row>
    <row r="6463" spans="11:11" x14ac:dyDescent="0.25">
      <c r="K6463" s="8" t="e">
        <f t="shared" si="74"/>
        <v>#VALUE!</v>
      </c>
    </row>
    <row r="6464" spans="11:11" x14ac:dyDescent="0.25">
      <c r="K6464" s="8" t="e">
        <f t="shared" si="74"/>
        <v>#VALUE!</v>
      </c>
    </row>
    <row r="6465" spans="11:11" x14ac:dyDescent="0.25">
      <c r="K6465" s="8" t="e">
        <f t="shared" si="74"/>
        <v>#VALUE!</v>
      </c>
    </row>
    <row r="6466" spans="11:11" x14ac:dyDescent="0.25">
      <c r="K6466" s="8" t="e">
        <f t="shared" si="74"/>
        <v>#VALUE!</v>
      </c>
    </row>
    <row r="6467" spans="11:11" x14ac:dyDescent="0.25">
      <c r="K6467" s="8" t="e">
        <f t="shared" ref="K6467:K6530" si="75">LEFT(A6467,FIND("/",A6467)-1)</f>
        <v>#VALUE!</v>
      </c>
    </row>
    <row r="6468" spans="11:11" x14ac:dyDescent="0.25">
      <c r="K6468" s="8" t="e">
        <f t="shared" si="75"/>
        <v>#VALUE!</v>
      </c>
    </row>
    <row r="6469" spans="11:11" x14ac:dyDescent="0.25">
      <c r="K6469" s="8" t="e">
        <f t="shared" si="75"/>
        <v>#VALUE!</v>
      </c>
    </row>
    <row r="6470" spans="11:11" x14ac:dyDescent="0.25">
      <c r="K6470" s="8" t="e">
        <f t="shared" si="75"/>
        <v>#VALUE!</v>
      </c>
    </row>
    <row r="6471" spans="11:11" x14ac:dyDescent="0.25">
      <c r="K6471" s="8" t="e">
        <f t="shared" si="75"/>
        <v>#VALUE!</v>
      </c>
    </row>
    <row r="6472" spans="11:11" x14ac:dyDescent="0.25">
      <c r="K6472" s="8" t="e">
        <f t="shared" si="75"/>
        <v>#VALUE!</v>
      </c>
    </row>
    <row r="6473" spans="11:11" x14ac:dyDescent="0.25">
      <c r="K6473" s="8" t="e">
        <f t="shared" si="75"/>
        <v>#VALUE!</v>
      </c>
    </row>
    <row r="6474" spans="11:11" x14ac:dyDescent="0.25">
      <c r="K6474" s="8" t="e">
        <f t="shared" si="75"/>
        <v>#VALUE!</v>
      </c>
    </row>
    <row r="6475" spans="11:11" x14ac:dyDescent="0.25">
      <c r="K6475" s="8" t="e">
        <f t="shared" si="75"/>
        <v>#VALUE!</v>
      </c>
    </row>
    <row r="6476" spans="11:11" x14ac:dyDescent="0.25">
      <c r="K6476" s="8" t="e">
        <f t="shared" si="75"/>
        <v>#VALUE!</v>
      </c>
    </row>
    <row r="6477" spans="11:11" x14ac:dyDescent="0.25">
      <c r="K6477" s="8" t="e">
        <f t="shared" si="75"/>
        <v>#VALUE!</v>
      </c>
    </row>
    <row r="6478" spans="11:11" x14ac:dyDescent="0.25">
      <c r="K6478" s="8" t="e">
        <f t="shared" si="75"/>
        <v>#VALUE!</v>
      </c>
    </row>
    <row r="6479" spans="11:11" x14ac:dyDescent="0.25">
      <c r="K6479" s="8" t="e">
        <f t="shared" si="75"/>
        <v>#VALUE!</v>
      </c>
    </row>
    <row r="6480" spans="11:11" x14ac:dyDescent="0.25">
      <c r="K6480" s="8" t="e">
        <f t="shared" si="75"/>
        <v>#VALUE!</v>
      </c>
    </row>
    <row r="6481" spans="11:11" x14ac:dyDescent="0.25">
      <c r="K6481" s="8" t="e">
        <f t="shared" si="75"/>
        <v>#VALUE!</v>
      </c>
    </row>
    <row r="6482" spans="11:11" x14ac:dyDescent="0.25">
      <c r="K6482" s="8" t="e">
        <f t="shared" si="75"/>
        <v>#VALUE!</v>
      </c>
    </row>
    <row r="6483" spans="11:11" x14ac:dyDescent="0.25">
      <c r="K6483" s="8" t="e">
        <f t="shared" si="75"/>
        <v>#VALUE!</v>
      </c>
    </row>
    <row r="6484" spans="11:11" x14ac:dyDescent="0.25">
      <c r="K6484" s="8" t="e">
        <f t="shared" si="75"/>
        <v>#VALUE!</v>
      </c>
    </row>
    <row r="6485" spans="11:11" x14ac:dyDescent="0.25">
      <c r="K6485" s="8" t="e">
        <f t="shared" si="75"/>
        <v>#VALUE!</v>
      </c>
    </row>
    <row r="6486" spans="11:11" x14ac:dyDescent="0.25">
      <c r="K6486" s="8" t="e">
        <f t="shared" si="75"/>
        <v>#VALUE!</v>
      </c>
    </row>
    <row r="6487" spans="11:11" x14ac:dyDescent="0.25">
      <c r="K6487" s="8" t="e">
        <f t="shared" si="75"/>
        <v>#VALUE!</v>
      </c>
    </row>
    <row r="6488" spans="11:11" x14ac:dyDescent="0.25">
      <c r="K6488" s="8" t="e">
        <f t="shared" si="75"/>
        <v>#VALUE!</v>
      </c>
    </row>
    <row r="6489" spans="11:11" x14ac:dyDescent="0.25">
      <c r="K6489" s="8" t="e">
        <f t="shared" si="75"/>
        <v>#VALUE!</v>
      </c>
    </row>
    <row r="6490" spans="11:11" x14ac:dyDescent="0.25">
      <c r="K6490" s="8" t="e">
        <f t="shared" si="75"/>
        <v>#VALUE!</v>
      </c>
    </row>
    <row r="6491" spans="11:11" x14ac:dyDescent="0.25">
      <c r="K6491" s="8" t="e">
        <f t="shared" si="75"/>
        <v>#VALUE!</v>
      </c>
    </row>
    <row r="6492" spans="11:11" x14ac:dyDescent="0.25">
      <c r="K6492" s="8" t="e">
        <f t="shared" si="75"/>
        <v>#VALUE!</v>
      </c>
    </row>
    <row r="6493" spans="11:11" x14ac:dyDescent="0.25">
      <c r="K6493" s="8" t="e">
        <f t="shared" si="75"/>
        <v>#VALUE!</v>
      </c>
    </row>
    <row r="6494" spans="11:11" x14ac:dyDescent="0.25">
      <c r="K6494" s="8" t="e">
        <f t="shared" si="75"/>
        <v>#VALUE!</v>
      </c>
    </row>
    <row r="6495" spans="11:11" x14ac:dyDescent="0.25">
      <c r="K6495" s="8" t="e">
        <f t="shared" si="75"/>
        <v>#VALUE!</v>
      </c>
    </row>
    <row r="6496" spans="11:11" x14ac:dyDescent="0.25">
      <c r="K6496" s="8" t="e">
        <f t="shared" si="75"/>
        <v>#VALUE!</v>
      </c>
    </row>
    <row r="6497" spans="11:11" x14ac:dyDescent="0.25">
      <c r="K6497" s="8" t="e">
        <f t="shared" si="75"/>
        <v>#VALUE!</v>
      </c>
    </row>
    <row r="6498" spans="11:11" x14ac:dyDescent="0.25">
      <c r="K6498" s="8" t="e">
        <f t="shared" si="75"/>
        <v>#VALUE!</v>
      </c>
    </row>
    <row r="6499" spans="11:11" x14ac:dyDescent="0.25">
      <c r="K6499" s="8" t="e">
        <f t="shared" si="75"/>
        <v>#VALUE!</v>
      </c>
    </row>
    <row r="6500" spans="11:11" x14ac:dyDescent="0.25">
      <c r="K6500" s="8" t="e">
        <f t="shared" si="75"/>
        <v>#VALUE!</v>
      </c>
    </row>
    <row r="6501" spans="11:11" x14ac:dyDescent="0.25">
      <c r="K6501" s="8" t="e">
        <f t="shared" si="75"/>
        <v>#VALUE!</v>
      </c>
    </row>
    <row r="6502" spans="11:11" x14ac:dyDescent="0.25">
      <c r="K6502" s="8" t="e">
        <f t="shared" si="75"/>
        <v>#VALUE!</v>
      </c>
    </row>
    <row r="6503" spans="11:11" x14ac:dyDescent="0.25">
      <c r="K6503" s="8" t="e">
        <f t="shared" si="75"/>
        <v>#VALUE!</v>
      </c>
    </row>
    <row r="6504" spans="11:11" x14ac:dyDescent="0.25">
      <c r="K6504" s="8" t="e">
        <f t="shared" si="75"/>
        <v>#VALUE!</v>
      </c>
    </row>
    <row r="6505" spans="11:11" x14ac:dyDescent="0.25">
      <c r="K6505" s="8" t="e">
        <f t="shared" si="75"/>
        <v>#VALUE!</v>
      </c>
    </row>
    <row r="6506" spans="11:11" x14ac:dyDescent="0.25">
      <c r="K6506" s="8" t="e">
        <f t="shared" si="75"/>
        <v>#VALUE!</v>
      </c>
    </row>
    <row r="6507" spans="11:11" x14ac:dyDescent="0.25">
      <c r="K6507" s="8" t="e">
        <f t="shared" si="75"/>
        <v>#VALUE!</v>
      </c>
    </row>
    <row r="6508" spans="11:11" x14ac:dyDescent="0.25">
      <c r="K6508" s="8" t="e">
        <f t="shared" si="75"/>
        <v>#VALUE!</v>
      </c>
    </row>
    <row r="6509" spans="11:11" x14ac:dyDescent="0.25">
      <c r="K6509" s="8" t="e">
        <f t="shared" si="75"/>
        <v>#VALUE!</v>
      </c>
    </row>
    <row r="6510" spans="11:11" x14ac:dyDescent="0.25">
      <c r="K6510" s="8" t="e">
        <f t="shared" si="75"/>
        <v>#VALUE!</v>
      </c>
    </row>
    <row r="6511" spans="11:11" x14ac:dyDescent="0.25">
      <c r="K6511" s="8" t="e">
        <f t="shared" si="75"/>
        <v>#VALUE!</v>
      </c>
    </row>
    <row r="6512" spans="11:11" x14ac:dyDescent="0.25">
      <c r="K6512" s="8" t="e">
        <f t="shared" si="75"/>
        <v>#VALUE!</v>
      </c>
    </row>
    <row r="6513" spans="11:11" x14ac:dyDescent="0.25">
      <c r="K6513" s="8" t="e">
        <f t="shared" si="75"/>
        <v>#VALUE!</v>
      </c>
    </row>
    <row r="6514" spans="11:11" x14ac:dyDescent="0.25">
      <c r="K6514" s="8" t="e">
        <f t="shared" si="75"/>
        <v>#VALUE!</v>
      </c>
    </row>
    <row r="6515" spans="11:11" x14ac:dyDescent="0.25">
      <c r="K6515" s="8" t="e">
        <f t="shared" si="75"/>
        <v>#VALUE!</v>
      </c>
    </row>
    <row r="6516" spans="11:11" x14ac:dyDescent="0.25">
      <c r="K6516" s="8" t="e">
        <f t="shared" si="75"/>
        <v>#VALUE!</v>
      </c>
    </row>
    <row r="6517" spans="11:11" x14ac:dyDescent="0.25">
      <c r="K6517" s="8" t="e">
        <f t="shared" si="75"/>
        <v>#VALUE!</v>
      </c>
    </row>
    <row r="6518" spans="11:11" x14ac:dyDescent="0.25">
      <c r="K6518" s="8" t="e">
        <f t="shared" si="75"/>
        <v>#VALUE!</v>
      </c>
    </row>
    <row r="6519" spans="11:11" x14ac:dyDescent="0.25">
      <c r="K6519" s="8" t="e">
        <f t="shared" si="75"/>
        <v>#VALUE!</v>
      </c>
    </row>
    <row r="6520" spans="11:11" x14ac:dyDescent="0.25">
      <c r="K6520" s="8" t="e">
        <f t="shared" si="75"/>
        <v>#VALUE!</v>
      </c>
    </row>
    <row r="6521" spans="11:11" x14ac:dyDescent="0.25">
      <c r="K6521" s="8" t="e">
        <f t="shared" si="75"/>
        <v>#VALUE!</v>
      </c>
    </row>
    <row r="6522" spans="11:11" x14ac:dyDescent="0.25">
      <c r="K6522" s="8" t="e">
        <f t="shared" si="75"/>
        <v>#VALUE!</v>
      </c>
    </row>
    <row r="6523" spans="11:11" x14ac:dyDescent="0.25">
      <c r="K6523" s="8" t="e">
        <f t="shared" si="75"/>
        <v>#VALUE!</v>
      </c>
    </row>
    <row r="6524" spans="11:11" x14ac:dyDescent="0.25">
      <c r="K6524" s="8" t="e">
        <f t="shared" si="75"/>
        <v>#VALUE!</v>
      </c>
    </row>
    <row r="6525" spans="11:11" x14ac:dyDescent="0.25">
      <c r="K6525" s="8" t="e">
        <f t="shared" si="75"/>
        <v>#VALUE!</v>
      </c>
    </row>
    <row r="6526" spans="11:11" x14ac:dyDescent="0.25">
      <c r="K6526" s="8" t="e">
        <f t="shared" si="75"/>
        <v>#VALUE!</v>
      </c>
    </row>
    <row r="6527" spans="11:11" x14ac:dyDescent="0.25">
      <c r="K6527" s="8" t="e">
        <f t="shared" si="75"/>
        <v>#VALUE!</v>
      </c>
    </row>
    <row r="6528" spans="11:11" x14ac:dyDescent="0.25">
      <c r="K6528" s="8" t="e">
        <f t="shared" si="75"/>
        <v>#VALUE!</v>
      </c>
    </row>
    <row r="6529" spans="11:11" x14ac:dyDescent="0.25">
      <c r="K6529" s="8" t="e">
        <f t="shared" si="75"/>
        <v>#VALUE!</v>
      </c>
    </row>
    <row r="6530" spans="11:11" x14ac:dyDescent="0.25">
      <c r="K6530" s="8" t="e">
        <f t="shared" si="75"/>
        <v>#VALUE!</v>
      </c>
    </row>
    <row r="6531" spans="11:11" x14ac:dyDescent="0.25">
      <c r="K6531" s="8" t="e">
        <f t="shared" ref="K6531:K6594" si="76">LEFT(A6531,FIND("/",A6531)-1)</f>
        <v>#VALUE!</v>
      </c>
    </row>
    <row r="6532" spans="11:11" x14ac:dyDescent="0.25">
      <c r="K6532" s="8" t="e">
        <f t="shared" si="76"/>
        <v>#VALUE!</v>
      </c>
    </row>
    <row r="6533" spans="11:11" x14ac:dyDescent="0.25">
      <c r="K6533" s="8" t="e">
        <f t="shared" si="76"/>
        <v>#VALUE!</v>
      </c>
    </row>
    <row r="6534" spans="11:11" x14ac:dyDescent="0.25">
      <c r="K6534" s="8" t="e">
        <f t="shared" si="76"/>
        <v>#VALUE!</v>
      </c>
    </row>
    <row r="6535" spans="11:11" x14ac:dyDescent="0.25">
      <c r="K6535" s="8" t="e">
        <f t="shared" si="76"/>
        <v>#VALUE!</v>
      </c>
    </row>
    <row r="6536" spans="11:11" x14ac:dyDescent="0.25">
      <c r="K6536" s="8" t="e">
        <f t="shared" si="76"/>
        <v>#VALUE!</v>
      </c>
    </row>
    <row r="6537" spans="11:11" x14ac:dyDescent="0.25">
      <c r="K6537" s="8" t="e">
        <f t="shared" si="76"/>
        <v>#VALUE!</v>
      </c>
    </row>
    <row r="6538" spans="11:11" x14ac:dyDescent="0.25">
      <c r="K6538" s="8" t="e">
        <f t="shared" si="76"/>
        <v>#VALUE!</v>
      </c>
    </row>
    <row r="6539" spans="11:11" x14ac:dyDescent="0.25">
      <c r="K6539" s="8" t="e">
        <f t="shared" si="76"/>
        <v>#VALUE!</v>
      </c>
    </row>
    <row r="6540" spans="11:11" x14ac:dyDescent="0.25">
      <c r="K6540" s="8" t="e">
        <f t="shared" si="76"/>
        <v>#VALUE!</v>
      </c>
    </row>
    <row r="6541" spans="11:11" x14ac:dyDescent="0.25">
      <c r="K6541" s="8" t="e">
        <f t="shared" si="76"/>
        <v>#VALUE!</v>
      </c>
    </row>
    <row r="6542" spans="11:11" x14ac:dyDescent="0.25">
      <c r="K6542" s="8" t="e">
        <f t="shared" si="76"/>
        <v>#VALUE!</v>
      </c>
    </row>
    <row r="6543" spans="11:11" x14ac:dyDescent="0.25">
      <c r="K6543" s="8" t="e">
        <f t="shared" si="76"/>
        <v>#VALUE!</v>
      </c>
    </row>
    <row r="6544" spans="11:11" x14ac:dyDescent="0.25">
      <c r="K6544" s="8" t="e">
        <f t="shared" si="76"/>
        <v>#VALUE!</v>
      </c>
    </row>
    <row r="6545" spans="11:11" x14ac:dyDescent="0.25">
      <c r="K6545" s="8" t="e">
        <f t="shared" si="76"/>
        <v>#VALUE!</v>
      </c>
    </row>
    <row r="6546" spans="11:11" x14ac:dyDescent="0.25">
      <c r="K6546" s="8" t="e">
        <f t="shared" si="76"/>
        <v>#VALUE!</v>
      </c>
    </row>
    <row r="6547" spans="11:11" x14ac:dyDescent="0.25">
      <c r="K6547" s="8" t="e">
        <f t="shared" si="76"/>
        <v>#VALUE!</v>
      </c>
    </row>
    <row r="6548" spans="11:11" x14ac:dyDescent="0.25">
      <c r="K6548" s="8" t="e">
        <f t="shared" si="76"/>
        <v>#VALUE!</v>
      </c>
    </row>
    <row r="6549" spans="11:11" x14ac:dyDescent="0.25">
      <c r="K6549" s="8" t="e">
        <f t="shared" si="76"/>
        <v>#VALUE!</v>
      </c>
    </row>
    <row r="6550" spans="11:11" x14ac:dyDescent="0.25">
      <c r="K6550" s="8" t="e">
        <f t="shared" si="76"/>
        <v>#VALUE!</v>
      </c>
    </row>
    <row r="6551" spans="11:11" x14ac:dyDescent="0.25">
      <c r="K6551" s="8" t="e">
        <f t="shared" si="76"/>
        <v>#VALUE!</v>
      </c>
    </row>
    <row r="6552" spans="11:11" x14ac:dyDescent="0.25">
      <c r="K6552" s="8" t="e">
        <f t="shared" si="76"/>
        <v>#VALUE!</v>
      </c>
    </row>
    <row r="6553" spans="11:11" x14ac:dyDescent="0.25">
      <c r="K6553" s="8" t="e">
        <f t="shared" si="76"/>
        <v>#VALUE!</v>
      </c>
    </row>
    <row r="6554" spans="11:11" x14ac:dyDescent="0.25">
      <c r="K6554" s="8" t="e">
        <f t="shared" si="76"/>
        <v>#VALUE!</v>
      </c>
    </row>
    <row r="6555" spans="11:11" x14ac:dyDescent="0.25">
      <c r="K6555" s="8" t="e">
        <f t="shared" si="76"/>
        <v>#VALUE!</v>
      </c>
    </row>
    <row r="6556" spans="11:11" x14ac:dyDescent="0.25">
      <c r="K6556" s="8" t="e">
        <f t="shared" si="76"/>
        <v>#VALUE!</v>
      </c>
    </row>
    <row r="6557" spans="11:11" x14ac:dyDescent="0.25">
      <c r="K6557" s="8" t="e">
        <f t="shared" si="76"/>
        <v>#VALUE!</v>
      </c>
    </row>
    <row r="6558" spans="11:11" x14ac:dyDescent="0.25">
      <c r="K6558" s="8" t="e">
        <f t="shared" si="76"/>
        <v>#VALUE!</v>
      </c>
    </row>
    <row r="6559" spans="11:11" x14ac:dyDescent="0.25">
      <c r="K6559" s="8" t="e">
        <f t="shared" si="76"/>
        <v>#VALUE!</v>
      </c>
    </row>
    <row r="6560" spans="11:11" x14ac:dyDescent="0.25">
      <c r="K6560" s="8" t="e">
        <f t="shared" si="76"/>
        <v>#VALUE!</v>
      </c>
    </row>
    <row r="6561" spans="11:11" x14ac:dyDescent="0.25">
      <c r="K6561" s="8" t="e">
        <f t="shared" si="76"/>
        <v>#VALUE!</v>
      </c>
    </row>
    <row r="6562" spans="11:11" x14ac:dyDescent="0.25">
      <c r="K6562" s="8" t="e">
        <f t="shared" si="76"/>
        <v>#VALUE!</v>
      </c>
    </row>
    <row r="6563" spans="11:11" x14ac:dyDescent="0.25">
      <c r="K6563" s="8" t="e">
        <f t="shared" si="76"/>
        <v>#VALUE!</v>
      </c>
    </row>
    <row r="6564" spans="11:11" x14ac:dyDescent="0.25">
      <c r="K6564" s="8" t="e">
        <f t="shared" si="76"/>
        <v>#VALUE!</v>
      </c>
    </row>
    <row r="6565" spans="11:11" x14ac:dyDescent="0.25">
      <c r="K6565" s="8" t="e">
        <f t="shared" si="76"/>
        <v>#VALUE!</v>
      </c>
    </row>
    <row r="6566" spans="11:11" x14ac:dyDescent="0.25">
      <c r="K6566" s="8" t="e">
        <f t="shared" si="76"/>
        <v>#VALUE!</v>
      </c>
    </row>
    <row r="6567" spans="11:11" x14ac:dyDescent="0.25">
      <c r="K6567" s="8" t="e">
        <f t="shared" si="76"/>
        <v>#VALUE!</v>
      </c>
    </row>
    <row r="6568" spans="11:11" x14ac:dyDescent="0.25">
      <c r="K6568" s="8" t="e">
        <f t="shared" si="76"/>
        <v>#VALUE!</v>
      </c>
    </row>
    <row r="6569" spans="11:11" x14ac:dyDescent="0.25">
      <c r="K6569" s="8" t="e">
        <f t="shared" si="76"/>
        <v>#VALUE!</v>
      </c>
    </row>
    <row r="6570" spans="11:11" x14ac:dyDescent="0.25">
      <c r="K6570" s="8" t="e">
        <f t="shared" si="76"/>
        <v>#VALUE!</v>
      </c>
    </row>
    <row r="6571" spans="11:11" x14ac:dyDescent="0.25">
      <c r="K6571" s="8" t="e">
        <f t="shared" si="76"/>
        <v>#VALUE!</v>
      </c>
    </row>
    <row r="6572" spans="11:11" x14ac:dyDescent="0.25">
      <c r="K6572" s="8" t="e">
        <f t="shared" si="76"/>
        <v>#VALUE!</v>
      </c>
    </row>
    <row r="6573" spans="11:11" x14ac:dyDescent="0.25">
      <c r="K6573" s="8" t="e">
        <f t="shared" si="76"/>
        <v>#VALUE!</v>
      </c>
    </row>
    <row r="6574" spans="11:11" x14ac:dyDescent="0.25">
      <c r="K6574" s="8" t="e">
        <f t="shared" si="76"/>
        <v>#VALUE!</v>
      </c>
    </row>
    <row r="6575" spans="11:11" x14ac:dyDescent="0.25">
      <c r="K6575" s="8" t="e">
        <f t="shared" si="76"/>
        <v>#VALUE!</v>
      </c>
    </row>
    <row r="6576" spans="11:11" x14ac:dyDescent="0.25">
      <c r="K6576" s="8" t="e">
        <f t="shared" si="76"/>
        <v>#VALUE!</v>
      </c>
    </row>
    <row r="6577" spans="11:11" x14ac:dyDescent="0.25">
      <c r="K6577" s="8" t="e">
        <f t="shared" si="76"/>
        <v>#VALUE!</v>
      </c>
    </row>
    <row r="6578" spans="11:11" x14ac:dyDescent="0.25">
      <c r="K6578" s="8" t="e">
        <f t="shared" si="76"/>
        <v>#VALUE!</v>
      </c>
    </row>
    <row r="6579" spans="11:11" x14ac:dyDescent="0.25">
      <c r="K6579" s="8" t="e">
        <f t="shared" si="76"/>
        <v>#VALUE!</v>
      </c>
    </row>
    <row r="6580" spans="11:11" x14ac:dyDescent="0.25">
      <c r="K6580" s="8" t="e">
        <f t="shared" si="76"/>
        <v>#VALUE!</v>
      </c>
    </row>
    <row r="6581" spans="11:11" x14ac:dyDescent="0.25">
      <c r="K6581" s="8" t="e">
        <f t="shared" si="76"/>
        <v>#VALUE!</v>
      </c>
    </row>
    <row r="6582" spans="11:11" x14ac:dyDescent="0.25">
      <c r="K6582" s="8" t="e">
        <f t="shared" si="76"/>
        <v>#VALUE!</v>
      </c>
    </row>
    <row r="6583" spans="11:11" x14ac:dyDescent="0.25">
      <c r="K6583" s="8" t="e">
        <f t="shared" si="76"/>
        <v>#VALUE!</v>
      </c>
    </row>
    <row r="6584" spans="11:11" x14ac:dyDescent="0.25">
      <c r="K6584" s="8" t="e">
        <f t="shared" si="76"/>
        <v>#VALUE!</v>
      </c>
    </row>
    <row r="6585" spans="11:11" x14ac:dyDescent="0.25">
      <c r="K6585" s="8" t="e">
        <f t="shared" si="76"/>
        <v>#VALUE!</v>
      </c>
    </row>
    <row r="6586" spans="11:11" x14ac:dyDescent="0.25">
      <c r="K6586" s="8" t="e">
        <f t="shared" si="76"/>
        <v>#VALUE!</v>
      </c>
    </row>
    <row r="6587" spans="11:11" x14ac:dyDescent="0.25">
      <c r="K6587" s="8" t="e">
        <f t="shared" si="76"/>
        <v>#VALUE!</v>
      </c>
    </row>
    <row r="6588" spans="11:11" x14ac:dyDescent="0.25">
      <c r="K6588" s="8" t="e">
        <f t="shared" si="76"/>
        <v>#VALUE!</v>
      </c>
    </row>
    <row r="6589" spans="11:11" x14ac:dyDescent="0.25">
      <c r="K6589" s="8" t="e">
        <f t="shared" si="76"/>
        <v>#VALUE!</v>
      </c>
    </row>
    <row r="6590" spans="11:11" x14ac:dyDescent="0.25">
      <c r="K6590" s="8" t="e">
        <f t="shared" si="76"/>
        <v>#VALUE!</v>
      </c>
    </row>
    <row r="6591" spans="11:11" x14ac:dyDescent="0.25">
      <c r="K6591" s="8" t="e">
        <f t="shared" si="76"/>
        <v>#VALUE!</v>
      </c>
    </row>
    <row r="6592" spans="11:11" x14ac:dyDescent="0.25">
      <c r="K6592" s="8" t="e">
        <f t="shared" si="76"/>
        <v>#VALUE!</v>
      </c>
    </row>
    <row r="6593" spans="11:11" x14ac:dyDescent="0.25">
      <c r="K6593" s="8" t="e">
        <f t="shared" si="76"/>
        <v>#VALUE!</v>
      </c>
    </row>
    <row r="6594" spans="11:11" x14ac:dyDescent="0.25">
      <c r="K6594" s="8" t="e">
        <f t="shared" si="76"/>
        <v>#VALUE!</v>
      </c>
    </row>
    <row r="6595" spans="11:11" x14ac:dyDescent="0.25">
      <c r="K6595" s="8" t="e">
        <f t="shared" ref="K6595:K6658" si="77">LEFT(A6595,FIND("/",A6595)-1)</f>
        <v>#VALUE!</v>
      </c>
    </row>
    <row r="6596" spans="11:11" x14ac:dyDescent="0.25">
      <c r="K6596" s="8" t="e">
        <f t="shared" si="77"/>
        <v>#VALUE!</v>
      </c>
    </row>
    <row r="6597" spans="11:11" x14ac:dyDescent="0.25">
      <c r="K6597" s="8" t="e">
        <f t="shared" si="77"/>
        <v>#VALUE!</v>
      </c>
    </row>
    <row r="6598" spans="11:11" x14ac:dyDescent="0.25">
      <c r="K6598" s="8" t="e">
        <f t="shared" si="77"/>
        <v>#VALUE!</v>
      </c>
    </row>
    <row r="6599" spans="11:11" x14ac:dyDescent="0.25">
      <c r="K6599" s="8" t="e">
        <f t="shared" si="77"/>
        <v>#VALUE!</v>
      </c>
    </row>
    <row r="6600" spans="11:11" x14ac:dyDescent="0.25">
      <c r="K6600" s="8" t="e">
        <f t="shared" si="77"/>
        <v>#VALUE!</v>
      </c>
    </row>
    <row r="6601" spans="11:11" x14ac:dyDescent="0.25">
      <c r="K6601" s="8" t="e">
        <f t="shared" si="77"/>
        <v>#VALUE!</v>
      </c>
    </row>
    <row r="6602" spans="11:11" x14ac:dyDescent="0.25">
      <c r="K6602" s="8" t="e">
        <f t="shared" si="77"/>
        <v>#VALUE!</v>
      </c>
    </row>
    <row r="6603" spans="11:11" x14ac:dyDescent="0.25">
      <c r="K6603" s="8" t="e">
        <f t="shared" si="77"/>
        <v>#VALUE!</v>
      </c>
    </row>
    <row r="6604" spans="11:11" x14ac:dyDescent="0.25">
      <c r="K6604" s="8" t="e">
        <f t="shared" si="77"/>
        <v>#VALUE!</v>
      </c>
    </row>
    <row r="6605" spans="11:11" x14ac:dyDescent="0.25">
      <c r="K6605" s="8" t="e">
        <f t="shared" si="77"/>
        <v>#VALUE!</v>
      </c>
    </row>
    <row r="6606" spans="11:11" x14ac:dyDescent="0.25">
      <c r="K6606" s="8" t="e">
        <f t="shared" si="77"/>
        <v>#VALUE!</v>
      </c>
    </row>
    <row r="6607" spans="11:11" x14ac:dyDescent="0.25">
      <c r="K6607" s="8" t="e">
        <f t="shared" si="77"/>
        <v>#VALUE!</v>
      </c>
    </row>
    <row r="6608" spans="11:11" x14ac:dyDescent="0.25">
      <c r="K6608" s="8" t="e">
        <f t="shared" si="77"/>
        <v>#VALUE!</v>
      </c>
    </row>
    <row r="6609" spans="11:11" x14ac:dyDescent="0.25">
      <c r="K6609" s="8" t="e">
        <f t="shared" si="77"/>
        <v>#VALUE!</v>
      </c>
    </row>
    <row r="6610" spans="11:11" x14ac:dyDescent="0.25">
      <c r="K6610" s="8" t="e">
        <f t="shared" si="77"/>
        <v>#VALUE!</v>
      </c>
    </row>
    <row r="6611" spans="11:11" x14ac:dyDescent="0.25">
      <c r="K6611" s="8" t="e">
        <f t="shared" si="77"/>
        <v>#VALUE!</v>
      </c>
    </row>
    <row r="6612" spans="11:11" x14ac:dyDescent="0.25">
      <c r="K6612" s="8" t="e">
        <f t="shared" si="77"/>
        <v>#VALUE!</v>
      </c>
    </row>
    <row r="6613" spans="11:11" x14ac:dyDescent="0.25">
      <c r="K6613" s="8" t="e">
        <f t="shared" si="77"/>
        <v>#VALUE!</v>
      </c>
    </row>
    <row r="6614" spans="11:11" x14ac:dyDescent="0.25">
      <c r="K6614" s="8" t="e">
        <f t="shared" si="77"/>
        <v>#VALUE!</v>
      </c>
    </row>
    <row r="6615" spans="11:11" x14ac:dyDescent="0.25">
      <c r="K6615" s="8" t="e">
        <f t="shared" si="77"/>
        <v>#VALUE!</v>
      </c>
    </row>
    <row r="6616" spans="11:11" x14ac:dyDescent="0.25">
      <c r="K6616" s="8" t="e">
        <f t="shared" si="77"/>
        <v>#VALUE!</v>
      </c>
    </row>
    <row r="6617" spans="11:11" x14ac:dyDescent="0.25">
      <c r="K6617" s="8" t="e">
        <f t="shared" si="77"/>
        <v>#VALUE!</v>
      </c>
    </row>
    <row r="6618" spans="11:11" x14ac:dyDescent="0.25">
      <c r="K6618" s="8" t="e">
        <f t="shared" si="77"/>
        <v>#VALUE!</v>
      </c>
    </row>
    <row r="6619" spans="11:11" x14ac:dyDescent="0.25">
      <c r="K6619" s="8" t="e">
        <f t="shared" si="77"/>
        <v>#VALUE!</v>
      </c>
    </row>
    <row r="6620" spans="11:11" x14ac:dyDescent="0.25">
      <c r="K6620" s="8" t="e">
        <f t="shared" si="77"/>
        <v>#VALUE!</v>
      </c>
    </row>
    <row r="6621" spans="11:11" x14ac:dyDescent="0.25">
      <c r="K6621" s="8" t="e">
        <f t="shared" si="77"/>
        <v>#VALUE!</v>
      </c>
    </row>
    <row r="6622" spans="11:11" x14ac:dyDescent="0.25">
      <c r="K6622" s="8" t="e">
        <f t="shared" si="77"/>
        <v>#VALUE!</v>
      </c>
    </row>
    <row r="6623" spans="11:11" x14ac:dyDescent="0.25">
      <c r="K6623" s="8" t="e">
        <f t="shared" si="77"/>
        <v>#VALUE!</v>
      </c>
    </row>
    <row r="6624" spans="11:11" x14ac:dyDescent="0.25">
      <c r="K6624" s="8" t="e">
        <f t="shared" si="77"/>
        <v>#VALUE!</v>
      </c>
    </row>
    <row r="6625" spans="11:11" x14ac:dyDescent="0.25">
      <c r="K6625" s="8" t="e">
        <f t="shared" si="77"/>
        <v>#VALUE!</v>
      </c>
    </row>
    <row r="6626" spans="11:11" x14ac:dyDescent="0.25">
      <c r="K6626" s="8" t="e">
        <f t="shared" si="77"/>
        <v>#VALUE!</v>
      </c>
    </row>
    <row r="6627" spans="11:11" x14ac:dyDescent="0.25">
      <c r="K6627" s="8" t="e">
        <f t="shared" si="77"/>
        <v>#VALUE!</v>
      </c>
    </row>
    <row r="6628" spans="11:11" x14ac:dyDescent="0.25">
      <c r="K6628" s="8" t="e">
        <f t="shared" si="77"/>
        <v>#VALUE!</v>
      </c>
    </row>
    <row r="6629" spans="11:11" x14ac:dyDescent="0.25">
      <c r="K6629" s="8" t="e">
        <f t="shared" si="77"/>
        <v>#VALUE!</v>
      </c>
    </row>
    <row r="6630" spans="11:11" x14ac:dyDescent="0.25">
      <c r="K6630" s="8" t="e">
        <f t="shared" si="77"/>
        <v>#VALUE!</v>
      </c>
    </row>
    <row r="6631" spans="11:11" x14ac:dyDescent="0.25">
      <c r="K6631" s="8" t="e">
        <f t="shared" si="77"/>
        <v>#VALUE!</v>
      </c>
    </row>
    <row r="6632" spans="11:11" x14ac:dyDescent="0.25">
      <c r="K6632" s="8" t="e">
        <f t="shared" si="77"/>
        <v>#VALUE!</v>
      </c>
    </row>
    <row r="6633" spans="11:11" x14ac:dyDescent="0.25">
      <c r="K6633" s="8" t="e">
        <f t="shared" si="77"/>
        <v>#VALUE!</v>
      </c>
    </row>
    <row r="6634" spans="11:11" x14ac:dyDescent="0.25">
      <c r="K6634" s="8" t="e">
        <f t="shared" si="77"/>
        <v>#VALUE!</v>
      </c>
    </row>
    <row r="6635" spans="11:11" x14ac:dyDescent="0.25">
      <c r="K6635" s="8" t="e">
        <f t="shared" si="77"/>
        <v>#VALUE!</v>
      </c>
    </row>
    <row r="6636" spans="11:11" x14ac:dyDescent="0.25">
      <c r="K6636" s="8" t="e">
        <f t="shared" si="77"/>
        <v>#VALUE!</v>
      </c>
    </row>
    <row r="6637" spans="11:11" x14ac:dyDescent="0.25">
      <c r="K6637" s="8" t="e">
        <f t="shared" si="77"/>
        <v>#VALUE!</v>
      </c>
    </row>
    <row r="6638" spans="11:11" x14ac:dyDescent="0.25">
      <c r="K6638" s="8" t="e">
        <f t="shared" si="77"/>
        <v>#VALUE!</v>
      </c>
    </row>
    <row r="6639" spans="11:11" x14ac:dyDescent="0.25">
      <c r="K6639" s="8" t="e">
        <f t="shared" si="77"/>
        <v>#VALUE!</v>
      </c>
    </row>
    <row r="6640" spans="11:11" x14ac:dyDescent="0.25">
      <c r="K6640" s="8" t="e">
        <f t="shared" si="77"/>
        <v>#VALUE!</v>
      </c>
    </row>
    <row r="6641" spans="11:11" x14ac:dyDescent="0.25">
      <c r="K6641" s="8" t="e">
        <f t="shared" si="77"/>
        <v>#VALUE!</v>
      </c>
    </row>
    <row r="6642" spans="11:11" x14ac:dyDescent="0.25">
      <c r="K6642" s="8" t="e">
        <f t="shared" si="77"/>
        <v>#VALUE!</v>
      </c>
    </row>
    <row r="6643" spans="11:11" x14ac:dyDescent="0.25">
      <c r="K6643" s="8" t="e">
        <f t="shared" si="77"/>
        <v>#VALUE!</v>
      </c>
    </row>
    <row r="6644" spans="11:11" x14ac:dyDescent="0.25">
      <c r="K6644" s="8" t="e">
        <f t="shared" si="77"/>
        <v>#VALUE!</v>
      </c>
    </row>
    <row r="6645" spans="11:11" x14ac:dyDescent="0.25">
      <c r="K6645" s="8" t="e">
        <f t="shared" si="77"/>
        <v>#VALUE!</v>
      </c>
    </row>
    <row r="6646" spans="11:11" x14ac:dyDescent="0.25">
      <c r="K6646" s="8" t="e">
        <f t="shared" si="77"/>
        <v>#VALUE!</v>
      </c>
    </row>
    <row r="6647" spans="11:11" x14ac:dyDescent="0.25">
      <c r="K6647" s="8" t="e">
        <f t="shared" si="77"/>
        <v>#VALUE!</v>
      </c>
    </row>
    <row r="6648" spans="11:11" x14ac:dyDescent="0.25">
      <c r="K6648" s="8" t="e">
        <f t="shared" si="77"/>
        <v>#VALUE!</v>
      </c>
    </row>
    <row r="6649" spans="11:11" x14ac:dyDescent="0.25">
      <c r="K6649" s="8" t="e">
        <f t="shared" si="77"/>
        <v>#VALUE!</v>
      </c>
    </row>
    <row r="6650" spans="11:11" x14ac:dyDescent="0.25">
      <c r="K6650" s="8" t="e">
        <f t="shared" si="77"/>
        <v>#VALUE!</v>
      </c>
    </row>
    <row r="6651" spans="11:11" x14ac:dyDescent="0.25">
      <c r="K6651" s="8" t="e">
        <f t="shared" si="77"/>
        <v>#VALUE!</v>
      </c>
    </row>
    <row r="6652" spans="11:11" x14ac:dyDescent="0.25">
      <c r="K6652" s="8" t="e">
        <f t="shared" si="77"/>
        <v>#VALUE!</v>
      </c>
    </row>
    <row r="6653" spans="11:11" x14ac:dyDescent="0.25">
      <c r="K6653" s="8" t="e">
        <f t="shared" si="77"/>
        <v>#VALUE!</v>
      </c>
    </row>
    <row r="6654" spans="11:11" x14ac:dyDescent="0.25">
      <c r="K6654" s="8" t="e">
        <f t="shared" si="77"/>
        <v>#VALUE!</v>
      </c>
    </row>
    <row r="6655" spans="11:11" x14ac:dyDescent="0.25">
      <c r="K6655" s="8" t="e">
        <f t="shared" si="77"/>
        <v>#VALUE!</v>
      </c>
    </row>
    <row r="6656" spans="11:11" x14ac:dyDescent="0.25">
      <c r="K6656" s="8" t="e">
        <f t="shared" si="77"/>
        <v>#VALUE!</v>
      </c>
    </row>
    <row r="6657" spans="11:11" x14ac:dyDescent="0.25">
      <c r="K6657" s="8" t="e">
        <f t="shared" si="77"/>
        <v>#VALUE!</v>
      </c>
    </row>
    <row r="6658" spans="11:11" x14ac:dyDescent="0.25">
      <c r="K6658" s="8" t="e">
        <f t="shared" si="77"/>
        <v>#VALUE!</v>
      </c>
    </row>
    <row r="6659" spans="11:11" x14ac:dyDescent="0.25">
      <c r="K6659" s="8" t="e">
        <f t="shared" ref="K6659:K6722" si="78">LEFT(A6659,FIND("/",A6659)-1)</f>
        <v>#VALUE!</v>
      </c>
    </row>
    <row r="6660" spans="11:11" x14ac:dyDescent="0.25">
      <c r="K6660" s="8" t="e">
        <f t="shared" si="78"/>
        <v>#VALUE!</v>
      </c>
    </row>
    <row r="6661" spans="11:11" x14ac:dyDescent="0.25">
      <c r="K6661" s="8" t="e">
        <f t="shared" si="78"/>
        <v>#VALUE!</v>
      </c>
    </row>
    <row r="6662" spans="11:11" x14ac:dyDescent="0.25">
      <c r="K6662" s="8" t="e">
        <f t="shared" si="78"/>
        <v>#VALUE!</v>
      </c>
    </row>
    <row r="6663" spans="11:11" x14ac:dyDescent="0.25">
      <c r="K6663" s="8" t="e">
        <f t="shared" si="78"/>
        <v>#VALUE!</v>
      </c>
    </row>
    <row r="6664" spans="11:11" x14ac:dyDescent="0.25">
      <c r="K6664" s="8" t="e">
        <f t="shared" si="78"/>
        <v>#VALUE!</v>
      </c>
    </row>
    <row r="6665" spans="11:11" x14ac:dyDescent="0.25">
      <c r="K6665" s="8" t="e">
        <f t="shared" si="78"/>
        <v>#VALUE!</v>
      </c>
    </row>
    <row r="6666" spans="11:11" x14ac:dyDescent="0.25">
      <c r="K6666" s="8" t="e">
        <f t="shared" si="78"/>
        <v>#VALUE!</v>
      </c>
    </row>
    <row r="6667" spans="11:11" x14ac:dyDescent="0.25">
      <c r="K6667" s="8" t="e">
        <f t="shared" si="78"/>
        <v>#VALUE!</v>
      </c>
    </row>
    <row r="6668" spans="11:11" x14ac:dyDescent="0.25">
      <c r="K6668" s="8" t="e">
        <f t="shared" si="78"/>
        <v>#VALUE!</v>
      </c>
    </row>
    <row r="6669" spans="11:11" x14ac:dyDescent="0.25">
      <c r="K6669" s="8" t="e">
        <f t="shared" si="78"/>
        <v>#VALUE!</v>
      </c>
    </row>
    <row r="6670" spans="11:11" x14ac:dyDescent="0.25">
      <c r="K6670" s="8" t="e">
        <f t="shared" si="78"/>
        <v>#VALUE!</v>
      </c>
    </row>
    <row r="6671" spans="11:11" x14ac:dyDescent="0.25">
      <c r="K6671" s="8" t="e">
        <f t="shared" si="78"/>
        <v>#VALUE!</v>
      </c>
    </row>
    <row r="6672" spans="11:11" x14ac:dyDescent="0.25">
      <c r="K6672" s="8" t="e">
        <f t="shared" si="78"/>
        <v>#VALUE!</v>
      </c>
    </row>
    <row r="6673" spans="11:11" x14ac:dyDescent="0.25">
      <c r="K6673" s="8" t="e">
        <f t="shared" si="78"/>
        <v>#VALUE!</v>
      </c>
    </row>
    <row r="6674" spans="11:11" x14ac:dyDescent="0.25">
      <c r="K6674" s="8" t="e">
        <f t="shared" si="78"/>
        <v>#VALUE!</v>
      </c>
    </row>
    <row r="6675" spans="11:11" x14ac:dyDescent="0.25">
      <c r="K6675" s="8" t="e">
        <f t="shared" si="78"/>
        <v>#VALUE!</v>
      </c>
    </row>
    <row r="6676" spans="11:11" x14ac:dyDescent="0.25">
      <c r="K6676" s="8" t="e">
        <f t="shared" si="78"/>
        <v>#VALUE!</v>
      </c>
    </row>
    <row r="6677" spans="11:11" x14ac:dyDescent="0.25">
      <c r="K6677" s="8" t="e">
        <f t="shared" si="78"/>
        <v>#VALUE!</v>
      </c>
    </row>
    <row r="6678" spans="11:11" x14ac:dyDescent="0.25">
      <c r="K6678" s="8" t="e">
        <f t="shared" si="78"/>
        <v>#VALUE!</v>
      </c>
    </row>
    <row r="6679" spans="11:11" x14ac:dyDescent="0.25">
      <c r="K6679" s="8" t="e">
        <f t="shared" si="78"/>
        <v>#VALUE!</v>
      </c>
    </row>
    <row r="6680" spans="11:11" x14ac:dyDescent="0.25">
      <c r="K6680" s="8" t="e">
        <f t="shared" si="78"/>
        <v>#VALUE!</v>
      </c>
    </row>
    <row r="6681" spans="11:11" x14ac:dyDescent="0.25">
      <c r="K6681" s="8" t="e">
        <f t="shared" si="78"/>
        <v>#VALUE!</v>
      </c>
    </row>
    <row r="6682" spans="11:11" x14ac:dyDescent="0.25">
      <c r="K6682" s="8" t="e">
        <f t="shared" si="78"/>
        <v>#VALUE!</v>
      </c>
    </row>
    <row r="6683" spans="11:11" x14ac:dyDescent="0.25">
      <c r="K6683" s="8" t="e">
        <f t="shared" si="78"/>
        <v>#VALUE!</v>
      </c>
    </row>
    <row r="6684" spans="11:11" x14ac:dyDescent="0.25">
      <c r="K6684" s="8" t="e">
        <f t="shared" si="78"/>
        <v>#VALUE!</v>
      </c>
    </row>
    <row r="6685" spans="11:11" x14ac:dyDescent="0.25">
      <c r="K6685" s="8" t="e">
        <f t="shared" si="78"/>
        <v>#VALUE!</v>
      </c>
    </row>
    <row r="6686" spans="11:11" x14ac:dyDescent="0.25">
      <c r="K6686" s="8" t="e">
        <f t="shared" si="78"/>
        <v>#VALUE!</v>
      </c>
    </row>
    <row r="6687" spans="11:11" x14ac:dyDescent="0.25">
      <c r="K6687" s="8" t="e">
        <f t="shared" si="78"/>
        <v>#VALUE!</v>
      </c>
    </row>
    <row r="6688" spans="11:11" x14ac:dyDescent="0.25">
      <c r="K6688" s="8" t="e">
        <f t="shared" si="78"/>
        <v>#VALUE!</v>
      </c>
    </row>
    <row r="6689" spans="11:11" x14ac:dyDescent="0.25">
      <c r="K6689" s="8" t="e">
        <f t="shared" si="78"/>
        <v>#VALUE!</v>
      </c>
    </row>
    <row r="6690" spans="11:11" x14ac:dyDescent="0.25">
      <c r="K6690" s="8" t="e">
        <f t="shared" si="78"/>
        <v>#VALUE!</v>
      </c>
    </row>
    <row r="6691" spans="11:11" x14ac:dyDescent="0.25">
      <c r="K6691" s="8" t="e">
        <f t="shared" si="78"/>
        <v>#VALUE!</v>
      </c>
    </row>
    <row r="6692" spans="11:11" x14ac:dyDescent="0.25">
      <c r="K6692" s="8" t="e">
        <f t="shared" si="78"/>
        <v>#VALUE!</v>
      </c>
    </row>
    <row r="6693" spans="11:11" x14ac:dyDescent="0.25">
      <c r="K6693" s="8" t="e">
        <f t="shared" si="78"/>
        <v>#VALUE!</v>
      </c>
    </row>
    <row r="6694" spans="11:11" x14ac:dyDescent="0.25">
      <c r="K6694" s="8" t="e">
        <f t="shared" si="78"/>
        <v>#VALUE!</v>
      </c>
    </row>
    <row r="6695" spans="11:11" x14ac:dyDescent="0.25">
      <c r="K6695" s="8" t="e">
        <f t="shared" si="78"/>
        <v>#VALUE!</v>
      </c>
    </row>
    <row r="6696" spans="11:11" x14ac:dyDescent="0.25">
      <c r="K6696" s="8" t="e">
        <f t="shared" si="78"/>
        <v>#VALUE!</v>
      </c>
    </row>
    <row r="6697" spans="11:11" x14ac:dyDescent="0.25">
      <c r="K6697" s="8" t="e">
        <f t="shared" si="78"/>
        <v>#VALUE!</v>
      </c>
    </row>
    <row r="6698" spans="11:11" x14ac:dyDescent="0.25">
      <c r="K6698" s="8" t="e">
        <f t="shared" si="78"/>
        <v>#VALUE!</v>
      </c>
    </row>
    <row r="6699" spans="11:11" x14ac:dyDescent="0.25">
      <c r="K6699" s="8" t="e">
        <f t="shared" si="78"/>
        <v>#VALUE!</v>
      </c>
    </row>
    <row r="6700" spans="11:11" x14ac:dyDescent="0.25">
      <c r="K6700" s="8" t="e">
        <f t="shared" si="78"/>
        <v>#VALUE!</v>
      </c>
    </row>
    <row r="6701" spans="11:11" x14ac:dyDescent="0.25">
      <c r="K6701" s="8" t="e">
        <f t="shared" si="78"/>
        <v>#VALUE!</v>
      </c>
    </row>
    <row r="6702" spans="11:11" x14ac:dyDescent="0.25">
      <c r="K6702" s="8" t="e">
        <f t="shared" si="78"/>
        <v>#VALUE!</v>
      </c>
    </row>
    <row r="6703" spans="11:11" x14ac:dyDescent="0.25">
      <c r="K6703" s="8" t="e">
        <f t="shared" si="78"/>
        <v>#VALUE!</v>
      </c>
    </row>
    <row r="6704" spans="11:11" x14ac:dyDescent="0.25">
      <c r="K6704" s="8" t="e">
        <f t="shared" si="78"/>
        <v>#VALUE!</v>
      </c>
    </row>
    <row r="6705" spans="11:11" x14ac:dyDescent="0.25">
      <c r="K6705" s="8" t="e">
        <f t="shared" si="78"/>
        <v>#VALUE!</v>
      </c>
    </row>
    <row r="6706" spans="11:11" x14ac:dyDescent="0.25">
      <c r="K6706" s="8" t="e">
        <f t="shared" si="78"/>
        <v>#VALUE!</v>
      </c>
    </row>
    <row r="6707" spans="11:11" x14ac:dyDescent="0.25">
      <c r="K6707" s="8" t="e">
        <f t="shared" si="78"/>
        <v>#VALUE!</v>
      </c>
    </row>
    <row r="6708" spans="11:11" x14ac:dyDescent="0.25">
      <c r="K6708" s="8" t="e">
        <f t="shared" si="78"/>
        <v>#VALUE!</v>
      </c>
    </row>
    <row r="6709" spans="11:11" x14ac:dyDescent="0.25">
      <c r="K6709" s="8" t="e">
        <f t="shared" si="78"/>
        <v>#VALUE!</v>
      </c>
    </row>
    <row r="6710" spans="11:11" x14ac:dyDescent="0.25">
      <c r="K6710" s="8" t="e">
        <f t="shared" si="78"/>
        <v>#VALUE!</v>
      </c>
    </row>
    <row r="6711" spans="11:11" x14ac:dyDescent="0.25">
      <c r="K6711" s="8" t="e">
        <f t="shared" si="78"/>
        <v>#VALUE!</v>
      </c>
    </row>
    <row r="6712" spans="11:11" x14ac:dyDescent="0.25">
      <c r="K6712" s="8" t="e">
        <f t="shared" si="78"/>
        <v>#VALUE!</v>
      </c>
    </row>
    <row r="6713" spans="11:11" x14ac:dyDescent="0.25">
      <c r="K6713" s="8" t="e">
        <f t="shared" si="78"/>
        <v>#VALUE!</v>
      </c>
    </row>
    <row r="6714" spans="11:11" x14ac:dyDescent="0.25">
      <c r="K6714" s="8" t="e">
        <f t="shared" si="78"/>
        <v>#VALUE!</v>
      </c>
    </row>
    <row r="6715" spans="11:11" x14ac:dyDescent="0.25">
      <c r="K6715" s="8" t="e">
        <f t="shared" si="78"/>
        <v>#VALUE!</v>
      </c>
    </row>
    <row r="6716" spans="11:11" x14ac:dyDescent="0.25">
      <c r="K6716" s="8" t="e">
        <f t="shared" si="78"/>
        <v>#VALUE!</v>
      </c>
    </row>
    <row r="6717" spans="11:11" x14ac:dyDescent="0.25">
      <c r="K6717" s="8" t="e">
        <f t="shared" si="78"/>
        <v>#VALUE!</v>
      </c>
    </row>
    <row r="6718" spans="11:11" x14ac:dyDescent="0.25">
      <c r="K6718" s="8" t="e">
        <f t="shared" si="78"/>
        <v>#VALUE!</v>
      </c>
    </row>
    <row r="6719" spans="11:11" x14ac:dyDescent="0.25">
      <c r="K6719" s="8" t="e">
        <f t="shared" si="78"/>
        <v>#VALUE!</v>
      </c>
    </row>
    <row r="6720" spans="11:11" x14ac:dyDescent="0.25">
      <c r="K6720" s="8" t="e">
        <f t="shared" si="78"/>
        <v>#VALUE!</v>
      </c>
    </row>
    <row r="6721" spans="11:11" x14ac:dyDescent="0.25">
      <c r="K6721" s="8" t="e">
        <f t="shared" si="78"/>
        <v>#VALUE!</v>
      </c>
    </row>
    <row r="6722" spans="11:11" x14ac:dyDescent="0.25">
      <c r="K6722" s="8" t="e">
        <f t="shared" si="78"/>
        <v>#VALUE!</v>
      </c>
    </row>
    <row r="6723" spans="11:11" x14ac:dyDescent="0.25">
      <c r="K6723" s="8" t="e">
        <f t="shared" ref="K6723:K6786" si="79">LEFT(A6723,FIND("/",A6723)-1)</f>
        <v>#VALUE!</v>
      </c>
    </row>
    <row r="6724" spans="11:11" x14ac:dyDescent="0.25">
      <c r="K6724" s="8" t="e">
        <f t="shared" si="79"/>
        <v>#VALUE!</v>
      </c>
    </row>
    <row r="6725" spans="11:11" x14ac:dyDescent="0.25">
      <c r="K6725" s="8" t="e">
        <f t="shared" si="79"/>
        <v>#VALUE!</v>
      </c>
    </row>
    <row r="6726" spans="11:11" x14ac:dyDescent="0.25">
      <c r="K6726" s="8" t="e">
        <f t="shared" si="79"/>
        <v>#VALUE!</v>
      </c>
    </row>
    <row r="6727" spans="11:11" x14ac:dyDescent="0.25">
      <c r="K6727" s="8" t="e">
        <f t="shared" si="79"/>
        <v>#VALUE!</v>
      </c>
    </row>
    <row r="6728" spans="11:11" x14ac:dyDescent="0.25">
      <c r="K6728" s="8" t="e">
        <f t="shared" si="79"/>
        <v>#VALUE!</v>
      </c>
    </row>
    <row r="6729" spans="11:11" x14ac:dyDescent="0.25">
      <c r="K6729" s="8" t="e">
        <f t="shared" si="79"/>
        <v>#VALUE!</v>
      </c>
    </row>
    <row r="6730" spans="11:11" x14ac:dyDescent="0.25">
      <c r="K6730" s="8" t="e">
        <f t="shared" si="79"/>
        <v>#VALUE!</v>
      </c>
    </row>
    <row r="6731" spans="11:11" x14ac:dyDescent="0.25">
      <c r="K6731" s="8" t="e">
        <f t="shared" si="79"/>
        <v>#VALUE!</v>
      </c>
    </row>
    <row r="6732" spans="11:11" x14ac:dyDescent="0.25">
      <c r="K6732" s="8" t="e">
        <f t="shared" si="79"/>
        <v>#VALUE!</v>
      </c>
    </row>
    <row r="6733" spans="11:11" x14ac:dyDescent="0.25">
      <c r="K6733" s="8" t="e">
        <f t="shared" si="79"/>
        <v>#VALUE!</v>
      </c>
    </row>
    <row r="6734" spans="11:11" x14ac:dyDescent="0.25">
      <c r="K6734" s="8" t="e">
        <f t="shared" si="79"/>
        <v>#VALUE!</v>
      </c>
    </row>
    <row r="6735" spans="11:11" x14ac:dyDescent="0.25">
      <c r="K6735" s="8" t="e">
        <f t="shared" si="79"/>
        <v>#VALUE!</v>
      </c>
    </row>
    <row r="6736" spans="11:11" x14ac:dyDescent="0.25">
      <c r="K6736" s="8" t="e">
        <f t="shared" si="79"/>
        <v>#VALUE!</v>
      </c>
    </row>
    <row r="6737" spans="11:11" x14ac:dyDescent="0.25">
      <c r="K6737" s="8" t="e">
        <f t="shared" si="79"/>
        <v>#VALUE!</v>
      </c>
    </row>
    <row r="6738" spans="11:11" x14ac:dyDescent="0.25">
      <c r="K6738" s="8" t="e">
        <f t="shared" si="79"/>
        <v>#VALUE!</v>
      </c>
    </row>
    <row r="6739" spans="11:11" x14ac:dyDescent="0.25">
      <c r="K6739" s="8" t="e">
        <f t="shared" si="79"/>
        <v>#VALUE!</v>
      </c>
    </row>
    <row r="6740" spans="11:11" x14ac:dyDescent="0.25">
      <c r="K6740" s="8" t="e">
        <f t="shared" si="79"/>
        <v>#VALUE!</v>
      </c>
    </row>
    <row r="6741" spans="11:11" x14ac:dyDescent="0.25">
      <c r="K6741" s="8" t="e">
        <f t="shared" si="79"/>
        <v>#VALUE!</v>
      </c>
    </row>
    <row r="6742" spans="11:11" x14ac:dyDescent="0.25">
      <c r="K6742" s="8" t="e">
        <f t="shared" si="79"/>
        <v>#VALUE!</v>
      </c>
    </row>
    <row r="6743" spans="11:11" x14ac:dyDescent="0.25">
      <c r="K6743" s="8" t="e">
        <f t="shared" si="79"/>
        <v>#VALUE!</v>
      </c>
    </row>
    <row r="6744" spans="11:11" x14ac:dyDescent="0.25">
      <c r="K6744" s="8" t="e">
        <f t="shared" si="79"/>
        <v>#VALUE!</v>
      </c>
    </row>
    <row r="6745" spans="11:11" x14ac:dyDescent="0.25">
      <c r="K6745" s="8" t="e">
        <f t="shared" si="79"/>
        <v>#VALUE!</v>
      </c>
    </row>
    <row r="6746" spans="11:11" x14ac:dyDescent="0.25">
      <c r="K6746" s="8" t="e">
        <f t="shared" si="79"/>
        <v>#VALUE!</v>
      </c>
    </row>
    <row r="6747" spans="11:11" x14ac:dyDescent="0.25">
      <c r="K6747" s="8" t="e">
        <f t="shared" si="79"/>
        <v>#VALUE!</v>
      </c>
    </row>
    <row r="6748" spans="11:11" x14ac:dyDescent="0.25">
      <c r="K6748" s="8" t="e">
        <f t="shared" si="79"/>
        <v>#VALUE!</v>
      </c>
    </row>
    <row r="6749" spans="11:11" x14ac:dyDescent="0.25">
      <c r="K6749" s="8" t="e">
        <f t="shared" si="79"/>
        <v>#VALUE!</v>
      </c>
    </row>
    <row r="6750" spans="11:11" x14ac:dyDescent="0.25">
      <c r="K6750" s="8" t="e">
        <f t="shared" si="79"/>
        <v>#VALUE!</v>
      </c>
    </row>
    <row r="6751" spans="11:11" x14ac:dyDescent="0.25">
      <c r="K6751" s="8" t="e">
        <f t="shared" si="79"/>
        <v>#VALUE!</v>
      </c>
    </row>
    <row r="6752" spans="11:11" x14ac:dyDescent="0.25">
      <c r="K6752" s="8" t="e">
        <f t="shared" si="79"/>
        <v>#VALUE!</v>
      </c>
    </row>
    <row r="6753" spans="11:11" x14ac:dyDescent="0.25">
      <c r="K6753" s="8" t="e">
        <f t="shared" si="79"/>
        <v>#VALUE!</v>
      </c>
    </row>
    <row r="6754" spans="11:11" x14ac:dyDescent="0.25">
      <c r="K6754" s="8" t="e">
        <f t="shared" si="79"/>
        <v>#VALUE!</v>
      </c>
    </row>
    <row r="6755" spans="11:11" x14ac:dyDescent="0.25">
      <c r="K6755" s="8" t="e">
        <f t="shared" si="79"/>
        <v>#VALUE!</v>
      </c>
    </row>
    <row r="6756" spans="11:11" x14ac:dyDescent="0.25">
      <c r="K6756" s="8" t="e">
        <f t="shared" si="79"/>
        <v>#VALUE!</v>
      </c>
    </row>
    <row r="6757" spans="11:11" x14ac:dyDescent="0.25">
      <c r="K6757" s="8" t="e">
        <f t="shared" si="79"/>
        <v>#VALUE!</v>
      </c>
    </row>
    <row r="6758" spans="11:11" x14ac:dyDescent="0.25">
      <c r="K6758" s="8" t="e">
        <f t="shared" si="79"/>
        <v>#VALUE!</v>
      </c>
    </row>
    <row r="6759" spans="11:11" x14ac:dyDescent="0.25">
      <c r="K6759" s="8" t="e">
        <f t="shared" si="79"/>
        <v>#VALUE!</v>
      </c>
    </row>
    <row r="6760" spans="11:11" x14ac:dyDescent="0.25">
      <c r="K6760" s="8" t="e">
        <f t="shared" si="79"/>
        <v>#VALUE!</v>
      </c>
    </row>
    <row r="6761" spans="11:11" x14ac:dyDescent="0.25">
      <c r="K6761" s="8" t="e">
        <f t="shared" si="79"/>
        <v>#VALUE!</v>
      </c>
    </row>
    <row r="6762" spans="11:11" x14ac:dyDescent="0.25">
      <c r="K6762" s="8" t="e">
        <f t="shared" si="79"/>
        <v>#VALUE!</v>
      </c>
    </row>
    <row r="6763" spans="11:11" x14ac:dyDescent="0.25">
      <c r="K6763" s="8" t="e">
        <f t="shared" si="79"/>
        <v>#VALUE!</v>
      </c>
    </row>
    <row r="6764" spans="11:11" x14ac:dyDescent="0.25">
      <c r="K6764" s="8" t="e">
        <f t="shared" si="79"/>
        <v>#VALUE!</v>
      </c>
    </row>
    <row r="6765" spans="11:11" x14ac:dyDescent="0.25">
      <c r="K6765" s="8" t="e">
        <f t="shared" si="79"/>
        <v>#VALUE!</v>
      </c>
    </row>
    <row r="6766" spans="11:11" x14ac:dyDescent="0.25">
      <c r="K6766" s="8" t="e">
        <f t="shared" si="79"/>
        <v>#VALUE!</v>
      </c>
    </row>
    <row r="6767" spans="11:11" x14ac:dyDescent="0.25">
      <c r="K6767" s="8" t="e">
        <f t="shared" si="79"/>
        <v>#VALUE!</v>
      </c>
    </row>
    <row r="6768" spans="11:11" x14ac:dyDescent="0.25">
      <c r="K6768" s="8" t="e">
        <f t="shared" si="79"/>
        <v>#VALUE!</v>
      </c>
    </row>
    <row r="6769" spans="11:11" x14ac:dyDescent="0.25">
      <c r="K6769" s="8" t="e">
        <f t="shared" si="79"/>
        <v>#VALUE!</v>
      </c>
    </row>
    <row r="6770" spans="11:11" x14ac:dyDescent="0.25">
      <c r="K6770" s="8" t="e">
        <f t="shared" si="79"/>
        <v>#VALUE!</v>
      </c>
    </row>
    <row r="6771" spans="11:11" x14ac:dyDescent="0.25">
      <c r="K6771" s="8" t="e">
        <f t="shared" si="79"/>
        <v>#VALUE!</v>
      </c>
    </row>
    <row r="6772" spans="11:11" x14ac:dyDescent="0.25">
      <c r="K6772" s="8" t="e">
        <f t="shared" si="79"/>
        <v>#VALUE!</v>
      </c>
    </row>
    <row r="6773" spans="11:11" x14ac:dyDescent="0.25">
      <c r="K6773" s="8" t="e">
        <f t="shared" si="79"/>
        <v>#VALUE!</v>
      </c>
    </row>
    <row r="6774" spans="11:11" x14ac:dyDescent="0.25">
      <c r="K6774" s="8" t="e">
        <f t="shared" si="79"/>
        <v>#VALUE!</v>
      </c>
    </row>
    <row r="6775" spans="11:11" x14ac:dyDescent="0.25">
      <c r="K6775" s="8" t="e">
        <f t="shared" si="79"/>
        <v>#VALUE!</v>
      </c>
    </row>
    <row r="6776" spans="11:11" x14ac:dyDescent="0.25">
      <c r="K6776" s="8" t="e">
        <f t="shared" si="79"/>
        <v>#VALUE!</v>
      </c>
    </row>
    <row r="6777" spans="11:11" x14ac:dyDescent="0.25">
      <c r="K6777" s="8" t="e">
        <f t="shared" si="79"/>
        <v>#VALUE!</v>
      </c>
    </row>
    <row r="6778" spans="11:11" x14ac:dyDescent="0.25">
      <c r="K6778" s="8" t="e">
        <f t="shared" si="79"/>
        <v>#VALUE!</v>
      </c>
    </row>
    <row r="6779" spans="11:11" x14ac:dyDescent="0.25">
      <c r="K6779" s="8" t="e">
        <f t="shared" si="79"/>
        <v>#VALUE!</v>
      </c>
    </row>
    <row r="6780" spans="11:11" x14ac:dyDescent="0.25">
      <c r="K6780" s="8" t="e">
        <f t="shared" si="79"/>
        <v>#VALUE!</v>
      </c>
    </row>
    <row r="6781" spans="11:11" x14ac:dyDescent="0.25">
      <c r="K6781" s="8" t="e">
        <f t="shared" si="79"/>
        <v>#VALUE!</v>
      </c>
    </row>
    <row r="6782" spans="11:11" x14ac:dyDescent="0.25">
      <c r="K6782" s="8" t="e">
        <f t="shared" si="79"/>
        <v>#VALUE!</v>
      </c>
    </row>
    <row r="6783" spans="11:11" x14ac:dyDescent="0.25">
      <c r="K6783" s="8" t="e">
        <f t="shared" si="79"/>
        <v>#VALUE!</v>
      </c>
    </row>
    <row r="6784" spans="11:11" x14ac:dyDescent="0.25">
      <c r="K6784" s="8" t="e">
        <f t="shared" si="79"/>
        <v>#VALUE!</v>
      </c>
    </row>
    <row r="6785" spans="11:11" x14ac:dyDescent="0.25">
      <c r="K6785" s="8" t="e">
        <f t="shared" si="79"/>
        <v>#VALUE!</v>
      </c>
    </row>
    <row r="6786" spans="11:11" x14ac:dyDescent="0.25">
      <c r="K6786" s="8" t="e">
        <f t="shared" si="79"/>
        <v>#VALUE!</v>
      </c>
    </row>
    <row r="6787" spans="11:11" x14ac:dyDescent="0.25">
      <c r="K6787" s="8" t="e">
        <f t="shared" ref="K6787:K6850" si="80">LEFT(A6787,FIND("/",A6787)-1)</f>
        <v>#VALUE!</v>
      </c>
    </row>
    <row r="6788" spans="11:11" x14ac:dyDescent="0.25">
      <c r="K6788" s="8" t="e">
        <f t="shared" si="80"/>
        <v>#VALUE!</v>
      </c>
    </row>
    <row r="6789" spans="11:11" x14ac:dyDescent="0.25">
      <c r="K6789" s="8" t="e">
        <f t="shared" si="80"/>
        <v>#VALUE!</v>
      </c>
    </row>
    <row r="6790" spans="11:11" x14ac:dyDescent="0.25">
      <c r="K6790" s="8" t="e">
        <f t="shared" si="80"/>
        <v>#VALUE!</v>
      </c>
    </row>
    <row r="6791" spans="11:11" x14ac:dyDescent="0.25">
      <c r="K6791" s="8" t="e">
        <f t="shared" si="80"/>
        <v>#VALUE!</v>
      </c>
    </row>
    <row r="6792" spans="11:11" x14ac:dyDescent="0.25">
      <c r="K6792" s="8" t="e">
        <f t="shared" si="80"/>
        <v>#VALUE!</v>
      </c>
    </row>
    <row r="6793" spans="11:11" x14ac:dyDescent="0.25">
      <c r="K6793" s="8" t="e">
        <f t="shared" si="80"/>
        <v>#VALUE!</v>
      </c>
    </row>
    <row r="6794" spans="11:11" x14ac:dyDescent="0.25">
      <c r="K6794" s="8" t="e">
        <f t="shared" si="80"/>
        <v>#VALUE!</v>
      </c>
    </row>
    <row r="6795" spans="11:11" x14ac:dyDescent="0.25">
      <c r="K6795" s="8" t="e">
        <f t="shared" si="80"/>
        <v>#VALUE!</v>
      </c>
    </row>
    <row r="6796" spans="11:11" x14ac:dyDescent="0.25">
      <c r="K6796" s="8" t="e">
        <f t="shared" si="80"/>
        <v>#VALUE!</v>
      </c>
    </row>
    <row r="6797" spans="11:11" x14ac:dyDescent="0.25">
      <c r="K6797" s="8" t="e">
        <f t="shared" si="80"/>
        <v>#VALUE!</v>
      </c>
    </row>
    <row r="6798" spans="11:11" x14ac:dyDescent="0.25">
      <c r="K6798" s="8" t="e">
        <f t="shared" si="80"/>
        <v>#VALUE!</v>
      </c>
    </row>
    <row r="6799" spans="11:11" x14ac:dyDescent="0.25">
      <c r="K6799" s="8" t="e">
        <f t="shared" si="80"/>
        <v>#VALUE!</v>
      </c>
    </row>
    <row r="6800" spans="11:11" x14ac:dyDescent="0.25">
      <c r="K6800" s="8" t="e">
        <f t="shared" si="80"/>
        <v>#VALUE!</v>
      </c>
    </row>
    <row r="6801" spans="11:11" x14ac:dyDescent="0.25">
      <c r="K6801" s="8" t="e">
        <f t="shared" si="80"/>
        <v>#VALUE!</v>
      </c>
    </row>
    <row r="6802" spans="11:11" x14ac:dyDescent="0.25">
      <c r="K6802" s="8" t="e">
        <f t="shared" si="80"/>
        <v>#VALUE!</v>
      </c>
    </row>
    <row r="6803" spans="11:11" x14ac:dyDescent="0.25">
      <c r="K6803" s="8" t="e">
        <f t="shared" si="80"/>
        <v>#VALUE!</v>
      </c>
    </row>
    <row r="6804" spans="11:11" x14ac:dyDescent="0.25">
      <c r="K6804" s="8" t="e">
        <f t="shared" si="80"/>
        <v>#VALUE!</v>
      </c>
    </row>
    <row r="6805" spans="11:11" x14ac:dyDescent="0.25">
      <c r="K6805" s="8" t="e">
        <f t="shared" si="80"/>
        <v>#VALUE!</v>
      </c>
    </row>
    <row r="6806" spans="11:11" x14ac:dyDescent="0.25">
      <c r="K6806" s="8" t="e">
        <f t="shared" si="80"/>
        <v>#VALUE!</v>
      </c>
    </row>
    <row r="6807" spans="11:11" x14ac:dyDescent="0.25">
      <c r="K6807" s="8" t="e">
        <f t="shared" si="80"/>
        <v>#VALUE!</v>
      </c>
    </row>
    <row r="6808" spans="11:11" x14ac:dyDescent="0.25">
      <c r="K6808" s="8" t="e">
        <f t="shared" si="80"/>
        <v>#VALUE!</v>
      </c>
    </row>
    <row r="6809" spans="11:11" x14ac:dyDescent="0.25">
      <c r="K6809" s="8" t="e">
        <f t="shared" si="80"/>
        <v>#VALUE!</v>
      </c>
    </row>
    <row r="6810" spans="11:11" x14ac:dyDescent="0.25">
      <c r="K6810" s="8" t="e">
        <f t="shared" si="80"/>
        <v>#VALUE!</v>
      </c>
    </row>
    <row r="6811" spans="11:11" x14ac:dyDescent="0.25">
      <c r="K6811" s="8" t="e">
        <f t="shared" si="80"/>
        <v>#VALUE!</v>
      </c>
    </row>
    <row r="6812" spans="11:11" x14ac:dyDescent="0.25">
      <c r="K6812" s="8" t="e">
        <f t="shared" si="80"/>
        <v>#VALUE!</v>
      </c>
    </row>
    <row r="6813" spans="11:11" x14ac:dyDescent="0.25">
      <c r="K6813" s="8" t="e">
        <f t="shared" si="80"/>
        <v>#VALUE!</v>
      </c>
    </row>
    <row r="6814" spans="11:11" x14ac:dyDescent="0.25">
      <c r="K6814" s="8" t="e">
        <f t="shared" si="80"/>
        <v>#VALUE!</v>
      </c>
    </row>
    <row r="6815" spans="11:11" x14ac:dyDescent="0.25">
      <c r="K6815" s="8" t="e">
        <f t="shared" si="80"/>
        <v>#VALUE!</v>
      </c>
    </row>
    <row r="6816" spans="11:11" x14ac:dyDescent="0.25">
      <c r="K6816" s="8" t="e">
        <f t="shared" si="80"/>
        <v>#VALUE!</v>
      </c>
    </row>
    <row r="6817" spans="11:11" x14ac:dyDescent="0.25">
      <c r="K6817" s="8" t="e">
        <f t="shared" si="80"/>
        <v>#VALUE!</v>
      </c>
    </row>
    <row r="6818" spans="11:11" x14ac:dyDescent="0.25">
      <c r="K6818" s="8" t="e">
        <f t="shared" si="80"/>
        <v>#VALUE!</v>
      </c>
    </row>
    <row r="6819" spans="11:11" x14ac:dyDescent="0.25">
      <c r="K6819" s="8" t="e">
        <f t="shared" si="80"/>
        <v>#VALUE!</v>
      </c>
    </row>
    <row r="6820" spans="11:11" x14ac:dyDescent="0.25">
      <c r="K6820" s="8" t="e">
        <f t="shared" si="80"/>
        <v>#VALUE!</v>
      </c>
    </row>
    <row r="6821" spans="11:11" x14ac:dyDescent="0.25">
      <c r="K6821" s="8" t="e">
        <f t="shared" si="80"/>
        <v>#VALUE!</v>
      </c>
    </row>
    <row r="6822" spans="11:11" x14ac:dyDescent="0.25">
      <c r="K6822" s="8" t="e">
        <f t="shared" si="80"/>
        <v>#VALUE!</v>
      </c>
    </row>
    <row r="6823" spans="11:11" x14ac:dyDescent="0.25">
      <c r="K6823" s="8" t="e">
        <f t="shared" si="80"/>
        <v>#VALUE!</v>
      </c>
    </row>
    <row r="6824" spans="11:11" x14ac:dyDescent="0.25">
      <c r="K6824" s="8" t="e">
        <f t="shared" si="80"/>
        <v>#VALUE!</v>
      </c>
    </row>
    <row r="6825" spans="11:11" x14ac:dyDescent="0.25">
      <c r="K6825" s="8" t="e">
        <f t="shared" si="80"/>
        <v>#VALUE!</v>
      </c>
    </row>
    <row r="6826" spans="11:11" x14ac:dyDescent="0.25">
      <c r="K6826" s="8" t="e">
        <f t="shared" si="80"/>
        <v>#VALUE!</v>
      </c>
    </row>
    <row r="6827" spans="11:11" x14ac:dyDescent="0.25">
      <c r="K6827" s="8" t="e">
        <f t="shared" si="80"/>
        <v>#VALUE!</v>
      </c>
    </row>
    <row r="6828" spans="11:11" x14ac:dyDescent="0.25">
      <c r="K6828" s="8" t="e">
        <f t="shared" si="80"/>
        <v>#VALUE!</v>
      </c>
    </row>
    <row r="6829" spans="11:11" x14ac:dyDescent="0.25">
      <c r="K6829" s="8" t="e">
        <f t="shared" si="80"/>
        <v>#VALUE!</v>
      </c>
    </row>
    <row r="6830" spans="11:11" x14ac:dyDescent="0.25">
      <c r="K6830" s="8" t="e">
        <f t="shared" si="80"/>
        <v>#VALUE!</v>
      </c>
    </row>
    <row r="6831" spans="11:11" x14ac:dyDescent="0.25">
      <c r="K6831" s="8" t="e">
        <f t="shared" si="80"/>
        <v>#VALUE!</v>
      </c>
    </row>
    <row r="6832" spans="11:11" x14ac:dyDescent="0.25">
      <c r="K6832" s="8" t="e">
        <f t="shared" si="80"/>
        <v>#VALUE!</v>
      </c>
    </row>
    <row r="6833" spans="11:11" x14ac:dyDescent="0.25">
      <c r="K6833" s="8" t="e">
        <f t="shared" si="80"/>
        <v>#VALUE!</v>
      </c>
    </row>
    <row r="6834" spans="11:11" x14ac:dyDescent="0.25">
      <c r="K6834" s="8" t="e">
        <f t="shared" si="80"/>
        <v>#VALUE!</v>
      </c>
    </row>
    <row r="6835" spans="11:11" x14ac:dyDescent="0.25">
      <c r="K6835" s="8" t="e">
        <f t="shared" si="80"/>
        <v>#VALUE!</v>
      </c>
    </row>
    <row r="6836" spans="11:11" x14ac:dyDescent="0.25">
      <c r="K6836" s="8" t="e">
        <f t="shared" si="80"/>
        <v>#VALUE!</v>
      </c>
    </row>
    <row r="6837" spans="11:11" x14ac:dyDescent="0.25">
      <c r="K6837" s="8" t="e">
        <f t="shared" si="80"/>
        <v>#VALUE!</v>
      </c>
    </row>
    <row r="6838" spans="11:11" x14ac:dyDescent="0.25">
      <c r="K6838" s="8" t="e">
        <f t="shared" si="80"/>
        <v>#VALUE!</v>
      </c>
    </row>
    <row r="6839" spans="11:11" x14ac:dyDescent="0.25">
      <c r="K6839" s="8" t="e">
        <f t="shared" si="80"/>
        <v>#VALUE!</v>
      </c>
    </row>
    <row r="6840" spans="11:11" x14ac:dyDescent="0.25">
      <c r="K6840" s="8" t="e">
        <f t="shared" si="80"/>
        <v>#VALUE!</v>
      </c>
    </row>
    <row r="6841" spans="11:11" x14ac:dyDescent="0.25">
      <c r="K6841" s="8" t="e">
        <f t="shared" si="80"/>
        <v>#VALUE!</v>
      </c>
    </row>
    <row r="6842" spans="11:11" x14ac:dyDescent="0.25">
      <c r="K6842" s="8" t="e">
        <f t="shared" si="80"/>
        <v>#VALUE!</v>
      </c>
    </row>
    <row r="6843" spans="11:11" x14ac:dyDescent="0.25">
      <c r="K6843" s="8" t="e">
        <f t="shared" si="80"/>
        <v>#VALUE!</v>
      </c>
    </row>
    <row r="6844" spans="11:11" x14ac:dyDescent="0.25">
      <c r="K6844" s="8" t="e">
        <f t="shared" si="80"/>
        <v>#VALUE!</v>
      </c>
    </row>
    <row r="6845" spans="11:11" x14ac:dyDescent="0.25">
      <c r="K6845" s="8" t="e">
        <f t="shared" si="80"/>
        <v>#VALUE!</v>
      </c>
    </row>
    <row r="6846" spans="11:11" x14ac:dyDescent="0.25">
      <c r="K6846" s="8" t="e">
        <f t="shared" si="80"/>
        <v>#VALUE!</v>
      </c>
    </row>
    <row r="6847" spans="11:11" x14ac:dyDescent="0.25">
      <c r="K6847" s="8" t="e">
        <f t="shared" si="80"/>
        <v>#VALUE!</v>
      </c>
    </row>
    <row r="6848" spans="11:11" x14ac:dyDescent="0.25">
      <c r="K6848" s="8" t="e">
        <f t="shared" si="80"/>
        <v>#VALUE!</v>
      </c>
    </row>
    <row r="6849" spans="11:11" x14ac:dyDescent="0.25">
      <c r="K6849" s="8" t="e">
        <f t="shared" si="80"/>
        <v>#VALUE!</v>
      </c>
    </row>
    <row r="6850" spans="11:11" x14ac:dyDescent="0.25">
      <c r="K6850" s="8" t="e">
        <f t="shared" si="80"/>
        <v>#VALUE!</v>
      </c>
    </row>
    <row r="6851" spans="11:11" x14ac:dyDescent="0.25">
      <c r="K6851" s="8" t="e">
        <f t="shared" ref="K6851:K6914" si="81">LEFT(A6851,FIND("/",A6851)-1)</f>
        <v>#VALUE!</v>
      </c>
    </row>
    <row r="6852" spans="11:11" x14ac:dyDescent="0.25">
      <c r="K6852" s="8" t="e">
        <f t="shared" si="81"/>
        <v>#VALUE!</v>
      </c>
    </row>
    <row r="6853" spans="11:11" x14ac:dyDescent="0.25">
      <c r="K6853" s="8" t="e">
        <f t="shared" si="81"/>
        <v>#VALUE!</v>
      </c>
    </row>
    <row r="6854" spans="11:11" x14ac:dyDescent="0.25">
      <c r="K6854" s="8" t="e">
        <f t="shared" si="81"/>
        <v>#VALUE!</v>
      </c>
    </row>
    <row r="6855" spans="11:11" x14ac:dyDescent="0.25">
      <c r="K6855" s="8" t="e">
        <f t="shared" si="81"/>
        <v>#VALUE!</v>
      </c>
    </row>
    <row r="6856" spans="11:11" x14ac:dyDescent="0.25">
      <c r="K6856" s="8" t="e">
        <f t="shared" si="81"/>
        <v>#VALUE!</v>
      </c>
    </row>
    <row r="6857" spans="11:11" x14ac:dyDescent="0.25">
      <c r="K6857" s="8" t="e">
        <f t="shared" si="81"/>
        <v>#VALUE!</v>
      </c>
    </row>
    <row r="6858" spans="11:11" x14ac:dyDescent="0.25">
      <c r="K6858" s="8" t="e">
        <f t="shared" si="81"/>
        <v>#VALUE!</v>
      </c>
    </row>
    <row r="6859" spans="11:11" x14ac:dyDescent="0.25">
      <c r="K6859" s="8" t="e">
        <f t="shared" si="81"/>
        <v>#VALUE!</v>
      </c>
    </row>
    <row r="6860" spans="11:11" x14ac:dyDescent="0.25">
      <c r="K6860" s="8" t="e">
        <f t="shared" si="81"/>
        <v>#VALUE!</v>
      </c>
    </row>
    <row r="6861" spans="11:11" x14ac:dyDescent="0.25">
      <c r="K6861" s="8" t="e">
        <f t="shared" si="81"/>
        <v>#VALUE!</v>
      </c>
    </row>
    <row r="6862" spans="11:11" x14ac:dyDescent="0.25">
      <c r="K6862" s="8" t="e">
        <f t="shared" si="81"/>
        <v>#VALUE!</v>
      </c>
    </row>
    <row r="6863" spans="11:11" x14ac:dyDescent="0.25">
      <c r="K6863" s="8" t="e">
        <f t="shared" si="81"/>
        <v>#VALUE!</v>
      </c>
    </row>
    <row r="6864" spans="11:11" x14ac:dyDescent="0.25">
      <c r="K6864" s="8" t="e">
        <f t="shared" si="81"/>
        <v>#VALUE!</v>
      </c>
    </row>
    <row r="6865" spans="11:11" x14ac:dyDescent="0.25">
      <c r="K6865" s="8" t="e">
        <f t="shared" si="81"/>
        <v>#VALUE!</v>
      </c>
    </row>
    <row r="6866" spans="11:11" x14ac:dyDescent="0.25">
      <c r="K6866" s="8" t="e">
        <f t="shared" si="81"/>
        <v>#VALUE!</v>
      </c>
    </row>
    <row r="6867" spans="11:11" x14ac:dyDescent="0.25">
      <c r="K6867" s="8" t="e">
        <f t="shared" si="81"/>
        <v>#VALUE!</v>
      </c>
    </row>
    <row r="6868" spans="11:11" x14ac:dyDescent="0.25">
      <c r="K6868" s="8" t="e">
        <f t="shared" si="81"/>
        <v>#VALUE!</v>
      </c>
    </row>
    <row r="6869" spans="11:11" x14ac:dyDescent="0.25">
      <c r="K6869" s="8" t="e">
        <f t="shared" si="81"/>
        <v>#VALUE!</v>
      </c>
    </row>
    <row r="6870" spans="11:11" x14ac:dyDescent="0.25">
      <c r="K6870" s="8" t="e">
        <f t="shared" si="81"/>
        <v>#VALUE!</v>
      </c>
    </row>
    <row r="6871" spans="11:11" x14ac:dyDescent="0.25">
      <c r="K6871" s="8" t="e">
        <f t="shared" si="81"/>
        <v>#VALUE!</v>
      </c>
    </row>
    <row r="6872" spans="11:11" x14ac:dyDescent="0.25">
      <c r="K6872" s="8" t="e">
        <f t="shared" si="81"/>
        <v>#VALUE!</v>
      </c>
    </row>
    <row r="6873" spans="11:11" x14ac:dyDescent="0.25">
      <c r="K6873" s="8" t="e">
        <f t="shared" si="81"/>
        <v>#VALUE!</v>
      </c>
    </row>
    <row r="6874" spans="11:11" x14ac:dyDescent="0.25">
      <c r="K6874" s="8" t="e">
        <f t="shared" si="81"/>
        <v>#VALUE!</v>
      </c>
    </row>
    <row r="6875" spans="11:11" x14ac:dyDescent="0.25">
      <c r="K6875" s="8" t="e">
        <f t="shared" si="81"/>
        <v>#VALUE!</v>
      </c>
    </row>
    <row r="6876" spans="11:11" x14ac:dyDescent="0.25">
      <c r="K6876" s="8" t="e">
        <f t="shared" si="81"/>
        <v>#VALUE!</v>
      </c>
    </row>
    <row r="6877" spans="11:11" x14ac:dyDescent="0.25">
      <c r="K6877" s="8" t="e">
        <f t="shared" si="81"/>
        <v>#VALUE!</v>
      </c>
    </row>
    <row r="6878" spans="11:11" x14ac:dyDescent="0.25">
      <c r="K6878" s="8" t="e">
        <f t="shared" si="81"/>
        <v>#VALUE!</v>
      </c>
    </row>
    <row r="6879" spans="11:11" x14ac:dyDescent="0.25">
      <c r="K6879" s="8" t="e">
        <f t="shared" si="81"/>
        <v>#VALUE!</v>
      </c>
    </row>
    <row r="6880" spans="11:11" x14ac:dyDescent="0.25">
      <c r="K6880" s="8" t="e">
        <f t="shared" si="81"/>
        <v>#VALUE!</v>
      </c>
    </row>
    <row r="6881" spans="11:11" x14ac:dyDescent="0.25">
      <c r="K6881" s="8" t="e">
        <f t="shared" si="81"/>
        <v>#VALUE!</v>
      </c>
    </row>
    <row r="6882" spans="11:11" x14ac:dyDescent="0.25">
      <c r="K6882" s="8" t="e">
        <f t="shared" si="81"/>
        <v>#VALUE!</v>
      </c>
    </row>
    <row r="6883" spans="11:11" x14ac:dyDescent="0.25">
      <c r="K6883" s="8" t="e">
        <f t="shared" si="81"/>
        <v>#VALUE!</v>
      </c>
    </row>
    <row r="6884" spans="11:11" x14ac:dyDescent="0.25">
      <c r="K6884" s="8" t="e">
        <f t="shared" si="81"/>
        <v>#VALUE!</v>
      </c>
    </row>
    <row r="6885" spans="11:11" x14ac:dyDescent="0.25">
      <c r="K6885" s="8" t="e">
        <f t="shared" si="81"/>
        <v>#VALUE!</v>
      </c>
    </row>
    <row r="6886" spans="11:11" x14ac:dyDescent="0.25">
      <c r="K6886" s="8" t="e">
        <f t="shared" si="81"/>
        <v>#VALUE!</v>
      </c>
    </row>
    <row r="6887" spans="11:11" x14ac:dyDescent="0.25">
      <c r="K6887" s="8" t="e">
        <f t="shared" si="81"/>
        <v>#VALUE!</v>
      </c>
    </row>
    <row r="6888" spans="11:11" x14ac:dyDescent="0.25">
      <c r="K6888" s="8" t="e">
        <f t="shared" si="81"/>
        <v>#VALUE!</v>
      </c>
    </row>
    <row r="6889" spans="11:11" x14ac:dyDescent="0.25">
      <c r="K6889" s="8" t="e">
        <f t="shared" si="81"/>
        <v>#VALUE!</v>
      </c>
    </row>
    <row r="6890" spans="11:11" x14ac:dyDescent="0.25">
      <c r="K6890" s="8" t="e">
        <f t="shared" si="81"/>
        <v>#VALUE!</v>
      </c>
    </row>
    <row r="6891" spans="11:11" x14ac:dyDescent="0.25">
      <c r="K6891" s="8" t="e">
        <f t="shared" si="81"/>
        <v>#VALUE!</v>
      </c>
    </row>
    <row r="6892" spans="11:11" x14ac:dyDescent="0.25">
      <c r="K6892" s="8" t="e">
        <f t="shared" si="81"/>
        <v>#VALUE!</v>
      </c>
    </row>
    <row r="6893" spans="11:11" x14ac:dyDescent="0.25">
      <c r="K6893" s="8" t="e">
        <f t="shared" si="81"/>
        <v>#VALUE!</v>
      </c>
    </row>
    <row r="6894" spans="11:11" x14ac:dyDescent="0.25">
      <c r="K6894" s="8" t="e">
        <f t="shared" si="81"/>
        <v>#VALUE!</v>
      </c>
    </row>
    <row r="6895" spans="11:11" x14ac:dyDescent="0.25">
      <c r="K6895" s="8" t="e">
        <f t="shared" si="81"/>
        <v>#VALUE!</v>
      </c>
    </row>
    <row r="6896" spans="11:11" x14ac:dyDescent="0.25">
      <c r="K6896" s="8" t="e">
        <f t="shared" si="81"/>
        <v>#VALUE!</v>
      </c>
    </row>
    <row r="6897" spans="11:11" x14ac:dyDescent="0.25">
      <c r="K6897" s="8" t="e">
        <f t="shared" si="81"/>
        <v>#VALUE!</v>
      </c>
    </row>
    <row r="6898" spans="11:11" x14ac:dyDescent="0.25">
      <c r="K6898" s="8" t="e">
        <f t="shared" si="81"/>
        <v>#VALUE!</v>
      </c>
    </row>
    <row r="6899" spans="11:11" x14ac:dyDescent="0.25">
      <c r="K6899" s="8" t="e">
        <f t="shared" si="81"/>
        <v>#VALUE!</v>
      </c>
    </row>
    <row r="6900" spans="11:11" x14ac:dyDescent="0.25">
      <c r="K6900" s="8" t="e">
        <f t="shared" si="81"/>
        <v>#VALUE!</v>
      </c>
    </row>
    <row r="6901" spans="11:11" x14ac:dyDescent="0.25">
      <c r="K6901" s="8" t="e">
        <f t="shared" si="81"/>
        <v>#VALUE!</v>
      </c>
    </row>
    <row r="6902" spans="11:11" x14ac:dyDescent="0.25">
      <c r="K6902" s="8" t="e">
        <f t="shared" si="81"/>
        <v>#VALUE!</v>
      </c>
    </row>
    <row r="6903" spans="11:11" x14ac:dyDescent="0.25">
      <c r="K6903" s="8" t="e">
        <f t="shared" si="81"/>
        <v>#VALUE!</v>
      </c>
    </row>
    <row r="6904" spans="11:11" x14ac:dyDescent="0.25">
      <c r="K6904" s="8" t="e">
        <f t="shared" si="81"/>
        <v>#VALUE!</v>
      </c>
    </row>
    <row r="6905" spans="11:11" x14ac:dyDescent="0.25">
      <c r="K6905" s="8" t="e">
        <f t="shared" si="81"/>
        <v>#VALUE!</v>
      </c>
    </row>
    <row r="6906" spans="11:11" x14ac:dyDescent="0.25">
      <c r="K6906" s="8" t="e">
        <f t="shared" si="81"/>
        <v>#VALUE!</v>
      </c>
    </row>
    <row r="6907" spans="11:11" x14ac:dyDescent="0.25">
      <c r="K6907" s="8" t="e">
        <f t="shared" si="81"/>
        <v>#VALUE!</v>
      </c>
    </row>
    <row r="6908" spans="11:11" x14ac:dyDescent="0.25">
      <c r="K6908" s="8" t="e">
        <f t="shared" si="81"/>
        <v>#VALUE!</v>
      </c>
    </row>
    <row r="6909" spans="11:11" x14ac:dyDescent="0.25">
      <c r="K6909" s="8" t="e">
        <f t="shared" si="81"/>
        <v>#VALUE!</v>
      </c>
    </row>
    <row r="6910" spans="11:11" x14ac:dyDescent="0.25">
      <c r="K6910" s="8" t="e">
        <f t="shared" si="81"/>
        <v>#VALUE!</v>
      </c>
    </row>
    <row r="6911" spans="11:11" x14ac:dyDescent="0.25">
      <c r="K6911" s="8" t="e">
        <f t="shared" si="81"/>
        <v>#VALUE!</v>
      </c>
    </row>
    <row r="6912" spans="11:11" x14ac:dyDescent="0.25">
      <c r="K6912" s="8" t="e">
        <f t="shared" si="81"/>
        <v>#VALUE!</v>
      </c>
    </row>
    <row r="6913" spans="11:11" x14ac:dyDescent="0.25">
      <c r="K6913" s="8" t="e">
        <f t="shared" si="81"/>
        <v>#VALUE!</v>
      </c>
    </row>
    <row r="6914" spans="11:11" x14ac:dyDescent="0.25">
      <c r="K6914" s="8" t="e">
        <f t="shared" si="81"/>
        <v>#VALUE!</v>
      </c>
    </row>
    <row r="6915" spans="11:11" x14ac:dyDescent="0.25">
      <c r="K6915" s="8" t="e">
        <f t="shared" ref="K6915:K6978" si="82">LEFT(A6915,FIND("/",A6915)-1)</f>
        <v>#VALUE!</v>
      </c>
    </row>
    <row r="6916" spans="11:11" x14ac:dyDescent="0.25">
      <c r="K6916" s="8" t="e">
        <f t="shared" si="82"/>
        <v>#VALUE!</v>
      </c>
    </row>
    <row r="6917" spans="11:11" x14ac:dyDescent="0.25">
      <c r="K6917" s="8" t="e">
        <f t="shared" si="82"/>
        <v>#VALUE!</v>
      </c>
    </row>
    <row r="6918" spans="11:11" x14ac:dyDescent="0.25">
      <c r="K6918" s="8" t="e">
        <f t="shared" si="82"/>
        <v>#VALUE!</v>
      </c>
    </row>
    <row r="6919" spans="11:11" x14ac:dyDescent="0.25">
      <c r="K6919" s="8" t="e">
        <f t="shared" si="82"/>
        <v>#VALUE!</v>
      </c>
    </row>
    <row r="6920" spans="11:11" x14ac:dyDescent="0.25">
      <c r="K6920" s="8" t="e">
        <f t="shared" si="82"/>
        <v>#VALUE!</v>
      </c>
    </row>
    <row r="6921" spans="11:11" x14ac:dyDescent="0.25">
      <c r="K6921" s="8" t="e">
        <f t="shared" si="82"/>
        <v>#VALUE!</v>
      </c>
    </row>
    <row r="6922" spans="11:11" x14ac:dyDescent="0.25">
      <c r="K6922" s="8" t="e">
        <f t="shared" si="82"/>
        <v>#VALUE!</v>
      </c>
    </row>
    <row r="6923" spans="11:11" x14ac:dyDescent="0.25">
      <c r="K6923" s="8" t="e">
        <f t="shared" si="82"/>
        <v>#VALUE!</v>
      </c>
    </row>
    <row r="6924" spans="11:11" x14ac:dyDescent="0.25">
      <c r="K6924" s="8" t="e">
        <f t="shared" si="82"/>
        <v>#VALUE!</v>
      </c>
    </row>
    <row r="6925" spans="11:11" x14ac:dyDescent="0.25">
      <c r="K6925" s="8" t="e">
        <f t="shared" si="82"/>
        <v>#VALUE!</v>
      </c>
    </row>
    <row r="6926" spans="11:11" x14ac:dyDescent="0.25">
      <c r="K6926" s="8" t="e">
        <f t="shared" si="82"/>
        <v>#VALUE!</v>
      </c>
    </row>
    <row r="6927" spans="11:11" x14ac:dyDescent="0.25">
      <c r="K6927" s="8" t="e">
        <f t="shared" si="82"/>
        <v>#VALUE!</v>
      </c>
    </row>
    <row r="6928" spans="11:11" x14ac:dyDescent="0.25">
      <c r="K6928" s="8" t="e">
        <f t="shared" si="82"/>
        <v>#VALUE!</v>
      </c>
    </row>
    <row r="6929" spans="11:11" x14ac:dyDescent="0.25">
      <c r="K6929" s="8" t="e">
        <f t="shared" si="82"/>
        <v>#VALUE!</v>
      </c>
    </row>
    <row r="6930" spans="11:11" x14ac:dyDescent="0.25">
      <c r="K6930" s="8" t="e">
        <f t="shared" si="82"/>
        <v>#VALUE!</v>
      </c>
    </row>
    <row r="6931" spans="11:11" x14ac:dyDescent="0.25">
      <c r="K6931" s="8" t="e">
        <f t="shared" si="82"/>
        <v>#VALUE!</v>
      </c>
    </row>
    <row r="6932" spans="11:11" x14ac:dyDescent="0.25">
      <c r="K6932" s="8" t="e">
        <f t="shared" si="82"/>
        <v>#VALUE!</v>
      </c>
    </row>
    <row r="6933" spans="11:11" x14ac:dyDescent="0.25">
      <c r="K6933" s="8" t="e">
        <f t="shared" si="82"/>
        <v>#VALUE!</v>
      </c>
    </row>
    <row r="6934" spans="11:11" x14ac:dyDescent="0.25">
      <c r="K6934" s="8" t="e">
        <f t="shared" si="82"/>
        <v>#VALUE!</v>
      </c>
    </row>
    <row r="6935" spans="11:11" x14ac:dyDescent="0.25">
      <c r="K6935" s="8" t="e">
        <f t="shared" si="82"/>
        <v>#VALUE!</v>
      </c>
    </row>
    <row r="6936" spans="11:11" x14ac:dyDescent="0.25">
      <c r="K6936" s="8" t="e">
        <f t="shared" si="82"/>
        <v>#VALUE!</v>
      </c>
    </row>
    <row r="6937" spans="11:11" x14ac:dyDescent="0.25">
      <c r="K6937" s="8" t="e">
        <f t="shared" si="82"/>
        <v>#VALUE!</v>
      </c>
    </row>
    <row r="6938" spans="11:11" x14ac:dyDescent="0.25">
      <c r="K6938" s="8" t="e">
        <f t="shared" si="82"/>
        <v>#VALUE!</v>
      </c>
    </row>
    <row r="6939" spans="11:11" x14ac:dyDescent="0.25">
      <c r="K6939" s="8" t="e">
        <f t="shared" si="82"/>
        <v>#VALUE!</v>
      </c>
    </row>
    <row r="6940" spans="11:11" x14ac:dyDescent="0.25">
      <c r="K6940" s="8" t="e">
        <f t="shared" si="82"/>
        <v>#VALUE!</v>
      </c>
    </row>
    <row r="6941" spans="11:11" x14ac:dyDescent="0.25">
      <c r="K6941" s="8" t="e">
        <f t="shared" si="82"/>
        <v>#VALUE!</v>
      </c>
    </row>
    <row r="6942" spans="11:11" x14ac:dyDescent="0.25">
      <c r="K6942" s="8" t="e">
        <f t="shared" si="82"/>
        <v>#VALUE!</v>
      </c>
    </row>
    <row r="6943" spans="11:11" x14ac:dyDescent="0.25">
      <c r="K6943" s="8" t="e">
        <f t="shared" si="82"/>
        <v>#VALUE!</v>
      </c>
    </row>
    <row r="6944" spans="11:11" x14ac:dyDescent="0.25">
      <c r="K6944" s="8" t="e">
        <f t="shared" si="82"/>
        <v>#VALUE!</v>
      </c>
    </row>
    <row r="6945" spans="11:11" x14ac:dyDescent="0.25">
      <c r="K6945" s="8" t="e">
        <f t="shared" si="82"/>
        <v>#VALUE!</v>
      </c>
    </row>
    <row r="6946" spans="11:11" x14ac:dyDescent="0.25">
      <c r="K6946" s="8" t="e">
        <f t="shared" si="82"/>
        <v>#VALUE!</v>
      </c>
    </row>
    <row r="6947" spans="11:11" x14ac:dyDescent="0.25">
      <c r="K6947" s="8" t="e">
        <f t="shared" si="82"/>
        <v>#VALUE!</v>
      </c>
    </row>
    <row r="6948" spans="11:11" x14ac:dyDescent="0.25">
      <c r="K6948" s="8" t="e">
        <f t="shared" si="82"/>
        <v>#VALUE!</v>
      </c>
    </row>
    <row r="6949" spans="11:11" x14ac:dyDescent="0.25">
      <c r="K6949" s="8" t="e">
        <f t="shared" si="82"/>
        <v>#VALUE!</v>
      </c>
    </row>
    <row r="6950" spans="11:11" x14ac:dyDescent="0.25">
      <c r="K6950" s="8" t="e">
        <f t="shared" si="82"/>
        <v>#VALUE!</v>
      </c>
    </row>
    <row r="6951" spans="11:11" x14ac:dyDescent="0.25">
      <c r="K6951" s="8" t="e">
        <f t="shared" si="82"/>
        <v>#VALUE!</v>
      </c>
    </row>
    <row r="6952" spans="11:11" x14ac:dyDescent="0.25">
      <c r="K6952" s="8" t="e">
        <f t="shared" si="82"/>
        <v>#VALUE!</v>
      </c>
    </row>
    <row r="6953" spans="11:11" x14ac:dyDescent="0.25">
      <c r="K6953" s="8" t="e">
        <f t="shared" si="82"/>
        <v>#VALUE!</v>
      </c>
    </row>
    <row r="6954" spans="11:11" x14ac:dyDescent="0.25">
      <c r="K6954" s="8" t="e">
        <f t="shared" si="82"/>
        <v>#VALUE!</v>
      </c>
    </row>
    <row r="6955" spans="11:11" x14ac:dyDescent="0.25">
      <c r="K6955" s="8" t="e">
        <f t="shared" si="82"/>
        <v>#VALUE!</v>
      </c>
    </row>
    <row r="6956" spans="11:11" x14ac:dyDescent="0.25">
      <c r="K6956" s="8" t="e">
        <f t="shared" si="82"/>
        <v>#VALUE!</v>
      </c>
    </row>
    <row r="6957" spans="11:11" x14ac:dyDescent="0.25">
      <c r="K6957" s="8" t="e">
        <f t="shared" si="82"/>
        <v>#VALUE!</v>
      </c>
    </row>
    <row r="6958" spans="11:11" x14ac:dyDescent="0.25">
      <c r="K6958" s="8" t="e">
        <f t="shared" si="82"/>
        <v>#VALUE!</v>
      </c>
    </row>
    <row r="6959" spans="11:11" x14ac:dyDescent="0.25">
      <c r="K6959" s="8" t="e">
        <f t="shared" si="82"/>
        <v>#VALUE!</v>
      </c>
    </row>
    <row r="6960" spans="11:11" x14ac:dyDescent="0.25">
      <c r="K6960" s="8" t="e">
        <f t="shared" si="82"/>
        <v>#VALUE!</v>
      </c>
    </row>
    <row r="6961" spans="11:11" x14ac:dyDescent="0.25">
      <c r="K6961" s="8" t="e">
        <f t="shared" si="82"/>
        <v>#VALUE!</v>
      </c>
    </row>
    <row r="6962" spans="11:11" x14ac:dyDescent="0.25">
      <c r="K6962" s="8" t="e">
        <f t="shared" si="82"/>
        <v>#VALUE!</v>
      </c>
    </row>
    <row r="6963" spans="11:11" x14ac:dyDescent="0.25">
      <c r="K6963" s="8" t="e">
        <f t="shared" si="82"/>
        <v>#VALUE!</v>
      </c>
    </row>
    <row r="6964" spans="11:11" x14ac:dyDescent="0.25">
      <c r="K6964" s="8" t="e">
        <f t="shared" si="82"/>
        <v>#VALUE!</v>
      </c>
    </row>
    <row r="6965" spans="11:11" x14ac:dyDescent="0.25">
      <c r="K6965" s="8" t="e">
        <f t="shared" si="82"/>
        <v>#VALUE!</v>
      </c>
    </row>
    <row r="6966" spans="11:11" x14ac:dyDescent="0.25">
      <c r="K6966" s="8" t="e">
        <f t="shared" si="82"/>
        <v>#VALUE!</v>
      </c>
    </row>
    <row r="6967" spans="11:11" x14ac:dyDescent="0.25">
      <c r="K6967" s="8" t="e">
        <f t="shared" si="82"/>
        <v>#VALUE!</v>
      </c>
    </row>
    <row r="6968" spans="11:11" x14ac:dyDescent="0.25">
      <c r="K6968" s="8" t="e">
        <f t="shared" si="82"/>
        <v>#VALUE!</v>
      </c>
    </row>
    <row r="6969" spans="11:11" x14ac:dyDescent="0.25">
      <c r="K6969" s="8" t="e">
        <f t="shared" si="82"/>
        <v>#VALUE!</v>
      </c>
    </row>
    <row r="6970" spans="11:11" x14ac:dyDescent="0.25">
      <c r="K6970" s="8" t="e">
        <f t="shared" si="82"/>
        <v>#VALUE!</v>
      </c>
    </row>
    <row r="6971" spans="11:11" x14ac:dyDescent="0.25">
      <c r="K6971" s="8" t="e">
        <f t="shared" si="82"/>
        <v>#VALUE!</v>
      </c>
    </row>
    <row r="6972" spans="11:11" x14ac:dyDescent="0.25">
      <c r="K6972" s="8" t="e">
        <f t="shared" si="82"/>
        <v>#VALUE!</v>
      </c>
    </row>
    <row r="6973" spans="11:11" x14ac:dyDescent="0.25">
      <c r="K6973" s="8" t="e">
        <f t="shared" si="82"/>
        <v>#VALUE!</v>
      </c>
    </row>
    <row r="6974" spans="11:11" x14ac:dyDescent="0.25">
      <c r="K6974" s="8" t="e">
        <f t="shared" si="82"/>
        <v>#VALUE!</v>
      </c>
    </row>
    <row r="6975" spans="11:11" x14ac:dyDescent="0.25">
      <c r="K6975" s="8" t="e">
        <f t="shared" si="82"/>
        <v>#VALUE!</v>
      </c>
    </row>
    <row r="6976" spans="11:11" x14ac:dyDescent="0.25">
      <c r="K6976" s="8" t="e">
        <f t="shared" si="82"/>
        <v>#VALUE!</v>
      </c>
    </row>
    <row r="6977" spans="11:11" x14ac:dyDescent="0.25">
      <c r="K6977" s="8" t="e">
        <f t="shared" si="82"/>
        <v>#VALUE!</v>
      </c>
    </row>
    <row r="6978" spans="11:11" x14ac:dyDescent="0.25">
      <c r="K6978" s="8" t="e">
        <f t="shared" si="82"/>
        <v>#VALUE!</v>
      </c>
    </row>
    <row r="6979" spans="11:11" x14ac:dyDescent="0.25">
      <c r="K6979" s="8" t="e">
        <f t="shared" ref="K6979:K7042" si="83">LEFT(A6979,FIND("/",A6979)-1)</f>
        <v>#VALUE!</v>
      </c>
    </row>
    <row r="6980" spans="11:11" x14ac:dyDescent="0.25">
      <c r="K6980" s="8" t="e">
        <f t="shared" si="83"/>
        <v>#VALUE!</v>
      </c>
    </row>
    <row r="6981" spans="11:11" x14ac:dyDescent="0.25">
      <c r="K6981" s="8" t="e">
        <f t="shared" si="83"/>
        <v>#VALUE!</v>
      </c>
    </row>
    <row r="6982" spans="11:11" x14ac:dyDescent="0.25">
      <c r="K6982" s="8" t="e">
        <f t="shared" si="83"/>
        <v>#VALUE!</v>
      </c>
    </row>
    <row r="6983" spans="11:11" x14ac:dyDescent="0.25">
      <c r="K6983" s="8" t="e">
        <f t="shared" si="83"/>
        <v>#VALUE!</v>
      </c>
    </row>
    <row r="6984" spans="11:11" x14ac:dyDescent="0.25">
      <c r="K6984" s="8" t="e">
        <f t="shared" si="83"/>
        <v>#VALUE!</v>
      </c>
    </row>
    <row r="6985" spans="11:11" x14ac:dyDescent="0.25">
      <c r="K6985" s="8" t="e">
        <f t="shared" si="83"/>
        <v>#VALUE!</v>
      </c>
    </row>
    <row r="6986" spans="11:11" x14ac:dyDescent="0.25">
      <c r="K6986" s="8" t="e">
        <f t="shared" si="83"/>
        <v>#VALUE!</v>
      </c>
    </row>
    <row r="6987" spans="11:11" x14ac:dyDescent="0.25">
      <c r="K6987" s="8" t="e">
        <f t="shared" si="83"/>
        <v>#VALUE!</v>
      </c>
    </row>
    <row r="6988" spans="11:11" x14ac:dyDescent="0.25">
      <c r="K6988" s="8" t="e">
        <f t="shared" si="83"/>
        <v>#VALUE!</v>
      </c>
    </row>
    <row r="6989" spans="11:11" x14ac:dyDescent="0.25">
      <c r="K6989" s="8" t="e">
        <f t="shared" si="83"/>
        <v>#VALUE!</v>
      </c>
    </row>
    <row r="6990" spans="11:11" x14ac:dyDescent="0.25">
      <c r="K6990" s="8" t="e">
        <f t="shared" si="83"/>
        <v>#VALUE!</v>
      </c>
    </row>
    <row r="6991" spans="11:11" x14ac:dyDescent="0.25">
      <c r="K6991" s="8" t="e">
        <f t="shared" si="83"/>
        <v>#VALUE!</v>
      </c>
    </row>
    <row r="6992" spans="11:11" x14ac:dyDescent="0.25">
      <c r="K6992" s="8" t="e">
        <f t="shared" si="83"/>
        <v>#VALUE!</v>
      </c>
    </row>
    <row r="6993" spans="11:11" x14ac:dyDescent="0.25">
      <c r="K6993" s="8" t="e">
        <f t="shared" si="83"/>
        <v>#VALUE!</v>
      </c>
    </row>
    <row r="6994" spans="11:11" x14ac:dyDescent="0.25">
      <c r="K6994" s="8" t="e">
        <f t="shared" si="83"/>
        <v>#VALUE!</v>
      </c>
    </row>
    <row r="6995" spans="11:11" x14ac:dyDescent="0.25">
      <c r="K6995" s="8" t="e">
        <f t="shared" si="83"/>
        <v>#VALUE!</v>
      </c>
    </row>
    <row r="6996" spans="11:11" x14ac:dyDescent="0.25">
      <c r="K6996" s="8" t="e">
        <f t="shared" si="83"/>
        <v>#VALUE!</v>
      </c>
    </row>
    <row r="6997" spans="11:11" x14ac:dyDescent="0.25">
      <c r="K6997" s="8" t="e">
        <f t="shared" si="83"/>
        <v>#VALUE!</v>
      </c>
    </row>
    <row r="6998" spans="11:11" x14ac:dyDescent="0.25">
      <c r="K6998" s="8" t="e">
        <f t="shared" si="83"/>
        <v>#VALUE!</v>
      </c>
    </row>
    <row r="6999" spans="11:11" x14ac:dyDescent="0.25">
      <c r="K6999" s="8" t="e">
        <f t="shared" si="83"/>
        <v>#VALUE!</v>
      </c>
    </row>
    <row r="7000" spans="11:11" x14ac:dyDescent="0.25">
      <c r="K7000" s="8" t="e">
        <f t="shared" si="83"/>
        <v>#VALUE!</v>
      </c>
    </row>
    <row r="7001" spans="11:11" x14ac:dyDescent="0.25">
      <c r="K7001" s="8" t="e">
        <f t="shared" si="83"/>
        <v>#VALUE!</v>
      </c>
    </row>
    <row r="7002" spans="11:11" x14ac:dyDescent="0.25">
      <c r="K7002" s="8" t="e">
        <f t="shared" si="83"/>
        <v>#VALUE!</v>
      </c>
    </row>
    <row r="7003" spans="11:11" x14ac:dyDescent="0.25">
      <c r="K7003" s="8" t="e">
        <f t="shared" si="83"/>
        <v>#VALUE!</v>
      </c>
    </row>
    <row r="7004" spans="11:11" x14ac:dyDescent="0.25">
      <c r="K7004" s="8" t="e">
        <f t="shared" si="83"/>
        <v>#VALUE!</v>
      </c>
    </row>
    <row r="7005" spans="11:11" x14ac:dyDescent="0.25">
      <c r="K7005" s="8" t="e">
        <f t="shared" si="83"/>
        <v>#VALUE!</v>
      </c>
    </row>
    <row r="7006" spans="11:11" x14ac:dyDescent="0.25">
      <c r="K7006" s="8" t="e">
        <f t="shared" si="83"/>
        <v>#VALUE!</v>
      </c>
    </row>
    <row r="7007" spans="11:11" x14ac:dyDescent="0.25">
      <c r="K7007" s="8" t="e">
        <f t="shared" si="83"/>
        <v>#VALUE!</v>
      </c>
    </row>
    <row r="7008" spans="11:11" x14ac:dyDescent="0.25">
      <c r="K7008" s="8" t="e">
        <f t="shared" si="83"/>
        <v>#VALUE!</v>
      </c>
    </row>
    <row r="7009" spans="11:11" x14ac:dyDescent="0.25">
      <c r="K7009" s="8" t="e">
        <f t="shared" si="83"/>
        <v>#VALUE!</v>
      </c>
    </row>
    <row r="7010" spans="11:11" x14ac:dyDescent="0.25">
      <c r="K7010" s="8" t="e">
        <f t="shared" si="83"/>
        <v>#VALUE!</v>
      </c>
    </row>
    <row r="7011" spans="11:11" x14ac:dyDescent="0.25">
      <c r="K7011" s="8" t="e">
        <f t="shared" si="83"/>
        <v>#VALUE!</v>
      </c>
    </row>
    <row r="7012" spans="11:11" x14ac:dyDescent="0.25">
      <c r="K7012" s="8" t="e">
        <f t="shared" si="83"/>
        <v>#VALUE!</v>
      </c>
    </row>
    <row r="7013" spans="11:11" x14ac:dyDescent="0.25">
      <c r="K7013" s="8" t="e">
        <f t="shared" si="83"/>
        <v>#VALUE!</v>
      </c>
    </row>
    <row r="7014" spans="11:11" x14ac:dyDescent="0.25">
      <c r="K7014" s="8" t="e">
        <f t="shared" si="83"/>
        <v>#VALUE!</v>
      </c>
    </row>
    <row r="7015" spans="11:11" x14ac:dyDescent="0.25">
      <c r="K7015" s="8" t="e">
        <f t="shared" si="83"/>
        <v>#VALUE!</v>
      </c>
    </row>
    <row r="7016" spans="11:11" x14ac:dyDescent="0.25">
      <c r="K7016" s="8" t="e">
        <f t="shared" si="83"/>
        <v>#VALUE!</v>
      </c>
    </row>
    <row r="7017" spans="11:11" x14ac:dyDescent="0.25">
      <c r="K7017" s="8" t="e">
        <f t="shared" si="83"/>
        <v>#VALUE!</v>
      </c>
    </row>
    <row r="7018" spans="11:11" x14ac:dyDescent="0.25">
      <c r="K7018" s="8" t="e">
        <f t="shared" si="83"/>
        <v>#VALUE!</v>
      </c>
    </row>
    <row r="7019" spans="11:11" x14ac:dyDescent="0.25">
      <c r="K7019" s="8" t="e">
        <f t="shared" si="83"/>
        <v>#VALUE!</v>
      </c>
    </row>
    <row r="7020" spans="11:11" x14ac:dyDescent="0.25">
      <c r="K7020" s="8" t="e">
        <f t="shared" si="83"/>
        <v>#VALUE!</v>
      </c>
    </row>
    <row r="7021" spans="11:11" x14ac:dyDescent="0.25">
      <c r="K7021" s="8" t="e">
        <f t="shared" si="83"/>
        <v>#VALUE!</v>
      </c>
    </row>
    <row r="7022" spans="11:11" x14ac:dyDescent="0.25">
      <c r="K7022" s="8" t="e">
        <f t="shared" si="83"/>
        <v>#VALUE!</v>
      </c>
    </row>
    <row r="7023" spans="11:11" x14ac:dyDescent="0.25">
      <c r="K7023" s="8" t="e">
        <f t="shared" si="83"/>
        <v>#VALUE!</v>
      </c>
    </row>
    <row r="7024" spans="11:11" x14ac:dyDescent="0.25">
      <c r="K7024" s="8" t="e">
        <f t="shared" si="83"/>
        <v>#VALUE!</v>
      </c>
    </row>
    <row r="7025" spans="11:11" x14ac:dyDescent="0.25">
      <c r="K7025" s="8" t="e">
        <f t="shared" si="83"/>
        <v>#VALUE!</v>
      </c>
    </row>
    <row r="7026" spans="11:11" x14ac:dyDescent="0.25">
      <c r="K7026" s="8" t="e">
        <f t="shared" si="83"/>
        <v>#VALUE!</v>
      </c>
    </row>
    <row r="7027" spans="11:11" x14ac:dyDescent="0.25">
      <c r="K7027" s="8" t="e">
        <f t="shared" si="83"/>
        <v>#VALUE!</v>
      </c>
    </row>
    <row r="7028" spans="11:11" x14ac:dyDescent="0.25">
      <c r="K7028" s="8" t="e">
        <f t="shared" si="83"/>
        <v>#VALUE!</v>
      </c>
    </row>
    <row r="7029" spans="11:11" x14ac:dyDescent="0.25">
      <c r="K7029" s="8" t="e">
        <f t="shared" si="83"/>
        <v>#VALUE!</v>
      </c>
    </row>
    <row r="7030" spans="11:11" x14ac:dyDescent="0.25">
      <c r="K7030" s="8" t="e">
        <f t="shared" si="83"/>
        <v>#VALUE!</v>
      </c>
    </row>
    <row r="7031" spans="11:11" x14ac:dyDescent="0.25">
      <c r="K7031" s="8" t="e">
        <f t="shared" si="83"/>
        <v>#VALUE!</v>
      </c>
    </row>
    <row r="7032" spans="11:11" x14ac:dyDescent="0.25">
      <c r="K7032" s="8" t="e">
        <f t="shared" si="83"/>
        <v>#VALUE!</v>
      </c>
    </row>
    <row r="7033" spans="11:11" x14ac:dyDescent="0.25">
      <c r="K7033" s="8" t="e">
        <f t="shared" si="83"/>
        <v>#VALUE!</v>
      </c>
    </row>
    <row r="7034" spans="11:11" x14ac:dyDescent="0.25">
      <c r="K7034" s="8" t="e">
        <f t="shared" si="83"/>
        <v>#VALUE!</v>
      </c>
    </row>
    <row r="7035" spans="11:11" x14ac:dyDescent="0.25">
      <c r="K7035" s="8" t="e">
        <f t="shared" si="83"/>
        <v>#VALUE!</v>
      </c>
    </row>
    <row r="7036" spans="11:11" x14ac:dyDescent="0.25">
      <c r="K7036" s="8" t="e">
        <f t="shared" si="83"/>
        <v>#VALUE!</v>
      </c>
    </row>
    <row r="7037" spans="11:11" x14ac:dyDescent="0.25">
      <c r="K7037" s="8" t="e">
        <f t="shared" si="83"/>
        <v>#VALUE!</v>
      </c>
    </row>
    <row r="7038" spans="11:11" x14ac:dyDescent="0.25">
      <c r="K7038" s="8" t="e">
        <f t="shared" si="83"/>
        <v>#VALUE!</v>
      </c>
    </row>
    <row r="7039" spans="11:11" x14ac:dyDescent="0.25">
      <c r="K7039" s="8" t="e">
        <f t="shared" si="83"/>
        <v>#VALUE!</v>
      </c>
    </row>
    <row r="7040" spans="11:11" x14ac:dyDescent="0.25">
      <c r="K7040" s="8" t="e">
        <f t="shared" si="83"/>
        <v>#VALUE!</v>
      </c>
    </row>
    <row r="7041" spans="11:11" x14ac:dyDescent="0.25">
      <c r="K7041" s="8" t="e">
        <f t="shared" si="83"/>
        <v>#VALUE!</v>
      </c>
    </row>
    <row r="7042" spans="11:11" x14ac:dyDescent="0.25">
      <c r="K7042" s="8" t="e">
        <f t="shared" si="83"/>
        <v>#VALUE!</v>
      </c>
    </row>
    <row r="7043" spans="11:11" x14ac:dyDescent="0.25">
      <c r="K7043" s="8" t="e">
        <f t="shared" ref="K7043:K7106" si="84">LEFT(A7043,FIND("/",A7043)-1)</f>
        <v>#VALUE!</v>
      </c>
    </row>
    <row r="7044" spans="11:11" x14ac:dyDescent="0.25">
      <c r="K7044" s="8" t="e">
        <f t="shared" si="84"/>
        <v>#VALUE!</v>
      </c>
    </row>
    <row r="7045" spans="11:11" x14ac:dyDescent="0.25">
      <c r="K7045" s="8" t="e">
        <f t="shared" si="84"/>
        <v>#VALUE!</v>
      </c>
    </row>
    <row r="7046" spans="11:11" x14ac:dyDescent="0.25">
      <c r="K7046" s="8" t="e">
        <f t="shared" si="84"/>
        <v>#VALUE!</v>
      </c>
    </row>
    <row r="7047" spans="11:11" x14ac:dyDescent="0.25">
      <c r="K7047" s="8" t="e">
        <f t="shared" si="84"/>
        <v>#VALUE!</v>
      </c>
    </row>
    <row r="7048" spans="11:11" x14ac:dyDescent="0.25">
      <c r="K7048" s="8" t="e">
        <f t="shared" si="84"/>
        <v>#VALUE!</v>
      </c>
    </row>
    <row r="7049" spans="11:11" x14ac:dyDescent="0.25">
      <c r="K7049" s="8" t="e">
        <f t="shared" si="84"/>
        <v>#VALUE!</v>
      </c>
    </row>
    <row r="7050" spans="11:11" x14ac:dyDescent="0.25">
      <c r="K7050" s="8" t="e">
        <f t="shared" si="84"/>
        <v>#VALUE!</v>
      </c>
    </row>
    <row r="7051" spans="11:11" x14ac:dyDescent="0.25">
      <c r="K7051" s="8" t="e">
        <f t="shared" si="84"/>
        <v>#VALUE!</v>
      </c>
    </row>
    <row r="7052" spans="11:11" x14ac:dyDescent="0.25">
      <c r="K7052" s="8" t="e">
        <f t="shared" si="84"/>
        <v>#VALUE!</v>
      </c>
    </row>
    <row r="7053" spans="11:11" x14ac:dyDescent="0.25">
      <c r="K7053" s="8" t="e">
        <f t="shared" si="84"/>
        <v>#VALUE!</v>
      </c>
    </row>
    <row r="7054" spans="11:11" x14ac:dyDescent="0.25">
      <c r="K7054" s="8" t="e">
        <f t="shared" si="84"/>
        <v>#VALUE!</v>
      </c>
    </row>
    <row r="7055" spans="11:11" x14ac:dyDescent="0.25">
      <c r="K7055" s="8" t="e">
        <f t="shared" si="84"/>
        <v>#VALUE!</v>
      </c>
    </row>
    <row r="7056" spans="11:11" x14ac:dyDescent="0.25">
      <c r="K7056" s="8" t="e">
        <f t="shared" si="84"/>
        <v>#VALUE!</v>
      </c>
    </row>
    <row r="7057" spans="11:11" x14ac:dyDescent="0.25">
      <c r="K7057" s="8" t="e">
        <f t="shared" si="84"/>
        <v>#VALUE!</v>
      </c>
    </row>
    <row r="7058" spans="11:11" x14ac:dyDescent="0.25">
      <c r="K7058" s="8" t="e">
        <f t="shared" si="84"/>
        <v>#VALUE!</v>
      </c>
    </row>
    <row r="7059" spans="11:11" x14ac:dyDescent="0.25">
      <c r="K7059" s="8" t="e">
        <f t="shared" si="84"/>
        <v>#VALUE!</v>
      </c>
    </row>
    <row r="7060" spans="11:11" x14ac:dyDescent="0.25">
      <c r="K7060" s="8" t="e">
        <f t="shared" si="84"/>
        <v>#VALUE!</v>
      </c>
    </row>
    <row r="7061" spans="11:11" x14ac:dyDescent="0.25">
      <c r="K7061" s="8" t="e">
        <f t="shared" si="84"/>
        <v>#VALUE!</v>
      </c>
    </row>
    <row r="7062" spans="11:11" x14ac:dyDescent="0.25">
      <c r="K7062" s="8" t="e">
        <f t="shared" si="84"/>
        <v>#VALUE!</v>
      </c>
    </row>
    <row r="7063" spans="11:11" x14ac:dyDescent="0.25">
      <c r="K7063" s="8" t="e">
        <f t="shared" si="84"/>
        <v>#VALUE!</v>
      </c>
    </row>
    <row r="7064" spans="11:11" x14ac:dyDescent="0.25">
      <c r="K7064" s="8" t="e">
        <f t="shared" si="84"/>
        <v>#VALUE!</v>
      </c>
    </row>
    <row r="7065" spans="11:11" x14ac:dyDescent="0.25">
      <c r="K7065" s="8" t="e">
        <f t="shared" si="84"/>
        <v>#VALUE!</v>
      </c>
    </row>
    <row r="7066" spans="11:11" x14ac:dyDescent="0.25">
      <c r="K7066" s="8" t="e">
        <f t="shared" si="84"/>
        <v>#VALUE!</v>
      </c>
    </row>
    <row r="7067" spans="11:11" x14ac:dyDescent="0.25">
      <c r="K7067" s="8" t="e">
        <f t="shared" si="84"/>
        <v>#VALUE!</v>
      </c>
    </row>
    <row r="7068" spans="11:11" x14ac:dyDescent="0.25">
      <c r="K7068" s="8" t="e">
        <f t="shared" si="84"/>
        <v>#VALUE!</v>
      </c>
    </row>
    <row r="7069" spans="11:11" x14ac:dyDescent="0.25">
      <c r="K7069" s="8" t="e">
        <f t="shared" si="84"/>
        <v>#VALUE!</v>
      </c>
    </row>
    <row r="7070" spans="11:11" x14ac:dyDescent="0.25">
      <c r="K7070" s="8" t="e">
        <f t="shared" si="84"/>
        <v>#VALUE!</v>
      </c>
    </row>
    <row r="7071" spans="11:11" x14ac:dyDescent="0.25">
      <c r="K7071" s="8" t="e">
        <f t="shared" si="84"/>
        <v>#VALUE!</v>
      </c>
    </row>
    <row r="7072" spans="11:11" x14ac:dyDescent="0.25">
      <c r="K7072" s="8" t="e">
        <f t="shared" si="84"/>
        <v>#VALUE!</v>
      </c>
    </row>
    <row r="7073" spans="11:11" x14ac:dyDescent="0.25">
      <c r="K7073" s="8" t="e">
        <f t="shared" si="84"/>
        <v>#VALUE!</v>
      </c>
    </row>
    <row r="7074" spans="11:11" x14ac:dyDescent="0.25">
      <c r="K7074" s="8" t="e">
        <f t="shared" si="84"/>
        <v>#VALUE!</v>
      </c>
    </row>
    <row r="7075" spans="11:11" x14ac:dyDescent="0.25">
      <c r="K7075" s="8" t="e">
        <f t="shared" si="84"/>
        <v>#VALUE!</v>
      </c>
    </row>
    <row r="7076" spans="11:11" x14ac:dyDescent="0.25">
      <c r="K7076" s="8" t="e">
        <f t="shared" si="84"/>
        <v>#VALUE!</v>
      </c>
    </row>
    <row r="7077" spans="11:11" x14ac:dyDescent="0.25">
      <c r="K7077" s="8" t="e">
        <f t="shared" si="84"/>
        <v>#VALUE!</v>
      </c>
    </row>
    <row r="7078" spans="11:11" x14ac:dyDescent="0.25">
      <c r="K7078" s="8" t="e">
        <f t="shared" si="84"/>
        <v>#VALUE!</v>
      </c>
    </row>
    <row r="7079" spans="11:11" x14ac:dyDescent="0.25">
      <c r="K7079" s="8" t="e">
        <f t="shared" si="84"/>
        <v>#VALUE!</v>
      </c>
    </row>
    <row r="7080" spans="11:11" x14ac:dyDescent="0.25">
      <c r="K7080" s="8" t="e">
        <f t="shared" si="84"/>
        <v>#VALUE!</v>
      </c>
    </row>
    <row r="7081" spans="11:11" x14ac:dyDescent="0.25">
      <c r="K7081" s="8" t="e">
        <f t="shared" si="84"/>
        <v>#VALUE!</v>
      </c>
    </row>
    <row r="7082" spans="11:11" x14ac:dyDescent="0.25">
      <c r="K7082" s="8" t="e">
        <f t="shared" si="84"/>
        <v>#VALUE!</v>
      </c>
    </row>
    <row r="7083" spans="11:11" x14ac:dyDescent="0.25">
      <c r="K7083" s="8" t="e">
        <f t="shared" si="84"/>
        <v>#VALUE!</v>
      </c>
    </row>
    <row r="7084" spans="11:11" x14ac:dyDescent="0.25">
      <c r="K7084" s="8" t="e">
        <f t="shared" si="84"/>
        <v>#VALUE!</v>
      </c>
    </row>
    <row r="7085" spans="11:11" x14ac:dyDescent="0.25">
      <c r="K7085" s="8" t="e">
        <f t="shared" si="84"/>
        <v>#VALUE!</v>
      </c>
    </row>
    <row r="7086" spans="11:11" x14ac:dyDescent="0.25">
      <c r="K7086" s="8" t="e">
        <f t="shared" si="84"/>
        <v>#VALUE!</v>
      </c>
    </row>
    <row r="7087" spans="11:11" x14ac:dyDescent="0.25">
      <c r="K7087" s="8" t="e">
        <f t="shared" si="84"/>
        <v>#VALUE!</v>
      </c>
    </row>
    <row r="7088" spans="11:11" x14ac:dyDescent="0.25">
      <c r="K7088" s="8" t="e">
        <f t="shared" si="84"/>
        <v>#VALUE!</v>
      </c>
    </row>
    <row r="7089" spans="11:11" x14ac:dyDescent="0.25">
      <c r="K7089" s="8" t="e">
        <f t="shared" si="84"/>
        <v>#VALUE!</v>
      </c>
    </row>
    <row r="7090" spans="11:11" x14ac:dyDescent="0.25">
      <c r="K7090" s="8" t="e">
        <f t="shared" si="84"/>
        <v>#VALUE!</v>
      </c>
    </row>
    <row r="7091" spans="11:11" x14ac:dyDescent="0.25">
      <c r="K7091" s="8" t="e">
        <f t="shared" si="84"/>
        <v>#VALUE!</v>
      </c>
    </row>
    <row r="7092" spans="11:11" x14ac:dyDescent="0.25">
      <c r="K7092" s="8" t="e">
        <f t="shared" si="84"/>
        <v>#VALUE!</v>
      </c>
    </row>
    <row r="7093" spans="11:11" x14ac:dyDescent="0.25">
      <c r="K7093" s="8" t="e">
        <f t="shared" si="84"/>
        <v>#VALUE!</v>
      </c>
    </row>
    <row r="7094" spans="11:11" x14ac:dyDescent="0.25">
      <c r="K7094" s="8" t="e">
        <f t="shared" si="84"/>
        <v>#VALUE!</v>
      </c>
    </row>
    <row r="7095" spans="11:11" x14ac:dyDescent="0.25">
      <c r="K7095" s="8" t="e">
        <f t="shared" si="84"/>
        <v>#VALUE!</v>
      </c>
    </row>
    <row r="7096" spans="11:11" x14ac:dyDescent="0.25">
      <c r="K7096" s="8" t="e">
        <f t="shared" si="84"/>
        <v>#VALUE!</v>
      </c>
    </row>
    <row r="7097" spans="11:11" x14ac:dyDescent="0.25">
      <c r="K7097" s="8" t="e">
        <f t="shared" si="84"/>
        <v>#VALUE!</v>
      </c>
    </row>
    <row r="7098" spans="11:11" x14ac:dyDescent="0.25">
      <c r="K7098" s="8" t="e">
        <f t="shared" si="84"/>
        <v>#VALUE!</v>
      </c>
    </row>
    <row r="7099" spans="11:11" x14ac:dyDescent="0.25">
      <c r="K7099" s="8" t="e">
        <f t="shared" si="84"/>
        <v>#VALUE!</v>
      </c>
    </row>
    <row r="7100" spans="11:11" x14ac:dyDescent="0.25">
      <c r="K7100" s="8" t="e">
        <f t="shared" si="84"/>
        <v>#VALUE!</v>
      </c>
    </row>
    <row r="7101" spans="11:11" x14ac:dyDescent="0.25">
      <c r="K7101" s="8" t="e">
        <f t="shared" si="84"/>
        <v>#VALUE!</v>
      </c>
    </row>
    <row r="7102" spans="11:11" x14ac:dyDescent="0.25">
      <c r="K7102" s="8" t="e">
        <f t="shared" si="84"/>
        <v>#VALUE!</v>
      </c>
    </row>
    <row r="7103" spans="11:11" x14ac:dyDescent="0.25">
      <c r="K7103" s="8" t="e">
        <f t="shared" si="84"/>
        <v>#VALUE!</v>
      </c>
    </row>
    <row r="7104" spans="11:11" x14ac:dyDescent="0.25">
      <c r="K7104" s="8" t="e">
        <f t="shared" si="84"/>
        <v>#VALUE!</v>
      </c>
    </row>
    <row r="7105" spans="11:11" x14ac:dyDescent="0.25">
      <c r="K7105" s="8" t="e">
        <f t="shared" si="84"/>
        <v>#VALUE!</v>
      </c>
    </row>
    <row r="7106" spans="11:11" x14ac:dyDescent="0.25">
      <c r="K7106" s="8" t="e">
        <f t="shared" si="84"/>
        <v>#VALUE!</v>
      </c>
    </row>
    <row r="7107" spans="11:11" x14ac:dyDescent="0.25">
      <c r="K7107" s="8" t="e">
        <f t="shared" ref="K7107:K7170" si="85">LEFT(A7107,FIND("/",A7107)-1)</f>
        <v>#VALUE!</v>
      </c>
    </row>
    <row r="7108" spans="11:11" x14ac:dyDescent="0.25">
      <c r="K7108" s="8" t="e">
        <f t="shared" si="85"/>
        <v>#VALUE!</v>
      </c>
    </row>
    <row r="7109" spans="11:11" x14ac:dyDescent="0.25">
      <c r="K7109" s="8" t="e">
        <f t="shared" si="85"/>
        <v>#VALUE!</v>
      </c>
    </row>
    <row r="7110" spans="11:11" x14ac:dyDescent="0.25">
      <c r="K7110" s="8" t="e">
        <f t="shared" si="85"/>
        <v>#VALUE!</v>
      </c>
    </row>
    <row r="7111" spans="11:11" x14ac:dyDescent="0.25">
      <c r="K7111" s="8" t="e">
        <f t="shared" si="85"/>
        <v>#VALUE!</v>
      </c>
    </row>
    <row r="7112" spans="11:11" x14ac:dyDescent="0.25">
      <c r="K7112" s="8" t="e">
        <f t="shared" si="85"/>
        <v>#VALUE!</v>
      </c>
    </row>
    <row r="7113" spans="11:11" x14ac:dyDescent="0.25">
      <c r="K7113" s="8" t="e">
        <f t="shared" si="85"/>
        <v>#VALUE!</v>
      </c>
    </row>
    <row r="7114" spans="11:11" x14ac:dyDescent="0.25">
      <c r="K7114" s="8" t="e">
        <f t="shared" si="85"/>
        <v>#VALUE!</v>
      </c>
    </row>
    <row r="7115" spans="11:11" x14ac:dyDescent="0.25">
      <c r="K7115" s="8" t="e">
        <f t="shared" si="85"/>
        <v>#VALUE!</v>
      </c>
    </row>
    <row r="7116" spans="11:11" x14ac:dyDescent="0.25">
      <c r="K7116" s="8" t="e">
        <f t="shared" si="85"/>
        <v>#VALUE!</v>
      </c>
    </row>
    <row r="7117" spans="11:11" x14ac:dyDescent="0.25">
      <c r="K7117" s="8" t="e">
        <f t="shared" si="85"/>
        <v>#VALUE!</v>
      </c>
    </row>
    <row r="7118" spans="11:11" x14ac:dyDescent="0.25">
      <c r="K7118" s="8" t="e">
        <f t="shared" si="85"/>
        <v>#VALUE!</v>
      </c>
    </row>
    <row r="7119" spans="11:11" x14ac:dyDescent="0.25">
      <c r="K7119" s="8" t="e">
        <f t="shared" si="85"/>
        <v>#VALUE!</v>
      </c>
    </row>
    <row r="7120" spans="11:11" x14ac:dyDescent="0.25">
      <c r="K7120" s="8" t="e">
        <f t="shared" si="85"/>
        <v>#VALUE!</v>
      </c>
    </row>
    <row r="7121" spans="11:11" x14ac:dyDescent="0.25">
      <c r="K7121" s="8" t="e">
        <f t="shared" si="85"/>
        <v>#VALUE!</v>
      </c>
    </row>
    <row r="7122" spans="11:11" x14ac:dyDescent="0.25">
      <c r="K7122" s="8" t="e">
        <f t="shared" si="85"/>
        <v>#VALUE!</v>
      </c>
    </row>
    <row r="7123" spans="11:11" x14ac:dyDescent="0.25">
      <c r="K7123" s="8" t="e">
        <f t="shared" si="85"/>
        <v>#VALUE!</v>
      </c>
    </row>
    <row r="7124" spans="11:11" x14ac:dyDescent="0.25">
      <c r="K7124" s="8" t="e">
        <f t="shared" si="85"/>
        <v>#VALUE!</v>
      </c>
    </row>
    <row r="7125" spans="11:11" x14ac:dyDescent="0.25">
      <c r="K7125" s="8" t="e">
        <f t="shared" si="85"/>
        <v>#VALUE!</v>
      </c>
    </row>
    <row r="7126" spans="11:11" x14ac:dyDescent="0.25">
      <c r="K7126" s="8" t="e">
        <f t="shared" si="85"/>
        <v>#VALUE!</v>
      </c>
    </row>
    <row r="7127" spans="11:11" x14ac:dyDescent="0.25">
      <c r="K7127" s="8" t="e">
        <f t="shared" si="85"/>
        <v>#VALUE!</v>
      </c>
    </row>
    <row r="7128" spans="11:11" x14ac:dyDescent="0.25">
      <c r="K7128" s="8" t="e">
        <f t="shared" si="85"/>
        <v>#VALUE!</v>
      </c>
    </row>
    <row r="7129" spans="11:11" x14ac:dyDescent="0.25">
      <c r="K7129" s="8" t="e">
        <f t="shared" si="85"/>
        <v>#VALUE!</v>
      </c>
    </row>
    <row r="7130" spans="11:11" x14ac:dyDescent="0.25">
      <c r="K7130" s="8" t="e">
        <f t="shared" si="85"/>
        <v>#VALUE!</v>
      </c>
    </row>
    <row r="7131" spans="11:11" x14ac:dyDescent="0.25">
      <c r="K7131" s="8" t="e">
        <f t="shared" si="85"/>
        <v>#VALUE!</v>
      </c>
    </row>
    <row r="7132" spans="11:11" x14ac:dyDescent="0.25">
      <c r="K7132" s="8" t="e">
        <f t="shared" si="85"/>
        <v>#VALUE!</v>
      </c>
    </row>
    <row r="7133" spans="11:11" x14ac:dyDescent="0.25">
      <c r="K7133" s="8" t="e">
        <f t="shared" si="85"/>
        <v>#VALUE!</v>
      </c>
    </row>
    <row r="7134" spans="11:11" x14ac:dyDescent="0.25">
      <c r="K7134" s="8" t="e">
        <f t="shared" si="85"/>
        <v>#VALUE!</v>
      </c>
    </row>
    <row r="7135" spans="11:11" x14ac:dyDescent="0.25">
      <c r="K7135" s="8" t="e">
        <f t="shared" si="85"/>
        <v>#VALUE!</v>
      </c>
    </row>
    <row r="7136" spans="11:11" x14ac:dyDescent="0.25">
      <c r="K7136" s="8" t="e">
        <f t="shared" si="85"/>
        <v>#VALUE!</v>
      </c>
    </row>
    <row r="7137" spans="11:11" x14ac:dyDescent="0.25">
      <c r="K7137" s="8" t="e">
        <f t="shared" si="85"/>
        <v>#VALUE!</v>
      </c>
    </row>
    <row r="7138" spans="11:11" x14ac:dyDescent="0.25">
      <c r="K7138" s="8" t="e">
        <f t="shared" si="85"/>
        <v>#VALUE!</v>
      </c>
    </row>
    <row r="7139" spans="11:11" x14ac:dyDescent="0.25">
      <c r="K7139" s="8" t="e">
        <f t="shared" si="85"/>
        <v>#VALUE!</v>
      </c>
    </row>
    <row r="7140" spans="11:11" x14ac:dyDescent="0.25">
      <c r="K7140" s="8" t="e">
        <f t="shared" si="85"/>
        <v>#VALUE!</v>
      </c>
    </row>
    <row r="7141" spans="11:11" x14ac:dyDescent="0.25">
      <c r="K7141" s="8" t="e">
        <f t="shared" si="85"/>
        <v>#VALUE!</v>
      </c>
    </row>
    <row r="7142" spans="11:11" x14ac:dyDescent="0.25">
      <c r="K7142" s="8" t="e">
        <f t="shared" si="85"/>
        <v>#VALUE!</v>
      </c>
    </row>
    <row r="7143" spans="11:11" x14ac:dyDescent="0.25">
      <c r="K7143" s="8" t="e">
        <f t="shared" si="85"/>
        <v>#VALUE!</v>
      </c>
    </row>
    <row r="7144" spans="11:11" x14ac:dyDescent="0.25">
      <c r="K7144" s="8" t="e">
        <f t="shared" si="85"/>
        <v>#VALUE!</v>
      </c>
    </row>
    <row r="7145" spans="11:11" x14ac:dyDescent="0.25">
      <c r="K7145" s="8" t="e">
        <f t="shared" si="85"/>
        <v>#VALUE!</v>
      </c>
    </row>
    <row r="7146" spans="11:11" x14ac:dyDescent="0.25">
      <c r="K7146" s="8" t="e">
        <f t="shared" si="85"/>
        <v>#VALUE!</v>
      </c>
    </row>
    <row r="7147" spans="11:11" x14ac:dyDescent="0.25">
      <c r="K7147" s="8" t="e">
        <f t="shared" si="85"/>
        <v>#VALUE!</v>
      </c>
    </row>
    <row r="7148" spans="11:11" x14ac:dyDescent="0.25">
      <c r="K7148" s="8" t="e">
        <f t="shared" si="85"/>
        <v>#VALUE!</v>
      </c>
    </row>
    <row r="7149" spans="11:11" x14ac:dyDescent="0.25">
      <c r="K7149" s="8" t="e">
        <f t="shared" si="85"/>
        <v>#VALUE!</v>
      </c>
    </row>
    <row r="7150" spans="11:11" x14ac:dyDescent="0.25">
      <c r="K7150" s="8" t="e">
        <f t="shared" si="85"/>
        <v>#VALUE!</v>
      </c>
    </row>
    <row r="7151" spans="11:11" x14ac:dyDescent="0.25">
      <c r="K7151" s="8" t="e">
        <f t="shared" si="85"/>
        <v>#VALUE!</v>
      </c>
    </row>
    <row r="7152" spans="11:11" x14ac:dyDescent="0.25">
      <c r="K7152" s="8" t="e">
        <f t="shared" si="85"/>
        <v>#VALUE!</v>
      </c>
    </row>
    <row r="7153" spans="11:11" x14ac:dyDescent="0.25">
      <c r="K7153" s="8" t="e">
        <f t="shared" si="85"/>
        <v>#VALUE!</v>
      </c>
    </row>
    <row r="7154" spans="11:11" x14ac:dyDescent="0.25">
      <c r="K7154" s="8" t="e">
        <f t="shared" si="85"/>
        <v>#VALUE!</v>
      </c>
    </row>
    <row r="7155" spans="11:11" x14ac:dyDescent="0.25">
      <c r="K7155" s="8" t="e">
        <f t="shared" si="85"/>
        <v>#VALUE!</v>
      </c>
    </row>
    <row r="7156" spans="11:11" x14ac:dyDescent="0.25">
      <c r="K7156" s="8" t="e">
        <f t="shared" si="85"/>
        <v>#VALUE!</v>
      </c>
    </row>
    <row r="7157" spans="11:11" x14ac:dyDescent="0.25">
      <c r="K7157" s="8" t="e">
        <f t="shared" si="85"/>
        <v>#VALUE!</v>
      </c>
    </row>
    <row r="7158" spans="11:11" x14ac:dyDescent="0.25">
      <c r="K7158" s="8" t="e">
        <f t="shared" si="85"/>
        <v>#VALUE!</v>
      </c>
    </row>
    <row r="7159" spans="11:11" x14ac:dyDescent="0.25">
      <c r="K7159" s="8" t="e">
        <f t="shared" si="85"/>
        <v>#VALUE!</v>
      </c>
    </row>
    <row r="7160" spans="11:11" x14ac:dyDescent="0.25">
      <c r="K7160" s="8" t="e">
        <f t="shared" si="85"/>
        <v>#VALUE!</v>
      </c>
    </row>
    <row r="7161" spans="11:11" x14ac:dyDescent="0.25">
      <c r="K7161" s="8" t="e">
        <f t="shared" si="85"/>
        <v>#VALUE!</v>
      </c>
    </row>
    <row r="7162" spans="11:11" x14ac:dyDescent="0.25">
      <c r="K7162" s="8" t="e">
        <f t="shared" si="85"/>
        <v>#VALUE!</v>
      </c>
    </row>
    <row r="7163" spans="11:11" x14ac:dyDescent="0.25">
      <c r="K7163" s="8" t="e">
        <f t="shared" si="85"/>
        <v>#VALUE!</v>
      </c>
    </row>
    <row r="7164" spans="11:11" x14ac:dyDescent="0.25">
      <c r="K7164" s="8" t="e">
        <f t="shared" si="85"/>
        <v>#VALUE!</v>
      </c>
    </row>
    <row r="7165" spans="11:11" x14ac:dyDescent="0.25">
      <c r="K7165" s="8" t="e">
        <f t="shared" si="85"/>
        <v>#VALUE!</v>
      </c>
    </row>
    <row r="7166" spans="11:11" x14ac:dyDescent="0.25">
      <c r="K7166" s="8" t="e">
        <f t="shared" si="85"/>
        <v>#VALUE!</v>
      </c>
    </row>
    <row r="7167" spans="11:11" x14ac:dyDescent="0.25">
      <c r="K7167" s="8" t="e">
        <f t="shared" si="85"/>
        <v>#VALUE!</v>
      </c>
    </row>
    <row r="7168" spans="11:11" x14ac:dyDescent="0.25">
      <c r="K7168" s="8" t="e">
        <f t="shared" si="85"/>
        <v>#VALUE!</v>
      </c>
    </row>
    <row r="7169" spans="11:11" x14ac:dyDescent="0.25">
      <c r="K7169" s="8" t="e">
        <f t="shared" si="85"/>
        <v>#VALUE!</v>
      </c>
    </row>
    <row r="7170" spans="11:11" x14ac:dyDescent="0.25">
      <c r="K7170" s="8" t="e">
        <f t="shared" si="85"/>
        <v>#VALUE!</v>
      </c>
    </row>
    <row r="7171" spans="11:11" x14ac:dyDescent="0.25">
      <c r="K7171" s="8" t="e">
        <f t="shared" ref="K7171:K7234" si="86">LEFT(A7171,FIND("/",A7171)-1)</f>
        <v>#VALUE!</v>
      </c>
    </row>
    <row r="7172" spans="11:11" x14ac:dyDescent="0.25">
      <c r="K7172" s="8" t="e">
        <f t="shared" si="86"/>
        <v>#VALUE!</v>
      </c>
    </row>
    <row r="7173" spans="11:11" x14ac:dyDescent="0.25">
      <c r="K7173" s="8" t="e">
        <f t="shared" si="86"/>
        <v>#VALUE!</v>
      </c>
    </row>
    <row r="7174" spans="11:11" x14ac:dyDescent="0.25">
      <c r="K7174" s="8" t="e">
        <f t="shared" si="86"/>
        <v>#VALUE!</v>
      </c>
    </row>
    <row r="7175" spans="11:11" x14ac:dyDescent="0.25">
      <c r="K7175" s="8" t="e">
        <f t="shared" si="86"/>
        <v>#VALUE!</v>
      </c>
    </row>
    <row r="7176" spans="11:11" x14ac:dyDescent="0.25">
      <c r="K7176" s="8" t="e">
        <f t="shared" si="86"/>
        <v>#VALUE!</v>
      </c>
    </row>
    <row r="7177" spans="11:11" x14ac:dyDescent="0.25">
      <c r="K7177" s="8" t="e">
        <f t="shared" si="86"/>
        <v>#VALUE!</v>
      </c>
    </row>
    <row r="7178" spans="11:11" x14ac:dyDescent="0.25">
      <c r="K7178" s="8" t="e">
        <f t="shared" si="86"/>
        <v>#VALUE!</v>
      </c>
    </row>
    <row r="7179" spans="11:11" x14ac:dyDescent="0.25">
      <c r="K7179" s="8" t="e">
        <f t="shared" si="86"/>
        <v>#VALUE!</v>
      </c>
    </row>
    <row r="7180" spans="11:11" x14ac:dyDescent="0.25">
      <c r="K7180" s="8" t="e">
        <f t="shared" si="86"/>
        <v>#VALUE!</v>
      </c>
    </row>
    <row r="7181" spans="11:11" x14ac:dyDescent="0.25">
      <c r="K7181" s="8" t="e">
        <f t="shared" si="86"/>
        <v>#VALUE!</v>
      </c>
    </row>
    <row r="7182" spans="11:11" x14ac:dyDescent="0.25">
      <c r="K7182" s="8" t="e">
        <f t="shared" si="86"/>
        <v>#VALUE!</v>
      </c>
    </row>
    <row r="7183" spans="11:11" x14ac:dyDescent="0.25">
      <c r="K7183" s="8" t="e">
        <f t="shared" si="86"/>
        <v>#VALUE!</v>
      </c>
    </row>
    <row r="7184" spans="11:11" x14ac:dyDescent="0.25">
      <c r="K7184" s="8" t="e">
        <f t="shared" si="86"/>
        <v>#VALUE!</v>
      </c>
    </row>
    <row r="7185" spans="11:11" x14ac:dyDescent="0.25">
      <c r="K7185" s="8" t="e">
        <f t="shared" si="86"/>
        <v>#VALUE!</v>
      </c>
    </row>
    <row r="7186" spans="11:11" x14ac:dyDescent="0.25">
      <c r="K7186" s="8" t="e">
        <f t="shared" si="86"/>
        <v>#VALUE!</v>
      </c>
    </row>
    <row r="7187" spans="11:11" x14ac:dyDescent="0.25">
      <c r="K7187" s="8" t="e">
        <f t="shared" si="86"/>
        <v>#VALUE!</v>
      </c>
    </row>
    <row r="7188" spans="11:11" x14ac:dyDescent="0.25">
      <c r="K7188" s="8" t="e">
        <f t="shared" si="86"/>
        <v>#VALUE!</v>
      </c>
    </row>
    <row r="7189" spans="11:11" x14ac:dyDescent="0.25">
      <c r="K7189" s="8" t="e">
        <f t="shared" si="86"/>
        <v>#VALUE!</v>
      </c>
    </row>
    <row r="7190" spans="11:11" x14ac:dyDescent="0.25">
      <c r="K7190" s="8" t="e">
        <f t="shared" si="86"/>
        <v>#VALUE!</v>
      </c>
    </row>
    <row r="7191" spans="11:11" x14ac:dyDescent="0.25">
      <c r="K7191" s="8" t="e">
        <f t="shared" si="86"/>
        <v>#VALUE!</v>
      </c>
    </row>
    <row r="7192" spans="11:11" x14ac:dyDescent="0.25">
      <c r="K7192" s="8" t="e">
        <f t="shared" si="86"/>
        <v>#VALUE!</v>
      </c>
    </row>
    <row r="7193" spans="11:11" x14ac:dyDescent="0.25">
      <c r="K7193" s="8" t="e">
        <f t="shared" si="86"/>
        <v>#VALUE!</v>
      </c>
    </row>
    <row r="7194" spans="11:11" x14ac:dyDescent="0.25">
      <c r="K7194" s="8" t="e">
        <f t="shared" si="86"/>
        <v>#VALUE!</v>
      </c>
    </row>
    <row r="7195" spans="11:11" x14ac:dyDescent="0.25">
      <c r="K7195" s="8" t="e">
        <f t="shared" si="86"/>
        <v>#VALUE!</v>
      </c>
    </row>
    <row r="7196" spans="11:11" x14ac:dyDescent="0.25">
      <c r="K7196" s="8" t="e">
        <f t="shared" si="86"/>
        <v>#VALUE!</v>
      </c>
    </row>
    <row r="7197" spans="11:11" x14ac:dyDescent="0.25">
      <c r="K7197" s="8" t="e">
        <f t="shared" si="86"/>
        <v>#VALUE!</v>
      </c>
    </row>
    <row r="7198" spans="11:11" x14ac:dyDescent="0.25">
      <c r="K7198" s="8" t="e">
        <f t="shared" si="86"/>
        <v>#VALUE!</v>
      </c>
    </row>
    <row r="7199" spans="11:11" x14ac:dyDescent="0.25">
      <c r="K7199" s="8" t="e">
        <f t="shared" si="86"/>
        <v>#VALUE!</v>
      </c>
    </row>
    <row r="7200" spans="11:11" x14ac:dyDescent="0.25">
      <c r="K7200" s="8" t="e">
        <f t="shared" si="86"/>
        <v>#VALUE!</v>
      </c>
    </row>
    <row r="7201" spans="11:11" x14ac:dyDescent="0.25">
      <c r="K7201" s="8" t="e">
        <f t="shared" si="86"/>
        <v>#VALUE!</v>
      </c>
    </row>
    <row r="7202" spans="11:11" x14ac:dyDescent="0.25">
      <c r="K7202" s="8" t="e">
        <f t="shared" si="86"/>
        <v>#VALUE!</v>
      </c>
    </row>
    <row r="7203" spans="11:11" x14ac:dyDescent="0.25">
      <c r="K7203" s="8" t="e">
        <f t="shared" si="86"/>
        <v>#VALUE!</v>
      </c>
    </row>
    <row r="7204" spans="11:11" x14ac:dyDescent="0.25">
      <c r="K7204" s="8" t="e">
        <f t="shared" si="86"/>
        <v>#VALUE!</v>
      </c>
    </row>
    <row r="7205" spans="11:11" x14ac:dyDescent="0.25">
      <c r="K7205" s="8" t="e">
        <f t="shared" si="86"/>
        <v>#VALUE!</v>
      </c>
    </row>
    <row r="7206" spans="11:11" x14ac:dyDescent="0.25">
      <c r="K7206" s="8" t="e">
        <f t="shared" si="86"/>
        <v>#VALUE!</v>
      </c>
    </row>
    <row r="7207" spans="11:11" x14ac:dyDescent="0.25">
      <c r="K7207" s="8" t="e">
        <f t="shared" si="86"/>
        <v>#VALUE!</v>
      </c>
    </row>
    <row r="7208" spans="11:11" x14ac:dyDescent="0.25">
      <c r="K7208" s="8" t="e">
        <f t="shared" si="86"/>
        <v>#VALUE!</v>
      </c>
    </row>
    <row r="7209" spans="11:11" x14ac:dyDescent="0.25">
      <c r="K7209" s="8" t="e">
        <f t="shared" si="86"/>
        <v>#VALUE!</v>
      </c>
    </row>
    <row r="7210" spans="11:11" x14ac:dyDescent="0.25">
      <c r="K7210" s="8" t="e">
        <f t="shared" si="86"/>
        <v>#VALUE!</v>
      </c>
    </row>
    <row r="7211" spans="11:11" x14ac:dyDescent="0.25">
      <c r="K7211" s="8" t="e">
        <f t="shared" si="86"/>
        <v>#VALUE!</v>
      </c>
    </row>
    <row r="7212" spans="11:11" x14ac:dyDescent="0.25">
      <c r="K7212" s="8" t="e">
        <f t="shared" si="86"/>
        <v>#VALUE!</v>
      </c>
    </row>
    <row r="7213" spans="11:11" x14ac:dyDescent="0.25">
      <c r="K7213" s="8" t="e">
        <f t="shared" si="86"/>
        <v>#VALUE!</v>
      </c>
    </row>
    <row r="7214" spans="11:11" x14ac:dyDescent="0.25">
      <c r="K7214" s="8" t="e">
        <f t="shared" si="86"/>
        <v>#VALUE!</v>
      </c>
    </row>
    <row r="7215" spans="11:11" x14ac:dyDescent="0.25">
      <c r="K7215" s="8" t="e">
        <f t="shared" si="86"/>
        <v>#VALUE!</v>
      </c>
    </row>
    <row r="7216" spans="11:11" x14ac:dyDescent="0.25">
      <c r="K7216" s="8" t="e">
        <f t="shared" si="86"/>
        <v>#VALUE!</v>
      </c>
    </row>
    <row r="7217" spans="11:11" x14ac:dyDescent="0.25">
      <c r="K7217" s="8" t="e">
        <f t="shared" si="86"/>
        <v>#VALUE!</v>
      </c>
    </row>
    <row r="7218" spans="11:11" x14ac:dyDescent="0.25">
      <c r="K7218" s="8" t="e">
        <f t="shared" si="86"/>
        <v>#VALUE!</v>
      </c>
    </row>
    <row r="7219" spans="11:11" x14ac:dyDescent="0.25">
      <c r="K7219" s="8" t="e">
        <f t="shared" si="86"/>
        <v>#VALUE!</v>
      </c>
    </row>
    <row r="7220" spans="11:11" x14ac:dyDescent="0.25">
      <c r="K7220" s="8" t="e">
        <f t="shared" si="86"/>
        <v>#VALUE!</v>
      </c>
    </row>
    <row r="7221" spans="11:11" x14ac:dyDescent="0.25">
      <c r="K7221" s="8" t="e">
        <f t="shared" si="86"/>
        <v>#VALUE!</v>
      </c>
    </row>
    <row r="7222" spans="11:11" x14ac:dyDescent="0.25">
      <c r="K7222" s="8" t="e">
        <f t="shared" si="86"/>
        <v>#VALUE!</v>
      </c>
    </row>
    <row r="7223" spans="11:11" x14ac:dyDescent="0.25">
      <c r="K7223" s="8" t="e">
        <f t="shared" si="86"/>
        <v>#VALUE!</v>
      </c>
    </row>
    <row r="7224" spans="11:11" x14ac:dyDescent="0.25">
      <c r="K7224" s="8" t="e">
        <f t="shared" si="86"/>
        <v>#VALUE!</v>
      </c>
    </row>
    <row r="7225" spans="11:11" x14ac:dyDescent="0.25">
      <c r="K7225" s="8" t="e">
        <f t="shared" si="86"/>
        <v>#VALUE!</v>
      </c>
    </row>
    <row r="7226" spans="11:11" x14ac:dyDescent="0.25">
      <c r="K7226" s="8" t="e">
        <f t="shared" si="86"/>
        <v>#VALUE!</v>
      </c>
    </row>
    <row r="7227" spans="11:11" x14ac:dyDescent="0.25">
      <c r="K7227" s="8" t="e">
        <f t="shared" si="86"/>
        <v>#VALUE!</v>
      </c>
    </row>
    <row r="7228" spans="11:11" x14ac:dyDescent="0.25">
      <c r="K7228" s="8" t="e">
        <f t="shared" si="86"/>
        <v>#VALUE!</v>
      </c>
    </row>
    <row r="7229" spans="11:11" x14ac:dyDescent="0.25">
      <c r="K7229" s="8" t="e">
        <f t="shared" si="86"/>
        <v>#VALUE!</v>
      </c>
    </row>
    <row r="7230" spans="11:11" x14ac:dyDescent="0.25">
      <c r="K7230" s="8" t="e">
        <f t="shared" si="86"/>
        <v>#VALUE!</v>
      </c>
    </row>
    <row r="7231" spans="11:11" x14ac:dyDescent="0.25">
      <c r="K7231" s="8" t="e">
        <f t="shared" si="86"/>
        <v>#VALUE!</v>
      </c>
    </row>
    <row r="7232" spans="11:11" x14ac:dyDescent="0.25">
      <c r="K7232" s="8" t="e">
        <f t="shared" si="86"/>
        <v>#VALUE!</v>
      </c>
    </row>
    <row r="7233" spans="11:11" x14ac:dyDescent="0.25">
      <c r="K7233" s="8" t="e">
        <f t="shared" si="86"/>
        <v>#VALUE!</v>
      </c>
    </row>
    <row r="7234" spans="11:11" x14ac:dyDescent="0.25">
      <c r="K7234" s="8" t="e">
        <f t="shared" si="86"/>
        <v>#VALUE!</v>
      </c>
    </row>
    <row r="7235" spans="11:11" x14ac:dyDescent="0.25">
      <c r="K7235" s="8" t="e">
        <f t="shared" ref="K7235:K7298" si="87">LEFT(A7235,FIND("/",A7235)-1)</f>
        <v>#VALUE!</v>
      </c>
    </row>
    <row r="7236" spans="11:11" x14ac:dyDescent="0.25">
      <c r="K7236" s="8" t="e">
        <f t="shared" si="87"/>
        <v>#VALUE!</v>
      </c>
    </row>
    <row r="7237" spans="11:11" x14ac:dyDescent="0.25">
      <c r="K7237" s="8" t="e">
        <f t="shared" si="87"/>
        <v>#VALUE!</v>
      </c>
    </row>
    <row r="7238" spans="11:11" x14ac:dyDescent="0.25">
      <c r="K7238" s="8" t="e">
        <f t="shared" si="87"/>
        <v>#VALUE!</v>
      </c>
    </row>
    <row r="7239" spans="11:11" x14ac:dyDescent="0.25">
      <c r="K7239" s="8" t="e">
        <f t="shared" si="87"/>
        <v>#VALUE!</v>
      </c>
    </row>
    <row r="7240" spans="11:11" x14ac:dyDescent="0.25">
      <c r="K7240" s="8" t="e">
        <f t="shared" si="87"/>
        <v>#VALUE!</v>
      </c>
    </row>
    <row r="7241" spans="11:11" x14ac:dyDescent="0.25">
      <c r="K7241" s="8" t="e">
        <f t="shared" si="87"/>
        <v>#VALUE!</v>
      </c>
    </row>
    <row r="7242" spans="11:11" x14ac:dyDescent="0.25">
      <c r="K7242" s="8" t="e">
        <f t="shared" si="87"/>
        <v>#VALUE!</v>
      </c>
    </row>
    <row r="7243" spans="11:11" x14ac:dyDescent="0.25">
      <c r="K7243" s="8" t="e">
        <f t="shared" si="87"/>
        <v>#VALUE!</v>
      </c>
    </row>
    <row r="7244" spans="11:11" x14ac:dyDescent="0.25">
      <c r="K7244" s="8" t="e">
        <f t="shared" si="87"/>
        <v>#VALUE!</v>
      </c>
    </row>
    <row r="7245" spans="11:11" x14ac:dyDescent="0.25">
      <c r="K7245" s="8" t="e">
        <f t="shared" si="87"/>
        <v>#VALUE!</v>
      </c>
    </row>
    <row r="7246" spans="11:11" x14ac:dyDescent="0.25">
      <c r="K7246" s="8" t="e">
        <f t="shared" si="87"/>
        <v>#VALUE!</v>
      </c>
    </row>
    <row r="7247" spans="11:11" x14ac:dyDescent="0.25">
      <c r="K7247" s="8" t="e">
        <f t="shared" si="87"/>
        <v>#VALUE!</v>
      </c>
    </row>
    <row r="7248" spans="11:11" x14ac:dyDescent="0.25">
      <c r="K7248" s="8" t="e">
        <f t="shared" si="87"/>
        <v>#VALUE!</v>
      </c>
    </row>
    <row r="7249" spans="11:11" x14ac:dyDescent="0.25">
      <c r="K7249" s="8" t="e">
        <f t="shared" si="87"/>
        <v>#VALUE!</v>
      </c>
    </row>
    <row r="7250" spans="11:11" x14ac:dyDescent="0.25">
      <c r="K7250" s="8" t="e">
        <f t="shared" si="87"/>
        <v>#VALUE!</v>
      </c>
    </row>
    <row r="7251" spans="11:11" x14ac:dyDescent="0.25">
      <c r="K7251" s="8" t="e">
        <f t="shared" si="87"/>
        <v>#VALUE!</v>
      </c>
    </row>
    <row r="7252" spans="11:11" x14ac:dyDescent="0.25">
      <c r="K7252" s="8" t="e">
        <f t="shared" si="87"/>
        <v>#VALUE!</v>
      </c>
    </row>
    <row r="7253" spans="11:11" x14ac:dyDescent="0.25">
      <c r="K7253" s="8" t="e">
        <f t="shared" si="87"/>
        <v>#VALUE!</v>
      </c>
    </row>
    <row r="7254" spans="11:11" x14ac:dyDescent="0.25">
      <c r="K7254" s="8" t="e">
        <f t="shared" si="87"/>
        <v>#VALUE!</v>
      </c>
    </row>
    <row r="7255" spans="11:11" x14ac:dyDescent="0.25">
      <c r="K7255" s="8" t="e">
        <f t="shared" si="87"/>
        <v>#VALUE!</v>
      </c>
    </row>
    <row r="7256" spans="11:11" x14ac:dyDescent="0.25">
      <c r="K7256" s="8" t="e">
        <f t="shared" si="87"/>
        <v>#VALUE!</v>
      </c>
    </row>
    <row r="7257" spans="11:11" x14ac:dyDescent="0.25">
      <c r="K7257" s="8" t="e">
        <f t="shared" si="87"/>
        <v>#VALUE!</v>
      </c>
    </row>
    <row r="7258" spans="11:11" x14ac:dyDescent="0.25">
      <c r="K7258" s="8" t="e">
        <f t="shared" si="87"/>
        <v>#VALUE!</v>
      </c>
    </row>
    <row r="7259" spans="11:11" x14ac:dyDescent="0.25">
      <c r="K7259" s="8" t="e">
        <f t="shared" si="87"/>
        <v>#VALUE!</v>
      </c>
    </row>
    <row r="7260" spans="11:11" x14ac:dyDescent="0.25">
      <c r="K7260" s="8" t="e">
        <f t="shared" si="87"/>
        <v>#VALUE!</v>
      </c>
    </row>
    <row r="7261" spans="11:11" x14ac:dyDescent="0.25">
      <c r="K7261" s="8" t="e">
        <f t="shared" si="87"/>
        <v>#VALUE!</v>
      </c>
    </row>
    <row r="7262" spans="11:11" x14ac:dyDescent="0.25">
      <c r="K7262" s="8" t="e">
        <f t="shared" si="87"/>
        <v>#VALUE!</v>
      </c>
    </row>
    <row r="7263" spans="11:11" x14ac:dyDescent="0.25">
      <c r="K7263" s="8" t="e">
        <f t="shared" si="87"/>
        <v>#VALUE!</v>
      </c>
    </row>
    <row r="7264" spans="11:11" x14ac:dyDescent="0.25">
      <c r="K7264" s="8" t="e">
        <f t="shared" si="87"/>
        <v>#VALUE!</v>
      </c>
    </row>
    <row r="7265" spans="11:11" x14ac:dyDescent="0.25">
      <c r="K7265" s="8" t="e">
        <f t="shared" si="87"/>
        <v>#VALUE!</v>
      </c>
    </row>
    <row r="7266" spans="11:11" x14ac:dyDescent="0.25">
      <c r="K7266" s="8" t="e">
        <f t="shared" si="87"/>
        <v>#VALUE!</v>
      </c>
    </row>
    <row r="7267" spans="11:11" x14ac:dyDescent="0.25">
      <c r="K7267" s="8" t="e">
        <f t="shared" si="87"/>
        <v>#VALUE!</v>
      </c>
    </row>
    <row r="7268" spans="11:11" x14ac:dyDescent="0.25">
      <c r="K7268" s="8" t="e">
        <f t="shared" si="87"/>
        <v>#VALUE!</v>
      </c>
    </row>
    <row r="7269" spans="11:11" x14ac:dyDescent="0.25">
      <c r="K7269" s="8" t="e">
        <f t="shared" si="87"/>
        <v>#VALUE!</v>
      </c>
    </row>
    <row r="7270" spans="11:11" x14ac:dyDescent="0.25">
      <c r="K7270" s="8" t="e">
        <f t="shared" si="87"/>
        <v>#VALUE!</v>
      </c>
    </row>
    <row r="7271" spans="11:11" x14ac:dyDescent="0.25">
      <c r="K7271" s="8" t="e">
        <f t="shared" si="87"/>
        <v>#VALUE!</v>
      </c>
    </row>
    <row r="7272" spans="11:11" x14ac:dyDescent="0.25">
      <c r="K7272" s="8" t="e">
        <f t="shared" si="87"/>
        <v>#VALUE!</v>
      </c>
    </row>
    <row r="7273" spans="11:11" x14ac:dyDescent="0.25">
      <c r="K7273" s="8" t="e">
        <f t="shared" si="87"/>
        <v>#VALUE!</v>
      </c>
    </row>
    <row r="7274" spans="11:11" x14ac:dyDescent="0.25">
      <c r="K7274" s="8" t="e">
        <f t="shared" si="87"/>
        <v>#VALUE!</v>
      </c>
    </row>
    <row r="7275" spans="11:11" x14ac:dyDescent="0.25">
      <c r="K7275" s="8" t="e">
        <f t="shared" si="87"/>
        <v>#VALUE!</v>
      </c>
    </row>
    <row r="7276" spans="11:11" x14ac:dyDescent="0.25">
      <c r="K7276" s="8" t="e">
        <f t="shared" si="87"/>
        <v>#VALUE!</v>
      </c>
    </row>
    <row r="7277" spans="11:11" x14ac:dyDescent="0.25">
      <c r="K7277" s="8" t="e">
        <f t="shared" si="87"/>
        <v>#VALUE!</v>
      </c>
    </row>
    <row r="7278" spans="11:11" x14ac:dyDescent="0.25">
      <c r="K7278" s="8" t="e">
        <f t="shared" si="87"/>
        <v>#VALUE!</v>
      </c>
    </row>
    <row r="7279" spans="11:11" x14ac:dyDescent="0.25">
      <c r="K7279" s="8" t="e">
        <f t="shared" si="87"/>
        <v>#VALUE!</v>
      </c>
    </row>
    <row r="7280" spans="11:11" x14ac:dyDescent="0.25">
      <c r="K7280" s="8" t="e">
        <f t="shared" si="87"/>
        <v>#VALUE!</v>
      </c>
    </row>
    <row r="7281" spans="11:11" x14ac:dyDescent="0.25">
      <c r="K7281" s="8" t="e">
        <f t="shared" si="87"/>
        <v>#VALUE!</v>
      </c>
    </row>
    <row r="7282" spans="11:11" x14ac:dyDescent="0.25">
      <c r="K7282" s="8" t="e">
        <f t="shared" si="87"/>
        <v>#VALUE!</v>
      </c>
    </row>
    <row r="7283" spans="11:11" x14ac:dyDescent="0.25">
      <c r="K7283" s="8" t="e">
        <f t="shared" si="87"/>
        <v>#VALUE!</v>
      </c>
    </row>
    <row r="7284" spans="11:11" x14ac:dyDescent="0.25">
      <c r="K7284" s="8" t="e">
        <f t="shared" si="87"/>
        <v>#VALUE!</v>
      </c>
    </row>
    <row r="7285" spans="11:11" x14ac:dyDescent="0.25">
      <c r="K7285" s="8" t="e">
        <f t="shared" si="87"/>
        <v>#VALUE!</v>
      </c>
    </row>
    <row r="7286" spans="11:11" x14ac:dyDescent="0.25">
      <c r="K7286" s="8" t="e">
        <f t="shared" si="87"/>
        <v>#VALUE!</v>
      </c>
    </row>
    <row r="7287" spans="11:11" x14ac:dyDescent="0.25">
      <c r="K7287" s="8" t="e">
        <f t="shared" si="87"/>
        <v>#VALUE!</v>
      </c>
    </row>
    <row r="7288" spans="11:11" x14ac:dyDescent="0.25">
      <c r="K7288" s="8" t="e">
        <f t="shared" si="87"/>
        <v>#VALUE!</v>
      </c>
    </row>
    <row r="7289" spans="11:11" x14ac:dyDescent="0.25">
      <c r="K7289" s="8" t="e">
        <f t="shared" si="87"/>
        <v>#VALUE!</v>
      </c>
    </row>
    <row r="7290" spans="11:11" x14ac:dyDescent="0.25">
      <c r="K7290" s="8" t="e">
        <f t="shared" si="87"/>
        <v>#VALUE!</v>
      </c>
    </row>
    <row r="7291" spans="11:11" x14ac:dyDescent="0.25">
      <c r="K7291" s="8" t="e">
        <f t="shared" si="87"/>
        <v>#VALUE!</v>
      </c>
    </row>
    <row r="7292" spans="11:11" x14ac:dyDescent="0.25">
      <c r="K7292" s="8" t="e">
        <f t="shared" si="87"/>
        <v>#VALUE!</v>
      </c>
    </row>
    <row r="7293" spans="11:11" x14ac:dyDescent="0.25">
      <c r="K7293" s="8" t="e">
        <f t="shared" si="87"/>
        <v>#VALUE!</v>
      </c>
    </row>
    <row r="7294" spans="11:11" x14ac:dyDescent="0.25">
      <c r="K7294" s="8" t="e">
        <f t="shared" si="87"/>
        <v>#VALUE!</v>
      </c>
    </row>
    <row r="7295" spans="11:11" x14ac:dyDescent="0.25">
      <c r="K7295" s="8" t="e">
        <f t="shared" si="87"/>
        <v>#VALUE!</v>
      </c>
    </row>
    <row r="7296" spans="11:11" x14ac:dyDescent="0.25">
      <c r="K7296" s="8" t="e">
        <f t="shared" si="87"/>
        <v>#VALUE!</v>
      </c>
    </row>
    <row r="7297" spans="11:11" x14ac:dyDescent="0.25">
      <c r="K7297" s="8" t="e">
        <f t="shared" si="87"/>
        <v>#VALUE!</v>
      </c>
    </row>
    <row r="7298" spans="11:11" x14ac:dyDescent="0.25">
      <c r="K7298" s="8" t="e">
        <f t="shared" si="87"/>
        <v>#VALUE!</v>
      </c>
    </row>
    <row r="7299" spans="11:11" x14ac:dyDescent="0.25">
      <c r="K7299" s="8" t="e">
        <f t="shared" ref="K7299:K7362" si="88">LEFT(A7299,FIND("/",A7299)-1)</f>
        <v>#VALUE!</v>
      </c>
    </row>
    <row r="7300" spans="11:11" x14ac:dyDescent="0.25">
      <c r="K7300" s="8" t="e">
        <f t="shared" si="88"/>
        <v>#VALUE!</v>
      </c>
    </row>
    <row r="7301" spans="11:11" x14ac:dyDescent="0.25">
      <c r="K7301" s="8" t="e">
        <f t="shared" si="88"/>
        <v>#VALUE!</v>
      </c>
    </row>
    <row r="7302" spans="11:11" x14ac:dyDescent="0.25">
      <c r="K7302" s="8" t="e">
        <f t="shared" si="88"/>
        <v>#VALUE!</v>
      </c>
    </row>
    <row r="7303" spans="11:11" x14ac:dyDescent="0.25">
      <c r="K7303" s="8" t="e">
        <f t="shared" si="88"/>
        <v>#VALUE!</v>
      </c>
    </row>
    <row r="7304" spans="11:11" x14ac:dyDescent="0.25">
      <c r="K7304" s="8" t="e">
        <f t="shared" si="88"/>
        <v>#VALUE!</v>
      </c>
    </row>
    <row r="7305" spans="11:11" x14ac:dyDescent="0.25">
      <c r="K7305" s="8" t="e">
        <f t="shared" si="88"/>
        <v>#VALUE!</v>
      </c>
    </row>
    <row r="7306" spans="11:11" x14ac:dyDescent="0.25">
      <c r="K7306" s="8" t="e">
        <f t="shared" si="88"/>
        <v>#VALUE!</v>
      </c>
    </row>
    <row r="7307" spans="11:11" x14ac:dyDescent="0.25">
      <c r="K7307" s="8" t="e">
        <f t="shared" si="88"/>
        <v>#VALUE!</v>
      </c>
    </row>
    <row r="7308" spans="11:11" x14ac:dyDescent="0.25">
      <c r="K7308" s="8" t="e">
        <f t="shared" si="88"/>
        <v>#VALUE!</v>
      </c>
    </row>
    <row r="7309" spans="11:11" x14ac:dyDescent="0.25">
      <c r="K7309" s="8" t="e">
        <f t="shared" si="88"/>
        <v>#VALUE!</v>
      </c>
    </row>
    <row r="7310" spans="11:11" x14ac:dyDescent="0.25">
      <c r="K7310" s="8" t="e">
        <f t="shared" si="88"/>
        <v>#VALUE!</v>
      </c>
    </row>
    <row r="7311" spans="11:11" x14ac:dyDescent="0.25">
      <c r="K7311" s="8" t="e">
        <f t="shared" si="88"/>
        <v>#VALUE!</v>
      </c>
    </row>
    <row r="7312" spans="11:11" x14ac:dyDescent="0.25">
      <c r="K7312" s="8" t="e">
        <f t="shared" si="88"/>
        <v>#VALUE!</v>
      </c>
    </row>
    <row r="7313" spans="11:11" x14ac:dyDescent="0.25">
      <c r="K7313" s="8" t="e">
        <f t="shared" si="88"/>
        <v>#VALUE!</v>
      </c>
    </row>
    <row r="7314" spans="11:11" x14ac:dyDescent="0.25">
      <c r="K7314" s="8" t="e">
        <f t="shared" si="88"/>
        <v>#VALUE!</v>
      </c>
    </row>
    <row r="7315" spans="11:11" x14ac:dyDescent="0.25">
      <c r="K7315" s="8" t="e">
        <f t="shared" si="88"/>
        <v>#VALUE!</v>
      </c>
    </row>
    <row r="7316" spans="11:11" x14ac:dyDescent="0.25">
      <c r="K7316" s="8" t="e">
        <f t="shared" si="88"/>
        <v>#VALUE!</v>
      </c>
    </row>
    <row r="7317" spans="11:11" x14ac:dyDescent="0.25">
      <c r="K7317" s="8" t="e">
        <f t="shared" si="88"/>
        <v>#VALUE!</v>
      </c>
    </row>
    <row r="7318" spans="11:11" x14ac:dyDescent="0.25">
      <c r="K7318" s="8" t="e">
        <f t="shared" si="88"/>
        <v>#VALUE!</v>
      </c>
    </row>
    <row r="7319" spans="11:11" x14ac:dyDescent="0.25">
      <c r="K7319" s="8" t="e">
        <f t="shared" si="88"/>
        <v>#VALUE!</v>
      </c>
    </row>
    <row r="7320" spans="11:11" x14ac:dyDescent="0.25">
      <c r="K7320" s="8" t="e">
        <f t="shared" si="88"/>
        <v>#VALUE!</v>
      </c>
    </row>
    <row r="7321" spans="11:11" x14ac:dyDescent="0.25">
      <c r="K7321" s="8" t="e">
        <f t="shared" si="88"/>
        <v>#VALUE!</v>
      </c>
    </row>
    <row r="7322" spans="11:11" x14ac:dyDescent="0.25">
      <c r="K7322" s="8" t="e">
        <f t="shared" si="88"/>
        <v>#VALUE!</v>
      </c>
    </row>
    <row r="7323" spans="11:11" x14ac:dyDescent="0.25">
      <c r="K7323" s="8" t="e">
        <f t="shared" si="88"/>
        <v>#VALUE!</v>
      </c>
    </row>
    <row r="7324" spans="11:11" x14ac:dyDescent="0.25">
      <c r="K7324" s="8" t="e">
        <f t="shared" si="88"/>
        <v>#VALUE!</v>
      </c>
    </row>
    <row r="7325" spans="11:11" x14ac:dyDescent="0.25">
      <c r="K7325" s="8" t="e">
        <f t="shared" si="88"/>
        <v>#VALUE!</v>
      </c>
    </row>
    <row r="7326" spans="11:11" x14ac:dyDescent="0.25">
      <c r="K7326" s="8" t="e">
        <f t="shared" si="88"/>
        <v>#VALUE!</v>
      </c>
    </row>
    <row r="7327" spans="11:11" x14ac:dyDescent="0.25">
      <c r="K7327" s="8" t="e">
        <f t="shared" si="88"/>
        <v>#VALUE!</v>
      </c>
    </row>
    <row r="7328" spans="11:11" x14ac:dyDescent="0.25">
      <c r="K7328" s="8" t="e">
        <f t="shared" si="88"/>
        <v>#VALUE!</v>
      </c>
    </row>
    <row r="7329" spans="11:11" x14ac:dyDescent="0.25">
      <c r="K7329" s="8" t="e">
        <f t="shared" si="88"/>
        <v>#VALUE!</v>
      </c>
    </row>
    <row r="7330" spans="11:11" x14ac:dyDescent="0.25">
      <c r="K7330" s="8" t="e">
        <f t="shared" si="88"/>
        <v>#VALUE!</v>
      </c>
    </row>
    <row r="7331" spans="11:11" x14ac:dyDescent="0.25">
      <c r="K7331" s="8" t="e">
        <f t="shared" si="88"/>
        <v>#VALUE!</v>
      </c>
    </row>
    <row r="7332" spans="11:11" x14ac:dyDescent="0.25">
      <c r="K7332" s="8" t="e">
        <f t="shared" si="88"/>
        <v>#VALUE!</v>
      </c>
    </row>
    <row r="7333" spans="11:11" x14ac:dyDescent="0.25">
      <c r="K7333" s="8" t="e">
        <f t="shared" si="88"/>
        <v>#VALUE!</v>
      </c>
    </row>
    <row r="7334" spans="11:11" x14ac:dyDescent="0.25">
      <c r="K7334" s="8" t="e">
        <f t="shared" si="88"/>
        <v>#VALUE!</v>
      </c>
    </row>
    <row r="7335" spans="11:11" x14ac:dyDescent="0.25">
      <c r="K7335" s="8" t="e">
        <f t="shared" si="88"/>
        <v>#VALUE!</v>
      </c>
    </row>
    <row r="7336" spans="11:11" x14ac:dyDescent="0.25">
      <c r="K7336" s="8" t="e">
        <f t="shared" si="88"/>
        <v>#VALUE!</v>
      </c>
    </row>
    <row r="7337" spans="11:11" x14ac:dyDescent="0.25">
      <c r="K7337" s="8" t="e">
        <f t="shared" si="88"/>
        <v>#VALUE!</v>
      </c>
    </row>
    <row r="7338" spans="11:11" x14ac:dyDescent="0.25">
      <c r="K7338" s="8" t="e">
        <f t="shared" si="88"/>
        <v>#VALUE!</v>
      </c>
    </row>
    <row r="7339" spans="11:11" x14ac:dyDescent="0.25">
      <c r="K7339" s="8" t="e">
        <f t="shared" si="88"/>
        <v>#VALUE!</v>
      </c>
    </row>
    <row r="7340" spans="11:11" x14ac:dyDescent="0.25">
      <c r="K7340" s="8" t="e">
        <f t="shared" si="88"/>
        <v>#VALUE!</v>
      </c>
    </row>
    <row r="7341" spans="11:11" x14ac:dyDescent="0.25">
      <c r="K7341" s="8" t="e">
        <f t="shared" si="88"/>
        <v>#VALUE!</v>
      </c>
    </row>
    <row r="7342" spans="11:11" x14ac:dyDescent="0.25">
      <c r="K7342" s="8" t="e">
        <f t="shared" si="88"/>
        <v>#VALUE!</v>
      </c>
    </row>
    <row r="7343" spans="11:11" x14ac:dyDescent="0.25">
      <c r="K7343" s="8" t="e">
        <f t="shared" si="88"/>
        <v>#VALUE!</v>
      </c>
    </row>
    <row r="7344" spans="11:11" x14ac:dyDescent="0.25">
      <c r="K7344" s="8" t="e">
        <f t="shared" si="88"/>
        <v>#VALUE!</v>
      </c>
    </row>
    <row r="7345" spans="11:11" x14ac:dyDescent="0.25">
      <c r="K7345" s="8" t="e">
        <f t="shared" si="88"/>
        <v>#VALUE!</v>
      </c>
    </row>
    <row r="7346" spans="11:11" x14ac:dyDescent="0.25">
      <c r="K7346" s="8" t="e">
        <f t="shared" si="88"/>
        <v>#VALUE!</v>
      </c>
    </row>
    <row r="7347" spans="11:11" x14ac:dyDescent="0.25">
      <c r="K7347" s="8" t="e">
        <f t="shared" si="88"/>
        <v>#VALUE!</v>
      </c>
    </row>
    <row r="7348" spans="11:11" x14ac:dyDescent="0.25">
      <c r="K7348" s="8" t="e">
        <f t="shared" si="88"/>
        <v>#VALUE!</v>
      </c>
    </row>
    <row r="7349" spans="11:11" x14ac:dyDescent="0.25">
      <c r="K7349" s="8" t="e">
        <f t="shared" si="88"/>
        <v>#VALUE!</v>
      </c>
    </row>
    <row r="7350" spans="11:11" x14ac:dyDescent="0.25">
      <c r="K7350" s="8" t="e">
        <f t="shared" si="88"/>
        <v>#VALUE!</v>
      </c>
    </row>
    <row r="7351" spans="11:11" x14ac:dyDescent="0.25">
      <c r="K7351" s="8" t="e">
        <f t="shared" si="88"/>
        <v>#VALUE!</v>
      </c>
    </row>
    <row r="7352" spans="11:11" x14ac:dyDescent="0.25">
      <c r="K7352" s="8" t="e">
        <f t="shared" si="88"/>
        <v>#VALUE!</v>
      </c>
    </row>
    <row r="7353" spans="11:11" x14ac:dyDescent="0.25">
      <c r="K7353" s="8" t="e">
        <f t="shared" si="88"/>
        <v>#VALUE!</v>
      </c>
    </row>
    <row r="7354" spans="11:11" x14ac:dyDescent="0.25">
      <c r="K7354" s="8" t="e">
        <f t="shared" si="88"/>
        <v>#VALUE!</v>
      </c>
    </row>
    <row r="7355" spans="11:11" x14ac:dyDescent="0.25">
      <c r="K7355" s="8" t="e">
        <f t="shared" si="88"/>
        <v>#VALUE!</v>
      </c>
    </row>
    <row r="7356" spans="11:11" x14ac:dyDescent="0.25">
      <c r="K7356" s="8" t="e">
        <f t="shared" si="88"/>
        <v>#VALUE!</v>
      </c>
    </row>
    <row r="7357" spans="11:11" x14ac:dyDescent="0.25">
      <c r="K7357" s="8" t="e">
        <f t="shared" si="88"/>
        <v>#VALUE!</v>
      </c>
    </row>
    <row r="7358" spans="11:11" x14ac:dyDescent="0.25">
      <c r="K7358" s="8" t="e">
        <f t="shared" si="88"/>
        <v>#VALUE!</v>
      </c>
    </row>
    <row r="7359" spans="11:11" x14ac:dyDescent="0.25">
      <c r="K7359" s="8" t="e">
        <f t="shared" si="88"/>
        <v>#VALUE!</v>
      </c>
    </row>
    <row r="7360" spans="11:11" x14ac:dyDescent="0.25">
      <c r="K7360" s="8" t="e">
        <f t="shared" si="88"/>
        <v>#VALUE!</v>
      </c>
    </row>
    <row r="7361" spans="11:11" x14ac:dyDescent="0.25">
      <c r="K7361" s="8" t="e">
        <f t="shared" si="88"/>
        <v>#VALUE!</v>
      </c>
    </row>
    <row r="7362" spans="11:11" x14ac:dyDescent="0.25">
      <c r="K7362" s="8" t="e">
        <f t="shared" si="88"/>
        <v>#VALUE!</v>
      </c>
    </row>
    <row r="7363" spans="11:11" x14ac:dyDescent="0.25">
      <c r="K7363" s="8" t="e">
        <f t="shared" ref="K7363:K7426" si="89">LEFT(A7363,FIND("/",A7363)-1)</f>
        <v>#VALUE!</v>
      </c>
    </row>
    <row r="7364" spans="11:11" x14ac:dyDescent="0.25">
      <c r="K7364" s="8" t="e">
        <f t="shared" si="89"/>
        <v>#VALUE!</v>
      </c>
    </row>
    <row r="7365" spans="11:11" x14ac:dyDescent="0.25">
      <c r="K7365" s="8" t="e">
        <f t="shared" si="89"/>
        <v>#VALUE!</v>
      </c>
    </row>
    <row r="7366" spans="11:11" x14ac:dyDescent="0.25">
      <c r="K7366" s="8" t="e">
        <f t="shared" si="89"/>
        <v>#VALUE!</v>
      </c>
    </row>
    <row r="7367" spans="11:11" x14ac:dyDescent="0.25">
      <c r="K7367" s="8" t="e">
        <f t="shared" si="89"/>
        <v>#VALUE!</v>
      </c>
    </row>
    <row r="7368" spans="11:11" x14ac:dyDescent="0.25">
      <c r="K7368" s="8" t="e">
        <f t="shared" si="89"/>
        <v>#VALUE!</v>
      </c>
    </row>
    <row r="7369" spans="11:11" x14ac:dyDescent="0.25">
      <c r="K7369" s="8" t="e">
        <f t="shared" si="89"/>
        <v>#VALUE!</v>
      </c>
    </row>
    <row r="7370" spans="11:11" x14ac:dyDescent="0.25">
      <c r="K7370" s="8" t="e">
        <f t="shared" si="89"/>
        <v>#VALUE!</v>
      </c>
    </row>
    <row r="7371" spans="11:11" x14ac:dyDescent="0.25">
      <c r="K7371" s="8" t="e">
        <f t="shared" si="89"/>
        <v>#VALUE!</v>
      </c>
    </row>
    <row r="7372" spans="11:11" x14ac:dyDescent="0.25">
      <c r="K7372" s="8" t="e">
        <f t="shared" si="89"/>
        <v>#VALUE!</v>
      </c>
    </row>
    <row r="7373" spans="11:11" x14ac:dyDescent="0.25">
      <c r="K7373" s="8" t="e">
        <f t="shared" si="89"/>
        <v>#VALUE!</v>
      </c>
    </row>
    <row r="7374" spans="11:11" x14ac:dyDescent="0.25">
      <c r="K7374" s="8" t="e">
        <f t="shared" si="89"/>
        <v>#VALUE!</v>
      </c>
    </row>
    <row r="7375" spans="11:11" x14ac:dyDescent="0.25">
      <c r="K7375" s="8" t="e">
        <f t="shared" si="89"/>
        <v>#VALUE!</v>
      </c>
    </row>
    <row r="7376" spans="11:11" x14ac:dyDescent="0.25">
      <c r="K7376" s="8" t="e">
        <f t="shared" si="89"/>
        <v>#VALUE!</v>
      </c>
    </row>
    <row r="7377" spans="11:11" x14ac:dyDescent="0.25">
      <c r="K7377" s="8" t="e">
        <f t="shared" si="89"/>
        <v>#VALUE!</v>
      </c>
    </row>
    <row r="7378" spans="11:11" x14ac:dyDescent="0.25">
      <c r="K7378" s="8" t="e">
        <f t="shared" si="89"/>
        <v>#VALUE!</v>
      </c>
    </row>
    <row r="7379" spans="11:11" x14ac:dyDescent="0.25">
      <c r="K7379" s="8" t="e">
        <f t="shared" si="89"/>
        <v>#VALUE!</v>
      </c>
    </row>
    <row r="7380" spans="11:11" x14ac:dyDescent="0.25">
      <c r="K7380" s="8" t="e">
        <f t="shared" si="89"/>
        <v>#VALUE!</v>
      </c>
    </row>
    <row r="7381" spans="11:11" x14ac:dyDescent="0.25">
      <c r="K7381" s="8" t="e">
        <f t="shared" si="89"/>
        <v>#VALUE!</v>
      </c>
    </row>
    <row r="7382" spans="11:11" x14ac:dyDescent="0.25">
      <c r="K7382" s="8" t="e">
        <f t="shared" si="89"/>
        <v>#VALUE!</v>
      </c>
    </row>
    <row r="7383" spans="11:11" x14ac:dyDescent="0.25">
      <c r="K7383" s="8" t="e">
        <f t="shared" si="89"/>
        <v>#VALUE!</v>
      </c>
    </row>
    <row r="7384" spans="11:11" x14ac:dyDescent="0.25">
      <c r="K7384" s="8" t="e">
        <f t="shared" si="89"/>
        <v>#VALUE!</v>
      </c>
    </row>
    <row r="7385" spans="11:11" x14ac:dyDescent="0.25">
      <c r="K7385" s="8" t="e">
        <f t="shared" si="89"/>
        <v>#VALUE!</v>
      </c>
    </row>
    <row r="7386" spans="11:11" x14ac:dyDescent="0.25">
      <c r="K7386" s="8" t="e">
        <f t="shared" si="89"/>
        <v>#VALUE!</v>
      </c>
    </row>
    <row r="7387" spans="11:11" x14ac:dyDescent="0.25">
      <c r="K7387" s="8" t="e">
        <f t="shared" si="89"/>
        <v>#VALUE!</v>
      </c>
    </row>
    <row r="7388" spans="11:11" x14ac:dyDescent="0.25">
      <c r="K7388" s="8" t="e">
        <f t="shared" si="89"/>
        <v>#VALUE!</v>
      </c>
    </row>
    <row r="7389" spans="11:11" x14ac:dyDescent="0.25">
      <c r="K7389" s="8" t="e">
        <f t="shared" si="89"/>
        <v>#VALUE!</v>
      </c>
    </row>
    <row r="7390" spans="11:11" x14ac:dyDescent="0.25">
      <c r="K7390" s="8" t="e">
        <f t="shared" si="89"/>
        <v>#VALUE!</v>
      </c>
    </row>
    <row r="7391" spans="11:11" x14ac:dyDescent="0.25">
      <c r="K7391" s="8" t="e">
        <f t="shared" si="89"/>
        <v>#VALUE!</v>
      </c>
    </row>
    <row r="7392" spans="11:11" x14ac:dyDescent="0.25">
      <c r="K7392" s="8" t="e">
        <f t="shared" si="89"/>
        <v>#VALUE!</v>
      </c>
    </row>
    <row r="7393" spans="11:11" x14ac:dyDescent="0.25">
      <c r="K7393" s="8" t="e">
        <f t="shared" si="89"/>
        <v>#VALUE!</v>
      </c>
    </row>
    <row r="7394" spans="11:11" x14ac:dyDescent="0.25">
      <c r="K7394" s="8" t="e">
        <f t="shared" si="89"/>
        <v>#VALUE!</v>
      </c>
    </row>
    <row r="7395" spans="11:11" x14ac:dyDescent="0.25">
      <c r="K7395" s="8" t="e">
        <f t="shared" si="89"/>
        <v>#VALUE!</v>
      </c>
    </row>
    <row r="7396" spans="11:11" x14ac:dyDescent="0.25">
      <c r="K7396" s="8" t="e">
        <f t="shared" si="89"/>
        <v>#VALUE!</v>
      </c>
    </row>
    <row r="7397" spans="11:11" x14ac:dyDescent="0.25">
      <c r="K7397" s="8" t="e">
        <f t="shared" si="89"/>
        <v>#VALUE!</v>
      </c>
    </row>
    <row r="7398" spans="11:11" x14ac:dyDescent="0.25">
      <c r="K7398" s="8" t="e">
        <f t="shared" si="89"/>
        <v>#VALUE!</v>
      </c>
    </row>
    <row r="7399" spans="11:11" x14ac:dyDescent="0.25">
      <c r="K7399" s="8" t="e">
        <f t="shared" si="89"/>
        <v>#VALUE!</v>
      </c>
    </row>
    <row r="7400" spans="11:11" x14ac:dyDescent="0.25">
      <c r="K7400" s="8" t="e">
        <f t="shared" si="89"/>
        <v>#VALUE!</v>
      </c>
    </row>
    <row r="7401" spans="11:11" x14ac:dyDescent="0.25">
      <c r="K7401" s="8" t="e">
        <f t="shared" si="89"/>
        <v>#VALUE!</v>
      </c>
    </row>
    <row r="7402" spans="11:11" x14ac:dyDescent="0.25">
      <c r="K7402" s="8" t="e">
        <f t="shared" si="89"/>
        <v>#VALUE!</v>
      </c>
    </row>
    <row r="7403" spans="11:11" x14ac:dyDescent="0.25">
      <c r="K7403" s="8" t="e">
        <f t="shared" si="89"/>
        <v>#VALUE!</v>
      </c>
    </row>
    <row r="7404" spans="11:11" x14ac:dyDescent="0.25">
      <c r="K7404" s="8" t="e">
        <f t="shared" si="89"/>
        <v>#VALUE!</v>
      </c>
    </row>
    <row r="7405" spans="11:11" x14ac:dyDescent="0.25">
      <c r="K7405" s="8" t="e">
        <f t="shared" si="89"/>
        <v>#VALUE!</v>
      </c>
    </row>
    <row r="7406" spans="11:11" x14ac:dyDescent="0.25">
      <c r="K7406" s="8" t="e">
        <f t="shared" si="89"/>
        <v>#VALUE!</v>
      </c>
    </row>
    <row r="7407" spans="11:11" x14ac:dyDescent="0.25">
      <c r="K7407" s="8" t="e">
        <f t="shared" si="89"/>
        <v>#VALUE!</v>
      </c>
    </row>
    <row r="7408" spans="11:11" x14ac:dyDescent="0.25">
      <c r="K7408" s="8" t="e">
        <f t="shared" si="89"/>
        <v>#VALUE!</v>
      </c>
    </row>
    <row r="7409" spans="11:11" x14ac:dyDescent="0.25">
      <c r="K7409" s="8" t="e">
        <f t="shared" si="89"/>
        <v>#VALUE!</v>
      </c>
    </row>
    <row r="7410" spans="11:11" x14ac:dyDescent="0.25">
      <c r="K7410" s="8" t="e">
        <f t="shared" si="89"/>
        <v>#VALUE!</v>
      </c>
    </row>
    <row r="7411" spans="11:11" x14ac:dyDescent="0.25">
      <c r="K7411" s="8" t="e">
        <f t="shared" si="89"/>
        <v>#VALUE!</v>
      </c>
    </row>
    <row r="7412" spans="11:11" x14ac:dyDescent="0.25">
      <c r="K7412" s="8" t="e">
        <f t="shared" si="89"/>
        <v>#VALUE!</v>
      </c>
    </row>
    <row r="7413" spans="11:11" x14ac:dyDescent="0.25">
      <c r="K7413" s="8" t="e">
        <f t="shared" si="89"/>
        <v>#VALUE!</v>
      </c>
    </row>
    <row r="7414" spans="11:11" x14ac:dyDescent="0.25">
      <c r="K7414" s="8" t="e">
        <f t="shared" si="89"/>
        <v>#VALUE!</v>
      </c>
    </row>
    <row r="7415" spans="11:11" x14ac:dyDescent="0.25">
      <c r="K7415" s="8" t="e">
        <f t="shared" si="89"/>
        <v>#VALUE!</v>
      </c>
    </row>
    <row r="7416" spans="11:11" x14ac:dyDescent="0.25">
      <c r="K7416" s="8" t="e">
        <f t="shared" si="89"/>
        <v>#VALUE!</v>
      </c>
    </row>
    <row r="7417" spans="11:11" x14ac:dyDescent="0.25">
      <c r="K7417" s="8" t="e">
        <f t="shared" si="89"/>
        <v>#VALUE!</v>
      </c>
    </row>
    <row r="7418" spans="11:11" x14ac:dyDescent="0.25">
      <c r="K7418" s="8" t="e">
        <f t="shared" si="89"/>
        <v>#VALUE!</v>
      </c>
    </row>
    <row r="7419" spans="11:11" x14ac:dyDescent="0.25">
      <c r="K7419" s="8" t="e">
        <f t="shared" si="89"/>
        <v>#VALUE!</v>
      </c>
    </row>
    <row r="7420" spans="11:11" x14ac:dyDescent="0.25">
      <c r="K7420" s="8" t="e">
        <f t="shared" si="89"/>
        <v>#VALUE!</v>
      </c>
    </row>
    <row r="7421" spans="11:11" x14ac:dyDescent="0.25">
      <c r="K7421" s="8" t="e">
        <f t="shared" si="89"/>
        <v>#VALUE!</v>
      </c>
    </row>
    <row r="7422" spans="11:11" x14ac:dyDescent="0.25">
      <c r="K7422" s="8" t="e">
        <f t="shared" si="89"/>
        <v>#VALUE!</v>
      </c>
    </row>
    <row r="7423" spans="11:11" x14ac:dyDescent="0.25">
      <c r="K7423" s="8" t="e">
        <f t="shared" si="89"/>
        <v>#VALUE!</v>
      </c>
    </row>
    <row r="7424" spans="11:11" x14ac:dyDescent="0.25">
      <c r="K7424" s="8" t="e">
        <f t="shared" si="89"/>
        <v>#VALUE!</v>
      </c>
    </row>
    <row r="7425" spans="11:11" x14ac:dyDescent="0.25">
      <c r="K7425" s="8" t="e">
        <f t="shared" si="89"/>
        <v>#VALUE!</v>
      </c>
    </row>
    <row r="7426" spans="11:11" x14ac:dyDescent="0.25">
      <c r="K7426" s="8" t="e">
        <f t="shared" si="89"/>
        <v>#VALUE!</v>
      </c>
    </row>
    <row r="7427" spans="11:11" x14ac:dyDescent="0.25">
      <c r="K7427" s="8" t="e">
        <f t="shared" ref="K7427:K7490" si="90">LEFT(A7427,FIND("/",A7427)-1)</f>
        <v>#VALUE!</v>
      </c>
    </row>
    <row r="7428" spans="11:11" x14ac:dyDescent="0.25">
      <c r="K7428" s="8" t="e">
        <f t="shared" si="90"/>
        <v>#VALUE!</v>
      </c>
    </row>
    <row r="7429" spans="11:11" x14ac:dyDescent="0.25">
      <c r="K7429" s="8" t="e">
        <f t="shared" si="90"/>
        <v>#VALUE!</v>
      </c>
    </row>
    <row r="7430" spans="11:11" x14ac:dyDescent="0.25">
      <c r="K7430" s="8" t="e">
        <f t="shared" si="90"/>
        <v>#VALUE!</v>
      </c>
    </row>
    <row r="7431" spans="11:11" x14ac:dyDescent="0.25">
      <c r="K7431" s="8" t="e">
        <f t="shared" si="90"/>
        <v>#VALUE!</v>
      </c>
    </row>
    <row r="7432" spans="11:11" x14ac:dyDescent="0.25">
      <c r="K7432" s="8" t="e">
        <f t="shared" si="90"/>
        <v>#VALUE!</v>
      </c>
    </row>
    <row r="7433" spans="11:11" x14ac:dyDescent="0.25">
      <c r="K7433" s="8" t="e">
        <f t="shared" si="90"/>
        <v>#VALUE!</v>
      </c>
    </row>
    <row r="7434" spans="11:11" x14ac:dyDescent="0.25">
      <c r="K7434" s="8" t="e">
        <f t="shared" si="90"/>
        <v>#VALUE!</v>
      </c>
    </row>
    <row r="7435" spans="11:11" x14ac:dyDescent="0.25">
      <c r="K7435" s="8" t="e">
        <f t="shared" si="90"/>
        <v>#VALUE!</v>
      </c>
    </row>
    <row r="7436" spans="11:11" x14ac:dyDescent="0.25">
      <c r="K7436" s="8" t="e">
        <f t="shared" si="90"/>
        <v>#VALUE!</v>
      </c>
    </row>
    <row r="7437" spans="11:11" x14ac:dyDescent="0.25">
      <c r="K7437" s="8" t="e">
        <f t="shared" si="90"/>
        <v>#VALUE!</v>
      </c>
    </row>
    <row r="7438" spans="11:11" x14ac:dyDescent="0.25">
      <c r="K7438" s="8" t="e">
        <f t="shared" si="90"/>
        <v>#VALUE!</v>
      </c>
    </row>
    <row r="7439" spans="11:11" x14ac:dyDescent="0.25">
      <c r="K7439" s="8" t="e">
        <f t="shared" si="90"/>
        <v>#VALUE!</v>
      </c>
    </row>
    <row r="7440" spans="11:11" x14ac:dyDescent="0.25">
      <c r="K7440" s="8" t="e">
        <f t="shared" si="90"/>
        <v>#VALUE!</v>
      </c>
    </row>
    <row r="7441" spans="11:11" x14ac:dyDescent="0.25">
      <c r="K7441" s="8" t="e">
        <f t="shared" si="90"/>
        <v>#VALUE!</v>
      </c>
    </row>
    <row r="7442" spans="11:11" x14ac:dyDescent="0.25">
      <c r="K7442" s="8" t="e">
        <f t="shared" si="90"/>
        <v>#VALUE!</v>
      </c>
    </row>
    <row r="7443" spans="11:11" x14ac:dyDescent="0.25">
      <c r="K7443" s="8" t="e">
        <f t="shared" si="90"/>
        <v>#VALUE!</v>
      </c>
    </row>
    <row r="7444" spans="11:11" x14ac:dyDescent="0.25">
      <c r="K7444" s="8" t="e">
        <f t="shared" si="90"/>
        <v>#VALUE!</v>
      </c>
    </row>
    <row r="7445" spans="11:11" x14ac:dyDescent="0.25">
      <c r="K7445" s="8" t="e">
        <f t="shared" si="90"/>
        <v>#VALUE!</v>
      </c>
    </row>
    <row r="7446" spans="11:11" x14ac:dyDescent="0.25">
      <c r="K7446" s="8" t="e">
        <f t="shared" si="90"/>
        <v>#VALUE!</v>
      </c>
    </row>
    <row r="7447" spans="11:11" x14ac:dyDescent="0.25">
      <c r="K7447" s="8" t="e">
        <f t="shared" si="90"/>
        <v>#VALUE!</v>
      </c>
    </row>
    <row r="7448" spans="11:11" x14ac:dyDescent="0.25">
      <c r="K7448" s="8" t="e">
        <f t="shared" si="90"/>
        <v>#VALUE!</v>
      </c>
    </row>
    <row r="7449" spans="11:11" x14ac:dyDescent="0.25">
      <c r="K7449" s="8" t="e">
        <f t="shared" si="90"/>
        <v>#VALUE!</v>
      </c>
    </row>
    <row r="7450" spans="11:11" x14ac:dyDescent="0.25">
      <c r="K7450" s="8" t="e">
        <f t="shared" si="90"/>
        <v>#VALUE!</v>
      </c>
    </row>
    <row r="7451" spans="11:11" x14ac:dyDescent="0.25">
      <c r="K7451" s="8" t="e">
        <f t="shared" si="90"/>
        <v>#VALUE!</v>
      </c>
    </row>
    <row r="7452" spans="11:11" x14ac:dyDescent="0.25">
      <c r="K7452" s="8" t="e">
        <f t="shared" si="90"/>
        <v>#VALUE!</v>
      </c>
    </row>
    <row r="7453" spans="11:11" x14ac:dyDescent="0.25">
      <c r="K7453" s="8" t="e">
        <f t="shared" si="90"/>
        <v>#VALUE!</v>
      </c>
    </row>
    <row r="7454" spans="11:11" x14ac:dyDescent="0.25">
      <c r="K7454" s="8" t="e">
        <f t="shared" si="90"/>
        <v>#VALUE!</v>
      </c>
    </row>
    <row r="7455" spans="11:11" x14ac:dyDescent="0.25">
      <c r="K7455" s="8" t="e">
        <f t="shared" si="90"/>
        <v>#VALUE!</v>
      </c>
    </row>
    <row r="7456" spans="11:11" x14ac:dyDescent="0.25">
      <c r="K7456" s="8" t="e">
        <f t="shared" si="90"/>
        <v>#VALUE!</v>
      </c>
    </row>
    <row r="7457" spans="11:11" x14ac:dyDescent="0.25">
      <c r="K7457" s="8" t="e">
        <f t="shared" si="90"/>
        <v>#VALUE!</v>
      </c>
    </row>
    <row r="7458" spans="11:11" x14ac:dyDescent="0.25">
      <c r="K7458" s="8" t="e">
        <f t="shared" si="90"/>
        <v>#VALUE!</v>
      </c>
    </row>
    <row r="7459" spans="11:11" x14ac:dyDescent="0.25">
      <c r="K7459" s="8" t="e">
        <f t="shared" si="90"/>
        <v>#VALUE!</v>
      </c>
    </row>
    <row r="7460" spans="11:11" x14ac:dyDescent="0.25">
      <c r="K7460" s="8" t="e">
        <f t="shared" si="90"/>
        <v>#VALUE!</v>
      </c>
    </row>
    <row r="7461" spans="11:11" x14ac:dyDescent="0.25">
      <c r="K7461" s="8" t="e">
        <f t="shared" si="90"/>
        <v>#VALUE!</v>
      </c>
    </row>
    <row r="7462" spans="11:11" x14ac:dyDescent="0.25">
      <c r="K7462" s="8" t="e">
        <f t="shared" si="90"/>
        <v>#VALUE!</v>
      </c>
    </row>
    <row r="7463" spans="11:11" x14ac:dyDescent="0.25">
      <c r="K7463" s="8" t="e">
        <f t="shared" si="90"/>
        <v>#VALUE!</v>
      </c>
    </row>
    <row r="7464" spans="11:11" x14ac:dyDescent="0.25">
      <c r="K7464" s="8" t="e">
        <f t="shared" si="90"/>
        <v>#VALUE!</v>
      </c>
    </row>
    <row r="7465" spans="11:11" x14ac:dyDescent="0.25">
      <c r="K7465" s="8" t="e">
        <f t="shared" si="90"/>
        <v>#VALUE!</v>
      </c>
    </row>
    <row r="7466" spans="11:11" x14ac:dyDescent="0.25">
      <c r="K7466" s="8" t="e">
        <f t="shared" si="90"/>
        <v>#VALUE!</v>
      </c>
    </row>
    <row r="7467" spans="11:11" x14ac:dyDescent="0.25">
      <c r="K7467" s="8" t="e">
        <f t="shared" si="90"/>
        <v>#VALUE!</v>
      </c>
    </row>
    <row r="7468" spans="11:11" x14ac:dyDescent="0.25">
      <c r="K7468" s="8" t="e">
        <f t="shared" si="90"/>
        <v>#VALUE!</v>
      </c>
    </row>
    <row r="7469" spans="11:11" x14ac:dyDescent="0.25">
      <c r="K7469" s="8" t="e">
        <f t="shared" si="90"/>
        <v>#VALUE!</v>
      </c>
    </row>
    <row r="7470" spans="11:11" x14ac:dyDescent="0.25">
      <c r="K7470" s="8" t="e">
        <f t="shared" si="90"/>
        <v>#VALUE!</v>
      </c>
    </row>
    <row r="7471" spans="11:11" x14ac:dyDescent="0.25">
      <c r="K7471" s="8" t="e">
        <f t="shared" si="90"/>
        <v>#VALUE!</v>
      </c>
    </row>
    <row r="7472" spans="11:11" x14ac:dyDescent="0.25">
      <c r="K7472" s="8" t="e">
        <f t="shared" si="90"/>
        <v>#VALUE!</v>
      </c>
    </row>
    <row r="7473" spans="11:11" x14ac:dyDescent="0.25">
      <c r="K7473" s="8" t="e">
        <f t="shared" si="90"/>
        <v>#VALUE!</v>
      </c>
    </row>
    <row r="7474" spans="11:11" x14ac:dyDescent="0.25">
      <c r="K7474" s="8" t="e">
        <f t="shared" si="90"/>
        <v>#VALUE!</v>
      </c>
    </row>
    <row r="7475" spans="11:11" x14ac:dyDescent="0.25">
      <c r="K7475" s="8" t="e">
        <f t="shared" si="90"/>
        <v>#VALUE!</v>
      </c>
    </row>
    <row r="7476" spans="11:11" x14ac:dyDescent="0.25">
      <c r="K7476" s="8" t="e">
        <f t="shared" si="90"/>
        <v>#VALUE!</v>
      </c>
    </row>
    <row r="7477" spans="11:11" x14ac:dyDescent="0.25">
      <c r="K7477" s="8" t="e">
        <f t="shared" si="90"/>
        <v>#VALUE!</v>
      </c>
    </row>
    <row r="7478" spans="11:11" x14ac:dyDescent="0.25">
      <c r="K7478" s="8" t="e">
        <f t="shared" si="90"/>
        <v>#VALUE!</v>
      </c>
    </row>
    <row r="7479" spans="11:11" x14ac:dyDescent="0.25">
      <c r="K7479" s="8" t="e">
        <f t="shared" si="90"/>
        <v>#VALUE!</v>
      </c>
    </row>
    <row r="7480" spans="11:11" x14ac:dyDescent="0.25">
      <c r="K7480" s="8" t="e">
        <f t="shared" si="90"/>
        <v>#VALUE!</v>
      </c>
    </row>
    <row r="7481" spans="11:11" x14ac:dyDescent="0.25">
      <c r="K7481" s="8" t="e">
        <f t="shared" si="90"/>
        <v>#VALUE!</v>
      </c>
    </row>
    <row r="7482" spans="11:11" x14ac:dyDescent="0.25">
      <c r="K7482" s="8" t="e">
        <f t="shared" si="90"/>
        <v>#VALUE!</v>
      </c>
    </row>
    <row r="7483" spans="11:11" x14ac:dyDescent="0.25">
      <c r="K7483" s="8" t="e">
        <f t="shared" si="90"/>
        <v>#VALUE!</v>
      </c>
    </row>
    <row r="7484" spans="11:11" x14ac:dyDescent="0.25">
      <c r="K7484" s="8" t="e">
        <f t="shared" si="90"/>
        <v>#VALUE!</v>
      </c>
    </row>
    <row r="7485" spans="11:11" x14ac:dyDescent="0.25">
      <c r="K7485" s="8" t="e">
        <f t="shared" si="90"/>
        <v>#VALUE!</v>
      </c>
    </row>
    <row r="7486" spans="11:11" x14ac:dyDescent="0.25">
      <c r="K7486" s="8" t="e">
        <f t="shared" si="90"/>
        <v>#VALUE!</v>
      </c>
    </row>
    <row r="7487" spans="11:11" x14ac:dyDescent="0.25">
      <c r="K7487" s="8" t="e">
        <f t="shared" si="90"/>
        <v>#VALUE!</v>
      </c>
    </row>
    <row r="7488" spans="11:11" x14ac:dyDescent="0.25">
      <c r="K7488" s="8" t="e">
        <f t="shared" si="90"/>
        <v>#VALUE!</v>
      </c>
    </row>
    <row r="7489" spans="11:11" x14ac:dyDescent="0.25">
      <c r="K7489" s="8" t="e">
        <f t="shared" si="90"/>
        <v>#VALUE!</v>
      </c>
    </row>
    <row r="7490" spans="11:11" x14ac:dyDescent="0.25">
      <c r="K7490" s="8" t="e">
        <f t="shared" si="90"/>
        <v>#VALUE!</v>
      </c>
    </row>
    <row r="7491" spans="11:11" x14ac:dyDescent="0.25">
      <c r="K7491" s="8" t="e">
        <f t="shared" ref="K7491:K7554" si="91">LEFT(A7491,FIND("/",A7491)-1)</f>
        <v>#VALUE!</v>
      </c>
    </row>
    <row r="7492" spans="11:11" x14ac:dyDescent="0.25">
      <c r="K7492" s="8" t="e">
        <f t="shared" si="91"/>
        <v>#VALUE!</v>
      </c>
    </row>
    <row r="7493" spans="11:11" x14ac:dyDescent="0.25">
      <c r="K7493" s="8" t="e">
        <f t="shared" si="91"/>
        <v>#VALUE!</v>
      </c>
    </row>
    <row r="7494" spans="11:11" x14ac:dyDescent="0.25">
      <c r="K7494" s="8" t="e">
        <f t="shared" si="91"/>
        <v>#VALUE!</v>
      </c>
    </row>
    <row r="7495" spans="11:11" x14ac:dyDescent="0.25">
      <c r="K7495" s="8" t="e">
        <f t="shared" si="91"/>
        <v>#VALUE!</v>
      </c>
    </row>
    <row r="7496" spans="11:11" x14ac:dyDescent="0.25">
      <c r="K7496" s="8" t="e">
        <f t="shared" si="91"/>
        <v>#VALUE!</v>
      </c>
    </row>
    <row r="7497" spans="11:11" x14ac:dyDescent="0.25">
      <c r="K7497" s="8" t="e">
        <f t="shared" si="91"/>
        <v>#VALUE!</v>
      </c>
    </row>
    <row r="7498" spans="11:11" x14ac:dyDescent="0.25">
      <c r="K7498" s="8" t="e">
        <f t="shared" si="91"/>
        <v>#VALUE!</v>
      </c>
    </row>
    <row r="7499" spans="11:11" x14ac:dyDescent="0.25">
      <c r="K7499" s="8" t="e">
        <f t="shared" si="91"/>
        <v>#VALUE!</v>
      </c>
    </row>
    <row r="7500" spans="11:11" x14ac:dyDescent="0.25">
      <c r="K7500" s="8" t="e">
        <f t="shared" si="91"/>
        <v>#VALUE!</v>
      </c>
    </row>
    <row r="7501" spans="11:11" x14ac:dyDescent="0.25">
      <c r="K7501" s="8" t="e">
        <f t="shared" si="91"/>
        <v>#VALUE!</v>
      </c>
    </row>
    <row r="7502" spans="11:11" x14ac:dyDescent="0.25">
      <c r="K7502" s="8" t="e">
        <f t="shared" si="91"/>
        <v>#VALUE!</v>
      </c>
    </row>
    <row r="7503" spans="11:11" x14ac:dyDescent="0.25">
      <c r="K7503" s="8" t="e">
        <f t="shared" si="91"/>
        <v>#VALUE!</v>
      </c>
    </row>
    <row r="7504" spans="11:11" x14ac:dyDescent="0.25">
      <c r="K7504" s="8" t="e">
        <f t="shared" si="91"/>
        <v>#VALUE!</v>
      </c>
    </row>
    <row r="7505" spans="11:11" x14ac:dyDescent="0.25">
      <c r="K7505" s="8" t="e">
        <f t="shared" si="91"/>
        <v>#VALUE!</v>
      </c>
    </row>
    <row r="7506" spans="11:11" x14ac:dyDescent="0.25">
      <c r="K7506" s="8" t="e">
        <f t="shared" si="91"/>
        <v>#VALUE!</v>
      </c>
    </row>
    <row r="7507" spans="11:11" x14ac:dyDescent="0.25">
      <c r="K7507" s="8" t="e">
        <f t="shared" si="91"/>
        <v>#VALUE!</v>
      </c>
    </row>
    <row r="7508" spans="11:11" x14ac:dyDescent="0.25">
      <c r="K7508" s="8" t="e">
        <f t="shared" si="91"/>
        <v>#VALUE!</v>
      </c>
    </row>
    <row r="7509" spans="11:11" x14ac:dyDescent="0.25">
      <c r="K7509" s="8" t="e">
        <f t="shared" si="91"/>
        <v>#VALUE!</v>
      </c>
    </row>
    <row r="7510" spans="11:11" x14ac:dyDescent="0.25">
      <c r="K7510" s="8" t="e">
        <f t="shared" si="91"/>
        <v>#VALUE!</v>
      </c>
    </row>
    <row r="7511" spans="11:11" x14ac:dyDescent="0.25">
      <c r="K7511" s="8" t="e">
        <f t="shared" si="91"/>
        <v>#VALUE!</v>
      </c>
    </row>
    <row r="7512" spans="11:11" x14ac:dyDescent="0.25">
      <c r="K7512" s="8" t="e">
        <f t="shared" si="91"/>
        <v>#VALUE!</v>
      </c>
    </row>
    <row r="7513" spans="11:11" x14ac:dyDescent="0.25">
      <c r="K7513" s="8" t="e">
        <f t="shared" si="91"/>
        <v>#VALUE!</v>
      </c>
    </row>
    <row r="7514" spans="11:11" x14ac:dyDescent="0.25">
      <c r="K7514" s="8" t="e">
        <f t="shared" si="91"/>
        <v>#VALUE!</v>
      </c>
    </row>
    <row r="7515" spans="11:11" x14ac:dyDescent="0.25">
      <c r="K7515" s="8" t="e">
        <f t="shared" si="91"/>
        <v>#VALUE!</v>
      </c>
    </row>
    <row r="7516" spans="11:11" x14ac:dyDescent="0.25">
      <c r="K7516" s="8" t="e">
        <f t="shared" si="91"/>
        <v>#VALUE!</v>
      </c>
    </row>
    <row r="7517" spans="11:11" x14ac:dyDescent="0.25">
      <c r="K7517" s="8" t="e">
        <f t="shared" si="91"/>
        <v>#VALUE!</v>
      </c>
    </row>
    <row r="7518" spans="11:11" x14ac:dyDescent="0.25">
      <c r="K7518" s="8" t="e">
        <f t="shared" si="91"/>
        <v>#VALUE!</v>
      </c>
    </row>
    <row r="7519" spans="11:11" x14ac:dyDescent="0.25">
      <c r="K7519" s="8" t="e">
        <f t="shared" si="91"/>
        <v>#VALUE!</v>
      </c>
    </row>
    <row r="7520" spans="11:11" x14ac:dyDescent="0.25">
      <c r="K7520" s="8" t="e">
        <f t="shared" si="91"/>
        <v>#VALUE!</v>
      </c>
    </row>
    <row r="7521" spans="11:11" x14ac:dyDescent="0.25">
      <c r="K7521" s="8" t="e">
        <f t="shared" si="91"/>
        <v>#VALUE!</v>
      </c>
    </row>
    <row r="7522" spans="11:11" x14ac:dyDescent="0.25">
      <c r="K7522" s="8" t="e">
        <f t="shared" si="91"/>
        <v>#VALUE!</v>
      </c>
    </row>
    <row r="7523" spans="11:11" x14ac:dyDescent="0.25">
      <c r="K7523" s="8" t="e">
        <f t="shared" si="91"/>
        <v>#VALUE!</v>
      </c>
    </row>
    <row r="7524" spans="11:11" x14ac:dyDescent="0.25">
      <c r="K7524" s="8" t="e">
        <f t="shared" si="91"/>
        <v>#VALUE!</v>
      </c>
    </row>
    <row r="7525" spans="11:11" x14ac:dyDescent="0.25">
      <c r="K7525" s="8" t="e">
        <f t="shared" si="91"/>
        <v>#VALUE!</v>
      </c>
    </row>
    <row r="7526" spans="11:11" x14ac:dyDescent="0.25">
      <c r="K7526" s="8" t="e">
        <f t="shared" si="91"/>
        <v>#VALUE!</v>
      </c>
    </row>
    <row r="7527" spans="11:11" x14ac:dyDescent="0.25">
      <c r="K7527" s="8" t="e">
        <f t="shared" si="91"/>
        <v>#VALUE!</v>
      </c>
    </row>
    <row r="7528" spans="11:11" x14ac:dyDescent="0.25">
      <c r="K7528" s="8" t="e">
        <f t="shared" si="91"/>
        <v>#VALUE!</v>
      </c>
    </row>
    <row r="7529" spans="11:11" x14ac:dyDescent="0.25">
      <c r="K7529" s="8" t="e">
        <f t="shared" si="91"/>
        <v>#VALUE!</v>
      </c>
    </row>
    <row r="7530" spans="11:11" x14ac:dyDescent="0.25">
      <c r="K7530" s="8" t="e">
        <f t="shared" si="91"/>
        <v>#VALUE!</v>
      </c>
    </row>
    <row r="7531" spans="11:11" x14ac:dyDescent="0.25">
      <c r="K7531" s="8" t="e">
        <f t="shared" si="91"/>
        <v>#VALUE!</v>
      </c>
    </row>
    <row r="7532" spans="11:11" x14ac:dyDescent="0.25">
      <c r="K7532" s="8" t="e">
        <f t="shared" si="91"/>
        <v>#VALUE!</v>
      </c>
    </row>
    <row r="7533" spans="11:11" x14ac:dyDescent="0.25">
      <c r="K7533" s="8" t="e">
        <f t="shared" si="91"/>
        <v>#VALUE!</v>
      </c>
    </row>
    <row r="7534" spans="11:11" x14ac:dyDescent="0.25">
      <c r="K7534" s="8" t="e">
        <f t="shared" si="91"/>
        <v>#VALUE!</v>
      </c>
    </row>
    <row r="7535" spans="11:11" x14ac:dyDescent="0.25">
      <c r="K7535" s="8" t="e">
        <f t="shared" si="91"/>
        <v>#VALUE!</v>
      </c>
    </row>
    <row r="7536" spans="11:11" x14ac:dyDescent="0.25">
      <c r="K7536" s="8" t="e">
        <f t="shared" si="91"/>
        <v>#VALUE!</v>
      </c>
    </row>
    <row r="7537" spans="11:11" x14ac:dyDescent="0.25">
      <c r="K7537" s="8" t="e">
        <f t="shared" si="91"/>
        <v>#VALUE!</v>
      </c>
    </row>
    <row r="7538" spans="11:11" x14ac:dyDescent="0.25">
      <c r="K7538" s="8" t="e">
        <f t="shared" si="91"/>
        <v>#VALUE!</v>
      </c>
    </row>
    <row r="7539" spans="11:11" x14ac:dyDescent="0.25">
      <c r="K7539" s="8" t="e">
        <f t="shared" si="91"/>
        <v>#VALUE!</v>
      </c>
    </row>
    <row r="7540" spans="11:11" x14ac:dyDescent="0.25">
      <c r="K7540" s="8" t="e">
        <f t="shared" si="91"/>
        <v>#VALUE!</v>
      </c>
    </row>
    <row r="7541" spans="11:11" x14ac:dyDescent="0.25">
      <c r="K7541" s="8" t="e">
        <f t="shared" si="91"/>
        <v>#VALUE!</v>
      </c>
    </row>
    <row r="7542" spans="11:11" x14ac:dyDescent="0.25">
      <c r="K7542" s="8" t="e">
        <f t="shared" si="91"/>
        <v>#VALUE!</v>
      </c>
    </row>
    <row r="7543" spans="11:11" x14ac:dyDescent="0.25">
      <c r="K7543" s="8" t="e">
        <f t="shared" si="91"/>
        <v>#VALUE!</v>
      </c>
    </row>
    <row r="7544" spans="11:11" x14ac:dyDescent="0.25">
      <c r="K7544" s="8" t="e">
        <f t="shared" si="91"/>
        <v>#VALUE!</v>
      </c>
    </row>
    <row r="7545" spans="11:11" x14ac:dyDescent="0.25">
      <c r="K7545" s="8" t="e">
        <f t="shared" si="91"/>
        <v>#VALUE!</v>
      </c>
    </row>
    <row r="7546" spans="11:11" x14ac:dyDescent="0.25">
      <c r="K7546" s="8" t="e">
        <f t="shared" si="91"/>
        <v>#VALUE!</v>
      </c>
    </row>
    <row r="7547" spans="11:11" x14ac:dyDescent="0.25">
      <c r="K7547" s="8" t="e">
        <f t="shared" si="91"/>
        <v>#VALUE!</v>
      </c>
    </row>
    <row r="7548" spans="11:11" x14ac:dyDescent="0.25">
      <c r="K7548" s="8" t="e">
        <f t="shared" si="91"/>
        <v>#VALUE!</v>
      </c>
    </row>
    <row r="7549" spans="11:11" x14ac:dyDescent="0.25">
      <c r="K7549" s="8" t="e">
        <f t="shared" si="91"/>
        <v>#VALUE!</v>
      </c>
    </row>
    <row r="7550" spans="11:11" x14ac:dyDescent="0.25">
      <c r="K7550" s="8" t="e">
        <f t="shared" si="91"/>
        <v>#VALUE!</v>
      </c>
    </row>
    <row r="7551" spans="11:11" x14ac:dyDescent="0.25">
      <c r="K7551" s="8" t="e">
        <f t="shared" si="91"/>
        <v>#VALUE!</v>
      </c>
    </row>
    <row r="7552" spans="11:11" x14ac:dyDescent="0.25">
      <c r="K7552" s="8" t="e">
        <f t="shared" si="91"/>
        <v>#VALUE!</v>
      </c>
    </row>
    <row r="7553" spans="11:11" x14ac:dyDescent="0.25">
      <c r="K7553" s="8" t="e">
        <f t="shared" si="91"/>
        <v>#VALUE!</v>
      </c>
    </row>
    <row r="7554" spans="11:11" x14ac:dyDescent="0.25">
      <c r="K7554" s="8" t="e">
        <f t="shared" si="91"/>
        <v>#VALUE!</v>
      </c>
    </row>
    <row r="7555" spans="11:11" x14ac:dyDescent="0.25">
      <c r="K7555" s="8" t="e">
        <f t="shared" ref="K7555:K7618" si="92">LEFT(A7555,FIND("/",A7555)-1)</f>
        <v>#VALUE!</v>
      </c>
    </row>
    <row r="7556" spans="11:11" x14ac:dyDescent="0.25">
      <c r="K7556" s="8" t="e">
        <f t="shared" si="92"/>
        <v>#VALUE!</v>
      </c>
    </row>
    <row r="7557" spans="11:11" x14ac:dyDescent="0.25">
      <c r="K7557" s="8" t="e">
        <f t="shared" si="92"/>
        <v>#VALUE!</v>
      </c>
    </row>
    <row r="7558" spans="11:11" x14ac:dyDescent="0.25">
      <c r="K7558" s="8" t="e">
        <f t="shared" si="92"/>
        <v>#VALUE!</v>
      </c>
    </row>
    <row r="7559" spans="11:11" x14ac:dyDescent="0.25">
      <c r="K7559" s="8" t="e">
        <f t="shared" si="92"/>
        <v>#VALUE!</v>
      </c>
    </row>
    <row r="7560" spans="11:11" x14ac:dyDescent="0.25">
      <c r="K7560" s="8" t="e">
        <f t="shared" si="92"/>
        <v>#VALUE!</v>
      </c>
    </row>
    <row r="7561" spans="11:11" x14ac:dyDescent="0.25">
      <c r="K7561" s="8" t="e">
        <f t="shared" si="92"/>
        <v>#VALUE!</v>
      </c>
    </row>
    <row r="7562" spans="11:11" x14ac:dyDescent="0.25">
      <c r="K7562" s="8" t="e">
        <f t="shared" si="92"/>
        <v>#VALUE!</v>
      </c>
    </row>
    <row r="7563" spans="11:11" x14ac:dyDescent="0.25">
      <c r="K7563" s="8" t="e">
        <f t="shared" si="92"/>
        <v>#VALUE!</v>
      </c>
    </row>
    <row r="7564" spans="11:11" x14ac:dyDescent="0.25">
      <c r="K7564" s="8" t="e">
        <f t="shared" si="92"/>
        <v>#VALUE!</v>
      </c>
    </row>
    <row r="7565" spans="11:11" x14ac:dyDescent="0.25">
      <c r="K7565" s="8" t="e">
        <f t="shared" si="92"/>
        <v>#VALUE!</v>
      </c>
    </row>
    <row r="7566" spans="11:11" x14ac:dyDescent="0.25">
      <c r="K7566" s="8" t="e">
        <f t="shared" si="92"/>
        <v>#VALUE!</v>
      </c>
    </row>
    <row r="7567" spans="11:11" x14ac:dyDescent="0.25">
      <c r="K7567" s="8" t="e">
        <f t="shared" si="92"/>
        <v>#VALUE!</v>
      </c>
    </row>
    <row r="7568" spans="11:11" x14ac:dyDescent="0.25">
      <c r="K7568" s="8" t="e">
        <f t="shared" si="92"/>
        <v>#VALUE!</v>
      </c>
    </row>
    <row r="7569" spans="11:11" x14ac:dyDescent="0.25">
      <c r="K7569" s="8" t="e">
        <f t="shared" si="92"/>
        <v>#VALUE!</v>
      </c>
    </row>
    <row r="7570" spans="11:11" x14ac:dyDescent="0.25">
      <c r="K7570" s="8" t="e">
        <f t="shared" si="92"/>
        <v>#VALUE!</v>
      </c>
    </row>
    <row r="7571" spans="11:11" x14ac:dyDescent="0.25">
      <c r="K7571" s="8" t="e">
        <f t="shared" si="92"/>
        <v>#VALUE!</v>
      </c>
    </row>
    <row r="7572" spans="11:11" x14ac:dyDescent="0.25">
      <c r="K7572" s="8" t="e">
        <f t="shared" si="92"/>
        <v>#VALUE!</v>
      </c>
    </row>
    <row r="7573" spans="11:11" x14ac:dyDescent="0.25">
      <c r="K7573" s="8" t="e">
        <f t="shared" si="92"/>
        <v>#VALUE!</v>
      </c>
    </row>
    <row r="7574" spans="11:11" x14ac:dyDescent="0.25">
      <c r="K7574" s="8" t="e">
        <f t="shared" si="92"/>
        <v>#VALUE!</v>
      </c>
    </row>
    <row r="7575" spans="11:11" x14ac:dyDescent="0.25">
      <c r="K7575" s="8" t="e">
        <f t="shared" si="92"/>
        <v>#VALUE!</v>
      </c>
    </row>
    <row r="7576" spans="11:11" x14ac:dyDescent="0.25">
      <c r="K7576" s="8" t="e">
        <f t="shared" si="92"/>
        <v>#VALUE!</v>
      </c>
    </row>
    <row r="7577" spans="11:11" x14ac:dyDescent="0.25">
      <c r="K7577" s="8" t="e">
        <f t="shared" si="92"/>
        <v>#VALUE!</v>
      </c>
    </row>
    <row r="7578" spans="11:11" x14ac:dyDescent="0.25">
      <c r="K7578" s="8" t="e">
        <f t="shared" si="92"/>
        <v>#VALUE!</v>
      </c>
    </row>
    <row r="7579" spans="11:11" x14ac:dyDescent="0.25">
      <c r="K7579" s="8" t="e">
        <f t="shared" si="92"/>
        <v>#VALUE!</v>
      </c>
    </row>
    <row r="7580" spans="11:11" x14ac:dyDescent="0.25">
      <c r="K7580" s="8" t="e">
        <f t="shared" si="92"/>
        <v>#VALUE!</v>
      </c>
    </row>
    <row r="7581" spans="11:11" x14ac:dyDescent="0.25">
      <c r="K7581" s="8" t="e">
        <f t="shared" si="92"/>
        <v>#VALUE!</v>
      </c>
    </row>
    <row r="7582" spans="11:11" x14ac:dyDescent="0.25">
      <c r="K7582" s="8" t="e">
        <f t="shared" si="92"/>
        <v>#VALUE!</v>
      </c>
    </row>
    <row r="7583" spans="11:11" x14ac:dyDescent="0.25">
      <c r="K7583" s="8" t="e">
        <f t="shared" si="92"/>
        <v>#VALUE!</v>
      </c>
    </row>
    <row r="7584" spans="11:11" x14ac:dyDescent="0.25">
      <c r="K7584" s="8" t="e">
        <f t="shared" si="92"/>
        <v>#VALUE!</v>
      </c>
    </row>
    <row r="7585" spans="11:11" x14ac:dyDescent="0.25">
      <c r="K7585" s="8" t="e">
        <f t="shared" si="92"/>
        <v>#VALUE!</v>
      </c>
    </row>
    <row r="7586" spans="11:11" x14ac:dyDescent="0.25">
      <c r="K7586" s="8" t="e">
        <f t="shared" si="92"/>
        <v>#VALUE!</v>
      </c>
    </row>
    <row r="7587" spans="11:11" x14ac:dyDescent="0.25">
      <c r="K7587" s="8" t="e">
        <f t="shared" si="92"/>
        <v>#VALUE!</v>
      </c>
    </row>
    <row r="7588" spans="11:11" x14ac:dyDescent="0.25">
      <c r="K7588" s="8" t="e">
        <f t="shared" si="92"/>
        <v>#VALUE!</v>
      </c>
    </row>
    <row r="7589" spans="11:11" x14ac:dyDescent="0.25">
      <c r="K7589" s="8" t="e">
        <f t="shared" si="92"/>
        <v>#VALUE!</v>
      </c>
    </row>
    <row r="7590" spans="11:11" x14ac:dyDescent="0.25">
      <c r="K7590" s="8" t="e">
        <f t="shared" si="92"/>
        <v>#VALUE!</v>
      </c>
    </row>
    <row r="7591" spans="11:11" x14ac:dyDescent="0.25">
      <c r="K7591" s="8" t="e">
        <f t="shared" si="92"/>
        <v>#VALUE!</v>
      </c>
    </row>
    <row r="7592" spans="11:11" x14ac:dyDescent="0.25">
      <c r="K7592" s="8" t="e">
        <f t="shared" si="92"/>
        <v>#VALUE!</v>
      </c>
    </row>
    <row r="7593" spans="11:11" x14ac:dyDescent="0.25">
      <c r="K7593" s="8" t="e">
        <f t="shared" si="92"/>
        <v>#VALUE!</v>
      </c>
    </row>
    <row r="7594" spans="11:11" x14ac:dyDescent="0.25">
      <c r="K7594" s="8" t="e">
        <f t="shared" si="92"/>
        <v>#VALUE!</v>
      </c>
    </row>
    <row r="7595" spans="11:11" x14ac:dyDescent="0.25">
      <c r="K7595" s="8" t="e">
        <f t="shared" si="92"/>
        <v>#VALUE!</v>
      </c>
    </row>
    <row r="7596" spans="11:11" x14ac:dyDescent="0.25">
      <c r="K7596" s="8" t="e">
        <f t="shared" si="92"/>
        <v>#VALUE!</v>
      </c>
    </row>
    <row r="7597" spans="11:11" x14ac:dyDescent="0.25">
      <c r="K7597" s="8" t="e">
        <f t="shared" si="92"/>
        <v>#VALUE!</v>
      </c>
    </row>
    <row r="7598" spans="11:11" x14ac:dyDescent="0.25">
      <c r="K7598" s="8" t="e">
        <f t="shared" si="92"/>
        <v>#VALUE!</v>
      </c>
    </row>
    <row r="7599" spans="11:11" x14ac:dyDescent="0.25">
      <c r="K7599" s="8" t="e">
        <f t="shared" si="92"/>
        <v>#VALUE!</v>
      </c>
    </row>
    <row r="7600" spans="11:11" x14ac:dyDescent="0.25">
      <c r="K7600" s="8" t="e">
        <f t="shared" si="92"/>
        <v>#VALUE!</v>
      </c>
    </row>
    <row r="7601" spans="11:11" x14ac:dyDescent="0.25">
      <c r="K7601" s="8" t="e">
        <f t="shared" si="92"/>
        <v>#VALUE!</v>
      </c>
    </row>
    <row r="7602" spans="11:11" x14ac:dyDescent="0.25">
      <c r="K7602" s="8" t="e">
        <f t="shared" si="92"/>
        <v>#VALUE!</v>
      </c>
    </row>
    <row r="7603" spans="11:11" x14ac:dyDescent="0.25">
      <c r="K7603" s="8" t="e">
        <f t="shared" si="92"/>
        <v>#VALUE!</v>
      </c>
    </row>
    <row r="7604" spans="11:11" x14ac:dyDescent="0.25">
      <c r="K7604" s="8" t="e">
        <f t="shared" si="92"/>
        <v>#VALUE!</v>
      </c>
    </row>
    <row r="7605" spans="11:11" x14ac:dyDescent="0.25">
      <c r="K7605" s="8" t="e">
        <f t="shared" si="92"/>
        <v>#VALUE!</v>
      </c>
    </row>
    <row r="7606" spans="11:11" x14ac:dyDescent="0.25">
      <c r="K7606" s="8" t="e">
        <f t="shared" si="92"/>
        <v>#VALUE!</v>
      </c>
    </row>
    <row r="7607" spans="11:11" x14ac:dyDescent="0.25">
      <c r="K7607" s="8" t="e">
        <f t="shared" si="92"/>
        <v>#VALUE!</v>
      </c>
    </row>
    <row r="7608" spans="11:11" x14ac:dyDescent="0.25">
      <c r="K7608" s="8" t="e">
        <f t="shared" si="92"/>
        <v>#VALUE!</v>
      </c>
    </row>
    <row r="7609" spans="11:11" x14ac:dyDescent="0.25">
      <c r="K7609" s="8" t="e">
        <f t="shared" si="92"/>
        <v>#VALUE!</v>
      </c>
    </row>
    <row r="7610" spans="11:11" x14ac:dyDescent="0.25">
      <c r="K7610" s="8" t="e">
        <f t="shared" si="92"/>
        <v>#VALUE!</v>
      </c>
    </row>
    <row r="7611" spans="11:11" x14ac:dyDescent="0.25">
      <c r="K7611" s="8" t="e">
        <f t="shared" si="92"/>
        <v>#VALUE!</v>
      </c>
    </row>
    <row r="7612" spans="11:11" x14ac:dyDescent="0.25">
      <c r="K7612" s="8" t="e">
        <f t="shared" si="92"/>
        <v>#VALUE!</v>
      </c>
    </row>
    <row r="7613" spans="11:11" x14ac:dyDescent="0.25">
      <c r="K7613" s="8" t="e">
        <f t="shared" si="92"/>
        <v>#VALUE!</v>
      </c>
    </row>
    <row r="7614" spans="11:11" x14ac:dyDescent="0.25">
      <c r="K7614" s="8" t="e">
        <f t="shared" si="92"/>
        <v>#VALUE!</v>
      </c>
    </row>
    <row r="7615" spans="11:11" x14ac:dyDescent="0.25">
      <c r="K7615" s="8" t="e">
        <f t="shared" si="92"/>
        <v>#VALUE!</v>
      </c>
    </row>
    <row r="7616" spans="11:11" x14ac:dyDescent="0.25">
      <c r="K7616" s="8" t="e">
        <f t="shared" si="92"/>
        <v>#VALUE!</v>
      </c>
    </row>
    <row r="7617" spans="11:11" x14ac:dyDescent="0.25">
      <c r="K7617" s="8" t="e">
        <f t="shared" si="92"/>
        <v>#VALUE!</v>
      </c>
    </row>
    <row r="7618" spans="11:11" x14ac:dyDescent="0.25">
      <c r="K7618" s="8" t="e">
        <f t="shared" si="92"/>
        <v>#VALUE!</v>
      </c>
    </row>
    <row r="7619" spans="11:11" x14ac:dyDescent="0.25">
      <c r="K7619" s="8" t="e">
        <f t="shared" ref="K7619:K7682" si="93">LEFT(A7619,FIND("/",A7619)-1)</f>
        <v>#VALUE!</v>
      </c>
    </row>
    <row r="7620" spans="11:11" x14ac:dyDescent="0.25">
      <c r="K7620" s="8" t="e">
        <f t="shared" si="93"/>
        <v>#VALUE!</v>
      </c>
    </row>
    <row r="7621" spans="11:11" x14ac:dyDescent="0.25">
      <c r="K7621" s="8" t="e">
        <f t="shared" si="93"/>
        <v>#VALUE!</v>
      </c>
    </row>
    <row r="7622" spans="11:11" x14ac:dyDescent="0.25">
      <c r="K7622" s="8" t="e">
        <f t="shared" si="93"/>
        <v>#VALUE!</v>
      </c>
    </row>
    <row r="7623" spans="11:11" x14ac:dyDescent="0.25">
      <c r="K7623" s="8" t="e">
        <f t="shared" si="93"/>
        <v>#VALUE!</v>
      </c>
    </row>
    <row r="7624" spans="11:11" x14ac:dyDescent="0.25">
      <c r="K7624" s="8" t="e">
        <f t="shared" si="93"/>
        <v>#VALUE!</v>
      </c>
    </row>
    <row r="7625" spans="11:11" x14ac:dyDescent="0.25">
      <c r="K7625" s="8" t="e">
        <f t="shared" si="93"/>
        <v>#VALUE!</v>
      </c>
    </row>
    <row r="7626" spans="11:11" x14ac:dyDescent="0.25">
      <c r="K7626" s="8" t="e">
        <f t="shared" si="93"/>
        <v>#VALUE!</v>
      </c>
    </row>
    <row r="7627" spans="11:11" x14ac:dyDescent="0.25">
      <c r="K7627" s="8" t="e">
        <f t="shared" si="93"/>
        <v>#VALUE!</v>
      </c>
    </row>
    <row r="7628" spans="11:11" x14ac:dyDescent="0.25">
      <c r="K7628" s="8" t="e">
        <f t="shared" si="93"/>
        <v>#VALUE!</v>
      </c>
    </row>
    <row r="7629" spans="11:11" x14ac:dyDescent="0.25">
      <c r="K7629" s="8" t="e">
        <f t="shared" si="93"/>
        <v>#VALUE!</v>
      </c>
    </row>
    <row r="7630" spans="11:11" x14ac:dyDescent="0.25">
      <c r="K7630" s="8" t="e">
        <f t="shared" si="93"/>
        <v>#VALUE!</v>
      </c>
    </row>
    <row r="7631" spans="11:11" x14ac:dyDescent="0.25">
      <c r="K7631" s="8" t="e">
        <f t="shared" si="93"/>
        <v>#VALUE!</v>
      </c>
    </row>
    <row r="7632" spans="11:11" x14ac:dyDescent="0.25">
      <c r="K7632" s="8" t="e">
        <f t="shared" si="93"/>
        <v>#VALUE!</v>
      </c>
    </row>
    <row r="7633" spans="11:11" x14ac:dyDescent="0.25">
      <c r="K7633" s="8" t="e">
        <f t="shared" si="93"/>
        <v>#VALUE!</v>
      </c>
    </row>
    <row r="7634" spans="11:11" x14ac:dyDescent="0.25">
      <c r="K7634" s="8" t="e">
        <f t="shared" si="93"/>
        <v>#VALUE!</v>
      </c>
    </row>
    <row r="7635" spans="11:11" x14ac:dyDescent="0.25">
      <c r="K7635" s="8" t="e">
        <f t="shared" si="93"/>
        <v>#VALUE!</v>
      </c>
    </row>
    <row r="7636" spans="11:11" x14ac:dyDescent="0.25">
      <c r="K7636" s="8" t="e">
        <f t="shared" si="93"/>
        <v>#VALUE!</v>
      </c>
    </row>
    <row r="7637" spans="11:11" x14ac:dyDescent="0.25">
      <c r="K7637" s="8" t="e">
        <f t="shared" si="93"/>
        <v>#VALUE!</v>
      </c>
    </row>
    <row r="7638" spans="11:11" x14ac:dyDescent="0.25">
      <c r="K7638" s="8" t="e">
        <f t="shared" si="93"/>
        <v>#VALUE!</v>
      </c>
    </row>
    <row r="7639" spans="11:11" x14ac:dyDescent="0.25">
      <c r="K7639" s="8" t="e">
        <f t="shared" si="93"/>
        <v>#VALUE!</v>
      </c>
    </row>
    <row r="7640" spans="11:11" x14ac:dyDescent="0.25">
      <c r="K7640" s="8" t="e">
        <f t="shared" si="93"/>
        <v>#VALUE!</v>
      </c>
    </row>
    <row r="7641" spans="11:11" x14ac:dyDescent="0.25">
      <c r="K7641" s="8" t="e">
        <f t="shared" si="93"/>
        <v>#VALUE!</v>
      </c>
    </row>
    <row r="7642" spans="11:11" x14ac:dyDescent="0.25">
      <c r="K7642" s="8" t="e">
        <f t="shared" si="93"/>
        <v>#VALUE!</v>
      </c>
    </row>
    <row r="7643" spans="11:11" x14ac:dyDescent="0.25">
      <c r="K7643" s="8" t="e">
        <f t="shared" si="93"/>
        <v>#VALUE!</v>
      </c>
    </row>
    <row r="7644" spans="11:11" x14ac:dyDescent="0.25">
      <c r="K7644" s="8" t="e">
        <f t="shared" si="93"/>
        <v>#VALUE!</v>
      </c>
    </row>
    <row r="7645" spans="11:11" x14ac:dyDescent="0.25">
      <c r="K7645" s="8" t="e">
        <f t="shared" si="93"/>
        <v>#VALUE!</v>
      </c>
    </row>
    <row r="7646" spans="11:11" x14ac:dyDescent="0.25">
      <c r="K7646" s="8" t="e">
        <f t="shared" si="93"/>
        <v>#VALUE!</v>
      </c>
    </row>
    <row r="7647" spans="11:11" x14ac:dyDescent="0.25">
      <c r="K7647" s="8" t="e">
        <f t="shared" si="93"/>
        <v>#VALUE!</v>
      </c>
    </row>
    <row r="7648" spans="11:11" x14ac:dyDescent="0.25">
      <c r="K7648" s="8" t="e">
        <f t="shared" si="93"/>
        <v>#VALUE!</v>
      </c>
    </row>
    <row r="7649" spans="11:11" x14ac:dyDescent="0.25">
      <c r="K7649" s="8" t="e">
        <f t="shared" si="93"/>
        <v>#VALUE!</v>
      </c>
    </row>
    <row r="7650" spans="11:11" x14ac:dyDescent="0.25">
      <c r="K7650" s="8" t="e">
        <f t="shared" si="93"/>
        <v>#VALUE!</v>
      </c>
    </row>
    <row r="7651" spans="11:11" x14ac:dyDescent="0.25">
      <c r="K7651" s="8" t="e">
        <f t="shared" si="93"/>
        <v>#VALUE!</v>
      </c>
    </row>
    <row r="7652" spans="11:11" x14ac:dyDescent="0.25">
      <c r="K7652" s="8" t="e">
        <f t="shared" si="93"/>
        <v>#VALUE!</v>
      </c>
    </row>
    <row r="7653" spans="11:11" x14ac:dyDescent="0.25">
      <c r="K7653" s="8" t="e">
        <f t="shared" si="93"/>
        <v>#VALUE!</v>
      </c>
    </row>
    <row r="7654" spans="11:11" x14ac:dyDescent="0.25">
      <c r="K7654" s="8" t="e">
        <f t="shared" si="93"/>
        <v>#VALUE!</v>
      </c>
    </row>
    <row r="7655" spans="11:11" x14ac:dyDescent="0.25">
      <c r="K7655" s="8" t="e">
        <f t="shared" si="93"/>
        <v>#VALUE!</v>
      </c>
    </row>
    <row r="7656" spans="11:11" x14ac:dyDescent="0.25">
      <c r="K7656" s="8" t="e">
        <f t="shared" si="93"/>
        <v>#VALUE!</v>
      </c>
    </row>
    <row r="7657" spans="11:11" x14ac:dyDescent="0.25">
      <c r="K7657" s="8" t="e">
        <f t="shared" si="93"/>
        <v>#VALUE!</v>
      </c>
    </row>
    <row r="7658" spans="11:11" x14ac:dyDescent="0.25">
      <c r="K7658" s="8" t="e">
        <f t="shared" si="93"/>
        <v>#VALUE!</v>
      </c>
    </row>
    <row r="7659" spans="11:11" x14ac:dyDescent="0.25">
      <c r="K7659" s="8" t="e">
        <f t="shared" si="93"/>
        <v>#VALUE!</v>
      </c>
    </row>
    <row r="7660" spans="11:11" x14ac:dyDescent="0.25">
      <c r="K7660" s="8" t="e">
        <f t="shared" si="93"/>
        <v>#VALUE!</v>
      </c>
    </row>
    <row r="7661" spans="11:11" x14ac:dyDescent="0.25">
      <c r="K7661" s="8" t="e">
        <f t="shared" si="93"/>
        <v>#VALUE!</v>
      </c>
    </row>
    <row r="7662" spans="11:11" x14ac:dyDescent="0.25">
      <c r="K7662" s="8" t="e">
        <f t="shared" si="93"/>
        <v>#VALUE!</v>
      </c>
    </row>
    <row r="7663" spans="11:11" x14ac:dyDescent="0.25">
      <c r="K7663" s="8" t="e">
        <f t="shared" si="93"/>
        <v>#VALUE!</v>
      </c>
    </row>
    <row r="7664" spans="11:11" x14ac:dyDescent="0.25">
      <c r="K7664" s="8" t="e">
        <f t="shared" si="93"/>
        <v>#VALUE!</v>
      </c>
    </row>
    <row r="7665" spans="11:11" x14ac:dyDescent="0.25">
      <c r="K7665" s="8" t="e">
        <f t="shared" si="93"/>
        <v>#VALUE!</v>
      </c>
    </row>
    <row r="7666" spans="11:11" x14ac:dyDescent="0.25">
      <c r="K7666" s="8" t="e">
        <f t="shared" si="93"/>
        <v>#VALUE!</v>
      </c>
    </row>
    <row r="7667" spans="11:11" x14ac:dyDescent="0.25">
      <c r="K7667" s="8" t="e">
        <f t="shared" si="93"/>
        <v>#VALUE!</v>
      </c>
    </row>
    <row r="7668" spans="11:11" x14ac:dyDescent="0.25">
      <c r="K7668" s="8" t="e">
        <f t="shared" si="93"/>
        <v>#VALUE!</v>
      </c>
    </row>
    <row r="7669" spans="11:11" x14ac:dyDescent="0.25">
      <c r="K7669" s="8" t="e">
        <f t="shared" si="93"/>
        <v>#VALUE!</v>
      </c>
    </row>
    <row r="7670" spans="11:11" x14ac:dyDescent="0.25">
      <c r="K7670" s="8" t="e">
        <f t="shared" si="93"/>
        <v>#VALUE!</v>
      </c>
    </row>
    <row r="7671" spans="11:11" x14ac:dyDescent="0.25">
      <c r="K7671" s="8" t="e">
        <f t="shared" si="93"/>
        <v>#VALUE!</v>
      </c>
    </row>
    <row r="7672" spans="11:11" x14ac:dyDescent="0.25">
      <c r="K7672" s="8" t="e">
        <f t="shared" si="93"/>
        <v>#VALUE!</v>
      </c>
    </row>
    <row r="7673" spans="11:11" x14ac:dyDescent="0.25">
      <c r="K7673" s="8" t="e">
        <f t="shared" si="93"/>
        <v>#VALUE!</v>
      </c>
    </row>
    <row r="7674" spans="11:11" x14ac:dyDescent="0.25">
      <c r="K7674" s="8" t="e">
        <f t="shared" si="93"/>
        <v>#VALUE!</v>
      </c>
    </row>
    <row r="7675" spans="11:11" x14ac:dyDescent="0.25">
      <c r="K7675" s="8" t="e">
        <f t="shared" si="93"/>
        <v>#VALUE!</v>
      </c>
    </row>
    <row r="7676" spans="11:11" x14ac:dyDescent="0.25">
      <c r="K7676" s="8" t="e">
        <f t="shared" si="93"/>
        <v>#VALUE!</v>
      </c>
    </row>
    <row r="7677" spans="11:11" x14ac:dyDescent="0.25">
      <c r="K7677" s="8" t="e">
        <f t="shared" si="93"/>
        <v>#VALUE!</v>
      </c>
    </row>
    <row r="7678" spans="11:11" x14ac:dyDescent="0.25">
      <c r="K7678" s="8" t="e">
        <f t="shared" si="93"/>
        <v>#VALUE!</v>
      </c>
    </row>
    <row r="7679" spans="11:11" x14ac:dyDescent="0.25">
      <c r="K7679" s="8" t="e">
        <f t="shared" si="93"/>
        <v>#VALUE!</v>
      </c>
    </row>
    <row r="7680" spans="11:11" x14ac:dyDescent="0.25">
      <c r="K7680" s="8" t="e">
        <f t="shared" si="93"/>
        <v>#VALUE!</v>
      </c>
    </row>
    <row r="7681" spans="11:11" x14ac:dyDescent="0.25">
      <c r="K7681" s="8" t="e">
        <f t="shared" si="93"/>
        <v>#VALUE!</v>
      </c>
    </row>
    <row r="7682" spans="11:11" x14ac:dyDescent="0.25">
      <c r="K7682" s="8" t="e">
        <f t="shared" si="93"/>
        <v>#VALUE!</v>
      </c>
    </row>
    <row r="7683" spans="11:11" x14ac:dyDescent="0.25">
      <c r="K7683" s="8" t="e">
        <f t="shared" ref="K7683:K7746" si="94">LEFT(A7683,FIND("/",A7683)-1)</f>
        <v>#VALUE!</v>
      </c>
    </row>
    <row r="7684" spans="11:11" x14ac:dyDescent="0.25">
      <c r="K7684" s="8" t="e">
        <f t="shared" si="94"/>
        <v>#VALUE!</v>
      </c>
    </row>
    <row r="7685" spans="11:11" x14ac:dyDescent="0.25">
      <c r="K7685" s="8" t="e">
        <f t="shared" si="94"/>
        <v>#VALUE!</v>
      </c>
    </row>
    <row r="7686" spans="11:11" x14ac:dyDescent="0.25">
      <c r="K7686" s="8" t="e">
        <f t="shared" si="94"/>
        <v>#VALUE!</v>
      </c>
    </row>
    <row r="7687" spans="11:11" x14ac:dyDescent="0.25">
      <c r="K7687" s="8" t="e">
        <f t="shared" si="94"/>
        <v>#VALUE!</v>
      </c>
    </row>
    <row r="7688" spans="11:11" x14ac:dyDescent="0.25">
      <c r="K7688" s="8" t="e">
        <f t="shared" si="94"/>
        <v>#VALUE!</v>
      </c>
    </row>
    <row r="7689" spans="11:11" x14ac:dyDescent="0.25">
      <c r="K7689" s="8" t="e">
        <f t="shared" si="94"/>
        <v>#VALUE!</v>
      </c>
    </row>
    <row r="7690" spans="11:11" x14ac:dyDescent="0.25">
      <c r="K7690" s="8" t="e">
        <f t="shared" si="94"/>
        <v>#VALUE!</v>
      </c>
    </row>
    <row r="7691" spans="11:11" x14ac:dyDescent="0.25">
      <c r="K7691" s="8" t="e">
        <f t="shared" si="94"/>
        <v>#VALUE!</v>
      </c>
    </row>
    <row r="7692" spans="11:11" x14ac:dyDescent="0.25">
      <c r="K7692" s="8" t="e">
        <f t="shared" si="94"/>
        <v>#VALUE!</v>
      </c>
    </row>
    <row r="7693" spans="11:11" x14ac:dyDescent="0.25">
      <c r="K7693" s="8" t="e">
        <f t="shared" si="94"/>
        <v>#VALUE!</v>
      </c>
    </row>
    <row r="7694" spans="11:11" x14ac:dyDescent="0.25">
      <c r="K7694" s="8" t="e">
        <f t="shared" si="94"/>
        <v>#VALUE!</v>
      </c>
    </row>
    <row r="7695" spans="11:11" x14ac:dyDescent="0.25">
      <c r="K7695" s="8" t="e">
        <f t="shared" si="94"/>
        <v>#VALUE!</v>
      </c>
    </row>
    <row r="7696" spans="11:11" x14ac:dyDescent="0.25">
      <c r="K7696" s="8" t="e">
        <f t="shared" si="94"/>
        <v>#VALUE!</v>
      </c>
    </row>
    <row r="7697" spans="11:11" x14ac:dyDescent="0.25">
      <c r="K7697" s="8" t="e">
        <f t="shared" si="94"/>
        <v>#VALUE!</v>
      </c>
    </row>
    <row r="7698" spans="11:11" x14ac:dyDescent="0.25">
      <c r="K7698" s="8" t="e">
        <f t="shared" si="94"/>
        <v>#VALUE!</v>
      </c>
    </row>
    <row r="7699" spans="11:11" x14ac:dyDescent="0.25">
      <c r="K7699" s="8" t="e">
        <f t="shared" si="94"/>
        <v>#VALUE!</v>
      </c>
    </row>
    <row r="7700" spans="11:11" x14ac:dyDescent="0.25">
      <c r="K7700" s="8" t="e">
        <f t="shared" si="94"/>
        <v>#VALUE!</v>
      </c>
    </row>
    <row r="7701" spans="11:11" x14ac:dyDescent="0.25">
      <c r="K7701" s="8" t="e">
        <f t="shared" si="94"/>
        <v>#VALUE!</v>
      </c>
    </row>
    <row r="7702" spans="11:11" x14ac:dyDescent="0.25">
      <c r="K7702" s="8" t="e">
        <f t="shared" si="94"/>
        <v>#VALUE!</v>
      </c>
    </row>
    <row r="7703" spans="11:11" x14ac:dyDescent="0.25">
      <c r="K7703" s="8" t="e">
        <f t="shared" si="94"/>
        <v>#VALUE!</v>
      </c>
    </row>
    <row r="7704" spans="11:11" x14ac:dyDescent="0.25">
      <c r="K7704" s="8" t="e">
        <f t="shared" si="94"/>
        <v>#VALUE!</v>
      </c>
    </row>
    <row r="7705" spans="11:11" x14ac:dyDescent="0.25">
      <c r="K7705" s="8" t="e">
        <f t="shared" si="94"/>
        <v>#VALUE!</v>
      </c>
    </row>
    <row r="7706" spans="11:11" x14ac:dyDescent="0.25">
      <c r="K7706" s="8" t="e">
        <f t="shared" si="94"/>
        <v>#VALUE!</v>
      </c>
    </row>
    <row r="7707" spans="11:11" x14ac:dyDescent="0.25">
      <c r="K7707" s="8" t="e">
        <f t="shared" si="94"/>
        <v>#VALUE!</v>
      </c>
    </row>
    <row r="7708" spans="11:11" x14ac:dyDescent="0.25">
      <c r="K7708" s="8" t="e">
        <f t="shared" si="94"/>
        <v>#VALUE!</v>
      </c>
    </row>
    <row r="7709" spans="11:11" x14ac:dyDescent="0.25">
      <c r="K7709" s="8" t="e">
        <f t="shared" si="94"/>
        <v>#VALUE!</v>
      </c>
    </row>
    <row r="7710" spans="11:11" x14ac:dyDescent="0.25">
      <c r="K7710" s="8" t="e">
        <f t="shared" si="94"/>
        <v>#VALUE!</v>
      </c>
    </row>
    <row r="7711" spans="11:11" x14ac:dyDescent="0.25">
      <c r="K7711" s="8" t="e">
        <f t="shared" si="94"/>
        <v>#VALUE!</v>
      </c>
    </row>
    <row r="7712" spans="11:11" x14ac:dyDescent="0.25">
      <c r="K7712" s="8" t="e">
        <f t="shared" si="94"/>
        <v>#VALUE!</v>
      </c>
    </row>
    <row r="7713" spans="11:11" x14ac:dyDescent="0.25">
      <c r="K7713" s="8" t="e">
        <f t="shared" si="94"/>
        <v>#VALUE!</v>
      </c>
    </row>
    <row r="7714" spans="11:11" x14ac:dyDescent="0.25">
      <c r="K7714" s="8" t="e">
        <f t="shared" si="94"/>
        <v>#VALUE!</v>
      </c>
    </row>
    <row r="7715" spans="11:11" x14ac:dyDescent="0.25">
      <c r="K7715" s="8" t="e">
        <f t="shared" si="94"/>
        <v>#VALUE!</v>
      </c>
    </row>
    <row r="7716" spans="11:11" x14ac:dyDescent="0.25">
      <c r="K7716" s="8" t="e">
        <f t="shared" si="94"/>
        <v>#VALUE!</v>
      </c>
    </row>
    <row r="7717" spans="11:11" x14ac:dyDescent="0.25">
      <c r="K7717" s="8" t="e">
        <f t="shared" si="94"/>
        <v>#VALUE!</v>
      </c>
    </row>
    <row r="7718" spans="11:11" x14ac:dyDescent="0.25">
      <c r="K7718" s="8" t="e">
        <f t="shared" si="94"/>
        <v>#VALUE!</v>
      </c>
    </row>
    <row r="7719" spans="11:11" x14ac:dyDescent="0.25">
      <c r="K7719" s="8" t="e">
        <f t="shared" si="94"/>
        <v>#VALUE!</v>
      </c>
    </row>
    <row r="7720" spans="11:11" x14ac:dyDescent="0.25">
      <c r="K7720" s="8" t="e">
        <f t="shared" si="94"/>
        <v>#VALUE!</v>
      </c>
    </row>
    <row r="7721" spans="11:11" x14ac:dyDescent="0.25">
      <c r="K7721" s="8" t="e">
        <f t="shared" si="94"/>
        <v>#VALUE!</v>
      </c>
    </row>
    <row r="7722" spans="11:11" x14ac:dyDescent="0.25">
      <c r="K7722" s="8" t="e">
        <f t="shared" si="94"/>
        <v>#VALUE!</v>
      </c>
    </row>
    <row r="7723" spans="11:11" x14ac:dyDescent="0.25">
      <c r="K7723" s="8" t="e">
        <f t="shared" si="94"/>
        <v>#VALUE!</v>
      </c>
    </row>
    <row r="7724" spans="11:11" x14ac:dyDescent="0.25">
      <c r="K7724" s="8" t="e">
        <f t="shared" si="94"/>
        <v>#VALUE!</v>
      </c>
    </row>
    <row r="7725" spans="11:11" x14ac:dyDescent="0.25">
      <c r="K7725" s="8" t="e">
        <f t="shared" si="94"/>
        <v>#VALUE!</v>
      </c>
    </row>
    <row r="7726" spans="11:11" x14ac:dyDescent="0.25">
      <c r="K7726" s="8" t="e">
        <f t="shared" si="94"/>
        <v>#VALUE!</v>
      </c>
    </row>
    <row r="7727" spans="11:11" x14ac:dyDescent="0.25">
      <c r="K7727" s="8" t="e">
        <f t="shared" si="94"/>
        <v>#VALUE!</v>
      </c>
    </row>
    <row r="7728" spans="11:11" x14ac:dyDescent="0.25">
      <c r="K7728" s="8" t="e">
        <f t="shared" si="94"/>
        <v>#VALUE!</v>
      </c>
    </row>
    <row r="7729" spans="11:11" x14ac:dyDescent="0.25">
      <c r="K7729" s="8" t="e">
        <f t="shared" si="94"/>
        <v>#VALUE!</v>
      </c>
    </row>
    <row r="7730" spans="11:11" x14ac:dyDescent="0.25">
      <c r="K7730" s="8" t="e">
        <f t="shared" si="94"/>
        <v>#VALUE!</v>
      </c>
    </row>
    <row r="7731" spans="11:11" x14ac:dyDescent="0.25">
      <c r="K7731" s="8" t="e">
        <f t="shared" si="94"/>
        <v>#VALUE!</v>
      </c>
    </row>
    <row r="7732" spans="11:11" x14ac:dyDescent="0.25">
      <c r="K7732" s="8" t="e">
        <f t="shared" si="94"/>
        <v>#VALUE!</v>
      </c>
    </row>
    <row r="7733" spans="11:11" x14ac:dyDescent="0.25">
      <c r="K7733" s="8" t="e">
        <f t="shared" si="94"/>
        <v>#VALUE!</v>
      </c>
    </row>
    <row r="7734" spans="11:11" x14ac:dyDescent="0.25">
      <c r="K7734" s="8" t="e">
        <f t="shared" si="94"/>
        <v>#VALUE!</v>
      </c>
    </row>
    <row r="7735" spans="11:11" x14ac:dyDescent="0.25">
      <c r="K7735" s="8" t="e">
        <f t="shared" si="94"/>
        <v>#VALUE!</v>
      </c>
    </row>
    <row r="7736" spans="11:11" x14ac:dyDescent="0.25">
      <c r="K7736" s="8" t="e">
        <f t="shared" si="94"/>
        <v>#VALUE!</v>
      </c>
    </row>
    <row r="7737" spans="11:11" x14ac:dyDescent="0.25">
      <c r="K7737" s="8" t="e">
        <f t="shared" si="94"/>
        <v>#VALUE!</v>
      </c>
    </row>
    <row r="7738" spans="11:11" x14ac:dyDescent="0.25">
      <c r="K7738" s="8" t="e">
        <f t="shared" si="94"/>
        <v>#VALUE!</v>
      </c>
    </row>
    <row r="7739" spans="11:11" x14ac:dyDescent="0.25">
      <c r="K7739" s="8" t="e">
        <f t="shared" si="94"/>
        <v>#VALUE!</v>
      </c>
    </row>
    <row r="7740" spans="11:11" x14ac:dyDescent="0.25">
      <c r="K7740" s="8" t="e">
        <f t="shared" si="94"/>
        <v>#VALUE!</v>
      </c>
    </row>
    <row r="7741" spans="11:11" x14ac:dyDescent="0.25">
      <c r="K7741" s="8" t="e">
        <f t="shared" si="94"/>
        <v>#VALUE!</v>
      </c>
    </row>
    <row r="7742" spans="11:11" x14ac:dyDescent="0.25">
      <c r="K7742" s="8" t="e">
        <f t="shared" si="94"/>
        <v>#VALUE!</v>
      </c>
    </row>
    <row r="7743" spans="11:11" x14ac:dyDescent="0.25">
      <c r="K7743" s="8" t="e">
        <f t="shared" si="94"/>
        <v>#VALUE!</v>
      </c>
    </row>
    <row r="7744" spans="11:11" x14ac:dyDescent="0.25">
      <c r="K7744" s="8" t="e">
        <f t="shared" si="94"/>
        <v>#VALUE!</v>
      </c>
    </row>
    <row r="7745" spans="11:11" x14ac:dyDescent="0.25">
      <c r="K7745" s="8" t="e">
        <f t="shared" si="94"/>
        <v>#VALUE!</v>
      </c>
    </row>
    <row r="7746" spans="11:11" x14ac:dyDescent="0.25">
      <c r="K7746" s="8" t="e">
        <f t="shared" si="94"/>
        <v>#VALUE!</v>
      </c>
    </row>
    <row r="7747" spans="11:11" x14ac:dyDescent="0.25">
      <c r="K7747" s="8" t="e">
        <f t="shared" ref="K7747:K7810" si="95">LEFT(A7747,FIND("/",A7747)-1)</f>
        <v>#VALUE!</v>
      </c>
    </row>
    <row r="7748" spans="11:11" x14ac:dyDescent="0.25">
      <c r="K7748" s="8" t="e">
        <f t="shared" si="95"/>
        <v>#VALUE!</v>
      </c>
    </row>
    <row r="7749" spans="11:11" x14ac:dyDescent="0.25">
      <c r="K7749" s="8" t="e">
        <f t="shared" si="95"/>
        <v>#VALUE!</v>
      </c>
    </row>
    <row r="7750" spans="11:11" x14ac:dyDescent="0.25">
      <c r="K7750" s="8" t="e">
        <f t="shared" si="95"/>
        <v>#VALUE!</v>
      </c>
    </row>
    <row r="7751" spans="11:11" x14ac:dyDescent="0.25">
      <c r="K7751" s="8" t="e">
        <f t="shared" si="95"/>
        <v>#VALUE!</v>
      </c>
    </row>
    <row r="7752" spans="11:11" x14ac:dyDescent="0.25">
      <c r="K7752" s="8" t="e">
        <f t="shared" si="95"/>
        <v>#VALUE!</v>
      </c>
    </row>
    <row r="7753" spans="11:11" x14ac:dyDescent="0.25">
      <c r="K7753" s="8" t="e">
        <f t="shared" si="95"/>
        <v>#VALUE!</v>
      </c>
    </row>
    <row r="7754" spans="11:11" x14ac:dyDescent="0.25">
      <c r="K7754" s="8" t="e">
        <f t="shared" si="95"/>
        <v>#VALUE!</v>
      </c>
    </row>
    <row r="7755" spans="11:11" x14ac:dyDescent="0.25">
      <c r="K7755" s="8" t="e">
        <f t="shared" si="95"/>
        <v>#VALUE!</v>
      </c>
    </row>
    <row r="7756" spans="11:11" x14ac:dyDescent="0.25">
      <c r="K7756" s="8" t="e">
        <f t="shared" si="95"/>
        <v>#VALUE!</v>
      </c>
    </row>
    <row r="7757" spans="11:11" x14ac:dyDescent="0.25">
      <c r="K7757" s="8" t="e">
        <f t="shared" si="95"/>
        <v>#VALUE!</v>
      </c>
    </row>
    <row r="7758" spans="11:11" x14ac:dyDescent="0.25">
      <c r="K7758" s="8" t="e">
        <f t="shared" si="95"/>
        <v>#VALUE!</v>
      </c>
    </row>
    <row r="7759" spans="11:11" x14ac:dyDescent="0.25">
      <c r="K7759" s="8" t="e">
        <f t="shared" si="95"/>
        <v>#VALUE!</v>
      </c>
    </row>
    <row r="7760" spans="11:11" x14ac:dyDescent="0.25">
      <c r="K7760" s="8" t="e">
        <f t="shared" si="95"/>
        <v>#VALUE!</v>
      </c>
    </row>
    <row r="7761" spans="11:11" x14ac:dyDescent="0.25">
      <c r="K7761" s="8" t="e">
        <f t="shared" si="95"/>
        <v>#VALUE!</v>
      </c>
    </row>
    <row r="7762" spans="11:11" x14ac:dyDescent="0.25">
      <c r="K7762" s="8" t="e">
        <f t="shared" si="95"/>
        <v>#VALUE!</v>
      </c>
    </row>
    <row r="7763" spans="11:11" x14ac:dyDescent="0.25">
      <c r="K7763" s="8" t="e">
        <f t="shared" si="95"/>
        <v>#VALUE!</v>
      </c>
    </row>
    <row r="7764" spans="11:11" x14ac:dyDescent="0.25">
      <c r="K7764" s="8" t="e">
        <f t="shared" si="95"/>
        <v>#VALUE!</v>
      </c>
    </row>
    <row r="7765" spans="11:11" x14ac:dyDescent="0.25">
      <c r="K7765" s="8" t="e">
        <f t="shared" si="95"/>
        <v>#VALUE!</v>
      </c>
    </row>
    <row r="7766" spans="11:11" x14ac:dyDescent="0.25">
      <c r="K7766" s="8" t="e">
        <f t="shared" si="95"/>
        <v>#VALUE!</v>
      </c>
    </row>
    <row r="7767" spans="11:11" x14ac:dyDescent="0.25">
      <c r="K7767" s="8" t="e">
        <f t="shared" si="95"/>
        <v>#VALUE!</v>
      </c>
    </row>
    <row r="7768" spans="11:11" x14ac:dyDescent="0.25">
      <c r="K7768" s="8" t="e">
        <f t="shared" si="95"/>
        <v>#VALUE!</v>
      </c>
    </row>
    <row r="7769" spans="11:11" x14ac:dyDescent="0.25">
      <c r="K7769" s="8" t="e">
        <f t="shared" si="95"/>
        <v>#VALUE!</v>
      </c>
    </row>
    <row r="7770" spans="11:11" x14ac:dyDescent="0.25">
      <c r="K7770" s="8" t="e">
        <f t="shared" si="95"/>
        <v>#VALUE!</v>
      </c>
    </row>
    <row r="7771" spans="11:11" x14ac:dyDescent="0.25">
      <c r="K7771" s="8" t="e">
        <f t="shared" si="95"/>
        <v>#VALUE!</v>
      </c>
    </row>
    <row r="7772" spans="11:11" x14ac:dyDescent="0.25">
      <c r="K7772" s="8" t="e">
        <f t="shared" si="95"/>
        <v>#VALUE!</v>
      </c>
    </row>
    <row r="7773" spans="11:11" x14ac:dyDescent="0.25">
      <c r="K7773" s="8" t="e">
        <f t="shared" si="95"/>
        <v>#VALUE!</v>
      </c>
    </row>
    <row r="7774" spans="11:11" x14ac:dyDescent="0.25">
      <c r="K7774" s="8" t="e">
        <f t="shared" si="95"/>
        <v>#VALUE!</v>
      </c>
    </row>
    <row r="7775" spans="11:11" x14ac:dyDescent="0.25">
      <c r="K7775" s="8" t="e">
        <f t="shared" si="95"/>
        <v>#VALUE!</v>
      </c>
    </row>
    <row r="7776" spans="11:11" x14ac:dyDescent="0.25">
      <c r="K7776" s="8" t="e">
        <f t="shared" si="95"/>
        <v>#VALUE!</v>
      </c>
    </row>
    <row r="7777" spans="11:11" x14ac:dyDescent="0.25">
      <c r="K7777" s="8" t="e">
        <f t="shared" si="95"/>
        <v>#VALUE!</v>
      </c>
    </row>
    <row r="7778" spans="11:11" x14ac:dyDescent="0.25">
      <c r="K7778" s="8" t="e">
        <f t="shared" si="95"/>
        <v>#VALUE!</v>
      </c>
    </row>
    <row r="7779" spans="11:11" x14ac:dyDescent="0.25">
      <c r="K7779" s="8" t="e">
        <f t="shared" si="95"/>
        <v>#VALUE!</v>
      </c>
    </row>
    <row r="7780" spans="11:11" x14ac:dyDescent="0.25">
      <c r="K7780" s="8" t="e">
        <f t="shared" si="95"/>
        <v>#VALUE!</v>
      </c>
    </row>
    <row r="7781" spans="11:11" x14ac:dyDescent="0.25">
      <c r="K7781" s="8" t="e">
        <f t="shared" si="95"/>
        <v>#VALUE!</v>
      </c>
    </row>
    <row r="7782" spans="11:11" x14ac:dyDescent="0.25">
      <c r="K7782" s="8" t="e">
        <f t="shared" si="95"/>
        <v>#VALUE!</v>
      </c>
    </row>
    <row r="7783" spans="11:11" x14ac:dyDescent="0.25">
      <c r="K7783" s="8" t="e">
        <f t="shared" si="95"/>
        <v>#VALUE!</v>
      </c>
    </row>
    <row r="7784" spans="11:11" x14ac:dyDescent="0.25">
      <c r="K7784" s="8" t="e">
        <f t="shared" si="95"/>
        <v>#VALUE!</v>
      </c>
    </row>
    <row r="7785" spans="11:11" x14ac:dyDescent="0.25">
      <c r="K7785" s="8" t="e">
        <f t="shared" si="95"/>
        <v>#VALUE!</v>
      </c>
    </row>
    <row r="7786" spans="11:11" x14ac:dyDescent="0.25">
      <c r="K7786" s="8" t="e">
        <f t="shared" si="95"/>
        <v>#VALUE!</v>
      </c>
    </row>
    <row r="7787" spans="11:11" x14ac:dyDescent="0.25">
      <c r="K7787" s="8" t="e">
        <f t="shared" si="95"/>
        <v>#VALUE!</v>
      </c>
    </row>
    <row r="7788" spans="11:11" x14ac:dyDescent="0.25">
      <c r="K7788" s="8" t="e">
        <f t="shared" si="95"/>
        <v>#VALUE!</v>
      </c>
    </row>
    <row r="7789" spans="11:11" x14ac:dyDescent="0.25">
      <c r="K7789" s="8" t="e">
        <f t="shared" si="95"/>
        <v>#VALUE!</v>
      </c>
    </row>
    <row r="7790" spans="11:11" x14ac:dyDescent="0.25">
      <c r="K7790" s="8" t="e">
        <f t="shared" si="95"/>
        <v>#VALUE!</v>
      </c>
    </row>
    <row r="7791" spans="11:11" x14ac:dyDescent="0.25">
      <c r="K7791" s="8" t="e">
        <f t="shared" si="95"/>
        <v>#VALUE!</v>
      </c>
    </row>
    <row r="7792" spans="11:11" x14ac:dyDescent="0.25">
      <c r="K7792" s="8" t="e">
        <f t="shared" si="95"/>
        <v>#VALUE!</v>
      </c>
    </row>
    <row r="7793" spans="11:11" x14ac:dyDescent="0.25">
      <c r="K7793" s="8" t="e">
        <f t="shared" si="95"/>
        <v>#VALUE!</v>
      </c>
    </row>
    <row r="7794" spans="11:11" x14ac:dyDescent="0.25">
      <c r="K7794" s="8" t="e">
        <f t="shared" si="95"/>
        <v>#VALUE!</v>
      </c>
    </row>
    <row r="7795" spans="11:11" x14ac:dyDescent="0.25">
      <c r="K7795" s="8" t="e">
        <f t="shared" si="95"/>
        <v>#VALUE!</v>
      </c>
    </row>
    <row r="7796" spans="11:11" x14ac:dyDescent="0.25">
      <c r="K7796" s="8" t="e">
        <f t="shared" si="95"/>
        <v>#VALUE!</v>
      </c>
    </row>
    <row r="7797" spans="11:11" x14ac:dyDescent="0.25">
      <c r="K7797" s="8" t="e">
        <f t="shared" si="95"/>
        <v>#VALUE!</v>
      </c>
    </row>
    <row r="7798" spans="11:11" x14ac:dyDescent="0.25">
      <c r="K7798" s="8" t="e">
        <f t="shared" si="95"/>
        <v>#VALUE!</v>
      </c>
    </row>
    <row r="7799" spans="11:11" x14ac:dyDescent="0.25">
      <c r="K7799" s="8" t="e">
        <f t="shared" si="95"/>
        <v>#VALUE!</v>
      </c>
    </row>
    <row r="7800" spans="11:11" x14ac:dyDescent="0.25">
      <c r="K7800" s="8" t="e">
        <f t="shared" si="95"/>
        <v>#VALUE!</v>
      </c>
    </row>
    <row r="7801" spans="11:11" x14ac:dyDescent="0.25">
      <c r="K7801" s="8" t="e">
        <f t="shared" si="95"/>
        <v>#VALUE!</v>
      </c>
    </row>
    <row r="7802" spans="11:11" x14ac:dyDescent="0.25">
      <c r="K7802" s="8" t="e">
        <f t="shared" si="95"/>
        <v>#VALUE!</v>
      </c>
    </row>
    <row r="7803" spans="11:11" x14ac:dyDescent="0.25">
      <c r="K7803" s="8" t="e">
        <f t="shared" si="95"/>
        <v>#VALUE!</v>
      </c>
    </row>
    <row r="7804" spans="11:11" x14ac:dyDescent="0.25">
      <c r="K7804" s="8" t="e">
        <f t="shared" si="95"/>
        <v>#VALUE!</v>
      </c>
    </row>
    <row r="7805" spans="11:11" x14ac:dyDescent="0.25">
      <c r="K7805" s="8" t="e">
        <f t="shared" si="95"/>
        <v>#VALUE!</v>
      </c>
    </row>
    <row r="7806" spans="11:11" x14ac:dyDescent="0.25">
      <c r="K7806" s="8" t="e">
        <f t="shared" si="95"/>
        <v>#VALUE!</v>
      </c>
    </row>
    <row r="7807" spans="11:11" x14ac:dyDescent="0.25">
      <c r="K7807" s="8" t="e">
        <f t="shared" si="95"/>
        <v>#VALUE!</v>
      </c>
    </row>
    <row r="7808" spans="11:11" x14ac:dyDescent="0.25">
      <c r="K7808" s="8" t="e">
        <f t="shared" si="95"/>
        <v>#VALUE!</v>
      </c>
    </row>
    <row r="7809" spans="11:11" x14ac:dyDescent="0.25">
      <c r="K7809" s="8" t="e">
        <f t="shared" si="95"/>
        <v>#VALUE!</v>
      </c>
    </row>
    <row r="7810" spans="11:11" x14ac:dyDescent="0.25">
      <c r="K7810" s="8" t="e">
        <f t="shared" si="95"/>
        <v>#VALUE!</v>
      </c>
    </row>
    <row r="7811" spans="11:11" x14ac:dyDescent="0.25">
      <c r="K7811" s="8" t="e">
        <f t="shared" ref="K7811:K7874" si="96">LEFT(A7811,FIND("/",A7811)-1)</f>
        <v>#VALUE!</v>
      </c>
    </row>
    <row r="7812" spans="11:11" x14ac:dyDescent="0.25">
      <c r="K7812" s="8" t="e">
        <f t="shared" si="96"/>
        <v>#VALUE!</v>
      </c>
    </row>
    <row r="7813" spans="11:11" x14ac:dyDescent="0.25">
      <c r="K7813" s="8" t="e">
        <f t="shared" si="96"/>
        <v>#VALUE!</v>
      </c>
    </row>
    <row r="7814" spans="11:11" x14ac:dyDescent="0.25">
      <c r="K7814" s="8" t="e">
        <f t="shared" si="96"/>
        <v>#VALUE!</v>
      </c>
    </row>
    <row r="7815" spans="11:11" x14ac:dyDescent="0.25">
      <c r="K7815" s="8" t="e">
        <f t="shared" si="96"/>
        <v>#VALUE!</v>
      </c>
    </row>
    <row r="7816" spans="11:11" x14ac:dyDescent="0.25">
      <c r="K7816" s="8" t="e">
        <f t="shared" si="96"/>
        <v>#VALUE!</v>
      </c>
    </row>
    <row r="7817" spans="11:11" x14ac:dyDescent="0.25">
      <c r="K7817" s="8" t="e">
        <f t="shared" si="96"/>
        <v>#VALUE!</v>
      </c>
    </row>
    <row r="7818" spans="11:11" x14ac:dyDescent="0.25">
      <c r="K7818" s="8" t="e">
        <f t="shared" si="96"/>
        <v>#VALUE!</v>
      </c>
    </row>
    <row r="7819" spans="11:11" x14ac:dyDescent="0.25">
      <c r="K7819" s="8" t="e">
        <f t="shared" si="96"/>
        <v>#VALUE!</v>
      </c>
    </row>
    <row r="7820" spans="11:11" x14ac:dyDescent="0.25">
      <c r="K7820" s="8" t="e">
        <f t="shared" si="96"/>
        <v>#VALUE!</v>
      </c>
    </row>
    <row r="7821" spans="11:11" x14ac:dyDescent="0.25">
      <c r="K7821" s="8" t="e">
        <f t="shared" si="96"/>
        <v>#VALUE!</v>
      </c>
    </row>
    <row r="7822" spans="11:11" x14ac:dyDescent="0.25">
      <c r="K7822" s="8" t="e">
        <f t="shared" si="96"/>
        <v>#VALUE!</v>
      </c>
    </row>
    <row r="7823" spans="11:11" x14ac:dyDescent="0.25">
      <c r="K7823" s="8" t="e">
        <f t="shared" si="96"/>
        <v>#VALUE!</v>
      </c>
    </row>
    <row r="7824" spans="11:11" x14ac:dyDescent="0.25">
      <c r="K7824" s="8" t="e">
        <f t="shared" si="96"/>
        <v>#VALUE!</v>
      </c>
    </row>
    <row r="7825" spans="11:11" x14ac:dyDescent="0.25">
      <c r="K7825" s="8" t="e">
        <f t="shared" si="96"/>
        <v>#VALUE!</v>
      </c>
    </row>
    <row r="7826" spans="11:11" x14ac:dyDescent="0.25">
      <c r="K7826" s="8" t="e">
        <f t="shared" si="96"/>
        <v>#VALUE!</v>
      </c>
    </row>
    <row r="7827" spans="11:11" x14ac:dyDescent="0.25">
      <c r="K7827" s="8" t="e">
        <f t="shared" si="96"/>
        <v>#VALUE!</v>
      </c>
    </row>
    <row r="7828" spans="11:11" x14ac:dyDescent="0.25">
      <c r="K7828" s="8" t="e">
        <f t="shared" si="96"/>
        <v>#VALUE!</v>
      </c>
    </row>
    <row r="7829" spans="11:11" x14ac:dyDescent="0.25">
      <c r="K7829" s="8" t="e">
        <f t="shared" si="96"/>
        <v>#VALUE!</v>
      </c>
    </row>
    <row r="7830" spans="11:11" x14ac:dyDescent="0.25">
      <c r="K7830" s="8" t="e">
        <f t="shared" si="96"/>
        <v>#VALUE!</v>
      </c>
    </row>
    <row r="7831" spans="11:11" x14ac:dyDescent="0.25">
      <c r="K7831" s="8" t="e">
        <f t="shared" si="96"/>
        <v>#VALUE!</v>
      </c>
    </row>
    <row r="7832" spans="11:11" x14ac:dyDescent="0.25">
      <c r="K7832" s="8" t="e">
        <f t="shared" si="96"/>
        <v>#VALUE!</v>
      </c>
    </row>
    <row r="7833" spans="11:11" x14ac:dyDescent="0.25">
      <c r="K7833" s="8" t="e">
        <f t="shared" si="96"/>
        <v>#VALUE!</v>
      </c>
    </row>
    <row r="7834" spans="11:11" x14ac:dyDescent="0.25">
      <c r="K7834" s="8" t="e">
        <f t="shared" si="96"/>
        <v>#VALUE!</v>
      </c>
    </row>
    <row r="7835" spans="11:11" x14ac:dyDescent="0.25">
      <c r="K7835" s="8" t="e">
        <f t="shared" si="96"/>
        <v>#VALUE!</v>
      </c>
    </row>
    <row r="7836" spans="11:11" x14ac:dyDescent="0.25">
      <c r="K7836" s="8" t="e">
        <f t="shared" si="96"/>
        <v>#VALUE!</v>
      </c>
    </row>
    <row r="7837" spans="11:11" x14ac:dyDescent="0.25">
      <c r="K7837" s="8" t="e">
        <f t="shared" si="96"/>
        <v>#VALUE!</v>
      </c>
    </row>
    <row r="7838" spans="11:11" x14ac:dyDescent="0.25">
      <c r="K7838" s="8" t="e">
        <f t="shared" si="96"/>
        <v>#VALUE!</v>
      </c>
    </row>
    <row r="7839" spans="11:11" x14ac:dyDescent="0.25">
      <c r="K7839" s="8" t="e">
        <f t="shared" si="96"/>
        <v>#VALUE!</v>
      </c>
    </row>
    <row r="7840" spans="11:11" x14ac:dyDescent="0.25">
      <c r="K7840" s="8" t="e">
        <f t="shared" si="96"/>
        <v>#VALUE!</v>
      </c>
    </row>
    <row r="7841" spans="11:11" x14ac:dyDescent="0.25">
      <c r="K7841" s="8" t="e">
        <f t="shared" si="96"/>
        <v>#VALUE!</v>
      </c>
    </row>
    <row r="7842" spans="11:11" x14ac:dyDescent="0.25">
      <c r="K7842" s="8" t="e">
        <f t="shared" si="96"/>
        <v>#VALUE!</v>
      </c>
    </row>
    <row r="7843" spans="11:11" x14ac:dyDescent="0.25">
      <c r="K7843" s="8" t="e">
        <f t="shared" si="96"/>
        <v>#VALUE!</v>
      </c>
    </row>
    <row r="7844" spans="11:11" x14ac:dyDescent="0.25">
      <c r="K7844" s="8" t="e">
        <f t="shared" si="96"/>
        <v>#VALUE!</v>
      </c>
    </row>
    <row r="7845" spans="11:11" x14ac:dyDescent="0.25">
      <c r="K7845" s="8" t="e">
        <f t="shared" si="96"/>
        <v>#VALUE!</v>
      </c>
    </row>
    <row r="7846" spans="11:11" x14ac:dyDescent="0.25">
      <c r="K7846" s="8" t="e">
        <f t="shared" si="96"/>
        <v>#VALUE!</v>
      </c>
    </row>
    <row r="7847" spans="11:11" x14ac:dyDescent="0.25">
      <c r="K7847" s="8" t="e">
        <f t="shared" si="96"/>
        <v>#VALUE!</v>
      </c>
    </row>
    <row r="7848" spans="11:11" x14ac:dyDescent="0.25">
      <c r="K7848" s="8" t="e">
        <f t="shared" si="96"/>
        <v>#VALUE!</v>
      </c>
    </row>
    <row r="7849" spans="11:11" x14ac:dyDescent="0.25">
      <c r="K7849" s="8" t="e">
        <f t="shared" si="96"/>
        <v>#VALUE!</v>
      </c>
    </row>
    <row r="7850" spans="11:11" x14ac:dyDescent="0.25">
      <c r="K7850" s="8" t="e">
        <f t="shared" si="96"/>
        <v>#VALUE!</v>
      </c>
    </row>
    <row r="7851" spans="11:11" x14ac:dyDescent="0.25">
      <c r="K7851" s="8" t="e">
        <f t="shared" si="96"/>
        <v>#VALUE!</v>
      </c>
    </row>
    <row r="7852" spans="11:11" x14ac:dyDescent="0.25">
      <c r="K7852" s="8" t="e">
        <f t="shared" si="96"/>
        <v>#VALUE!</v>
      </c>
    </row>
    <row r="7853" spans="11:11" x14ac:dyDescent="0.25">
      <c r="K7853" s="8" t="e">
        <f t="shared" si="96"/>
        <v>#VALUE!</v>
      </c>
    </row>
    <row r="7854" spans="11:11" x14ac:dyDescent="0.25">
      <c r="K7854" s="8" t="e">
        <f t="shared" si="96"/>
        <v>#VALUE!</v>
      </c>
    </row>
    <row r="7855" spans="11:11" x14ac:dyDescent="0.25">
      <c r="K7855" s="8" t="e">
        <f t="shared" si="96"/>
        <v>#VALUE!</v>
      </c>
    </row>
    <row r="7856" spans="11:11" x14ac:dyDescent="0.25">
      <c r="K7856" s="8" t="e">
        <f t="shared" si="96"/>
        <v>#VALUE!</v>
      </c>
    </row>
    <row r="7857" spans="11:11" x14ac:dyDescent="0.25">
      <c r="K7857" s="8" t="e">
        <f t="shared" si="96"/>
        <v>#VALUE!</v>
      </c>
    </row>
    <row r="7858" spans="11:11" x14ac:dyDescent="0.25">
      <c r="K7858" s="8" t="e">
        <f t="shared" si="96"/>
        <v>#VALUE!</v>
      </c>
    </row>
    <row r="7859" spans="11:11" x14ac:dyDescent="0.25">
      <c r="K7859" s="8" t="e">
        <f t="shared" si="96"/>
        <v>#VALUE!</v>
      </c>
    </row>
    <row r="7860" spans="11:11" x14ac:dyDescent="0.25">
      <c r="K7860" s="8" t="e">
        <f t="shared" si="96"/>
        <v>#VALUE!</v>
      </c>
    </row>
    <row r="7861" spans="11:11" x14ac:dyDescent="0.25">
      <c r="K7861" s="8" t="e">
        <f t="shared" si="96"/>
        <v>#VALUE!</v>
      </c>
    </row>
    <row r="7862" spans="11:11" x14ac:dyDescent="0.25">
      <c r="K7862" s="8" t="e">
        <f t="shared" si="96"/>
        <v>#VALUE!</v>
      </c>
    </row>
    <row r="7863" spans="11:11" x14ac:dyDescent="0.25">
      <c r="K7863" s="8" t="e">
        <f t="shared" si="96"/>
        <v>#VALUE!</v>
      </c>
    </row>
    <row r="7864" spans="11:11" x14ac:dyDescent="0.25">
      <c r="K7864" s="8" t="e">
        <f t="shared" si="96"/>
        <v>#VALUE!</v>
      </c>
    </row>
    <row r="7865" spans="11:11" x14ac:dyDescent="0.25">
      <c r="K7865" s="8" t="e">
        <f t="shared" si="96"/>
        <v>#VALUE!</v>
      </c>
    </row>
    <row r="7866" spans="11:11" x14ac:dyDescent="0.25">
      <c r="K7866" s="8" t="e">
        <f t="shared" si="96"/>
        <v>#VALUE!</v>
      </c>
    </row>
    <row r="7867" spans="11:11" x14ac:dyDescent="0.25">
      <c r="K7867" s="8" t="e">
        <f t="shared" si="96"/>
        <v>#VALUE!</v>
      </c>
    </row>
    <row r="7868" spans="11:11" x14ac:dyDescent="0.25">
      <c r="K7868" s="8" t="e">
        <f t="shared" si="96"/>
        <v>#VALUE!</v>
      </c>
    </row>
    <row r="7869" spans="11:11" x14ac:dyDescent="0.25">
      <c r="K7869" s="8" t="e">
        <f t="shared" si="96"/>
        <v>#VALUE!</v>
      </c>
    </row>
    <row r="7870" spans="11:11" x14ac:dyDescent="0.25">
      <c r="K7870" s="8" t="e">
        <f t="shared" si="96"/>
        <v>#VALUE!</v>
      </c>
    </row>
    <row r="7871" spans="11:11" x14ac:dyDescent="0.25">
      <c r="K7871" s="8" t="e">
        <f t="shared" si="96"/>
        <v>#VALUE!</v>
      </c>
    </row>
    <row r="7872" spans="11:11" x14ac:dyDescent="0.25">
      <c r="K7872" s="8" t="e">
        <f t="shared" si="96"/>
        <v>#VALUE!</v>
      </c>
    </row>
    <row r="7873" spans="11:11" x14ac:dyDescent="0.25">
      <c r="K7873" s="8" t="e">
        <f t="shared" si="96"/>
        <v>#VALUE!</v>
      </c>
    </row>
    <row r="7874" spans="11:11" x14ac:dyDescent="0.25">
      <c r="K7874" s="8" t="e">
        <f t="shared" si="96"/>
        <v>#VALUE!</v>
      </c>
    </row>
    <row r="7875" spans="11:11" x14ac:dyDescent="0.25">
      <c r="K7875" s="8" t="e">
        <f t="shared" ref="K7875:K7938" si="97">LEFT(A7875,FIND("/",A7875)-1)</f>
        <v>#VALUE!</v>
      </c>
    </row>
    <row r="7876" spans="11:11" x14ac:dyDescent="0.25">
      <c r="K7876" s="8" t="e">
        <f t="shared" si="97"/>
        <v>#VALUE!</v>
      </c>
    </row>
    <row r="7877" spans="11:11" x14ac:dyDescent="0.25">
      <c r="K7877" s="8" t="e">
        <f t="shared" si="97"/>
        <v>#VALUE!</v>
      </c>
    </row>
    <row r="7878" spans="11:11" x14ac:dyDescent="0.25">
      <c r="K7878" s="8" t="e">
        <f t="shared" si="97"/>
        <v>#VALUE!</v>
      </c>
    </row>
    <row r="7879" spans="11:11" x14ac:dyDescent="0.25">
      <c r="K7879" s="8" t="e">
        <f t="shared" si="97"/>
        <v>#VALUE!</v>
      </c>
    </row>
    <row r="7880" spans="11:11" x14ac:dyDescent="0.25">
      <c r="K7880" s="8" t="e">
        <f t="shared" si="97"/>
        <v>#VALUE!</v>
      </c>
    </row>
    <row r="7881" spans="11:11" x14ac:dyDescent="0.25">
      <c r="K7881" s="8" t="e">
        <f t="shared" si="97"/>
        <v>#VALUE!</v>
      </c>
    </row>
    <row r="7882" spans="11:11" x14ac:dyDescent="0.25">
      <c r="K7882" s="8" t="e">
        <f t="shared" si="97"/>
        <v>#VALUE!</v>
      </c>
    </row>
    <row r="7883" spans="11:11" x14ac:dyDescent="0.25">
      <c r="K7883" s="8" t="e">
        <f t="shared" si="97"/>
        <v>#VALUE!</v>
      </c>
    </row>
    <row r="7884" spans="11:11" x14ac:dyDescent="0.25">
      <c r="K7884" s="8" t="e">
        <f t="shared" si="97"/>
        <v>#VALUE!</v>
      </c>
    </row>
    <row r="7885" spans="11:11" x14ac:dyDescent="0.25">
      <c r="K7885" s="8" t="e">
        <f t="shared" si="97"/>
        <v>#VALUE!</v>
      </c>
    </row>
    <row r="7886" spans="11:11" x14ac:dyDescent="0.25">
      <c r="K7886" s="8" t="e">
        <f t="shared" si="97"/>
        <v>#VALUE!</v>
      </c>
    </row>
    <row r="7887" spans="11:11" x14ac:dyDescent="0.25">
      <c r="K7887" s="8" t="e">
        <f t="shared" si="97"/>
        <v>#VALUE!</v>
      </c>
    </row>
    <row r="7888" spans="11:11" x14ac:dyDescent="0.25">
      <c r="K7888" s="8" t="e">
        <f t="shared" si="97"/>
        <v>#VALUE!</v>
      </c>
    </row>
    <row r="7889" spans="11:11" x14ac:dyDescent="0.25">
      <c r="K7889" s="8" t="e">
        <f t="shared" si="97"/>
        <v>#VALUE!</v>
      </c>
    </row>
    <row r="7890" spans="11:11" x14ac:dyDescent="0.25">
      <c r="K7890" s="8" t="e">
        <f t="shared" si="97"/>
        <v>#VALUE!</v>
      </c>
    </row>
    <row r="7891" spans="11:11" x14ac:dyDescent="0.25">
      <c r="K7891" s="8" t="e">
        <f t="shared" si="97"/>
        <v>#VALUE!</v>
      </c>
    </row>
    <row r="7892" spans="11:11" x14ac:dyDescent="0.25">
      <c r="K7892" s="8" t="e">
        <f t="shared" si="97"/>
        <v>#VALUE!</v>
      </c>
    </row>
    <row r="7893" spans="11:11" x14ac:dyDescent="0.25">
      <c r="K7893" s="8" t="e">
        <f t="shared" si="97"/>
        <v>#VALUE!</v>
      </c>
    </row>
    <row r="7894" spans="11:11" x14ac:dyDescent="0.25">
      <c r="K7894" s="8" t="e">
        <f t="shared" si="97"/>
        <v>#VALUE!</v>
      </c>
    </row>
    <row r="7895" spans="11:11" x14ac:dyDescent="0.25">
      <c r="K7895" s="8" t="e">
        <f t="shared" si="97"/>
        <v>#VALUE!</v>
      </c>
    </row>
    <row r="7896" spans="11:11" x14ac:dyDescent="0.25">
      <c r="K7896" s="8" t="e">
        <f t="shared" si="97"/>
        <v>#VALUE!</v>
      </c>
    </row>
    <row r="7897" spans="11:11" x14ac:dyDescent="0.25">
      <c r="K7897" s="8" t="e">
        <f t="shared" si="97"/>
        <v>#VALUE!</v>
      </c>
    </row>
    <row r="7898" spans="11:11" x14ac:dyDescent="0.25">
      <c r="K7898" s="8" t="e">
        <f t="shared" si="97"/>
        <v>#VALUE!</v>
      </c>
    </row>
    <row r="7899" spans="11:11" x14ac:dyDescent="0.25">
      <c r="K7899" s="8" t="e">
        <f t="shared" si="97"/>
        <v>#VALUE!</v>
      </c>
    </row>
    <row r="7900" spans="11:11" x14ac:dyDescent="0.25">
      <c r="K7900" s="8" t="e">
        <f t="shared" si="97"/>
        <v>#VALUE!</v>
      </c>
    </row>
    <row r="7901" spans="11:11" x14ac:dyDescent="0.25">
      <c r="K7901" s="8" t="e">
        <f t="shared" si="97"/>
        <v>#VALUE!</v>
      </c>
    </row>
    <row r="7902" spans="11:11" x14ac:dyDescent="0.25">
      <c r="K7902" s="8" t="e">
        <f t="shared" si="97"/>
        <v>#VALUE!</v>
      </c>
    </row>
    <row r="7903" spans="11:11" x14ac:dyDescent="0.25">
      <c r="K7903" s="8" t="e">
        <f t="shared" si="97"/>
        <v>#VALUE!</v>
      </c>
    </row>
    <row r="7904" spans="11:11" x14ac:dyDescent="0.25">
      <c r="K7904" s="8" t="e">
        <f t="shared" si="97"/>
        <v>#VALUE!</v>
      </c>
    </row>
    <row r="7905" spans="11:11" x14ac:dyDescent="0.25">
      <c r="K7905" s="8" t="e">
        <f t="shared" si="97"/>
        <v>#VALUE!</v>
      </c>
    </row>
    <row r="7906" spans="11:11" x14ac:dyDescent="0.25">
      <c r="K7906" s="8" t="e">
        <f t="shared" si="97"/>
        <v>#VALUE!</v>
      </c>
    </row>
    <row r="7907" spans="11:11" x14ac:dyDescent="0.25">
      <c r="K7907" s="8" t="e">
        <f t="shared" si="97"/>
        <v>#VALUE!</v>
      </c>
    </row>
    <row r="7908" spans="11:11" x14ac:dyDescent="0.25">
      <c r="K7908" s="8" t="e">
        <f t="shared" si="97"/>
        <v>#VALUE!</v>
      </c>
    </row>
    <row r="7909" spans="11:11" x14ac:dyDescent="0.25">
      <c r="K7909" s="8" t="e">
        <f t="shared" si="97"/>
        <v>#VALUE!</v>
      </c>
    </row>
    <row r="7910" spans="11:11" x14ac:dyDescent="0.25">
      <c r="K7910" s="8" t="e">
        <f t="shared" si="97"/>
        <v>#VALUE!</v>
      </c>
    </row>
    <row r="7911" spans="11:11" x14ac:dyDescent="0.25">
      <c r="K7911" s="8" t="e">
        <f t="shared" si="97"/>
        <v>#VALUE!</v>
      </c>
    </row>
    <row r="7912" spans="11:11" x14ac:dyDescent="0.25">
      <c r="K7912" s="8" t="e">
        <f t="shared" si="97"/>
        <v>#VALUE!</v>
      </c>
    </row>
    <row r="7913" spans="11:11" x14ac:dyDescent="0.25">
      <c r="K7913" s="8" t="e">
        <f t="shared" si="97"/>
        <v>#VALUE!</v>
      </c>
    </row>
    <row r="7914" spans="11:11" x14ac:dyDescent="0.25">
      <c r="K7914" s="8" t="e">
        <f t="shared" si="97"/>
        <v>#VALUE!</v>
      </c>
    </row>
    <row r="7915" spans="11:11" x14ac:dyDescent="0.25">
      <c r="K7915" s="8" t="e">
        <f t="shared" si="97"/>
        <v>#VALUE!</v>
      </c>
    </row>
    <row r="7916" spans="11:11" x14ac:dyDescent="0.25">
      <c r="K7916" s="8" t="e">
        <f t="shared" si="97"/>
        <v>#VALUE!</v>
      </c>
    </row>
    <row r="7917" spans="11:11" x14ac:dyDescent="0.25">
      <c r="K7917" s="8" t="e">
        <f t="shared" si="97"/>
        <v>#VALUE!</v>
      </c>
    </row>
    <row r="7918" spans="11:11" x14ac:dyDescent="0.25">
      <c r="K7918" s="8" t="e">
        <f t="shared" si="97"/>
        <v>#VALUE!</v>
      </c>
    </row>
    <row r="7919" spans="11:11" x14ac:dyDescent="0.25">
      <c r="K7919" s="8" t="e">
        <f t="shared" si="97"/>
        <v>#VALUE!</v>
      </c>
    </row>
    <row r="7920" spans="11:11" x14ac:dyDescent="0.25">
      <c r="K7920" s="8" t="e">
        <f t="shared" si="97"/>
        <v>#VALUE!</v>
      </c>
    </row>
    <row r="7921" spans="11:11" x14ac:dyDescent="0.25">
      <c r="K7921" s="8" t="e">
        <f t="shared" si="97"/>
        <v>#VALUE!</v>
      </c>
    </row>
    <row r="7922" spans="11:11" x14ac:dyDescent="0.25">
      <c r="K7922" s="8" t="e">
        <f t="shared" si="97"/>
        <v>#VALUE!</v>
      </c>
    </row>
    <row r="7923" spans="11:11" x14ac:dyDescent="0.25">
      <c r="K7923" s="8" t="e">
        <f t="shared" si="97"/>
        <v>#VALUE!</v>
      </c>
    </row>
    <row r="7924" spans="11:11" x14ac:dyDescent="0.25">
      <c r="K7924" s="8" t="e">
        <f t="shared" si="97"/>
        <v>#VALUE!</v>
      </c>
    </row>
    <row r="7925" spans="11:11" x14ac:dyDescent="0.25">
      <c r="K7925" s="8" t="e">
        <f t="shared" si="97"/>
        <v>#VALUE!</v>
      </c>
    </row>
    <row r="7926" spans="11:11" x14ac:dyDescent="0.25">
      <c r="K7926" s="8" t="e">
        <f t="shared" si="97"/>
        <v>#VALUE!</v>
      </c>
    </row>
    <row r="7927" spans="11:11" x14ac:dyDescent="0.25">
      <c r="K7927" s="8" t="e">
        <f t="shared" si="97"/>
        <v>#VALUE!</v>
      </c>
    </row>
    <row r="7928" spans="11:11" x14ac:dyDescent="0.25">
      <c r="K7928" s="8" t="e">
        <f t="shared" si="97"/>
        <v>#VALUE!</v>
      </c>
    </row>
    <row r="7929" spans="11:11" x14ac:dyDescent="0.25">
      <c r="K7929" s="8" t="e">
        <f t="shared" si="97"/>
        <v>#VALUE!</v>
      </c>
    </row>
    <row r="7930" spans="11:11" x14ac:dyDescent="0.25">
      <c r="K7930" s="8" t="e">
        <f t="shared" si="97"/>
        <v>#VALUE!</v>
      </c>
    </row>
    <row r="7931" spans="11:11" x14ac:dyDescent="0.25">
      <c r="K7931" s="8" t="e">
        <f t="shared" si="97"/>
        <v>#VALUE!</v>
      </c>
    </row>
    <row r="7932" spans="11:11" x14ac:dyDescent="0.25">
      <c r="K7932" s="8" t="e">
        <f t="shared" si="97"/>
        <v>#VALUE!</v>
      </c>
    </row>
    <row r="7933" spans="11:11" x14ac:dyDescent="0.25">
      <c r="K7933" s="8" t="e">
        <f t="shared" si="97"/>
        <v>#VALUE!</v>
      </c>
    </row>
    <row r="7934" spans="11:11" x14ac:dyDescent="0.25">
      <c r="K7934" s="8" t="e">
        <f t="shared" si="97"/>
        <v>#VALUE!</v>
      </c>
    </row>
    <row r="7935" spans="11:11" x14ac:dyDescent="0.25">
      <c r="K7935" s="8" t="e">
        <f t="shared" si="97"/>
        <v>#VALUE!</v>
      </c>
    </row>
    <row r="7936" spans="11:11" x14ac:dyDescent="0.25">
      <c r="K7936" s="8" t="e">
        <f t="shared" si="97"/>
        <v>#VALUE!</v>
      </c>
    </row>
    <row r="7937" spans="11:11" x14ac:dyDescent="0.25">
      <c r="K7937" s="8" t="e">
        <f t="shared" si="97"/>
        <v>#VALUE!</v>
      </c>
    </row>
    <row r="7938" spans="11:11" x14ac:dyDescent="0.25">
      <c r="K7938" s="8" t="e">
        <f t="shared" si="97"/>
        <v>#VALUE!</v>
      </c>
    </row>
    <row r="7939" spans="11:11" x14ac:dyDescent="0.25">
      <c r="K7939" s="8" t="e">
        <f t="shared" ref="K7939:K8002" si="98">LEFT(A7939,FIND("/",A7939)-1)</f>
        <v>#VALUE!</v>
      </c>
    </row>
    <row r="7940" spans="11:11" x14ac:dyDescent="0.25">
      <c r="K7940" s="8" t="e">
        <f t="shared" si="98"/>
        <v>#VALUE!</v>
      </c>
    </row>
    <row r="7941" spans="11:11" x14ac:dyDescent="0.25">
      <c r="K7941" s="8" t="e">
        <f t="shared" si="98"/>
        <v>#VALUE!</v>
      </c>
    </row>
    <row r="7942" spans="11:11" x14ac:dyDescent="0.25">
      <c r="K7942" s="8" t="e">
        <f t="shared" si="98"/>
        <v>#VALUE!</v>
      </c>
    </row>
    <row r="7943" spans="11:11" x14ac:dyDescent="0.25">
      <c r="K7943" s="8" t="e">
        <f t="shared" si="98"/>
        <v>#VALUE!</v>
      </c>
    </row>
    <row r="7944" spans="11:11" x14ac:dyDescent="0.25">
      <c r="K7944" s="8" t="e">
        <f t="shared" si="98"/>
        <v>#VALUE!</v>
      </c>
    </row>
    <row r="7945" spans="11:11" x14ac:dyDescent="0.25">
      <c r="K7945" s="8" t="e">
        <f t="shared" si="98"/>
        <v>#VALUE!</v>
      </c>
    </row>
    <row r="7946" spans="11:11" x14ac:dyDescent="0.25">
      <c r="K7946" s="8" t="e">
        <f t="shared" si="98"/>
        <v>#VALUE!</v>
      </c>
    </row>
    <row r="7947" spans="11:11" x14ac:dyDescent="0.25">
      <c r="K7947" s="8" t="e">
        <f t="shared" si="98"/>
        <v>#VALUE!</v>
      </c>
    </row>
    <row r="7948" spans="11:11" x14ac:dyDescent="0.25">
      <c r="K7948" s="8" t="e">
        <f t="shared" si="98"/>
        <v>#VALUE!</v>
      </c>
    </row>
    <row r="7949" spans="11:11" x14ac:dyDescent="0.25">
      <c r="K7949" s="8" t="e">
        <f t="shared" si="98"/>
        <v>#VALUE!</v>
      </c>
    </row>
    <row r="7950" spans="11:11" x14ac:dyDescent="0.25">
      <c r="K7950" s="8" t="e">
        <f t="shared" si="98"/>
        <v>#VALUE!</v>
      </c>
    </row>
    <row r="7951" spans="11:11" x14ac:dyDescent="0.25">
      <c r="K7951" s="8" t="e">
        <f t="shared" si="98"/>
        <v>#VALUE!</v>
      </c>
    </row>
    <row r="7952" spans="11:11" x14ac:dyDescent="0.25">
      <c r="K7952" s="8" t="e">
        <f t="shared" si="98"/>
        <v>#VALUE!</v>
      </c>
    </row>
    <row r="7953" spans="11:11" x14ac:dyDescent="0.25">
      <c r="K7953" s="8" t="e">
        <f t="shared" si="98"/>
        <v>#VALUE!</v>
      </c>
    </row>
    <row r="7954" spans="11:11" x14ac:dyDescent="0.25">
      <c r="K7954" s="8" t="e">
        <f t="shared" si="98"/>
        <v>#VALUE!</v>
      </c>
    </row>
    <row r="7955" spans="11:11" x14ac:dyDescent="0.25">
      <c r="K7955" s="8" t="e">
        <f t="shared" si="98"/>
        <v>#VALUE!</v>
      </c>
    </row>
    <row r="7956" spans="11:11" x14ac:dyDescent="0.25">
      <c r="K7956" s="8" t="e">
        <f t="shared" si="98"/>
        <v>#VALUE!</v>
      </c>
    </row>
    <row r="7957" spans="11:11" x14ac:dyDescent="0.25">
      <c r="K7957" s="8" t="e">
        <f t="shared" si="98"/>
        <v>#VALUE!</v>
      </c>
    </row>
    <row r="7958" spans="11:11" x14ac:dyDescent="0.25">
      <c r="K7958" s="8" t="e">
        <f t="shared" si="98"/>
        <v>#VALUE!</v>
      </c>
    </row>
    <row r="7959" spans="11:11" x14ac:dyDescent="0.25">
      <c r="K7959" s="8" t="e">
        <f t="shared" si="98"/>
        <v>#VALUE!</v>
      </c>
    </row>
    <row r="7960" spans="11:11" x14ac:dyDescent="0.25">
      <c r="K7960" s="8" t="e">
        <f t="shared" si="98"/>
        <v>#VALUE!</v>
      </c>
    </row>
    <row r="7961" spans="11:11" x14ac:dyDescent="0.25">
      <c r="K7961" s="8" t="e">
        <f t="shared" si="98"/>
        <v>#VALUE!</v>
      </c>
    </row>
    <row r="7962" spans="11:11" x14ac:dyDescent="0.25">
      <c r="K7962" s="8" t="e">
        <f t="shared" si="98"/>
        <v>#VALUE!</v>
      </c>
    </row>
    <row r="7963" spans="11:11" x14ac:dyDescent="0.25">
      <c r="K7963" s="8" t="e">
        <f t="shared" si="98"/>
        <v>#VALUE!</v>
      </c>
    </row>
    <row r="7964" spans="11:11" x14ac:dyDescent="0.25">
      <c r="K7964" s="8" t="e">
        <f t="shared" si="98"/>
        <v>#VALUE!</v>
      </c>
    </row>
    <row r="7965" spans="11:11" x14ac:dyDescent="0.25">
      <c r="K7965" s="8" t="e">
        <f t="shared" si="98"/>
        <v>#VALUE!</v>
      </c>
    </row>
    <row r="7966" spans="11:11" x14ac:dyDescent="0.25">
      <c r="K7966" s="8" t="e">
        <f t="shared" si="98"/>
        <v>#VALUE!</v>
      </c>
    </row>
    <row r="7967" spans="11:11" x14ac:dyDescent="0.25">
      <c r="K7967" s="8" t="e">
        <f t="shared" si="98"/>
        <v>#VALUE!</v>
      </c>
    </row>
    <row r="7968" spans="11:11" x14ac:dyDescent="0.25">
      <c r="K7968" s="8" t="e">
        <f t="shared" si="98"/>
        <v>#VALUE!</v>
      </c>
    </row>
    <row r="7969" spans="11:11" x14ac:dyDescent="0.25">
      <c r="K7969" s="8" t="e">
        <f t="shared" si="98"/>
        <v>#VALUE!</v>
      </c>
    </row>
    <row r="7970" spans="11:11" x14ac:dyDescent="0.25">
      <c r="K7970" s="8" t="e">
        <f t="shared" si="98"/>
        <v>#VALUE!</v>
      </c>
    </row>
    <row r="7971" spans="11:11" x14ac:dyDescent="0.25">
      <c r="K7971" s="8" t="e">
        <f t="shared" si="98"/>
        <v>#VALUE!</v>
      </c>
    </row>
    <row r="7972" spans="11:11" x14ac:dyDescent="0.25">
      <c r="K7972" s="8" t="e">
        <f t="shared" si="98"/>
        <v>#VALUE!</v>
      </c>
    </row>
    <row r="7973" spans="11:11" x14ac:dyDescent="0.25">
      <c r="K7973" s="8" t="e">
        <f t="shared" si="98"/>
        <v>#VALUE!</v>
      </c>
    </row>
    <row r="7974" spans="11:11" x14ac:dyDescent="0.25">
      <c r="K7974" s="8" t="e">
        <f t="shared" si="98"/>
        <v>#VALUE!</v>
      </c>
    </row>
    <row r="7975" spans="11:11" x14ac:dyDescent="0.25">
      <c r="K7975" s="8" t="e">
        <f t="shared" si="98"/>
        <v>#VALUE!</v>
      </c>
    </row>
    <row r="7976" spans="11:11" x14ac:dyDescent="0.25">
      <c r="K7976" s="8" t="e">
        <f t="shared" si="98"/>
        <v>#VALUE!</v>
      </c>
    </row>
    <row r="7977" spans="11:11" x14ac:dyDescent="0.25">
      <c r="K7977" s="8" t="e">
        <f t="shared" si="98"/>
        <v>#VALUE!</v>
      </c>
    </row>
    <row r="7978" spans="11:11" x14ac:dyDescent="0.25">
      <c r="K7978" s="8" t="e">
        <f t="shared" si="98"/>
        <v>#VALUE!</v>
      </c>
    </row>
    <row r="7979" spans="11:11" x14ac:dyDescent="0.25">
      <c r="K7979" s="8" t="e">
        <f t="shared" si="98"/>
        <v>#VALUE!</v>
      </c>
    </row>
    <row r="7980" spans="11:11" x14ac:dyDescent="0.25">
      <c r="K7980" s="8" t="e">
        <f t="shared" si="98"/>
        <v>#VALUE!</v>
      </c>
    </row>
    <row r="7981" spans="11:11" x14ac:dyDescent="0.25">
      <c r="K7981" s="8" t="e">
        <f t="shared" si="98"/>
        <v>#VALUE!</v>
      </c>
    </row>
    <row r="7982" spans="11:11" x14ac:dyDescent="0.25">
      <c r="K7982" s="8" t="e">
        <f t="shared" si="98"/>
        <v>#VALUE!</v>
      </c>
    </row>
    <row r="7983" spans="11:11" x14ac:dyDescent="0.25">
      <c r="K7983" s="8" t="e">
        <f t="shared" si="98"/>
        <v>#VALUE!</v>
      </c>
    </row>
    <row r="7984" spans="11:11" x14ac:dyDescent="0.25">
      <c r="K7984" s="8" t="e">
        <f t="shared" si="98"/>
        <v>#VALUE!</v>
      </c>
    </row>
    <row r="7985" spans="11:11" x14ac:dyDescent="0.25">
      <c r="K7985" s="8" t="e">
        <f t="shared" si="98"/>
        <v>#VALUE!</v>
      </c>
    </row>
    <row r="7986" spans="11:11" x14ac:dyDescent="0.25">
      <c r="K7986" s="8" t="e">
        <f t="shared" si="98"/>
        <v>#VALUE!</v>
      </c>
    </row>
    <row r="7987" spans="11:11" x14ac:dyDescent="0.25">
      <c r="K7987" s="8" t="e">
        <f t="shared" si="98"/>
        <v>#VALUE!</v>
      </c>
    </row>
    <row r="7988" spans="11:11" x14ac:dyDescent="0.25">
      <c r="K7988" s="8" t="e">
        <f t="shared" si="98"/>
        <v>#VALUE!</v>
      </c>
    </row>
    <row r="7989" spans="11:11" x14ac:dyDescent="0.25">
      <c r="K7989" s="8" t="e">
        <f t="shared" si="98"/>
        <v>#VALUE!</v>
      </c>
    </row>
    <row r="7990" spans="11:11" x14ac:dyDescent="0.25">
      <c r="K7990" s="8" t="e">
        <f t="shared" si="98"/>
        <v>#VALUE!</v>
      </c>
    </row>
    <row r="7991" spans="11:11" x14ac:dyDescent="0.25">
      <c r="K7991" s="8" t="e">
        <f t="shared" si="98"/>
        <v>#VALUE!</v>
      </c>
    </row>
    <row r="7992" spans="11:11" x14ac:dyDescent="0.25">
      <c r="K7992" s="8" t="e">
        <f t="shared" si="98"/>
        <v>#VALUE!</v>
      </c>
    </row>
    <row r="7993" spans="11:11" x14ac:dyDescent="0.25">
      <c r="K7993" s="8" t="e">
        <f t="shared" si="98"/>
        <v>#VALUE!</v>
      </c>
    </row>
    <row r="7994" spans="11:11" x14ac:dyDescent="0.25">
      <c r="K7994" s="8" t="e">
        <f t="shared" si="98"/>
        <v>#VALUE!</v>
      </c>
    </row>
    <row r="7995" spans="11:11" x14ac:dyDescent="0.25">
      <c r="K7995" s="8" t="e">
        <f t="shared" si="98"/>
        <v>#VALUE!</v>
      </c>
    </row>
    <row r="7996" spans="11:11" x14ac:dyDescent="0.25">
      <c r="K7996" s="8" t="e">
        <f t="shared" si="98"/>
        <v>#VALUE!</v>
      </c>
    </row>
    <row r="7997" spans="11:11" x14ac:dyDescent="0.25">
      <c r="K7997" s="8" t="e">
        <f t="shared" si="98"/>
        <v>#VALUE!</v>
      </c>
    </row>
    <row r="7998" spans="11:11" x14ac:dyDescent="0.25">
      <c r="K7998" s="8" t="e">
        <f t="shared" si="98"/>
        <v>#VALUE!</v>
      </c>
    </row>
    <row r="7999" spans="11:11" x14ac:dyDescent="0.25">
      <c r="K7999" s="8" t="e">
        <f t="shared" si="98"/>
        <v>#VALUE!</v>
      </c>
    </row>
    <row r="8000" spans="11:11" x14ac:dyDescent="0.25">
      <c r="K8000" s="8" t="e">
        <f t="shared" si="98"/>
        <v>#VALUE!</v>
      </c>
    </row>
    <row r="8001" spans="11:11" x14ac:dyDescent="0.25">
      <c r="K8001" s="8" t="e">
        <f t="shared" si="98"/>
        <v>#VALUE!</v>
      </c>
    </row>
    <row r="8002" spans="11:11" x14ac:dyDescent="0.25">
      <c r="K8002" s="8" t="e">
        <f t="shared" si="98"/>
        <v>#VALUE!</v>
      </c>
    </row>
    <row r="8003" spans="11:11" x14ac:dyDescent="0.25">
      <c r="K8003" s="8" t="e">
        <f t="shared" ref="K8003:K8066" si="99">LEFT(A8003,FIND("/",A8003)-1)</f>
        <v>#VALUE!</v>
      </c>
    </row>
    <row r="8004" spans="11:11" x14ac:dyDescent="0.25">
      <c r="K8004" s="8" t="e">
        <f t="shared" si="99"/>
        <v>#VALUE!</v>
      </c>
    </row>
    <row r="8005" spans="11:11" x14ac:dyDescent="0.25">
      <c r="K8005" s="8" t="e">
        <f t="shared" si="99"/>
        <v>#VALUE!</v>
      </c>
    </row>
    <row r="8006" spans="11:11" x14ac:dyDescent="0.25">
      <c r="K8006" s="8" t="e">
        <f t="shared" si="99"/>
        <v>#VALUE!</v>
      </c>
    </row>
    <row r="8007" spans="11:11" x14ac:dyDescent="0.25">
      <c r="K8007" s="8" t="e">
        <f t="shared" si="99"/>
        <v>#VALUE!</v>
      </c>
    </row>
    <row r="8008" spans="11:11" x14ac:dyDescent="0.25">
      <c r="K8008" s="8" t="e">
        <f t="shared" si="99"/>
        <v>#VALUE!</v>
      </c>
    </row>
    <row r="8009" spans="11:11" x14ac:dyDescent="0.25">
      <c r="K8009" s="8" t="e">
        <f t="shared" si="99"/>
        <v>#VALUE!</v>
      </c>
    </row>
    <row r="8010" spans="11:11" x14ac:dyDescent="0.25">
      <c r="K8010" s="8" t="e">
        <f t="shared" si="99"/>
        <v>#VALUE!</v>
      </c>
    </row>
    <row r="8011" spans="11:11" x14ac:dyDescent="0.25">
      <c r="K8011" s="8" t="e">
        <f t="shared" si="99"/>
        <v>#VALUE!</v>
      </c>
    </row>
    <row r="8012" spans="11:11" x14ac:dyDescent="0.25">
      <c r="K8012" s="8" t="e">
        <f t="shared" si="99"/>
        <v>#VALUE!</v>
      </c>
    </row>
    <row r="8013" spans="11:11" x14ac:dyDescent="0.25">
      <c r="K8013" s="8" t="e">
        <f t="shared" si="99"/>
        <v>#VALUE!</v>
      </c>
    </row>
    <row r="8014" spans="11:11" x14ac:dyDescent="0.25">
      <c r="K8014" s="8" t="e">
        <f t="shared" si="99"/>
        <v>#VALUE!</v>
      </c>
    </row>
    <row r="8015" spans="11:11" x14ac:dyDescent="0.25">
      <c r="K8015" s="8" t="e">
        <f t="shared" si="99"/>
        <v>#VALUE!</v>
      </c>
    </row>
    <row r="8016" spans="11:11" x14ac:dyDescent="0.25">
      <c r="K8016" s="8" t="e">
        <f t="shared" si="99"/>
        <v>#VALUE!</v>
      </c>
    </row>
    <row r="8017" spans="11:11" x14ac:dyDescent="0.25">
      <c r="K8017" s="8" t="e">
        <f t="shared" si="99"/>
        <v>#VALUE!</v>
      </c>
    </row>
    <row r="8018" spans="11:11" x14ac:dyDescent="0.25">
      <c r="K8018" s="8" t="e">
        <f t="shared" si="99"/>
        <v>#VALUE!</v>
      </c>
    </row>
    <row r="8019" spans="11:11" x14ac:dyDescent="0.25">
      <c r="K8019" s="8" t="e">
        <f t="shared" si="99"/>
        <v>#VALUE!</v>
      </c>
    </row>
    <row r="8020" spans="11:11" x14ac:dyDescent="0.25">
      <c r="K8020" s="8" t="e">
        <f t="shared" si="99"/>
        <v>#VALUE!</v>
      </c>
    </row>
    <row r="8021" spans="11:11" x14ac:dyDescent="0.25">
      <c r="K8021" s="8" t="e">
        <f t="shared" si="99"/>
        <v>#VALUE!</v>
      </c>
    </row>
    <row r="8022" spans="11:11" x14ac:dyDescent="0.25">
      <c r="K8022" s="8" t="e">
        <f t="shared" si="99"/>
        <v>#VALUE!</v>
      </c>
    </row>
    <row r="8023" spans="11:11" x14ac:dyDescent="0.25">
      <c r="K8023" s="8" t="e">
        <f t="shared" si="99"/>
        <v>#VALUE!</v>
      </c>
    </row>
    <row r="8024" spans="11:11" x14ac:dyDescent="0.25">
      <c r="K8024" s="8" t="e">
        <f t="shared" si="99"/>
        <v>#VALUE!</v>
      </c>
    </row>
    <row r="8025" spans="11:11" x14ac:dyDescent="0.25">
      <c r="K8025" s="8" t="e">
        <f t="shared" si="99"/>
        <v>#VALUE!</v>
      </c>
    </row>
    <row r="8026" spans="11:11" x14ac:dyDescent="0.25">
      <c r="K8026" s="8" t="e">
        <f t="shared" si="99"/>
        <v>#VALUE!</v>
      </c>
    </row>
    <row r="8027" spans="11:11" x14ac:dyDescent="0.25">
      <c r="K8027" s="8" t="e">
        <f t="shared" si="99"/>
        <v>#VALUE!</v>
      </c>
    </row>
    <row r="8028" spans="11:11" x14ac:dyDescent="0.25">
      <c r="K8028" s="8" t="e">
        <f t="shared" si="99"/>
        <v>#VALUE!</v>
      </c>
    </row>
    <row r="8029" spans="11:11" x14ac:dyDescent="0.25">
      <c r="K8029" s="8" t="e">
        <f t="shared" si="99"/>
        <v>#VALUE!</v>
      </c>
    </row>
    <row r="8030" spans="11:11" x14ac:dyDescent="0.25">
      <c r="K8030" s="8" t="e">
        <f t="shared" si="99"/>
        <v>#VALUE!</v>
      </c>
    </row>
    <row r="8031" spans="11:11" x14ac:dyDescent="0.25">
      <c r="K8031" s="8" t="e">
        <f t="shared" si="99"/>
        <v>#VALUE!</v>
      </c>
    </row>
    <row r="8032" spans="11:11" x14ac:dyDescent="0.25">
      <c r="K8032" s="8" t="e">
        <f t="shared" si="99"/>
        <v>#VALUE!</v>
      </c>
    </row>
    <row r="8033" spans="11:11" x14ac:dyDescent="0.25">
      <c r="K8033" s="8" t="e">
        <f t="shared" si="99"/>
        <v>#VALUE!</v>
      </c>
    </row>
    <row r="8034" spans="11:11" x14ac:dyDescent="0.25">
      <c r="K8034" s="8" t="e">
        <f t="shared" si="99"/>
        <v>#VALUE!</v>
      </c>
    </row>
    <row r="8035" spans="11:11" x14ac:dyDescent="0.25">
      <c r="K8035" s="8" t="e">
        <f t="shared" si="99"/>
        <v>#VALUE!</v>
      </c>
    </row>
    <row r="8036" spans="11:11" x14ac:dyDescent="0.25">
      <c r="K8036" s="8" t="e">
        <f t="shared" si="99"/>
        <v>#VALUE!</v>
      </c>
    </row>
    <row r="8037" spans="11:11" x14ac:dyDescent="0.25">
      <c r="K8037" s="8" t="e">
        <f t="shared" si="99"/>
        <v>#VALUE!</v>
      </c>
    </row>
    <row r="8038" spans="11:11" x14ac:dyDescent="0.25">
      <c r="K8038" s="8" t="e">
        <f t="shared" si="99"/>
        <v>#VALUE!</v>
      </c>
    </row>
    <row r="8039" spans="11:11" x14ac:dyDescent="0.25">
      <c r="K8039" s="8" t="e">
        <f t="shared" si="99"/>
        <v>#VALUE!</v>
      </c>
    </row>
    <row r="8040" spans="11:11" x14ac:dyDescent="0.25">
      <c r="K8040" s="8" t="e">
        <f t="shared" si="99"/>
        <v>#VALUE!</v>
      </c>
    </row>
    <row r="8041" spans="11:11" x14ac:dyDescent="0.25">
      <c r="K8041" s="8" t="e">
        <f t="shared" si="99"/>
        <v>#VALUE!</v>
      </c>
    </row>
    <row r="8042" spans="11:11" x14ac:dyDescent="0.25">
      <c r="K8042" s="8" t="e">
        <f t="shared" si="99"/>
        <v>#VALUE!</v>
      </c>
    </row>
    <row r="8043" spans="11:11" x14ac:dyDescent="0.25">
      <c r="K8043" s="8" t="e">
        <f t="shared" si="99"/>
        <v>#VALUE!</v>
      </c>
    </row>
    <row r="8044" spans="11:11" x14ac:dyDescent="0.25">
      <c r="K8044" s="8" t="e">
        <f t="shared" si="99"/>
        <v>#VALUE!</v>
      </c>
    </row>
    <row r="8045" spans="11:11" x14ac:dyDescent="0.25">
      <c r="K8045" s="8" t="e">
        <f t="shared" si="99"/>
        <v>#VALUE!</v>
      </c>
    </row>
    <row r="8046" spans="11:11" x14ac:dyDescent="0.25">
      <c r="K8046" s="8" t="e">
        <f t="shared" si="99"/>
        <v>#VALUE!</v>
      </c>
    </row>
    <row r="8047" spans="11:11" x14ac:dyDescent="0.25">
      <c r="K8047" s="8" t="e">
        <f t="shared" si="99"/>
        <v>#VALUE!</v>
      </c>
    </row>
    <row r="8048" spans="11:11" x14ac:dyDescent="0.25">
      <c r="K8048" s="8" t="e">
        <f t="shared" si="99"/>
        <v>#VALUE!</v>
      </c>
    </row>
    <row r="8049" spans="11:11" x14ac:dyDescent="0.25">
      <c r="K8049" s="8" t="e">
        <f t="shared" si="99"/>
        <v>#VALUE!</v>
      </c>
    </row>
    <row r="8050" spans="11:11" x14ac:dyDescent="0.25">
      <c r="K8050" s="8" t="e">
        <f t="shared" si="99"/>
        <v>#VALUE!</v>
      </c>
    </row>
    <row r="8051" spans="11:11" x14ac:dyDescent="0.25">
      <c r="K8051" s="8" t="e">
        <f t="shared" si="99"/>
        <v>#VALUE!</v>
      </c>
    </row>
    <row r="8052" spans="11:11" x14ac:dyDescent="0.25">
      <c r="K8052" s="8" t="e">
        <f t="shared" si="99"/>
        <v>#VALUE!</v>
      </c>
    </row>
    <row r="8053" spans="11:11" x14ac:dyDescent="0.25">
      <c r="K8053" s="8" t="e">
        <f t="shared" si="99"/>
        <v>#VALUE!</v>
      </c>
    </row>
    <row r="8054" spans="11:11" x14ac:dyDescent="0.25">
      <c r="K8054" s="8" t="e">
        <f t="shared" si="99"/>
        <v>#VALUE!</v>
      </c>
    </row>
    <row r="8055" spans="11:11" x14ac:dyDescent="0.25">
      <c r="K8055" s="8" t="e">
        <f t="shared" si="99"/>
        <v>#VALUE!</v>
      </c>
    </row>
    <row r="8056" spans="11:11" x14ac:dyDescent="0.25">
      <c r="K8056" s="8" t="e">
        <f t="shared" si="99"/>
        <v>#VALUE!</v>
      </c>
    </row>
    <row r="8057" spans="11:11" x14ac:dyDescent="0.25">
      <c r="K8057" s="8" t="e">
        <f t="shared" si="99"/>
        <v>#VALUE!</v>
      </c>
    </row>
    <row r="8058" spans="11:11" x14ac:dyDescent="0.25">
      <c r="K8058" s="8" t="e">
        <f t="shared" si="99"/>
        <v>#VALUE!</v>
      </c>
    </row>
    <row r="8059" spans="11:11" x14ac:dyDescent="0.25">
      <c r="K8059" s="8" t="e">
        <f t="shared" si="99"/>
        <v>#VALUE!</v>
      </c>
    </row>
    <row r="8060" spans="11:11" x14ac:dyDescent="0.25">
      <c r="K8060" s="8" t="e">
        <f t="shared" si="99"/>
        <v>#VALUE!</v>
      </c>
    </row>
    <row r="8061" spans="11:11" x14ac:dyDescent="0.25">
      <c r="K8061" s="8" t="e">
        <f t="shared" si="99"/>
        <v>#VALUE!</v>
      </c>
    </row>
    <row r="8062" spans="11:11" x14ac:dyDescent="0.25">
      <c r="K8062" s="8" t="e">
        <f t="shared" si="99"/>
        <v>#VALUE!</v>
      </c>
    </row>
    <row r="8063" spans="11:11" x14ac:dyDescent="0.25">
      <c r="K8063" s="8" t="e">
        <f t="shared" si="99"/>
        <v>#VALUE!</v>
      </c>
    </row>
    <row r="8064" spans="11:11" x14ac:dyDescent="0.25">
      <c r="K8064" s="8" t="e">
        <f t="shared" si="99"/>
        <v>#VALUE!</v>
      </c>
    </row>
    <row r="8065" spans="11:11" x14ac:dyDescent="0.25">
      <c r="K8065" s="8" t="e">
        <f t="shared" si="99"/>
        <v>#VALUE!</v>
      </c>
    </row>
    <row r="8066" spans="11:11" x14ac:dyDescent="0.25">
      <c r="K8066" s="8" t="e">
        <f t="shared" si="99"/>
        <v>#VALUE!</v>
      </c>
    </row>
    <row r="8067" spans="11:11" x14ac:dyDescent="0.25">
      <c r="K8067" s="8" t="e">
        <f t="shared" ref="K8067:K8130" si="100">LEFT(A8067,FIND("/",A8067)-1)</f>
        <v>#VALUE!</v>
      </c>
    </row>
    <row r="8068" spans="11:11" x14ac:dyDescent="0.25">
      <c r="K8068" s="8" t="e">
        <f t="shared" si="100"/>
        <v>#VALUE!</v>
      </c>
    </row>
    <row r="8069" spans="11:11" x14ac:dyDescent="0.25">
      <c r="K8069" s="8" t="e">
        <f t="shared" si="100"/>
        <v>#VALUE!</v>
      </c>
    </row>
    <row r="8070" spans="11:11" x14ac:dyDescent="0.25">
      <c r="K8070" s="8" t="e">
        <f t="shared" si="100"/>
        <v>#VALUE!</v>
      </c>
    </row>
    <row r="8071" spans="11:11" x14ac:dyDescent="0.25">
      <c r="K8071" s="8" t="e">
        <f t="shared" si="100"/>
        <v>#VALUE!</v>
      </c>
    </row>
    <row r="8072" spans="11:11" x14ac:dyDescent="0.25">
      <c r="K8072" s="8" t="e">
        <f t="shared" si="100"/>
        <v>#VALUE!</v>
      </c>
    </row>
    <row r="8073" spans="11:11" x14ac:dyDescent="0.25">
      <c r="K8073" s="8" t="e">
        <f t="shared" si="100"/>
        <v>#VALUE!</v>
      </c>
    </row>
    <row r="8074" spans="11:11" x14ac:dyDescent="0.25">
      <c r="K8074" s="8" t="e">
        <f t="shared" si="100"/>
        <v>#VALUE!</v>
      </c>
    </row>
    <row r="8075" spans="11:11" x14ac:dyDescent="0.25">
      <c r="K8075" s="8" t="e">
        <f t="shared" si="100"/>
        <v>#VALUE!</v>
      </c>
    </row>
    <row r="8076" spans="11:11" x14ac:dyDescent="0.25">
      <c r="K8076" s="8" t="e">
        <f t="shared" si="100"/>
        <v>#VALUE!</v>
      </c>
    </row>
    <row r="8077" spans="11:11" x14ac:dyDescent="0.25">
      <c r="K8077" s="8" t="e">
        <f t="shared" si="100"/>
        <v>#VALUE!</v>
      </c>
    </row>
    <row r="8078" spans="11:11" x14ac:dyDescent="0.25">
      <c r="K8078" s="8" t="e">
        <f t="shared" si="100"/>
        <v>#VALUE!</v>
      </c>
    </row>
    <row r="8079" spans="11:11" x14ac:dyDescent="0.25">
      <c r="K8079" s="8" t="e">
        <f t="shared" si="100"/>
        <v>#VALUE!</v>
      </c>
    </row>
    <row r="8080" spans="11:11" x14ac:dyDescent="0.25">
      <c r="K8080" s="8" t="e">
        <f t="shared" si="100"/>
        <v>#VALUE!</v>
      </c>
    </row>
    <row r="8081" spans="11:11" x14ac:dyDescent="0.25">
      <c r="K8081" s="8" t="e">
        <f t="shared" si="100"/>
        <v>#VALUE!</v>
      </c>
    </row>
    <row r="8082" spans="11:11" x14ac:dyDescent="0.25">
      <c r="K8082" s="8" t="e">
        <f t="shared" si="100"/>
        <v>#VALUE!</v>
      </c>
    </row>
    <row r="8083" spans="11:11" x14ac:dyDescent="0.25">
      <c r="K8083" s="8" t="e">
        <f t="shared" si="100"/>
        <v>#VALUE!</v>
      </c>
    </row>
    <row r="8084" spans="11:11" x14ac:dyDescent="0.25">
      <c r="K8084" s="8" t="e">
        <f t="shared" si="100"/>
        <v>#VALUE!</v>
      </c>
    </row>
    <row r="8085" spans="11:11" x14ac:dyDescent="0.25">
      <c r="K8085" s="8" t="e">
        <f t="shared" si="100"/>
        <v>#VALUE!</v>
      </c>
    </row>
    <row r="8086" spans="11:11" x14ac:dyDescent="0.25">
      <c r="K8086" s="8" t="e">
        <f t="shared" si="100"/>
        <v>#VALUE!</v>
      </c>
    </row>
    <row r="8087" spans="11:11" x14ac:dyDescent="0.25">
      <c r="K8087" s="8" t="e">
        <f t="shared" si="100"/>
        <v>#VALUE!</v>
      </c>
    </row>
    <row r="8088" spans="11:11" x14ac:dyDescent="0.25">
      <c r="K8088" s="8" t="e">
        <f t="shared" si="100"/>
        <v>#VALUE!</v>
      </c>
    </row>
    <row r="8089" spans="11:11" x14ac:dyDescent="0.25">
      <c r="K8089" s="8" t="e">
        <f t="shared" si="100"/>
        <v>#VALUE!</v>
      </c>
    </row>
    <row r="8090" spans="11:11" x14ac:dyDescent="0.25">
      <c r="K8090" s="8" t="e">
        <f t="shared" si="100"/>
        <v>#VALUE!</v>
      </c>
    </row>
    <row r="8091" spans="11:11" x14ac:dyDescent="0.25">
      <c r="K8091" s="8" t="e">
        <f t="shared" si="100"/>
        <v>#VALUE!</v>
      </c>
    </row>
    <row r="8092" spans="11:11" x14ac:dyDescent="0.25">
      <c r="K8092" s="8" t="e">
        <f t="shared" si="100"/>
        <v>#VALUE!</v>
      </c>
    </row>
    <row r="8093" spans="11:11" x14ac:dyDescent="0.25">
      <c r="K8093" s="8" t="e">
        <f t="shared" si="100"/>
        <v>#VALUE!</v>
      </c>
    </row>
    <row r="8094" spans="11:11" x14ac:dyDescent="0.25">
      <c r="K8094" s="8" t="e">
        <f t="shared" si="100"/>
        <v>#VALUE!</v>
      </c>
    </row>
    <row r="8095" spans="11:11" x14ac:dyDescent="0.25">
      <c r="K8095" s="8" t="e">
        <f t="shared" si="100"/>
        <v>#VALUE!</v>
      </c>
    </row>
    <row r="8096" spans="11:11" x14ac:dyDescent="0.25">
      <c r="K8096" s="8" t="e">
        <f t="shared" si="100"/>
        <v>#VALUE!</v>
      </c>
    </row>
    <row r="8097" spans="11:11" x14ac:dyDescent="0.25">
      <c r="K8097" s="8" t="e">
        <f t="shared" si="100"/>
        <v>#VALUE!</v>
      </c>
    </row>
    <row r="8098" spans="11:11" x14ac:dyDescent="0.25">
      <c r="K8098" s="8" t="e">
        <f t="shared" si="100"/>
        <v>#VALUE!</v>
      </c>
    </row>
    <row r="8099" spans="11:11" x14ac:dyDescent="0.25">
      <c r="K8099" s="8" t="e">
        <f t="shared" si="100"/>
        <v>#VALUE!</v>
      </c>
    </row>
    <row r="8100" spans="11:11" x14ac:dyDescent="0.25">
      <c r="K8100" s="8" t="e">
        <f t="shared" si="100"/>
        <v>#VALUE!</v>
      </c>
    </row>
    <row r="8101" spans="11:11" x14ac:dyDescent="0.25">
      <c r="K8101" s="8" t="e">
        <f t="shared" si="100"/>
        <v>#VALUE!</v>
      </c>
    </row>
    <row r="8102" spans="11:11" x14ac:dyDescent="0.25">
      <c r="K8102" s="8" t="e">
        <f t="shared" si="100"/>
        <v>#VALUE!</v>
      </c>
    </row>
    <row r="8103" spans="11:11" x14ac:dyDescent="0.25">
      <c r="K8103" s="8" t="e">
        <f t="shared" si="100"/>
        <v>#VALUE!</v>
      </c>
    </row>
    <row r="8104" spans="11:11" x14ac:dyDescent="0.25">
      <c r="K8104" s="8" t="e">
        <f t="shared" si="100"/>
        <v>#VALUE!</v>
      </c>
    </row>
    <row r="8105" spans="11:11" x14ac:dyDescent="0.25">
      <c r="K8105" s="8" t="e">
        <f t="shared" si="100"/>
        <v>#VALUE!</v>
      </c>
    </row>
    <row r="8106" spans="11:11" x14ac:dyDescent="0.25">
      <c r="K8106" s="8" t="e">
        <f t="shared" si="100"/>
        <v>#VALUE!</v>
      </c>
    </row>
    <row r="8107" spans="11:11" x14ac:dyDescent="0.25">
      <c r="K8107" s="8" t="e">
        <f t="shared" si="100"/>
        <v>#VALUE!</v>
      </c>
    </row>
    <row r="8108" spans="11:11" x14ac:dyDescent="0.25">
      <c r="K8108" s="8" t="e">
        <f t="shared" si="100"/>
        <v>#VALUE!</v>
      </c>
    </row>
    <row r="8109" spans="11:11" x14ac:dyDescent="0.25">
      <c r="K8109" s="8" t="e">
        <f t="shared" si="100"/>
        <v>#VALUE!</v>
      </c>
    </row>
    <row r="8110" spans="11:11" x14ac:dyDescent="0.25">
      <c r="K8110" s="8" t="e">
        <f t="shared" si="100"/>
        <v>#VALUE!</v>
      </c>
    </row>
    <row r="8111" spans="11:11" x14ac:dyDescent="0.25">
      <c r="K8111" s="8" t="e">
        <f t="shared" si="100"/>
        <v>#VALUE!</v>
      </c>
    </row>
    <row r="8112" spans="11:11" x14ac:dyDescent="0.25">
      <c r="K8112" s="8" t="e">
        <f t="shared" si="100"/>
        <v>#VALUE!</v>
      </c>
    </row>
    <row r="8113" spans="11:11" x14ac:dyDescent="0.25">
      <c r="K8113" s="8" t="e">
        <f t="shared" si="100"/>
        <v>#VALUE!</v>
      </c>
    </row>
    <row r="8114" spans="11:11" x14ac:dyDescent="0.25">
      <c r="K8114" s="8" t="e">
        <f t="shared" si="100"/>
        <v>#VALUE!</v>
      </c>
    </row>
    <row r="8115" spans="11:11" x14ac:dyDescent="0.25">
      <c r="K8115" s="8" t="e">
        <f t="shared" si="100"/>
        <v>#VALUE!</v>
      </c>
    </row>
    <row r="8116" spans="11:11" x14ac:dyDescent="0.25">
      <c r="K8116" s="8" t="e">
        <f t="shared" si="100"/>
        <v>#VALUE!</v>
      </c>
    </row>
    <row r="8117" spans="11:11" x14ac:dyDescent="0.25">
      <c r="K8117" s="8" t="e">
        <f t="shared" si="100"/>
        <v>#VALUE!</v>
      </c>
    </row>
    <row r="8118" spans="11:11" x14ac:dyDescent="0.25">
      <c r="K8118" s="8" t="e">
        <f t="shared" si="100"/>
        <v>#VALUE!</v>
      </c>
    </row>
    <row r="8119" spans="11:11" x14ac:dyDescent="0.25">
      <c r="K8119" s="8" t="e">
        <f t="shared" si="100"/>
        <v>#VALUE!</v>
      </c>
    </row>
    <row r="8120" spans="11:11" x14ac:dyDescent="0.25">
      <c r="K8120" s="8" t="e">
        <f t="shared" si="100"/>
        <v>#VALUE!</v>
      </c>
    </row>
    <row r="8121" spans="11:11" x14ac:dyDescent="0.25">
      <c r="K8121" s="8" t="e">
        <f t="shared" si="100"/>
        <v>#VALUE!</v>
      </c>
    </row>
    <row r="8122" spans="11:11" x14ac:dyDescent="0.25">
      <c r="K8122" s="8" t="e">
        <f t="shared" si="100"/>
        <v>#VALUE!</v>
      </c>
    </row>
    <row r="8123" spans="11:11" x14ac:dyDescent="0.25">
      <c r="K8123" s="8" t="e">
        <f t="shared" si="100"/>
        <v>#VALUE!</v>
      </c>
    </row>
    <row r="8124" spans="11:11" x14ac:dyDescent="0.25">
      <c r="K8124" s="8" t="e">
        <f t="shared" si="100"/>
        <v>#VALUE!</v>
      </c>
    </row>
    <row r="8125" spans="11:11" x14ac:dyDescent="0.25">
      <c r="K8125" s="8" t="e">
        <f t="shared" si="100"/>
        <v>#VALUE!</v>
      </c>
    </row>
    <row r="8126" spans="11:11" x14ac:dyDescent="0.25">
      <c r="K8126" s="8" t="e">
        <f t="shared" si="100"/>
        <v>#VALUE!</v>
      </c>
    </row>
    <row r="8127" spans="11:11" x14ac:dyDescent="0.25">
      <c r="K8127" s="8" t="e">
        <f t="shared" si="100"/>
        <v>#VALUE!</v>
      </c>
    </row>
    <row r="8128" spans="11:11" x14ac:dyDescent="0.25">
      <c r="K8128" s="8" t="e">
        <f t="shared" si="100"/>
        <v>#VALUE!</v>
      </c>
    </row>
    <row r="8129" spans="11:11" x14ac:dyDescent="0.25">
      <c r="K8129" s="8" t="e">
        <f t="shared" si="100"/>
        <v>#VALUE!</v>
      </c>
    </row>
    <row r="8130" spans="11:11" x14ac:dyDescent="0.25">
      <c r="K8130" s="8" t="e">
        <f t="shared" si="100"/>
        <v>#VALUE!</v>
      </c>
    </row>
    <row r="8131" spans="11:11" x14ac:dyDescent="0.25">
      <c r="K8131" s="8" t="e">
        <f t="shared" ref="K8131:K8194" si="101">LEFT(A8131,FIND("/",A8131)-1)</f>
        <v>#VALUE!</v>
      </c>
    </row>
    <row r="8132" spans="11:11" x14ac:dyDescent="0.25">
      <c r="K8132" s="8" t="e">
        <f t="shared" si="101"/>
        <v>#VALUE!</v>
      </c>
    </row>
    <row r="8133" spans="11:11" x14ac:dyDescent="0.25">
      <c r="K8133" s="8" t="e">
        <f t="shared" si="101"/>
        <v>#VALUE!</v>
      </c>
    </row>
    <row r="8134" spans="11:11" x14ac:dyDescent="0.25">
      <c r="K8134" s="8" t="e">
        <f t="shared" si="101"/>
        <v>#VALUE!</v>
      </c>
    </row>
    <row r="8135" spans="11:11" x14ac:dyDescent="0.25">
      <c r="K8135" s="8" t="e">
        <f t="shared" si="101"/>
        <v>#VALUE!</v>
      </c>
    </row>
    <row r="8136" spans="11:11" x14ac:dyDescent="0.25">
      <c r="K8136" s="8" t="e">
        <f t="shared" si="101"/>
        <v>#VALUE!</v>
      </c>
    </row>
    <row r="8137" spans="11:11" x14ac:dyDescent="0.25">
      <c r="K8137" s="8" t="e">
        <f t="shared" si="101"/>
        <v>#VALUE!</v>
      </c>
    </row>
    <row r="8138" spans="11:11" x14ac:dyDescent="0.25">
      <c r="K8138" s="8" t="e">
        <f t="shared" si="101"/>
        <v>#VALUE!</v>
      </c>
    </row>
    <row r="8139" spans="11:11" x14ac:dyDescent="0.25">
      <c r="K8139" s="8" t="e">
        <f t="shared" si="101"/>
        <v>#VALUE!</v>
      </c>
    </row>
    <row r="8140" spans="11:11" x14ac:dyDescent="0.25">
      <c r="K8140" s="8" t="e">
        <f t="shared" si="101"/>
        <v>#VALUE!</v>
      </c>
    </row>
    <row r="8141" spans="11:11" x14ac:dyDescent="0.25">
      <c r="K8141" s="8" t="e">
        <f t="shared" si="101"/>
        <v>#VALUE!</v>
      </c>
    </row>
    <row r="8142" spans="11:11" x14ac:dyDescent="0.25">
      <c r="K8142" s="8" t="e">
        <f t="shared" si="101"/>
        <v>#VALUE!</v>
      </c>
    </row>
    <row r="8143" spans="11:11" x14ac:dyDescent="0.25">
      <c r="K8143" s="8" t="e">
        <f t="shared" si="101"/>
        <v>#VALUE!</v>
      </c>
    </row>
    <row r="8144" spans="11:11" x14ac:dyDescent="0.25">
      <c r="K8144" s="8" t="e">
        <f t="shared" si="101"/>
        <v>#VALUE!</v>
      </c>
    </row>
    <row r="8145" spans="11:11" x14ac:dyDescent="0.25">
      <c r="K8145" s="8" t="e">
        <f t="shared" si="101"/>
        <v>#VALUE!</v>
      </c>
    </row>
    <row r="8146" spans="11:11" x14ac:dyDescent="0.25">
      <c r="K8146" s="8" t="e">
        <f t="shared" si="101"/>
        <v>#VALUE!</v>
      </c>
    </row>
    <row r="8147" spans="11:11" x14ac:dyDescent="0.25">
      <c r="K8147" s="8" t="e">
        <f t="shared" si="101"/>
        <v>#VALUE!</v>
      </c>
    </row>
    <row r="8148" spans="11:11" x14ac:dyDescent="0.25">
      <c r="K8148" s="8" t="e">
        <f t="shared" si="101"/>
        <v>#VALUE!</v>
      </c>
    </row>
    <row r="8149" spans="11:11" x14ac:dyDescent="0.25">
      <c r="K8149" s="8" t="e">
        <f t="shared" si="101"/>
        <v>#VALUE!</v>
      </c>
    </row>
    <row r="8150" spans="11:11" x14ac:dyDescent="0.25">
      <c r="K8150" s="8" t="e">
        <f t="shared" si="101"/>
        <v>#VALUE!</v>
      </c>
    </row>
    <row r="8151" spans="11:11" x14ac:dyDescent="0.25">
      <c r="K8151" s="8" t="e">
        <f t="shared" si="101"/>
        <v>#VALUE!</v>
      </c>
    </row>
    <row r="8152" spans="11:11" x14ac:dyDescent="0.25">
      <c r="K8152" s="8" t="e">
        <f t="shared" si="101"/>
        <v>#VALUE!</v>
      </c>
    </row>
    <row r="8153" spans="11:11" x14ac:dyDescent="0.25">
      <c r="K8153" s="8" t="e">
        <f t="shared" si="101"/>
        <v>#VALUE!</v>
      </c>
    </row>
    <row r="8154" spans="11:11" x14ac:dyDescent="0.25">
      <c r="K8154" s="8" t="e">
        <f t="shared" si="101"/>
        <v>#VALUE!</v>
      </c>
    </row>
    <row r="8155" spans="11:11" x14ac:dyDescent="0.25">
      <c r="K8155" s="8" t="e">
        <f t="shared" si="101"/>
        <v>#VALUE!</v>
      </c>
    </row>
    <row r="8156" spans="11:11" x14ac:dyDescent="0.25">
      <c r="K8156" s="8" t="e">
        <f t="shared" si="101"/>
        <v>#VALUE!</v>
      </c>
    </row>
    <row r="8157" spans="11:11" x14ac:dyDescent="0.25">
      <c r="K8157" s="8" t="e">
        <f t="shared" si="101"/>
        <v>#VALUE!</v>
      </c>
    </row>
    <row r="8158" spans="11:11" x14ac:dyDescent="0.25">
      <c r="K8158" s="8" t="e">
        <f t="shared" si="101"/>
        <v>#VALUE!</v>
      </c>
    </row>
    <row r="8159" spans="11:11" x14ac:dyDescent="0.25">
      <c r="K8159" s="8" t="e">
        <f t="shared" si="101"/>
        <v>#VALUE!</v>
      </c>
    </row>
    <row r="8160" spans="11:11" x14ac:dyDescent="0.25">
      <c r="K8160" s="8" t="e">
        <f t="shared" si="101"/>
        <v>#VALUE!</v>
      </c>
    </row>
    <row r="8161" spans="11:11" x14ac:dyDescent="0.25">
      <c r="K8161" s="8" t="e">
        <f t="shared" si="101"/>
        <v>#VALUE!</v>
      </c>
    </row>
    <row r="8162" spans="11:11" x14ac:dyDescent="0.25">
      <c r="K8162" s="8" t="e">
        <f t="shared" si="101"/>
        <v>#VALUE!</v>
      </c>
    </row>
    <row r="8163" spans="11:11" x14ac:dyDescent="0.25">
      <c r="K8163" s="8" t="e">
        <f t="shared" si="101"/>
        <v>#VALUE!</v>
      </c>
    </row>
    <row r="8164" spans="11:11" x14ac:dyDescent="0.25">
      <c r="K8164" s="8" t="e">
        <f t="shared" si="101"/>
        <v>#VALUE!</v>
      </c>
    </row>
    <row r="8165" spans="11:11" x14ac:dyDescent="0.25">
      <c r="K8165" s="8" t="e">
        <f t="shared" si="101"/>
        <v>#VALUE!</v>
      </c>
    </row>
    <row r="8166" spans="11:11" x14ac:dyDescent="0.25">
      <c r="K8166" s="8" t="e">
        <f t="shared" si="101"/>
        <v>#VALUE!</v>
      </c>
    </row>
    <row r="8167" spans="11:11" x14ac:dyDescent="0.25">
      <c r="K8167" s="8" t="e">
        <f t="shared" si="101"/>
        <v>#VALUE!</v>
      </c>
    </row>
    <row r="8168" spans="11:11" x14ac:dyDescent="0.25">
      <c r="K8168" s="8" t="e">
        <f t="shared" si="101"/>
        <v>#VALUE!</v>
      </c>
    </row>
    <row r="8169" spans="11:11" x14ac:dyDescent="0.25">
      <c r="K8169" s="8" t="e">
        <f t="shared" si="101"/>
        <v>#VALUE!</v>
      </c>
    </row>
    <row r="8170" spans="11:11" x14ac:dyDescent="0.25">
      <c r="K8170" s="8" t="e">
        <f t="shared" si="101"/>
        <v>#VALUE!</v>
      </c>
    </row>
    <row r="8171" spans="11:11" x14ac:dyDescent="0.25">
      <c r="K8171" s="8" t="e">
        <f t="shared" si="101"/>
        <v>#VALUE!</v>
      </c>
    </row>
    <row r="8172" spans="11:11" x14ac:dyDescent="0.25">
      <c r="K8172" s="8" t="e">
        <f t="shared" si="101"/>
        <v>#VALUE!</v>
      </c>
    </row>
    <row r="8173" spans="11:11" x14ac:dyDescent="0.25">
      <c r="K8173" s="8" t="e">
        <f t="shared" si="101"/>
        <v>#VALUE!</v>
      </c>
    </row>
    <row r="8174" spans="11:11" x14ac:dyDescent="0.25">
      <c r="K8174" s="8" t="e">
        <f t="shared" si="101"/>
        <v>#VALUE!</v>
      </c>
    </row>
    <row r="8175" spans="11:11" x14ac:dyDescent="0.25">
      <c r="K8175" s="8" t="e">
        <f t="shared" si="101"/>
        <v>#VALUE!</v>
      </c>
    </row>
    <row r="8176" spans="11:11" x14ac:dyDescent="0.25">
      <c r="K8176" s="8" t="e">
        <f t="shared" si="101"/>
        <v>#VALUE!</v>
      </c>
    </row>
    <row r="8177" spans="11:11" x14ac:dyDescent="0.25">
      <c r="K8177" s="8" t="e">
        <f t="shared" si="101"/>
        <v>#VALUE!</v>
      </c>
    </row>
    <row r="8178" spans="11:11" x14ac:dyDescent="0.25">
      <c r="K8178" s="8" t="e">
        <f t="shared" si="101"/>
        <v>#VALUE!</v>
      </c>
    </row>
    <row r="8179" spans="11:11" x14ac:dyDescent="0.25">
      <c r="K8179" s="8" t="e">
        <f t="shared" si="101"/>
        <v>#VALUE!</v>
      </c>
    </row>
    <row r="8180" spans="11:11" x14ac:dyDescent="0.25">
      <c r="K8180" s="8" t="e">
        <f t="shared" si="101"/>
        <v>#VALUE!</v>
      </c>
    </row>
    <row r="8181" spans="11:11" x14ac:dyDescent="0.25">
      <c r="K8181" s="8" t="e">
        <f t="shared" si="101"/>
        <v>#VALUE!</v>
      </c>
    </row>
    <row r="8182" spans="11:11" x14ac:dyDescent="0.25">
      <c r="K8182" s="8" t="e">
        <f t="shared" si="101"/>
        <v>#VALUE!</v>
      </c>
    </row>
    <row r="8183" spans="11:11" x14ac:dyDescent="0.25">
      <c r="K8183" s="8" t="e">
        <f t="shared" si="101"/>
        <v>#VALUE!</v>
      </c>
    </row>
    <row r="8184" spans="11:11" x14ac:dyDescent="0.25">
      <c r="K8184" s="8" t="e">
        <f t="shared" si="101"/>
        <v>#VALUE!</v>
      </c>
    </row>
    <row r="8185" spans="11:11" x14ac:dyDescent="0.25">
      <c r="K8185" s="8" t="e">
        <f t="shared" si="101"/>
        <v>#VALUE!</v>
      </c>
    </row>
    <row r="8186" spans="11:11" x14ac:dyDescent="0.25">
      <c r="K8186" s="8" t="e">
        <f t="shared" si="101"/>
        <v>#VALUE!</v>
      </c>
    </row>
    <row r="8187" spans="11:11" x14ac:dyDescent="0.25">
      <c r="K8187" s="8" t="e">
        <f t="shared" si="101"/>
        <v>#VALUE!</v>
      </c>
    </row>
    <row r="8188" spans="11:11" x14ac:dyDescent="0.25">
      <c r="K8188" s="8" t="e">
        <f t="shared" si="101"/>
        <v>#VALUE!</v>
      </c>
    </row>
    <row r="8189" spans="11:11" x14ac:dyDescent="0.25">
      <c r="K8189" s="8" t="e">
        <f t="shared" si="101"/>
        <v>#VALUE!</v>
      </c>
    </row>
    <row r="8190" spans="11:11" x14ac:dyDescent="0.25">
      <c r="K8190" s="8" t="e">
        <f t="shared" si="101"/>
        <v>#VALUE!</v>
      </c>
    </row>
    <row r="8191" spans="11:11" x14ac:dyDescent="0.25">
      <c r="K8191" s="8" t="e">
        <f t="shared" si="101"/>
        <v>#VALUE!</v>
      </c>
    </row>
    <row r="8192" spans="11:11" x14ac:dyDescent="0.25">
      <c r="K8192" s="8" t="e">
        <f t="shared" si="101"/>
        <v>#VALUE!</v>
      </c>
    </row>
    <row r="8193" spans="11:11" x14ac:dyDescent="0.25">
      <c r="K8193" s="8" t="e">
        <f t="shared" si="101"/>
        <v>#VALUE!</v>
      </c>
    </row>
    <row r="8194" spans="11:11" x14ac:dyDescent="0.25">
      <c r="K8194" s="8" t="e">
        <f t="shared" si="101"/>
        <v>#VALUE!</v>
      </c>
    </row>
    <row r="8195" spans="11:11" x14ac:dyDescent="0.25">
      <c r="K8195" s="8" t="e">
        <f t="shared" ref="K8195:K8258" si="102">LEFT(A8195,FIND("/",A8195)-1)</f>
        <v>#VALUE!</v>
      </c>
    </row>
    <row r="8196" spans="11:11" x14ac:dyDescent="0.25">
      <c r="K8196" s="8" t="e">
        <f t="shared" si="102"/>
        <v>#VALUE!</v>
      </c>
    </row>
    <row r="8197" spans="11:11" x14ac:dyDescent="0.25">
      <c r="K8197" s="8" t="e">
        <f t="shared" si="102"/>
        <v>#VALUE!</v>
      </c>
    </row>
    <row r="8198" spans="11:11" x14ac:dyDescent="0.25">
      <c r="K8198" s="8" t="e">
        <f t="shared" si="102"/>
        <v>#VALUE!</v>
      </c>
    </row>
    <row r="8199" spans="11:11" x14ac:dyDescent="0.25">
      <c r="K8199" s="8" t="e">
        <f t="shared" si="102"/>
        <v>#VALUE!</v>
      </c>
    </row>
    <row r="8200" spans="11:11" x14ac:dyDescent="0.25">
      <c r="K8200" s="8" t="e">
        <f t="shared" si="102"/>
        <v>#VALUE!</v>
      </c>
    </row>
    <row r="8201" spans="11:11" x14ac:dyDescent="0.25">
      <c r="K8201" s="8" t="e">
        <f t="shared" si="102"/>
        <v>#VALUE!</v>
      </c>
    </row>
    <row r="8202" spans="11:11" x14ac:dyDescent="0.25">
      <c r="K8202" s="8" t="e">
        <f t="shared" si="102"/>
        <v>#VALUE!</v>
      </c>
    </row>
    <row r="8203" spans="11:11" x14ac:dyDescent="0.25">
      <c r="K8203" s="8" t="e">
        <f t="shared" si="102"/>
        <v>#VALUE!</v>
      </c>
    </row>
    <row r="8204" spans="11:11" x14ac:dyDescent="0.25">
      <c r="K8204" s="8" t="e">
        <f t="shared" si="102"/>
        <v>#VALUE!</v>
      </c>
    </row>
    <row r="8205" spans="11:11" x14ac:dyDescent="0.25">
      <c r="K8205" s="8" t="e">
        <f t="shared" si="102"/>
        <v>#VALUE!</v>
      </c>
    </row>
    <row r="8206" spans="11:11" x14ac:dyDescent="0.25">
      <c r="K8206" s="8" t="e">
        <f t="shared" si="102"/>
        <v>#VALUE!</v>
      </c>
    </row>
    <row r="8207" spans="11:11" x14ac:dyDescent="0.25">
      <c r="K8207" s="8" t="e">
        <f t="shared" si="102"/>
        <v>#VALUE!</v>
      </c>
    </row>
    <row r="8208" spans="11:11" x14ac:dyDescent="0.25">
      <c r="K8208" s="8" t="e">
        <f t="shared" si="102"/>
        <v>#VALUE!</v>
      </c>
    </row>
    <row r="8209" spans="11:11" x14ac:dyDescent="0.25">
      <c r="K8209" s="8" t="e">
        <f t="shared" si="102"/>
        <v>#VALUE!</v>
      </c>
    </row>
    <row r="8210" spans="11:11" x14ac:dyDescent="0.25">
      <c r="K8210" s="8" t="e">
        <f t="shared" si="102"/>
        <v>#VALUE!</v>
      </c>
    </row>
    <row r="8211" spans="11:11" x14ac:dyDescent="0.25">
      <c r="K8211" s="8" t="e">
        <f t="shared" si="102"/>
        <v>#VALUE!</v>
      </c>
    </row>
    <row r="8212" spans="11:11" x14ac:dyDescent="0.25">
      <c r="K8212" s="8" t="e">
        <f t="shared" si="102"/>
        <v>#VALUE!</v>
      </c>
    </row>
    <row r="8213" spans="11:11" x14ac:dyDescent="0.25">
      <c r="K8213" s="8" t="e">
        <f t="shared" si="102"/>
        <v>#VALUE!</v>
      </c>
    </row>
    <row r="8214" spans="11:11" x14ac:dyDescent="0.25">
      <c r="K8214" s="8" t="e">
        <f t="shared" si="102"/>
        <v>#VALUE!</v>
      </c>
    </row>
    <row r="8215" spans="11:11" x14ac:dyDescent="0.25">
      <c r="K8215" s="8" t="e">
        <f t="shared" si="102"/>
        <v>#VALUE!</v>
      </c>
    </row>
    <row r="8216" spans="11:11" x14ac:dyDescent="0.25">
      <c r="K8216" s="8" t="e">
        <f t="shared" si="102"/>
        <v>#VALUE!</v>
      </c>
    </row>
    <row r="8217" spans="11:11" x14ac:dyDescent="0.25">
      <c r="K8217" s="8" t="e">
        <f t="shared" si="102"/>
        <v>#VALUE!</v>
      </c>
    </row>
    <row r="8218" spans="11:11" x14ac:dyDescent="0.25">
      <c r="K8218" s="8" t="e">
        <f t="shared" si="102"/>
        <v>#VALUE!</v>
      </c>
    </row>
    <row r="8219" spans="11:11" x14ac:dyDescent="0.25">
      <c r="K8219" s="8" t="e">
        <f t="shared" si="102"/>
        <v>#VALUE!</v>
      </c>
    </row>
    <row r="8220" spans="11:11" x14ac:dyDescent="0.25">
      <c r="K8220" s="8" t="e">
        <f t="shared" si="102"/>
        <v>#VALUE!</v>
      </c>
    </row>
    <row r="8221" spans="11:11" x14ac:dyDescent="0.25">
      <c r="K8221" s="8" t="e">
        <f t="shared" si="102"/>
        <v>#VALUE!</v>
      </c>
    </row>
    <row r="8222" spans="11:11" x14ac:dyDescent="0.25">
      <c r="K8222" s="8" t="e">
        <f t="shared" si="102"/>
        <v>#VALUE!</v>
      </c>
    </row>
    <row r="8223" spans="11:11" x14ac:dyDescent="0.25">
      <c r="K8223" s="8" t="e">
        <f t="shared" si="102"/>
        <v>#VALUE!</v>
      </c>
    </row>
    <row r="8224" spans="11:11" x14ac:dyDescent="0.25">
      <c r="K8224" s="8" t="e">
        <f t="shared" si="102"/>
        <v>#VALUE!</v>
      </c>
    </row>
    <row r="8225" spans="11:11" x14ac:dyDescent="0.25">
      <c r="K8225" s="8" t="e">
        <f t="shared" si="102"/>
        <v>#VALUE!</v>
      </c>
    </row>
    <row r="8226" spans="11:11" x14ac:dyDescent="0.25">
      <c r="K8226" s="8" t="e">
        <f t="shared" si="102"/>
        <v>#VALUE!</v>
      </c>
    </row>
    <row r="8227" spans="11:11" x14ac:dyDescent="0.25">
      <c r="K8227" s="8" t="e">
        <f t="shared" si="102"/>
        <v>#VALUE!</v>
      </c>
    </row>
    <row r="8228" spans="11:11" x14ac:dyDescent="0.25">
      <c r="K8228" s="8" t="e">
        <f t="shared" si="102"/>
        <v>#VALUE!</v>
      </c>
    </row>
    <row r="8229" spans="11:11" x14ac:dyDescent="0.25">
      <c r="K8229" s="8" t="e">
        <f t="shared" si="102"/>
        <v>#VALUE!</v>
      </c>
    </row>
    <row r="8230" spans="11:11" x14ac:dyDescent="0.25">
      <c r="K8230" s="8" t="e">
        <f t="shared" si="102"/>
        <v>#VALUE!</v>
      </c>
    </row>
    <row r="8231" spans="11:11" x14ac:dyDescent="0.25">
      <c r="K8231" s="8" t="e">
        <f t="shared" si="102"/>
        <v>#VALUE!</v>
      </c>
    </row>
    <row r="8232" spans="11:11" x14ac:dyDescent="0.25">
      <c r="K8232" s="8" t="e">
        <f t="shared" si="102"/>
        <v>#VALUE!</v>
      </c>
    </row>
    <row r="8233" spans="11:11" x14ac:dyDescent="0.25">
      <c r="K8233" s="8" t="e">
        <f t="shared" si="102"/>
        <v>#VALUE!</v>
      </c>
    </row>
    <row r="8234" spans="11:11" x14ac:dyDescent="0.25">
      <c r="K8234" s="8" t="e">
        <f t="shared" si="102"/>
        <v>#VALUE!</v>
      </c>
    </row>
    <row r="8235" spans="11:11" x14ac:dyDescent="0.25">
      <c r="K8235" s="8" t="e">
        <f t="shared" si="102"/>
        <v>#VALUE!</v>
      </c>
    </row>
    <row r="8236" spans="11:11" x14ac:dyDescent="0.25">
      <c r="K8236" s="8" t="e">
        <f t="shared" si="102"/>
        <v>#VALUE!</v>
      </c>
    </row>
    <row r="8237" spans="11:11" x14ac:dyDescent="0.25">
      <c r="K8237" s="8" t="e">
        <f t="shared" si="102"/>
        <v>#VALUE!</v>
      </c>
    </row>
    <row r="8238" spans="11:11" x14ac:dyDescent="0.25">
      <c r="K8238" s="8" t="e">
        <f t="shared" si="102"/>
        <v>#VALUE!</v>
      </c>
    </row>
    <row r="8239" spans="11:11" x14ac:dyDescent="0.25">
      <c r="K8239" s="8" t="e">
        <f t="shared" si="102"/>
        <v>#VALUE!</v>
      </c>
    </row>
    <row r="8240" spans="11:11" x14ac:dyDescent="0.25">
      <c r="K8240" s="8" t="e">
        <f t="shared" si="102"/>
        <v>#VALUE!</v>
      </c>
    </row>
    <row r="8241" spans="11:11" x14ac:dyDescent="0.25">
      <c r="K8241" s="8" t="e">
        <f t="shared" si="102"/>
        <v>#VALUE!</v>
      </c>
    </row>
    <row r="8242" spans="11:11" x14ac:dyDescent="0.25">
      <c r="K8242" s="8" t="e">
        <f t="shared" si="102"/>
        <v>#VALUE!</v>
      </c>
    </row>
    <row r="8243" spans="11:11" x14ac:dyDescent="0.25">
      <c r="K8243" s="8" t="e">
        <f t="shared" si="102"/>
        <v>#VALUE!</v>
      </c>
    </row>
    <row r="8244" spans="11:11" x14ac:dyDescent="0.25">
      <c r="K8244" s="8" t="e">
        <f t="shared" si="102"/>
        <v>#VALUE!</v>
      </c>
    </row>
    <row r="8245" spans="11:11" x14ac:dyDescent="0.25">
      <c r="K8245" s="8" t="e">
        <f t="shared" si="102"/>
        <v>#VALUE!</v>
      </c>
    </row>
    <row r="8246" spans="11:11" x14ac:dyDescent="0.25">
      <c r="K8246" s="8" t="e">
        <f t="shared" si="102"/>
        <v>#VALUE!</v>
      </c>
    </row>
    <row r="8247" spans="11:11" x14ac:dyDescent="0.25">
      <c r="K8247" s="8" t="e">
        <f t="shared" si="102"/>
        <v>#VALUE!</v>
      </c>
    </row>
    <row r="8248" spans="11:11" x14ac:dyDescent="0.25">
      <c r="K8248" s="8" t="e">
        <f t="shared" si="102"/>
        <v>#VALUE!</v>
      </c>
    </row>
    <row r="8249" spans="11:11" x14ac:dyDescent="0.25">
      <c r="K8249" s="8" t="e">
        <f t="shared" si="102"/>
        <v>#VALUE!</v>
      </c>
    </row>
    <row r="8250" spans="11:11" x14ac:dyDescent="0.25">
      <c r="K8250" s="8" t="e">
        <f t="shared" si="102"/>
        <v>#VALUE!</v>
      </c>
    </row>
    <row r="8251" spans="11:11" x14ac:dyDescent="0.25">
      <c r="K8251" s="8" t="e">
        <f t="shared" si="102"/>
        <v>#VALUE!</v>
      </c>
    </row>
    <row r="8252" spans="11:11" x14ac:dyDescent="0.25">
      <c r="K8252" s="8" t="e">
        <f t="shared" si="102"/>
        <v>#VALUE!</v>
      </c>
    </row>
    <row r="8253" spans="11:11" x14ac:dyDescent="0.25">
      <c r="K8253" s="8" t="e">
        <f t="shared" si="102"/>
        <v>#VALUE!</v>
      </c>
    </row>
    <row r="8254" spans="11:11" x14ac:dyDescent="0.25">
      <c r="K8254" s="8" t="e">
        <f t="shared" si="102"/>
        <v>#VALUE!</v>
      </c>
    </row>
    <row r="8255" spans="11:11" x14ac:dyDescent="0.25">
      <c r="K8255" s="8" t="e">
        <f t="shared" si="102"/>
        <v>#VALUE!</v>
      </c>
    </row>
    <row r="8256" spans="11:11" x14ac:dyDescent="0.25">
      <c r="K8256" s="8" t="e">
        <f t="shared" si="102"/>
        <v>#VALUE!</v>
      </c>
    </row>
    <row r="8257" spans="11:11" x14ac:dyDescent="0.25">
      <c r="K8257" s="8" t="e">
        <f t="shared" si="102"/>
        <v>#VALUE!</v>
      </c>
    </row>
    <row r="8258" spans="11:11" x14ac:dyDescent="0.25">
      <c r="K8258" s="8" t="e">
        <f t="shared" si="102"/>
        <v>#VALUE!</v>
      </c>
    </row>
    <row r="8259" spans="11:11" x14ac:dyDescent="0.25">
      <c r="K8259" s="8" t="e">
        <f t="shared" ref="K8259:K8322" si="103">LEFT(A8259,FIND("/",A8259)-1)</f>
        <v>#VALUE!</v>
      </c>
    </row>
    <row r="8260" spans="11:11" x14ac:dyDescent="0.25">
      <c r="K8260" s="8" t="e">
        <f t="shared" si="103"/>
        <v>#VALUE!</v>
      </c>
    </row>
    <row r="8261" spans="11:11" x14ac:dyDescent="0.25">
      <c r="K8261" s="8" t="e">
        <f t="shared" si="103"/>
        <v>#VALUE!</v>
      </c>
    </row>
    <row r="8262" spans="11:11" x14ac:dyDescent="0.25">
      <c r="K8262" s="8" t="e">
        <f t="shared" si="103"/>
        <v>#VALUE!</v>
      </c>
    </row>
    <row r="8263" spans="11:11" x14ac:dyDescent="0.25">
      <c r="K8263" s="8" t="e">
        <f t="shared" si="103"/>
        <v>#VALUE!</v>
      </c>
    </row>
    <row r="8264" spans="11:11" x14ac:dyDescent="0.25">
      <c r="K8264" s="8" t="e">
        <f t="shared" si="103"/>
        <v>#VALUE!</v>
      </c>
    </row>
    <row r="8265" spans="11:11" x14ac:dyDescent="0.25">
      <c r="K8265" s="8" t="e">
        <f t="shared" si="103"/>
        <v>#VALUE!</v>
      </c>
    </row>
    <row r="8266" spans="11:11" x14ac:dyDescent="0.25">
      <c r="K8266" s="8" t="e">
        <f t="shared" si="103"/>
        <v>#VALUE!</v>
      </c>
    </row>
    <row r="8267" spans="11:11" x14ac:dyDescent="0.25">
      <c r="K8267" s="8" t="e">
        <f t="shared" si="103"/>
        <v>#VALUE!</v>
      </c>
    </row>
    <row r="8268" spans="11:11" x14ac:dyDescent="0.25">
      <c r="K8268" s="8" t="e">
        <f t="shared" si="103"/>
        <v>#VALUE!</v>
      </c>
    </row>
    <row r="8269" spans="11:11" x14ac:dyDescent="0.25">
      <c r="K8269" s="8" t="e">
        <f t="shared" si="103"/>
        <v>#VALUE!</v>
      </c>
    </row>
    <row r="8270" spans="11:11" x14ac:dyDescent="0.25">
      <c r="K8270" s="8" t="e">
        <f t="shared" si="103"/>
        <v>#VALUE!</v>
      </c>
    </row>
    <row r="8271" spans="11:11" x14ac:dyDescent="0.25">
      <c r="K8271" s="8" t="e">
        <f t="shared" si="103"/>
        <v>#VALUE!</v>
      </c>
    </row>
    <row r="8272" spans="11:11" x14ac:dyDescent="0.25">
      <c r="K8272" s="8" t="e">
        <f t="shared" si="103"/>
        <v>#VALUE!</v>
      </c>
    </row>
    <row r="8273" spans="11:11" x14ac:dyDescent="0.25">
      <c r="K8273" s="8" t="e">
        <f t="shared" si="103"/>
        <v>#VALUE!</v>
      </c>
    </row>
    <row r="8274" spans="11:11" x14ac:dyDescent="0.25">
      <c r="K8274" s="8" t="e">
        <f t="shared" si="103"/>
        <v>#VALUE!</v>
      </c>
    </row>
    <row r="8275" spans="11:11" x14ac:dyDescent="0.25">
      <c r="K8275" s="8" t="e">
        <f t="shared" si="103"/>
        <v>#VALUE!</v>
      </c>
    </row>
    <row r="8276" spans="11:11" x14ac:dyDescent="0.25">
      <c r="K8276" s="8" t="e">
        <f t="shared" si="103"/>
        <v>#VALUE!</v>
      </c>
    </row>
    <row r="8277" spans="11:11" x14ac:dyDescent="0.25">
      <c r="K8277" s="8" t="e">
        <f t="shared" si="103"/>
        <v>#VALUE!</v>
      </c>
    </row>
    <row r="8278" spans="11:11" x14ac:dyDescent="0.25">
      <c r="K8278" s="8" t="e">
        <f t="shared" si="103"/>
        <v>#VALUE!</v>
      </c>
    </row>
    <row r="8279" spans="11:11" x14ac:dyDescent="0.25">
      <c r="K8279" s="8" t="e">
        <f t="shared" si="103"/>
        <v>#VALUE!</v>
      </c>
    </row>
    <row r="8280" spans="11:11" x14ac:dyDescent="0.25">
      <c r="K8280" s="8" t="e">
        <f t="shared" si="103"/>
        <v>#VALUE!</v>
      </c>
    </row>
    <row r="8281" spans="11:11" x14ac:dyDescent="0.25">
      <c r="K8281" s="8" t="e">
        <f t="shared" si="103"/>
        <v>#VALUE!</v>
      </c>
    </row>
    <row r="8282" spans="11:11" x14ac:dyDescent="0.25">
      <c r="K8282" s="8" t="e">
        <f t="shared" si="103"/>
        <v>#VALUE!</v>
      </c>
    </row>
    <row r="8283" spans="11:11" x14ac:dyDescent="0.25">
      <c r="K8283" s="8" t="e">
        <f t="shared" si="103"/>
        <v>#VALUE!</v>
      </c>
    </row>
    <row r="8284" spans="11:11" x14ac:dyDescent="0.25">
      <c r="K8284" s="8" t="e">
        <f t="shared" si="103"/>
        <v>#VALUE!</v>
      </c>
    </row>
    <row r="8285" spans="11:11" x14ac:dyDescent="0.25">
      <c r="K8285" s="8" t="e">
        <f t="shared" si="103"/>
        <v>#VALUE!</v>
      </c>
    </row>
    <row r="8286" spans="11:11" x14ac:dyDescent="0.25">
      <c r="K8286" s="8" t="e">
        <f t="shared" si="103"/>
        <v>#VALUE!</v>
      </c>
    </row>
    <row r="8287" spans="11:11" x14ac:dyDescent="0.25">
      <c r="K8287" s="8" t="e">
        <f t="shared" si="103"/>
        <v>#VALUE!</v>
      </c>
    </row>
    <row r="8288" spans="11:11" x14ac:dyDescent="0.25">
      <c r="K8288" s="8" t="e">
        <f t="shared" si="103"/>
        <v>#VALUE!</v>
      </c>
    </row>
    <row r="8289" spans="11:11" x14ac:dyDescent="0.25">
      <c r="K8289" s="8" t="e">
        <f t="shared" si="103"/>
        <v>#VALUE!</v>
      </c>
    </row>
    <row r="8290" spans="11:11" x14ac:dyDescent="0.25">
      <c r="K8290" s="8" t="e">
        <f t="shared" si="103"/>
        <v>#VALUE!</v>
      </c>
    </row>
    <row r="8291" spans="11:11" x14ac:dyDescent="0.25">
      <c r="K8291" s="8" t="e">
        <f t="shared" si="103"/>
        <v>#VALUE!</v>
      </c>
    </row>
    <row r="8292" spans="11:11" x14ac:dyDescent="0.25">
      <c r="K8292" s="8" t="e">
        <f t="shared" si="103"/>
        <v>#VALUE!</v>
      </c>
    </row>
    <row r="8293" spans="11:11" x14ac:dyDescent="0.25">
      <c r="K8293" s="8" t="e">
        <f t="shared" si="103"/>
        <v>#VALUE!</v>
      </c>
    </row>
    <row r="8294" spans="11:11" x14ac:dyDescent="0.25">
      <c r="K8294" s="8" t="e">
        <f t="shared" si="103"/>
        <v>#VALUE!</v>
      </c>
    </row>
    <row r="8295" spans="11:11" x14ac:dyDescent="0.25">
      <c r="K8295" s="8" t="e">
        <f t="shared" si="103"/>
        <v>#VALUE!</v>
      </c>
    </row>
    <row r="8296" spans="11:11" x14ac:dyDescent="0.25">
      <c r="K8296" s="8" t="e">
        <f t="shared" si="103"/>
        <v>#VALUE!</v>
      </c>
    </row>
    <row r="8297" spans="11:11" x14ac:dyDescent="0.25">
      <c r="K8297" s="8" t="e">
        <f t="shared" si="103"/>
        <v>#VALUE!</v>
      </c>
    </row>
    <row r="8298" spans="11:11" x14ac:dyDescent="0.25">
      <c r="K8298" s="8" t="e">
        <f t="shared" si="103"/>
        <v>#VALUE!</v>
      </c>
    </row>
    <row r="8299" spans="11:11" x14ac:dyDescent="0.25">
      <c r="K8299" s="8" t="e">
        <f t="shared" si="103"/>
        <v>#VALUE!</v>
      </c>
    </row>
    <row r="8300" spans="11:11" x14ac:dyDescent="0.25">
      <c r="K8300" s="8" t="e">
        <f t="shared" si="103"/>
        <v>#VALUE!</v>
      </c>
    </row>
    <row r="8301" spans="11:11" x14ac:dyDescent="0.25">
      <c r="K8301" s="8" t="e">
        <f t="shared" si="103"/>
        <v>#VALUE!</v>
      </c>
    </row>
    <row r="8302" spans="11:11" x14ac:dyDescent="0.25">
      <c r="K8302" s="8" t="e">
        <f t="shared" si="103"/>
        <v>#VALUE!</v>
      </c>
    </row>
    <row r="8303" spans="11:11" x14ac:dyDescent="0.25">
      <c r="K8303" s="8" t="e">
        <f t="shared" si="103"/>
        <v>#VALUE!</v>
      </c>
    </row>
    <row r="8304" spans="11:11" x14ac:dyDescent="0.25">
      <c r="K8304" s="8" t="e">
        <f t="shared" si="103"/>
        <v>#VALUE!</v>
      </c>
    </row>
    <row r="8305" spans="11:11" x14ac:dyDescent="0.25">
      <c r="K8305" s="8" t="e">
        <f t="shared" si="103"/>
        <v>#VALUE!</v>
      </c>
    </row>
    <row r="8306" spans="11:11" x14ac:dyDescent="0.25">
      <c r="K8306" s="8" t="e">
        <f t="shared" si="103"/>
        <v>#VALUE!</v>
      </c>
    </row>
    <row r="8307" spans="11:11" x14ac:dyDescent="0.25">
      <c r="K8307" s="8" t="e">
        <f t="shared" si="103"/>
        <v>#VALUE!</v>
      </c>
    </row>
    <row r="8308" spans="11:11" x14ac:dyDescent="0.25">
      <c r="K8308" s="8" t="e">
        <f t="shared" si="103"/>
        <v>#VALUE!</v>
      </c>
    </row>
    <row r="8309" spans="11:11" x14ac:dyDescent="0.25">
      <c r="K8309" s="8" t="e">
        <f t="shared" si="103"/>
        <v>#VALUE!</v>
      </c>
    </row>
    <row r="8310" spans="11:11" x14ac:dyDescent="0.25">
      <c r="K8310" s="8" t="e">
        <f t="shared" si="103"/>
        <v>#VALUE!</v>
      </c>
    </row>
    <row r="8311" spans="11:11" x14ac:dyDescent="0.25">
      <c r="K8311" s="8" t="e">
        <f t="shared" si="103"/>
        <v>#VALUE!</v>
      </c>
    </row>
    <row r="8312" spans="11:11" x14ac:dyDescent="0.25">
      <c r="K8312" s="8" t="e">
        <f t="shared" si="103"/>
        <v>#VALUE!</v>
      </c>
    </row>
    <row r="8313" spans="11:11" x14ac:dyDescent="0.25">
      <c r="K8313" s="8" t="e">
        <f t="shared" si="103"/>
        <v>#VALUE!</v>
      </c>
    </row>
    <row r="8314" spans="11:11" x14ac:dyDescent="0.25">
      <c r="K8314" s="8" t="e">
        <f t="shared" si="103"/>
        <v>#VALUE!</v>
      </c>
    </row>
    <row r="8315" spans="11:11" x14ac:dyDescent="0.25">
      <c r="K8315" s="8" t="e">
        <f t="shared" si="103"/>
        <v>#VALUE!</v>
      </c>
    </row>
    <row r="8316" spans="11:11" x14ac:dyDescent="0.25">
      <c r="K8316" s="8" t="e">
        <f t="shared" si="103"/>
        <v>#VALUE!</v>
      </c>
    </row>
    <row r="8317" spans="11:11" x14ac:dyDescent="0.25">
      <c r="K8317" s="8" t="e">
        <f t="shared" si="103"/>
        <v>#VALUE!</v>
      </c>
    </row>
    <row r="8318" spans="11:11" x14ac:dyDescent="0.25">
      <c r="K8318" s="8" t="e">
        <f t="shared" si="103"/>
        <v>#VALUE!</v>
      </c>
    </row>
    <row r="8319" spans="11:11" x14ac:dyDescent="0.25">
      <c r="K8319" s="8" t="e">
        <f t="shared" si="103"/>
        <v>#VALUE!</v>
      </c>
    </row>
    <row r="8320" spans="11:11" x14ac:dyDescent="0.25">
      <c r="K8320" s="8" t="e">
        <f t="shared" si="103"/>
        <v>#VALUE!</v>
      </c>
    </row>
    <row r="8321" spans="11:11" x14ac:dyDescent="0.25">
      <c r="K8321" s="8" t="e">
        <f t="shared" si="103"/>
        <v>#VALUE!</v>
      </c>
    </row>
    <row r="8322" spans="11:11" x14ac:dyDescent="0.25">
      <c r="K8322" s="8" t="e">
        <f t="shared" si="103"/>
        <v>#VALUE!</v>
      </c>
    </row>
    <row r="8323" spans="11:11" x14ac:dyDescent="0.25">
      <c r="K8323" s="8" t="e">
        <f t="shared" ref="K8323:K8386" si="104">LEFT(A8323,FIND("/",A8323)-1)</f>
        <v>#VALUE!</v>
      </c>
    </row>
    <row r="8324" spans="11:11" x14ac:dyDescent="0.25">
      <c r="K8324" s="8" t="e">
        <f t="shared" si="104"/>
        <v>#VALUE!</v>
      </c>
    </row>
    <row r="8325" spans="11:11" x14ac:dyDescent="0.25">
      <c r="K8325" s="8" t="e">
        <f t="shared" si="104"/>
        <v>#VALUE!</v>
      </c>
    </row>
    <row r="8326" spans="11:11" x14ac:dyDescent="0.25">
      <c r="K8326" s="8" t="e">
        <f t="shared" si="104"/>
        <v>#VALUE!</v>
      </c>
    </row>
    <row r="8327" spans="11:11" x14ac:dyDescent="0.25">
      <c r="K8327" s="8" t="e">
        <f t="shared" si="104"/>
        <v>#VALUE!</v>
      </c>
    </row>
    <row r="8328" spans="11:11" x14ac:dyDescent="0.25">
      <c r="K8328" s="8" t="e">
        <f t="shared" si="104"/>
        <v>#VALUE!</v>
      </c>
    </row>
    <row r="8329" spans="11:11" x14ac:dyDescent="0.25">
      <c r="K8329" s="8" t="e">
        <f t="shared" si="104"/>
        <v>#VALUE!</v>
      </c>
    </row>
    <row r="8330" spans="11:11" x14ac:dyDescent="0.25">
      <c r="K8330" s="8" t="e">
        <f t="shared" si="104"/>
        <v>#VALUE!</v>
      </c>
    </row>
    <row r="8331" spans="11:11" x14ac:dyDescent="0.25">
      <c r="K8331" s="8" t="e">
        <f t="shared" si="104"/>
        <v>#VALUE!</v>
      </c>
    </row>
    <row r="8332" spans="11:11" x14ac:dyDescent="0.25">
      <c r="K8332" s="8" t="e">
        <f t="shared" si="104"/>
        <v>#VALUE!</v>
      </c>
    </row>
    <row r="8333" spans="11:11" x14ac:dyDescent="0.25">
      <c r="K8333" s="8" t="e">
        <f t="shared" si="104"/>
        <v>#VALUE!</v>
      </c>
    </row>
    <row r="8334" spans="11:11" x14ac:dyDescent="0.25">
      <c r="K8334" s="8" t="e">
        <f t="shared" si="104"/>
        <v>#VALUE!</v>
      </c>
    </row>
    <row r="8335" spans="11:11" x14ac:dyDescent="0.25">
      <c r="K8335" s="8" t="e">
        <f t="shared" si="104"/>
        <v>#VALUE!</v>
      </c>
    </row>
    <row r="8336" spans="11:11" x14ac:dyDescent="0.25">
      <c r="K8336" s="8" t="e">
        <f t="shared" si="104"/>
        <v>#VALUE!</v>
      </c>
    </row>
    <row r="8337" spans="11:11" x14ac:dyDescent="0.25">
      <c r="K8337" s="8" t="e">
        <f t="shared" si="104"/>
        <v>#VALUE!</v>
      </c>
    </row>
    <row r="8338" spans="11:11" x14ac:dyDescent="0.25">
      <c r="K8338" s="8" t="e">
        <f t="shared" si="104"/>
        <v>#VALUE!</v>
      </c>
    </row>
    <row r="8339" spans="11:11" x14ac:dyDescent="0.25">
      <c r="K8339" s="8" t="e">
        <f t="shared" si="104"/>
        <v>#VALUE!</v>
      </c>
    </row>
    <row r="8340" spans="11:11" x14ac:dyDescent="0.25">
      <c r="K8340" s="8" t="e">
        <f t="shared" si="104"/>
        <v>#VALUE!</v>
      </c>
    </row>
    <row r="8341" spans="11:11" x14ac:dyDescent="0.25">
      <c r="K8341" s="8" t="e">
        <f t="shared" si="104"/>
        <v>#VALUE!</v>
      </c>
    </row>
    <row r="8342" spans="11:11" x14ac:dyDescent="0.25">
      <c r="K8342" s="8" t="e">
        <f t="shared" si="104"/>
        <v>#VALUE!</v>
      </c>
    </row>
    <row r="8343" spans="11:11" x14ac:dyDescent="0.25">
      <c r="K8343" s="8" t="e">
        <f t="shared" si="104"/>
        <v>#VALUE!</v>
      </c>
    </row>
    <row r="8344" spans="11:11" x14ac:dyDescent="0.25">
      <c r="K8344" s="8" t="e">
        <f t="shared" si="104"/>
        <v>#VALUE!</v>
      </c>
    </row>
    <row r="8345" spans="11:11" x14ac:dyDescent="0.25">
      <c r="K8345" s="8" t="e">
        <f t="shared" si="104"/>
        <v>#VALUE!</v>
      </c>
    </row>
    <row r="8346" spans="11:11" x14ac:dyDescent="0.25">
      <c r="K8346" s="8" t="e">
        <f t="shared" si="104"/>
        <v>#VALUE!</v>
      </c>
    </row>
    <row r="8347" spans="11:11" x14ac:dyDescent="0.25">
      <c r="K8347" s="8" t="e">
        <f t="shared" si="104"/>
        <v>#VALUE!</v>
      </c>
    </row>
    <row r="8348" spans="11:11" x14ac:dyDescent="0.25">
      <c r="K8348" s="8" t="e">
        <f t="shared" si="104"/>
        <v>#VALUE!</v>
      </c>
    </row>
    <row r="8349" spans="11:11" x14ac:dyDescent="0.25">
      <c r="K8349" s="8" t="e">
        <f t="shared" si="104"/>
        <v>#VALUE!</v>
      </c>
    </row>
    <row r="8350" spans="11:11" x14ac:dyDescent="0.25">
      <c r="K8350" s="8" t="e">
        <f t="shared" si="104"/>
        <v>#VALUE!</v>
      </c>
    </row>
    <row r="8351" spans="11:11" x14ac:dyDescent="0.25">
      <c r="K8351" s="8" t="e">
        <f t="shared" si="104"/>
        <v>#VALUE!</v>
      </c>
    </row>
    <row r="8352" spans="11:11" x14ac:dyDescent="0.25">
      <c r="K8352" s="8" t="e">
        <f t="shared" si="104"/>
        <v>#VALUE!</v>
      </c>
    </row>
    <row r="8353" spans="11:11" x14ac:dyDescent="0.25">
      <c r="K8353" s="8" t="e">
        <f t="shared" si="104"/>
        <v>#VALUE!</v>
      </c>
    </row>
    <row r="8354" spans="11:11" x14ac:dyDescent="0.25">
      <c r="K8354" s="8" t="e">
        <f t="shared" si="104"/>
        <v>#VALUE!</v>
      </c>
    </row>
    <row r="8355" spans="11:11" x14ac:dyDescent="0.25">
      <c r="K8355" s="8" t="e">
        <f t="shared" si="104"/>
        <v>#VALUE!</v>
      </c>
    </row>
    <row r="8356" spans="11:11" x14ac:dyDescent="0.25">
      <c r="K8356" s="8" t="e">
        <f t="shared" si="104"/>
        <v>#VALUE!</v>
      </c>
    </row>
    <row r="8357" spans="11:11" x14ac:dyDescent="0.25">
      <c r="K8357" s="8" t="e">
        <f t="shared" si="104"/>
        <v>#VALUE!</v>
      </c>
    </row>
    <row r="8358" spans="11:11" x14ac:dyDescent="0.25">
      <c r="K8358" s="8" t="e">
        <f t="shared" si="104"/>
        <v>#VALUE!</v>
      </c>
    </row>
    <row r="8359" spans="11:11" x14ac:dyDescent="0.25">
      <c r="K8359" s="8" t="e">
        <f t="shared" si="104"/>
        <v>#VALUE!</v>
      </c>
    </row>
    <row r="8360" spans="11:11" x14ac:dyDescent="0.25">
      <c r="K8360" s="8" t="e">
        <f t="shared" si="104"/>
        <v>#VALUE!</v>
      </c>
    </row>
    <row r="8361" spans="11:11" x14ac:dyDescent="0.25">
      <c r="K8361" s="8" t="e">
        <f t="shared" si="104"/>
        <v>#VALUE!</v>
      </c>
    </row>
    <row r="8362" spans="11:11" x14ac:dyDescent="0.25">
      <c r="K8362" s="8" t="e">
        <f t="shared" si="104"/>
        <v>#VALUE!</v>
      </c>
    </row>
    <row r="8363" spans="11:11" x14ac:dyDescent="0.25">
      <c r="K8363" s="8" t="e">
        <f t="shared" si="104"/>
        <v>#VALUE!</v>
      </c>
    </row>
    <row r="8364" spans="11:11" x14ac:dyDescent="0.25">
      <c r="K8364" s="8" t="e">
        <f t="shared" si="104"/>
        <v>#VALUE!</v>
      </c>
    </row>
    <row r="8365" spans="11:11" x14ac:dyDescent="0.25">
      <c r="K8365" s="8" t="e">
        <f t="shared" si="104"/>
        <v>#VALUE!</v>
      </c>
    </row>
    <row r="8366" spans="11:11" x14ac:dyDescent="0.25">
      <c r="K8366" s="8" t="e">
        <f t="shared" si="104"/>
        <v>#VALUE!</v>
      </c>
    </row>
    <row r="8367" spans="11:11" x14ac:dyDescent="0.25">
      <c r="K8367" s="8" t="e">
        <f t="shared" si="104"/>
        <v>#VALUE!</v>
      </c>
    </row>
    <row r="8368" spans="11:11" x14ac:dyDescent="0.25">
      <c r="K8368" s="8" t="e">
        <f t="shared" si="104"/>
        <v>#VALUE!</v>
      </c>
    </row>
    <row r="8369" spans="11:11" x14ac:dyDescent="0.25">
      <c r="K8369" s="8" t="e">
        <f t="shared" si="104"/>
        <v>#VALUE!</v>
      </c>
    </row>
    <row r="8370" spans="11:11" x14ac:dyDescent="0.25">
      <c r="K8370" s="8" t="e">
        <f t="shared" si="104"/>
        <v>#VALUE!</v>
      </c>
    </row>
    <row r="8371" spans="11:11" x14ac:dyDescent="0.25">
      <c r="K8371" s="8" t="e">
        <f t="shared" si="104"/>
        <v>#VALUE!</v>
      </c>
    </row>
    <row r="8372" spans="11:11" x14ac:dyDescent="0.25">
      <c r="K8372" s="8" t="e">
        <f t="shared" si="104"/>
        <v>#VALUE!</v>
      </c>
    </row>
    <row r="8373" spans="11:11" x14ac:dyDescent="0.25">
      <c r="K8373" s="8" t="e">
        <f t="shared" si="104"/>
        <v>#VALUE!</v>
      </c>
    </row>
    <row r="8374" spans="11:11" x14ac:dyDescent="0.25">
      <c r="K8374" s="8" t="e">
        <f t="shared" si="104"/>
        <v>#VALUE!</v>
      </c>
    </row>
    <row r="8375" spans="11:11" x14ac:dyDescent="0.25">
      <c r="K8375" s="8" t="e">
        <f t="shared" si="104"/>
        <v>#VALUE!</v>
      </c>
    </row>
    <row r="8376" spans="11:11" x14ac:dyDescent="0.25">
      <c r="K8376" s="8" t="e">
        <f t="shared" si="104"/>
        <v>#VALUE!</v>
      </c>
    </row>
    <row r="8377" spans="11:11" x14ac:dyDescent="0.25">
      <c r="K8377" s="8" t="e">
        <f t="shared" si="104"/>
        <v>#VALUE!</v>
      </c>
    </row>
    <row r="8378" spans="11:11" x14ac:dyDescent="0.25">
      <c r="K8378" s="8" t="e">
        <f t="shared" si="104"/>
        <v>#VALUE!</v>
      </c>
    </row>
    <row r="8379" spans="11:11" x14ac:dyDescent="0.25">
      <c r="K8379" s="8" t="e">
        <f t="shared" si="104"/>
        <v>#VALUE!</v>
      </c>
    </row>
    <row r="8380" spans="11:11" x14ac:dyDescent="0.25">
      <c r="K8380" s="8" t="e">
        <f t="shared" si="104"/>
        <v>#VALUE!</v>
      </c>
    </row>
    <row r="8381" spans="11:11" x14ac:dyDescent="0.25">
      <c r="K8381" s="8" t="e">
        <f t="shared" si="104"/>
        <v>#VALUE!</v>
      </c>
    </row>
    <row r="8382" spans="11:11" x14ac:dyDescent="0.25">
      <c r="K8382" s="8" t="e">
        <f t="shared" si="104"/>
        <v>#VALUE!</v>
      </c>
    </row>
    <row r="8383" spans="11:11" x14ac:dyDescent="0.25">
      <c r="K8383" s="8" t="e">
        <f t="shared" si="104"/>
        <v>#VALUE!</v>
      </c>
    </row>
    <row r="8384" spans="11:11" x14ac:dyDescent="0.25">
      <c r="K8384" s="8" t="e">
        <f t="shared" si="104"/>
        <v>#VALUE!</v>
      </c>
    </row>
    <row r="8385" spans="11:11" x14ac:dyDescent="0.25">
      <c r="K8385" s="8" t="e">
        <f t="shared" si="104"/>
        <v>#VALUE!</v>
      </c>
    </row>
    <row r="8386" spans="11:11" x14ac:dyDescent="0.25">
      <c r="K8386" s="8" t="e">
        <f t="shared" si="104"/>
        <v>#VALUE!</v>
      </c>
    </row>
    <row r="8387" spans="11:11" x14ac:dyDescent="0.25">
      <c r="K8387" s="8" t="e">
        <f t="shared" ref="K8387:K8450" si="105">LEFT(A8387,FIND("/",A8387)-1)</f>
        <v>#VALUE!</v>
      </c>
    </row>
    <row r="8388" spans="11:11" x14ac:dyDescent="0.25">
      <c r="K8388" s="8" t="e">
        <f t="shared" si="105"/>
        <v>#VALUE!</v>
      </c>
    </row>
    <row r="8389" spans="11:11" x14ac:dyDescent="0.25">
      <c r="K8389" s="8" t="e">
        <f t="shared" si="105"/>
        <v>#VALUE!</v>
      </c>
    </row>
    <row r="8390" spans="11:11" x14ac:dyDescent="0.25">
      <c r="K8390" s="8" t="e">
        <f t="shared" si="105"/>
        <v>#VALUE!</v>
      </c>
    </row>
    <row r="8391" spans="11:11" x14ac:dyDescent="0.25">
      <c r="K8391" s="8" t="e">
        <f t="shared" si="105"/>
        <v>#VALUE!</v>
      </c>
    </row>
    <row r="8392" spans="11:11" x14ac:dyDescent="0.25">
      <c r="K8392" s="8" t="e">
        <f t="shared" si="105"/>
        <v>#VALUE!</v>
      </c>
    </row>
    <row r="8393" spans="11:11" x14ac:dyDescent="0.25">
      <c r="K8393" s="8" t="e">
        <f t="shared" si="105"/>
        <v>#VALUE!</v>
      </c>
    </row>
    <row r="8394" spans="11:11" x14ac:dyDescent="0.25">
      <c r="K8394" s="8" t="e">
        <f t="shared" si="105"/>
        <v>#VALUE!</v>
      </c>
    </row>
    <row r="8395" spans="11:11" x14ac:dyDescent="0.25">
      <c r="K8395" s="8" t="e">
        <f t="shared" si="105"/>
        <v>#VALUE!</v>
      </c>
    </row>
    <row r="8396" spans="11:11" x14ac:dyDescent="0.25">
      <c r="K8396" s="8" t="e">
        <f t="shared" si="105"/>
        <v>#VALUE!</v>
      </c>
    </row>
    <row r="8397" spans="11:11" x14ac:dyDescent="0.25">
      <c r="K8397" s="8" t="e">
        <f t="shared" si="105"/>
        <v>#VALUE!</v>
      </c>
    </row>
    <row r="8398" spans="11:11" x14ac:dyDescent="0.25">
      <c r="K8398" s="8" t="e">
        <f t="shared" si="105"/>
        <v>#VALUE!</v>
      </c>
    </row>
    <row r="8399" spans="11:11" x14ac:dyDescent="0.25">
      <c r="K8399" s="8" t="e">
        <f t="shared" si="105"/>
        <v>#VALUE!</v>
      </c>
    </row>
    <row r="8400" spans="11:11" x14ac:dyDescent="0.25">
      <c r="K8400" s="8" t="e">
        <f t="shared" si="105"/>
        <v>#VALUE!</v>
      </c>
    </row>
    <row r="8401" spans="11:11" x14ac:dyDescent="0.25">
      <c r="K8401" s="8" t="e">
        <f t="shared" si="105"/>
        <v>#VALUE!</v>
      </c>
    </row>
    <row r="8402" spans="11:11" x14ac:dyDescent="0.25">
      <c r="K8402" s="8" t="e">
        <f t="shared" si="105"/>
        <v>#VALUE!</v>
      </c>
    </row>
    <row r="8403" spans="11:11" x14ac:dyDescent="0.25">
      <c r="K8403" s="8" t="e">
        <f t="shared" si="105"/>
        <v>#VALUE!</v>
      </c>
    </row>
    <row r="8404" spans="11:11" x14ac:dyDescent="0.25">
      <c r="K8404" s="8" t="e">
        <f t="shared" si="105"/>
        <v>#VALUE!</v>
      </c>
    </row>
    <row r="8405" spans="11:11" x14ac:dyDescent="0.25">
      <c r="K8405" s="8" t="e">
        <f t="shared" si="105"/>
        <v>#VALUE!</v>
      </c>
    </row>
    <row r="8406" spans="11:11" x14ac:dyDescent="0.25">
      <c r="K8406" s="8" t="e">
        <f t="shared" si="105"/>
        <v>#VALUE!</v>
      </c>
    </row>
    <row r="8407" spans="11:11" x14ac:dyDescent="0.25">
      <c r="K8407" s="8" t="e">
        <f t="shared" si="105"/>
        <v>#VALUE!</v>
      </c>
    </row>
    <row r="8408" spans="11:11" x14ac:dyDescent="0.25">
      <c r="K8408" s="8" t="e">
        <f t="shared" si="105"/>
        <v>#VALUE!</v>
      </c>
    </row>
    <row r="8409" spans="11:11" x14ac:dyDescent="0.25">
      <c r="K8409" s="8" t="e">
        <f t="shared" si="105"/>
        <v>#VALUE!</v>
      </c>
    </row>
    <row r="8410" spans="11:11" x14ac:dyDescent="0.25">
      <c r="K8410" s="8" t="e">
        <f t="shared" si="105"/>
        <v>#VALUE!</v>
      </c>
    </row>
    <row r="8411" spans="11:11" x14ac:dyDescent="0.25">
      <c r="K8411" s="8" t="e">
        <f t="shared" si="105"/>
        <v>#VALUE!</v>
      </c>
    </row>
    <row r="8412" spans="11:11" x14ac:dyDescent="0.25">
      <c r="K8412" s="8" t="e">
        <f t="shared" si="105"/>
        <v>#VALUE!</v>
      </c>
    </row>
    <row r="8413" spans="11:11" x14ac:dyDescent="0.25">
      <c r="K8413" s="8" t="e">
        <f t="shared" si="105"/>
        <v>#VALUE!</v>
      </c>
    </row>
    <row r="8414" spans="11:11" x14ac:dyDescent="0.25">
      <c r="K8414" s="8" t="e">
        <f t="shared" si="105"/>
        <v>#VALUE!</v>
      </c>
    </row>
    <row r="8415" spans="11:11" x14ac:dyDescent="0.25">
      <c r="K8415" s="8" t="e">
        <f t="shared" si="105"/>
        <v>#VALUE!</v>
      </c>
    </row>
    <row r="8416" spans="11:11" x14ac:dyDescent="0.25">
      <c r="K8416" s="8" t="e">
        <f t="shared" si="105"/>
        <v>#VALUE!</v>
      </c>
    </row>
    <row r="8417" spans="11:11" x14ac:dyDescent="0.25">
      <c r="K8417" s="8" t="e">
        <f t="shared" si="105"/>
        <v>#VALUE!</v>
      </c>
    </row>
    <row r="8418" spans="11:11" x14ac:dyDescent="0.25">
      <c r="K8418" s="8" t="e">
        <f t="shared" si="105"/>
        <v>#VALUE!</v>
      </c>
    </row>
    <row r="8419" spans="11:11" x14ac:dyDescent="0.25">
      <c r="K8419" s="8" t="e">
        <f t="shared" si="105"/>
        <v>#VALUE!</v>
      </c>
    </row>
    <row r="8420" spans="11:11" x14ac:dyDescent="0.25">
      <c r="K8420" s="8" t="e">
        <f t="shared" si="105"/>
        <v>#VALUE!</v>
      </c>
    </row>
    <row r="8421" spans="11:11" x14ac:dyDescent="0.25">
      <c r="K8421" s="8" t="e">
        <f t="shared" si="105"/>
        <v>#VALUE!</v>
      </c>
    </row>
    <row r="8422" spans="11:11" x14ac:dyDescent="0.25">
      <c r="K8422" s="8" t="e">
        <f t="shared" si="105"/>
        <v>#VALUE!</v>
      </c>
    </row>
    <row r="8423" spans="11:11" x14ac:dyDescent="0.25">
      <c r="K8423" s="8" t="e">
        <f t="shared" si="105"/>
        <v>#VALUE!</v>
      </c>
    </row>
    <row r="8424" spans="11:11" x14ac:dyDescent="0.25">
      <c r="K8424" s="8" t="e">
        <f t="shared" si="105"/>
        <v>#VALUE!</v>
      </c>
    </row>
    <row r="8425" spans="11:11" x14ac:dyDescent="0.25">
      <c r="K8425" s="8" t="e">
        <f t="shared" si="105"/>
        <v>#VALUE!</v>
      </c>
    </row>
    <row r="8426" spans="11:11" x14ac:dyDescent="0.25">
      <c r="K8426" s="8" t="e">
        <f t="shared" si="105"/>
        <v>#VALUE!</v>
      </c>
    </row>
    <row r="8427" spans="11:11" x14ac:dyDescent="0.25">
      <c r="K8427" s="8" t="e">
        <f t="shared" si="105"/>
        <v>#VALUE!</v>
      </c>
    </row>
    <row r="8428" spans="11:11" x14ac:dyDescent="0.25">
      <c r="K8428" s="8" t="e">
        <f t="shared" si="105"/>
        <v>#VALUE!</v>
      </c>
    </row>
    <row r="8429" spans="11:11" x14ac:dyDescent="0.25">
      <c r="K8429" s="8" t="e">
        <f t="shared" si="105"/>
        <v>#VALUE!</v>
      </c>
    </row>
    <row r="8430" spans="11:11" x14ac:dyDescent="0.25">
      <c r="K8430" s="8" t="e">
        <f t="shared" si="105"/>
        <v>#VALUE!</v>
      </c>
    </row>
    <row r="8431" spans="11:11" x14ac:dyDescent="0.25">
      <c r="K8431" s="8" t="e">
        <f t="shared" si="105"/>
        <v>#VALUE!</v>
      </c>
    </row>
    <row r="8432" spans="11:11" x14ac:dyDescent="0.25">
      <c r="K8432" s="8" t="e">
        <f t="shared" si="105"/>
        <v>#VALUE!</v>
      </c>
    </row>
    <row r="8433" spans="11:11" x14ac:dyDescent="0.25">
      <c r="K8433" s="8" t="e">
        <f t="shared" si="105"/>
        <v>#VALUE!</v>
      </c>
    </row>
    <row r="8434" spans="11:11" x14ac:dyDescent="0.25">
      <c r="K8434" s="8" t="e">
        <f t="shared" si="105"/>
        <v>#VALUE!</v>
      </c>
    </row>
    <row r="8435" spans="11:11" x14ac:dyDescent="0.25">
      <c r="K8435" s="8" t="e">
        <f t="shared" si="105"/>
        <v>#VALUE!</v>
      </c>
    </row>
    <row r="8436" spans="11:11" x14ac:dyDescent="0.25">
      <c r="K8436" s="8" t="e">
        <f t="shared" si="105"/>
        <v>#VALUE!</v>
      </c>
    </row>
    <row r="8437" spans="11:11" x14ac:dyDescent="0.25">
      <c r="K8437" s="8" t="e">
        <f t="shared" si="105"/>
        <v>#VALUE!</v>
      </c>
    </row>
    <row r="8438" spans="11:11" x14ac:dyDescent="0.25">
      <c r="K8438" s="8" t="e">
        <f t="shared" si="105"/>
        <v>#VALUE!</v>
      </c>
    </row>
    <row r="8439" spans="11:11" x14ac:dyDescent="0.25">
      <c r="K8439" s="8" t="e">
        <f t="shared" si="105"/>
        <v>#VALUE!</v>
      </c>
    </row>
    <row r="8440" spans="11:11" x14ac:dyDescent="0.25">
      <c r="K8440" s="8" t="e">
        <f t="shared" si="105"/>
        <v>#VALUE!</v>
      </c>
    </row>
    <row r="8441" spans="11:11" x14ac:dyDescent="0.25">
      <c r="K8441" s="8" t="e">
        <f t="shared" si="105"/>
        <v>#VALUE!</v>
      </c>
    </row>
    <row r="8442" spans="11:11" x14ac:dyDescent="0.25">
      <c r="K8442" s="8" t="e">
        <f t="shared" si="105"/>
        <v>#VALUE!</v>
      </c>
    </row>
    <row r="8443" spans="11:11" x14ac:dyDescent="0.25">
      <c r="K8443" s="8" t="e">
        <f t="shared" si="105"/>
        <v>#VALUE!</v>
      </c>
    </row>
    <row r="8444" spans="11:11" x14ac:dyDescent="0.25">
      <c r="K8444" s="8" t="e">
        <f t="shared" si="105"/>
        <v>#VALUE!</v>
      </c>
    </row>
    <row r="8445" spans="11:11" x14ac:dyDescent="0.25">
      <c r="K8445" s="8" t="e">
        <f t="shared" si="105"/>
        <v>#VALUE!</v>
      </c>
    </row>
    <row r="8446" spans="11:11" x14ac:dyDescent="0.25">
      <c r="K8446" s="8" t="e">
        <f t="shared" si="105"/>
        <v>#VALUE!</v>
      </c>
    </row>
    <row r="8447" spans="11:11" x14ac:dyDescent="0.25">
      <c r="K8447" s="8" t="e">
        <f t="shared" si="105"/>
        <v>#VALUE!</v>
      </c>
    </row>
    <row r="8448" spans="11:11" x14ac:dyDescent="0.25">
      <c r="K8448" s="8" t="e">
        <f t="shared" si="105"/>
        <v>#VALUE!</v>
      </c>
    </row>
    <row r="8449" spans="11:11" x14ac:dyDescent="0.25">
      <c r="K8449" s="8" t="e">
        <f t="shared" si="105"/>
        <v>#VALUE!</v>
      </c>
    </row>
    <row r="8450" spans="11:11" x14ac:dyDescent="0.25">
      <c r="K8450" s="8" t="e">
        <f t="shared" si="105"/>
        <v>#VALUE!</v>
      </c>
    </row>
    <row r="8451" spans="11:11" x14ac:dyDescent="0.25">
      <c r="K8451" s="8" t="e">
        <f t="shared" ref="K8451:K8514" si="106">LEFT(A8451,FIND("/",A8451)-1)</f>
        <v>#VALUE!</v>
      </c>
    </row>
    <row r="8452" spans="11:11" x14ac:dyDescent="0.25">
      <c r="K8452" s="8" t="e">
        <f t="shared" si="106"/>
        <v>#VALUE!</v>
      </c>
    </row>
    <row r="8453" spans="11:11" x14ac:dyDescent="0.25">
      <c r="K8453" s="8" t="e">
        <f t="shared" si="106"/>
        <v>#VALUE!</v>
      </c>
    </row>
    <row r="8454" spans="11:11" x14ac:dyDescent="0.25">
      <c r="K8454" s="8" t="e">
        <f t="shared" si="106"/>
        <v>#VALUE!</v>
      </c>
    </row>
    <row r="8455" spans="11:11" x14ac:dyDescent="0.25">
      <c r="K8455" s="8" t="e">
        <f t="shared" si="106"/>
        <v>#VALUE!</v>
      </c>
    </row>
    <row r="8456" spans="11:11" x14ac:dyDescent="0.25">
      <c r="K8456" s="8" t="e">
        <f t="shared" si="106"/>
        <v>#VALUE!</v>
      </c>
    </row>
    <row r="8457" spans="11:11" x14ac:dyDescent="0.25">
      <c r="K8457" s="8" t="e">
        <f t="shared" si="106"/>
        <v>#VALUE!</v>
      </c>
    </row>
    <row r="8458" spans="11:11" x14ac:dyDescent="0.25">
      <c r="K8458" s="8" t="e">
        <f t="shared" si="106"/>
        <v>#VALUE!</v>
      </c>
    </row>
    <row r="8459" spans="11:11" x14ac:dyDescent="0.25">
      <c r="K8459" s="8" t="e">
        <f t="shared" si="106"/>
        <v>#VALUE!</v>
      </c>
    </row>
    <row r="8460" spans="11:11" x14ac:dyDescent="0.25">
      <c r="K8460" s="8" t="e">
        <f t="shared" si="106"/>
        <v>#VALUE!</v>
      </c>
    </row>
    <row r="8461" spans="11:11" x14ac:dyDescent="0.25">
      <c r="K8461" s="8" t="e">
        <f t="shared" si="106"/>
        <v>#VALUE!</v>
      </c>
    </row>
    <row r="8462" spans="11:11" x14ac:dyDescent="0.25">
      <c r="K8462" s="8" t="e">
        <f t="shared" si="106"/>
        <v>#VALUE!</v>
      </c>
    </row>
    <row r="8463" spans="11:11" x14ac:dyDescent="0.25">
      <c r="K8463" s="8" t="e">
        <f t="shared" si="106"/>
        <v>#VALUE!</v>
      </c>
    </row>
    <row r="8464" spans="11:11" x14ac:dyDescent="0.25">
      <c r="K8464" s="8" t="e">
        <f t="shared" si="106"/>
        <v>#VALUE!</v>
      </c>
    </row>
    <row r="8465" spans="11:11" x14ac:dyDescent="0.25">
      <c r="K8465" s="8" t="e">
        <f t="shared" si="106"/>
        <v>#VALUE!</v>
      </c>
    </row>
    <row r="8466" spans="11:11" x14ac:dyDescent="0.25">
      <c r="K8466" s="8" t="e">
        <f t="shared" si="106"/>
        <v>#VALUE!</v>
      </c>
    </row>
    <row r="8467" spans="11:11" x14ac:dyDescent="0.25">
      <c r="K8467" s="8" t="e">
        <f t="shared" si="106"/>
        <v>#VALUE!</v>
      </c>
    </row>
    <row r="8468" spans="11:11" x14ac:dyDescent="0.25">
      <c r="K8468" s="8" t="e">
        <f t="shared" si="106"/>
        <v>#VALUE!</v>
      </c>
    </row>
    <row r="8469" spans="11:11" x14ac:dyDescent="0.25">
      <c r="K8469" s="8" t="e">
        <f t="shared" si="106"/>
        <v>#VALUE!</v>
      </c>
    </row>
    <row r="8470" spans="11:11" x14ac:dyDescent="0.25">
      <c r="K8470" s="8" t="e">
        <f t="shared" si="106"/>
        <v>#VALUE!</v>
      </c>
    </row>
    <row r="8471" spans="11:11" x14ac:dyDescent="0.25">
      <c r="K8471" s="8" t="e">
        <f t="shared" si="106"/>
        <v>#VALUE!</v>
      </c>
    </row>
    <row r="8472" spans="11:11" x14ac:dyDescent="0.25">
      <c r="K8472" s="8" t="e">
        <f t="shared" si="106"/>
        <v>#VALUE!</v>
      </c>
    </row>
    <row r="8473" spans="11:11" x14ac:dyDescent="0.25">
      <c r="K8473" s="8" t="e">
        <f t="shared" si="106"/>
        <v>#VALUE!</v>
      </c>
    </row>
    <row r="8474" spans="11:11" x14ac:dyDescent="0.25">
      <c r="K8474" s="8" t="e">
        <f t="shared" si="106"/>
        <v>#VALUE!</v>
      </c>
    </row>
    <row r="8475" spans="11:11" x14ac:dyDescent="0.25">
      <c r="K8475" s="8" t="e">
        <f t="shared" si="106"/>
        <v>#VALUE!</v>
      </c>
    </row>
    <row r="8476" spans="11:11" x14ac:dyDescent="0.25">
      <c r="K8476" s="8" t="e">
        <f t="shared" si="106"/>
        <v>#VALUE!</v>
      </c>
    </row>
    <row r="8477" spans="11:11" x14ac:dyDescent="0.25">
      <c r="K8477" s="8" t="e">
        <f t="shared" si="106"/>
        <v>#VALUE!</v>
      </c>
    </row>
    <row r="8478" spans="11:11" x14ac:dyDescent="0.25">
      <c r="K8478" s="8" t="e">
        <f t="shared" si="106"/>
        <v>#VALUE!</v>
      </c>
    </row>
    <row r="8479" spans="11:11" x14ac:dyDescent="0.25">
      <c r="K8479" s="8" t="e">
        <f t="shared" si="106"/>
        <v>#VALUE!</v>
      </c>
    </row>
    <row r="8480" spans="11:11" x14ac:dyDescent="0.25">
      <c r="K8480" s="8" t="e">
        <f t="shared" si="106"/>
        <v>#VALUE!</v>
      </c>
    </row>
    <row r="8481" spans="11:11" x14ac:dyDescent="0.25">
      <c r="K8481" s="8" t="e">
        <f t="shared" si="106"/>
        <v>#VALUE!</v>
      </c>
    </row>
    <row r="8482" spans="11:11" x14ac:dyDescent="0.25">
      <c r="K8482" s="8" t="e">
        <f t="shared" si="106"/>
        <v>#VALUE!</v>
      </c>
    </row>
    <row r="8483" spans="11:11" x14ac:dyDescent="0.25">
      <c r="K8483" s="8" t="e">
        <f t="shared" si="106"/>
        <v>#VALUE!</v>
      </c>
    </row>
    <row r="8484" spans="11:11" x14ac:dyDescent="0.25">
      <c r="K8484" s="8" t="e">
        <f t="shared" si="106"/>
        <v>#VALUE!</v>
      </c>
    </row>
    <row r="8485" spans="11:11" x14ac:dyDescent="0.25">
      <c r="K8485" s="8" t="e">
        <f t="shared" si="106"/>
        <v>#VALUE!</v>
      </c>
    </row>
    <row r="8486" spans="11:11" x14ac:dyDescent="0.25">
      <c r="K8486" s="8" t="e">
        <f t="shared" si="106"/>
        <v>#VALUE!</v>
      </c>
    </row>
    <row r="8487" spans="11:11" x14ac:dyDescent="0.25">
      <c r="K8487" s="8" t="e">
        <f t="shared" si="106"/>
        <v>#VALUE!</v>
      </c>
    </row>
    <row r="8488" spans="11:11" x14ac:dyDescent="0.25">
      <c r="K8488" s="8" t="e">
        <f t="shared" si="106"/>
        <v>#VALUE!</v>
      </c>
    </row>
    <row r="8489" spans="11:11" x14ac:dyDescent="0.25">
      <c r="K8489" s="8" t="e">
        <f t="shared" si="106"/>
        <v>#VALUE!</v>
      </c>
    </row>
    <row r="8490" spans="11:11" x14ac:dyDescent="0.25">
      <c r="K8490" s="8" t="e">
        <f t="shared" si="106"/>
        <v>#VALUE!</v>
      </c>
    </row>
    <row r="8491" spans="11:11" x14ac:dyDescent="0.25">
      <c r="K8491" s="8" t="e">
        <f t="shared" si="106"/>
        <v>#VALUE!</v>
      </c>
    </row>
    <row r="8492" spans="11:11" x14ac:dyDescent="0.25">
      <c r="K8492" s="8" t="e">
        <f t="shared" si="106"/>
        <v>#VALUE!</v>
      </c>
    </row>
    <row r="8493" spans="11:11" x14ac:dyDescent="0.25">
      <c r="K8493" s="8" t="e">
        <f t="shared" si="106"/>
        <v>#VALUE!</v>
      </c>
    </row>
    <row r="8494" spans="11:11" x14ac:dyDescent="0.25">
      <c r="K8494" s="8" t="e">
        <f t="shared" si="106"/>
        <v>#VALUE!</v>
      </c>
    </row>
    <row r="8495" spans="11:11" x14ac:dyDescent="0.25">
      <c r="K8495" s="8" t="e">
        <f t="shared" si="106"/>
        <v>#VALUE!</v>
      </c>
    </row>
    <row r="8496" spans="11:11" x14ac:dyDescent="0.25">
      <c r="K8496" s="8" t="e">
        <f t="shared" si="106"/>
        <v>#VALUE!</v>
      </c>
    </row>
    <row r="8497" spans="11:11" x14ac:dyDescent="0.25">
      <c r="K8497" s="8" t="e">
        <f t="shared" si="106"/>
        <v>#VALUE!</v>
      </c>
    </row>
    <row r="8498" spans="11:11" x14ac:dyDescent="0.25">
      <c r="K8498" s="8" t="e">
        <f t="shared" si="106"/>
        <v>#VALUE!</v>
      </c>
    </row>
    <row r="8499" spans="11:11" x14ac:dyDescent="0.25">
      <c r="K8499" s="8" t="e">
        <f t="shared" si="106"/>
        <v>#VALUE!</v>
      </c>
    </row>
    <row r="8500" spans="11:11" x14ac:dyDescent="0.25">
      <c r="K8500" s="8" t="e">
        <f t="shared" si="106"/>
        <v>#VALUE!</v>
      </c>
    </row>
    <row r="8501" spans="11:11" x14ac:dyDescent="0.25">
      <c r="K8501" s="8" t="e">
        <f t="shared" si="106"/>
        <v>#VALUE!</v>
      </c>
    </row>
    <row r="8502" spans="11:11" x14ac:dyDescent="0.25">
      <c r="K8502" s="8" t="e">
        <f t="shared" si="106"/>
        <v>#VALUE!</v>
      </c>
    </row>
    <row r="8503" spans="11:11" x14ac:dyDescent="0.25">
      <c r="K8503" s="8" t="e">
        <f t="shared" si="106"/>
        <v>#VALUE!</v>
      </c>
    </row>
    <row r="8504" spans="11:11" x14ac:dyDescent="0.25">
      <c r="K8504" s="8" t="e">
        <f t="shared" si="106"/>
        <v>#VALUE!</v>
      </c>
    </row>
    <row r="8505" spans="11:11" x14ac:dyDescent="0.25">
      <c r="K8505" s="8" t="e">
        <f t="shared" si="106"/>
        <v>#VALUE!</v>
      </c>
    </row>
    <row r="8506" spans="11:11" x14ac:dyDescent="0.25">
      <c r="K8506" s="8" t="e">
        <f t="shared" si="106"/>
        <v>#VALUE!</v>
      </c>
    </row>
    <row r="8507" spans="11:11" x14ac:dyDescent="0.25">
      <c r="K8507" s="8" t="e">
        <f t="shared" si="106"/>
        <v>#VALUE!</v>
      </c>
    </row>
    <row r="8508" spans="11:11" x14ac:dyDescent="0.25">
      <c r="K8508" s="8" t="e">
        <f t="shared" si="106"/>
        <v>#VALUE!</v>
      </c>
    </row>
    <row r="8509" spans="11:11" x14ac:dyDescent="0.25">
      <c r="K8509" s="8" t="e">
        <f t="shared" si="106"/>
        <v>#VALUE!</v>
      </c>
    </row>
    <row r="8510" spans="11:11" x14ac:dyDescent="0.25">
      <c r="K8510" s="8" t="e">
        <f t="shared" si="106"/>
        <v>#VALUE!</v>
      </c>
    </row>
    <row r="8511" spans="11:11" x14ac:dyDescent="0.25">
      <c r="K8511" s="8" t="e">
        <f t="shared" si="106"/>
        <v>#VALUE!</v>
      </c>
    </row>
    <row r="8512" spans="11:11" x14ac:dyDescent="0.25">
      <c r="K8512" s="8" t="e">
        <f t="shared" si="106"/>
        <v>#VALUE!</v>
      </c>
    </row>
    <row r="8513" spans="11:11" x14ac:dyDescent="0.25">
      <c r="K8513" s="8" t="e">
        <f t="shared" si="106"/>
        <v>#VALUE!</v>
      </c>
    </row>
    <row r="8514" spans="11:11" x14ac:dyDescent="0.25">
      <c r="K8514" s="8" t="e">
        <f t="shared" si="106"/>
        <v>#VALUE!</v>
      </c>
    </row>
    <row r="8515" spans="11:11" x14ac:dyDescent="0.25">
      <c r="K8515" s="8" t="e">
        <f t="shared" ref="K8515:K8578" si="107">LEFT(A8515,FIND("/",A8515)-1)</f>
        <v>#VALUE!</v>
      </c>
    </row>
    <row r="8516" spans="11:11" x14ac:dyDescent="0.25">
      <c r="K8516" s="8" t="e">
        <f t="shared" si="107"/>
        <v>#VALUE!</v>
      </c>
    </row>
    <row r="8517" spans="11:11" x14ac:dyDescent="0.25">
      <c r="K8517" s="8" t="e">
        <f t="shared" si="107"/>
        <v>#VALUE!</v>
      </c>
    </row>
    <row r="8518" spans="11:11" x14ac:dyDescent="0.25">
      <c r="K8518" s="8" t="e">
        <f t="shared" si="107"/>
        <v>#VALUE!</v>
      </c>
    </row>
    <row r="8519" spans="11:11" x14ac:dyDescent="0.25">
      <c r="K8519" s="8" t="e">
        <f t="shared" si="107"/>
        <v>#VALUE!</v>
      </c>
    </row>
    <row r="8520" spans="11:11" x14ac:dyDescent="0.25">
      <c r="K8520" s="8" t="e">
        <f t="shared" si="107"/>
        <v>#VALUE!</v>
      </c>
    </row>
    <row r="8521" spans="11:11" x14ac:dyDescent="0.25">
      <c r="K8521" s="8" t="e">
        <f t="shared" si="107"/>
        <v>#VALUE!</v>
      </c>
    </row>
    <row r="8522" spans="11:11" x14ac:dyDescent="0.25">
      <c r="K8522" s="8" t="e">
        <f t="shared" si="107"/>
        <v>#VALUE!</v>
      </c>
    </row>
    <row r="8523" spans="11:11" x14ac:dyDescent="0.25">
      <c r="K8523" s="8" t="e">
        <f t="shared" si="107"/>
        <v>#VALUE!</v>
      </c>
    </row>
    <row r="8524" spans="11:11" x14ac:dyDescent="0.25">
      <c r="K8524" s="8" t="e">
        <f t="shared" si="107"/>
        <v>#VALUE!</v>
      </c>
    </row>
    <row r="8525" spans="11:11" x14ac:dyDescent="0.25">
      <c r="K8525" s="8" t="e">
        <f t="shared" si="107"/>
        <v>#VALUE!</v>
      </c>
    </row>
    <row r="8526" spans="11:11" x14ac:dyDescent="0.25">
      <c r="K8526" s="8" t="e">
        <f t="shared" si="107"/>
        <v>#VALUE!</v>
      </c>
    </row>
    <row r="8527" spans="11:11" x14ac:dyDescent="0.25">
      <c r="K8527" s="8" t="e">
        <f t="shared" si="107"/>
        <v>#VALUE!</v>
      </c>
    </row>
    <row r="8528" spans="11:11" x14ac:dyDescent="0.25">
      <c r="K8528" s="8" t="e">
        <f t="shared" si="107"/>
        <v>#VALUE!</v>
      </c>
    </row>
    <row r="8529" spans="11:11" x14ac:dyDescent="0.25">
      <c r="K8529" s="8" t="e">
        <f t="shared" si="107"/>
        <v>#VALUE!</v>
      </c>
    </row>
    <row r="8530" spans="11:11" x14ac:dyDescent="0.25">
      <c r="K8530" s="8" t="e">
        <f t="shared" si="107"/>
        <v>#VALUE!</v>
      </c>
    </row>
    <row r="8531" spans="11:11" x14ac:dyDescent="0.25">
      <c r="K8531" s="8" t="e">
        <f t="shared" si="107"/>
        <v>#VALUE!</v>
      </c>
    </row>
    <row r="8532" spans="11:11" x14ac:dyDescent="0.25">
      <c r="K8532" s="8" t="e">
        <f t="shared" si="107"/>
        <v>#VALUE!</v>
      </c>
    </row>
    <row r="8533" spans="11:11" x14ac:dyDescent="0.25">
      <c r="K8533" s="8" t="e">
        <f t="shared" si="107"/>
        <v>#VALUE!</v>
      </c>
    </row>
    <row r="8534" spans="11:11" x14ac:dyDescent="0.25">
      <c r="K8534" s="8" t="e">
        <f t="shared" si="107"/>
        <v>#VALUE!</v>
      </c>
    </row>
    <row r="8535" spans="11:11" x14ac:dyDescent="0.25">
      <c r="K8535" s="8" t="e">
        <f t="shared" si="107"/>
        <v>#VALUE!</v>
      </c>
    </row>
    <row r="8536" spans="11:11" x14ac:dyDescent="0.25">
      <c r="K8536" s="8" t="e">
        <f t="shared" si="107"/>
        <v>#VALUE!</v>
      </c>
    </row>
    <row r="8537" spans="11:11" x14ac:dyDescent="0.25">
      <c r="K8537" s="8" t="e">
        <f t="shared" si="107"/>
        <v>#VALUE!</v>
      </c>
    </row>
    <row r="8538" spans="11:11" x14ac:dyDescent="0.25">
      <c r="K8538" s="8" t="e">
        <f t="shared" si="107"/>
        <v>#VALUE!</v>
      </c>
    </row>
    <row r="8539" spans="11:11" x14ac:dyDescent="0.25">
      <c r="K8539" s="8" t="e">
        <f t="shared" si="107"/>
        <v>#VALUE!</v>
      </c>
    </row>
    <row r="8540" spans="11:11" x14ac:dyDescent="0.25">
      <c r="K8540" s="8" t="e">
        <f t="shared" si="107"/>
        <v>#VALUE!</v>
      </c>
    </row>
    <row r="8541" spans="11:11" x14ac:dyDescent="0.25">
      <c r="K8541" s="8" t="e">
        <f t="shared" si="107"/>
        <v>#VALUE!</v>
      </c>
    </row>
    <row r="8542" spans="11:11" x14ac:dyDescent="0.25">
      <c r="K8542" s="8" t="e">
        <f t="shared" si="107"/>
        <v>#VALUE!</v>
      </c>
    </row>
    <row r="8543" spans="11:11" x14ac:dyDescent="0.25">
      <c r="K8543" s="8" t="e">
        <f t="shared" si="107"/>
        <v>#VALUE!</v>
      </c>
    </row>
    <row r="8544" spans="11:11" x14ac:dyDescent="0.25">
      <c r="K8544" s="8" t="e">
        <f t="shared" si="107"/>
        <v>#VALUE!</v>
      </c>
    </row>
    <row r="8545" spans="11:11" x14ac:dyDescent="0.25">
      <c r="K8545" s="8" t="e">
        <f t="shared" si="107"/>
        <v>#VALUE!</v>
      </c>
    </row>
    <row r="8546" spans="11:11" x14ac:dyDescent="0.25">
      <c r="K8546" s="8" t="e">
        <f t="shared" si="107"/>
        <v>#VALUE!</v>
      </c>
    </row>
    <row r="8547" spans="11:11" x14ac:dyDescent="0.25">
      <c r="K8547" s="8" t="e">
        <f t="shared" si="107"/>
        <v>#VALUE!</v>
      </c>
    </row>
    <row r="8548" spans="11:11" x14ac:dyDescent="0.25">
      <c r="K8548" s="8" t="e">
        <f t="shared" si="107"/>
        <v>#VALUE!</v>
      </c>
    </row>
    <row r="8549" spans="11:11" x14ac:dyDescent="0.25">
      <c r="K8549" s="8" t="e">
        <f t="shared" si="107"/>
        <v>#VALUE!</v>
      </c>
    </row>
    <row r="8550" spans="11:11" x14ac:dyDescent="0.25">
      <c r="K8550" s="8" t="e">
        <f t="shared" si="107"/>
        <v>#VALUE!</v>
      </c>
    </row>
    <row r="8551" spans="11:11" x14ac:dyDescent="0.25">
      <c r="K8551" s="8" t="e">
        <f t="shared" si="107"/>
        <v>#VALUE!</v>
      </c>
    </row>
    <row r="8552" spans="11:11" x14ac:dyDescent="0.25">
      <c r="K8552" s="8" t="e">
        <f t="shared" si="107"/>
        <v>#VALUE!</v>
      </c>
    </row>
    <row r="8553" spans="11:11" x14ac:dyDescent="0.25">
      <c r="K8553" s="8" t="e">
        <f t="shared" si="107"/>
        <v>#VALUE!</v>
      </c>
    </row>
    <row r="8554" spans="11:11" x14ac:dyDescent="0.25">
      <c r="K8554" s="8" t="e">
        <f t="shared" si="107"/>
        <v>#VALUE!</v>
      </c>
    </row>
    <row r="8555" spans="11:11" x14ac:dyDescent="0.25">
      <c r="K8555" s="8" t="e">
        <f t="shared" si="107"/>
        <v>#VALUE!</v>
      </c>
    </row>
    <row r="8556" spans="11:11" x14ac:dyDescent="0.25">
      <c r="K8556" s="8" t="e">
        <f t="shared" si="107"/>
        <v>#VALUE!</v>
      </c>
    </row>
    <row r="8557" spans="11:11" x14ac:dyDescent="0.25">
      <c r="K8557" s="8" t="e">
        <f t="shared" si="107"/>
        <v>#VALUE!</v>
      </c>
    </row>
    <row r="8558" spans="11:11" x14ac:dyDescent="0.25">
      <c r="K8558" s="8" t="e">
        <f t="shared" si="107"/>
        <v>#VALUE!</v>
      </c>
    </row>
    <row r="8559" spans="11:11" x14ac:dyDescent="0.25">
      <c r="K8559" s="8" t="e">
        <f t="shared" si="107"/>
        <v>#VALUE!</v>
      </c>
    </row>
    <row r="8560" spans="11:11" x14ac:dyDescent="0.25">
      <c r="K8560" s="8" t="e">
        <f t="shared" si="107"/>
        <v>#VALUE!</v>
      </c>
    </row>
    <row r="8561" spans="11:11" x14ac:dyDescent="0.25">
      <c r="K8561" s="8" t="e">
        <f t="shared" si="107"/>
        <v>#VALUE!</v>
      </c>
    </row>
    <row r="8562" spans="11:11" x14ac:dyDescent="0.25">
      <c r="K8562" s="8" t="e">
        <f t="shared" si="107"/>
        <v>#VALUE!</v>
      </c>
    </row>
    <row r="8563" spans="11:11" x14ac:dyDescent="0.25">
      <c r="K8563" s="8" t="e">
        <f t="shared" si="107"/>
        <v>#VALUE!</v>
      </c>
    </row>
    <row r="8564" spans="11:11" x14ac:dyDescent="0.25">
      <c r="K8564" s="8" t="e">
        <f t="shared" si="107"/>
        <v>#VALUE!</v>
      </c>
    </row>
    <row r="8565" spans="11:11" x14ac:dyDescent="0.25">
      <c r="K8565" s="8" t="e">
        <f t="shared" si="107"/>
        <v>#VALUE!</v>
      </c>
    </row>
    <row r="8566" spans="11:11" x14ac:dyDescent="0.25">
      <c r="K8566" s="8" t="e">
        <f t="shared" si="107"/>
        <v>#VALUE!</v>
      </c>
    </row>
    <row r="8567" spans="11:11" x14ac:dyDescent="0.25">
      <c r="K8567" s="8" t="e">
        <f t="shared" si="107"/>
        <v>#VALUE!</v>
      </c>
    </row>
    <row r="8568" spans="11:11" x14ac:dyDescent="0.25">
      <c r="K8568" s="8" t="e">
        <f t="shared" si="107"/>
        <v>#VALUE!</v>
      </c>
    </row>
    <row r="8569" spans="11:11" x14ac:dyDescent="0.25">
      <c r="K8569" s="8" t="e">
        <f t="shared" si="107"/>
        <v>#VALUE!</v>
      </c>
    </row>
    <row r="8570" spans="11:11" x14ac:dyDescent="0.25">
      <c r="K8570" s="8" t="e">
        <f t="shared" si="107"/>
        <v>#VALUE!</v>
      </c>
    </row>
    <row r="8571" spans="11:11" x14ac:dyDescent="0.25">
      <c r="K8571" s="8" t="e">
        <f t="shared" si="107"/>
        <v>#VALUE!</v>
      </c>
    </row>
    <row r="8572" spans="11:11" x14ac:dyDescent="0.25">
      <c r="K8572" s="8" t="e">
        <f t="shared" si="107"/>
        <v>#VALUE!</v>
      </c>
    </row>
    <row r="8573" spans="11:11" x14ac:dyDescent="0.25">
      <c r="K8573" s="8" t="e">
        <f t="shared" si="107"/>
        <v>#VALUE!</v>
      </c>
    </row>
    <row r="8574" spans="11:11" x14ac:dyDescent="0.25">
      <c r="K8574" s="8" t="e">
        <f t="shared" si="107"/>
        <v>#VALUE!</v>
      </c>
    </row>
    <row r="8575" spans="11:11" x14ac:dyDescent="0.25">
      <c r="K8575" s="8" t="e">
        <f t="shared" si="107"/>
        <v>#VALUE!</v>
      </c>
    </row>
    <row r="8576" spans="11:11" x14ac:dyDescent="0.25">
      <c r="K8576" s="8" t="e">
        <f t="shared" si="107"/>
        <v>#VALUE!</v>
      </c>
    </row>
    <row r="8577" spans="11:11" x14ac:dyDescent="0.25">
      <c r="K8577" s="8" t="e">
        <f t="shared" si="107"/>
        <v>#VALUE!</v>
      </c>
    </row>
    <row r="8578" spans="11:11" x14ac:dyDescent="0.25">
      <c r="K8578" s="8" t="e">
        <f t="shared" si="107"/>
        <v>#VALUE!</v>
      </c>
    </row>
    <row r="8579" spans="11:11" x14ac:dyDescent="0.25">
      <c r="K8579" s="8" t="e">
        <f t="shared" ref="K8579:K8642" si="108">LEFT(A8579,FIND("/",A8579)-1)</f>
        <v>#VALUE!</v>
      </c>
    </row>
    <row r="8580" spans="11:11" x14ac:dyDescent="0.25">
      <c r="K8580" s="8" t="e">
        <f t="shared" si="108"/>
        <v>#VALUE!</v>
      </c>
    </row>
    <row r="8581" spans="11:11" x14ac:dyDescent="0.25">
      <c r="K8581" s="8" t="e">
        <f t="shared" si="108"/>
        <v>#VALUE!</v>
      </c>
    </row>
    <row r="8582" spans="11:11" x14ac:dyDescent="0.25">
      <c r="K8582" s="8" t="e">
        <f t="shared" si="108"/>
        <v>#VALUE!</v>
      </c>
    </row>
    <row r="8583" spans="11:11" x14ac:dyDescent="0.25">
      <c r="K8583" s="8" t="e">
        <f t="shared" si="108"/>
        <v>#VALUE!</v>
      </c>
    </row>
    <row r="8584" spans="11:11" x14ac:dyDescent="0.25">
      <c r="K8584" s="8" t="e">
        <f t="shared" si="108"/>
        <v>#VALUE!</v>
      </c>
    </row>
    <row r="8585" spans="11:11" x14ac:dyDescent="0.25">
      <c r="K8585" s="8" t="e">
        <f t="shared" si="108"/>
        <v>#VALUE!</v>
      </c>
    </row>
    <row r="8586" spans="11:11" x14ac:dyDescent="0.25">
      <c r="K8586" s="8" t="e">
        <f t="shared" si="108"/>
        <v>#VALUE!</v>
      </c>
    </row>
    <row r="8587" spans="11:11" x14ac:dyDescent="0.25">
      <c r="K8587" s="8" t="e">
        <f t="shared" si="108"/>
        <v>#VALUE!</v>
      </c>
    </row>
    <row r="8588" spans="11:11" x14ac:dyDescent="0.25">
      <c r="K8588" s="8" t="e">
        <f t="shared" si="108"/>
        <v>#VALUE!</v>
      </c>
    </row>
    <row r="8589" spans="11:11" x14ac:dyDescent="0.25">
      <c r="K8589" s="8" t="e">
        <f t="shared" si="108"/>
        <v>#VALUE!</v>
      </c>
    </row>
    <row r="8590" spans="11:11" x14ac:dyDescent="0.25">
      <c r="K8590" s="8" t="e">
        <f t="shared" si="108"/>
        <v>#VALUE!</v>
      </c>
    </row>
    <row r="8591" spans="11:11" x14ac:dyDescent="0.25">
      <c r="K8591" s="8" t="e">
        <f t="shared" si="108"/>
        <v>#VALUE!</v>
      </c>
    </row>
    <row r="8592" spans="11:11" x14ac:dyDescent="0.25">
      <c r="K8592" s="8" t="e">
        <f t="shared" si="108"/>
        <v>#VALUE!</v>
      </c>
    </row>
    <row r="8593" spans="11:11" x14ac:dyDescent="0.25">
      <c r="K8593" s="8" t="e">
        <f t="shared" si="108"/>
        <v>#VALUE!</v>
      </c>
    </row>
    <row r="8594" spans="11:11" x14ac:dyDescent="0.25">
      <c r="K8594" s="8" t="e">
        <f t="shared" si="108"/>
        <v>#VALUE!</v>
      </c>
    </row>
    <row r="8595" spans="11:11" x14ac:dyDescent="0.25">
      <c r="K8595" s="8" t="e">
        <f t="shared" si="108"/>
        <v>#VALUE!</v>
      </c>
    </row>
    <row r="8596" spans="11:11" x14ac:dyDescent="0.25">
      <c r="K8596" s="8" t="e">
        <f t="shared" si="108"/>
        <v>#VALUE!</v>
      </c>
    </row>
    <row r="8597" spans="11:11" x14ac:dyDescent="0.25">
      <c r="K8597" s="8" t="e">
        <f t="shared" si="108"/>
        <v>#VALUE!</v>
      </c>
    </row>
    <row r="8598" spans="11:11" x14ac:dyDescent="0.25">
      <c r="K8598" s="8" t="e">
        <f t="shared" si="108"/>
        <v>#VALUE!</v>
      </c>
    </row>
    <row r="8599" spans="11:11" x14ac:dyDescent="0.25">
      <c r="K8599" s="8" t="e">
        <f t="shared" si="108"/>
        <v>#VALUE!</v>
      </c>
    </row>
    <row r="8600" spans="11:11" x14ac:dyDescent="0.25">
      <c r="K8600" s="8" t="e">
        <f t="shared" si="108"/>
        <v>#VALUE!</v>
      </c>
    </row>
    <row r="8601" spans="11:11" x14ac:dyDescent="0.25">
      <c r="K8601" s="8" t="e">
        <f t="shared" si="108"/>
        <v>#VALUE!</v>
      </c>
    </row>
    <row r="8602" spans="11:11" x14ac:dyDescent="0.25">
      <c r="K8602" s="8" t="e">
        <f t="shared" si="108"/>
        <v>#VALUE!</v>
      </c>
    </row>
    <row r="8603" spans="11:11" x14ac:dyDescent="0.25">
      <c r="K8603" s="8" t="e">
        <f t="shared" si="108"/>
        <v>#VALUE!</v>
      </c>
    </row>
    <row r="8604" spans="11:11" x14ac:dyDescent="0.25">
      <c r="K8604" s="8" t="e">
        <f t="shared" si="108"/>
        <v>#VALUE!</v>
      </c>
    </row>
    <row r="8605" spans="11:11" x14ac:dyDescent="0.25">
      <c r="K8605" s="8" t="e">
        <f t="shared" si="108"/>
        <v>#VALUE!</v>
      </c>
    </row>
    <row r="8606" spans="11:11" x14ac:dyDescent="0.25">
      <c r="K8606" s="8" t="e">
        <f t="shared" si="108"/>
        <v>#VALUE!</v>
      </c>
    </row>
    <row r="8607" spans="11:11" x14ac:dyDescent="0.25">
      <c r="K8607" s="8" t="e">
        <f t="shared" si="108"/>
        <v>#VALUE!</v>
      </c>
    </row>
    <row r="8608" spans="11:11" x14ac:dyDescent="0.25">
      <c r="K8608" s="8" t="e">
        <f t="shared" si="108"/>
        <v>#VALUE!</v>
      </c>
    </row>
    <row r="8609" spans="11:11" x14ac:dyDescent="0.25">
      <c r="K8609" s="8" t="e">
        <f t="shared" si="108"/>
        <v>#VALUE!</v>
      </c>
    </row>
    <row r="8610" spans="11:11" x14ac:dyDescent="0.25">
      <c r="K8610" s="8" t="e">
        <f t="shared" si="108"/>
        <v>#VALUE!</v>
      </c>
    </row>
    <row r="8611" spans="11:11" x14ac:dyDescent="0.25">
      <c r="K8611" s="8" t="e">
        <f t="shared" si="108"/>
        <v>#VALUE!</v>
      </c>
    </row>
    <row r="8612" spans="11:11" x14ac:dyDescent="0.25">
      <c r="K8612" s="8" t="e">
        <f t="shared" si="108"/>
        <v>#VALUE!</v>
      </c>
    </row>
    <row r="8613" spans="11:11" x14ac:dyDescent="0.25">
      <c r="K8613" s="8" t="e">
        <f t="shared" si="108"/>
        <v>#VALUE!</v>
      </c>
    </row>
    <row r="8614" spans="11:11" x14ac:dyDescent="0.25">
      <c r="K8614" s="8" t="e">
        <f t="shared" si="108"/>
        <v>#VALUE!</v>
      </c>
    </row>
    <row r="8615" spans="11:11" x14ac:dyDescent="0.25">
      <c r="K8615" s="8" t="e">
        <f t="shared" si="108"/>
        <v>#VALUE!</v>
      </c>
    </row>
    <row r="8616" spans="11:11" x14ac:dyDescent="0.25">
      <c r="K8616" s="8" t="e">
        <f t="shared" si="108"/>
        <v>#VALUE!</v>
      </c>
    </row>
    <row r="8617" spans="11:11" x14ac:dyDescent="0.25">
      <c r="K8617" s="8" t="e">
        <f t="shared" si="108"/>
        <v>#VALUE!</v>
      </c>
    </row>
    <row r="8618" spans="11:11" x14ac:dyDescent="0.25">
      <c r="K8618" s="8" t="e">
        <f t="shared" si="108"/>
        <v>#VALUE!</v>
      </c>
    </row>
    <row r="8619" spans="11:11" x14ac:dyDescent="0.25">
      <c r="K8619" s="8" t="e">
        <f t="shared" si="108"/>
        <v>#VALUE!</v>
      </c>
    </row>
    <row r="8620" spans="11:11" x14ac:dyDescent="0.25">
      <c r="K8620" s="8" t="e">
        <f t="shared" si="108"/>
        <v>#VALUE!</v>
      </c>
    </row>
    <row r="8621" spans="11:11" x14ac:dyDescent="0.25">
      <c r="K8621" s="8" t="e">
        <f t="shared" si="108"/>
        <v>#VALUE!</v>
      </c>
    </row>
    <row r="8622" spans="11:11" x14ac:dyDescent="0.25">
      <c r="K8622" s="8" t="e">
        <f t="shared" si="108"/>
        <v>#VALUE!</v>
      </c>
    </row>
    <row r="8623" spans="11:11" x14ac:dyDescent="0.25">
      <c r="K8623" s="8" t="e">
        <f t="shared" si="108"/>
        <v>#VALUE!</v>
      </c>
    </row>
    <row r="8624" spans="11:11" x14ac:dyDescent="0.25">
      <c r="K8624" s="8" t="e">
        <f t="shared" si="108"/>
        <v>#VALUE!</v>
      </c>
    </row>
    <row r="8625" spans="11:11" x14ac:dyDescent="0.25">
      <c r="K8625" s="8" t="e">
        <f t="shared" si="108"/>
        <v>#VALUE!</v>
      </c>
    </row>
    <row r="8626" spans="11:11" x14ac:dyDescent="0.25">
      <c r="K8626" s="8" t="e">
        <f t="shared" si="108"/>
        <v>#VALUE!</v>
      </c>
    </row>
    <row r="8627" spans="11:11" x14ac:dyDescent="0.25">
      <c r="K8627" s="8" t="e">
        <f t="shared" si="108"/>
        <v>#VALUE!</v>
      </c>
    </row>
    <row r="8628" spans="11:11" x14ac:dyDescent="0.25">
      <c r="K8628" s="8" t="e">
        <f t="shared" si="108"/>
        <v>#VALUE!</v>
      </c>
    </row>
    <row r="8629" spans="11:11" x14ac:dyDescent="0.25">
      <c r="K8629" s="8" t="e">
        <f t="shared" si="108"/>
        <v>#VALUE!</v>
      </c>
    </row>
    <row r="8630" spans="11:11" x14ac:dyDescent="0.25">
      <c r="K8630" s="8" t="e">
        <f t="shared" si="108"/>
        <v>#VALUE!</v>
      </c>
    </row>
    <row r="8631" spans="11:11" x14ac:dyDescent="0.25">
      <c r="K8631" s="8" t="e">
        <f t="shared" si="108"/>
        <v>#VALUE!</v>
      </c>
    </row>
    <row r="8632" spans="11:11" x14ac:dyDescent="0.25">
      <c r="K8632" s="8" t="e">
        <f t="shared" si="108"/>
        <v>#VALUE!</v>
      </c>
    </row>
    <row r="8633" spans="11:11" x14ac:dyDescent="0.25">
      <c r="K8633" s="8" t="e">
        <f t="shared" si="108"/>
        <v>#VALUE!</v>
      </c>
    </row>
    <row r="8634" spans="11:11" x14ac:dyDescent="0.25">
      <c r="K8634" s="8" t="e">
        <f t="shared" si="108"/>
        <v>#VALUE!</v>
      </c>
    </row>
    <row r="8635" spans="11:11" x14ac:dyDescent="0.25">
      <c r="K8635" s="8" t="e">
        <f t="shared" si="108"/>
        <v>#VALUE!</v>
      </c>
    </row>
    <row r="8636" spans="11:11" x14ac:dyDescent="0.25">
      <c r="K8636" s="8" t="e">
        <f t="shared" si="108"/>
        <v>#VALUE!</v>
      </c>
    </row>
    <row r="8637" spans="11:11" x14ac:dyDescent="0.25">
      <c r="K8637" s="8" t="e">
        <f t="shared" si="108"/>
        <v>#VALUE!</v>
      </c>
    </row>
    <row r="8638" spans="11:11" x14ac:dyDescent="0.25">
      <c r="K8638" s="8" t="e">
        <f t="shared" si="108"/>
        <v>#VALUE!</v>
      </c>
    </row>
    <row r="8639" spans="11:11" x14ac:dyDescent="0.25">
      <c r="K8639" s="8" t="e">
        <f t="shared" si="108"/>
        <v>#VALUE!</v>
      </c>
    </row>
    <row r="8640" spans="11:11" x14ac:dyDescent="0.25">
      <c r="K8640" s="8" t="e">
        <f t="shared" si="108"/>
        <v>#VALUE!</v>
      </c>
    </row>
    <row r="8641" spans="11:11" x14ac:dyDescent="0.25">
      <c r="K8641" s="8" t="e">
        <f t="shared" si="108"/>
        <v>#VALUE!</v>
      </c>
    </row>
    <row r="8642" spans="11:11" x14ac:dyDescent="0.25">
      <c r="K8642" s="8" t="e">
        <f t="shared" si="108"/>
        <v>#VALUE!</v>
      </c>
    </row>
    <row r="8643" spans="11:11" x14ac:dyDescent="0.25">
      <c r="K8643" s="8" t="e">
        <f t="shared" ref="K8643:K8706" si="109">LEFT(A8643,FIND("/",A8643)-1)</f>
        <v>#VALUE!</v>
      </c>
    </row>
    <row r="8644" spans="11:11" x14ac:dyDescent="0.25">
      <c r="K8644" s="8" t="e">
        <f t="shared" si="109"/>
        <v>#VALUE!</v>
      </c>
    </row>
    <row r="8645" spans="11:11" x14ac:dyDescent="0.25">
      <c r="K8645" s="8" t="e">
        <f t="shared" si="109"/>
        <v>#VALUE!</v>
      </c>
    </row>
    <row r="8646" spans="11:11" x14ac:dyDescent="0.25">
      <c r="K8646" s="8" t="e">
        <f t="shared" si="109"/>
        <v>#VALUE!</v>
      </c>
    </row>
    <row r="8647" spans="11:11" x14ac:dyDescent="0.25">
      <c r="K8647" s="8" t="e">
        <f t="shared" si="109"/>
        <v>#VALUE!</v>
      </c>
    </row>
    <row r="8648" spans="11:11" x14ac:dyDescent="0.25">
      <c r="K8648" s="8" t="e">
        <f t="shared" si="109"/>
        <v>#VALUE!</v>
      </c>
    </row>
    <row r="8649" spans="11:11" x14ac:dyDescent="0.25">
      <c r="K8649" s="8" t="e">
        <f t="shared" si="109"/>
        <v>#VALUE!</v>
      </c>
    </row>
    <row r="8650" spans="11:11" x14ac:dyDescent="0.25">
      <c r="K8650" s="8" t="e">
        <f t="shared" si="109"/>
        <v>#VALUE!</v>
      </c>
    </row>
    <row r="8651" spans="11:11" x14ac:dyDescent="0.25">
      <c r="K8651" s="8" t="e">
        <f t="shared" si="109"/>
        <v>#VALUE!</v>
      </c>
    </row>
    <row r="8652" spans="11:11" x14ac:dyDescent="0.25">
      <c r="K8652" s="8" t="e">
        <f t="shared" si="109"/>
        <v>#VALUE!</v>
      </c>
    </row>
    <row r="8653" spans="11:11" x14ac:dyDescent="0.25">
      <c r="K8653" s="8" t="e">
        <f t="shared" si="109"/>
        <v>#VALUE!</v>
      </c>
    </row>
    <row r="8654" spans="11:11" x14ac:dyDescent="0.25">
      <c r="K8654" s="8" t="e">
        <f t="shared" si="109"/>
        <v>#VALUE!</v>
      </c>
    </row>
    <row r="8655" spans="11:11" x14ac:dyDescent="0.25">
      <c r="K8655" s="8" t="e">
        <f t="shared" si="109"/>
        <v>#VALUE!</v>
      </c>
    </row>
    <row r="8656" spans="11:11" x14ac:dyDescent="0.25">
      <c r="K8656" s="8" t="e">
        <f t="shared" si="109"/>
        <v>#VALUE!</v>
      </c>
    </row>
    <row r="8657" spans="11:11" x14ac:dyDescent="0.25">
      <c r="K8657" s="8" t="e">
        <f t="shared" si="109"/>
        <v>#VALUE!</v>
      </c>
    </row>
    <row r="8658" spans="11:11" x14ac:dyDescent="0.25">
      <c r="K8658" s="8" t="e">
        <f t="shared" si="109"/>
        <v>#VALUE!</v>
      </c>
    </row>
    <row r="8659" spans="11:11" x14ac:dyDescent="0.25">
      <c r="K8659" s="8" t="e">
        <f t="shared" si="109"/>
        <v>#VALUE!</v>
      </c>
    </row>
    <row r="8660" spans="11:11" x14ac:dyDescent="0.25">
      <c r="K8660" s="8" t="e">
        <f t="shared" si="109"/>
        <v>#VALUE!</v>
      </c>
    </row>
    <row r="8661" spans="11:11" x14ac:dyDescent="0.25">
      <c r="K8661" s="8" t="e">
        <f t="shared" si="109"/>
        <v>#VALUE!</v>
      </c>
    </row>
    <row r="8662" spans="11:11" x14ac:dyDescent="0.25">
      <c r="K8662" s="8" t="e">
        <f t="shared" si="109"/>
        <v>#VALUE!</v>
      </c>
    </row>
    <row r="8663" spans="11:11" x14ac:dyDescent="0.25">
      <c r="K8663" s="8" t="e">
        <f t="shared" si="109"/>
        <v>#VALUE!</v>
      </c>
    </row>
    <row r="8664" spans="11:11" x14ac:dyDescent="0.25">
      <c r="K8664" s="8" t="e">
        <f t="shared" si="109"/>
        <v>#VALUE!</v>
      </c>
    </row>
    <row r="8665" spans="11:11" x14ac:dyDescent="0.25">
      <c r="K8665" s="8" t="e">
        <f t="shared" si="109"/>
        <v>#VALUE!</v>
      </c>
    </row>
    <row r="8666" spans="11:11" x14ac:dyDescent="0.25">
      <c r="K8666" s="8" t="e">
        <f t="shared" si="109"/>
        <v>#VALUE!</v>
      </c>
    </row>
    <row r="8667" spans="11:11" x14ac:dyDescent="0.25">
      <c r="K8667" s="8" t="e">
        <f t="shared" si="109"/>
        <v>#VALUE!</v>
      </c>
    </row>
    <row r="8668" spans="11:11" x14ac:dyDescent="0.25">
      <c r="K8668" s="8" t="e">
        <f t="shared" si="109"/>
        <v>#VALUE!</v>
      </c>
    </row>
    <row r="8669" spans="11:11" x14ac:dyDescent="0.25">
      <c r="K8669" s="8" t="e">
        <f t="shared" si="109"/>
        <v>#VALUE!</v>
      </c>
    </row>
    <row r="8670" spans="11:11" x14ac:dyDescent="0.25">
      <c r="K8670" s="8" t="e">
        <f t="shared" si="109"/>
        <v>#VALUE!</v>
      </c>
    </row>
    <row r="8671" spans="11:11" x14ac:dyDescent="0.25">
      <c r="K8671" s="8" t="e">
        <f t="shared" si="109"/>
        <v>#VALUE!</v>
      </c>
    </row>
    <row r="8672" spans="11:11" x14ac:dyDescent="0.25">
      <c r="K8672" s="8" t="e">
        <f t="shared" si="109"/>
        <v>#VALUE!</v>
      </c>
    </row>
    <row r="8673" spans="11:11" x14ac:dyDescent="0.25">
      <c r="K8673" s="8" t="e">
        <f t="shared" si="109"/>
        <v>#VALUE!</v>
      </c>
    </row>
    <row r="8674" spans="11:11" x14ac:dyDescent="0.25">
      <c r="K8674" s="8" t="e">
        <f t="shared" si="109"/>
        <v>#VALUE!</v>
      </c>
    </row>
    <row r="8675" spans="11:11" x14ac:dyDescent="0.25">
      <c r="K8675" s="8" t="e">
        <f t="shared" si="109"/>
        <v>#VALUE!</v>
      </c>
    </row>
    <row r="8676" spans="11:11" x14ac:dyDescent="0.25">
      <c r="K8676" s="8" t="e">
        <f t="shared" si="109"/>
        <v>#VALUE!</v>
      </c>
    </row>
    <row r="8677" spans="11:11" x14ac:dyDescent="0.25">
      <c r="K8677" s="8" t="e">
        <f t="shared" si="109"/>
        <v>#VALUE!</v>
      </c>
    </row>
    <row r="8678" spans="11:11" x14ac:dyDescent="0.25">
      <c r="K8678" s="8" t="e">
        <f t="shared" si="109"/>
        <v>#VALUE!</v>
      </c>
    </row>
    <row r="8679" spans="11:11" x14ac:dyDescent="0.25">
      <c r="K8679" s="8" t="e">
        <f t="shared" si="109"/>
        <v>#VALUE!</v>
      </c>
    </row>
    <row r="8680" spans="11:11" x14ac:dyDescent="0.25">
      <c r="K8680" s="8" t="e">
        <f t="shared" si="109"/>
        <v>#VALUE!</v>
      </c>
    </row>
    <row r="8681" spans="11:11" x14ac:dyDescent="0.25">
      <c r="K8681" s="8" t="e">
        <f t="shared" si="109"/>
        <v>#VALUE!</v>
      </c>
    </row>
    <row r="8682" spans="11:11" x14ac:dyDescent="0.25">
      <c r="K8682" s="8" t="e">
        <f t="shared" si="109"/>
        <v>#VALUE!</v>
      </c>
    </row>
    <row r="8683" spans="11:11" x14ac:dyDescent="0.25">
      <c r="K8683" s="8" t="e">
        <f t="shared" si="109"/>
        <v>#VALUE!</v>
      </c>
    </row>
    <row r="8684" spans="11:11" x14ac:dyDescent="0.25">
      <c r="K8684" s="8" t="e">
        <f t="shared" si="109"/>
        <v>#VALUE!</v>
      </c>
    </row>
    <row r="8685" spans="11:11" x14ac:dyDescent="0.25">
      <c r="K8685" s="8" t="e">
        <f t="shared" si="109"/>
        <v>#VALUE!</v>
      </c>
    </row>
    <row r="8686" spans="11:11" x14ac:dyDescent="0.25">
      <c r="K8686" s="8" t="e">
        <f t="shared" si="109"/>
        <v>#VALUE!</v>
      </c>
    </row>
    <row r="8687" spans="11:11" x14ac:dyDescent="0.25">
      <c r="K8687" s="8" t="e">
        <f t="shared" si="109"/>
        <v>#VALUE!</v>
      </c>
    </row>
    <row r="8688" spans="11:11" x14ac:dyDescent="0.25">
      <c r="K8688" s="8" t="e">
        <f t="shared" si="109"/>
        <v>#VALUE!</v>
      </c>
    </row>
    <row r="8689" spans="11:11" x14ac:dyDescent="0.25">
      <c r="K8689" s="8" t="e">
        <f t="shared" si="109"/>
        <v>#VALUE!</v>
      </c>
    </row>
    <row r="8690" spans="11:11" x14ac:dyDescent="0.25">
      <c r="K8690" s="8" t="e">
        <f t="shared" si="109"/>
        <v>#VALUE!</v>
      </c>
    </row>
    <row r="8691" spans="11:11" x14ac:dyDescent="0.25">
      <c r="K8691" s="8" t="e">
        <f t="shared" si="109"/>
        <v>#VALUE!</v>
      </c>
    </row>
    <row r="8692" spans="11:11" x14ac:dyDescent="0.25">
      <c r="K8692" s="8" t="e">
        <f t="shared" si="109"/>
        <v>#VALUE!</v>
      </c>
    </row>
    <row r="8693" spans="11:11" x14ac:dyDescent="0.25">
      <c r="K8693" s="8" t="e">
        <f t="shared" si="109"/>
        <v>#VALUE!</v>
      </c>
    </row>
    <row r="8694" spans="11:11" x14ac:dyDescent="0.25">
      <c r="K8694" s="8" t="e">
        <f t="shared" si="109"/>
        <v>#VALUE!</v>
      </c>
    </row>
    <row r="8695" spans="11:11" x14ac:dyDescent="0.25">
      <c r="K8695" s="8" t="e">
        <f t="shared" si="109"/>
        <v>#VALUE!</v>
      </c>
    </row>
    <row r="8696" spans="11:11" x14ac:dyDescent="0.25">
      <c r="K8696" s="8" t="e">
        <f t="shared" si="109"/>
        <v>#VALUE!</v>
      </c>
    </row>
    <row r="8697" spans="11:11" x14ac:dyDescent="0.25">
      <c r="K8697" s="8" t="e">
        <f t="shared" si="109"/>
        <v>#VALUE!</v>
      </c>
    </row>
    <row r="8698" spans="11:11" x14ac:dyDescent="0.25">
      <c r="K8698" s="8" t="e">
        <f t="shared" si="109"/>
        <v>#VALUE!</v>
      </c>
    </row>
    <row r="8699" spans="11:11" x14ac:dyDescent="0.25">
      <c r="K8699" s="8" t="e">
        <f t="shared" si="109"/>
        <v>#VALUE!</v>
      </c>
    </row>
    <row r="8700" spans="11:11" x14ac:dyDescent="0.25">
      <c r="K8700" s="8" t="e">
        <f t="shared" si="109"/>
        <v>#VALUE!</v>
      </c>
    </row>
    <row r="8701" spans="11:11" x14ac:dyDescent="0.25">
      <c r="K8701" s="8" t="e">
        <f t="shared" si="109"/>
        <v>#VALUE!</v>
      </c>
    </row>
    <row r="8702" spans="11:11" x14ac:dyDescent="0.25">
      <c r="K8702" s="8" t="e">
        <f t="shared" si="109"/>
        <v>#VALUE!</v>
      </c>
    </row>
    <row r="8703" spans="11:11" x14ac:dyDescent="0.25">
      <c r="K8703" s="8" t="e">
        <f t="shared" si="109"/>
        <v>#VALUE!</v>
      </c>
    </row>
    <row r="8704" spans="11:11" x14ac:dyDescent="0.25">
      <c r="K8704" s="8" t="e">
        <f t="shared" si="109"/>
        <v>#VALUE!</v>
      </c>
    </row>
    <row r="8705" spans="11:11" x14ac:dyDescent="0.25">
      <c r="K8705" s="8" t="e">
        <f t="shared" si="109"/>
        <v>#VALUE!</v>
      </c>
    </row>
    <row r="8706" spans="11:11" x14ac:dyDescent="0.25">
      <c r="K8706" s="8" t="e">
        <f t="shared" si="109"/>
        <v>#VALUE!</v>
      </c>
    </row>
    <row r="8707" spans="11:11" x14ac:dyDescent="0.25">
      <c r="K8707" s="8" t="e">
        <f t="shared" ref="K8707:K8770" si="110">LEFT(A8707,FIND("/",A8707)-1)</f>
        <v>#VALUE!</v>
      </c>
    </row>
    <row r="8708" spans="11:11" x14ac:dyDescent="0.25">
      <c r="K8708" s="8" t="e">
        <f t="shared" si="110"/>
        <v>#VALUE!</v>
      </c>
    </row>
    <row r="8709" spans="11:11" x14ac:dyDescent="0.25">
      <c r="K8709" s="8" t="e">
        <f t="shared" si="110"/>
        <v>#VALUE!</v>
      </c>
    </row>
    <row r="8710" spans="11:11" x14ac:dyDescent="0.25">
      <c r="K8710" s="8" t="e">
        <f t="shared" si="110"/>
        <v>#VALUE!</v>
      </c>
    </row>
    <row r="8711" spans="11:11" x14ac:dyDescent="0.25">
      <c r="K8711" s="8" t="e">
        <f t="shared" si="110"/>
        <v>#VALUE!</v>
      </c>
    </row>
    <row r="8712" spans="11:11" x14ac:dyDescent="0.25">
      <c r="K8712" s="8" t="e">
        <f t="shared" si="110"/>
        <v>#VALUE!</v>
      </c>
    </row>
    <row r="8713" spans="11:11" x14ac:dyDescent="0.25">
      <c r="K8713" s="8" t="e">
        <f t="shared" si="110"/>
        <v>#VALUE!</v>
      </c>
    </row>
    <row r="8714" spans="11:11" x14ac:dyDescent="0.25">
      <c r="K8714" s="8" t="e">
        <f t="shared" si="110"/>
        <v>#VALUE!</v>
      </c>
    </row>
    <row r="8715" spans="11:11" x14ac:dyDescent="0.25">
      <c r="K8715" s="8" t="e">
        <f t="shared" si="110"/>
        <v>#VALUE!</v>
      </c>
    </row>
    <row r="8716" spans="11:11" x14ac:dyDescent="0.25">
      <c r="K8716" s="8" t="e">
        <f t="shared" si="110"/>
        <v>#VALUE!</v>
      </c>
    </row>
    <row r="8717" spans="11:11" x14ac:dyDescent="0.25">
      <c r="K8717" s="8" t="e">
        <f t="shared" si="110"/>
        <v>#VALUE!</v>
      </c>
    </row>
    <row r="8718" spans="11:11" x14ac:dyDescent="0.25">
      <c r="K8718" s="8" t="e">
        <f t="shared" si="110"/>
        <v>#VALUE!</v>
      </c>
    </row>
    <row r="8719" spans="11:11" x14ac:dyDescent="0.25">
      <c r="K8719" s="8" t="e">
        <f t="shared" si="110"/>
        <v>#VALUE!</v>
      </c>
    </row>
    <row r="8720" spans="11:11" x14ac:dyDescent="0.25">
      <c r="K8720" s="8" t="e">
        <f t="shared" si="110"/>
        <v>#VALUE!</v>
      </c>
    </row>
    <row r="8721" spans="11:11" x14ac:dyDescent="0.25">
      <c r="K8721" s="8" t="e">
        <f t="shared" si="110"/>
        <v>#VALUE!</v>
      </c>
    </row>
    <row r="8722" spans="11:11" x14ac:dyDescent="0.25">
      <c r="K8722" s="8" t="e">
        <f t="shared" si="110"/>
        <v>#VALUE!</v>
      </c>
    </row>
    <row r="8723" spans="11:11" x14ac:dyDescent="0.25">
      <c r="K8723" s="8" t="e">
        <f t="shared" si="110"/>
        <v>#VALUE!</v>
      </c>
    </row>
    <row r="8724" spans="11:11" x14ac:dyDescent="0.25">
      <c r="K8724" s="8" t="e">
        <f t="shared" si="110"/>
        <v>#VALUE!</v>
      </c>
    </row>
    <row r="8725" spans="11:11" x14ac:dyDescent="0.25">
      <c r="K8725" s="8" t="e">
        <f t="shared" si="110"/>
        <v>#VALUE!</v>
      </c>
    </row>
    <row r="8726" spans="11:11" x14ac:dyDescent="0.25">
      <c r="K8726" s="8" t="e">
        <f t="shared" si="110"/>
        <v>#VALUE!</v>
      </c>
    </row>
    <row r="8727" spans="11:11" x14ac:dyDescent="0.25">
      <c r="K8727" s="8" t="e">
        <f t="shared" si="110"/>
        <v>#VALUE!</v>
      </c>
    </row>
    <row r="8728" spans="11:11" x14ac:dyDescent="0.25">
      <c r="K8728" s="8" t="e">
        <f t="shared" si="110"/>
        <v>#VALUE!</v>
      </c>
    </row>
    <row r="8729" spans="11:11" x14ac:dyDescent="0.25">
      <c r="K8729" s="8" t="e">
        <f t="shared" si="110"/>
        <v>#VALUE!</v>
      </c>
    </row>
    <row r="8730" spans="11:11" x14ac:dyDescent="0.25">
      <c r="K8730" s="8" t="e">
        <f t="shared" si="110"/>
        <v>#VALUE!</v>
      </c>
    </row>
    <row r="8731" spans="11:11" x14ac:dyDescent="0.25">
      <c r="K8731" s="8" t="e">
        <f t="shared" si="110"/>
        <v>#VALUE!</v>
      </c>
    </row>
    <row r="8732" spans="11:11" x14ac:dyDescent="0.25">
      <c r="K8732" s="8" t="e">
        <f t="shared" si="110"/>
        <v>#VALUE!</v>
      </c>
    </row>
    <row r="8733" spans="11:11" x14ac:dyDescent="0.25">
      <c r="K8733" s="8" t="e">
        <f t="shared" si="110"/>
        <v>#VALUE!</v>
      </c>
    </row>
    <row r="8734" spans="11:11" x14ac:dyDescent="0.25">
      <c r="K8734" s="8" t="e">
        <f t="shared" si="110"/>
        <v>#VALUE!</v>
      </c>
    </row>
    <row r="8735" spans="11:11" x14ac:dyDescent="0.25">
      <c r="K8735" s="8" t="e">
        <f t="shared" si="110"/>
        <v>#VALUE!</v>
      </c>
    </row>
    <row r="8736" spans="11:11" x14ac:dyDescent="0.25">
      <c r="K8736" s="8" t="e">
        <f t="shared" si="110"/>
        <v>#VALUE!</v>
      </c>
    </row>
    <row r="8737" spans="11:11" x14ac:dyDescent="0.25">
      <c r="K8737" s="8" t="e">
        <f t="shared" si="110"/>
        <v>#VALUE!</v>
      </c>
    </row>
    <row r="8738" spans="11:11" x14ac:dyDescent="0.25">
      <c r="K8738" s="8" t="e">
        <f t="shared" si="110"/>
        <v>#VALUE!</v>
      </c>
    </row>
    <row r="8739" spans="11:11" x14ac:dyDescent="0.25">
      <c r="K8739" s="8" t="e">
        <f t="shared" si="110"/>
        <v>#VALUE!</v>
      </c>
    </row>
    <row r="8740" spans="11:11" x14ac:dyDescent="0.25">
      <c r="K8740" s="8" t="e">
        <f t="shared" si="110"/>
        <v>#VALUE!</v>
      </c>
    </row>
    <row r="8741" spans="11:11" x14ac:dyDescent="0.25">
      <c r="K8741" s="8" t="e">
        <f t="shared" si="110"/>
        <v>#VALUE!</v>
      </c>
    </row>
    <row r="8742" spans="11:11" x14ac:dyDescent="0.25">
      <c r="K8742" s="8" t="e">
        <f t="shared" si="110"/>
        <v>#VALUE!</v>
      </c>
    </row>
    <row r="8743" spans="11:11" x14ac:dyDescent="0.25">
      <c r="K8743" s="8" t="e">
        <f t="shared" si="110"/>
        <v>#VALUE!</v>
      </c>
    </row>
    <row r="8744" spans="11:11" x14ac:dyDescent="0.25">
      <c r="K8744" s="8" t="e">
        <f t="shared" si="110"/>
        <v>#VALUE!</v>
      </c>
    </row>
    <row r="8745" spans="11:11" x14ac:dyDescent="0.25">
      <c r="K8745" s="8" t="e">
        <f t="shared" si="110"/>
        <v>#VALUE!</v>
      </c>
    </row>
    <row r="8746" spans="11:11" x14ac:dyDescent="0.25">
      <c r="K8746" s="8" t="e">
        <f t="shared" si="110"/>
        <v>#VALUE!</v>
      </c>
    </row>
    <row r="8747" spans="11:11" x14ac:dyDescent="0.25">
      <c r="K8747" s="8" t="e">
        <f t="shared" si="110"/>
        <v>#VALUE!</v>
      </c>
    </row>
    <row r="8748" spans="11:11" x14ac:dyDescent="0.25">
      <c r="K8748" s="8" t="e">
        <f t="shared" si="110"/>
        <v>#VALUE!</v>
      </c>
    </row>
    <row r="8749" spans="11:11" x14ac:dyDescent="0.25">
      <c r="K8749" s="8" t="e">
        <f t="shared" si="110"/>
        <v>#VALUE!</v>
      </c>
    </row>
    <row r="8750" spans="11:11" x14ac:dyDescent="0.25">
      <c r="K8750" s="8" t="e">
        <f t="shared" si="110"/>
        <v>#VALUE!</v>
      </c>
    </row>
    <row r="8751" spans="11:11" x14ac:dyDescent="0.25">
      <c r="K8751" s="8" t="e">
        <f t="shared" si="110"/>
        <v>#VALUE!</v>
      </c>
    </row>
    <row r="8752" spans="11:11" x14ac:dyDescent="0.25">
      <c r="K8752" s="8" t="e">
        <f t="shared" si="110"/>
        <v>#VALUE!</v>
      </c>
    </row>
    <row r="8753" spans="11:11" x14ac:dyDescent="0.25">
      <c r="K8753" s="8" t="e">
        <f t="shared" si="110"/>
        <v>#VALUE!</v>
      </c>
    </row>
    <row r="8754" spans="11:11" x14ac:dyDescent="0.25">
      <c r="K8754" s="8" t="e">
        <f t="shared" si="110"/>
        <v>#VALUE!</v>
      </c>
    </row>
    <row r="8755" spans="11:11" x14ac:dyDescent="0.25">
      <c r="K8755" s="8" t="e">
        <f t="shared" si="110"/>
        <v>#VALUE!</v>
      </c>
    </row>
    <row r="8756" spans="11:11" x14ac:dyDescent="0.25">
      <c r="K8756" s="8" t="e">
        <f t="shared" si="110"/>
        <v>#VALUE!</v>
      </c>
    </row>
    <row r="8757" spans="11:11" x14ac:dyDescent="0.25">
      <c r="K8757" s="8" t="e">
        <f t="shared" si="110"/>
        <v>#VALUE!</v>
      </c>
    </row>
    <row r="8758" spans="11:11" x14ac:dyDescent="0.25">
      <c r="K8758" s="8" t="e">
        <f t="shared" si="110"/>
        <v>#VALUE!</v>
      </c>
    </row>
    <row r="8759" spans="11:11" x14ac:dyDescent="0.25">
      <c r="K8759" s="8" t="e">
        <f t="shared" si="110"/>
        <v>#VALUE!</v>
      </c>
    </row>
    <row r="8760" spans="11:11" x14ac:dyDescent="0.25">
      <c r="K8760" s="8" t="e">
        <f t="shared" si="110"/>
        <v>#VALUE!</v>
      </c>
    </row>
    <row r="8761" spans="11:11" x14ac:dyDescent="0.25">
      <c r="K8761" s="8" t="e">
        <f t="shared" si="110"/>
        <v>#VALUE!</v>
      </c>
    </row>
    <row r="8762" spans="11:11" x14ac:dyDescent="0.25">
      <c r="K8762" s="8" t="e">
        <f t="shared" si="110"/>
        <v>#VALUE!</v>
      </c>
    </row>
    <row r="8763" spans="11:11" x14ac:dyDescent="0.25">
      <c r="K8763" s="8" t="e">
        <f t="shared" si="110"/>
        <v>#VALUE!</v>
      </c>
    </row>
    <row r="8764" spans="11:11" x14ac:dyDescent="0.25">
      <c r="K8764" s="8" t="e">
        <f t="shared" si="110"/>
        <v>#VALUE!</v>
      </c>
    </row>
    <row r="8765" spans="11:11" x14ac:dyDescent="0.25">
      <c r="K8765" s="8" t="e">
        <f t="shared" si="110"/>
        <v>#VALUE!</v>
      </c>
    </row>
    <row r="8766" spans="11:11" x14ac:dyDescent="0.25">
      <c r="K8766" s="8" t="e">
        <f t="shared" si="110"/>
        <v>#VALUE!</v>
      </c>
    </row>
    <row r="8767" spans="11:11" x14ac:dyDescent="0.25">
      <c r="K8767" s="8" t="e">
        <f t="shared" si="110"/>
        <v>#VALUE!</v>
      </c>
    </row>
    <row r="8768" spans="11:11" x14ac:dyDescent="0.25">
      <c r="K8768" s="8" t="e">
        <f t="shared" si="110"/>
        <v>#VALUE!</v>
      </c>
    </row>
    <row r="8769" spans="11:11" x14ac:dyDescent="0.25">
      <c r="K8769" s="8" t="e">
        <f t="shared" si="110"/>
        <v>#VALUE!</v>
      </c>
    </row>
    <row r="8770" spans="11:11" x14ac:dyDescent="0.25">
      <c r="K8770" s="8" t="e">
        <f t="shared" si="110"/>
        <v>#VALUE!</v>
      </c>
    </row>
    <row r="8771" spans="11:11" x14ac:dyDescent="0.25">
      <c r="K8771" s="8" t="e">
        <f t="shared" ref="K8771:K8834" si="111">LEFT(A8771,FIND("/",A8771)-1)</f>
        <v>#VALUE!</v>
      </c>
    </row>
    <row r="8772" spans="11:11" x14ac:dyDescent="0.25">
      <c r="K8772" s="8" t="e">
        <f t="shared" si="111"/>
        <v>#VALUE!</v>
      </c>
    </row>
    <row r="8773" spans="11:11" x14ac:dyDescent="0.25">
      <c r="K8773" s="8" t="e">
        <f t="shared" si="111"/>
        <v>#VALUE!</v>
      </c>
    </row>
    <row r="8774" spans="11:11" x14ac:dyDescent="0.25">
      <c r="K8774" s="8" t="e">
        <f t="shared" si="111"/>
        <v>#VALUE!</v>
      </c>
    </row>
    <row r="8775" spans="11:11" x14ac:dyDescent="0.25">
      <c r="K8775" s="8" t="e">
        <f t="shared" si="111"/>
        <v>#VALUE!</v>
      </c>
    </row>
    <row r="8776" spans="11:11" x14ac:dyDescent="0.25">
      <c r="K8776" s="8" t="e">
        <f t="shared" si="111"/>
        <v>#VALUE!</v>
      </c>
    </row>
    <row r="8777" spans="11:11" x14ac:dyDescent="0.25">
      <c r="K8777" s="8" t="e">
        <f t="shared" si="111"/>
        <v>#VALUE!</v>
      </c>
    </row>
    <row r="8778" spans="11:11" x14ac:dyDescent="0.25">
      <c r="K8778" s="8" t="e">
        <f t="shared" si="111"/>
        <v>#VALUE!</v>
      </c>
    </row>
    <row r="8779" spans="11:11" x14ac:dyDescent="0.25">
      <c r="K8779" s="8" t="e">
        <f t="shared" si="111"/>
        <v>#VALUE!</v>
      </c>
    </row>
    <row r="8780" spans="11:11" x14ac:dyDescent="0.25">
      <c r="K8780" s="8" t="e">
        <f t="shared" si="111"/>
        <v>#VALUE!</v>
      </c>
    </row>
    <row r="8781" spans="11:11" x14ac:dyDescent="0.25">
      <c r="K8781" s="8" t="e">
        <f t="shared" si="111"/>
        <v>#VALUE!</v>
      </c>
    </row>
    <row r="8782" spans="11:11" x14ac:dyDescent="0.25">
      <c r="K8782" s="8" t="e">
        <f t="shared" si="111"/>
        <v>#VALUE!</v>
      </c>
    </row>
    <row r="8783" spans="11:11" x14ac:dyDescent="0.25">
      <c r="K8783" s="8" t="e">
        <f t="shared" si="111"/>
        <v>#VALUE!</v>
      </c>
    </row>
    <row r="8784" spans="11:11" x14ac:dyDescent="0.25">
      <c r="K8784" s="8" t="e">
        <f t="shared" si="111"/>
        <v>#VALUE!</v>
      </c>
    </row>
    <row r="8785" spans="11:11" x14ac:dyDescent="0.25">
      <c r="K8785" s="8" t="e">
        <f t="shared" si="111"/>
        <v>#VALUE!</v>
      </c>
    </row>
    <row r="8786" spans="11:11" x14ac:dyDescent="0.25">
      <c r="K8786" s="8" t="e">
        <f t="shared" si="111"/>
        <v>#VALUE!</v>
      </c>
    </row>
    <row r="8787" spans="11:11" x14ac:dyDescent="0.25">
      <c r="K8787" s="8" t="e">
        <f t="shared" si="111"/>
        <v>#VALUE!</v>
      </c>
    </row>
    <row r="8788" spans="11:11" x14ac:dyDescent="0.25">
      <c r="K8788" s="8" t="e">
        <f t="shared" si="111"/>
        <v>#VALUE!</v>
      </c>
    </row>
    <row r="8789" spans="11:11" x14ac:dyDescent="0.25">
      <c r="K8789" s="8" t="e">
        <f t="shared" si="111"/>
        <v>#VALUE!</v>
      </c>
    </row>
    <row r="8790" spans="11:11" x14ac:dyDescent="0.25">
      <c r="K8790" s="8" t="e">
        <f t="shared" si="111"/>
        <v>#VALUE!</v>
      </c>
    </row>
    <row r="8791" spans="11:11" x14ac:dyDescent="0.25">
      <c r="K8791" s="8" t="e">
        <f t="shared" si="111"/>
        <v>#VALUE!</v>
      </c>
    </row>
    <row r="8792" spans="11:11" x14ac:dyDescent="0.25">
      <c r="K8792" s="8" t="e">
        <f t="shared" si="111"/>
        <v>#VALUE!</v>
      </c>
    </row>
    <row r="8793" spans="11:11" x14ac:dyDescent="0.25">
      <c r="K8793" s="8" t="e">
        <f t="shared" si="111"/>
        <v>#VALUE!</v>
      </c>
    </row>
    <row r="8794" spans="11:11" x14ac:dyDescent="0.25">
      <c r="K8794" s="8" t="e">
        <f t="shared" si="111"/>
        <v>#VALUE!</v>
      </c>
    </row>
    <row r="8795" spans="11:11" x14ac:dyDescent="0.25">
      <c r="K8795" s="8" t="e">
        <f t="shared" si="111"/>
        <v>#VALUE!</v>
      </c>
    </row>
    <row r="8796" spans="11:11" x14ac:dyDescent="0.25">
      <c r="K8796" s="8" t="e">
        <f t="shared" si="111"/>
        <v>#VALUE!</v>
      </c>
    </row>
    <row r="8797" spans="11:11" x14ac:dyDescent="0.25">
      <c r="K8797" s="8" t="e">
        <f t="shared" si="111"/>
        <v>#VALUE!</v>
      </c>
    </row>
    <row r="8798" spans="11:11" x14ac:dyDescent="0.25">
      <c r="K8798" s="8" t="e">
        <f t="shared" si="111"/>
        <v>#VALUE!</v>
      </c>
    </row>
    <row r="8799" spans="11:11" x14ac:dyDescent="0.25">
      <c r="K8799" s="8" t="e">
        <f t="shared" si="111"/>
        <v>#VALUE!</v>
      </c>
    </row>
    <row r="8800" spans="11:11" x14ac:dyDescent="0.25">
      <c r="K8800" s="8" t="e">
        <f t="shared" si="111"/>
        <v>#VALUE!</v>
      </c>
    </row>
    <row r="8801" spans="11:11" x14ac:dyDescent="0.25">
      <c r="K8801" s="8" t="e">
        <f t="shared" si="111"/>
        <v>#VALUE!</v>
      </c>
    </row>
    <row r="8802" spans="11:11" x14ac:dyDescent="0.25">
      <c r="K8802" s="8" t="e">
        <f t="shared" si="111"/>
        <v>#VALUE!</v>
      </c>
    </row>
    <row r="8803" spans="11:11" x14ac:dyDescent="0.25">
      <c r="K8803" s="8" t="e">
        <f t="shared" si="111"/>
        <v>#VALUE!</v>
      </c>
    </row>
    <row r="8804" spans="11:11" x14ac:dyDescent="0.25">
      <c r="K8804" s="8" t="e">
        <f t="shared" si="111"/>
        <v>#VALUE!</v>
      </c>
    </row>
    <row r="8805" spans="11:11" x14ac:dyDescent="0.25">
      <c r="K8805" s="8" t="e">
        <f t="shared" si="111"/>
        <v>#VALUE!</v>
      </c>
    </row>
    <row r="8806" spans="11:11" x14ac:dyDescent="0.25">
      <c r="K8806" s="8" t="e">
        <f t="shared" si="111"/>
        <v>#VALUE!</v>
      </c>
    </row>
    <row r="8807" spans="11:11" x14ac:dyDescent="0.25">
      <c r="K8807" s="8" t="e">
        <f t="shared" si="111"/>
        <v>#VALUE!</v>
      </c>
    </row>
    <row r="8808" spans="11:11" x14ac:dyDescent="0.25">
      <c r="K8808" s="8" t="e">
        <f t="shared" si="111"/>
        <v>#VALUE!</v>
      </c>
    </row>
    <row r="8809" spans="11:11" x14ac:dyDescent="0.25">
      <c r="K8809" s="8" t="e">
        <f t="shared" si="111"/>
        <v>#VALUE!</v>
      </c>
    </row>
    <row r="8810" spans="11:11" x14ac:dyDescent="0.25">
      <c r="K8810" s="8" t="e">
        <f t="shared" si="111"/>
        <v>#VALUE!</v>
      </c>
    </row>
    <row r="8811" spans="11:11" x14ac:dyDescent="0.25">
      <c r="K8811" s="8" t="e">
        <f t="shared" si="111"/>
        <v>#VALUE!</v>
      </c>
    </row>
    <row r="8812" spans="11:11" x14ac:dyDescent="0.25">
      <c r="K8812" s="8" t="e">
        <f t="shared" si="111"/>
        <v>#VALUE!</v>
      </c>
    </row>
    <row r="8813" spans="11:11" x14ac:dyDescent="0.25">
      <c r="K8813" s="8" t="e">
        <f t="shared" si="111"/>
        <v>#VALUE!</v>
      </c>
    </row>
    <row r="8814" spans="11:11" x14ac:dyDescent="0.25">
      <c r="K8814" s="8" t="e">
        <f t="shared" si="111"/>
        <v>#VALUE!</v>
      </c>
    </row>
    <row r="8815" spans="11:11" x14ac:dyDescent="0.25">
      <c r="K8815" s="8" t="e">
        <f t="shared" si="111"/>
        <v>#VALUE!</v>
      </c>
    </row>
    <row r="8816" spans="11:11" x14ac:dyDescent="0.25">
      <c r="K8816" s="8" t="e">
        <f t="shared" si="111"/>
        <v>#VALUE!</v>
      </c>
    </row>
    <row r="8817" spans="11:11" x14ac:dyDescent="0.25">
      <c r="K8817" s="8" t="e">
        <f t="shared" si="111"/>
        <v>#VALUE!</v>
      </c>
    </row>
    <row r="8818" spans="11:11" x14ac:dyDescent="0.25">
      <c r="K8818" s="8" t="e">
        <f t="shared" si="111"/>
        <v>#VALUE!</v>
      </c>
    </row>
    <row r="8819" spans="11:11" x14ac:dyDescent="0.25">
      <c r="K8819" s="8" t="e">
        <f t="shared" si="111"/>
        <v>#VALUE!</v>
      </c>
    </row>
    <row r="8820" spans="11:11" x14ac:dyDescent="0.25">
      <c r="K8820" s="8" t="e">
        <f t="shared" si="111"/>
        <v>#VALUE!</v>
      </c>
    </row>
    <row r="8821" spans="11:11" x14ac:dyDescent="0.25">
      <c r="K8821" s="8" t="e">
        <f t="shared" si="111"/>
        <v>#VALUE!</v>
      </c>
    </row>
    <row r="8822" spans="11:11" x14ac:dyDescent="0.25">
      <c r="K8822" s="8" t="e">
        <f t="shared" si="111"/>
        <v>#VALUE!</v>
      </c>
    </row>
    <row r="8823" spans="11:11" x14ac:dyDescent="0.25">
      <c r="K8823" s="8" t="e">
        <f t="shared" si="111"/>
        <v>#VALUE!</v>
      </c>
    </row>
    <row r="8824" spans="11:11" x14ac:dyDescent="0.25">
      <c r="K8824" s="8" t="e">
        <f t="shared" si="111"/>
        <v>#VALUE!</v>
      </c>
    </row>
    <row r="8825" spans="11:11" x14ac:dyDescent="0.25">
      <c r="K8825" s="8" t="e">
        <f t="shared" si="111"/>
        <v>#VALUE!</v>
      </c>
    </row>
    <row r="8826" spans="11:11" x14ac:dyDescent="0.25">
      <c r="K8826" s="8" t="e">
        <f t="shared" si="111"/>
        <v>#VALUE!</v>
      </c>
    </row>
    <row r="8827" spans="11:11" x14ac:dyDescent="0.25">
      <c r="K8827" s="8" t="e">
        <f t="shared" si="111"/>
        <v>#VALUE!</v>
      </c>
    </row>
    <row r="8828" spans="11:11" x14ac:dyDescent="0.25">
      <c r="K8828" s="8" t="e">
        <f t="shared" si="111"/>
        <v>#VALUE!</v>
      </c>
    </row>
    <row r="8829" spans="11:11" x14ac:dyDescent="0.25">
      <c r="K8829" s="8" t="e">
        <f t="shared" si="111"/>
        <v>#VALUE!</v>
      </c>
    </row>
    <row r="8830" spans="11:11" x14ac:dyDescent="0.25">
      <c r="K8830" s="8" t="e">
        <f t="shared" si="111"/>
        <v>#VALUE!</v>
      </c>
    </row>
    <row r="8831" spans="11:11" x14ac:dyDescent="0.25">
      <c r="K8831" s="8" t="e">
        <f t="shared" si="111"/>
        <v>#VALUE!</v>
      </c>
    </row>
    <row r="8832" spans="11:11" x14ac:dyDescent="0.25">
      <c r="K8832" s="8" t="e">
        <f t="shared" si="111"/>
        <v>#VALUE!</v>
      </c>
    </row>
    <row r="8833" spans="11:11" x14ac:dyDescent="0.25">
      <c r="K8833" s="8" t="e">
        <f t="shared" si="111"/>
        <v>#VALUE!</v>
      </c>
    </row>
    <row r="8834" spans="11:11" x14ac:dyDescent="0.25">
      <c r="K8834" s="8" t="e">
        <f t="shared" si="111"/>
        <v>#VALUE!</v>
      </c>
    </row>
    <row r="8835" spans="11:11" x14ac:dyDescent="0.25">
      <c r="K8835" s="8" t="e">
        <f t="shared" ref="K8835:K8898" si="112">LEFT(A8835,FIND("/",A8835)-1)</f>
        <v>#VALUE!</v>
      </c>
    </row>
    <row r="8836" spans="11:11" x14ac:dyDescent="0.25">
      <c r="K8836" s="8" t="e">
        <f t="shared" si="112"/>
        <v>#VALUE!</v>
      </c>
    </row>
    <row r="8837" spans="11:11" x14ac:dyDescent="0.25">
      <c r="K8837" s="8" t="e">
        <f t="shared" si="112"/>
        <v>#VALUE!</v>
      </c>
    </row>
    <row r="8838" spans="11:11" x14ac:dyDescent="0.25">
      <c r="K8838" s="8" t="e">
        <f t="shared" si="112"/>
        <v>#VALUE!</v>
      </c>
    </row>
    <row r="8839" spans="11:11" x14ac:dyDescent="0.25">
      <c r="K8839" s="8" t="e">
        <f t="shared" si="112"/>
        <v>#VALUE!</v>
      </c>
    </row>
    <row r="8840" spans="11:11" x14ac:dyDescent="0.25">
      <c r="K8840" s="8" t="e">
        <f t="shared" si="112"/>
        <v>#VALUE!</v>
      </c>
    </row>
    <row r="8841" spans="11:11" x14ac:dyDescent="0.25">
      <c r="K8841" s="8" t="e">
        <f t="shared" si="112"/>
        <v>#VALUE!</v>
      </c>
    </row>
    <row r="8842" spans="11:11" x14ac:dyDescent="0.25">
      <c r="K8842" s="8" t="e">
        <f t="shared" si="112"/>
        <v>#VALUE!</v>
      </c>
    </row>
    <row r="8843" spans="11:11" x14ac:dyDescent="0.25">
      <c r="K8843" s="8" t="e">
        <f t="shared" si="112"/>
        <v>#VALUE!</v>
      </c>
    </row>
    <row r="8844" spans="11:11" x14ac:dyDescent="0.25">
      <c r="K8844" s="8" t="e">
        <f t="shared" si="112"/>
        <v>#VALUE!</v>
      </c>
    </row>
    <row r="8845" spans="11:11" x14ac:dyDescent="0.25">
      <c r="K8845" s="8" t="e">
        <f t="shared" si="112"/>
        <v>#VALUE!</v>
      </c>
    </row>
    <row r="8846" spans="11:11" x14ac:dyDescent="0.25">
      <c r="K8846" s="8" t="e">
        <f t="shared" si="112"/>
        <v>#VALUE!</v>
      </c>
    </row>
    <row r="8847" spans="11:11" x14ac:dyDescent="0.25">
      <c r="K8847" s="8" t="e">
        <f t="shared" si="112"/>
        <v>#VALUE!</v>
      </c>
    </row>
    <row r="8848" spans="11:11" x14ac:dyDescent="0.25">
      <c r="K8848" s="8" t="e">
        <f t="shared" si="112"/>
        <v>#VALUE!</v>
      </c>
    </row>
    <row r="8849" spans="11:11" x14ac:dyDescent="0.25">
      <c r="K8849" s="8" t="e">
        <f t="shared" si="112"/>
        <v>#VALUE!</v>
      </c>
    </row>
    <row r="8850" spans="11:11" x14ac:dyDescent="0.25">
      <c r="K8850" s="8" t="e">
        <f t="shared" si="112"/>
        <v>#VALUE!</v>
      </c>
    </row>
    <row r="8851" spans="11:11" x14ac:dyDescent="0.25">
      <c r="K8851" s="8" t="e">
        <f t="shared" si="112"/>
        <v>#VALUE!</v>
      </c>
    </row>
    <row r="8852" spans="11:11" x14ac:dyDescent="0.25">
      <c r="K8852" s="8" t="e">
        <f t="shared" si="112"/>
        <v>#VALUE!</v>
      </c>
    </row>
    <row r="8853" spans="11:11" x14ac:dyDescent="0.25">
      <c r="K8853" s="8" t="e">
        <f t="shared" si="112"/>
        <v>#VALUE!</v>
      </c>
    </row>
    <row r="8854" spans="11:11" x14ac:dyDescent="0.25">
      <c r="K8854" s="8" t="e">
        <f t="shared" si="112"/>
        <v>#VALUE!</v>
      </c>
    </row>
    <row r="8855" spans="11:11" x14ac:dyDescent="0.25">
      <c r="K8855" s="8" t="e">
        <f t="shared" si="112"/>
        <v>#VALUE!</v>
      </c>
    </row>
    <row r="8856" spans="11:11" x14ac:dyDescent="0.25">
      <c r="K8856" s="8" t="e">
        <f t="shared" si="112"/>
        <v>#VALUE!</v>
      </c>
    </row>
    <row r="8857" spans="11:11" x14ac:dyDescent="0.25">
      <c r="K8857" s="8" t="e">
        <f t="shared" si="112"/>
        <v>#VALUE!</v>
      </c>
    </row>
    <row r="8858" spans="11:11" x14ac:dyDescent="0.25">
      <c r="K8858" s="8" t="e">
        <f t="shared" si="112"/>
        <v>#VALUE!</v>
      </c>
    </row>
    <row r="8859" spans="11:11" x14ac:dyDescent="0.25">
      <c r="K8859" s="8" t="e">
        <f t="shared" si="112"/>
        <v>#VALUE!</v>
      </c>
    </row>
    <row r="8860" spans="11:11" x14ac:dyDescent="0.25">
      <c r="K8860" s="8" t="e">
        <f t="shared" si="112"/>
        <v>#VALUE!</v>
      </c>
    </row>
    <row r="8861" spans="11:11" x14ac:dyDescent="0.25">
      <c r="K8861" s="8" t="e">
        <f t="shared" si="112"/>
        <v>#VALUE!</v>
      </c>
    </row>
    <row r="8862" spans="11:11" x14ac:dyDescent="0.25">
      <c r="K8862" s="8" t="e">
        <f t="shared" si="112"/>
        <v>#VALUE!</v>
      </c>
    </row>
    <row r="8863" spans="11:11" x14ac:dyDescent="0.25">
      <c r="K8863" s="8" t="e">
        <f t="shared" si="112"/>
        <v>#VALUE!</v>
      </c>
    </row>
    <row r="8864" spans="11:11" x14ac:dyDescent="0.25">
      <c r="K8864" s="8" t="e">
        <f t="shared" si="112"/>
        <v>#VALUE!</v>
      </c>
    </row>
    <row r="8865" spans="11:11" x14ac:dyDescent="0.25">
      <c r="K8865" s="8" t="e">
        <f t="shared" si="112"/>
        <v>#VALUE!</v>
      </c>
    </row>
    <row r="8866" spans="11:11" x14ac:dyDescent="0.25">
      <c r="K8866" s="8" t="e">
        <f t="shared" si="112"/>
        <v>#VALUE!</v>
      </c>
    </row>
    <row r="8867" spans="11:11" x14ac:dyDescent="0.25">
      <c r="K8867" s="8" t="e">
        <f t="shared" si="112"/>
        <v>#VALUE!</v>
      </c>
    </row>
    <row r="8868" spans="11:11" x14ac:dyDescent="0.25">
      <c r="K8868" s="8" t="e">
        <f t="shared" si="112"/>
        <v>#VALUE!</v>
      </c>
    </row>
    <row r="8869" spans="11:11" x14ac:dyDescent="0.25">
      <c r="K8869" s="8" t="e">
        <f t="shared" si="112"/>
        <v>#VALUE!</v>
      </c>
    </row>
    <row r="8870" spans="11:11" x14ac:dyDescent="0.25">
      <c r="K8870" s="8" t="e">
        <f t="shared" si="112"/>
        <v>#VALUE!</v>
      </c>
    </row>
    <row r="8871" spans="11:11" x14ac:dyDescent="0.25">
      <c r="K8871" s="8" t="e">
        <f t="shared" si="112"/>
        <v>#VALUE!</v>
      </c>
    </row>
    <row r="8872" spans="11:11" x14ac:dyDescent="0.25">
      <c r="K8872" s="8" t="e">
        <f t="shared" si="112"/>
        <v>#VALUE!</v>
      </c>
    </row>
    <row r="8873" spans="11:11" x14ac:dyDescent="0.25">
      <c r="K8873" s="8" t="e">
        <f t="shared" si="112"/>
        <v>#VALUE!</v>
      </c>
    </row>
    <row r="8874" spans="11:11" x14ac:dyDescent="0.25">
      <c r="K8874" s="8" t="e">
        <f t="shared" si="112"/>
        <v>#VALUE!</v>
      </c>
    </row>
    <row r="8875" spans="11:11" x14ac:dyDescent="0.25">
      <c r="K8875" s="8" t="e">
        <f t="shared" si="112"/>
        <v>#VALUE!</v>
      </c>
    </row>
    <row r="8876" spans="11:11" x14ac:dyDescent="0.25">
      <c r="K8876" s="8" t="e">
        <f t="shared" si="112"/>
        <v>#VALUE!</v>
      </c>
    </row>
    <row r="8877" spans="11:11" x14ac:dyDescent="0.25">
      <c r="K8877" s="8" t="e">
        <f t="shared" si="112"/>
        <v>#VALUE!</v>
      </c>
    </row>
    <row r="8878" spans="11:11" x14ac:dyDescent="0.25">
      <c r="K8878" s="8" t="e">
        <f t="shared" si="112"/>
        <v>#VALUE!</v>
      </c>
    </row>
    <row r="8879" spans="11:11" x14ac:dyDescent="0.25">
      <c r="K8879" s="8" t="e">
        <f t="shared" si="112"/>
        <v>#VALUE!</v>
      </c>
    </row>
    <row r="8880" spans="11:11" x14ac:dyDescent="0.25">
      <c r="K8880" s="8" t="e">
        <f t="shared" si="112"/>
        <v>#VALUE!</v>
      </c>
    </row>
    <row r="8881" spans="11:11" x14ac:dyDescent="0.25">
      <c r="K8881" s="8" t="e">
        <f t="shared" si="112"/>
        <v>#VALUE!</v>
      </c>
    </row>
    <row r="8882" spans="11:11" x14ac:dyDescent="0.25">
      <c r="K8882" s="8" t="e">
        <f t="shared" si="112"/>
        <v>#VALUE!</v>
      </c>
    </row>
    <row r="8883" spans="11:11" x14ac:dyDescent="0.25">
      <c r="K8883" s="8" t="e">
        <f t="shared" si="112"/>
        <v>#VALUE!</v>
      </c>
    </row>
    <row r="8884" spans="11:11" x14ac:dyDescent="0.25">
      <c r="K8884" s="8" t="e">
        <f t="shared" si="112"/>
        <v>#VALUE!</v>
      </c>
    </row>
    <row r="8885" spans="11:11" x14ac:dyDescent="0.25">
      <c r="K8885" s="8" t="e">
        <f t="shared" si="112"/>
        <v>#VALUE!</v>
      </c>
    </row>
    <row r="8886" spans="11:11" x14ac:dyDescent="0.25">
      <c r="K8886" s="8" t="e">
        <f t="shared" si="112"/>
        <v>#VALUE!</v>
      </c>
    </row>
    <row r="8887" spans="11:11" x14ac:dyDescent="0.25">
      <c r="K8887" s="8" t="e">
        <f t="shared" si="112"/>
        <v>#VALUE!</v>
      </c>
    </row>
    <row r="8888" spans="11:11" x14ac:dyDescent="0.25">
      <c r="K8888" s="8" t="e">
        <f t="shared" si="112"/>
        <v>#VALUE!</v>
      </c>
    </row>
    <row r="8889" spans="11:11" x14ac:dyDescent="0.25">
      <c r="K8889" s="8" t="e">
        <f t="shared" si="112"/>
        <v>#VALUE!</v>
      </c>
    </row>
    <row r="8890" spans="11:11" x14ac:dyDescent="0.25">
      <c r="K8890" s="8" t="e">
        <f t="shared" si="112"/>
        <v>#VALUE!</v>
      </c>
    </row>
    <row r="8891" spans="11:11" x14ac:dyDescent="0.25">
      <c r="K8891" s="8" t="e">
        <f t="shared" si="112"/>
        <v>#VALUE!</v>
      </c>
    </row>
    <row r="8892" spans="11:11" x14ac:dyDescent="0.25">
      <c r="K8892" s="8" t="e">
        <f t="shared" si="112"/>
        <v>#VALUE!</v>
      </c>
    </row>
    <row r="8893" spans="11:11" x14ac:dyDescent="0.25">
      <c r="K8893" s="8" t="e">
        <f t="shared" si="112"/>
        <v>#VALUE!</v>
      </c>
    </row>
    <row r="8894" spans="11:11" x14ac:dyDescent="0.25">
      <c r="K8894" s="8" t="e">
        <f t="shared" si="112"/>
        <v>#VALUE!</v>
      </c>
    </row>
    <row r="8895" spans="11:11" x14ac:dyDescent="0.25">
      <c r="K8895" s="8" t="e">
        <f t="shared" si="112"/>
        <v>#VALUE!</v>
      </c>
    </row>
    <row r="8896" spans="11:11" x14ac:dyDescent="0.25">
      <c r="K8896" s="8" t="e">
        <f t="shared" si="112"/>
        <v>#VALUE!</v>
      </c>
    </row>
    <row r="8897" spans="11:11" x14ac:dyDescent="0.25">
      <c r="K8897" s="8" t="e">
        <f t="shared" si="112"/>
        <v>#VALUE!</v>
      </c>
    </row>
    <row r="8898" spans="11:11" x14ac:dyDescent="0.25">
      <c r="K8898" s="8" t="e">
        <f t="shared" si="112"/>
        <v>#VALUE!</v>
      </c>
    </row>
    <row r="8899" spans="11:11" x14ac:dyDescent="0.25">
      <c r="K8899" s="8" t="e">
        <f t="shared" ref="K8899:K8962" si="113">LEFT(A8899,FIND("/",A8899)-1)</f>
        <v>#VALUE!</v>
      </c>
    </row>
    <row r="8900" spans="11:11" x14ac:dyDescent="0.25">
      <c r="K8900" s="8" t="e">
        <f t="shared" si="113"/>
        <v>#VALUE!</v>
      </c>
    </row>
    <row r="8901" spans="11:11" x14ac:dyDescent="0.25">
      <c r="K8901" s="8" t="e">
        <f t="shared" si="113"/>
        <v>#VALUE!</v>
      </c>
    </row>
    <row r="8902" spans="11:11" x14ac:dyDescent="0.25">
      <c r="K8902" s="8" t="e">
        <f t="shared" si="113"/>
        <v>#VALUE!</v>
      </c>
    </row>
    <row r="8903" spans="11:11" x14ac:dyDescent="0.25">
      <c r="K8903" s="8" t="e">
        <f t="shared" si="113"/>
        <v>#VALUE!</v>
      </c>
    </row>
    <row r="8904" spans="11:11" x14ac:dyDescent="0.25">
      <c r="K8904" s="8" t="e">
        <f t="shared" si="113"/>
        <v>#VALUE!</v>
      </c>
    </row>
    <row r="8905" spans="11:11" x14ac:dyDescent="0.25">
      <c r="K8905" s="8" t="e">
        <f t="shared" si="113"/>
        <v>#VALUE!</v>
      </c>
    </row>
    <row r="8906" spans="11:11" x14ac:dyDescent="0.25">
      <c r="K8906" s="8" t="e">
        <f t="shared" si="113"/>
        <v>#VALUE!</v>
      </c>
    </row>
    <row r="8907" spans="11:11" x14ac:dyDescent="0.25">
      <c r="K8907" s="8" t="e">
        <f t="shared" si="113"/>
        <v>#VALUE!</v>
      </c>
    </row>
    <row r="8908" spans="11:11" x14ac:dyDescent="0.25">
      <c r="K8908" s="8" t="e">
        <f t="shared" si="113"/>
        <v>#VALUE!</v>
      </c>
    </row>
    <row r="8909" spans="11:11" x14ac:dyDescent="0.25">
      <c r="K8909" s="8" t="e">
        <f t="shared" si="113"/>
        <v>#VALUE!</v>
      </c>
    </row>
    <row r="8910" spans="11:11" x14ac:dyDescent="0.25">
      <c r="K8910" s="8" t="e">
        <f t="shared" si="113"/>
        <v>#VALUE!</v>
      </c>
    </row>
    <row r="8911" spans="11:11" x14ac:dyDescent="0.25">
      <c r="K8911" s="8" t="e">
        <f t="shared" si="113"/>
        <v>#VALUE!</v>
      </c>
    </row>
    <row r="8912" spans="11:11" x14ac:dyDescent="0.25">
      <c r="K8912" s="8" t="e">
        <f t="shared" si="113"/>
        <v>#VALUE!</v>
      </c>
    </row>
    <row r="8913" spans="11:11" x14ac:dyDescent="0.25">
      <c r="K8913" s="8" t="e">
        <f t="shared" si="113"/>
        <v>#VALUE!</v>
      </c>
    </row>
    <row r="8914" spans="11:11" x14ac:dyDescent="0.25">
      <c r="K8914" s="8" t="e">
        <f t="shared" si="113"/>
        <v>#VALUE!</v>
      </c>
    </row>
    <row r="8915" spans="11:11" x14ac:dyDescent="0.25">
      <c r="K8915" s="8" t="e">
        <f t="shared" si="113"/>
        <v>#VALUE!</v>
      </c>
    </row>
    <row r="8916" spans="11:11" x14ac:dyDescent="0.25">
      <c r="K8916" s="8" t="e">
        <f t="shared" si="113"/>
        <v>#VALUE!</v>
      </c>
    </row>
    <row r="8917" spans="11:11" x14ac:dyDescent="0.25">
      <c r="K8917" s="8" t="e">
        <f t="shared" si="113"/>
        <v>#VALUE!</v>
      </c>
    </row>
    <row r="8918" spans="11:11" x14ac:dyDescent="0.25">
      <c r="K8918" s="8" t="e">
        <f t="shared" si="113"/>
        <v>#VALUE!</v>
      </c>
    </row>
    <row r="8919" spans="11:11" x14ac:dyDescent="0.25">
      <c r="K8919" s="8" t="e">
        <f t="shared" si="113"/>
        <v>#VALUE!</v>
      </c>
    </row>
    <row r="8920" spans="11:11" x14ac:dyDescent="0.25">
      <c r="K8920" s="8" t="e">
        <f t="shared" si="113"/>
        <v>#VALUE!</v>
      </c>
    </row>
    <row r="8921" spans="11:11" x14ac:dyDescent="0.25">
      <c r="K8921" s="8" t="e">
        <f t="shared" si="113"/>
        <v>#VALUE!</v>
      </c>
    </row>
    <row r="8922" spans="11:11" x14ac:dyDescent="0.25">
      <c r="K8922" s="8" t="e">
        <f t="shared" si="113"/>
        <v>#VALUE!</v>
      </c>
    </row>
    <row r="8923" spans="11:11" x14ac:dyDescent="0.25">
      <c r="K8923" s="8" t="e">
        <f t="shared" si="113"/>
        <v>#VALUE!</v>
      </c>
    </row>
    <row r="8924" spans="11:11" x14ac:dyDescent="0.25">
      <c r="K8924" s="8" t="e">
        <f t="shared" si="113"/>
        <v>#VALUE!</v>
      </c>
    </row>
    <row r="8925" spans="11:11" x14ac:dyDescent="0.25">
      <c r="K8925" s="8" t="e">
        <f t="shared" si="113"/>
        <v>#VALUE!</v>
      </c>
    </row>
    <row r="8926" spans="11:11" x14ac:dyDescent="0.25">
      <c r="K8926" s="8" t="e">
        <f t="shared" si="113"/>
        <v>#VALUE!</v>
      </c>
    </row>
    <row r="8927" spans="11:11" x14ac:dyDescent="0.25">
      <c r="K8927" s="8" t="e">
        <f t="shared" si="113"/>
        <v>#VALUE!</v>
      </c>
    </row>
    <row r="8928" spans="11:11" x14ac:dyDescent="0.25">
      <c r="K8928" s="8" t="e">
        <f t="shared" si="113"/>
        <v>#VALUE!</v>
      </c>
    </row>
    <row r="8929" spans="11:11" x14ac:dyDescent="0.25">
      <c r="K8929" s="8" t="e">
        <f t="shared" si="113"/>
        <v>#VALUE!</v>
      </c>
    </row>
    <row r="8930" spans="11:11" x14ac:dyDescent="0.25">
      <c r="K8930" s="8" t="e">
        <f t="shared" si="113"/>
        <v>#VALUE!</v>
      </c>
    </row>
    <row r="8931" spans="11:11" x14ac:dyDescent="0.25">
      <c r="K8931" s="8" t="e">
        <f t="shared" si="113"/>
        <v>#VALUE!</v>
      </c>
    </row>
    <row r="8932" spans="11:11" x14ac:dyDescent="0.25">
      <c r="K8932" s="8" t="e">
        <f t="shared" si="113"/>
        <v>#VALUE!</v>
      </c>
    </row>
    <row r="8933" spans="11:11" x14ac:dyDescent="0.25">
      <c r="K8933" s="8" t="e">
        <f t="shared" si="113"/>
        <v>#VALUE!</v>
      </c>
    </row>
    <row r="8934" spans="11:11" x14ac:dyDescent="0.25">
      <c r="K8934" s="8" t="e">
        <f t="shared" si="113"/>
        <v>#VALUE!</v>
      </c>
    </row>
    <row r="8935" spans="11:11" x14ac:dyDescent="0.25">
      <c r="K8935" s="8" t="e">
        <f t="shared" si="113"/>
        <v>#VALUE!</v>
      </c>
    </row>
    <row r="8936" spans="11:11" x14ac:dyDescent="0.25">
      <c r="K8936" s="8" t="e">
        <f t="shared" si="113"/>
        <v>#VALUE!</v>
      </c>
    </row>
    <row r="8937" spans="11:11" x14ac:dyDescent="0.25">
      <c r="K8937" s="8" t="e">
        <f t="shared" si="113"/>
        <v>#VALUE!</v>
      </c>
    </row>
    <row r="8938" spans="11:11" x14ac:dyDescent="0.25">
      <c r="K8938" s="8" t="e">
        <f t="shared" si="113"/>
        <v>#VALUE!</v>
      </c>
    </row>
    <row r="8939" spans="11:11" x14ac:dyDescent="0.25">
      <c r="K8939" s="8" t="e">
        <f t="shared" si="113"/>
        <v>#VALUE!</v>
      </c>
    </row>
    <row r="8940" spans="11:11" x14ac:dyDescent="0.25">
      <c r="K8940" s="8" t="e">
        <f t="shared" si="113"/>
        <v>#VALUE!</v>
      </c>
    </row>
    <row r="8941" spans="11:11" x14ac:dyDescent="0.25">
      <c r="K8941" s="8" t="e">
        <f t="shared" si="113"/>
        <v>#VALUE!</v>
      </c>
    </row>
    <row r="8942" spans="11:11" x14ac:dyDescent="0.25">
      <c r="K8942" s="8" t="e">
        <f t="shared" si="113"/>
        <v>#VALUE!</v>
      </c>
    </row>
    <row r="8943" spans="11:11" x14ac:dyDescent="0.25">
      <c r="K8943" s="8" t="e">
        <f t="shared" si="113"/>
        <v>#VALUE!</v>
      </c>
    </row>
    <row r="8944" spans="11:11" x14ac:dyDescent="0.25">
      <c r="K8944" s="8" t="e">
        <f t="shared" si="113"/>
        <v>#VALUE!</v>
      </c>
    </row>
    <row r="8945" spans="11:11" x14ac:dyDescent="0.25">
      <c r="K8945" s="8" t="e">
        <f t="shared" si="113"/>
        <v>#VALUE!</v>
      </c>
    </row>
    <row r="8946" spans="11:11" x14ac:dyDescent="0.25">
      <c r="K8946" s="8" t="e">
        <f t="shared" si="113"/>
        <v>#VALUE!</v>
      </c>
    </row>
    <row r="8947" spans="11:11" x14ac:dyDescent="0.25">
      <c r="K8947" s="8" t="e">
        <f t="shared" si="113"/>
        <v>#VALUE!</v>
      </c>
    </row>
    <row r="8948" spans="11:11" x14ac:dyDescent="0.25">
      <c r="K8948" s="8" t="e">
        <f t="shared" si="113"/>
        <v>#VALUE!</v>
      </c>
    </row>
    <row r="8949" spans="11:11" x14ac:dyDescent="0.25">
      <c r="K8949" s="8" t="e">
        <f t="shared" si="113"/>
        <v>#VALUE!</v>
      </c>
    </row>
    <row r="8950" spans="11:11" x14ac:dyDescent="0.25">
      <c r="K8950" s="8" t="e">
        <f t="shared" si="113"/>
        <v>#VALUE!</v>
      </c>
    </row>
    <row r="8951" spans="11:11" x14ac:dyDescent="0.25">
      <c r="K8951" s="8" t="e">
        <f t="shared" si="113"/>
        <v>#VALUE!</v>
      </c>
    </row>
    <row r="8952" spans="11:11" x14ac:dyDescent="0.25">
      <c r="K8952" s="8" t="e">
        <f t="shared" si="113"/>
        <v>#VALUE!</v>
      </c>
    </row>
    <row r="8953" spans="11:11" x14ac:dyDescent="0.25">
      <c r="K8953" s="8" t="e">
        <f t="shared" si="113"/>
        <v>#VALUE!</v>
      </c>
    </row>
    <row r="8954" spans="11:11" x14ac:dyDescent="0.25">
      <c r="K8954" s="8" t="e">
        <f t="shared" si="113"/>
        <v>#VALUE!</v>
      </c>
    </row>
    <row r="8955" spans="11:11" x14ac:dyDescent="0.25">
      <c r="K8955" s="8" t="e">
        <f t="shared" si="113"/>
        <v>#VALUE!</v>
      </c>
    </row>
    <row r="8956" spans="11:11" x14ac:dyDescent="0.25">
      <c r="K8956" s="8" t="e">
        <f t="shared" si="113"/>
        <v>#VALUE!</v>
      </c>
    </row>
    <row r="8957" spans="11:11" x14ac:dyDescent="0.25">
      <c r="K8957" s="8" t="e">
        <f t="shared" si="113"/>
        <v>#VALUE!</v>
      </c>
    </row>
    <row r="8958" spans="11:11" x14ac:dyDescent="0.25">
      <c r="K8958" s="8" t="e">
        <f t="shared" si="113"/>
        <v>#VALUE!</v>
      </c>
    </row>
    <row r="8959" spans="11:11" x14ac:dyDescent="0.25">
      <c r="K8959" s="8" t="e">
        <f t="shared" si="113"/>
        <v>#VALUE!</v>
      </c>
    </row>
    <row r="8960" spans="11:11" x14ac:dyDescent="0.25">
      <c r="K8960" s="8" t="e">
        <f t="shared" si="113"/>
        <v>#VALUE!</v>
      </c>
    </row>
    <row r="8961" spans="11:11" x14ac:dyDescent="0.25">
      <c r="K8961" s="8" t="e">
        <f t="shared" si="113"/>
        <v>#VALUE!</v>
      </c>
    </row>
    <row r="8962" spans="11:11" x14ac:dyDescent="0.25">
      <c r="K8962" s="8" t="e">
        <f t="shared" si="113"/>
        <v>#VALUE!</v>
      </c>
    </row>
    <row r="8963" spans="11:11" x14ac:dyDescent="0.25">
      <c r="K8963" s="8" t="e">
        <f t="shared" ref="K8963:K9026" si="114">LEFT(A8963,FIND("/",A8963)-1)</f>
        <v>#VALUE!</v>
      </c>
    </row>
    <row r="8964" spans="11:11" x14ac:dyDescent="0.25">
      <c r="K8964" s="8" t="e">
        <f t="shared" si="114"/>
        <v>#VALUE!</v>
      </c>
    </row>
    <row r="8965" spans="11:11" x14ac:dyDescent="0.25">
      <c r="K8965" s="8" t="e">
        <f t="shared" si="114"/>
        <v>#VALUE!</v>
      </c>
    </row>
    <row r="8966" spans="11:11" x14ac:dyDescent="0.25">
      <c r="K8966" s="8" t="e">
        <f t="shared" si="114"/>
        <v>#VALUE!</v>
      </c>
    </row>
    <row r="8967" spans="11:11" x14ac:dyDescent="0.25">
      <c r="K8967" s="8" t="e">
        <f t="shared" si="114"/>
        <v>#VALUE!</v>
      </c>
    </row>
    <row r="8968" spans="11:11" x14ac:dyDescent="0.25">
      <c r="K8968" s="8" t="e">
        <f t="shared" si="114"/>
        <v>#VALUE!</v>
      </c>
    </row>
    <row r="8969" spans="11:11" x14ac:dyDescent="0.25">
      <c r="K8969" s="8" t="e">
        <f t="shared" si="114"/>
        <v>#VALUE!</v>
      </c>
    </row>
    <row r="8970" spans="11:11" x14ac:dyDescent="0.25">
      <c r="K8970" s="8" t="e">
        <f t="shared" si="114"/>
        <v>#VALUE!</v>
      </c>
    </row>
    <row r="8971" spans="11:11" x14ac:dyDescent="0.25">
      <c r="K8971" s="8" t="e">
        <f t="shared" si="114"/>
        <v>#VALUE!</v>
      </c>
    </row>
    <row r="8972" spans="11:11" x14ac:dyDescent="0.25">
      <c r="K8972" s="8" t="e">
        <f t="shared" si="114"/>
        <v>#VALUE!</v>
      </c>
    </row>
    <row r="8973" spans="11:11" x14ac:dyDescent="0.25">
      <c r="K8973" s="8" t="e">
        <f t="shared" si="114"/>
        <v>#VALUE!</v>
      </c>
    </row>
    <row r="8974" spans="11:11" x14ac:dyDescent="0.25">
      <c r="K8974" s="8" t="e">
        <f t="shared" si="114"/>
        <v>#VALUE!</v>
      </c>
    </row>
    <row r="8975" spans="11:11" x14ac:dyDescent="0.25">
      <c r="K8975" s="8" t="e">
        <f t="shared" si="114"/>
        <v>#VALUE!</v>
      </c>
    </row>
    <row r="8976" spans="11:11" x14ac:dyDescent="0.25">
      <c r="K8976" s="8" t="e">
        <f t="shared" si="114"/>
        <v>#VALUE!</v>
      </c>
    </row>
    <row r="8977" spans="11:11" x14ac:dyDescent="0.25">
      <c r="K8977" s="8" t="e">
        <f t="shared" si="114"/>
        <v>#VALUE!</v>
      </c>
    </row>
    <row r="8978" spans="11:11" x14ac:dyDescent="0.25">
      <c r="K8978" s="8" t="e">
        <f t="shared" si="114"/>
        <v>#VALUE!</v>
      </c>
    </row>
    <row r="8979" spans="11:11" x14ac:dyDescent="0.25">
      <c r="K8979" s="8" t="e">
        <f t="shared" si="114"/>
        <v>#VALUE!</v>
      </c>
    </row>
    <row r="8980" spans="11:11" x14ac:dyDescent="0.25">
      <c r="K8980" s="8" t="e">
        <f t="shared" si="114"/>
        <v>#VALUE!</v>
      </c>
    </row>
    <row r="8981" spans="11:11" x14ac:dyDescent="0.25">
      <c r="K8981" s="8" t="e">
        <f t="shared" si="114"/>
        <v>#VALUE!</v>
      </c>
    </row>
    <row r="8982" spans="11:11" x14ac:dyDescent="0.25">
      <c r="K8982" s="8" t="e">
        <f t="shared" si="114"/>
        <v>#VALUE!</v>
      </c>
    </row>
    <row r="8983" spans="11:11" x14ac:dyDescent="0.25">
      <c r="K8983" s="8" t="e">
        <f t="shared" si="114"/>
        <v>#VALUE!</v>
      </c>
    </row>
    <row r="8984" spans="11:11" x14ac:dyDescent="0.25">
      <c r="K8984" s="8" t="e">
        <f t="shared" si="114"/>
        <v>#VALUE!</v>
      </c>
    </row>
    <row r="8985" spans="11:11" x14ac:dyDescent="0.25">
      <c r="K8985" s="8" t="e">
        <f t="shared" si="114"/>
        <v>#VALUE!</v>
      </c>
    </row>
    <row r="8986" spans="11:11" x14ac:dyDescent="0.25">
      <c r="K8986" s="8" t="e">
        <f t="shared" si="114"/>
        <v>#VALUE!</v>
      </c>
    </row>
    <row r="8987" spans="11:11" x14ac:dyDescent="0.25">
      <c r="K8987" s="8" t="e">
        <f t="shared" si="114"/>
        <v>#VALUE!</v>
      </c>
    </row>
    <row r="8988" spans="11:11" x14ac:dyDescent="0.25">
      <c r="K8988" s="8" t="e">
        <f t="shared" si="114"/>
        <v>#VALUE!</v>
      </c>
    </row>
    <row r="8989" spans="11:11" x14ac:dyDescent="0.25">
      <c r="K8989" s="8" t="e">
        <f t="shared" si="114"/>
        <v>#VALUE!</v>
      </c>
    </row>
    <row r="8990" spans="11:11" x14ac:dyDescent="0.25">
      <c r="K8990" s="8" t="e">
        <f t="shared" si="114"/>
        <v>#VALUE!</v>
      </c>
    </row>
    <row r="8991" spans="11:11" x14ac:dyDescent="0.25">
      <c r="K8991" s="8" t="e">
        <f t="shared" si="114"/>
        <v>#VALUE!</v>
      </c>
    </row>
    <row r="8992" spans="11:11" x14ac:dyDescent="0.25">
      <c r="K8992" s="8" t="e">
        <f t="shared" si="114"/>
        <v>#VALUE!</v>
      </c>
    </row>
    <row r="8993" spans="11:11" x14ac:dyDescent="0.25">
      <c r="K8993" s="8" t="e">
        <f t="shared" si="114"/>
        <v>#VALUE!</v>
      </c>
    </row>
    <row r="8994" spans="11:11" x14ac:dyDescent="0.25">
      <c r="K8994" s="8" t="e">
        <f t="shared" si="114"/>
        <v>#VALUE!</v>
      </c>
    </row>
    <row r="8995" spans="11:11" x14ac:dyDescent="0.25">
      <c r="K8995" s="8" t="e">
        <f t="shared" si="114"/>
        <v>#VALUE!</v>
      </c>
    </row>
    <row r="8996" spans="11:11" x14ac:dyDescent="0.25">
      <c r="K8996" s="8" t="e">
        <f t="shared" si="114"/>
        <v>#VALUE!</v>
      </c>
    </row>
    <row r="8997" spans="11:11" x14ac:dyDescent="0.25">
      <c r="K8997" s="8" t="e">
        <f t="shared" si="114"/>
        <v>#VALUE!</v>
      </c>
    </row>
    <row r="8998" spans="11:11" x14ac:dyDescent="0.25">
      <c r="K8998" s="8" t="e">
        <f t="shared" si="114"/>
        <v>#VALUE!</v>
      </c>
    </row>
    <row r="8999" spans="11:11" x14ac:dyDescent="0.25">
      <c r="K8999" s="8" t="e">
        <f t="shared" si="114"/>
        <v>#VALUE!</v>
      </c>
    </row>
    <row r="9000" spans="11:11" x14ac:dyDescent="0.25">
      <c r="K9000" s="8" t="e">
        <f t="shared" si="114"/>
        <v>#VALUE!</v>
      </c>
    </row>
    <row r="9001" spans="11:11" x14ac:dyDescent="0.25">
      <c r="K9001" s="8" t="e">
        <f t="shared" si="114"/>
        <v>#VALUE!</v>
      </c>
    </row>
    <row r="9002" spans="11:11" x14ac:dyDescent="0.25">
      <c r="K9002" s="8" t="e">
        <f t="shared" si="114"/>
        <v>#VALUE!</v>
      </c>
    </row>
    <row r="9003" spans="11:11" x14ac:dyDescent="0.25">
      <c r="K9003" s="8" t="e">
        <f t="shared" si="114"/>
        <v>#VALUE!</v>
      </c>
    </row>
    <row r="9004" spans="11:11" x14ac:dyDescent="0.25">
      <c r="K9004" s="8" t="e">
        <f t="shared" si="114"/>
        <v>#VALUE!</v>
      </c>
    </row>
    <row r="9005" spans="11:11" x14ac:dyDescent="0.25">
      <c r="K9005" s="8" t="e">
        <f t="shared" si="114"/>
        <v>#VALUE!</v>
      </c>
    </row>
    <row r="9006" spans="11:11" x14ac:dyDescent="0.25">
      <c r="K9006" s="8" t="e">
        <f t="shared" si="114"/>
        <v>#VALUE!</v>
      </c>
    </row>
    <row r="9007" spans="11:11" x14ac:dyDescent="0.25">
      <c r="K9007" s="8" t="e">
        <f t="shared" si="114"/>
        <v>#VALUE!</v>
      </c>
    </row>
    <row r="9008" spans="11:11" x14ac:dyDescent="0.25">
      <c r="K9008" s="8" t="e">
        <f t="shared" si="114"/>
        <v>#VALUE!</v>
      </c>
    </row>
    <row r="9009" spans="11:11" x14ac:dyDescent="0.25">
      <c r="K9009" s="8" t="e">
        <f t="shared" si="114"/>
        <v>#VALUE!</v>
      </c>
    </row>
    <row r="9010" spans="11:11" x14ac:dyDescent="0.25">
      <c r="K9010" s="8" t="e">
        <f t="shared" si="114"/>
        <v>#VALUE!</v>
      </c>
    </row>
    <row r="9011" spans="11:11" x14ac:dyDescent="0.25">
      <c r="K9011" s="8" t="e">
        <f t="shared" si="114"/>
        <v>#VALUE!</v>
      </c>
    </row>
    <row r="9012" spans="11:11" x14ac:dyDescent="0.25">
      <c r="K9012" s="8" t="e">
        <f t="shared" si="114"/>
        <v>#VALUE!</v>
      </c>
    </row>
    <row r="9013" spans="11:11" x14ac:dyDescent="0.25">
      <c r="K9013" s="8" t="e">
        <f t="shared" si="114"/>
        <v>#VALUE!</v>
      </c>
    </row>
    <row r="9014" spans="11:11" x14ac:dyDescent="0.25">
      <c r="K9014" s="8" t="e">
        <f t="shared" si="114"/>
        <v>#VALUE!</v>
      </c>
    </row>
    <row r="9015" spans="11:11" x14ac:dyDescent="0.25">
      <c r="K9015" s="8" t="e">
        <f t="shared" si="114"/>
        <v>#VALUE!</v>
      </c>
    </row>
    <row r="9016" spans="11:11" x14ac:dyDescent="0.25">
      <c r="K9016" s="8" t="e">
        <f t="shared" si="114"/>
        <v>#VALUE!</v>
      </c>
    </row>
    <row r="9017" spans="11:11" x14ac:dyDescent="0.25">
      <c r="K9017" s="8" t="e">
        <f t="shared" si="114"/>
        <v>#VALUE!</v>
      </c>
    </row>
    <row r="9018" spans="11:11" x14ac:dyDescent="0.25">
      <c r="K9018" s="8" t="e">
        <f t="shared" si="114"/>
        <v>#VALUE!</v>
      </c>
    </row>
    <row r="9019" spans="11:11" x14ac:dyDescent="0.25">
      <c r="K9019" s="8" t="e">
        <f t="shared" si="114"/>
        <v>#VALUE!</v>
      </c>
    </row>
    <row r="9020" spans="11:11" x14ac:dyDescent="0.25">
      <c r="K9020" s="8" t="e">
        <f t="shared" si="114"/>
        <v>#VALUE!</v>
      </c>
    </row>
    <row r="9021" spans="11:11" x14ac:dyDescent="0.25">
      <c r="K9021" s="8" t="e">
        <f t="shared" si="114"/>
        <v>#VALUE!</v>
      </c>
    </row>
    <row r="9022" spans="11:11" x14ac:dyDescent="0.25">
      <c r="K9022" s="8" t="e">
        <f t="shared" si="114"/>
        <v>#VALUE!</v>
      </c>
    </row>
    <row r="9023" spans="11:11" x14ac:dyDescent="0.25">
      <c r="K9023" s="8" t="e">
        <f t="shared" si="114"/>
        <v>#VALUE!</v>
      </c>
    </row>
    <row r="9024" spans="11:11" x14ac:dyDescent="0.25">
      <c r="K9024" s="8" t="e">
        <f t="shared" si="114"/>
        <v>#VALUE!</v>
      </c>
    </row>
    <row r="9025" spans="11:11" x14ac:dyDescent="0.25">
      <c r="K9025" s="8" t="e">
        <f t="shared" si="114"/>
        <v>#VALUE!</v>
      </c>
    </row>
    <row r="9026" spans="11:11" x14ac:dyDescent="0.25">
      <c r="K9026" s="8" t="e">
        <f t="shared" si="114"/>
        <v>#VALUE!</v>
      </c>
    </row>
    <row r="9027" spans="11:11" x14ac:dyDescent="0.25">
      <c r="K9027" s="8" t="e">
        <f t="shared" ref="K9027:K9090" si="115">LEFT(A9027,FIND("/",A9027)-1)</f>
        <v>#VALUE!</v>
      </c>
    </row>
    <row r="9028" spans="11:11" x14ac:dyDescent="0.25">
      <c r="K9028" s="8" t="e">
        <f t="shared" si="115"/>
        <v>#VALUE!</v>
      </c>
    </row>
    <row r="9029" spans="11:11" x14ac:dyDescent="0.25">
      <c r="K9029" s="8" t="e">
        <f t="shared" si="115"/>
        <v>#VALUE!</v>
      </c>
    </row>
    <row r="9030" spans="11:11" x14ac:dyDescent="0.25">
      <c r="K9030" s="8" t="e">
        <f t="shared" si="115"/>
        <v>#VALUE!</v>
      </c>
    </row>
    <row r="9031" spans="11:11" x14ac:dyDescent="0.25">
      <c r="K9031" s="8" t="e">
        <f t="shared" si="115"/>
        <v>#VALUE!</v>
      </c>
    </row>
    <row r="9032" spans="11:11" x14ac:dyDescent="0.25">
      <c r="K9032" s="8" t="e">
        <f t="shared" si="115"/>
        <v>#VALUE!</v>
      </c>
    </row>
    <row r="9033" spans="11:11" x14ac:dyDescent="0.25">
      <c r="K9033" s="8" t="e">
        <f t="shared" si="115"/>
        <v>#VALUE!</v>
      </c>
    </row>
    <row r="9034" spans="11:11" x14ac:dyDescent="0.25">
      <c r="K9034" s="8" t="e">
        <f t="shared" si="115"/>
        <v>#VALUE!</v>
      </c>
    </row>
    <row r="9035" spans="11:11" x14ac:dyDescent="0.25">
      <c r="K9035" s="8" t="e">
        <f t="shared" si="115"/>
        <v>#VALUE!</v>
      </c>
    </row>
    <row r="9036" spans="11:11" x14ac:dyDescent="0.25">
      <c r="K9036" s="8" t="e">
        <f t="shared" si="115"/>
        <v>#VALUE!</v>
      </c>
    </row>
    <row r="9037" spans="11:11" x14ac:dyDescent="0.25">
      <c r="K9037" s="8" t="e">
        <f t="shared" si="115"/>
        <v>#VALUE!</v>
      </c>
    </row>
    <row r="9038" spans="11:11" x14ac:dyDescent="0.25">
      <c r="K9038" s="8" t="e">
        <f t="shared" si="115"/>
        <v>#VALUE!</v>
      </c>
    </row>
    <row r="9039" spans="11:11" x14ac:dyDescent="0.25">
      <c r="K9039" s="8" t="e">
        <f t="shared" si="115"/>
        <v>#VALUE!</v>
      </c>
    </row>
    <row r="9040" spans="11:11" x14ac:dyDescent="0.25">
      <c r="K9040" s="8" t="e">
        <f t="shared" si="115"/>
        <v>#VALUE!</v>
      </c>
    </row>
    <row r="9041" spans="11:11" x14ac:dyDescent="0.25">
      <c r="K9041" s="8" t="e">
        <f t="shared" si="115"/>
        <v>#VALUE!</v>
      </c>
    </row>
    <row r="9042" spans="11:11" x14ac:dyDescent="0.25">
      <c r="K9042" s="8" t="e">
        <f t="shared" si="115"/>
        <v>#VALUE!</v>
      </c>
    </row>
    <row r="9043" spans="11:11" x14ac:dyDescent="0.25">
      <c r="K9043" s="8" t="e">
        <f t="shared" si="115"/>
        <v>#VALUE!</v>
      </c>
    </row>
    <row r="9044" spans="11:11" x14ac:dyDescent="0.25">
      <c r="K9044" s="8" t="e">
        <f t="shared" si="115"/>
        <v>#VALUE!</v>
      </c>
    </row>
    <row r="9045" spans="11:11" x14ac:dyDescent="0.25">
      <c r="K9045" s="8" t="e">
        <f t="shared" si="115"/>
        <v>#VALUE!</v>
      </c>
    </row>
    <row r="9046" spans="11:11" x14ac:dyDescent="0.25">
      <c r="K9046" s="8" t="e">
        <f t="shared" si="115"/>
        <v>#VALUE!</v>
      </c>
    </row>
    <row r="9047" spans="11:11" x14ac:dyDescent="0.25">
      <c r="K9047" s="8" t="e">
        <f t="shared" si="115"/>
        <v>#VALUE!</v>
      </c>
    </row>
    <row r="9048" spans="11:11" x14ac:dyDescent="0.25">
      <c r="K9048" s="8" t="e">
        <f t="shared" si="115"/>
        <v>#VALUE!</v>
      </c>
    </row>
    <row r="9049" spans="11:11" x14ac:dyDescent="0.25">
      <c r="K9049" s="8" t="e">
        <f t="shared" si="115"/>
        <v>#VALUE!</v>
      </c>
    </row>
    <row r="9050" spans="11:11" x14ac:dyDescent="0.25">
      <c r="K9050" s="8" t="e">
        <f t="shared" si="115"/>
        <v>#VALUE!</v>
      </c>
    </row>
    <row r="9051" spans="11:11" x14ac:dyDescent="0.25">
      <c r="K9051" s="8" t="e">
        <f t="shared" si="115"/>
        <v>#VALUE!</v>
      </c>
    </row>
    <row r="9052" spans="11:11" x14ac:dyDescent="0.25">
      <c r="K9052" s="8" t="e">
        <f t="shared" si="115"/>
        <v>#VALUE!</v>
      </c>
    </row>
    <row r="9053" spans="11:11" x14ac:dyDescent="0.25">
      <c r="K9053" s="8" t="e">
        <f t="shared" si="115"/>
        <v>#VALUE!</v>
      </c>
    </row>
    <row r="9054" spans="11:11" x14ac:dyDescent="0.25">
      <c r="K9054" s="8" t="e">
        <f t="shared" si="115"/>
        <v>#VALUE!</v>
      </c>
    </row>
    <row r="9055" spans="11:11" x14ac:dyDescent="0.25">
      <c r="K9055" s="8" t="e">
        <f t="shared" si="115"/>
        <v>#VALUE!</v>
      </c>
    </row>
    <row r="9056" spans="11:11" x14ac:dyDescent="0.25">
      <c r="K9056" s="8" t="e">
        <f t="shared" si="115"/>
        <v>#VALUE!</v>
      </c>
    </row>
    <row r="9057" spans="11:11" x14ac:dyDescent="0.25">
      <c r="K9057" s="8" t="e">
        <f t="shared" si="115"/>
        <v>#VALUE!</v>
      </c>
    </row>
    <row r="9058" spans="11:11" x14ac:dyDescent="0.25">
      <c r="K9058" s="8" t="e">
        <f t="shared" si="115"/>
        <v>#VALUE!</v>
      </c>
    </row>
    <row r="9059" spans="11:11" x14ac:dyDescent="0.25">
      <c r="K9059" s="8" t="e">
        <f t="shared" si="115"/>
        <v>#VALUE!</v>
      </c>
    </row>
    <row r="9060" spans="11:11" x14ac:dyDescent="0.25">
      <c r="K9060" s="8" t="e">
        <f t="shared" si="115"/>
        <v>#VALUE!</v>
      </c>
    </row>
    <row r="9061" spans="11:11" x14ac:dyDescent="0.25">
      <c r="K9061" s="8" t="e">
        <f t="shared" si="115"/>
        <v>#VALUE!</v>
      </c>
    </row>
    <row r="9062" spans="11:11" x14ac:dyDescent="0.25">
      <c r="K9062" s="8" t="e">
        <f t="shared" si="115"/>
        <v>#VALUE!</v>
      </c>
    </row>
    <row r="9063" spans="11:11" x14ac:dyDescent="0.25">
      <c r="K9063" s="8" t="e">
        <f t="shared" si="115"/>
        <v>#VALUE!</v>
      </c>
    </row>
    <row r="9064" spans="11:11" x14ac:dyDescent="0.25">
      <c r="K9064" s="8" t="e">
        <f t="shared" si="115"/>
        <v>#VALUE!</v>
      </c>
    </row>
    <row r="9065" spans="11:11" x14ac:dyDescent="0.25">
      <c r="K9065" s="8" t="e">
        <f t="shared" si="115"/>
        <v>#VALUE!</v>
      </c>
    </row>
    <row r="9066" spans="11:11" x14ac:dyDescent="0.25">
      <c r="K9066" s="8" t="e">
        <f t="shared" si="115"/>
        <v>#VALUE!</v>
      </c>
    </row>
    <row r="9067" spans="11:11" x14ac:dyDescent="0.25">
      <c r="K9067" s="8" t="e">
        <f t="shared" si="115"/>
        <v>#VALUE!</v>
      </c>
    </row>
    <row r="9068" spans="11:11" x14ac:dyDescent="0.25">
      <c r="K9068" s="8" t="e">
        <f t="shared" si="115"/>
        <v>#VALUE!</v>
      </c>
    </row>
    <row r="9069" spans="11:11" x14ac:dyDescent="0.25">
      <c r="K9069" s="8" t="e">
        <f t="shared" si="115"/>
        <v>#VALUE!</v>
      </c>
    </row>
    <row r="9070" spans="11:11" x14ac:dyDescent="0.25">
      <c r="K9070" s="8" t="e">
        <f t="shared" si="115"/>
        <v>#VALUE!</v>
      </c>
    </row>
    <row r="9071" spans="11:11" x14ac:dyDescent="0.25">
      <c r="K9071" s="8" t="e">
        <f t="shared" si="115"/>
        <v>#VALUE!</v>
      </c>
    </row>
    <row r="9072" spans="11:11" x14ac:dyDescent="0.25">
      <c r="K9072" s="8" t="e">
        <f t="shared" si="115"/>
        <v>#VALUE!</v>
      </c>
    </row>
    <row r="9073" spans="11:11" x14ac:dyDescent="0.25">
      <c r="K9073" s="8" t="e">
        <f t="shared" si="115"/>
        <v>#VALUE!</v>
      </c>
    </row>
    <row r="9074" spans="11:11" x14ac:dyDescent="0.25">
      <c r="K9074" s="8" t="e">
        <f t="shared" si="115"/>
        <v>#VALUE!</v>
      </c>
    </row>
    <row r="9075" spans="11:11" x14ac:dyDescent="0.25">
      <c r="K9075" s="8" t="e">
        <f t="shared" si="115"/>
        <v>#VALUE!</v>
      </c>
    </row>
    <row r="9076" spans="11:11" x14ac:dyDescent="0.25">
      <c r="K9076" s="8" t="e">
        <f t="shared" si="115"/>
        <v>#VALUE!</v>
      </c>
    </row>
    <row r="9077" spans="11:11" x14ac:dyDescent="0.25">
      <c r="K9077" s="8" t="e">
        <f t="shared" si="115"/>
        <v>#VALUE!</v>
      </c>
    </row>
    <row r="9078" spans="11:11" x14ac:dyDescent="0.25">
      <c r="K9078" s="8" t="e">
        <f t="shared" si="115"/>
        <v>#VALUE!</v>
      </c>
    </row>
    <row r="9079" spans="11:11" x14ac:dyDescent="0.25">
      <c r="K9079" s="8" t="e">
        <f t="shared" si="115"/>
        <v>#VALUE!</v>
      </c>
    </row>
    <row r="9080" spans="11:11" x14ac:dyDescent="0.25">
      <c r="K9080" s="8" t="e">
        <f t="shared" si="115"/>
        <v>#VALUE!</v>
      </c>
    </row>
    <row r="9081" spans="11:11" x14ac:dyDescent="0.25">
      <c r="K9081" s="8" t="e">
        <f t="shared" si="115"/>
        <v>#VALUE!</v>
      </c>
    </row>
    <row r="9082" spans="11:11" x14ac:dyDescent="0.25">
      <c r="K9082" s="8" t="e">
        <f t="shared" si="115"/>
        <v>#VALUE!</v>
      </c>
    </row>
    <row r="9083" spans="11:11" x14ac:dyDescent="0.25">
      <c r="K9083" s="8" t="e">
        <f t="shared" si="115"/>
        <v>#VALUE!</v>
      </c>
    </row>
    <row r="9084" spans="11:11" x14ac:dyDescent="0.25">
      <c r="K9084" s="8" t="e">
        <f t="shared" si="115"/>
        <v>#VALUE!</v>
      </c>
    </row>
    <row r="9085" spans="11:11" x14ac:dyDescent="0.25">
      <c r="K9085" s="8" t="e">
        <f t="shared" si="115"/>
        <v>#VALUE!</v>
      </c>
    </row>
    <row r="9086" spans="11:11" x14ac:dyDescent="0.25">
      <c r="K9086" s="8" t="e">
        <f t="shared" si="115"/>
        <v>#VALUE!</v>
      </c>
    </row>
    <row r="9087" spans="11:11" x14ac:dyDescent="0.25">
      <c r="K9087" s="8" t="e">
        <f t="shared" si="115"/>
        <v>#VALUE!</v>
      </c>
    </row>
    <row r="9088" spans="11:11" x14ac:dyDescent="0.25">
      <c r="K9088" s="8" t="e">
        <f t="shared" si="115"/>
        <v>#VALUE!</v>
      </c>
    </row>
    <row r="9089" spans="11:11" x14ac:dyDescent="0.25">
      <c r="K9089" s="8" t="e">
        <f t="shared" si="115"/>
        <v>#VALUE!</v>
      </c>
    </row>
    <row r="9090" spans="11:11" x14ac:dyDescent="0.25">
      <c r="K9090" s="8" t="e">
        <f t="shared" si="115"/>
        <v>#VALUE!</v>
      </c>
    </row>
    <row r="9091" spans="11:11" x14ac:dyDescent="0.25">
      <c r="K9091" s="8" t="e">
        <f t="shared" ref="K9091:K9154" si="116">LEFT(A9091,FIND("/",A9091)-1)</f>
        <v>#VALUE!</v>
      </c>
    </row>
    <row r="9092" spans="11:11" x14ac:dyDescent="0.25">
      <c r="K9092" s="8" t="e">
        <f t="shared" si="116"/>
        <v>#VALUE!</v>
      </c>
    </row>
    <row r="9093" spans="11:11" x14ac:dyDescent="0.25">
      <c r="K9093" s="8" t="e">
        <f t="shared" si="116"/>
        <v>#VALUE!</v>
      </c>
    </row>
    <row r="9094" spans="11:11" x14ac:dyDescent="0.25">
      <c r="K9094" s="8" t="e">
        <f t="shared" si="116"/>
        <v>#VALUE!</v>
      </c>
    </row>
    <row r="9095" spans="11:11" x14ac:dyDescent="0.25">
      <c r="K9095" s="8" t="e">
        <f t="shared" si="116"/>
        <v>#VALUE!</v>
      </c>
    </row>
    <row r="9096" spans="11:11" x14ac:dyDescent="0.25">
      <c r="K9096" s="8" t="e">
        <f t="shared" si="116"/>
        <v>#VALUE!</v>
      </c>
    </row>
    <row r="9097" spans="11:11" x14ac:dyDescent="0.25">
      <c r="K9097" s="8" t="e">
        <f t="shared" si="116"/>
        <v>#VALUE!</v>
      </c>
    </row>
    <row r="9098" spans="11:11" x14ac:dyDescent="0.25">
      <c r="K9098" s="8" t="e">
        <f t="shared" si="116"/>
        <v>#VALUE!</v>
      </c>
    </row>
    <row r="9099" spans="11:11" x14ac:dyDescent="0.25">
      <c r="K9099" s="8" t="e">
        <f t="shared" si="116"/>
        <v>#VALUE!</v>
      </c>
    </row>
    <row r="9100" spans="11:11" x14ac:dyDescent="0.25">
      <c r="K9100" s="8" t="e">
        <f t="shared" si="116"/>
        <v>#VALUE!</v>
      </c>
    </row>
    <row r="9101" spans="11:11" x14ac:dyDescent="0.25">
      <c r="K9101" s="8" t="e">
        <f t="shared" si="116"/>
        <v>#VALUE!</v>
      </c>
    </row>
    <row r="9102" spans="11:11" x14ac:dyDescent="0.25">
      <c r="K9102" s="8" t="e">
        <f t="shared" si="116"/>
        <v>#VALUE!</v>
      </c>
    </row>
    <row r="9103" spans="11:11" x14ac:dyDescent="0.25">
      <c r="K9103" s="8" t="e">
        <f t="shared" si="116"/>
        <v>#VALUE!</v>
      </c>
    </row>
    <row r="9104" spans="11:11" x14ac:dyDescent="0.25">
      <c r="K9104" s="8" t="e">
        <f t="shared" si="116"/>
        <v>#VALUE!</v>
      </c>
    </row>
    <row r="9105" spans="11:11" x14ac:dyDescent="0.25">
      <c r="K9105" s="8" t="e">
        <f t="shared" si="116"/>
        <v>#VALUE!</v>
      </c>
    </row>
    <row r="9106" spans="11:11" x14ac:dyDescent="0.25">
      <c r="K9106" s="8" t="e">
        <f t="shared" si="116"/>
        <v>#VALUE!</v>
      </c>
    </row>
    <row r="9107" spans="11:11" x14ac:dyDescent="0.25">
      <c r="K9107" s="8" t="e">
        <f t="shared" si="116"/>
        <v>#VALUE!</v>
      </c>
    </row>
    <row r="9108" spans="11:11" x14ac:dyDescent="0.25">
      <c r="K9108" s="8" t="e">
        <f t="shared" si="116"/>
        <v>#VALUE!</v>
      </c>
    </row>
    <row r="9109" spans="11:11" x14ac:dyDescent="0.25">
      <c r="K9109" s="8" t="e">
        <f t="shared" si="116"/>
        <v>#VALUE!</v>
      </c>
    </row>
    <row r="9110" spans="11:11" x14ac:dyDescent="0.25">
      <c r="K9110" s="8" t="e">
        <f t="shared" si="116"/>
        <v>#VALUE!</v>
      </c>
    </row>
    <row r="9111" spans="11:11" x14ac:dyDescent="0.25">
      <c r="K9111" s="8" t="e">
        <f t="shared" si="116"/>
        <v>#VALUE!</v>
      </c>
    </row>
    <row r="9112" spans="11:11" x14ac:dyDescent="0.25">
      <c r="K9112" s="8" t="e">
        <f t="shared" si="116"/>
        <v>#VALUE!</v>
      </c>
    </row>
    <row r="9113" spans="11:11" x14ac:dyDescent="0.25">
      <c r="K9113" s="8" t="e">
        <f t="shared" si="116"/>
        <v>#VALUE!</v>
      </c>
    </row>
    <row r="9114" spans="11:11" x14ac:dyDescent="0.25">
      <c r="K9114" s="8" t="e">
        <f t="shared" si="116"/>
        <v>#VALUE!</v>
      </c>
    </row>
    <row r="9115" spans="11:11" x14ac:dyDescent="0.25">
      <c r="K9115" s="8" t="e">
        <f t="shared" si="116"/>
        <v>#VALUE!</v>
      </c>
    </row>
    <row r="9116" spans="11:11" x14ac:dyDescent="0.25">
      <c r="K9116" s="8" t="e">
        <f t="shared" si="116"/>
        <v>#VALUE!</v>
      </c>
    </row>
    <row r="9117" spans="11:11" x14ac:dyDescent="0.25">
      <c r="K9117" s="8" t="e">
        <f t="shared" si="116"/>
        <v>#VALUE!</v>
      </c>
    </row>
    <row r="9118" spans="11:11" x14ac:dyDescent="0.25">
      <c r="K9118" s="8" t="e">
        <f t="shared" si="116"/>
        <v>#VALUE!</v>
      </c>
    </row>
    <row r="9119" spans="11:11" x14ac:dyDescent="0.25">
      <c r="K9119" s="8" t="e">
        <f t="shared" si="116"/>
        <v>#VALUE!</v>
      </c>
    </row>
    <row r="9120" spans="11:11" x14ac:dyDescent="0.25">
      <c r="K9120" s="8" t="e">
        <f t="shared" si="116"/>
        <v>#VALUE!</v>
      </c>
    </row>
    <row r="9121" spans="11:11" x14ac:dyDescent="0.25">
      <c r="K9121" s="8" t="e">
        <f t="shared" si="116"/>
        <v>#VALUE!</v>
      </c>
    </row>
    <row r="9122" spans="11:11" x14ac:dyDescent="0.25">
      <c r="K9122" s="8" t="e">
        <f t="shared" si="116"/>
        <v>#VALUE!</v>
      </c>
    </row>
    <row r="9123" spans="11:11" x14ac:dyDescent="0.25">
      <c r="K9123" s="8" t="e">
        <f t="shared" si="116"/>
        <v>#VALUE!</v>
      </c>
    </row>
    <row r="9124" spans="11:11" x14ac:dyDescent="0.25">
      <c r="K9124" s="8" t="e">
        <f t="shared" si="116"/>
        <v>#VALUE!</v>
      </c>
    </row>
    <row r="9125" spans="11:11" x14ac:dyDescent="0.25">
      <c r="K9125" s="8" t="e">
        <f t="shared" si="116"/>
        <v>#VALUE!</v>
      </c>
    </row>
    <row r="9126" spans="11:11" x14ac:dyDescent="0.25">
      <c r="K9126" s="8" t="e">
        <f t="shared" si="116"/>
        <v>#VALUE!</v>
      </c>
    </row>
    <row r="9127" spans="11:11" x14ac:dyDescent="0.25">
      <c r="K9127" s="8" t="e">
        <f t="shared" si="116"/>
        <v>#VALUE!</v>
      </c>
    </row>
    <row r="9128" spans="11:11" x14ac:dyDescent="0.25">
      <c r="K9128" s="8" t="e">
        <f t="shared" si="116"/>
        <v>#VALUE!</v>
      </c>
    </row>
    <row r="9129" spans="11:11" x14ac:dyDescent="0.25">
      <c r="K9129" s="8" t="e">
        <f t="shared" si="116"/>
        <v>#VALUE!</v>
      </c>
    </row>
    <row r="9130" spans="11:11" x14ac:dyDescent="0.25">
      <c r="K9130" s="8" t="e">
        <f t="shared" si="116"/>
        <v>#VALUE!</v>
      </c>
    </row>
    <row r="9131" spans="11:11" x14ac:dyDescent="0.25">
      <c r="K9131" s="8" t="e">
        <f t="shared" si="116"/>
        <v>#VALUE!</v>
      </c>
    </row>
    <row r="9132" spans="11:11" x14ac:dyDescent="0.25">
      <c r="K9132" s="8" t="e">
        <f t="shared" si="116"/>
        <v>#VALUE!</v>
      </c>
    </row>
    <row r="9133" spans="11:11" x14ac:dyDescent="0.25">
      <c r="K9133" s="8" t="e">
        <f t="shared" si="116"/>
        <v>#VALUE!</v>
      </c>
    </row>
    <row r="9134" spans="11:11" x14ac:dyDescent="0.25">
      <c r="K9134" s="8" t="e">
        <f t="shared" si="116"/>
        <v>#VALUE!</v>
      </c>
    </row>
    <row r="9135" spans="11:11" x14ac:dyDescent="0.25">
      <c r="K9135" s="8" t="e">
        <f t="shared" si="116"/>
        <v>#VALUE!</v>
      </c>
    </row>
    <row r="9136" spans="11:11" x14ac:dyDescent="0.25">
      <c r="K9136" s="8" t="e">
        <f t="shared" si="116"/>
        <v>#VALUE!</v>
      </c>
    </row>
    <row r="9137" spans="11:11" x14ac:dyDescent="0.25">
      <c r="K9137" s="8" t="e">
        <f t="shared" si="116"/>
        <v>#VALUE!</v>
      </c>
    </row>
    <row r="9138" spans="11:11" x14ac:dyDescent="0.25">
      <c r="K9138" s="8" t="e">
        <f t="shared" si="116"/>
        <v>#VALUE!</v>
      </c>
    </row>
    <row r="9139" spans="11:11" x14ac:dyDescent="0.25">
      <c r="K9139" s="8" t="e">
        <f t="shared" si="116"/>
        <v>#VALUE!</v>
      </c>
    </row>
    <row r="9140" spans="11:11" x14ac:dyDescent="0.25">
      <c r="K9140" s="8" t="e">
        <f t="shared" si="116"/>
        <v>#VALUE!</v>
      </c>
    </row>
    <row r="9141" spans="11:11" x14ac:dyDescent="0.25">
      <c r="K9141" s="8" t="e">
        <f t="shared" si="116"/>
        <v>#VALUE!</v>
      </c>
    </row>
    <row r="9142" spans="11:11" x14ac:dyDescent="0.25">
      <c r="K9142" s="8" t="e">
        <f t="shared" si="116"/>
        <v>#VALUE!</v>
      </c>
    </row>
    <row r="9143" spans="11:11" x14ac:dyDescent="0.25">
      <c r="K9143" s="8" t="e">
        <f t="shared" si="116"/>
        <v>#VALUE!</v>
      </c>
    </row>
    <row r="9144" spans="11:11" x14ac:dyDescent="0.25">
      <c r="K9144" s="8" t="e">
        <f t="shared" si="116"/>
        <v>#VALUE!</v>
      </c>
    </row>
    <row r="9145" spans="11:11" x14ac:dyDescent="0.25">
      <c r="K9145" s="8" t="e">
        <f t="shared" si="116"/>
        <v>#VALUE!</v>
      </c>
    </row>
    <row r="9146" spans="11:11" x14ac:dyDescent="0.25">
      <c r="K9146" s="8" t="e">
        <f t="shared" si="116"/>
        <v>#VALUE!</v>
      </c>
    </row>
    <row r="9147" spans="11:11" x14ac:dyDescent="0.25">
      <c r="K9147" s="8" t="e">
        <f t="shared" si="116"/>
        <v>#VALUE!</v>
      </c>
    </row>
    <row r="9148" spans="11:11" x14ac:dyDescent="0.25">
      <c r="K9148" s="8" t="e">
        <f t="shared" si="116"/>
        <v>#VALUE!</v>
      </c>
    </row>
    <row r="9149" spans="11:11" x14ac:dyDescent="0.25">
      <c r="K9149" s="8" t="e">
        <f t="shared" si="116"/>
        <v>#VALUE!</v>
      </c>
    </row>
    <row r="9150" spans="11:11" x14ac:dyDescent="0.25">
      <c r="K9150" s="8" t="e">
        <f t="shared" si="116"/>
        <v>#VALUE!</v>
      </c>
    </row>
    <row r="9151" spans="11:11" x14ac:dyDescent="0.25">
      <c r="K9151" s="8" t="e">
        <f t="shared" si="116"/>
        <v>#VALUE!</v>
      </c>
    </row>
    <row r="9152" spans="11:11" x14ac:dyDescent="0.25">
      <c r="K9152" s="8" t="e">
        <f t="shared" si="116"/>
        <v>#VALUE!</v>
      </c>
    </row>
    <row r="9153" spans="11:11" x14ac:dyDescent="0.25">
      <c r="K9153" s="8" t="e">
        <f t="shared" si="116"/>
        <v>#VALUE!</v>
      </c>
    </row>
    <row r="9154" spans="11:11" x14ac:dyDescent="0.25">
      <c r="K9154" s="8" t="e">
        <f t="shared" si="116"/>
        <v>#VALUE!</v>
      </c>
    </row>
    <row r="9155" spans="11:11" x14ac:dyDescent="0.25">
      <c r="K9155" s="8" t="e">
        <f t="shared" ref="K9155:K9218" si="117">LEFT(A9155,FIND("/",A9155)-1)</f>
        <v>#VALUE!</v>
      </c>
    </row>
    <row r="9156" spans="11:11" x14ac:dyDescent="0.25">
      <c r="K9156" s="8" t="e">
        <f t="shared" si="117"/>
        <v>#VALUE!</v>
      </c>
    </row>
    <row r="9157" spans="11:11" x14ac:dyDescent="0.25">
      <c r="K9157" s="8" t="e">
        <f t="shared" si="117"/>
        <v>#VALUE!</v>
      </c>
    </row>
    <row r="9158" spans="11:11" x14ac:dyDescent="0.25">
      <c r="K9158" s="8" t="e">
        <f t="shared" si="117"/>
        <v>#VALUE!</v>
      </c>
    </row>
    <row r="9159" spans="11:11" x14ac:dyDescent="0.25">
      <c r="K9159" s="8" t="e">
        <f t="shared" si="117"/>
        <v>#VALUE!</v>
      </c>
    </row>
    <row r="9160" spans="11:11" x14ac:dyDescent="0.25">
      <c r="K9160" s="8" t="e">
        <f t="shared" si="117"/>
        <v>#VALUE!</v>
      </c>
    </row>
    <row r="9161" spans="11:11" x14ac:dyDescent="0.25">
      <c r="K9161" s="8" t="e">
        <f t="shared" si="117"/>
        <v>#VALUE!</v>
      </c>
    </row>
    <row r="9162" spans="11:11" x14ac:dyDescent="0.25">
      <c r="K9162" s="8" t="e">
        <f t="shared" si="117"/>
        <v>#VALUE!</v>
      </c>
    </row>
    <row r="9163" spans="11:11" x14ac:dyDescent="0.25">
      <c r="K9163" s="8" t="e">
        <f t="shared" si="117"/>
        <v>#VALUE!</v>
      </c>
    </row>
    <row r="9164" spans="11:11" x14ac:dyDescent="0.25">
      <c r="K9164" s="8" t="e">
        <f t="shared" si="117"/>
        <v>#VALUE!</v>
      </c>
    </row>
    <row r="9165" spans="11:11" x14ac:dyDescent="0.25">
      <c r="K9165" s="8" t="e">
        <f t="shared" si="117"/>
        <v>#VALUE!</v>
      </c>
    </row>
    <row r="9166" spans="11:11" x14ac:dyDescent="0.25">
      <c r="K9166" s="8" t="e">
        <f t="shared" si="117"/>
        <v>#VALUE!</v>
      </c>
    </row>
    <row r="9167" spans="11:11" x14ac:dyDescent="0.25">
      <c r="K9167" s="8" t="e">
        <f t="shared" si="117"/>
        <v>#VALUE!</v>
      </c>
    </row>
    <row r="9168" spans="11:11" x14ac:dyDescent="0.25">
      <c r="K9168" s="8" t="e">
        <f t="shared" si="117"/>
        <v>#VALUE!</v>
      </c>
    </row>
    <row r="9169" spans="11:11" x14ac:dyDescent="0.25">
      <c r="K9169" s="8" t="e">
        <f t="shared" si="117"/>
        <v>#VALUE!</v>
      </c>
    </row>
    <row r="9170" spans="11:11" x14ac:dyDescent="0.25">
      <c r="K9170" s="8" t="e">
        <f t="shared" si="117"/>
        <v>#VALUE!</v>
      </c>
    </row>
    <row r="9171" spans="11:11" x14ac:dyDescent="0.25">
      <c r="K9171" s="8" t="e">
        <f t="shared" si="117"/>
        <v>#VALUE!</v>
      </c>
    </row>
    <row r="9172" spans="11:11" x14ac:dyDescent="0.25">
      <c r="K9172" s="8" t="e">
        <f t="shared" si="117"/>
        <v>#VALUE!</v>
      </c>
    </row>
    <row r="9173" spans="11:11" x14ac:dyDescent="0.25">
      <c r="K9173" s="8" t="e">
        <f t="shared" si="117"/>
        <v>#VALUE!</v>
      </c>
    </row>
    <row r="9174" spans="11:11" x14ac:dyDescent="0.25">
      <c r="K9174" s="8" t="e">
        <f t="shared" si="117"/>
        <v>#VALUE!</v>
      </c>
    </row>
    <row r="9175" spans="11:11" x14ac:dyDescent="0.25">
      <c r="K9175" s="8" t="e">
        <f t="shared" si="117"/>
        <v>#VALUE!</v>
      </c>
    </row>
    <row r="9176" spans="11:11" x14ac:dyDescent="0.25">
      <c r="K9176" s="8" t="e">
        <f t="shared" si="117"/>
        <v>#VALUE!</v>
      </c>
    </row>
    <row r="9177" spans="11:11" x14ac:dyDescent="0.25">
      <c r="K9177" s="8" t="e">
        <f t="shared" si="117"/>
        <v>#VALUE!</v>
      </c>
    </row>
    <row r="9178" spans="11:11" x14ac:dyDescent="0.25">
      <c r="K9178" s="8" t="e">
        <f t="shared" si="117"/>
        <v>#VALUE!</v>
      </c>
    </row>
    <row r="9179" spans="11:11" x14ac:dyDescent="0.25">
      <c r="K9179" s="8" t="e">
        <f t="shared" si="117"/>
        <v>#VALUE!</v>
      </c>
    </row>
    <row r="9180" spans="11:11" x14ac:dyDescent="0.25">
      <c r="K9180" s="8" t="e">
        <f t="shared" si="117"/>
        <v>#VALUE!</v>
      </c>
    </row>
    <row r="9181" spans="11:11" x14ac:dyDescent="0.25">
      <c r="K9181" s="8" t="e">
        <f t="shared" si="117"/>
        <v>#VALUE!</v>
      </c>
    </row>
    <row r="9182" spans="11:11" x14ac:dyDescent="0.25">
      <c r="K9182" s="8" t="e">
        <f t="shared" si="117"/>
        <v>#VALUE!</v>
      </c>
    </row>
    <row r="9183" spans="11:11" x14ac:dyDescent="0.25">
      <c r="K9183" s="8" t="e">
        <f t="shared" si="117"/>
        <v>#VALUE!</v>
      </c>
    </row>
    <row r="9184" spans="11:11" x14ac:dyDescent="0.25">
      <c r="K9184" s="8" t="e">
        <f t="shared" si="117"/>
        <v>#VALUE!</v>
      </c>
    </row>
    <row r="9185" spans="11:11" x14ac:dyDescent="0.25">
      <c r="K9185" s="8" t="e">
        <f t="shared" si="117"/>
        <v>#VALUE!</v>
      </c>
    </row>
    <row r="9186" spans="11:11" x14ac:dyDescent="0.25">
      <c r="K9186" s="8" t="e">
        <f t="shared" si="117"/>
        <v>#VALUE!</v>
      </c>
    </row>
    <row r="9187" spans="11:11" x14ac:dyDescent="0.25">
      <c r="K9187" s="8" t="e">
        <f t="shared" si="117"/>
        <v>#VALUE!</v>
      </c>
    </row>
    <row r="9188" spans="11:11" x14ac:dyDescent="0.25">
      <c r="K9188" s="8" t="e">
        <f t="shared" si="117"/>
        <v>#VALUE!</v>
      </c>
    </row>
    <row r="9189" spans="11:11" x14ac:dyDescent="0.25">
      <c r="K9189" s="8" t="e">
        <f t="shared" si="117"/>
        <v>#VALUE!</v>
      </c>
    </row>
    <row r="9190" spans="11:11" x14ac:dyDescent="0.25">
      <c r="K9190" s="8" t="e">
        <f t="shared" si="117"/>
        <v>#VALUE!</v>
      </c>
    </row>
    <row r="9191" spans="11:11" x14ac:dyDescent="0.25">
      <c r="K9191" s="8" t="e">
        <f t="shared" si="117"/>
        <v>#VALUE!</v>
      </c>
    </row>
    <row r="9192" spans="11:11" x14ac:dyDescent="0.25">
      <c r="K9192" s="8" t="e">
        <f t="shared" si="117"/>
        <v>#VALUE!</v>
      </c>
    </row>
    <row r="9193" spans="11:11" x14ac:dyDescent="0.25">
      <c r="K9193" s="8" t="e">
        <f t="shared" si="117"/>
        <v>#VALUE!</v>
      </c>
    </row>
    <row r="9194" spans="11:11" x14ac:dyDescent="0.25">
      <c r="K9194" s="8" t="e">
        <f t="shared" si="117"/>
        <v>#VALUE!</v>
      </c>
    </row>
    <row r="9195" spans="11:11" x14ac:dyDescent="0.25">
      <c r="K9195" s="8" t="e">
        <f t="shared" si="117"/>
        <v>#VALUE!</v>
      </c>
    </row>
    <row r="9196" spans="11:11" x14ac:dyDescent="0.25">
      <c r="K9196" s="8" t="e">
        <f t="shared" si="117"/>
        <v>#VALUE!</v>
      </c>
    </row>
    <row r="9197" spans="11:11" x14ac:dyDescent="0.25">
      <c r="K9197" s="8" t="e">
        <f t="shared" si="117"/>
        <v>#VALUE!</v>
      </c>
    </row>
    <row r="9198" spans="11:11" x14ac:dyDescent="0.25">
      <c r="K9198" s="8" t="e">
        <f t="shared" si="117"/>
        <v>#VALUE!</v>
      </c>
    </row>
    <row r="9199" spans="11:11" x14ac:dyDescent="0.25">
      <c r="K9199" s="8" t="e">
        <f t="shared" si="117"/>
        <v>#VALUE!</v>
      </c>
    </row>
    <row r="9200" spans="11:11" x14ac:dyDescent="0.25">
      <c r="K9200" s="8" t="e">
        <f t="shared" si="117"/>
        <v>#VALUE!</v>
      </c>
    </row>
    <row r="9201" spans="11:11" x14ac:dyDescent="0.25">
      <c r="K9201" s="8" t="e">
        <f t="shared" si="117"/>
        <v>#VALUE!</v>
      </c>
    </row>
    <row r="9202" spans="11:11" x14ac:dyDescent="0.25">
      <c r="K9202" s="8" t="e">
        <f t="shared" si="117"/>
        <v>#VALUE!</v>
      </c>
    </row>
    <row r="9203" spans="11:11" x14ac:dyDescent="0.25">
      <c r="K9203" s="8" t="e">
        <f t="shared" si="117"/>
        <v>#VALUE!</v>
      </c>
    </row>
    <row r="9204" spans="11:11" x14ac:dyDescent="0.25">
      <c r="K9204" s="8" t="e">
        <f t="shared" si="117"/>
        <v>#VALUE!</v>
      </c>
    </row>
    <row r="9205" spans="11:11" x14ac:dyDescent="0.25">
      <c r="K9205" s="8" t="e">
        <f t="shared" si="117"/>
        <v>#VALUE!</v>
      </c>
    </row>
    <row r="9206" spans="11:11" x14ac:dyDescent="0.25">
      <c r="K9206" s="8" t="e">
        <f t="shared" si="117"/>
        <v>#VALUE!</v>
      </c>
    </row>
    <row r="9207" spans="11:11" x14ac:dyDescent="0.25">
      <c r="K9207" s="8" t="e">
        <f t="shared" si="117"/>
        <v>#VALUE!</v>
      </c>
    </row>
    <row r="9208" spans="11:11" x14ac:dyDescent="0.25">
      <c r="K9208" s="8" t="e">
        <f t="shared" si="117"/>
        <v>#VALUE!</v>
      </c>
    </row>
    <row r="9209" spans="11:11" x14ac:dyDescent="0.25">
      <c r="K9209" s="8" t="e">
        <f t="shared" si="117"/>
        <v>#VALUE!</v>
      </c>
    </row>
    <row r="9210" spans="11:11" x14ac:dyDescent="0.25">
      <c r="K9210" s="8" t="e">
        <f t="shared" si="117"/>
        <v>#VALUE!</v>
      </c>
    </row>
    <row r="9211" spans="11:11" x14ac:dyDescent="0.25">
      <c r="K9211" s="8" t="e">
        <f t="shared" si="117"/>
        <v>#VALUE!</v>
      </c>
    </row>
    <row r="9212" spans="11:11" x14ac:dyDescent="0.25">
      <c r="K9212" s="8" t="e">
        <f t="shared" si="117"/>
        <v>#VALUE!</v>
      </c>
    </row>
    <row r="9213" spans="11:11" x14ac:dyDescent="0.25">
      <c r="K9213" s="8" t="e">
        <f t="shared" si="117"/>
        <v>#VALUE!</v>
      </c>
    </row>
    <row r="9214" spans="11:11" x14ac:dyDescent="0.25">
      <c r="K9214" s="8" t="e">
        <f t="shared" si="117"/>
        <v>#VALUE!</v>
      </c>
    </row>
    <row r="9215" spans="11:11" x14ac:dyDescent="0.25">
      <c r="K9215" s="8" t="e">
        <f t="shared" si="117"/>
        <v>#VALUE!</v>
      </c>
    </row>
    <row r="9216" spans="11:11" x14ac:dyDescent="0.25">
      <c r="K9216" s="8" t="e">
        <f t="shared" si="117"/>
        <v>#VALUE!</v>
      </c>
    </row>
    <row r="9217" spans="11:11" x14ac:dyDescent="0.25">
      <c r="K9217" s="8" t="e">
        <f t="shared" si="117"/>
        <v>#VALUE!</v>
      </c>
    </row>
    <row r="9218" spans="11:11" x14ac:dyDescent="0.25">
      <c r="K9218" s="8" t="e">
        <f t="shared" si="117"/>
        <v>#VALUE!</v>
      </c>
    </row>
    <row r="9219" spans="11:11" x14ac:dyDescent="0.25">
      <c r="K9219" s="8" t="e">
        <f t="shared" ref="K9219:K9282" si="118">LEFT(A9219,FIND("/",A9219)-1)</f>
        <v>#VALUE!</v>
      </c>
    </row>
    <row r="9220" spans="11:11" x14ac:dyDescent="0.25">
      <c r="K9220" s="8" t="e">
        <f t="shared" si="118"/>
        <v>#VALUE!</v>
      </c>
    </row>
    <row r="9221" spans="11:11" x14ac:dyDescent="0.25">
      <c r="K9221" s="8" t="e">
        <f t="shared" si="118"/>
        <v>#VALUE!</v>
      </c>
    </row>
    <row r="9222" spans="11:11" x14ac:dyDescent="0.25">
      <c r="K9222" s="8" t="e">
        <f t="shared" si="118"/>
        <v>#VALUE!</v>
      </c>
    </row>
    <row r="9223" spans="11:11" x14ac:dyDescent="0.25">
      <c r="K9223" s="8" t="e">
        <f t="shared" si="118"/>
        <v>#VALUE!</v>
      </c>
    </row>
    <row r="9224" spans="11:11" x14ac:dyDescent="0.25">
      <c r="K9224" s="8" t="e">
        <f t="shared" si="118"/>
        <v>#VALUE!</v>
      </c>
    </row>
    <row r="9225" spans="11:11" x14ac:dyDescent="0.25">
      <c r="K9225" s="8" t="e">
        <f t="shared" si="118"/>
        <v>#VALUE!</v>
      </c>
    </row>
    <row r="9226" spans="11:11" x14ac:dyDescent="0.25">
      <c r="K9226" s="8" t="e">
        <f t="shared" si="118"/>
        <v>#VALUE!</v>
      </c>
    </row>
    <row r="9227" spans="11:11" x14ac:dyDescent="0.25">
      <c r="K9227" s="8" t="e">
        <f t="shared" si="118"/>
        <v>#VALUE!</v>
      </c>
    </row>
    <row r="9228" spans="11:11" x14ac:dyDescent="0.25">
      <c r="K9228" s="8" t="e">
        <f t="shared" si="118"/>
        <v>#VALUE!</v>
      </c>
    </row>
    <row r="9229" spans="11:11" x14ac:dyDescent="0.25">
      <c r="K9229" s="8" t="e">
        <f t="shared" si="118"/>
        <v>#VALUE!</v>
      </c>
    </row>
    <row r="9230" spans="11:11" x14ac:dyDescent="0.25">
      <c r="K9230" s="8" t="e">
        <f t="shared" si="118"/>
        <v>#VALUE!</v>
      </c>
    </row>
    <row r="9231" spans="11:11" x14ac:dyDescent="0.25">
      <c r="K9231" s="8" t="e">
        <f t="shared" si="118"/>
        <v>#VALUE!</v>
      </c>
    </row>
    <row r="9232" spans="11:11" x14ac:dyDescent="0.25">
      <c r="K9232" s="8" t="e">
        <f t="shared" si="118"/>
        <v>#VALUE!</v>
      </c>
    </row>
    <row r="9233" spans="11:11" x14ac:dyDescent="0.25">
      <c r="K9233" s="8" t="e">
        <f t="shared" si="118"/>
        <v>#VALUE!</v>
      </c>
    </row>
    <row r="9234" spans="11:11" x14ac:dyDescent="0.25">
      <c r="K9234" s="8" t="e">
        <f t="shared" si="118"/>
        <v>#VALUE!</v>
      </c>
    </row>
    <row r="9235" spans="11:11" x14ac:dyDescent="0.25">
      <c r="K9235" s="8" t="e">
        <f t="shared" si="118"/>
        <v>#VALUE!</v>
      </c>
    </row>
    <row r="9236" spans="11:11" x14ac:dyDescent="0.25">
      <c r="K9236" s="8" t="e">
        <f t="shared" si="118"/>
        <v>#VALUE!</v>
      </c>
    </row>
    <row r="9237" spans="11:11" x14ac:dyDescent="0.25">
      <c r="K9237" s="8" t="e">
        <f t="shared" si="118"/>
        <v>#VALUE!</v>
      </c>
    </row>
    <row r="9238" spans="11:11" x14ac:dyDescent="0.25">
      <c r="K9238" s="8" t="e">
        <f t="shared" si="118"/>
        <v>#VALUE!</v>
      </c>
    </row>
    <row r="9239" spans="11:11" x14ac:dyDescent="0.25">
      <c r="K9239" s="8" t="e">
        <f t="shared" si="118"/>
        <v>#VALUE!</v>
      </c>
    </row>
    <row r="9240" spans="11:11" x14ac:dyDescent="0.25">
      <c r="K9240" s="8" t="e">
        <f t="shared" si="118"/>
        <v>#VALUE!</v>
      </c>
    </row>
    <row r="9241" spans="11:11" x14ac:dyDescent="0.25">
      <c r="K9241" s="8" t="e">
        <f t="shared" si="118"/>
        <v>#VALUE!</v>
      </c>
    </row>
    <row r="9242" spans="11:11" x14ac:dyDescent="0.25">
      <c r="K9242" s="8" t="e">
        <f t="shared" si="118"/>
        <v>#VALUE!</v>
      </c>
    </row>
    <row r="9243" spans="11:11" x14ac:dyDescent="0.25">
      <c r="K9243" s="8" t="e">
        <f t="shared" si="118"/>
        <v>#VALUE!</v>
      </c>
    </row>
    <row r="9244" spans="11:11" x14ac:dyDescent="0.25">
      <c r="K9244" s="8" t="e">
        <f t="shared" si="118"/>
        <v>#VALUE!</v>
      </c>
    </row>
    <row r="9245" spans="11:11" x14ac:dyDescent="0.25">
      <c r="K9245" s="8" t="e">
        <f t="shared" si="118"/>
        <v>#VALUE!</v>
      </c>
    </row>
    <row r="9246" spans="11:11" x14ac:dyDescent="0.25">
      <c r="K9246" s="8" t="e">
        <f t="shared" si="118"/>
        <v>#VALUE!</v>
      </c>
    </row>
    <row r="9247" spans="11:11" x14ac:dyDescent="0.25">
      <c r="K9247" s="8" t="e">
        <f t="shared" si="118"/>
        <v>#VALUE!</v>
      </c>
    </row>
    <row r="9248" spans="11:11" x14ac:dyDescent="0.25">
      <c r="K9248" s="8" t="e">
        <f t="shared" si="118"/>
        <v>#VALUE!</v>
      </c>
    </row>
    <row r="9249" spans="11:11" x14ac:dyDescent="0.25">
      <c r="K9249" s="8" t="e">
        <f t="shared" si="118"/>
        <v>#VALUE!</v>
      </c>
    </row>
    <row r="9250" spans="11:11" x14ac:dyDescent="0.25">
      <c r="K9250" s="8" t="e">
        <f t="shared" si="118"/>
        <v>#VALUE!</v>
      </c>
    </row>
    <row r="9251" spans="11:11" x14ac:dyDescent="0.25">
      <c r="K9251" s="8" t="e">
        <f t="shared" si="118"/>
        <v>#VALUE!</v>
      </c>
    </row>
    <row r="9252" spans="11:11" x14ac:dyDescent="0.25">
      <c r="K9252" s="8" t="e">
        <f t="shared" si="118"/>
        <v>#VALUE!</v>
      </c>
    </row>
    <row r="9253" spans="11:11" x14ac:dyDescent="0.25">
      <c r="K9253" s="8" t="e">
        <f t="shared" si="118"/>
        <v>#VALUE!</v>
      </c>
    </row>
    <row r="9254" spans="11:11" x14ac:dyDescent="0.25">
      <c r="K9254" s="8" t="e">
        <f t="shared" si="118"/>
        <v>#VALUE!</v>
      </c>
    </row>
    <row r="9255" spans="11:11" x14ac:dyDescent="0.25">
      <c r="K9255" s="8" t="e">
        <f t="shared" si="118"/>
        <v>#VALUE!</v>
      </c>
    </row>
    <row r="9256" spans="11:11" x14ac:dyDescent="0.25">
      <c r="K9256" s="8" t="e">
        <f t="shared" si="118"/>
        <v>#VALUE!</v>
      </c>
    </row>
    <row r="9257" spans="11:11" x14ac:dyDescent="0.25">
      <c r="K9257" s="8" t="e">
        <f t="shared" si="118"/>
        <v>#VALUE!</v>
      </c>
    </row>
    <row r="9258" spans="11:11" x14ac:dyDescent="0.25">
      <c r="K9258" s="8" t="e">
        <f t="shared" si="118"/>
        <v>#VALUE!</v>
      </c>
    </row>
    <row r="9259" spans="11:11" x14ac:dyDescent="0.25">
      <c r="K9259" s="8" t="e">
        <f t="shared" si="118"/>
        <v>#VALUE!</v>
      </c>
    </row>
    <row r="9260" spans="11:11" x14ac:dyDescent="0.25">
      <c r="K9260" s="8" t="e">
        <f t="shared" si="118"/>
        <v>#VALUE!</v>
      </c>
    </row>
    <row r="9261" spans="11:11" x14ac:dyDescent="0.25">
      <c r="K9261" s="8" t="e">
        <f t="shared" si="118"/>
        <v>#VALUE!</v>
      </c>
    </row>
    <row r="9262" spans="11:11" x14ac:dyDescent="0.25">
      <c r="K9262" s="8" t="e">
        <f t="shared" si="118"/>
        <v>#VALUE!</v>
      </c>
    </row>
    <row r="9263" spans="11:11" x14ac:dyDescent="0.25">
      <c r="K9263" s="8" t="e">
        <f t="shared" si="118"/>
        <v>#VALUE!</v>
      </c>
    </row>
    <row r="9264" spans="11:11" x14ac:dyDescent="0.25">
      <c r="K9264" s="8" t="e">
        <f t="shared" si="118"/>
        <v>#VALUE!</v>
      </c>
    </row>
    <row r="9265" spans="11:11" x14ac:dyDescent="0.25">
      <c r="K9265" s="8" t="e">
        <f t="shared" si="118"/>
        <v>#VALUE!</v>
      </c>
    </row>
    <row r="9266" spans="11:11" x14ac:dyDescent="0.25">
      <c r="K9266" s="8" t="e">
        <f t="shared" si="118"/>
        <v>#VALUE!</v>
      </c>
    </row>
    <row r="9267" spans="11:11" x14ac:dyDescent="0.25">
      <c r="K9267" s="8" t="e">
        <f t="shared" si="118"/>
        <v>#VALUE!</v>
      </c>
    </row>
    <row r="9268" spans="11:11" x14ac:dyDescent="0.25">
      <c r="K9268" s="8" t="e">
        <f t="shared" si="118"/>
        <v>#VALUE!</v>
      </c>
    </row>
    <row r="9269" spans="11:11" x14ac:dyDescent="0.25">
      <c r="K9269" s="8" t="e">
        <f t="shared" si="118"/>
        <v>#VALUE!</v>
      </c>
    </row>
    <row r="9270" spans="11:11" x14ac:dyDescent="0.25">
      <c r="K9270" s="8" t="e">
        <f t="shared" si="118"/>
        <v>#VALUE!</v>
      </c>
    </row>
    <row r="9271" spans="11:11" x14ac:dyDescent="0.25">
      <c r="K9271" s="8" t="e">
        <f t="shared" si="118"/>
        <v>#VALUE!</v>
      </c>
    </row>
    <row r="9272" spans="11:11" x14ac:dyDescent="0.25">
      <c r="K9272" s="8" t="e">
        <f t="shared" si="118"/>
        <v>#VALUE!</v>
      </c>
    </row>
    <row r="9273" spans="11:11" x14ac:dyDescent="0.25">
      <c r="K9273" s="8" t="e">
        <f t="shared" si="118"/>
        <v>#VALUE!</v>
      </c>
    </row>
    <row r="9274" spans="11:11" x14ac:dyDescent="0.25">
      <c r="K9274" s="8" t="e">
        <f t="shared" si="118"/>
        <v>#VALUE!</v>
      </c>
    </row>
    <row r="9275" spans="11:11" x14ac:dyDescent="0.25">
      <c r="K9275" s="8" t="e">
        <f t="shared" si="118"/>
        <v>#VALUE!</v>
      </c>
    </row>
    <row r="9276" spans="11:11" x14ac:dyDescent="0.25">
      <c r="K9276" s="8" t="e">
        <f t="shared" si="118"/>
        <v>#VALUE!</v>
      </c>
    </row>
    <row r="9277" spans="11:11" x14ac:dyDescent="0.25">
      <c r="K9277" s="8" t="e">
        <f t="shared" si="118"/>
        <v>#VALUE!</v>
      </c>
    </row>
    <row r="9278" spans="11:11" x14ac:dyDescent="0.25">
      <c r="K9278" s="8" t="e">
        <f t="shared" si="118"/>
        <v>#VALUE!</v>
      </c>
    </row>
    <row r="9279" spans="11:11" x14ac:dyDescent="0.25">
      <c r="K9279" s="8" t="e">
        <f t="shared" si="118"/>
        <v>#VALUE!</v>
      </c>
    </row>
    <row r="9280" spans="11:11" x14ac:dyDescent="0.25">
      <c r="K9280" s="8" t="e">
        <f t="shared" si="118"/>
        <v>#VALUE!</v>
      </c>
    </row>
    <row r="9281" spans="11:11" x14ac:dyDescent="0.25">
      <c r="K9281" s="8" t="e">
        <f t="shared" si="118"/>
        <v>#VALUE!</v>
      </c>
    </row>
    <row r="9282" spans="11:11" x14ac:dyDescent="0.25">
      <c r="K9282" s="8" t="e">
        <f t="shared" si="118"/>
        <v>#VALUE!</v>
      </c>
    </row>
    <row r="9283" spans="11:11" x14ac:dyDescent="0.25">
      <c r="K9283" s="8" t="e">
        <f t="shared" ref="K9283:K9346" si="119">LEFT(A9283,FIND("/",A9283)-1)</f>
        <v>#VALUE!</v>
      </c>
    </row>
    <row r="9284" spans="11:11" x14ac:dyDescent="0.25">
      <c r="K9284" s="8" t="e">
        <f t="shared" si="119"/>
        <v>#VALUE!</v>
      </c>
    </row>
    <row r="9285" spans="11:11" x14ac:dyDescent="0.25">
      <c r="K9285" s="8" t="e">
        <f t="shared" si="119"/>
        <v>#VALUE!</v>
      </c>
    </row>
    <row r="9286" spans="11:11" x14ac:dyDescent="0.25">
      <c r="K9286" s="8" t="e">
        <f t="shared" si="119"/>
        <v>#VALUE!</v>
      </c>
    </row>
    <row r="9287" spans="11:11" x14ac:dyDescent="0.25">
      <c r="K9287" s="8" t="e">
        <f t="shared" si="119"/>
        <v>#VALUE!</v>
      </c>
    </row>
    <row r="9288" spans="11:11" x14ac:dyDescent="0.25">
      <c r="K9288" s="8" t="e">
        <f t="shared" si="119"/>
        <v>#VALUE!</v>
      </c>
    </row>
    <row r="9289" spans="11:11" x14ac:dyDescent="0.25">
      <c r="K9289" s="8" t="e">
        <f t="shared" si="119"/>
        <v>#VALUE!</v>
      </c>
    </row>
    <row r="9290" spans="11:11" x14ac:dyDescent="0.25">
      <c r="K9290" s="8" t="e">
        <f t="shared" si="119"/>
        <v>#VALUE!</v>
      </c>
    </row>
    <row r="9291" spans="11:11" x14ac:dyDescent="0.25">
      <c r="K9291" s="8" t="e">
        <f t="shared" si="119"/>
        <v>#VALUE!</v>
      </c>
    </row>
    <row r="9292" spans="11:11" x14ac:dyDescent="0.25">
      <c r="K9292" s="8" t="e">
        <f t="shared" si="119"/>
        <v>#VALUE!</v>
      </c>
    </row>
    <row r="9293" spans="11:11" x14ac:dyDescent="0.25">
      <c r="K9293" s="8" t="e">
        <f t="shared" si="119"/>
        <v>#VALUE!</v>
      </c>
    </row>
    <row r="9294" spans="11:11" x14ac:dyDescent="0.25">
      <c r="K9294" s="8" t="e">
        <f t="shared" si="119"/>
        <v>#VALUE!</v>
      </c>
    </row>
    <row r="9295" spans="11:11" x14ac:dyDescent="0.25">
      <c r="K9295" s="8" t="e">
        <f t="shared" si="119"/>
        <v>#VALUE!</v>
      </c>
    </row>
    <row r="9296" spans="11:11" x14ac:dyDescent="0.25">
      <c r="K9296" s="8" t="e">
        <f t="shared" si="119"/>
        <v>#VALUE!</v>
      </c>
    </row>
    <row r="9297" spans="11:11" x14ac:dyDescent="0.25">
      <c r="K9297" s="8" t="e">
        <f t="shared" si="119"/>
        <v>#VALUE!</v>
      </c>
    </row>
    <row r="9298" spans="11:11" x14ac:dyDescent="0.25">
      <c r="K9298" s="8" t="e">
        <f t="shared" si="119"/>
        <v>#VALUE!</v>
      </c>
    </row>
    <row r="9299" spans="11:11" x14ac:dyDescent="0.25">
      <c r="K9299" s="8" t="e">
        <f t="shared" si="119"/>
        <v>#VALUE!</v>
      </c>
    </row>
    <row r="9300" spans="11:11" x14ac:dyDescent="0.25">
      <c r="K9300" s="8" t="e">
        <f t="shared" si="119"/>
        <v>#VALUE!</v>
      </c>
    </row>
    <row r="9301" spans="11:11" x14ac:dyDescent="0.25">
      <c r="K9301" s="8" t="e">
        <f t="shared" si="119"/>
        <v>#VALUE!</v>
      </c>
    </row>
    <row r="9302" spans="11:11" x14ac:dyDescent="0.25">
      <c r="K9302" s="8" t="e">
        <f t="shared" si="119"/>
        <v>#VALUE!</v>
      </c>
    </row>
    <row r="9303" spans="11:11" x14ac:dyDescent="0.25">
      <c r="K9303" s="8" t="e">
        <f t="shared" si="119"/>
        <v>#VALUE!</v>
      </c>
    </row>
    <row r="9304" spans="11:11" x14ac:dyDescent="0.25">
      <c r="K9304" s="8" t="e">
        <f t="shared" si="119"/>
        <v>#VALUE!</v>
      </c>
    </row>
    <row r="9305" spans="11:11" x14ac:dyDescent="0.25">
      <c r="K9305" s="8" t="e">
        <f t="shared" si="119"/>
        <v>#VALUE!</v>
      </c>
    </row>
    <row r="9306" spans="11:11" x14ac:dyDescent="0.25">
      <c r="K9306" s="8" t="e">
        <f t="shared" si="119"/>
        <v>#VALUE!</v>
      </c>
    </row>
    <row r="9307" spans="11:11" x14ac:dyDescent="0.25">
      <c r="K9307" s="8" t="e">
        <f t="shared" si="119"/>
        <v>#VALUE!</v>
      </c>
    </row>
    <row r="9308" spans="11:11" x14ac:dyDescent="0.25">
      <c r="K9308" s="8" t="e">
        <f t="shared" si="119"/>
        <v>#VALUE!</v>
      </c>
    </row>
    <row r="9309" spans="11:11" x14ac:dyDescent="0.25">
      <c r="K9309" s="8" t="e">
        <f t="shared" si="119"/>
        <v>#VALUE!</v>
      </c>
    </row>
    <row r="9310" spans="11:11" x14ac:dyDescent="0.25">
      <c r="K9310" s="8" t="e">
        <f t="shared" si="119"/>
        <v>#VALUE!</v>
      </c>
    </row>
    <row r="9311" spans="11:11" x14ac:dyDescent="0.25">
      <c r="K9311" s="8" t="e">
        <f t="shared" si="119"/>
        <v>#VALUE!</v>
      </c>
    </row>
    <row r="9312" spans="11:11" x14ac:dyDescent="0.25">
      <c r="K9312" s="8" t="e">
        <f t="shared" si="119"/>
        <v>#VALUE!</v>
      </c>
    </row>
    <row r="9313" spans="11:11" x14ac:dyDescent="0.25">
      <c r="K9313" s="8" t="e">
        <f t="shared" si="119"/>
        <v>#VALUE!</v>
      </c>
    </row>
    <row r="9314" spans="11:11" x14ac:dyDescent="0.25">
      <c r="K9314" s="8" t="e">
        <f t="shared" si="119"/>
        <v>#VALUE!</v>
      </c>
    </row>
    <row r="9315" spans="11:11" x14ac:dyDescent="0.25">
      <c r="K9315" s="8" t="e">
        <f t="shared" si="119"/>
        <v>#VALUE!</v>
      </c>
    </row>
    <row r="9316" spans="11:11" x14ac:dyDescent="0.25">
      <c r="K9316" s="8" t="e">
        <f t="shared" si="119"/>
        <v>#VALUE!</v>
      </c>
    </row>
    <row r="9317" spans="11:11" x14ac:dyDescent="0.25">
      <c r="K9317" s="8" t="e">
        <f t="shared" si="119"/>
        <v>#VALUE!</v>
      </c>
    </row>
    <row r="9318" spans="11:11" x14ac:dyDescent="0.25">
      <c r="K9318" s="8" t="e">
        <f t="shared" si="119"/>
        <v>#VALUE!</v>
      </c>
    </row>
    <row r="9319" spans="11:11" x14ac:dyDescent="0.25">
      <c r="K9319" s="8" t="e">
        <f t="shared" si="119"/>
        <v>#VALUE!</v>
      </c>
    </row>
    <row r="9320" spans="11:11" x14ac:dyDescent="0.25">
      <c r="K9320" s="8" t="e">
        <f t="shared" si="119"/>
        <v>#VALUE!</v>
      </c>
    </row>
    <row r="9321" spans="11:11" x14ac:dyDescent="0.25">
      <c r="K9321" s="8" t="e">
        <f t="shared" si="119"/>
        <v>#VALUE!</v>
      </c>
    </row>
    <row r="9322" spans="11:11" x14ac:dyDescent="0.25">
      <c r="K9322" s="8" t="e">
        <f t="shared" si="119"/>
        <v>#VALUE!</v>
      </c>
    </row>
    <row r="9323" spans="11:11" x14ac:dyDescent="0.25">
      <c r="K9323" s="8" t="e">
        <f t="shared" si="119"/>
        <v>#VALUE!</v>
      </c>
    </row>
    <row r="9324" spans="11:11" x14ac:dyDescent="0.25">
      <c r="K9324" s="8" t="e">
        <f t="shared" si="119"/>
        <v>#VALUE!</v>
      </c>
    </row>
    <row r="9325" spans="11:11" x14ac:dyDescent="0.25">
      <c r="K9325" s="8" t="e">
        <f t="shared" si="119"/>
        <v>#VALUE!</v>
      </c>
    </row>
    <row r="9326" spans="11:11" x14ac:dyDescent="0.25">
      <c r="K9326" s="8" t="e">
        <f t="shared" si="119"/>
        <v>#VALUE!</v>
      </c>
    </row>
    <row r="9327" spans="11:11" x14ac:dyDescent="0.25">
      <c r="K9327" s="8" t="e">
        <f t="shared" si="119"/>
        <v>#VALUE!</v>
      </c>
    </row>
    <row r="9328" spans="11:11" x14ac:dyDescent="0.25">
      <c r="K9328" s="8" t="e">
        <f t="shared" si="119"/>
        <v>#VALUE!</v>
      </c>
    </row>
    <row r="9329" spans="11:11" x14ac:dyDescent="0.25">
      <c r="K9329" s="8" t="e">
        <f t="shared" si="119"/>
        <v>#VALUE!</v>
      </c>
    </row>
    <row r="9330" spans="11:11" x14ac:dyDescent="0.25">
      <c r="K9330" s="8" t="e">
        <f t="shared" si="119"/>
        <v>#VALUE!</v>
      </c>
    </row>
    <row r="9331" spans="11:11" x14ac:dyDescent="0.25">
      <c r="K9331" s="8" t="e">
        <f t="shared" si="119"/>
        <v>#VALUE!</v>
      </c>
    </row>
    <row r="9332" spans="11:11" x14ac:dyDescent="0.25">
      <c r="K9332" s="8" t="e">
        <f t="shared" si="119"/>
        <v>#VALUE!</v>
      </c>
    </row>
    <row r="9333" spans="11:11" x14ac:dyDescent="0.25">
      <c r="K9333" s="8" t="e">
        <f t="shared" si="119"/>
        <v>#VALUE!</v>
      </c>
    </row>
    <row r="9334" spans="11:11" x14ac:dyDescent="0.25">
      <c r="K9334" s="8" t="e">
        <f t="shared" si="119"/>
        <v>#VALUE!</v>
      </c>
    </row>
    <row r="9335" spans="11:11" x14ac:dyDescent="0.25">
      <c r="K9335" s="8" t="e">
        <f t="shared" si="119"/>
        <v>#VALUE!</v>
      </c>
    </row>
    <row r="9336" spans="11:11" x14ac:dyDescent="0.25">
      <c r="K9336" s="8" t="e">
        <f t="shared" si="119"/>
        <v>#VALUE!</v>
      </c>
    </row>
    <row r="9337" spans="11:11" x14ac:dyDescent="0.25">
      <c r="K9337" s="8" t="e">
        <f t="shared" si="119"/>
        <v>#VALUE!</v>
      </c>
    </row>
    <row r="9338" spans="11:11" x14ac:dyDescent="0.25">
      <c r="K9338" s="8" t="e">
        <f t="shared" si="119"/>
        <v>#VALUE!</v>
      </c>
    </row>
    <row r="9339" spans="11:11" x14ac:dyDescent="0.25">
      <c r="K9339" s="8" t="e">
        <f t="shared" si="119"/>
        <v>#VALUE!</v>
      </c>
    </row>
    <row r="9340" spans="11:11" x14ac:dyDescent="0.25">
      <c r="K9340" s="8" t="e">
        <f t="shared" si="119"/>
        <v>#VALUE!</v>
      </c>
    </row>
    <row r="9341" spans="11:11" x14ac:dyDescent="0.25">
      <c r="K9341" s="8" t="e">
        <f t="shared" si="119"/>
        <v>#VALUE!</v>
      </c>
    </row>
    <row r="9342" spans="11:11" x14ac:dyDescent="0.25">
      <c r="K9342" s="8" t="e">
        <f t="shared" si="119"/>
        <v>#VALUE!</v>
      </c>
    </row>
    <row r="9343" spans="11:11" x14ac:dyDescent="0.25">
      <c r="K9343" s="8" t="e">
        <f t="shared" si="119"/>
        <v>#VALUE!</v>
      </c>
    </row>
    <row r="9344" spans="11:11" x14ac:dyDescent="0.25">
      <c r="K9344" s="8" t="e">
        <f t="shared" si="119"/>
        <v>#VALUE!</v>
      </c>
    </row>
    <row r="9345" spans="11:11" x14ac:dyDescent="0.25">
      <c r="K9345" s="8" t="e">
        <f t="shared" si="119"/>
        <v>#VALUE!</v>
      </c>
    </row>
    <row r="9346" spans="11:11" x14ac:dyDescent="0.25">
      <c r="K9346" s="8" t="e">
        <f t="shared" si="119"/>
        <v>#VALUE!</v>
      </c>
    </row>
    <row r="9347" spans="11:11" x14ac:dyDescent="0.25">
      <c r="K9347" s="8" t="e">
        <f t="shared" ref="K9347:K9410" si="120">LEFT(A9347,FIND("/",A9347)-1)</f>
        <v>#VALUE!</v>
      </c>
    </row>
    <row r="9348" spans="11:11" x14ac:dyDescent="0.25">
      <c r="K9348" s="8" t="e">
        <f t="shared" si="120"/>
        <v>#VALUE!</v>
      </c>
    </row>
    <row r="9349" spans="11:11" x14ac:dyDescent="0.25">
      <c r="K9349" s="8" t="e">
        <f t="shared" si="120"/>
        <v>#VALUE!</v>
      </c>
    </row>
    <row r="9350" spans="11:11" x14ac:dyDescent="0.25">
      <c r="K9350" s="8" t="e">
        <f t="shared" si="120"/>
        <v>#VALUE!</v>
      </c>
    </row>
    <row r="9351" spans="11:11" x14ac:dyDescent="0.25">
      <c r="K9351" s="8" t="e">
        <f t="shared" si="120"/>
        <v>#VALUE!</v>
      </c>
    </row>
    <row r="9352" spans="11:11" x14ac:dyDescent="0.25">
      <c r="K9352" s="8" t="e">
        <f t="shared" si="120"/>
        <v>#VALUE!</v>
      </c>
    </row>
    <row r="9353" spans="11:11" x14ac:dyDescent="0.25">
      <c r="K9353" s="8" t="e">
        <f t="shared" si="120"/>
        <v>#VALUE!</v>
      </c>
    </row>
    <row r="9354" spans="11:11" x14ac:dyDescent="0.25">
      <c r="K9354" s="8" t="e">
        <f t="shared" si="120"/>
        <v>#VALUE!</v>
      </c>
    </row>
    <row r="9355" spans="11:11" x14ac:dyDescent="0.25">
      <c r="K9355" s="8" t="e">
        <f t="shared" si="120"/>
        <v>#VALUE!</v>
      </c>
    </row>
    <row r="9356" spans="11:11" x14ac:dyDescent="0.25">
      <c r="K9356" s="8" t="e">
        <f t="shared" si="120"/>
        <v>#VALUE!</v>
      </c>
    </row>
    <row r="9357" spans="11:11" x14ac:dyDescent="0.25">
      <c r="K9357" s="8" t="e">
        <f t="shared" si="120"/>
        <v>#VALUE!</v>
      </c>
    </row>
    <row r="9358" spans="11:11" x14ac:dyDescent="0.25">
      <c r="K9358" s="8" t="e">
        <f t="shared" si="120"/>
        <v>#VALUE!</v>
      </c>
    </row>
    <row r="9359" spans="11:11" x14ac:dyDescent="0.25">
      <c r="K9359" s="8" t="e">
        <f t="shared" si="120"/>
        <v>#VALUE!</v>
      </c>
    </row>
    <row r="9360" spans="11:11" x14ac:dyDescent="0.25">
      <c r="K9360" s="8" t="e">
        <f t="shared" si="120"/>
        <v>#VALUE!</v>
      </c>
    </row>
    <row r="9361" spans="11:11" x14ac:dyDescent="0.25">
      <c r="K9361" s="8" t="e">
        <f t="shared" si="120"/>
        <v>#VALUE!</v>
      </c>
    </row>
    <row r="9362" spans="11:11" x14ac:dyDescent="0.25">
      <c r="K9362" s="8" t="e">
        <f t="shared" si="120"/>
        <v>#VALUE!</v>
      </c>
    </row>
    <row r="9363" spans="11:11" x14ac:dyDescent="0.25">
      <c r="K9363" s="8" t="e">
        <f t="shared" si="120"/>
        <v>#VALUE!</v>
      </c>
    </row>
    <row r="9364" spans="11:11" x14ac:dyDescent="0.25">
      <c r="K9364" s="8" t="e">
        <f t="shared" si="120"/>
        <v>#VALUE!</v>
      </c>
    </row>
    <row r="9365" spans="11:11" x14ac:dyDescent="0.25">
      <c r="K9365" s="8" t="e">
        <f t="shared" si="120"/>
        <v>#VALUE!</v>
      </c>
    </row>
    <row r="9366" spans="11:11" x14ac:dyDescent="0.25">
      <c r="K9366" s="8" t="e">
        <f t="shared" si="120"/>
        <v>#VALUE!</v>
      </c>
    </row>
    <row r="9367" spans="11:11" x14ac:dyDescent="0.25">
      <c r="K9367" s="8" t="e">
        <f t="shared" si="120"/>
        <v>#VALUE!</v>
      </c>
    </row>
    <row r="9368" spans="11:11" x14ac:dyDescent="0.25">
      <c r="K9368" s="8" t="e">
        <f t="shared" si="120"/>
        <v>#VALUE!</v>
      </c>
    </row>
    <row r="9369" spans="11:11" x14ac:dyDescent="0.25">
      <c r="K9369" s="8" t="e">
        <f t="shared" si="120"/>
        <v>#VALUE!</v>
      </c>
    </row>
    <row r="9370" spans="11:11" x14ac:dyDescent="0.25">
      <c r="K9370" s="8" t="e">
        <f t="shared" si="120"/>
        <v>#VALUE!</v>
      </c>
    </row>
    <row r="9371" spans="11:11" x14ac:dyDescent="0.25">
      <c r="K9371" s="8" t="e">
        <f t="shared" si="120"/>
        <v>#VALUE!</v>
      </c>
    </row>
    <row r="9372" spans="11:11" x14ac:dyDescent="0.25">
      <c r="K9372" s="8" t="e">
        <f t="shared" si="120"/>
        <v>#VALUE!</v>
      </c>
    </row>
    <row r="9373" spans="11:11" x14ac:dyDescent="0.25">
      <c r="K9373" s="8" t="e">
        <f t="shared" si="120"/>
        <v>#VALUE!</v>
      </c>
    </row>
    <row r="9374" spans="11:11" x14ac:dyDescent="0.25">
      <c r="K9374" s="8" t="e">
        <f t="shared" si="120"/>
        <v>#VALUE!</v>
      </c>
    </row>
    <row r="9375" spans="11:11" x14ac:dyDescent="0.25">
      <c r="K9375" s="8" t="e">
        <f t="shared" si="120"/>
        <v>#VALUE!</v>
      </c>
    </row>
    <row r="9376" spans="11:11" x14ac:dyDescent="0.25">
      <c r="K9376" s="8" t="e">
        <f t="shared" si="120"/>
        <v>#VALUE!</v>
      </c>
    </row>
    <row r="9377" spans="11:11" x14ac:dyDescent="0.25">
      <c r="K9377" s="8" t="e">
        <f t="shared" si="120"/>
        <v>#VALUE!</v>
      </c>
    </row>
    <row r="9378" spans="11:11" x14ac:dyDescent="0.25">
      <c r="K9378" s="8" t="e">
        <f t="shared" si="120"/>
        <v>#VALUE!</v>
      </c>
    </row>
    <row r="9379" spans="11:11" x14ac:dyDescent="0.25">
      <c r="K9379" s="8" t="e">
        <f t="shared" si="120"/>
        <v>#VALUE!</v>
      </c>
    </row>
    <row r="9380" spans="11:11" x14ac:dyDescent="0.25">
      <c r="K9380" s="8" t="e">
        <f t="shared" si="120"/>
        <v>#VALUE!</v>
      </c>
    </row>
    <row r="9381" spans="11:11" x14ac:dyDescent="0.25">
      <c r="K9381" s="8" t="e">
        <f t="shared" si="120"/>
        <v>#VALUE!</v>
      </c>
    </row>
    <row r="9382" spans="11:11" x14ac:dyDescent="0.25">
      <c r="K9382" s="8" t="e">
        <f t="shared" si="120"/>
        <v>#VALUE!</v>
      </c>
    </row>
    <row r="9383" spans="11:11" x14ac:dyDescent="0.25">
      <c r="K9383" s="8" t="e">
        <f t="shared" si="120"/>
        <v>#VALUE!</v>
      </c>
    </row>
    <row r="9384" spans="11:11" x14ac:dyDescent="0.25">
      <c r="K9384" s="8" t="e">
        <f t="shared" si="120"/>
        <v>#VALUE!</v>
      </c>
    </row>
    <row r="9385" spans="11:11" x14ac:dyDescent="0.25">
      <c r="K9385" s="8" t="e">
        <f t="shared" si="120"/>
        <v>#VALUE!</v>
      </c>
    </row>
    <row r="9386" spans="11:11" x14ac:dyDescent="0.25">
      <c r="K9386" s="8" t="e">
        <f t="shared" si="120"/>
        <v>#VALUE!</v>
      </c>
    </row>
    <row r="9387" spans="11:11" x14ac:dyDescent="0.25">
      <c r="K9387" s="8" t="e">
        <f t="shared" si="120"/>
        <v>#VALUE!</v>
      </c>
    </row>
    <row r="9388" spans="11:11" x14ac:dyDescent="0.25">
      <c r="K9388" s="8" t="e">
        <f t="shared" si="120"/>
        <v>#VALUE!</v>
      </c>
    </row>
    <row r="9389" spans="11:11" x14ac:dyDescent="0.25">
      <c r="K9389" s="8" t="e">
        <f t="shared" si="120"/>
        <v>#VALUE!</v>
      </c>
    </row>
    <row r="9390" spans="11:11" x14ac:dyDescent="0.25">
      <c r="K9390" s="8" t="e">
        <f t="shared" si="120"/>
        <v>#VALUE!</v>
      </c>
    </row>
    <row r="9391" spans="11:11" x14ac:dyDescent="0.25">
      <c r="K9391" s="8" t="e">
        <f t="shared" si="120"/>
        <v>#VALUE!</v>
      </c>
    </row>
    <row r="9392" spans="11:11" x14ac:dyDescent="0.25">
      <c r="K9392" s="8" t="e">
        <f t="shared" si="120"/>
        <v>#VALUE!</v>
      </c>
    </row>
    <row r="9393" spans="11:11" x14ac:dyDescent="0.25">
      <c r="K9393" s="8" t="e">
        <f t="shared" si="120"/>
        <v>#VALUE!</v>
      </c>
    </row>
    <row r="9394" spans="11:11" x14ac:dyDescent="0.25">
      <c r="K9394" s="8" t="e">
        <f t="shared" si="120"/>
        <v>#VALUE!</v>
      </c>
    </row>
    <row r="9395" spans="11:11" x14ac:dyDescent="0.25">
      <c r="K9395" s="8" t="e">
        <f t="shared" si="120"/>
        <v>#VALUE!</v>
      </c>
    </row>
    <row r="9396" spans="11:11" x14ac:dyDescent="0.25">
      <c r="K9396" s="8" t="e">
        <f t="shared" si="120"/>
        <v>#VALUE!</v>
      </c>
    </row>
    <row r="9397" spans="11:11" x14ac:dyDescent="0.25">
      <c r="K9397" s="8" t="e">
        <f t="shared" si="120"/>
        <v>#VALUE!</v>
      </c>
    </row>
    <row r="9398" spans="11:11" x14ac:dyDescent="0.25">
      <c r="K9398" s="8" t="e">
        <f t="shared" si="120"/>
        <v>#VALUE!</v>
      </c>
    </row>
    <row r="9399" spans="11:11" x14ac:dyDescent="0.25">
      <c r="K9399" s="8" t="e">
        <f t="shared" si="120"/>
        <v>#VALUE!</v>
      </c>
    </row>
    <row r="9400" spans="11:11" x14ac:dyDescent="0.25">
      <c r="K9400" s="8" t="e">
        <f t="shared" si="120"/>
        <v>#VALUE!</v>
      </c>
    </row>
    <row r="9401" spans="11:11" x14ac:dyDescent="0.25">
      <c r="K9401" s="8" t="e">
        <f t="shared" si="120"/>
        <v>#VALUE!</v>
      </c>
    </row>
    <row r="9402" spans="11:11" x14ac:dyDescent="0.25">
      <c r="K9402" s="8" t="e">
        <f t="shared" si="120"/>
        <v>#VALUE!</v>
      </c>
    </row>
    <row r="9403" spans="11:11" x14ac:dyDescent="0.25">
      <c r="K9403" s="8" t="e">
        <f t="shared" si="120"/>
        <v>#VALUE!</v>
      </c>
    </row>
    <row r="9404" spans="11:11" x14ac:dyDescent="0.25">
      <c r="K9404" s="8" t="e">
        <f t="shared" si="120"/>
        <v>#VALUE!</v>
      </c>
    </row>
    <row r="9405" spans="11:11" x14ac:dyDescent="0.25">
      <c r="K9405" s="8" t="e">
        <f t="shared" si="120"/>
        <v>#VALUE!</v>
      </c>
    </row>
    <row r="9406" spans="11:11" x14ac:dyDescent="0.25">
      <c r="K9406" s="8" t="e">
        <f t="shared" si="120"/>
        <v>#VALUE!</v>
      </c>
    </row>
    <row r="9407" spans="11:11" x14ac:dyDescent="0.25">
      <c r="K9407" s="8" t="e">
        <f t="shared" si="120"/>
        <v>#VALUE!</v>
      </c>
    </row>
    <row r="9408" spans="11:11" x14ac:dyDescent="0.25">
      <c r="K9408" s="8" t="e">
        <f t="shared" si="120"/>
        <v>#VALUE!</v>
      </c>
    </row>
    <row r="9409" spans="11:11" x14ac:dyDescent="0.25">
      <c r="K9409" s="8" t="e">
        <f t="shared" si="120"/>
        <v>#VALUE!</v>
      </c>
    </row>
    <row r="9410" spans="11:11" x14ac:dyDescent="0.25">
      <c r="K9410" s="8" t="e">
        <f t="shared" si="120"/>
        <v>#VALUE!</v>
      </c>
    </row>
    <row r="9411" spans="11:11" x14ac:dyDescent="0.25">
      <c r="K9411" s="8" t="e">
        <f t="shared" ref="K9411:K9474" si="121">LEFT(A9411,FIND("/",A9411)-1)</f>
        <v>#VALUE!</v>
      </c>
    </row>
    <row r="9412" spans="11:11" x14ac:dyDescent="0.25">
      <c r="K9412" s="8" t="e">
        <f t="shared" si="121"/>
        <v>#VALUE!</v>
      </c>
    </row>
    <row r="9413" spans="11:11" x14ac:dyDescent="0.25">
      <c r="K9413" s="8" t="e">
        <f t="shared" si="121"/>
        <v>#VALUE!</v>
      </c>
    </row>
    <row r="9414" spans="11:11" x14ac:dyDescent="0.25">
      <c r="K9414" s="8" t="e">
        <f t="shared" si="121"/>
        <v>#VALUE!</v>
      </c>
    </row>
    <row r="9415" spans="11:11" x14ac:dyDescent="0.25">
      <c r="K9415" s="8" t="e">
        <f t="shared" si="121"/>
        <v>#VALUE!</v>
      </c>
    </row>
    <row r="9416" spans="11:11" x14ac:dyDescent="0.25">
      <c r="K9416" s="8" t="e">
        <f t="shared" si="121"/>
        <v>#VALUE!</v>
      </c>
    </row>
    <row r="9417" spans="11:11" x14ac:dyDescent="0.25">
      <c r="K9417" s="8" t="e">
        <f t="shared" si="121"/>
        <v>#VALUE!</v>
      </c>
    </row>
    <row r="9418" spans="11:11" x14ac:dyDescent="0.25">
      <c r="K9418" s="8" t="e">
        <f t="shared" si="121"/>
        <v>#VALUE!</v>
      </c>
    </row>
    <row r="9419" spans="11:11" x14ac:dyDescent="0.25">
      <c r="K9419" s="8" t="e">
        <f t="shared" si="121"/>
        <v>#VALUE!</v>
      </c>
    </row>
    <row r="9420" spans="11:11" x14ac:dyDescent="0.25">
      <c r="K9420" s="8" t="e">
        <f t="shared" si="121"/>
        <v>#VALUE!</v>
      </c>
    </row>
    <row r="9421" spans="11:11" x14ac:dyDescent="0.25">
      <c r="K9421" s="8" t="e">
        <f t="shared" si="121"/>
        <v>#VALUE!</v>
      </c>
    </row>
    <row r="9422" spans="11:11" x14ac:dyDescent="0.25">
      <c r="K9422" s="8" t="e">
        <f t="shared" si="121"/>
        <v>#VALUE!</v>
      </c>
    </row>
    <row r="9423" spans="11:11" x14ac:dyDescent="0.25">
      <c r="K9423" s="8" t="e">
        <f t="shared" si="121"/>
        <v>#VALUE!</v>
      </c>
    </row>
    <row r="9424" spans="11:11" x14ac:dyDescent="0.25">
      <c r="K9424" s="8" t="e">
        <f t="shared" si="121"/>
        <v>#VALUE!</v>
      </c>
    </row>
    <row r="9425" spans="11:11" x14ac:dyDescent="0.25">
      <c r="K9425" s="8" t="e">
        <f t="shared" si="121"/>
        <v>#VALUE!</v>
      </c>
    </row>
    <row r="9426" spans="11:11" x14ac:dyDescent="0.25">
      <c r="K9426" s="8" t="e">
        <f t="shared" si="121"/>
        <v>#VALUE!</v>
      </c>
    </row>
    <row r="9427" spans="11:11" x14ac:dyDescent="0.25">
      <c r="K9427" s="8" t="e">
        <f t="shared" si="121"/>
        <v>#VALUE!</v>
      </c>
    </row>
    <row r="9428" spans="11:11" x14ac:dyDescent="0.25">
      <c r="K9428" s="8" t="e">
        <f t="shared" si="121"/>
        <v>#VALUE!</v>
      </c>
    </row>
    <row r="9429" spans="11:11" x14ac:dyDescent="0.25">
      <c r="K9429" s="8" t="e">
        <f t="shared" si="121"/>
        <v>#VALUE!</v>
      </c>
    </row>
    <row r="9430" spans="11:11" x14ac:dyDescent="0.25">
      <c r="K9430" s="8" t="e">
        <f t="shared" si="121"/>
        <v>#VALUE!</v>
      </c>
    </row>
    <row r="9431" spans="11:11" x14ac:dyDescent="0.25">
      <c r="K9431" s="8" t="e">
        <f t="shared" si="121"/>
        <v>#VALUE!</v>
      </c>
    </row>
    <row r="9432" spans="11:11" x14ac:dyDescent="0.25">
      <c r="K9432" s="8" t="e">
        <f t="shared" si="121"/>
        <v>#VALUE!</v>
      </c>
    </row>
    <row r="9433" spans="11:11" x14ac:dyDescent="0.25">
      <c r="K9433" s="8" t="e">
        <f t="shared" si="121"/>
        <v>#VALUE!</v>
      </c>
    </row>
    <row r="9434" spans="11:11" x14ac:dyDescent="0.25">
      <c r="K9434" s="8" t="e">
        <f t="shared" si="121"/>
        <v>#VALUE!</v>
      </c>
    </row>
    <row r="9435" spans="11:11" x14ac:dyDescent="0.25">
      <c r="K9435" s="8" t="e">
        <f t="shared" si="121"/>
        <v>#VALUE!</v>
      </c>
    </row>
    <row r="9436" spans="11:11" x14ac:dyDescent="0.25">
      <c r="K9436" s="8" t="e">
        <f t="shared" si="121"/>
        <v>#VALUE!</v>
      </c>
    </row>
    <row r="9437" spans="11:11" x14ac:dyDescent="0.25">
      <c r="K9437" s="8" t="e">
        <f t="shared" si="121"/>
        <v>#VALUE!</v>
      </c>
    </row>
    <row r="9438" spans="11:11" x14ac:dyDescent="0.25">
      <c r="K9438" s="8" t="e">
        <f t="shared" si="121"/>
        <v>#VALUE!</v>
      </c>
    </row>
    <row r="9439" spans="11:11" x14ac:dyDescent="0.25">
      <c r="K9439" s="8" t="e">
        <f t="shared" si="121"/>
        <v>#VALUE!</v>
      </c>
    </row>
    <row r="9440" spans="11:11" x14ac:dyDescent="0.25">
      <c r="K9440" s="8" t="e">
        <f t="shared" si="121"/>
        <v>#VALUE!</v>
      </c>
    </row>
    <row r="9441" spans="11:11" x14ac:dyDescent="0.25">
      <c r="K9441" s="8" t="e">
        <f t="shared" si="121"/>
        <v>#VALUE!</v>
      </c>
    </row>
    <row r="9442" spans="11:11" x14ac:dyDescent="0.25">
      <c r="K9442" s="8" t="e">
        <f t="shared" si="121"/>
        <v>#VALUE!</v>
      </c>
    </row>
    <row r="9443" spans="11:11" x14ac:dyDescent="0.25">
      <c r="K9443" s="8" t="e">
        <f t="shared" si="121"/>
        <v>#VALUE!</v>
      </c>
    </row>
    <row r="9444" spans="11:11" x14ac:dyDescent="0.25">
      <c r="K9444" s="8" t="e">
        <f t="shared" si="121"/>
        <v>#VALUE!</v>
      </c>
    </row>
    <row r="9445" spans="11:11" x14ac:dyDescent="0.25">
      <c r="K9445" s="8" t="e">
        <f t="shared" si="121"/>
        <v>#VALUE!</v>
      </c>
    </row>
    <row r="9446" spans="11:11" x14ac:dyDescent="0.25">
      <c r="K9446" s="8" t="e">
        <f t="shared" si="121"/>
        <v>#VALUE!</v>
      </c>
    </row>
    <row r="9447" spans="11:11" x14ac:dyDescent="0.25">
      <c r="K9447" s="8" t="e">
        <f t="shared" si="121"/>
        <v>#VALUE!</v>
      </c>
    </row>
    <row r="9448" spans="11:11" x14ac:dyDescent="0.25">
      <c r="K9448" s="8" t="e">
        <f t="shared" si="121"/>
        <v>#VALUE!</v>
      </c>
    </row>
    <row r="9449" spans="11:11" x14ac:dyDescent="0.25">
      <c r="K9449" s="8" t="e">
        <f t="shared" si="121"/>
        <v>#VALUE!</v>
      </c>
    </row>
    <row r="9450" spans="11:11" x14ac:dyDescent="0.25">
      <c r="K9450" s="8" t="e">
        <f t="shared" si="121"/>
        <v>#VALUE!</v>
      </c>
    </row>
    <row r="9451" spans="11:11" x14ac:dyDescent="0.25">
      <c r="K9451" s="8" t="e">
        <f t="shared" si="121"/>
        <v>#VALUE!</v>
      </c>
    </row>
    <row r="9452" spans="11:11" x14ac:dyDescent="0.25">
      <c r="K9452" s="8" t="e">
        <f t="shared" si="121"/>
        <v>#VALUE!</v>
      </c>
    </row>
    <row r="9453" spans="11:11" x14ac:dyDescent="0.25">
      <c r="K9453" s="8" t="e">
        <f t="shared" si="121"/>
        <v>#VALUE!</v>
      </c>
    </row>
    <row r="9454" spans="11:11" x14ac:dyDescent="0.25">
      <c r="K9454" s="8" t="e">
        <f t="shared" si="121"/>
        <v>#VALUE!</v>
      </c>
    </row>
    <row r="9455" spans="11:11" x14ac:dyDescent="0.25">
      <c r="K9455" s="8" t="e">
        <f t="shared" si="121"/>
        <v>#VALUE!</v>
      </c>
    </row>
    <row r="9456" spans="11:11" x14ac:dyDescent="0.25">
      <c r="K9456" s="8" t="e">
        <f t="shared" si="121"/>
        <v>#VALUE!</v>
      </c>
    </row>
    <row r="9457" spans="11:11" x14ac:dyDescent="0.25">
      <c r="K9457" s="8" t="e">
        <f t="shared" si="121"/>
        <v>#VALUE!</v>
      </c>
    </row>
    <row r="9458" spans="11:11" x14ac:dyDescent="0.25">
      <c r="K9458" s="8" t="e">
        <f t="shared" si="121"/>
        <v>#VALUE!</v>
      </c>
    </row>
    <row r="9459" spans="11:11" x14ac:dyDescent="0.25">
      <c r="K9459" s="8" t="e">
        <f t="shared" si="121"/>
        <v>#VALUE!</v>
      </c>
    </row>
    <row r="9460" spans="11:11" x14ac:dyDescent="0.25">
      <c r="K9460" s="8" t="e">
        <f t="shared" si="121"/>
        <v>#VALUE!</v>
      </c>
    </row>
    <row r="9461" spans="11:11" x14ac:dyDescent="0.25">
      <c r="K9461" s="8" t="e">
        <f t="shared" si="121"/>
        <v>#VALUE!</v>
      </c>
    </row>
    <row r="9462" spans="11:11" x14ac:dyDescent="0.25">
      <c r="K9462" s="8" t="e">
        <f t="shared" si="121"/>
        <v>#VALUE!</v>
      </c>
    </row>
    <row r="9463" spans="11:11" x14ac:dyDescent="0.25">
      <c r="K9463" s="8" t="e">
        <f t="shared" si="121"/>
        <v>#VALUE!</v>
      </c>
    </row>
    <row r="9464" spans="11:11" x14ac:dyDescent="0.25">
      <c r="K9464" s="8" t="e">
        <f t="shared" si="121"/>
        <v>#VALUE!</v>
      </c>
    </row>
    <row r="9465" spans="11:11" x14ac:dyDescent="0.25">
      <c r="K9465" s="8" t="e">
        <f t="shared" si="121"/>
        <v>#VALUE!</v>
      </c>
    </row>
    <row r="9466" spans="11:11" x14ac:dyDescent="0.25">
      <c r="K9466" s="8" t="e">
        <f t="shared" si="121"/>
        <v>#VALUE!</v>
      </c>
    </row>
    <row r="9467" spans="11:11" x14ac:dyDescent="0.25">
      <c r="K9467" s="8" t="e">
        <f t="shared" si="121"/>
        <v>#VALUE!</v>
      </c>
    </row>
    <row r="9468" spans="11:11" x14ac:dyDescent="0.25">
      <c r="K9468" s="8" t="e">
        <f t="shared" si="121"/>
        <v>#VALUE!</v>
      </c>
    </row>
    <row r="9469" spans="11:11" x14ac:dyDescent="0.25">
      <c r="K9469" s="8" t="e">
        <f t="shared" si="121"/>
        <v>#VALUE!</v>
      </c>
    </row>
    <row r="9470" spans="11:11" x14ac:dyDescent="0.25">
      <c r="K9470" s="8" t="e">
        <f t="shared" si="121"/>
        <v>#VALUE!</v>
      </c>
    </row>
    <row r="9471" spans="11:11" x14ac:dyDescent="0.25">
      <c r="K9471" s="8" t="e">
        <f t="shared" si="121"/>
        <v>#VALUE!</v>
      </c>
    </row>
    <row r="9472" spans="11:11" x14ac:dyDescent="0.25">
      <c r="K9472" s="8" t="e">
        <f t="shared" si="121"/>
        <v>#VALUE!</v>
      </c>
    </row>
    <row r="9473" spans="11:11" x14ac:dyDescent="0.25">
      <c r="K9473" s="8" t="e">
        <f t="shared" si="121"/>
        <v>#VALUE!</v>
      </c>
    </row>
    <row r="9474" spans="11:11" x14ac:dyDescent="0.25">
      <c r="K9474" s="8" t="e">
        <f t="shared" si="121"/>
        <v>#VALUE!</v>
      </c>
    </row>
    <row r="9475" spans="11:11" x14ac:dyDescent="0.25">
      <c r="K9475" s="8" t="e">
        <f t="shared" ref="K9475:K9538" si="122">LEFT(A9475,FIND("/",A9475)-1)</f>
        <v>#VALUE!</v>
      </c>
    </row>
    <row r="9476" spans="11:11" x14ac:dyDescent="0.25">
      <c r="K9476" s="8" t="e">
        <f t="shared" si="122"/>
        <v>#VALUE!</v>
      </c>
    </row>
    <row r="9477" spans="11:11" x14ac:dyDescent="0.25">
      <c r="K9477" s="8" t="e">
        <f t="shared" si="122"/>
        <v>#VALUE!</v>
      </c>
    </row>
    <row r="9478" spans="11:11" x14ac:dyDescent="0.25">
      <c r="K9478" s="8" t="e">
        <f t="shared" si="122"/>
        <v>#VALUE!</v>
      </c>
    </row>
    <row r="9479" spans="11:11" x14ac:dyDescent="0.25">
      <c r="K9479" s="8" t="e">
        <f t="shared" si="122"/>
        <v>#VALUE!</v>
      </c>
    </row>
    <row r="9480" spans="11:11" x14ac:dyDescent="0.25">
      <c r="K9480" s="8" t="e">
        <f t="shared" si="122"/>
        <v>#VALUE!</v>
      </c>
    </row>
    <row r="9481" spans="11:11" x14ac:dyDescent="0.25">
      <c r="K9481" s="8" t="e">
        <f t="shared" si="122"/>
        <v>#VALUE!</v>
      </c>
    </row>
    <row r="9482" spans="11:11" x14ac:dyDescent="0.25">
      <c r="K9482" s="8" t="e">
        <f t="shared" si="122"/>
        <v>#VALUE!</v>
      </c>
    </row>
    <row r="9483" spans="11:11" x14ac:dyDescent="0.25">
      <c r="K9483" s="8" t="e">
        <f t="shared" si="122"/>
        <v>#VALUE!</v>
      </c>
    </row>
    <row r="9484" spans="11:11" x14ac:dyDescent="0.25">
      <c r="K9484" s="8" t="e">
        <f t="shared" si="122"/>
        <v>#VALUE!</v>
      </c>
    </row>
    <row r="9485" spans="11:11" x14ac:dyDescent="0.25">
      <c r="K9485" s="8" t="e">
        <f t="shared" si="122"/>
        <v>#VALUE!</v>
      </c>
    </row>
    <row r="9486" spans="11:11" x14ac:dyDescent="0.25">
      <c r="K9486" s="8" t="e">
        <f t="shared" si="122"/>
        <v>#VALUE!</v>
      </c>
    </row>
    <row r="9487" spans="11:11" x14ac:dyDescent="0.25">
      <c r="K9487" s="8" t="e">
        <f t="shared" si="122"/>
        <v>#VALUE!</v>
      </c>
    </row>
    <row r="9488" spans="11:11" x14ac:dyDescent="0.25">
      <c r="K9488" s="8" t="e">
        <f t="shared" si="122"/>
        <v>#VALUE!</v>
      </c>
    </row>
    <row r="9489" spans="11:11" x14ac:dyDescent="0.25">
      <c r="K9489" s="8" t="e">
        <f t="shared" si="122"/>
        <v>#VALUE!</v>
      </c>
    </row>
    <row r="9490" spans="11:11" x14ac:dyDescent="0.25">
      <c r="K9490" s="8" t="e">
        <f t="shared" si="122"/>
        <v>#VALUE!</v>
      </c>
    </row>
    <row r="9491" spans="11:11" x14ac:dyDescent="0.25">
      <c r="K9491" s="8" t="e">
        <f t="shared" si="122"/>
        <v>#VALUE!</v>
      </c>
    </row>
    <row r="9492" spans="11:11" x14ac:dyDescent="0.25">
      <c r="K9492" s="8" t="e">
        <f t="shared" si="122"/>
        <v>#VALUE!</v>
      </c>
    </row>
    <row r="9493" spans="11:11" x14ac:dyDescent="0.25">
      <c r="K9493" s="8" t="e">
        <f t="shared" si="122"/>
        <v>#VALUE!</v>
      </c>
    </row>
    <row r="9494" spans="11:11" x14ac:dyDescent="0.25">
      <c r="K9494" s="8" t="e">
        <f t="shared" si="122"/>
        <v>#VALUE!</v>
      </c>
    </row>
    <row r="9495" spans="11:11" x14ac:dyDescent="0.25">
      <c r="K9495" s="8" t="e">
        <f t="shared" si="122"/>
        <v>#VALUE!</v>
      </c>
    </row>
    <row r="9496" spans="11:11" x14ac:dyDescent="0.25">
      <c r="K9496" s="8" t="e">
        <f t="shared" si="122"/>
        <v>#VALUE!</v>
      </c>
    </row>
    <row r="9497" spans="11:11" x14ac:dyDescent="0.25">
      <c r="K9497" s="8" t="e">
        <f t="shared" si="122"/>
        <v>#VALUE!</v>
      </c>
    </row>
    <row r="9498" spans="11:11" x14ac:dyDescent="0.25">
      <c r="K9498" s="8" t="e">
        <f t="shared" si="122"/>
        <v>#VALUE!</v>
      </c>
    </row>
    <row r="9499" spans="11:11" x14ac:dyDescent="0.25">
      <c r="K9499" s="8" t="e">
        <f t="shared" si="122"/>
        <v>#VALUE!</v>
      </c>
    </row>
    <row r="9500" spans="11:11" x14ac:dyDescent="0.25">
      <c r="K9500" s="8" t="e">
        <f t="shared" si="122"/>
        <v>#VALUE!</v>
      </c>
    </row>
    <row r="9501" spans="11:11" x14ac:dyDescent="0.25">
      <c r="K9501" s="8" t="e">
        <f t="shared" si="122"/>
        <v>#VALUE!</v>
      </c>
    </row>
    <row r="9502" spans="11:11" x14ac:dyDescent="0.25">
      <c r="K9502" s="8" t="e">
        <f t="shared" si="122"/>
        <v>#VALUE!</v>
      </c>
    </row>
    <row r="9503" spans="11:11" x14ac:dyDescent="0.25">
      <c r="K9503" s="8" t="e">
        <f t="shared" si="122"/>
        <v>#VALUE!</v>
      </c>
    </row>
    <row r="9504" spans="11:11" x14ac:dyDescent="0.25">
      <c r="K9504" s="8" t="e">
        <f t="shared" si="122"/>
        <v>#VALUE!</v>
      </c>
    </row>
    <row r="9505" spans="11:11" x14ac:dyDescent="0.25">
      <c r="K9505" s="8" t="e">
        <f t="shared" si="122"/>
        <v>#VALUE!</v>
      </c>
    </row>
    <row r="9506" spans="11:11" x14ac:dyDescent="0.25">
      <c r="K9506" s="8" t="e">
        <f t="shared" si="122"/>
        <v>#VALUE!</v>
      </c>
    </row>
    <row r="9507" spans="11:11" x14ac:dyDescent="0.25">
      <c r="K9507" s="8" t="e">
        <f t="shared" si="122"/>
        <v>#VALUE!</v>
      </c>
    </row>
    <row r="9508" spans="11:11" x14ac:dyDescent="0.25">
      <c r="K9508" s="8" t="e">
        <f t="shared" si="122"/>
        <v>#VALUE!</v>
      </c>
    </row>
    <row r="9509" spans="11:11" x14ac:dyDescent="0.25">
      <c r="K9509" s="8" t="e">
        <f t="shared" si="122"/>
        <v>#VALUE!</v>
      </c>
    </row>
    <row r="9510" spans="11:11" x14ac:dyDescent="0.25">
      <c r="K9510" s="8" t="e">
        <f t="shared" si="122"/>
        <v>#VALUE!</v>
      </c>
    </row>
    <row r="9511" spans="11:11" x14ac:dyDescent="0.25">
      <c r="K9511" s="8" t="e">
        <f t="shared" si="122"/>
        <v>#VALUE!</v>
      </c>
    </row>
    <row r="9512" spans="11:11" x14ac:dyDescent="0.25">
      <c r="K9512" s="8" t="e">
        <f t="shared" si="122"/>
        <v>#VALUE!</v>
      </c>
    </row>
    <row r="9513" spans="11:11" x14ac:dyDescent="0.25">
      <c r="K9513" s="8" t="e">
        <f t="shared" si="122"/>
        <v>#VALUE!</v>
      </c>
    </row>
    <row r="9514" spans="11:11" x14ac:dyDescent="0.25">
      <c r="K9514" s="8" t="e">
        <f t="shared" si="122"/>
        <v>#VALUE!</v>
      </c>
    </row>
    <row r="9515" spans="11:11" x14ac:dyDescent="0.25">
      <c r="K9515" s="8" t="e">
        <f t="shared" si="122"/>
        <v>#VALUE!</v>
      </c>
    </row>
    <row r="9516" spans="11:11" x14ac:dyDescent="0.25">
      <c r="K9516" s="8" t="e">
        <f t="shared" si="122"/>
        <v>#VALUE!</v>
      </c>
    </row>
    <row r="9517" spans="11:11" x14ac:dyDescent="0.25">
      <c r="K9517" s="8" t="e">
        <f t="shared" si="122"/>
        <v>#VALUE!</v>
      </c>
    </row>
    <row r="9518" spans="11:11" x14ac:dyDescent="0.25">
      <c r="K9518" s="8" t="e">
        <f t="shared" si="122"/>
        <v>#VALUE!</v>
      </c>
    </row>
    <row r="9519" spans="11:11" x14ac:dyDescent="0.25">
      <c r="K9519" s="8" t="e">
        <f t="shared" si="122"/>
        <v>#VALUE!</v>
      </c>
    </row>
    <row r="9520" spans="11:11" x14ac:dyDescent="0.25">
      <c r="K9520" s="8" t="e">
        <f t="shared" si="122"/>
        <v>#VALUE!</v>
      </c>
    </row>
    <row r="9521" spans="11:11" x14ac:dyDescent="0.25">
      <c r="K9521" s="8" t="e">
        <f t="shared" si="122"/>
        <v>#VALUE!</v>
      </c>
    </row>
    <row r="9522" spans="11:11" x14ac:dyDescent="0.25">
      <c r="K9522" s="8" t="e">
        <f t="shared" si="122"/>
        <v>#VALUE!</v>
      </c>
    </row>
    <row r="9523" spans="11:11" x14ac:dyDescent="0.25">
      <c r="K9523" s="8" t="e">
        <f t="shared" si="122"/>
        <v>#VALUE!</v>
      </c>
    </row>
    <row r="9524" spans="11:11" x14ac:dyDescent="0.25">
      <c r="K9524" s="8" t="e">
        <f t="shared" si="122"/>
        <v>#VALUE!</v>
      </c>
    </row>
    <row r="9525" spans="11:11" x14ac:dyDescent="0.25">
      <c r="K9525" s="8" t="e">
        <f t="shared" si="122"/>
        <v>#VALUE!</v>
      </c>
    </row>
    <row r="9526" spans="11:11" x14ac:dyDescent="0.25">
      <c r="K9526" s="8" t="e">
        <f t="shared" si="122"/>
        <v>#VALUE!</v>
      </c>
    </row>
    <row r="9527" spans="11:11" x14ac:dyDescent="0.25">
      <c r="K9527" s="8" t="e">
        <f t="shared" si="122"/>
        <v>#VALUE!</v>
      </c>
    </row>
    <row r="9528" spans="11:11" x14ac:dyDescent="0.25">
      <c r="K9528" s="8" t="e">
        <f t="shared" si="122"/>
        <v>#VALUE!</v>
      </c>
    </row>
    <row r="9529" spans="11:11" x14ac:dyDescent="0.25">
      <c r="K9529" s="8" t="e">
        <f t="shared" si="122"/>
        <v>#VALUE!</v>
      </c>
    </row>
    <row r="9530" spans="11:11" x14ac:dyDescent="0.25">
      <c r="K9530" s="8" t="e">
        <f t="shared" si="122"/>
        <v>#VALUE!</v>
      </c>
    </row>
    <row r="9531" spans="11:11" x14ac:dyDescent="0.25">
      <c r="K9531" s="8" t="e">
        <f t="shared" si="122"/>
        <v>#VALUE!</v>
      </c>
    </row>
    <row r="9532" spans="11:11" x14ac:dyDescent="0.25">
      <c r="K9532" s="8" t="e">
        <f t="shared" si="122"/>
        <v>#VALUE!</v>
      </c>
    </row>
    <row r="9533" spans="11:11" x14ac:dyDescent="0.25">
      <c r="K9533" s="8" t="e">
        <f t="shared" si="122"/>
        <v>#VALUE!</v>
      </c>
    </row>
    <row r="9534" spans="11:11" x14ac:dyDescent="0.25">
      <c r="K9534" s="8" t="e">
        <f t="shared" si="122"/>
        <v>#VALUE!</v>
      </c>
    </row>
    <row r="9535" spans="11:11" x14ac:dyDescent="0.25">
      <c r="K9535" s="8" t="e">
        <f t="shared" si="122"/>
        <v>#VALUE!</v>
      </c>
    </row>
    <row r="9536" spans="11:11" x14ac:dyDescent="0.25">
      <c r="K9536" s="8" t="e">
        <f t="shared" si="122"/>
        <v>#VALUE!</v>
      </c>
    </row>
    <row r="9537" spans="11:11" x14ac:dyDescent="0.25">
      <c r="K9537" s="8" t="e">
        <f t="shared" si="122"/>
        <v>#VALUE!</v>
      </c>
    </row>
    <row r="9538" spans="11:11" x14ac:dyDescent="0.25">
      <c r="K9538" s="8" t="e">
        <f t="shared" si="122"/>
        <v>#VALUE!</v>
      </c>
    </row>
    <row r="9539" spans="11:11" x14ac:dyDescent="0.25">
      <c r="K9539" s="8" t="e">
        <f t="shared" ref="K9539:K9602" si="123">LEFT(A9539,FIND("/",A9539)-1)</f>
        <v>#VALUE!</v>
      </c>
    </row>
    <row r="9540" spans="11:11" x14ac:dyDescent="0.25">
      <c r="K9540" s="8" t="e">
        <f t="shared" si="123"/>
        <v>#VALUE!</v>
      </c>
    </row>
    <row r="9541" spans="11:11" x14ac:dyDescent="0.25">
      <c r="K9541" s="8" t="e">
        <f t="shared" si="123"/>
        <v>#VALUE!</v>
      </c>
    </row>
    <row r="9542" spans="11:11" x14ac:dyDescent="0.25">
      <c r="K9542" s="8" t="e">
        <f t="shared" si="123"/>
        <v>#VALUE!</v>
      </c>
    </row>
    <row r="9543" spans="11:11" x14ac:dyDescent="0.25">
      <c r="K9543" s="8" t="e">
        <f t="shared" si="123"/>
        <v>#VALUE!</v>
      </c>
    </row>
    <row r="9544" spans="11:11" x14ac:dyDescent="0.25">
      <c r="K9544" s="8" t="e">
        <f t="shared" si="123"/>
        <v>#VALUE!</v>
      </c>
    </row>
    <row r="9545" spans="11:11" x14ac:dyDescent="0.25">
      <c r="K9545" s="8" t="e">
        <f t="shared" si="123"/>
        <v>#VALUE!</v>
      </c>
    </row>
    <row r="9546" spans="11:11" x14ac:dyDescent="0.25">
      <c r="K9546" s="8" t="e">
        <f t="shared" si="123"/>
        <v>#VALUE!</v>
      </c>
    </row>
    <row r="9547" spans="11:11" x14ac:dyDescent="0.25">
      <c r="K9547" s="8" t="e">
        <f t="shared" si="123"/>
        <v>#VALUE!</v>
      </c>
    </row>
    <row r="9548" spans="11:11" x14ac:dyDescent="0.25">
      <c r="K9548" s="8" t="e">
        <f t="shared" si="123"/>
        <v>#VALUE!</v>
      </c>
    </row>
    <row r="9549" spans="11:11" x14ac:dyDescent="0.25">
      <c r="K9549" s="8" t="e">
        <f t="shared" si="123"/>
        <v>#VALUE!</v>
      </c>
    </row>
    <row r="9550" spans="11:11" x14ac:dyDescent="0.25">
      <c r="K9550" s="8" t="e">
        <f t="shared" si="123"/>
        <v>#VALUE!</v>
      </c>
    </row>
    <row r="9551" spans="11:11" x14ac:dyDescent="0.25">
      <c r="K9551" s="8" t="e">
        <f t="shared" si="123"/>
        <v>#VALUE!</v>
      </c>
    </row>
    <row r="9552" spans="11:11" x14ac:dyDescent="0.25">
      <c r="K9552" s="8" t="e">
        <f t="shared" si="123"/>
        <v>#VALUE!</v>
      </c>
    </row>
    <row r="9553" spans="11:11" x14ac:dyDescent="0.25">
      <c r="K9553" s="8" t="e">
        <f t="shared" si="123"/>
        <v>#VALUE!</v>
      </c>
    </row>
    <row r="9554" spans="11:11" x14ac:dyDescent="0.25">
      <c r="K9554" s="8" t="e">
        <f t="shared" si="123"/>
        <v>#VALUE!</v>
      </c>
    </row>
    <row r="9555" spans="11:11" x14ac:dyDescent="0.25">
      <c r="K9555" s="8" t="e">
        <f t="shared" si="123"/>
        <v>#VALUE!</v>
      </c>
    </row>
    <row r="9556" spans="11:11" x14ac:dyDescent="0.25">
      <c r="K9556" s="8" t="e">
        <f t="shared" si="123"/>
        <v>#VALUE!</v>
      </c>
    </row>
    <row r="9557" spans="11:11" x14ac:dyDescent="0.25">
      <c r="K9557" s="8" t="e">
        <f t="shared" si="123"/>
        <v>#VALUE!</v>
      </c>
    </row>
    <row r="9558" spans="11:11" x14ac:dyDescent="0.25">
      <c r="K9558" s="8" t="e">
        <f t="shared" si="123"/>
        <v>#VALUE!</v>
      </c>
    </row>
    <row r="9559" spans="11:11" x14ac:dyDescent="0.25">
      <c r="K9559" s="8" t="e">
        <f t="shared" si="123"/>
        <v>#VALUE!</v>
      </c>
    </row>
    <row r="9560" spans="11:11" x14ac:dyDescent="0.25">
      <c r="K9560" s="8" t="e">
        <f t="shared" si="123"/>
        <v>#VALUE!</v>
      </c>
    </row>
    <row r="9561" spans="11:11" x14ac:dyDescent="0.25">
      <c r="K9561" s="8" t="e">
        <f t="shared" si="123"/>
        <v>#VALUE!</v>
      </c>
    </row>
    <row r="9562" spans="11:11" x14ac:dyDescent="0.25">
      <c r="K9562" s="8" t="e">
        <f t="shared" si="123"/>
        <v>#VALUE!</v>
      </c>
    </row>
    <row r="9563" spans="11:11" x14ac:dyDescent="0.25">
      <c r="K9563" s="8" t="e">
        <f t="shared" si="123"/>
        <v>#VALUE!</v>
      </c>
    </row>
    <row r="9564" spans="11:11" x14ac:dyDescent="0.25">
      <c r="K9564" s="8" t="e">
        <f t="shared" si="123"/>
        <v>#VALUE!</v>
      </c>
    </row>
    <row r="9565" spans="11:11" x14ac:dyDescent="0.25">
      <c r="K9565" s="8" t="e">
        <f t="shared" si="123"/>
        <v>#VALUE!</v>
      </c>
    </row>
    <row r="9566" spans="11:11" x14ac:dyDescent="0.25">
      <c r="K9566" s="8" t="e">
        <f t="shared" si="123"/>
        <v>#VALUE!</v>
      </c>
    </row>
    <row r="9567" spans="11:11" x14ac:dyDescent="0.25">
      <c r="K9567" s="8" t="e">
        <f t="shared" si="123"/>
        <v>#VALUE!</v>
      </c>
    </row>
    <row r="9568" spans="11:11" x14ac:dyDescent="0.25">
      <c r="K9568" s="8" t="e">
        <f t="shared" si="123"/>
        <v>#VALUE!</v>
      </c>
    </row>
    <row r="9569" spans="11:11" x14ac:dyDescent="0.25">
      <c r="K9569" s="8" t="e">
        <f t="shared" si="123"/>
        <v>#VALUE!</v>
      </c>
    </row>
    <row r="9570" spans="11:11" x14ac:dyDescent="0.25">
      <c r="K9570" s="8" t="e">
        <f t="shared" si="123"/>
        <v>#VALUE!</v>
      </c>
    </row>
    <row r="9571" spans="11:11" x14ac:dyDescent="0.25">
      <c r="K9571" s="8" t="e">
        <f t="shared" si="123"/>
        <v>#VALUE!</v>
      </c>
    </row>
    <row r="9572" spans="11:11" x14ac:dyDescent="0.25">
      <c r="K9572" s="8" t="e">
        <f t="shared" si="123"/>
        <v>#VALUE!</v>
      </c>
    </row>
    <row r="9573" spans="11:11" x14ac:dyDescent="0.25">
      <c r="K9573" s="8" t="e">
        <f t="shared" si="123"/>
        <v>#VALUE!</v>
      </c>
    </row>
    <row r="9574" spans="11:11" x14ac:dyDescent="0.25">
      <c r="K9574" s="8" t="e">
        <f t="shared" si="123"/>
        <v>#VALUE!</v>
      </c>
    </row>
    <row r="9575" spans="11:11" x14ac:dyDescent="0.25">
      <c r="K9575" s="8" t="e">
        <f t="shared" si="123"/>
        <v>#VALUE!</v>
      </c>
    </row>
    <row r="9576" spans="11:11" x14ac:dyDescent="0.25">
      <c r="K9576" s="8" t="e">
        <f t="shared" si="123"/>
        <v>#VALUE!</v>
      </c>
    </row>
    <row r="9577" spans="11:11" x14ac:dyDescent="0.25">
      <c r="K9577" s="8" t="e">
        <f t="shared" si="123"/>
        <v>#VALUE!</v>
      </c>
    </row>
    <row r="9578" spans="11:11" x14ac:dyDescent="0.25">
      <c r="K9578" s="8" t="e">
        <f t="shared" si="123"/>
        <v>#VALUE!</v>
      </c>
    </row>
    <row r="9579" spans="11:11" x14ac:dyDescent="0.25">
      <c r="K9579" s="8" t="e">
        <f t="shared" si="123"/>
        <v>#VALUE!</v>
      </c>
    </row>
    <row r="9580" spans="11:11" x14ac:dyDescent="0.25">
      <c r="K9580" s="8" t="e">
        <f t="shared" si="123"/>
        <v>#VALUE!</v>
      </c>
    </row>
    <row r="9581" spans="11:11" x14ac:dyDescent="0.25">
      <c r="K9581" s="8" t="e">
        <f t="shared" si="123"/>
        <v>#VALUE!</v>
      </c>
    </row>
    <row r="9582" spans="11:11" x14ac:dyDescent="0.25">
      <c r="K9582" s="8" t="e">
        <f t="shared" si="123"/>
        <v>#VALUE!</v>
      </c>
    </row>
    <row r="9583" spans="11:11" x14ac:dyDescent="0.25">
      <c r="K9583" s="8" t="e">
        <f t="shared" si="123"/>
        <v>#VALUE!</v>
      </c>
    </row>
    <row r="9584" spans="11:11" x14ac:dyDescent="0.25">
      <c r="K9584" s="8" t="e">
        <f t="shared" si="123"/>
        <v>#VALUE!</v>
      </c>
    </row>
    <row r="9585" spans="11:11" x14ac:dyDescent="0.25">
      <c r="K9585" s="8" t="e">
        <f t="shared" si="123"/>
        <v>#VALUE!</v>
      </c>
    </row>
    <row r="9586" spans="11:11" x14ac:dyDescent="0.25">
      <c r="K9586" s="8" t="e">
        <f t="shared" si="123"/>
        <v>#VALUE!</v>
      </c>
    </row>
    <row r="9587" spans="11:11" x14ac:dyDescent="0.25">
      <c r="K9587" s="8" t="e">
        <f t="shared" si="123"/>
        <v>#VALUE!</v>
      </c>
    </row>
    <row r="9588" spans="11:11" x14ac:dyDescent="0.25">
      <c r="K9588" s="8" t="e">
        <f t="shared" si="123"/>
        <v>#VALUE!</v>
      </c>
    </row>
    <row r="9589" spans="11:11" x14ac:dyDescent="0.25">
      <c r="K9589" s="8" t="e">
        <f t="shared" si="123"/>
        <v>#VALUE!</v>
      </c>
    </row>
    <row r="9590" spans="11:11" x14ac:dyDescent="0.25">
      <c r="K9590" s="8" t="e">
        <f t="shared" si="123"/>
        <v>#VALUE!</v>
      </c>
    </row>
    <row r="9591" spans="11:11" x14ac:dyDescent="0.25">
      <c r="K9591" s="8" t="e">
        <f t="shared" si="123"/>
        <v>#VALUE!</v>
      </c>
    </row>
    <row r="9592" spans="11:11" x14ac:dyDescent="0.25">
      <c r="K9592" s="8" t="e">
        <f t="shared" si="123"/>
        <v>#VALUE!</v>
      </c>
    </row>
    <row r="9593" spans="11:11" x14ac:dyDescent="0.25">
      <c r="K9593" s="8" t="e">
        <f t="shared" si="123"/>
        <v>#VALUE!</v>
      </c>
    </row>
    <row r="9594" spans="11:11" x14ac:dyDescent="0.25">
      <c r="K9594" s="8" t="e">
        <f t="shared" si="123"/>
        <v>#VALUE!</v>
      </c>
    </row>
    <row r="9595" spans="11:11" x14ac:dyDescent="0.25">
      <c r="K9595" s="8" t="e">
        <f t="shared" si="123"/>
        <v>#VALUE!</v>
      </c>
    </row>
    <row r="9596" spans="11:11" x14ac:dyDescent="0.25">
      <c r="K9596" s="8" t="e">
        <f t="shared" si="123"/>
        <v>#VALUE!</v>
      </c>
    </row>
    <row r="9597" spans="11:11" x14ac:dyDescent="0.25">
      <c r="K9597" s="8" t="e">
        <f t="shared" si="123"/>
        <v>#VALUE!</v>
      </c>
    </row>
    <row r="9598" spans="11:11" x14ac:dyDescent="0.25">
      <c r="K9598" s="8" t="e">
        <f t="shared" si="123"/>
        <v>#VALUE!</v>
      </c>
    </row>
    <row r="9599" spans="11:11" x14ac:dyDescent="0.25">
      <c r="K9599" s="8" t="e">
        <f t="shared" si="123"/>
        <v>#VALUE!</v>
      </c>
    </row>
    <row r="9600" spans="11:11" x14ac:dyDescent="0.25">
      <c r="K9600" s="8" t="e">
        <f t="shared" si="123"/>
        <v>#VALUE!</v>
      </c>
    </row>
    <row r="9601" spans="11:11" x14ac:dyDescent="0.25">
      <c r="K9601" s="8" t="e">
        <f t="shared" si="123"/>
        <v>#VALUE!</v>
      </c>
    </row>
    <row r="9602" spans="11:11" x14ac:dyDescent="0.25">
      <c r="K9602" s="8" t="e">
        <f t="shared" si="123"/>
        <v>#VALUE!</v>
      </c>
    </row>
    <row r="9603" spans="11:11" x14ac:dyDescent="0.25">
      <c r="K9603" s="8" t="e">
        <f t="shared" ref="K9603:K9666" si="124">LEFT(A9603,FIND("/",A9603)-1)</f>
        <v>#VALUE!</v>
      </c>
    </row>
    <row r="9604" spans="11:11" x14ac:dyDescent="0.25">
      <c r="K9604" s="8" t="e">
        <f t="shared" si="124"/>
        <v>#VALUE!</v>
      </c>
    </row>
    <row r="9605" spans="11:11" x14ac:dyDescent="0.25">
      <c r="K9605" s="8" t="e">
        <f t="shared" si="124"/>
        <v>#VALUE!</v>
      </c>
    </row>
    <row r="9606" spans="11:11" x14ac:dyDescent="0.25">
      <c r="K9606" s="8" t="e">
        <f t="shared" si="124"/>
        <v>#VALUE!</v>
      </c>
    </row>
    <row r="9607" spans="11:11" x14ac:dyDescent="0.25">
      <c r="K9607" s="8" t="e">
        <f t="shared" si="124"/>
        <v>#VALUE!</v>
      </c>
    </row>
    <row r="9608" spans="11:11" x14ac:dyDescent="0.25">
      <c r="K9608" s="8" t="e">
        <f t="shared" si="124"/>
        <v>#VALUE!</v>
      </c>
    </row>
    <row r="9609" spans="11:11" x14ac:dyDescent="0.25">
      <c r="K9609" s="8" t="e">
        <f t="shared" si="124"/>
        <v>#VALUE!</v>
      </c>
    </row>
    <row r="9610" spans="11:11" x14ac:dyDescent="0.25">
      <c r="K9610" s="8" t="e">
        <f t="shared" si="124"/>
        <v>#VALUE!</v>
      </c>
    </row>
    <row r="9611" spans="11:11" x14ac:dyDescent="0.25">
      <c r="K9611" s="8" t="e">
        <f t="shared" si="124"/>
        <v>#VALUE!</v>
      </c>
    </row>
    <row r="9612" spans="11:11" x14ac:dyDescent="0.25">
      <c r="K9612" s="8" t="e">
        <f t="shared" si="124"/>
        <v>#VALUE!</v>
      </c>
    </row>
    <row r="9613" spans="11:11" x14ac:dyDescent="0.25">
      <c r="K9613" s="8" t="e">
        <f t="shared" si="124"/>
        <v>#VALUE!</v>
      </c>
    </row>
    <row r="9614" spans="11:11" x14ac:dyDescent="0.25">
      <c r="K9614" s="8" t="e">
        <f t="shared" si="124"/>
        <v>#VALUE!</v>
      </c>
    </row>
    <row r="9615" spans="11:11" x14ac:dyDescent="0.25">
      <c r="K9615" s="8" t="e">
        <f t="shared" si="124"/>
        <v>#VALUE!</v>
      </c>
    </row>
    <row r="9616" spans="11:11" x14ac:dyDescent="0.25">
      <c r="K9616" s="8" t="e">
        <f t="shared" si="124"/>
        <v>#VALUE!</v>
      </c>
    </row>
    <row r="9617" spans="11:11" x14ac:dyDescent="0.25">
      <c r="K9617" s="8" t="e">
        <f t="shared" si="124"/>
        <v>#VALUE!</v>
      </c>
    </row>
    <row r="9618" spans="11:11" x14ac:dyDescent="0.25">
      <c r="K9618" s="8" t="e">
        <f t="shared" si="124"/>
        <v>#VALUE!</v>
      </c>
    </row>
    <row r="9619" spans="11:11" x14ac:dyDescent="0.25">
      <c r="K9619" s="8" t="e">
        <f t="shared" si="124"/>
        <v>#VALUE!</v>
      </c>
    </row>
    <row r="9620" spans="11:11" x14ac:dyDescent="0.25">
      <c r="K9620" s="8" t="e">
        <f t="shared" si="124"/>
        <v>#VALUE!</v>
      </c>
    </row>
    <row r="9621" spans="11:11" x14ac:dyDescent="0.25">
      <c r="K9621" s="8" t="e">
        <f t="shared" si="124"/>
        <v>#VALUE!</v>
      </c>
    </row>
    <row r="9622" spans="11:11" x14ac:dyDescent="0.25">
      <c r="K9622" s="8" t="e">
        <f t="shared" si="124"/>
        <v>#VALUE!</v>
      </c>
    </row>
    <row r="9623" spans="11:11" x14ac:dyDescent="0.25">
      <c r="K9623" s="8" t="e">
        <f t="shared" si="124"/>
        <v>#VALUE!</v>
      </c>
    </row>
    <row r="9624" spans="11:11" x14ac:dyDescent="0.25">
      <c r="K9624" s="8" t="e">
        <f t="shared" si="124"/>
        <v>#VALUE!</v>
      </c>
    </row>
    <row r="9625" spans="11:11" x14ac:dyDescent="0.25">
      <c r="K9625" s="8" t="e">
        <f t="shared" si="124"/>
        <v>#VALUE!</v>
      </c>
    </row>
    <row r="9626" spans="11:11" x14ac:dyDescent="0.25">
      <c r="K9626" s="8" t="e">
        <f t="shared" si="124"/>
        <v>#VALUE!</v>
      </c>
    </row>
    <row r="9627" spans="11:11" x14ac:dyDescent="0.25">
      <c r="K9627" s="8" t="e">
        <f t="shared" si="124"/>
        <v>#VALUE!</v>
      </c>
    </row>
    <row r="9628" spans="11:11" x14ac:dyDescent="0.25">
      <c r="K9628" s="8" t="e">
        <f t="shared" si="124"/>
        <v>#VALUE!</v>
      </c>
    </row>
    <row r="9629" spans="11:11" x14ac:dyDescent="0.25">
      <c r="K9629" s="8" t="e">
        <f t="shared" si="124"/>
        <v>#VALUE!</v>
      </c>
    </row>
    <row r="9630" spans="11:11" x14ac:dyDescent="0.25">
      <c r="K9630" s="8" t="e">
        <f t="shared" si="124"/>
        <v>#VALUE!</v>
      </c>
    </row>
    <row r="9631" spans="11:11" x14ac:dyDescent="0.25">
      <c r="K9631" s="8" t="e">
        <f t="shared" si="124"/>
        <v>#VALUE!</v>
      </c>
    </row>
    <row r="9632" spans="11:11" x14ac:dyDescent="0.25">
      <c r="K9632" s="8" t="e">
        <f t="shared" si="124"/>
        <v>#VALUE!</v>
      </c>
    </row>
    <row r="9633" spans="11:11" x14ac:dyDescent="0.25">
      <c r="K9633" s="8" t="e">
        <f t="shared" si="124"/>
        <v>#VALUE!</v>
      </c>
    </row>
    <row r="9634" spans="11:11" x14ac:dyDescent="0.25">
      <c r="K9634" s="8" t="e">
        <f t="shared" si="124"/>
        <v>#VALUE!</v>
      </c>
    </row>
    <row r="9635" spans="11:11" x14ac:dyDescent="0.25">
      <c r="K9635" s="8" t="e">
        <f t="shared" si="124"/>
        <v>#VALUE!</v>
      </c>
    </row>
    <row r="9636" spans="11:11" x14ac:dyDescent="0.25">
      <c r="K9636" s="8" t="e">
        <f t="shared" si="124"/>
        <v>#VALUE!</v>
      </c>
    </row>
    <row r="9637" spans="11:11" x14ac:dyDescent="0.25">
      <c r="K9637" s="8" t="e">
        <f t="shared" si="124"/>
        <v>#VALUE!</v>
      </c>
    </row>
    <row r="9638" spans="11:11" x14ac:dyDescent="0.25">
      <c r="K9638" s="8" t="e">
        <f t="shared" si="124"/>
        <v>#VALUE!</v>
      </c>
    </row>
    <row r="9639" spans="11:11" x14ac:dyDescent="0.25">
      <c r="K9639" s="8" t="e">
        <f t="shared" si="124"/>
        <v>#VALUE!</v>
      </c>
    </row>
    <row r="9640" spans="11:11" x14ac:dyDescent="0.25">
      <c r="K9640" s="8" t="e">
        <f t="shared" si="124"/>
        <v>#VALUE!</v>
      </c>
    </row>
    <row r="9641" spans="11:11" x14ac:dyDescent="0.25">
      <c r="K9641" s="8" t="e">
        <f t="shared" si="124"/>
        <v>#VALUE!</v>
      </c>
    </row>
    <row r="9642" spans="11:11" x14ac:dyDescent="0.25">
      <c r="K9642" s="8" t="e">
        <f t="shared" si="124"/>
        <v>#VALUE!</v>
      </c>
    </row>
    <row r="9643" spans="11:11" x14ac:dyDescent="0.25">
      <c r="K9643" s="8" t="e">
        <f t="shared" si="124"/>
        <v>#VALUE!</v>
      </c>
    </row>
    <row r="9644" spans="11:11" x14ac:dyDescent="0.25">
      <c r="K9644" s="8" t="e">
        <f t="shared" si="124"/>
        <v>#VALUE!</v>
      </c>
    </row>
    <row r="9645" spans="11:11" x14ac:dyDescent="0.25">
      <c r="K9645" s="8" t="e">
        <f t="shared" si="124"/>
        <v>#VALUE!</v>
      </c>
    </row>
    <row r="9646" spans="11:11" x14ac:dyDescent="0.25">
      <c r="K9646" s="8" t="e">
        <f t="shared" si="124"/>
        <v>#VALUE!</v>
      </c>
    </row>
    <row r="9647" spans="11:11" x14ac:dyDescent="0.25">
      <c r="K9647" s="8" t="e">
        <f t="shared" si="124"/>
        <v>#VALUE!</v>
      </c>
    </row>
    <row r="9648" spans="11:11" x14ac:dyDescent="0.25">
      <c r="K9648" s="8" t="e">
        <f t="shared" si="124"/>
        <v>#VALUE!</v>
      </c>
    </row>
    <row r="9649" spans="11:11" x14ac:dyDescent="0.25">
      <c r="K9649" s="8" t="e">
        <f t="shared" si="124"/>
        <v>#VALUE!</v>
      </c>
    </row>
    <row r="9650" spans="11:11" x14ac:dyDescent="0.25">
      <c r="K9650" s="8" t="e">
        <f t="shared" si="124"/>
        <v>#VALUE!</v>
      </c>
    </row>
    <row r="9651" spans="11:11" x14ac:dyDescent="0.25">
      <c r="K9651" s="8" t="e">
        <f t="shared" si="124"/>
        <v>#VALUE!</v>
      </c>
    </row>
    <row r="9652" spans="11:11" x14ac:dyDescent="0.25">
      <c r="K9652" s="8" t="e">
        <f t="shared" si="124"/>
        <v>#VALUE!</v>
      </c>
    </row>
    <row r="9653" spans="11:11" x14ac:dyDescent="0.25">
      <c r="K9653" s="8" t="e">
        <f t="shared" si="124"/>
        <v>#VALUE!</v>
      </c>
    </row>
    <row r="9654" spans="11:11" x14ac:dyDescent="0.25">
      <c r="K9654" s="8" t="e">
        <f t="shared" si="124"/>
        <v>#VALUE!</v>
      </c>
    </row>
    <row r="9655" spans="11:11" x14ac:dyDescent="0.25">
      <c r="K9655" s="8" t="e">
        <f t="shared" si="124"/>
        <v>#VALUE!</v>
      </c>
    </row>
    <row r="9656" spans="11:11" x14ac:dyDescent="0.25">
      <c r="K9656" s="8" t="e">
        <f t="shared" si="124"/>
        <v>#VALUE!</v>
      </c>
    </row>
    <row r="9657" spans="11:11" x14ac:dyDescent="0.25">
      <c r="K9657" s="8" t="e">
        <f t="shared" si="124"/>
        <v>#VALUE!</v>
      </c>
    </row>
    <row r="9658" spans="11:11" x14ac:dyDescent="0.25">
      <c r="K9658" s="8" t="e">
        <f t="shared" si="124"/>
        <v>#VALUE!</v>
      </c>
    </row>
    <row r="9659" spans="11:11" x14ac:dyDescent="0.25">
      <c r="K9659" s="8" t="e">
        <f t="shared" si="124"/>
        <v>#VALUE!</v>
      </c>
    </row>
    <row r="9660" spans="11:11" x14ac:dyDescent="0.25">
      <c r="K9660" s="8" t="e">
        <f t="shared" si="124"/>
        <v>#VALUE!</v>
      </c>
    </row>
    <row r="9661" spans="11:11" x14ac:dyDescent="0.25">
      <c r="K9661" s="8" t="e">
        <f t="shared" si="124"/>
        <v>#VALUE!</v>
      </c>
    </row>
    <row r="9662" spans="11:11" x14ac:dyDescent="0.25">
      <c r="K9662" s="8" t="e">
        <f t="shared" si="124"/>
        <v>#VALUE!</v>
      </c>
    </row>
    <row r="9663" spans="11:11" x14ac:dyDescent="0.25">
      <c r="K9663" s="8" t="e">
        <f t="shared" si="124"/>
        <v>#VALUE!</v>
      </c>
    </row>
    <row r="9664" spans="11:11" x14ac:dyDescent="0.25">
      <c r="K9664" s="8" t="e">
        <f t="shared" si="124"/>
        <v>#VALUE!</v>
      </c>
    </row>
    <row r="9665" spans="11:11" x14ac:dyDescent="0.25">
      <c r="K9665" s="8" t="e">
        <f t="shared" si="124"/>
        <v>#VALUE!</v>
      </c>
    </row>
    <row r="9666" spans="11:11" x14ac:dyDescent="0.25">
      <c r="K9666" s="8" t="e">
        <f t="shared" si="124"/>
        <v>#VALUE!</v>
      </c>
    </row>
    <row r="9667" spans="11:11" x14ac:dyDescent="0.25">
      <c r="K9667" s="8" t="e">
        <f t="shared" ref="K9667:K9730" si="125">LEFT(A9667,FIND("/",A9667)-1)</f>
        <v>#VALUE!</v>
      </c>
    </row>
    <row r="9668" spans="11:11" x14ac:dyDescent="0.25">
      <c r="K9668" s="8" t="e">
        <f t="shared" si="125"/>
        <v>#VALUE!</v>
      </c>
    </row>
    <row r="9669" spans="11:11" x14ac:dyDescent="0.25">
      <c r="K9669" s="8" t="e">
        <f t="shared" si="125"/>
        <v>#VALUE!</v>
      </c>
    </row>
    <row r="9670" spans="11:11" x14ac:dyDescent="0.25">
      <c r="K9670" s="8" t="e">
        <f t="shared" si="125"/>
        <v>#VALUE!</v>
      </c>
    </row>
    <row r="9671" spans="11:11" x14ac:dyDescent="0.25">
      <c r="K9671" s="8" t="e">
        <f t="shared" si="125"/>
        <v>#VALUE!</v>
      </c>
    </row>
    <row r="9672" spans="11:11" x14ac:dyDescent="0.25">
      <c r="K9672" s="8" t="e">
        <f t="shared" si="125"/>
        <v>#VALUE!</v>
      </c>
    </row>
    <row r="9673" spans="11:11" x14ac:dyDescent="0.25">
      <c r="K9673" s="8" t="e">
        <f t="shared" si="125"/>
        <v>#VALUE!</v>
      </c>
    </row>
    <row r="9674" spans="11:11" x14ac:dyDescent="0.25">
      <c r="K9674" s="8" t="e">
        <f t="shared" si="125"/>
        <v>#VALUE!</v>
      </c>
    </row>
    <row r="9675" spans="11:11" x14ac:dyDescent="0.25">
      <c r="K9675" s="8" t="e">
        <f t="shared" si="125"/>
        <v>#VALUE!</v>
      </c>
    </row>
    <row r="9676" spans="11:11" x14ac:dyDescent="0.25">
      <c r="K9676" s="8" t="e">
        <f t="shared" si="125"/>
        <v>#VALUE!</v>
      </c>
    </row>
    <row r="9677" spans="11:11" x14ac:dyDescent="0.25">
      <c r="K9677" s="8" t="e">
        <f t="shared" si="125"/>
        <v>#VALUE!</v>
      </c>
    </row>
    <row r="9678" spans="11:11" x14ac:dyDescent="0.25">
      <c r="K9678" s="8" t="e">
        <f t="shared" si="125"/>
        <v>#VALUE!</v>
      </c>
    </row>
    <row r="9679" spans="11:11" x14ac:dyDescent="0.25">
      <c r="K9679" s="8" t="e">
        <f t="shared" si="125"/>
        <v>#VALUE!</v>
      </c>
    </row>
    <row r="9680" spans="11:11" x14ac:dyDescent="0.25">
      <c r="K9680" s="8" t="e">
        <f t="shared" si="125"/>
        <v>#VALUE!</v>
      </c>
    </row>
    <row r="9681" spans="11:11" x14ac:dyDescent="0.25">
      <c r="K9681" s="8" t="e">
        <f t="shared" si="125"/>
        <v>#VALUE!</v>
      </c>
    </row>
    <row r="9682" spans="11:11" x14ac:dyDescent="0.25">
      <c r="K9682" s="8" t="e">
        <f t="shared" si="125"/>
        <v>#VALUE!</v>
      </c>
    </row>
    <row r="9683" spans="11:11" x14ac:dyDescent="0.25">
      <c r="K9683" s="8" t="e">
        <f t="shared" si="125"/>
        <v>#VALUE!</v>
      </c>
    </row>
    <row r="9684" spans="11:11" x14ac:dyDescent="0.25">
      <c r="K9684" s="8" t="e">
        <f t="shared" si="125"/>
        <v>#VALUE!</v>
      </c>
    </row>
    <row r="9685" spans="11:11" x14ac:dyDescent="0.25">
      <c r="K9685" s="8" t="e">
        <f t="shared" si="125"/>
        <v>#VALUE!</v>
      </c>
    </row>
    <row r="9686" spans="11:11" x14ac:dyDescent="0.25">
      <c r="K9686" s="8" t="e">
        <f t="shared" si="125"/>
        <v>#VALUE!</v>
      </c>
    </row>
    <row r="9687" spans="11:11" x14ac:dyDescent="0.25">
      <c r="K9687" s="8" t="e">
        <f t="shared" si="125"/>
        <v>#VALUE!</v>
      </c>
    </row>
    <row r="9688" spans="11:11" x14ac:dyDescent="0.25">
      <c r="K9688" s="8" t="e">
        <f t="shared" si="125"/>
        <v>#VALUE!</v>
      </c>
    </row>
    <row r="9689" spans="11:11" x14ac:dyDescent="0.25">
      <c r="K9689" s="8" t="e">
        <f t="shared" si="125"/>
        <v>#VALUE!</v>
      </c>
    </row>
    <row r="9690" spans="11:11" x14ac:dyDescent="0.25">
      <c r="K9690" s="8" t="e">
        <f t="shared" si="125"/>
        <v>#VALUE!</v>
      </c>
    </row>
    <row r="9691" spans="11:11" x14ac:dyDescent="0.25">
      <c r="K9691" s="8" t="e">
        <f t="shared" si="125"/>
        <v>#VALUE!</v>
      </c>
    </row>
    <row r="9692" spans="11:11" x14ac:dyDescent="0.25">
      <c r="K9692" s="8" t="e">
        <f t="shared" si="125"/>
        <v>#VALUE!</v>
      </c>
    </row>
    <row r="9693" spans="11:11" x14ac:dyDescent="0.25">
      <c r="K9693" s="8" t="e">
        <f t="shared" si="125"/>
        <v>#VALUE!</v>
      </c>
    </row>
    <row r="9694" spans="11:11" x14ac:dyDescent="0.25">
      <c r="K9694" s="8" t="e">
        <f t="shared" si="125"/>
        <v>#VALUE!</v>
      </c>
    </row>
    <row r="9695" spans="11:11" x14ac:dyDescent="0.25">
      <c r="K9695" s="8" t="e">
        <f t="shared" si="125"/>
        <v>#VALUE!</v>
      </c>
    </row>
    <row r="9696" spans="11:11" x14ac:dyDescent="0.25">
      <c r="K9696" s="8" t="e">
        <f t="shared" si="125"/>
        <v>#VALUE!</v>
      </c>
    </row>
    <row r="9697" spans="11:11" x14ac:dyDescent="0.25">
      <c r="K9697" s="8" t="e">
        <f t="shared" si="125"/>
        <v>#VALUE!</v>
      </c>
    </row>
    <row r="9698" spans="11:11" x14ac:dyDescent="0.25">
      <c r="K9698" s="8" t="e">
        <f t="shared" si="125"/>
        <v>#VALUE!</v>
      </c>
    </row>
    <row r="9699" spans="11:11" x14ac:dyDescent="0.25">
      <c r="K9699" s="8" t="e">
        <f t="shared" si="125"/>
        <v>#VALUE!</v>
      </c>
    </row>
    <row r="9700" spans="11:11" x14ac:dyDescent="0.25">
      <c r="K9700" s="8" t="e">
        <f t="shared" si="125"/>
        <v>#VALUE!</v>
      </c>
    </row>
    <row r="9701" spans="11:11" x14ac:dyDescent="0.25">
      <c r="K9701" s="8" t="e">
        <f t="shared" si="125"/>
        <v>#VALUE!</v>
      </c>
    </row>
    <row r="9702" spans="11:11" x14ac:dyDescent="0.25">
      <c r="K9702" s="8" t="e">
        <f t="shared" si="125"/>
        <v>#VALUE!</v>
      </c>
    </row>
    <row r="9703" spans="11:11" x14ac:dyDescent="0.25">
      <c r="K9703" s="8" t="e">
        <f t="shared" si="125"/>
        <v>#VALUE!</v>
      </c>
    </row>
    <row r="9704" spans="11:11" x14ac:dyDescent="0.25">
      <c r="K9704" s="8" t="e">
        <f t="shared" si="125"/>
        <v>#VALUE!</v>
      </c>
    </row>
    <row r="9705" spans="11:11" x14ac:dyDescent="0.25">
      <c r="K9705" s="8" t="e">
        <f t="shared" si="125"/>
        <v>#VALUE!</v>
      </c>
    </row>
    <row r="9706" spans="11:11" x14ac:dyDescent="0.25">
      <c r="K9706" s="8" t="e">
        <f t="shared" si="125"/>
        <v>#VALUE!</v>
      </c>
    </row>
    <row r="9707" spans="11:11" x14ac:dyDescent="0.25">
      <c r="K9707" s="8" t="e">
        <f t="shared" si="125"/>
        <v>#VALUE!</v>
      </c>
    </row>
    <row r="9708" spans="11:11" x14ac:dyDescent="0.25">
      <c r="K9708" s="8" t="e">
        <f t="shared" si="125"/>
        <v>#VALUE!</v>
      </c>
    </row>
    <row r="9709" spans="11:11" x14ac:dyDescent="0.25">
      <c r="K9709" s="8" t="e">
        <f t="shared" si="125"/>
        <v>#VALUE!</v>
      </c>
    </row>
    <row r="9710" spans="11:11" x14ac:dyDescent="0.25">
      <c r="K9710" s="8" t="e">
        <f t="shared" si="125"/>
        <v>#VALUE!</v>
      </c>
    </row>
    <row r="9711" spans="11:11" x14ac:dyDescent="0.25">
      <c r="K9711" s="8" t="e">
        <f t="shared" si="125"/>
        <v>#VALUE!</v>
      </c>
    </row>
    <row r="9712" spans="11:11" x14ac:dyDescent="0.25">
      <c r="K9712" s="8" t="e">
        <f t="shared" si="125"/>
        <v>#VALUE!</v>
      </c>
    </row>
    <row r="9713" spans="11:11" x14ac:dyDescent="0.25">
      <c r="K9713" s="8" t="e">
        <f t="shared" si="125"/>
        <v>#VALUE!</v>
      </c>
    </row>
    <row r="9714" spans="11:11" x14ac:dyDescent="0.25">
      <c r="K9714" s="8" t="e">
        <f t="shared" si="125"/>
        <v>#VALUE!</v>
      </c>
    </row>
    <row r="9715" spans="11:11" x14ac:dyDescent="0.25">
      <c r="K9715" s="8" t="e">
        <f t="shared" si="125"/>
        <v>#VALUE!</v>
      </c>
    </row>
    <row r="9716" spans="11:11" x14ac:dyDescent="0.25">
      <c r="K9716" s="8" t="e">
        <f t="shared" si="125"/>
        <v>#VALUE!</v>
      </c>
    </row>
    <row r="9717" spans="11:11" x14ac:dyDescent="0.25">
      <c r="K9717" s="8" t="e">
        <f t="shared" si="125"/>
        <v>#VALUE!</v>
      </c>
    </row>
    <row r="9718" spans="11:11" x14ac:dyDescent="0.25">
      <c r="K9718" s="8" t="e">
        <f t="shared" si="125"/>
        <v>#VALUE!</v>
      </c>
    </row>
    <row r="9719" spans="11:11" x14ac:dyDescent="0.25">
      <c r="K9719" s="8" t="e">
        <f t="shared" si="125"/>
        <v>#VALUE!</v>
      </c>
    </row>
    <row r="9720" spans="11:11" x14ac:dyDescent="0.25">
      <c r="K9720" s="8" t="e">
        <f t="shared" si="125"/>
        <v>#VALUE!</v>
      </c>
    </row>
    <row r="9721" spans="11:11" x14ac:dyDescent="0.25">
      <c r="K9721" s="8" t="e">
        <f t="shared" si="125"/>
        <v>#VALUE!</v>
      </c>
    </row>
    <row r="9722" spans="11:11" x14ac:dyDescent="0.25">
      <c r="K9722" s="8" t="e">
        <f t="shared" si="125"/>
        <v>#VALUE!</v>
      </c>
    </row>
    <row r="9723" spans="11:11" x14ac:dyDescent="0.25">
      <c r="K9723" s="8" t="e">
        <f t="shared" si="125"/>
        <v>#VALUE!</v>
      </c>
    </row>
    <row r="9724" spans="11:11" x14ac:dyDescent="0.25">
      <c r="K9724" s="8" t="e">
        <f t="shared" si="125"/>
        <v>#VALUE!</v>
      </c>
    </row>
    <row r="9725" spans="11:11" x14ac:dyDescent="0.25">
      <c r="K9725" s="8" t="e">
        <f t="shared" si="125"/>
        <v>#VALUE!</v>
      </c>
    </row>
    <row r="9726" spans="11:11" x14ac:dyDescent="0.25">
      <c r="K9726" s="8" t="e">
        <f t="shared" si="125"/>
        <v>#VALUE!</v>
      </c>
    </row>
    <row r="9727" spans="11:11" x14ac:dyDescent="0.25">
      <c r="K9727" s="8" t="e">
        <f t="shared" si="125"/>
        <v>#VALUE!</v>
      </c>
    </row>
    <row r="9728" spans="11:11" x14ac:dyDescent="0.25">
      <c r="K9728" s="8" t="e">
        <f t="shared" si="125"/>
        <v>#VALUE!</v>
      </c>
    </row>
    <row r="9729" spans="11:11" x14ac:dyDescent="0.25">
      <c r="K9729" s="8" t="e">
        <f t="shared" si="125"/>
        <v>#VALUE!</v>
      </c>
    </row>
    <row r="9730" spans="11:11" x14ac:dyDescent="0.25">
      <c r="K9730" s="8" t="e">
        <f t="shared" si="125"/>
        <v>#VALUE!</v>
      </c>
    </row>
    <row r="9731" spans="11:11" x14ac:dyDescent="0.25">
      <c r="K9731" s="8" t="e">
        <f t="shared" ref="K9731:K9794" si="126">LEFT(A9731,FIND("/",A9731)-1)</f>
        <v>#VALUE!</v>
      </c>
    </row>
    <row r="9732" spans="11:11" x14ac:dyDescent="0.25">
      <c r="K9732" s="8" t="e">
        <f t="shared" si="126"/>
        <v>#VALUE!</v>
      </c>
    </row>
    <row r="9733" spans="11:11" x14ac:dyDescent="0.25">
      <c r="K9733" s="8" t="e">
        <f t="shared" si="126"/>
        <v>#VALUE!</v>
      </c>
    </row>
    <row r="9734" spans="11:11" x14ac:dyDescent="0.25">
      <c r="K9734" s="8" t="e">
        <f t="shared" si="126"/>
        <v>#VALUE!</v>
      </c>
    </row>
    <row r="9735" spans="11:11" x14ac:dyDescent="0.25">
      <c r="K9735" s="8" t="e">
        <f t="shared" si="126"/>
        <v>#VALUE!</v>
      </c>
    </row>
    <row r="9736" spans="11:11" x14ac:dyDescent="0.25">
      <c r="K9736" s="8" t="e">
        <f t="shared" si="126"/>
        <v>#VALUE!</v>
      </c>
    </row>
    <row r="9737" spans="11:11" x14ac:dyDescent="0.25">
      <c r="K9737" s="8" t="e">
        <f t="shared" si="126"/>
        <v>#VALUE!</v>
      </c>
    </row>
    <row r="9738" spans="11:11" x14ac:dyDescent="0.25">
      <c r="K9738" s="8" t="e">
        <f t="shared" si="126"/>
        <v>#VALUE!</v>
      </c>
    </row>
    <row r="9739" spans="11:11" x14ac:dyDescent="0.25">
      <c r="K9739" s="8" t="e">
        <f t="shared" si="126"/>
        <v>#VALUE!</v>
      </c>
    </row>
    <row r="9740" spans="11:11" x14ac:dyDescent="0.25">
      <c r="K9740" s="8" t="e">
        <f t="shared" si="126"/>
        <v>#VALUE!</v>
      </c>
    </row>
    <row r="9741" spans="11:11" x14ac:dyDescent="0.25">
      <c r="K9741" s="8" t="e">
        <f t="shared" si="126"/>
        <v>#VALUE!</v>
      </c>
    </row>
    <row r="9742" spans="11:11" x14ac:dyDescent="0.25">
      <c r="K9742" s="8" t="e">
        <f t="shared" si="126"/>
        <v>#VALUE!</v>
      </c>
    </row>
    <row r="9743" spans="11:11" x14ac:dyDescent="0.25">
      <c r="K9743" s="8" t="e">
        <f t="shared" si="126"/>
        <v>#VALUE!</v>
      </c>
    </row>
    <row r="9744" spans="11:11" x14ac:dyDescent="0.25">
      <c r="K9744" s="8" t="e">
        <f t="shared" si="126"/>
        <v>#VALUE!</v>
      </c>
    </row>
    <row r="9745" spans="11:11" x14ac:dyDescent="0.25">
      <c r="K9745" s="8" t="e">
        <f t="shared" si="126"/>
        <v>#VALUE!</v>
      </c>
    </row>
    <row r="9746" spans="11:11" x14ac:dyDescent="0.25">
      <c r="K9746" s="8" t="e">
        <f t="shared" si="126"/>
        <v>#VALUE!</v>
      </c>
    </row>
    <row r="9747" spans="11:11" x14ac:dyDescent="0.25">
      <c r="K9747" s="8" t="e">
        <f t="shared" si="126"/>
        <v>#VALUE!</v>
      </c>
    </row>
    <row r="9748" spans="11:11" x14ac:dyDescent="0.25">
      <c r="K9748" s="8" t="e">
        <f t="shared" si="126"/>
        <v>#VALUE!</v>
      </c>
    </row>
    <row r="9749" spans="11:11" x14ac:dyDescent="0.25">
      <c r="K9749" s="8" t="e">
        <f t="shared" si="126"/>
        <v>#VALUE!</v>
      </c>
    </row>
    <row r="9750" spans="11:11" x14ac:dyDescent="0.25">
      <c r="K9750" s="8" t="e">
        <f t="shared" si="126"/>
        <v>#VALUE!</v>
      </c>
    </row>
    <row r="9751" spans="11:11" x14ac:dyDescent="0.25">
      <c r="K9751" s="8" t="e">
        <f t="shared" si="126"/>
        <v>#VALUE!</v>
      </c>
    </row>
    <row r="9752" spans="11:11" x14ac:dyDescent="0.25">
      <c r="K9752" s="8" t="e">
        <f t="shared" si="126"/>
        <v>#VALUE!</v>
      </c>
    </row>
    <row r="9753" spans="11:11" x14ac:dyDescent="0.25">
      <c r="K9753" s="8" t="e">
        <f t="shared" si="126"/>
        <v>#VALUE!</v>
      </c>
    </row>
    <row r="9754" spans="11:11" x14ac:dyDescent="0.25">
      <c r="K9754" s="8" t="e">
        <f t="shared" si="126"/>
        <v>#VALUE!</v>
      </c>
    </row>
    <row r="9755" spans="11:11" x14ac:dyDescent="0.25">
      <c r="K9755" s="8" t="e">
        <f t="shared" si="126"/>
        <v>#VALUE!</v>
      </c>
    </row>
    <row r="9756" spans="11:11" x14ac:dyDescent="0.25">
      <c r="K9756" s="8" t="e">
        <f t="shared" si="126"/>
        <v>#VALUE!</v>
      </c>
    </row>
    <row r="9757" spans="11:11" x14ac:dyDescent="0.25">
      <c r="K9757" s="8" t="e">
        <f t="shared" si="126"/>
        <v>#VALUE!</v>
      </c>
    </row>
    <row r="9758" spans="11:11" x14ac:dyDescent="0.25">
      <c r="K9758" s="8" t="e">
        <f t="shared" si="126"/>
        <v>#VALUE!</v>
      </c>
    </row>
    <row r="9759" spans="11:11" x14ac:dyDescent="0.25">
      <c r="K9759" s="8" t="e">
        <f t="shared" si="126"/>
        <v>#VALUE!</v>
      </c>
    </row>
    <row r="9760" spans="11:11" x14ac:dyDescent="0.25">
      <c r="K9760" s="8" t="e">
        <f t="shared" si="126"/>
        <v>#VALUE!</v>
      </c>
    </row>
    <row r="9761" spans="11:11" x14ac:dyDescent="0.25">
      <c r="K9761" s="8" t="e">
        <f t="shared" si="126"/>
        <v>#VALUE!</v>
      </c>
    </row>
    <row r="9762" spans="11:11" x14ac:dyDescent="0.25">
      <c r="K9762" s="8" t="e">
        <f t="shared" si="126"/>
        <v>#VALUE!</v>
      </c>
    </row>
    <row r="9763" spans="11:11" x14ac:dyDescent="0.25">
      <c r="K9763" s="8" t="e">
        <f t="shared" si="126"/>
        <v>#VALUE!</v>
      </c>
    </row>
    <row r="9764" spans="11:11" x14ac:dyDescent="0.25">
      <c r="K9764" s="8" t="e">
        <f t="shared" si="126"/>
        <v>#VALUE!</v>
      </c>
    </row>
    <row r="9765" spans="11:11" x14ac:dyDescent="0.25">
      <c r="K9765" s="8" t="e">
        <f t="shared" si="126"/>
        <v>#VALUE!</v>
      </c>
    </row>
    <row r="9766" spans="11:11" x14ac:dyDescent="0.25">
      <c r="K9766" s="8" t="e">
        <f t="shared" si="126"/>
        <v>#VALUE!</v>
      </c>
    </row>
    <row r="9767" spans="11:11" x14ac:dyDescent="0.25">
      <c r="K9767" s="8" t="e">
        <f t="shared" si="126"/>
        <v>#VALUE!</v>
      </c>
    </row>
    <row r="9768" spans="11:11" x14ac:dyDescent="0.25">
      <c r="K9768" s="8" t="e">
        <f t="shared" si="126"/>
        <v>#VALUE!</v>
      </c>
    </row>
    <row r="9769" spans="11:11" x14ac:dyDescent="0.25">
      <c r="K9769" s="8" t="e">
        <f t="shared" si="126"/>
        <v>#VALUE!</v>
      </c>
    </row>
    <row r="9770" spans="11:11" x14ac:dyDescent="0.25">
      <c r="K9770" s="8" t="e">
        <f t="shared" si="126"/>
        <v>#VALUE!</v>
      </c>
    </row>
    <row r="9771" spans="11:11" x14ac:dyDescent="0.25">
      <c r="K9771" s="8" t="e">
        <f t="shared" si="126"/>
        <v>#VALUE!</v>
      </c>
    </row>
    <row r="9772" spans="11:11" x14ac:dyDescent="0.25">
      <c r="K9772" s="8" t="e">
        <f t="shared" si="126"/>
        <v>#VALUE!</v>
      </c>
    </row>
    <row r="9773" spans="11:11" x14ac:dyDescent="0.25">
      <c r="K9773" s="8" t="e">
        <f t="shared" si="126"/>
        <v>#VALUE!</v>
      </c>
    </row>
    <row r="9774" spans="11:11" x14ac:dyDescent="0.25">
      <c r="K9774" s="8" t="e">
        <f t="shared" si="126"/>
        <v>#VALUE!</v>
      </c>
    </row>
    <row r="9775" spans="11:11" x14ac:dyDescent="0.25">
      <c r="K9775" s="8" t="e">
        <f t="shared" si="126"/>
        <v>#VALUE!</v>
      </c>
    </row>
    <row r="9776" spans="11:11" x14ac:dyDescent="0.25">
      <c r="K9776" s="8" t="e">
        <f t="shared" si="126"/>
        <v>#VALUE!</v>
      </c>
    </row>
    <row r="9777" spans="11:11" x14ac:dyDescent="0.25">
      <c r="K9777" s="8" t="e">
        <f t="shared" si="126"/>
        <v>#VALUE!</v>
      </c>
    </row>
    <row r="9778" spans="11:11" x14ac:dyDescent="0.25">
      <c r="K9778" s="8" t="e">
        <f t="shared" si="126"/>
        <v>#VALUE!</v>
      </c>
    </row>
    <row r="9779" spans="11:11" x14ac:dyDescent="0.25">
      <c r="K9779" s="8" t="e">
        <f t="shared" si="126"/>
        <v>#VALUE!</v>
      </c>
    </row>
    <row r="9780" spans="11:11" x14ac:dyDescent="0.25">
      <c r="K9780" s="8" t="e">
        <f t="shared" si="126"/>
        <v>#VALUE!</v>
      </c>
    </row>
    <row r="9781" spans="11:11" x14ac:dyDescent="0.25">
      <c r="K9781" s="8" t="e">
        <f t="shared" si="126"/>
        <v>#VALUE!</v>
      </c>
    </row>
    <row r="9782" spans="11:11" x14ac:dyDescent="0.25">
      <c r="K9782" s="8" t="e">
        <f t="shared" si="126"/>
        <v>#VALUE!</v>
      </c>
    </row>
    <row r="9783" spans="11:11" x14ac:dyDescent="0.25">
      <c r="K9783" s="8" t="e">
        <f t="shared" si="126"/>
        <v>#VALUE!</v>
      </c>
    </row>
    <row r="9784" spans="11:11" x14ac:dyDescent="0.25">
      <c r="K9784" s="8" t="e">
        <f t="shared" si="126"/>
        <v>#VALUE!</v>
      </c>
    </row>
    <row r="9785" spans="11:11" x14ac:dyDescent="0.25">
      <c r="K9785" s="8" t="e">
        <f t="shared" si="126"/>
        <v>#VALUE!</v>
      </c>
    </row>
    <row r="9786" spans="11:11" x14ac:dyDescent="0.25">
      <c r="K9786" s="8" t="e">
        <f t="shared" si="126"/>
        <v>#VALUE!</v>
      </c>
    </row>
    <row r="9787" spans="11:11" x14ac:dyDescent="0.25">
      <c r="K9787" s="8" t="e">
        <f t="shared" si="126"/>
        <v>#VALUE!</v>
      </c>
    </row>
    <row r="9788" spans="11:11" x14ac:dyDescent="0.25">
      <c r="K9788" s="8" t="e">
        <f t="shared" si="126"/>
        <v>#VALUE!</v>
      </c>
    </row>
    <row r="9789" spans="11:11" x14ac:dyDescent="0.25">
      <c r="K9789" s="8" t="e">
        <f t="shared" si="126"/>
        <v>#VALUE!</v>
      </c>
    </row>
    <row r="9790" spans="11:11" x14ac:dyDescent="0.25">
      <c r="K9790" s="8" t="e">
        <f t="shared" si="126"/>
        <v>#VALUE!</v>
      </c>
    </row>
    <row r="9791" spans="11:11" x14ac:dyDescent="0.25">
      <c r="K9791" s="8" t="e">
        <f t="shared" si="126"/>
        <v>#VALUE!</v>
      </c>
    </row>
    <row r="9792" spans="11:11" x14ac:dyDescent="0.25">
      <c r="K9792" s="8" t="e">
        <f t="shared" si="126"/>
        <v>#VALUE!</v>
      </c>
    </row>
    <row r="9793" spans="11:11" x14ac:dyDescent="0.25">
      <c r="K9793" s="8" t="e">
        <f t="shared" si="126"/>
        <v>#VALUE!</v>
      </c>
    </row>
    <row r="9794" spans="11:11" x14ac:dyDescent="0.25">
      <c r="K9794" s="8" t="e">
        <f t="shared" si="126"/>
        <v>#VALUE!</v>
      </c>
    </row>
    <row r="9795" spans="11:11" x14ac:dyDescent="0.25">
      <c r="K9795" s="8" t="e">
        <f t="shared" ref="K9795:K9858" si="127">LEFT(A9795,FIND("/",A9795)-1)</f>
        <v>#VALUE!</v>
      </c>
    </row>
    <row r="9796" spans="11:11" x14ac:dyDescent="0.25">
      <c r="K9796" s="8" t="e">
        <f t="shared" si="127"/>
        <v>#VALUE!</v>
      </c>
    </row>
    <row r="9797" spans="11:11" x14ac:dyDescent="0.25">
      <c r="K9797" s="8" t="e">
        <f t="shared" si="127"/>
        <v>#VALUE!</v>
      </c>
    </row>
    <row r="9798" spans="11:11" x14ac:dyDescent="0.25">
      <c r="K9798" s="8" t="e">
        <f t="shared" si="127"/>
        <v>#VALUE!</v>
      </c>
    </row>
    <row r="9799" spans="11:11" x14ac:dyDescent="0.25">
      <c r="K9799" s="8" t="e">
        <f t="shared" si="127"/>
        <v>#VALUE!</v>
      </c>
    </row>
    <row r="9800" spans="11:11" x14ac:dyDescent="0.25">
      <c r="K9800" s="8" t="e">
        <f t="shared" si="127"/>
        <v>#VALUE!</v>
      </c>
    </row>
    <row r="9801" spans="11:11" x14ac:dyDescent="0.25">
      <c r="K9801" s="8" t="e">
        <f t="shared" si="127"/>
        <v>#VALUE!</v>
      </c>
    </row>
    <row r="9802" spans="11:11" x14ac:dyDescent="0.25">
      <c r="K9802" s="8" t="e">
        <f t="shared" si="127"/>
        <v>#VALUE!</v>
      </c>
    </row>
    <row r="9803" spans="11:11" x14ac:dyDescent="0.25">
      <c r="K9803" s="8" t="e">
        <f t="shared" si="127"/>
        <v>#VALUE!</v>
      </c>
    </row>
    <row r="9804" spans="11:11" x14ac:dyDescent="0.25">
      <c r="K9804" s="8" t="e">
        <f t="shared" si="127"/>
        <v>#VALUE!</v>
      </c>
    </row>
    <row r="9805" spans="11:11" x14ac:dyDescent="0.25">
      <c r="K9805" s="8" t="e">
        <f t="shared" si="127"/>
        <v>#VALUE!</v>
      </c>
    </row>
    <row r="9806" spans="11:11" x14ac:dyDescent="0.25">
      <c r="K9806" s="8" t="e">
        <f t="shared" si="127"/>
        <v>#VALUE!</v>
      </c>
    </row>
    <row r="9807" spans="11:11" x14ac:dyDescent="0.25">
      <c r="K9807" s="8" t="e">
        <f t="shared" si="127"/>
        <v>#VALUE!</v>
      </c>
    </row>
    <row r="9808" spans="11:11" x14ac:dyDescent="0.25">
      <c r="K9808" s="8" t="e">
        <f t="shared" si="127"/>
        <v>#VALUE!</v>
      </c>
    </row>
    <row r="9809" spans="11:11" x14ac:dyDescent="0.25">
      <c r="K9809" s="8" t="e">
        <f t="shared" si="127"/>
        <v>#VALUE!</v>
      </c>
    </row>
    <row r="9810" spans="11:11" x14ac:dyDescent="0.25">
      <c r="K9810" s="8" t="e">
        <f t="shared" si="127"/>
        <v>#VALUE!</v>
      </c>
    </row>
    <row r="9811" spans="11:11" x14ac:dyDescent="0.25">
      <c r="K9811" s="8" t="e">
        <f t="shared" si="127"/>
        <v>#VALUE!</v>
      </c>
    </row>
    <row r="9812" spans="11:11" x14ac:dyDescent="0.25">
      <c r="K9812" s="8" t="e">
        <f t="shared" si="127"/>
        <v>#VALUE!</v>
      </c>
    </row>
    <row r="9813" spans="11:11" x14ac:dyDescent="0.25">
      <c r="K9813" s="8" t="e">
        <f t="shared" si="127"/>
        <v>#VALUE!</v>
      </c>
    </row>
    <row r="9814" spans="11:11" x14ac:dyDescent="0.25">
      <c r="K9814" s="8" t="e">
        <f t="shared" si="127"/>
        <v>#VALUE!</v>
      </c>
    </row>
    <row r="9815" spans="11:11" x14ac:dyDescent="0.25">
      <c r="K9815" s="8" t="e">
        <f t="shared" si="127"/>
        <v>#VALUE!</v>
      </c>
    </row>
    <row r="9816" spans="11:11" x14ac:dyDescent="0.25">
      <c r="K9816" s="8" t="e">
        <f t="shared" si="127"/>
        <v>#VALUE!</v>
      </c>
    </row>
    <row r="9817" spans="11:11" x14ac:dyDescent="0.25">
      <c r="K9817" s="8" t="e">
        <f t="shared" si="127"/>
        <v>#VALUE!</v>
      </c>
    </row>
    <row r="9818" spans="11:11" x14ac:dyDescent="0.25">
      <c r="K9818" s="8" t="e">
        <f t="shared" si="127"/>
        <v>#VALUE!</v>
      </c>
    </row>
    <row r="9819" spans="11:11" x14ac:dyDescent="0.25">
      <c r="K9819" s="8" t="e">
        <f t="shared" si="127"/>
        <v>#VALUE!</v>
      </c>
    </row>
    <row r="9820" spans="11:11" x14ac:dyDescent="0.25">
      <c r="K9820" s="8" t="e">
        <f t="shared" si="127"/>
        <v>#VALUE!</v>
      </c>
    </row>
    <row r="9821" spans="11:11" x14ac:dyDescent="0.25">
      <c r="K9821" s="8" t="e">
        <f t="shared" si="127"/>
        <v>#VALUE!</v>
      </c>
    </row>
    <row r="9822" spans="11:11" x14ac:dyDescent="0.25">
      <c r="K9822" s="8" t="e">
        <f t="shared" si="127"/>
        <v>#VALUE!</v>
      </c>
    </row>
    <row r="9823" spans="11:11" x14ac:dyDescent="0.25">
      <c r="K9823" s="8" t="e">
        <f t="shared" si="127"/>
        <v>#VALUE!</v>
      </c>
    </row>
    <row r="9824" spans="11:11" x14ac:dyDescent="0.25">
      <c r="K9824" s="8" t="e">
        <f t="shared" si="127"/>
        <v>#VALUE!</v>
      </c>
    </row>
    <row r="9825" spans="11:11" x14ac:dyDescent="0.25">
      <c r="K9825" s="8" t="e">
        <f t="shared" si="127"/>
        <v>#VALUE!</v>
      </c>
    </row>
    <row r="9826" spans="11:11" x14ac:dyDescent="0.25">
      <c r="K9826" s="8" t="e">
        <f t="shared" si="127"/>
        <v>#VALUE!</v>
      </c>
    </row>
    <row r="9827" spans="11:11" x14ac:dyDescent="0.25">
      <c r="K9827" s="8" t="e">
        <f t="shared" si="127"/>
        <v>#VALUE!</v>
      </c>
    </row>
    <row r="9828" spans="11:11" x14ac:dyDescent="0.25">
      <c r="K9828" s="8" t="e">
        <f t="shared" si="127"/>
        <v>#VALUE!</v>
      </c>
    </row>
    <row r="9829" spans="11:11" x14ac:dyDescent="0.25">
      <c r="K9829" s="8" t="e">
        <f t="shared" si="127"/>
        <v>#VALUE!</v>
      </c>
    </row>
    <row r="9830" spans="11:11" x14ac:dyDescent="0.25">
      <c r="K9830" s="8" t="e">
        <f t="shared" si="127"/>
        <v>#VALUE!</v>
      </c>
    </row>
    <row r="9831" spans="11:11" x14ac:dyDescent="0.25">
      <c r="K9831" s="8" t="e">
        <f t="shared" si="127"/>
        <v>#VALUE!</v>
      </c>
    </row>
    <row r="9832" spans="11:11" x14ac:dyDescent="0.25">
      <c r="K9832" s="8" t="e">
        <f t="shared" si="127"/>
        <v>#VALUE!</v>
      </c>
    </row>
    <row r="9833" spans="11:11" x14ac:dyDescent="0.25">
      <c r="K9833" s="8" t="e">
        <f t="shared" si="127"/>
        <v>#VALUE!</v>
      </c>
    </row>
    <row r="9834" spans="11:11" x14ac:dyDescent="0.25">
      <c r="K9834" s="8" t="e">
        <f t="shared" si="127"/>
        <v>#VALUE!</v>
      </c>
    </row>
    <row r="9835" spans="11:11" x14ac:dyDescent="0.25">
      <c r="K9835" s="8" t="e">
        <f t="shared" si="127"/>
        <v>#VALUE!</v>
      </c>
    </row>
    <row r="9836" spans="11:11" x14ac:dyDescent="0.25">
      <c r="K9836" s="8" t="e">
        <f t="shared" si="127"/>
        <v>#VALUE!</v>
      </c>
    </row>
    <row r="9837" spans="11:11" x14ac:dyDescent="0.25">
      <c r="K9837" s="8" t="e">
        <f t="shared" si="127"/>
        <v>#VALUE!</v>
      </c>
    </row>
    <row r="9838" spans="11:11" x14ac:dyDescent="0.25">
      <c r="K9838" s="8" t="e">
        <f t="shared" si="127"/>
        <v>#VALUE!</v>
      </c>
    </row>
    <row r="9839" spans="11:11" x14ac:dyDescent="0.25">
      <c r="K9839" s="8" t="e">
        <f t="shared" si="127"/>
        <v>#VALUE!</v>
      </c>
    </row>
    <row r="9840" spans="11:11" x14ac:dyDescent="0.25">
      <c r="K9840" s="8" t="e">
        <f t="shared" si="127"/>
        <v>#VALUE!</v>
      </c>
    </row>
    <row r="9841" spans="11:11" x14ac:dyDescent="0.25">
      <c r="K9841" s="8" t="e">
        <f t="shared" si="127"/>
        <v>#VALUE!</v>
      </c>
    </row>
    <row r="9842" spans="11:11" x14ac:dyDescent="0.25">
      <c r="K9842" s="8" t="e">
        <f t="shared" si="127"/>
        <v>#VALUE!</v>
      </c>
    </row>
    <row r="9843" spans="11:11" x14ac:dyDescent="0.25">
      <c r="K9843" s="8" t="e">
        <f t="shared" si="127"/>
        <v>#VALUE!</v>
      </c>
    </row>
    <row r="9844" spans="11:11" x14ac:dyDescent="0.25">
      <c r="K9844" s="8" t="e">
        <f t="shared" si="127"/>
        <v>#VALUE!</v>
      </c>
    </row>
    <row r="9845" spans="11:11" x14ac:dyDescent="0.25">
      <c r="K9845" s="8" t="e">
        <f t="shared" si="127"/>
        <v>#VALUE!</v>
      </c>
    </row>
    <row r="9846" spans="11:11" x14ac:dyDescent="0.25">
      <c r="K9846" s="8" t="e">
        <f t="shared" si="127"/>
        <v>#VALUE!</v>
      </c>
    </row>
    <row r="9847" spans="11:11" x14ac:dyDescent="0.25">
      <c r="K9847" s="8" t="e">
        <f t="shared" si="127"/>
        <v>#VALUE!</v>
      </c>
    </row>
    <row r="9848" spans="11:11" x14ac:dyDescent="0.25">
      <c r="K9848" s="8" t="e">
        <f t="shared" si="127"/>
        <v>#VALUE!</v>
      </c>
    </row>
    <row r="9849" spans="11:11" x14ac:dyDescent="0.25">
      <c r="K9849" s="8" t="e">
        <f t="shared" si="127"/>
        <v>#VALUE!</v>
      </c>
    </row>
    <row r="9850" spans="11:11" x14ac:dyDescent="0.25">
      <c r="K9850" s="8" t="e">
        <f t="shared" si="127"/>
        <v>#VALUE!</v>
      </c>
    </row>
    <row r="9851" spans="11:11" x14ac:dyDescent="0.25">
      <c r="K9851" s="8" t="e">
        <f t="shared" si="127"/>
        <v>#VALUE!</v>
      </c>
    </row>
    <row r="9852" spans="11:11" x14ac:dyDescent="0.25">
      <c r="K9852" s="8" t="e">
        <f t="shared" si="127"/>
        <v>#VALUE!</v>
      </c>
    </row>
    <row r="9853" spans="11:11" x14ac:dyDescent="0.25">
      <c r="K9853" s="8" t="e">
        <f t="shared" si="127"/>
        <v>#VALUE!</v>
      </c>
    </row>
    <row r="9854" spans="11:11" x14ac:dyDescent="0.25">
      <c r="K9854" s="8" t="e">
        <f t="shared" si="127"/>
        <v>#VALUE!</v>
      </c>
    </row>
    <row r="9855" spans="11:11" x14ac:dyDescent="0.25">
      <c r="K9855" s="8" t="e">
        <f t="shared" si="127"/>
        <v>#VALUE!</v>
      </c>
    </row>
    <row r="9856" spans="11:11" x14ac:dyDescent="0.25">
      <c r="K9856" s="8" t="e">
        <f t="shared" si="127"/>
        <v>#VALUE!</v>
      </c>
    </row>
    <row r="9857" spans="11:11" x14ac:dyDescent="0.25">
      <c r="K9857" s="8" t="e">
        <f t="shared" si="127"/>
        <v>#VALUE!</v>
      </c>
    </row>
    <row r="9858" spans="11:11" x14ac:dyDescent="0.25">
      <c r="K9858" s="8" t="e">
        <f t="shared" si="127"/>
        <v>#VALUE!</v>
      </c>
    </row>
    <row r="9859" spans="11:11" x14ac:dyDescent="0.25">
      <c r="K9859" s="8" t="e">
        <f t="shared" ref="K9859:K9922" si="128">LEFT(A9859,FIND("/",A9859)-1)</f>
        <v>#VALUE!</v>
      </c>
    </row>
    <row r="9860" spans="11:11" x14ac:dyDescent="0.25">
      <c r="K9860" s="8" t="e">
        <f t="shared" si="128"/>
        <v>#VALUE!</v>
      </c>
    </row>
    <row r="9861" spans="11:11" x14ac:dyDescent="0.25">
      <c r="K9861" s="8" t="e">
        <f t="shared" si="128"/>
        <v>#VALUE!</v>
      </c>
    </row>
    <row r="9862" spans="11:11" x14ac:dyDescent="0.25">
      <c r="K9862" s="8" t="e">
        <f t="shared" si="128"/>
        <v>#VALUE!</v>
      </c>
    </row>
    <row r="9863" spans="11:11" x14ac:dyDescent="0.25">
      <c r="K9863" s="8" t="e">
        <f t="shared" si="128"/>
        <v>#VALUE!</v>
      </c>
    </row>
    <row r="9864" spans="11:11" x14ac:dyDescent="0.25">
      <c r="K9864" s="8" t="e">
        <f t="shared" si="128"/>
        <v>#VALUE!</v>
      </c>
    </row>
    <row r="9865" spans="11:11" x14ac:dyDescent="0.25">
      <c r="K9865" s="8" t="e">
        <f t="shared" si="128"/>
        <v>#VALUE!</v>
      </c>
    </row>
    <row r="9866" spans="11:11" x14ac:dyDescent="0.25">
      <c r="K9866" s="8" t="e">
        <f t="shared" si="128"/>
        <v>#VALUE!</v>
      </c>
    </row>
    <row r="9867" spans="11:11" x14ac:dyDescent="0.25">
      <c r="K9867" s="8" t="e">
        <f t="shared" si="128"/>
        <v>#VALUE!</v>
      </c>
    </row>
    <row r="9868" spans="11:11" x14ac:dyDescent="0.25">
      <c r="K9868" s="8" t="e">
        <f t="shared" si="128"/>
        <v>#VALUE!</v>
      </c>
    </row>
    <row r="9869" spans="11:11" x14ac:dyDescent="0.25">
      <c r="K9869" s="8" t="e">
        <f t="shared" si="128"/>
        <v>#VALUE!</v>
      </c>
    </row>
    <row r="9870" spans="11:11" x14ac:dyDescent="0.25">
      <c r="K9870" s="8" t="e">
        <f t="shared" si="128"/>
        <v>#VALUE!</v>
      </c>
    </row>
    <row r="9871" spans="11:11" x14ac:dyDescent="0.25">
      <c r="K9871" s="8" t="e">
        <f t="shared" si="128"/>
        <v>#VALUE!</v>
      </c>
    </row>
    <row r="9872" spans="11:11" x14ac:dyDescent="0.25">
      <c r="K9872" s="8" t="e">
        <f t="shared" si="128"/>
        <v>#VALUE!</v>
      </c>
    </row>
    <row r="9873" spans="11:11" x14ac:dyDescent="0.25">
      <c r="K9873" s="8" t="e">
        <f t="shared" si="128"/>
        <v>#VALUE!</v>
      </c>
    </row>
    <row r="9874" spans="11:11" x14ac:dyDescent="0.25">
      <c r="K9874" s="8" t="e">
        <f t="shared" si="128"/>
        <v>#VALUE!</v>
      </c>
    </row>
    <row r="9875" spans="11:11" x14ac:dyDescent="0.25">
      <c r="K9875" s="8" t="e">
        <f t="shared" si="128"/>
        <v>#VALUE!</v>
      </c>
    </row>
    <row r="9876" spans="11:11" x14ac:dyDescent="0.25">
      <c r="K9876" s="8" t="e">
        <f t="shared" si="128"/>
        <v>#VALUE!</v>
      </c>
    </row>
    <row r="9877" spans="11:11" x14ac:dyDescent="0.25">
      <c r="K9877" s="8" t="e">
        <f t="shared" si="128"/>
        <v>#VALUE!</v>
      </c>
    </row>
    <row r="9878" spans="11:11" x14ac:dyDescent="0.25">
      <c r="K9878" s="8" t="e">
        <f t="shared" si="128"/>
        <v>#VALUE!</v>
      </c>
    </row>
    <row r="9879" spans="11:11" x14ac:dyDescent="0.25">
      <c r="K9879" s="8" t="e">
        <f t="shared" si="128"/>
        <v>#VALUE!</v>
      </c>
    </row>
    <row r="9880" spans="11:11" x14ac:dyDescent="0.25">
      <c r="K9880" s="8" t="e">
        <f t="shared" si="128"/>
        <v>#VALUE!</v>
      </c>
    </row>
    <row r="9881" spans="11:11" x14ac:dyDescent="0.25">
      <c r="K9881" s="8" t="e">
        <f t="shared" si="128"/>
        <v>#VALUE!</v>
      </c>
    </row>
    <row r="9882" spans="11:11" x14ac:dyDescent="0.25">
      <c r="K9882" s="8" t="e">
        <f t="shared" si="128"/>
        <v>#VALUE!</v>
      </c>
    </row>
    <row r="9883" spans="11:11" x14ac:dyDescent="0.25">
      <c r="K9883" s="8" t="e">
        <f t="shared" si="128"/>
        <v>#VALUE!</v>
      </c>
    </row>
    <row r="9884" spans="11:11" x14ac:dyDescent="0.25">
      <c r="K9884" s="8" t="e">
        <f t="shared" si="128"/>
        <v>#VALUE!</v>
      </c>
    </row>
    <row r="9885" spans="11:11" x14ac:dyDescent="0.25">
      <c r="K9885" s="8" t="e">
        <f t="shared" si="128"/>
        <v>#VALUE!</v>
      </c>
    </row>
    <row r="9886" spans="11:11" x14ac:dyDescent="0.25">
      <c r="K9886" s="8" t="e">
        <f t="shared" si="128"/>
        <v>#VALUE!</v>
      </c>
    </row>
    <row r="9887" spans="11:11" x14ac:dyDescent="0.25">
      <c r="K9887" s="8" t="e">
        <f t="shared" si="128"/>
        <v>#VALUE!</v>
      </c>
    </row>
    <row r="9888" spans="11:11" x14ac:dyDescent="0.25">
      <c r="K9888" s="8" t="e">
        <f t="shared" si="128"/>
        <v>#VALUE!</v>
      </c>
    </row>
    <row r="9889" spans="11:11" x14ac:dyDescent="0.25">
      <c r="K9889" s="8" t="e">
        <f t="shared" si="128"/>
        <v>#VALUE!</v>
      </c>
    </row>
    <row r="9890" spans="11:11" x14ac:dyDescent="0.25">
      <c r="K9890" s="8" t="e">
        <f t="shared" si="128"/>
        <v>#VALUE!</v>
      </c>
    </row>
    <row r="9891" spans="11:11" x14ac:dyDescent="0.25">
      <c r="K9891" s="8" t="e">
        <f t="shared" si="128"/>
        <v>#VALUE!</v>
      </c>
    </row>
    <row r="9892" spans="11:11" x14ac:dyDescent="0.25">
      <c r="K9892" s="8" t="e">
        <f t="shared" si="128"/>
        <v>#VALUE!</v>
      </c>
    </row>
    <row r="9893" spans="11:11" x14ac:dyDescent="0.25">
      <c r="K9893" s="8" t="e">
        <f t="shared" si="128"/>
        <v>#VALUE!</v>
      </c>
    </row>
    <row r="9894" spans="11:11" x14ac:dyDescent="0.25">
      <c r="K9894" s="8" t="e">
        <f t="shared" si="128"/>
        <v>#VALUE!</v>
      </c>
    </row>
    <row r="9895" spans="11:11" x14ac:dyDescent="0.25">
      <c r="K9895" s="8" t="e">
        <f t="shared" si="128"/>
        <v>#VALUE!</v>
      </c>
    </row>
    <row r="9896" spans="11:11" x14ac:dyDescent="0.25">
      <c r="K9896" s="8" t="e">
        <f t="shared" si="128"/>
        <v>#VALUE!</v>
      </c>
    </row>
    <row r="9897" spans="11:11" x14ac:dyDescent="0.25">
      <c r="K9897" s="8" t="e">
        <f t="shared" si="128"/>
        <v>#VALUE!</v>
      </c>
    </row>
    <row r="9898" spans="11:11" x14ac:dyDescent="0.25">
      <c r="K9898" s="8" t="e">
        <f t="shared" si="128"/>
        <v>#VALUE!</v>
      </c>
    </row>
    <row r="9899" spans="11:11" x14ac:dyDescent="0.25">
      <c r="K9899" s="8" t="e">
        <f t="shared" si="128"/>
        <v>#VALUE!</v>
      </c>
    </row>
    <row r="9900" spans="11:11" x14ac:dyDescent="0.25">
      <c r="K9900" s="8" t="e">
        <f t="shared" si="128"/>
        <v>#VALUE!</v>
      </c>
    </row>
    <row r="9901" spans="11:11" x14ac:dyDescent="0.25">
      <c r="K9901" s="8" t="e">
        <f t="shared" si="128"/>
        <v>#VALUE!</v>
      </c>
    </row>
    <row r="9902" spans="11:11" x14ac:dyDescent="0.25">
      <c r="K9902" s="8" t="e">
        <f t="shared" si="128"/>
        <v>#VALUE!</v>
      </c>
    </row>
    <row r="9903" spans="11:11" x14ac:dyDescent="0.25">
      <c r="K9903" s="8" t="e">
        <f t="shared" si="128"/>
        <v>#VALUE!</v>
      </c>
    </row>
    <row r="9904" spans="11:11" x14ac:dyDescent="0.25">
      <c r="K9904" s="8" t="e">
        <f t="shared" si="128"/>
        <v>#VALUE!</v>
      </c>
    </row>
    <row r="9905" spans="11:11" x14ac:dyDescent="0.25">
      <c r="K9905" s="8" t="e">
        <f t="shared" si="128"/>
        <v>#VALUE!</v>
      </c>
    </row>
    <row r="9906" spans="11:11" x14ac:dyDescent="0.25">
      <c r="K9906" s="8" t="e">
        <f t="shared" si="128"/>
        <v>#VALUE!</v>
      </c>
    </row>
    <row r="9907" spans="11:11" x14ac:dyDescent="0.25">
      <c r="K9907" s="8" t="e">
        <f t="shared" si="128"/>
        <v>#VALUE!</v>
      </c>
    </row>
    <row r="9908" spans="11:11" x14ac:dyDescent="0.25">
      <c r="K9908" s="8" t="e">
        <f t="shared" si="128"/>
        <v>#VALUE!</v>
      </c>
    </row>
    <row r="9909" spans="11:11" x14ac:dyDescent="0.25">
      <c r="K9909" s="8" t="e">
        <f t="shared" si="128"/>
        <v>#VALUE!</v>
      </c>
    </row>
    <row r="9910" spans="11:11" x14ac:dyDescent="0.25">
      <c r="K9910" s="8" t="e">
        <f t="shared" si="128"/>
        <v>#VALUE!</v>
      </c>
    </row>
    <row r="9911" spans="11:11" x14ac:dyDescent="0.25">
      <c r="K9911" s="8" t="e">
        <f t="shared" si="128"/>
        <v>#VALUE!</v>
      </c>
    </row>
    <row r="9912" spans="11:11" x14ac:dyDescent="0.25">
      <c r="K9912" s="8" t="e">
        <f t="shared" si="128"/>
        <v>#VALUE!</v>
      </c>
    </row>
    <row r="9913" spans="11:11" x14ac:dyDescent="0.25">
      <c r="K9913" s="8" t="e">
        <f t="shared" si="128"/>
        <v>#VALUE!</v>
      </c>
    </row>
    <row r="9914" spans="11:11" x14ac:dyDescent="0.25">
      <c r="K9914" s="8" t="e">
        <f t="shared" si="128"/>
        <v>#VALUE!</v>
      </c>
    </row>
    <row r="9915" spans="11:11" x14ac:dyDescent="0.25">
      <c r="K9915" s="8" t="e">
        <f t="shared" si="128"/>
        <v>#VALUE!</v>
      </c>
    </row>
    <row r="9916" spans="11:11" x14ac:dyDescent="0.25">
      <c r="K9916" s="8" t="e">
        <f t="shared" si="128"/>
        <v>#VALUE!</v>
      </c>
    </row>
    <row r="9917" spans="11:11" x14ac:dyDescent="0.25">
      <c r="K9917" s="8" t="e">
        <f t="shared" si="128"/>
        <v>#VALUE!</v>
      </c>
    </row>
    <row r="9918" spans="11:11" x14ac:dyDescent="0.25">
      <c r="K9918" s="8" t="e">
        <f t="shared" si="128"/>
        <v>#VALUE!</v>
      </c>
    </row>
    <row r="9919" spans="11:11" x14ac:dyDescent="0.25">
      <c r="K9919" s="8" t="e">
        <f t="shared" si="128"/>
        <v>#VALUE!</v>
      </c>
    </row>
    <row r="9920" spans="11:11" x14ac:dyDescent="0.25">
      <c r="K9920" s="8" t="e">
        <f t="shared" si="128"/>
        <v>#VALUE!</v>
      </c>
    </row>
    <row r="9921" spans="11:11" x14ac:dyDescent="0.25">
      <c r="K9921" s="8" t="e">
        <f t="shared" si="128"/>
        <v>#VALUE!</v>
      </c>
    </row>
    <row r="9922" spans="11:11" x14ac:dyDescent="0.25">
      <c r="K9922" s="8" t="e">
        <f t="shared" si="128"/>
        <v>#VALUE!</v>
      </c>
    </row>
    <row r="9923" spans="11:11" x14ac:dyDescent="0.25">
      <c r="K9923" s="8" t="e">
        <f t="shared" ref="K9923:K9986" si="129">LEFT(A9923,FIND("/",A9923)-1)</f>
        <v>#VALUE!</v>
      </c>
    </row>
    <row r="9924" spans="11:11" x14ac:dyDescent="0.25">
      <c r="K9924" s="8" t="e">
        <f t="shared" si="129"/>
        <v>#VALUE!</v>
      </c>
    </row>
    <row r="9925" spans="11:11" x14ac:dyDescent="0.25">
      <c r="K9925" s="8" t="e">
        <f t="shared" si="129"/>
        <v>#VALUE!</v>
      </c>
    </row>
    <row r="9926" spans="11:11" x14ac:dyDescent="0.25">
      <c r="K9926" s="8" t="e">
        <f t="shared" si="129"/>
        <v>#VALUE!</v>
      </c>
    </row>
    <row r="9927" spans="11:11" x14ac:dyDescent="0.25">
      <c r="K9927" s="8" t="e">
        <f t="shared" si="129"/>
        <v>#VALUE!</v>
      </c>
    </row>
    <row r="9928" spans="11:11" x14ac:dyDescent="0.25">
      <c r="K9928" s="8" t="e">
        <f t="shared" si="129"/>
        <v>#VALUE!</v>
      </c>
    </row>
    <row r="9929" spans="11:11" x14ac:dyDescent="0.25">
      <c r="K9929" s="8" t="e">
        <f t="shared" si="129"/>
        <v>#VALUE!</v>
      </c>
    </row>
    <row r="9930" spans="11:11" x14ac:dyDescent="0.25">
      <c r="K9930" s="8" t="e">
        <f t="shared" si="129"/>
        <v>#VALUE!</v>
      </c>
    </row>
    <row r="9931" spans="11:11" x14ac:dyDescent="0.25">
      <c r="K9931" s="8" t="e">
        <f t="shared" si="129"/>
        <v>#VALUE!</v>
      </c>
    </row>
    <row r="9932" spans="11:11" x14ac:dyDescent="0.25">
      <c r="K9932" s="8" t="e">
        <f t="shared" si="129"/>
        <v>#VALUE!</v>
      </c>
    </row>
    <row r="9933" spans="11:11" x14ac:dyDescent="0.25">
      <c r="K9933" s="8" t="e">
        <f t="shared" si="129"/>
        <v>#VALUE!</v>
      </c>
    </row>
    <row r="9934" spans="11:11" x14ac:dyDescent="0.25">
      <c r="K9934" s="8" t="e">
        <f t="shared" si="129"/>
        <v>#VALUE!</v>
      </c>
    </row>
    <row r="9935" spans="11:11" x14ac:dyDescent="0.25">
      <c r="K9935" s="8" t="e">
        <f t="shared" si="129"/>
        <v>#VALUE!</v>
      </c>
    </row>
    <row r="9936" spans="11:11" x14ac:dyDescent="0.25">
      <c r="K9936" s="8" t="e">
        <f t="shared" si="129"/>
        <v>#VALUE!</v>
      </c>
    </row>
    <row r="9937" spans="11:11" x14ac:dyDescent="0.25">
      <c r="K9937" s="8" t="e">
        <f t="shared" si="129"/>
        <v>#VALUE!</v>
      </c>
    </row>
    <row r="9938" spans="11:11" x14ac:dyDescent="0.25">
      <c r="K9938" s="8" t="e">
        <f t="shared" si="129"/>
        <v>#VALUE!</v>
      </c>
    </row>
    <row r="9939" spans="11:11" x14ac:dyDescent="0.25">
      <c r="K9939" s="8" t="e">
        <f t="shared" si="129"/>
        <v>#VALUE!</v>
      </c>
    </row>
    <row r="9940" spans="11:11" x14ac:dyDescent="0.25">
      <c r="K9940" s="8" t="e">
        <f t="shared" si="129"/>
        <v>#VALUE!</v>
      </c>
    </row>
    <row r="9941" spans="11:11" x14ac:dyDescent="0.25">
      <c r="K9941" s="8" t="e">
        <f t="shared" si="129"/>
        <v>#VALUE!</v>
      </c>
    </row>
    <row r="9942" spans="11:11" x14ac:dyDescent="0.25">
      <c r="K9942" s="8" t="e">
        <f t="shared" si="129"/>
        <v>#VALUE!</v>
      </c>
    </row>
    <row r="9943" spans="11:11" x14ac:dyDescent="0.25">
      <c r="K9943" s="8" t="e">
        <f t="shared" si="129"/>
        <v>#VALUE!</v>
      </c>
    </row>
    <row r="9944" spans="11:11" x14ac:dyDescent="0.25">
      <c r="K9944" s="8" t="e">
        <f t="shared" si="129"/>
        <v>#VALUE!</v>
      </c>
    </row>
    <row r="9945" spans="11:11" x14ac:dyDescent="0.25">
      <c r="K9945" s="8" t="e">
        <f t="shared" si="129"/>
        <v>#VALUE!</v>
      </c>
    </row>
    <row r="9946" spans="11:11" x14ac:dyDescent="0.25">
      <c r="K9946" s="8" t="e">
        <f t="shared" si="129"/>
        <v>#VALUE!</v>
      </c>
    </row>
    <row r="9947" spans="11:11" x14ac:dyDescent="0.25">
      <c r="K9947" s="8" t="e">
        <f t="shared" si="129"/>
        <v>#VALUE!</v>
      </c>
    </row>
    <row r="9948" spans="11:11" x14ac:dyDescent="0.25">
      <c r="K9948" s="8" t="e">
        <f t="shared" si="129"/>
        <v>#VALUE!</v>
      </c>
    </row>
    <row r="9949" spans="11:11" x14ac:dyDescent="0.25">
      <c r="K9949" s="8" t="e">
        <f t="shared" si="129"/>
        <v>#VALUE!</v>
      </c>
    </row>
    <row r="9950" spans="11:11" x14ac:dyDescent="0.25">
      <c r="K9950" s="8" t="e">
        <f t="shared" si="129"/>
        <v>#VALUE!</v>
      </c>
    </row>
    <row r="9951" spans="11:11" x14ac:dyDescent="0.25">
      <c r="K9951" s="8" t="e">
        <f t="shared" si="129"/>
        <v>#VALUE!</v>
      </c>
    </row>
    <row r="9952" spans="11:11" x14ac:dyDescent="0.25">
      <c r="K9952" s="8" t="e">
        <f t="shared" si="129"/>
        <v>#VALUE!</v>
      </c>
    </row>
    <row r="9953" spans="11:11" x14ac:dyDescent="0.25">
      <c r="K9953" s="8" t="e">
        <f t="shared" si="129"/>
        <v>#VALUE!</v>
      </c>
    </row>
    <row r="9954" spans="11:11" x14ac:dyDescent="0.25">
      <c r="K9954" s="8" t="e">
        <f t="shared" si="129"/>
        <v>#VALUE!</v>
      </c>
    </row>
    <row r="9955" spans="11:11" x14ac:dyDescent="0.25">
      <c r="K9955" s="8" t="e">
        <f t="shared" si="129"/>
        <v>#VALUE!</v>
      </c>
    </row>
    <row r="9956" spans="11:11" x14ac:dyDescent="0.25">
      <c r="K9956" s="8" t="e">
        <f t="shared" si="129"/>
        <v>#VALUE!</v>
      </c>
    </row>
    <row r="9957" spans="11:11" x14ac:dyDescent="0.25">
      <c r="K9957" s="8" t="e">
        <f t="shared" si="129"/>
        <v>#VALUE!</v>
      </c>
    </row>
    <row r="9958" spans="11:11" x14ac:dyDescent="0.25">
      <c r="K9958" s="8" t="e">
        <f t="shared" si="129"/>
        <v>#VALUE!</v>
      </c>
    </row>
    <row r="9959" spans="11:11" x14ac:dyDescent="0.25">
      <c r="K9959" s="8" t="e">
        <f t="shared" si="129"/>
        <v>#VALUE!</v>
      </c>
    </row>
    <row r="9960" spans="11:11" x14ac:dyDescent="0.25">
      <c r="K9960" s="8" t="e">
        <f t="shared" si="129"/>
        <v>#VALUE!</v>
      </c>
    </row>
    <row r="9961" spans="11:11" x14ac:dyDescent="0.25">
      <c r="K9961" s="8" t="e">
        <f t="shared" si="129"/>
        <v>#VALUE!</v>
      </c>
    </row>
    <row r="9962" spans="11:11" x14ac:dyDescent="0.25">
      <c r="K9962" s="8" t="e">
        <f t="shared" si="129"/>
        <v>#VALUE!</v>
      </c>
    </row>
    <row r="9963" spans="11:11" x14ac:dyDescent="0.25">
      <c r="K9963" s="8" t="e">
        <f t="shared" si="129"/>
        <v>#VALUE!</v>
      </c>
    </row>
    <row r="9964" spans="11:11" x14ac:dyDescent="0.25">
      <c r="K9964" s="8" t="e">
        <f t="shared" si="129"/>
        <v>#VALUE!</v>
      </c>
    </row>
    <row r="9965" spans="11:11" x14ac:dyDescent="0.25">
      <c r="K9965" s="8" t="e">
        <f t="shared" si="129"/>
        <v>#VALUE!</v>
      </c>
    </row>
    <row r="9966" spans="11:11" x14ac:dyDescent="0.25">
      <c r="K9966" s="8" t="e">
        <f t="shared" si="129"/>
        <v>#VALUE!</v>
      </c>
    </row>
    <row r="9967" spans="11:11" x14ac:dyDescent="0.25">
      <c r="K9967" s="8" t="e">
        <f t="shared" si="129"/>
        <v>#VALUE!</v>
      </c>
    </row>
    <row r="9968" spans="11:11" x14ac:dyDescent="0.25">
      <c r="K9968" s="8" t="e">
        <f t="shared" si="129"/>
        <v>#VALUE!</v>
      </c>
    </row>
    <row r="9969" spans="11:11" x14ac:dyDescent="0.25">
      <c r="K9969" s="8" t="e">
        <f t="shared" si="129"/>
        <v>#VALUE!</v>
      </c>
    </row>
    <row r="9970" spans="11:11" x14ac:dyDescent="0.25">
      <c r="K9970" s="8" t="e">
        <f t="shared" si="129"/>
        <v>#VALUE!</v>
      </c>
    </row>
    <row r="9971" spans="11:11" x14ac:dyDescent="0.25">
      <c r="K9971" s="8" t="e">
        <f t="shared" si="129"/>
        <v>#VALUE!</v>
      </c>
    </row>
    <row r="9972" spans="11:11" x14ac:dyDescent="0.25">
      <c r="K9972" s="8" t="e">
        <f t="shared" si="129"/>
        <v>#VALUE!</v>
      </c>
    </row>
    <row r="9973" spans="11:11" x14ac:dyDescent="0.25">
      <c r="K9973" s="8" t="e">
        <f t="shared" si="129"/>
        <v>#VALUE!</v>
      </c>
    </row>
    <row r="9974" spans="11:11" x14ac:dyDescent="0.25">
      <c r="K9974" s="8" t="e">
        <f t="shared" si="129"/>
        <v>#VALUE!</v>
      </c>
    </row>
    <row r="9975" spans="11:11" x14ac:dyDescent="0.25">
      <c r="K9975" s="8" t="e">
        <f t="shared" si="129"/>
        <v>#VALUE!</v>
      </c>
    </row>
    <row r="9976" spans="11:11" x14ac:dyDescent="0.25">
      <c r="K9976" s="8" t="e">
        <f t="shared" si="129"/>
        <v>#VALUE!</v>
      </c>
    </row>
    <row r="9977" spans="11:11" x14ac:dyDescent="0.25">
      <c r="K9977" s="8" t="e">
        <f t="shared" si="129"/>
        <v>#VALUE!</v>
      </c>
    </row>
    <row r="9978" spans="11:11" x14ac:dyDescent="0.25">
      <c r="K9978" s="8" t="e">
        <f t="shared" si="129"/>
        <v>#VALUE!</v>
      </c>
    </row>
    <row r="9979" spans="11:11" x14ac:dyDescent="0.25">
      <c r="K9979" s="8" t="e">
        <f t="shared" si="129"/>
        <v>#VALUE!</v>
      </c>
    </row>
    <row r="9980" spans="11:11" x14ac:dyDescent="0.25">
      <c r="K9980" s="8" t="e">
        <f t="shared" si="129"/>
        <v>#VALUE!</v>
      </c>
    </row>
    <row r="9981" spans="11:11" x14ac:dyDescent="0.25">
      <c r="K9981" s="8" t="e">
        <f t="shared" si="129"/>
        <v>#VALUE!</v>
      </c>
    </row>
    <row r="9982" spans="11:11" x14ac:dyDescent="0.25">
      <c r="K9982" s="8" t="e">
        <f t="shared" si="129"/>
        <v>#VALUE!</v>
      </c>
    </row>
    <row r="9983" spans="11:11" x14ac:dyDescent="0.25">
      <c r="K9983" s="8" t="e">
        <f t="shared" si="129"/>
        <v>#VALUE!</v>
      </c>
    </row>
    <row r="9984" spans="11:11" x14ac:dyDescent="0.25">
      <c r="K9984" s="8" t="e">
        <f t="shared" si="129"/>
        <v>#VALUE!</v>
      </c>
    </row>
    <row r="9985" spans="11:11" x14ac:dyDescent="0.25">
      <c r="K9985" s="8" t="e">
        <f t="shared" si="129"/>
        <v>#VALUE!</v>
      </c>
    </row>
    <row r="9986" spans="11:11" x14ac:dyDescent="0.25">
      <c r="K9986" s="8" t="e">
        <f t="shared" si="129"/>
        <v>#VALUE!</v>
      </c>
    </row>
    <row r="9987" spans="11:11" x14ac:dyDescent="0.25">
      <c r="K9987" s="8" t="e">
        <f t="shared" ref="K9987:K10050" si="130">LEFT(A9987,FIND("/",A9987)-1)</f>
        <v>#VALUE!</v>
      </c>
    </row>
    <row r="9988" spans="11:11" x14ac:dyDescent="0.25">
      <c r="K9988" s="8" t="e">
        <f t="shared" si="130"/>
        <v>#VALUE!</v>
      </c>
    </row>
    <row r="9989" spans="11:11" x14ac:dyDescent="0.25">
      <c r="K9989" s="8" t="e">
        <f t="shared" si="130"/>
        <v>#VALUE!</v>
      </c>
    </row>
    <row r="9990" spans="11:11" x14ac:dyDescent="0.25">
      <c r="K9990" s="8" t="e">
        <f t="shared" si="130"/>
        <v>#VALUE!</v>
      </c>
    </row>
    <row r="9991" spans="11:11" x14ac:dyDescent="0.25">
      <c r="K9991" s="8" t="e">
        <f t="shared" si="130"/>
        <v>#VALUE!</v>
      </c>
    </row>
    <row r="9992" spans="11:11" x14ac:dyDescent="0.25">
      <c r="K9992" s="8" t="e">
        <f t="shared" si="130"/>
        <v>#VALUE!</v>
      </c>
    </row>
    <row r="9993" spans="11:11" x14ac:dyDescent="0.25">
      <c r="K9993" s="8" t="e">
        <f t="shared" si="130"/>
        <v>#VALUE!</v>
      </c>
    </row>
    <row r="9994" spans="11:11" x14ac:dyDescent="0.25">
      <c r="K9994" s="8" t="e">
        <f t="shared" si="130"/>
        <v>#VALUE!</v>
      </c>
    </row>
    <row r="9995" spans="11:11" x14ac:dyDescent="0.25">
      <c r="K9995" s="8" t="e">
        <f t="shared" si="130"/>
        <v>#VALUE!</v>
      </c>
    </row>
    <row r="9996" spans="11:11" x14ac:dyDescent="0.25">
      <c r="K9996" s="8" t="e">
        <f t="shared" si="130"/>
        <v>#VALUE!</v>
      </c>
    </row>
    <row r="9997" spans="11:11" x14ac:dyDescent="0.25">
      <c r="K9997" s="8" t="e">
        <f t="shared" si="130"/>
        <v>#VALUE!</v>
      </c>
    </row>
    <row r="9998" spans="11:11" x14ac:dyDescent="0.25">
      <c r="K9998" s="8" t="e">
        <f t="shared" si="130"/>
        <v>#VALUE!</v>
      </c>
    </row>
    <row r="9999" spans="11:11" x14ac:dyDescent="0.25">
      <c r="K9999" s="8" t="e">
        <f t="shared" si="130"/>
        <v>#VALUE!</v>
      </c>
    </row>
    <row r="10000" spans="11:11" x14ac:dyDescent="0.25">
      <c r="K10000" s="8" t="e">
        <f t="shared" si="130"/>
        <v>#VALUE!</v>
      </c>
    </row>
    <row r="10001" spans="11:11" x14ac:dyDescent="0.25">
      <c r="K10001" s="8" t="e">
        <f t="shared" si="130"/>
        <v>#VALUE!</v>
      </c>
    </row>
    <row r="10002" spans="11:11" x14ac:dyDescent="0.25">
      <c r="K10002" s="8" t="e">
        <f t="shared" si="130"/>
        <v>#VALUE!</v>
      </c>
    </row>
    <row r="10003" spans="11:11" x14ac:dyDescent="0.25">
      <c r="K10003" s="8" t="e">
        <f t="shared" si="130"/>
        <v>#VALUE!</v>
      </c>
    </row>
    <row r="10004" spans="11:11" x14ac:dyDescent="0.25">
      <c r="K10004" s="8" t="e">
        <f t="shared" si="130"/>
        <v>#VALUE!</v>
      </c>
    </row>
    <row r="10005" spans="11:11" x14ac:dyDescent="0.25">
      <c r="K10005" s="8" t="e">
        <f t="shared" si="130"/>
        <v>#VALUE!</v>
      </c>
    </row>
    <row r="10006" spans="11:11" x14ac:dyDescent="0.25">
      <c r="K10006" s="8" t="e">
        <f t="shared" si="130"/>
        <v>#VALUE!</v>
      </c>
    </row>
    <row r="10007" spans="11:11" x14ac:dyDescent="0.25">
      <c r="K10007" s="8" t="e">
        <f t="shared" si="130"/>
        <v>#VALUE!</v>
      </c>
    </row>
    <row r="10008" spans="11:11" x14ac:dyDescent="0.25">
      <c r="K10008" s="8" t="e">
        <f t="shared" si="130"/>
        <v>#VALUE!</v>
      </c>
    </row>
    <row r="10009" spans="11:11" x14ac:dyDescent="0.25">
      <c r="K10009" s="8" t="e">
        <f t="shared" si="130"/>
        <v>#VALUE!</v>
      </c>
    </row>
    <row r="10010" spans="11:11" x14ac:dyDescent="0.25">
      <c r="K10010" s="8" t="e">
        <f t="shared" si="130"/>
        <v>#VALUE!</v>
      </c>
    </row>
    <row r="10011" spans="11:11" x14ac:dyDescent="0.25">
      <c r="K10011" s="8" t="e">
        <f t="shared" si="130"/>
        <v>#VALUE!</v>
      </c>
    </row>
    <row r="10012" spans="11:11" x14ac:dyDescent="0.25">
      <c r="K10012" s="8" t="e">
        <f t="shared" si="130"/>
        <v>#VALUE!</v>
      </c>
    </row>
    <row r="10013" spans="11:11" x14ac:dyDescent="0.25">
      <c r="K10013" s="8" t="e">
        <f t="shared" si="130"/>
        <v>#VALUE!</v>
      </c>
    </row>
    <row r="10014" spans="11:11" x14ac:dyDescent="0.25">
      <c r="K10014" s="8" t="e">
        <f t="shared" si="130"/>
        <v>#VALUE!</v>
      </c>
    </row>
    <row r="10015" spans="11:11" x14ac:dyDescent="0.25">
      <c r="K10015" s="8" t="e">
        <f t="shared" si="130"/>
        <v>#VALUE!</v>
      </c>
    </row>
    <row r="10016" spans="11:11" x14ac:dyDescent="0.25">
      <c r="K10016" s="8" t="e">
        <f t="shared" si="130"/>
        <v>#VALUE!</v>
      </c>
    </row>
    <row r="10017" spans="11:11" x14ac:dyDescent="0.25">
      <c r="K10017" s="8" t="e">
        <f t="shared" si="130"/>
        <v>#VALUE!</v>
      </c>
    </row>
    <row r="10018" spans="11:11" x14ac:dyDescent="0.25">
      <c r="K10018" s="8" t="e">
        <f t="shared" si="130"/>
        <v>#VALUE!</v>
      </c>
    </row>
    <row r="10019" spans="11:11" x14ac:dyDescent="0.25">
      <c r="K10019" s="8" t="e">
        <f t="shared" si="130"/>
        <v>#VALUE!</v>
      </c>
    </row>
    <row r="10020" spans="11:11" x14ac:dyDescent="0.25">
      <c r="K10020" s="8" t="e">
        <f t="shared" si="130"/>
        <v>#VALUE!</v>
      </c>
    </row>
    <row r="10021" spans="11:11" x14ac:dyDescent="0.25">
      <c r="K10021" s="8" t="e">
        <f t="shared" si="130"/>
        <v>#VALUE!</v>
      </c>
    </row>
    <row r="10022" spans="11:11" x14ac:dyDescent="0.25">
      <c r="K10022" s="8" t="e">
        <f t="shared" si="130"/>
        <v>#VALUE!</v>
      </c>
    </row>
    <row r="10023" spans="11:11" x14ac:dyDescent="0.25">
      <c r="K10023" s="8" t="e">
        <f t="shared" si="130"/>
        <v>#VALUE!</v>
      </c>
    </row>
    <row r="10024" spans="11:11" x14ac:dyDescent="0.25">
      <c r="K10024" s="8" t="e">
        <f t="shared" si="130"/>
        <v>#VALUE!</v>
      </c>
    </row>
    <row r="10025" spans="11:11" x14ac:dyDescent="0.25">
      <c r="K10025" s="8" t="e">
        <f t="shared" si="130"/>
        <v>#VALUE!</v>
      </c>
    </row>
    <row r="10026" spans="11:11" x14ac:dyDescent="0.25">
      <c r="K10026" s="8" t="e">
        <f t="shared" si="130"/>
        <v>#VALUE!</v>
      </c>
    </row>
    <row r="10027" spans="11:11" x14ac:dyDescent="0.25">
      <c r="K10027" s="8" t="e">
        <f t="shared" si="130"/>
        <v>#VALUE!</v>
      </c>
    </row>
    <row r="10028" spans="11:11" x14ac:dyDescent="0.25">
      <c r="K10028" s="8" t="e">
        <f t="shared" si="130"/>
        <v>#VALUE!</v>
      </c>
    </row>
    <row r="10029" spans="11:11" x14ac:dyDescent="0.25">
      <c r="K10029" s="8" t="e">
        <f t="shared" si="130"/>
        <v>#VALUE!</v>
      </c>
    </row>
    <row r="10030" spans="11:11" x14ac:dyDescent="0.25">
      <c r="K10030" s="8" t="e">
        <f t="shared" si="130"/>
        <v>#VALUE!</v>
      </c>
    </row>
    <row r="10031" spans="11:11" x14ac:dyDescent="0.25">
      <c r="K10031" s="8" t="e">
        <f t="shared" si="130"/>
        <v>#VALUE!</v>
      </c>
    </row>
    <row r="10032" spans="11:11" x14ac:dyDescent="0.25">
      <c r="K10032" s="8" t="e">
        <f t="shared" si="130"/>
        <v>#VALUE!</v>
      </c>
    </row>
    <row r="10033" spans="11:11" x14ac:dyDescent="0.25">
      <c r="K10033" s="8" t="e">
        <f t="shared" si="130"/>
        <v>#VALUE!</v>
      </c>
    </row>
    <row r="10034" spans="11:11" x14ac:dyDescent="0.25">
      <c r="K10034" s="8" t="e">
        <f t="shared" si="130"/>
        <v>#VALUE!</v>
      </c>
    </row>
    <row r="10035" spans="11:11" x14ac:dyDescent="0.25">
      <c r="K10035" s="8" t="e">
        <f t="shared" si="130"/>
        <v>#VALUE!</v>
      </c>
    </row>
    <row r="10036" spans="11:11" x14ac:dyDescent="0.25">
      <c r="K10036" s="8" t="e">
        <f t="shared" si="130"/>
        <v>#VALUE!</v>
      </c>
    </row>
    <row r="10037" spans="11:11" x14ac:dyDescent="0.25">
      <c r="K10037" s="8" t="e">
        <f t="shared" si="130"/>
        <v>#VALUE!</v>
      </c>
    </row>
    <row r="10038" spans="11:11" x14ac:dyDescent="0.25">
      <c r="K10038" s="8" t="e">
        <f t="shared" si="130"/>
        <v>#VALUE!</v>
      </c>
    </row>
    <row r="10039" spans="11:11" x14ac:dyDescent="0.25">
      <c r="K10039" s="8" t="e">
        <f t="shared" si="130"/>
        <v>#VALUE!</v>
      </c>
    </row>
    <row r="10040" spans="11:11" x14ac:dyDescent="0.25">
      <c r="K10040" s="8" t="e">
        <f t="shared" si="130"/>
        <v>#VALUE!</v>
      </c>
    </row>
    <row r="10041" spans="11:11" x14ac:dyDescent="0.25">
      <c r="K10041" s="8" t="e">
        <f t="shared" si="130"/>
        <v>#VALUE!</v>
      </c>
    </row>
    <row r="10042" spans="11:11" x14ac:dyDescent="0.25">
      <c r="K10042" s="8" t="e">
        <f t="shared" si="130"/>
        <v>#VALUE!</v>
      </c>
    </row>
    <row r="10043" spans="11:11" x14ac:dyDescent="0.25">
      <c r="K10043" s="8" t="e">
        <f t="shared" si="130"/>
        <v>#VALUE!</v>
      </c>
    </row>
    <row r="10044" spans="11:11" x14ac:dyDescent="0.25">
      <c r="K10044" s="8" t="e">
        <f t="shared" si="130"/>
        <v>#VALUE!</v>
      </c>
    </row>
    <row r="10045" spans="11:11" x14ac:dyDescent="0.25">
      <c r="K10045" s="8" t="e">
        <f t="shared" si="130"/>
        <v>#VALUE!</v>
      </c>
    </row>
    <row r="10046" spans="11:11" x14ac:dyDescent="0.25">
      <c r="K10046" s="8" t="e">
        <f t="shared" si="130"/>
        <v>#VALUE!</v>
      </c>
    </row>
    <row r="10047" spans="11:11" x14ac:dyDescent="0.25">
      <c r="K10047" s="8" t="e">
        <f t="shared" si="130"/>
        <v>#VALUE!</v>
      </c>
    </row>
    <row r="10048" spans="11:11" x14ac:dyDescent="0.25">
      <c r="K10048" s="8" t="e">
        <f t="shared" si="130"/>
        <v>#VALUE!</v>
      </c>
    </row>
    <row r="10049" spans="11:11" x14ac:dyDescent="0.25">
      <c r="K10049" s="8" t="e">
        <f t="shared" si="130"/>
        <v>#VALUE!</v>
      </c>
    </row>
    <row r="10050" spans="11:11" x14ac:dyDescent="0.25">
      <c r="K10050" s="8" t="e">
        <f t="shared" si="130"/>
        <v>#VALUE!</v>
      </c>
    </row>
    <row r="10051" spans="11:11" x14ac:dyDescent="0.25">
      <c r="K10051" s="8" t="e">
        <f t="shared" ref="K10051:K10114" si="131">LEFT(A10051,FIND("/",A10051)-1)</f>
        <v>#VALUE!</v>
      </c>
    </row>
    <row r="10052" spans="11:11" x14ac:dyDescent="0.25">
      <c r="K10052" s="8" t="e">
        <f t="shared" si="131"/>
        <v>#VALUE!</v>
      </c>
    </row>
    <row r="10053" spans="11:11" x14ac:dyDescent="0.25">
      <c r="K10053" s="8" t="e">
        <f t="shared" si="131"/>
        <v>#VALUE!</v>
      </c>
    </row>
    <row r="10054" spans="11:11" x14ac:dyDescent="0.25">
      <c r="K10054" s="8" t="e">
        <f t="shared" si="131"/>
        <v>#VALUE!</v>
      </c>
    </row>
    <row r="10055" spans="11:11" x14ac:dyDescent="0.25">
      <c r="K10055" s="8" t="e">
        <f t="shared" si="131"/>
        <v>#VALUE!</v>
      </c>
    </row>
    <row r="10056" spans="11:11" x14ac:dyDescent="0.25">
      <c r="K10056" s="8" t="e">
        <f t="shared" si="131"/>
        <v>#VALUE!</v>
      </c>
    </row>
    <row r="10057" spans="11:11" x14ac:dyDescent="0.25">
      <c r="K10057" s="8" t="e">
        <f t="shared" si="131"/>
        <v>#VALUE!</v>
      </c>
    </row>
    <row r="10058" spans="11:11" x14ac:dyDescent="0.25">
      <c r="K10058" s="8" t="e">
        <f t="shared" si="131"/>
        <v>#VALUE!</v>
      </c>
    </row>
    <row r="10059" spans="11:11" x14ac:dyDescent="0.25">
      <c r="K10059" s="8" t="e">
        <f t="shared" si="131"/>
        <v>#VALUE!</v>
      </c>
    </row>
    <row r="10060" spans="11:11" x14ac:dyDescent="0.25">
      <c r="K10060" s="8" t="e">
        <f t="shared" si="131"/>
        <v>#VALUE!</v>
      </c>
    </row>
    <row r="10061" spans="11:11" x14ac:dyDescent="0.25">
      <c r="K10061" s="8" t="e">
        <f t="shared" si="131"/>
        <v>#VALUE!</v>
      </c>
    </row>
    <row r="10062" spans="11:11" x14ac:dyDescent="0.25">
      <c r="K10062" s="8" t="e">
        <f t="shared" si="131"/>
        <v>#VALUE!</v>
      </c>
    </row>
    <row r="10063" spans="11:11" x14ac:dyDescent="0.25">
      <c r="K10063" s="8" t="e">
        <f t="shared" si="131"/>
        <v>#VALUE!</v>
      </c>
    </row>
    <row r="10064" spans="11:11" x14ac:dyDescent="0.25">
      <c r="K10064" s="8" t="e">
        <f t="shared" si="131"/>
        <v>#VALUE!</v>
      </c>
    </row>
    <row r="10065" spans="11:11" x14ac:dyDescent="0.25">
      <c r="K10065" s="8" t="e">
        <f t="shared" si="131"/>
        <v>#VALUE!</v>
      </c>
    </row>
    <row r="10066" spans="11:11" x14ac:dyDescent="0.25">
      <c r="K10066" s="8" t="e">
        <f t="shared" si="131"/>
        <v>#VALUE!</v>
      </c>
    </row>
    <row r="10067" spans="11:11" x14ac:dyDescent="0.25">
      <c r="K10067" s="8" t="e">
        <f t="shared" si="131"/>
        <v>#VALUE!</v>
      </c>
    </row>
    <row r="10068" spans="11:11" x14ac:dyDescent="0.25">
      <c r="K10068" s="8" t="e">
        <f t="shared" si="131"/>
        <v>#VALUE!</v>
      </c>
    </row>
    <row r="10069" spans="11:11" x14ac:dyDescent="0.25">
      <c r="K10069" s="8" t="e">
        <f t="shared" si="131"/>
        <v>#VALUE!</v>
      </c>
    </row>
    <row r="10070" spans="11:11" x14ac:dyDescent="0.25">
      <c r="K10070" s="8" t="e">
        <f t="shared" si="131"/>
        <v>#VALUE!</v>
      </c>
    </row>
    <row r="10071" spans="11:11" x14ac:dyDescent="0.25">
      <c r="K10071" s="8" t="e">
        <f t="shared" si="131"/>
        <v>#VALUE!</v>
      </c>
    </row>
    <row r="10072" spans="11:11" x14ac:dyDescent="0.25">
      <c r="K10072" s="8" t="e">
        <f t="shared" si="131"/>
        <v>#VALUE!</v>
      </c>
    </row>
    <row r="10073" spans="11:11" x14ac:dyDescent="0.25">
      <c r="K10073" s="8" t="e">
        <f t="shared" si="131"/>
        <v>#VALUE!</v>
      </c>
    </row>
    <row r="10074" spans="11:11" x14ac:dyDescent="0.25">
      <c r="K10074" s="8" t="e">
        <f t="shared" si="131"/>
        <v>#VALUE!</v>
      </c>
    </row>
    <row r="10075" spans="11:11" x14ac:dyDescent="0.25">
      <c r="K10075" s="8" t="e">
        <f t="shared" si="131"/>
        <v>#VALUE!</v>
      </c>
    </row>
    <row r="10076" spans="11:11" x14ac:dyDescent="0.25">
      <c r="K10076" s="8" t="e">
        <f t="shared" si="131"/>
        <v>#VALUE!</v>
      </c>
    </row>
    <row r="10077" spans="11:11" x14ac:dyDescent="0.25">
      <c r="K10077" s="8" t="e">
        <f t="shared" si="131"/>
        <v>#VALUE!</v>
      </c>
    </row>
    <row r="10078" spans="11:11" x14ac:dyDescent="0.25">
      <c r="K10078" s="8" t="e">
        <f t="shared" si="131"/>
        <v>#VALUE!</v>
      </c>
    </row>
    <row r="10079" spans="11:11" x14ac:dyDescent="0.25">
      <c r="K10079" s="8" t="e">
        <f t="shared" si="131"/>
        <v>#VALUE!</v>
      </c>
    </row>
    <row r="10080" spans="11:11" x14ac:dyDescent="0.25">
      <c r="K10080" s="8" t="e">
        <f t="shared" si="131"/>
        <v>#VALUE!</v>
      </c>
    </row>
    <row r="10081" spans="11:11" x14ac:dyDescent="0.25">
      <c r="K10081" s="8" t="e">
        <f t="shared" si="131"/>
        <v>#VALUE!</v>
      </c>
    </row>
    <row r="10082" spans="11:11" x14ac:dyDescent="0.25">
      <c r="K10082" s="8" t="e">
        <f t="shared" si="131"/>
        <v>#VALUE!</v>
      </c>
    </row>
    <row r="10083" spans="11:11" x14ac:dyDescent="0.25">
      <c r="K10083" s="8" t="e">
        <f t="shared" si="131"/>
        <v>#VALUE!</v>
      </c>
    </row>
    <row r="10084" spans="11:11" x14ac:dyDescent="0.25">
      <c r="K10084" s="8" t="e">
        <f t="shared" si="131"/>
        <v>#VALUE!</v>
      </c>
    </row>
    <row r="10085" spans="11:11" x14ac:dyDescent="0.25">
      <c r="K10085" s="8" t="e">
        <f t="shared" si="131"/>
        <v>#VALUE!</v>
      </c>
    </row>
    <row r="10086" spans="11:11" x14ac:dyDescent="0.25">
      <c r="K10086" s="8" t="e">
        <f t="shared" si="131"/>
        <v>#VALUE!</v>
      </c>
    </row>
    <row r="10087" spans="11:11" x14ac:dyDescent="0.25">
      <c r="K10087" s="8" t="e">
        <f t="shared" si="131"/>
        <v>#VALUE!</v>
      </c>
    </row>
    <row r="10088" spans="11:11" x14ac:dyDescent="0.25">
      <c r="K10088" s="8" t="e">
        <f t="shared" si="131"/>
        <v>#VALUE!</v>
      </c>
    </row>
    <row r="10089" spans="11:11" x14ac:dyDescent="0.25">
      <c r="K10089" s="8" t="e">
        <f t="shared" si="131"/>
        <v>#VALUE!</v>
      </c>
    </row>
    <row r="10090" spans="11:11" x14ac:dyDescent="0.25">
      <c r="K10090" s="8" t="e">
        <f t="shared" si="131"/>
        <v>#VALUE!</v>
      </c>
    </row>
    <row r="10091" spans="11:11" x14ac:dyDescent="0.25">
      <c r="K10091" s="8" t="e">
        <f t="shared" si="131"/>
        <v>#VALUE!</v>
      </c>
    </row>
    <row r="10092" spans="11:11" x14ac:dyDescent="0.25">
      <c r="K10092" s="8" t="e">
        <f t="shared" si="131"/>
        <v>#VALUE!</v>
      </c>
    </row>
    <row r="10093" spans="11:11" x14ac:dyDescent="0.25">
      <c r="K10093" s="8" t="e">
        <f t="shared" si="131"/>
        <v>#VALUE!</v>
      </c>
    </row>
    <row r="10094" spans="11:11" x14ac:dyDescent="0.25">
      <c r="K10094" s="8" t="e">
        <f t="shared" si="131"/>
        <v>#VALUE!</v>
      </c>
    </row>
    <row r="10095" spans="11:11" x14ac:dyDescent="0.25">
      <c r="K10095" s="8" t="e">
        <f t="shared" si="131"/>
        <v>#VALUE!</v>
      </c>
    </row>
    <row r="10096" spans="11:11" x14ac:dyDescent="0.25">
      <c r="K10096" s="8" t="e">
        <f t="shared" si="131"/>
        <v>#VALUE!</v>
      </c>
    </row>
    <row r="10097" spans="11:11" x14ac:dyDescent="0.25">
      <c r="K10097" s="8" t="e">
        <f t="shared" si="131"/>
        <v>#VALUE!</v>
      </c>
    </row>
    <row r="10098" spans="11:11" x14ac:dyDescent="0.25">
      <c r="K10098" s="8" t="e">
        <f t="shared" si="131"/>
        <v>#VALUE!</v>
      </c>
    </row>
    <row r="10099" spans="11:11" x14ac:dyDescent="0.25">
      <c r="K10099" s="8" t="e">
        <f t="shared" si="131"/>
        <v>#VALUE!</v>
      </c>
    </row>
    <row r="10100" spans="11:11" x14ac:dyDescent="0.25">
      <c r="K10100" s="8" t="e">
        <f t="shared" si="131"/>
        <v>#VALUE!</v>
      </c>
    </row>
    <row r="10101" spans="11:11" x14ac:dyDescent="0.25">
      <c r="K10101" s="8" t="e">
        <f t="shared" si="131"/>
        <v>#VALUE!</v>
      </c>
    </row>
    <row r="10102" spans="11:11" x14ac:dyDescent="0.25">
      <c r="K10102" s="8" t="e">
        <f t="shared" si="131"/>
        <v>#VALUE!</v>
      </c>
    </row>
    <row r="10103" spans="11:11" x14ac:dyDescent="0.25">
      <c r="K10103" s="8" t="e">
        <f t="shared" si="131"/>
        <v>#VALUE!</v>
      </c>
    </row>
    <row r="10104" spans="11:11" x14ac:dyDescent="0.25">
      <c r="K10104" s="8" t="e">
        <f t="shared" si="131"/>
        <v>#VALUE!</v>
      </c>
    </row>
    <row r="10105" spans="11:11" x14ac:dyDescent="0.25">
      <c r="K10105" s="8" t="e">
        <f t="shared" si="131"/>
        <v>#VALUE!</v>
      </c>
    </row>
    <row r="10106" spans="11:11" x14ac:dyDescent="0.25">
      <c r="K10106" s="8" t="e">
        <f t="shared" si="131"/>
        <v>#VALUE!</v>
      </c>
    </row>
    <row r="10107" spans="11:11" x14ac:dyDescent="0.25">
      <c r="K10107" s="8" t="e">
        <f t="shared" si="131"/>
        <v>#VALUE!</v>
      </c>
    </row>
    <row r="10108" spans="11:11" x14ac:dyDescent="0.25">
      <c r="K10108" s="8" t="e">
        <f t="shared" si="131"/>
        <v>#VALUE!</v>
      </c>
    </row>
    <row r="10109" spans="11:11" x14ac:dyDescent="0.25">
      <c r="K10109" s="8" t="e">
        <f t="shared" si="131"/>
        <v>#VALUE!</v>
      </c>
    </row>
    <row r="10110" spans="11:11" x14ac:dyDescent="0.25">
      <c r="K10110" s="8" t="e">
        <f t="shared" si="131"/>
        <v>#VALUE!</v>
      </c>
    </row>
    <row r="10111" spans="11:11" x14ac:dyDescent="0.25">
      <c r="K10111" s="8" t="e">
        <f t="shared" si="131"/>
        <v>#VALUE!</v>
      </c>
    </row>
    <row r="10112" spans="11:11" x14ac:dyDescent="0.25">
      <c r="K10112" s="8" t="e">
        <f t="shared" si="131"/>
        <v>#VALUE!</v>
      </c>
    </row>
    <row r="10113" spans="11:11" x14ac:dyDescent="0.25">
      <c r="K10113" s="8" t="e">
        <f t="shared" si="131"/>
        <v>#VALUE!</v>
      </c>
    </row>
    <row r="10114" spans="11:11" x14ac:dyDescent="0.25">
      <c r="K10114" s="8" t="e">
        <f t="shared" si="131"/>
        <v>#VALUE!</v>
      </c>
    </row>
    <row r="10115" spans="11:11" x14ac:dyDescent="0.25">
      <c r="K10115" s="8" t="e">
        <f t="shared" ref="K10115:K10178" si="132">LEFT(A10115,FIND("/",A10115)-1)</f>
        <v>#VALUE!</v>
      </c>
    </row>
    <row r="10116" spans="11:11" x14ac:dyDescent="0.25">
      <c r="K10116" s="8" t="e">
        <f t="shared" si="132"/>
        <v>#VALUE!</v>
      </c>
    </row>
    <row r="10117" spans="11:11" x14ac:dyDescent="0.25">
      <c r="K10117" s="8" t="e">
        <f t="shared" si="132"/>
        <v>#VALUE!</v>
      </c>
    </row>
    <row r="10118" spans="11:11" x14ac:dyDescent="0.25">
      <c r="K10118" s="8" t="e">
        <f t="shared" si="132"/>
        <v>#VALUE!</v>
      </c>
    </row>
    <row r="10119" spans="11:11" x14ac:dyDescent="0.25">
      <c r="K10119" s="8" t="e">
        <f t="shared" si="132"/>
        <v>#VALUE!</v>
      </c>
    </row>
    <row r="10120" spans="11:11" x14ac:dyDescent="0.25">
      <c r="K10120" s="8" t="e">
        <f t="shared" si="132"/>
        <v>#VALUE!</v>
      </c>
    </row>
    <row r="10121" spans="11:11" x14ac:dyDescent="0.25">
      <c r="K10121" s="8" t="e">
        <f t="shared" si="132"/>
        <v>#VALUE!</v>
      </c>
    </row>
    <row r="10122" spans="11:11" x14ac:dyDescent="0.25">
      <c r="K10122" s="8" t="e">
        <f t="shared" si="132"/>
        <v>#VALUE!</v>
      </c>
    </row>
    <row r="10123" spans="11:11" x14ac:dyDescent="0.25">
      <c r="K10123" s="8" t="e">
        <f t="shared" si="132"/>
        <v>#VALUE!</v>
      </c>
    </row>
    <row r="10124" spans="11:11" x14ac:dyDescent="0.25">
      <c r="K10124" s="8" t="e">
        <f t="shared" si="132"/>
        <v>#VALUE!</v>
      </c>
    </row>
    <row r="10125" spans="11:11" x14ac:dyDescent="0.25">
      <c r="K10125" s="8" t="e">
        <f t="shared" si="132"/>
        <v>#VALUE!</v>
      </c>
    </row>
    <row r="10126" spans="11:11" x14ac:dyDescent="0.25">
      <c r="K10126" s="8" t="e">
        <f t="shared" si="132"/>
        <v>#VALUE!</v>
      </c>
    </row>
    <row r="10127" spans="11:11" x14ac:dyDescent="0.25">
      <c r="K10127" s="8" t="e">
        <f t="shared" si="132"/>
        <v>#VALUE!</v>
      </c>
    </row>
    <row r="10128" spans="11:11" x14ac:dyDescent="0.25">
      <c r="K10128" s="8" t="e">
        <f t="shared" si="132"/>
        <v>#VALUE!</v>
      </c>
    </row>
    <row r="10129" spans="11:11" x14ac:dyDescent="0.25">
      <c r="K10129" s="8" t="e">
        <f t="shared" si="132"/>
        <v>#VALUE!</v>
      </c>
    </row>
    <row r="10130" spans="11:11" x14ac:dyDescent="0.25">
      <c r="K10130" s="8" t="e">
        <f t="shared" si="132"/>
        <v>#VALUE!</v>
      </c>
    </row>
    <row r="10131" spans="11:11" x14ac:dyDescent="0.25">
      <c r="K10131" s="8" t="e">
        <f t="shared" si="132"/>
        <v>#VALUE!</v>
      </c>
    </row>
    <row r="10132" spans="11:11" x14ac:dyDescent="0.25">
      <c r="K10132" s="8" t="e">
        <f t="shared" si="132"/>
        <v>#VALUE!</v>
      </c>
    </row>
    <row r="10133" spans="11:11" x14ac:dyDescent="0.25">
      <c r="K10133" s="8" t="e">
        <f t="shared" si="132"/>
        <v>#VALUE!</v>
      </c>
    </row>
    <row r="10134" spans="11:11" x14ac:dyDescent="0.25">
      <c r="K10134" s="8" t="e">
        <f t="shared" si="132"/>
        <v>#VALUE!</v>
      </c>
    </row>
    <row r="10135" spans="11:11" x14ac:dyDescent="0.25">
      <c r="K10135" s="8" t="e">
        <f t="shared" si="132"/>
        <v>#VALUE!</v>
      </c>
    </row>
    <row r="10136" spans="11:11" x14ac:dyDescent="0.25">
      <c r="K10136" s="8" t="e">
        <f t="shared" si="132"/>
        <v>#VALUE!</v>
      </c>
    </row>
    <row r="10137" spans="11:11" x14ac:dyDescent="0.25">
      <c r="K10137" s="8" t="e">
        <f t="shared" si="132"/>
        <v>#VALUE!</v>
      </c>
    </row>
    <row r="10138" spans="11:11" x14ac:dyDescent="0.25">
      <c r="K10138" s="8" t="e">
        <f t="shared" si="132"/>
        <v>#VALUE!</v>
      </c>
    </row>
    <row r="10139" spans="11:11" x14ac:dyDescent="0.25">
      <c r="K10139" s="8" t="e">
        <f t="shared" si="132"/>
        <v>#VALUE!</v>
      </c>
    </row>
    <row r="10140" spans="11:11" x14ac:dyDescent="0.25">
      <c r="K10140" s="8" t="e">
        <f t="shared" si="132"/>
        <v>#VALUE!</v>
      </c>
    </row>
    <row r="10141" spans="11:11" x14ac:dyDescent="0.25">
      <c r="K10141" s="8" t="e">
        <f t="shared" si="132"/>
        <v>#VALUE!</v>
      </c>
    </row>
    <row r="10142" spans="11:11" x14ac:dyDescent="0.25">
      <c r="K10142" s="8" t="e">
        <f t="shared" si="132"/>
        <v>#VALUE!</v>
      </c>
    </row>
    <row r="10143" spans="11:11" x14ac:dyDescent="0.25">
      <c r="K10143" s="8" t="e">
        <f t="shared" si="132"/>
        <v>#VALUE!</v>
      </c>
    </row>
    <row r="10144" spans="11:11" x14ac:dyDescent="0.25">
      <c r="K10144" s="8" t="e">
        <f t="shared" si="132"/>
        <v>#VALUE!</v>
      </c>
    </row>
    <row r="10145" spans="11:11" x14ac:dyDescent="0.25">
      <c r="K10145" s="8" t="e">
        <f t="shared" si="132"/>
        <v>#VALUE!</v>
      </c>
    </row>
    <row r="10146" spans="11:11" x14ac:dyDescent="0.25">
      <c r="K10146" s="8" t="e">
        <f t="shared" si="132"/>
        <v>#VALUE!</v>
      </c>
    </row>
    <row r="10147" spans="11:11" x14ac:dyDescent="0.25">
      <c r="K10147" s="8" t="e">
        <f t="shared" si="132"/>
        <v>#VALUE!</v>
      </c>
    </row>
    <row r="10148" spans="11:11" x14ac:dyDescent="0.25">
      <c r="K10148" s="8" t="e">
        <f t="shared" si="132"/>
        <v>#VALUE!</v>
      </c>
    </row>
    <row r="10149" spans="11:11" x14ac:dyDescent="0.25">
      <c r="K10149" s="8" t="e">
        <f t="shared" si="132"/>
        <v>#VALUE!</v>
      </c>
    </row>
    <row r="10150" spans="11:11" x14ac:dyDescent="0.25">
      <c r="K10150" s="8" t="e">
        <f t="shared" si="132"/>
        <v>#VALUE!</v>
      </c>
    </row>
    <row r="10151" spans="11:11" x14ac:dyDescent="0.25">
      <c r="K10151" s="8" t="e">
        <f t="shared" si="132"/>
        <v>#VALUE!</v>
      </c>
    </row>
    <row r="10152" spans="11:11" x14ac:dyDescent="0.25">
      <c r="K10152" s="8" t="e">
        <f t="shared" si="132"/>
        <v>#VALUE!</v>
      </c>
    </row>
    <row r="10153" spans="11:11" x14ac:dyDescent="0.25">
      <c r="K10153" s="8" t="e">
        <f t="shared" si="132"/>
        <v>#VALUE!</v>
      </c>
    </row>
    <row r="10154" spans="11:11" x14ac:dyDescent="0.25">
      <c r="K10154" s="8" t="e">
        <f t="shared" si="132"/>
        <v>#VALUE!</v>
      </c>
    </row>
    <row r="10155" spans="11:11" x14ac:dyDescent="0.25">
      <c r="K10155" s="8" t="e">
        <f t="shared" si="132"/>
        <v>#VALUE!</v>
      </c>
    </row>
    <row r="10156" spans="11:11" x14ac:dyDescent="0.25">
      <c r="K10156" s="8" t="e">
        <f t="shared" si="132"/>
        <v>#VALUE!</v>
      </c>
    </row>
    <row r="10157" spans="11:11" x14ac:dyDescent="0.25">
      <c r="K10157" s="8" t="e">
        <f t="shared" si="132"/>
        <v>#VALUE!</v>
      </c>
    </row>
    <row r="10158" spans="11:11" x14ac:dyDescent="0.25">
      <c r="K10158" s="8" t="e">
        <f t="shared" si="132"/>
        <v>#VALUE!</v>
      </c>
    </row>
    <row r="10159" spans="11:11" x14ac:dyDescent="0.25">
      <c r="K10159" s="8" t="e">
        <f t="shared" si="132"/>
        <v>#VALUE!</v>
      </c>
    </row>
    <row r="10160" spans="11:11" x14ac:dyDescent="0.25">
      <c r="K10160" s="8" t="e">
        <f t="shared" si="132"/>
        <v>#VALUE!</v>
      </c>
    </row>
    <row r="10161" spans="11:11" x14ac:dyDescent="0.25">
      <c r="K10161" s="8" t="e">
        <f t="shared" si="132"/>
        <v>#VALUE!</v>
      </c>
    </row>
    <row r="10162" spans="11:11" x14ac:dyDescent="0.25">
      <c r="K10162" s="8" t="e">
        <f t="shared" si="132"/>
        <v>#VALUE!</v>
      </c>
    </row>
    <row r="10163" spans="11:11" x14ac:dyDescent="0.25">
      <c r="K10163" s="8" t="e">
        <f t="shared" si="132"/>
        <v>#VALUE!</v>
      </c>
    </row>
    <row r="10164" spans="11:11" x14ac:dyDescent="0.25">
      <c r="K10164" s="8" t="e">
        <f t="shared" si="132"/>
        <v>#VALUE!</v>
      </c>
    </row>
    <row r="10165" spans="11:11" x14ac:dyDescent="0.25">
      <c r="K10165" s="8" t="e">
        <f t="shared" si="132"/>
        <v>#VALUE!</v>
      </c>
    </row>
    <row r="10166" spans="11:11" x14ac:dyDescent="0.25">
      <c r="K10166" s="8" t="e">
        <f t="shared" si="132"/>
        <v>#VALUE!</v>
      </c>
    </row>
    <row r="10167" spans="11:11" x14ac:dyDescent="0.25">
      <c r="K10167" s="8" t="e">
        <f t="shared" si="132"/>
        <v>#VALUE!</v>
      </c>
    </row>
    <row r="10168" spans="11:11" x14ac:dyDescent="0.25">
      <c r="K10168" s="8" t="e">
        <f t="shared" si="132"/>
        <v>#VALUE!</v>
      </c>
    </row>
    <row r="10169" spans="11:11" x14ac:dyDescent="0.25">
      <c r="K10169" s="8" t="e">
        <f t="shared" si="132"/>
        <v>#VALUE!</v>
      </c>
    </row>
    <row r="10170" spans="11:11" x14ac:dyDescent="0.25">
      <c r="K10170" s="8" t="e">
        <f t="shared" si="132"/>
        <v>#VALUE!</v>
      </c>
    </row>
    <row r="10171" spans="11:11" x14ac:dyDescent="0.25">
      <c r="K10171" s="8" t="e">
        <f t="shared" si="132"/>
        <v>#VALUE!</v>
      </c>
    </row>
    <row r="10172" spans="11:11" x14ac:dyDescent="0.25">
      <c r="K10172" s="8" t="e">
        <f t="shared" si="132"/>
        <v>#VALUE!</v>
      </c>
    </row>
    <row r="10173" spans="11:11" x14ac:dyDescent="0.25">
      <c r="K10173" s="8" t="e">
        <f t="shared" si="132"/>
        <v>#VALUE!</v>
      </c>
    </row>
    <row r="10174" spans="11:11" x14ac:dyDescent="0.25">
      <c r="K10174" s="8" t="e">
        <f t="shared" si="132"/>
        <v>#VALUE!</v>
      </c>
    </row>
    <row r="10175" spans="11:11" x14ac:dyDescent="0.25">
      <c r="K10175" s="8" t="e">
        <f t="shared" si="132"/>
        <v>#VALUE!</v>
      </c>
    </row>
    <row r="10176" spans="11:11" x14ac:dyDescent="0.25">
      <c r="K10176" s="8" t="e">
        <f t="shared" si="132"/>
        <v>#VALUE!</v>
      </c>
    </row>
    <row r="10177" spans="11:11" x14ac:dyDescent="0.25">
      <c r="K10177" s="8" t="e">
        <f t="shared" si="132"/>
        <v>#VALUE!</v>
      </c>
    </row>
    <row r="10178" spans="11:11" x14ac:dyDescent="0.25">
      <c r="K10178" s="8" t="e">
        <f t="shared" si="132"/>
        <v>#VALUE!</v>
      </c>
    </row>
    <row r="10179" spans="11:11" x14ac:dyDescent="0.25">
      <c r="K10179" s="8" t="e">
        <f t="shared" ref="K10179:K10242" si="133">LEFT(A10179,FIND("/",A10179)-1)</f>
        <v>#VALUE!</v>
      </c>
    </row>
    <row r="10180" spans="11:11" x14ac:dyDescent="0.25">
      <c r="K10180" s="8" t="e">
        <f t="shared" si="133"/>
        <v>#VALUE!</v>
      </c>
    </row>
    <row r="10181" spans="11:11" x14ac:dyDescent="0.25">
      <c r="K10181" s="8" t="e">
        <f t="shared" si="133"/>
        <v>#VALUE!</v>
      </c>
    </row>
    <row r="10182" spans="11:11" x14ac:dyDescent="0.25">
      <c r="K10182" s="8" t="e">
        <f t="shared" si="133"/>
        <v>#VALUE!</v>
      </c>
    </row>
    <row r="10183" spans="11:11" x14ac:dyDescent="0.25">
      <c r="K10183" s="8" t="e">
        <f t="shared" si="133"/>
        <v>#VALUE!</v>
      </c>
    </row>
    <row r="10184" spans="11:11" x14ac:dyDescent="0.25">
      <c r="K10184" s="8" t="e">
        <f t="shared" si="133"/>
        <v>#VALUE!</v>
      </c>
    </row>
    <row r="10185" spans="11:11" x14ac:dyDescent="0.25">
      <c r="K10185" s="8" t="e">
        <f t="shared" si="133"/>
        <v>#VALUE!</v>
      </c>
    </row>
    <row r="10186" spans="11:11" x14ac:dyDescent="0.25">
      <c r="K10186" s="8" t="e">
        <f t="shared" si="133"/>
        <v>#VALUE!</v>
      </c>
    </row>
    <row r="10187" spans="11:11" x14ac:dyDescent="0.25">
      <c r="K10187" s="8" t="e">
        <f t="shared" si="133"/>
        <v>#VALUE!</v>
      </c>
    </row>
    <row r="10188" spans="11:11" x14ac:dyDescent="0.25">
      <c r="K10188" s="8" t="e">
        <f t="shared" si="133"/>
        <v>#VALUE!</v>
      </c>
    </row>
    <row r="10189" spans="11:11" x14ac:dyDescent="0.25">
      <c r="K10189" s="8" t="e">
        <f t="shared" si="133"/>
        <v>#VALUE!</v>
      </c>
    </row>
    <row r="10190" spans="11:11" x14ac:dyDescent="0.25">
      <c r="K10190" s="8" t="e">
        <f t="shared" si="133"/>
        <v>#VALUE!</v>
      </c>
    </row>
    <row r="10191" spans="11:11" x14ac:dyDescent="0.25">
      <c r="K10191" s="8" t="e">
        <f t="shared" si="133"/>
        <v>#VALUE!</v>
      </c>
    </row>
    <row r="10192" spans="11:11" x14ac:dyDescent="0.25">
      <c r="K10192" s="8" t="e">
        <f t="shared" si="133"/>
        <v>#VALUE!</v>
      </c>
    </row>
    <row r="10193" spans="11:11" x14ac:dyDescent="0.25">
      <c r="K10193" s="8" t="e">
        <f t="shared" si="133"/>
        <v>#VALUE!</v>
      </c>
    </row>
    <row r="10194" spans="11:11" x14ac:dyDescent="0.25">
      <c r="K10194" s="8" t="e">
        <f t="shared" si="133"/>
        <v>#VALUE!</v>
      </c>
    </row>
    <row r="10195" spans="11:11" x14ac:dyDescent="0.25">
      <c r="K10195" s="8" t="e">
        <f t="shared" si="133"/>
        <v>#VALUE!</v>
      </c>
    </row>
    <row r="10196" spans="11:11" x14ac:dyDescent="0.25">
      <c r="K10196" s="8" t="e">
        <f t="shared" si="133"/>
        <v>#VALUE!</v>
      </c>
    </row>
    <row r="10197" spans="11:11" x14ac:dyDescent="0.25">
      <c r="K10197" s="8" t="e">
        <f t="shared" si="133"/>
        <v>#VALUE!</v>
      </c>
    </row>
    <row r="10198" spans="11:11" x14ac:dyDescent="0.25">
      <c r="K10198" s="8" t="e">
        <f t="shared" si="133"/>
        <v>#VALUE!</v>
      </c>
    </row>
    <row r="10199" spans="11:11" x14ac:dyDescent="0.25">
      <c r="K10199" s="8" t="e">
        <f t="shared" si="133"/>
        <v>#VALUE!</v>
      </c>
    </row>
    <row r="10200" spans="11:11" x14ac:dyDescent="0.25">
      <c r="K10200" s="8" t="e">
        <f t="shared" si="133"/>
        <v>#VALUE!</v>
      </c>
    </row>
    <row r="10201" spans="11:11" x14ac:dyDescent="0.25">
      <c r="K10201" s="8" t="e">
        <f t="shared" si="133"/>
        <v>#VALUE!</v>
      </c>
    </row>
    <row r="10202" spans="11:11" x14ac:dyDescent="0.25">
      <c r="K10202" s="8" t="e">
        <f t="shared" si="133"/>
        <v>#VALUE!</v>
      </c>
    </row>
    <row r="10203" spans="11:11" x14ac:dyDescent="0.25">
      <c r="K10203" s="8" t="e">
        <f t="shared" si="133"/>
        <v>#VALUE!</v>
      </c>
    </row>
    <row r="10204" spans="11:11" x14ac:dyDescent="0.25">
      <c r="K10204" s="8" t="e">
        <f t="shared" si="133"/>
        <v>#VALUE!</v>
      </c>
    </row>
    <row r="10205" spans="11:11" x14ac:dyDescent="0.25">
      <c r="K10205" s="8" t="e">
        <f t="shared" si="133"/>
        <v>#VALUE!</v>
      </c>
    </row>
    <row r="10206" spans="11:11" x14ac:dyDescent="0.25">
      <c r="K10206" s="8" t="e">
        <f t="shared" si="133"/>
        <v>#VALUE!</v>
      </c>
    </row>
    <row r="10207" spans="11:11" x14ac:dyDescent="0.25">
      <c r="K10207" s="8" t="e">
        <f t="shared" si="133"/>
        <v>#VALUE!</v>
      </c>
    </row>
    <row r="10208" spans="11:11" x14ac:dyDescent="0.25">
      <c r="K10208" s="8" t="e">
        <f t="shared" si="133"/>
        <v>#VALUE!</v>
      </c>
    </row>
    <row r="10209" spans="11:11" x14ac:dyDescent="0.25">
      <c r="K10209" s="8" t="e">
        <f t="shared" si="133"/>
        <v>#VALUE!</v>
      </c>
    </row>
    <row r="10210" spans="11:11" x14ac:dyDescent="0.25">
      <c r="K10210" s="8" t="e">
        <f t="shared" si="133"/>
        <v>#VALUE!</v>
      </c>
    </row>
    <row r="10211" spans="11:11" x14ac:dyDescent="0.25">
      <c r="K10211" s="8" t="e">
        <f t="shared" si="133"/>
        <v>#VALUE!</v>
      </c>
    </row>
    <row r="10212" spans="11:11" x14ac:dyDescent="0.25">
      <c r="K10212" s="8" t="e">
        <f t="shared" si="133"/>
        <v>#VALUE!</v>
      </c>
    </row>
    <row r="10213" spans="11:11" x14ac:dyDescent="0.25">
      <c r="K10213" s="8" t="e">
        <f t="shared" si="133"/>
        <v>#VALUE!</v>
      </c>
    </row>
    <row r="10214" spans="11:11" x14ac:dyDescent="0.25">
      <c r="K10214" s="8" t="e">
        <f t="shared" si="133"/>
        <v>#VALUE!</v>
      </c>
    </row>
    <row r="10215" spans="11:11" x14ac:dyDescent="0.25">
      <c r="K10215" s="8" t="e">
        <f t="shared" si="133"/>
        <v>#VALUE!</v>
      </c>
    </row>
    <row r="10216" spans="11:11" x14ac:dyDescent="0.25">
      <c r="K10216" s="8" t="e">
        <f t="shared" si="133"/>
        <v>#VALUE!</v>
      </c>
    </row>
    <row r="10217" spans="11:11" x14ac:dyDescent="0.25">
      <c r="K10217" s="8" t="e">
        <f t="shared" si="133"/>
        <v>#VALUE!</v>
      </c>
    </row>
    <row r="10218" spans="11:11" x14ac:dyDescent="0.25">
      <c r="K10218" s="8" t="e">
        <f t="shared" si="133"/>
        <v>#VALUE!</v>
      </c>
    </row>
    <row r="10219" spans="11:11" x14ac:dyDescent="0.25">
      <c r="K10219" s="8" t="e">
        <f t="shared" si="133"/>
        <v>#VALUE!</v>
      </c>
    </row>
    <row r="10220" spans="11:11" x14ac:dyDescent="0.25">
      <c r="K10220" s="8" t="e">
        <f t="shared" si="133"/>
        <v>#VALUE!</v>
      </c>
    </row>
    <row r="10221" spans="11:11" x14ac:dyDescent="0.25">
      <c r="K10221" s="8" t="e">
        <f t="shared" si="133"/>
        <v>#VALUE!</v>
      </c>
    </row>
    <row r="10222" spans="11:11" x14ac:dyDescent="0.25">
      <c r="K10222" s="8" t="e">
        <f t="shared" si="133"/>
        <v>#VALUE!</v>
      </c>
    </row>
    <row r="10223" spans="11:11" x14ac:dyDescent="0.25">
      <c r="K10223" s="8" t="e">
        <f t="shared" si="133"/>
        <v>#VALUE!</v>
      </c>
    </row>
    <row r="10224" spans="11:11" x14ac:dyDescent="0.25">
      <c r="K10224" s="8" t="e">
        <f t="shared" si="133"/>
        <v>#VALUE!</v>
      </c>
    </row>
    <row r="10225" spans="11:11" x14ac:dyDescent="0.25">
      <c r="K10225" s="8" t="e">
        <f t="shared" si="133"/>
        <v>#VALUE!</v>
      </c>
    </row>
    <row r="10226" spans="11:11" x14ac:dyDescent="0.25">
      <c r="K10226" s="8" t="e">
        <f t="shared" si="133"/>
        <v>#VALUE!</v>
      </c>
    </row>
    <row r="10227" spans="11:11" x14ac:dyDescent="0.25">
      <c r="K10227" s="8" t="e">
        <f t="shared" si="133"/>
        <v>#VALUE!</v>
      </c>
    </row>
    <row r="10228" spans="11:11" x14ac:dyDescent="0.25">
      <c r="K10228" s="8" t="e">
        <f t="shared" si="133"/>
        <v>#VALUE!</v>
      </c>
    </row>
    <row r="10229" spans="11:11" x14ac:dyDescent="0.25">
      <c r="K10229" s="8" t="e">
        <f t="shared" si="133"/>
        <v>#VALUE!</v>
      </c>
    </row>
    <row r="10230" spans="11:11" x14ac:dyDescent="0.25">
      <c r="K10230" s="8" t="e">
        <f t="shared" si="133"/>
        <v>#VALUE!</v>
      </c>
    </row>
    <row r="10231" spans="11:11" x14ac:dyDescent="0.25">
      <c r="K10231" s="8" t="e">
        <f t="shared" si="133"/>
        <v>#VALUE!</v>
      </c>
    </row>
    <row r="10232" spans="11:11" x14ac:dyDescent="0.25">
      <c r="K10232" s="8" t="e">
        <f t="shared" si="133"/>
        <v>#VALUE!</v>
      </c>
    </row>
    <row r="10233" spans="11:11" x14ac:dyDescent="0.25">
      <c r="K10233" s="8" t="e">
        <f t="shared" si="133"/>
        <v>#VALUE!</v>
      </c>
    </row>
    <row r="10234" spans="11:11" x14ac:dyDescent="0.25">
      <c r="K10234" s="8" t="e">
        <f t="shared" si="133"/>
        <v>#VALUE!</v>
      </c>
    </row>
    <row r="10235" spans="11:11" x14ac:dyDescent="0.25">
      <c r="K10235" s="8" t="e">
        <f t="shared" si="133"/>
        <v>#VALUE!</v>
      </c>
    </row>
    <row r="10236" spans="11:11" x14ac:dyDescent="0.25">
      <c r="K10236" s="8" t="e">
        <f t="shared" si="133"/>
        <v>#VALUE!</v>
      </c>
    </row>
    <row r="10237" spans="11:11" x14ac:dyDescent="0.25">
      <c r="K10237" s="8" t="e">
        <f t="shared" si="133"/>
        <v>#VALUE!</v>
      </c>
    </row>
    <row r="10238" spans="11:11" x14ac:dyDescent="0.25">
      <c r="K10238" s="8" t="e">
        <f t="shared" si="133"/>
        <v>#VALUE!</v>
      </c>
    </row>
    <row r="10239" spans="11:11" x14ac:dyDescent="0.25">
      <c r="K10239" s="8" t="e">
        <f t="shared" si="133"/>
        <v>#VALUE!</v>
      </c>
    </row>
    <row r="10240" spans="11:11" x14ac:dyDescent="0.25">
      <c r="K10240" s="8" t="e">
        <f t="shared" si="133"/>
        <v>#VALUE!</v>
      </c>
    </row>
    <row r="10241" spans="11:11" x14ac:dyDescent="0.25">
      <c r="K10241" s="8" t="e">
        <f t="shared" si="133"/>
        <v>#VALUE!</v>
      </c>
    </row>
    <row r="10242" spans="11:11" x14ac:dyDescent="0.25">
      <c r="K10242" s="8" t="e">
        <f t="shared" si="133"/>
        <v>#VALUE!</v>
      </c>
    </row>
    <row r="10243" spans="11:11" x14ac:dyDescent="0.25">
      <c r="K10243" s="8" t="e">
        <f t="shared" ref="K10243:K10306" si="134">LEFT(A10243,FIND("/",A10243)-1)</f>
        <v>#VALUE!</v>
      </c>
    </row>
    <row r="10244" spans="11:11" x14ac:dyDescent="0.25">
      <c r="K10244" s="8" t="e">
        <f t="shared" si="134"/>
        <v>#VALUE!</v>
      </c>
    </row>
    <row r="10245" spans="11:11" x14ac:dyDescent="0.25">
      <c r="K10245" s="8" t="e">
        <f t="shared" si="134"/>
        <v>#VALUE!</v>
      </c>
    </row>
    <row r="10246" spans="11:11" x14ac:dyDescent="0.25">
      <c r="K10246" s="8" t="e">
        <f t="shared" si="134"/>
        <v>#VALUE!</v>
      </c>
    </row>
    <row r="10247" spans="11:11" x14ac:dyDescent="0.25">
      <c r="K10247" s="8" t="e">
        <f t="shared" si="134"/>
        <v>#VALUE!</v>
      </c>
    </row>
    <row r="10248" spans="11:11" x14ac:dyDescent="0.25">
      <c r="K10248" s="8" t="e">
        <f t="shared" si="134"/>
        <v>#VALUE!</v>
      </c>
    </row>
    <row r="10249" spans="11:11" x14ac:dyDescent="0.25">
      <c r="K10249" s="8" t="e">
        <f t="shared" si="134"/>
        <v>#VALUE!</v>
      </c>
    </row>
    <row r="10250" spans="11:11" x14ac:dyDescent="0.25">
      <c r="K10250" s="8" t="e">
        <f t="shared" si="134"/>
        <v>#VALUE!</v>
      </c>
    </row>
    <row r="10251" spans="11:11" x14ac:dyDescent="0.25">
      <c r="K10251" s="8" t="e">
        <f t="shared" si="134"/>
        <v>#VALUE!</v>
      </c>
    </row>
    <row r="10252" spans="11:11" x14ac:dyDescent="0.25">
      <c r="K10252" s="8" t="e">
        <f t="shared" si="134"/>
        <v>#VALUE!</v>
      </c>
    </row>
    <row r="10253" spans="11:11" x14ac:dyDescent="0.25">
      <c r="K10253" s="8" t="e">
        <f t="shared" si="134"/>
        <v>#VALUE!</v>
      </c>
    </row>
    <row r="10254" spans="11:11" x14ac:dyDescent="0.25">
      <c r="K10254" s="8" t="e">
        <f t="shared" si="134"/>
        <v>#VALUE!</v>
      </c>
    </row>
    <row r="10255" spans="11:11" x14ac:dyDescent="0.25">
      <c r="K10255" s="8" t="e">
        <f t="shared" si="134"/>
        <v>#VALUE!</v>
      </c>
    </row>
    <row r="10256" spans="11:11" x14ac:dyDescent="0.25">
      <c r="K10256" s="8" t="e">
        <f t="shared" si="134"/>
        <v>#VALUE!</v>
      </c>
    </row>
    <row r="10257" spans="11:11" x14ac:dyDescent="0.25">
      <c r="K10257" s="8" t="e">
        <f t="shared" si="134"/>
        <v>#VALUE!</v>
      </c>
    </row>
    <row r="10258" spans="11:11" x14ac:dyDescent="0.25">
      <c r="K10258" s="8" t="e">
        <f t="shared" si="134"/>
        <v>#VALUE!</v>
      </c>
    </row>
    <row r="10259" spans="11:11" x14ac:dyDescent="0.25">
      <c r="K10259" s="8" t="e">
        <f t="shared" si="134"/>
        <v>#VALUE!</v>
      </c>
    </row>
    <row r="10260" spans="11:11" x14ac:dyDescent="0.25">
      <c r="K10260" s="8" t="e">
        <f t="shared" si="134"/>
        <v>#VALUE!</v>
      </c>
    </row>
    <row r="10261" spans="11:11" x14ac:dyDescent="0.25">
      <c r="K10261" s="8" t="e">
        <f t="shared" si="134"/>
        <v>#VALUE!</v>
      </c>
    </row>
    <row r="10262" spans="11:11" x14ac:dyDescent="0.25">
      <c r="K10262" s="8" t="e">
        <f t="shared" si="134"/>
        <v>#VALUE!</v>
      </c>
    </row>
    <row r="10263" spans="11:11" x14ac:dyDescent="0.25">
      <c r="K10263" s="8" t="e">
        <f t="shared" si="134"/>
        <v>#VALUE!</v>
      </c>
    </row>
    <row r="10264" spans="11:11" x14ac:dyDescent="0.25">
      <c r="K10264" s="8" t="e">
        <f t="shared" si="134"/>
        <v>#VALUE!</v>
      </c>
    </row>
    <row r="10265" spans="11:11" x14ac:dyDescent="0.25">
      <c r="K10265" s="8" t="e">
        <f t="shared" si="134"/>
        <v>#VALUE!</v>
      </c>
    </row>
    <row r="10266" spans="11:11" x14ac:dyDescent="0.25">
      <c r="K10266" s="8" t="e">
        <f t="shared" si="134"/>
        <v>#VALUE!</v>
      </c>
    </row>
    <row r="10267" spans="11:11" x14ac:dyDescent="0.25">
      <c r="K10267" s="8" t="e">
        <f t="shared" si="134"/>
        <v>#VALUE!</v>
      </c>
    </row>
    <row r="10268" spans="11:11" x14ac:dyDescent="0.25">
      <c r="K10268" s="8" t="e">
        <f t="shared" si="134"/>
        <v>#VALUE!</v>
      </c>
    </row>
    <row r="10269" spans="11:11" x14ac:dyDescent="0.25">
      <c r="K10269" s="8" t="e">
        <f t="shared" si="134"/>
        <v>#VALUE!</v>
      </c>
    </row>
    <row r="10270" spans="11:11" x14ac:dyDescent="0.25">
      <c r="K10270" s="8" t="e">
        <f t="shared" si="134"/>
        <v>#VALUE!</v>
      </c>
    </row>
    <row r="10271" spans="11:11" x14ac:dyDescent="0.25">
      <c r="K10271" s="8" t="e">
        <f t="shared" si="134"/>
        <v>#VALUE!</v>
      </c>
    </row>
    <row r="10272" spans="11:11" x14ac:dyDescent="0.25">
      <c r="K10272" s="8" t="e">
        <f t="shared" si="134"/>
        <v>#VALUE!</v>
      </c>
    </row>
    <row r="10273" spans="11:11" x14ac:dyDescent="0.25">
      <c r="K10273" s="8" t="e">
        <f t="shared" si="134"/>
        <v>#VALUE!</v>
      </c>
    </row>
    <row r="10274" spans="11:11" x14ac:dyDescent="0.25">
      <c r="K10274" s="8" t="e">
        <f t="shared" si="134"/>
        <v>#VALUE!</v>
      </c>
    </row>
    <row r="10275" spans="11:11" x14ac:dyDescent="0.25">
      <c r="K10275" s="8" t="e">
        <f t="shared" si="134"/>
        <v>#VALUE!</v>
      </c>
    </row>
    <row r="10276" spans="11:11" x14ac:dyDescent="0.25">
      <c r="K10276" s="8" t="e">
        <f t="shared" si="134"/>
        <v>#VALUE!</v>
      </c>
    </row>
    <row r="10277" spans="11:11" x14ac:dyDescent="0.25">
      <c r="K10277" s="8" t="e">
        <f t="shared" si="134"/>
        <v>#VALUE!</v>
      </c>
    </row>
    <row r="10278" spans="11:11" x14ac:dyDescent="0.25">
      <c r="K10278" s="8" t="e">
        <f t="shared" si="134"/>
        <v>#VALUE!</v>
      </c>
    </row>
    <row r="10279" spans="11:11" x14ac:dyDescent="0.25">
      <c r="K10279" s="8" t="e">
        <f t="shared" si="134"/>
        <v>#VALUE!</v>
      </c>
    </row>
    <row r="10280" spans="11:11" x14ac:dyDescent="0.25">
      <c r="K10280" s="8" t="e">
        <f t="shared" si="134"/>
        <v>#VALUE!</v>
      </c>
    </row>
    <row r="10281" spans="11:11" x14ac:dyDescent="0.25">
      <c r="K10281" s="8" t="e">
        <f t="shared" si="134"/>
        <v>#VALUE!</v>
      </c>
    </row>
    <row r="10282" spans="11:11" x14ac:dyDescent="0.25">
      <c r="K10282" s="8" t="e">
        <f t="shared" si="134"/>
        <v>#VALUE!</v>
      </c>
    </row>
    <row r="10283" spans="11:11" x14ac:dyDescent="0.25">
      <c r="K10283" s="8" t="e">
        <f t="shared" si="134"/>
        <v>#VALUE!</v>
      </c>
    </row>
    <row r="10284" spans="11:11" x14ac:dyDescent="0.25">
      <c r="K10284" s="8" t="e">
        <f t="shared" si="134"/>
        <v>#VALUE!</v>
      </c>
    </row>
    <row r="10285" spans="11:11" x14ac:dyDescent="0.25">
      <c r="K10285" s="8" t="e">
        <f t="shared" si="134"/>
        <v>#VALUE!</v>
      </c>
    </row>
    <row r="10286" spans="11:11" x14ac:dyDescent="0.25">
      <c r="K10286" s="8" t="e">
        <f t="shared" si="134"/>
        <v>#VALUE!</v>
      </c>
    </row>
    <row r="10287" spans="11:11" x14ac:dyDescent="0.25">
      <c r="K10287" s="8" t="e">
        <f t="shared" si="134"/>
        <v>#VALUE!</v>
      </c>
    </row>
    <row r="10288" spans="11:11" x14ac:dyDescent="0.25">
      <c r="K10288" s="8" t="e">
        <f t="shared" si="134"/>
        <v>#VALUE!</v>
      </c>
    </row>
    <row r="10289" spans="11:11" x14ac:dyDescent="0.25">
      <c r="K10289" s="8" t="e">
        <f t="shared" si="134"/>
        <v>#VALUE!</v>
      </c>
    </row>
    <row r="10290" spans="11:11" x14ac:dyDescent="0.25">
      <c r="K10290" s="8" t="e">
        <f t="shared" si="134"/>
        <v>#VALUE!</v>
      </c>
    </row>
    <row r="10291" spans="11:11" x14ac:dyDescent="0.25">
      <c r="K10291" s="8" t="e">
        <f t="shared" si="134"/>
        <v>#VALUE!</v>
      </c>
    </row>
    <row r="10292" spans="11:11" x14ac:dyDescent="0.25">
      <c r="K10292" s="8" t="e">
        <f t="shared" si="134"/>
        <v>#VALUE!</v>
      </c>
    </row>
    <row r="10293" spans="11:11" x14ac:dyDescent="0.25">
      <c r="K10293" s="8" t="e">
        <f t="shared" si="134"/>
        <v>#VALUE!</v>
      </c>
    </row>
    <row r="10294" spans="11:11" x14ac:dyDescent="0.25">
      <c r="K10294" s="8" t="e">
        <f t="shared" si="134"/>
        <v>#VALUE!</v>
      </c>
    </row>
    <row r="10295" spans="11:11" x14ac:dyDescent="0.25">
      <c r="K10295" s="8" t="e">
        <f t="shared" si="134"/>
        <v>#VALUE!</v>
      </c>
    </row>
    <row r="10296" spans="11:11" x14ac:dyDescent="0.25">
      <c r="K10296" s="8" t="e">
        <f t="shared" si="134"/>
        <v>#VALUE!</v>
      </c>
    </row>
    <row r="10297" spans="11:11" x14ac:dyDescent="0.25">
      <c r="K10297" s="8" t="e">
        <f t="shared" si="134"/>
        <v>#VALUE!</v>
      </c>
    </row>
    <row r="10298" spans="11:11" x14ac:dyDescent="0.25">
      <c r="K10298" s="8" t="e">
        <f t="shared" si="134"/>
        <v>#VALUE!</v>
      </c>
    </row>
    <row r="10299" spans="11:11" x14ac:dyDescent="0.25">
      <c r="K10299" s="8" t="e">
        <f t="shared" si="134"/>
        <v>#VALUE!</v>
      </c>
    </row>
    <row r="10300" spans="11:11" x14ac:dyDescent="0.25">
      <c r="K10300" s="8" t="e">
        <f t="shared" si="134"/>
        <v>#VALUE!</v>
      </c>
    </row>
    <row r="10301" spans="11:11" x14ac:dyDescent="0.25">
      <c r="K10301" s="8" t="e">
        <f t="shared" si="134"/>
        <v>#VALUE!</v>
      </c>
    </row>
    <row r="10302" spans="11:11" x14ac:dyDescent="0.25">
      <c r="K10302" s="8" t="e">
        <f t="shared" si="134"/>
        <v>#VALUE!</v>
      </c>
    </row>
    <row r="10303" spans="11:11" x14ac:dyDescent="0.25">
      <c r="K10303" s="8" t="e">
        <f t="shared" si="134"/>
        <v>#VALUE!</v>
      </c>
    </row>
    <row r="10304" spans="11:11" x14ac:dyDescent="0.25">
      <c r="K10304" s="8" t="e">
        <f t="shared" si="134"/>
        <v>#VALUE!</v>
      </c>
    </row>
    <row r="10305" spans="11:11" x14ac:dyDescent="0.25">
      <c r="K10305" s="8" t="e">
        <f t="shared" si="134"/>
        <v>#VALUE!</v>
      </c>
    </row>
    <row r="10306" spans="11:11" x14ac:dyDescent="0.25">
      <c r="K10306" s="8" t="e">
        <f t="shared" si="134"/>
        <v>#VALUE!</v>
      </c>
    </row>
    <row r="10307" spans="11:11" x14ac:dyDescent="0.25">
      <c r="K10307" s="8" t="e">
        <f t="shared" ref="K10307:K10370" si="135">LEFT(A10307,FIND("/",A10307)-1)</f>
        <v>#VALUE!</v>
      </c>
    </row>
    <row r="10308" spans="11:11" x14ac:dyDescent="0.25">
      <c r="K10308" s="8" t="e">
        <f t="shared" si="135"/>
        <v>#VALUE!</v>
      </c>
    </row>
    <row r="10309" spans="11:11" x14ac:dyDescent="0.25">
      <c r="K10309" s="8" t="e">
        <f t="shared" si="135"/>
        <v>#VALUE!</v>
      </c>
    </row>
    <row r="10310" spans="11:11" x14ac:dyDescent="0.25">
      <c r="K10310" s="8" t="e">
        <f t="shared" si="135"/>
        <v>#VALUE!</v>
      </c>
    </row>
    <row r="10311" spans="11:11" x14ac:dyDescent="0.25">
      <c r="K10311" s="8" t="e">
        <f t="shared" si="135"/>
        <v>#VALUE!</v>
      </c>
    </row>
    <row r="10312" spans="11:11" x14ac:dyDescent="0.25">
      <c r="K10312" s="8" t="e">
        <f t="shared" si="135"/>
        <v>#VALUE!</v>
      </c>
    </row>
    <row r="10313" spans="11:11" x14ac:dyDescent="0.25">
      <c r="K10313" s="8" t="e">
        <f t="shared" si="135"/>
        <v>#VALUE!</v>
      </c>
    </row>
    <row r="10314" spans="11:11" x14ac:dyDescent="0.25">
      <c r="K10314" s="8" t="e">
        <f t="shared" si="135"/>
        <v>#VALUE!</v>
      </c>
    </row>
    <row r="10315" spans="11:11" x14ac:dyDescent="0.25">
      <c r="K10315" s="8" t="e">
        <f t="shared" si="135"/>
        <v>#VALUE!</v>
      </c>
    </row>
    <row r="10316" spans="11:11" x14ac:dyDescent="0.25">
      <c r="K10316" s="8" t="e">
        <f t="shared" si="135"/>
        <v>#VALUE!</v>
      </c>
    </row>
    <row r="10317" spans="11:11" x14ac:dyDescent="0.25">
      <c r="K10317" s="8" t="e">
        <f t="shared" si="135"/>
        <v>#VALUE!</v>
      </c>
    </row>
    <row r="10318" spans="11:11" x14ac:dyDescent="0.25">
      <c r="K10318" s="8" t="e">
        <f t="shared" si="135"/>
        <v>#VALUE!</v>
      </c>
    </row>
    <row r="10319" spans="11:11" x14ac:dyDescent="0.25">
      <c r="K10319" s="8" t="e">
        <f t="shared" si="135"/>
        <v>#VALUE!</v>
      </c>
    </row>
    <row r="10320" spans="11:11" x14ac:dyDescent="0.25">
      <c r="K10320" s="8" t="e">
        <f t="shared" si="135"/>
        <v>#VALUE!</v>
      </c>
    </row>
    <row r="10321" spans="11:11" x14ac:dyDescent="0.25">
      <c r="K10321" s="8" t="e">
        <f t="shared" si="135"/>
        <v>#VALUE!</v>
      </c>
    </row>
    <row r="10322" spans="11:11" x14ac:dyDescent="0.25">
      <c r="K10322" s="8" t="e">
        <f t="shared" si="135"/>
        <v>#VALUE!</v>
      </c>
    </row>
    <row r="10323" spans="11:11" x14ac:dyDescent="0.25">
      <c r="K10323" s="8" t="e">
        <f t="shared" si="135"/>
        <v>#VALUE!</v>
      </c>
    </row>
    <row r="10324" spans="11:11" x14ac:dyDescent="0.25">
      <c r="K10324" s="8" t="e">
        <f t="shared" si="135"/>
        <v>#VALUE!</v>
      </c>
    </row>
    <row r="10325" spans="11:11" x14ac:dyDescent="0.25">
      <c r="K10325" s="8" t="e">
        <f t="shared" si="135"/>
        <v>#VALUE!</v>
      </c>
    </row>
    <row r="10326" spans="11:11" x14ac:dyDescent="0.25">
      <c r="K10326" s="8" t="e">
        <f t="shared" si="135"/>
        <v>#VALUE!</v>
      </c>
    </row>
    <row r="10327" spans="11:11" x14ac:dyDescent="0.25">
      <c r="K10327" s="8" t="e">
        <f t="shared" si="135"/>
        <v>#VALUE!</v>
      </c>
    </row>
    <row r="10328" spans="11:11" x14ac:dyDescent="0.25">
      <c r="K10328" s="8" t="e">
        <f t="shared" si="135"/>
        <v>#VALUE!</v>
      </c>
    </row>
    <row r="10329" spans="11:11" x14ac:dyDescent="0.25">
      <c r="K10329" s="8" t="e">
        <f t="shared" si="135"/>
        <v>#VALUE!</v>
      </c>
    </row>
    <row r="10330" spans="11:11" x14ac:dyDescent="0.25">
      <c r="K10330" s="8" t="e">
        <f t="shared" si="135"/>
        <v>#VALUE!</v>
      </c>
    </row>
    <row r="10331" spans="11:11" x14ac:dyDescent="0.25">
      <c r="K10331" s="8" t="e">
        <f t="shared" si="135"/>
        <v>#VALUE!</v>
      </c>
    </row>
    <row r="10332" spans="11:11" x14ac:dyDescent="0.25">
      <c r="K10332" s="8" t="e">
        <f t="shared" si="135"/>
        <v>#VALUE!</v>
      </c>
    </row>
    <row r="10333" spans="11:11" x14ac:dyDescent="0.25">
      <c r="K10333" s="8" t="e">
        <f t="shared" si="135"/>
        <v>#VALUE!</v>
      </c>
    </row>
    <row r="10334" spans="11:11" x14ac:dyDescent="0.25">
      <c r="K10334" s="8" t="e">
        <f t="shared" si="135"/>
        <v>#VALUE!</v>
      </c>
    </row>
    <row r="10335" spans="11:11" x14ac:dyDescent="0.25">
      <c r="K10335" s="8" t="e">
        <f t="shared" si="135"/>
        <v>#VALUE!</v>
      </c>
    </row>
    <row r="10336" spans="11:11" x14ac:dyDescent="0.25">
      <c r="K10336" s="8" t="e">
        <f t="shared" si="135"/>
        <v>#VALUE!</v>
      </c>
    </row>
    <row r="10337" spans="11:11" x14ac:dyDescent="0.25">
      <c r="K10337" s="8" t="e">
        <f t="shared" si="135"/>
        <v>#VALUE!</v>
      </c>
    </row>
    <row r="10338" spans="11:11" x14ac:dyDescent="0.25">
      <c r="K10338" s="8" t="e">
        <f t="shared" si="135"/>
        <v>#VALUE!</v>
      </c>
    </row>
    <row r="10339" spans="11:11" x14ac:dyDescent="0.25">
      <c r="K10339" s="8" t="e">
        <f t="shared" si="135"/>
        <v>#VALUE!</v>
      </c>
    </row>
    <row r="10340" spans="11:11" x14ac:dyDescent="0.25">
      <c r="K10340" s="8" t="e">
        <f t="shared" si="135"/>
        <v>#VALUE!</v>
      </c>
    </row>
    <row r="10341" spans="11:11" x14ac:dyDescent="0.25">
      <c r="K10341" s="8" t="e">
        <f t="shared" si="135"/>
        <v>#VALUE!</v>
      </c>
    </row>
    <row r="10342" spans="11:11" x14ac:dyDescent="0.25">
      <c r="K10342" s="8" t="e">
        <f t="shared" si="135"/>
        <v>#VALUE!</v>
      </c>
    </row>
    <row r="10343" spans="11:11" x14ac:dyDescent="0.25">
      <c r="K10343" s="8" t="e">
        <f t="shared" si="135"/>
        <v>#VALUE!</v>
      </c>
    </row>
    <row r="10344" spans="11:11" x14ac:dyDescent="0.25">
      <c r="K10344" s="8" t="e">
        <f t="shared" si="135"/>
        <v>#VALUE!</v>
      </c>
    </row>
    <row r="10345" spans="11:11" x14ac:dyDescent="0.25">
      <c r="K10345" s="8" t="e">
        <f t="shared" si="135"/>
        <v>#VALUE!</v>
      </c>
    </row>
    <row r="10346" spans="11:11" x14ac:dyDescent="0.25">
      <c r="K10346" s="8" t="e">
        <f t="shared" si="135"/>
        <v>#VALUE!</v>
      </c>
    </row>
    <row r="10347" spans="11:11" x14ac:dyDescent="0.25">
      <c r="K10347" s="8" t="e">
        <f t="shared" si="135"/>
        <v>#VALUE!</v>
      </c>
    </row>
    <row r="10348" spans="11:11" x14ac:dyDescent="0.25">
      <c r="K10348" s="8" t="e">
        <f t="shared" si="135"/>
        <v>#VALUE!</v>
      </c>
    </row>
    <row r="10349" spans="11:11" x14ac:dyDescent="0.25">
      <c r="K10349" s="8" t="e">
        <f t="shared" si="135"/>
        <v>#VALUE!</v>
      </c>
    </row>
    <row r="10350" spans="11:11" x14ac:dyDescent="0.25">
      <c r="K10350" s="8" t="e">
        <f t="shared" si="135"/>
        <v>#VALUE!</v>
      </c>
    </row>
    <row r="10351" spans="11:11" x14ac:dyDescent="0.25">
      <c r="K10351" s="8" t="e">
        <f t="shared" si="135"/>
        <v>#VALUE!</v>
      </c>
    </row>
    <row r="10352" spans="11:11" x14ac:dyDescent="0.25">
      <c r="K10352" s="8" t="e">
        <f t="shared" si="135"/>
        <v>#VALUE!</v>
      </c>
    </row>
    <row r="10353" spans="11:11" x14ac:dyDescent="0.25">
      <c r="K10353" s="8" t="e">
        <f t="shared" si="135"/>
        <v>#VALUE!</v>
      </c>
    </row>
    <row r="10354" spans="11:11" x14ac:dyDescent="0.25">
      <c r="K10354" s="8" t="e">
        <f t="shared" si="135"/>
        <v>#VALUE!</v>
      </c>
    </row>
    <row r="10355" spans="11:11" x14ac:dyDescent="0.25">
      <c r="K10355" s="8" t="e">
        <f t="shared" si="135"/>
        <v>#VALUE!</v>
      </c>
    </row>
    <row r="10356" spans="11:11" x14ac:dyDescent="0.25">
      <c r="K10356" s="8" t="e">
        <f t="shared" si="135"/>
        <v>#VALUE!</v>
      </c>
    </row>
    <row r="10357" spans="11:11" x14ac:dyDescent="0.25">
      <c r="K10357" s="8" t="e">
        <f t="shared" si="135"/>
        <v>#VALUE!</v>
      </c>
    </row>
    <row r="10358" spans="11:11" x14ac:dyDescent="0.25">
      <c r="K10358" s="8" t="e">
        <f t="shared" si="135"/>
        <v>#VALUE!</v>
      </c>
    </row>
    <row r="10359" spans="11:11" x14ac:dyDescent="0.25">
      <c r="K10359" s="8" t="e">
        <f t="shared" si="135"/>
        <v>#VALUE!</v>
      </c>
    </row>
    <row r="10360" spans="11:11" x14ac:dyDescent="0.25">
      <c r="K10360" s="8" t="e">
        <f t="shared" si="135"/>
        <v>#VALUE!</v>
      </c>
    </row>
    <row r="10361" spans="11:11" x14ac:dyDescent="0.25">
      <c r="K10361" s="8" t="e">
        <f t="shared" si="135"/>
        <v>#VALUE!</v>
      </c>
    </row>
    <row r="10362" spans="11:11" x14ac:dyDescent="0.25">
      <c r="K10362" s="8" t="e">
        <f t="shared" si="135"/>
        <v>#VALUE!</v>
      </c>
    </row>
    <row r="10363" spans="11:11" x14ac:dyDescent="0.25">
      <c r="K10363" s="8" t="e">
        <f t="shared" si="135"/>
        <v>#VALUE!</v>
      </c>
    </row>
    <row r="10364" spans="11:11" x14ac:dyDescent="0.25">
      <c r="K10364" s="8" t="e">
        <f t="shared" si="135"/>
        <v>#VALUE!</v>
      </c>
    </row>
    <row r="10365" spans="11:11" x14ac:dyDescent="0.25">
      <c r="K10365" s="8" t="e">
        <f t="shared" si="135"/>
        <v>#VALUE!</v>
      </c>
    </row>
    <row r="10366" spans="11:11" x14ac:dyDescent="0.25">
      <c r="K10366" s="8" t="e">
        <f t="shared" si="135"/>
        <v>#VALUE!</v>
      </c>
    </row>
    <row r="10367" spans="11:11" x14ac:dyDescent="0.25">
      <c r="K10367" s="8" t="e">
        <f t="shared" si="135"/>
        <v>#VALUE!</v>
      </c>
    </row>
    <row r="10368" spans="11:11" x14ac:dyDescent="0.25">
      <c r="K10368" s="8" t="e">
        <f t="shared" si="135"/>
        <v>#VALUE!</v>
      </c>
    </row>
    <row r="10369" spans="11:11" x14ac:dyDescent="0.25">
      <c r="K10369" s="8" t="e">
        <f t="shared" si="135"/>
        <v>#VALUE!</v>
      </c>
    </row>
    <row r="10370" spans="11:11" x14ac:dyDescent="0.25">
      <c r="K10370" s="8" t="e">
        <f t="shared" si="135"/>
        <v>#VALUE!</v>
      </c>
    </row>
    <row r="10371" spans="11:11" x14ac:dyDescent="0.25">
      <c r="K10371" s="8" t="e">
        <f t="shared" ref="K10371:K10434" si="136">LEFT(A10371,FIND("/",A10371)-1)</f>
        <v>#VALUE!</v>
      </c>
    </row>
    <row r="10372" spans="11:11" x14ac:dyDescent="0.25">
      <c r="K10372" s="8" t="e">
        <f t="shared" si="136"/>
        <v>#VALUE!</v>
      </c>
    </row>
    <row r="10373" spans="11:11" x14ac:dyDescent="0.25">
      <c r="K10373" s="8" t="e">
        <f t="shared" si="136"/>
        <v>#VALUE!</v>
      </c>
    </row>
    <row r="10374" spans="11:11" x14ac:dyDescent="0.25">
      <c r="K10374" s="8" t="e">
        <f t="shared" si="136"/>
        <v>#VALUE!</v>
      </c>
    </row>
    <row r="10375" spans="11:11" x14ac:dyDescent="0.25">
      <c r="K10375" s="8" t="e">
        <f t="shared" si="136"/>
        <v>#VALUE!</v>
      </c>
    </row>
    <row r="10376" spans="11:11" x14ac:dyDescent="0.25">
      <c r="K10376" s="8" t="e">
        <f t="shared" si="136"/>
        <v>#VALUE!</v>
      </c>
    </row>
    <row r="10377" spans="11:11" x14ac:dyDescent="0.25">
      <c r="K10377" s="8" t="e">
        <f t="shared" si="136"/>
        <v>#VALUE!</v>
      </c>
    </row>
    <row r="10378" spans="11:11" x14ac:dyDescent="0.25">
      <c r="K10378" s="8" t="e">
        <f t="shared" si="136"/>
        <v>#VALUE!</v>
      </c>
    </row>
    <row r="10379" spans="11:11" x14ac:dyDescent="0.25">
      <c r="K10379" s="8" t="e">
        <f t="shared" si="136"/>
        <v>#VALUE!</v>
      </c>
    </row>
    <row r="10380" spans="11:11" x14ac:dyDescent="0.25">
      <c r="K10380" s="8" t="e">
        <f t="shared" si="136"/>
        <v>#VALUE!</v>
      </c>
    </row>
    <row r="10381" spans="11:11" x14ac:dyDescent="0.25">
      <c r="K10381" s="8" t="e">
        <f t="shared" si="136"/>
        <v>#VALUE!</v>
      </c>
    </row>
    <row r="10382" spans="11:11" x14ac:dyDescent="0.25">
      <c r="K10382" s="8" t="e">
        <f t="shared" si="136"/>
        <v>#VALUE!</v>
      </c>
    </row>
    <row r="10383" spans="11:11" x14ac:dyDescent="0.25">
      <c r="K10383" s="8" t="e">
        <f t="shared" si="136"/>
        <v>#VALUE!</v>
      </c>
    </row>
    <row r="10384" spans="11:11" x14ac:dyDescent="0.25">
      <c r="K10384" s="8" t="e">
        <f t="shared" si="136"/>
        <v>#VALUE!</v>
      </c>
    </row>
    <row r="10385" spans="11:11" x14ac:dyDescent="0.25">
      <c r="K10385" s="8" t="e">
        <f t="shared" si="136"/>
        <v>#VALUE!</v>
      </c>
    </row>
    <row r="10386" spans="11:11" x14ac:dyDescent="0.25">
      <c r="K10386" s="8" t="e">
        <f t="shared" si="136"/>
        <v>#VALUE!</v>
      </c>
    </row>
    <row r="10387" spans="11:11" x14ac:dyDescent="0.25">
      <c r="K10387" s="8" t="e">
        <f t="shared" si="136"/>
        <v>#VALUE!</v>
      </c>
    </row>
    <row r="10388" spans="11:11" x14ac:dyDescent="0.25">
      <c r="K10388" s="8" t="e">
        <f t="shared" si="136"/>
        <v>#VALUE!</v>
      </c>
    </row>
    <row r="10389" spans="11:11" x14ac:dyDescent="0.25">
      <c r="K10389" s="8" t="e">
        <f t="shared" si="136"/>
        <v>#VALUE!</v>
      </c>
    </row>
    <row r="10390" spans="11:11" x14ac:dyDescent="0.25">
      <c r="K10390" s="8" t="e">
        <f t="shared" si="136"/>
        <v>#VALUE!</v>
      </c>
    </row>
    <row r="10391" spans="11:11" x14ac:dyDescent="0.25">
      <c r="K10391" s="8" t="e">
        <f t="shared" si="136"/>
        <v>#VALUE!</v>
      </c>
    </row>
    <row r="10392" spans="11:11" x14ac:dyDescent="0.25">
      <c r="K10392" s="8" t="e">
        <f t="shared" si="136"/>
        <v>#VALUE!</v>
      </c>
    </row>
    <row r="10393" spans="11:11" x14ac:dyDescent="0.25">
      <c r="K10393" s="8" t="e">
        <f t="shared" si="136"/>
        <v>#VALUE!</v>
      </c>
    </row>
    <row r="10394" spans="11:11" x14ac:dyDescent="0.25">
      <c r="K10394" s="8" t="e">
        <f t="shared" si="136"/>
        <v>#VALUE!</v>
      </c>
    </row>
    <row r="10395" spans="11:11" x14ac:dyDescent="0.25">
      <c r="K10395" s="8" t="e">
        <f t="shared" si="136"/>
        <v>#VALUE!</v>
      </c>
    </row>
    <row r="10396" spans="11:11" x14ac:dyDescent="0.25">
      <c r="K10396" s="8" t="e">
        <f t="shared" si="136"/>
        <v>#VALUE!</v>
      </c>
    </row>
    <row r="10397" spans="11:11" x14ac:dyDescent="0.25">
      <c r="K10397" s="8" t="e">
        <f t="shared" si="136"/>
        <v>#VALUE!</v>
      </c>
    </row>
    <row r="10398" spans="11:11" x14ac:dyDescent="0.25">
      <c r="K10398" s="8" t="e">
        <f t="shared" si="136"/>
        <v>#VALUE!</v>
      </c>
    </row>
    <row r="10399" spans="11:11" x14ac:dyDescent="0.25">
      <c r="K10399" s="8" t="e">
        <f t="shared" si="136"/>
        <v>#VALUE!</v>
      </c>
    </row>
    <row r="10400" spans="11:11" x14ac:dyDescent="0.25">
      <c r="K10400" s="8" t="e">
        <f t="shared" si="136"/>
        <v>#VALUE!</v>
      </c>
    </row>
    <row r="10401" spans="11:11" x14ac:dyDescent="0.25">
      <c r="K10401" s="8" t="e">
        <f t="shared" si="136"/>
        <v>#VALUE!</v>
      </c>
    </row>
    <row r="10402" spans="11:11" x14ac:dyDescent="0.25">
      <c r="K10402" s="8" t="e">
        <f t="shared" si="136"/>
        <v>#VALUE!</v>
      </c>
    </row>
    <row r="10403" spans="11:11" x14ac:dyDescent="0.25">
      <c r="K10403" s="8" t="e">
        <f t="shared" si="136"/>
        <v>#VALUE!</v>
      </c>
    </row>
    <row r="10404" spans="11:11" x14ac:dyDescent="0.25">
      <c r="K10404" s="8" t="e">
        <f t="shared" si="136"/>
        <v>#VALUE!</v>
      </c>
    </row>
    <row r="10405" spans="11:11" x14ac:dyDescent="0.25">
      <c r="K10405" s="8" t="e">
        <f t="shared" si="136"/>
        <v>#VALUE!</v>
      </c>
    </row>
    <row r="10406" spans="11:11" x14ac:dyDescent="0.25">
      <c r="K10406" s="8" t="e">
        <f t="shared" si="136"/>
        <v>#VALUE!</v>
      </c>
    </row>
    <row r="10407" spans="11:11" x14ac:dyDescent="0.25">
      <c r="K10407" s="8" t="e">
        <f t="shared" si="136"/>
        <v>#VALUE!</v>
      </c>
    </row>
    <row r="10408" spans="11:11" x14ac:dyDescent="0.25">
      <c r="K10408" s="8" t="e">
        <f t="shared" si="136"/>
        <v>#VALUE!</v>
      </c>
    </row>
    <row r="10409" spans="11:11" x14ac:dyDescent="0.25">
      <c r="K10409" s="8" t="e">
        <f t="shared" si="136"/>
        <v>#VALUE!</v>
      </c>
    </row>
    <row r="10410" spans="11:11" x14ac:dyDescent="0.25">
      <c r="K10410" s="8" t="e">
        <f t="shared" si="136"/>
        <v>#VALUE!</v>
      </c>
    </row>
    <row r="10411" spans="11:11" x14ac:dyDescent="0.25">
      <c r="K10411" s="8" t="e">
        <f t="shared" si="136"/>
        <v>#VALUE!</v>
      </c>
    </row>
    <row r="10412" spans="11:11" x14ac:dyDescent="0.25">
      <c r="K10412" s="8" t="e">
        <f t="shared" si="136"/>
        <v>#VALUE!</v>
      </c>
    </row>
    <row r="10413" spans="11:11" x14ac:dyDescent="0.25">
      <c r="K10413" s="8" t="e">
        <f t="shared" si="136"/>
        <v>#VALUE!</v>
      </c>
    </row>
    <row r="10414" spans="11:11" x14ac:dyDescent="0.25">
      <c r="K10414" s="8" t="e">
        <f t="shared" si="136"/>
        <v>#VALUE!</v>
      </c>
    </row>
    <row r="10415" spans="11:11" x14ac:dyDescent="0.25">
      <c r="K10415" s="8" t="e">
        <f t="shared" si="136"/>
        <v>#VALUE!</v>
      </c>
    </row>
    <row r="10416" spans="11:11" x14ac:dyDescent="0.25">
      <c r="K10416" s="8" t="e">
        <f t="shared" si="136"/>
        <v>#VALUE!</v>
      </c>
    </row>
    <row r="10417" spans="11:11" x14ac:dyDescent="0.25">
      <c r="K10417" s="8" t="e">
        <f t="shared" si="136"/>
        <v>#VALUE!</v>
      </c>
    </row>
    <row r="10418" spans="11:11" x14ac:dyDescent="0.25">
      <c r="K10418" s="8" t="e">
        <f t="shared" si="136"/>
        <v>#VALUE!</v>
      </c>
    </row>
    <row r="10419" spans="11:11" x14ac:dyDescent="0.25">
      <c r="K10419" s="8" t="e">
        <f t="shared" si="136"/>
        <v>#VALUE!</v>
      </c>
    </row>
    <row r="10420" spans="11:11" x14ac:dyDescent="0.25">
      <c r="K10420" s="8" t="e">
        <f t="shared" si="136"/>
        <v>#VALUE!</v>
      </c>
    </row>
    <row r="10421" spans="11:11" x14ac:dyDescent="0.25">
      <c r="K10421" s="8" t="e">
        <f t="shared" si="136"/>
        <v>#VALUE!</v>
      </c>
    </row>
    <row r="10422" spans="11:11" x14ac:dyDescent="0.25">
      <c r="K10422" s="8" t="e">
        <f t="shared" si="136"/>
        <v>#VALUE!</v>
      </c>
    </row>
    <row r="10423" spans="11:11" x14ac:dyDescent="0.25">
      <c r="K10423" s="8" t="e">
        <f t="shared" si="136"/>
        <v>#VALUE!</v>
      </c>
    </row>
    <row r="10424" spans="11:11" x14ac:dyDescent="0.25">
      <c r="K10424" s="8" t="e">
        <f t="shared" si="136"/>
        <v>#VALUE!</v>
      </c>
    </row>
    <row r="10425" spans="11:11" x14ac:dyDescent="0.25">
      <c r="K10425" s="8" t="e">
        <f t="shared" si="136"/>
        <v>#VALUE!</v>
      </c>
    </row>
    <row r="10426" spans="11:11" x14ac:dyDescent="0.25">
      <c r="K10426" s="8" t="e">
        <f t="shared" si="136"/>
        <v>#VALUE!</v>
      </c>
    </row>
    <row r="10427" spans="11:11" x14ac:dyDescent="0.25">
      <c r="K10427" s="8" t="e">
        <f t="shared" si="136"/>
        <v>#VALUE!</v>
      </c>
    </row>
    <row r="10428" spans="11:11" x14ac:dyDescent="0.25">
      <c r="K10428" s="8" t="e">
        <f t="shared" si="136"/>
        <v>#VALUE!</v>
      </c>
    </row>
    <row r="10429" spans="11:11" x14ac:dyDescent="0.25">
      <c r="K10429" s="8" t="e">
        <f t="shared" si="136"/>
        <v>#VALUE!</v>
      </c>
    </row>
    <row r="10430" spans="11:11" x14ac:dyDescent="0.25">
      <c r="K10430" s="8" t="e">
        <f t="shared" si="136"/>
        <v>#VALUE!</v>
      </c>
    </row>
    <row r="10431" spans="11:11" x14ac:dyDescent="0.25">
      <c r="K10431" s="8" t="e">
        <f t="shared" si="136"/>
        <v>#VALUE!</v>
      </c>
    </row>
    <row r="10432" spans="11:11" x14ac:dyDescent="0.25">
      <c r="K10432" s="8" t="e">
        <f t="shared" si="136"/>
        <v>#VALUE!</v>
      </c>
    </row>
    <row r="10433" spans="11:11" x14ac:dyDescent="0.25">
      <c r="K10433" s="8" t="e">
        <f t="shared" si="136"/>
        <v>#VALUE!</v>
      </c>
    </row>
    <row r="10434" spans="11:11" x14ac:dyDescent="0.25">
      <c r="K10434" s="8" t="e">
        <f t="shared" si="136"/>
        <v>#VALUE!</v>
      </c>
    </row>
    <row r="10435" spans="11:11" x14ac:dyDescent="0.25">
      <c r="K10435" s="8" t="e">
        <f t="shared" ref="K10435:K10498" si="137">LEFT(A10435,FIND("/",A10435)-1)</f>
        <v>#VALUE!</v>
      </c>
    </row>
    <row r="10436" spans="11:11" x14ac:dyDescent="0.25">
      <c r="K10436" s="8" t="e">
        <f t="shared" si="137"/>
        <v>#VALUE!</v>
      </c>
    </row>
    <row r="10437" spans="11:11" x14ac:dyDescent="0.25">
      <c r="K10437" s="8" t="e">
        <f t="shared" si="137"/>
        <v>#VALUE!</v>
      </c>
    </row>
    <row r="10438" spans="11:11" x14ac:dyDescent="0.25">
      <c r="K10438" s="8" t="e">
        <f t="shared" si="137"/>
        <v>#VALUE!</v>
      </c>
    </row>
    <row r="10439" spans="11:11" x14ac:dyDescent="0.25">
      <c r="K10439" s="8" t="e">
        <f t="shared" si="137"/>
        <v>#VALUE!</v>
      </c>
    </row>
    <row r="10440" spans="11:11" x14ac:dyDescent="0.25">
      <c r="K10440" s="8" t="e">
        <f t="shared" si="137"/>
        <v>#VALUE!</v>
      </c>
    </row>
    <row r="10441" spans="11:11" x14ac:dyDescent="0.25">
      <c r="K10441" s="8" t="e">
        <f t="shared" si="137"/>
        <v>#VALUE!</v>
      </c>
    </row>
    <row r="10442" spans="11:11" x14ac:dyDescent="0.25">
      <c r="K10442" s="8" t="e">
        <f t="shared" si="137"/>
        <v>#VALUE!</v>
      </c>
    </row>
    <row r="10443" spans="11:11" x14ac:dyDescent="0.25">
      <c r="K10443" s="8" t="e">
        <f t="shared" si="137"/>
        <v>#VALUE!</v>
      </c>
    </row>
    <row r="10444" spans="11:11" x14ac:dyDescent="0.25">
      <c r="K10444" s="8" t="e">
        <f t="shared" si="137"/>
        <v>#VALUE!</v>
      </c>
    </row>
    <row r="10445" spans="11:11" x14ac:dyDescent="0.25">
      <c r="K10445" s="8" t="e">
        <f t="shared" si="137"/>
        <v>#VALUE!</v>
      </c>
    </row>
    <row r="10446" spans="11:11" x14ac:dyDescent="0.25">
      <c r="K10446" s="8" t="e">
        <f t="shared" si="137"/>
        <v>#VALUE!</v>
      </c>
    </row>
    <row r="10447" spans="11:11" x14ac:dyDescent="0.25">
      <c r="K10447" s="8" t="e">
        <f t="shared" si="137"/>
        <v>#VALUE!</v>
      </c>
    </row>
    <row r="10448" spans="11:11" x14ac:dyDescent="0.25">
      <c r="K10448" s="8" t="e">
        <f t="shared" si="137"/>
        <v>#VALUE!</v>
      </c>
    </row>
    <row r="10449" spans="11:11" x14ac:dyDescent="0.25">
      <c r="K10449" s="8" t="e">
        <f t="shared" si="137"/>
        <v>#VALUE!</v>
      </c>
    </row>
    <row r="10450" spans="11:11" x14ac:dyDescent="0.25">
      <c r="K10450" s="8" t="e">
        <f t="shared" si="137"/>
        <v>#VALUE!</v>
      </c>
    </row>
    <row r="10451" spans="11:11" x14ac:dyDescent="0.25">
      <c r="K10451" s="8" t="e">
        <f t="shared" si="137"/>
        <v>#VALUE!</v>
      </c>
    </row>
    <row r="10452" spans="11:11" x14ac:dyDescent="0.25">
      <c r="K10452" s="8" t="e">
        <f t="shared" si="137"/>
        <v>#VALUE!</v>
      </c>
    </row>
    <row r="10453" spans="11:11" x14ac:dyDescent="0.25">
      <c r="K10453" s="8" t="e">
        <f t="shared" si="137"/>
        <v>#VALUE!</v>
      </c>
    </row>
    <row r="10454" spans="11:11" x14ac:dyDescent="0.25">
      <c r="K10454" s="8" t="e">
        <f t="shared" si="137"/>
        <v>#VALUE!</v>
      </c>
    </row>
    <row r="10455" spans="11:11" x14ac:dyDescent="0.25">
      <c r="K10455" s="8" t="e">
        <f t="shared" si="137"/>
        <v>#VALUE!</v>
      </c>
    </row>
    <row r="10456" spans="11:11" x14ac:dyDescent="0.25">
      <c r="K10456" s="8" t="e">
        <f t="shared" si="137"/>
        <v>#VALUE!</v>
      </c>
    </row>
    <row r="10457" spans="11:11" x14ac:dyDescent="0.25">
      <c r="K10457" s="8" t="e">
        <f t="shared" si="137"/>
        <v>#VALUE!</v>
      </c>
    </row>
    <row r="10458" spans="11:11" x14ac:dyDescent="0.25">
      <c r="K10458" s="8" t="e">
        <f t="shared" si="137"/>
        <v>#VALUE!</v>
      </c>
    </row>
    <row r="10459" spans="11:11" x14ac:dyDescent="0.25">
      <c r="K10459" s="8" t="e">
        <f t="shared" si="137"/>
        <v>#VALUE!</v>
      </c>
    </row>
    <row r="10460" spans="11:11" x14ac:dyDescent="0.25">
      <c r="K10460" s="8" t="e">
        <f t="shared" si="137"/>
        <v>#VALUE!</v>
      </c>
    </row>
    <row r="10461" spans="11:11" x14ac:dyDescent="0.25">
      <c r="K10461" s="8" t="e">
        <f t="shared" si="137"/>
        <v>#VALUE!</v>
      </c>
    </row>
    <row r="10462" spans="11:11" x14ac:dyDescent="0.25">
      <c r="K10462" s="8" t="e">
        <f t="shared" si="137"/>
        <v>#VALUE!</v>
      </c>
    </row>
    <row r="10463" spans="11:11" x14ac:dyDescent="0.25">
      <c r="K10463" s="8" t="e">
        <f t="shared" si="137"/>
        <v>#VALUE!</v>
      </c>
    </row>
    <row r="10464" spans="11:11" x14ac:dyDescent="0.25">
      <c r="K10464" s="8" t="e">
        <f t="shared" si="137"/>
        <v>#VALUE!</v>
      </c>
    </row>
    <row r="10465" spans="11:11" x14ac:dyDescent="0.25">
      <c r="K10465" s="8" t="e">
        <f t="shared" si="137"/>
        <v>#VALUE!</v>
      </c>
    </row>
    <row r="10466" spans="11:11" x14ac:dyDescent="0.25">
      <c r="K10466" s="8" t="e">
        <f t="shared" si="137"/>
        <v>#VALUE!</v>
      </c>
    </row>
    <row r="10467" spans="11:11" x14ac:dyDescent="0.25">
      <c r="K10467" s="8" t="e">
        <f t="shared" si="137"/>
        <v>#VALUE!</v>
      </c>
    </row>
    <row r="10468" spans="11:11" x14ac:dyDescent="0.25">
      <c r="K10468" s="8" t="e">
        <f t="shared" si="137"/>
        <v>#VALUE!</v>
      </c>
    </row>
    <row r="10469" spans="11:11" x14ac:dyDescent="0.25">
      <c r="K10469" s="8" t="e">
        <f t="shared" si="137"/>
        <v>#VALUE!</v>
      </c>
    </row>
    <row r="10470" spans="11:11" x14ac:dyDescent="0.25">
      <c r="K10470" s="8" t="e">
        <f t="shared" si="137"/>
        <v>#VALUE!</v>
      </c>
    </row>
    <row r="10471" spans="11:11" x14ac:dyDescent="0.25">
      <c r="K10471" s="8" t="e">
        <f t="shared" si="137"/>
        <v>#VALUE!</v>
      </c>
    </row>
    <row r="10472" spans="11:11" x14ac:dyDescent="0.25">
      <c r="K10472" s="8" t="e">
        <f t="shared" si="137"/>
        <v>#VALUE!</v>
      </c>
    </row>
    <row r="10473" spans="11:11" x14ac:dyDescent="0.25">
      <c r="K10473" s="8" t="e">
        <f t="shared" si="137"/>
        <v>#VALUE!</v>
      </c>
    </row>
    <row r="10474" spans="11:11" x14ac:dyDescent="0.25">
      <c r="K10474" s="8" t="e">
        <f t="shared" si="137"/>
        <v>#VALUE!</v>
      </c>
    </row>
    <row r="10475" spans="11:11" x14ac:dyDescent="0.25">
      <c r="K10475" s="8" t="e">
        <f t="shared" si="137"/>
        <v>#VALUE!</v>
      </c>
    </row>
    <row r="10476" spans="11:11" x14ac:dyDescent="0.25">
      <c r="K10476" s="8" t="e">
        <f t="shared" si="137"/>
        <v>#VALUE!</v>
      </c>
    </row>
    <row r="10477" spans="11:11" x14ac:dyDescent="0.25">
      <c r="K10477" s="8" t="e">
        <f t="shared" si="137"/>
        <v>#VALUE!</v>
      </c>
    </row>
    <row r="10478" spans="11:11" x14ac:dyDescent="0.25">
      <c r="K10478" s="8" t="e">
        <f t="shared" si="137"/>
        <v>#VALUE!</v>
      </c>
    </row>
    <row r="10479" spans="11:11" x14ac:dyDescent="0.25">
      <c r="K10479" s="8" t="e">
        <f t="shared" si="137"/>
        <v>#VALUE!</v>
      </c>
    </row>
    <row r="10480" spans="11:11" x14ac:dyDescent="0.25">
      <c r="K10480" s="8" t="e">
        <f t="shared" si="137"/>
        <v>#VALUE!</v>
      </c>
    </row>
    <row r="10481" spans="11:11" x14ac:dyDescent="0.25">
      <c r="K10481" s="8" t="e">
        <f t="shared" si="137"/>
        <v>#VALUE!</v>
      </c>
    </row>
    <row r="10482" spans="11:11" x14ac:dyDescent="0.25">
      <c r="K10482" s="8" t="e">
        <f t="shared" si="137"/>
        <v>#VALUE!</v>
      </c>
    </row>
    <row r="10483" spans="11:11" x14ac:dyDescent="0.25">
      <c r="K10483" s="8" t="e">
        <f t="shared" si="137"/>
        <v>#VALUE!</v>
      </c>
    </row>
    <row r="10484" spans="11:11" x14ac:dyDescent="0.25">
      <c r="K10484" s="8" t="e">
        <f t="shared" si="137"/>
        <v>#VALUE!</v>
      </c>
    </row>
    <row r="10485" spans="11:11" x14ac:dyDescent="0.25">
      <c r="K10485" s="8" t="e">
        <f t="shared" si="137"/>
        <v>#VALUE!</v>
      </c>
    </row>
    <row r="10486" spans="11:11" x14ac:dyDescent="0.25">
      <c r="K10486" s="8" t="e">
        <f t="shared" si="137"/>
        <v>#VALUE!</v>
      </c>
    </row>
    <row r="10487" spans="11:11" x14ac:dyDescent="0.25">
      <c r="K10487" s="8" t="e">
        <f t="shared" si="137"/>
        <v>#VALUE!</v>
      </c>
    </row>
    <row r="10488" spans="11:11" x14ac:dyDescent="0.25">
      <c r="K10488" s="8" t="e">
        <f t="shared" si="137"/>
        <v>#VALUE!</v>
      </c>
    </row>
    <row r="10489" spans="11:11" x14ac:dyDescent="0.25">
      <c r="K10489" s="8" t="e">
        <f t="shared" si="137"/>
        <v>#VALUE!</v>
      </c>
    </row>
    <row r="10490" spans="11:11" x14ac:dyDescent="0.25">
      <c r="K10490" s="8" t="e">
        <f t="shared" si="137"/>
        <v>#VALUE!</v>
      </c>
    </row>
    <row r="10491" spans="11:11" x14ac:dyDescent="0.25">
      <c r="K10491" s="8" t="e">
        <f t="shared" si="137"/>
        <v>#VALUE!</v>
      </c>
    </row>
    <row r="10492" spans="11:11" x14ac:dyDescent="0.25">
      <c r="K10492" s="8" t="e">
        <f t="shared" si="137"/>
        <v>#VALUE!</v>
      </c>
    </row>
    <row r="10493" spans="11:11" x14ac:dyDescent="0.25">
      <c r="K10493" s="8" t="e">
        <f t="shared" si="137"/>
        <v>#VALUE!</v>
      </c>
    </row>
    <row r="10494" spans="11:11" x14ac:dyDescent="0.25">
      <c r="K10494" s="8" t="e">
        <f t="shared" si="137"/>
        <v>#VALUE!</v>
      </c>
    </row>
    <row r="10495" spans="11:11" x14ac:dyDescent="0.25">
      <c r="K10495" s="8" t="e">
        <f t="shared" si="137"/>
        <v>#VALUE!</v>
      </c>
    </row>
    <row r="10496" spans="11:11" x14ac:dyDescent="0.25">
      <c r="K10496" s="8" t="e">
        <f t="shared" si="137"/>
        <v>#VALUE!</v>
      </c>
    </row>
    <row r="10497" spans="11:11" x14ac:dyDescent="0.25">
      <c r="K10497" s="8" t="e">
        <f t="shared" si="137"/>
        <v>#VALUE!</v>
      </c>
    </row>
    <row r="10498" spans="11:11" x14ac:dyDescent="0.25">
      <c r="K10498" s="8" t="e">
        <f t="shared" si="137"/>
        <v>#VALUE!</v>
      </c>
    </row>
    <row r="10499" spans="11:11" x14ac:dyDescent="0.25">
      <c r="K10499" s="8" t="e">
        <f t="shared" ref="K10499:K10562" si="138">LEFT(A10499,FIND("/",A10499)-1)</f>
        <v>#VALUE!</v>
      </c>
    </row>
    <row r="10500" spans="11:11" x14ac:dyDescent="0.25">
      <c r="K10500" s="8" t="e">
        <f t="shared" si="138"/>
        <v>#VALUE!</v>
      </c>
    </row>
    <row r="10501" spans="11:11" x14ac:dyDescent="0.25">
      <c r="K10501" s="8" t="e">
        <f t="shared" si="138"/>
        <v>#VALUE!</v>
      </c>
    </row>
    <row r="10502" spans="11:11" x14ac:dyDescent="0.25">
      <c r="K10502" s="8" t="e">
        <f t="shared" si="138"/>
        <v>#VALUE!</v>
      </c>
    </row>
    <row r="10503" spans="11:11" x14ac:dyDescent="0.25">
      <c r="K10503" s="8" t="e">
        <f t="shared" si="138"/>
        <v>#VALUE!</v>
      </c>
    </row>
    <row r="10504" spans="11:11" x14ac:dyDescent="0.25">
      <c r="K10504" s="8" t="e">
        <f t="shared" si="138"/>
        <v>#VALUE!</v>
      </c>
    </row>
    <row r="10505" spans="11:11" x14ac:dyDescent="0.25">
      <c r="K10505" s="8" t="e">
        <f t="shared" si="138"/>
        <v>#VALUE!</v>
      </c>
    </row>
    <row r="10506" spans="11:11" x14ac:dyDescent="0.25">
      <c r="K10506" s="8" t="e">
        <f t="shared" si="138"/>
        <v>#VALUE!</v>
      </c>
    </row>
    <row r="10507" spans="11:11" x14ac:dyDescent="0.25">
      <c r="K10507" s="8" t="e">
        <f t="shared" si="138"/>
        <v>#VALUE!</v>
      </c>
    </row>
    <row r="10508" spans="11:11" x14ac:dyDescent="0.25">
      <c r="K10508" s="8" t="e">
        <f t="shared" si="138"/>
        <v>#VALUE!</v>
      </c>
    </row>
    <row r="10509" spans="11:11" x14ac:dyDescent="0.25">
      <c r="K10509" s="8" t="e">
        <f t="shared" si="138"/>
        <v>#VALUE!</v>
      </c>
    </row>
    <row r="10510" spans="11:11" x14ac:dyDescent="0.25">
      <c r="K10510" s="8" t="e">
        <f t="shared" si="138"/>
        <v>#VALUE!</v>
      </c>
    </row>
    <row r="10511" spans="11:11" x14ac:dyDescent="0.25">
      <c r="K10511" s="8" t="e">
        <f t="shared" si="138"/>
        <v>#VALUE!</v>
      </c>
    </row>
    <row r="10512" spans="11:11" x14ac:dyDescent="0.25">
      <c r="K10512" s="8" t="e">
        <f t="shared" si="138"/>
        <v>#VALUE!</v>
      </c>
    </row>
    <row r="10513" spans="11:11" x14ac:dyDescent="0.25">
      <c r="K10513" s="8" t="e">
        <f t="shared" si="138"/>
        <v>#VALUE!</v>
      </c>
    </row>
    <row r="10514" spans="11:11" x14ac:dyDescent="0.25">
      <c r="K10514" s="8" t="e">
        <f t="shared" si="138"/>
        <v>#VALUE!</v>
      </c>
    </row>
    <row r="10515" spans="11:11" x14ac:dyDescent="0.25">
      <c r="K10515" s="8" t="e">
        <f t="shared" si="138"/>
        <v>#VALUE!</v>
      </c>
    </row>
    <row r="10516" spans="11:11" x14ac:dyDescent="0.25">
      <c r="K10516" s="8" t="e">
        <f t="shared" si="138"/>
        <v>#VALUE!</v>
      </c>
    </row>
    <row r="10517" spans="11:11" x14ac:dyDescent="0.25">
      <c r="K10517" s="8" t="e">
        <f t="shared" si="138"/>
        <v>#VALUE!</v>
      </c>
    </row>
    <row r="10518" spans="11:11" x14ac:dyDescent="0.25">
      <c r="K10518" s="8" t="e">
        <f t="shared" si="138"/>
        <v>#VALUE!</v>
      </c>
    </row>
    <row r="10519" spans="11:11" x14ac:dyDescent="0.25">
      <c r="K10519" s="8" t="e">
        <f t="shared" si="138"/>
        <v>#VALUE!</v>
      </c>
    </row>
    <row r="10520" spans="11:11" x14ac:dyDescent="0.25">
      <c r="K10520" s="8" t="e">
        <f t="shared" si="138"/>
        <v>#VALUE!</v>
      </c>
    </row>
    <row r="10521" spans="11:11" x14ac:dyDescent="0.25">
      <c r="K10521" s="8" t="e">
        <f t="shared" si="138"/>
        <v>#VALUE!</v>
      </c>
    </row>
    <row r="10522" spans="11:11" x14ac:dyDescent="0.25">
      <c r="K10522" s="8" t="e">
        <f t="shared" si="138"/>
        <v>#VALUE!</v>
      </c>
    </row>
    <row r="10523" spans="11:11" x14ac:dyDescent="0.25">
      <c r="K10523" s="8" t="e">
        <f t="shared" si="138"/>
        <v>#VALUE!</v>
      </c>
    </row>
    <row r="10524" spans="11:11" x14ac:dyDescent="0.25">
      <c r="K10524" s="8" t="e">
        <f t="shared" si="138"/>
        <v>#VALUE!</v>
      </c>
    </row>
    <row r="10525" spans="11:11" x14ac:dyDescent="0.25">
      <c r="K10525" s="8" t="e">
        <f t="shared" si="138"/>
        <v>#VALUE!</v>
      </c>
    </row>
    <row r="10526" spans="11:11" x14ac:dyDescent="0.25">
      <c r="K10526" s="8" t="e">
        <f t="shared" si="138"/>
        <v>#VALUE!</v>
      </c>
    </row>
    <row r="10527" spans="11:11" x14ac:dyDescent="0.25">
      <c r="K10527" s="8" t="e">
        <f t="shared" si="138"/>
        <v>#VALUE!</v>
      </c>
    </row>
    <row r="10528" spans="11:11" x14ac:dyDescent="0.25">
      <c r="K10528" s="8" t="e">
        <f t="shared" si="138"/>
        <v>#VALUE!</v>
      </c>
    </row>
    <row r="10529" spans="11:11" x14ac:dyDescent="0.25">
      <c r="K10529" s="8" t="e">
        <f t="shared" si="138"/>
        <v>#VALUE!</v>
      </c>
    </row>
    <row r="10530" spans="11:11" x14ac:dyDescent="0.25">
      <c r="K10530" s="8" t="e">
        <f t="shared" si="138"/>
        <v>#VALUE!</v>
      </c>
    </row>
    <row r="10531" spans="11:11" x14ac:dyDescent="0.25">
      <c r="K10531" s="8" t="e">
        <f t="shared" si="138"/>
        <v>#VALUE!</v>
      </c>
    </row>
    <row r="10532" spans="11:11" x14ac:dyDescent="0.25">
      <c r="K10532" s="8" t="e">
        <f t="shared" si="138"/>
        <v>#VALUE!</v>
      </c>
    </row>
    <row r="10533" spans="11:11" x14ac:dyDescent="0.25">
      <c r="K10533" s="8" t="e">
        <f t="shared" si="138"/>
        <v>#VALUE!</v>
      </c>
    </row>
    <row r="10534" spans="11:11" x14ac:dyDescent="0.25">
      <c r="K10534" s="8" t="e">
        <f t="shared" si="138"/>
        <v>#VALUE!</v>
      </c>
    </row>
    <row r="10535" spans="11:11" x14ac:dyDescent="0.25">
      <c r="K10535" s="8" t="e">
        <f t="shared" si="138"/>
        <v>#VALUE!</v>
      </c>
    </row>
    <row r="10536" spans="11:11" x14ac:dyDescent="0.25">
      <c r="K10536" s="8" t="e">
        <f t="shared" si="138"/>
        <v>#VALUE!</v>
      </c>
    </row>
    <row r="10537" spans="11:11" x14ac:dyDescent="0.25">
      <c r="K10537" s="8" t="e">
        <f t="shared" si="138"/>
        <v>#VALUE!</v>
      </c>
    </row>
    <row r="10538" spans="11:11" x14ac:dyDescent="0.25">
      <c r="K10538" s="8" t="e">
        <f t="shared" si="138"/>
        <v>#VALUE!</v>
      </c>
    </row>
    <row r="10539" spans="11:11" x14ac:dyDescent="0.25">
      <c r="K10539" s="8" t="e">
        <f t="shared" si="138"/>
        <v>#VALUE!</v>
      </c>
    </row>
    <row r="10540" spans="11:11" x14ac:dyDescent="0.25">
      <c r="K10540" s="8" t="e">
        <f t="shared" si="138"/>
        <v>#VALUE!</v>
      </c>
    </row>
    <row r="10541" spans="11:11" x14ac:dyDescent="0.25">
      <c r="K10541" s="8" t="e">
        <f t="shared" si="138"/>
        <v>#VALUE!</v>
      </c>
    </row>
    <row r="10542" spans="11:11" x14ac:dyDescent="0.25">
      <c r="K10542" s="8" t="e">
        <f t="shared" si="138"/>
        <v>#VALUE!</v>
      </c>
    </row>
    <row r="10543" spans="11:11" x14ac:dyDescent="0.25">
      <c r="K10543" s="8" t="e">
        <f t="shared" si="138"/>
        <v>#VALUE!</v>
      </c>
    </row>
    <row r="10544" spans="11:11" x14ac:dyDescent="0.25">
      <c r="K10544" s="8" t="e">
        <f t="shared" si="138"/>
        <v>#VALUE!</v>
      </c>
    </row>
    <row r="10545" spans="11:11" x14ac:dyDescent="0.25">
      <c r="K10545" s="8" t="e">
        <f t="shared" si="138"/>
        <v>#VALUE!</v>
      </c>
    </row>
    <row r="10546" spans="11:11" x14ac:dyDescent="0.25">
      <c r="K10546" s="8" t="e">
        <f t="shared" si="138"/>
        <v>#VALUE!</v>
      </c>
    </row>
    <row r="10547" spans="11:11" x14ac:dyDescent="0.25">
      <c r="K10547" s="8" t="e">
        <f t="shared" si="138"/>
        <v>#VALUE!</v>
      </c>
    </row>
    <row r="10548" spans="11:11" x14ac:dyDescent="0.25">
      <c r="K10548" s="8" t="e">
        <f t="shared" si="138"/>
        <v>#VALUE!</v>
      </c>
    </row>
    <row r="10549" spans="11:11" x14ac:dyDescent="0.25">
      <c r="K10549" s="8" t="e">
        <f t="shared" si="138"/>
        <v>#VALUE!</v>
      </c>
    </row>
    <row r="10550" spans="11:11" x14ac:dyDescent="0.25">
      <c r="K10550" s="8" t="e">
        <f t="shared" si="138"/>
        <v>#VALUE!</v>
      </c>
    </row>
    <row r="10551" spans="11:11" x14ac:dyDescent="0.25">
      <c r="K10551" s="8" t="e">
        <f t="shared" si="138"/>
        <v>#VALUE!</v>
      </c>
    </row>
    <row r="10552" spans="11:11" x14ac:dyDescent="0.25">
      <c r="K10552" s="8" t="e">
        <f t="shared" si="138"/>
        <v>#VALUE!</v>
      </c>
    </row>
    <row r="10553" spans="11:11" x14ac:dyDescent="0.25">
      <c r="K10553" s="8" t="e">
        <f t="shared" si="138"/>
        <v>#VALUE!</v>
      </c>
    </row>
    <row r="10554" spans="11:11" x14ac:dyDescent="0.25">
      <c r="K10554" s="8" t="e">
        <f t="shared" si="138"/>
        <v>#VALUE!</v>
      </c>
    </row>
    <row r="10555" spans="11:11" x14ac:dyDescent="0.25">
      <c r="K10555" s="8" t="e">
        <f t="shared" si="138"/>
        <v>#VALUE!</v>
      </c>
    </row>
    <row r="10556" spans="11:11" x14ac:dyDescent="0.25">
      <c r="K10556" s="8" t="e">
        <f t="shared" si="138"/>
        <v>#VALUE!</v>
      </c>
    </row>
    <row r="10557" spans="11:11" x14ac:dyDescent="0.25">
      <c r="K10557" s="8" t="e">
        <f t="shared" si="138"/>
        <v>#VALUE!</v>
      </c>
    </row>
    <row r="10558" spans="11:11" x14ac:dyDescent="0.25">
      <c r="K10558" s="8" t="e">
        <f t="shared" si="138"/>
        <v>#VALUE!</v>
      </c>
    </row>
    <row r="10559" spans="11:11" x14ac:dyDescent="0.25">
      <c r="K10559" s="8" t="e">
        <f t="shared" si="138"/>
        <v>#VALUE!</v>
      </c>
    </row>
    <row r="10560" spans="11:11" x14ac:dyDescent="0.25">
      <c r="K10560" s="8" t="e">
        <f t="shared" si="138"/>
        <v>#VALUE!</v>
      </c>
    </row>
    <row r="10561" spans="11:11" x14ac:dyDescent="0.25">
      <c r="K10561" s="8" t="e">
        <f t="shared" si="138"/>
        <v>#VALUE!</v>
      </c>
    </row>
    <row r="10562" spans="11:11" x14ac:dyDescent="0.25">
      <c r="K10562" s="8" t="e">
        <f t="shared" si="138"/>
        <v>#VALUE!</v>
      </c>
    </row>
    <row r="10563" spans="11:11" x14ac:dyDescent="0.25">
      <c r="K10563" s="8" t="e">
        <f t="shared" ref="K10563:K10626" si="139">LEFT(A10563,FIND("/",A10563)-1)</f>
        <v>#VALUE!</v>
      </c>
    </row>
    <row r="10564" spans="11:11" x14ac:dyDescent="0.25">
      <c r="K10564" s="8" t="e">
        <f t="shared" si="139"/>
        <v>#VALUE!</v>
      </c>
    </row>
    <row r="10565" spans="11:11" x14ac:dyDescent="0.25">
      <c r="K10565" s="8" t="e">
        <f t="shared" si="139"/>
        <v>#VALUE!</v>
      </c>
    </row>
    <row r="10566" spans="11:11" x14ac:dyDescent="0.25">
      <c r="K10566" s="8" t="e">
        <f t="shared" si="139"/>
        <v>#VALUE!</v>
      </c>
    </row>
    <row r="10567" spans="11:11" x14ac:dyDescent="0.25">
      <c r="K10567" s="8" t="e">
        <f t="shared" si="139"/>
        <v>#VALUE!</v>
      </c>
    </row>
    <row r="10568" spans="11:11" x14ac:dyDescent="0.25">
      <c r="K10568" s="8" t="e">
        <f t="shared" si="139"/>
        <v>#VALUE!</v>
      </c>
    </row>
    <row r="10569" spans="11:11" x14ac:dyDescent="0.25">
      <c r="K10569" s="8" t="e">
        <f t="shared" si="139"/>
        <v>#VALUE!</v>
      </c>
    </row>
    <row r="10570" spans="11:11" x14ac:dyDescent="0.25">
      <c r="K10570" s="8" t="e">
        <f t="shared" si="139"/>
        <v>#VALUE!</v>
      </c>
    </row>
    <row r="10571" spans="11:11" x14ac:dyDescent="0.25">
      <c r="K10571" s="8" t="e">
        <f t="shared" si="139"/>
        <v>#VALUE!</v>
      </c>
    </row>
    <row r="10572" spans="11:11" x14ac:dyDescent="0.25">
      <c r="K10572" s="8" t="e">
        <f t="shared" si="139"/>
        <v>#VALUE!</v>
      </c>
    </row>
    <row r="10573" spans="11:11" x14ac:dyDescent="0.25">
      <c r="K10573" s="8" t="e">
        <f t="shared" si="139"/>
        <v>#VALUE!</v>
      </c>
    </row>
    <row r="10574" spans="11:11" x14ac:dyDescent="0.25">
      <c r="K10574" s="8" t="e">
        <f t="shared" si="139"/>
        <v>#VALUE!</v>
      </c>
    </row>
    <row r="10575" spans="11:11" x14ac:dyDescent="0.25">
      <c r="K10575" s="8" t="e">
        <f t="shared" si="139"/>
        <v>#VALUE!</v>
      </c>
    </row>
    <row r="10576" spans="11:11" x14ac:dyDescent="0.25">
      <c r="K10576" s="8" t="e">
        <f t="shared" si="139"/>
        <v>#VALUE!</v>
      </c>
    </row>
    <row r="10577" spans="11:11" x14ac:dyDescent="0.25">
      <c r="K10577" s="8" t="e">
        <f t="shared" si="139"/>
        <v>#VALUE!</v>
      </c>
    </row>
    <row r="10578" spans="11:11" x14ac:dyDescent="0.25">
      <c r="K10578" s="8" t="e">
        <f t="shared" si="139"/>
        <v>#VALUE!</v>
      </c>
    </row>
    <row r="10579" spans="11:11" x14ac:dyDescent="0.25">
      <c r="K10579" s="8" t="e">
        <f t="shared" si="139"/>
        <v>#VALUE!</v>
      </c>
    </row>
    <row r="10580" spans="11:11" x14ac:dyDescent="0.25">
      <c r="K10580" s="8" t="e">
        <f t="shared" si="139"/>
        <v>#VALUE!</v>
      </c>
    </row>
    <row r="10581" spans="11:11" x14ac:dyDescent="0.25">
      <c r="K10581" s="8" t="e">
        <f t="shared" si="139"/>
        <v>#VALUE!</v>
      </c>
    </row>
    <row r="10582" spans="11:11" x14ac:dyDescent="0.25">
      <c r="K10582" s="8" t="e">
        <f t="shared" si="139"/>
        <v>#VALUE!</v>
      </c>
    </row>
    <row r="10583" spans="11:11" x14ac:dyDescent="0.25">
      <c r="K10583" s="8" t="e">
        <f t="shared" si="139"/>
        <v>#VALUE!</v>
      </c>
    </row>
    <row r="10584" spans="11:11" x14ac:dyDescent="0.25">
      <c r="K10584" s="8" t="e">
        <f t="shared" si="139"/>
        <v>#VALUE!</v>
      </c>
    </row>
    <row r="10585" spans="11:11" x14ac:dyDescent="0.25">
      <c r="K10585" s="8" t="e">
        <f t="shared" si="139"/>
        <v>#VALUE!</v>
      </c>
    </row>
    <row r="10586" spans="11:11" x14ac:dyDescent="0.25">
      <c r="K10586" s="8" t="e">
        <f t="shared" si="139"/>
        <v>#VALUE!</v>
      </c>
    </row>
    <row r="10587" spans="11:11" x14ac:dyDescent="0.25">
      <c r="K10587" s="8" t="e">
        <f t="shared" si="139"/>
        <v>#VALUE!</v>
      </c>
    </row>
    <row r="10588" spans="11:11" x14ac:dyDescent="0.25">
      <c r="K10588" s="8" t="e">
        <f t="shared" si="139"/>
        <v>#VALUE!</v>
      </c>
    </row>
    <row r="10589" spans="11:11" x14ac:dyDescent="0.25">
      <c r="K10589" s="8" t="e">
        <f t="shared" si="139"/>
        <v>#VALUE!</v>
      </c>
    </row>
    <row r="10590" spans="11:11" x14ac:dyDescent="0.25">
      <c r="K10590" s="8" t="e">
        <f t="shared" si="139"/>
        <v>#VALUE!</v>
      </c>
    </row>
    <row r="10591" spans="11:11" x14ac:dyDescent="0.25">
      <c r="K10591" s="8" t="e">
        <f t="shared" si="139"/>
        <v>#VALUE!</v>
      </c>
    </row>
    <row r="10592" spans="11:11" x14ac:dyDescent="0.25">
      <c r="K10592" s="8" t="e">
        <f t="shared" si="139"/>
        <v>#VALUE!</v>
      </c>
    </row>
    <row r="10593" spans="11:11" x14ac:dyDescent="0.25">
      <c r="K10593" s="8" t="e">
        <f t="shared" si="139"/>
        <v>#VALUE!</v>
      </c>
    </row>
    <row r="10594" spans="11:11" x14ac:dyDescent="0.25">
      <c r="K10594" s="8" t="e">
        <f t="shared" si="139"/>
        <v>#VALUE!</v>
      </c>
    </row>
    <row r="10595" spans="11:11" x14ac:dyDescent="0.25">
      <c r="K10595" s="8" t="e">
        <f t="shared" si="139"/>
        <v>#VALUE!</v>
      </c>
    </row>
    <row r="10596" spans="11:11" x14ac:dyDescent="0.25">
      <c r="K10596" s="8" t="e">
        <f t="shared" si="139"/>
        <v>#VALUE!</v>
      </c>
    </row>
    <row r="10597" spans="11:11" x14ac:dyDescent="0.25">
      <c r="K10597" s="8" t="e">
        <f t="shared" si="139"/>
        <v>#VALUE!</v>
      </c>
    </row>
    <row r="10598" spans="11:11" x14ac:dyDescent="0.25">
      <c r="K10598" s="8" t="e">
        <f t="shared" si="139"/>
        <v>#VALUE!</v>
      </c>
    </row>
    <row r="10599" spans="11:11" x14ac:dyDescent="0.25">
      <c r="K10599" s="8" t="e">
        <f t="shared" si="139"/>
        <v>#VALUE!</v>
      </c>
    </row>
    <row r="10600" spans="11:11" x14ac:dyDescent="0.25">
      <c r="K10600" s="8" t="e">
        <f t="shared" si="139"/>
        <v>#VALUE!</v>
      </c>
    </row>
    <row r="10601" spans="11:11" x14ac:dyDescent="0.25">
      <c r="K10601" s="8" t="e">
        <f t="shared" si="139"/>
        <v>#VALUE!</v>
      </c>
    </row>
    <row r="10602" spans="11:11" x14ac:dyDescent="0.25">
      <c r="K10602" s="8" t="e">
        <f t="shared" si="139"/>
        <v>#VALUE!</v>
      </c>
    </row>
    <row r="10603" spans="11:11" x14ac:dyDescent="0.25">
      <c r="K10603" s="8" t="e">
        <f t="shared" si="139"/>
        <v>#VALUE!</v>
      </c>
    </row>
    <row r="10604" spans="11:11" x14ac:dyDescent="0.25">
      <c r="K10604" s="8" t="e">
        <f t="shared" si="139"/>
        <v>#VALUE!</v>
      </c>
    </row>
    <row r="10605" spans="11:11" x14ac:dyDescent="0.25">
      <c r="K10605" s="8" t="e">
        <f t="shared" si="139"/>
        <v>#VALUE!</v>
      </c>
    </row>
    <row r="10606" spans="11:11" x14ac:dyDescent="0.25">
      <c r="K10606" s="8" t="e">
        <f t="shared" si="139"/>
        <v>#VALUE!</v>
      </c>
    </row>
    <row r="10607" spans="11:11" x14ac:dyDescent="0.25">
      <c r="K10607" s="8" t="e">
        <f t="shared" si="139"/>
        <v>#VALUE!</v>
      </c>
    </row>
    <row r="10608" spans="11:11" x14ac:dyDescent="0.25">
      <c r="K10608" s="8" t="e">
        <f t="shared" si="139"/>
        <v>#VALUE!</v>
      </c>
    </row>
    <row r="10609" spans="11:11" x14ac:dyDescent="0.25">
      <c r="K10609" s="8" t="e">
        <f t="shared" si="139"/>
        <v>#VALUE!</v>
      </c>
    </row>
    <row r="10610" spans="11:11" x14ac:dyDescent="0.25">
      <c r="K10610" s="8" t="e">
        <f t="shared" si="139"/>
        <v>#VALUE!</v>
      </c>
    </row>
    <row r="10611" spans="11:11" x14ac:dyDescent="0.25">
      <c r="K10611" s="8" t="e">
        <f t="shared" si="139"/>
        <v>#VALUE!</v>
      </c>
    </row>
    <row r="10612" spans="11:11" x14ac:dyDescent="0.25">
      <c r="K10612" s="8" t="e">
        <f t="shared" si="139"/>
        <v>#VALUE!</v>
      </c>
    </row>
    <row r="10613" spans="11:11" x14ac:dyDescent="0.25">
      <c r="K10613" s="8" t="e">
        <f t="shared" si="139"/>
        <v>#VALUE!</v>
      </c>
    </row>
    <row r="10614" spans="11:11" x14ac:dyDescent="0.25">
      <c r="K10614" s="8" t="e">
        <f t="shared" si="139"/>
        <v>#VALUE!</v>
      </c>
    </row>
    <row r="10615" spans="11:11" x14ac:dyDescent="0.25">
      <c r="K10615" s="8" t="e">
        <f t="shared" si="139"/>
        <v>#VALUE!</v>
      </c>
    </row>
    <row r="10616" spans="11:11" x14ac:dyDescent="0.25">
      <c r="K10616" s="8" t="e">
        <f t="shared" si="139"/>
        <v>#VALUE!</v>
      </c>
    </row>
    <row r="10617" spans="11:11" x14ac:dyDescent="0.25">
      <c r="K10617" s="8" t="e">
        <f t="shared" si="139"/>
        <v>#VALUE!</v>
      </c>
    </row>
    <row r="10618" spans="11:11" x14ac:dyDescent="0.25">
      <c r="K10618" s="8" t="e">
        <f t="shared" si="139"/>
        <v>#VALUE!</v>
      </c>
    </row>
    <row r="10619" spans="11:11" x14ac:dyDescent="0.25">
      <c r="K10619" s="8" t="e">
        <f t="shared" si="139"/>
        <v>#VALUE!</v>
      </c>
    </row>
    <row r="10620" spans="11:11" x14ac:dyDescent="0.25">
      <c r="K10620" s="8" t="e">
        <f t="shared" si="139"/>
        <v>#VALUE!</v>
      </c>
    </row>
    <row r="10621" spans="11:11" x14ac:dyDescent="0.25">
      <c r="K10621" s="8" t="e">
        <f t="shared" si="139"/>
        <v>#VALUE!</v>
      </c>
    </row>
    <row r="10622" spans="11:11" x14ac:dyDescent="0.25">
      <c r="K10622" s="8" t="e">
        <f t="shared" si="139"/>
        <v>#VALUE!</v>
      </c>
    </row>
    <row r="10623" spans="11:11" x14ac:dyDescent="0.25">
      <c r="K10623" s="8" t="e">
        <f t="shared" si="139"/>
        <v>#VALUE!</v>
      </c>
    </row>
    <row r="10624" spans="11:11" x14ac:dyDescent="0.25">
      <c r="K10624" s="8" t="e">
        <f t="shared" si="139"/>
        <v>#VALUE!</v>
      </c>
    </row>
    <row r="10625" spans="11:11" x14ac:dyDescent="0.25">
      <c r="K10625" s="8" t="e">
        <f t="shared" si="139"/>
        <v>#VALUE!</v>
      </c>
    </row>
    <row r="10626" spans="11:11" x14ac:dyDescent="0.25">
      <c r="K10626" s="8" t="e">
        <f t="shared" si="139"/>
        <v>#VALUE!</v>
      </c>
    </row>
    <row r="10627" spans="11:11" x14ac:dyDescent="0.25">
      <c r="K10627" s="8" t="e">
        <f t="shared" ref="K10627:K10690" si="140">LEFT(A10627,FIND("/",A10627)-1)</f>
        <v>#VALUE!</v>
      </c>
    </row>
    <row r="10628" spans="11:11" x14ac:dyDescent="0.25">
      <c r="K10628" s="8" t="e">
        <f t="shared" si="140"/>
        <v>#VALUE!</v>
      </c>
    </row>
    <row r="10629" spans="11:11" x14ac:dyDescent="0.25">
      <c r="K10629" s="8" t="e">
        <f t="shared" si="140"/>
        <v>#VALUE!</v>
      </c>
    </row>
    <row r="10630" spans="11:11" x14ac:dyDescent="0.25">
      <c r="K10630" s="8" t="e">
        <f t="shared" si="140"/>
        <v>#VALUE!</v>
      </c>
    </row>
    <row r="10631" spans="11:11" x14ac:dyDescent="0.25">
      <c r="K10631" s="8" t="e">
        <f t="shared" si="140"/>
        <v>#VALUE!</v>
      </c>
    </row>
    <row r="10632" spans="11:11" x14ac:dyDescent="0.25">
      <c r="K10632" s="8" t="e">
        <f t="shared" si="140"/>
        <v>#VALUE!</v>
      </c>
    </row>
    <row r="10633" spans="11:11" x14ac:dyDescent="0.25">
      <c r="K10633" s="8" t="e">
        <f t="shared" si="140"/>
        <v>#VALUE!</v>
      </c>
    </row>
    <row r="10634" spans="11:11" x14ac:dyDescent="0.25">
      <c r="K10634" s="8" t="e">
        <f t="shared" si="140"/>
        <v>#VALUE!</v>
      </c>
    </row>
    <row r="10635" spans="11:11" x14ac:dyDescent="0.25">
      <c r="K10635" s="8" t="e">
        <f t="shared" si="140"/>
        <v>#VALUE!</v>
      </c>
    </row>
    <row r="10636" spans="11:11" x14ac:dyDescent="0.25">
      <c r="K10636" s="8" t="e">
        <f t="shared" si="140"/>
        <v>#VALUE!</v>
      </c>
    </row>
    <row r="10637" spans="11:11" x14ac:dyDescent="0.25">
      <c r="K10637" s="8" t="e">
        <f t="shared" si="140"/>
        <v>#VALUE!</v>
      </c>
    </row>
    <row r="10638" spans="11:11" x14ac:dyDescent="0.25">
      <c r="K10638" s="8" t="e">
        <f t="shared" si="140"/>
        <v>#VALUE!</v>
      </c>
    </row>
    <row r="10639" spans="11:11" x14ac:dyDescent="0.25">
      <c r="K10639" s="8" t="e">
        <f t="shared" si="140"/>
        <v>#VALUE!</v>
      </c>
    </row>
    <row r="10640" spans="11:11" x14ac:dyDescent="0.25">
      <c r="K10640" s="8" t="e">
        <f t="shared" si="140"/>
        <v>#VALUE!</v>
      </c>
    </row>
    <row r="10641" spans="11:11" x14ac:dyDescent="0.25">
      <c r="K10641" s="8" t="e">
        <f t="shared" si="140"/>
        <v>#VALUE!</v>
      </c>
    </row>
    <row r="10642" spans="11:11" x14ac:dyDescent="0.25">
      <c r="K10642" s="8" t="e">
        <f t="shared" si="140"/>
        <v>#VALUE!</v>
      </c>
    </row>
    <row r="10643" spans="11:11" x14ac:dyDescent="0.25">
      <c r="K10643" s="8" t="e">
        <f t="shared" si="140"/>
        <v>#VALUE!</v>
      </c>
    </row>
    <row r="10644" spans="11:11" x14ac:dyDescent="0.25">
      <c r="K10644" s="8" t="e">
        <f t="shared" si="140"/>
        <v>#VALUE!</v>
      </c>
    </row>
    <row r="10645" spans="11:11" x14ac:dyDescent="0.25">
      <c r="K10645" s="8" t="e">
        <f t="shared" si="140"/>
        <v>#VALUE!</v>
      </c>
    </row>
    <row r="10646" spans="11:11" x14ac:dyDescent="0.25">
      <c r="K10646" s="8" t="e">
        <f t="shared" si="140"/>
        <v>#VALUE!</v>
      </c>
    </row>
    <row r="10647" spans="11:11" x14ac:dyDescent="0.25">
      <c r="K10647" s="8" t="e">
        <f t="shared" si="140"/>
        <v>#VALUE!</v>
      </c>
    </row>
    <row r="10648" spans="11:11" x14ac:dyDescent="0.25">
      <c r="K10648" s="8" t="e">
        <f t="shared" si="140"/>
        <v>#VALUE!</v>
      </c>
    </row>
    <row r="10649" spans="11:11" x14ac:dyDescent="0.25">
      <c r="K10649" s="8" t="e">
        <f t="shared" si="140"/>
        <v>#VALUE!</v>
      </c>
    </row>
    <row r="10650" spans="11:11" x14ac:dyDescent="0.25">
      <c r="K10650" s="8" t="e">
        <f t="shared" si="140"/>
        <v>#VALUE!</v>
      </c>
    </row>
    <row r="10651" spans="11:11" x14ac:dyDescent="0.25">
      <c r="K10651" s="8" t="e">
        <f t="shared" si="140"/>
        <v>#VALUE!</v>
      </c>
    </row>
    <row r="10652" spans="11:11" x14ac:dyDescent="0.25">
      <c r="K10652" s="8" t="e">
        <f t="shared" si="140"/>
        <v>#VALUE!</v>
      </c>
    </row>
    <row r="10653" spans="11:11" x14ac:dyDescent="0.25">
      <c r="K10653" s="8" t="e">
        <f t="shared" si="140"/>
        <v>#VALUE!</v>
      </c>
    </row>
    <row r="10654" spans="11:11" x14ac:dyDescent="0.25">
      <c r="K10654" s="8" t="e">
        <f t="shared" si="140"/>
        <v>#VALUE!</v>
      </c>
    </row>
    <row r="10655" spans="11:11" x14ac:dyDescent="0.25">
      <c r="K10655" s="8" t="e">
        <f t="shared" si="140"/>
        <v>#VALUE!</v>
      </c>
    </row>
    <row r="10656" spans="11:11" x14ac:dyDescent="0.25">
      <c r="K10656" s="8" t="e">
        <f t="shared" si="140"/>
        <v>#VALUE!</v>
      </c>
    </row>
    <row r="10657" spans="11:11" x14ac:dyDescent="0.25">
      <c r="K10657" s="8" t="e">
        <f t="shared" si="140"/>
        <v>#VALUE!</v>
      </c>
    </row>
    <row r="10658" spans="11:11" x14ac:dyDescent="0.25">
      <c r="K10658" s="8" t="e">
        <f t="shared" si="140"/>
        <v>#VALUE!</v>
      </c>
    </row>
    <row r="10659" spans="11:11" x14ac:dyDescent="0.25">
      <c r="K10659" s="8" t="e">
        <f t="shared" si="140"/>
        <v>#VALUE!</v>
      </c>
    </row>
    <row r="10660" spans="11:11" x14ac:dyDescent="0.25">
      <c r="K10660" s="8" t="e">
        <f t="shared" si="140"/>
        <v>#VALUE!</v>
      </c>
    </row>
    <row r="10661" spans="11:11" x14ac:dyDescent="0.25">
      <c r="K10661" s="8" t="e">
        <f t="shared" si="140"/>
        <v>#VALUE!</v>
      </c>
    </row>
    <row r="10662" spans="11:11" x14ac:dyDescent="0.25">
      <c r="K10662" s="8" t="e">
        <f t="shared" si="140"/>
        <v>#VALUE!</v>
      </c>
    </row>
    <row r="10663" spans="11:11" x14ac:dyDescent="0.25">
      <c r="K10663" s="8" t="e">
        <f t="shared" si="140"/>
        <v>#VALUE!</v>
      </c>
    </row>
    <row r="10664" spans="11:11" x14ac:dyDescent="0.25">
      <c r="K10664" s="8" t="e">
        <f t="shared" si="140"/>
        <v>#VALUE!</v>
      </c>
    </row>
    <row r="10665" spans="11:11" x14ac:dyDescent="0.25">
      <c r="K10665" s="8" t="e">
        <f t="shared" si="140"/>
        <v>#VALUE!</v>
      </c>
    </row>
    <row r="10666" spans="11:11" x14ac:dyDescent="0.25">
      <c r="K10666" s="8" t="e">
        <f t="shared" si="140"/>
        <v>#VALUE!</v>
      </c>
    </row>
    <row r="10667" spans="11:11" x14ac:dyDescent="0.25">
      <c r="K10667" s="8" t="e">
        <f t="shared" si="140"/>
        <v>#VALUE!</v>
      </c>
    </row>
    <row r="10668" spans="11:11" x14ac:dyDescent="0.25">
      <c r="K10668" s="8" t="e">
        <f t="shared" si="140"/>
        <v>#VALUE!</v>
      </c>
    </row>
    <row r="10669" spans="11:11" x14ac:dyDescent="0.25">
      <c r="K10669" s="8" t="e">
        <f t="shared" si="140"/>
        <v>#VALUE!</v>
      </c>
    </row>
    <row r="10670" spans="11:11" x14ac:dyDescent="0.25">
      <c r="K10670" s="8" t="e">
        <f t="shared" si="140"/>
        <v>#VALUE!</v>
      </c>
    </row>
    <row r="10671" spans="11:11" x14ac:dyDescent="0.25">
      <c r="K10671" s="8" t="e">
        <f t="shared" si="140"/>
        <v>#VALUE!</v>
      </c>
    </row>
    <row r="10672" spans="11:11" x14ac:dyDescent="0.25">
      <c r="K10672" s="8" t="e">
        <f t="shared" si="140"/>
        <v>#VALUE!</v>
      </c>
    </row>
    <row r="10673" spans="11:11" x14ac:dyDescent="0.25">
      <c r="K10673" s="8" t="e">
        <f t="shared" si="140"/>
        <v>#VALUE!</v>
      </c>
    </row>
    <row r="10674" spans="11:11" x14ac:dyDescent="0.25">
      <c r="K10674" s="8" t="e">
        <f t="shared" si="140"/>
        <v>#VALUE!</v>
      </c>
    </row>
    <row r="10675" spans="11:11" x14ac:dyDescent="0.25">
      <c r="K10675" s="8" t="e">
        <f t="shared" si="140"/>
        <v>#VALUE!</v>
      </c>
    </row>
    <row r="10676" spans="11:11" x14ac:dyDescent="0.25">
      <c r="K10676" s="8" t="e">
        <f t="shared" si="140"/>
        <v>#VALUE!</v>
      </c>
    </row>
    <row r="10677" spans="11:11" x14ac:dyDescent="0.25">
      <c r="K10677" s="8" t="e">
        <f t="shared" si="140"/>
        <v>#VALUE!</v>
      </c>
    </row>
    <row r="10678" spans="11:11" x14ac:dyDescent="0.25">
      <c r="K10678" s="8" t="e">
        <f t="shared" si="140"/>
        <v>#VALUE!</v>
      </c>
    </row>
    <row r="10679" spans="11:11" x14ac:dyDescent="0.25">
      <c r="K10679" s="8" t="e">
        <f t="shared" si="140"/>
        <v>#VALUE!</v>
      </c>
    </row>
    <row r="10680" spans="11:11" x14ac:dyDescent="0.25">
      <c r="K10680" s="8" t="e">
        <f t="shared" si="140"/>
        <v>#VALUE!</v>
      </c>
    </row>
    <row r="10681" spans="11:11" x14ac:dyDescent="0.25">
      <c r="K10681" s="8" t="e">
        <f t="shared" si="140"/>
        <v>#VALUE!</v>
      </c>
    </row>
    <row r="10682" spans="11:11" x14ac:dyDescent="0.25">
      <c r="K10682" s="8" t="e">
        <f t="shared" si="140"/>
        <v>#VALUE!</v>
      </c>
    </row>
    <row r="10683" spans="11:11" x14ac:dyDescent="0.25">
      <c r="K10683" s="8" t="e">
        <f t="shared" si="140"/>
        <v>#VALUE!</v>
      </c>
    </row>
    <row r="10684" spans="11:11" x14ac:dyDescent="0.25">
      <c r="K10684" s="8" t="e">
        <f t="shared" si="140"/>
        <v>#VALUE!</v>
      </c>
    </row>
    <row r="10685" spans="11:11" x14ac:dyDescent="0.25">
      <c r="K10685" s="8" t="e">
        <f t="shared" si="140"/>
        <v>#VALUE!</v>
      </c>
    </row>
    <row r="10686" spans="11:11" x14ac:dyDescent="0.25">
      <c r="K10686" s="8" t="e">
        <f t="shared" si="140"/>
        <v>#VALUE!</v>
      </c>
    </row>
    <row r="10687" spans="11:11" x14ac:dyDescent="0.25">
      <c r="K10687" s="8" t="e">
        <f t="shared" si="140"/>
        <v>#VALUE!</v>
      </c>
    </row>
    <row r="10688" spans="11:11" x14ac:dyDescent="0.25">
      <c r="K10688" s="8" t="e">
        <f t="shared" si="140"/>
        <v>#VALUE!</v>
      </c>
    </row>
    <row r="10689" spans="11:11" x14ac:dyDescent="0.25">
      <c r="K10689" s="8" t="e">
        <f t="shared" si="140"/>
        <v>#VALUE!</v>
      </c>
    </row>
    <row r="10690" spans="11:11" x14ac:dyDescent="0.25">
      <c r="K10690" s="8" t="e">
        <f t="shared" si="140"/>
        <v>#VALUE!</v>
      </c>
    </row>
    <row r="10691" spans="11:11" x14ac:dyDescent="0.25">
      <c r="K10691" s="8" t="e">
        <f t="shared" ref="K10691:K10754" si="141">LEFT(A10691,FIND("/",A10691)-1)</f>
        <v>#VALUE!</v>
      </c>
    </row>
    <row r="10692" spans="11:11" x14ac:dyDescent="0.25">
      <c r="K10692" s="8" t="e">
        <f t="shared" si="141"/>
        <v>#VALUE!</v>
      </c>
    </row>
    <row r="10693" spans="11:11" x14ac:dyDescent="0.25">
      <c r="K10693" s="8" t="e">
        <f t="shared" si="141"/>
        <v>#VALUE!</v>
      </c>
    </row>
    <row r="10694" spans="11:11" x14ac:dyDescent="0.25">
      <c r="K10694" s="8" t="e">
        <f t="shared" si="141"/>
        <v>#VALUE!</v>
      </c>
    </row>
    <row r="10695" spans="11:11" x14ac:dyDescent="0.25">
      <c r="K10695" s="8" t="e">
        <f t="shared" si="141"/>
        <v>#VALUE!</v>
      </c>
    </row>
    <row r="10696" spans="11:11" x14ac:dyDescent="0.25">
      <c r="K10696" s="8" t="e">
        <f t="shared" si="141"/>
        <v>#VALUE!</v>
      </c>
    </row>
    <row r="10697" spans="11:11" x14ac:dyDescent="0.25">
      <c r="K10697" s="8" t="e">
        <f t="shared" si="141"/>
        <v>#VALUE!</v>
      </c>
    </row>
    <row r="10698" spans="11:11" x14ac:dyDescent="0.25">
      <c r="K10698" s="8" t="e">
        <f t="shared" si="141"/>
        <v>#VALUE!</v>
      </c>
    </row>
    <row r="10699" spans="11:11" x14ac:dyDescent="0.25">
      <c r="K10699" s="8" t="e">
        <f t="shared" si="141"/>
        <v>#VALUE!</v>
      </c>
    </row>
    <row r="10700" spans="11:11" x14ac:dyDescent="0.25">
      <c r="K10700" s="8" t="e">
        <f t="shared" si="141"/>
        <v>#VALUE!</v>
      </c>
    </row>
    <row r="10701" spans="11:11" x14ac:dyDescent="0.25">
      <c r="K10701" s="8" t="e">
        <f t="shared" si="141"/>
        <v>#VALUE!</v>
      </c>
    </row>
    <row r="10702" spans="11:11" x14ac:dyDescent="0.25">
      <c r="K10702" s="8" t="e">
        <f t="shared" si="141"/>
        <v>#VALUE!</v>
      </c>
    </row>
    <row r="10703" spans="11:11" x14ac:dyDescent="0.25">
      <c r="K10703" s="8" t="e">
        <f t="shared" si="141"/>
        <v>#VALUE!</v>
      </c>
    </row>
    <row r="10704" spans="11:11" x14ac:dyDescent="0.25">
      <c r="K10704" s="8" t="e">
        <f t="shared" si="141"/>
        <v>#VALUE!</v>
      </c>
    </row>
    <row r="10705" spans="11:11" x14ac:dyDescent="0.25">
      <c r="K10705" s="8" t="e">
        <f t="shared" si="141"/>
        <v>#VALUE!</v>
      </c>
    </row>
    <row r="10706" spans="11:11" x14ac:dyDescent="0.25">
      <c r="K10706" s="8" t="e">
        <f t="shared" si="141"/>
        <v>#VALUE!</v>
      </c>
    </row>
    <row r="10707" spans="11:11" x14ac:dyDescent="0.25">
      <c r="K10707" s="8" t="e">
        <f t="shared" si="141"/>
        <v>#VALUE!</v>
      </c>
    </row>
    <row r="10708" spans="11:11" x14ac:dyDescent="0.25">
      <c r="K10708" s="8" t="e">
        <f t="shared" si="141"/>
        <v>#VALUE!</v>
      </c>
    </row>
    <row r="10709" spans="11:11" x14ac:dyDescent="0.25">
      <c r="K10709" s="8" t="e">
        <f t="shared" si="141"/>
        <v>#VALUE!</v>
      </c>
    </row>
    <row r="10710" spans="11:11" x14ac:dyDescent="0.25">
      <c r="K10710" s="8" t="e">
        <f t="shared" si="141"/>
        <v>#VALUE!</v>
      </c>
    </row>
    <row r="10711" spans="11:11" x14ac:dyDescent="0.25">
      <c r="K10711" s="8" t="e">
        <f t="shared" si="141"/>
        <v>#VALUE!</v>
      </c>
    </row>
    <row r="10712" spans="11:11" x14ac:dyDescent="0.25">
      <c r="K10712" s="8" t="e">
        <f t="shared" si="141"/>
        <v>#VALUE!</v>
      </c>
    </row>
    <row r="10713" spans="11:11" x14ac:dyDescent="0.25">
      <c r="K10713" s="8" t="e">
        <f t="shared" si="141"/>
        <v>#VALUE!</v>
      </c>
    </row>
    <row r="10714" spans="11:11" x14ac:dyDescent="0.25">
      <c r="K10714" s="8" t="e">
        <f t="shared" si="141"/>
        <v>#VALUE!</v>
      </c>
    </row>
    <row r="10715" spans="11:11" x14ac:dyDescent="0.25">
      <c r="K10715" s="8" t="e">
        <f t="shared" si="141"/>
        <v>#VALUE!</v>
      </c>
    </row>
    <row r="10716" spans="11:11" x14ac:dyDescent="0.25">
      <c r="K10716" s="8" t="e">
        <f t="shared" si="141"/>
        <v>#VALUE!</v>
      </c>
    </row>
    <row r="10717" spans="11:11" x14ac:dyDescent="0.25">
      <c r="K10717" s="8" t="e">
        <f t="shared" si="141"/>
        <v>#VALUE!</v>
      </c>
    </row>
    <row r="10718" spans="11:11" x14ac:dyDescent="0.25">
      <c r="K10718" s="8" t="e">
        <f t="shared" si="141"/>
        <v>#VALUE!</v>
      </c>
    </row>
    <row r="10719" spans="11:11" x14ac:dyDescent="0.25">
      <c r="K10719" s="8" t="e">
        <f t="shared" si="141"/>
        <v>#VALUE!</v>
      </c>
    </row>
    <row r="10720" spans="11:11" x14ac:dyDescent="0.25">
      <c r="K10720" s="8" t="e">
        <f t="shared" si="141"/>
        <v>#VALUE!</v>
      </c>
    </row>
    <row r="10721" spans="11:11" x14ac:dyDescent="0.25">
      <c r="K10721" s="8" t="e">
        <f t="shared" si="141"/>
        <v>#VALUE!</v>
      </c>
    </row>
    <row r="10722" spans="11:11" x14ac:dyDescent="0.25">
      <c r="K10722" s="8" t="e">
        <f t="shared" si="141"/>
        <v>#VALUE!</v>
      </c>
    </row>
    <row r="10723" spans="11:11" x14ac:dyDescent="0.25">
      <c r="K10723" s="8" t="e">
        <f t="shared" si="141"/>
        <v>#VALUE!</v>
      </c>
    </row>
    <row r="10724" spans="11:11" x14ac:dyDescent="0.25">
      <c r="K10724" s="8" t="e">
        <f t="shared" si="141"/>
        <v>#VALUE!</v>
      </c>
    </row>
    <row r="10725" spans="11:11" x14ac:dyDescent="0.25">
      <c r="K10725" s="8" t="e">
        <f t="shared" si="141"/>
        <v>#VALUE!</v>
      </c>
    </row>
    <row r="10726" spans="11:11" x14ac:dyDescent="0.25">
      <c r="K10726" s="8" t="e">
        <f t="shared" si="141"/>
        <v>#VALUE!</v>
      </c>
    </row>
    <row r="10727" spans="11:11" x14ac:dyDescent="0.25">
      <c r="K10727" s="8" t="e">
        <f t="shared" si="141"/>
        <v>#VALUE!</v>
      </c>
    </row>
    <row r="10728" spans="11:11" x14ac:dyDescent="0.25">
      <c r="K10728" s="8" t="e">
        <f t="shared" si="141"/>
        <v>#VALUE!</v>
      </c>
    </row>
    <row r="10729" spans="11:11" x14ac:dyDescent="0.25">
      <c r="K10729" s="8" t="e">
        <f t="shared" si="141"/>
        <v>#VALUE!</v>
      </c>
    </row>
    <row r="10730" spans="11:11" x14ac:dyDescent="0.25">
      <c r="K10730" s="8" t="e">
        <f t="shared" si="141"/>
        <v>#VALUE!</v>
      </c>
    </row>
    <row r="10731" spans="11:11" x14ac:dyDescent="0.25">
      <c r="K10731" s="8" t="e">
        <f t="shared" si="141"/>
        <v>#VALUE!</v>
      </c>
    </row>
    <row r="10732" spans="11:11" x14ac:dyDescent="0.25">
      <c r="K10732" s="8" t="e">
        <f t="shared" si="141"/>
        <v>#VALUE!</v>
      </c>
    </row>
    <row r="10733" spans="11:11" x14ac:dyDescent="0.25">
      <c r="K10733" s="8" t="e">
        <f t="shared" si="141"/>
        <v>#VALUE!</v>
      </c>
    </row>
    <row r="10734" spans="11:11" x14ac:dyDescent="0.25">
      <c r="K10734" s="8" t="e">
        <f t="shared" si="141"/>
        <v>#VALUE!</v>
      </c>
    </row>
    <row r="10735" spans="11:11" x14ac:dyDescent="0.25">
      <c r="K10735" s="8" t="e">
        <f t="shared" si="141"/>
        <v>#VALUE!</v>
      </c>
    </row>
    <row r="10736" spans="11:11" x14ac:dyDescent="0.25">
      <c r="K10736" s="8" t="e">
        <f t="shared" si="141"/>
        <v>#VALUE!</v>
      </c>
    </row>
    <row r="10737" spans="11:11" x14ac:dyDescent="0.25">
      <c r="K10737" s="8" t="e">
        <f t="shared" si="141"/>
        <v>#VALUE!</v>
      </c>
    </row>
    <row r="10738" spans="11:11" x14ac:dyDescent="0.25">
      <c r="K10738" s="8" t="e">
        <f t="shared" si="141"/>
        <v>#VALUE!</v>
      </c>
    </row>
    <row r="10739" spans="11:11" x14ac:dyDescent="0.25">
      <c r="K10739" s="8" t="e">
        <f t="shared" si="141"/>
        <v>#VALUE!</v>
      </c>
    </row>
    <row r="10740" spans="11:11" x14ac:dyDescent="0.25">
      <c r="K10740" s="8" t="e">
        <f t="shared" si="141"/>
        <v>#VALUE!</v>
      </c>
    </row>
    <row r="10741" spans="11:11" x14ac:dyDescent="0.25">
      <c r="K10741" s="8" t="e">
        <f t="shared" si="141"/>
        <v>#VALUE!</v>
      </c>
    </row>
    <row r="10742" spans="11:11" x14ac:dyDescent="0.25">
      <c r="K10742" s="8" t="e">
        <f t="shared" si="141"/>
        <v>#VALUE!</v>
      </c>
    </row>
    <row r="10743" spans="11:11" x14ac:dyDescent="0.25">
      <c r="K10743" s="8" t="e">
        <f t="shared" si="141"/>
        <v>#VALUE!</v>
      </c>
    </row>
    <row r="10744" spans="11:11" x14ac:dyDescent="0.25">
      <c r="K10744" s="8" t="e">
        <f t="shared" si="141"/>
        <v>#VALUE!</v>
      </c>
    </row>
    <row r="10745" spans="11:11" x14ac:dyDescent="0.25">
      <c r="K10745" s="8" t="e">
        <f t="shared" si="141"/>
        <v>#VALUE!</v>
      </c>
    </row>
    <row r="10746" spans="11:11" x14ac:dyDescent="0.25">
      <c r="K10746" s="8" t="e">
        <f t="shared" si="141"/>
        <v>#VALUE!</v>
      </c>
    </row>
    <row r="10747" spans="11:11" x14ac:dyDescent="0.25">
      <c r="K10747" s="8" t="e">
        <f t="shared" si="141"/>
        <v>#VALUE!</v>
      </c>
    </row>
    <row r="10748" spans="11:11" x14ac:dyDescent="0.25">
      <c r="K10748" s="8" t="e">
        <f t="shared" si="141"/>
        <v>#VALUE!</v>
      </c>
    </row>
    <row r="10749" spans="11:11" x14ac:dyDescent="0.25">
      <c r="K10749" s="8" t="e">
        <f t="shared" si="141"/>
        <v>#VALUE!</v>
      </c>
    </row>
    <row r="10750" spans="11:11" x14ac:dyDescent="0.25">
      <c r="K10750" s="8" t="e">
        <f t="shared" si="141"/>
        <v>#VALUE!</v>
      </c>
    </row>
    <row r="10751" spans="11:11" x14ac:dyDescent="0.25">
      <c r="K10751" s="8" t="e">
        <f t="shared" si="141"/>
        <v>#VALUE!</v>
      </c>
    </row>
    <row r="10752" spans="11:11" x14ac:dyDescent="0.25">
      <c r="K10752" s="8" t="e">
        <f t="shared" si="141"/>
        <v>#VALUE!</v>
      </c>
    </row>
    <row r="10753" spans="11:11" x14ac:dyDescent="0.25">
      <c r="K10753" s="8" t="e">
        <f t="shared" si="141"/>
        <v>#VALUE!</v>
      </c>
    </row>
    <row r="10754" spans="11:11" x14ac:dyDescent="0.25">
      <c r="K10754" s="8" t="e">
        <f t="shared" si="141"/>
        <v>#VALUE!</v>
      </c>
    </row>
    <row r="10755" spans="11:11" x14ac:dyDescent="0.25">
      <c r="K10755" s="8" t="e">
        <f t="shared" ref="K10755:K10818" si="142">LEFT(A10755,FIND("/",A10755)-1)</f>
        <v>#VALUE!</v>
      </c>
    </row>
    <row r="10756" spans="11:11" x14ac:dyDescent="0.25">
      <c r="K10756" s="8" t="e">
        <f t="shared" si="142"/>
        <v>#VALUE!</v>
      </c>
    </row>
    <row r="10757" spans="11:11" x14ac:dyDescent="0.25">
      <c r="K10757" s="8" t="e">
        <f t="shared" si="142"/>
        <v>#VALUE!</v>
      </c>
    </row>
    <row r="10758" spans="11:11" x14ac:dyDescent="0.25">
      <c r="K10758" s="8" t="e">
        <f t="shared" si="142"/>
        <v>#VALUE!</v>
      </c>
    </row>
    <row r="10759" spans="11:11" x14ac:dyDescent="0.25">
      <c r="K10759" s="8" t="e">
        <f t="shared" si="142"/>
        <v>#VALUE!</v>
      </c>
    </row>
    <row r="10760" spans="11:11" x14ac:dyDescent="0.25">
      <c r="K10760" s="8" t="e">
        <f t="shared" si="142"/>
        <v>#VALUE!</v>
      </c>
    </row>
    <row r="10761" spans="11:11" x14ac:dyDescent="0.25">
      <c r="K10761" s="8" t="e">
        <f t="shared" si="142"/>
        <v>#VALUE!</v>
      </c>
    </row>
    <row r="10762" spans="11:11" x14ac:dyDescent="0.25">
      <c r="K10762" s="8" t="e">
        <f t="shared" si="142"/>
        <v>#VALUE!</v>
      </c>
    </row>
    <row r="10763" spans="11:11" x14ac:dyDescent="0.25">
      <c r="K10763" s="8" t="e">
        <f t="shared" si="142"/>
        <v>#VALUE!</v>
      </c>
    </row>
    <row r="10764" spans="11:11" x14ac:dyDescent="0.25">
      <c r="K10764" s="8" t="e">
        <f t="shared" si="142"/>
        <v>#VALUE!</v>
      </c>
    </row>
    <row r="10765" spans="11:11" x14ac:dyDescent="0.25">
      <c r="K10765" s="8" t="e">
        <f t="shared" si="142"/>
        <v>#VALUE!</v>
      </c>
    </row>
    <row r="10766" spans="11:11" x14ac:dyDescent="0.25">
      <c r="K10766" s="8" t="e">
        <f t="shared" si="142"/>
        <v>#VALUE!</v>
      </c>
    </row>
    <row r="10767" spans="11:11" x14ac:dyDescent="0.25">
      <c r="K10767" s="8" t="e">
        <f t="shared" si="142"/>
        <v>#VALUE!</v>
      </c>
    </row>
    <row r="10768" spans="11:11" x14ac:dyDescent="0.25">
      <c r="K10768" s="8" t="e">
        <f t="shared" si="142"/>
        <v>#VALUE!</v>
      </c>
    </row>
    <row r="10769" spans="11:11" x14ac:dyDescent="0.25">
      <c r="K10769" s="8" t="e">
        <f t="shared" si="142"/>
        <v>#VALUE!</v>
      </c>
    </row>
    <row r="10770" spans="11:11" x14ac:dyDescent="0.25">
      <c r="K10770" s="8" t="e">
        <f t="shared" si="142"/>
        <v>#VALUE!</v>
      </c>
    </row>
    <row r="10771" spans="11:11" x14ac:dyDescent="0.25">
      <c r="K10771" s="8" t="e">
        <f t="shared" si="142"/>
        <v>#VALUE!</v>
      </c>
    </row>
    <row r="10772" spans="11:11" x14ac:dyDescent="0.25">
      <c r="K10772" s="8" t="e">
        <f t="shared" si="142"/>
        <v>#VALUE!</v>
      </c>
    </row>
    <row r="10773" spans="11:11" x14ac:dyDescent="0.25">
      <c r="K10773" s="8" t="e">
        <f t="shared" si="142"/>
        <v>#VALUE!</v>
      </c>
    </row>
    <row r="10774" spans="11:11" x14ac:dyDescent="0.25">
      <c r="K10774" s="8" t="e">
        <f t="shared" si="142"/>
        <v>#VALUE!</v>
      </c>
    </row>
    <row r="10775" spans="11:11" x14ac:dyDescent="0.25">
      <c r="K10775" s="8" t="e">
        <f t="shared" si="142"/>
        <v>#VALUE!</v>
      </c>
    </row>
    <row r="10776" spans="11:11" x14ac:dyDescent="0.25">
      <c r="K10776" s="8" t="e">
        <f t="shared" si="142"/>
        <v>#VALUE!</v>
      </c>
    </row>
    <row r="10777" spans="11:11" x14ac:dyDescent="0.25">
      <c r="K10777" s="8" t="e">
        <f t="shared" si="142"/>
        <v>#VALUE!</v>
      </c>
    </row>
    <row r="10778" spans="11:11" x14ac:dyDescent="0.25">
      <c r="K10778" s="8" t="e">
        <f t="shared" si="142"/>
        <v>#VALUE!</v>
      </c>
    </row>
    <row r="10779" spans="11:11" x14ac:dyDescent="0.25">
      <c r="K10779" s="8" t="e">
        <f t="shared" si="142"/>
        <v>#VALUE!</v>
      </c>
    </row>
    <row r="10780" spans="11:11" x14ac:dyDescent="0.25">
      <c r="K10780" s="8" t="e">
        <f t="shared" si="142"/>
        <v>#VALUE!</v>
      </c>
    </row>
    <row r="10781" spans="11:11" x14ac:dyDescent="0.25">
      <c r="K10781" s="8" t="e">
        <f t="shared" si="142"/>
        <v>#VALUE!</v>
      </c>
    </row>
    <row r="10782" spans="11:11" x14ac:dyDescent="0.25">
      <c r="K10782" s="8" t="e">
        <f t="shared" si="142"/>
        <v>#VALUE!</v>
      </c>
    </row>
    <row r="10783" spans="11:11" x14ac:dyDescent="0.25">
      <c r="K10783" s="8" t="e">
        <f t="shared" si="142"/>
        <v>#VALUE!</v>
      </c>
    </row>
    <row r="10784" spans="11:11" x14ac:dyDescent="0.25">
      <c r="K10784" s="8" t="e">
        <f t="shared" si="142"/>
        <v>#VALUE!</v>
      </c>
    </row>
    <row r="10785" spans="11:11" x14ac:dyDescent="0.25">
      <c r="K10785" s="8" t="e">
        <f t="shared" si="142"/>
        <v>#VALUE!</v>
      </c>
    </row>
    <row r="10786" spans="11:11" x14ac:dyDescent="0.25">
      <c r="K10786" s="8" t="e">
        <f t="shared" si="142"/>
        <v>#VALUE!</v>
      </c>
    </row>
    <row r="10787" spans="11:11" x14ac:dyDescent="0.25">
      <c r="K10787" s="8" t="e">
        <f t="shared" si="142"/>
        <v>#VALUE!</v>
      </c>
    </row>
    <row r="10788" spans="11:11" x14ac:dyDescent="0.25">
      <c r="K10788" s="8" t="e">
        <f t="shared" si="142"/>
        <v>#VALUE!</v>
      </c>
    </row>
    <row r="10789" spans="11:11" x14ac:dyDescent="0.25">
      <c r="K10789" s="8" t="e">
        <f t="shared" si="142"/>
        <v>#VALUE!</v>
      </c>
    </row>
    <row r="10790" spans="11:11" x14ac:dyDescent="0.25">
      <c r="K10790" s="8" t="e">
        <f t="shared" si="142"/>
        <v>#VALUE!</v>
      </c>
    </row>
    <row r="10791" spans="11:11" x14ac:dyDescent="0.25">
      <c r="K10791" s="8" t="e">
        <f t="shared" si="142"/>
        <v>#VALUE!</v>
      </c>
    </row>
    <row r="10792" spans="11:11" x14ac:dyDescent="0.25">
      <c r="K10792" s="8" t="e">
        <f t="shared" si="142"/>
        <v>#VALUE!</v>
      </c>
    </row>
    <row r="10793" spans="11:11" x14ac:dyDescent="0.25">
      <c r="K10793" s="8" t="e">
        <f t="shared" si="142"/>
        <v>#VALUE!</v>
      </c>
    </row>
    <row r="10794" spans="11:11" x14ac:dyDescent="0.25">
      <c r="K10794" s="8" t="e">
        <f t="shared" si="142"/>
        <v>#VALUE!</v>
      </c>
    </row>
    <row r="10795" spans="11:11" x14ac:dyDescent="0.25">
      <c r="K10795" s="8" t="e">
        <f t="shared" si="142"/>
        <v>#VALUE!</v>
      </c>
    </row>
    <row r="10796" spans="11:11" x14ac:dyDescent="0.25">
      <c r="K10796" s="8" t="e">
        <f t="shared" si="142"/>
        <v>#VALUE!</v>
      </c>
    </row>
    <row r="10797" spans="11:11" x14ac:dyDescent="0.25">
      <c r="K10797" s="8" t="e">
        <f t="shared" si="142"/>
        <v>#VALUE!</v>
      </c>
    </row>
    <row r="10798" spans="11:11" x14ac:dyDescent="0.25">
      <c r="K10798" s="8" t="e">
        <f t="shared" si="142"/>
        <v>#VALUE!</v>
      </c>
    </row>
    <row r="10799" spans="11:11" x14ac:dyDescent="0.25">
      <c r="K10799" s="8" t="e">
        <f t="shared" si="142"/>
        <v>#VALUE!</v>
      </c>
    </row>
    <row r="10800" spans="11:11" x14ac:dyDescent="0.25">
      <c r="K10800" s="8" t="e">
        <f t="shared" si="142"/>
        <v>#VALUE!</v>
      </c>
    </row>
    <row r="10801" spans="11:11" x14ac:dyDescent="0.25">
      <c r="K10801" s="8" t="e">
        <f t="shared" si="142"/>
        <v>#VALUE!</v>
      </c>
    </row>
    <row r="10802" spans="11:11" x14ac:dyDescent="0.25">
      <c r="K10802" s="8" t="e">
        <f t="shared" si="142"/>
        <v>#VALUE!</v>
      </c>
    </row>
    <row r="10803" spans="11:11" x14ac:dyDescent="0.25">
      <c r="K10803" s="8" t="e">
        <f t="shared" si="142"/>
        <v>#VALUE!</v>
      </c>
    </row>
    <row r="10804" spans="11:11" x14ac:dyDescent="0.25">
      <c r="K10804" s="8" t="e">
        <f t="shared" si="142"/>
        <v>#VALUE!</v>
      </c>
    </row>
    <row r="10805" spans="11:11" x14ac:dyDescent="0.25">
      <c r="K10805" s="8" t="e">
        <f t="shared" si="142"/>
        <v>#VALUE!</v>
      </c>
    </row>
    <row r="10806" spans="11:11" x14ac:dyDescent="0.25">
      <c r="K10806" s="8" t="e">
        <f t="shared" si="142"/>
        <v>#VALUE!</v>
      </c>
    </row>
    <row r="10807" spans="11:11" x14ac:dyDescent="0.25">
      <c r="K10807" s="8" t="e">
        <f t="shared" si="142"/>
        <v>#VALUE!</v>
      </c>
    </row>
    <row r="10808" spans="11:11" x14ac:dyDescent="0.25">
      <c r="K10808" s="8" t="e">
        <f t="shared" si="142"/>
        <v>#VALUE!</v>
      </c>
    </row>
    <row r="10809" spans="11:11" x14ac:dyDescent="0.25">
      <c r="K10809" s="8" t="e">
        <f t="shared" si="142"/>
        <v>#VALUE!</v>
      </c>
    </row>
    <row r="10810" spans="11:11" x14ac:dyDescent="0.25">
      <c r="K10810" s="8" t="e">
        <f t="shared" si="142"/>
        <v>#VALUE!</v>
      </c>
    </row>
    <row r="10811" spans="11:11" x14ac:dyDescent="0.25">
      <c r="K10811" s="8" t="e">
        <f t="shared" si="142"/>
        <v>#VALUE!</v>
      </c>
    </row>
    <row r="10812" spans="11:11" x14ac:dyDescent="0.25">
      <c r="K10812" s="8" t="e">
        <f t="shared" si="142"/>
        <v>#VALUE!</v>
      </c>
    </row>
    <row r="10813" spans="11:11" x14ac:dyDescent="0.25">
      <c r="K10813" s="8" t="e">
        <f t="shared" si="142"/>
        <v>#VALUE!</v>
      </c>
    </row>
    <row r="10814" spans="11:11" x14ac:dyDescent="0.25">
      <c r="K10814" s="8" t="e">
        <f t="shared" si="142"/>
        <v>#VALUE!</v>
      </c>
    </row>
    <row r="10815" spans="11:11" x14ac:dyDescent="0.25">
      <c r="K10815" s="8" t="e">
        <f t="shared" si="142"/>
        <v>#VALUE!</v>
      </c>
    </row>
    <row r="10816" spans="11:11" x14ac:dyDescent="0.25">
      <c r="K10816" s="8" t="e">
        <f t="shared" si="142"/>
        <v>#VALUE!</v>
      </c>
    </row>
    <row r="10817" spans="11:11" x14ac:dyDescent="0.25">
      <c r="K10817" s="8" t="e">
        <f t="shared" si="142"/>
        <v>#VALUE!</v>
      </c>
    </row>
    <row r="10818" spans="11:11" x14ac:dyDescent="0.25">
      <c r="K10818" s="8" t="e">
        <f t="shared" si="142"/>
        <v>#VALUE!</v>
      </c>
    </row>
    <row r="10819" spans="11:11" x14ac:dyDescent="0.25">
      <c r="K10819" s="8" t="e">
        <f t="shared" ref="K10819:K10882" si="143">LEFT(A10819,FIND("/",A10819)-1)</f>
        <v>#VALUE!</v>
      </c>
    </row>
    <row r="10820" spans="11:11" x14ac:dyDescent="0.25">
      <c r="K10820" s="8" t="e">
        <f t="shared" si="143"/>
        <v>#VALUE!</v>
      </c>
    </row>
    <row r="10821" spans="11:11" x14ac:dyDescent="0.25">
      <c r="K10821" s="8" t="e">
        <f t="shared" si="143"/>
        <v>#VALUE!</v>
      </c>
    </row>
    <row r="10822" spans="11:11" x14ac:dyDescent="0.25">
      <c r="K10822" s="8" t="e">
        <f t="shared" si="143"/>
        <v>#VALUE!</v>
      </c>
    </row>
    <row r="10823" spans="11:11" x14ac:dyDescent="0.25">
      <c r="K10823" s="8" t="e">
        <f t="shared" si="143"/>
        <v>#VALUE!</v>
      </c>
    </row>
    <row r="10824" spans="11:11" x14ac:dyDescent="0.25">
      <c r="K10824" s="8" t="e">
        <f t="shared" si="143"/>
        <v>#VALUE!</v>
      </c>
    </row>
    <row r="10825" spans="11:11" x14ac:dyDescent="0.25">
      <c r="K10825" s="8" t="e">
        <f t="shared" si="143"/>
        <v>#VALUE!</v>
      </c>
    </row>
    <row r="10826" spans="11:11" x14ac:dyDescent="0.25">
      <c r="K10826" s="8" t="e">
        <f t="shared" si="143"/>
        <v>#VALUE!</v>
      </c>
    </row>
    <row r="10827" spans="11:11" x14ac:dyDescent="0.25">
      <c r="K10827" s="8" t="e">
        <f t="shared" si="143"/>
        <v>#VALUE!</v>
      </c>
    </row>
    <row r="10828" spans="11:11" x14ac:dyDescent="0.25">
      <c r="K10828" s="8" t="e">
        <f t="shared" si="143"/>
        <v>#VALUE!</v>
      </c>
    </row>
    <row r="10829" spans="11:11" x14ac:dyDescent="0.25">
      <c r="K10829" s="8" t="e">
        <f t="shared" si="143"/>
        <v>#VALUE!</v>
      </c>
    </row>
    <row r="10830" spans="11:11" x14ac:dyDescent="0.25">
      <c r="K10830" s="8" t="e">
        <f t="shared" si="143"/>
        <v>#VALUE!</v>
      </c>
    </row>
    <row r="10831" spans="11:11" x14ac:dyDescent="0.25">
      <c r="K10831" s="8" t="e">
        <f t="shared" si="143"/>
        <v>#VALUE!</v>
      </c>
    </row>
    <row r="10832" spans="11:11" x14ac:dyDescent="0.25">
      <c r="K10832" s="8" t="e">
        <f t="shared" si="143"/>
        <v>#VALUE!</v>
      </c>
    </row>
    <row r="10833" spans="11:11" x14ac:dyDescent="0.25">
      <c r="K10833" s="8" t="e">
        <f t="shared" si="143"/>
        <v>#VALUE!</v>
      </c>
    </row>
    <row r="10834" spans="11:11" x14ac:dyDescent="0.25">
      <c r="K10834" s="8" t="e">
        <f t="shared" si="143"/>
        <v>#VALUE!</v>
      </c>
    </row>
    <row r="10835" spans="11:11" x14ac:dyDescent="0.25">
      <c r="K10835" s="8" t="e">
        <f t="shared" si="143"/>
        <v>#VALUE!</v>
      </c>
    </row>
    <row r="10836" spans="11:11" x14ac:dyDescent="0.25">
      <c r="K10836" s="8" t="e">
        <f t="shared" si="143"/>
        <v>#VALUE!</v>
      </c>
    </row>
    <row r="10837" spans="11:11" x14ac:dyDescent="0.25">
      <c r="K10837" s="8" t="e">
        <f t="shared" si="143"/>
        <v>#VALUE!</v>
      </c>
    </row>
    <row r="10838" spans="11:11" x14ac:dyDescent="0.25">
      <c r="K10838" s="8" t="e">
        <f t="shared" si="143"/>
        <v>#VALUE!</v>
      </c>
    </row>
    <row r="10839" spans="11:11" x14ac:dyDescent="0.25">
      <c r="K10839" s="8" t="e">
        <f t="shared" si="143"/>
        <v>#VALUE!</v>
      </c>
    </row>
    <row r="10840" spans="11:11" x14ac:dyDescent="0.25">
      <c r="K10840" s="8" t="e">
        <f t="shared" si="143"/>
        <v>#VALUE!</v>
      </c>
    </row>
    <row r="10841" spans="11:11" x14ac:dyDescent="0.25">
      <c r="K10841" s="8" t="e">
        <f t="shared" si="143"/>
        <v>#VALUE!</v>
      </c>
    </row>
    <row r="10842" spans="11:11" x14ac:dyDescent="0.25">
      <c r="K10842" s="8" t="e">
        <f t="shared" si="143"/>
        <v>#VALUE!</v>
      </c>
    </row>
    <row r="10843" spans="11:11" x14ac:dyDescent="0.25">
      <c r="K10843" s="8" t="e">
        <f t="shared" si="143"/>
        <v>#VALUE!</v>
      </c>
    </row>
    <row r="10844" spans="11:11" x14ac:dyDescent="0.25">
      <c r="K10844" s="8" t="e">
        <f t="shared" si="143"/>
        <v>#VALUE!</v>
      </c>
    </row>
    <row r="10845" spans="11:11" x14ac:dyDescent="0.25">
      <c r="K10845" s="8" t="e">
        <f t="shared" si="143"/>
        <v>#VALUE!</v>
      </c>
    </row>
    <row r="10846" spans="11:11" x14ac:dyDescent="0.25">
      <c r="K10846" s="8" t="e">
        <f t="shared" si="143"/>
        <v>#VALUE!</v>
      </c>
    </row>
    <row r="10847" spans="11:11" x14ac:dyDescent="0.25">
      <c r="K10847" s="8" t="e">
        <f t="shared" si="143"/>
        <v>#VALUE!</v>
      </c>
    </row>
    <row r="10848" spans="11:11" x14ac:dyDescent="0.25">
      <c r="K10848" s="8" t="e">
        <f t="shared" si="143"/>
        <v>#VALUE!</v>
      </c>
    </row>
    <row r="10849" spans="11:11" x14ac:dyDescent="0.25">
      <c r="K10849" s="8" t="e">
        <f t="shared" si="143"/>
        <v>#VALUE!</v>
      </c>
    </row>
    <row r="10850" spans="11:11" x14ac:dyDescent="0.25">
      <c r="K10850" s="8" t="e">
        <f t="shared" si="143"/>
        <v>#VALUE!</v>
      </c>
    </row>
    <row r="10851" spans="11:11" x14ac:dyDescent="0.25">
      <c r="K10851" s="8" t="e">
        <f t="shared" si="143"/>
        <v>#VALUE!</v>
      </c>
    </row>
    <row r="10852" spans="11:11" x14ac:dyDescent="0.25">
      <c r="K10852" s="8" t="e">
        <f t="shared" si="143"/>
        <v>#VALUE!</v>
      </c>
    </row>
    <row r="10853" spans="11:11" x14ac:dyDescent="0.25">
      <c r="K10853" s="8" t="e">
        <f t="shared" si="143"/>
        <v>#VALUE!</v>
      </c>
    </row>
    <row r="10854" spans="11:11" x14ac:dyDescent="0.25">
      <c r="K10854" s="8" t="e">
        <f t="shared" si="143"/>
        <v>#VALUE!</v>
      </c>
    </row>
    <row r="10855" spans="11:11" x14ac:dyDescent="0.25">
      <c r="K10855" s="8" t="e">
        <f t="shared" si="143"/>
        <v>#VALUE!</v>
      </c>
    </row>
    <row r="10856" spans="11:11" x14ac:dyDescent="0.25">
      <c r="K10856" s="8" t="e">
        <f t="shared" si="143"/>
        <v>#VALUE!</v>
      </c>
    </row>
    <row r="10857" spans="11:11" x14ac:dyDescent="0.25">
      <c r="K10857" s="8" t="e">
        <f t="shared" si="143"/>
        <v>#VALUE!</v>
      </c>
    </row>
    <row r="10858" spans="11:11" x14ac:dyDescent="0.25">
      <c r="K10858" s="8" t="e">
        <f t="shared" si="143"/>
        <v>#VALUE!</v>
      </c>
    </row>
    <row r="10859" spans="11:11" x14ac:dyDescent="0.25">
      <c r="K10859" s="8" t="e">
        <f t="shared" si="143"/>
        <v>#VALUE!</v>
      </c>
    </row>
    <row r="10860" spans="11:11" x14ac:dyDescent="0.25">
      <c r="K10860" s="8" t="e">
        <f t="shared" si="143"/>
        <v>#VALUE!</v>
      </c>
    </row>
    <row r="10861" spans="11:11" x14ac:dyDescent="0.25">
      <c r="K10861" s="8" t="e">
        <f t="shared" si="143"/>
        <v>#VALUE!</v>
      </c>
    </row>
    <row r="10862" spans="11:11" x14ac:dyDescent="0.25">
      <c r="K10862" s="8" t="e">
        <f t="shared" si="143"/>
        <v>#VALUE!</v>
      </c>
    </row>
    <row r="10863" spans="11:11" x14ac:dyDescent="0.25">
      <c r="K10863" s="8" t="e">
        <f t="shared" si="143"/>
        <v>#VALUE!</v>
      </c>
    </row>
    <row r="10864" spans="11:11" x14ac:dyDescent="0.25">
      <c r="K10864" s="8" t="e">
        <f t="shared" si="143"/>
        <v>#VALUE!</v>
      </c>
    </row>
    <row r="10865" spans="11:11" x14ac:dyDescent="0.25">
      <c r="K10865" s="8" t="e">
        <f t="shared" si="143"/>
        <v>#VALUE!</v>
      </c>
    </row>
    <row r="10866" spans="11:11" x14ac:dyDescent="0.25">
      <c r="K10866" s="8" t="e">
        <f t="shared" si="143"/>
        <v>#VALUE!</v>
      </c>
    </row>
    <row r="10867" spans="11:11" x14ac:dyDescent="0.25">
      <c r="K10867" s="8" t="e">
        <f t="shared" si="143"/>
        <v>#VALUE!</v>
      </c>
    </row>
    <row r="10868" spans="11:11" x14ac:dyDescent="0.25">
      <c r="K10868" s="8" t="e">
        <f t="shared" si="143"/>
        <v>#VALUE!</v>
      </c>
    </row>
    <row r="10869" spans="11:11" x14ac:dyDescent="0.25">
      <c r="K10869" s="8" t="e">
        <f t="shared" si="143"/>
        <v>#VALUE!</v>
      </c>
    </row>
    <row r="10870" spans="11:11" x14ac:dyDescent="0.25">
      <c r="K10870" s="8" t="e">
        <f t="shared" si="143"/>
        <v>#VALUE!</v>
      </c>
    </row>
    <row r="10871" spans="11:11" x14ac:dyDescent="0.25">
      <c r="K10871" s="8" t="e">
        <f t="shared" si="143"/>
        <v>#VALUE!</v>
      </c>
    </row>
    <row r="10872" spans="11:11" x14ac:dyDescent="0.25">
      <c r="K10872" s="8" t="e">
        <f t="shared" si="143"/>
        <v>#VALUE!</v>
      </c>
    </row>
    <row r="10873" spans="11:11" x14ac:dyDescent="0.25">
      <c r="K10873" s="8" t="e">
        <f t="shared" si="143"/>
        <v>#VALUE!</v>
      </c>
    </row>
    <row r="10874" spans="11:11" x14ac:dyDescent="0.25">
      <c r="K10874" s="8" t="e">
        <f t="shared" si="143"/>
        <v>#VALUE!</v>
      </c>
    </row>
    <row r="10875" spans="11:11" x14ac:dyDescent="0.25">
      <c r="K10875" s="8" t="e">
        <f t="shared" si="143"/>
        <v>#VALUE!</v>
      </c>
    </row>
    <row r="10876" spans="11:11" x14ac:dyDescent="0.25">
      <c r="K10876" s="8" t="e">
        <f t="shared" si="143"/>
        <v>#VALUE!</v>
      </c>
    </row>
    <row r="10877" spans="11:11" x14ac:dyDescent="0.25">
      <c r="K10877" s="8" t="e">
        <f t="shared" si="143"/>
        <v>#VALUE!</v>
      </c>
    </row>
    <row r="10878" spans="11:11" x14ac:dyDescent="0.25">
      <c r="K10878" s="8" t="e">
        <f t="shared" si="143"/>
        <v>#VALUE!</v>
      </c>
    </row>
    <row r="10879" spans="11:11" x14ac:dyDescent="0.25">
      <c r="K10879" s="8" t="e">
        <f t="shared" si="143"/>
        <v>#VALUE!</v>
      </c>
    </row>
    <row r="10880" spans="11:11" x14ac:dyDescent="0.25">
      <c r="K10880" s="8" t="e">
        <f t="shared" si="143"/>
        <v>#VALUE!</v>
      </c>
    </row>
    <row r="10881" spans="11:11" x14ac:dyDescent="0.25">
      <c r="K10881" s="8" t="e">
        <f t="shared" si="143"/>
        <v>#VALUE!</v>
      </c>
    </row>
    <row r="10882" spans="11:11" x14ac:dyDescent="0.25">
      <c r="K10882" s="8" t="e">
        <f t="shared" si="143"/>
        <v>#VALUE!</v>
      </c>
    </row>
    <row r="10883" spans="11:11" x14ac:dyDescent="0.25">
      <c r="K10883" s="8" t="e">
        <f t="shared" ref="K10883:K10946" si="144">LEFT(A10883,FIND("/",A10883)-1)</f>
        <v>#VALUE!</v>
      </c>
    </row>
    <row r="10884" spans="11:11" x14ac:dyDescent="0.25">
      <c r="K10884" s="8" t="e">
        <f t="shared" si="144"/>
        <v>#VALUE!</v>
      </c>
    </row>
    <row r="10885" spans="11:11" x14ac:dyDescent="0.25">
      <c r="K10885" s="8" t="e">
        <f t="shared" si="144"/>
        <v>#VALUE!</v>
      </c>
    </row>
    <row r="10886" spans="11:11" x14ac:dyDescent="0.25">
      <c r="K10886" s="8" t="e">
        <f t="shared" si="144"/>
        <v>#VALUE!</v>
      </c>
    </row>
    <row r="10887" spans="11:11" x14ac:dyDescent="0.25">
      <c r="K10887" s="8" t="e">
        <f t="shared" si="144"/>
        <v>#VALUE!</v>
      </c>
    </row>
    <row r="10888" spans="11:11" x14ac:dyDescent="0.25">
      <c r="K10888" s="8" t="e">
        <f t="shared" si="144"/>
        <v>#VALUE!</v>
      </c>
    </row>
    <row r="10889" spans="11:11" x14ac:dyDescent="0.25">
      <c r="K10889" s="8" t="e">
        <f t="shared" si="144"/>
        <v>#VALUE!</v>
      </c>
    </row>
    <row r="10890" spans="11:11" x14ac:dyDescent="0.25">
      <c r="K10890" s="8" t="e">
        <f t="shared" si="144"/>
        <v>#VALUE!</v>
      </c>
    </row>
    <row r="10891" spans="11:11" x14ac:dyDescent="0.25">
      <c r="K10891" s="8" t="e">
        <f t="shared" si="144"/>
        <v>#VALUE!</v>
      </c>
    </row>
    <row r="10892" spans="11:11" x14ac:dyDescent="0.25">
      <c r="K10892" s="8" t="e">
        <f t="shared" si="144"/>
        <v>#VALUE!</v>
      </c>
    </row>
    <row r="10893" spans="11:11" x14ac:dyDescent="0.25">
      <c r="K10893" s="8" t="e">
        <f t="shared" si="144"/>
        <v>#VALUE!</v>
      </c>
    </row>
    <row r="10894" spans="11:11" x14ac:dyDescent="0.25">
      <c r="K10894" s="8" t="e">
        <f t="shared" si="144"/>
        <v>#VALUE!</v>
      </c>
    </row>
    <row r="10895" spans="11:11" x14ac:dyDescent="0.25">
      <c r="K10895" s="8" t="e">
        <f t="shared" si="144"/>
        <v>#VALUE!</v>
      </c>
    </row>
    <row r="10896" spans="11:11" x14ac:dyDescent="0.25">
      <c r="K10896" s="8" t="e">
        <f t="shared" si="144"/>
        <v>#VALUE!</v>
      </c>
    </row>
    <row r="10897" spans="11:11" x14ac:dyDescent="0.25">
      <c r="K10897" s="8" t="e">
        <f t="shared" si="144"/>
        <v>#VALUE!</v>
      </c>
    </row>
    <row r="10898" spans="11:11" x14ac:dyDescent="0.25">
      <c r="K10898" s="8" t="e">
        <f t="shared" si="144"/>
        <v>#VALUE!</v>
      </c>
    </row>
    <row r="10899" spans="11:11" x14ac:dyDescent="0.25">
      <c r="K10899" s="8" t="e">
        <f t="shared" si="144"/>
        <v>#VALUE!</v>
      </c>
    </row>
    <row r="10900" spans="11:11" x14ac:dyDescent="0.25">
      <c r="K10900" s="8" t="e">
        <f t="shared" si="144"/>
        <v>#VALUE!</v>
      </c>
    </row>
    <row r="10901" spans="11:11" x14ac:dyDescent="0.25">
      <c r="K10901" s="8" t="e">
        <f t="shared" si="144"/>
        <v>#VALUE!</v>
      </c>
    </row>
    <row r="10902" spans="11:11" x14ac:dyDescent="0.25">
      <c r="K10902" s="8" t="e">
        <f t="shared" si="144"/>
        <v>#VALUE!</v>
      </c>
    </row>
    <row r="10903" spans="11:11" x14ac:dyDescent="0.25">
      <c r="K10903" s="8" t="e">
        <f t="shared" si="144"/>
        <v>#VALUE!</v>
      </c>
    </row>
    <row r="10904" spans="11:11" x14ac:dyDescent="0.25">
      <c r="K10904" s="8" t="e">
        <f t="shared" si="144"/>
        <v>#VALUE!</v>
      </c>
    </row>
    <row r="10905" spans="11:11" x14ac:dyDescent="0.25">
      <c r="K10905" s="8" t="e">
        <f t="shared" si="144"/>
        <v>#VALUE!</v>
      </c>
    </row>
    <row r="10906" spans="11:11" x14ac:dyDescent="0.25">
      <c r="K10906" s="8" t="e">
        <f t="shared" si="144"/>
        <v>#VALUE!</v>
      </c>
    </row>
    <row r="10907" spans="11:11" x14ac:dyDescent="0.25">
      <c r="K10907" s="8" t="e">
        <f t="shared" si="144"/>
        <v>#VALUE!</v>
      </c>
    </row>
    <row r="10908" spans="11:11" x14ac:dyDescent="0.25">
      <c r="K10908" s="8" t="e">
        <f t="shared" si="144"/>
        <v>#VALUE!</v>
      </c>
    </row>
    <row r="10909" spans="11:11" x14ac:dyDescent="0.25">
      <c r="K10909" s="8" t="e">
        <f t="shared" si="144"/>
        <v>#VALUE!</v>
      </c>
    </row>
    <row r="10910" spans="11:11" x14ac:dyDescent="0.25">
      <c r="K10910" s="8" t="e">
        <f t="shared" si="144"/>
        <v>#VALUE!</v>
      </c>
    </row>
    <row r="10911" spans="11:11" x14ac:dyDescent="0.25">
      <c r="K10911" s="8" t="e">
        <f t="shared" si="144"/>
        <v>#VALUE!</v>
      </c>
    </row>
    <row r="10912" spans="11:11" x14ac:dyDescent="0.25">
      <c r="K10912" s="8" t="e">
        <f t="shared" si="144"/>
        <v>#VALUE!</v>
      </c>
    </row>
    <row r="10913" spans="11:11" x14ac:dyDescent="0.25">
      <c r="K10913" s="8" t="e">
        <f t="shared" si="144"/>
        <v>#VALUE!</v>
      </c>
    </row>
    <row r="10914" spans="11:11" x14ac:dyDescent="0.25">
      <c r="K10914" s="8" t="e">
        <f t="shared" si="144"/>
        <v>#VALUE!</v>
      </c>
    </row>
    <row r="10915" spans="11:11" x14ac:dyDescent="0.25">
      <c r="K10915" s="8" t="e">
        <f t="shared" si="144"/>
        <v>#VALUE!</v>
      </c>
    </row>
    <row r="10916" spans="11:11" x14ac:dyDescent="0.25">
      <c r="K10916" s="8" t="e">
        <f t="shared" si="144"/>
        <v>#VALUE!</v>
      </c>
    </row>
    <row r="10917" spans="11:11" x14ac:dyDescent="0.25">
      <c r="K10917" s="8" t="e">
        <f t="shared" si="144"/>
        <v>#VALUE!</v>
      </c>
    </row>
    <row r="10918" spans="11:11" x14ac:dyDescent="0.25">
      <c r="K10918" s="8" t="e">
        <f t="shared" si="144"/>
        <v>#VALUE!</v>
      </c>
    </row>
    <row r="10919" spans="11:11" x14ac:dyDescent="0.25">
      <c r="K10919" s="8" t="e">
        <f t="shared" si="144"/>
        <v>#VALUE!</v>
      </c>
    </row>
    <row r="10920" spans="11:11" x14ac:dyDescent="0.25">
      <c r="K10920" s="8" t="e">
        <f t="shared" si="144"/>
        <v>#VALUE!</v>
      </c>
    </row>
    <row r="10921" spans="11:11" x14ac:dyDescent="0.25">
      <c r="K10921" s="8" t="e">
        <f t="shared" si="144"/>
        <v>#VALUE!</v>
      </c>
    </row>
    <row r="10922" spans="11:11" x14ac:dyDescent="0.25">
      <c r="K10922" s="8" t="e">
        <f t="shared" si="144"/>
        <v>#VALUE!</v>
      </c>
    </row>
    <row r="10923" spans="11:11" x14ac:dyDescent="0.25">
      <c r="K10923" s="8" t="e">
        <f t="shared" si="144"/>
        <v>#VALUE!</v>
      </c>
    </row>
    <row r="10924" spans="11:11" x14ac:dyDescent="0.25">
      <c r="K10924" s="8" t="e">
        <f t="shared" si="144"/>
        <v>#VALUE!</v>
      </c>
    </row>
    <row r="10925" spans="11:11" x14ac:dyDescent="0.25">
      <c r="K10925" s="8" t="e">
        <f t="shared" si="144"/>
        <v>#VALUE!</v>
      </c>
    </row>
    <row r="10926" spans="11:11" x14ac:dyDescent="0.25">
      <c r="K10926" s="8" t="e">
        <f t="shared" si="144"/>
        <v>#VALUE!</v>
      </c>
    </row>
    <row r="10927" spans="11:11" x14ac:dyDescent="0.25">
      <c r="K10927" s="8" t="e">
        <f t="shared" si="144"/>
        <v>#VALUE!</v>
      </c>
    </row>
    <row r="10928" spans="11:11" x14ac:dyDescent="0.25">
      <c r="K10928" s="8" t="e">
        <f t="shared" si="144"/>
        <v>#VALUE!</v>
      </c>
    </row>
    <row r="10929" spans="11:11" x14ac:dyDescent="0.25">
      <c r="K10929" s="8" t="e">
        <f t="shared" si="144"/>
        <v>#VALUE!</v>
      </c>
    </row>
    <row r="10930" spans="11:11" x14ac:dyDescent="0.25">
      <c r="K10930" s="8" t="e">
        <f t="shared" si="144"/>
        <v>#VALUE!</v>
      </c>
    </row>
    <row r="10931" spans="11:11" x14ac:dyDescent="0.25">
      <c r="K10931" s="8" t="e">
        <f t="shared" si="144"/>
        <v>#VALUE!</v>
      </c>
    </row>
    <row r="10932" spans="11:11" x14ac:dyDescent="0.25">
      <c r="K10932" s="8" t="e">
        <f t="shared" si="144"/>
        <v>#VALUE!</v>
      </c>
    </row>
    <row r="10933" spans="11:11" x14ac:dyDescent="0.25">
      <c r="K10933" s="8" t="e">
        <f t="shared" si="144"/>
        <v>#VALUE!</v>
      </c>
    </row>
    <row r="10934" spans="11:11" x14ac:dyDescent="0.25">
      <c r="K10934" s="8" t="e">
        <f t="shared" si="144"/>
        <v>#VALUE!</v>
      </c>
    </row>
    <row r="10935" spans="11:11" x14ac:dyDescent="0.25">
      <c r="K10935" s="8" t="e">
        <f t="shared" si="144"/>
        <v>#VALUE!</v>
      </c>
    </row>
    <row r="10936" spans="11:11" x14ac:dyDescent="0.25">
      <c r="K10936" s="8" t="e">
        <f t="shared" si="144"/>
        <v>#VALUE!</v>
      </c>
    </row>
    <row r="10937" spans="11:11" x14ac:dyDescent="0.25">
      <c r="K10937" s="8" t="e">
        <f t="shared" si="144"/>
        <v>#VALUE!</v>
      </c>
    </row>
    <row r="10938" spans="11:11" x14ac:dyDescent="0.25">
      <c r="K10938" s="8" t="e">
        <f t="shared" si="144"/>
        <v>#VALUE!</v>
      </c>
    </row>
    <row r="10939" spans="11:11" x14ac:dyDescent="0.25">
      <c r="K10939" s="8" t="e">
        <f t="shared" si="144"/>
        <v>#VALUE!</v>
      </c>
    </row>
    <row r="10940" spans="11:11" x14ac:dyDescent="0.25">
      <c r="K10940" s="8" t="e">
        <f t="shared" si="144"/>
        <v>#VALUE!</v>
      </c>
    </row>
    <row r="10941" spans="11:11" x14ac:dyDescent="0.25">
      <c r="K10941" s="8" t="e">
        <f t="shared" si="144"/>
        <v>#VALUE!</v>
      </c>
    </row>
    <row r="10942" spans="11:11" x14ac:dyDescent="0.25">
      <c r="K10942" s="8" t="e">
        <f t="shared" si="144"/>
        <v>#VALUE!</v>
      </c>
    </row>
    <row r="10943" spans="11:11" x14ac:dyDescent="0.25">
      <c r="K10943" s="8" t="e">
        <f t="shared" si="144"/>
        <v>#VALUE!</v>
      </c>
    </row>
    <row r="10944" spans="11:11" x14ac:dyDescent="0.25">
      <c r="K10944" s="8" t="e">
        <f t="shared" si="144"/>
        <v>#VALUE!</v>
      </c>
    </row>
    <row r="10945" spans="11:11" x14ac:dyDescent="0.25">
      <c r="K10945" s="8" t="e">
        <f t="shared" si="144"/>
        <v>#VALUE!</v>
      </c>
    </row>
    <row r="10946" spans="11:11" x14ac:dyDescent="0.25">
      <c r="K10946" s="8" t="e">
        <f t="shared" si="144"/>
        <v>#VALUE!</v>
      </c>
    </row>
    <row r="10947" spans="11:11" x14ac:dyDescent="0.25">
      <c r="K10947" s="8" t="e">
        <f t="shared" ref="K10947:K10960" si="145">LEFT(A10947,FIND("/",A10947)-1)</f>
        <v>#VALUE!</v>
      </c>
    </row>
    <row r="10948" spans="11:11" x14ac:dyDescent="0.25">
      <c r="K10948" s="8" t="e">
        <f t="shared" si="145"/>
        <v>#VALUE!</v>
      </c>
    </row>
    <row r="10949" spans="11:11" x14ac:dyDescent="0.25">
      <c r="K10949" s="8" t="e">
        <f t="shared" si="145"/>
        <v>#VALUE!</v>
      </c>
    </row>
    <row r="10950" spans="11:11" x14ac:dyDescent="0.25">
      <c r="K10950" s="8" t="e">
        <f t="shared" si="145"/>
        <v>#VALUE!</v>
      </c>
    </row>
    <row r="10951" spans="11:11" x14ac:dyDescent="0.25">
      <c r="K10951" s="8" t="e">
        <f t="shared" si="145"/>
        <v>#VALUE!</v>
      </c>
    </row>
    <row r="10952" spans="11:11" x14ac:dyDescent="0.25">
      <c r="K10952" s="8" t="e">
        <f t="shared" si="145"/>
        <v>#VALUE!</v>
      </c>
    </row>
    <row r="10953" spans="11:11" x14ac:dyDescent="0.25">
      <c r="K10953" s="8" t="e">
        <f t="shared" si="145"/>
        <v>#VALUE!</v>
      </c>
    </row>
    <row r="10954" spans="11:11" x14ac:dyDescent="0.25">
      <c r="K10954" s="8" t="e">
        <f t="shared" si="145"/>
        <v>#VALUE!</v>
      </c>
    </row>
    <row r="10955" spans="11:11" x14ac:dyDescent="0.25">
      <c r="K10955" s="8" t="e">
        <f t="shared" si="145"/>
        <v>#VALUE!</v>
      </c>
    </row>
    <row r="10956" spans="11:11" x14ac:dyDescent="0.25">
      <c r="K10956" s="8" t="e">
        <f t="shared" si="145"/>
        <v>#VALUE!</v>
      </c>
    </row>
    <row r="10957" spans="11:11" x14ac:dyDescent="0.25">
      <c r="K10957" s="8" t="e">
        <f t="shared" si="145"/>
        <v>#VALUE!</v>
      </c>
    </row>
    <row r="10958" spans="11:11" x14ac:dyDescent="0.25">
      <c r="K10958" s="8" t="e">
        <f t="shared" si="145"/>
        <v>#VALUE!</v>
      </c>
    </row>
    <row r="10959" spans="11:11" x14ac:dyDescent="0.25">
      <c r="K10959" s="8" t="e">
        <f t="shared" si="145"/>
        <v>#VALUE!</v>
      </c>
    </row>
    <row r="10960" spans="11:11" x14ac:dyDescent="0.25">
      <c r="K10960" s="8" t="e">
        <f t="shared" si="145"/>
        <v>#VALUE!</v>
      </c>
    </row>
  </sheetData>
  <autoFilter ref="A1:K10960" xr:uid="{00000000-0009-0000-0000-000004000000}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988C8D2-18E9-48EC-BD65-990875BFB2A8}">
          <x14:formula1>
            <xm:f>Accounts!$F:$F</xm:f>
          </x14:formula1>
          <xm:sqref>A1:A1048576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CFDBC-C1C9-4108-81C6-A0B5B541B43A}">
  <sheetPr codeName="Sheet22"/>
  <dimension ref="A1:O70"/>
  <sheetViews>
    <sheetView workbookViewId="0">
      <pane ySplit="1" topLeftCell="A2" activePane="bottomLeft" state="frozen"/>
      <selection pane="bottomLeft" activeCell="B37" sqref="B37"/>
    </sheetView>
  </sheetViews>
  <sheetFormatPr defaultColWidth="16" defaultRowHeight="15" x14ac:dyDescent="0.25"/>
  <cols>
    <col min="1" max="1" width="46.85546875" style="37" customWidth="1"/>
    <col min="2" max="2" width="33.42578125" style="37" customWidth="1"/>
    <col min="3" max="3" width="47.140625" style="37" customWidth="1"/>
    <col min="4" max="4" width="8.7109375" style="37" customWidth="1"/>
    <col min="5" max="5" width="13.85546875" style="39" customWidth="1"/>
    <col min="6" max="6" width="30.28515625" style="37" bestFit="1" customWidth="1"/>
    <col min="7" max="7" width="22.28515625" style="37" bestFit="1" customWidth="1"/>
    <col min="8" max="8" width="15.140625" style="37" bestFit="1" customWidth="1"/>
    <col min="9" max="9" width="19.140625" style="37" bestFit="1" customWidth="1"/>
    <col min="10" max="10" width="17.140625" style="40" bestFit="1" customWidth="1"/>
    <col min="11" max="11" width="10.140625" style="37" bestFit="1" customWidth="1"/>
    <col min="12" max="12" width="15.140625" style="39" bestFit="1" customWidth="1"/>
    <col min="13" max="13" width="59.5703125" style="37" customWidth="1"/>
    <col min="14" max="14" width="19.5703125" style="37" bestFit="1" customWidth="1"/>
    <col min="15" max="15" width="23.42578125" style="37" bestFit="1" customWidth="1"/>
    <col min="16" max="16384" width="16" style="37"/>
  </cols>
  <sheetData>
    <row r="1" spans="1:15" x14ac:dyDescent="0.25">
      <c r="A1" s="34" t="s">
        <v>10</v>
      </c>
      <c r="B1" s="34" t="s">
        <v>6</v>
      </c>
      <c r="C1" s="34" t="s">
        <v>11</v>
      </c>
      <c r="D1" s="34" t="s">
        <v>12</v>
      </c>
      <c r="E1" s="35" t="s">
        <v>13</v>
      </c>
      <c r="F1" s="34" t="s">
        <v>14</v>
      </c>
      <c r="G1" s="34" t="s">
        <v>16</v>
      </c>
      <c r="H1" s="34" t="s">
        <v>18</v>
      </c>
      <c r="I1" s="34" t="s">
        <v>23</v>
      </c>
      <c r="J1" s="36" t="s">
        <v>24</v>
      </c>
      <c r="K1" s="34" t="s">
        <v>3</v>
      </c>
      <c r="L1" s="35" t="s">
        <v>26</v>
      </c>
      <c r="M1" s="34" t="s">
        <v>39</v>
      </c>
      <c r="N1" s="34" t="s">
        <v>305</v>
      </c>
      <c r="O1" s="34" t="s">
        <v>329</v>
      </c>
    </row>
    <row r="2" spans="1:15" s="51" customFormat="1" x14ac:dyDescent="0.25">
      <c r="A2" s="46" t="s">
        <v>354</v>
      </c>
      <c r="B2" s="46" t="s">
        <v>325</v>
      </c>
      <c r="C2" s="46" t="s">
        <v>354</v>
      </c>
      <c r="D2" s="46">
        <v>1</v>
      </c>
      <c r="E2" s="47">
        <v>43724</v>
      </c>
      <c r="F2" s="48" t="s">
        <v>355</v>
      </c>
      <c r="G2" s="46" t="s">
        <v>300</v>
      </c>
      <c r="H2" s="46" t="s">
        <v>326</v>
      </c>
      <c r="I2" s="49" t="s">
        <v>56</v>
      </c>
      <c r="J2" s="50">
        <v>40000</v>
      </c>
      <c r="K2" s="46" t="s">
        <v>332</v>
      </c>
      <c r="L2" s="47">
        <v>43724</v>
      </c>
      <c r="M2" s="46" t="s">
        <v>356</v>
      </c>
      <c r="N2" s="46" t="s">
        <v>303</v>
      </c>
      <c r="O2" s="46" t="s">
        <v>357</v>
      </c>
    </row>
    <row r="3" spans="1:15" s="51" customFormat="1" x14ac:dyDescent="0.25">
      <c r="A3" s="51" t="s">
        <v>358</v>
      </c>
      <c r="B3" s="51" t="s">
        <v>325</v>
      </c>
      <c r="C3" s="51" t="s">
        <v>358</v>
      </c>
      <c r="D3" s="51">
        <v>1</v>
      </c>
      <c r="E3" s="47">
        <v>43724</v>
      </c>
      <c r="F3" s="51" t="s">
        <v>359</v>
      </c>
      <c r="G3" s="51" t="s">
        <v>300</v>
      </c>
      <c r="H3" s="51" t="s">
        <v>326</v>
      </c>
      <c r="I3" s="51" t="s">
        <v>56</v>
      </c>
      <c r="J3" s="50">
        <v>25000</v>
      </c>
      <c r="K3" s="51" t="s">
        <v>332</v>
      </c>
      <c r="L3" s="47">
        <v>43724</v>
      </c>
      <c r="M3" s="51" t="s">
        <v>360</v>
      </c>
      <c r="N3" s="51" t="s">
        <v>303</v>
      </c>
      <c r="O3" s="51" t="s">
        <v>361</v>
      </c>
    </row>
    <row r="4" spans="1:15" s="51" customFormat="1" x14ac:dyDescent="0.25">
      <c r="A4" s="51" t="s">
        <v>362</v>
      </c>
      <c r="B4" s="51" t="s">
        <v>325</v>
      </c>
      <c r="C4" s="51" t="s">
        <v>362</v>
      </c>
      <c r="D4" s="51">
        <v>1</v>
      </c>
      <c r="E4" s="47">
        <v>43724</v>
      </c>
      <c r="F4" s="51" t="s">
        <v>363</v>
      </c>
      <c r="G4" s="51" t="s">
        <v>300</v>
      </c>
      <c r="H4" s="51" t="s">
        <v>326</v>
      </c>
      <c r="I4" s="51" t="s">
        <v>56</v>
      </c>
      <c r="J4" s="50">
        <v>75000</v>
      </c>
      <c r="K4" s="51" t="s">
        <v>332</v>
      </c>
      <c r="L4" s="47">
        <v>43724</v>
      </c>
      <c r="M4" s="51" t="s">
        <v>364</v>
      </c>
      <c r="N4" s="51" t="s">
        <v>303</v>
      </c>
      <c r="O4" s="51" t="s">
        <v>365</v>
      </c>
    </row>
    <row r="5" spans="1:15" s="51" customFormat="1" x14ac:dyDescent="0.25">
      <c r="A5" s="51" t="s">
        <v>366</v>
      </c>
      <c r="B5" s="51" t="s">
        <v>325</v>
      </c>
      <c r="C5" s="51" t="s">
        <v>366</v>
      </c>
      <c r="D5" s="51">
        <v>1</v>
      </c>
      <c r="E5" s="47">
        <v>43724</v>
      </c>
      <c r="F5" s="51" t="s">
        <v>367</v>
      </c>
      <c r="G5" s="51" t="s">
        <v>300</v>
      </c>
      <c r="H5" s="51" t="s">
        <v>326</v>
      </c>
      <c r="I5" s="51" t="s">
        <v>56</v>
      </c>
      <c r="J5" s="50">
        <v>40000</v>
      </c>
      <c r="K5" s="51" t="s">
        <v>332</v>
      </c>
      <c r="L5" s="47">
        <v>43724</v>
      </c>
      <c r="M5" s="51" t="s">
        <v>364</v>
      </c>
      <c r="N5" s="51" t="s">
        <v>303</v>
      </c>
      <c r="O5" s="51" t="s">
        <v>368</v>
      </c>
    </row>
    <row r="6" spans="1:15" s="51" customFormat="1" x14ac:dyDescent="0.25">
      <c r="A6" s="51" t="s">
        <v>369</v>
      </c>
      <c r="B6" s="51" t="s">
        <v>325</v>
      </c>
      <c r="C6" s="51" t="s">
        <v>369</v>
      </c>
      <c r="D6" s="51">
        <v>1</v>
      </c>
      <c r="E6" s="47">
        <v>43724</v>
      </c>
      <c r="F6" s="51" t="s">
        <v>370</v>
      </c>
      <c r="G6" s="51" t="s">
        <v>300</v>
      </c>
      <c r="H6" s="51" t="s">
        <v>326</v>
      </c>
      <c r="I6" s="51" t="s">
        <v>56</v>
      </c>
      <c r="J6" s="50">
        <v>10000</v>
      </c>
      <c r="K6" s="51" t="s">
        <v>332</v>
      </c>
      <c r="L6" s="47">
        <v>43724</v>
      </c>
      <c r="M6" s="51" t="s">
        <v>364</v>
      </c>
      <c r="N6" s="51" t="s">
        <v>303</v>
      </c>
      <c r="O6" s="51" t="s">
        <v>371</v>
      </c>
    </row>
    <row r="7" spans="1:15" s="51" customFormat="1" x14ac:dyDescent="0.25">
      <c r="A7" s="51" t="s">
        <v>372</v>
      </c>
      <c r="B7" s="51" t="s">
        <v>327</v>
      </c>
      <c r="C7" s="51" t="s">
        <v>372</v>
      </c>
      <c r="D7" s="51">
        <v>1</v>
      </c>
      <c r="E7" s="47">
        <v>43724</v>
      </c>
      <c r="F7" s="51" t="s">
        <v>373</v>
      </c>
      <c r="G7" s="51" t="s">
        <v>300</v>
      </c>
      <c r="H7" s="51" t="s">
        <v>328</v>
      </c>
      <c r="I7" s="51" t="s">
        <v>66</v>
      </c>
      <c r="J7" s="50">
        <v>152</v>
      </c>
      <c r="K7" s="51" t="s">
        <v>332</v>
      </c>
      <c r="L7" s="47">
        <v>43724</v>
      </c>
      <c r="M7" s="51" t="s">
        <v>374</v>
      </c>
      <c r="N7" s="51" t="s">
        <v>303</v>
      </c>
      <c r="O7" s="51" t="s">
        <v>375</v>
      </c>
    </row>
    <row r="8" spans="1:15" s="51" customFormat="1" x14ac:dyDescent="0.25">
      <c r="A8" s="51" t="s">
        <v>376</v>
      </c>
      <c r="B8" s="51" t="s">
        <v>327</v>
      </c>
      <c r="C8" s="51" t="s">
        <v>376</v>
      </c>
      <c r="D8" s="51">
        <v>1</v>
      </c>
      <c r="E8" s="47">
        <v>43724</v>
      </c>
      <c r="F8" s="51" t="s">
        <v>377</v>
      </c>
      <c r="G8" s="51" t="s">
        <v>300</v>
      </c>
      <c r="H8" s="51" t="s">
        <v>328</v>
      </c>
      <c r="I8" s="51" t="s">
        <v>66</v>
      </c>
      <c r="J8" s="50">
        <v>278</v>
      </c>
      <c r="K8" s="51" t="s">
        <v>332</v>
      </c>
      <c r="L8" s="47">
        <v>43724</v>
      </c>
      <c r="M8" s="51" t="s">
        <v>374</v>
      </c>
      <c r="N8" s="51" t="s">
        <v>303</v>
      </c>
      <c r="O8" s="51" t="s">
        <v>378</v>
      </c>
    </row>
    <row r="9" spans="1:15" s="51" customFormat="1" x14ac:dyDescent="0.25">
      <c r="A9" s="51" t="s">
        <v>379</v>
      </c>
      <c r="B9" s="51" t="s">
        <v>327</v>
      </c>
      <c r="C9" s="51" t="s">
        <v>379</v>
      </c>
      <c r="D9" s="51">
        <v>1</v>
      </c>
      <c r="E9" s="47">
        <v>43724</v>
      </c>
      <c r="F9" s="51" t="s">
        <v>380</v>
      </c>
      <c r="G9" s="51" t="s">
        <v>300</v>
      </c>
      <c r="H9" s="51" t="s">
        <v>328</v>
      </c>
      <c r="I9" s="51" t="s">
        <v>66</v>
      </c>
      <c r="J9" s="50">
        <v>7996</v>
      </c>
      <c r="K9" s="51" t="s">
        <v>332</v>
      </c>
      <c r="L9" s="47">
        <v>43724</v>
      </c>
      <c r="M9" s="51" t="s">
        <v>374</v>
      </c>
      <c r="N9" s="51" t="s">
        <v>303</v>
      </c>
      <c r="O9" s="51" t="s">
        <v>381</v>
      </c>
    </row>
    <row r="10" spans="1:15" s="51" customFormat="1" x14ac:dyDescent="0.25">
      <c r="A10" s="51" t="s">
        <v>382</v>
      </c>
      <c r="B10" s="51" t="s">
        <v>325</v>
      </c>
      <c r="C10" s="51" t="s">
        <v>382</v>
      </c>
      <c r="D10" s="51">
        <v>1</v>
      </c>
      <c r="E10" s="47">
        <v>43724</v>
      </c>
      <c r="F10" s="51" t="s">
        <v>383</v>
      </c>
      <c r="G10" s="51" t="s">
        <v>300</v>
      </c>
      <c r="H10" s="51" t="s">
        <v>326</v>
      </c>
      <c r="I10" s="51" t="s">
        <v>56</v>
      </c>
      <c r="J10" s="50">
        <v>15000</v>
      </c>
      <c r="K10" s="51" t="s">
        <v>332</v>
      </c>
      <c r="L10" s="47">
        <v>43724</v>
      </c>
      <c r="M10" s="51" t="s">
        <v>384</v>
      </c>
      <c r="N10" s="51" t="s">
        <v>303</v>
      </c>
      <c r="O10" s="51" t="s">
        <v>385</v>
      </c>
    </row>
    <row r="11" spans="1:15" s="51" customFormat="1" x14ac:dyDescent="0.25">
      <c r="A11" s="51" t="s">
        <v>386</v>
      </c>
      <c r="B11" s="51" t="s">
        <v>327</v>
      </c>
      <c r="C11" s="51" t="s">
        <v>386</v>
      </c>
      <c r="D11" s="51">
        <v>1</v>
      </c>
      <c r="E11" s="47">
        <v>43724</v>
      </c>
      <c r="F11" s="51" t="s">
        <v>387</v>
      </c>
      <c r="G11" s="51" t="s">
        <v>300</v>
      </c>
      <c r="H11" s="51" t="s">
        <v>328</v>
      </c>
      <c r="I11" s="51" t="s">
        <v>66</v>
      </c>
      <c r="J11" s="50">
        <v>2000</v>
      </c>
      <c r="K11" s="51" t="s">
        <v>332</v>
      </c>
      <c r="L11" s="47">
        <v>43724</v>
      </c>
      <c r="M11" s="51" t="s">
        <v>388</v>
      </c>
      <c r="N11" s="51" t="s">
        <v>303</v>
      </c>
      <c r="O11" s="51" t="s">
        <v>389</v>
      </c>
    </row>
    <row r="12" spans="1:15" s="51" customFormat="1" x14ac:dyDescent="0.25">
      <c r="A12" s="51" t="s">
        <v>390</v>
      </c>
      <c r="B12" s="51" t="s">
        <v>325</v>
      </c>
      <c r="C12" s="51" t="s">
        <v>390</v>
      </c>
      <c r="D12" s="51">
        <v>1</v>
      </c>
      <c r="E12" s="47">
        <v>43724</v>
      </c>
      <c r="F12" s="51" t="s">
        <v>391</v>
      </c>
      <c r="G12" s="51" t="s">
        <v>300</v>
      </c>
      <c r="H12" s="51" t="s">
        <v>326</v>
      </c>
      <c r="I12" s="51" t="s">
        <v>56</v>
      </c>
      <c r="J12" s="50">
        <v>20000</v>
      </c>
      <c r="K12" s="51" t="s">
        <v>332</v>
      </c>
      <c r="L12" s="47">
        <v>43724</v>
      </c>
      <c r="M12" s="51" t="s">
        <v>392</v>
      </c>
      <c r="N12" s="51" t="s">
        <v>303</v>
      </c>
      <c r="O12" s="51" t="s">
        <v>393</v>
      </c>
    </row>
    <row r="13" spans="1:15" s="51" customFormat="1" x14ac:dyDescent="0.25">
      <c r="A13" s="51" t="s">
        <v>394</v>
      </c>
      <c r="B13" s="51" t="s">
        <v>325</v>
      </c>
      <c r="C13" s="51" t="s">
        <v>394</v>
      </c>
      <c r="D13" s="51">
        <v>1</v>
      </c>
      <c r="E13" s="47">
        <v>43724</v>
      </c>
      <c r="F13" s="51" t="s">
        <v>395</v>
      </c>
      <c r="G13" s="51" t="s">
        <v>300</v>
      </c>
      <c r="H13" s="51" t="s">
        <v>326</v>
      </c>
      <c r="I13" s="51" t="s">
        <v>56</v>
      </c>
      <c r="J13" s="50">
        <v>15000</v>
      </c>
      <c r="K13" s="51" t="s">
        <v>332</v>
      </c>
      <c r="L13" s="47">
        <v>43724</v>
      </c>
      <c r="M13" s="51" t="s">
        <v>392</v>
      </c>
      <c r="N13" s="51" t="s">
        <v>303</v>
      </c>
      <c r="O13" s="51" t="s">
        <v>396</v>
      </c>
    </row>
    <row r="14" spans="1:15" s="51" customFormat="1" x14ac:dyDescent="0.25">
      <c r="A14" s="51" t="s">
        <v>397</v>
      </c>
      <c r="B14" s="51" t="s">
        <v>327</v>
      </c>
      <c r="C14" s="51" t="s">
        <v>397</v>
      </c>
      <c r="D14" s="51">
        <v>1</v>
      </c>
      <c r="E14" s="47">
        <v>43724</v>
      </c>
      <c r="F14" s="51" t="s">
        <v>398</v>
      </c>
      <c r="G14" s="51" t="s">
        <v>300</v>
      </c>
      <c r="H14" s="51" t="s">
        <v>328</v>
      </c>
      <c r="I14" s="51" t="s">
        <v>66</v>
      </c>
      <c r="J14" s="50">
        <v>1542</v>
      </c>
      <c r="K14" s="51" t="s">
        <v>332</v>
      </c>
      <c r="L14" s="47">
        <v>43724</v>
      </c>
      <c r="M14" s="51" t="s">
        <v>399</v>
      </c>
      <c r="N14" s="51" t="s">
        <v>303</v>
      </c>
      <c r="O14" s="51" t="s">
        <v>400</v>
      </c>
    </row>
    <row r="15" spans="1:15" s="51" customFormat="1" x14ac:dyDescent="0.25">
      <c r="A15" s="51" t="s">
        <v>401</v>
      </c>
      <c r="B15" s="51" t="s">
        <v>327</v>
      </c>
      <c r="C15" s="51" t="s">
        <v>401</v>
      </c>
      <c r="D15" s="51">
        <v>1</v>
      </c>
      <c r="E15" s="47">
        <v>43724</v>
      </c>
      <c r="F15" s="51" t="s">
        <v>402</v>
      </c>
      <c r="G15" s="51" t="s">
        <v>300</v>
      </c>
      <c r="H15" s="51" t="s">
        <v>328</v>
      </c>
      <c r="I15" s="51" t="s">
        <v>66</v>
      </c>
      <c r="J15" s="50">
        <v>3744.2</v>
      </c>
      <c r="K15" s="51" t="s">
        <v>332</v>
      </c>
      <c r="L15" s="47">
        <v>43724</v>
      </c>
      <c r="M15" s="51" t="s">
        <v>399</v>
      </c>
      <c r="N15" s="51" t="s">
        <v>303</v>
      </c>
      <c r="O15" s="51" t="s">
        <v>403</v>
      </c>
    </row>
    <row r="16" spans="1:15" s="51" customFormat="1" x14ac:dyDescent="0.25">
      <c r="A16" s="51" t="s">
        <v>404</v>
      </c>
      <c r="B16" s="51" t="s">
        <v>327</v>
      </c>
      <c r="C16" s="51" t="s">
        <v>404</v>
      </c>
      <c r="D16" s="51">
        <v>1</v>
      </c>
      <c r="E16" s="47">
        <v>43724</v>
      </c>
      <c r="F16" s="51" t="s">
        <v>405</v>
      </c>
      <c r="G16" s="51" t="s">
        <v>300</v>
      </c>
      <c r="H16" s="51" t="s">
        <v>328</v>
      </c>
      <c r="I16" s="51" t="s">
        <v>66</v>
      </c>
      <c r="J16" s="50">
        <v>4194.3999999999996</v>
      </c>
      <c r="K16" s="51" t="s">
        <v>332</v>
      </c>
      <c r="L16" s="47">
        <v>43724</v>
      </c>
      <c r="M16" s="51" t="s">
        <v>399</v>
      </c>
      <c r="N16" s="51" t="s">
        <v>303</v>
      </c>
      <c r="O16" s="51" t="s">
        <v>406</v>
      </c>
    </row>
    <row r="17" spans="1:15" s="51" customFormat="1" x14ac:dyDescent="0.25">
      <c r="A17" s="51" t="s">
        <v>407</v>
      </c>
      <c r="B17" s="51" t="s">
        <v>327</v>
      </c>
      <c r="C17" s="51" t="s">
        <v>407</v>
      </c>
      <c r="D17" s="51">
        <v>1</v>
      </c>
      <c r="E17" s="47">
        <v>43724</v>
      </c>
      <c r="F17" s="51" t="s">
        <v>408</v>
      </c>
      <c r="G17" s="51" t="s">
        <v>300</v>
      </c>
      <c r="H17" s="51" t="s">
        <v>328</v>
      </c>
      <c r="I17" s="51" t="s">
        <v>66</v>
      </c>
      <c r="J17" s="50">
        <v>4644.6000000000004</v>
      </c>
      <c r="K17" s="51" t="s">
        <v>332</v>
      </c>
      <c r="L17" s="47">
        <v>43724</v>
      </c>
      <c r="M17" s="51" t="s">
        <v>399</v>
      </c>
      <c r="N17" s="51" t="s">
        <v>303</v>
      </c>
      <c r="O17" s="51" t="s">
        <v>409</v>
      </c>
    </row>
    <row r="18" spans="1:15" s="51" customFormat="1" x14ac:dyDescent="0.25">
      <c r="A18" s="51" t="s">
        <v>410</v>
      </c>
      <c r="B18" s="51" t="s">
        <v>327</v>
      </c>
      <c r="C18" s="51" t="s">
        <v>410</v>
      </c>
      <c r="D18" s="51">
        <v>1</v>
      </c>
      <c r="E18" s="47">
        <v>43724</v>
      </c>
      <c r="F18" s="51" t="s">
        <v>411</v>
      </c>
      <c r="G18" s="51" t="s">
        <v>300</v>
      </c>
      <c r="H18" s="51" t="s">
        <v>328</v>
      </c>
      <c r="I18" s="51" t="s">
        <v>66</v>
      </c>
      <c r="J18" s="50">
        <v>5094.8</v>
      </c>
      <c r="K18" s="51" t="s">
        <v>332</v>
      </c>
      <c r="L18" s="47">
        <v>43724</v>
      </c>
      <c r="M18" s="51" t="s">
        <v>399</v>
      </c>
      <c r="N18" s="51" t="s">
        <v>303</v>
      </c>
      <c r="O18" s="51" t="s">
        <v>412</v>
      </c>
    </row>
    <row r="19" spans="1:15" s="51" customFormat="1" x14ac:dyDescent="0.25">
      <c r="A19" s="51" t="s">
        <v>413</v>
      </c>
      <c r="B19" s="51" t="s">
        <v>327</v>
      </c>
      <c r="C19" s="51" t="s">
        <v>413</v>
      </c>
      <c r="D19" s="51">
        <v>1</v>
      </c>
      <c r="E19" s="47">
        <v>43724</v>
      </c>
      <c r="F19" s="51" t="s">
        <v>414</v>
      </c>
      <c r="G19" s="51" t="s">
        <v>300</v>
      </c>
      <c r="H19" s="51" t="s">
        <v>328</v>
      </c>
      <c r="I19" s="51" t="s">
        <v>66</v>
      </c>
      <c r="J19" s="50">
        <v>5545</v>
      </c>
      <c r="K19" s="51" t="s">
        <v>332</v>
      </c>
      <c r="L19" s="47">
        <v>43724</v>
      </c>
      <c r="M19" s="51" t="s">
        <v>399</v>
      </c>
      <c r="N19" s="51" t="s">
        <v>303</v>
      </c>
      <c r="O19" s="51" t="s">
        <v>415</v>
      </c>
    </row>
    <row r="20" spans="1:15" s="51" customFormat="1" x14ac:dyDescent="0.25">
      <c r="A20" s="51" t="s">
        <v>416</v>
      </c>
      <c r="B20" s="51" t="s">
        <v>327</v>
      </c>
      <c r="C20" s="51" t="s">
        <v>416</v>
      </c>
      <c r="D20" s="51">
        <v>1</v>
      </c>
      <c r="E20" s="47">
        <v>43724</v>
      </c>
      <c r="F20" s="51" t="s">
        <v>417</v>
      </c>
      <c r="G20" s="51" t="s">
        <v>300</v>
      </c>
      <c r="H20" s="51" t="s">
        <v>328</v>
      </c>
      <c r="I20" s="51" t="s">
        <v>66</v>
      </c>
      <c r="J20" s="50">
        <v>5995.2</v>
      </c>
      <c r="K20" s="51" t="s">
        <v>332</v>
      </c>
      <c r="L20" s="47">
        <v>43724</v>
      </c>
      <c r="M20" s="51" t="s">
        <v>399</v>
      </c>
      <c r="N20" s="51" t="s">
        <v>303</v>
      </c>
      <c r="O20" s="51" t="s">
        <v>418</v>
      </c>
    </row>
    <row r="21" spans="1:15" s="51" customFormat="1" x14ac:dyDescent="0.25">
      <c r="A21" s="51" t="s">
        <v>419</v>
      </c>
      <c r="B21" s="51" t="s">
        <v>327</v>
      </c>
      <c r="C21" s="51" t="s">
        <v>419</v>
      </c>
      <c r="D21" s="51">
        <v>1</v>
      </c>
      <c r="E21" s="47">
        <v>43724</v>
      </c>
      <c r="F21" s="51" t="s">
        <v>420</v>
      </c>
      <c r="G21" s="51" t="s">
        <v>300</v>
      </c>
      <c r="H21" s="51" t="s">
        <v>328</v>
      </c>
      <c r="I21" s="51" t="s">
        <v>66</v>
      </c>
      <c r="J21" s="50">
        <v>6445.4</v>
      </c>
      <c r="K21" s="51" t="s">
        <v>332</v>
      </c>
      <c r="L21" s="47">
        <v>43724</v>
      </c>
      <c r="M21" s="51" t="s">
        <v>399</v>
      </c>
      <c r="N21" s="51" t="s">
        <v>303</v>
      </c>
      <c r="O21" s="51" t="s">
        <v>421</v>
      </c>
    </row>
    <row r="22" spans="1:15" s="51" customFormat="1" x14ac:dyDescent="0.25">
      <c r="A22" s="51" t="s">
        <v>422</v>
      </c>
      <c r="B22" s="51" t="s">
        <v>327</v>
      </c>
      <c r="C22" s="51" t="s">
        <v>422</v>
      </c>
      <c r="D22" s="51">
        <v>1</v>
      </c>
      <c r="E22" s="47">
        <v>43724</v>
      </c>
      <c r="F22" s="51" t="s">
        <v>423</v>
      </c>
      <c r="G22" s="51" t="s">
        <v>300</v>
      </c>
      <c r="H22" s="51" t="s">
        <v>328</v>
      </c>
      <c r="I22" s="51" t="s">
        <v>66</v>
      </c>
      <c r="J22" s="50">
        <v>6895.6</v>
      </c>
      <c r="K22" s="51" t="s">
        <v>332</v>
      </c>
      <c r="L22" s="47">
        <v>43724</v>
      </c>
      <c r="M22" s="51" t="s">
        <v>399</v>
      </c>
      <c r="N22" s="51" t="s">
        <v>303</v>
      </c>
      <c r="O22" s="51" t="s">
        <v>424</v>
      </c>
    </row>
    <row r="23" spans="1:15" s="51" customFormat="1" x14ac:dyDescent="0.25">
      <c r="A23" s="51" t="s">
        <v>425</v>
      </c>
      <c r="B23" s="51" t="s">
        <v>327</v>
      </c>
      <c r="C23" s="51" t="s">
        <v>425</v>
      </c>
      <c r="D23" s="51">
        <v>1</v>
      </c>
      <c r="E23" s="47">
        <v>43724</v>
      </c>
      <c r="F23" s="51" t="s">
        <v>426</v>
      </c>
      <c r="G23" s="51" t="s">
        <v>300</v>
      </c>
      <c r="H23" s="51" t="s">
        <v>328</v>
      </c>
      <c r="I23" s="51" t="s">
        <v>66</v>
      </c>
      <c r="J23" s="50">
        <v>7345.8</v>
      </c>
      <c r="K23" s="51" t="s">
        <v>332</v>
      </c>
      <c r="L23" s="47">
        <v>43724</v>
      </c>
      <c r="M23" s="51" t="s">
        <v>399</v>
      </c>
      <c r="N23" s="51" t="s">
        <v>303</v>
      </c>
      <c r="O23" s="51" t="s">
        <v>427</v>
      </c>
    </row>
    <row r="24" spans="1:15" s="51" customFormat="1" x14ac:dyDescent="0.25">
      <c r="A24" s="51" t="s">
        <v>428</v>
      </c>
      <c r="B24" s="51" t="s">
        <v>327</v>
      </c>
      <c r="C24" s="51" t="s">
        <v>428</v>
      </c>
      <c r="D24" s="51">
        <v>1</v>
      </c>
      <c r="E24" s="47">
        <v>43724</v>
      </c>
      <c r="F24" s="51" t="s">
        <v>429</v>
      </c>
      <c r="G24" s="51" t="s">
        <v>300</v>
      </c>
      <c r="H24" s="51" t="s">
        <v>328</v>
      </c>
      <c r="I24" s="51" t="s">
        <v>66</v>
      </c>
      <c r="J24" s="50">
        <v>8246.2000000000007</v>
      </c>
      <c r="K24" s="51" t="s">
        <v>332</v>
      </c>
      <c r="L24" s="47">
        <v>43724</v>
      </c>
      <c r="M24" s="51" t="s">
        <v>430</v>
      </c>
      <c r="N24" s="51" t="s">
        <v>303</v>
      </c>
      <c r="O24" s="51" t="s">
        <v>431</v>
      </c>
    </row>
    <row r="25" spans="1:15" s="51" customFormat="1" x14ac:dyDescent="0.25">
      <c r="A25" s="51" t="s">
        <v>432</v>
      </c>
      <c r="B25" s="51" t="s">
        <v>327</v>
      </c>
      <c r="C25" s="51" t="s">
        <v>432</v>
      </c>
      <c r="D25" s="51">
        <v>1</v>
      </c>
      <c r="E25" s="47">
        <v>43724</v>
      </c>
      <c r="F25" s="51" t="s">
        <v>433</v>
      </c>
      <c r="G25" s="51" t="s">
        <v>300</v>
      </c>
      <c r="H25" s="51" t="s">
        <v>328</v>
      </c>
      <c r="I25" s="51" t="s">
        <v>66</v>
      </c>
      <c r="J25" s="50">
        <v>8696.4</v>
      </c>
      <c r="K25" s="51" t="s">
        <v>332</v>
      </c>
      <c r="L25" s="47">
        <v>43724</v>
      </c>
      <c r="M25" s="51" t="s">
        <v>430</v>
      </c>
      <c r="N25" s="51" t="s">
        <v>303</v>
      </c>
      <c r="O25" s="51" t="s">
        <v>434</v>
      </c>
    </row>
    <row r="26" spans="1:15" s="51" customFormat="1" x14ac:dyDescent="0.25">
      <c r="A26" s="51" t="s">
        <v>435</v>
      </c>
      <c r="B26" s="51" t="s">
        <v>327</v>
      </c>
      <c r="C26" s="51" t="s">
        <v>435</v>
      </c>
      <c r="D26" s="51">
        <v>1</v>
      </c>
      <c r="E26" s="47">
        <v>43724</v>
      </c>
      <c r="F26" s="51" t="s">
        <v>436</v>
      </c>
      <c r="G26" s="51" t="s">
        <v>300</v>
      </c>
      <c r="H26" s="51" t="s">
        <v>328</v>
      </c>
      <c r="I26" s="51" t="s">
        <v>66</v>
      </c>
      <c r="J26" s="50">
        <v>946.6</v>
      </c>
      <c r="K26" s="51" t="s">
        <v>332</v>
      </c>
      <c r="L26" s="47">
        <v>43724</v>
      </c>
      <c r="M26" s="51" t="s">
        <v>430</v>
      </c>
      <c r="N26" s="51" t="s">
        <v>303</v>
      </c>
      <c r="O26" s="51" t="s">
        <v>437</v>
      </c>
    </row>
    <row r="27" spans="1:15" s="51" customFormat="1" x14ac:dyDescent="0.25">
      <c r="A27" s="51" t="s">
        <v>438</v>
      </c>
      <c r="B27" s="51" t="s">
        <v>327</v>
      </c>
      <c r="C27" s="51" t="s">
        <v>438</v>
      </c>
      <c r="D27" s="51">
        <v>1</v>
      </c>
      <c r="E27" s="47">
        <v>43724</v>
      </c>
      <c r="F27" s="51" t="s">
        <v>439</v>
      </c>
      <c r="G27" s="51" t="s">
        <v>300</v>
      </c>
      <c r="H27" s="51" t="s">
        <v>328</v>
      </c>
      <c r="I27" s="51" t="s">
        <v>66</v>
      </c>
      <c r="J27" s="50">
        <v>596.79999999999995</v>
      </c>
      <c r="K27" s="51" t="s">
        <v>332</v>
      </c>
      <c r="L27" s="47">
        <v>43724</v>
      </c>
      <c r="M27" s="51" t="s">
        <v>430</v>
      </c>
      <c r="N27" s="51" t="s">
        <v>303</v>
      </c>
      <c r="O27" s="51" t="s">
        <v>440</v>
      </c>
    </row>
    <row r="28" spans="1:15" s="51" customFormat="1" x14ac:dyDescent="0.25">
      <c r="A28" s="51" t="s">
        <v>441</v>
      </c>
      <c r="B28" s="51" t="s">
        <v>327</v>
      </c>
      <c r="C28" s="51" t="s">
        <v>441</v>
      </c>
      <c r="D28" s="51">
        <v>1</v>
      </c>
      <c r="E28" s="47">
        <v>43724</v>
      </c>
      <c r="F28" s="51" t="s">
        <v>442</v>
      </c>
      <c r="G28" s="51" t="s">
        <v>300</v>
      </c>
      <c r="H28" s="51" t="s">
        <v>328</v>
      </c>
      <c r="I28" s="51" t="s">
        <v>66</v>
      </c>
      <c r="J28" s="50">
        <v>147</v>
      </c>
      <c r="K28" s="51" t="s">
        <v>332</v>
      </c>
      <c r="L28" s="47">
        <v>43724</v>
      </c>
      <c r="M28" s="51" t="s">
        <v>430</v>
      </c>
      <c r="N28" s="51" t="s">
        <v>303</v>
      </c>
      <c r="O28" s="51" t="s">
        <v>443</v>
      </c>
    </row>
    <row r="29" spans="1:15" s="51" customFormat="1" x14ac:dyDescent="0.25">
      <c r="A29" s="51" t="s">
        <v>444</v>
      </c>
      <c r="B29" s="51" t="s">
        <v>327</v>
      </c>
      <c r="C29" s="51" t="s">
        <v>444</v>
      </c>
      <c r="D29" s="51">
        <v>1</v>
      </c>
      <c r="E29" s="47">
        <v>43724</v>
      </c>
      <c r="F29" s="51" t="s">
        <v>445</v>
      </c>
      <c r="G29" s="51" t="s">
        <v>300</v>
      </c>
      <c r="H29" s="51" t="s">
        <v>328</v>
      </c>
      <c r="I29" s="51" t="s">
        <v>66</v>
      </c>
      <c r="J29" s="50">
        <v>10497.2</v>
      </c>
      <c r="K29" s="51" t="s">
        <v>332</v>
      </c>
      <c r="L29" s="47">
        <v>43724</v>
      </c>
      <c r="M29" s="51" t="s">
        <v>430</v>
      </c>
      <c r="N29" s="51" t="s">
        <v>303</v>
      </c>
      <c r="O29" s="51" t="s">
        <v>446</v>
      </c>
    </row>
    <row r="30" spans="1:15" s="51" customFormat="1" x14ac:dyDescent="0.25">
      <c r="A30" s="51" t="s">
        <v>447</v>
      </c>
      <c r="B30" s="51" t="s">
        <v>327</v>
      </c>
      <c r="C30" s="51" t="s">
        <v>447</v>
      </c>
      <c r="D30" s="51">
        <v>1</v>
      </c>
      <c r="E30" s="47">
        <v>43724</v>
      </c>
      <c r="F30" s="51" t="s">
        <v>448</v>
      </c>
      <c r="G30" s="51" t="s">
        <v>300</v>
      </c>
      <c r="H30" s="51" t="s">
        <v>328</v>
      </c>
      <c r="I30" s="51" t="s">
        <v>66</v>
      </c>
      <c r="J30" s="50">
        <v>5017.3999999999996</v>
      </c>
      <c r="K30" s="51" t="s">
        <v>332</v>
      </c>
      <c r="L30" s="47">
        <v>43724</v>
      </c>
      <c r="M30" s="51" t="s">
        <v>430</v>
      </c>
      <c r="N30" s="51" t="s">
        <v>303</v>
      </c>
      <c r="O30" s="51" t="s">
        <v>449</v>
      </c>
    </row>
    <row r="31" spans="1:15" s="51" customFormat="1" x14ac:dyDescent="0.25">
      <c r="A31" s="51" t="s">
        <v>450</v>
      </c>
      <c r="B31" s="51" t="s">
        <v>327</v>
      </c>
      <c r="C31" s="51" t="s">
        <v>450</v>
      </c>
      <c r="D31" s="51">
        <v>1</v>
      </c>
      <c r="E31" s="47">
        <v>43724</v>
      </c>
      <c r="F31" s="51" t="s">
        <v>451</v>
      </c>
      <c r="G31" s="51" t="s">
        <v>300</v>
      </c>
      <c r="H31" s="51" t="s">
        <v>328</v>
      </c>
      <c r="I31" s="51" t="s">
        <v>66</v>
      </c>
      <c r="J31" s="50">
        <v>5297.6</v>
      </c>
      <c r="K31" s="51" t="s">
        <v>332</v>
      </c>
      <c r="L31" s="47">
        <v>43724</v>
      </c>
      <c r="M31" s="51" t="s">
        <v>430</v>
      </c>
      <c r="N31" s="51" t="s">
        <v>303</v>
      </c>
      <c r="O31" s="51" t="s">
        <v>452</v>
      </c>
    </row>
    <row r="32" spans="1:15" s="51" customFormat="1" x14ac:dyDescent="0.25">
      <c r="A32" s="51" t="s">
        <v>453</v>
      </c>
      <c r="B32" s="51" t="s">
        <v>327</v>
      </c>
      <c r="C32" s="51" t="s">
        <v>453</v>
      </c>
      <c r="D32" s="51">
        <v>1</v>
      </c>
      <c r="E32" s="47">
        <v>43724</v>
      </c>
      <c r="F32" s="51" t="s">
        <v>454</v>
      </c>
      <c r="G32" s="51" t="s">
        <v>300</v>
      </c>
      <c r="H32" s="51" t="s">
        <v>328</v>
      </c>
      <c r="I32" s="51" t="s">
        <v>66</v>
      </c>
      <c r="J32" s="50">
        <v>5577.8</v>
      </c>
      <c r="K32" s="51" t="s">
        <v>332</v>
      </c>
      <c r="L32" s="47">
        <v>43724</v>
      </c>
      <c r="M32" s="51" t="s">
        <v>430</v>
      </c>
      <c r="N32" s="51" t="s">
        <v>303</v>
      </c>
      <c r="O32" s="51" t="s">
        <v>455</v>
      </c>
    </row>
    <row r="33" spans="1:15" s="51" customFormat="1" x14ac:dyDescent="0.25">
      <c r="A33" s="51" t="s">
        <v>456</v>
      </c>
      <c r="B33" s="51" t="s">
        <v>327</v>
      </c>
      <c r="C33" s="51" t="s">
        <v>456</v>
      </c>
      <c r="D33" s="51">
        <v>1</v>
      </c>
      <c r="E33" s="47">
        <v>43724</v>
      </c>
      <c r="F33" s="51" t="s">
        <v>457</v>
      </c>
      <c r="G33" s="51" t="s">
        <v>300</v>
      </c>
      <c r="H33" s="51" t="s">
        <v>328</v>
      </c>
      <c r="I33" s="51" t="s">
        <v>66</v>
      </c>
      <c r="J33" s="50">
        <v>5858</v>
      </c>
      <c r="K33" s="51" t="s">
        <v>332</v>
      </c>
      <c r="L33" s="47">
        <v>43724</v>
      </c>
      <c r="M33" s="51" t="s">
        <v>430</v>
      </c>
      <c r="N33" s="51" t="s">
        <v>303</v>
      </c>
      <c r="O33" s="51" t="s">
        <v>458</v>
      </c>
    </row>
    <row r="34" spans="1:15" s="51" customFormat="1" x14ac:dyDescent="0.25">
      <c r="A34" s="51" t="s">
        <v>459</v>
      </c>
      <c r="B34" s="51" t="s">
        <v>327</v>
      </c>
      <c r="C34" s="51" t="s">
        <v>459</v>
      </c>
      <c r="D34" s="51">
        <v>1</v>
      </c>
      <c r="E34" s="47">
        <v>43724</v>
      </c>
      <c r="F34" s="51" t="s">
        <v>460</v>
      </c>
      <c r="G34" s="51" t="s">
        <v>300</v>
      </c>
      <c r="H34" s="51" t="s">
        <v>328</v>
      </c>
      <c r="I34" s="51" t="s">
        <v>66</v>
      </c>
      <c r="J34" s="50">
        <v>6138.2</v>
      </c>
      <c r="K34" s="51" t="s">
        <v>332</v>
      </c>
      <c r="L34" s="47">
        <v>43724</v>
      </c>
      <c r="M34" s="51" t="s">
        <v>430</v>
      </c>
      <c r="N34" s="51" t="s">
        <v>303</v>
      </c>
      <c r="O34" s="51" t="s">
        <v>461</v>
      </c>
    </row>
    <row r="35" spans="1:15" s="51" customFormat="1" x14ac:dyDescent="0.25">
      <c r="A35" s="51" t="s">
        <v>462</v>
      </c>
      <c r="B35" s="51" t="s">
        <v>327</v>
      </c>
      <c r="C35" s="51" t="s">
        <v>462</v>
      </c>
      <c r="D35" s="51">
        <v>1</v>
      </c>
      <c r="E35" s="47">
        <v>43724</v>
      </c>
      <c r="F35" s="51" t="s">
        <v>463</v>
      </c>
      <c r="G35" s="51" t="s">
        <v>300</v>
      </c>
      <c r="H35" s="51" t="s">
        <v>328</v>
      </c>
      <c r="I35" s="51" t="s">
        <v>66</v>
      </c>
      <c r="J35" s="50">
        <v>6418.4</v>
      </c>
      <c r="K35" s="51" t="s">
        <v>332</v>
      </c>
      <c r="L35" s="47">
        <v>43724</v>
      </c>
      <c r="M35" s="51" t="s">
        <v>430</v>
      </c>
      <c r="N35" s="51" t="s">
        <v>303</v>
      </c>
      <c r="O35" s="51" t="s">
        <v>464</v>
      </c>
    </row>
    <row r="36" spans="1:15" s="51" customFormat="1" x14ac:dyDescent="0.25">
      <c r="A36" s="51" t="s">
        <v>465</v>
      </c>
      <c r="B36" s="51" t="s">
        <v>327</v>
      </c>
      <c r="C36" s="51" t="s">
        <v>465</v>
      </c>
      <c r="D36" s="51">
        <v>1</v>
      </c>
      <c r="E36" s="47">
        <v>43724</v>
      </c>
      <c r="F36" s="51" t="s">
        <v>466</v>
      </c>
      <c r="G36" s="51" t="s">
        <v>300</v>
      </c>
      <c r="H36" s="51" t="s">
        <v>328</v>
      </c>
      <c r="I36" s="51" t="s">
        <v>66</v>
      </c>
      <c r="J36" s="50">
        <v>6698.6</v>
      </c>
      <c r="K36" s="51" t="s">
        <v>332</v>
      </c>
      <c r="L36" s="47">
        <v>43724</v>
      </c>
      <c r="M36" s="51" t="s">
        <v>430</v>
      </c>
      <c r="N36" s="51" t="s">
        <v>303</v>
      </c>
      <c r="O36" s="51" t="s">
        <v>467</v>
      </c>
    </row>
    <row r="37" spans="1:15" s="51" customFormat="1" x14ac:dyDescent="0.25">
      <c r="A37" s="51" t="s">
        <v>468</v>
      </c>
      <c r="B37" s="51" t="s">
        <v>327</v>
      </c>
      <c r="C37" s="51" t="s">
        <v>468</v>
      </c>
      <c r="D37" s="51">
        <v>1</v>
      </c>
      <c r="E37" s="47">
        <v>43724</v>
      </c>
      <c r="F37" s="51" t="s">
        <v>469</v>
      </c>
      <c r="G37" s="51" t="s">
        <v>300</v>
      </c>
      <c r="H37" s="51" t="s">
        <v>328</v>
      </c>
      <c r="I37" s="51" t="s">
        <v>66</v>
      </c>
      <c r="J37" s="50">
        <v>6978.8</v>
      </c>
      <c r="K37" s="51" t="s">
        <v>332</v>
      </c>
      <c r="L37" s="47">
        <v>43724</v>
      </c>
      <c r="M37" s="51" t="s">
        <v>430</v>
      </c>
      <c r="N37" s="51" t="s">
        <v>303</v>
      </c>
      <c r="O37" s="51" t="s">
        <v>470</v>
      </c>
    </row>
    <row r="38" spans="1:15" s="51" customFormat="1" x14ac:dyDescent="0.25">
      <c r="A38" s="51" t="s">
        <v>471</v>
      </c>
      <c r="B38" s="51" t="s">
        <v>327</v>
      </c>
      <c r="C38" s="51" t="s">
        <v>471</v>
      </c>
      <c r="D38" s="51">
        <v>1</v>
      </c>
      <c r="E38" s="47">
        <v>43724</v>
      </c>
      <c r="F38" s="51" t="s">
        <v>472</v>
      </c>
      <c r="G38" s="51" t="s">
        <v>300</v>
      </c>
      <c r="H38" s="51" t="s">
        <v>328</v>
      </c>
      <c r="I38" s="51" t="s">
        <v>66</v>
      </c>
      <c r="J38" s="50">
        <v>7259</v>
      </c>
      <c r="K38" s="51" t="s">
        <v>332</v>
      </c>
      <c r="L38" s="47">
        <v>43724</v>
      </c>
      <c r="M38" s="51" t="s">
        <v>430</v>
      </c>
      <c r="N38" s="51" t="s">
        <v>303</v>
      </c>
      <c r="O38" s="51" t="s">
        <v>473</v>
      </c>
    </row>
    <row r="39" spans="1:15" s="51" customFormat="1" x14ac:dyDescent="0.25">
      <c r="A39" s="51" t="s">
        <v>474</v>
      </c>
      <c r="B39" s="51" t="s">
        <v>327</v>
      </c>
      <c r="C39" s="51" t="s">
        <v>474</v>
      </c>
      <c r="D39" s="51">
        <v>1</v>
      </c>
      <c r="E39" s="47">
        <v>43724</v>
      </c>
      <c r="F39" s="51" t="s">
        <v>475</v>
      </c>
      <c r="G39" s="51" t="s">
        <v>300</v>
      </c>
      <c r="H39" s="51" t="s">
        <v>328</v>
      </c>
      <c r="I39" s="51" t="s">
        <v>66</v>
      </c>
      <c r="J39" s="50">
        <v>7539.2</v>
      </c>
      <c r="K39" s="51" t="s">
        <v>332</v>
      </c>
      <c r="L39" s="47">
        <v>43724</v>
      </c>
      <c r="M39" s="51" t="s">
        <v>430</v>
      </c>
      <c r="N39" s="51" t="s">
        <v>303</v>
      </c>
      <c r="O39" s="51" t="s">
        <v>476</v>
      </c>
    </row>
    <row r="40" spans="1:15" s="51" customFormat="1" x14ac:dyDescent="0.25">
      <c r="A40" s="51" t="s">
        <v>477</v>
      </c>
      <c r="B40" s="51" t="s">
        <v>327</v>
      </c>
      <c r="C40" s="51" t="s">
        <v>477</v>
      </c>
      <c r="D40" s="51">
        <v>1</v>
      </c>
      <c r="E40" s="47">
        <v>43724</v>
      </c>
      <c r="F40" s="51" t="s">
        <v>478</v>
      </c>
      <c r="G40" s="51" t="s">
        <v>300</v>
      </c>
      <c r="H40" s="51" t="s">
        <v>328</v>
      </c>
      <c r="I40" s="51" t="s">
        <v>66</v>
      </c>
      <c r="J40" s="50">
        <v>7819.4</v>
      </c>
      <c r="K40" s="51" t="s">
        <v>332</v>
      </c>
      <c r="L40" s="47">
        <v>43724</v>
      </c>
      <c r="M40" s="51" t="s">
        <v>430</v>
      </c>
      <c r="N40" s="51" t="s">
        <v>303</v>
      </c>
      <c r="O40" s="51" t="s">
        <v>479</v>
      </c>
    </row>
    <row r="41" spans="1:15" s="51" customFormat="1" x14ac:dyDescent="0.25">
      <c r="A41" s="51" t="s">
        <v>480</v>
      </c>
      <c r="B41" s="51" t="s">
        <v>327</v>
      </c>
      <c r="C41" s="51" t="s">
        <v>480</v>
      </c>
      <c r="D41" s="51">
        <v>1</v>
      </c>
      <c r="E41" s="47">
        <v>43724</v>
      </c>
      <c r="F41" s="51" t="s">
        <v>481</v>
      </c>
      <c r="G41" s="51" t="s">
        <v>300</v>
      </c>
      <c r="H41" s="51" t="s">
        <v>328</v>
      </c>
      <c r="I41" s="51" t="s">
        <v>66</v>
      </c>
      <c r="J41" s="50">
        <v>8099.6</v>
      </c>
      <c r="K41" s="51" t="s">
        <v>332</v>
      </c>
      <c r="L41" s="47">
        <v>43724</v>
      </c>
      <c r="M41" s="51" t="s">
        <v>430</v>
      </c>
      <c r="N41" s="51" t="s">
        <v>303</v>
      </c>
      <c r="O41" s="51" t="s">
        <v>482</v>
      </c>
    </row>
    <row r="42" spans="1:15" s="51" customFormat="1" x14ac:dyDescent="0.25">
      <c r="A42" s="51" t="s">
        <v>483</v>
      </c>
      <c r="B42" s="51" t="s">
        <v>327</v>
      </c>
      <c r="C42" s="51" t="s">
        <v>483</v>
      </c>
      <c r="D42" s="51">
        <v>1</v>
      </c>
      <c r="E42" s="47">
        <v>43724</v>
      </c>
      <c r="F42" s="51" t="s">
        <v>484</v>
      </c>
      <c r="G42" s="51" t="s">
        <v>300</v>
      </c>
      <c r="H42" s="51" t="s">
        <v>328</v>
      </c>
      <c r="I42" s="51" t="s">
        <v>66</v>
      </c>
      <c r="J42" s="50">
        <v>8379.7999999999993</v>
      </c>
      <c r="K42" s="51" t="s">
        <v>332</v>
      </c>
      <c r="L42" s="47">
        <v>43724</v>
      </c>
      <c r="M42" s="51" t="s">
        <v>430</v>
      </c>
      <c r="N42" s="51" t="s">
        <v>303</v>
      </c>
      <c r="O42" s="51" t="s">
        <v>485</v>
      </c>
    </row>
    <row r="43" spans="1:15" s="51" customFormat="1" x14ac:dyDescent="0.25">
      <c r="A43" s="51" t="s">
        <v>486</v>
      </c>
      <c r="B43" s="51" t="s">
        <v>327</v>
      </c>
      <c r="C43" s="51" t="s">
        <v>486</v>
      </c>
      <c r="D43" s="51">
        <v>1</v>
      </c>
      <c r="E43" s="47">
        <v>43724</v>
      </c>
      <c r="F43" s="51" t="s">
        <v>487</v>
      </c>
      <c r="G43" s="51" t="s">
        <v>300</v>
      </c>
      <c r="H43" s="51" t="s">
        <v>328</v>
      </c>
      <c r="I43" s="51" t="s">
        <v>66</v>
      </c>
      <c r="J43" s="50">
        <v>8660</v>
      </c>
      <c r="K43" s="51" t="s">
        <v>332</v>
      </c>
      <c r="L43" s="47">
        <v>43724</v>
      </c>
      <c r="M43" s="51" t="s">
        <v>430</v>
      </c>
      <c r="N43" s="51" t="s">
        <v>303</v>
      </c>
      <c r="O43" s="51" t="s">
        <v>488</v>
      </c>
    </row>
    <row r="44" spans="1:15" s="51" customFormat="1" x14ac:dyDescent="0.25">
      <c r="A44" s="51" t="s">
        <v>489</v>
      </c>
      <c r="B44" s="51" t="s">
        <v>327</v>
      </c>
      <c r="C44" s="51" t="s">
        <v>489</v>
      </c>
      <c r="D44" s="51">
        <v>1</v>
      </c>
      <c r="E44" s="47">
        <v>43724</v>
      </c>
      <c r="F44" s="51" t="s">
        <v>490</v>
      </c>
      <c r="G44" s="51" t="s">
        <v>300</v>
      </c>
      <c r="H44" s="51" t="s">
        <v>328</v>
      </c>
      <c r="I44" s="51" t="s">
        <v>66</v>
      </c>
      <c r="J44" s="50">
        <v>8940.2000000000007</v>
      </c>
      <c r="K44" s="51" t="s">
        <v>332</v>
      </c>
      <c r="L44" s="47">
        <v>43724</v>
      </c>
      <c r="M44" s="51" t="s">
        <v>430</v>
      </c>
      <c r="N44" s="51" t="s">
        <v>303</v>
      </c>
      <c r="O44" s="51" t="s">
        <v>491</v>
      </c>
    </row>
    <row r="45" spans="1:15" s="51" customFormat="1" x14ac:dyDescent="0.25">
      <c r="A45" s="51" t="s">
        <v>492</v>
      </c>
      <c r="B45" s="51" t="s">
        <v>327</v>
      </c>
      <c r="C45" s="51" t="s">
        <v>492</v>
      </c>
      <c r="D45" s="51">
        <v>1</v>
      </c>
      <c r="E45" s="47">
        <v>43724</v>
      </c>
      <c r="F45" s="51" t="s">
        <v>493</v>
      </c>
      <c r="G45" s="51" t="s">
        <v>300</v>
      </c>
      <c r="H45" s="51" t="s">
        <v>328</v>
      </c>
      <c r="I45" s="51" t="s">
        <v>66</v>
      </c>
      <c r="J45" s="50">
        <v>9220.4</v>
      </c>
      <c r="K45" s="51" t="s">
        <v>332</v>
      </c>
      <c r="L45" s="47">
        <v>43724</v>
      </c>
      <c r="M45" s="51" t="s">
        <v>430</v>
      </c>
      <c r="N45" s="51" t="s">
        <v>303</v>
      </c>
      <c r="O45" s="51" t="s">
        <v>494</v>
      </c>
    </row>
    <row r="46" spans="1:15" s="51" customFormat="1" x14ac:dyDescent="0.25">
      <c r="A46" s="51" t="s">
        <v>495</v>
      </c>
      <c r="B46" s="51" t="s">
        <v>327</v>
      </c>
      <c r="C46" s="51" t="s">
        <v>495</v>
      </c>
      <c r="D46" s="51">
        <v>1</v>
      </c>
      <c r="E46" s="47">
        <v>43724</v>
      </c>
      <c r="F46" s="51" t="s">
        <v>496</v>
      </c>
      <c r="G46" s="51" t="s">
        <v>300</v>
      </c>
      <c r="H46" s="51" t="s">
        <v>328</v>
      </c>
      <c r="I46" s="51" t="s">
        <v>66</v>
      </c>
      <c r="J46" s="50">
        <v>9500.6</v>
      </c>
      <c r="K46" s="51" t="s">
        <v>332</v>
      </c>
      <c r="L46" s="47">
        <v>43724</v>
      </c>
      <c r="M46" s="51" t="s">
        <v>430</v>
      </c>
      <c r="N46" s="51" t="s">
        <v>303</v>
      </c>
      <c r="O46" s="51" t="s">
        <v>497</v>
      </c>
    </row>
    <row r="47" spans="1:15" s="51" customFormat="1" x14ac:dyDescent="0.25">
      <c r="A47" s="51" t="s">
        <v>498</v>
      </c>
      <c r="B47" s="51" t="s">
        <v>327</v>
      </c>
      <c r="C47" s="51" t="s">
        <v>498</v>
      </c>
      <c r="D47" s="51">
        <v>1</v>
      </c>
      <c r="E47" s="47">
        <v>43724</v>
      </c>
      <c r="F47" s="51" t="s">
        <v>499</v>
      </c>
      <c r="G47" s="51" t="s">
        <v>300</v>
      </c>
      <c r="H47" s="51" t="s">
        <v>328</v>
      </c>
      <c r="I47" s="51" t="s">
        <v>66</v>
      </c>
      <c r="J47" s="50">
        <v>9780.7999999999993</v>
      </c>
      <c r="K47" s="51" t="s">
        <v>332</v>
      </c>
      <c r="L47" s="47">
        <v>43724</v>
      </c>
      <c r="M47" s="51" t="s">
        <v>430</v>
      </c>
      <c r="N47" s="51" t="s">
        <v>303</v>
      </c>
      <c r="O47" s="51" t="s">
        <v>500</v>
      </c>
    </row>
    <row r="48" spans="1:15" s="51" customFormat="1" x14ac:dyDescent="0.25">
      <c r="A48" s="51" t="s">
        <v>501</v>
      </c>
      <c r="B48" s="51" t="s">
        <v>327</v>
      </c>
      <c r="C48" s="51" t="s">
        <v>501</v>
      </c>
      <c r="D48" s="51">
        <v>1</v>
      </c>
      <c r="E48" s="47">
        <v>43724</v>
      </c>
      <c r="F48" s="51" t="s">
        <v>502</v>
      </c>
      <c r="G48" s="51" t="s">
        <v>300</v>
      </c>
      <c r="H48" s="51" t="s">
        <v>328</v>
      </c>
      <c r="I48" s="51" t="s">
        <v>66</v>
      </c>
      <c r="J48" s="50">
        <v>10061</v>
      </c>
      <c r="K48" s="51" t="s">
        <v>332</v>
      </c>
      <c r="L48" s="47">
        <v>43724</v>
      </c>
      <c r="M48" s="51" t="s">
        <v>430</v>
      </c>
      <c r="N48" s="51" t="s">
        <v>303</v>
      </c>
      <c r="O48" s="51" t="s">
        <v>503</v>
      </c>
    </row>
    <row r="49" spans="1:15" x14ac:dyDescent="0.25">
      <c r="A49" s="37" t="s">
        <v>514</v>
      </c>
      <c r="B49" s="37" t="s">
        <v>325</v>
      </c>
      <c r="C49" s="37" t="s">
        <v>514</v>
      </c>
      <c r="D49" s="37">
        <v>1</v>
      </c>
      <c r="E49" s="39">
        <v>43724</v>
      </c>
      <c r="F49" s="37" t="s">
        <v>504</v>
      </c>
      <c r="G49" s="37" t="s">
        <v>300</v>
      </c>
      <c r="H49" s="37" t="s">
        <v>326</v>
      </c>
      <c r="I49" s="37" t="s">
        <v>56</v>
      </c>
      <c r="J49" s="40">
        <v>50000</v>
      </c>
      <c r="K49" s="37" t="s">
        <v>332</v>
      </c>
      <c r="L49" s="39">
        <v>43724</v>
      </c>
      <c r="M49" s="37" t="s">
        <v>505</v>
      </c>
      <c r="N49" s="37" t="s">
        <v>303</v>
      </c>
      <c r="O49" s="37" t="s">
        <v>515</v>
      </c>
    </row>
    <row r="50" spans="1:15" x14ac:dyDescent="0.25">
      <c r="A50" s="37" t="s">
        <v>516</v>
      </c>
      <c r="B50" s="37" t="s">
        <v>327</v>
      </c>
      <c r="C50" s="37" t="s">
        <v>516</v>
      </c>
      <c r="D50" s="37">
        <v>1</v>
      </c>
      <c r="E50" s="39">
        <v>43724</v>
      </c>
      <c r="F50" s="37" t="s">
        <v>506</v>
      </c>
      <c r="G50" s="37" t="s">
        <v>300</v>
      </c>
      <c r="H50" s="37" t="s">
        <v>328</v>
      </c>
      <c r="I50" s="37" t="s">
        <v>343</v>
      </c>
      <c r="J50" s="40">
        <v>275132.45</v>
      </c>
      <c r="K50" s="37" t="s">
        <v>332</v>
      </c>
      <c r="L50" s="39">
        <v>43724</v>
      </c>
      <c r="M50" s="37" t="s">
        <v>507</v>
      </c>
      <c r="N50" s="37" t="s">
        <v>303</v>
      </c>
      <c r="O50" s="37" t="s">
        <v>517</v>
      </c>
    </row>
    <row r="51" spans="1:15" x14ac:dyDescent="0.25">
      <c r="A51" s="37" t="s">
        <v>518</v>
      </c>
      <c r="B51" s="37" t="s">
        <v>327</v>
      </c>
      <c r="C51" s="37" t="s">
        <v>518</v>
      </c>
      <c r="D51" s="37">
        <v>1</v>
      </c>
      <c r="E51" s="39">
        <v>43724</v>
      </c>
      <c r="F51" s="37" t="s">
        <v>508</v>
      </c>
      <c r="G51" s="37" t="s">
        <v>300</v>
      </c>
      <c r="H51" s="37" t="s">
        <v>328</v>
      </c>
      <c r="I51" s="37" t="s">
        <v>343</v>
      </c>
      <c r="J51" s="40">
        <v>112564.67</v>
      </c>
      <c r="K51" s="37" t="s">
        <v>332</v>
      </c>
      <c r="L51" s="39">
        <v>43724</v>
      </c>
      <c r="M51" s="37" t="s">
        <v>507</v>
      </c>
      <c r="N51" s="37" t="s">
        <v>303</v>
      </c>
      <c r="O51" s="37" t="s">
        <v>519</v>
      </c>
    </row>
    <row r="52" spans="1:15" x14ac:dyDescent="0.25">
      <c r="A52" s="37" t="s">
        <v>520</v>
      </c>
      <c r="B52" s="37" t="s">
        <v>344</v>
      </c>
      <c r="C52" s="37" t="s">
        <v>520</v>
      </c>
      <c r="D52" s="37">
        <v>2</v>
      </c>
      <c r="E52" s="39">
        <v>43724</v>
      </c>
      <c r="F52" s="37" t="s">
        <v>509</v>
      </c>
      <c r="G52" s="37" t="s">
        <v>300</v>
      </c>
      <c r="H52" s="37" t="s">
        <v>328</v>
      </c>
      <c r="I52" s="37" t="s">
        <v>343</v>
      </c>
      <c r="J52" s="40">
        <v>423000</v>
      </c>
      <c r="K52" s="37" t="s">
        <v>332</v>
      </c>
      <c r="L52" s="39">
        <v>43724</v>
      </c>
      <c r="M52" s="37" t="s">
        <v>510</v>
      </c>
      <c r="N52" s="37" t="s">
        <v>303</v>
      </c>
      <c r="O52" s="37" t="s">
        <v>521</v>
      </c>
    </row>
    <row r="53" spans="1:15" x14ac:dyDescent="0.25">
      <c r="A53" s="37" t="s">
        <v>522</v>
      </c>
      <c r="B53" s="37" t="s">
        <v>327</v>
      </c>
      <c r="C53" s="37" t="s">
        <v>522</v>
      </c>
      <c r="D53" s="37">
        <v>1</v>
      </c>
      <c r="E53" s="39">
        <v>43724</v>
      </c>
      <c r="F53" s="37" t="s">
        <v>511</v>
      </c>
      <c r="G53" s="37" t="s">
        <v>300</v>
      </c>
      <c r="H53" s="37" t="s">
        <v>328</v>
      </c>
      <c r="I53" s="37" t="s">
        <v>343</v>
      </c>
      <c r="J53" s="40">
        <v>425132.45</v>
      </c>
      <c r="K53" s="37" t="s">
        <v>332</v>
      </c>
      <c r="L53" s="39">
        <v>43724</v>
      </c>
      <c r="M53" s="37" t="s">
        <v>512</v>
      </c>
      <c r="N53" s="37" t="s">
        <v>303</v>
      </c>
      <c r="O53" s="37" t="s">
        <v>523</v>
      </c>
    </row>
    <row r="54" spans="1:15" x14ac:dyDescent="0.25">
      <c r="A54" s="37" t="s">
        <v>524</v>
      </c>
      <c r="B54" s="37" t="s">
        <v>327</v>
      </c>
      <c r="C54" s="37" t="s">
        <v>524</v>
      </c>
      <c r="D54" s="37">
        <v>1</v>
      </c>
      <c r="E54" s="39">
        <v>43724</v>
      </c>
      <c r="F54" s="37" t="s">
        <v>513</v>
      </c>
      <c r="G54" s="37" t="s">
        <v>300</v>
      </c>
      <c r="H54" s="37" t="s">
        <v>328</v>
      </c>
      <c r="I54" s="37" t="s">
        <v>343</v>
      </c>
      <c r="J54" s="40">
        <v>132564.67000000001</v>
      </c>
      <c r="K54" s="37" t="s">
        <v>332</v>
      </c>
      <c r="L54" s="39">
        <v>43724</v>
      </c>
      <c r="M54" s="37" t="s">
        <v>512</v>
      </c>
      <c r="N54" s="37" t="s">
        <v>303</v>
      </c>
      <c r="O54" s="37" t="s">
        <v>525</v>
      </c>
    </row>
    <row r="55" spans="1:15" s="51" customFormat="1" x14ac:dyDescent="0.25">
      <c r="A55" s="51" t="s">
        <v>526</v>
      </c>
      <c r="B55" s="51" t="s">
        <v>327</v>
      </c>
      <c r="C55" s="51" t="s">
        <v>526</v>
      </c>
      <c r="D55" s="51">
        <v>1</v>
      </c>
      <c r="E55" s="47">
        <v>43724</v>
      </c>
      <c r="F55" s="51" t="s">
        <v>527</v>
      </c>
      <c r="G55" s="51" t="s">
        <v>300</v>
      </c>
      <c r="H55" s="51" t="s">
        <v>328</v>
      </c>
      <c r="I55" s="51" t="s">
        <v>56</v>
      </c>
      <c r="J55" s="50">
        <v>125</v>
      </c>
      <c r="K55" s="51" t="s">
        <v>332</v>
      </c>
      <c r="L55" s="47">
        <v>43724</v>
      </c>
      <c r="M55" s="51" t="s">
        <v>528</v>
      </c>
      <c r="N55" s="51" t="s">
        <v>303</v>
      </c>
      <c r="O55" s="51" t="s">
        <v>529</v>
      </c>
    </row>
    <row r="56" spans="1:15" s="51" customFormat="1" x14ac:dyDescent="0.25">
      <c r="A56" s="51" t="s">
        <v>530</v>
      </c>
      <c r="B56" s="51" t="s">
        <v>327</v>
      </c>
      <c r="C56" s="51" t="s">
        <v>530</v>
      </c>
      <c r="D56" s="51">
        <v>1</v>
      </c>
      <c r="E56" s="47">
        <v>43724</v>
      </c>
      <c r="F56" s="51" t="s">
        <v>531</v>
      </c>
      <c r="G56" s="51" t="s">
        <v>300</v>
      </c>
      <c r="H56" s="51" t="s">
        <v>328</v>
      </c>
      <c r="I56" s="51" t="s">
        <v>56</v>
      </c>
      <c r="J56" s="50">
        <v>2500</v>
      </c>
      <c r="K56" s="51" t="s">
        <v>332</v>
      </c>
      <c r="L56" s="47">
        <v>43724</v>
      </c>
      <c r="M56" s="51" t="s">
        <v>528</v>
      </c>
      <c r="N56" s="51" t="s">
        <v>303</v>
      </c>
      <c r="O56" s="51" t="s">
        <v>532</v>
      </c>
    </row>
    <row r="57" spans="1:15" s="51" customFormat="1" x14ac:dyDescent="0.25">
      <c r="A57" s="51" t="s">
        <v>533</v>
      </c>
      <c r="B57" s="51" t="s">
        <v>327</v>
      </c>
      <c r="C57" s="51" t="s">
        <v>533</v>
      </c>
      <c r="D57" s="51">
        <v>1</v>
      </c>
      <c r="E57" s="47">
        <v>43724</v>
      </c>
      <c r="F57" s="51" t="s">
        <v>534</v>
      </c>
      <c r="G57" s="51" t="s">
        <v>300</v>
      </c>
      <c r="H57" s="51" t="s">
        <v>328</v>
      </c>
      <c r="I57" s="51" t="s">
        <v>56</v>
      </c>
      <c r="J57" s="50">
        <v>1500</v>
      </c>
      <c r="K57" s="51" t="s">
        <v>332</v>
      </c>
      <c r="L57" s="47">
        <v>43724</v>
      </c>
      <c r="M57" s="51" t="s">
        <v>528</v>
      </c>
      <c r="N57" s="51" t="s">
        <v>303</v>
      </c>
      <c r="O57" s="51" t="s">
        <v>535</v>
      </c>
    </row>
    <row r="58" spans="1:15" s="51" customFormat="1" x14ac:dyDescent="0.25">
      <c r="A58" s="51" t="s">
        <v>536</v>
      </c>
      <c r="B58" s="51" t="s">
        <v>327</v>
      </c>
      <c r="C58" s="51" t="s">
        <v>536</v>
      </c>
      <c r="D58" s="51">
        <v>1</v>
      </c>
      <c r="E58" s="47">
        <v>43724</v>
      </c>
      <c r="F58" s="51" t="s">
        <v>537</v>
      </c>
      <c r="G58" s="51" t="s">
        <v>300</v>
      </c>
      <c r="H58" s="51" t="s">
        <v>328</v>
      </c>
      <c r="I58" s="51" t="s">
        <v>56</v>
      </c>
      <c r="J58" s="50">
        <v>352</v>
      </c>
      <c r="K58" s="51" t="s">
        <v>332</v>
      </c>
      <c r="L58" s="47">
        <v>43724</v>
      </c>
      <c r="M58" s="51" t="s">
        <v>528</v>
      </c>
      <c r="N58" s="51" t="s">
        <v>303</v>
      </c>
      <c r="O58" s="51" t="s">
        <v>538</v>
      </c>
    </row>
    <row r="59" spans="1:15" s="51" customFormat="1" x14ac:dyDescent="0.25">
      <c r="A59" s="51" t="s">
        <v>539</v>
      </c>
      <c r="B59" s="51" t="s">
        <v>327</v>
      </c>
      <c r="C59" s="51" t="s">
        <v>539</v>
      </c>
      <c r="D59" s="51">
        <v>1</v>
      </c>
      <c r="E59" s="47">
        <v>43724</v>
      </c>
      <c r="F59" s="51" t="s">
        <v>540</v>
      </c>
      <c r="G59" s="51" t="s">
        <v>300</v>
      </c>
      <c r="H59" s="51" t="s">
        <v>328</v>
      </c>
      <c r="I59" s="51" t="s">
        <v>56</v>
      </c>
      <c r="J59" s="50">
        <v>845</v>
      </c>
      <c r="K59" s="51" t="s">
        <v>332</v>
      </c>
      <c r="L59" s="47">
        <v>43724</v>
      </c>
      <c r="M59" s="51" t="s">
        <v>528</v>
      </c>
      <c r="N59" s="51" t="s">
        <v>303</v>
      </c>
      <c r="O59" s="51" t="s">
        <v>541</v>
      </c>
    </row>
    <row r="60" spans="1:15" s="51" customFormat="1" x14ac:dyDescent="0.25">
      <c r="A60" s="51" t="s">
        <v>542</v>
      </c>
      <c r="B60" s="51" t="s">
        <v>327</v>
      </c>
      <c r="C60" s="51" t="s">
        <v>542</v>
      </c>
      <c r="D60" s="51">
        <v>1</v>
      </c>
      <c r="E60" s="47">
        <v>43724</v>
      </c>
      <c r="F60" s="51" t="s">
        <v>543</v>
      </c>
      <c r="G60" s="51" t="s">
        <v>300</v>
      </c>
      <c r="H60" s="51" t="s">
        <v>328</v>
      </c>
      <c r="I60" s="51" t="s">
        <v>56</v>
      </c>
      <c r="J60" s="50">
        <v>15231</v>
      </c>
      <c r="K60" s="51" t="s">
        <v>332</v>
      </c>
      <c r="L60" s="47">
        <v>43724</v>
      </c>
      <c r="M60" s="51" t="s">
        <v>528</v>
      </c>
      <c r="N60" s="51" t="s">
        <v>303</v>
      </c>
      <c r="O60" s="51" t="s">
        <v>544</v>
      </c>
    </row>
    <row r="61" spans="1:15" s="51" customFormat="1" x14ac:dyDescent="0.25">
      <c r="A61" s="51" t="s">
        <v>545</v>
      </c>
      <c r="B61" s="51" t="s">
        <v>325</v>
      </c>
      <c r="C61" s="51" t="s">
        <v>545</v>
      </c>
      <c r="D61" s="51">
        <v>1</v>
      </c>
      <c r="E61" s="47">
        <v>43724</v>
      </c>
      <c r="F61" s="51" t="s">
        <v>546</v>
      </c>
      <c r="G61" s="51" t="s">
        <v>300</v>
      </c>
      <c r="H61" s="51" t="s">
        <v>326</v>
      </c>
      <c r="I61" s="51" t="s">
        <v>56</v>
      </c>
      <c r="J61" s="50">
        <v>21000</v>
      </c>
      <c r="K61" s="51" t="s">
        <v>332</v>
      </c>
      <c r="L61" s="47">
        <v>43724</v>
      </c>
      <c r="M61" s="51" t="s">
        <v>547</v>
      </c>
      <c r="N61" s="51" t="s">
        <v>303</v>
      </c>
      <c r="O61" s="51" t="s">
        <v>548</v>
      </c>
    </row>
    <row r="62" spans="1:15" s="51" customFormat="1" x14ac:dyDescent="0.25">
      <c r="A62" s="51" t="s">
        <v>549</v>
      </c>
      <c r="B62" s="51" t="s">
        <v>327</v>
      </c>
      <c r="C62" s="51" t="s">
        <v>549</v>
      </c>
      <c r="D62" s="51">
        <v>1</v>
      </c>
      <c r="E62" s="47">
        <v>43724</v>
      </c>
      <c r="F62" s="51" t="s">
        <v>550</v>
      </c>
      <c r="G62" s="51" t="s">
        <v>300</v>
      </c>
      <c r="H62" s="51" t="s">
        <v>328</v>
      </c>
      <c r="I62" s="51" t="s">
        <v>56</v>
      </c>
      <c r="J62" s="50">
        <v>715</v>
      </c>
      <c r="K62" s="51" t="s">
        <v>332</v>
      </c>
      <c r="L62" s="47">
        <v>43724</v>
      </c>
      <c r="M62" s="51" t="s">
        <v>551</v>
      </c>
      <c r="N62" s="51" t="s">
        <v>303</v>
      </c>
      <c r="O62" s="51" t="s">
        <v>552</v>
      </c>
    </row>
    <row r="63" spans="1:15" s="51" customFormat="1" x14ac:dyDescent="0.25">
      <c r="A63" s="51" t="s">
        <v>553</v>
      </c>
      <c r="B63" s="51" t="s">
        <v>327</v>
      </c>
      <c r="C63" s="51" t="s">
        <v>553</v>
      </c>
      <c r="D63" s="51">
        <v>1</v>
      </c>
      <c r="E63" s="47">
        <v>43724</v>
      </c>
      <c r="F63" s="51" t="s">
        <v>554</v>
      </c>
      <c r="G63" s="51" t="s">
        <v>300</v>
      </c>
      <c r="H63" s="51" t="s">
        <v>328</v>
      </c>
      <c r="I63" s="51" t="s">
        <v>56</v>
      </c>
      <c r="J63" s="50">
        <v>100</v>
      </c>
      <c r="K63" s="51" t="s">
        <v>332</v>
      </c>
      <c r="L63" s="47">
        <v>43724</v>
      </c>
      <c r="M63" s="51" t="s">
        <v>551</v>
      </c>
      <c r="N63" s="51" t="s">
        <v>303</v>
      </c>
      <c r="O63" s="51" t="s">
        <v>555</v>
      </c>
    </row>
    <row r="64" spans="1:15" s="51" customFormat="1" x14ac:dyDescent="0.25">
      <c r="A64" s="51" t="s">
        <v>556</v>
      </c>
      <c r="B64" s="51" t="s">
        <v>327</v>
      </c>
      <c r="C64" s="51" t="s">
        <v>556</v>
      </c>
      <c r="D64" s="51">
        <v>1</v>
      </c>
      <c r="E64" s="47">
        <v>43724</v>
      </c>
      <c r="F64" s="51" t="s">
        <v>557</v>
      </c>
      <c r="G64" s="51" t="s">
        <v>300</v>
      </c>
      <c r="H64" s="51" t="s">
        <v>328</v>
      </c>
      <c r="I64" s="51" t="s">
        <v>56</v>
      </c>
      <c r="J64" s="50">
        <v>20000</v>
      </c>
      <c r="K64" s="51" t="s">
        <v>332</v>
      </c>
      <c r="L64" s="47">
        <v>43724</v>
      </c>
      <c r="M64" s="51" t="s">
        <v>551</v>
      </c>
      <c r="N64" s="51" t="s">
        <v>303</v>
      </c>
      <c r="O64" s="51" t="s">
        <v>558</v>
      </c>
    </row>
    <row r="65" spans="1:15" s="51" customFormat="1" x14ac:dyDescent="0.25">
      <c r="A65" s="51" t="s">
        <v>559</v>
      </c>
      <c r="B65" s="51" t="s">
        <v>327</v>
      </c>
      <c r="C65" s="51" t="s">
        <v>559</v>
      </c>
      <c r="D65" s="51">
        <v>1</v>
      </c>
      <c r="E65" s="47">
        <v>43724</v>
      </c>
      <c r="F65" s="51" t="s">
        <v>560</v>
      </c>
      <c r="G65" s="51" t="s">
        <v>300</v>
      </c>
      <c r="H65" s="51" t="s">
        <v>328</v>
      </c>
      <c r="I65" s="51" t="s">
        <v>56</v>
      </c>
      <c r="J65" s="50">
        <v>1500</v>
      </c>
      <c r="K65" s="51" t="s">
        <v>332</v>
      </c>
      <c r="L65" s="47">
        <v>43724</v>
      </c>
      <c r="M65" s="51" t="s">
        <v>551</v>
      </c>
      <c r="N65" s="51" t="s">
        <v>303</v>
      </c>
      <c r="O65" s="51" t="s">
        <v>561</v>
      </c>
    </row>
    <row r="66" spans="1:15" s="51" customFormat="1" x14ac:dyDescent="0.25">
      <c r="A66" s="51" t="s">
        <v>562</v>
      </c>
      <c r="B66" s="51" t="s">
        <v>327</v>
      </c>
      <c r="C66" s="51" t="s">
        <v>562</v>
      </c>
      <c r="D66" s="51">
        <v>1</v>
      </c>
      <c r="E66" s="47">
        <v>43724</v>
      </c>
      <c r="F66" s="51" t="s">
        <v>563</v>
      </c>
      <c r="G66" s="51" t="s">
        <v>300</v>
      </c>
      <c r="H66" s="51" t="s">
        <v>328</v>
      </c>
      <c r="I66" s="51" t="s">
        <v>56</v>
      </c>
      <c r="J66" s="50">
        <v>950</v>
      </c>
      <c r="K66" s="51" t="s">
        <v>332</v>
      </c>
      <c r="L66" s="47">
        <v>43724</v>
      </c>
      <c r="M66" s="51" t="s">
        <v>551</v>
      </c>
      <c r="N66" s="51" t="s">
        <v>303</v>
      </c>
      <c r="O66" s="51" t="s">
        <v>564</v>
      </c>
    </row>
    <row r="67" spans="1:15" s="51" customFormat="1" x14ac:dyDescent="0.25">
      <c r="A67" s="51" t="s">
        <v>565</v>
      </c>
      <c r="B67" s="51" t="s">
        <v>327</v>
      </c>
      <c r="C67" s="51" t="s">
        <v>565</v>
      </c>
      <c r="D67" s="51">
        <v>1</v>
      </c>
      <c r="E67" s="47">
        <v>43724</v>
      </c>
      <c r="F67" s="51" t="s">
        <v>566</v>
      </c>
      <c r="G67" s="51" t="s">
        <v>300</v>
      </c>
      <c r="H67" s="51" t="s">
        <v>328</v>
      </c>
      <c r="I67" s="51" t="s">
        <v>56</v>
      </c>
      <c r="J67" s="50">
        <v>751</v>
      </c>
      <c r="K67" s="51" t="s">
        <v>332</v>
      </c>
      <c r="L67" s="47">
        <v>43724</v>
      </c>
      <c r="M67" s="51" t="s">
        <v>551</v>
      </c>
      <c r="N67" s="51" t="s">
        <v>303</v>
      </c>
      <c r="O67" s="51" t="s">
        <v>567</v>
      </c>
    </row>
    <row r="68" spans="1:15" s="51" customFormat="1" x14ac:dyDescent="0.25">
      <c r="A68" s="51" t="s">
        <v>568</v>
      </c>
      <c r="B68" s="51" t="s">
        <v>327</v>
      </c>
      <c r="C68" s="51" t="s">
        <v>568</v>
      </c>
      <c r="D68" s="51">
        <v>1</v>
      </c>
      <c r="E68" s="47">
        <v>43724</v>
      </c>
      <c r="F68" s="51" t="s">
        <v>569</v>
      </c>
      <c r="G68" s="51" t="s">
        <v>300</v>
      </c>
      <c r="H68" s="51" t="s">
        <v>328</v>
      </c>
      <c r="I68" s="51" t="s">
        <v>56</v>
      </c>
      <c r="J68" s="50">
        <v>3252</v>
      </c>
      <c r="K68" s="51" t="s">
        <v>332</v>
      </c>
      <c r="L68" s="47">
        <v>43724</v>
      </c>
      <c r="M68" s="51" t="s">
        <v>551</v>
      </c>
      <c r="N68" s="51" t="s">
        <v>303</v>
      </c>
      <c r="O68" s="51" t="s">
        <v>570</v>
      </c>
    </row>
    <row r="69" spans="1:15" s="51" customFormat="1" x14ac:dyDescent="0.25">
      <c r="A69" s="51" t="s">
        <v>571</v>
      </c>
      <c r="B69" s="51" t="s">
        <v>327</v>
      </c>
      <c r="C69" s="51" t="s">
        <v>571</v>
      </c>
      <c r="D69" s="51">
        <v>1</v>
      </c>
      <c r="E69" s="47">
        <v>43724</v>
      </c>
      <c r="F69" s="51" t="s">
        <v>572</v>
      </c>
      <c r="G69" s="51" t="s">
        <v>300</v>
      </c>
      <c r="H69" s="51" t="s">
        <v>328</v>
      </c>
      <c r="I69" s="51" t="s">
        <v>56</v>
      </c>
      <c r="J69" s="50">
        <v>174</v>
      </c>
      <c r="K69" s="51" t="s">
        <v>332</v>
      </c>
      <c r="L69" s="47">
        <v>43724</v>
      </c>
      <c r="M69" s="51" t="s">
        <v>551</v>
      </c>
      <c r="N69" s="51" t="s">
        <v>303</v>
      </c>
      <c r="O69" s="51" t="s">
        <v>573</v>
      </c>
    </row>
    <row r="70" spans="1:15" s="51" customFormat="1" x14ac:dyDescent="0.25">
      <c r="A70" s="51" t="s">
        <v>574</v>
      </c>
      <c r="B70" s="51" t="s">
        <v>325</v>
      </c>
      <c r="C70" s="51" t="s">
        <v>574</v>
      </c>
      <c r="D70" s="51">
        <v>1</v>
      </c>
      <c r="E70" s="47">
        <v>43724</v>
      </c>
      <c r="F70" s="51" t="s">
        <v>575</v>
      </c>
      <c r="G70" s="51" t="s">
        <v>300</v>
      </c>
      <c r="H70" s="51" t="s">
        <v>326</v>
      </c>
      <c r="I70" s="51" t="s">
        <v>56</v>
      </c>
      <c r="J70" s="50">
        <v>25000</v>
      </c>
      <c r="K70" s="51" t="s">
        <v>332</v>
      </c>
      <c r="L70" s="47">
        <v>43724</v>
      </c>
      <c r="M70" s="51" t="s">
        <v>576</v>
      </c>
      <c r="N70" s="51" t="s">
        <v>303</v>
      </c>
      <c r="O70" s="51" t="s">
        <v>577</v>
      </c>
    </row>
  </sheetData>
  <autoFilter ref="A1:O2" xr:uid="{00000000-0009-0000-0000-000001000000}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A81621C-16C0-4A85-B8E6-599616C06954}">
          <x14:formula1>
            <xm:f>Accounts!$L:$L</xm:f>
          </x14:formula1>
          <xm:sqref>M1:M1048576</xm:sqref>
        </x14:dataValidation>
        <x14:dataValidation type="list" allowBlank="1" showInputMessage="1" showErrorMessage="1" xr:uid="{BAB2B4BC-CC64-40B8-840C-4B2B54DA1C22}">
          <x14:formula1>
            <xm:f>Accounts!$J:$J</xm:f>
          </x14:formula1>
          <xm:sqref>J1:K1048576</xm:sqref>
        </x14:dataValidation>
        <x14:dataValidation type="list" allowBlank="1" showInputMessage="1" showErrorMessage="1" xr:uid="{512612CF-009E-4C33-A92A-9579F97F7067}">
          <x14:formula1>
            <xm:f>Accounts!$G:$G</xm:f>
          </x14:formula1>
          <xm:sqref>G1:G1048576</xm:sqref>
        </x14:dataValidation>
        <x14:dataValidation type="list" allowBlank="1" showInputMessage="1" showErrorMessage="1" xr:uid="{E84FE476-04FF-4B52-A064-1720B20E1DED}">
          <x14:formula1>
            <xm:f>Accounts!$F:$F</xm:f>
          </x14:formula1>
          <xm:sqref>N2:O1048576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54D56-959E-46A1-8453-15F0579C26D2}">
  <sheetPr codeName="Sheet23"/>
  <dimension ref="A1:R5"/>
  <sheetViews>
    <sheetView workbookViewId="0">
      <pane ySplit="1" topLeftCell="A2" activePane="bottomLeft" state="frozen"/>
      <selection pane="bottomLeft" activeCell="A8" sqref="A8"/>
    </sheetView>
  </sheetViews>
  <sheetFormatPr defaultColWidth="16" defaultRowHeight="15" x14ac:dyDescent="0.25"/>
  <cols>
    <col min="1" max="1" width="19.28515625" style="37" bestFit="1" customWidth="1"/>
    <col min="2" max="2" width="14.140625" style="37" bestFit="1" customWidth="1"/>
    <col min="3" max="3" width="19.28515625" style="37" bestFit="1" customWidth="1"/>
    <col min="4" max="4" width="14.140625" style="37" bestFit="1" customWidth="1"/>
    <col min="5" max="5" width="15.140625" style="39" bestFit="1" customWidth="1"/>
    <col min="6" max="6" width="26.7109375" style="37" bestFit="1" customWidth="1"/>
    <col min="7" max="7" width="22.28515625" style="37" bestFit="1" customWidth="1"/>
    <col min="8" max="8" width="15.140625" style="37" bestFit="1" customWidth="1"/>
    <col min="9" max="9" width="10.140625" style="37" bestFit="1" customWidth="1"/>
    <col min="10" max="10" width="19.140625" style="37" bestFit="1" customWidth="1"/>
    <col min="11" max="11" width="21.28515625" style="37" bestFit="1" customWidth="1"/>
    <col min="12" max="12" width="17.140625" style="37" bestFit="1" customWidth="1"/>
    <col min="13" max="13" width="19.140625" style="37" bestFit="1" customWidth="1"/>
    <col min="14" max="14" width="10.140625" style="37" bestFit="1" customWidth="1"/>
    <col min="15" max="15" width="15.140625" style="37" bestFit="1" customWidth="1"/>
    <col min="16" max="16" width="53.42578125" style="37" bestFit="1" customWidth="1"/>
    <col min="17" max="17" width="17.28515625" style="37" bestFit="1" customWidth="1"/>
    <col min="18" max="18" width="22.42578125" style="37" bestFit="1" customWidth="1"/>
    <col min="19" max="16384" width="16" style="37"/>
  </cols>
  <sheetData>
    <row r="1" spans="1:18" x14ac:dyDescent="0.25">
      <c r="A1" s="34" t="s">
        <v>10</v>
      </c>
      <c r="B1" s="34" t="s">
        <v>6</v>
      </c>
      <c r="C1" s="34" t="s">
        <v>11</v>
      </c>
      <c r="D1" s="34" t="s">
        <v>12</v>
      </c>
      <c r="E1" s="35" t="s">
        <v>13</v>
      </c>
      <c r="F1" s="34" t="s">
        <v>14</v>
      </c>
      <c r="G1" s="34" t="s">
        <v>16</v>
      </c>
      <c r="H1" s="34" t="s">
        <v>18</v>
      </c>
      <c r="I1" s="34" t="s">
        <v>22</v>
      </c>
      <c r="J1" s="34" t="s">
        <v>23</v>
      </c>
      <c r="K1" s="34" t="s">
        <v>54</v>
      </c>
      <c r="L1" s="34" t="s">
        <v>24</v>
      </c>
      <c r="M1" s="34" t="s">
        <v>330</v>
      </c>
      <c r="N1" s="34" t="s">
        <v>3</v>
      </c>
      <c r="O1" s="34" t="s">
        <v>26</v>
      </c>
      <c r="P1" s="34" t="s">
        <v>39</v>
      </c>
      <c r="Q1" s="41" t="s">
        <v>305</v>
      </c>
      <c r="R1" s="41" t="s">
        <v>329</v>
      </c>
    </row>
    <row r="2" spans="1:18" x14ac:dyDescent="0.25">
      <c r="A2" s="42" t="s">
        <v>338</v>
      </c>
      <c r="B2" s="38" t="s">
        <v>331</v>
      </c>
      <c r="C2" s="42" t="s">
        <v>338</v>
      </c>
      <c r="D2" s="38">
        <v>1</v>
      </c>
      <c r="E2" s="43">
        <v>43721</v>
      </c>
      <c r="F2" s="44" t="s">
        <v>334</v>
      </c>
      <c r="G2" s="38" t="s">
        <v>297</v>
      </c>
      <c r="H2" s="38" t="s">
        <v>339</v>
      </c>
      <c r="I2" s="38">
        <v>4.12</v>
      </c>
      <c r="J2" s="38" t="s">
        <v>66</v>
      </c>
      <c r="K2" s="38" t="s">
        <v>56</v>
      </c>
      <c r="L2" s="45">
        <v>206000</v>
      </c>
      <c r="M2" s="38"/>
      <c r="N2" s="38" t="s">
        <v>332</v>
      </c>
      <c r="O2" s="38"/>
      <c r="P2" s="38" t="s">
        <v>335</v>
      </c>
      <c r="Q2" s="38" t="s">
        <v>306</v>
      </c>
      <c r="R2" s="42" t="s">
        <v>340</v>
      </c>
    </row>
    <row r="3" spans="1:18" x14ac:dyDescent="0.25">
      <c r="A3" s="42" t="s">
        <v>341</v>
      </c>
      <c r="B3" s="38" t="s">
        <v>331</v>
      </c>
      <c r="C3" s="42" t="s">
        <v>341</v>
      </c>
      <c r="D3" s="38">
        <v>1</v>
      </c>
      <c r="E3" s="43">
        <v>43721</v>
      </c>
      <c r="F3" s="44" t="s">
        <v>336</v>
      </c>
      <c r="G3" s="38" t="s">
        <v>297</v>
      </c>
      <c r="H3" s="38" t="s">
        <v>339</v>
      </c>
      <c r="I3" s="38">
        <v>4.1159999999999997</v>
      </c>
      <c r="J3" s="38" t="s">
        <v>66</v>
      </c>
      <c r="K3" s="38" t="s">
        <v>56</v>
      </c>
      <c r="L3" s="45">
        <v>41160</v>
      </c>
      <c r="M3" s="38"/>
      <c r="N3" s="38" t="s">
        <v>332</v>
      </c>
      <c r="O3" s="38"/>
      <c r="P3" s="38" t="s">
        <v>337</v>
      </c>
      <c r="Q3" s="38" t="s">
        <v>306</v>
      </c>
      <c r="R3" s="42" t="s">
        <v>342</v>
      </c>
    </row>
    <row r="4" spans="1:18" x14ac:dyDescent="0.25">
      <c r="A4" s="37" t="s">
        <v>345</v>
      </c>
      <c r="B4" s="37" t="s">
        <v>346</v>
      </c>
      <c r="C4" s="37" t="s">
        <v>345</v>
      </c>
      <c r="D4" s="37">
        <v>1</v>
      </c>
      <c r="E4" s="39">
        <v>43721</v>
      </c>
      <c r="F4" s="37" t="s">
        <v>347</v>
      </c>
      <c r="G4" s="37" t="s">
        <v>297</v>
      </c>
      <c r="H4" s="37" t="s">
        <v>339</v>
      </c>
      <c r="I4" s="37">
        <v>84.754599999999996</v>
      </c>
      <c r="J4" s="37" t="s">
        <v>56</v>
      </c>
      <c r="K4" s="37" t="s">
        <v>343</v>
      </c>
      <c r="L4" s="37">
        <v>423773</v>
      </c>
      <c r="N4" s="37" t="s">
        <v>332</v>
      </c>
      <c r="O4" s="37">
        <v>43721</v>
      </c>
      <c r="P4" s="37" t="s">
        <v>348</v>
      </c>
      <c r="Q4" s="37" t="s">
        <v>306</v>
      </c>
      <c r="R4" s="37" t="s">
        <v>349</v>
      </c>
    </row>
    <row r="5" spans="1:18" x14ac:dyDescent="0.25">
      <c r="A5" s="37" t="s">
        <v>350</v>
      </c>
      <c r="B5" s="37" t="s">
        <v>331</v>
      </c>
      <c r="C5" s="37" t="s">
        <v>350</v>
      </c>
      <c r="D5" s="37">
        <v>1</v>
      </c>
      <c r="E5" s="39">
        <v>43721</v>
      </c>
      <c r="F5" s="37" t="s">
        <v>351</v>
      </c>
      <c r="G5" s="37" t="s">
        <v>297</v>
      </c>
      <c r="H5" s="37" t="s">
        <v>339</v>
      </c>
      <c r="I5" s="37">
        <v>84.765000000000001</v>
      </c>
      <c r="J5" s="37" t="s">
        <v>56</v>
      </c>
      <c r="K5" s="37" t="s">
        <v>343</v>
      </c>
      <c r="L5" s="37">
        <v>974797.5</v>
      </c>
      <c r="N5" s="37" t="s">
        <v>332</v>
      </c>
      <c r="O5" s="37">
        <v>43721</v>
      </c>
      <c r="P5" s="37" t="s">
        <v>352</v>
      </c>
      <c r="Q5" s="37" t="s">
        <v>306</v>
      </c>
      <c r="R5" s="37" t="s">
        <v>353</v>
      </c>
    </row>
  </sheetData>
  <autoFilter ref="A1:P2" xr:uid="{00000000-0009-0000-0000-000001000000}"/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64218-8B9F-46E2-8520-9B08649F4D91}">
  <sheetPr codeName="Sheet24"/>
  <dimension ref="A1:O95"/>
  <sheetViews>
    <sheetView tabSelected="1" workbookViewId="0">
      <pane ySplit="1" topLeftCell="A2" activePane="bottomLeft" state="frozen"/>
      <selection pane="bottomLeft" activeCell="H12" sqref="H12"/>
    </sheetView>
  </sheetViews>
  <sheetFormatPr defaultColWidth="16" defaultRowHeight="15" x14ac:dyDescent="0.25"/>
  <cols>
    <col min="1" max="1" width="48" style="37" bestFit="1" customWidth="1"/>
    <col min="2" max="2" width="35.140625" style="37" customWidth="1"/>
    <col min="3" max="3" width="48" style="37" bestFit="1" customWidth="1"/>
    <col min="4" max="4" width="8.7109375" style="37" customWidth="1"/>
    <col min="5" max="5" width="13.85546875" style="39" customWidth="1"/>
    <col min="6" max="6" width="30.28515625" style="37" bestFit="1" customWidth="1"/>
    <col min="7" max="7" width="22.28515625" style="37" bestFit="1" customWidth="1"/>
    <col min="8" max="8" width="15.140625" style="37" bestFit="1" customWidth="1"/>
    <col min="9" max="9" width="19.140625" style="37" bestFit="1" customWidth="1"/>
    <col min="10" max="10" width="17.140625" style="40" bestFit="1" customWidth="1"/>
    <col min="11" max="11" width="10.140625" style="37" bestFit="1" customWidth="1"/>
    <col min="12" max="12" width="15.140625" style="39" bestFit="1" customWidth="1"/>
    <col min="13" max="13" width="59.5703125" style="37" customWidth="1"/>
    <col min="14" max="14" width="19.5703125" style="37" bestFit="1" customWidth="1"/>
    <col min="15" max="15" width="24.28515625" style="37" bestFit="1" customWidth="1"/>
    <col min="16" max="16384" width="16" style="37"/>
  </cols>
  <sheetData>
    <row r="1" spans="1:15" x14ac:dyDescent="0.25">
      <c r="A1" s="34" t="s">
        <v>10</v>
      </c>
      <c r="B1" s="34" t="s">
        <v>6</v>
      </c>
      <c r="C1" s="34" t="s">
        <v>11</v>
      </c>
      <c r="D1" s="34" t="s">
        <v>12</v>
      </c>
      <c r="E1" s="35" t="s">
        <v>13</v>
      </c>
      <c r="F1" s="34" t="s">
        <v>14</v>
      </c>
      <c r="G1" s="34" t="s">
        <v>16</v>
      </c>
      <c r="H1" s="34" t="s">
        <v>18</v>
      </c>
      <c r="I1" s="34" t="s">
        <v>23</v>
      </c>
      <c r="J1" s="36" t="s">
        <v>24</v>
      </c>
      <c r="K1" s="34" t="s">
        <v>3</v>
      </c>
      <c r="L1" s="35" t="s">
        <v>26</v>
      </c>
      <c r="M1" s="34" t="s">
        <v>39</v>
      </c>
      <c r="N1" s="34" t="s">
        <v>305</v>
      </c>
      <c r="O1" s="34" t="s">
        <v>329</v>
      </c>
    </row>
    <row r="2" spans="1:15" s="51" customFormat="1" x14ac:dyDescent="0.25">
      <c r="A2" s="46" t="s">
        <v>585</v>
      </c>
      <c r="B2" s="46" t="s">
        <v>325</v>
      </c>
      <c r="C2" s="46" t="s">
        <v>585</v>
      </c>
      <c r="D2" s="46">
        <v>1</v>
      </c>
      <c r="E2" s="47">
        <v>43724</v>
      </c>
      <c r="F2" s="48" t="s">
        <v>586</v>
      </c>
      <c r="G2" s="46" t="s">
        <v>579</v>
      </c>
      <c r="H2" s="46" t="s">
        <v>326</v>
      </c>
      <c r="I2" s="49" t="s">
        <v>56</v>
      </c>
      <c r="J2" s="50">
        <v>40000</v>
      </c>
      <c r="K2" s="46" t="s">
        <v>582</v>
      </c>
      <c r="L2" s="47">
        <v>43724</v>
      </c>
      <c r="M2" s="46" t="s">
        <v>587</v>
      </c>
      <c r="N2" s="46" t="s">
        <v>581</v>
      </c>
      <c r="O2" s="46" t="s">
        <v>588</v>
      </c>
    </row>
    <row r="3" spans="1:15" s="51" customFormat="1" x14ac:dyDescent="0.25">
      <c r="A3" s="37" t="s">
        <v>736</v>
      </c>
      <c r="B3" s="37" t="s">
        <v>325</v>
      </c>
      <c r="C3" s="37" t="s">
        <v>736</v>
      </c>
      <c r="D3" s="46">
        <v>1</v>
      </c>
      <c r="E3" s="39">
        <v>43724</v>
      </c>
      <c r="F3" s="37" t="s">
        <v>737</v>
      </c>
      <c r="G3" s="37" t="s">
        <v>579</v>
      </c>
      <c r="H3" s="37" t="s">
        <v>326</v>
      </c>
      <c r="I3" s="37" t="s">
        <v>56</v>
      </c>
      <c r="J3" s="40">
        <v>40000</v>
      </c>
      <c r="K3" s="37" t="s">
        <v>584</v>
      </c>
      <c r="L3" s="39">
        <v>43724</v>
      </c>
      <c r="M3" s="37" t="s">
        <v>587</v>
      </c>
      <c r="N3" s="37" t="s">
        <v>581</v>
      </c>
      <c r="O3" s="37" t="s">
        <v>738</v>
      </c>
    </row>
    <row r="4" spans="1:15" s="51" customFormat="1" x14ac:dyDescent="0.25">
      <c r="A4" s="51" t="s">
        <v>589</v>
      </c>
      <c r="B4" s="51" t="s">
        <v>325</v>
      </c>
      <c r="C4" s="51" t="s">
        <v>589</v>
      </c>
      <c r="D4" s="46">
        <v>1</v>
      </c>
      <c r="E4" s="47">
        <v>43724</v>
      </c>
      <c r="F4" s="51" t="s">
        <v>590</v>
      </c>
      <c r="G4" s="51" t="s">
        <v>579</v>
      </c>
      <c r="H4" s="51" t="s">
        <v>326</v>
      </c>
      <c r="I4" s="51" t="s">
        <v>56</v>
      </c>
      <c r="J4" s="50">
        <v>25000</v>
      </c>
      <c r="K4" s="51" t="s">
        <v>582</v>
      </c>
      <c r="L4" s="47">
        <v>43724</v>
      </c>
      <c r="M4" s="51" t="s">
        <v>591</v>
      </c>
      <c r="N4" s="51" t="s">
        <v>581</v>
      </c>
      <c r="O4" s="51" t="s">
        <v>592</v>
      </c>
    </row>
    <row r="5" spans="1:15" s="51" customFormat="1" x14ac:dyDescent="0.25">
      <c r="A5" s="37" t="s">
        <v>739</v>
      </c>
      <c r="B5" s="37" t="s">
        <v>325</v>
      </c>
      <c r="C5" s="37" t="s">
        <v>739</v>
      </c>
      <c r="D5" s="46">
        <v>1</v>
      </c>
      <c r="E5" s="39">
        <v>43724</v>
      </c>
      <c r="F5" s="37" t="s">
        <v>740</v>
      </c>
      <c r="G5" s="37" t="s">
        <v>579</v>
      </c>
      <c r="H5" s="37" t="s">
        <v>326</v>
      </c>
      <c r="I5" s="37" t="s">
        <v>56</v>
      </c>
      <c r="J5" s="40">
        <v>25000</v>
      </c>
      <c r="K5" s="37" t="s">
        <v>584</v>
      </c>
      <c r="L5" s="39">
        <v>43724</v>
      </c>
      <c r="M5" s="37" t="s">
        <v>591</v>
      </c>
      <c r="N5" s="37" t="s">
        <v>581</v>
      </c>
      <c r="O5" s="37" t="s">
        <v>741</v>
      </c>
    </row>
    <row r="6" spans="1:15" s="51" customFormat="1" x14ac:dyDescent="0.25">
      <c r="A6" s="51" t="s">
        <v>593</v>
      </c>
      <c r="B6" s="51" t="s">
        <v>325</v>
      </c>
      <c r="C6" s="51" t="s">
        <v>593</v>
      </c>
      <c r="D6" s="46">
        <v>1</v>
      </c>
      <c r="E6" s="47">
        <v>43724</v>
      </c>
      <c r="F6" s="51" t="s">
        <v>594</v>
      </c>
      <c r="G6" s="51" t="s">
        <v>579</v>
      </c>
      <c r="H6" s="51" t="s">
        <v>326</v>
      </c>
      <c r="I6" s="51" t="s">
        <v>56</v>
      </c>
      <c r="J6" s="50">
        <v>75000</v>
      </c>
      <c r="K6" s="51" t="s">
        <v>582</v>
      </c>
      <c r="L6" s="47">
        <v>43724</v>
      </c>
      <c r="M6" s="51" t="s">
        <v>595</v>
      </c>
      <c r="N6" s="51" t="s">
        <v>581</v>
      </c>
      <c r="O6" s="51" t="s">
        <v>596</v>
      </c>
    </row>
    <row r="7" spans="1:15" s="51" customFormat="1" x14ac:dyDescent="0.25">
      <c r="A7" s="51" t="s">
        <v>597</v>
      </c>
      <c r="B7" s="51" t="s">
        <v>325</v>
      </c>
      <c r="C7" s="51" t="s">
        <v>597</v>
      </c>
      <c r="D7" s="46">
        <v>1</v>
      </c>
      <c r="E7" s="47">
        <v>43724</v>
      </c>
      <c r="F7" s="51" t="s">
        <v>598</v>
      </c>
      <c r="G7" s="51" t="s">
        <v>579</v>
      </c>
      <c r="H7" s="51" t="s">
        <v>326</v>
      </c>
      <c r="I7" s="51" t="s">
        <v>56</v>
      </c>
      <c r="J7" s="50">
        <v>40000</v>
      </c>
      <c r="K7" s="51" t="s">
        <v>582</v>
      </c>
      <c r="L7" s="47">
        <v>43724</v>
      </c>
      <c r="M7" s="51" t="s">
        <v>595</v>
      </c>
      <c r="N7" s="51" t="s">
        <v>581</v>
      </c>
      <c r="O7" s="51" t="s">
        <v>599</v>
      </c>
    </row>
    <row r="8" spans="1:15" s="51" customFormat="1" x14ac:dyDescent="0.25">
      <c r="A8" s="51" t="s">
        <v>600</v>
      </c>
      <c r="B8" s="51" t="s">
        <v>325</v>
      </c>
      <c r="C8" s="51" t="s">
        <v>600</v>
      </c>
      <c r="D8" s="46">
        <v>1</v>
      </c>
      <c r="E8" s="47">
        <v>43724</v>
      </c>
      <c r="F8" s="51" t="s">
        <v>601</v>
      </c>
      <c r="G8" s="51" t="s">
        <v>579</v>
      </c>
      <c r="H8" s="51" t="s">
        <v>326</v>
      </c>
      <c r="I8" s="51" t="s">
        <v>56</v>
      </c>
      <c r="J8" s="50">
        <v>10000</v>
      </c>
      <c r="K8" s="51" t="s">
        <v>582</v>
      </c>
      <c r="L8" s="47">
        <v>43724</v>
      </c>
      <c r="M8" s="51" t="s">
        <v>595</v>
      </c>
      <c r="N8" s="51" t="s">
        <v>581</v>
      </c>
      <c r="O8" s="51" t="s">
        <v>602</v>
      </c>
    </row>
    <row r="9" spans="1:15" s="51" customFormat="1" x14ac:dyDescent="0.25">
      <c r="A9" s="51" t="s">
        <v>603</v>
      </c>
      <c r="B9" s="51" t="s">
        <v>327</v>
      </c>
      <c r="C9" s="51" t="s">
        <v>603</v>
      </c>
      <c r="D9" s="46">
        <v>1</v>
      </c>
      <c r="E9" s="47">
        <v>43724</v>
      </c>
      <c r="F9" s="51" t="s">
        <v>604</v>
      </c>
      <c r="G9" s="51" t="s">
        <v>605</v>
      </c>
      <c r="H9" s="51" t="s">
        <v>328</v>
      </c>
      <c r="I9" s="51" t="s">
        <v>66</v>
      </c>
      <c r="J9" s="50">
        <v>152</v>
      </c>
      <c r="K9" s="51" t="s">
        <v>580</v>
      </c>
      <c r="L9" s="47">
        <v>43724</v>
      </c>
      <c r="M9" s="51" t="s">
        <v>606</v>
      </c>
      <c r="N9" s="51" t="s">
        <v>581</v>
      </c>
      <c r="O9" s="51" t="s">
        <v>607</v>
      </c>
    </row>
    <row r="10" spans="1:15" s="51" customFormat="1" x14ac:dyDescent="0.25">
      <c r="A10" s="51" t="s">
        <v>608</v>
      </c>
      <c r="B10" s="51" t="s">
        <v>327</v>
      </c>
      <c r="C10" s="51" t="s">
        <v>608</v>
      </c>
      <c r="D10" s="46">
        <v>1</v>
      </c>
      <c r="E10" s="47">
        <v>43724</v>
      </c>
      <c r="F10" s="51" t="s">
        <v>609</v>
      </c>
      <c r="G10" s="51" t="s">
        <v>605</v>
      </c>
      <c r="H10" s="51" t="s">
        <v>328</v>
      </c>
      <c r="I10" s="51" t="s">
        <v>66</v>
      </c>
      <c r="J10" s="50">
        <v>278</v>
      </c>
      <c r="K10" s="51" t="s">
        <v>580</v>
      </c>
      <c r="L10" s="47">
        <v>43724</v>
      </c>
      <c r="M10" s="51" t="s">
        <v>606</v>
      </c>
      <c r="N10" s="51" t="s">
        <v>581</v>
      </c>
      <c r="O10" s="51" t="s">
        <v>610</v>
      </c>
    </row>
    <row r="11" spans="1:15" s="51" customFormat="1" x14ac:dyDescent="0.25">
      <c r="A11" s="51" t="s">
        <v>611</v>
      </c>
      <c r="B11" s="51" t="s">
        <v>327</v>
      </c>
      <c r="C11" s="51" t="s">
        <v>611</v>
      </c>
      <c r="D11" s="46">
        <v>1</v>
      </c>
      <c r="E11" s="47">
        <v>43724</v>
      </c>
      <c r="F11" s="51" t="s">
        <v>612</v>
      </c>
      <c r="G11" s="51" t="s">
        <v>605</v>
      </c>
      <c r="H11" s="51" t="s">
        <v>328</v>
      </c>
      <c r="I11" s="51" t="s">
        <v>66</v>
      </c>
      <c r="J11" s="50">
        <v>7996</v>
      </c>
      <c r="K11" s="51" t="s">
        <v>580</v>
      </c>
      <c r="L11" s="47">
        <v>43724</v>
      </c>
      <c r="M11" s="51" t="s">
        <v>606</v>
      </c>
      <c r="N11" s="51" t="s">
        <v>581</v>
      </c>
      <c r="O11" s="51" t="s">
        <v>613</v>
      </c>
    </row>
    <row r="12" spans="1:15" s="51" customFormat="1" x14ac:dyDescent="0.25">
      <c r="A12" s="37" t="s">
        <v>742</v>
      </c>
      <c r="B12" s="37" t="s">
        <v>325</v>
      </c>
      <c r="C12" s="37" t="s">
        <v>742</v>
      </c>
      <c r="D12" s="46">
        <v>1</v>
      </c>
      <c r="E12" s="39">
        <v>43724</v>
      </c>
      <c r="F12" s="37" t="s">
        <v>743</v>
      </c>
      <c r="G12" s="37" t="s">
        <v>579</v>
      </c>
      <c r="H12" s="37" t="s">
        <v>326</v>
      </c>
      <c r="I12" s="37" t="s">
        <v>56</v>
      </c>
      <c r="J12" s="40">
        <v>75000</v>
      </c>
      <c r="K12" s="37" t="s">
        <v>584</v>
      </c>
      <c r="L12" s="39">
        <v>43724</v>
      </c>
      <c r="M12" s="37" t="s">
        <v>595</v>
      </c>
      <c r="N12" s="37" t="s">
        <v>581</v>
      </c>
      <c r="O12" s="37" t="s">
        <v>744</v>
      </c>
    </row>
    <row r="13" spans="1:15" s="51" customFormat="1" x14ac:dyDescent="0.25">
      <c r="A13" s="37" t="s">
        <v>745</v>
      </c>
      <c r="B13" s="37" t="s">
        <v>325</v>
      </c>
      <c r="C13" s="37" t="s">
        <v>745</v>
      </c>
      <c r="D13" s="46">
        <v>1</v>
      </c>
      <c r="E13" s="39">
        <v>43724</v>
      </c>
      <c r="F13" s="37" t="s">
        <v>746</v>
      </c>
      <c r="G13" s="37" t="s">
        <v>579</v>
      </c>
      <c r="H13" s="37" t="s">
        <v>326</v>
      </c>
      <c r="I13" s="37" t="s">
        <v>56</v>
      </c>
      <c r="J13" s="40">
        <v>40000</v>
      </c>
      <c r="K13" s="37" t="s">
        <v>584</v>
      </c>
      <c r="L13" s="39">
        <v>43724</v>
      </c>
      <c r="M13" s="37" t="s">
        <v>595</v>
      </c>
      <c r="N13" s="37" t="s">
        <v>581</v>
      </c>
      <c r="O13" s="37" t="s">
        <v>747</v>
      </c>
    </row>
    <row r="14" spans="1:15" s="51" customFormat="1" x14ac:dyDescent="0.25">
      <c r="A14" s="37" t="s">
        <v>748</v>
      </c>
      <c r="B14" s="37" t="s">
        <v>325</v>
      </c>
      <c r="C14" s="37" t="s">
        <v>748</v>
      </c>
      <c r="D14" s="46">
        <v>1</v>
      </c>
      <c r="E14" s="39">
        <v>43724</v>
      </c>
      <c r="F14" s="37" t="s">
        <v>749</v>
      </c>
      <c r="G14" s="37" t="s">
        <v>579</v>
      </c>
      <c r="H14" s="37" t="s">
        <v>326</v>
      </c>
      <c r="I14" s="37" t="s">
        <v>56</v>
      </c>
      <c r="J14" s="40">
        <v>10000</v>
      </c>
      <c r="K14" s="37" t="s">
        <v>584</v>
      </c>
      <c r="L14" s="39">
        <v>43724</v>
      </c>
      <c r="M14" s="37" t="s">
        <v>595</v>
      </c>
      <c r="N14" s="37" t="s">
        <v>581</v>
      </c>
      <c r="O14" s="37" t="s">
        <v>750</v>
      </c>
    </row>
    <row r="15" spans="1:15" s="51" customFormat="1" x14ac:dyDescent="0.25">
      <c r="A15" s="51" t="s">
        <v>614</v>
      </c>
      <c r="B15" s="51" t="s">
        <v>325</v>
      </c>
      <c r="C15" s="51" t="s">
        <v>614</v>
      </c>
      <c r="D15" s="46">
        <v>1</v>
      </c>
      <c r="E15" s="47">
        <v>43724</v>
      </c>
      <c r="F15" s="51" t="s">
        <v>615</v>
      </c>
      <c r="G15" s="51" t="s">
        <v>579</v>
      </c>
      <c r="H15" s="51" t="s">
        <v>326</v>
      </c>
      <c r="I15" s="51" t="s">
        <v>56</v>
      </c>
      <c r="J15" s="50">
        <v>15000</v>
      </c>
      <c r="K15" s="51" t="s">
        <v>582</v>
      </c>
      <c r="L15" s="47">
        <v>43724</v>
      </c>
      <c r="M15" s="51" t="s">
        <v>616</v>
      </c>
      <c r="N15" s="51" t="s">
        <v>581</v>
      </c>
      <c r="O15" s="51" t="s">
        <v>617</v>
      </c>
    </row>
    <row r="16" spans="1:15" s="51" customFormat="1" x14ac:dyDescent="0.25">
      <c r="A16" s="51" t="s">
        <v>618</v>
      </c>
      <c r="B16" s="51" t="s">
        <v>327</v>
      </c>
      <c r="C16" s="51" t="s">
        <v>618</v>
      </c>
      <c r="D16" s="46">
        <v>1</v>
      </c>
      <c r="E16" s="47">
        <v>43724</v>
      </c>
      <c r="F16" s="51" t="s">
        <v>619</v>
      </c>
      <c r="G16" s="51" t="s">
        <v>605</v>
      </c>
      <c r="H16" s="51" t="s">
        <v>328</v>
      </c>
      <c r="I16" s="51" t="s">
        <v>66</v>
      </c>
      <c r="J16" s="50">
        <v>2000</v>
      </c>
      <c r="K16" s="51" t="s">
        <v>580</v>
      </c>
      <c r="L16" s="47">
        <v>43724</v>
      </c>
      <c r="M16" s="51" t="s">
        <v>620</v>
      </c>
      <c r="N16" s="51" t="s">
        <v>581</v>
      </c>
      <c r="O16" s="51" t="s">
        <v>621</v>
      </c>
    </row>
    <row r="17" spans="1:15" s="51" customFormat="1" x14ac:dyDescent="0.25">
      <c r="A17" s="51" t="s">
        <v>761</v>
      </c>
      <c r="B17" s="51" t="s">
        <v>325</v>
      </c>
      <c r="C17" s="51" t="s">
        <v>761</v>
      </c>
      <c r="D17" s="46">
        <v>1</v>
      </c>
      <c r="E17" s="47">
        <v>43724</v>
      </c>
      <c r="F17" s="51" t="s">
        <v>762</v>
      </c>
      <c r="G17" s="51" t="s">
        <v>579</v>
      </c>
      <c r="H17" s="51" t="s">
        <v>326</v>
      </c>
      <c r="I17" s="51" t="s">
        <v>56</v>
      </c>
      <c r="J17" s="50">
        <v>15000</v>
      </c>
      <c r="K17" s="51" t="s">
        <v>584</v>
      </c>
      <c r="L17" s="47">
        <v>43724</v>
      </c>
      <c r="M17" s="51" t="s">
        <v>616</v>
      </c>
      <c r="N17" s="51" t="s">
        <v>581</v>
      </c>
      <c r="O17" s="51" t="s">
        <v>763</v>
      </c>
    </row>
    <row r="18" spans="1:15" s="51" customFormat="1" x14ac:dyDescent="0.25">
      <c r="A18" s="51" t="s">
        <v>622</v>
      </c>
      <c r="B18" s="51" t="s">
        <v>325</v>
      </c>
      <c r="C18" s="51" t="s">
        <v>622</v>
      </c>
      <c r="D18" s="46">
        <v>1</v>
      </c>
      <c r="E18" s="47">
        <v>43724</v>
      </c>
      <c r="F18" s="51" t="s">
        <v>623</v>
      </c>
      <c r="G18" s="51" t="s">
        <v>579</v>
      </c>
      <c r="H18" s="51" t="s">
        <v>326</v>
      </c>
      <c r="I18" s="51" t="s">
        <v>56</v>
      </c>
      <c r="J18" s="50">
        <v>20000</v>
      </c>
      <c r="K18" s="51" t="s">
        <v>582</v>
      </c>
      <c r="L18" s="47">
        <v>43724</v>
      </c>
      <c r="M18" s="51" t="s">
        <v>624</v>
      </c>
      <c r="N18" s="51" t="s">
        <v>581</v>
      </c>
      <c r="O18" s="51" t="s">
        <v>625</v>
      </c>
    </row>
    <row r="19" spans="1:15" s="51" customFormat="1" x14ac:dyDescent="0.25">
      <c r="A19" s="51" t="s">
        <v>626</v>
      </c>
      <c r="B19" s="51" t="s">
        <v>325</v>
      </c>
      <c r="C19" s="51" t="s">
        <v>626</v>
      </c>
      <c r="D19" s="46">
        <v>1</v>
      </c>
      <c r="E19" s="47">
        <v>43724</v>
      </c>
      <c r="F19" s="51" t="s">
        <v>627</v>
      </c>
      <c r="G19" s="51" t="s">
        <v>579</v>
      </c>
      <c r="H19" s="51" t="s">
        <v>326</v>
      </c>
      <c r="I19" s="51" t="s">
        <v>56</v>
      </c>
      <c r="J19" s="50">
        <v>15000</v>
      </c>
      <c r="K19" s="51" t="s">
        <v>582</v>
      </c>
      <c r="L19" s="47">
        <v>43724</v>
      </c>
      <c r="M19" s="51" t="s">
        <v>624</v>
      </c>
      <c r="N19" s="51" t="s">
        <v>581</v>
      </c>
      <c r="O19" s="51" t="s">
        <v>628</v>
      </c>
    </row>
    <row r="20" spans="1:15" s="51" customFormat="1" x14ac:dyDescent="0.25">
      <c r="A20" s="51" t="s">
        <v>629</v>
      </c>
      <c r="B20" s="51" t="s">
        <v>327</v>
      </c>
      <c r="C20" s="51" t="s">
        <v>629</v>
      </c>
      <c r="D20" s="46">
        <v>1</v>
      </c>
      <c r="E20" s="47">
        <v>43724</v>
      </c>
      <c r="F20" s="51" t="s">
        <v>630</v>
      </c>
      <c r="G20" s="51" t="s">
        <v>605</v>
      </c>
      <c r="H20" s="51" t="s">
        <v>328</v>
      </c>
      <c r="I20" s="51" t="s">
        <v>66</v>
      </c>
      <c r="J20" s="50">
        <v>1542</v>
      </c>
      <c r="K20" s="51" t="s">
        <v>580</v>
      </c>
      <c r="L20" s="47">
        <v>43724</v>
      </c>
      <c r="M20" s="51" t="s">
        <v>631</v>
      </c>
      <c r="N20" s="51" t="s">
        <v>581</v>
      </c>
      <c r="O20" s="51" t="s">
        <v>632</v>
      </c>
    </row>
    <row r="21" spans="1:15" s="51" customFormat="1" x14ac:dyDescent="0.25">
      <c r="A21" s="51" t="s">
        <v>633</v>
      </c>
      <c r="B21" s="51" t="s">
        <v>327</v>
      </c>
      <c r="C21" s="51" t="s">
        <v>633</v>
      </c>
      <c r="D21" s="46">
        <v>1</v>
      </c>
      <c r="E21" s="47">
        <v>43724</v>
      </c>
      <c r="F21" s="51" t="s">
        <v>634</v>
      </c>
      <c r="G21" s="51" t="s">
        <v>605</v>
      </c>
      <c r="H21" s="51" t="s">
        <v>328</v>
      </c>
      <c r="I21" s="51" t="s">
        <v>66</v>
      </c>
      <c r="J21" s="50">
        <v>3744.2</v>
      </c>
      <c r="K21" s="51" t="s">
        <v>580</v>
      </c>
      <c r="L21" s="47">
        <v>43724</v>
      </c>
      <c r="M21" s="51" t="s">
        <v>631</v>
      </c>
      <c r="N21" s="51" t="s">
        <v>581</v>
      </c>
      <c r="O21" s="51" t="s">
        <v>635</v>
      </c>
    </row>
    <row r="22" spans="1:15" s="51" customFormat="1" x14ac:dyDescent="0.25">
      <c r="A22" s="51" t="s">
        <v>636</v>
      </c>
      <c r="B22" s="51" t="s">
        <v>327</v>
      </c>
      <c r="C22" s="51" t="s">
        <v>636</v>
      </c>
      <c r="D22" s="46">
        <v>1</v>
      </c>
      <c r="E22" s="47">
        <v>43724</v>
      </c>
      <c r="F22" s="51" t="s">
        <v>637</v>
      </c>
      <c r="G22" s="51" t="s">
        <v>605</v>
      </c>
      <c r="H22" s="51" t="s">
        <v>328</v>
      </c>
      <c r="I22" s="51" t="s">
        <v>66</v>
      </c>
      <c r="J22" s="50">
        <v>4194.3999999999996</v>
      </c>
      <c r="K22" s="51" t="s">
        <v>580</v>
      </c>
      <c r="L22" s="47">
        <v>43724</v>
      </c>
      <c r="M22" s="51" t="s">
        <v>631</v>
      </c>
      <c r="N22" s="51" t="s">
        <v>581</v>
      </c>
      <c r="O22" s="51" t="s">
        <v>638</v>
      </c>
    </row>
    <row r="23" spans="1:15" s="51" customFormat="1" x14ac:dyDescent="0.25">
      <c r="A23" s="51" t="s">
        <v>639</v>
      </c>
      <c r="B23" s="51" t="s">
        <v>327</v>
      </c>
      <c r="C23" s="51" t="s">
        <v>639</v>
      </c>
      <c r="D23" s="46">
        <v>1</v>
      </c>
      <c r="E23" s="47">
        <v>43724</v>
      </c>
      <c r="F23" s="51" t="s">
        <v>640</v>
      </c>
      <c r="G23" s="51" t="s">
        <v>605</v>
      </c>
      <c r="H23" s="51" t="s">
        <v>328</v>
      </c>
      <c r="I23" s="51" t="s">
        <v>66</v>
      </c>
      <c r="J23" s="50">
        <v>4644.6000000000004</v>
      </c>
      <c r="K23" s="51" t="s">
        <v>580</v>
      </c>
      <c r="L23" s="47">
        <v>43724</v>
      </c>
      <c r="M23" s="51" t="s">
        <v>631</v>
      </c>
      <c r="N23" s="51" t="s">
        <v>581</v>
      </c>
      <c r="O23" s="51" t="s">
        <v>641</v>
      </c>
    </row>
    <row r="24" spans="1:15" s="51" customFormat="1" x14ac:dyDescent="0.25">
      <c r="A24" s="51" t="s">
        <v>642</v>
      </c>
      <c r="B24" s="51" t="s">
        <v>327</v>
      </c>
      <c r="C24" s="51" t="s">
        <v>642</v>
      </c>
      <c r="D24" s="46">
        <v>1</v>
      </c>
      <c r="E24" s="47">
        <v>43724</v>
      </c>
      <c r="F24" s="51" t="s">
        <v>643</v>
      </c>
      <c r="G24" s="51" t="s">
        <v>605</v>
      </c>
      <c r="H24" s="51" t="s">
        <v>328</v>
      </c>
      <c r="I24" s="51" t="s">
        <v>66</v>
      </c>
      <c r="J24" s="50">
        <v>5094.8</v>
      </c>
      <c r="K24" s="51" t="s">
        <v>580</v>
      </c>
      <c r="L24" s="47">
        <v>43724</v>
      </c>
      <c r="M24" s="51" t="s">
        <v>631</v>
      </c>
      <c r="N24" s="51" t="s">
        <v>581</v>
      </c>
      <c r="O24" s="51" t="s">
        <v>644</v>
      </c>
    </row>
    <row r="25" spans="1:15" s="51" customFormat="1" x14ac:dyDescent="0.25">
      <c r="A25" s="51" t="s">
        <v>645</v>
      </c>
      <c r="B25" s="51" t="s">
        <v>327</v>
      </c>
      <c r="C25" s="51" t="s">
        <v>645</v>
      </c>
      <c r="D25" s="46">
        <v>1</v>
      </c>
      <c r="E25" s="47">
        <v>43724</v>
      </c>
      <c r="F25" s="51" t="s">
        <v>646</v>
      </c>
      <c r="G25" s="51" t="s">
        <v>605</v>
      </c>
      <c r="H25" s="51" t="s">
        <v>328</v>
      </c>
      <c r="I25" s="51" t="s">
        <v>66</v>
      </c>
      <c r="J25" s="50">
        <v>5545</v>
      </c>
      <c r="K25" s="51" t="s">
        <v>580</v>
      </c>
      <c r="L25" s="47">
        <v>43724</v>
      </c>
      <c r="M25" s="51" t="s">
        <v>631</v>
      </c>
      <c r="N25" s="51" t="s">
        <v>581</v>
      </c>
      <c r="O25" s="51" t="s">
        <v>647</v>
      </c>
    </row>
    <row r="26" spans="1:15" s="51" customFormat="1" x14ac:dyDescent="0.25">
      <c r="A26" s="51" t="s">
        <v>648</v>
      </c>
      <c r="B26" s="51" t="s">
        <v>327</v>
      </c>
      <c r="C26" s="51" t="s">
        <v>648</v>
      </c>
      <c r="D26" s="46">
        <v>1</v>
      </c>
      <c r="E26" s="47">
        <v>43724</v>
      </c>
      <c r="F26" s="51" t="s">
        <v>649</v>
      </c>
      <c r="G26" s="51" t="s">
        <v>605</v>
      </c>
      <c r="H26" s="51" t="s">
        <v>328</v>
      </c>
      <c r="I26" s="51" t="s">
        <v>66</v>
      </c>
      <c r="J26" s="50">
        <v>5995.2</v>
      </c>
      <c r="K26" s="51" t="s">
        <v>580</v>
      </c>
      <c r="L26" s="47">
        <v>43724</v>
      </c>
      <c r="M26" s="51" t="s">
        <v>631</v>
      </c>
      <c r="N26" s="51" t="s">
        <v>581</v>
      </c>
      <c r="O26" s="51" t="s">
        <v>650</v>
      </c>
    </row>
    <row r="27" spans="1:15" s="51" customFormat="1" x14ac:dyDescent="0.25">
      <c r="A27" s="51" t="s">
        <v>651</v>
      </c>
      <c r="B27" s="51" t="s">
        <v>327</v>
      </c>
      <c r="C27" s="51" t="s">
        <v>651</v>
      </c>
      <c r="D27" s="46">
        <v>1</v>
      </c>
      <c r="E27" s="47">
        <v>43724</v>
      </c>
      <c r="F27" s="51" t="s">
        <v>652</v>
      </c>
      <c r="G27" s="51" t="s">
        <v>605</v>
      </c>
      <c r="H27" s="51" t="s">
        <v>328</v>
      </c>
      <c r="I27" s="51" t="s">
        <v>66</v>
      </c>
      <c r="J27" s="50">
        <v>6445.4</v>
      </c>
      <c r="K27" s="51" t="s">
        <v>580</v>
      </c>
      <c r="L27" s="47">
        <v>43724</v>
      </c>
      <c r="M27" s="51" t="s">
        <v>631</v>
      </c>
      <c r="N27" s="51" t="s">
        <v>581</v>
      </c>
      <c r="O27" s="51" t="s">
        <v>653</v>
      </c>
    </row>
    <row r="28" spans="1:15" s="51" customFormat="1" x14ac:dyDescent="0.25">
      <c r="A28" s="51" t="s">
        <v>654</v>
      </c>
      <c r="B28" s="51" t="s">
        <v>327</v>
      </c>
      <c r="C28" s="51" t="s">
        <v>654</v>
      </c>
      <c r="D28" s="46">
        <v>1</v>
      </c>
      <c r="E28" s="47">
        <v>43724</v>
      </c>
      <c r="F28" s="51" t="s">
        <v>655</v>
      </c>
      <c r="G28" s="51" t="s">
        <v>605</v>
      </c>
      <c r="H28" s="51" t="s">
        <v>328</v>
      </c>
      <c r="I28" s="51" t="s">
        <v>66</v>
      </c>
      <c r="J28" s="50">
        <v>6895.6</v>
      </c>
      <c r="K28" s="51" t="s">
        <v>580</v>
      </c>
      <c r="L28" s="47">
        <v>43724</v>
      </c>
      <c r="M28" s="51" t="s">
        <v>631</v>
      </c>
      <c r="N28" s="51" t="s">
        <v>581</v>
      </c>
      <c r="O28" s="51" t="s">
        <v>656</v>
      </c>
    </row>
    <row r="29" spans="1:15" s="51" customFormat="1" x14ac:dyDescent="0.25">
      <c r="A29" s="51" t="s">
        <v>657</v>
      </c>
      <c r="B29" s="51" t="s">
        <v>327</v>
      </c>
      <c r="C29" s="51" t="s">
        <v>657</v>
      </c>
      <c r="D29" s="46">
        <v>1</v>
      </c>
      <c r="E29" s="47">
        <v>43724</v>
      </c>
      <c r="F29" s="51" t="s">
        <v>658</v>
      </c>
      <c r="G29" s="51" t="s">
        <v>605</v>
      </c>
      <c r="H29" s="51" t="s">
        <v>328</v>
      </c>
      <c r="I29" s="51" t="s">
        <v>66</v>
      </c>
      <c r="J29" s="50">
        <v>7345.8</v>
      </c>
      <c r="K29" s="51" t="s">
        <v>580</v>
      </c>
      <c r="L29" s="47">
        <v>43724</v>
      </c>
      <c r="M29" s="51" t="s">
        <v>631</v>
      </c>
      <c r="N29" s="51" t="s">
        <v>581</v>
      </c>
      <c r="O29" s="51" t="s">
        <v>659</v>
      </c>
    </row>
    <row r="30" spans="1:15" s="51" customFormat="1" x14ac:dyDescent="0.25">
      <c r="A30" s="51" t="s">
        <v>767</v>
      </c>
      <c r="B30" s="51" t="s">
        <v>325</v>
      </c>
      <c r="C30" s="51" t="s">
        <v>767</v>
      </c>
      <c r="D30" s="46">
        <v>1</v>
      </c>
      <c r="E30" s="47">
        <v>43724</v>
      </c>
      <c r="F30" s="51" t="s">
        <v>768</v>
      </c>
      <c r="G30" s="51" t="s">
        <v>579</v>
      </c>
      <c r="H30" s="51" t="s">
        <v>326</v>
      </c>
      <c r="I30" s="51" t="s">
        <v>56</v>
      </c>
      <c r="J30" s="50">
        <v>20000</v>
      </c>
      <c r="K30" s="51" t="s">
        <v>584</v>
      </c>
      <c r="L30" s="47">
        <v>43724</v>
      </c>
      <c r="M30" s="51" t="s">
        <v>624</v>
      </c>
      <c r="N30" s="51" t="s">
        <v>581</v>
      </c>
      <c r="O30" s="51" t="s">
        <v>769</v>
      </c>
    </row>
    <row r="31" spans="1:15" s="51" customFormat="1" x14ac:dyDescent="0.25">
      <c r="A31" s="51" t="s">
        <v>770</v>
      </c>
      <c r="B31" s="51" t="s">
        <v>325</v>
      </c>
      <c r="C31" s="51" t="s">
        <v>770</v>
      </c>
      <c r="D31" s="46">
        <v>1</v>
      </c>
      <c r="E31" s="47">
        <v>43724</v>
      </c>
      <c r="F31" s="51" t="s">
        <v>771</v>
      </c>
      <c r="G31" s="51" t="s">
        <v>579</v>
      </c>
      <c r="H31" s="51" t="s">
        <v>326</v>
      </c>
      <c r="I31" s="51" t="s">
        <v>56</v>
      </c>
      <c r="J31" s="50">
        <v>15000</v>
      </c>
      <c r="K31" s="51" t="s">
        <v>584</v>
      </c>
      <c r="L31" s="47">
        <v>43724</v>
      </c>
      <c r="M31" s="51" t="s">
        <v>624</v>
      </c>
      <c r="N31" s="51" t="s">
        <v>581</v>
      </c>
      <c r="O31" s="51" t="s">
        <v>772</v>
      </c>
    </row>
    <row r="32" spans="1:15" s="51" customFormat="1" x14ac:dyDescent="0.25">
      <c r="A32" s="37" t="s">
        <v>751</v>
      </c>
      <c r="B32" s="37" t="s">
        <v>327</v>
      </c>
      <c r="C32" s="37" t="s">
        <v>751</v>
      </c>
      <c r="D32" s="46">
        <v>1</v>
      </c>
      <c r="E32" s="39">
        <v>43724</v>
      </c>
      <c r="F32" s="37" t="s">
        <v>752</v>
      </c>
      <c r="G32" s="37" t="s">
        <v>605</v>
      </c>
      <c r="H32" s="37" t="s">
        <v>328</v>
      </c>
      <c r="I32" s="37" t="s">
        <v>66</v>
      </c>
      <c r="J32" s="40">
        <v>152</v>
      </c>
      <c r="K32" s="37" t="s">
        <v>583</v>
      </c>
      <c r="L32" s="39">
        <v>43724</v>
      </c>
      <c r="M32" s="37" t="s">
        <v>753</v>
      </c>
      <c r="N32" s="37" t="s">
        <v>581</v>
      </c>
      <c r="O32" s="37" t="s">
        <v>754</v>
      </c>
    </row>
    <row r="33" spans="1:15" s="51" customFormat="1" x14ac:dyDescent="0.25">
      <c r="A33" s="51" t="s">
        <v>755</v>
      </c>
      <c r="B33" s="51" t="s">
        <v>327</v>
      </c>
      <c r="C33" s="51" t="s">
        <v>755</v>
      </c>
      <c r="D33" s="46">
        <v>1</v>
      </c>
      <c r="E33" s="47">
        <v>43724</v>
      </c>
      <c r="F33" s="51" t="s">
        <v>756</v>
      </c>
      <c r="G33" s="51" t="s">
        <v>605</v>
      </c>
      <c r="H33" s="51" t="s">
        <v>328</v>
      </c>
      <c r="I33" s="51" t="s">
        <v>66</v>
      </c>
      <c r="J33" s="50">
        <v>278</v>
      </c>
      <c r="K33" s="51" t="s">
        <v>583</v>
      </c>
      <c r="L33" s="47">
        <v>43724</v>
      </c>
      <c r="M33" s="51" t="s">
        <v>753</v>
      </c>
      <c r="N33" s="51" t="s">
        <v>581</v>
      </c>
      <c r="O33" s="51" t="s">
        <v>757</v>
      </c>
    </row>
    <row r="34" spans="1:15" s="51" customFormat="1" x14ac:dyDescent="0.25">
      <c r="A34" s="51" t="s">
        <v>758</v>
      </c>
      <c r="B34" s="51" t="s">
        <v>327</v>
      </c>
      <c r="C34" s="51" t="s">
        <v>758</v>
      </c>
      <c r="D34" s="46">
        <v>1</v>
      </c>
      <c r="E34" s="47">
        <v>43724</v>
      </c>
      <c r="F34" s="51" t="s">
        <v>759</v>
      </c>
      <c r="G34" s="51" t="s">
        <v>605</v>
      </c>
      <c r="H34" s="51" t="s">
        <v>328</v>
      </c>
      <c r="I34" s="51" t="s">
        <v>66</v>
      </c>
      <c r="J34" s="50">
        <v>7996</v>
      </c>
      <c r="K34" s="51" t="s">
        <v>583</v>
      </c>
      <c r="L34" s="47">
        <v>43724</v>
      </c>
      <c r="M34" s="51" t="s">
        <v>753</v>
      </c>
      <c r="N34" s="51" t="s">
        <v>581</v>
      </c>
      <c r="O34" s="51" t="s">
        <v>760</v>
      </c>
    </row>
    <row r="35" spans="1:15" s="51" customFormat="1" x14ac:dyDescent="0.25">
      <c r="A35" s="51" t="s">
        <v>764</v>
      </c>
      <c r="B35" s="51" t="s">
        <v>327</v>
      </c>
      <c r="C35" s="51" t="s">
        <v>764</v>
      </c>
      <c r="D35" s="46">
        <v>1</v>
      </c>
      <c r="E35" s="47">
        <v>43724</v>
      </c>
      <c r="F35" s="51" t="s">
        <v>765</v>
      </c>
      <c r="G35" s="51" t="s">
        <v>605</v>
      </c>
      <c r="H35" s="51" t="s">
        <v>328</v>
      </c>
      <c r="I35" s="51" t="s">
        <v>66</v>
      </c>
      <c r="J35" s="50">
        <v>2000</v>
      </c>
      <c r="K35" s="51" t="s">
        <v>583</v>
      </c>
      <c r="L35" s="47">
        <v>43724</v>
      </c>
      <c r="M35" s="51" t="s">
        <v>753</v>
      </c>
      <c r="N35" s="51" t="s">
        <v>581</v>
      </c>
      <c r="O35" s="51" t="s">
        <v>766</v>
      </c>
    </row>
    <row r="36" spans="1:15" s="51" customFormat="1" x14ac:dyDescent="0.25">
      <c r="A36" s="51" t="s">
        <v>773</v>
      </c>
      <c r="B36" s="51" t="s">
        <v>327</v>
      </c>
      <c r="C36" s="51" t="s">
        <v>773</v>
      </c>
      <c r="D36" s="46">
        <v>1</v>
      </c>
      <c r="E36" s="47">
        <v>43724</v>
      </c>
      <c r="F36" s="51" t="s">
        <v>774</v>
      </c>
      <c r="G36" s="51" t="s">
        <v>605</v>
      </c>
      <c r="H36" s="51" t="s">
        <v>328</v>
      </c>
      <c r="I36" s="51" t="s">
        <v>66</v>
      </c>
      <c r="J36" s="50">
        <v>1542</v>
      </c>
      <c r="K36" s="51" t="s">
        <v>583</v>
      </c>
      <c r="L36" s="47">
        <v>43724</v>
      </c>
      <c r="M36" s="51" t="s">
        <v>753</v>
      </c>
      <c r="N36" s="51" t="s">
        <v>581</v>
      </c>
      <c r="O36" s="51" t="s">
        <v>775</v>
      </c>
    </row>
    <row r="37" spans="1:15" s="51" customFormat="1" x14ac:dyDescent="0.25">
      <c r="A37" s="51" t="s">
        <v>776</v>
      </c>
      <c r="B37" s="51" t="s">
        <v>327</v>
      </c>
      <c r="C37" s="51" t="s">
        <v>776</v>
      </c>
      <c r="D37" s="46">
        <v>1</v>
      </c>
      <c r="E37" s="47">
        <v>43724</v>
      </c>
      <c r="F37" s="51" t="s">
        <v>777</v>
      </c>
      <c r="G37" s="51" t="s">
        <v>605</v>
      </c>
      <c r="H37" s="51" t="s">
        <v>328</v>
      </c>
      <c r="I37" s="51" t="s">
        <v>66</v>
      </c>
      <c r="J37" s="50">
        <v>3744.2</v>
      </c>
      <c r="K37" s="51" t="s">
        <v>583</v>
      </c>
      <c r="L37" s="47">
        <v>43724</v>
      </c>
      <c r="M37" s="51" t="s">
        <v>753</v>
      </c>
      <c r="N37" s="51" t="s">
        <v>581</v>
      </c>
      <c r="O37" s="51" t="s">
        <v>778</v>
      </c>
    </row>
    <row r="38" spans="1:15" s="51" customFormat="1" x14ac:dyDescent="0.25">
      <c r="A38" s="51" t="s">
        <v>779</v>
      </c>
      <c r="B38" s="51" t="s">
        <v>327</v>
      </c>
      <c r="C38" s="51" t="s">
        <v>779</v>
      </c>
      <c r="D38" s="46">
        <v>1</v>
      </c>
      <c r="E38" s="47">
        <v>43724</v>
      </c>
      <c r="F38" s="51" t="s">
        <v>780</v>
      </c>
      <c r="G38" s="51" t="s">
        <v>605</v>
      </c>
      <c r="H38" s="51" t="s">
        <v>328</v>
      </c>
      <c r="I38" s="51" t="s">
        <v>66</v>
      </c>
      <c r="J38" s="50">
        <v>4194.3999999999996</v>
      </c>
      <c r="K38" s="51" t="s">
        <v>583</v>
      </c>
      <c r="L38" s="47">
        <v>43724</v>
      </c>
      <c r="M38" s="51" t="s">
        <v>753</v>
      </c>
      <c r="N38" s="51" t="s">
        <v>581</v>
      </c>
      <c r="O38" s="51" t="s">
        <v>781</v>
      </c>
    </row>
    <row r="39" spans="1:15" s="51" customFormat="1" x14ac:dyDescent="0.25">
      <c r="A39" s="51" t="s">
        <v>782</v>
      </c>
      <c r="B39" s="51" t="s">
        <v>327</v>
      </c>
      <c r="C39" s="51" t="s">
        <v>782</v>
      </c>
      <c r="D39" s="46">
        <v>1</v>
      </c>
      <c r="E39" s="47">
        <v>43724</v>
      </c>
      <c r="F39" s="51" t="s">
        <v>783</v>
      </c>
      <c r="G39" s="51" t="s">
        <v>605</v>
      </c>
      <c r="H39" s="51" t="s">
        <v>328</v>
      </c>
      <c r="I39" s="51" t="s">
        <v>66</v>
      </c>
      <c r="J39" s="50">
        <v>4644.6000000000004</v>
      </c>
      <c r="K39" s="51" t="s">
        <v>583</v>
      </c>
      <c r="L39" s="47">
        <v>43724</v>
      </c>
      <c r="M39" s="51" t="s">
        <v>753</v>
      </c>
      <c r="N39" s="51" t="s">
        <v>581</v>
      </c>
      <c r="O39" s="51" t="s">
        <v>784</v>
      </c>
    </row>
    <row r="40" spans="1:15" s="51" customFormat="1" x14ac:dyDescent="0.25">
      <c r="A40" s="51" t="s">
        <v>785</v>
      </c>
      <c r="B40" s="51" t="s">
        <v>327</v>
      </c>
      <c r="C40" s="51" t="s">
        <v>785</v>
      </c>
      <c r="D40" s="46">
        <v>1</v>
      </c>
      <c r="E40" s="47">
        <v>43724</v>
      </c>
      <c r="F40" s="51" t="s">
        <v>786</v>
      </c>
      <c r="G40" s="51" t="s">
        <v>605</v>
      </c>
      <c r="H40" s="51" t="s">
        <v>328</v>
      </c>
      <c r="I40" s="51" t="s">
        <v>66</v>
      </c>
      <c r="J40" s="50">
        <v>5094.8</v>
      </c>
      <c r="K40" s="51" t="s">
        <v>583</v>
      </c>
      <c r="L40" s="47">
        <v>43724</v>
      </c>
      <c r="M40" s="51" t="s">
        <v>753</v>
      </c>
      <c r="N40" s="51" t="s">
        <v>581</v>
      </c>
      <c r="O40" s="51" t="s">
        <v>787</v>
      </c>
    </row>
    <row r="41" spans="1:15" s="51" customFormat="1" x14ac:dyDescent="0.25">
      <c r="A41" s="51" t="s">
        <v>788</v>
      </c>
      <c r="B41" s="51" t="s">
        <v>327</v>
      </c>
      <c r="C41" s="51" t="s">
        <v>788</v>
      </c>
      <c r="D41" s="46">
        <v>1</v>
      </c>
      <c r="E41" s="47">
        <v>43724</v>
      </c>
      <c r="F41" s="51" t="s">
        <v>789</v>
      </c>
      <c r="G41" s="51" t="s">
        <v>605</v>
      </c>
      <c r="H41" s="51" t="s">
        <v>328</v>
      </c>
      <c r="I41" s="51" t="s">
        <v>66</v>
      </c>
      <c r="J41" s="50">
        <v>5545</v>
      </c>
      <c r="K41" s="51" t="s">
        <v>583</v>
      </c>
      <c r="L41" s="47">
        <v>43724</v>
      </c>
      <c r="M41" s="51" t="s">
        <v>753</v>
      </c>
      <c r="N41" s="51" t="s">
        <v>581</v>
      </c>
      <c r="O41" s="51" t="s">
        <v>790</v>
      </c>
    </row>
    <row r="42" spans="1:15" s="51" customFormat="1" x14ac:dyDescent="0.25">
      <c r="A42" s="51" t="s">
        <v>791</v>
      </c>
      <c r="B42" s="51" t="s">
        <v>327</v>
      </c>
      <c r="C42" s="51" t="s">
        <v>791</v>
      </c>
      <c r="D42" s="46">
        <v>1</v>
      </c>
      <c r="E42" s="47">
        <v>43724</v>
      </c>
      <c r="F42" s="51" t="s">
        <v>792</v>
      </c>
      <c r="G42" s="51" t="s">
        <v>605</v>
      </c>
      <c r="H42" s="51" t="s">
        <v>328</v>
      </c>
      <c r="I42" s="51" t="s">
        <v>66</v>
      </c>
      <c r="J42" s="50">
        <v>5995.2</v>
      </c>
      <c r="K42" s="51" t="s">
        <v>583</v>
      </c>
      <c r="L42" s="47">
        <v>43724</v>
      </c>
      <c r="M42" s="51" t="s">
        <v>753</v>
      </c>
      <c r="N42" s="51" t="s">
        <v>581</v>
      </c>
      <c r="O42" s="51" t="s">
        <v>793</v>
      </c>
    </row>
    <row r="43" spans="1:15" s="51" customFormat="1" x14ac:dyDescent="0.25">
      <c r="A43" s="51" t="s">
        <v>794</v>
      </c>
      <c r="B43" s="51" t="s">
        <v>327</v>
      </c>
      <c r="C43" s="51" t="s">
        <v>794</v>
      </c>
      <c r="D43" s="46">
        <v>1</v>
      </c>
      <c r="E43" s="47">
        <v>43724</v>
      </c>
      <c r="F43" s="51" t="s">
        <v>795</v>
      </c>
      <c r="G43" s="51" t="s">
        <v>605</v>
      </c>
      <c r="H43" s="51" t="s">
        <v>328</v>
      </c>
      <c r="I43" s="51" t="s">
        <v>66</v>
      </c>
      <c r="J43" s="50">
        <v>6445.4</v>
      </c>
      <c r="K43" s="51" t="s">
        <v>583</v>
      </c>
      <c r="L43" s="47">
        <v>43724</v>
      </c>
      <c r="M43" s="51" t="s">
        <v>753</v>
      </c>
      <c r="N43" s="51" t="s">
        <v>581</v>
      </c>
      <c r="O43" s="51" t="s">
        <v>796</v>
      </c>
    </row>
    <row r="44" spans="1:15" s="51" customFormat="1" x14ac:dyDescent="0.25">
      <c r="A44" s="51" t="s">
        <v>797</v>
      </c>
      <c r="B44" s="51" t="s">
        <v>327</v>
      </c>
      <c r="C44" s="51" t="s">
        <v>797</v>
      </c>
      <c r="D44" s="46">
        <v>1</v>
      </c>
      <c r="E44" s="47">
        <v>43724</v>
      </c>
      <c r="F44" s="51" t="s">
        <v>798</v>
      </c>
      <c r="G44" s="51" t="s">
        <v>605</v>
      </c>
      <c r="H44" s="51" t="s">
        <v>328</v>
      </c>
      <c r="I44" s="51" t="s">
        <v>66</v>
      </c>
      <c r="J44" s="50">
        <v>6895.6</v>
      </c>
      <c r="K44" s="51" t="s">
        <v>583</v>
      </c>
      <c r="L44" s="47">
        <v>43724</v>
      </c>
      <c r="M44" s="51" t="s">
        <v>753</v>
      </c>
      <c r="N44" s="51" t="s">
        <v>581</v>
      </c>
      <c r="O44" s="51" t="s">
        <v>799</v>
      </c>
    </row>
    <row r="45" spans="1:15" s="51" customFormat="1" x14ac:dyDescent="0.25">
      <c r="A45" s="51" t="s">
        <v>800</v>
      </c>
      <c r="B45" s="51" t="s">
        <v>327</v>
      </c>
      <c r="C45" s="51" t="s">
        <v>800</v>
      </c>
      <c r="D45" s="46">
        <v>1</v>
      </c>
      <c r="E45" s="47">
        <v>43724</v>
      </c>
      <c r="F45" s="51" t="s">
        <v>801</v>
      </c>
      <c r="G45" s="51" t="s">
        <v>605</v>
      </c>
      <c r="H45" s="51" t="s">
        <v>328</v>
      </c>
      <c r="I45" s="51" t="s">
        <v>66</v>
      </c>
      <c r="J45" s="50">
        <v>7345.8</v>
      </c>
      <c r="K45" s="51" t="s">
        <v>583</v>
      </c>
      <c r="L45" s="47">
        <v>43724</v>
      </c>
      <c r="M45" s="51" t="s">
        <v>753</v>
      </c>
      <c r="N45" s="51" t="s">
        <v>581</v>
      </c>
      <c r="O45" s="51" t="s">
        <v>802</v>
      </c>
    </row>
    <row r="46" spans="1:15" s="51" customFormat="1" x14ac:dyDescent="0.25">
      <c r="A46" s="51" t="s">
        <v>660</v>
      </c>
      <c r="B46" s="51" t="s">
        <v>327</v>
      </c>
      <c r="C46" s="51" t="s">
        <v>660</v>
      </c>
      <c r="D46" s="46">
        <v>1</v>
      </c>
      <c r="E46" s="47">
        <v>43724</v>
      </c>
      <c r="F46" s="51" t="s">
        <v>661</v>
      </c>
      <c r="G46" s="51" t="s">
        <v>605</v>
      </c>
      <c r="H46" s="51" t="s">
        <v>328</v>
      </c>
      <c r="I46" s="51" t="s">
        <v>66</v>
      </c>
      <c r="J46" s="50">
        <v>8246.2000000000007</v>
      </c>
      <c r="K46" s="51" t="s">
        <v>580</v>
      </c>
      <c r="L46" s="47">
        <v>43724</v>
      </c>
      <c r="M46" s="51" t="s">
        <v>662</v>
      </c>
      <c r="N46" s="51" t="s">
        <v>581</v>
      </c>
      <c r="O46" s="51" t="s">
        <v>663</v>
      </c>
    </row>
    <row r="47" spans="1:15" s="51" customFormat="1" x14ac:dyDescent="0.25">
      <c r="A47" s="51" t="s">
        <v>664</v>
      </c>
      <c r="B47" s="51" t="s">
        <v>327</v>
      </c>
      <c r="C47" s="51" t="s">
        <v>664</v>
      </c>
      <c r="D47" s="46">
        <v>1</v>
      </c>
      <c r="E47" s="47">
        <v>43724</v>
      </c>
      <c r="F47" s="51" t="s">
        <v>665</v>
      </c>
      <c r="G47" s="51" t="s">
        <v>605</v>
      </c>
      <c r="H47" s="51" t="s">
        <v>328</v>
      </c>
      <c r="I47" s="51" t="s">
        <v>66</v>
      </c>
      <c r="J47" s="50">
        <v>8696.4</v>
      </c>
      <c r="K47" s="51" t="s">
        <v>580</v>
      </c>
      <c r="L47" s="47">
        <v>43724</v>
      </c>
      <c r="M47" s="51" t="s">
        <v>662</v>
      </c>
      <c r="N47" s="51" t="s">
        <v>581</v>
      </c>
      <c r="O47" s="51" t="s">
        <v>666</v>
      </c>
    </row>
    <row r="48" spans="1:15" s="51" customFormat="1" x14ac:dyDescent="0.25">
      <c r="A48" s="51" t="s">
        <v>667</v>
      </c>
      <c r="B48" s="51" t="s">
        <v>327</v>
      </c>
      <c r="C48" s="51" t="s">
        <v>667</v>
      </c>
      <c r="D48" s="46">
        <v>1</v>
      </c>
      <c r="E48" s="47">
        <v>43724</v>
      </c>
      <c r="F48" s="51" t="s">
        <v>668</v>
      </c>
      <c r="G48" s="51" t="s">
        <v>605</v>
      </c>
      <c r="H48" s="51" t="s">
        <v>328</v>
      </c>
      <c r="I48" s="51" t="s">
        <v>66</v>
      </c>
      <c r="J48" s="50">
        <v>946.6</v>
      </c>
      <c r="K48" s="51" t="s">
        <v>580</v>
      </c>
      <c r="L48" s="47">
        <v>43724</v>
      </c>
      <c r="M48" s="51" t="s">
        <v>662</v>
      </c>
      <c r="N48" s="51" t="s">
        <v>581</v>
      </c>
      <c r="O48" s="51" t="s">
        <v>669</v>
      </c>
    </row>
    <row r="49" spans="1:15" x14ac:dyDescent="0.25">
      <c r="A49" s="51" t="s">
        <v>670</v>
      </c>
      <c r="B49" s="51" t="s">
        <v>327</v>
      </c>
      <c r="C49" s="51" t="s">
        <v>670</v>
      </c>
      <c r="D49" s="46">
        <v>1</v>
      </c>
      <c r="E49" s="47">
        <v>43724</v>
      </c>
      <c r="F49" s="51" t="s">
        <v>671</v>
      </c>
      <c r="G49" s="51" t="s">
        <v>605</v>
      </c>
      <c r="H49" s="51" t="s">
        <v>328</v>
      </c>
      <c r="I49" s="51" t="s">
        <v>66</v>
      </c>
      <c r="J49" s="50">
        <v>596.79999999999995</v>
      </c>
      <c r="K49" s="51" t="s">
        <v>580</v>
      </c>
      <c r="L49" s="47">
        <v>43724</v>
      </c>
      <c r="M49" s="51" t="s">
        <v>662</v>
      </c>
      <c r="N49" s="51" t="s">
        <v>581</v>
      </c>
      <c r="O49" s="51" t="s">
        <v>672</v>
      </c>
    </row>
    <row r="50" spans="1:15" x14ac:dyDescent="0.25">
      <c r="A50" s="51" t="s">
        <v>673</v>
      </c>
      <c r="B50" s="51" t="s">
        <v>327</v>
      </c>
      <c r="C50" s="51" t="s">
        <v>673</v>
      </c>
      <c r="D50" s="46">
        <v>1</v>
      </c>
      <c r="E50" s="47">
        <v>43724</v>
      </c>
      <c r="F50" s="51" t="s">
        <v>674</v>
      </c>
      <c r="G50" s="51" t="s">
        <v>605</v>
      </c>
      <c r="H50" s="51" t="s">
        <v>328</v>
      </c>
      <c r="I50" s="51" t="s">
        <v>66</v>
      </c>
      <c r="J50" s="50">
        <v>147</v>
      </c>
      <c r="K50" s="51" t="s">
        <v>580</v>
      </c>
      <c r="L50" s="47">
        <v>43724</v>
      </c>
      <c r="M50" s="51" t="s">
        <v>662</v>
      </c>
      <c r="N50" s="51" t="s">
        <v>581</v>
      </c>
      <c r="O50" s="51" t="s">
        <v>675</v>
      </c>
    </row>
    <row r="51" spans="1:15" x14ac:dyDescent="0.25">
      <c r="A51" s="51" t="s">
        <v>676</v>
      </c>
      <c r="B51" s="51" t="s">
        <v>327</v>
      </c>
      <c r="C51" s="51" t="s">
        <v>676</v>
      </c>
      <c r="D51" s="46">
        <v>1</v>
      </c>
      <c r="E51" s="47">
        <v>43724</v>
      </c>
      <c r="F51" s="51" t="s">
        <v>677</v>
      </c>
      <c r="G51" s="51" t="s">
        <v>605</v>
      </c>
      <c r="H51" s="51" t="s">
        <v>328</v>
      </c>
      <c r="I51" s="51" t="s">
        <v>66</v>
      </c>
      <c r="J51" s="50">
        <v>10497.2</v>
      </c>
      <c r="K51" s="51" t="s">
        <v>580</v>
      </c>
      <c r="L51" s="47">
        <v>43724</v>
      </c>
      <c r="M51" s="51" t="s">
        <v>662</v>
      </c>
      <c r="N51" s="51" t="s">
        <v>581</v>
      </c>
      <c r="O51" s="51" t="s">
        <v>678</v>
      </c>
    </row>
    <row r="52" spans="1:15" x14ac:dyDescent="0.25">
      <c r="A52" s="51" t="s">
        <v>679</v>
      </c>
      <c r="B52" s="51" t="s">
        <v>327</v>
      </c>
      <c r="C52" s="51" t="s">
        <v>679</v>
      </c>
      <c r="D52" s="46">
        <v>1</v>
      </c>
      <c r="E52" s="47">
        <v>43724</v>
      </c>
      <c r="F52" s="51" t="s">
        <v>680</v>
      </c>
      <c r="G52" s="51" t="s">
        <v>605</v>
      </c>
      <c r="H52" s="51" t="s">
        <v>328</v>
      </c>
      <c r="I52" s="51" t="s">
        <v>66</v>
      </c>
      <c r="J52" s="50">
        <v>5017.3999999999996</v>
      </c>
      <c r="K52" s="51" t="s">
        <v>580</v>
      </c>
      <c r="L52" s="47">
        <v>43724</v>
      </c>
      <c r="M52" s="51" t="s">
        <v>662</v>
      </c>
      <c r="N52" s="51" t="s">
        <v>581</v>
      </c>
      <c r="O52" s="51" t="s">
        <v>681</v>
      </c>
    </row>
    <row r="53" spans="1:15" x14ac:dyDescent="0.25">
      <c r="A53" s="51" t="s">
        <v>682</v>
      </c>
      <c r="B53" s="51" t="s">
        <v>327</v>
      </c>
      <c r="C53" s="51" t="s">
        <v>682</v>
      </c>
      <c r="D53" s="46">
        <v>1</v>
      </c>
      <c r="E53" s="47">
        <v>43724</v>
      </c>
      <c r="F53" s="51" t="s">
        <v>683</v>
      </c>
      <c r="G53" s="51" t="s">
        <v>605</v>
      </c>
      <c r="H53" s="51" t="s">
        <v>328</v>
      </c>
      <c r="I53" s="51" t="s">
        <v>66</v>
      </c>
      <c r="J53" s="50">
        <v>5297.6</v>
      </c>
      <c r="K53" s="51" t="s">
        <v>580</v>
      </c>
      <c r="L53" s="47">
        <v>43724</v>
      </c>
      <c r="M53" s="51" t="s">
        <v>662</v>
      </c>
      <c r="N53" s="51" t="s">
        <v>581</v>
      </c>
      <c r="O53" s="51" t="s">
        <v>684</v>
      </c>
    </row>
    <row r="54" spans="1:15" x14ac:dyDescent="0.25">
      <c r="A54" s="51" t="s">
        <v>685</v>
      </c>
      <c r="B54" s="51" t="s">
        <v>327</v>
      </c>
      <c r="C54" s="51" t="s">
        <v>685</v>
      </c>
      <c r="D54" s="46">
        <v>1</v>
      </c>
      <c r="E54" s="47">
        <v>43724</v>
      </c>
      <c r="F54" s="51" t="s">
        <v>686</v>
      </c>
      <c r="G54" s="51" t="s">
        <v>605</v>
      </c>
      <c r="H54" s="51" t="s">
        <v>328</v>
      </c>
      <c r="I54" s="51" t="s">
        <v>66</v>
      </c>
      <c r="J54" s="50">
        <v>5577.8</v>
      </c>
      <c r="K54" s="51" t="s">
        <v>580</v>
      </c>
      <c r="L54" s="47">
        <v>43724</v>
      </c>
      <c r="M54" s="51" t="s">
        <v>662</v>
      </c>
      <c r="N54" s="51" t="s">
        <v>581</v>
      </c>
      <c r="O54" s="51" t="s">
        <v>687</v>
      </c>
    </row>
    <row r="55" spans="1:15" s="51" customFormat="1" x14ac:dyDescent="0.25">
      <c r="A55" s="51" t="s">
        <v>688</v>
      </c>
      <c r="B55" s="51" t="s">
        <v>327</v>
      </c>
      <c r="C55" s="51" t="s">
        <v>688</v>
      </c>
      <c r="D55" s="46">
        <v>1</v>
      </c>
      <c r="E55" s="47">
        <v>43724</v>
      </c>
      <c r="F55" s="51" t="s">
        <v>689</v>
      </c>
      <c r="G55" s="51" t="s">
        <v>605</v>
      </c>
      <c r="H55" s="51" t="s">
        <v>328</v>
      </c>
      <c r="I55" s="51" t="s">
        <v>66</v>
      </c>
      <c r="J55" s="50">
        <v>5858</v>
      </c>
      <c r="K55" s="51" t="s">
        <v>580</v>
      </c>
      <c r="L55" s="47">
        <v>43724</v>
      </c>
      <c r="M55" s="51" t="s">
        <v>662</v>
      </c>
      <c r="N55" s="51" t="s">
        <v>581</v>
      </c>
      <c r="O55" s="51" t="s">
        <v>690</v>
      </c>
    </row>
    <row r="56" spans="1:15" s="51" customFormat="1" x14ac:dyDescent="0.25">
      <c r="A56" s="51" t="s">
        <v>691</v>
      </c>
      <c r="B56" s="51" t="s">
        <v>327</v>
      </c>
      <c r="C56" s="51" t="s">
        <v>691</v>
      </c>
      <c r="D56" s="46">
        <v>1</v>
      </c>
      <c r="E56" s="47">
        <v>43724</v>
      </c>
      <c r="F56" s="51" t="s">
        <v>692</v>
      </c>
      <c r="G56" s="51" t="s">
        <v>605</v>
      </c>
      <c r="H56" s="51" t="s">
        <v>328</v>
      </c>
      <c r="I56" s="51" t="s">
        <v>66</v>
      </c>
      <c r="J56" s="50">
        <v>6138.2</v>
      </c>
      <c r="K56" s="51" t="s">
        <v>580</v>
      </c>
      <c r="L56" s="47">
        <v>43724</v>
      </c>
      <c r="M56" s="51" t="s">
        <v>662</v>
      </c>
      <c r="N56" s="51" t="s">
        <v>581</v>
      </c>
      <c r="O56" s="51" t="s">
        <v>693</v>
      </c>
    </row>
    <row r="57" spans="1:15" s="51" customFormat="1" x14ac:dyDescent="0.25">
      <c r="A57" s="51" t="s">
        <v>694</v>
      </c>
      <c r="B57" s="51" t="s">
        <v>327</v>
      </c>
      <c r="C57" s="51" t="s">
        <v>694</v>
      </c>
      <c r="D57" s="46">
        <v>1</v>
      </c>
      <c r="E57" s="47">
        <v>43724</v>
      </c>
      <c r="F57" s="51" t="s">
        <v>695</v>
      </c>
      <c r="G57" s="51" t="s">
        <v>605</v>
      </c>
      <c r="H57" s="51" t="s">
        <v>328</v>
      </c>
      <c r="I57" s="51" t="s">
        <v>66</v>
      </c>
      <c r="J57" s="50">
        <v>6418.4</v>
      </c>
      <c r="K57" s="51" t="s">
        <v>580</v>
      </c>
      <c r="L57" s="47">
        <v>43724</v>
      </c>
      <c r="M57" s="51" t="s">
        <v>662</v>
      </c>
      <c r="N57" s="51" t="s">
        <v>581</v>
      </c>
      <c r="O57" s="51" t="s">
        <v>696</v>
      </c>
    </row>
    <row r="58" spans="1:15" s="51" customFormat="1" x14ac:dyDescent="0.25">
      <c r="A58" s="51" t="s">
        <v>697</v>
      </c>
      <c r="B58" s="51" t="s">
        <v>327</v>
      </c>
      <c r="C58" s="51" t="s">
        <v>697</v>
      </c>
      <c r="D58" s="46">
        <v>1</v>
      </c>
      <c r="E58" s="47">
        <v>43724</v>
      </c>
      <c r="F58" s="51" t="s">
        <v>698</v>
      </c>
      <c r="G58" s="51" t="s">
        <v>605</v>
      </c>
      <c r="H58" s="51" t="s">
        <v>328</v>
      </c>
      <c r="I58" s="51" t="s">
        <v>66</v>
      </c>
      <c r="J58" s="50">
        <v>6698.6</v>
      </c>
      <c r="K58" s="51" t="s">
        <v>580</v>
      </c>
      <c r="L58" s="47">
        <v>43724</v>
      </c>
      <c r="M58" s="51" t="s">
        <v>662</v>
      </c>
      <c r="N58" s="51" t="s">
        <v>581</v>
      </c>
      <c r="O58" s="51" t="s">
        <v>699</v>
      </c>
    </row>
    <row r="59" spans="1:15" s="51" customFormat="1" x14ac:dyDescent="0.25">
      <c r="A59" s="51" t="s">
        <v>700</v>
      </c>
      <c r="B59" s="51" t="s">
        <v>327</v>
      </c>
      <c r="C59" s="51" t="s">
        <v>700</v>
      </c>
      <c r="D59" s="46">
        <v>1</v>
      </c>
      <c r="E59" s="47">
        <v>43724</v>
      </c>
      <c r="F59" s="51" t="s">
        <v>701</v>
      </c>
      <c r="G59" s="51" t="s">
        <v>605</v>
      </c>
      <c r="H59" s="51" t="s">
        <v>328</v>
      </c>
      <c r="I59" s="51" t="s">
        <v>66</v>
      </c>
      <c r="J59" s="50">
        <v>6978.8</v>
      </c>
      <c r="K59" s="51" t="s">
        <v>580</v>
      </c>
      <c r="L59" s="47">
        <v>43724</v>
      </c>
      <c r="M59" s="51" t="s">
        <v>662</v>
      </c>
      <c r="N59" s="51" t="s">
        <v>581</v>
      </c>
      <c r="O59" s="51" t="s">
        <v>702</v>
      </c>
    </row>
    <row r="60" spans="1:15" s="51" customFormat="1" x14ac:dyDescent="0.25">
      <c r="A60" s="51" t="s">
        <v>703</v>
      </c>
      <c r="B60" s="51" t="s">
        <v>327</v>
      </c>
      <c r="C60" s="51" t="s">
        <v>703</v>
      </c>
      <c r="D60" s="46">
        <v>1</v>
      </c>
      <c r="E60" s="47">
        <v>43724</v>
      </c>
      <c r="F60" s="51" t="s">
        <v>704</v>
      </c>
      <c r="G60" s="51" t="s">
        <v>605</v>
      </c>
      <c r="H60" s="51" t="s">
        <v>328</v>
      </c>
      <c r="I60" s="51" t="s">
        <v>66</v>
      </c>
      <c r="J60" s="50">
        <v>7259</v>
      </c>
      <c r="K60" s="51" t="s">
        <v>580</v>
      </c>
      <c r="L60" s="47">
        <v>43724</v>
      </c>
      <c r="M60" s="51" t="s">
        <v>662</v>
      </c>
      <c r="N60" s="51" t="s">
        <v>581</v>
      </c>
      <c r="O60" s="51" t="s">
        <v>705</v>
      </c>
    </row>
    <row r="61" spans="1:15" s="51" customFormat="1" x14ac:dyDescent="0.25">
      <c r="A61" s="51" t="s">
        <v>706</v>
      </c>
      <c r="B61" s="51" t="s">
        <v>327</v>
      </c>
      <c r="C61" s="51" t="s">
        <v>706</v>
      </c>
      <c r="D61" s="46">
        <v>1</v>
      </c>
      <c r="E61" s="47">
        <v>43724</v>
      </c>
      <c r="F61" s="51" t="s">
        <v>707</v>
      </c>
      <c r="G61" s="51" t="s">
        <v>605</v>
      </c>
      <c r="H61" s="51" t="s">
        <v>328</v>
      </c>
      <c r="I61" s="51" t="s">
        <v>66</v>
      </c>
      <c r="J61" s="50">
        <v>7539.2</v>
      </c>
      <c r="K61" s="51" t="s">
        <v>580</v>
      </c>
      <c r="L61" s="47">
        <v>43724</v>
      </c>
      <c r="M61" s="51" t="s">
        <v>662</v>
      </c>
      <c r="N61" s="51" t="s">
        <v>581</v>
      </c>
      <c r="O61" s="51" t="s">
        <v>708</v>
      </c>
    </row>
    <row r="62" spans="1:15" s="51" customFormat="1" x14ac:dyDescent="0.25">
      <c r="A62" s="51" t="s">
        <v>709</v>
      </c>
      <c r="B62" s="51" t="s">
        <v>327</v>
      </c>
      <c r="C62" s="51" t="s">
        <v>709</v>
      </c>
      <c r="D62" s="46">
        <v>1</v>
      </c>
      <c r="E62" s="47">
        <v>43724</v>
      </c>
      <c r="F62" s="51" t="s">
        <v>710</v>
      </c>
      <c r="G62" s="51" t="s">
        <v>605</v>
      </c>
      <c r="H62" s="51" t="s">
        <v>328</v>
      </c>
      <c r="I62" s="51" t="s">
        <v>66</v>
      </c>
      <c r="J62" s="50">
        <v>7819.4</v>
      </c>
      <c r="K62" s="51" t="s">
        <v>580</v>
      </c>
      <c r="L62" s="47">
        <v>43724</v>
      </c>
      <c r="M62" s="51" t="s">
        <v>662</v>
      </c>
      <c r="N62" s="51" t="s">
        <v>581</v>
      </c>
      <c r="O62" s="51" t="s">
        <v>711</v>
      </c>
    </row>
    <row r="63" spans="1:15" s="51" customFormat="1" x14ac:dyDescent="0.25">
      <c r="A63" s="51" t="s">
        <v>712</v>
      </c>
      <c r="B63" s="51" t="s">
        <v>327</v>
      </c>
      <c r="C63" s="51" t="s">
        <v>712</v>
      </c>
      <c r="D63" s="46">
        <v>1</v>
      </c>
      <c r="E63" s="47">
        <v>43724</v>
      </c>
      <c r="F63" s="51" t="s">
        <v>713</v>
      </c>
      <c r="G63" s="51" t="s">
        <v>605</v>
      </c>
      <c r="H63" s="51" t="s">
        <v>328</v>
      </c>
      <c r="I63" s="51" t="s">
        <v>66</v>
      </c>
      <c r="J63" s="50">
        <v>8099.6</v>
      </c>
      <c r="K63" s="51" t="s">
        <v>580</v>
      </c>
      <c r="L63" s="47">
        <v>43724</v>
      </c>
      <c r="M63" s="51" t="s">
        <v>662</v>
      </c>
      <c r="N63" s="51" t="s">
        <v>581</v>
      </c>
      <c r="O63" s="51" t="s">
        <v>714</v>
      </c>
    </row>
    <row r="64" spans="1:15" s="51" customFormat="1" x14ac:dyDescent="0.25">
      <c r="A64" s="51" t="s">
        <v>715</v>
      </c>
      <c r="B64" s="51" t="s">
        <v>327</v>
      </c>
      <c r="C64" s="51" t="s">
        <v>715</v>
      </c>
      <c r="D64" s="46">
        <v>1</v>
      </c>
      <c r="E64" s="47">
        <v>43724</v>
      </c>
      <c r="F64" s="51" t="s">
        <v>716</v>
      </c>
      <c r="G64" s="51" t="s">
        <v>605</v>
      </c>
      <c r="H64" s="51" t="s">
        <v>328</v>
      </c>
      <c r="I64" s="51" t="s">
        <v>66</v>
      </c>
      <c r="J64" s="50">
        <v>8379.7999999999993</v>
      </c>
      <c r="K64" s="51" t="s">
        <v>580</v>
      </c>
      <c r="L64" s="47">
        <v>43724</v>
      </c>
      <c r="M64" s="51" t="s">
        <v>662</v>
      </c>
      <c r="N64" s="51" t="s">
        <v>581</v>
      </c>
      <c r="O64" s="51" t="s">
        <v>717</v>
      </c>
    </row>
    <row r="65" spans="1:15" s="51" customFormat="1" x14ac:dyDescent="0.25">
      <c r="A65" s="51" t="s">
        <v>718</v>
      </c>
      <c r="B65" s="51" t="s">
        <v>327</v>
      </c>
      <c r="C65" s="51" t="s">
        <v>718</v>
      </c>
      <c r="D65" s="46">
        <v>1</v>
      </c>
      <c r="E65" s="47">
        <v>43724</v>
      </c>
      <c r="F65" s="51" t="s">
        <v>719</v>
      </c>
      <c r="G65" s="51" t="s">
        <v>605</v>
      </c>
      <c r="H65" s="51" t="s">
        <v>328</v>
      </c>
      <c r="I65" s="51" t="s">
        <v>66</v>
      </c>
      <c r="J65" s="50">
        <v>8660</v>
      </c>
      <c r="K65" s="51" t="s">
        <v>580</v>
      </c>
      <c r="L65" s="47">
        <v>43724</v>
      </c>
      <c r="M65" s="51" t="s">
        <v>662</v>
      </c>
      <c r="N65" s="51" t="s">
        <v>581</v>
      </c>
      <c r="O65" s="51" t="s">
        <v>720</v>
      </c>
    </row>
    <row r="66" spans="1:15" s="51" customFormat="1" x14ac:dyDescent="0.25">
      <c r="A66" s="51" t="s">
        <v>721</v>
      </c>
      <c r="B66" s="51" t="s">
        <v>327</v>
      </c>
      <c r="C66" s="51" t="s">
        <v>721</v>
      </c>
      <c r="D66" s="46">
        <v>1</v>
      </c>
      <c r="E66" s="47">
        <v>43724</v>
      </c>
      <c r="F66" s="51" t="s">
        <v>722</v>
      </c>
      <c r="G66" s="51" t="s">
        <v>605</v>
      </c>
      <c r="H66" s="51" t="s">
        <v>328</v>
      </c>
      <c r="I66" s="51" t="s">
        <v>66</v>
      </c>
      <c r="J66" s="50">
        <v>8940.2000000000007</v>
      </c>
      <c r="K66" s="51" t="s">
        <v>580</v>
      </c>
      <c r="L66" s="47">
        <v>43724</v>
      </c>
      <c r="M66" s="51" t="s">
        <v>662</v>
      </c>
      <c r="N66" s="51" t="s">
        <v>581</v>
      </c>
      <c r="O66" s="51" t="s">
        <v>723</v>
      </c>
    </row>
    <row r="67" spans="1:15" s="51" customFormat="1" x14ac:dyDescent="0.25">
      <c r="A67" s="51" t="s">
        <v>724</v>
      </c>
      <c r="B67" s="51" t="s">
        <v>327</v>
      </c>
      <c r="C67" s="51" t="s">
        <v>724</v>
      </c>
      <c r="D67" s="46">
        <v>1</v>
      </c>
      <c r="E67" s="47">
        <v>43724</v>
      </c>
      <c r="F67" s="51" t="s">
        <v>725</v>
      </c>
      <c r="G67" s="51" t="s">
        <v>605</v>
      </c>
      <c r="H67" s="51" t="s">
        <v>328</v>
      </c>
      <c r="I67" s="51" t="s">
        <v>66</v>
      </c>
      <c r="J67" s="50">
        <v>9220.4</v>
      </c>
      <c r="K67" s="51" t="s">
        <v>580</v>
      </c>
      <c r="L67" s="47">
        <v>43724</v>
      </c>
      <c r="M67" s="51" t="s">
        <v>662</v>
      </c>
      <c r="N67" s="51" t="s">
        <v>581</v>
      </c>
      <c r="O67" s="51" t="s">
        <v>726</v>
      </c>
    </row>
    <row r="68" spans="1:15" s="51" customFormat="1" x14ac:dyDescent="0.25">
      <c r="A68" s="51" t="s">
        <v>727</v>
      </c>
      <c r="B68" s="51" t="s">
        <v>327</v>
      </c>
      <c r="C68" s="51" t="s">
        <v>727</v>
      </c>
      <c r="D68" s="46">
        <v>1</v>
      </c>
      <c r="E68" s="47">
        <v>43724</v>
      </c>
      <c r="F68" s="51" t="s">
        <v>728</v>
      </c>
      <c r="G68" s="51" t="s">
        <v>605</v>
      </c>
      <c r="H68" s="51" t="s">
        <v>328</v>
      </c>
      <c r="I68" s="51" t="s">
        <v>66</v>
      </c>
      <c r="J68" s="50">
        <v>9500.6</v>
      </c>
      <c r="K68" s="51" t="s">
        <v>580</v>
      </c>
      <c r="L68" s="47">
        <v>43724</v>
      </c>
      <c r="M68" s="51" t="s">
        <v>662</v>
      </c>
      <c r="N68" s="51" t="s">
        <v>581</v>
      </c>
      <c r="O68" s="51" t="s">
        <v>729</v>
      </c>
    </row>
    <row r="69" spans="1:15" s="51" customFormat="1" x14ac:dyDescent="0.25">
      <c r="A69" s="51" t="s">
        <v>730</v>
      </c>
      <c r="B69" s="51" t="s">
        <v>327</v>
      </c>
      <c r="C69" s="51" t="s">
        <v>730</v>
      </c>
      <c r="D69" s="46">
        <v>1</v>
      </c>
      <c r="E69" s="47">
        <v>43724</v>
      </c>
      <c r="F69" s="51" t="s">
        <v>731</v>
      </c>
      <c r="G69" s="51" t="s">
        <v>605</v>
      </c>
      <c r="H69" s="51" t="s">
        <v>328</v>
      </c>
      <c r="I69" s="51" t="s">
        <v>66</v>
      </c>
      <c r="J69" s="50">
        <v>9780.7999999999993</v>
      </c>
      <c r="K69" s="51" t="s">
        <v>580</v>
      </c>
      <c r="L69" s="47">
        <v>43724</v>
      </c>
      <c r="M69" s="51" t="s">
        <v>662</v>
      </c>
      <c r="N69" s="51" t="s">
        <v>581</v>
      </c>
      <c r="O69" s="51" t="s">
        <v>732</v>
      </c>
    </row>
    <row r="70" spans="1:15" s="51" customFormat="1" x14ac:dyDescent="0.25">
      <c r="A70" s="51" t="s">
        <v>733</v>
      </c>
      <c r="B70" s="51" t="s">
        <v>327</v>
      </c>
      <c r="C70" s="51" t="s">
        <v>733</v>
      </c>
      <c r="D70" s="46">
        <v>1</v>
      </c>
      <c r="E70" s="47">
        <v>43724</v>
      </c>
      <c r="F70" s="51" t="s">
        <v>734</v>
      </c>
      <c r="G70" s="51" t="s">
        <v>605</v>
      </c>
      <c r="H70" s="51" t="s">
        <v>328</v>
      </c>
      <c r="I70" s="51" t="s">
        <v>66</v>
      </c>
      <c r="J70" s="50">
        <v>10061</v>
      </c>
      <c r="K70" s="51" t="s">
        <v>580</v>
      </c>
      <c r="L70" s="47">
        <v>43724</v>
      </c>
      <c r="M70" s="51" t="s">
        <v>662</v>
      </c>
      <c r="N70" s="51" t="s">
        <v>581</v>
      </c>
      <c r="O70" s="51" t="s">
        <v>735</v>
      </c>
    </row>
    <row r="71" spans="1:15" x14ac:dyDescent="0.25">
      <c r="A71" s="37" t="s">
        <v>803</v>
      </c>
      <c r="B71" s="37" t="s">
        <v>327</v>
      </c>
      <c r="C71" s="37" t="s">
        <v>803</v>
      </c>
      <c r="D71" s="46">
        <v>1</v>
      </c>
      <c r="E71" s="39">
        <v>43724</v>
      </c>
      <c r="F71" s="37" t="s">
        <v>804</v>
      </c>
      <c r="G71" s="37" t="s">
        <v>605</v>
      </c>
      <c r="H71" s="37" t="s">
        <v>328</v>
      </c>
      <c r="I71" s="37" t="s">
        <v>66</v>
      </c>
      <c r="J71" s="40">
        <v>8246.2000000000007</v>
      </c>
      <c r="K71" s="37" t="s">
        <v>583</v>
      </c>
      <c r="L71" s="39">
        <v>43724</v>
      </c>
      <c r="M71" s="37" t="s">
        <v>662</v>
      </c>
      <c r="N71" s="37" t="s">
        <v>581</v>
      </c>
      <c r="O71" s="37" t="s">
        <v>805</v>
      </c>
    </row>
    <row r="72" spans="1:15" x14ac:dyDescent="0.25">
      <c r="A72" s="37" t="s">
        <v>806</v>
      </c>
      <c r="B72" s="37" t="s">
        <v>327</v>
      </c>
      <c r="C72" s="37" t="s">
        <v>806</v>
      </c>
      <c r="D72" s="46">
        <v>1</v>
      </c>
      <c r="E72" s="39">
        <v>43724</v>
      </c>
      <c r="F72" s="37" t="s">
        <v>807</v>
      </c>
      <c r="G72" s="37" t="s">
        <v>605</v>
      </c>
      <c r="H72" s="37" t="s">
        <v>328</v>
      </c>
      <c r="I72" s="37" t="s">
        <v>66</v>
      </c>
      <c r="J72" s="40">
        <v>8696.4</v>
      </c>
      <c r="K72" s="37" t="s">
        <v>583</v>
      </c>
      <c r="L72" s="39">
        <v>43724</v>
      </c>
      <c r="M72" s="37" t="s">
        <v>662</v>
      </c>
      <c r="N72" s="37" t="s">
        <v>581</v>
      </c>
      <c r="O72" s="37" t="s">
        <v>808</v>
      </c>
    </row>
    <row r="73" spans="1:15" x14ac:dyDescent="0.25">
      <c r="A73" s="37" t="s">
        <v>809</v>
      </c>
      <c r="B73" s="37" t="s">
        <v>327</v>
      </c>
      <c r="C73" s="37" t="s">
        <v>809</v>
      </c>
      <c r="D73" s="46">
        <v>1</v>
      </c>
      <c r="E73" s="39">
        <v>43724</v>
      </c>
      <c r="F73" s="37" t="s">
        <v>810</v>
      </c>
      <c r="G73" s="37" t="s">
        <v>605</v>
      </c>
      <c r="H73" s="37" t="s">
        <v>328</v>
      </c>
      <c r="I73" s="37" t="s">
        <v>66</v>
      </c>
      <c r="J73" s="40">
        <v>946.6</v>
      </c>
      <c r="K73" s="37" t="s">
        <v>583</v>
      </c>
      <c r="L73" s="39">
        <v>43724</v>
      </c>
      <c r="M73" s="37" t="s">
        <v>662</v>
      </c>
      <c r="N73" s="37" t="s">
        <v>581</v>
      </c>
      <c r="O73" s="37" t="s">
        <v>811</v>
      </c>
    </row>
    <row r="74" spans="1:15" x14ac:dyDescent="0.25">
      <c r="A74" s="37" t="s">
        <v>812</v>
      </c>
      <c r="B74" s="37" t="s">
        <v>327</v>
      </c>
      <c r="C74" s="37" t="s">
        <v>812</v>
      </c>
      <c r="D74" s="46">
        <v>1</v>
      </c>
      <c r="E74" s="39">
        <v>43724</v>
      </c>
      <c r="F74" s="37" t="s">
        <v>813</v>
      </c>
      <c r="G74" s="37" t="s">
        <v>605</v>
      </c>
      <c r="H74" s="37" t="s">
        <v>328</v>
      </c>
      <c r="I74" s="37" t="s">
        <v>66</v>
      </c>
      <c r="J74" s="40">
        <v>596.79999999999995</v>
      </c>
      <c r="K74" s="37" t="s">
        <v>583</v>
      </c>
      <c r="L74" s="39">
        <v>43724</v>
      </c>
      <c r="M74" s="37" t="s">
        <v>662</v>
      </c>
      <c r="N74" s="37" t="s">
        <v>581</v>
      </c>
      <c r="O74" s="37" t="s">
        <v>814</v>
      </c>
    </row>
    <row r="75" spans="1:15" x14ac:dyDescent="0.25">
      <c r="A75" s="37" t="s">
        <v>815</v>
      </c>
      <c r="B75" s="37" t="s">
        <v>327</v>
      </c>
      <c r="C75" s="37" t="s">
        <v>815</v>
      </c>
      <c r="D75" s="46">
        <v>1</v>
      </c>
      <c r="E75" s="39">
        <v>43724</v>
      </c>
      <c r="F75" s="37" t="s">
        <v>816</v>
      </c>
      <c r="G75" s="37" t="s">
        <v>605</v>
      </c>
      <c r="H75" s="37" t="s">
        <v>328</v>
      </c>
      <c r="I75" s="37" t="s">
        <v>66</v>
      </c>
      <c r="J75" s="40">
        <v>147</v>
      </c>
      <c r="K75" s="37" t="s">
        <v>583</v>
      </c>
      <c r="L75" s="39">
        <v>43724</v>
      </c>
      <c r="M75" s="37" t="s">
        <v>662</v>
      </c>
      <c r="N75" s="37" t="s">
        <v>581</v>
      </c>
      <c r="O75" s="37" t="s">
        <v>817</v>
      </c>
    </row>
    <row r="76" spans="1:15" x14ac:dyDescent="0.25">
      <c r="A76" s="37" t="s">
        <v>818</v>
      </c>
      <c r="B76" s="37" t="s">
        <v>327</v>
      </c>
      <c r="C76" s="37" t="s">
        <v>818</v>
      </c>
      <c r="D76" s="46">
        <v>1</v>
      </c>
      <c r="E76" s="39">
        <v>43724</v>
      </c>
      <c r="F76" s="37" t="s">
        <v>819</v>
      </c>
      <c r="G76" s="37" t="s">
        <v>605</v>
      </c>
      <c r="H76" s="37" t="s">
        <v>328</v>
      </c>
      <c r="I76" s="37" t="s">
        <v>66</v>
      </c>
      <c r="J76" s="40">
        <v>10497.2</v>
      </c>
      <c r="K76" s="37" t="s">
        <v>583</v>
      </c>
      <c r="L76" s="39">
        <v>43724</v>
      </c>
      <c r="M76" s="37" t="s">
        <v>662</v>
      </c>
      <c r="N76" s="37" t="s">
        <v>581</v>
      </c>
      <c r="O76" s="37" t="s">
        <v>820</v>
      </c>
    </row>
    <row r="77" spans="1:15" x14ac:dyDescent="0.25">
      <c r="A77" s="37" t="s">
        <v>821</v>
      </c>
      <c r="B77" s="37" t="s">
        <v>327</v>
      </c>
      <c r="C77" s="37" t="s">
        <v>821</v>
      </c>
      <c r="D77" s="46">
        <v>1</v>
      </c>
      <c r="E77" s="39">
        <v>43724</v>
      </c>
      <c r="F77" s="37" t="s">
        <v>822</v>
      </c>
      <c r="G77" s="37" t="s">
        <v>605</v>
      </c>
      <c r="H77" s="37" t="s">
        <v>328</v>
      </c>
      <c r="I77" s="37" t="s">
        <v>66</v>
      </c>
      <c r="J77" s="40">
        <v>5017.3999999999996</v>
      </c>
      <c r="K77" s="37" t="s">
        <v>583</v>
      </c>
      <c r="L77" s="39">
        <v>43724</v>
      </c>
      <c r="M77" s="37" t="s">
        <v>662</v>
      </c>
      <c r="N77" s="37" t="s">
        <v>581</v>
      </c>
      <c r="O77" s="37" t="s">
        <v>823</v>
      </c>
    </row>
    <row r="78" spans="1:15" x14ac:dyDescent="0.25">
      <c r="A78" s="37" t="s">
        <v>824</v>
      </c>
      <c r="B78" s="37" t="s">
        <v>327</v>
      </c>
      <c r="C78" s="37" t="s">
        <v>824</v>
      </c>
      <c r="D78" s="46">
        <v>1</v>
      </c>
      <c r="E78" s="39">
        <v>43724</v>
      </c>
      <c r="F78" s="37" t="s">
        <v>825</v>
      </c>
      <c r="G78" s="37" t="s">
        <v>605</v>
      </c>
      <c r="H78" s="37" t="s">
        <v>328</v>
      </c>
      <c r="I78" s="37" t="s">
        <v>66</v>
      </c>
      <c r="J78" s="40">
        <v>5297.6</v>
      </c>
      <c r="K78" s="37" t="s">
        <v>583</v>
      </c>
      <c r="L78" s="39">
        <v>43724</v>
      </c>
      <c r="M78" s="37" t="s">
        <v>662</v>
      </c>
      <c r="N78" s="37" t="s">
        <v>581</v>
      </c>
      <c r="O78" s="37" t="s">
        <v>826</v>
      </c>
    </row>
    <row r="79" spans="1:15" x14ac:dyDescent="0.25">
      <c r="A79" s="37" t="s">
        <v>827</v>
      </c>
      <c r="B79" s="37" t="s">
        <v>327</v>
      </c>
      <c r="C79" s="37" t="s">
        <v>827</v>
      </c>
      <c r="D79" s="46">
        <v>1</v>
      </c>
      <c r="E79" s="39">
        <v>43724</v>
      </c>
      <c r="F79" s="37" t="s">
        <v>828</v>
      </c>
      <c r="G79" s="37" t="s">
        <v>605</v>
      </c>
      <c r="H79" s="37" t="s">
        <v>328</v>
      </c>
      <c r="I79" s="37" t="s">
        <v>66</v>
      </c>
      <c r="J79" s="40">
        <v>5577.8</v>
      </c>
      <c r="K79" s="37" t="s">
        <v>583</v>
      </c>
      <c r="L79" s="39">
        <v>43724</v>
      </c>
      <c r="M79" s="37" t="s">
        <v>662</v>
      </c>
      <c r="N79" s="37" t="s">
        <v>581</v>
      </c>
      <c r="O79" s="37" t="s">
        <v>829</v>
      </c>
    </row>
    <row r="80" spans="1:15" x14ac:dyDescent="0.25">
      <c r="A80" s="37" t="s">
        <v>830</v>
      </c>
      <c r="B80" s="37" t="s">
        <v>327</v>
      </c>
      <c r="C80" s="37" t="s">
        <v>830</v>
      </c>
      <c r="D80" s="46">
        <v>1</v>
      </c>
      <c r="E80" s="39">
        <v>43724</v>
      </c>
      <c r="F80" s="37" t="s">
        <v>831</v>
      </c>
      <c r="G80" s="37" t="s">
        <v>605</v>
      </c>
      <c r="H80" s="37" t="s">
        <v>328</v>
      </c>
      <c r="I80" s="37" t="s">
        <v>66</v>
      </c>
      <c r="J80" s="40">
        <v>5858</v>
      </c>
      <c r="K80" s="37" t="s">
        <v>583</v>
      </c>
      <c r="L80" s="39">
        <v>43724</v>
      </c>
      <c r="M80" s="37" t="s">
        <v>662</v>
      </c>
      <c r="N80" s="37" t="s">
        <v>581</v>
      </c>
      <c r="O80" s="37" t="s">
        <v>832</v>
      </c>
    </row>
    <row r="81" spans="1:15" x14ac:dyDescent="0.25">
      <c r="A81" s="37" t="s">
        <v>833</v>
      </c>
      <c r="B81" s="37" t="s">
        <v>327</v>
      </c>
      <c r="C81" s="37" t="s">
        <v>833</v>
      </c>
      <c r="D81" s="46">
        <v>1</v>
      </c>
      <c r="E81" s="39">
        <v>43724</v>
      </c>
      <c r="F81" s="37" t="s">
        <v>834</v>
      </c>
      <c r="G81" s="37" t="s">
        <v>605</v>
      </c>
      <c r="H81" s="37" t="s">
        <v>328</v>
      </c>
      <c r="I81" s="37" t="s">
        <v>66</v>
      </c>
      <c r="J81" s="40">
        <v>6138.2</v>
      </c>
      <c r="K81" s="37" t="s">
        <v>583</v>
      </c>
      <c r="L81" s="39">
        <v>43724</v>
      </c>
      <c r="M81" s="37" t="s">
        <v>662</v>
      </c>
      <c r="N81" s="37" t="s">
        <v>581</v>
      </c>
      <c r="O81" s="37" t="s">
        <v>835</v>
      </c>
    </row>
    <row r="82" spans="1:15" x14ac:dyDescent="0.25">
      <c r="A82" s="37" t="s">
        <v>836</v>
      </c>
      <c r="B82" s="37" t="s">
        <v>327</v>
      </c>
      <c r="C82" s="37" t="s">
        <v>836</v>
      </c>
      <c r="D82" s="46">
        <v>1</v>
      </c>
      <c r="E82" s="39">
        <v>43724</v>
      </c>
      <c r="F82" s="37" t="s">
        <v>837</v>
      </c>
      <c r="G82" s="37" t="s">
        <v>605</v>
      </c>
      <c r="H82" s="37" t="s">
        <v>328</v>
      </c>
      <c r="I82" s="37" t="s">
        <v>66</v>
      </c>
      <c r="J82" s="40">
        <v>6418.4</v>
      </c>
      <c r="K82" s="37" t="s">
        <v>583</v>
      </c>
      <c r="L82" s="39">
        <v>43724</v>
      </c>
      <c r="M82" s="37" t="s">
        <v>662</v>
      </c>
      <c r="N82" s="37" t="s">
        <v>581</v>
      </c>
      <c r="O82" s="37" t="s">
        <v>838</v>
      </c>
    </row>
    <row r="83" spans="1:15" x14ac:dyDescent="0.25">
      <c r="A83" s="37" t="s">
        <v>839</v>
      </c>
      <c r="B83" s="37" t="s">
        <v>327</v>
      </c>
      <c r="C83" s="37" t="s">
        <v>839</v>
      </c>
      <c r="D83" s="46">
        <v>1</v>
      </c>
      <c r="E83" s="39">
        <v>43724</v>
      </c>
      <c r="F83" s="37" t="s">
        <v>840</v>
      </c>
      <c r="G83" s="37" t="s">
        <v>605</v>
      </c>
      <c r="H83" s="37" t="s">
        <v>328</v>
      </c>
      <c r="I83" s="37" t="s">
        <v>66</v>
      </c>
      <c r="J83" s="40">
        <v>6698.6</v>
      </c>
      <c r="K83" s="37" t="s">
        <v>583</v>
      </c>
      <c r="L83" s="39">
        <v>43724</v>
      </c>
      <c r="M83" s="37" t="s">
        <v>662</v>
      </c>
      <c r="N83" s="37" t="s">
        <v>581</v>
      </c>
      <c r="O83" s="37" t="s">
        <v>841</v>
      </c>
    </row>
    <row r="84" spans="1:15" x14ac:dyDescent="0.25">
      <c r="A84" s="37" t="s">
        <v>842</v>
      </c>
      <c r="B84" s="37" t="s">
        <v>327</v>
      </c>
      <c r="C84" s="37" t="s">
        <v>842</v>
      </c>
      <c r="D84" s="46">
        <v>1</v>
      </c>
      <c r="E84" s="39">
        <v>43724</v>
      </c>
      <c r="F84" s="37" t="s">
        <v>843</v>
      </c>
      <c r="G84" s="37" t="s">
        <v>605</v>
      </c>
      <c r="H84" s="37" t="s">
        <v>328</v>
      </c>
      <c r="I84" s="37" t="s">
        <v>66</v>
      </c>
      <c r="J84" s="40">
        <v>6978.8</v>
      </c>
      <c r="K84" s="37" t="s">
        <v>583</v>
      </c>
      <c r="L84" s="39">
        <v>43724</v>
      </c>
      <c r="M84" s="37" t="s">
        <v>662</v>
      </c>
      <c r="N84" s="37" t="s">
        <v>581</v>
      </c>
      <c r="O84" s="37" t="s">
        <v>844</v>
      </c>
    </row>
    <row r="85" spans="1:15" x14ac:dyDescent="0.25">
      <c r="A85" s="37" t="s">
        <v>845</v>
      </c>
      <c r="B85" s="37" t="s">
        <v>327</v>
      </c>
      <c r="C85" s="37" t="s">
        <v>845</v>
      </c>
      <c r="D85" s="46">
        <v>1</v>
      </c>
      <c r="E85" s="39">
        <v>43724</v>
      </c>
      <c r="F85" s="37" t="s">
        <v>846</v>
      </c>
      <c r="G85" s="37" t="s">
        <v>605</v>
      </c>
      <c r="H85" s="37" t="s">
        <v>328</v>
      </c>
      <c r="I85" s="37" t="s">
        <v>66</v>
      </c>
      <c r="J85" s="40">
        <v>7259</v>
      </c>
      <c r="K85" s="37" t="s">
        <v>583</v>
      </c>
      <c r="L85" s="39">
        <v>43724</v>
      </c>
      <c r="M85" s="37" t="s">
        <v>662</v>
      </c>
      <c r="N85" s="37" t="s">
        <v>581</v>
      </c>
      <c r="O85" s="37" t="s">
        <v>847</v>
      </c>
    </row>
    <row r="86" spans="1:15" x14ac:dyDescent="0.25">
      <c r="A86" s="37" t="s">
        <v>848</v>
      </c>
      <c r="B86" s="37" t="s">
        <v>327</v>
      </c>
      <c r="C86" s="37" t="s">
        <v>848</v>
      </c>
      <c r="D86" s="46">
        <v>1</v>
      </c>
      <c r="E86" s="39">
        <v>43724</v>
      </c>
      <c r="F86" s="37" t="s">
        <v>849</v>
      </c>
      <c r="G86" s="37" t="s">
        <v>605</v>
      </c>
      <c r="H86" s="37" t="s">
        <v>328</v>
      </c>
      <c r="I86" s="37" t="s">
        <v>66</v>
      </c>
      <c r="J86" s="40">
        <v>7539.2</v>
      </c>
      <c r="K86" s="37" t="s">
        <v>583</v>
      </c>
      <c r="L86" s="39">
        <v>43724</v>
      </c>
      <c r="M86" s="37" t="s">
        <v>662</v>
      </c>
      <c r="N86" s="37" t="s">
        <v>581</v>
      </c>
      <c r="O86" s="37" t="s">
        <v>850</v>
      </c>
    </row>
    <row r="87" spans="1:15" x14ac:dyDescent="0.25">
      <c r="A87" s="37" t="s">
        <v>851</v>
      </c>
      <c r="B87" s="37" t="s">
        <v>327</v>
      </c>
      <c r="C87" s="37" t="s">
        <v>851</v>
      </c>
      <c r="D87" s="46">
        <v>1</v>
      </c>
      <c r="E87" s="39">
        <v>43724</v>
      </c>
      <c r="F87" s="37" t="s">
        <v>852</v>
      </c>
      <c r="G87" s="37" t="s">
        <v>605</v>
      </c>
      <c r="H87" s="37" t="s">
        <v>328</v>
      </c>
      <c r="I87" s="37" t="s">
        <v>66</v>
      </c>
      <c r="J87" s="40">
        <v>7819.4</v>
      </c>
      <c r="K87" s="37" t="s">
        <v>583</v>
      </c>
      <c r="L87" s="39">
        <v>43724</v>
      </c>
      <c r="M87" s="37" t="s">
        <v>662</v>
      </c>
      <c r="N87" s="37" t="s">
        <v>581</v>
      </c>
      <c r="O87" s="37" t="s">
        <v>853</v>
      </c>
    </row>
    <row r="88" spans="1:15" x14ac:dyDescent="0.25">
      <c r="A88" s="37" t="s">
        <v>854</v>
      </c>
      <c r="B88" s="37" t="s">
        <v>327</v>
      </c>
      <c r="C88" s="37" t="s">
        <v>854</v>
      </c>
      <c r="D88" s="46">
        <v>1</v>
      </c>
      <c r="E88" s="39">
        <v>43724</v>
      </c>
      <c r="F88" s="37" t="s">
        <v>855</v>
      </c>
      <c r="G88" s="37" t="s">
        <v>605</v>
      </c>
      <c r="H88" s="37" t="s">
        <v>328</v>
      </c>
      <c r="I88" s="37" t="s">
        <v>66</v>
      </c>
      <c r="J88" s="40">
        <v>8099.6</v>
      </c>
      <c r="K88" s="37" t="s">
        <v>583</v>
      </c>
      <c r="L88" s="39">
        <v>43724</v>
      </c>
      <c r="M88" s="37" t="s">
        <v>662</v>
      </c>
      <c r="N88" s="37" t="s">
        <v>581</v>
      </c>
      <c r="O88" s="37" t="s">
        <v>856</v>
      </c>
    </row>
    <row r="89" spans="1:15" x14ac:dyDescent="0.25">
      <c r="A89" s="37" t="s">
        <v>857</v>
      </c>
      <c r="B89" s="37" t="s">
        <v>327</v>
      </c>
      <c r="C89" s="37" t="s">
        <v>857</v>
      </c>
      <c r="D89" s="46">
        <v>1</v>
      </c>
      <c r="E89" s="39">
        <v>43724</v>
      </c>
      <c r="F89" s="37" t="s">
        <v>858</v>
      </c>
      <c r="G89" s="37" t="s">
        <v>605</v>
      </c>
      <c r="H89" s="37" t="s">
        <v>328</v>
      </c>
      <c r="I89" s="37" t="s">
        <v>66</v>
      </c>
      <c r="J89" s="40">
        <v>8379.7999999999993</v>
      </c>
      <c r="K89" s="37" t="s">
        <v>583</v>
      </c>
      <c r="L89" s="39">
        <v>43724</v>
      </c>
      <c r="M89" s="37" t="s">
        <v>662</v>
      </c>
      <c r="N89" s="37" t="s">
        <v>581</v>
      </c>
      <c r="O89" s="37" t="s">
        <v>859</v>
      </c>
    </row>
    <row r="90" spans="1:15" x14ac:dyDescent="0.25">
      <c r="A90" s="37" t="s">
        <v>860</v>
      </c>
      <c r="B90" s="37" t="s">
        <v>327</v>
      </c>
      <c r="C90" s="37" t="s">
        <v>860</v>
      </c>
      <c r="D90" s="46">
        <v>1</v>
      </c>
      <c r="E90" s="39">
        <v>43724</v>
      </c>
      <c r="F90" s="37" t="s">
        <v>861</v>
      </c>
      <c r="G90" s="37" t="s">
        <v>605</v>
      </c>
      <c r="H90" s="37" t="s">
        <v>328</v>
      </c>
      <c r="I90" s="37" t="s">
        <v>66</v>
      </c>
      <c r="J90" s="40">
        <v>8660</v>
      </c>
      <c r="K90" s="37" t="s">
        <v>583</v>
      </c>
      <c r="L90" s="39">
        <v>43724</v>
      </c>
      <c r="M90" s="37" t="s">
        <v>662</v>
      </c>
      <c r="N90" s="37" t="s">
        <v>581</v>
      </c>
      <c r="O90" s="37" t="s">
        <v>862</v>
      </c>
    </row>
    <row r="91" spans="1:15" x14ac:dyDescent="0.25">
      <c r="A91" s="37" t="s">
        <v>863</v>
      </c>
      <c r="B91" s="37" t="s">
        <v>327</v>
      </c>
      <c r="C91" s="37" t="s">
        <v>863</v>
      </c>
      <c r="D91" s="46">
        <v>1</v>
      </c>
      <c r="E91" s="39">
        <v>43724</v>
      </c>
      <c r="F91" s="37" t="s">
        <v>864</v>
      </c>
      <c r="G91" s="37" t="s">
        <v>605</v>
      </c>
      <c r="H91" s="37" t="s">
        <v>328</v>
      </c>
      <c r="I91" s="37" t="s">
        <v>66</v>
      </c>
      <c r="J91" s="40">
        <v>8940.2000000000007</v>
      </c>
      <c r="K91" s="37" t="s">
        <v>583</v>
      </c>
      <c r="L91" s="39">
        <v>43724</v>
      </c>
      <c r="M91" s="37" t="s">
        <v>662</v>
      </c>
      <c r="N91" s="37" t="s">
        <v>581</v>
      </c>
      <c r="O91" s="37" t="s">
        <v>865</v>
      </c>
    </row>
    <row r="92" spans="1:15" x14ac:dyDescent="0.25">
      <c r="A92" s="37" t="s">
        <v>866</v>
      </c>
      <c r="B92" s="37" t="s">
        <v>327</v>
      </c>
      <c r="C92" s="37" t="s">
        <v>866</v>
      </c>
      <c r="D92" s="46">
        <v>1</v>
      </c>
      <c r="E92" s="39">
        <v>43724</v>
      </c>
      <c r="F92" s="37" t="s">
        <v>867</v>
      </c>
      <c r="G92" s="37" t="s">
        <v>605</v>
      </c>
      <c r="H92" s="37" t="s">
        <v>328</v>
      </c>
      <c r="I92" s="37" t="s">
        <v>66</v>
      </c>
      <c r="J92" s="40">
        <v>9220.4</v>
      </c>
      <c r="K92" s="37" t="s">
        <v>583</v>
      </c>
      <c r="L92" s="39">
        <v>43724</v>
      </c>
      <c r="M92" s="37" t="s">
        <v>662</v>
      </c>
      <c r="N92" s="37" t="s">
        <v>581</v>
      </c>
      <c r="O92" s="37" t="s">
        <v>868</v>
      </c>
    </row>
    <row r="93" spans="1:15" x14ac:dyDescent="0.25">
      <c r="A93" s="37" t="s">
        <v>869</v>
      </c>
      <c r="B93" s="37" t="s">
        <v>327</v>
      </c>
      <c r="C93" s="37" t="s">
        <v>869</v>
      </c>
      <c r="D93" s="46">
        <v>1</v>
      </c>
      <c r="E93" s="39">
        <v>43724</v>
      </c>
      <c r="F93" s="37" t="s">
        <v>870</v>
      </c>
      <c r="G93" s="37" t="s">
        <v>605</v>
      </c>
      <c r="H93" s="37" t="s">
        <v>328</v>
      </c>
      <c r="I93" s="37" t="s">
        <v>66</v>
      </c>
      <c r="J93" s="40">
        <v>9500.6</v>
      </c>
      <c r="K93" s="37" t="s">
        <v>583</v>
      </c>
      <c r="L93" s="39">
        <v>43724</v>
      </c>
      <c r="M93" s="37" t="s">
        <v>662</v>
      </c>
      <c r="N93" s="37" t="s">
        <v>581</v>
      </c>
      <c r="O93" s="37" t="s">
        <v>871</v>
      </c>
    </row>
    <row r="94" spans="1:15" x14ac:dyDescent="0.25">
      <c r="A94" s="37" t="s">
        <v>872</v>
      </c>
      <c r="B94" s="37" t="s">
        <v>327</v>
      </c>
      <c r="C94" s="37" t="s">
        <v>872</v>
      </c>
      <c r="D94" s="46">
        <v>1</v>
      </c>
      <c r="E94" s="39">
        <v>43724</v>
      </c>
      <c r="F94" s="37" t="s">
        <v>873</v>
      </c>
      <c r="G94" s="37" t="s">
        <v>605</v>
      </c>
      <c r="H94" s="37" t="s">
        <v>328</v>
      </c>
      <c r="I94" s="37" t="s">
        <v>66</v>
      </c>
      <c r="J94" s="40">
        <v>9780.7999999999993</v>
      </c>
      <c r="K94" s="37" t="s">
        <v>583</v>
      </c>
      <c r="L94" s="39">
        <v>43724</v>
      </c>
      <c r="M94" s="37" t="s">
        <v>662</v>
      </c>
      <c r="N94" s="37" t="s">
        <v>581</v>
      </c>
      <c r="O94" s="37" t="s">
        <v>874</v>
      </c>
    </row>
    <row r="95" spans="1:15" x14ac:dyDescent="0.25">
      <c r="A95" s="37" t="s">
        <v>875</v>
      </c>
      <c r="B95" s="37" t="s">
        <v>327</v>
      </c>
      <c r="C95" s="37" t="s">
        <v>875</v>
      </c>
      <c r="D95" s="46">
        <v>1</v>
      </c>
      <c r="E95" s="39">
        <v>43724</v>
      </c>
      <c r="F95" s="37" t="s">
        <v>876</v>
      </c>
      <c r="G95" s="37" t="s">
        <v>605</v>
      </c>
      <c r="H95" s="37" t="s">
        <v>328</v>
      </c>
      <c r="I95" s="37" t="s">
        <v>66</v>
      </c>
      <c r="J95" s="40">
        <v>10061</v>
      </c>
      <c r="K95" s="37" t="s">
        <v>583</v>
      </c>
      <c r="L95" s="39">
        <v>43724</v>
      </c>
      <c r="M95" s="37" t="s">
        <v>662</v>
      </c>
      <c r="N95" s="37" t="s">
        <v>581</v>
      </c>
      <c r="O95" s="37" t="s">
        <v>877</v>
      </c>
    </row>
  </sheetData>
  <autoFilter ref="A1:O2" xr:uid="{00000000-0009-0000-0000-000001000000}">
    <sortState xmlns:xlrd2="http://schemas.microsoft.com/office/spreadsheetml/2017/richdata2" ref="A2:O95">
      <sortCondition ref="F1:F2"/>
    </sortState>
  </autoFilter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8E5EEC4-3569-4264-84DA-5D207D59CC11}">
          <x14:formula1>
            <xm:f>Accounts!$F:$F</xm:f>
          </x14:formula1>
          <xm:sqref>N2:O1048576</xm:sqref>
        </x14:dataValidation>
        <x14:dataValidation type="list" allowBlank="1" showInputMessage="1" showErrorMessage="1" xr:uid="{FF082DCE-85DF-4A08-9C34-5E52070715DA}">
          <x14:formula1>
            <xm:f>Accounts!$G:$G</xm:f>
          </x14:formula1>
          <xm:sqref>G1:G1048576</xm:sqref>
        </x14:dataValidation>
        <x14:dataValidation type="list" allowBlank="1" showInputMessage="1" showErrorMessage="1" xr:uid="{3040942B-C163-4240-AA4C-9299805A06FF}">
          <x14:formula1>
            <xm:f>Accounts!$J:$J</xm:f>
          </x14:formula1>
          <xm:sqref>J1:K1048576</xm:sqref>
        </x14:dataValidation>
        <x14:dataValidation type="list" allowBlank="1" showInputMessage="1" showErrorMessage="1" xr:uid="{B7CD9F71-9FF8-4FB7-A653-BE9CBE93AA77}">
          <x14:formula1>
            <xm:f>Accounts!$L:$L</xm:f>
          </x14:formula1>
          <xm:sqref>M1:M1048576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A2586-80C9-4AF1-A58B-03098597C39B}">
  <sheetPr codeName="Sheet25"/>
  <dimension ref="A1:R5"/>
  <sheetViews>
    <sheetView workbookViewId="0">
      <pane ySplit="1" topLeftCell="A2" activePane="bottomLeft" state="frozen"/>
      <selection pane="bottomLeft" activeCell="C17" sqref="C17"/>
    </sheetView>
  </sheetViews>
  <sheetFormatPr defaultColWidth="16" defaultRowHeight="15" x14ac:dyDescent="0.25"/>
  <cols>
    <col min="1" max="1" width="19.28515625" style="37" bestFit="1" customWidth="1"/>
    <col min="2" max="2" width="14.140625" style="37" bestFit="1" customWidth="1"/>
    <col min="3" max="3" width="19.28515625" style="37" bestFit="1" customWidth="1"/>
    <col min="4" max="4" width="14.140625" style="37" bestFit="1" customWidth="1"/>
    <col min="5" max="5" width="15.140625" style="39" bestFit="1" customWidth="1"/>
    <col min="6" max="6" width="26.7109375" style="37" bestFit="1" customWidth="1"/>
    <col min="7" max="7" width="22.28515625" style="37" bestFit="1" customWidth="1"/>
    <col min="8" max="8" width="15.140625" style="37" bestFit="1" customWidth="1"/>
    <col min="9" max="9" width="10.140625" style="37" bestFit="1" customWidth="1"/>
    <col min="10" max="10" width="19.140625" style="37" bestFit="1" customWidth="1"/>
    <col min="11" max="11" width="21.28515625" style="37" bestFit="1" customWidth="1"/>
    <col min="12" max="12" width="17.140625" style="37" bestFit="1" customWidth="1"/>
    <col min="13" max="13" width="19.140625" style="37" bestFit="1" customWidth="1"/>
    <col min="14" max="14" width="10.140625" style="37" bestFit="1" customWidth="1"/>
    <col min="15" max="15" width="15.140625" style="37" bestFit="1" customWidth="1"/>
    <col min="16" max="16" width="53.42578125" style="37" bestFit="1" customWidth="1"/>
    <col min="17" max="17" width="17.28515625" style="37" bestFit="1" customWidth="1"/>
    <col min="18" max="18" width="22.42578125" style="37" bestFit="1" customWidth="1"/>
    <col min="19" max="16384" width="16" style="37"/>
  </cols>
  <sheetData>
    <row r="1" spans="1:18" x14ac:dyDescent="0.25">
      <c r="A1" s="34" t="s">
        <v>10</v>
      </c>
      <c r="B1" s="34" t="s">
        <v>6</v>
      </c>
      <c r="C1" s="34" t="s">
        <v>11</v>
      </c>
      <c r="D1" s="34" t="s">
        <v>12</v>
      </c>
      <c r="E1" s="35" t="s">
        <v>13</v>
      </c>
      <c r="F1" s="34" t="s">
        <v>14</v>
      </c>
      <c r="G1" s="34" t="s">
        <v>16</v>
      </c>
      <c r="H1" s="34" t="s">
        <v>18</v>
      </c>
      <c r="I1" s="34" t="s">
        <v>22</v>
      </c>
      <c r="J1" s="34" t="s">
        <v>23</v>
      </c>
      <c r="K1" s="34" t="s">
        <v>54</v>
      </c>
      <c r="L1" s="34" t="s">
        <v>24</v>
      </c>
      <c r="M1" s="34" t="s">
        <v>330</v>
      </c>
      <c r="N1" s="34" t="s">
        <v>3</v>
      </c>
      <c r="O1" s="34" t="s">
        <v>26</v>
      </c>
      <c r="P1" s="34" t="s">
        <v>39</v>
      </c>
      <c r="Q1" s="41" t="s">
        <v>305</v>
      </c>
      <c r="R1" s="41" t="s">
        <v>329</v>
      </c>
    </row>
    <row r="2" spans="1:18" x14ac:dyDescent="0.25">
      <c r="A2" s="42" t="s">
        <v>338</v>
      </c>
      <c r="B2" s="38" t="s">
        <v>331</v>
      </c>
      <c r="C2" s="42" t="s">
        <v>338</v>
      </c>
      <c r="D2" s="38">
        <v>1</v>
      </c>
      <c r="E2" s="43">
        <v>43721</v>
      </c>
      <c r="F2" s="44" t="s">
        <v>334</v>
      </c>
      <c r="G2" s="38" t="s">
        <v>297</v>
      </c>
      <c r="H2" s="38" t="s">
        <v>339</v>
      </c>
      <c r="I2" s="38">
        <v>4.12</v>
      </c>
      <c r="J2" s="38" t="s">
        <v>66</v>
      </c>
      <c r="K2" s="38" t="s">
        <v>56</v>
      </c>
      <c r="L2" s="45">
        <v>206000</v>
      </c>
      <c r="M2" s="38"/>
      <c r="N2" s="38" t="s">
        <v>332</v>
      </c>
      <c r="O2" s="38"/>
      <c r="P2" s="38" t="s">
        <v>335</v>
      </c>
      <c r="Q2" s="38" t="s">
        <v>306</v>
      </c>
      <c r="R2" s="42" t="s">
        <v>340</v>
      </c>
    </row>
    <row r="3" spans="1:18" x14ac:dyDescent="0.25">
      <c r="A3" s="42" t="s">
        <v>341</v>
      </c>
      <c r="B3" s="38" t="s">
        <v>331</v>
      </c>
      <c r="C3" s="42" t="s">
        <v>341</v>
      </c>
      <c r="D3" s="38">
        <v>1</v>
      </c>
      <c r="E3" s="43">
        <v>43721</v>
      </c>
      <c r="F3" s="44" t="s">
        <v>336</v>
      </c>
      <c r="G3" s="38" t="s">
        <v>297</v>
      </c>
      <c r="H3" s="38" t="s">
        <v>339</v>
      </c>
      <c r="I3" s="38">
        <v>4.1159999999999997</v>
      </c>
      <c r="J3" s="38" t="s">
        <v>66</v>
      </c>
      <c r="K3" s="38" t="s">
        <v>56</v>
      </c>
      <c r="L3" s="45">
        <v>41160</v>
      </c>
      <c r="M3" s="38"/>
      <c r="N3" s="38" t="s">
        <v>332</v>
      </c>
      <c r="O3" s="38"/>
      <c r="P3" s="38" t="s">
        <v>337</v>
      </c>
      <c r="Q3" s="38" t="s">
        <v>306</v>
      </c>
      <c r="R3" s="42" t="s">
        <v>342</v>
      </c>
    </row>
    <row r="4" spans="1:18" x14ac:dyDescent="0.25">
      <c r="A4" s="37" t="s">
        <v>345</v>
      </c>
      <c r="B4" s="37" t="s">
        <v>346</v>
      </c>
      <c r="C4" s="37" t="s">
        <v>345</v>
      </c>
      <c r="D4" s="37">
        <v>1</v>
      </c>
      <c r="E4" s="39">
        <v>43721</v>
      </c>
      <c r="F4" s="37" t="s">
        <v>347</v>
      </c>
      <c r="G4" s="37" t="s">
        <v>297</v>
      </c>
      <c r="H4" s="37" t="s">
        <v>339</v>
      </c>
      <c r="I4" s="37">
        <v>84.754599999999996</v>
      </c>
      <c r="J4" s="37" t="s">
        <v>56</v>
      </c>
      <c r="K4" s="37" t="s">
        <v>343</v>
      </c>
      <c r="L4" s="37">
        <v>423773</v>
      </c>
      <c r="N4" s="37" t="s">
        <v>332</v>
      </c>
      <c r="O4" s="37">
        <v>43721</v>
      </c>
      <c r="P4" s="37" t="s">
        <v>348</v>
      </c>
      <c r="Q4" s="37" t="s">
        <v>306</v>
      </c>
      <c r="R4" s="37" t="s">
        <v>349</v>
      </c>
    </row>
    <row r="5" spans="1:18" x14ac:dyDescent="0.25">
      <c r="A5" s="37" t="s">
        <v>350</v>
      </c>
      <c r="B5" s="37" t="s">
        <v>331</v>
      </c>
      <c r="C5" s="37" t="s">
        <v>350</v>
      </c>
      <c r="D5" s="37">
        <v>1</v>
      </c>
      <c r="E5" s="39">
        <v>43721</v>
      </c>
      <c r="F5" s="37" t="s">
        <v>351</v>
      </c>
      <c r="G5" s="37" t="s">
        <v>297</v>
      </c>
      <c r="H5" s="37" t="s">
        <v>339</v>
      </c>
      <c r="I5" s="37">
        <v>84.765000000000001</v>
      </c>
      <c r="J5" s="37" t="s">
        <v>56</v>
      </c>
      <c r="K5" s="37" t="s">
        <v>343</v>
      </c>
      <c r="L5" s="37">
        <v>974797.5</v>
      </c>
      <c r="N5" s="37" t="s">
        <v>332</v>
      </c>
      <c r="O5" s="37">
        <v>43721</v>
      </c>
      <c r="P5" s="37" t="s">
        <v>352</v>
      </c>
      <c r="Q5" s="37" t="s">
        <v>306</v>
      </c>
      <c r="R5" s="37" t="s">
        <v>353</v>
      </c>
    </row>
  </sheetData>
  <autoFilter ref="A1:P2" xr:uid="{00000000-0009-0000-0000-000001000000}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K223"/>
  <sheetViews>
    <sheetView workbookViewId="0">
      <selection activeCell="D2" sqref="D2"/>
    </sheetView>
  </sheetViews>
  <sheetFormatPr defaultColWidth="8.85546875" defaultRowHeight="15" x14ac:dyDescent="0.25"/>
  <cols>
    <col min="1" max="1" width="15.28515625" bestFit="1" customWidth="1"/>
    <col min="4" max="4" width="10.7109375" bestFit="1" customWidth="1"/>
  </cols>
  <sheetData>
    <row r="1" spans="1:11" x14ac:dyDescent="0.25">
      <c r="A1" s="30" t="s">
        <v>79</v>
      </c>
      <c r="B1" s="30" t="s">
        <v>6</v>
      </c>
      <c r="C1" s="30" t="s">
        <v>12</v>
      </c>
      <c r="D1" s="33" t="s">
        <v>26</v>
      </c>
      <c r="E1" s="31" t="s">
        <v>80</v>
      </c>
      <c r="F1" s="30" t="s">
        <v>39</v>
      </c>
      <c r="G1" s="30" t="s">
        <v>32</v>
      </c>
      <c r="H1" s="30" t="s">
        <v>14</v>
      </c>
      <c r="I1" s="30" t="s">
        <v>81</v>
      </c>
      <c r="J1" s="32" t="s">
        <v>84</v>
      </c>
      <c r="K1" s="29" t="s">
        <v>3</v>
      </c>
    </row>
    <row r="2" spans="1:11" x14ac:dyDescent="0.25">
      <c r="A2" s="27" t="s">
        <v>83</v>
      </c>
      <c r="B2" s="27" t="s">
        <v>82</v>
      </c>
      <c r="C2" s="27">
        <v>0</v>
      </c>
      <c r="D2" s="28">
        <v>43242</v>
      </c>
      <c r="E2" s="27">
        <v>238.28</v>
      </c>
      <c r="F2" s="27" t="s">
        <v>85</v>
      </c>
      <c r="G2" s="27" t="s">
        <v>8</v>
      </c>
      <c r="H2" s="27" t="s">
        <v>86</v>
      </c>
      <c r="I2" s="27" t="s">
        <v>77</v>
      </c>
      <c r="J2" s="27">
        <v>7</v>
      </c>
      <c r="K2" s="8" t="str">
        <f t="shared" ref="K2:K65" si="0">LEFT(A2,FIND("/",A2)-1)</f>
        <v>APD</v>
      </c>
    </row>
    <row r="3" spans="1:11" x14ac:dyDescent="0.25">
      <c r="A3" s="27" t="s">
        <v>83</v>
      </c>
      <c r="B3" s="27" t="s">
        <v>82</v>
      </c>
      <c r="C3" s="27">
        <v>0</v>
      </c>
      <c r="D3" s="28">
        <v>43244</v>
      </c>
      <c r="E3" s="27">
        <v>476.57</v>
      </c>
      <c r="F3" s="27" t="s">
        <v>87</v>
      </c>
      <c r="G3" s="27" t="s">
        <v>8</v>
      </c>
      <c r="H3" s="27" t="s">
        <v>88</v>
      </c>
      <c r="I3" s="27" t="s">
        <v>77</v>
      </c>
      <c r="J3" s="27">
        <v>1</v>
      </c>
      <c r="K3" s="8" t="str">
        <f t="shared" si="0"/>
        <v>APD</v>
      </c>
    </row>
    <row r="4" spans="1:11" x14ac:dyDescent="0.25">
      <c r="A4" s="27" t="s">
        <v>83</v>
      </c>
      <c r="B4" s="27" t="s">
        <v>82</v>
      </c>
      <c r="C4" s="27">
        <v>0</v>
      </c>
      <c r="D4" s="28">
        <v>43244</v>
      </c>
      <c r="E4" s="27">
        <v>476.57</v>
      </c>
      <c r="F4" s="27" t="s">
        <v>89</v>
      </c>
      <c r="G4" s="27" t="s">
        <v>8</v>
      </c>
      <c r="H4" s="27" t="s">
        <v>90</v>
      </c>
      <c r="I4" s="27" t="s">
        <v>77</v>
      </c>
      <c r="J4" s="27">
        <v>2</v>
      </c>
      <c r="K4" s="8" t="str">
        <f t="shared" si="0"/>
        <v>APD</v>
      </c>
    </row>
    <row r="5" spans="1:11" x14ac:dyDescent="0.25">
      <c r="A5" s="27" t="s">
        <v>83</v>
      </c>
      <c r="B5" s="27" t="s">
        <v>82</v>
      </c>
      <c r="C5" s="27">
        <v>0</v>
      </c>
      <c r="D5" s="28">
        <v>43245</v>
      </c>
      <c r="E5" s="27">
        <v>-1032.56</v>
      </c>
      <c r="F5" s="27" t="s">
        <v>91</v>
      </c>
      <c r="G5" s="27" t="s">
        <v>8</v>
      </c>
      <c r="H5" s="27" t="s">
        <v>92</v>
      </c>
      <c r="I5" s="27" t="s">
        <v>77</v>
      </c>
      <c r="J5" s="27">
        <v>2</v>
      </c>
      <c r="K5" s="8" t="str">
        <f t="shared" si="0"/>
        <v>APD</v>
      </c>
    </row>
    <row r="6" spans="1:11" x14ac:dyDescent="0.25">
      <c r="A6" s="27" t="s">
        <v>83</v>
      </c>
      <c r="B6" s="27" t="s">
        <v>82</v>
      </c>
      <c r="C6" s="27">
        <v>0</v>
      </c>
      <c r="D6" s="28">
        <v>43248</v>
      </c>
      <c r="E6" s="27">
        <v>79.42</v>
      </c>
      <c r="F6" s="27" t="s">
        <v>93</v>
      </c>
      <c r="G6" s="27" t="s">
        <v>8</v>
      </c>
      <c r="H6" s="27" t="s">
        <v>94</v>
      </c>
      <c r="I6" s="27" t="s">
        <v>77</v>
      </c>
      <c r="J6" s="27">
        <v>1</v>
      </c>
      <c r="K6" s="8" t="str">
        <f t="shared" si="0"/>
        <v>APD</v>
      </c>
    </row>
    <row r="7" spans="1:11" x14ac:dyDescent="0.25">
      <c r="A7" s="27" t="s">
        <v>83</v>
      </c>
      <c r="B7" s="27" t="s">
        <v>82</v>
      </c>
      <c r="C7" s="27">
        <v>0</v>
      </c>
      <c r="D7" s="28">
        <v>43248</v>
      </c>
      <c r="E7" s="27">
        <v>79.430000000000007</v>
      </c>
      <c r="F7" s="27" t="s">
        <v>95</v>
      </c>
      <c r="G7" s="27" t="s">
        <v>8</v>
      </c>
      <c r="H7" s="27" t="s">
        <v>96</v>
      </c>
      <c r="I7" s="27" t="s">
        <v>77</v>
      </c>
      <c r="J7" s="27">
        <v>2</v>
      </c>
      <c r="K7" s="8" t="str">
        <f t="shared" si="0"/>
        <v>APD</v>
      </c>
    </row>
    <row r="8" spans="1:11" x14ac:dyDescent="0.25">
      <c r="A8" s="27" t="s">
        <v>83</v>
      </c>
      <c r="B8" s="27" t="s">
        <v>82</v>
      </c>
      <c r="C8" s="27">
        <v>0</v>
      </c>
      <c r="D8" s="28">
        <v>43251</v>
      </c>
      <c r="E8" s="27">
        <v>-238.28</v>
      </c>
      <c r="F8" s="27" t="s">
        <v>97</v>
      </c>
      <c r="G8" s="27" t="s">
        <v>8</v>
      </c>
      <c r="H8" s="27" t="s">
        <v>98</v>
      </c>
      <c r="I8" s="27" t="s">
        <v>77</v>
      </c>
      <c r="J8" s="27">
        <v>2</v>
      </c>
      <c r="K8" s="8" t="str">
        <f t="shared" si="0"/>
        <v>APD</v>
      </c>
    </row>
    <row r="9" spans="1:11" x14ac:dyDescent="0.25">
      <c r="A9" s="27" t="s">
        <v>83</v>
      </c>
      <c r="B9" s="27" t="s">
        <v>82</v>
      </c>
      <c r="C9" s="27">
        <v>0</v>
      </c>
      <c r="D9" s="28">
        <v>43252</v>
      </c>
      <c r="E9" s="27">
        <v>79.430000000000007</v>
      </c>
      <c r="F9" s="27" t="s">
        <v>99</v>
      </c>
      <c r="G9" s="27" t="s">
        <v>8</v>
      </c>
      <c r="H9" s="27" t="s">
        <v>100</v>
      </c>
      <c r="I9" s="27" t="s">
        <v>77</v>
      </c>
      <c r="J9" s="27">
        <v>1</v>
      </c>
      <c r="K9" s="8" t="str">
        <f t="shared" si="0"/>
        <v>APD</v>
      </c>
    </row>
    <row r="10" spans="1:11" x14ac:dyDescent="0.25">
      <c r="A10" s="27" t="s">
        <v>83</v>
      </c>
      <c r="B10" s="27" t="s">
        <v>82</v>
      </c>
      <c r="C10" s="27">
        <v>0</v>
      </c>
      <c r="D10" s="28">
        <v>43256</v>
      </c>
      <c r="E10" s="27">
        <v>79.42</v>
      </c>
      <c r="F10" s="27" t="s">
        <v>101</v>
      </c>
      <c r="G10" s="27" t="s">
        <v>8</v>
      </c>
      <c r="H10" s="27" t="s">
        <v>102</v>
      </c>
      <c r="I10" s="27" t="s">
        <v>77</v>
      </c>
      <c r="J10" s="27">
        <v>2</v>
      </c>
      <c r="K10" s="8" t="str">
        <f t="shared" si="0"/>
        <v>APD</v>
      </c>
    </row>
    <row r="11" spans="1:11" x14ac:dyDescent="0.25">
      <c r="A11" s="27" t="s">
        <v>83</v>
      </c>
      <c r="B11" s="27" t="s">
        <v>82</v>
      </c>
      <c r="C11" s="27">
        <v>0</v>
      </c>
      <c r="D11" s="28">
        <v>43256</v>
      </c>
      <c r="E11" s="27">
        <v>476.57</v>
      </c>
      <c r="F11" s="27" t="s">
        <v>103</v>
      </c>
      <c r="G11" s="27" t="s">
        <v>8</v>
      </c>
      <c r="H11" s="27" t="s">
        <v>104</v>
      </c>
      <c r="I11" s="27" t="s">
        <v>77</v>
      </c>
      <c r="J11" s="27">
        <v>3</v>
      </c>
      <c r="K11" s="8" t="str">
        <f t="shared" si="0"/>
        <v>APD</v>
      </c>
    </row>
    <row r="12" spans="1:11" x14ac:dyDescent="0.25">
      <c r="A12" s="27" t="s">
        <v>83</v>
      </c>
      <c r="B12" s="27" t="s">
        <v>82</v>
      </c>
      <c r="C12" s="27">
        <v>0</v>
      </c>
      <c r="D12" s="28">
        <v>43256</v>
      </c>
      <c r="E12" s="27">
        <v>-476.57</v>
      </c>
      <c r="F12" s="27" t="s">
        <v>105</v>
      </c>
      <c r="G12" s="27" t="s">
        <v>8</v>
      </c>
      <c r="H12" s="27" t="s">
        <v>106</v>
      </c>
      <c r="I12" s="27" t="s">
        <v>77</v>
      </c>
      <c r="J12" s="27">
        <v>5</v>
      </c>
      <c r="K12" s="8" t="str">
        <f t="shared" si="0"/>
        <v>APD</v>
      </c>
    </row>
    <row r="13" spans="1:11" x14ac:dyDescent="0.25">
      <c r="A13" s="27" t="s">
        <v>83</v>
      </c>
      <c r="B13" s="27" t="s">
        <v>82</v>
      </c>
      <c r="C13" s="27">
        <v>0</v>
      </c>
      <c r="D13" s="28">
        <v>43257</v>
      </c>
      <c r="E13" s="27">
        <v>3018.27</v>
      </c>
      <c r="F13" s="27" t="s">
        <v>107</v>
      </c>
      <c r="G13" s="27" t="s">
        <v>8</v>
      </c>
      <c r="H13" s="27" t="s">
        <v>108</v>
      </c>
      <c r="I13" s="27" t="s">
        <v>77</v>
      </c>
      <c r="J13" s="27">
        <v>1</v>
      </c>
      <c r="K13" s="8" t="str">
        <f t="shared" si="0"/>
        <v>APD</v>
      </c>
    </row>
    <row r="14" spans="1:11" x14ac:dyDescent="0.25">
      <c r="A14" s="27" t="s">
        <v>83</v>
      </c>
      <c r="B14" s="27" t="s">
        <v>82</v>
      </c>
      <c r="C14" s="27">
        <v>0</v>
      </c>
      <c r="D14" s="28">
        <v>43262</v>
      </c>
      <c r="E14" s="27">
        <v>-2700.55</v>
      </c>
      <c r="F14" s="27" t="s">
        <v>109</v>
      </c>
      <c r="G14" s="27" t="s">
        <v>8</v>
      </c>
      <c r="H14" s="27" t="s">
        <v>110</v>
      </c>
      <c r="I14" s="27" t="s">
        <v>77</v>
      </c>
      <c r="J14" s="27">
        <v>2</v>
      </c>
      <c r="K14" s="8" t="str">
        <f t="shared" si="0"/>
        <v>APD</v>
      </c>
    </row>
    <row r="15" spans="1:11" x14ac:dyDescent="0.25">
      <c r="A15" s="27" t="s">
        <v>83</v>
      </c>
      <c r="B15" s="27" t="s">
        <v>82</v>
      </c>
      <c r="C15" s="27">
        <v>0</v>
      </c>
      <c r="D15" s="28">
        <v>43263</v>
      </c>
      <c r="E15" s="27">
        <v>-238.29</v>
      </c>
      <c r="F15" s="27" t="s">
        <v>111</v>
      </c>
      <c r="G15" s="27" t="s">
        <v>8</v>
      </c>
      <c r="H15" s="27" t="s">
        <v>112</v>
      </c>
      <c r="I15" s="27" t="s">
        <v>77</v>
      </c>
      <c r="J15" s="27">
        <v>2</v>
      </c>
      <c r="K15" s="8" t="str">
        <f t="shared" si="0"/>
        <v>APD</v>
      </c>
    </row>
    <row r="16" spans="1:11" x14ac:dyDescent="0.25">
      <c r="A16" s="27" t="s">
        <v>83</v>
      </c>
      <c r="B16" s="27" t="s">
        <v>82</v>
      </c>
      <c r="C16" s="27">
        <v>0</v>
      </c>
      <c r="D16" s="28">
        <v>43263</v>
      </c>
      <c r="E16" s="27">
        <v>158.86000000000001</v>
      </c>
      <c r="F16" s="27" t="s">
        <v>113</v>
      </c>
      <c r="G16" s="27" t="s">
        <v>8</v>
      </c>
      <c r="H16" s="27" t="s">
        <v>114</v>
      </c>
      <c r="I16" s="27" t="s">
        <v>77</v>
      </c>
      <c r="J16" s="27">
        <v>3</v>
      </c>
      <c r="K16" s="8" t="str">
        <f t="shared" si="0"/>
        <v>APD</v>
      </c>
    </row>
    <row r="17" spans="1:11" x14ac:dyDescent="0.25">
      <c r="A17" s="27" t="s">
        <v>83</v>
      </c>
      <c r="B17" s="27" t="s">
        <v>82</v>
      </c>
      <c r="C17" s="27">
        <v>0</v>
      </c>
      <c r="D17" s="28">
        <v>43264</v>
      </c>
      <c r="E17" s="27">
        <v>-397.14</v>
      </c>
      <c r="F17" s="27" t="s">
        <v>115</v>
      </c>
      <c r="G17" s="27" t="s">
        <v>8</v>
      </c>
      <c r="H17" s="27" t="s">
        <v>116</v>
      </c>
      <c r="I17" s="27" t="s">
        <v>77</v>
      </c>
      <c r="J17" s="27">
        <v>2</v>
      </c>
      <c r="K17" s="8" t="str">
        <f t="shared" si="0"/>
        <v>APD</v>
      </c>
    </row>
    <row r="18" spans="1:11" x14ac:dyDescent="0.25">
      <c r="A18" s="27" t="s">
        <v>83</v>
      </c>
      <c r="B18" s="27" t="s">
        <v>82</v>
      </c>
      <c r="C18" s="27">
        <v>0</v>
      </c>
      <c r="D18" s="28">
        <v>43265</v>
      </c>
      <c r="E18" s="27">
        <v>317.70999999999998</v>
      </c>
      <c r="F18" s="27" t="s">
        <v>117</v>
      </c>
      <c r="G18" s="27" t="s">
        <v>8</v>
      </c>
      <c r="H18" s="27" t="s">
        <v>118</v>
      </c>
      <c r="I18" s="27" t="s">
        <v>77</v>
      </c>
      <c r="J18" s="27">
        <v>2</v>
      </c>
      <c r="K18" s="8" t="str">
        <f t="shared" si="0"/>
        <v>APD</v>
      </c>
    </row>
    <row r="19" spans="1:11" x14ac:dyDescent="0.25">
      <c r="A19" s="27" t="s">
        <v>83</v>
      </c>
      <c r="B19" s="27" t="s">
        <v>82</v>
      </c>
      <c r="C19" s="27">
        <v>0</v>
      </c>
      <c r="D19" s="28">
        <v>43265</v>
      </c>
      <c r="E19" s="27">
        <v>1667.99</v>
      </c>
      <c r="F19" s="27" t="s">
        <v>119</v>
      </c>
      <c r="G19" s="27" t="s">
        <v>8</v>
      </c>
      <c r="H19" s="27" t="s">
        <v>120</v>
      </c>
      <c r="I19" s="27" t="s">
        <v>77</v>
      </c>
      <c r="J19" s="27">
        <v>3</v>
      </c>
      <c r="K19" s="8" t="str">
        <f t="shared" si="0"/>
        <v>APD</v>
      </c>
    </row>
    <row r="20" spans="1:11" x14ac:dyDescent="0.25">
      <c r="A20" s="27" t="s">
        <v>83</v>
      </c>
      <c r="B20" s="27" t="s">
        <v>82</v>
      </c>
      <c r="C20" s="27">
        <v>0</v>
      </c>
      <c r="D20" s="28">
        <v>43266</v>
      </c>
      <c r="E20" s="27">
        <v>-1111.99</v>
      </c>
      <c r="F20" s="27" t="s">
        <v>121</v>
      </c>
      <c r="G20" s="27" t="s">
        <v>8</v>
      </c>
      <c r="H20" s="27" t="s">
        <v>122</v>
      </c>
      <c r="I20" s="27" t="s">
        <v>77</v>
      </c>
      <c r="J20" s="27">
        <v>2</v>
      </c>
      <c r="K20" s="8" t="str">
        <f t="shared" si="0"/>
        <v>APD</v>
      </c>
    </row>
    <row r="21" spans="1:11" x14ac:dyDescent="0.25">
      <c r="A21" s="27" t="s">
        <v>83</v>
      </c>
      <c r="B21" s="27" t="s">
        <v>82</v>
      </c>
      <c r="C21" s="27">
        <v>0</v>
      </c>
      <c r="D21" s="28">
        <v>43271</v>
      </c>
      <c r="E21" s="27">
        <v>-317.72000000000003</v>
      </c>
      <c r="F21" s="27" t="s">
        <v>123</v>
      </c>
      <c r="G21" s="27" t="s">
        <v>8</v>
      </c>
      <c r="H21" s="27" t="s">
        <v>124</v>
      </c>
      <c r="I21" s="27" t="s">
        <v>77</v>
      </c>
      <c r="J21" s="27">
        <v>1</v>
      </c>
      <c r="K21" s="8" t="str">
        <f t="shared" si="0"/>
        <v>APD</v>
      </c>
    </row>
    <row r="22" spans="1:11" x14ac:dyDescent="0.25">
      <c r="A22" s="27" t="s">
        <v>83</v>
      </c>
      <c r="B22" s="27" t="s">
        <v>82</v>
      </c>
      <c r="C22" s="27">
        <v>0</v>
      </c>
      <c r="D22" s="28">
        <v>43271</v>
      </c>
      <c r="E22" s="27">
        <v>79.430000000000007</v>
      </c>
      <c r="F22" s="27" t="s">
        <v>125</v>
      </c>
      <c r="G22" s="27" t="s">
        <v>8</v>
      </c>
      <c r="H22" s="27" t="s">
        <v>126</v>
      </c>
      <c r="I22" s="27" t="s">
        <v>77</v>
      </c>
      <c r="J22" s="27">
        <v>3</v>
      </c>
      <c r="K22" s="8" t="str">
        <f t="shared" si="0"/>
        <v>APD</v>
      </c>
    </row>
    <row r="23" spans="1:11" x14ac:dyDescent="0.25">
      <c r="A23" s="27" t="s">
        <v>83</v>
      </c>
      <c r="B23" s="27" t="s">
        <v>82</v>
      </c>
      <c r="C23" s="27">
        <v>0</v>
      </c>
      <c r="D23" s="28">
        <v>43271</v>
      </c>
      <c r="E23" s="27">
        <v>79.430000000000007</v>
      </c>
      <c r="F23" s="27" t="s">
        <v>127</v>
      </c>
      <c r="G23" s="27" t="s">
        <v>8</v>
      </c>
      <c r="H23" s="27" t="s">
        <v>128</v>
      </c>
      <c r="I23" s="27" t="s">
        <v>77</v>
      </c>
      <c r="J23" s="27">
        <v>4</v>
      </c>
      <c r="K23" s="8" t="str">
        <f t="shared" si="0"/>
        <v>APD</v>
      </c>
    </row>
    <row r="24" spans="1:11" x14ac:dyDescent="0.25">
      <c r="A24" s="27" t="s">
        <v>83</v>
      </c>
      <c r="B24" s="27" t="s">
        <v>82</v>
      </c>
      <c r="C24" s="27">
        <v>0</v>
      </c>
      <c r="D24" s="28">
        <v>43272</v>
      </c>
      <c r="E24" s="27">
        <v>-714.85</v>
      </c>
      <c r="F24" s="27" t="s">
        <v>129</v>
      </c>
      <c r="G24" s="27" t="s">
        <v>8</v>
      </c>
      <c r="H24" s="27" t="s">
        <v>130</v>
      </c>
      <c r="I24" s="27" t="s">
        <v>77</v>
      </c>
      <c r="J24" s="27">
        <v>2</v>
      </c>
      <c r="K24" s="8" t="str">
        <f t="shared" si="0"/>
        <v>APD</v>
      </c>
    </row>
    <row r="25" spans="1:11" x14ac:dyDescent="0.25">
      <c r="A25" s="27" t="s">
        <v>83</v>
      </c>
      <c r="B25" s="27" t="s">
        <v>82</v>
      </c>
      <c r="C25" s="27">
        <v>0</v>
      </c>
      <c r="D25" s="28">
        <v>43273</v>
      </c>
      <c r="E25" s="27">
        <v>555.99</v>
      </c>
      <c r="F25" s="27" t="s">
        <v>131</v>
      </c>
      <c r="G25" s="27" t="s">
        <v>8</v>
      </c>
      <c r="H25" s="27" t="s">
        <v>132</v>
      </c>
      <c r="I25" s="27" t="s">
        <v>77</v>
      </c>
      <c r="J25" s="27">
        <v>2</v>
      </c>
      <c r="K25" s="8" t="str">
        <f t="shared" si="0"/>
        <v>APD</v>
      </c>
    </row>
    <row r="26" spans="1:11" x14ac:dyDescent="0.25">
      <c r="A26" s="27" t="s">
        <v>83</v>
      </c>
      <c r="B26" s="27" t="s">
        <v>82</v>
      </c>
      <c r="C26" s="27">
        <v>0</v>
      </c>
      <c r="D26" s="28">
        <v>43276</v>
      </c>
      <c r="E26" s="27">
        <v>12073.08</v>
      </c>
      <c r="F26" s="27" t="s">
        <v>133</v>
      </c>
      <c r="G26" s="27" t="s">
        <v>8</v>
      </c>
      <c r="H26" s="27" t="s">
        <v>134</v>
      </c>
      <c r="I26" s="27" t="s">
        <v>77</v>
      </c>
      <c r="J26" s="27">
        <v>1</v>
      </c>
      <c r="K26" s="8" t="str">
        <f t="shared" si="0"/>
        <v>APD</v>
      </c>
    </row>
    <row r="27" spans="1:11" x14ac:dyDescent="0.25">
      <c r="A27" s="27" t="s">
        <v>83</v>
      </c>
      <c r="B27" s="27" t="s">
        <v>82</v>
      </c>
      <c r="C27" s="27">
        <v>0</v>
      </c>
      <c r="D27" s="28">
        <v>43276</v>
      </c>
      <c r="E27" s="27">
        <v>-10961.08</v>
      </c>
      <c r="F27" s="27" t="s">
        <v>135</v>
      </c>
      <c r="G27" s="27" t="s">
        <v>8</v>
      </c>
      <c r="H27" s="27" t="s">
        <v>136</v>
      </c>
      <c r="I27" s="27" t="s">
        <v>77</v>
      </c>
      <c r="J27" s="27">
        <v>5</v>
      </c>
      <c r="K27" s="8" t="str">
        <f t="shared" si="0"/>
        <v>APD</v>
      </c>
    </row>
    <row r="28" spans="1:11" x14ac:dyDescent="0.25">
      <c r="A28" s="27" t="s">
        <v>83</v>
      </c>
      <c r="B28" s="27" t="s">
        <v>82</v>
      </c>
      <c r="C28" s="27">
        <v>0</v>
      </c>
      <c r="D28" s="28">
        <v>43277</v>
      </c>
      <c r="E28" s="27">
        <v>90389.2</v>
      </c>
      <c r="F28" s="27" t="s">
        <v>137</v>
      </c>
      <c r="G28" s="27" t="s">
        <v>8</v>
      </c>
      <c r="H28" s="27" t="s">
        <v>138</v>
      </c>
      <c r="I28" s="27" t="s">
        <v>77</v>
      </c>
      <c r="J28" s="27">
        <v>1</v>
      </c>
      <c r="K28" s="8" t="str">
        <f t="shared" si="0"/>
        <v>APD</v>
      </c>
    </row>
    <row r="29" spans="1:11" x14ac:dyDescent="0.25">
      <c r="A29" s="27" t="s">
        <v>83</v>
      </c>
      <c r="B29" s="27" t="s">
        <v>82</v>
      </c>
      <c r="C29" s="27">
        <v>0</v>
      </c>
      <c r="D29" s="28">
        <v>43277</v>
      </c>
      <c r="E29" s="27">
        <v>-22081.02</v>
      </c>
      <c r="F29" s="27" t="s">
        <v>139</v>
      </c>
      <c r="G29" s="27" t="s">
        <v>8</v>
      </c>
      <c r="H29" s="27" t="s">
        <v>140</v>
      </c>
      <c r="I29" s="27" t="s">
        <v>77</v>
      </c>
      <c r="J29" s="27">
        <v>4</v>
      </c>
      <c r="K29" s="8" t="str">
        <f t="shared" si="0"/>
        <v>APD</v>
      </c>
    </row>
    <row r="30" spans="1:11" x14ac:dyDescent="0.25">
      <c r="A30" s="27" t="s">
        <v>83</v>
      </c>
      <c r="B30" s="27" t="s">
        <v>82</v>
      </c>
      <c r="C30" s="27">
        <v>0</v>
      </c>
      <c r="D30" s="28">
        <v>43277</v>
      </c>
      <c r="E30" s="27">
        <v>238.28</v>
      </c>
      <c r="F30" s="27" t="s">
        <v>141</v>
      </c>
      <c r="G30" s="27" t="s">
        <v>8</v>
      </c>
      <c r="H30" s="27" t="s">
        <v>142</v>
      </c>
      <c r="I30" s="27" t="s">
        <v>77</v>
      </c>
      <c r="J30" s="27">
        <v>5</v>
      </c>
      <c r="K30" s="8" t="str">
        <f t="shared" si="0"/>
        <v>APD</v>
      </c>
    </row>
    <row r="31" spans="1:11" x14ac:dyDescent="0.25">
      <c r="A31" s="27" t="s">
        <v>83</v>
      </c>
      <c r="B31" s="27" t="s">
        <v>82</v>
      </c>
      <c r="C31" s="27">
        <v>0</v>
      </c>
      <c r="D31" s="28">
        <v>43280</v>
      </c>
      <c r="E31" s="27">
        <v>-70055.600000000006</v>
      </c>
      <c r="F31" s="27" t="s">
        <v>143</v>
      </c>
      <c r="G31" s="27" t="s">
        <v>8</v>
      </c>
      <c r="H31" s="27" t="s">
        <v>144</v>
      </c>
      <c r="I31" s="27" t="s">
        <v>77</v>
      </c>
      <c r="J31" s="27">
        <v>1</v>
      </c>
      <c r="K31" s="8" t="str">
        <f t="shared" si="0"/>
        <v>APD</v>
      </c>
    </row>
    <row r="32" spans="1:11" x14ac:dyDescent="0.25">
      <c r="A32" s="27" t="s">
        <v>83</v>
      </c>
      <c r="B32" s="27" t="s">
        <v>82</v>
      </c>
      <c r="C32" s="27">
        <v>0</v>
      </c>
      <c r="D32" s="28">
        <v>43280</v>
      </c>
      <c r="E32" s="27">
        <v>794.29</v>
      </c>
      <c r="F32" s="27" t="s">
        <v>145</v>
      </c>
      <c r="G32" s="27" t="s">
        <v>8</v>
      </c>
      <c r="H32" s="27" t="s">
        <v>146</v>
      </c>
      <c r="I32" s="27" t="s">
        <v>77</v>
      </c>
      <c r="J32" s="27">
        <v>2</v>
      </c>
      <c r="K32" s="8" t="str">
        <f t="shared" si="0"/>
        <v>APD</v>
      </c>
    </row>
    <row r="33" spans="1:11" x14ac:dyDescent="0.25">
      <c r="A33" s="27" t="s">
        <v>83</v>
      </c>
      <c r="B33" s="27" t="s">
        <v>82</v>
      </c>
      <c r="C33" s="27">
        <v>0</v>
      </c>
      <c r="D33" s="28">
        <v>43283</v>
      </c>
      <c r="E33" s="27">
        <v>-953.14</v>
      </c>
      <c r="F33" s="27" t="s">
        <v>147</v>
      </c>
      <c r="G33" s="27" t="s">
        <v>8</v>
      </c>
      <c r="H33" s="27" t="s">
        <v>148</v>
      </c>
      <c r="I33" s="27" t="s">
        <v>77</v>
      </c>
      <c r="J33" s="27">
        <v>1</v>
      </c>
      <c r="K33" s="8" t="str">
        <f t="shared" si="0"/>
        <v>APD</v>
      </c>
    </row>
    <row r="34" spans="1:11" x14ac:dyDescent="0.25">
      <c r="A34" s="27" t="s">
        <v>83</v>
      </c>
      <c r="B34" s="27" t="s">
        <v>82</v>
      </c>
      <c r="C34" s="27">
        <v>0</v>
      </c>
      <c r="D34" s="28">
        <v>43284</v>
      </c>
      <c r="E34" s="27">
        <v>635.41999999999996</v>
      </c>
      <c r="F34" s="27" t="s">
        <v>149</v>
      </c>
      <c r="G34" s="27" t="s">
        <v>8</v>
      </c>
      <c r="H34" s="27" t="s">
        <v>150</v>
      </c>
      <c r="I34" s="27" t="s">
        <v>77</v>
      </c>
      <c r="J34" s="27">
        <v>2</v>
      </c>
      <c r="K34" s="8" t="str">
        <f t="shared" si="0"/>
        <v>APD</v>
      </c>
    </row>
    <row r="35" spans="1:11" x14ac:dyDescent="0.25">
      <c r="A35" s="27" t="s">
        <v>83</v>
      </c>
      <c r="B35" s="27" t="s">
        <v>82</v>
      </c>
      <c r="C35" s="27">
        <v>0</v>
      </c>
      <c r="D35" s="28">
        <v>43285</v>
      </c>
      <c r="E35" s="27">
        <v>4368.55</v>
      </c>
      <c r="F35" s="27" t="s">
        <v>151</v>
      </c>
      <c r="G35" s="27" t="s">
        <v>8</v>
      </c>
      <c r="H35" s="27" t="s">
        <v>152</v>
      </c>
      <c r="I35" s="27" t="s">
        <v>77</v>
      </c>
      <c r="J35" s="27">
        <v>1</v>
      </c>
      <c r="K35" s="8" t="str">
        <f t="shared" si="0"/>
        <v>APD</v>
      </c>
    </row>
    <row r="36" spans="1:11" x14ac:dyDescent="0.25">
      <c r="A36" s="27" t="s">
        <v>83</v>
      </c>
      <c r="B36" s="27" t="s">
        <v>82</v>
      </c>
      <c r="C36" s="27">
        <v>0</v>
      </c>
      <c r="D36" s="28">
        <v>43286</v>
      </c>
      <c r="E36" s="27">
        <v>-4924.54</v>
      </c>
      <c r="F36" s="27" t="s">
        <v>153</v>
      </c>
      <c r="G36" s="27" t="s">
        <v>8</v>
      </c>
      <c r="H36" s="27" t="s">
        <v>154</v>
      </c>
      <c r="I36" s="27" t="s">
        <v>77</v>
      </c>
      <c r="J36" s="27">
        <v>1</v>
      </c>
      <c r="K36" s="8" t="str">
        <f t="shared" si="0"/>
        <v>APD</v>
      </c>
    </row>
    <row r="37" spans="1:11" x14ac:dyDescent="0.25">
      <c r="A37" s="27" t="s">
        <v>83</v>
      </c>
      <c r="B37" s="27" t="s">
        <v>82</v>
      </c>
      <c r="C37" s="27">
        <v>0</v>
      </c>
      <c r="D37" s="28">
        <v>43293</v>
      </c>
      <c r="E37" s="27">
        <v>79.42</v>
      </c>
      <c r="F37" s="27" t="s">
        <v>155</v>
      </c>
      <c r="G37" s="27" t="s">
        <v>8</v>
      </c>
      <c r="H37" s="27" t="s">
        <v>156</v>
      </c>
      <c r="I37" s="27" t="s">
        <v>77</v>
      </c>
      <c r="J37" s="27">
        <v>2</v>
      </c>
      <c r="K37" s="8" t="str">
        <f t="shared" si="0"/>
        <v>APD</v>
      </c>
    </row>
    <row r="38" spans="1:11" x14ac:dyDescent="0.25">
      <c r="A38" s="27" t="s">
        <v>83</v>
      </c>
      <c r="B38" s="27" t="s">
        <v>82</v>
      </c>
      <c r="C38" s="27">
        <v>0</v>
      </c>
      <c r="D38" s="28">
        <v>43294</v>
      </c>
      <c r="E38" s="27">
        <v>-79.42</v>
      </c>
      <c r="F38" s="27" t="s">
        <v>157</v>
      </c>
      <c r="G38" s="27" t="s">
        <v>8</v>
      </c>
      <c r="H38" s="27" t="s">
        <v>158</v>
      </c>
      <c r="I38" s="27" t="s">
        <v>77</v>
      </c>
      <c r="J38" s="27">
        <v>2</v>
      </c>
      <c r="K38" s="8" t="str">
        <f t="shared" si="0"/>
        <v>APD</v>
      </c>
    </row>
    <row r="39" spans="1:11" x14ac:dyDescent="0.25">
      <c r="A39" s="27" t="s">
        <v>83</v>
      </c>
      <c r="B39" s="27" t="s">
        <v>82</v>
      </c>
      <c r="C39" s="27">
        <v>0</v>
      </c>
      <c r="D39" s="28">
        <v>43297</v>
      </c>
      <c r="E39" s="27">
        <v>397.14</v>
      </c>
      <c r="F39" s="27" t="s">
        <v>159</v>
      </c>
      <c r="G39" s="27" t="s">
        <v>8</v>
      </c>
      <c r="H39" s="27" t="s">
        <v>160</v>
      </c>
      <c r="I39" s="27" t="s">
        <v>77</v>
      </c>
      <c r="J39" s="27">
        <v>2</v>
      </c>
      <c r="K39" s="8" t="str">
        <f t="shared" si="0"/>
        <v>APD</v>
      </c>
    </row>
    <row r="40" spans="1:11" x14ac:dyDescent="0.25">
      <c r="A40" s="27" t="s">
        <v>83</v>
      </c>
      <c r="B40" s="27" t="s">
        <v>82</v>
      </c>
      <c r="C40" s="27">
        <v>0</v>
      </c>
      <c r="D40" s="28">
        <v>43297</v>
      </c>
      <c r="E40" s="27">
        <v>1826.84</v>
      </c>
      <c r="F40" s="27" t="s">
        <v>161</v>
      </c>
      <c r="G40" s="27" t="s">
        <v>8</v>
      </c>
      <c r="H40" s="27" t="s">
        <v>162</v>
      </c>
      <c r="I40" s="27" t="s">
        <v>77</v>
      </c>
      <c r="J40" s="27">
        <v>3</v>
      </c>
      <c r="K40" s="8" t="str">
        <f t="shared" si="0"/>
        <v>APD</v>
      </c>
    </row>
    <row r="41" spans="1:11" x14ac:dyDescent="0.25">
      <c r="A41" s="27" t="s">
        <v>83</v>
      </c>
      <c r="B41" s="27" t="s">
        <v>82</v>
      </c>
      <c r="C41" s="27">
        <v>0</v>
      </c>
      <c r="D41" s="28">
        <v>43300</v>
      </c>
      <c r="E41" s="27">
        <v>-2144.56</v>
      </c>
      <c r="F41" s="27" t="s">
        <v>163</v>
      </c>
      <c r="G41" s="27" t="s">
        <v>8</v>
      </c>
      <c r="H41" s="27" t="s">
        <v>164</v>
      </c>
      <c r="I41" s="27" t="s">
        <v>77</v>
      </c>
      <c r="J41" s="27">
        <v>2</v>
      </c>
      <c r="K41" s="8" t="str">
        <f t="shared" si="0"/>
        <v>APD</v>
      </c>
    </row>
    <row r="42" spans="1:11" x14ac:dyDescent="0.25">
      <c r="A42" s="27" t="s">
        <v>83</v>
      </c>
      <c r="B42" s="27" t="s">
        <v>82</v>
      </c>
      <c r="C42" s="27">
        <v>0</v>
      </c>
      <c r="D42" s="28">
        <v>43304</v>
      </c>
      <c r="E42" s="27">
        <v>79.430000000000007</v>
      </c>
      <c r="F42" s="27" t="s">
        <v>165</v>
      </c>
      <c r="G42" s="27" t="s">
        <v>8</v>
      </c>
      <c r="H42" s="27" t="s">
        <v>166</v>
      </c>
      <c r="I42" s="27" t="s">
        <v>77</v>
      </c>
      <c r="J42" s="27">
        <v>2</v>
      </c>
      <c r="K42" s="8" t="str">
        <f t="shared" si="0"/>
        <v>APD</v>
      </c>
    </row>
    <row r="43" spans="1:11" x14ac:dyDescent="0.25">
      <c r="A43" s="27" t="s">
        <v>83</v>
      </c>
      <c r="B43" s="27" t="s">
        <v>82</v>
      </c>
      <c r="C43" s="27">
        <v>0</v>
      </c>
      <c r="D43" s="28">
        <v>43305</v>
      </c>
      <c r="E43" s="27">
        <v>-238.28</v>
      </c>
      <c r="F43" s="27" t="s">
        <v>167</v>
      </c>
      <c r="G43" s="27" t="s">
        <v>8</v>
      </c>
      <c r="H43" s="27" t="s">
        <v>168</v>
      </c>
      <c r="I43" s="27" t="s">
        <v>77</v>
      </c>
      <c r="J43" s="27">
        <v>2</v>
      </c>
      <c r="K43" s="8" t="str">
        <f t="shared" si="0"/>
        <v>APD</v>
      </c>
    </row>
    <row r="44" spans="1:11" x14ac:dyDescent="0.25">
      <c r="A44" s="27" t="s">
        <v>83</v>
      </c>
      <c r="B44" s="27" t="s">
        <v>82</v>
      </c>
      <c r="C44" s="27">
        <v>0</v>
      </c>
      <c r="D44" s="28">
        <v>43305</v>
      </c>
      <c r="E44" s="27">
        <v>476.57</v>
      </c>
      <c r="F44" s="27" t="s">
        <v>169</v>
      </c>
      <c r="G44" s="27" t="s">
        <v>8</v>
      </c>
      <c r="H44" s="27" t="s">
        <v>170</v>
      </c>
      <c r="I44" s="27" t="s">
        <v>77</v>
      </c>
      <c r="J44" s="27">
        <v>3</v>
      </c>
      <c r="K44" s="8" t="str">
        <f t="shared" si="0"/>
        <v>APD</v>
      </c>
    </row>
    <row r="45" spans="1:11" x14ac:dyDescent="0.25">
      <c r="A45" s="27" t="s">
        <v>83</v>
      </c>
      <c r="B45" s="27" t="s">
        <v>82</v>
      </c>
      <c r="C45" s="27">
        <v>0</v>
      </c>
      <c r="D45" s="28">
        <v>43305</v>
      </c>
      <c r="E45" s="27">
        <v>238.28</v>
      </c>
      <c r="F45" s="27" t="s">
        <v>171</v>
      </c>
      <c r="G45" s="27" t="s">
        <v>8</v>
      </c>
      <c r="H45" s="27" t="s">
        <v>172</v>
      </c>
      <c r="I45" s="27" t="s">
        <v>77</v>
      </c>
      <c r="J45" s="27">
        <v>4</v>
      </c>
      <c r="K45" s="8" t="str">
        <f t="shared" si="0"/>
        <v>APD</v>
      </c>
    </row>
    <row r="46" spans="1:11" x14ac:dyDescent="0.25">
      <c r="A46" s="27" t="s">
        <v>83</v>
      </c>
      <c r="B46" s="27" t="s">
        <v>82</v>
      </c>
      <c r="C46" s="27">
        <v>0</v>
      </c>
      <c r="D46" s="28">
        <v>43306</v>
      </c>
      <c r="E46" s="27">
        <v>-714.85</v>
      </c>
      <c r="F46" s="27" t="s">
        <v>173</v>
      </c>
      <c r="G46" s="27" t="s">
        <v>8</v>
      </c>
      <c r="H46" s="27" t="s">
        <v>174</v>
      </c>
      <c r="I46" s="27" t="s">
        <v>77</v>
      </c>
      <c r="J46" s="27">
        <v>6</v>
      </c>
      <c r="K46" s="8" t="str">
        <f t="shared" si="0"/>
        <v>APD</v>
      </c>
    </row>
    <row r="47" spans="1:11" x14ac:dyDescent="0.25">
      <c r="A47" s="27" t="s">
        <v>83</v>
      </c>
      <c r="B47" s="27" t="s">
        <v>82</v>
      </c>
      <c r="C47" s="27">
        <v>0</v>
      </c>
      <c r="D47" s="28">
        <v>43311</v>
      </c>
      <c r="E47" s="27">
        <v>555.99</v>
      </c>
      <c r="F47" s="27" t="s">
        <v>175</v>
      </c>
      <c r="G47" s="27" t="s">
        <v>8</v>
      </c>
      <c r="H47" s="27" t="s">
        <v>176</v>
      </c>
      <c r="I47" s="27" t="s">
        <v>77</v>
      </c>
      <c r="J47" s="27">
        <v>4</v>
      </c>
      <c r="K47" s="8" t="str">
        <f t="shared" si="0"/>
        <v>APD</v>
      </c>
    </row>
    <row r="48" spans="1:11" x14ac:dyDescent="0.25">
      <c r="A48" s="27" t="s">
        <v>83</v>
      </c>
      <c r="B48" s="27" t="s">
        <v>82</v>
      </c>
      <c r="C48" s="27">
        <v>0</v>
      </c>
      <c r="D48" s="28">
        <v>43312</v>
      </c>
      <c r="E48" s="27">
        <v>158.86000000000001</v>
      </c>
      <c r="F48" s="27" t="s">
        <v>177</v>
      </c>
      <c r="G48" s="27" t="s">
        <v>8</v>
      </c>
      <c r="H48" s="27" t="s">
        <v>178</v>
      </c>
      <c r="I48" s="27" t="s">
        <v>77</v>
      </c>
      <c r="J48" s="27">
        <v>2</v>
      </c>
      <c r="K48" s="8" t="str">
        <f t="shared" si="0"/>
        <v>APD</v>
      </c>
    </row>
    <row r="49" spans="1:11" x14ac:dyDescent="0.25">
      <c r="A49" s="27" t="s">
        <v>83</v>
      </c>
      <c r="B49" s="27" t="s">
        <v>82</v>
      </c>
      <c r="C49" s="27">
        <v>0</v>
      </c>
      <c r="D49" s="28">
        <v>43313</v>
      </c>
      <c r="E49" s="27">
        <v>714.85</v>
      </c>
      <c r="F49" s="27" t="s">
        <v>179</v>
      </c>
      <c r="G49" s="27" t="s">
        <v>8</v>
      </c>
      <c r="H49" s="27" t="s">
        <v>180</v>
      </c>
      <c r="I49" s="27" t="s">
        <v>77</v>
      </c>
      <c r="J49" s="27">
        <v>2</v>
      </c>
      <c r="K49" s="8" t="str">
        <f t="shared" si="0"/>
        <v>APD</v>
      </c>
    </row>
    <row r="50" spans="1:11" x14ac:dyDescent="0.25">
      <c r="A50" s="27" t="s">
        <v>83</v>
      </c>
      <c r="B50" s="27" t="s">
        <v>82</v>
      </c>
      <c r="C50" s="27">
        <v>0</v>
      </c>
      <c r="D50" s="28">
        <v>43314</v>
      </c>
      <c r="E50" s="27">
        <v>-476.56</v>
      </c>
      <c r="F50" s="27" t="s">
        <v>181</v>
      </c>
      <c r="G50" s="27" t="s">
        <v>8</v>
      </c>
      <c r="H50" s="27" t="s">
        <v>182</v>
      </c>
      <c r="I50" s="27" t="s">
        <v>77</v>
      </c>
      <c r="J50" s="27">
        <v>2</v>
      </c>
      <c r="K50" s="8" t="str">
        <f t="shared" si="0"/>
        <v>APD</v>
      </c>
    </row>
    <row r="51" spans="1:11" x14ac:dyDescent="0.25">
      <c r="A51" s="27" t="s">
        <v>83</v>
      </c>
      <c r="B51" s="27" t="s">
        <v>82</v>
      </c>
      <c r="C51" s="27">
        <v>0</v>
      </c>
      <c r="D51" s="28">
        <v>43315</v>
      </c>
      <c r="E51" s="27">
        <v>66481.33</v>
      </c>
      <c r="F51" s="27" t="s">
        <v>183</v>
      </c>
      <c r="G51" s="27" t="s">
        <v>8</v>
      </c>
      <c r="H51" s="27" t="s">
        <v>184</v>
      </c>
      <c r="I51" s="27" t="s">
        <v>77</v>
      </c>
      <c r="J51" s="27">
        <v>1</v>
      </c>
      <c r="K51" s="8" t="str">
        <f t="shared" si="0"/>
        <v>APD</v>
      </c>
    </row>
    <row r="52" spans="1:11" x14ac:dyDescent="0.25">
      <c r="A52" s="27" t="s">
        <v>83</v>
      </c>
      <c r="B52" s="27" t="s">
        <v>82</v>
      </c>
      <c r="C52" s="27">
        <v>0</v>
      </c>
      <c r="D52" s="28">
        <v>43315</v>
      </c>
      <c r="E52" s="27">
        <v>-23828.44</v>
      </c>
      <c r="F52" s="27" t="s">
        <v>185</v>
      </c>
      <c r="G52" s="27" t="s">
        <v>8</v>
      </c>
      <c r="H52" s="27" t="s">
        <v>186</v>
      </c>
      <c r="I52" s="27" t="s">
        <v>77</v>
      </c>
      <c r="J52" s="27">
        <v>4</v>
      </c>
      <c r="K52" s="8" t="str">
        <f t="shared" si="0"/>
        <v>APD</v>
      </c>
    </row>
    <row r="53" spans="1:11" x14ac:dyDescent="0.25">
      <c r="A53" s="27" t="s">
        <v>83</v>
      </c>
      <c r="B53" s="27" t="s">
        <v>82</v>
      </c>
      <c r="C53" s="27">
        <v>0</v>
      </c>
      <c r="D53" s="28">
        <v>43315</v>
      </c>
      <c r="E53" s="27">
        <v>-31850.67</v>
      </c>
      <c r="F53" s="27" t="s">
        <v>187</v>
      </c>
      <c r="G53" s="27" t="s">
        <v>8</v>
      </c>
      <c r="H53" s="27" t="s">
        <v>188</v>
      </c>
      <c r="I53" s="27" t="s">
        <v>77</v>
      </c>
      <c r="J53" s="27">
        <v>5</v>
      </c>
      <c r="K53" s="8" t="str">
        <f t="shared" si="0"/>
        <v>APD</v>
      </c>
    </row>
    <row r="54" spans="1:11" x14ac:dyDescent="0.25">
      <c r="A54" s="27" t="s">
        <v>83</v>
      </c>
      <c r="B54" s="27" t="s">
        <v>82</v>
      </c>
      <c r="C54" s="27">
        <v>0</v>
      </c>
      <c r="D54" s="28">
        <v>43315</v>
      </c>
      <c r="E54" s="27">
        <v>8260.52</v>
      </c>
      <c r="F54" s="27" t="s">
        <v>189</v>
      </c>
      <c r="G54" s="27" t="s">
        <v>8</v>
      </c>
      <c r="H54" s="27" t="s">
        <v>190</v>
      </c>
      <c r="I54" s="27" t="s">
        <v>77</v>
      </c>
      <c r="J54" s="27">
        <v>6</v>
      </c>
      <c r="K54" s="8" t="str">
        <f t="shared" si="0"/>
        <v>APD</v>
      </c>
    </row>
    <row r="55" spans="1:11" x14ac:dyDescent="0.25">
      <c r="A55" s="27" t="s">
        <v>83</v>
      </c>
      <c r="B55" s="27" t="s">
        <v>82</v>
      </c>
      <c r="C55" s="27">
        <v>0</v>
      </c>
      <c r="D55" s="28">
        <v>43320</v>
      </c>
      <c r="E55" s="27">
        <v>24622.720000000001</v>
      </c>
      <c r="F55" s="27" t="s">
        <v>191</v>
      </c>
      <c r="G55" s="27" t="s">
        <v>8</v>
      </c>
      <c r="H55" s="27" t="s">
        <v>192</v>
      </c>
      <c r="I55" s="27" t="s">
        <v>77</v>
      </c>
      <c r="J55" s="27">
        <v>1</v>
      </c>
      <c r="K55" s="8" t="str">
        <f t="shared" si="0"/>
        <v>APD</v>
      </c>
    </row>
    <row r="56" spans="1:11" x14ac:dyDescent="0.25">
      <c r="A56" s="27" t="s">
        <v>83</v>
      </c>
      <c r="B56" s="27" t="s">
        <v>82</v>
      </c>
      <c r="C56" s="27">
        <v>0</v>
      </c>
      <c r="D56" s="28">
        <v>43321</v>
      </c>
      <c r="E56" s="27">
        <v>-44241.46</v>
      </c>
      <c r="F56" s="27" t="s">
        <v>193</v>
      </c>
      <c r="G56" s="27" t="s">
        <v>8</v>
      </c>
      <c r="H56" s="27" t="s">
        <v>194</v>
      </c>
      <c r="I56" s="27" t="s">
        <v>77</v>
      </c>
      <c r="J56" s="27">
        <v>1</v>
      </c>
      <c r="K56" s="8" t="str">
        <f t="shared" si="0"/>
        <v>APD</v>
      </c>
    </row>
    <row r="57" spans="1:11" x14ac:dyDescent="0.25">
      <c r="A57" s="27" t="s">
        <v>83</v>
      </c>
      <c r="B57" s="27" t="s">
        <v>82</v>
      </c>
      <c r="C57" s="27">
        <v>0</v>
      </c>
      <c r="D57" s="28">
        <v>43321</v>
      </c>
      <c r="E57" s="27">
        <v>635.41999999999996</v>
      </c>
      <c r="F57" s="27" t="s">
        <v>195</v>
      </c>
      <c r="G57" s="27" t="s">
        <v>8</v>
      </c>
      <c r="H57" s="27" t="s">
        <v>196</v>
      </c>
      <c r="I57" s="27" t="s">
        <v>77</v>
      </c>
      <c r="J57" s="27">
        <v>2</v>
      </c>
      <c r="K57" s="8" t="str">
        <f t="shared" si="0"/>
        <v>APD</v>
      </c>
    </row>
    <row r="58" spans="1:11" x14ac:dyDescent="0.25">
      <c r="A58" s="27" t="s">
        <v>83</v>
      </c>
      <c r="B58" s="27" t="s">
        <v>82</v>
      </c>
      <c r="C58" s="27">
        <v>0</v>
      </c>
      <c r="D58" s="28">
        <v>43321</v>
      </c>
      <c r="E58" s="27">
        <v>317.72000000000003</v>
      </c>
      <c r="F58" s="27" t="s">
        <v>197</v>
      </c>
      <c r="G58" s="27" t="s">
        <v>8</v>
      </c>
      <c r="H58" s="27" t="s">
        <v>198</v>
      </c>
      <c r="I58" s="27" t="s">
        <v>77</v>
      </c>
      <c r="J58" s="27">
        <v>3</v>
      </c>
      <c r="K58" s="8" t="str">
        <f t="shared" si="0"/>
        <v>APD</v>
      </c>
    </row>
    <row r="59" spans="1:11" x14ac:dyDescent="0.25">
      <c r="A59" s="27" t="s">
        <v>83</v>
      </c>
      <c r="B59" s="27" t="s">
        <v>82</v>
      </c>
      <c r="C59" s="27">
        <v>0</v>
      </c>
      <c r="D59" s="28">
        <v>43322</v>
      </c>
      <c r="E59" s="27">
        <v>-1350.28</v>
      </c>
      <c r="F59" s="27" t="s">
        <v>199</v>
      </c>
      <c r="G59" s="27" t="s">
        <v>8</v>
      </c>
      <c r="H59" s="27" t="s">
        <v>200</v>
      </c>
      <c r="I59" s="27" t="s">
        <v>77</v>
      </c>
      <c r="J59" s="27">
        <v>1</v>
      </c>
      <c r="K59" s="8" t="str">
        <f t="shared" si="0"/>
        <v>APD</v>
      </c>
    </row>
    <row r="60" spans="1:11" x14ac:dyDescent="0.25">
      <c r="A60" s="27" t="s">
        <v>83</v>
      </c>
      <c r="B60" s="27" t="s">
        <v>82</v>
      </c>
      <c r="C60" s="27">
        <v>0</v>
      </c>
      <c r="D60" s="28">
        <v>43325</v>
      </c>
      <c r="E60" s="27">
        <v>1191.42</v>
      </c>
      <c r="F60" s="27" t="s">
        <v>201</v>
      </c>
      <c r="G60" s="27" t="s">
        <v>8</v>
      </c>
      <c r="H60" s="27" t="s">
        <v>202</v>
      </c>
      <c r="I60" s="27" t="s">
        <v>77</v>
      </c>
      <c r="J60" s="27">
        <v>2</v>
      </c>
      <c r="K60" s="8" t="str">
        <f t="shared" si="0"/>
        <v>APD</v>
      </c>
    </row>
    <row r="61" spans="1:11" x14ac:dyDescent="0.25">
      <c r="A61" s="27" t="s">
        <v>83</v>
      </c>
      <c r="B61" s="27" t="s">
        <v>82</v>
      </c>
      <c r="C61" s="27">
        <v>0</v>
      </c>
      <c r="D61" s="28">
        <v>43326</v>
      </c>
      <c r="E61" s="27">
        <v>-1111.99</v>
      </c>
      <c r="F61" s="27" t="s">
        <v>203</v>
      </c>
      <c r="G61" s="27" t="s">
        <v>8</v>
      </c>
      <c r="H61" s="27" t="s">
        <v>204</v>
      </c>
      <c r="I61" s="27" t="s">
        <v>77</v>
      </c>
      <c r="J61" s="27">
        <v>1</v>
      </c>
      <c r="K61" s="8" t="str">
        <f t="shared" si="0"/>
        <v>APD</v>
      </c>
    </row>
    <row r="62" spans="1:11" x14ac:dyDescent="0.25">
      <c r="A62" s="27" t="s">
        <v>83</v>
      </c>
      <c r="B62" s="27" t="s">
        <v>82</v>
      </c>
      <c r="C62" s="27">
        <v>0</v>
      </c>
      <c r="D62" s="28">
        <v>43326</v>
      </c>
      <c r="E62" s="27">
        <v>238.28</v>
      </c>
      <c r="F62" s="27" t="s">
        <v>205</v>
      </c>
      <c r="G62" s="27" t="s">
        <v>8</v>
      </c>
      <c r="H62" s="27" t="s">
        <v>206</v>
      </c>
      <c r="I62" s="27" t="s">
        <v>77</v>
      </c>
      <c r="J62" s="27">
        <v>2</v>
      </c>
      <c r="K62" s="8" t="str">
        <f t="shared" si="0"/>
        <v>APD</v>
      </c>
    </row>
    <row r="63" spans="1:11" x14ac:dyDescent="0.25">
      <c r="A63" s="27" t="s">
        <v>83</v>
      </c>
      <c r="B63" s="27" t="s">
        <v>82</v>
      </c>
      <c r="C63" s="27">
        <v>0</v>
      </c>
      <c r="D63" s="28">
        <v>43333</v>
      </c>
      <c r="E63" s="27">
        <v>-238.28</v>
      </c>
      <c r="F63" s="27" t="s">
        <v>207</v>
      </c>
      <c r="G63" s="27" t="s">
        <v>8</v>
      </c>
      <c r="H63" s="27" t="s">
        <v>208</v>
      </c>
      <c r="I63" s="27" t="s">
        <v>77</v>
      </c>
      <c r="J63" s="27">
        <v>2</v>
      </c>
      <c r="K63" s="8" t="str">
        <f t="shared" si="0"/>
        <v>APD</v>
      </c>
    </row>
    <row r="64" spans="1:11" x14ac:dyDescent="0.25">
      <c r="A64" s="27" t="s">
        <v>83</v>
      </c>
      <c r="B64" s="27" t="s">
        <v>82</v>
      </c>
      <c r="C64" s="27">
        <v>0</v>
      </c>
      <c r="D64" s="28">
        <v>43340</v>
      </c>
      <c r="E64" s="27">
        <v>158.85</v>
      </c>
      <c r="F64" s="27" t="s">
        <v>209</v>
      </c>
      <c r="G64" s="27" t="s">
        <v>8</v>
      </c>
      <c r="H64" s="27" t="s">
        <v>210</v>
      </c>
      <c r="I64" s="27" t="s">
        <v>77</v>
      </c>
      <c r="J64" s="27">
        <v>2</v>
      </c>
      <c r="K64" s="8" t="str">
        <f t="shared" si="0"/>
        <v>APD</v>
      </c>
    </row>
    <row r="65" spans="1:11" x14ac:dyDescent="0.25">
      <c r="A65" s="27" t="s">
        <v>83</v>
      </c>
      <c r="B65" s="27" t="s">
        <v>82</v>
      </c>
      <c r="C65" s="27">
        <v>0</v>
      </c>
      <c r="D65" s="28">
        <v>43341</v>
      </c>
      <c r="E65" s="27">
        <v>-158.85</v>
      </c>
      <c r="F65" s="27" t="s">
        <v>211</v>
      </c>
      <c r="G65" s="27" t="s">
        <v>8</v>
      </c>
      <c r="H65" s="27" t="s">
        <v>212</v>
      </c>
      <c r="I65" s="27" t="s">
        <v>77</v>
      </c>
      <c r="J65" s="27">
        <v>2</v>
      </c>
      <c r="K65" s="8" t="str">
        <f t="shared" si="0"/>
        <v>APD</v>
      </c>
    </row>
    <row r="66" spans="1:11" x14ac:dyDescent="0.25">
      <c r="A66" s="27" t="s">
        <v>83</v>
      </c>
      <c r="B66" s="27" t="s">
        <v>82</v>
      </c>
      <c r="C66" s="27">
        <v>0</v>
      </c>
      <c r="D66" s="28">
        <v>43343</v>
      </c>
      <c r="E66" s="27">
        <v>2223.98</v>
      </c>
      <c r="F66" s="27" t="s">
        <v>213</v>
      </c>
      <c r="G66" s="27" t="s">
        <v>8</v>
      </c>
      <c r="H66" s="27" t="s">
        <v>214</v>
      </c>
      <c r="I66" s="27" t="s">
        <v>77</v>
      </c>
      <c r="J66" s="27">
        <v>2</v>
      </c>
      <c r="K66" s="8" t="str">
        <f t="shared" ref="K66:K89" si="1">LEFT(A66,FIND("/",A66)-1)</f>
        <v>APD</v>
      </c>
    </row>
    <row r="67" spans="1:11" x14ac:dyDescent="0.25">
      <c r="A67" s="27" t="s">
        <v>83</v>
      </c>
      <c r="B67" s="27" t="s">
        <v>82</v>
      </c>
      <c r="C67" s="27">
        <v>0</v>
      </c>
      <c r="D67" s="28">
        <v>43343</v>
      </c>
      <c r="E67" s="27">
        <v>79.430000000000007</v>
      </c>
      <c r="F67" s="27" t="s">
        <v>215</v>
      </c>
      <c r="G67" s="27" t="s">
        <v>8</v>
      </c>
      <c r="H67" s="27" t="s">
        <v>216</v>
      </c>
      <c r="I67" s="27" t="s">
        <v>77</v>
      </c>
      <c r="J67" s="27">
        <v>5</v>
      </c>
      <c r="K67" s="8" t="str">
        <f t="shared" si="1"/>
        <v>APD</v>
      </c>
    </row>
    <row r="68" spans="1:11" x14ac:dyDescent="0.25">
      <c r="A68" s="27" t="s">
        <v>83</v>
      </c>
      <c r="B68" s="27" t="s">
        <v>82</v>
      </c>
      <c r="C68" s="27">
        <v>0</v>
      </c>
      <c r="D68" s="28">
        <v>43346</v>
      </c>
      <c r="E68" s="27">
        <v>-2382.84</v>
      </c>
      <c r="F68" s="27" t="s">
        <v>217</v>
      </c>
      <c r="G68" s="27" t="s">
        <v>8</v>
      </c>
      <c r="H68" s="27" t="s">
        <v>218</v>
      </c>
      <c r="I68" s="27" t="s">
        <v>77</v>
      </c>
      <c r="J68" s="27">
        <v>2</v>
      </c>
      <c r="K68" s="8" t="str">
        <f t="shared" si="1"/>
        <v>APD</v>
      </c>
    </row>
    <row r="69" spans="1:11" x14ac:dyDescent="0.25">
      <c r="A69" s="27" t="s">
        <v>83</v>
      </c>
      <c r="B69" s="27" t="s">
        <v>82</v>
      </c>
      <c r="C69" s="27">
        <v>0</v>
      </c>
      <c r="D69" s="28">
        <v>43353</v>
      </c>
      <c r="E69" s="27">
        <v>476.57</v>
      </c>
      <c r="F69" s="27" t="s">
        <v>219</v>
      </c>
      <c r="G69" s="27" t="s">
        <v>8</v>
      </c>
      <c r="H69" s="27" t="s">
        <v>220</v>
      </c>
      <c r="I69" s="27" t="s">
        <v>77</v>
      </c>
      <c r="J69" s="27">
        <v>2</v>
      </c>
      <c r="K69" s="8" t="str">
        <f t="shared" si="1"/>
        <v>APD</v>
      </c>
    </row>
    <row r="70" spans="1:11" x14ac:dyDescent="0.25">
      <c r="A70" s="27" t="s">
        <v>83</v>
      </c>
      <c r="B70" s="27" t="s">
        <v>82</v>
      </c>
      <c r="C70" s="27">
        <v>0</v>
      </c>
      <c r="D70" s="28">
        <v>43354</v>
      </c>
      <c r="E70" s="27">
        <v>1111.99</v>
      </c>
      <c r="F70" s="27" t="s">
        <v>221</v>
      </c>
      <c r="G70" s="27" t="s">
        <v>8</v>
      </c>
      <c r="H70" s="27" t="s">
        <v>222</v>
      </c>
      <c r="I70" s="27" t="s">
        <v>77</v>
      </c>
      <c r="J70" s="27">
        <v>2</v>
      </c>
      <c r="K70" s="8" t="str">
        <f t="shared" si="1"/>
        <v>APD</v>
      </c>
    </row>
    <row r="71" spans="1:11" x14ac:dyDescent="0.25">
      <c r="A71" s="27" t="s">
        <v>83</v>
      </c>
      <c r="B71" s="27" t="s">
        <v>82</v>
      </c>
      <c r="C71" s="27">
        <v>0</v>
      </c>
      <c r="D71" s="28">
        <v>43355</v>
      </c>
      <c r="E71" s="27">
        <v>12629.07</v>
      </c>
      <c r="F71" s="27" t="s">
        <v>223</v>
      </c>
      <c r="G71" s="27" t="s">
        <v>8</v>
      </c>
      <c r="H71" s="27" t="s">
        <v>224</v>
      </c>
      <c r="I71" s="27" t="s">
        <v>77</v>
      </c>
      <c r="J71" s="27">
        <v>1</v>
      </c>
      <c r="K71" s="8" t="str">
        <f t="shared" si="1"/>
        <v>APD</v>
      </c>
    </row>
    <row r="72" spans="1:11" x14ac:dyDescent="0.25">
      <c r="A72" s="27" t="s">
        <v>83</v>
      </c>
      <c r="B72" s="27" t="s">
        <v>82</v>
      </c>
      <c r="C72" s="27">
        <v>0</v>
      </c>
      <c r="D72" s="28">
        <v>43355</v>
      </c>
      <c r="E72" s="27">
        <v>-1826.85</v>
      </c>
      <c r="F72" s="27" t="s">
        <v>225</v>
      </c>
      <c r="G72" s="27" t="s">
        <v>8</v>
      </c>
      <c r="H72" s="27" t="s">
        <v>226</v>
      </c>
      <c r="I72" s="27" t="s">
        <v>77</v>
      </c>
      <c r="J72" s="27">
        <v>4</v>
      </c>
      <c r="K72" s="8" t="str">
        <f t="shared" si="1"/>
        <v>APD</v>
      </c>
    </row>
    <row r="73" spans="1:11" x14ac:dyDescent="0.25">
      <c r="A73" s="27" t="s">
        <v>83</v>
      </c>
      <c r="B73" s="27" t="s">
        <v>82</v>
      </c>
      <c r="C73" s="27">
        <v>0</v>
      </c>
      <c r="D73" s="28">
        <v>43360</v>
      </c>
      <c r="E73" s="27">
        <v>51072.28</v>
      </c>
      <c r="F73" s="27" t="s">
        <v>227</v>
      </c>
      <c r="G73" s="27" t="s">
        <v>8</v>
      </c>
      <c r="H73" s="27" t="s">
        <v>228</v>
      </c>
      <c r="I73" s="27" t="s">
        <v>77</v>
      </c>
      <c r="J73" s="27">
        <v>1</v>
      </c>
      <c r="K73" s="8" t="str">
        <f t="shared" si="1"/>
        <v>APD</v>
      </c>
    </row>
    <row r="74" spans="1:11" x14ac:dyDescent="0.25">
      <c r="A74" s="27" t="s">
        <v>83</v>
      </c>
      <c r="B74" s="27" t="s">
        <v>82</v>
      </c>
      <c r="C74" s="27">
        <v>0</v>
      </c>
      <c r="D74" s="28">
        <v>43360</v>
      </c>
      <c r="E74" s="27">
        <v>-19857.03</v>
      </c>
      <c r="F74" s="27" t="s">
        <v>229</v>
      </c>
      <c r="G74" s="27" t="s">
        <v>8</v>
      </c>
      <c r="H74" s="27" t="s">
        <v>230</v>
      </c>
      <c r="I74" s="27" t="s">
        <v>77</v>
      </c>
      <c r="J74" s="27">
        <v>4</v>
      </c>
      <c r="K74" s="8" t="str">
        <f t="shared" si="1"/>
        <v>APD</v>
      </c>
    </row>
    <row r="75" spans="1:11" x14ac:dyDescent="0.25">
      <c r="A75" s="27" t="s">
        <v>83</v>
      </c>
      <c r="B75" s="27" t="s">
        <v>82</v>
      </c>
      <c r="C75" s="27">
        <v>0</v>
      </c>
      <c r="D75" s="28">
        <v>43360</v>
      </c>
      <c r="E75" s="27">
        <v>-3335.98</v>
      </c>
      <c r="F75" s="27" t="s">
        <v>231</v>
      </c>
      <c r="G75" s="27" t="s">
        <v>8</v>
      </c>
      <c r="H75" s="27" t="s">
        <v>232</v>
      </c>
      <c r="I75" s="27" t="s">
        <v>77</v>
      </c>
      <c r="J75" s="27">
        <v>5</v>
      </c>
      <c r="K75" s="8" t="str">
        <f t="shared" si="1"/>
        <v>APD</v>
      </c>
    </row>
    <row r="76" spans="1:11" x14ac:dyDescent="0.25">
      <c r="A76" s="27" t="s">
        <v>83</v>
      </c>
      <c r="B76" s="27" t="s">
        <v>82</v>
      </c>
      <c r="C76" s="27">
        <v>0</v>
      </c>
      <c r="D76" s="28">
        <v>43360</v>
      </c>
      <c r="E76" s="27">
        <v>3256.56</v>
      </c>
      <c r="F76" s="27" t="s">
        <v>233</v>
      </c>
      <c r="G76" s="27" t="s">
        <v>8</v>
      </c>
      <c r="H76" s="27" t="s">
        <v>234</v>
      </c>
      <c r="I76" s="27" t="s">
        <v>77</v>
      </c>
      <c r="J76" s="27">
        <v>6</v>
      </c>
      <c r="K76" s="8" t="str">
        <f t="shared" si="1"/>
        <v>APD</v>
      </c>
    </row>
    <row r="77" spans="1:11" x14ac:dyDescent="0.25">
      <c r="A77" s="27" t="s">
        <v>83</v>
      </c>
      <c r="B77" s="27" t="s">
        <v>82</v>
      </c>
      <c r="C77" s="27">
        <v>0</v>
      </c>
      <c r="D77" s="28">
        <v>43361</v>
      </c>
      <c r="E77" s="27">
        <v>-31612.39</v>
      </c>
      <c r="F77" s="27" t="s">
        <v>235</v>
      </c>
      <c r="G77" s="27" t="s">
        <v>8</v>
      </c>
      <c r="H77" s="27" t="s">
        <v>236</v>
      </c>
      <c r="I77" s="27" t="s">
        <v>77</v>
      </c>
      <c r="J77" s="27">
        <v>1</v>
      </c>
      <c r="K77" s="8" t="str">
        <f t="shared" si="1"/>
        <v>APD</v>
      </c>
    </row>
    <row r="78" spans="1:11" x14ac:dyDescent="0.25">
      <c r="A78" s="27" t="s">
        <v>83</v>
      </c>
      <c r="B78" s="27" t="s">
        <v>82</v>
      </c>
      <c r="C78" s="27">
        <v>0</v>
      </c>
      <c r="D78" s="28">
        <v>43361</v>
      </c>
      <c r="E78" s="27">
        <v>158.85</v>
      </c>
      <c r="F78" s="27" t="s">
        <v>237</v>
      </c>
      <c r="G78" s="27" t="s">
        <v>8</v>
      </c>
      <c r="H78" s="27" t="s">
        <v>238</v>
      </c>
      <c r="I78" s="27" t="s">
        <v>77</v>
      </c>
      <c r="J78" s="27">
        <v>2</v>
      </c>
      <c r="K78" s="8" t="str">
        <f t="shared" si="1"/>
        <v>APD</v>
      </c>
    </row>
    <row r="79" spans="1:11" x14ac:dyDescent="0.25">
      <c r="A79" s="27" t="s">
        <v>83</v>
      </c>
      <c r="B79" s="27" t="s">
        <v>82</v>
      </c>
      <c r="C79" s="27">
        <v>0</v>
      </c>
      <c r="D79" s="28">
        <v>43362</v>
      </c>
      <c r="E79" s="27">
        <v>-12073.07</v>
      </c>
      <c r="F79" s="27" t="s">
        <v>239</v>
      </c>
      <c r="G79" s="27" t="s">
        <v>8</v>
      </c>
      <c r="H79" s="27" t="s">
        <v>240</v>
      </c>
      <c r="I79" s="27" t="s">
        <v>77</v>
      </c>
      <c r="J79" s="27">
        <v>2</v>
      </c>
      <c r="K79" s="8" t="str">
        <f t="shared" si="1"/>
        <v>APD</v>
      </c>
    </row>
    <row r="80" spans="1:11" x14ac:dyDescent="0.25">
      <c r="A80" s="27" t="s">
        <v>83</v>
      </c>
      <c r="B80" s="27" t="s">
        <v>82</v>
      </c>
      <c r="C80" s="27">
        <v>0</v>
      </c>
      <c r="D80" s="28">
        <v>43371</v>
      </c>
      <c r="E80" s="27">
        <v>79.430000000000007</v>
      </c>
      <c r="F80" s="27" t="s">
        <v>241</v>
      </c>
      <c r="G80" s="27" t="s">
        <v>8</v>
      </c>
      <c r="H80" s="27" t="s">
        <v>242</v>
      </c>
      <c r="I80" s="27" t="s">
        <v>77</v>
      </c>
      <c r="J80" s="27">
        <v>1</v>
      </c>
      <c r="K80" s="8" t="str">
        <f t="shared" si="1"/>
        <v>APD</v>
      </c>
    </row>
    <row r="81" spans="1:11" x14ac:dyDescent="0.25">
      <c r="A81" s="27" t="s">
        <v>83</v>
      </c>
      <c r="B81" s="27" t="s">
        <v>82</v>
      </c>
      <c r="C81" s="27">
        <v>0</v>
      </c>
      <c r="D81" s="28">
        <v>43374</v>
      </c>
      <c r="E81" s="27">
        <v>1270.8499999999999</v>
      </c>
      <c r="F81" s="27" t="s">
        <v>243</v>
      </c>
      <c r="G81" s="27" t="s">
        <v>8</v>
      </c>
      <c r="H81" s="27" t="s">
        <v>244</v>
      </c>
      <c r="I81" s="27" t="s">
        <v>77</v>
      </c>
      <c r="J81" s="27">
        <v>2</v>
      </c>
      <c r="K81" s="8" t="str">
        <f t="shared" si="1"/>
        <v>APD</v>
      </c>
    </row>
    <row r="82" spans="1:11" x14ac:dyDescent="0.25">
      <c r="A82" s="27" t="s">
        <v>83</v>
      </c>
      <c r="B82" s="27" t="s">
        <v>82</v>
      </c>
      <c r="C82" s="27">
        <v>0</v>
      </c>
      <c r="D82" s="28">
        <v>43382</v>
      </c>
      <c r="E82" s="27">
        <v>-1270.8499999999999</v>
      </c>
      <c r="F82" s="27" t="s">
        <v>245</v>
      </c>
      <c r="G82" s="27" t="s">
        <v>8</v>
      </c>
      <c r="H82" s="27" t="s">
        <v>246</v>
      </c>
      <c r="I82" s="27" t="s">
        <v>77</v>
      </c>
      <c r="J82" s="27">
        <v>2</v>
      </c>
      <c r="K82" s="8" t="str">
        <f t="shared" si="1"/>
        <v>APD</v>
      </c>
    </row>
    <row r="83" spans="1:11" x14ac:dyDescent="0.25">
      <c r="A83" s="27" t="s">
        <v>83</v>
      </c>
      <c r="B83" s="27" t="s">
        <v>82</v>
      </c>
      <c r="C83" s="27">
        <v>0</v>
      </c>
      <c r="D83" s="28">
        <v>43384</v>
      </c>
      <c r="E83" s="27">
        <v>555.99</v>
      </c>
      <c r="F83" s="27" t="s">
        <v>247</v>
      </c>
      <c r="G83" s="27" t="s">
        <v>8</v>
      </c>
      <c r="H83" s="27" t="s">
        <v>248</v>
      </c>
      <c r="I83" s="27" t="s">
        <v>77</v>
      </c>
      <c r="J83" s="27">
        <v>3</v>
      </c>
      <c r="K83" s="8" t="str">
        <f t="shared" si="1"/>
        <v>APD</v>
      </c>
    </row>
    <row r="84" spans="1:11" x14ac:dyDescent="0.25">
      <c r="A84" s="27" t="s">
        <v>83</v>
      </c>
      <c r="B84" s="27" t="s">
        <v>82</v>
      </c>
      <c r="C84" s="27">
        <v>0</v>
      </c>
      <c r="D84" s="28">
        <v>43389</v>
      </c>
      <c r="E84" s="27">
        <v>556</v>
      </c>
      <c r="F84" s="27" t="s">
        <v>249</v>
      </c>
      <c r="G84" s="27" t="s">
        <v>8</v>
      </c>
      <c r="H84" s="27" t="s">
        <v>250</v>
      </c>
      <c r="I84" s="27" t="s">
        <v>77</v>
      </c>
      <c r="J84" s="27">
        <v>2</v>
      </c>
      <c r="K84" s="8" t="str">
        <f t="shared" si="1"/>
        <v>APD</v>
      </c>
    </row>
    <row r="85" spans="1:11" x14ac:dyDescent="0.25">
      <c r="A85" s="27" t="s">
        <v>83</v>
      </c>
      <c r="B85" s="27" t="s">
        <v>82</v>
      </c>
      <c r="C85" s="27">
        <v>0</v>
      </c>
      <c r="D85" s="28">
        <v>43391</v>
      </c>
      <c r="E85" s="27">
        <v>-714.85</v>
      </c>
      <c r="F85" s="27" t="s">
        <v>251</v>
      </c>
      <c r="G85" s="27" t="s">
        <v>8</v>
      </c>
      <c r="H85" s="27" t="s">
        <v>252</v>
      </c>
      <c r="I85" s="27" t="s">
        <v>77</v>
      </c>
      <c r="J85" s="27">
        <v>2</v>
      </c>
      <c r="K85" s="8" t="str">
        <f t="shared" si="1"/>
        <v>APD</v>
      </c>
    </row>
    <row r="86" spans="1:11" x14ac:dyDescent="0.25">
      <c r="A86" s="27" t="s">
        <v>83</v>
      </c>
      <c r="B86" s="27" t="s">
        <v>82</v>
      </c>
      <c r="C86" s="27">
        <v>0</v>
      </c>
      <c r="D86" s="28">
        <v>43391</v>
      </c>
      <c r="E86" s="27">
        <v>238.28</v>
      </c>
      <c r="F86" s="27" t="s">
        <v>253</v>
      </c>
      <c r="G86" s="27" t="s">
        <v>8</v>
      </c>
      <c r="H86" s="27" t="s">
        <v>254</v>
      </c>
      <c r="I86" s="27" t="s">
        <v>77</v>
      </c>
      <c r="J86" s="27">
        <v>3</v>
      </c>
      <c r="K86" s="8" t="str">
        <f t="shared" si="1"/>
        <v>APD</v>
      </c>
    </row>
    <row r="87" spans="1:11" x14ac:dyDescent="0.25">
      <c r="A87" s="27" t="s">
        <v>83</v>
      </c>
      <c r="B87" s="27" t="s">
        <v>82</v>
      </c>
      <c r="C87" s="27">
        <v>0</v>
      </c>
      <c r="D87" s="28">
        <v>43391</v>
      </c>
      <c r="E87" s="27">
        <v>556</v>
      </c>
      <c r="F87" s="27" t="s">
        <v>255</v>
      </c>
      <c r="G87" s="27" t="s">
        <v>8</v>
      </c>
      <c r="H87" s="27" t="s">
        <v>256</v>
      </c>
      <c r="I87" s="27" t="s">
        <v>77</v>
      </c>
      <c r="J87" s="27">
        <v>4</v>
      </c>
      <c r="K87" s="8" t="str">
        <f t="shared" si="1"/>
        <v>APD</v>
      </c>
    </row>
    <row r="88" spans="1:11" x14ac:dyDescent="0.25">
      <c r="A88" s="27" t="s">
        <v>83</v>
      </c>
      <c r="B88" s="27" t="s">
        <v>82</v>
      </c>
      <c r="C88" s="27">
        <v>0</v>
      </c>
      <c r="D88" s="28">
        <v>43392</v>
      </c>
      <c r="E88" s="27">
        <v>-953.14</v>
      </c>
      <c r="F88" s="27" t="s">
        <v>257</v>
      </c>
      <c r="G88" s="27" t="s">
        <v>8</v>
      </c>
      <c r="H88" s="27" t="s">
        <v>258</v>
      </c>
      <c r="I88" s="27" t="s">
        <v>77</v>
      </c>
      <c r="J88" s="27">
        <v>2</v>
      </c>
      <c r="K88" s="8" t="str">
        <f t="shared" si="1"/>
        <v>APD</v>
      </c>
    </row>
    <row r="89" spans="1:11" x14ac:dyDescent="0.25">
      <c r="A89" s="27" t="s">
        <v>83</v>
      </c>
      <c r="B89" s="27" t="s">
        <v>82</v>
      </c>
      <c r="C89" s="27">
        <v>0</v>
      </c>
      <c r="D89" s="28">
        <v>43402</v>
      </c>
      <c r="E89" s="27">
        <v>14694.2</v>
      </c>
      <c r="F89" s="27" t="s">
        <v>259</v>
      </c>
      <c r="G89" s="27" t="s">
        <v>8</v>
      </c>
      <c r="H89" s="27" t="s">
        <v>260</v>
      </c>
      <c r="I89" s="27" t="s">
        <v>77</v>
      </c>
      <c r="J89" s="27">
        <v>1</v>
      </c>
      <c r="K89" s="8" t="str">
        <f t="shared" si="1"/>
        <v>APD</v>
      </c>
    </row>
    <row r="223" spans="1:1" x14ac:dyDescent="0.25">
      <c r="A223">
        <f ca="1">A2:A223</f>
        <v>0</v>
      </c>
    </row>
  </sheetData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U23"/>
  <sheetViews>
    <sheetView topLeftCell="I1" workbookViewId="0">
      <selection activeCell="N26" sqref="N26"/>
    </sheetView>
  </sheetViews>
  <sheetFormatPr defaultColWidth="16" defaultRowHeight="15" x14ac:dyDescent="0.25"/>
  <cols>
    <col min="1" max="4" width="16" style="8"/>
    <col min="5" max="5" width="16" style="28"/>
    <col min="6" max="6" width="30.140625" style="8" bestFit="1" customWidth="1"/>
    <col min="7" max="9" width="16" style="8"/>
    <col min="10" max="10" width="16" style="28"/>
    <col min="11" max="12" width="16" style="8"/>
    <col min="13" max="13" width="16" style="28"/>
    <col min="14" max="18" width="16" style="8"/>
    <col min="19" max="19" width="34.140625" style="8" bestFit="1" customWidth="1"/>
    <col min="20" max="20" width="37.42578125" style="8" customWidth="1"/>
    <col min="21" max="16384" width="16" style="8"/>
  </cols>
  <sheetData>
    <row r="1" spans="1:21" x14ac:dyDescent="0.25">
      <c r="A1" s="9" t="s">
        <v>10</v>
      </c>
      <c r="B1" s="9" t="s">
        <v>6</v>
      </c>
      <c r="C1" s="9" t="s">
        <v>11</v>
      </c>
      <c r="D1" s="9" t="s">
        <v>12</v>
      </c>
      <c r="E1" s="24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24" t="s">
        <v>23</v>
      </c>
      <c r="K1" s="9" t="s">
        <v>24</v>
      </c>
      <c r="L1" s="9" t="s">
        <v>3</v>
      </c>
      <c r="M1" s="24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39</v>
      </c>
      <c r="T1" s="20" t="s">
        <v>261</v>
      </c>
      <c r="U1" s="22" t="s">
        <v>262</v>
      </c>
    </row>
    <row r="2" spans="1:21" x14ac:dyDescent="0.25">
      <c r="A2" s="8">
        <f>ROW()</f>
        <v>2</v>
      </c>
      <c r="B2" s="5" t="s">
        <v>78</v>
      </c>
      <c r="C2" s="5">
        <f>A2</f>
        <v>2</v>
      </c>
      <c r="D2" s="5">
        <v>1</v>
      </c>
      <c r="E2" s="25">
        <v>42737</v>
      </c>
      <c r="F2" s="5" t="str">
        <f>_xlfn.CONCAT(L2,"-",G2)</f>
        <v>ACCOUNTS-FIRSTDIR-EXT</v>
      </c>
      <c r="G2" s="8" t="s">
        <v>264</v>
      </c>
      <c r="H2" s="8" t="s">
        <v>49</v>
      </c>
      <c r="I2" s="5">
        <v>0</v>
      </c>
      <c r="J2" s="25" t="s">
        <v>55</v>
      </c>
      <c r="K2" s="8">
        <v>0</v>
      </c>
      <c r="L2" s="8" t="s">
        <v>263</v>
      </c>
      <c r="M2" s="28">
        <v>43102</v>
      </c>
      <c r="O2" s="8" t="s">
        <v>76</v>
      </c>
      <c r="P2" s="8" t="s">
        <v>8</v>
      </c>
      <c r="R2" s="8">
        <v>0</v>
      </c>
      <c r="S2" s="8" t="str">
        <f ca="1">_xlfn.CONCAT(U2," ",F2)</f>
        <v>26251155 ACCOUNTS-FIRSTDIR-EXT</v>
      </c>
      <c r="T2" s="27" t="str">
        <f ca="1">S2</f>
        <v>26251155 ACCOUNTS-FIRSTDIR-EXT</v>
      </c>
      <c r="U2" s="8">
        <f ca="1">RANDBETWEEN(0,99999999)</f>
        <v>26251155</v>
      </c>
    </row>
    <row r="3" spans="1:21" x14ac:dyDescent="0.25">
      <c r="A3" s="8">
        <f>ROW()</f>
        <v>3</v>
      </c>
      <c r="B3" s="5" t="s">
        <v>78</v>
      </c>
      <c r="C3" s="5">
        <f t="shared" ref="C3:C23" si="0">A3</f>
        <v>3</v>
      </c>
      <c r="D3" s="5">
        <v>1</v>
      </c>
      <c r="E3" s="25">
        <v>42737</v>
      </c>
      <c r="F3" s="5" t="str">
        <f t="shared" ref="F3:F23" si="1">_xlfn.CONCAT(L3,"-",G3)</f>
        <v>ACCOUNTS-SANTANDE-EXT</v>
      </c>
      <c r="G3" s="8" t="s">
        <v>265</v>
      </c>
      <c r="H3" s="8" t="str">
        <f>H2</f>
        <v>DEPO</v>
      </c>
      <c r="I3" s="8">
        <f>I2</f>
        <v>0</v>
      </c>
      <c r="J3" s="28" t="str">
        <f>J2</f>
        <v>GBP</v>
      </c>
      <c r="K3" s="8">
        <f>K2</f>
        <v>0</v>
      </c>
      <c r="L3" s="8" t="s">
        <v>263</v>
      </c>
      <c r="M3" s="28">
        <f>M2</f>
        <v>43102</v>
      </c>
      <c r="N3" s="28"/>
      <c r="O3" s="28" t="str">
        <f>O2</f>
        <v>1M</v>
      </c>
      <c r="P3" s="28" t="str">
        <f>P2</f>
        <v>Fixed</v>
      </c>
      <c r="Q3" s="28"/>
      <c r="R3" s="8">
        <f>R2</f>
        <v>0</v>
      </c>
      <c r="S3" s="8" t="str">
        <f t="shared" ref="S3:S23" ca="1" si="2">_xlfn.CONCAT(U3," ",F3)</f>
        <v>85898254 ACCOUNTS-SANTANDE-EXT</v>
      </c>
      <c r="T3" s="27" t="str">
        <f t="shared" ref="T3:T23" ca="1" si="3">S3</f>
        <v>85898254 ACCOUNTS-SANTANDE-EXT</v>
      </c>
      <c r="U3" s="8">
        <f t="shared" ref="U3:U23" ca="1" si="4">RANDBETWEEN(0,99999999)</f>
        <v>85898254</v>
      </c>
    </row>
    <row r="4" spans="1:21" x14ac:dyDescent="0.25">
      <c r="A4" s="8">
        <f>ROW()</f>
        <v>4</v>
      </c>
      <c r="B4" s="5" t="s">
        <v>78</v>
      </c>
      <c r="C4" s="5">
        <f t="shared" si="0"/>
        <v>4</v>
      </c>
      <c r="D4" s="5">
        <f t="shared" ref="D4:D23" si="5">D3</f>
        <v>1</v>
      </c>
      <c r="E4" s="26">
        <f t="shared" ref="E4:E23" si="6">E3</f>
        <v>42737</v>
      </c>
      <c r="F4" s="5" t="str">
        <f t="shared" si="1"/>
        <v>ACCOUNTS-SMILE-EXT</v>
      </c>
      <c r="G4" s="8" t="s">
        <v>266</v>
      </c>
      <c r="H4" s="8" t="str">
        <f t="shared" ref="H4:H23" si="7">H3</f>
        <v>DEPO</v>
      </c>
      <c r="I4" s="8">
        <f t="shared" ref="I4:I23" si="8">I3</f>
        <v>0</v>
      </c>
      <c r="J4" s="28" t="str">
        <f t="shared" ref="J4:J23" si="9">J3</f>
        <v>GBP</v>
      </c>
      <c r="K4" s="8">
        <f t="shared" ref="K4:K23" si="10">K3</f>
        <v>0</v>
      </c>
      <c r="L4" s="8" t="s">
        <v>263</v>
      </c>
      <c r="M4" s="28">
        <f t="shared" ref="M4:M23" si="11">M3</f>
        <v>43102</v>
      </c>
      <c r="N4" s="28"/>
      <c r="O4" s="28" t="str">
        <f t="shared" ref="O4:O23" si="12">O3</f>
        <v>1M</v>
      </c>
      <c r="P4" s="28" t="str">
        <f t="shared" ref="P4:P23" si="13">P3</f>
        <v>Fixed</v>
      </c>
      <c r="Q4" s="28"/>
      <c r="R4" s="8">
        <f t="shared" ref="R4:R23" si="14">R3</f>
        <v>0</v>
      </c>
      <c r="S4" s="8" t="str">
        <f t="shared" ca="1" si="2"/>
        <v>12789535 ACCOUNTS-SMILE-EXT</v>
      </c>
      <c r="T4" s="27" t="str">
        <f t="shared" ca="1" si="3"/>
        <v>12789535 ACCOUNTS-SMILE-EXT</v>
      </c>
      <c r="U4" s="8">
        <f t="shared" ca="1" si="4"/>
        <v>12789535</v>
      </c>
    </row>
    <row r="5" spans="1:21" x14ac:dyDescent="0.25">
      <c r="A5" s="8">
        <f>ROW()</f>
        <v>5</v>
      </c>
      <c r="B5" s="5" t="s">
        <v>78</v>
      </c>
      <c r="C5" s="5">
        <f t="shared" si="0"/>
        <v>5</v>
      </c>
      <c r="D5" s="5">
        <f t="shared" si="5"/>
        <v>1</v>
      </c>
      <c r="E5" s="26">
        <f t="shared" si="6"/>
        <v>42737</v>
      </c>
      <c r="F5" s="5" t="str">
        <f t="shared" si="1"/>
        <v>ACCOUNTS-NATIONWI-EXT</v>
      </c>
      <c r="G5" s="8" t="s">
        <v>267</v>
      </c>
      <c r="H5" s="8" t="str">
        <f t="shared" si="7"/>
        <v>DEPO</v>
      </c>
      <c r="I5" s="8">
        <f t="shared" si="8"/>
        <v>0</v>
      </c>
      <c r="J5" s="28" t="str">
        <f t="shared" si="9"/>
        <v>GBP</v>
      </c>
      <c r="K5" s="8">
        <f t="shared" si="10"/>
        <v>0</v>
      </c>
      <c r="L5" s="8" t="s">
        <v>263</v>
      </c>
      <c r="M5" s="28">
        <f t="shared" si="11"/>
        <v>43102</v>
      </c>
      <c r="N5" s="28"/>
      <c r="O5" s="28" t="str">
        <f t="shared" si="12"/>
        <v>1M</v>
      </c>
      <c r="P5" s="28" t="str">
        <f t="shared" si="13"/>
        <v>Fixed</v>
      </c>
      <c r="Q5" s="28"/>
      <c r="R5" s="8">
        <f t="shared" si="14"/>
        <v>0</v>
      </c>
      <c r="S5" s="8" t="str">
        <f t="shared" ca="1" si="2"/>
        <v>56787506 ACCOUNTS-NATIONWI-EXT</v>
      </c>
      <c r="T5" s="27" t="str">
        <f t="shared" ca="1" si="3"/>
        <v>56787506 ACCOUNTS-NATIONWI-EXT</v>
      </c>
      <c r="U5" s="8">
        <f t="shared" ca="1" si="4"/>
        <v>56787506</v>
      </c>
    </row>
    <row r="6" spans="1:21" x14ac:dyDescent="0.25">
      <c r="A6" s="8">
        <f>ROW()</f>
        <v>6</v>
      </c>
      <c r="B6" s="5" t="s">
        <v>78</v>
      </c>
      <c r="C6" s="5">
        <f t="shared" si="0"/>
        <v>6</v>
      </c>
      <c r="D6" s="5">
        <f t="shared" si="5"/>
        <v>1</v>
      </c>
      <c r="E6" s="26">
        <f t="shared" si="6"/>
        <v>42737</v>
      </c>
      <c r="F6" s="5" t="str">
        <f t="shared" si="1"/>
        <v>ACCOUNTS-THECOOP-EXT</v>
      </c>
      <c r="G6" s="8" t="s">
        <v>268</v>
      </c>
      <c r="H6" s="8" t="str">
        <f t="shared" si="7"/>
        <v>DEPO</v>
      </c>
      <c r="I6" s="8">
        <f t="shared" si="8"/>
        <v>0</v>
      </c>
      <c r="J6" s="28" t="str">
        <f t="shared" si="9"/>
        <v>GBP</v>
      </c>
      <c r="K6" s="8">
        <f t="shared" si="10"/>
        <v>0</v>
      </c>
      <c r="L6" s="8" t="s">
        <v>263</v>
      </c>
      <c r="M6" s="28">
        <f t="shared" si="11"/>
        <v>43102</v>
      </c>
      <c r="N6" s="28"/>
      <c r="O6" s="28" t="str">
        <f t="shared" si="12"/>
        <v>1M</v>
      </c>
      <c r="P6" s="28" t="str">
        <f t="shared" si="13"/>
        <v>Fixed</v>
      </c>
      <c r="Q6" s="28"/>
      <c r="R6" s="8">
        <f t="shared" si="14"/>
        <v>0</v>
      </c>
      <c r="S6" s="8" t="str">
        <f t="shared" ca="1" si="2"/>
        <v>88916333 ACCOUNTS-THECOOP-EXT</v>
      </c>
      <c r="T6" s="27" t="str">
        <f t="shared" ca="1" si="3"/>
        <v>88916333 ACCOUNTS-THECOOP-EXT</v>
      </c>
      <c r="U6" s="8">
        <f t="shared" ca="1" si="4"/>
        <v>88916333</v>
      </c>
    </row>
    <row r="7" spans="1:21" x14ac:dyDescent="0.25">
      <c r="A7" s="8">
        <f>ROW()</f>
        <v>7</v>
      </c>
      <c r="B7" s="5" t="s">
        <v>78</v>
      </c>
      <c r="C7" s="5">
        <f t="shared" si="0"/>
        <v>7</v>
      </c>
      <c r="D7" s="5">
        <f t="shared" si="5"/>
        <v>1</v>
      </c>
      <c r="E7" s="26">
        <f t="shared" si="6"/>
        <v>42737</v>
      </c>
      <c r="F7" s="5" t="str">
        <f t="shared" si="1"/>
        <v>ACCOUNTS-HALIFAX -EXT</v>
      </c>
      <c r="G7" s="8" t="s">
        <v>269</v>
      </c>
      <c r="H7" s="8" t="str">
        <f t="shared" si="7"/>
        <v>DEPO</v>
      </c>
      <c r="I7" s="8">
        <f t="shared" si="8"/>
        <v>0</v>
      </c>
      <c r="J7" s="28" t="str">
        <f t="shared" si="9"/>
        <v>GBP</v>
      </c>
      <c r="K7" s="8">
        <f t="shared" si="10"/>
        <v>0</v>
      </c>
      <c r="L7" s="8" t="s">
        <v>263</v>
      </c>
      <c r="M7" s="28">
        <f t="shared" si="11"/>
        <v>43102</v>
      </c>
      <c r="N7" s="28"/>
      <c r="O7" s="28" t="str">
        <f t="shared" si="12"/>
        <v>1M</v>
      </c>
      <c r="P7" s="28" t="str">
        <f t="shared" si="13"/>
        <v>Fixed</v>
      </c>
      <c r="Q7" s="28"/>
      <c r="R7" s="8">
        <f t="shared" si="14"/>
        <v>0</v>
      </c>
      <c r="S7" s="8" t="str">
        <f t="shared" ca="1" si="2"/>
        <v>27446281 ACCOUNTS-HALIFAX -EXT</v>
      </c>
      <c r="T7" s="27" t="str">
        <f t="shared" ca="1" si="3"/>
        <v>27446281 ACCOUNTS-HALIFAX -EXT</v>
      </c>
      <c r="U7" s="8">
        <f t="shared" ca="1" si="4"/>
        <v>27446281</v>
      </c>
    </row>
    <row r="8" spans="1:21" x14ac:dyDescent="0.25">
      <c r="A8" s="8">
        <f>ROW()</f>
        <v>8</v>
      </c>
      <c r="B8" s="5" t="s">
        <v>78</v>
      </c>
      <c r="C8" s="5">
        <f t="shared" si="0"/>
        <v>8</v>
      </c>
      <c r="D8" s="5">
        <f t="shared" si="5"/>
        <v>1</v>
      </c>
      <c r="E8" s="26">
        <f t="shared" si="6"/>
        <v>42737</v>
      </c>
      <c r="F8" s="5" t="str">
        <f t="shared" si="1"/>
        <v>ACCOUNTS-TSB -EXT</v>
      </c>
      <c r="G8" s="8" t="s">
        <v>270</v>
      </c>
      <c r="H8" s="8" t="str">
        <f t="shared" si="7"/>
        <v>DEPO</v>
      </c>
      <c r="I8" s="8">
        <f t="shared" si="8"/>
        <v>0</v>
      </c>
      <c r="J8" s="28" t="str">
        <f t="shared" si="9"/>
        <v>GBP</v>
      </c>
      <c r="K8" s="8">
        <f t="shared" si="10"/>
        <v>0</v>
      </c>
      <c r="L8" s="8" t="s">
        <v>263</v>
      </c>
      <c r="M8" s="28">
        <f t="shared" si="11"/>
        <v>43102</v>
      </c>
      <c r="N8" s="28"/>
      <c r="O8" s="28" t="str">
        <f t="shared" si="12"/>
        <v>1M</v>
      </c>
      <c r="P8" s="28" t="str">
        <f t="shared" si="13"/>
        <v>Fixed</v>
      </c>
      <c r="Q8" s="28"/>
      <c r="R8" s="8">
        <f t="shared" si="14"/>
        <v>0</v>
      </c>
      <c r="S8" s="8" t="str">
        <f t="shared" ca="1" si="2"/>
        <v>20302133 ACCOUNTS-TSB -EXT</v>
      </c>
      <c r="T8" s="27" t="str">
        <f t="shared" ca="1" si="3"/>
        <v>20302133 ACCOUNTS-TSB -EXT</v>
      </c>
      <c r="U8" s="8">
        <f t="shared" ca="1" si="4"/>
        <v>20302133</v>
      </c>
    </row>
    <row r="9" spans="1:21" x14ac:dyDescent="0.25">
      <c r="A9" s="8">
        <f>ROW()</f>
        <v>9</v>
      </c>
      <c r="B9" s="5" t="s">
        <v>78</v>
      </c>
      <c r="C9" s="5">
        <f t="shared" si="0"/>
        <v>9</v>
      </c>
      <c r="D9" s="5">
        <f t="shared" si="5"/>
        <v>1</v>
      </c>
      <c r="E9" s="26">
        <f t="shared" si="6"/>
        <v>42737</v>
      </c>
      <c r="F9" s="5" t="str">
        <f t="shared" si="1"/>
        <v>ACCOUNTS-BANKOFSC-EXT</v>
      </c>
      <c r="G9" s="8" t="s">
        <v>271</v>
      </c>
      <c r="H9" s="8" t="str">
        <f t="shared" si="7"/>
        <v>DEPO</v>
      </c>
      <c r="I9" s="8">
        <f t="shared" si="8"/>
        <v>0</v>
      </c>
      <c r="J9" s="28" t="str">
        <f t="shared" si="9"/>
        <v>GBP</v>
      </c>
      <c r="K9" s="8">
        <f t="shared" si="10"/>
        <v>0</v>
      </c>
      <c r="L9" s="8" t="s">
        <v>263</v>
      </c>
      <c r="M9" s="28">
        <f t="shared" si="11"/>
        <v>43102</v>
      </c>
      <c r="N9" s="28"/>
      <c r="O9" s="28" t="str">
        <f t="shared" si="12"/>
        <v>1M</v>
      </c>
      <c r="P9" s="28" t="str">
        <f t="shared" si="13"/>
        <v>Fixed</v>
      </c>
      <c r="Q9" s="28"/>
      <c r="R9" s="8">
        <f t="shared" si="14"/>
        <v>0</v>
      </c>
      <c r="S9" s="8" t="str">
        <f t="shared" ca="1" si="2"/>
        <v>54262735 ACCOUNTS-BANKOFSC-EXT</v>
      </c>
      <c r="T9" s="27" t="str">
        <f t="shared" ca="1" si="3"/>
        <v>54262735 ACCOUNTS-BANKOFSC-EXT</v>
      </c>
      <c r="U9" s="8">
        <f t="shared" ca="1" si="4"/>
        <v>54262735</v>
      </c>
    </row>
    <row r="10" spans="1:21" x14ac:dyDescent="0.25">
      <c r="A10" s="8">
        <f>ROW()</f>
        <v>10</v>
      </c>
      <c r="B10" s="5" t="s">
        <v>78</v>
      </c>
      <c r="C10" s="5">
        <f t="shared" si="0"/>
        <v>10</v>
      </c>
      <c r="D10" s="5">
        <f t="shared" si="5"/>
        <v>1</v>
      </c>
      <c r="E10" s="26">
        <f t="shared" si="6"/>
        <v>42737</v>
      </c>
      <c r="F10" s="5" t="str">
        <f t="shared" si="1"/>
        <v>ACCOUNTS-YORKSHIR-EXT</v>
      </c>
      <c r="G10" s="8" t="s">
        <v>272</v>
      </c>
      <c r="H10" s="8" t="str">
        <f t="shared" si="7"/>
        <v>DEPO</v>
      </c>
      <c r="I10" s="8">
        <f t="shared" si="8"/>
        <v>0</v>
      </c>
      <c r="J10" s="28" t="str">
        <f t="shared" si="9"/>
        <v>GBP</v>
      </c>
      <c r="K10" s="8">
        <f t="shared" si="10"/>
        <v>0</v>
      </c>
      <c r="L10" s="8" t="s">
        <v>263</v>
      </c>
      <c r="M10" s="28">
        <f t="shared" si="11"/>
        <v>43102</v>
      </c>
      <c r="N10" s="28"/>
      <c r="O10" s="28" t="str">
        <f t="shared" si="12"/>
        <v>1M</v>
      </c>
      <c r="P10" s="28" t="str">
        <f t="shared" si="13"/>
        <v>Fixed</v>
      </c>
      <c r="Q10" s="28"/>
      <c r="R10" s="8">
        <f t="shared" si="14"/>
        <v>0</v>
      </c>
      <c r="S10" s="8" t="str">
        <f t="shared" ca="1" si="2"/>
        <v>57272991 ACCOUNTS-YORKSHIR-EXT</v>
      </c>
      <c r="T10" s="27" t="str">
        <f t="shared" ca="1" si="3"/>
        <v>57272991 ACCOUNTS-YORKSHIR-EXT</v>
      </c>
      <c r="U10" s="8">
        <f t="shared" ca="1" si="4"/>
        <v>57272991</v>
      </c>
    </row>
    <row r="11" spans="1:21" x14ac:dyDescent="0.25">
      <c r="A11" s="8">
        <f>ROW()</f>
        <v>11</v>
      </c>
      <c r="B11" s="5" t="s">
        <v>78</v>
      </c>
      <c r="C11" s="5">
        <f t="shared" si="0"/>
        <v>11</v>
      </c>
      <c r="D11" s="5">
        <f t="shared" si="5"/>
        <v>1</v>
      </c>
      <c r="E11" s="26">
        <f t="shared" si="6"/>
        <v>42737</v>
      </c>
      <c r="F11" s="5" t="str">
        <f t="shared" si="1"/>
        <v>ACCOUNTS-LLOYDSBA-EXT</v>
      </c>
      <c r="G11" s="8" t="s">
        <v>273</v>
      </c>
      <c r="H11" s="8" t="str">
        <f t="shared" si="7"/>
        <v>DEPO</v>
      </c>
      <c r="I11" s="8">
        <f t="shared" si="8"/>
        <v>0</v>
      </c>
      <c r="J11" s="28" t="str">
        <f t="shared" si="9"/>
        <v>GBP</v>
      </c>
      <c r="K11" s="8">
        <f t="shared" si="10"/>
        <v>0</v>
      </c>
      <c r="L11" s="8" t="s">
        <v>263</v>
      </c>
      <c r="M11" s="28">
        <f t="shared" si="11"/>
        <v>43102</v>
      </c>
      <c r="N11" s="28"/>
      <c r="O11" s="28" t="str">
        <f t="shared" si="12"/>
        <v>1M</v>
      </c>
      <c r="P11" s="28" t="str">
        <f t="shared" si="13"/>
        <v>Fixed</v>
      </c>
      <c r="Q11" s="28"/>
      <c r="R11" s="8">
        <f t="shared" si="14"/>
        <v>0</v>
      </c>
      <c r="S11" s="8" t="str">
        <f t="shared" ca="1" si="2"/>
        <v>95887541 ACCOUNTS-LLOYDSBA-EXT</v>
      </c>
      <c r="T11" s="27" t="str">
        <f t="shared" ca="1" si="3"/>
        <v>95887541 ACCOUNTS-LLOYDSBA-EXT</v>
      </c>
      <c r="U11" s="8">
        <f t="shared" ca="1" si="4"/>
        <v>95887541</v>
      </c>
    </row>
    <row r="12" spans="1:21" x14ac:dyDescent="0.25">
      <c r="A12" s="8">
        <f>ROW()</f>
        <v>12</v>
      </c>
      <c r="B12" s="5" t="s">
        <v>78</v>
      </c>
      <c r="C12" s="5">
        <f t="shared" si="0"/>
        <v>12</v>
      </c>
      <c r="D12" s="5">
        <f t="shared" si="5"/>
        <v>1</v>
      </c>
      <c r="E12" s="26">
        <f t="shared" si="6"/>
        <v>42737</v>
      </c>
      <c r="F12" s="5" t="str">
        <f t="shared" si="1"/>
        <v>ACCOUNTS-HSBC -EXT</v>
      </c>
      <c r="G12" s="8" t="s">
        <v>274</v>
      </c>
      <c r="H12" s="8" t="str">
        <f t="shared" si="7"/>
        <v>DEPO</v>
      </c>
      <c r="I12" s="8">
        <f t="shared" si="8"/>
        <v>0</v>
      </c>
      <c r="J12" s="28" t="str">
        <f t="shared" si="9"/>
        <v>GBP</v>
      </c>
      <c r="K12" s="8">
        <f t="shared" si="10"/>
        <v>0</v>
      </c>
      <c r="L12" s="8" t="s">
        <v>263</v>
      </c>
      <c r="M12" s="28">
        <f t="shared" si="11"/>
        <v>43102</v>
      </c>
      <c r="N12" s="28"/>
      <c r="O12" s="28" t="str">
        <f t="shared" si="12"/>
        <v>1M</v>
      </c>
      <c r="P12" s="28" t="str">
        <f t="shared" si="13"/>
        <v>Fixed</v>
      </c>
      <c r="Q12" s="28"/>
      <c r="R12" s="8">
        <f t="shared" si="14"/>
        <v>0</v>
      </c>
      <c r="S12" s="8" t="str">
        <f t="shared" ca="1" si="2"/>
        <v>27343561 ACCOUNTS-HSBC -EXT</v>
      </c>
      <c r="T12" s="27" t="str">
        <f t="shared" ca="1" si="3"/>
        <v>27343561 ACCOUNTS-HSBC -EXT</v>
      </c>
      <c r="U12" s="8">
        <f t="shared" ca="1" si="4"/>
        <v>27343561</v>
      </c>
    </row>
    <row r="13" spans="1:21" x14ac:dyDescent="0.25">
      <c r="A13" s="8">
        <f>ROW()</f>
        <v>13</v>
      </c>
      <c r="B13" s="5" t="s">
        <v>78</v>
      </c>
      <c r="C13" s="5">
        <f t="shared" si="0"/>
        <v>13</v>
      </c>
      <c r="D13" s="5">
        <f t="shared" si="5"/>
        <v>1</v>
      </c>
      <c r="E13" s="26">
        <f t="shared" si="6"/>
        <v>42737</v>
      </c>
      <c r="F13" s="5" t="str">
        <f t="shared" si="1"/>
        <v>RECON-FIRSTDIR-EXT</v>
      </c>
      <c r="G13" s="8" t="s">
        <v>264</v>
      </c>
      <c r="H13" s="8" t="str">
        <f t="shared" si="7"/>
        <v>DEPO</v>
      </c>
      <c r="I13" s="8">
        <f t="shared" si="8"/>
        <v>0</v>
      </c>
      <c r="J13" s="28" t="str">
        <f t="shared" si="9"/>
        <v>GBP</v>
      </c>
      <c r="K13" s="8">
        <f t="shared" si="10"/>
        <v>0</v>
      </c>
      <c r="L13" s="8" t="s">
        <v>275</v>
      </c>
      <c r="M13" s="28">
        <f t="shared" si="11"/>
        <v>43102</v>
      </c>
      <c r="N13" s="28"/>
      <c r="O13" s="28" t="str">
        <f t="shared" si="12"/>
        <v>1M</v>
      </c>
      <c r="P13" s="28" t="str">
        <f t="shared" si="13"/>
        <v>Fixed</v>
      </c>
      <c r="Q13" s="28"/>
      <c r="R13" s="8">
        <f t="shared" si="14"/>
        <v>0</v>
      </c>
      <c r="S13" s="8" t="str">
        <f t="shared" ca="1" si="2"/>
        <v>6225927 RECON-FIRSTDIR-EXT</v>
      </c>
      <c r="T13" s="27" t="str">
        <f t="shared" ca="1" si="3"/>
        <v>6225927 RECON-FIRSTDIR-EXT</v>
      </c>
      <c r="U13" s="8">
        <f t="shared" ca="1" si="4"/>
        <v>6225927</v>
      </c>
    </row>
    <row r="14" spans="1:21" x14ac:dyDescent="0.25">
      <c r="A14" s="8">
        <f>ROW()</f>
        <v>14</v>
      </c>
      <c r="B14" s="5" t="s">
        <v>78</v>
      </c>
      <c r="C14" s="5">
        <f t="shared" si="0"/>
        <v>14</v>
      </c>
      <c r="D14" s="5">
        <f t="shared" si="5"/>
        <v>1</v>
      </c>
      <c r="E14" s="26">
        <f t="shared" si="6"/>
        <v>42737</v>
      </c>
      <c r="F14" s="5" t="str">
        <f t="shared" si="1"/>
        <v>RECON-SANTANDE-EXT</v>
      </c>
      <c r="G14" s="8" t="s">
        <v>265</v>
      </c>
      <c r="H14" s="8" t="str">
        <f t="shared" si="7"/>
        <v>DEPO</v>
      </c>
      <c r="I14" s="8">
        <f t="shared" si="8"/>
        <v>0</v>
      </c>
      <c r="J14" s="28" t="str">
        <f t="shared" si="9"/>
        <v>GBP</v>
      </c>
      <c r="K14" s="8">
        <f t="shared" si="10"/>
        <v>0</v>
      </c>
      <c r="L14" s="8" t="s">
        <v>275</v>
      </c>
      <c r="M14" s="28">
        <f t="shared" si="11"/>
        <v>43102</v>
      </c>
      <c r="N14" s="28"/>
      <c r="O14" s="28" t="str">
        <f t="shared" si="12"/>
        <v>1M</v>
      </c>
      <c r="P14" s="28" t="str">
        <f t="shared" si="13"/>
        <v>Fixed</v>
      </c>
      <c r="Q14" s="28"/>
      <c r="R14" s="8">
        <f t="shared" si="14"/>
        <v>0</v>
      </c>
      <c r="S14" s="8" t="str">
        <f t="shared" ca="1" si="2"/>
        <v>12588244 RECON-SANTANDE-EXT</v>
      </c>
      <c r="T14" s="27" t="str">
        <f t="shared" ca="1" si="3"/>
        <v>12588244 RECON-SANTANDE-EXT</v>
      </c>
      <c r="U14" s="8">
        <f t="shared" ca="1" si="4"/>
        <v>12588244</v>
      </c>
    </row>
    <row r="15" spans="1:21" x14ac:dyDescent="0.25">
      <c r="A15" s="8">
        <f>ROW()</f>
        <v>15</v>
      </c>
      <c r="B15" s="5" t="s">
        <v>78</v>
      </c>
      <c r="C15" s="5">
        <f t="shared" si="0"/>
        <v>15</v>
      </c>
      <c r="D15" s="5">
        <f t="shared" si="5"/>
        <v>1</v>
      </c>
      <c r="E15" s="26">
        <f t="shared" si="6"/>
        <v>42737</v>
      </c>
      <c r="F15" s="5" t="str">
        <f t="shared" si="1"/>
        <v>RECON-SMILE-EXT</v>
      </c>
      <c r="G15" s="8" t="s">
        <v>266</v>
      </c>
      <c r="H15" s="8" t="str">
        <f t="shared" si="7"/>
        <v>DEPO</v>
      </c>
      <c r="I15" s="8">
        <f t="shared" si="8"/>
        <v>0</v>
      </c>
      <c r="J15" s="28" t="str">
        <f t="shared" si="9"/>
        <v>GBP</v>
      </c>
      <c r="K15" s="8">
        <f t="shared" si="10"/>
        <v>0</v>
      </c>
      <c r="L15" s="8" t="s">
        <v>275</v>
      </c>
      <c r="M15" s="28">
        <f t="shared" si="11"/>
        <v>43102</v>
      </c>
      <c r="N15" s="28"/>
      <c r="O15" s="28" t="str">
        <f t="shared" si="12"/>
        <v>1M</v>
      </c>
      <c r="P15" s="28" t="str">
        <f t="shared" si="13"/>
        <v>Fixed</v>
      </c>
      <c r="Q15" s="28"/>
      <c r="R15" s="8">
        <f t="shared" si="14"/>
        <v>0</v>
      </c>
      <c r="S15" s="8" t="str">
        <f t="shared" ca="1" si="2"/>
        <v>18851643 RECON-SMILE-EXT</v>
      </c>
      <c r="T15" s="27" t="str">
        <f t="shared" ca="1" si="3"/>
        <v>18851643 RECON-SMILE-EXT</v>
      </c>
      <c r="U15" s="8">
        <f t="shared" ca="1" si="4"/>
        <v>18851643</v>
      </c>
    </row>
    <row r="16" spans="1:21" x14ac:dyDescent="0.25">
      <c r="A16" s="8">
        <f>ROW()</f>
        <v>16</v>
      </c>
      <c r="B16" s="5" t="s">
        <v>78</v>
      </c>
      <c r="C16" s="5">
        <f t="shared" si="0"/>
        <v>16</v>
      </c>
      <c r="D16" s="5">
        <f t="shared" si="5"/>
        <v>1</v>
      </c>
      <c r="E16" s="26">
        <f t="shared" si="6"/>
        <v>42737</v>
      </c>
      <c r="F16" s="5" t="str">
        <f t="shared" si="1"/>
        <v>RECON-NATIONWI-EXT</v>
      </c>
      <c r="G16" s="8" t="s">
        <v>267</v>
      </c>
      <c r="H16" s="8" t="str">
        <f t="shared" si="7"/>
        <v>DEPO</v>
      </c>
      <c r="I16" s="8">
        <f t="shared" si="8"/>
        <v>0</v>
      </c>
      <c r="J16" s="28" t="str">
        <f t="shared" si="9"/>
        <v>GBP</v>
      </c>
      <c r="K16" s="8">
        <f t="shared" si="10"/>
        <v>0</v>
      </c>
      <c r="L16" s="8" t="s">
        <v>275</v>
      </c>
      <c r="M16" s="28">
        <f t="shared" si="11"/>
        <v>43102</v>
      </c>
      <c r="N16" s="28"/>
      <c r="O16" s="28" t="str">
        <f t="shared" si="12"/>
        <v>1M</v>
      </c>
      <c r="P16" s="28" t="str">
        <f t="shared" si="13"/>
        <v>Fixed</v>
      </c>
      <c r="Q16" s="28"/>
      <c r="R16" s="8">
        <f t="shared" si="14"/>
        <v>0</v>
      </c>
      <c r="S16" s="8" t="str">
        <f t="shared" ca="1" si="2"/>
        <v>97869774 RECON-NATIONWI-EXT</v>
      </c>
      <c r="T16" s="27" t="str">
        <f t="shared" ca="1" si="3"/>
        <v>97869774 RECON-NATIONWI-EXT</v>
      </c>
      <c r="U16" s="8">
        <f t="shared" ca="1" si="4"/>
        <v>97869774</v>
      </c>
    </row>
    <row r="17" spans="1:21" x14ac:dyDescent="0.25">
      <c r="A17" s="8">
        <f>ROW()</f>
        <v>17</v>
      </c>
      <c r="B17" s="5" t="s">
        <v>78</v>
      </c>
      <c r="C17" s="5">
        <f t="shared" si="0"/>
        <v>17</v>
      </c>
      <c r="D17" s="5">
        <f t="shared" si="5"/>
        <v>1</v>
      </c>
      <c r="E17" s="26">
        <f t="shared" si="6"/>
        <v>42737</v>
      </c>
      <c r="F17" s="5" t="str">
        <f t="shared" si="1"/>
        <v>RECON-THECOOP-EXT</v>
      </c>
      <c r="G17" s="8" t="s">
        <v>268</v>
      </c>
      <c r="H17" s="8" t="str">
        <f t="shared" si="7"/>
        <v>DEPO</v>
      </c>
      <c r="I17" s="8">
        <f t="shared" si="8"/>
        <v>0</v>
      </c>
      <c r="J17" s="28" t="str">
        <f t="shared" si="9"/>
        <v>GBP</v>
      </c>
      <c r="K17" s="8">
        <f t="shared" si="10"/>
        <v>0</v>
      </c>
      <c r="L17" s="8" t="s">
        <v>275</v>
      </c>
      <c r="M17" s="28">
        <f t="shared" si="11"/>
        <v>43102</v>
      </c>
      <c r="N17" s="28"/>
      <c r="O17" s="28" t="str">
        <f t="shared" si="12"/>
        <v>1M</v>
      </c>
      <c r="P17" s="28" t="str">
        <f t="shared" si="13"/>
        <v>Fixed</v>
      </c>
      <c r="Q17" s="28"/>
      <c r="R17" s="8">
        <f t="shared" si="14"/>
        <v>0</v>
      </c>
      <c r="S17" s="8" t="str">
        <f t="shared" ca="1" si="2"/>
        <v>3380046 RECON-THECOOP-EXT</v>
      </c>
      <c r="T17" s="27" t="str">
        <f t="shared" ca="1" si="3"/>
        <v>3380046 RECON-THECOOP-EXT</v>
      </c>
      <c r="U17" s="8">
        <f t="shared" ca="1" si="4"/>
        <v>3380046</v>
      </c>
    </row>
    <row r="18" spans="1:21" x14ac:dyDescent="0.25">
      <c r="A18" s="8">
        <f>ROW()</f>
        <v>18</v>
      </c>
      <c r="B18" s="5" t="s">
        <v>78</v>
      </c>
      <c r="C18" s="5">
        <f t="shared" si="0"/>
        <v>18</v>
      </c>
      <c r="D18" s="5">
        <f t="shared" si="5"/>
        <v>1</v>
      </c>
      <c r="E18" s="26">
        <f t="shared" si="6"/>
        <v>42737</v>
      </c>
      <c r="F18" s="5" t="str">
        <f t="shared" si="1"/>
        <v>RECON-HALIFAX -EXT</v>
      </c>
      <c r="G18" s="8" t="s">
        <v>269</v>
      </c>
      <c r="H18" s="8" t="str">
        <f t="shared" si="7"/>
        <v>DEPO</v>
      </c>
      <c r="I18" s="8">
        <f t="shared" si="8"/>
        <v>0</v>
      </c>
      <c r="J18" s="28" t="str">
        <f t="shared" si="9"/>
        <v>GBP</v>
      </c>
      <c r="K18" s="8">
        <f t="shared" si="10"/>
        <v>0</v>
      </c>
      <c r="L18" s="8" t="s">
        <v>275</v>
      </c>
      <c r="M18" s="28">
        <f t="shared" si="11"/>
        <v>43102</v>
      </c>
      <c r="N18" s="28"/>
      <c r="O18" s="28" t="str">
        <f t="shared" si="12"/>
        <v>1M</v>
      </c>
      <c r="P18" s="28" t="str">
        <f t="shared" si="13"/>
        <v>Fixed</v>
      </c>
      <c r="Q18" s="28"/>
      <c r="R18" s="8">
        <f t="shared" si="14"/>
        <v>0</v>
      </c>
      <c r="S18" s="8" t="str">
        <f t="shared" ca="1" si="2"/>
        <v>97074571 RECON-HALIFAX -EXT</v>
      </c>
      <c r="T18" s="27" t="str">
        <f t="shared" ca="1" si="3"/>
        <v>97074571 RECON-HALIFAX -EXT</v>
      </c>
      <c r="U18" s="8">
        <f t="shared" ca="1" si="4"/>
        <v>97074571</v>
      </c>
    </row>
    <row r="19" spans="1:21" x14ac:dyDescent="0.25">
      <c r="A19" s="8">
        <f>ROW()</f>
        <v>19</v>
      </c>
      <c r="B19" s="5" t="s">
        <v>78</v>
      </c>
      <c r="C19" s="5">
        <f t="shared" si="0"/>
        <v>19</v>
      </c>
      <c r="D19" s="5">
        <f t="shared" si="5"/>
        <v>1</v>
      </c>
      <c r="E19" s="26">
        <f t="shared" si="6"/>
        <v>42737</v>
      </c>
      <c r="F19" s="5" t="str">
        <f t="shared" si="1"/>
        <v>RECON-TSB -EXT</v>
      </c>
      <c r="G19" s="8" t="s">
        <v>270</v>
      </c>
      <c r="H19" s="8" t="str">
        <f t="shared" si="7"/>
        <v>DEPO</v>
      </c>
      <c r="I19" s="8">
        <f t="shared" si="8"/>
        <v>0</v>
      </c>
      <c r="J19" s="28" t="str">
        <f t="shared" si="9"/>
        <v>GBP</v>
      </c>
      <c r="K19" s="8">
        <f t="shared" si="10"/>
        <v>0</v>
      </c>
      <c r="L19" s="8" t="s">
        <v>275</v>
      </c>
      <c r="M19" s="28">
        <f t="shared" si="11"/>
        <v>43102</v>
      </c>
      <c r="N19" s="28"/>
      <c r="O19" s="28" t="str">
        <f t="shared" si="12"/>
        <v>1M</v>
      </c>
      <c r="P19" s="28" t="str">
        <f t="shared" si="13"/>
        <v>Fixed</v>
      </c>
      <c r="Q19" s="28"/>
      <c r="R19" s="8">
        <f t="shared" si="14"/>
        <v>0</v>
      </c>
      <c r="S19" s="8" t="str">
        <f t="shared" ca="1" si="2"/>
        <v>34366674 RECON-TSB -EXT</v>
      </c>
      <c r="T19" s="27" t="str">
        <f t="shared" ca="1" si="3"/>
        <v>34366674 RECON-TSB -EXT</v>
      </c>
      <c r="U19" s="8">
        <f t="shared" ca="1" si="4"/>
        <v>34366674</v>
      </c>
    </row>
    <row r="20" spans="1:21" x14ac:dyDescent="0.25">
      <c r="A20" s="8">
        <f>ROW()</f>
        <v>20</v>
      </c>
      <c r="B20" s="5" t="s">
        <v>78</v>
      </c>
      <c r="C20" s="5">
        <f t="shared" si="0"/>
        <v>20</v>
      </c>
      <c r="D20" s="5">
        <f t="shared" si="5"/>
        <v>1</v>
      </c>
      <c r="E20" s="26">
        <f t="shared" si="6"/>
        <v>42737</v>
      </c>
      <c r="F20" s="5" t="str">
        <f t="shared" si="1"/>
        <v>RECON-BANKOFSC-EXT</v>
      </c>
      <c r="G20" s="8" t="s">
        <v>271</v>
      </c>
      <c r="H20" s="8" t="str">
        <f t="shared" si="7"/>
        <v>DEPO</v>
      </c>
      <c r="I20" s="8">
        <f t="shared" si="8"/>
        <v>0</v>
      </c>
      <c r="J20" s="28" t="str">
        <f t="shared" si="9"/>
        <v>GBP</v>
      </c>
      <c r="K20" s="8">
        <f t="shared" si="10"/>
        <v>0</v>
      </c>
      <c r="L20" s="8" t="s">
        <v>275</v>
      </c>
      <c r="M20" s="28">
        <f t="shared" si="11"/>
        <v>43102</v>
      </c>
      <c r="N20" s="28"/>
      <c r="O20" s="28" t="str">
        <f t="shared" si="12"/>
        <v>1M</v>
      </c>
      <c r="P20" s="28" t="str">
        <f t="shared" si="13"/>
        <v>Fixed</v>
      </c>
      <c r="Q20" s="28"/>
      <c r="R20" s="8">
        <f t="shared" si="14"/>
        <v>0</v>
      </c>
      <c r="S20" s="8" t="str">
        <f t="shared" ca="1" si="2"/>
        <v>85981222 RECON-BANKOFSC-EXT</v>
      </c>
      <c r="T20" s="27" t="str">
        <f t="shared" ca="1" si="3"/>
        <v>85981222 RECON-BANKOFSC-EXT</v>
      </c>
      <c r="U20" s="8">
        <f t="shared" ca="1" si="4"/>
        <v>85981222</v>
      </c>
    </row>
    <row r="21" spans="1:21" x14ac:dyDescent="0.25">
      <c r="A21" s="8">
        <f>ROW()</f>
        <v>21</v>
      </c>
      <c r="B21" s="5" t="s">
        <v>78</v>
      </c>
      <c r="C21" s="5">
        <f t="shared" si="0"/>
        <v>21</v>
      </c>
      <c r="D21" s="5">
        <f t="shared" si="5"/>
        <v>1</v>
      </c>
      <c r="E21" s="26">
        <f t="shared" si="6"/>
        <v>42737</v>
      </c>
      <c r="F21" s="5" t="str">
        <f t="shared" si="1"/>
        <v>RECON-YORKSHIR-EXT</v>
      </c>
      <c r="G21" s="8" t="s">
        <v>272</v>
      </c>
      <c r="H21" s="8" t="str">
        <f t="shared" si="7"/>
        <v>DEPO</v>
      </c>
      <c r="I21" s="8">
        <f t="shared" si="8"/>
        <v>0</v>
      </c>
      <c r="J21" s="28" t="str">
        <f t="shared" si="9"/>
        <v>GBP</v>
      </c>
      <c r="K21" s="8">
        <f t="shared" si="10"/>
        <v>0</v>
      </c>
      <c r="L21" s="8" t="s">
        <v>275</v>
      </c>
      <c r="M21" s="28">
        <f t="shared" si="11"/>
        <v>43102</v>
      </c>
      <c r="N21" s="28"/>
      <c r="O21" s="28" t="str">
        <f t="shared" si="12"/>
        <v>1M</v>
      </c>
      <c r="P21" s="28" t="str">
        <f t="shared" si="13"/>
        <v>Fixed</v>
      </c>
      <c r="Q21" s="28"/>
      <c r="R21" s="8">
        <f t="shared" si="14"/>
        <v>0</v>
      </c>
      <c r="S21" s="8" t="str">
        <f t="shared" ca="1" si="2"/>
        <v>28076347 RECON-YORKSHIR-EXT</v>
      </c>
      <c r="T21" s="27" t="str">
        <f t="shared" ca="1" si="3"/>
        <v>28076347 RECON-YORKSHIR-EXT</v>
      </c>
      <c r="U21" s="8">
        <f t="shared" ca="1" si="4"/>
        <v>28076347</v>
      </c>
    </row>
    <row r="22" spans="1:21" x14ac:dyDescent="0.25">
      <c r="A22" s="8">
        <f>ROW()</f>
        <v>22</v>
      </c>
      <c r="B22" s="5" t="s">
        <v>78</v>
      </c>
      <c r="C22" s="5">
        <f t="shared" si="0"/>
        <v>22</v>
      </c>
      <c r="D22" s="5">
        <f t="shared" si="5"/>
        <v>1</v>
      </c>
      <c r="E22" s="26">
        <f t="shared" si="6"/>
        <v>42737</v>
      </c>
      <c r="F22" s="5" t="str">
        <f t="shared" si="1"/>
        <v>RECON-LLOYDSBA-EXT</v>
      </c>
      <c r="G22" s="8" t="s">
        <v>273</v>
      </c>
      <c r="H22" s="8" t="str">
        <f t="shared" si="7"/>
        <v>DEPO</v>
      </c>
      <c r="I22" s="8">
        <f t="shared" si="8"/>
        <v>0</v>
      </c>
      <c r="J22" s="28" t="str">
        <f t="shared" si="9"/>
        <v>GBP</v>
      </c>
      <c r="K22" s="8">
        <f t="shared" si="10"/>
        <v>0</v>
      </c>
      <c r="L22" s="8" t="s">
        <v>275</v>
      </c>
      <c r="M22" s="28">
        <f t="shared" si="11"/>
        <v>43102</v>
      </c>
      <c r="N22" s="28"/>
      <c r="O22" s="28" t="str">
        <f t="shared" si="12"/>
        <v>1M</v>
      </c>
      <c r="P22" s="28" t="str">
        <f t="shared" si="13"/>
        <v>Fixed</v>
      </c>
      <c r="Q22" s="28"/>
      <c r="R22" s="8">
        <f t="shared" si="14"/>
        <v>0</v>
      </c>
      <c r="S22" s="8" t="str">
        <f t="shared" ca="1" si="2"/>
        <v>18948088 RECON-LLOYDSBA-EXT</v>
      </c>
      <c r="T22" s="27" t="str">
        <f t="shared" ca="1" si="3"/>
        <v>18948088 RECON-LLOYDSBA-EXT</v>
      </c>
      <c r="U22" s="8">
        <f t="shared" ca="1" si="4"/>
        <v>18948088</v>
      </c>
    </row>
    <row r="23" spans="1:21" x14ac:dyDescent="0.25">
      <c r="A23" s="8">
        <f>ROW()</f>
        <v>23</v>
      </c>
      <c r="B23" s="5" t="s">
        <v>78</v>
      </c>
      <c r="C23" s="5">
        <f t="shared" si="0"/>
        <v>23</v>
      </c>
      <c r="D23" s="5">
        <f t="shared" si="5"/>
        <v>1</v>
      </c>
      <c r="E23" s="26">
        <f t="shared" si="6"/>
        <v>42737</v>
      </c>
      <c r="F23" s="5" t="str">
        <f t="shared" si="1"/>
        <v>RECON-HSBC -EXT</v>
      </c>
      <c r="G23" s="8" t="s">
        <v>274</v>
      </c>
      <c r="H23" s="8" t="str">
        <f t="shared" si="7"/>
        <v>DEPO</v>
      </c>
      <c r="I23" s="8">
        <f t="shared" si="8"/>
        <v>0</v>
      </c>
      <c r="J23" s="28" t="str">
        <f t="shared" si="9"/>
        <v>GBP</v>
      </c>
      <c r="K23" s="8">
        <f t="shared" si="10"/>
        <v>0</v>
      </c>
      <c r="L23" s="8" t="s">
        <v>275</v>
      </c>
      <c r="M23" s="28">
        <f t="shared" si="11"/>
        <v>43102</v>
      </c>
      <c r="N23" s="28"/>
      <c r="O23" s="28" t="str">
        <f t="shared" si="12"/>
        <v>1M</v>
      </c>
      <c r="P23" s="28" t="str">
        <f t="shared" si="13"/>
        <v>Fixed</v>
      </c>
      <c r="Q23" s="28"/>
      <c r="R23" s="8">
        <f t="shared" si="14"/>
        <v>0</v>
      </c>
      <c r="S23" s="8" t="str">
        <f t="shared" ca="1" si="2"/>
        <v>59018670 RECON-HSBC -EXT</v>
      </c>
      <c r="T23" s="27" t="str">
        <f t="shared" ca="1" si="3"/>
        <v>59018670 RECON-HSBC -EXT</v>
      </c>
      <c r="U23" s="8">
        <f t="shared" ca="1" si="4"/>
        <v>59018670</v>
      </c>
    </row>
  </sheetData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K157"/>
  <sheetViews>
    <sheetView workbookViewId="0">
      <selection activeCell="E23" sqref="E23"/>
    </sheetView>
  </sheetViews>
  <sheetFormatPr defaultColWidth="9.140625" defaultRowHeight="15" x14ac:dyDescent="0.25"/>
  <cols>
    <col min="1" max="1" width="25.42578125" style="27" bestFit="1" customWidth="1"/>
    <col min="2" max="2" width="20" style="27" bestFit="1" customWidth="1"/>
    <col min="3" max="3" width="9.28515625" style="27" bestFit="1" customWidth="1"/>
    <col min="4" max="4" width="10.7109375" style="27" bestFit="1" customWidth="1"/>
    <col min="5" max="5" width="11.42578125" style="27" bestFit="1" customWidth="1"/>
    <col min="6" max="6" width="26.7109375" style="27" bestFit="1" customWidth="1"/>
    <col min="7" max="7" width="16.42578125" style="27" bestFit="1" customWidth="1"/>
    <col min="8" max="8" width="17.28515625" style="27" bestFit="1" customWidth="1"/>
    <col min="9" max="9" width="15.85546875" style="27" bestFit="1" customWidth="1"/>
    <col min="10" max="10" width="8.85546875" style="27" bestFit="1" customWidth="1"/>
    <col min="11" max="16384" width="9.140625" style="27"/>
  </cols>
  <sheetData>
    <row r="1" spans="1:11" x14ac:dyDescent="0.25">
      <c r="A1" s="30" t="s">
        <v>79</v>
      </c>
      <c r="B1" s="30" t="s">
        <v>6</v>
      </c>
      <c r="C1" s="30" t="s">
        <v>12</v>
      </c>
      <c r="D1" s="33" t="s">
        <v>26</v>
      </c>
      <c r="E1" s="31" t="s">
        <v>80</v>
      </c>
      <c r="F1" s="30" t="s">
        <v>39</v>
      </c>
      <c r="G1" s="30" t="s">
        <v>32</v>
      </c>
      <c r="H1" s="30" t="s">
        <v>14</v>
      </c>
      <c r="I1" s="30" t="s">
        <v>81</v>
      </c>
      <c r="J1" s="32" t="s">
        <v>84</v>
      </c>
      <c r="K1" s="29" t="s">
        <v>3</v>
      </c>
    </row>
    <row r="2" spans="1:11" x14ac:dyDescent="0.25">
      <c r="A2" s="27" t="str">
        <f>ReconAccounts!F2</f>
        <v>ACCOUNTS-FIRSTDIR-EXT</v>
      </c>
      <c r="B2" s="27" t="s">
        <v>82</v>
      </c>
      <c r="C2" s="27">
        <v>0</v>
      </c>
      <c r="D2" s="28">
        <v>43242</v>
      </c>
      <c r="E2" s="27">
        <f ca="1">RANDBETWEEN(-15000,20000)</f>
        <v>3472</v>
      </c>
      <c r="F2" s="27" t="s">
        <v>85</v>
      </c>
      <c r="G2" s="27" t="s">
        <v>8</v>
      </c>
      <c r="H2" s="27" t="s">
        <v>86</v>
      </c>
      <c r="I2" s="27" t="s">
        <v>77</v>
      </c>
      <c r="K2" s="8" t="str">
        <f>ReconAccounts!L2</f>
        <v>ACCOUNTS</v>
      </c>
    </row>
    <row r="3" spans="1:11" x14ac:dyDescent="0.25">
      <c r="A3" s="27" t="str">
        <f>ReconAccounts!F3</f>
        <v>ACCOUNTS-SANTANDE-EXT</v>
      </c>
      <c r="B3" s="27" t="s">
        <v>82</v>
      </c>
      <c r="C3" s="27">
        <v>0</v>
      </c>
      <c r="D3" s="28">
        <f>D2</f>
        <v>43242</v>
      </c>
      <c r="E3" s="27">
        <f t="shared" ref="E3:E12" ca="1" si="0">RANDBETWEEN(-15000,20000)</f>
        <v>18261</v>
      </c>
      <c r="F3" s="27" t="s">
        <v>87</v>
      </c>
      <c r="G3" s="27" t="s">
        <v>8</v>
      </c>
      <c r="H3" s="27" t="s">
        <v>88</v>
      </c>
      <c r="I3" s="27" t="s">
        <v>77</v>
      </c>
      <c r="K3" s="8" t="str">
        <f>ReconAccounts!L3</f>
        <v>ACCOUNTS</v>
      </c>
    </row>
    <row r="4" spans="1:11" x14ac:dyDescent="0.25">
      <c r="A4" s="27" t="str">
        <f>ReconAccounts!F4</f>
        <v>ACCOUNTS-SMILE-EXT</v>
      </c>
      <c r="B4" s="27" t="s">
        <v>82</v>
      </c>
      <c r="C4" s="27">
        <v>0</v>
      </c>
      <c r="D4" s="28">
        <f t="shared" ref="D4:D23" si="1">D3</f>
        <v>43242</v>
      </c>
      <c r="E4" s="27">
        <f t="shared" ca="1" si="0"/>
        <v>-3032</v>
      </c>
      <c r="F4" s="27" t="s">
        <v>89</v>
      </c>
      <c r="G4" s="27" t="s">
        <v>8</v>
      </c>
      <c r="H4" s="27" t="s">
        <v>90</v>
      </c>
      <c r="I4" s="27" t="s">
        <v>77</v>
      </c>
      <c r="K4" s="8" t="str">
        <f>ReconAccounts!L4</f>
        <v>ACCOUNTS</v>
      </c>
    </row>
    <row r="5" spans="1:11" x14ac:dyDescent="0.25">
      <c r="A5" s="27" t="str">
        <f>ReconAccounts!F5</f>
        <v>ACCOUNTS-NATIONWI-EXT</v>
      </c>
      <c r="B5" s="27" t="s">
        <v>82</v>
      </c>
      <c r="C5" s="27">
        <v>0</v>
      </c>
      <c r="D5" s="28">
        <f t="shared" si="1"/>
        <v>43242</v>
      </c>
      <c r="E5" s="27">
        <f t="shared" ca="1" si="0"/>
        <v>3241</v>
      </c>
      <c r="F5" s="27" t="s">
        <v>91</v>
      </c>
      <c r="G5" s="27" t="s">
        <v>8</v>
      </c>
      <c r="H5" s="27" t="s">
        <v>92</v>
      </c>
      <c r="I5" s="27" t="s">
        <v>77</v>
      </c>
      <c r="K5" s="8" t="str">
        <f>ReconAccounts!L5</f>
        <v>ACCOUNTS</v>
      </c>
    </row>
    <row r="6" spans="1:11" x14ac:dyDescent="0.25">
      <c r="A6" s="27" t="str">
        <f>ReconAccounts!F6</f>
        <v>ACCOUNTS-THECOOP-EXT</v>
      </c>
      <c r="B6" s="27" t="s">
        <v>82</v>
      </c>
      <c r="C6" s="27">
        <v>0</v>
      </c>
      <c r="D6" s="28">
        <f t="shared" si="1"/>
        <v>43242</v>
      </c>
      <c r="E6" s="27">
        <f t="shared" ca="1" si="0"/>
        <v>19490</v>
      </c>
      <c r="F6" s="27" t="s">
        <v>93</v>
      </c>
      <c r="G6" s="27" t="s">
        <v>8</v>
      </c>
      <c r="H6" s="27" t="s">
        <v>94</v>
      </c>
      <c r="I6" s="27" t="s">
        <v>77</v>
      </c>
      <c r="K6" s="8" t="str">
        <f>ReconAccounts!L6</f>
        <v>ACCOUNTS</v>
      </c>
    </row>
    <row r="7" spans="1:11" x14ac:dyDescent="0.25">
      <c r="A7" s="27" t="str">
        <f>ReconAccounts!F7</f>
        <v>ACCOUNTS-HALIFAX -EXT</v>
      </c>
      <c r="B7" s="27" t="s">
        <v>82</v>
      </c>
      <c r="C7" s="27">
        <v>0</v>
      </c>
      <c r="D7" s="28">
        <f t="shared" si="1"/>
        <v>43242</v>
      </c>
      <c r="E7" s="27">
        <f t="shared" ca="1" si="0"/>
        <v>13940</v>
      </c>
      <c r="F7" s="27" t="s">
        <v>95</v>
      </c>
      <c r="G7" s="27" t="s">
        <v>8</v>
      </c>
      <c r="H7" s="27" t="s">
        <v>96</v>
      </c>
      <c r="I7" s="27" t="s">
        <v>77</v>
      </c>
      <c r="K7" s="8" t="str">
        <f>ReconAccounts!L7</f>
        <v>ACCOUNTS</v>
      </c>
    </row>
    <row r="8" spans="1:11" x14ac:dyDescent="0.25">
      <c r="A8" s="27" t="str">
        <f>ReconAccounts!F8</f>
        <v>ACCOUNTS-TSB -EXT</v>
      </c>
      <c r="B8" s="27" t="s">
        <v>82</v>
      </c>
      <c r="C8" s="27">
        <v>0</v>
      </c>
      <c r="D8" s="28">
        <f t="shared" si="1"/>
        <v>43242</v>
      </c>
      <c r="E8" s="27">
        <f t="shared" ca="1" si="0"/>
        <v>-8175</v>
      </c>
      <c r="F8" s="27" t="s">
        <v>97</v>
      </c>
      <c r="G8" s="27" t="s">
        <v>8</v>
      </c>
      <c r="H8" s="27" t="s">
        <v>98</v>
      </c>
      <c r="I8" s="27" t="s">
        <v>77</v>
      </c>
      <c r="K8" s="8" t="str">
        <f>ReconAccounts!L8</f>
        <v>ACCOUNTS</v>
      </c>
    </row>
    <row r="9" spans="1:11" x14ac:dyDescent="0.25">
      <c r="A9" s="27" t="str">
        <f>ReconAccounts!F9</f>
        <v>ACCOUNTS-BANKOFSC-EXT</v>
      </c>
      <c r="B9" s="27" t="s">
        <v>82</v>
      </c>
      <c r="C9" s="27">
        <v>0</v>
      </c>
      <c r="D9" s="28">
        <f t="shared" si="1"/>
        <v>43242</v>
      </c>
      <c r="E9" s="27">
        <f t="shared" ca="1" si="0"/>
        <v>5644</v>
      </c>
      <c r="F9" s="27" t="s">
        <v>99</v>
      </c>
      <c r="G9" s="27" t="s">
        <v>8</v>
      </c>
      <c r="H9" s="27" t="s">
        <v>100</v>
      </c>
      <c r="I9" s="27" t="s">
        <v>77</v>
      </c>
      <c r="K9" s="8" t="str">
        <f>ReconAccounts!L9</f>
        <v>ACCOUNTS</v>
      </c>
    </row>
    <row r="10" spans="1:11" x14ac:dyDescent="0.25">
      <c r="A10" s="27" t="str">
        <f>ReconAccounts!F10</f>
        <v>ACCOUNTS-YORKSHIR-EXT</v>
      </c>
      <c r="B10" s="27" t="s">
        <v>82</v>
      </c>
      <c r="C10" s="27">
        <v>0</v>
      </c>
      <c r="D10" s="28">
        <f t="shared" si="1"/>
        <v>43242</v>
      </c>
      <c r="E10" s="27">
        <f t="shared" ca="1" si="0"/>
        <v>962</v>
      </c>
      <c r="F10" s="27" t="s">
        <v>101</v>
      </c>
      <c r="G10" s="27" t="s">
        <v>8</v>
      </c>
      <c r="H10" s="27" t="s">
        <v>102</v>
      </c>
      <c r="I10" s="27" t="s">
        <v>77</v>
      </c>
      <c r="K10" s="8" t="str">
        <f>ReconAccounts!L10</f>
        <v>ACCOUNTS</v>
      </c>
    </row>
    <row r="11" spans="1:11" x14ac:dyDescent="0.25">
      <c r="A11" s="27" t="str">
        <f>ReconAccounts!F11</f>
        <v>ACCOUNTS-LLOYDSBA-EXT</v>
      </c>
      <c r="B11" s="27" t="s">
        <v>82</v>
      </c>
      <c r="C11" s="27">
        <v>0</v>
      </c>
      <c r="D11" s="28">
        <f t="shared" si="1"/>
        <v>43242</v>
      </c>
      <c r="E11" s="27">
        <f t="shared" ca="1" si="0"/>
        <v>11140</v>
      </c>
      <c r="F11" s="27" t="s">
        <v>103</v>
      </c>
      <c r="G11" s="27" t="s">
        <v>8</v>
      </c>
      <c r="H11" s="27" t="s">
        <v>104</v>
      </c>
      <c r="I11" s="27" t="s">
        <v>77</v>
      </c>
      <c r="K11" s="8" t="str">
        <f>ReconAccounts!L11</f>
        <v>ACCOUNTS</v>
      </c>
    </row>
    <row r="12" spans="1:11" x14ac:dyDescent="0.25">
      <c r="A12" s="27" t="str">
        <f>ReconAccounts!F12</f>
        <v>ACCOUNTS-HSBC -EXT</v>
      </c>
      <c r="B12" s="27" t="s">
        <v>82</v>
      </c>
      <c r="C12" s="27">
        <v>0</v>
      </c>
      <c r="D12" s="28">
        <f t="shared" si="1"/>
        <v>43242</v>
      </c>
      <c r="E12" s="27">
        <f t="shared" ca="1" si="0"/>
        <v>2544</v>
      </c>
      <c r="F12" s="27" t="s">
        <v>105</v>
      </c>
      <c r="G12" s="27" t="s">
        <v>8</v>
      </c>
      <c r="H12" s="27" t="s">
        <v>106</v>
      </c>
      <c r="I12" s="27" t="s">
        <v>77</v>
      </c>
      <c r="K12" s="8" t="str">
        <f>ReconAccounts!L12</f>
        <v>ACCOUNTS</v>
      </c>
    </row>
    <row r="13" spans="1:11" x14ac:dyDescent="0.25">
      <c r="A13" s="27" t="str">
        <f>ReconAccounts!F13</f>
        <v>RECON-FIRSTDIR-EXT</v>
      </c>
      <c r="B13" s="27" t="s">
        <v>82</v>
      </c>
      <c r="C13" s="27">
        <v>0</v>
      </c>
      <c r="D13" s="28">
        <f t="shared" si="1"/>
        <v>43242</v>
      </c>
      <c r="E13" s="27">
        <f ca="1">E2+RANDBETWEEN(-100,123)</f>
        <v>3507</v>
      </c>
      <c r="F13" s="27" t="s">
        <v>107</v>
      </c>
      <c r="G13" s="27" t="s">
        <v>8</v>
      </c>
      <c r="H13" s="27" t="s">
        <v>108</v>
      </c>
      <c r="I13" s="27" t="s">
        <v>77</v>
      </c>
      <c r="K13" s="8" t="str">
        <f>ReconAccounts!L13</f>
        <v>RECON</v>
      </c>
    </row>
    <row r="14" spans="1:11" x14ac:dyDescent="0.25">
      <c r="A14" s="27" t="str">
        <f>ReconAccounts!F14</f>
        <v>RECON-SANTANDE-EXT</v>
      </c>
      <c r="B14" s="27" t="s">
        <v>82</v>
      </c>
      <c r="C14" s="27">
        <v>0</v>
      </c>
      <c r="D14" s="28">
        <f t="shared" si="1"/>
        <v>43242</v>
      </c>
      <c r="E14" s="27">
        <f t="shared" ref="E14:E23" ca="1" si="2">E3+RANDBETWEEN(-100,123)</f>
        <v>18226</v>
      </c>
      <c r="F14" s="27" t="s">
        <v>109</v>
      </c>
      <c r="G14" s="27" t="s">
        <v>8</v>
      </c>
      <c r="H14" s="27" t="s">
        <v>110</v>
      </c>
      <c r="I14" s="27" t="s">
        <v>77</v>
      </c>
      <c r="K14" s="8" t="str">
        <f>ReconAccounts!L14</f>
        <v>RECON</v>
      </c>
    </row>
    <row r="15" spans="1:11" x14ac:dyDescent="0.25">
      <c r="A15" s="27" t="str">
        <f>ReconAccounts!F15</f>
        <v>RECON-SMILE-EXT</v>
      </c>
      <c r="B15" s="27" t="s">
        <v>82</v>
      </c>
      <c r="C15" s="27">
        <v>0</v>
      </c>
      <c r="D15" s="28">
        <f t="shared" si="1"/>
        <v>43242</v>
      </c>
      <c r="E15" s="27">
        <f t="shared" ca="1" si="2"/>
        <v>-2928</v>
      </c>
      <c r="F15" s="27" t="s">
        <v>111</v>
      </c>
      <c r="G15" s="27" t="s">
        <v>8</v>
      </c>
      <c r="H15" s="27" t="s">
        <v>112</v>
      </c>
      <c r="I15" s="27" t="s">
        <v>77</v>
      </c>
      <c r="K15" s="8" t="str">
        <f>ReconAccounts!L15</f>
        <v>RECON</v>
      </c>
    </row>
    <row r="16" spans="1:11" x14ac:dyDescent="0.25">
      <c r="A16" s="27" t="str">
        <f>ReconAccounts!F16</f>
        <v>RECON-NATIONWI-EXT</v>
      </c>
      <c r="B16" s="27" t="s">
        <v>82</v>
      </c>
      <c r="C16" s="27">
        <v>0</v>
      </c>
      <c r="D16" s="28">
        <f t="shared" si="1"/>
        <v>43242</v>
      </c>
      <c r="E16" s="27">
        <f t="shared" ca="1" si="2"/>
        <v>3147</v>
      </c>
      <c r="F16" s="27" t="s">
        <v>113</v>
      </c>
      <c r="G16" s="27" t="s">
        <v>8</v>
      </c>
      <c r="H16" s="27" t="s">
        <v>114</v>
      </c>
      <c r="I16" s="27" t="s">
        <v>77</v>
      </c>
      <c r="K16" s="8" t="str">
        <f>ReconAccounts!L16</f>
        <v>RECON</v>
      </c>
    </row>
    <row r="17" spans="1:11" x14ac:dyDescent="0.25">
      <c r="A17" s="27" t="str">
        <f>ReconAccounts!F17</f>
        <v>RECON-THECOOP-EXT</v>
      </c>
      <c r="B17" s="27" t="s">
        <v>82</v>
      </c>
      <c r="C17" s="27">
        <v>0</v>
      </c>
      <c r="D17" s="28">
        <f t="shared" si="1"/>
        <v>43242</v>
      </c>
      <c r="E17" s="27">
        <f t="shared" ca="1" si="2"/>
        <v>19409</v>
      </c>
      <c r="F17" s="27" t="s">
        <v>115</v>
      </c>
      <c r="G17" s="27" t="s">
        <v>8</v>
      </c>
      <c r="H17" s="27" t="s">
        <v>116</v>
      </c>
      <c r="I17" s="27" t="s">
        <v>77</v>
      </c>
      <c r="K17" s="8" t="str">
        <f>ReconAccounts!L17</f>
        <v>RECON</v>
      </c>
    </row>
    <row r="18" spans="1:11" x14ac:dyDescent="0.25">
      <c r="A18" s="27" t="str">
        <f>ReconAccounts!F18</f>
        <v>RECON-HALIFAX -EXT</v>
      </c>
      <c r="B18" s="27" t="s">
        <v>82</v>
      </c>
      <c r="C18" s="27">
        <v>0</v>
      </c>
      <c r="D18" s="28">
        <f t="shared" si="1"/>
        <v>43242</v>
      </c>
      <c r="E18" s="27">
        <f t="shared" ca="1" si="2"/>
        <v>13896</v>
      </c>
      <c r="F18" s="27" t="s">
        <v>117</v>
      </c>
      <c r="G18" s="27" t="s">
        <v>8</v>
      </c>
      <c r="H18" s="27" t="s">
        <v>118</v>
      </c>
      <c r="I18" s="27" t="s">
        <v>77</v>
      </c>
      <c r="K18" s="8" t="str">
        <f>ReconAccounts!L18</f>
        <v>RECON</v>
      </c>
    </row>
    <row r="19" spans="1:11" x14ac:dyDescent="0.25">
      <c r="A19" s="27" t="str">
        <f>ReconAccounts!F19</f>
        <v>RECON-TSB -EXT</v>
      </c>
      <c r="B19" s="27" t="s">
        <v>82</v>
      </c>
      <c r="C19" s="27">
        <v>0</v>
      </c>
      <c r="D19" s="28">
        <f t="shared" si="1"/>
        <v>43242</v>
      </c>
      <c r="E19" s="27">
        <f t="shared" ca="1" si="2"/>
        <v>-8072</v>
      </c>
      <c r="F19" s="27" t="s">
        <v>119</v>
      </c>
      <c r="G19" s="27" t="s">
        <v>8</v>
      </c>
      <c r="H19" s="27" t="s">
        <v>120</v>
      </c>
      <c r="I19" s="27" t="s">
        <v>77</v>
      </c>
      <c r="K19" s="8" t="str">
        <f>ReconAccounts!L19</f>
        <v>RECON</v>
      </c>
    </row>
    <row r="20" spans="1:11" x14ac:dyDescent="0.25">
      <c r="A20" s="27" t="str">
        <f>ReconAccounts!F20</f>
        <v>RECON-BANKOFSC-EXT</v>
      </c>
      <c r="B20" s="27" t="s">
        <v>82</v>
      </c>
      <c r="C20" s="27">
        <v>0</v>
      </c>
      <c r="D20" s="28">
        <f t="shared" si="1"/>
        <v>43242</v>
      </c>
      <c r="E20" s="27">
        <f t="shared" ca="1" si="2"/>
        <v>5582</v>
      </c>
      <c r="F20" s="27" t="s">
        <v>121</v>
      </c>
      <c r="G20" s="27" t="s">
        <v>8</v>
      </c>
      <c r="H20" s="27" t="s">
        <v>122</v>
      </c>
      <c r="I20" s="27" t="s">
        <v>77</v>
      </c>
      <c r="K20" s="8" t="str">
        <f>ReconAccounts!L20</f>
        <v>RECON</v>
      </c>
    </row>
    <row r="21" spans="1:11" x14ac:dyDescent="0.25">
      <c r="A21" s="27" t="str">
        <f>ReconAccounts!F21</f>
        <v>RECON-YORKSHIR-EXT</v>
      </c>
      <c r="B21" s="27" t="s">
        <v>82</v>
      </c>
      <c r="C21" s="27">
        <v>0</v>
      </c>
      <c r="D21" s="28">
        <f t="shared" si="1"/>
        <v>43242</v>
      </c>
      <c r="E21" s="27">
        <f t="shared" ca="1" si="2"/>
        <v>975</v>
      </c>
      <c r="F21" s="27" t="s">
        <v>123</v>
      </c>
      <c r="G21" s="27" t="s">
        <v>8</v>
      </c>
      <c r="H21" s="27" t="s">
        <v>124</v>
      </c>
      <c r="I21" s="27" t="s">
        <v>77</v>
      </c>
      <c r="K21" s="8" t="str">
        <f>ReconAccounts!L21</f>
        <v>RECON</v>
      </c>
    </row>
    <row r="22" spans="1:11" x14ac:dyDescent="0.25">
      <c r="A22" s="27" t="str">
        <f>ReconAccounts!F22</f>
        <v>RECON-LLOYDSBA-EXT</v>
      </c>
      <c r="B22" s="27" t="s">
        <v>82</v>
      </c>
      <c r="C22" s="27">
        <v>0</v>
      </c>
      <c r="D22" s="28">
        <f t="shared" si="1"/>
        <v>43242</v>
      </c>
      <c r="E22" s="27">
        <f t="shared" ca="1" si="2"/>
        <v>11235</v>
      </c>
      <c r="F22" s="27" t="s">
        <v>125</v>
      </c>
      <c r="G22" s="27" t="s">
        <v>8</v>
      </c>
      <c r="H22" s="27" t="s">
        <v>126</v>
      </c>
      <c r="I22" s="27" t="s">
        <v>77</v>
      </c>
      <c r="K22" s="8" t="str">
        <f>ReconAccounts!L22</f>
        <v>RECON</v>
      </c>
    </row>
    <row r="23" spans="1:11" x14ac:dyDescent="0.25">
      <c r="A23" s="27" t="str">
        <f>ReconAccounts!F23</f>
        <v>RECON-HSBC -EXT</v>
      </c>
      <c r="B23" s="27" t="s">
        <v>82</v>
      </c>
      <c r="C23" s="27">
        <v>0</v>
      </c>
      <c r="D23" s="28">
        <f t="shared" si="1"/>
        <v>43242</v>
      </c>
      <c r="E23" s="27">
        <f t="shared" ca="1" si="2"/>
        <v>2487</v>
      </c>
      <c r="F23" s="27" t="s">
        <v>127</v>
      </c>
      <c r="G23" s="27" t="s">
        <v>8</v>
      </c>
      <c r="H23" s="27" t="s">
        <v>128</v>
      </c>
      <c r="I23" s="27" t="s">
        <v>77</v>
      </c>
      <c r="K23" s="8" t="str">
        <f>ReconAccounts!L23</f>
        <v>RECON</v>
      </c>
    </row>
    <row r="157" spans="1:1" x14ac:dyDescent="0.25">
      <c r="A157" s="27">
        <f ca="1">A2:A157</f>
        <v>0</v>
      </c>
    </row>
  </sheetData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P11:Q17"/>
  <sheetViews>
    <sheetView topLeftCell="A7" workbookViewId="0">
      <selection activeCell="O21" sqref="O21"/>
    </sheetView>
  </sheetViews>
  <sheetFormatPr defaultColWidth="8.85546875" defaultRowHeight="15" x14ac:dyDescent="0.25"/>
  <sheetData>
    <row r="11" spans="16:17" x14ac:dyDescent="0.25">
      <c r="P11" s="19">
        <v>0.7284722222222223</v>
      </c>
    </row>
    <row r="12" spans="16:17" x14ac:dyDescent="0.25">
      <c r="P12" s="19">
        <v>0.67291666666666661</v>
      </c>
    </row>
    <row r="13" spans="16:17" x14ac:dyDescent="0.25">
      <c r="P13" s="19">
        <f>P11-P12</f>
        <v>5.5555555555555691E-2</v>
      </c>
      <c r="Q13" s="19"/>
    </row>
    <row r="16" spans="16:17" x14ac:dyDescent="0.25">
      <c r="P16">
        <v>4800</v>
      </c>
    </row>
    <row r="17" spans="16:17" x14ac:dyDescent="0.25">
      <c r="P17">
        <v>2723</v>
      </c>
      <c r="Q17">
        <f>P16/P17</f>
        <v>1.7627616599338964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A1:V242"/>
  <sheetViews>
    <sheetView workbookViewId="0">
      <pane ySplit="1" topLeftCell="A2" activePane="bottomLeft" state="frozen"/>
      <selection pane="bottomLeft" activeCell="I5" sqref="I5"/>
    </sheetView>
  </sheetViews>
  <sheetFormatPr defaultColWidth="16" defaultRowHeight="15" x14ac:dyDescent="0.25"/>
  <cols>
    <col min="1" max="16384" width="16" style="8"/>
  </cols>
  <sheetData>
    <row r="1" spans="1:22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9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35</v>
      </c>
      <c r="T1" s="9" t="s">
        <v>37</v>
      </c>
      <c r="U1" s="9" t="s">
        <v>38</v>
      </c>
      <c r="V1" s="9" t="s">
        <v>39</v>
      </c>
    </row>
    <row r="2" spans="1:22" x14ac:dyDescent="0.25">
      <c r="A2" s="8" t="str">
        <f>F2</f>
        <v>ABC1236</v>
      </c>
      <c r="B2" s="5" t="s">
        <v>1</v>
      </c>
      <c r="C2" s="5"/>
      <c r="D2" s="5">
        <v>0</v>
      </c>
      <c r="E2" s="10" t="s">
        <v>27</v>
      </c>
      <c r="F2" s="5" t="s">
        <v>50</v>
      </c>
      <c r="G2" s="8">
        <v>100131376</v>
      </c>
      <c r="H2" s="8" t="s">
        <v>19</v>
      </c>
      <c r="I2" s="8">
        <v>5</v>
      </c>
      <c r="J2" s="8" t="s">
        <v>5</v>
      </c>
      <c r="K2" s="8">
        <v>5000000</v>
      </c>
      <c r="L2" s="8" t="s">
        <v>25</v>
      </c>
      <c r="M2" s="8" t="s">
        <v>28</v>
      </c>
      <c r="N2" s="8" t="s">
        <v>30</v>
      </c>
      <c r="O2" s="8" t="s">
        <v>4</v>
      </c>
      <c r="P2" s="8" t="s">
        <v>8</v>
      </c>
      <c r="R2" s="8" t="s">
        <v>36</v>
      </c>
      <c r="S2" s="8" t="str">
        <f>"$" &amp; A2</f>
        <v>$ABC1236</v>
      </c>
      <c r="T2" s="8" t="str">
        <f>"$" &amp; A2</f>
        <v>$ABC1236</v>
      </c>
      <c r="U2" s="8" t="str">
        <f>"$" &amp; A2</f>
        <v>$ABC1236</v>
      </c>
      <c r="V2" s="8" t="s">
        <v>40</v>
      </c>
    </row>
    <row r="3" spans="1:22" x14ac:dyDescent="0.25">
      <c r="A3" s="8" t="str">
        <f>F3</f>
        <v>ABC1237</v>
      </c>
      <c r="B3" s="5" t="s">
        <v>1</v>
      </c>
      <c r="C3" s="5"/>
      <c r="D3" s="5">
        <v>0</v>
      </c>
      <c r="E3" s="10" t="s">
        <v>27</v>
      </c>
      <c r="F3" s="5" t="s">
        <v>51</v>
      </c>
      <c r="G3" s="8">
        <v>100131376</v>
      </c>
      <c r="H3" s="8" t="s">
        <v>49</v>
      </c>
      <c r="I3" s="8">
        <v>5</v>
      </c>
      <c r="J3" s="8" t="s">
        <v>5</v>
      </c>
      <c r="K3" s="8">
        <v>5000000</v>
      </c>
      <c r="L3" s="8" t="s">
        <v>25</v>
      </c>
      <c r="M3" s="8" t="s">
        <v>28</v>
      </c>
      <c r="N3" s="8" t="s">
        <v>30</v>
      </c>
      <c r="O3" s="8" t="s">
        <v>4</v>
      </c>
      <c r="P3" s="8" t="s">
        <v>8</v>
      </c>
      <c r="R3" s="8" t="s">
        <v>36</v>
      </c>
      <c r="S3" s="8" t="str">
        <f>"$" &amp; A3</f>
        <v>$ABC1237</v>
      </c>
      <c r="T3" s="8" t="str">
        <f>"$" &amp; A3</f>
        <v>$ABC1237</v>
      </c>
      <c r="U3" s="8" t="str">
        <f>"$" &amp; A3</f>
        <v>$ABC1237</v>
      </c>
      <c r="V3" s="8" t="s">
        <v>40</v>
      </c>
    </row>
    <row r="4" spans="1:22" x14ac:dyDescent="0.25">
      <c r="A4" s="8" t="str">
        <f>F4</f>
        <v>ABC1238</v>
      </c>
      <c r="B4" s="5" t="s">
        <v>1</v>
      </c>
      <c r="C4" s="5"/>
      <c r="D4" s="5">
        <v>0</v>
      </c>
      <c r="E4" s="10" t="s">
        <v>27</v>
      </c>
      <c r="F4" s="5" t="s">
        <v>52</v>
      </c>
      <c r="G4" s="8">
        <v>100131376</v>
      </c>
      <c r="H4" s="8" t="s">
        <v>49</v>
      </c>
      <c r="I4" s="8">
        <v>3</v>
      </c>
      <c r="J4" s="8" t="s">
        <v>5</v>
      </c>
      <c r="K4" s="8">
        <v>5000000</v>
      </c>
      <c r="L4" s="8" t="s">
        <v>25</v>
      </c>
      <c r="M4" s="8" t="s">
        <v>28</v>
      </c>
      <c r="N4" s="8" t="s">
        <v>30</v>
      </c>
      <c r="O4" s="8" t="s">
        <v>4</v>
      </c>
      <c r="P4" s="8" t="s">
        <v>9</v>
      </c>
      <c r="R4" s="8" t="s">
        <v>36</v>
      </c>
      <c r="S4" s="8" t="str">
        <f>"$" &amp; A4</f>
        <v>$ABC1238</v>
      </c>
      <c r="T4" s="8" t="str">
        <f>"$" &amp; A4</f>
        <v>$ABC1238</v>
      </c>
      <c r="U4" s="8" t="str">
        <f>"$" &amp; A4</f>
        <v>$ABC1238</v>
      </c>
      <c r="V4" s="8" t="s">
        <v>40</v>
      </c>
    </row>
    <row r="5" spans="1:22" x14ac:dyDescent="0.25">
      <c r="B5" s="5"/>
      <c r="C5" s="5"/>
      <c r="D5" s="5"/>
      <c r="E5" s="10"/>
      <c r="F5" s="5"/>
    </row>
    <row r="6" spans="1:22" x14ac:dyDescent="0.25">
      <c r="B6" s="5"/>
      <c r="C6" s="5"/>
      <c r="D6" s="5"/>
      <c r="E6" s="10"/>
      <c r="F6" s="5"/>
    </row>
    <row r="7" spans="1:22" x14ac:dyDescent="0.25">
      <c r="B7" s="5"/>
      <c r="C7" s="5"/>
      <c r="D7" s="5"/>
      <c r="E7" s="10"/>
      <c r="F7" s="5"/>
    </row>
    <row r="8" spans="1:22" x14ac:dyDescent="0.25">
      <c r="B8" s="5"/>
      <c r="C8" s="5"/>
      <c r="D8" s="5"/>
      <c r="E8" s="10"/>
      <c r="F8" s="5"/>
    </row>
    <row r="9" spans="1:22" x14ac:dyDescent="0.25">
      <c r="B9" s="5"/>
      <c r="C9" s="5"/>
      <c r="D9" s="5"/>
      <c r="E9" s="10"/>
      <c r="F9" s="5"/>
    </row>
    <row r="10" spans="1:22" x14ac:dyDescent="0.25">
      <c r="B10" s="5"/>
      <c r="C10" s="5"/>
      <c r="D10" s="5"/>
      <c r="E10" s="10"/>
      <c r="F10" s="5"/>
    </row>
    <row r="11" spans="1:22" x14ac:dyDescent="0.25">
      <c r="B11" s="5"/>
      <c r="C11" s="5"/>
      <c r="D11" s="5"/>
      <c r="E11" s="10"/>
      <c r="F11" s="5"/>
    </row>
    <row r="12" spans="1:22" x14ac:dyDescent="0.25">
      <c r="B12" s="5"/>
      <c r="C12" s="5"/>
      <c r="D12" s="5"/>
      <c r="E12" s="10"/>
      <c r="F12" s="5"/>
    </row>
    <row r="13" spans="1:22" x14ac:dyDescent="0.25">
      <c r="B13" s="5"/>
      <c r="C13" s="5"/>
      <c r="D13" s="5"/>
      <c r="E13" s="10"/>
      <c r="F13" s="5"/>
    </row>
    <row r="14" spans="1:22" x14ac:dyDescent="0.25">
      <c r="B14" s="5"/>
      <c r="C14" s="5"/>
      <c r="D14" s="5"/>
      <c r="E14" s="10"/>
      <c r="F14" s="5"/>
    </row>
    <row r="15" spans="1:22" x14ac:dyDescent="0.25">
      <c r="B15" s="5"/>
      <c r="C15" s="5"/>
      <c r="D15" s="5"/>
      <c r="E15" s="10"/>
      <c r="F15" s="5"/>
    </row>
    <row r="16" spans="1:22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/>
  <dimension ref="A1:W242"/>
  <sheetViews>
    <sheetView topLeftCell="L1" workbookViewId="0">
      <pane ySplit="1" topLeftCell="A2" activePane="bottomLeft" state="frozen"/>
      <selection pane="bottomLeft" activeCell="V2" sqref="V2"/>
    </sheetView>
  </sheetViews>
  <sheetFormatPr defaultColWidth="16" defaultRowHeight="15" x14ac:dyDescent="0.25"/>
  <cols>
    <col min="1" max="16384" width="16" style="8"/>
  </cols>
  <sheetData>
    <row r="1" spans="1:23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20</v>
      </c>
      <c r="J1" s="9" t="s">
        <v>22</v>
      </c>
      <c r="K1" s="9" t="s">
        <v>23</v>
      </c>
      <c r="L1" s="9" t="s">
        <v>24</v>
      </c>
      <c r="M1" s="9" t="s">
        <v>3</v>
      </c>
      <c r="N1" s="9" t="s">
        <v>26</v>
      </c>
      <c r="O1" s="9" t="s">
        <v>29</v>
      </c>
      <c r="P1" s="9" t="s">
        <v>31</v>
      </c>
      <c r="Q1" s="9" t="s">
        <v>32</v>
      </c>
      <c r="R1" s="9" t="s">
        <v>33</v>
      </c>
      <c r="S1" s="9" t="s">
        <v>34</v>
      </c>
      <c r="T1" s="9" t="s">
        <v>35</v>
      </c>
      <c r="U1" s="9" t="s">
        <v>37</v>
      </c>
      <c r="V1" s="9" t="s">
        <v>38</v>
      </c>
      <c r="W1" s="9" t="s">
        <v>39</v>
      </c>
    </row>
    <row r="2" spans="1:23" x14ac:dyDescent="0.25">
      <c r="A2" s="8" t="str">
        <f>F2</f>
        <v>ABC1234</v>
      </c>
      <c r="B2" s="5" t="s">
        <v>1</v>
      </c>
      <c r="C2" s="5"/>
      <c r="D2" s="5">
        <v>0</v>
      </c>
      <c r="E2" s="10" t="s">
        <v>27</v>
      </c>
      <c r="F2" s="5" t="s">
        <v>15</v>
      </c>
      <c r="G2" s="8" t="s">
        <v>17</v>
      </c>
      <c r="H2" s="8" t="s">
        <v>19</v>
      </c>
      <c r="I2" s="8" t="s">
        <v>21</v>
      </c>
      <c r="J2" s="8">
        <v>5</v>
      </c>
      <c r="K2" s="8" t="s">
        <v>5</v>
      </c>
      <c r="L2" s="8">
        <v>5000000</v>
      </c>
      <c r="M2" s="8" t="s">
        <v>25</v>
      </c>
      <c r="N2" s="8" t="s">
        <v>28</v>
      </c>
      <c r="O2" s="8" t="s">
        <v>30</v>
      </c>
      <c r="P2" s="8" t="s">
        <v>4</v>
      </c>
      <c r="Q2" s="8" t="s">
        <v>7</v>
      </c>
      <c r="S2" s="8" t="s">
        <v>36</v>
      </c>
      <c r="W2" s="8" t="s">
        <v>40</v>
      </c>
    </row>
    <row r="3" spans="1:23" x14ac:dyDescent="0.25">
      <c r="A3" s="8" t="s">
        <v>41</v>
      </c>
      <c r="B3" s="5" t="s">
        <v>1</v>
      </c>
      <c r="C3" s="5"/>
      <c r="D3" s="5">
        <v>0</v>
      </c>
      <c r="E3" s="10" t="s">
        <v>27</v>
      </c>
      <c r="F3" s="5" t="s">
        <v>41</v>
      </c>
      <c r="G3" s="8" t="s">
        <v>17</v>
      </c>
      <c r="H3" s="8" t="s">
        <v>19</v>
      </c>
      <c r="I3" s="8" t="s">
        <v>21</v>
      </c>
      <c r="J3" s="8">
        <v>5</v>
      </c>
      <c r="K3" s="8" t="s">
        <v>5</v>
      </c>
      <c r="L3" s="8">
        <v>5000000</v>
      </c>
      <c r="M3" s="8" t="s">
        <v>25</v>
      </c>
      <c r="N3" s="8" t="s">
        <v>28</v>
      </c>
      <c r="O3" s="8" t="s">
        <v>30</v>
      </c>
      <c r="P3" s="8" t="s">
        <v>4</v>
      </c>
      <c r="Q3" s="8" t="s">
        <v>7</v>
      </c>
      <c r="S3" s="8" t="s">
        <v>36</v>
      </c>
      <c r="W3" s="8" t="s">
        <v>40</v>
      </c>
    </row>
    <row r="4" spans="1:23" x14ac:dyDescent="0.25">
      <c r="B4" s="5"/>
      <c r="C4" s="5"/>
      <c r="D4" s="5"/>
      <c r="E4" s="10"/>
      <c r="F4" s="5"/>
    </row>
    <row r="5" spans="1:23" x14ac:dyDescent="0.25">
      <c r="B5" s="5"/>
      <c r="C5" s="5"/>
      <c r="D5" s="5"/>
      <c r="E5" s="10"/>
      <c r="F5" s="5"/>
    </row>
    <row r="6" spans="1:23" x14ac:dyDescent="0.25">
      <c r="B6" s="5"/>
      <c r="C6" s="5"/>
      <c r="D6" s="5"/>
      <c r="E6" s="10"/>
      <c r="F6" s="5"/>
    </row>
    <row r="7" spans="1:23" x14ac:dyDescent="0.25">
      <c r="B7" s="5"/>
      <c r="C7" s="5"/>
      <c r="D7" s="5"/>
      <c r="E7" s="10"/>
      <c r="F7" s="5"/>
    </row>
    <row r="8" spans="1:23" x14ac:dyDescent="0.25">
      <c r="B8" s="5"/>
      <c r="C8" s="5"/>
      <c r="D8" s="5"/>
      <c r="E8" s="10"/>
      <c r="F8" s="5"/>
    </row>
    <row r="9" spans="1:23" x14ac:dyDescent="0.25">
      <c r="B9" s="5"/>
      <c r="C9" s="5"/>
      <c r="D9" s="5"/>
      <c r="E9" s="10"/>
      <c r="F9" s="5"/>
    </row>
    <row r="10" spans="1:23" x14ac:dyDescent="0.25">
      <c r="B10" s="5"/>
      <c r="C10" s="5"/>
      <c r="D10" s="5"/>
      <c r="E10" s="10"/>
      <c r="F10" s="5"/>
    </row>
    <row r="11" spans="1:23" x14ac:dyDescent="0.25">
      <c r="B11" s="5"/>
      <c r="C11" s="5"/>
      <c r="D11" s="5"/>
      <c r="E11" s="10"/>
      <c r="F11" s="5"/>
    </row>
    <row r="12" spans="1:23" x14ac:dyDescent="0.25">
      <c r="B12" s="5"/>
      <c r="C12" s="5"/>
      <c r="D12" s="5"/>
      <c r="E12" s="10"/>
      <c r="F12" s="5"/>
    </row>
    <row r="13" spans="1:23" x14ac:dyDescent="0.25">
      <c r="B13" s="5"/>
      <c r="C13" s="5"/>
      <c r="D13" s="5"/>
      <c r="E13" s="10"/>
      <c r="F13" s="5"/>
    </row>
    <row r="14" spans="1:23" x14ac:dyDescent="0.25">
      <c r="B14" s="5"/>
      <c r="C14" s="5"/>
      <c r="D14" s="5"/>
      <c r="E14" s="10"/>
      <c r="F14" s="5"/>
    </row>
    <row r="15" spans="1:23" x14ac:dyDescent="0.25">
      <c r="B15" s="5"/>
      <c r="C15" s="5"/>
      <c r="D15" s="5"/>
      <c r="E15" s="10"/>
      <c r="F15" s="5"/>
    </row>
    <row r="16" spans="1:23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13.28515625" style="4" bestFit="1" customWidth="1"/>
  </cols>
  <sheetData>
    <row r="1" spans="1:2" x14ac:dyDescent="0.25">
      <c r="A1" s="3" t="s">
        <v>10</v>
      </c>
      <c r="B1" s="11" t="s">
        <v>42</v>
      </c>
    </row>
    <row r="2" spans="1:2" x14ac:dyDescent="0.25">
      <c r="A2" s="2" t="s">
        <v>52</v>
      </c>
      <c r="B2" s="7" t="s">
        <v>43</v>
      </c>
    </row>
    <row r="3" spans="1:2" x14ac:dyDescent="0.25">
      <c r="A3" s="2" t="s">
        <v>52</v>
      </c>
      <c r="B3" s="7" t="s">
        <v>44</v>
      </c>
    </row>
    <row r="4" spans="1:2" x14ac:dyDescent="0.25">
      <c r="A4" s="2" t="s">
        <v>52</v>
      </c>
      <c r="B4" s="4" t="s">
        <v>45</v>
      </c>
    </row>
    <row r="5" spans="1:2" x14ac:dyDescent="0.25">
      <c r="A5" s="2" t="s">
        <v>52</v>
      </c>
      <c r="B5" s="4" t="s">
        <v>46</v>
      </c>
    </row>
    <row r="6" spans="1:2" x14ac:dyDescent="0.25">
      <c r="A6" s="2" t="s">
        <v>50</v>
      </c>
      <c r="B6" s="7" t="s">
        <v>43</v>
      </c>
    </row>
    <row r="7" spans="1:2" x14ac:dyDescent="0.25">
      <c r="A7" s="2" t="s">
        <v>50</v>
      </c>
      <c r="B7" s="7" t="s">
        <v>44</v>
      </c>
    </row>
    <row r="8" spans="1:2" x14ac:dyDescent="0.25">
      <c r="A8" s="2" t="s">
        <v>50</v>
      </c>
      <c r="B8" s="4" t="s">
        <v>45</v>
      </c>
    </row>
    <row r="9" spans="1:2" x14ac:dyDescent="0.25">
      <c r="A9" s="2" t="s">
        <v>50</v>
      </c>
      <c r="B9" s="4" t="s">
        <v>46</v>
      </c>
    </row>
    <row r="1627" spans="1:1" x14ac:dyDescent="0.25">
      <c r="A1627" t="s">
        <v>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8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13.28515625" style="4" bestFit="1" customWidth="1"/>
  </cols>
  <sheetData>
    <row r="1" spans="1:2" x14ac:dyDescent="0.25">
      <c r="A1" s="3" t="s">
        <v>10</v>
      </c>
      <c r="B1" s="11" t="s">
        <v>47</v>
      </c>
    </row>
    <row r="2" spans="1:2" x14ac:dyDescent="0.25">
      <c r="A2" s="2" t="s">
        <v>52</v>
      </c>
      <c r="B2" s="7" t="s">
        <v>48</v>
      </c>
    </row>
    <row r="3" spans="1:2" x14ac:dyDescent="0.25">
      <c r="A3" s="2" t="s">
        <v>52</v>
      </c>
      <c r="B3" s="7"/>
    </row>
    <row r="4" spans="1:2" x14ac:dyDescent="0.25">
      <c r="A4" s="2" t="s">
        <v>52</v>
      </c>
    </row>
    <row r="5" spans="1:2" x14ac:dyDescent="0.25">
      <c r="A5" s="2" t="s">
        <v>52</v>
      </c>
    </row>
    <row r="6" spans="1:2" x14ac:dyDescent="0.25">
      <c r="A6" s="2" t="s">
        <v>50</v>
      </c>
      <c r="B6" s="7"/>
    </row>
    <row r="7" spans="1:2" x14ac:dyDescent="0.25">
      <c r="A7" s="2" t="s">
        <v>50</v>
      </c>
      <c r="B7" s="7"/>
    </row>
    <row r="8" spans="1:2" x14ac:dyDescent="0.25">
      <c r="A8" s="2" t="s">
        <v>50</v>
      </c>
    </row>
    <row r="9" spans="1:2" x14ac:dyDescent="0.25">
      <c r="A9" s="2" t="s">
        <v>50</v>
      </c>
    </row>
    <row r="1627" spans="1:1" x14ac:dyDescent="0.25">
      <c r="A1627" t="s">
        <v>2</v>
      </c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9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20.7109375" style="4" bestFit="1" customWidth="1"/>
  </cols>
  <sheetData>
    <row r="1" spans="1:2" x14ac:dyDescent="0.25">
      <c r="A1" s="3" t="s">
        <v>10</v>
      </c>
      <c r="B1" s="11" t="s">
        <v>38</v>
      </c>
    </row>
    <row r="2" spans="1:2" x14ac:dyDescent="0.25">
      <c r="A2" s="2" t="s">
        <v>52</v>
      </c>
      <c r="B2" s="7"/>
    </row>
    <row r="3" spans="1:2" x14ac:dyDescent="0.25">
      <c r="A3" s="2" t="s">
        <v>52</v>
      </c>
      <c r="B3" s="7"/>
    </row>
    <row r="4" spans="1:2" x14ac:dyDescent="0.25">
      <c r="A4" s="2" t="s">
        <v>52</v>
      </c>
    </row>
    <row r="5" spans="1:2" x14ac:dyDescent="0.25">
      <c r="A5" s="2" t="s">
        <v>52</v>
      </c>
    </row>
    <row r="6" spans="1:2" x14ac:dyDescent="0.25">
      <c r="A6" s="2" t="s">
        <v>50</v>
      </c>
      <c r="B6" s="7"/>
    </row>
    <row r="7" spans="1:2" x14ac:dyDescent="0.25">
      <c r="A7" s="2" t="s">
        <v>50</v>
      </c>
      <c r="B7" s="7"/>
    </row>
    <row r="8" spans="1:2" x14ac:dyDescent="0.25">
      <c r="A8" s="2" t="s">
        <v>50</v>
      </c>
    </row>
    <row r="9" spans="1:2" x14ac:dyDescent="0.25">
      <c r="A9" s="2" t="s">
        <v>50</v>
      </c>
    </row>
    <row r="1627" spans="1:1" x14ac:dyDescent="0.25">
      <c r="A1627" t="s">
        <v>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Setup</vt:lpstr>
      <vt:lpstr>Accounts</vt:lpstr>
      <vt:lpstr>SpotUpload</vt:lpstr>
      <vt:lpstr>Sheet3</vt:lpstr>
      <vt:lpstr>StatementUpload</vt:lpstr>
      <vt:lpstr>HSFT</vt:lpstr>
      <vt:lpstr>HSFX</vt:lpstr>
      <vt:lpstr>HSFT-S</vt:lpstr>
      <vt:lpstr>HSFX-S</vt:lpstr>
      <vt:lpstr>Sample</vt:lpstr>
      <vt:lpstr>ReconAccounts</vt:lpstr>
      <vt:lpstr>ReconUpload</vt:lpstr>
      <vt:lpstr>RUN</vt:lpstr>
      <vt:lpstr>Term</vt:lpstr>
      <vt:lpstr>$Term2</vt:lpstr>
      <vt:lpstr>$TermInterestDates</vt:lpstr>
      <vt:lpstr>$TermInterestRates</vt:lpstr>
      <vt:lpstr>$TermInterestAmortisations</vt:lpstr>
    </vt:vector>
  </TitlesOfParts>
  <Company>Banco do Brasil SA.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 Newell</dc:creator>
  <cp:lastModifiedBy>Matt Townsend</cp:lastModifiedBy>
  <cp:lastPrinted>2019-08-27T12:50:13Z</cp:lastPrinted>
  <dcterms:created xsi:type="dcterms:W3CDTF">2011-04-06T15:22:11Z</dcterms:created>
  <dcterms:modified xsi:type="dcterms:W3CDTF">2019-09-16T13:56:12Z</dcterms:modified>
</cp:coreProperties>
</file>