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D0800560-8ADC-4408-9313-2E035C86C9EE}" xr6:coauthVersionLast="41" xr6:coauthVersionMax="45" xr10:uidLastSave="{00000000-0000-0000-0000-000000000000}"/>
  <bookViews>
    <workbookView xWindow="-120" yWindow="-120" windowWidth="29040" windowHeight="15990" tabRatio="997" activeTab="5" xr2:uid="{00000000-000D-0000-FFFF-FFFF00000000}"/>
  </bookViews>
  <sheets>
    <sheet name="Setup" sheetId="8" r:id="rId1"/>
    <sheet name="ACC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1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W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L58" i="85" l="1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77" i="85"/>
  <c r="S77" i="85" s="1"/>
  <c r="U46" i="85"/>
  <c r="F46" i="85" s="1"/>
  <c r="L66" i="85"/>
  <c r="W24" i="85"/>
  <c r="W41" i="85"/>
  <c r="W31" i="85"/>
  <c r="U26" i="85"/>
  <c r="F26" i="85" s="1"/>
  <c r="L60" i="85"/>
  <c r="W56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U41" i="85"/>
  <c r="S41" i="85" s="1"/>
  <c r="U35" i="85"/>
  <c r="T35" i="85" s="1"/>
  <c r="U39" i="85"/>
  <c r="F39" i="85" s="1"/>
  <c r="W36" i="85"/>
  <c r="W34" i="85"/>
  <c r="L78" i="85"/>
  <c r="L76" i="85"/>
  <c r="F64" i="85"/>
  <c r="T74" i="85"/>
  <c r="F74" i="85"/>
  <c r="W75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S55" i="85"/>
  <c r="U59" i="85"/>
  <c r="S59" i="85" s="1"/>
  <c r="U51" i="85"/>
  <c r="S51" i="85" s="1"/>
  <c r="W46" i="85"/>
  <c r="W55" i="85"/>
  <c r="W52" i="85"/>
  <c r="W44" i="85"/>
  <c r="S42" i="85"/>
  <c r="F41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S39" i="85" l="1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7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F13" i="85" l="1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S22" i="92" s="1"/>
  <c r="T22" i="92" s="1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S20" i="92" s="1"/>
  <c r="T20" i="92" s="1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S18" i="92" s="1"/>
  <c r="T18" i="92" s="1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S16" i="92" s="1"/>
  <c r="T16" i="92" s="1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S14" i="92" s="1"/>
  <c r="T14" i="92" s="1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S12" i="92" s="1"/>
  <c r="T12" i="92" s="1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S10" i="92" s="1"/>
  <c r="T10" i="92" s="1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S8" i="92" s="1"/>
  <c r="T8" i="92" s="1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S6" i="92" s="1"/>
  <c r="T6" i="92" s="1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S4" i="92" s="1"/>
  <c r="T4" i="92" s="1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3" i="16" l="1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<sst xmlns="http://schemas.openxmlformats.org/spreadsheetml/2006/main" count="2201" uniqueCount="466">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</sst>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" TargetMode="External"/><Relationship Id="rId1" Type="http://schemas.openxmlformats.org/officeDocument/2006/relationships/hyperlink" Target="file:///\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D15" sqref="D1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335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318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opLeftCell="P1" zoomScaleNormal="100" workbookViewId="0">
      <selection activeCell="S13" sqref="S13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5703125" style="46" bestFit="1" customWidth="1"/>
    <col min="20" max="20" width="37.5703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8bd6f347-3e43-89ba-0197-c2bf34db9aa9-aa2</v>
      </c>
      <c r="B2" s="46" t="s">
        <v>78</v>
      </c>
      <c r="C2" s="46" t="str">
        <f ca="1">A2</f>
        <v>8bd6f347-3e43-89ba-0197-c2bf34db9aa9-aa2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[BRL][2E9C5][BRL.CASHTXA.BDB00000][U1]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e927b713-08c0-1f09-3b1c-680786d79a84-aa3</v>
      </c>
      <c r="B3" s="46" t="s">
        <v>78</v>
      </c>
      <c r="C3" s="46" t="str">
        <f t="shared" ref="C3:C21" ca="1" si="1">A3</f>
        <v>e927b713-08c0-1f09-3b1c-680786d79a84-aa3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[USD][2E9C5][USD.CASHTXA.BDB00000][U1]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3497c1e2-023d-51ff-98ff-b3c383352d96-aa4</v>
      </c>
      <c r="B4" s="46" t="s">
        <v>78</v>
      </c>
      <c r="C4" s="46" t="str">
        <f t="shared" ca="1" si="1"/>
        <v>3497c1e2-023d-51ff-98ff-b3c383352d96-aa4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[BRL][2E9C5][BRL.CASHTXF.BDB00000][U1]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15">
      <c r="A5" s="46" t="str">
        <f t="shared" ca="1" si="0"/>
        <v>ebec31b1-32d3-10c9-31c3-266550244cd3-aa5</v>
      </c>
      <c r="B5" s="46" t="s">
        <v>78</v>
      </c>
      <c r="C5" s="46" t="str">
        <f t="shared" ca="1" si="1"/>
        <v>ebec31b1-32d3-10c9-31c3-266550244cd3-aa5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[USD][2E9C5][USD.CASHTXF.BDB00000][U1]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15">
      <c r="A6" s="46" t="str">
        <f t="shared" ca="1" si="0"/>
        <v>767026f9-12e9-9fcb-3e8d-262309aa9cc4-aa6</v>
      </c>
      <c r="B6" s="46" t="s">
        <v>78</v>
      </c>
      <c r="C6" s="46" t="str">
        <f t="shared" ca="1" si="1"/>
        <v>767026f9-12e9-9fcb-3e8d-262309aa9cc4-aa6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[BRL][2E9C5][BRL.CUSTINSTA.BDB000][U1]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15">
      <c r="A7" s="46" t="str">
        <f t="shared" ca="1" si="0"/>
        <v>199e9014-9778-14d8-4da6-40bf3a6a3d83-aa7</v>
      </c>
      <c r="B7" s="46" t="s">
        <v>78</v>
      </c>
      <c r="C7" s="46" t="str">
        <f t="shared" ca="1" si="1"/>
        <v>199e9014-9778-14d8-4da6-40bf3a6a3d83-aa7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[USD][2E9C5][USD.CUSTINSTA.BDB000][U1]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15">
      <c r="A8" s="46" t="str">
        <f t="shared" ca="1" si="0"/>
        <v>7371bade-6e3f-2582-3b17-7d6090bd0daf-aa8</v>
      </c>
      <c r="B8" s="46" t="s">
        <v>78</v>
      </c>
      <c r="C8" s="46" t="str">
        <f t="shared" ca="1" si="1"/>
        <v>7371bade-6e3f-2582-3b17-7d6090bd0daf-aa8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[BRL][2E9C5][BRL.CUSTINSTF.BDB000][U1]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15">
      <c r="A9" s="46" t="str">
        <f t="shared" ca="1" si="0"/>
        <v>76fd9c08-527c-5058-6115-df110722632a-aa9</v>
      </c>
      <c r="B9" s="46" t="s">
        <v>78</v>
      </c>
      <c r="C9" s="46" t="str">
        <f t="shared" ca="1" si="1"/>
        <v>76fd9c08-527c-5058-6115-df110722632a-aa9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[USD][2E9C5][USD.CUSTINSTF.BDB000][U1]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15">
      <c r="A10" s="46" t="str">
        <f t="shared" ca="1" si="0"/>
        <v>98c9b5f6-33c3-97be-7c5b-b278253ba018-a1a</v>
      </c>
      <c r="B10" s="46" t="s">
        <v>78</v>
      </c>
      <c r="C10" s="46" t="str">
        <f t="shared" ca="1" si="1"/>
        <v>98c9b5f6-33c3-97be-7c5b-b278253ba018-a1a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[BRL][2E9C5][BRL.FXA.BDB000000000][U1]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15">
      <c r="A11" s="46" t="str">
        <f t="shared" ca="1" si="0"/>
        <v>00786bba-4507-5447-18a7-5765485324fc-a11</v>
      </c>
      <c r="B11" s="46" t="s">
        <v>78</v>
      </c>
      <c r="C11" s="46" t="str">
        <f t="shared" ca="1" si="1"/>
        <v>00786bba-4507-5447-18a7-5765485324fc-a11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[USD][2E9C5][USD.FXA.BDB000000000][U1]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15">
      <c r="A12" s="46" t="str">
        <f t="shared" ca="1" si="0"/>
        <v>fc29e97c-63c5-30a9-27b6-9f4350999f1b-a12</v>
      </c>
      <c r="B12" s="46" t="s">
        <v>78</v>
      </c>
      <c r="C12" s="46" t="str">
        <f t="shared" ca="1" si="1"/>
        <v>fc29e97c-63c5-30a9-27b6-9f4350999f1b-a12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[BRL][2E9C5][BRL.FXF.BDB000000000][U1]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15">
      <c r="A13" s="46" t="str">
        <f t="shared" ca="1" si="0"/>
        <v>9b689140-1162-321e-52d9-3ac4349a083f-a13</v>
      </c>
      <c r="B13" s="46" t="s">
        <v>78</v>
      </c>
      <c r="C13" s="46" t="str">
        <f t="shared" ca="1" si="1"/>
        <v>9b689140-1162-321e-52d9-3ac4349a083f-a13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[USD][2E9C5][USD.FXF.BDB000000000][U1]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15">
      <c r="A14" s="46" t="str">
        <f t="shared" ca="1" si="0"/>
        <v>e3071c9a-39a3-87df-34c3-0860bea09a13-a14</v>
      </c>
      <c r="B14" s="46" t="s">
        <v>78</v>
      </c>
      <c r="C14" s="46" t="str">
        <f t="shared" ca="1" si="1"/>
        <v>e3071c9a-39a3-87df-34c3-0860bea09a13-a14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[BRL][2E9C5][BRL.LOCKFXA.BDB00000][U1]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15">
      <c r="A15" s="46" t="str">
        <f t="shared" ca="1" si="0"/>
        <v>ab833f57-19a9-77da-2452-e49b3ed737ad-a15</v>
      </c>
      <c r="B15" s="46" t="s">
        <v>78</v>
      </c>
      <c r="C15" s="46" t="str">
        <f t="shared" ca="1" si="1"/>
        <v>ab833f57-19a9-77da-2452-e49b3ed737ad-a15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[USD][2E9C5][USD.LOCKFXA.BDB00000][U1]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15">
      <c r="A16" s="46" t="str">
        <f t="shared" ca="1" si="0"/>
        <v>b89d0c67-659b-7d37-3e64-fbe978de6f5c-a16</v>
      </c>
      <c r="B16" s="46" t="s">
        <v>78</v>
      </c>
      <c r="C16" s="46" t="str">
        <f t="shared" ca="1" si="1"/>
        <v>b89d0c67-659b-7d37-3e64-fbe978de6f5c-a16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[BRL][2E9C5][BRL.LOCKFXF.BDB00000][U1]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15">
      <c r="A17" s="46" t="str">
        <f t="shared" ca="1" si="0"/>
        <v>064c9348-a10a-3185-591b-20cd05d581ce-a17</v>
      </c>
      <c r="B17" s="46" t="s">
        <v>78</v>
      </c>
      <c r="C17" s="46" t="str">
        <f t="shared" ca="1" si="1"/>
        <v>064c9348-a10a-3185-591b-20cd05d581ce-a17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[USD][2E9C5][USD.LOCKFXF.BDB00000][U1]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15">
      <c r="A18" s="46" t="str">
        <f t="shared" ca="1" si="0"/>
        <v>a32d7723-1044-8786-0798-abfea19e5f90-a18</v>
      </c>
      <c r="B18" s="46" t="s">
        <v>78</v>
      </c>
      <c r="C18" s="46" t="str">
        <f t="shared" ca="1" si="1"/>
        <v>a32d7723-1044-8786-0798-abfea19e5f90-a18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[BRL][2E9C5][BRL.LOCKINSTA.BDB000][U1]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15">
      <c r="A19" s="46" t="str">
        <f t="shared" ca="1" si="0"/>
        <v>a55e55a5-7e3a-9083-609a-ea168a6076fd-a19</v>
      </c>
      <c r="B19" s="46" t="s">
        <v>78</v>
      </c>
      <c r="C19" s="46" t="str">
        <f t="shared" ca="1" si="1"/>
        <v>a55e55a5-7e3a-9083-609a-ea168a6076fd-a19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[USD][2E9C5][USD.LOCKINSTA.BDB000][U1]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15">
      <c r="A20" s="46" t="str">
        <f t="shared" ca="1" si="0"/>
        <v>c10dcb47-2aa2-a43a-2773-75a7c3e04178-a2a</v>
      </c>
      <c r="B20" s="46" t="s">
        <v>78</v>
      </c>
      <c r="C20" s="46" t="str">
        <f t="shared" ca="1" si="1"/>
        <v>c10dcb47-2aa2-a43a-2773-75a7c3e04178-a2a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[BRL][2E9C5][BRL.LOCKINSTF.BDB000][U1]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15">
      <c r="A21" s="46" t="str">
        <f t="shared" ca="1" si="0"/>
        <v>8821b168-0df0-180a-4a1a-c0c654378991-a21</v>
      </c>
      <c r="B21" s="46" t="s">
        <v>78</v>
      </c>
      <c r="C21" s="46" t="str">
        <f t="shared" ca="1" si="1"/>
        <v>8821b168-0df0-180a-4a1a-c0c654378991-a21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[USD][2E9C5][USD.LOCKINSTF.BDB000][U1]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15">
      <c r="A22" s="46" t="str">
        <f t="shared" ca="1" si="0"/>
        <v>9f360c1a-288a-1eb7-3038-e35fcf9009fa-a22</v>
      </c>
      <c r="B22" s="46" t="s">
        <v>78</v>
      </c>
      <c r="C22" s="46" t="str">
        <f t="shared" ref="C22" ca="1" si="13">A22</f>
        <v>9f360c1a-288a-1eb7-3038-e35fcf9009fa-a22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[BDT][2E9C5][BDT.CASHTXA.SCB00000][U2]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eae3b70f-4b75-115e-72f2-64f8f0e362e8-a23</v>
      </c>
      <c r="B23" s="46" t="s">
        <v>78</v>
      </c>
      <c r="C23" s="46" t="str">
        <f t="shared" ref="C23:C24" ca="1" si="18">A23</f>
        <v>eae3b70f-4b75-115e-72f2-64f8f0e362e8-a23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[USD][2E9C5][USD.CASHTXA.SCB00000][U2]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53622996-985a-5a83-5439-52f2962c1d26-a24</v>
      </c>
      <c r="B24" s="46" t="s">
        <v>78</v>
      </c>
      <c r="C24" s="46" t="str">
        <f t="shared" ca="1" si="18"/>
        <v>53622996-985a-5a83-5439-52f2962c1d26-a24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[BDT][2E9C5][BDT.CASHTXF.SCB00000][U2]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15">
      <c r="A25" s="46" t="str">
        <f t="shared" ca="1" si="0"/>
        <v>0aca6dba-1ec3-836f-1e9f-c98e91ce0b77-a25</v>
      </c>
      <c r="B25" s="46" t="s">
        <v>78</v>
      </c>
      <c r="C25" s="46" t="str">
        <f t="shared" ref="C25:C28" ca="1" si="24">A25</f>
        <v>0aca6dba-1ec3-836f-1e9f-c98e91ce0b77-a25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[USD][2E9C5][USD.CASHTXF.SCB00000][U2]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91af7e11-547e-367a-8953-fab2ea326bf0-a26</v>
      </c>
      <c r="B26" s="46" t="s">
        <v>78</v>
      </c>
      <c r="C26" s="46" t="str">
        <f t="shared" ca="1" si="24"/>
        <v>91af7e11-547e-367a-8953-fab2ea326bf0-a26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3" si="29">I$2</f>
        <v>0</v>
      </c>
      <c r="J26" s="46" t="s">
        <v>320</v>
      </c>
      <c r="K26" s="46">
        <f t="shared" si="3"/>
        <v>0</v>
      </c>
      <c r="L26" s="46" t="str">
        <f t="shared" ref="L26:L83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[BDT][2E9C5][BDT.CUSTINSTA.SCB000][U2]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15">
      <c r="A27" s="46" t="str">
        <f t="shared" ca="1" si="0"/>
        <v>ad410ac2-8ce3-04b3-a27f-9aa6c53956f9-a27</v>
      </c>
      <c r="B27" s="46" t="s">
        <v>78</v>
      </c>
      <c r="C27" s="46" t="str">
        <f t="shared" ca="1" si="24"/>
        <v>ad410ac2-8ce3-04b3-a27f-9aa6c53956f9-a27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[USD][2E9C5][USD.CUSTINSTA.SCB000][U2]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15">
      <c r="A28" s="46" t="str">
        <f t="shared" ca="1" si="0"/>
        <v>efea0585-468b-4c65-6eec-f3bf47d70801-a28</v>
      </c>
      <c r="B28" s="46" t="s">
        <v>78</v>
      </c>
      <c r="C28" s="46" t="str">
        <f t="shared" ca="1" si="24"/>
        <v>efea0585-468b-4c65-6eec-f3bf47d70801-a28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[BDT][2E9C5][BDT.CUSTINSTF.SCB000][U2]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15">
      <c r="A29" s="46" t="str">
        <f t="shared" ca="1" si="0"/>
        <v>4e3ba9d0-36f5-6821-76c6-65a1b2251aad-a29</v>
      </c>
      <c r="B29" s="46" t="s">
        <v>78</v>
      </c>
      <c r="C29" s="46" t="str">
        <f t="shared" ref="C29:C43" ca="1" si="32">A29</f>
        <v>4e3ba9d0-36f5-6821-76c6-65a1b2251aad-a29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[USD][2E9C5][USD.CUSTINSTF.SCB000][U2]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5309fed4-a5a7-3a0b-9c3b-1924459d82bf-a3a</v>
      </c>
      <c r="B30" s="46" t="s">
        <v>78</v>
      </c>
      <c r="C30" s="46" t="str">
        <f t="shared" ca="1" si="32"/>
        <v>5309fed4-a5a7-3a0b-9c3b-1924459d82bf-a3a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[BDT][2E9C5][BDT.FXA.SCB000000000][U2]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15">
      <c r="A31" s="46" t="str">
        <f t="shared" ca="1" si="0"/>
        <v>4c6d4451-9993-1649-19ff-438fc3d79c3b-a31</v>
      </c>
      <c r="B31" s="46" t="s">
        <v>78</v>
      </c>
      <c r="C31" s="46" t="str">
        <f t="shared" ca="1" si="32"/>
        <v>4c6d4451-9993-1649-19ff-438fc3d79c3b-a31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[USD][2E9C5][USD.FXA.SCB000000000][U2]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15">
      <c r="A32" s="46" t="str">
        <f t="shared" ca="1" si="0"/>
        <v>4f44dd3b-07bc-5168-a6a2-6d1ce9b540bc-a32</v>
      </c>
      <c r="B32" s="46" t="s">
        <v>78</v>
      </c>
      <c r="C32" s="46" t="str">
        <f t="shared" ca="1" si="32"/>
        <v>4f44dd3b-07bc-5168-a6a2-6d1ce9b540bc-a32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[BDT][2E9C5][BDT.FXF.SCB000000000][U2]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15">
      <c r="A33" s="46" t="str">
        <f t="shared" ca="1" si="0"/>
        <v>9ecb00c8-703b-9ae9-4b4b-82c663045093-a33</v>
      </c>
      <c r="B33" s="46" t="s">
        <v>78</v>
      </c>
      <c r="C33" s="46" t="str">
        <f t="shared" ca="1" si="32"/>
        <v>9ecb00c8-703b-9ae9-4b4b-82c663045093-a33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[USD][2E9C5][USD.FXF.SCB000000000][U2]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15">
      <c r="A34" s="46" t="str">
        <f t="shared" ca="1" si="0"/>
        <v>cbe6d6de-6fb9-4961-650d-6c0ab17e1307-a34</v>
      </c>
      <c r="B34" s="46" t="s">
        <v>78</v>
      </c>
      <c r="C34" s="46" t="str">
        <f t="shared" ca="1" si="32"/>
        <v>cbe6d6de-6fb9-4961-650d-6c0ab17e1307-a34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[BDT][2E9C5][BDT.LOCKFXA.SCB00000][U2]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15">
      <c r="A35" s="46" t="str">
        <f t="shared" ca="1" si="0"/>
        <v>0f2c9fba-2bf5-1268-6e94-eab3fd463de7-a35</v>
      </c>
      <c r="B35" s="46" t="s">
        <v>78</v>
      </c>
      <c r="C35" s="46" t="str">
        <f t="shared" ca="1" si="32"/>
        <v>0f2c9fba-2bf5-1268-6e94-eab3fd463de7-a35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[USD][2E9C5][USD.LOCKFXA.SCB00000][U2]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15">
      <c r="A36" s="46" t="str">
        <f t="shared" ca="1" si="0"/>
        <v>a5b6cd06-5f82-4f2e-77c9-6ed5df4327b3-a36</v>
      </c>
      <c r="B36" s="46" t="s">
        <v>78</v>
      </c>
      <c r="C36" s="46" t="str">
        <f t="shared" ca="1" si="32"/>
        <v>a5b6cd06-5f82-4f2e-77c9-6ed5df4327b3-a36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[BDT][2E9C5][BDT.LOCKFXF.SCB00000][U2]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15">
      <c r="A37" s="46" t="str">
        <f t="shared" ca="1" si="0"/>
        <v>e2f89583-9c7c-9fcf-7ccf-c1ec4e2c4a5c-a37</v>
      </c>
      <c r="B37" s="46" t="s">
        <v>78</v>
      </c>
      <c r="C37" s="46" t="str">
        <f t="shared" ca="1" si="32"/>
        <v>e2f89583-9c7c-9fcf-7ccf-c1ec4e2c4a5c-a37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[USD][2E9C5][USD.LOCKFXF.SCB00000][U2]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15">
      <c r="A38" s="46" t="str">
        <f t="shared" ca="1" si="0"/>
        <v>47f4c542-a46b-4041-0edc-7bae8e2e64d5-a38</v>
      </c>
      <c r="B38" s="46" t="s">
        <v>78</v>
      </c>
      <c r="C38" s="46" t="str">
        <f t="shared" ca="1" si="32"/>
        <v>47f4c542-a46b-4041-0edc-7bae8e2e64d5-a38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[BDT][2E9C5][BDT.LOCKINSTA.SCB000][U2]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15">
      <c r="A39" s="46" t="str">
        <f t="shared" ca="1" si="0"/>
        <v>c2d2737d-91e1-954d-8738-d29fdf9289fa-a39</v>
      </c>
      <c r="B39" s="46" t="s">
        <v>78</v>
      </c>
      <c r="C39" s="46" t="str">
        <f t="shared" ca="1" si="32"/>
        <v>c2d2737d-91e1-954d-8738-d29fdf9289fa-a39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[USD][2E9C5][USD.LOCKINSTA.SCB000][U2]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15">
      <c r="A40" s="46" t="str">
        <f t="shared" ca="1" si="0"/>
        <v>74dd0e8a-0d3e-60c1-3f04-525021bc7793-a4a</v>
      </c>
      <c r="B40" s="46" t="s">
        <v>78</v>
      </c>
      <c r="C40" s="46" t="str">
        <f t="shared" ca="1" si="32"/>
        <v>74dd0e8a-0d3e-60c1-3f04-525021bc7793-a4a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[BDT][2E9C5][BDT.LOCKINSTF.SCB000][U2]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15">
      <c r="A41" s="46" t="str">
        <f t="shared" ca="1" si="0"/>
        <v>24c44251-3557-151e-84ae-bb7be0da2f46-a41</v>
      </c>
      <c r="B41" s="46" t="s">
        <v>78</v>
      </c>
      <c r="C41" s="46" t="str">
        <f t="shared" ca="1" si="32"/>
        <v>24c44251-3557-151e-84ae-bb7be0da2f46-a41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[USD][2E9C5][USD.LOCKINSTF.SCB000][U2]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15">
      <c r="A42" s="46" t="str">
        <f t="shared" ca="1" si="0"/>
        <v>00e27335-7a73-1314-75e7-ac096a0c4396-a42</v>
      </c>
      <c r="B42" s="46" t="s">
        <v>78</v>
      </c>
      <c r="C42" s="46" t="str">
        <f t="shared" ca="1" si="32"/>
        <v>00e27335-7a73-1314-75e7-ac096a0c4396-a42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[SGD][2E9C5][SGD.CASHTXA.CS000000][U3]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15">
      <c r="A43" s="46" t="str">
        <f t="shared" ca="1" si="0"/>
        <v>87b0d921-1401-a185-a576-94255b5a57b1-a43</v>
      </c>
      <c r="B43" s="46" t="s">
        <v>78</v>
      </c>
      <c r="C43" s="46" t="str">
        <f t="shared" ca="1" si="32"/>
        <v>87b0d921-1401-a185-a576-94255b5a57b1-a43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[USD][2E9C5][USD.CASHTXA.CS000000][U3]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15">
      <c r="A44" s="46" t="str">
        <f t="shared" ca="1" si="0"/>
        <v>4d7f8e9c-340b-326e-4162-b9be11115886-a44</v>
      </c>
      <c r="B44" s="46" t="s">
        <v>78</v>
      </c>
      <c r="C44" s="46" t="str">
        <f t="shared" ref="C44:C63" ca="1" si="45">A44</f>
        <v>4d7f8e9c-340b-326e-4162-b9be11115886-a44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3" ca="1" si="47">"["&amp;J44&amp;"]["&amp;DEC2HEX(TEXT(TODAY(),"YYMMDD"))&amp;"]["&amp;U44&amp;"][U3]"</f>
        <v>[SGD][2E9C5][SGD.CASHTXF.CS000000][U3]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35a798c9-91b5-7283-388c-0e487d317b96-a45</v>
      </c>
      <c r="B45" s="46" t="s">
        <v>78</v>
      </c>
      <c r="C45" s="46" t="str">
        <f t="shared" ca="1" si="45"/>
        <v>35a798c9-91b5-7283-388c-0e487d317b96-a45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[USD][2E9C5][USD.CASHTXF.CS000000][U3]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15">
      <c r="A46" s="46" t="str">
        <f t="shared" ca="1" si="0"/>
        <v>5deeb6e5-3149-6e33-3046-21d6f39f4018-a46</v>
      </c>
      <c r="B46" s="46" t="s">
        <v>78</v>
      </c>
      <c r="C46" s="46" t="str">
        <f t="shared" ca="1" si="45"/>
        <v>5deeb6e5-3149-6e33-3046-21d6f39f4018-a46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[SGD][2E9C5][SGD.CUSTINSTA.CS0000][U3]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15">
      <c r="A47" s="46" t="str">
        <f t="shared" ca="1" si="0"/>
        <v>248fc5b4-6860-1b2e-73fc-2404aa5f41c9-a47</v>
      </c>
      <c r="B47" s="46" t="s">
        <v>78</v>
      </c>
      <c r="C47" s="46" t="str">
        <f t="shared" ca="1" si="45"/>
        <v>248fc5b4-6860-1b2e-73fc-2404aa5f41c9-a47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[USD][2E9C5][USD.CUSTINSTA.CS0000][U3]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15">
      <c r="A48" s="46" t="str">
        <f t="shared" ca="1" si="0"/>
        <v>6058bb81-5c13-1636-4f8c-b1bf158d563d-a48</v>
      </c>
      <c r="B48" s="46" t="s">
        <v>78</v>
      </c>
      <c r="C48" s="46" t="str">
        <f t="shared" ca="1" si="45"/>
        <v>6058bb81-5c13-1636-4f8c-b1bf158d563d-a48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[SGD][2E9C5][SGD.CUSTINSTF.CS0000][U3]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15">
      <c r="A49" s="46" t="str">
        <f t="shared" ca="1" si="0"/>
        <v>d806bcde-6a85-0578-58e7-52d00a657ec9-a49</v>
      </c>
      <c r="B49" s="46" t="s">
        <v>78</v>
      </c>
      <c r="C49" s="46" t="str">
        <f t="shared" ca="1" si="45"/>
        <v>d806bcde-6a85-0578-58e7-52d00a657ec9-a49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[USD][2E9C5][USD.CUSTINSTF.CS0000][U3]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15">
      <c r="A50" s="46" t="str">
        <f t="shared" ca="1" si="0"/>
        <v>e608d2ba-0904-49c6-8524-62f6dde8a65f-a5a</v>
      </c>
      <c r="B50" s="46" t="s">
        <v>78</v>
      </c>
      <c r="C50" s="46" t="str">
        <f t="shared" ca="1" si="45"/>
        <v>e608d2ba-0904-49c6-8524-62f6dde8a65f-a5a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[SGD][2E9C5][SGD.FXA.CS0000000000][U3]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15">
      <c r="A51" s="46" t="str">
        <f t="shared" ca="1" si="0"/>
        <v>c7821bcb-38ba-8548-21fe-517076195659-a51</v>
      </c>
      <c r="B51" s="46" t="s">
        <v>78</v>
      </c>
      <c r="C51" s="46" t="str">
        <f t="shared" ca="1" si="45"/>
        <v>c7821bcb-38ba-8548-21fe-517076195659-a51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[USD][2E9C5][USD.FXA.CS0000000000][U3]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15">
      <c r="A52" s="46" t="str">
        <f t="shared" ca="1" si="0"/>
        <v>46d99e33-9e2c-68a5-1dc5-db1bc57e2d4b-a52</v>
      </c>
      <c r="B52" s="46" t="s">
        <v>78</v>
      </c>
      <c r="C52" s="46" t="str">
        <f t="shared" ca="1" si="45"/>
        <v>46d99e33-9e2c-68a5-1dc5-db1bc57e2d4b-a52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[SGD][2E9C5][SGD.FXF.CS0000000000][U3]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15">
      <c r="A53" s="46" t="str">
        <f t="shared" ca="1" si="0"/>
        <v>2476afe7-85e2-3250-8646-0ebfa338857a-a53</v>
      </c>
      <c r="B53" s="46" t="s">
        <v>78</v>
      </c>
      <c r="C53" s="46" t="str">
        <f t="shared" ca="1" si="45"/>
        <v>2476afe7-85e2-3250-8646-0ebfa338857a-a53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[USD][2E9C5][USD.FXF.CS0000000000][U3]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15">
      <c r="A54" s="46" t="str">
        <f t="shared" ca="1" si="0"/>
        <v>8966eb5c-8094-516c-6eb3-c7322b4f1595-a54</v>
      </c>
      <c r="B54" s="46" t="s">
        <v>78</v>
      </c>
      <c r="C54" s="46" t="str">
        <f t="shared" ca="1" si="45"/>
        <v>8966eb5c-8094-516c-6eb3-c7322b4f1595-a54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[SGD][2E9C5][SGD.LOCKFXA.CS000000][U3]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15">
      <c r="A55" s="46" t="str">
        <f t="shared" ca="1" si="0"/>
        <v>8d5ef64d-6e57-1b50-9d44-f6a85b379797-a55</v>
      </c>
      <c r="B55" s="46" t="s">
        <v>78</v>
      </c>
      <c r="C55" s="46" t="str">
        <f t="shared" ca="1" si="45"/>
        <v>8d5ef64d-6e57-1b50-9d44-f6a85b379797-a55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[USD][2E9C5][USD.LOCKFXA.CS000000][U3]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15">
      <c r="A56" s="46" t="str">
        <f t="shared" ca="1" si="0"/>
        <v>4930e96d-3c7f-075a-4b93-72c6dbf28569-a56</v>
      </c>
      <c r="B56" s="46" t="s">
        <v>78</v>
      </c>
      <c r="C56" s="46" t="str">
        <f t="shared" ca="1" si="45"/>
        <v>4930e96d-3c7f-075a-4b93-72c6dbf28569-a56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[SGD][2E9C5][SGD.LOCKFXF.CS000000][U3]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15">
      <c r="A57" s="46" t="str">
        <f t="shared" ca="1" si="0"/>
        <v>08ee6191-7f83-5dd1-5f82-bc92c7fe496f-a57</v>
      </c>
      <c r="B57" s="46" t="s">
        <v>78</v>
      </c>
      <c r="C57" s="46" t="str">
        <f t="shared" ca="1" si="45"/>
        <v>08ee6191-7f83-5dd1-5f82-bc92c7fe496f-a57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[USD][2E9C5][USD.LOCKFXF.CS000000][U3]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15">
      <c r="A58" s="46" t="str">
        <f t="shared" ca="1" si="0"/>
        <v>24453f1d-a581-2122-2b71-221787d58b33-a58</v>
      </c>
      <c r="B58" s="46" t="s">
        <v>78</v>
      </c>
      <c r="C58" s="46" t="str">
        <f t="shared" ca="1" si="45"/>
        <v>24453f1d-a581-2122-2b71-221787d58b33-a58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[SGD][2E9C5][SGD.LOCKINSTA.CS0000][U3]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15">
      <c r="A59" s="46" t="str">
        <f t="shared" ca="1" si="0"/>
        <v>c88baded-a0e9-8b4a-93db-bd2a311f7ad1-a59</v>
      </c>
      <c r="B59" s="46" t="s">
        <v>78</v>
      </c>
      <c r="C59" s="46" t="str">
        <f t="shared" ca="1" si="45"/>
        <v>c88baded-a0e9-8b4a-93db-bd2a311f7ad1-a59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[USD][2E9C5][USD.LOCKINSTA.CS0000][U3]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15">
      <c r="A60" s="46" t="str">
        <f t="shared" ca="1" si="0"/>
        <v>9b2e8bed-37e0-2cbf-3fcb-81bde40f376d-a6a</v>
      </c>
      <c r="B60" s="46" t="s">
        <v>78</v>
      </c>
      <c r="C60" s="46" t="str">
        <f t="shared" ca="1" si="45"/>
        <v>9b2e8bed-37e0-2cbf-3fcb-81bde40f376d-a6a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[SGD][2E9C5][SGD.LOCKINSTF.CS0000][U3]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15">
      <c r="A61" s="46" t="str">
        <f t="shared" ca="1" si="0"/>
        <v>4b689d3d-43a8-1ab0-5a7d-ce7d61dc23cc-a61</v>
      </c>
      <c r="B61" s="46" t="s">
        <v>78</v>
      </c>
      <c r="C61" s="46" t="str">
        <f t="shared" ca="1" si="45"/>
        <v>4b689d3d-43a8-1ab0-5a7d-ce7d61dc23cc-a61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[USD][2E9C5][USD.LOCKINSTF.CS0000][U3]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15">
      <c r="A62" s="46" t="str">
        <f t="shared" ca="1" si="0"/>
        <v>74722d6d-25d3-199f-0fd2-936d5a7a8d35-a62</v>
      </c>
      <c r="B62" s="46" t="s">
        <v>78</v>
      </c>
      <c r="C62" s="46" t="str">
        <f t="shared" ca="1" si="45"/>
        <v>74722d6d-25d3-199f-0fd2-936d5a7a8d35-a62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[USD][2E9C5][USD.CASHTXA.HSBEL000][U0]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15">
      <c r="A63" s="46" t="str">
        <f t="shared" ca="1" si="0"/>
        <v>eb2ea9b1-3783-600d-0e13-06d4b8cb5373-a63</v>
      </c>
      <c r="B63" s="46" t="s">
        <v>78</v>
      </c>
      <c r="C63" s="46" t="str">
        <f t="shared" ca="1" si="45"/>
        <v>eb2ea9b1-3783-600d-0e13-06d4b8cb5373-a63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[USD][2E9C5][USD.CASHTXA.HSFRA000][U0]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15">
      <c r="A64" s="46" t="str">
        <f t="shared" ca="1" si="0"/>
        <v>805e53a7-55a3-66ee-3d69-3a9469070b29-a64</v>
      </c>
      <c r="B64" s="46" t="s">
        <v>78</v>
      </c>
      <c r="C64" s="46" t="str">
        <f t="shared" ref="C64:C82" ca="1" si="52">A64</f>
        <v>805e53a7-55a3-66ee-3d69-3a9469070b29-a64</v>
      </c>
      <c r="D64" s="46">
        <f t="shared" si="8"/>
        <v>1</v>
      </c>
      <c r="E64" s="47">
        <f t="shared" si="9"/>
        <v>43466</v>
      </c>
      <c r="F64" s="48" t="str">
        <f t="shared" ref="F64:F82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[USD][2E9C5][USD.CASHTXF.HSBEL000][U0]</v>
      </c>
      <c r="T64" s="48" t="str">
        <f t="shared" ref="T64:T82" si="54">O64&amp;"."&amp;P64&amp;"."&amp;U64</f>
        <v>1M.Fixed.USD.CASHTXF.HSBEL000</v>
      </c>
      <c r="U64" s="46" t="str">
        <f t="shared" ref="U64:U82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2" si="56">IF(RIGHT(L64,1)="A","ACTUAL","FORECAST")</f>
        <v>FORECAST</v>
      </c>
    </row>
    <row r="65" spans="1:23" x14ac:dyDescent="0.15">
      <c r="A65" s="46" t="str">
        <f t="shared" ca="1" si="0"/>
        <v>5694ccd0-48a2-6695-6a7e-f4a1f9d1908b-a65</v>
      </c>
      <c r="B65" s="46" t="s">
        <v>78</v>
      </c>
      <c r="C65" s="46" t="str">
        <f t="shared" ca="1" si="52"/>
        <v>5694ccd0-48a2-6695-6a7e-f4a1f9d1908b-a65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[USD][2E9C5][USD.CASHTXF.HSFRA000][U0]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15">
      <c r="A66" s="46" t="str">
        <f t="shared" ca="1" si="0"/>
        <v>d32ad4e3-0190-1a29-118c-83f47d641d03-a66</v>
      </c>
      <c r="B66" s="46" t="s">
        <v>78</v>
      </c>
      <c r="C66" s="46" t="str">
        <f t="shared" ca="1" si="52"/>
        <v>d32ad4e3-0190-1a29-118c-83f47d641d03-a66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[USD][2E9C5][USD.CUSTINSTA.HSBEL0][U0]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15">
      <c r="A67" s="46" t="str">
        <f t="shared" ref="A67:A83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a8040574-4b9b-47e2-667c-5bb72866317f-a67</v>
      </c>
      <c r="B67" s="46" t="s">
        <v>78</v>
      </c>
      <c r="C67" s="46" t="str">
        <f t="shared" ca="1" si="52"/>
        <v>a8040574-4b9b-47e2-667c-5bb72866317f-a67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3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[USD][2E9C5][USD.CUSTINSTA.HSFRA0][U0]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15">
      <c r="A68" s="46" t="str">
        <f t="shared" ca="1" si="57"/>
        <v>0ec51594-738f-0031-5299-496e9d7d1997-a68</v>
      </c>
      <c r="B68" s="46" t="s">
        <v>78</v>
      </c>
      <c r="C68" s="46" t="str">
        <f t="shared" ca="1" si="52"/>
        <v>0ec51594-738f-0031-5299-496e9d7d1997-a68</v>
      </c>
      <c r="D68" s="46">
        <f t="shared" ref="D68:E83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3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[USD][2E9C5][USD.CUSTINSTF.HSBEL0][U0]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15">
      <c r="A69" s="46" t="str">
        <f t="shared" ca="1" si="57"/>
        <v>2ef781e5-6ff7-5189-a1ee-6003ea9058ac-a69</v>
      </c>
      <c r="B69" s="46" t="s">
        <v>78</v>
      </c>
      <c r="C69" s="46" t="str">
        <f t="shared" ca="1" si="52"/>
        <v>2ef781e5-6ff7-5189-a1ee-6003ea9058ac-a69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[USD][2E9C5][USD.CUSTINSTF.HSFRA0][U0]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15">
      <c r="A70" s="46" t="str">
        <f t="shared" ca="1" si="57"/>
        <v>d2239b81-7895-1675-3537-8cfd22a6360b-a7a</v>
      </c>
      <c r="B70" s="46" t="s">
        <v>78</v>
      </c>
      <c r="C70" s="46" t="str">
        <f t="shared" ca="1" si="52"/>
        <v>d2239b81-7895-1675-3537-8cfd22a6360b-a7a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[USD][2E9C5][USD.FXA.HSBEL0000000][U0]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15">
      <c r="A71" s="46" t="str">
        <f t="shared" ca="1" si="57"/>
        <v>3c38bc33-93a6-2a37-28c6-b1e9b5f07016-a71</v>
      </c>
      <c r="B71" s="46" t="s">
        <v>78</v>
      </c>
      <c r="C71" s="46" t="str">
        <f t="shared" ca="1" si="52"/>
        <v>3c38bc33-93a6-2a37-28c6-b1e9b5f07016-a71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[USD][2E9C5][USD.FXA.HSFRA0000000][U0]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15">
      <c r="A72" s="46" t="str">
        <f t="shared" ca="1" si="57"/>
        <v>db22fb15-a549-7a7f-0e9e-30f51f3b6656-a72</v>
      </c>
      <c r="B72" s="46" t="s">
        <v>78</v>
      </c>
      <c r="C72" s="46" t="str">
        <f t="shared" ca="1" si="52"/>
        <v>db22fb15-a549-7a7f-0e9e-30f51f3b6656-a72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[USD][2E9C5][USD.FXF.HSBEL0000000][U0]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15">
      <c r="A73" s="46" t="str">
        <f t="shared" ca="1" si="57"/>
        <v>c8034f7d-53d2-9a3f-5f41-6fa40db759c2-a73</v>
      </c>
      <c r="B73" s="46" t="s">
        <v>78</v>
      </c>
      <c r="C73" s="46" t="str">
        <f t="shared" ca="1" si="52"/>
        <v>c8034f7d-53d2-9a3f-5f41-6fa40db759c2-a73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[USD][2E9C5][USD.FXF.HSFRA0000000][U0]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15">
      <c r="A74" s="46" t="str">
        <f t="shared" ca="1" si="57"/>
        <v>a92626ad-4404-296f-4b49-faf427a9a620-a74</v>
      </c>
      <c r="B74" s="46" t="s">
        <v>78</v>
      </c>
      <c r="C74" s="46" t="str">
        <f t="shared" ca="1" si="52"/>
        <v>a92626ad-4404-296f-4b49-faf427a9a620-a74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[USD][2E9C5][USD.LOCKFXA.HSBEL000][U0]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15">
      <c r="A75" s="46" t="str">
        <f t="shared" ca="1" si="57"/>
        <v>e88b9046-07dc-8b6e-5b29-4df877cb105c-a75</v>
      </c>
      <c r="B75" s="46" t="s">
        <v>78</v>
      </c>
      <c r="C75" s="46" t="str">
        <f t="shared" ca="1" si="52"/>
        <v>e88b9046-07dc-8b6e-5b29-4df877cb105c-a75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[USD][2E9C5][USD.LOCKFXA.HSFRA000][U0]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15">
      <c r="A76" s="46" t="str">
        <f t="shared" ca="1" si="57"/>
        <v>fbfce692-37a8-04b1-197c-f9784ad874c0-a76</v>
      </c>
      <c r="B76" s="46" t="s">
        <v>78</v>
      </c>
      <c r="C76" s="46" t="str">
        <f t="shared" ca="1" si="52"/>
        <v>fbfce692-37a8-04b1-197c-f9784ad874c0-a76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[USD][2E9C5][USD.LOCKFXF.HSBEL000][U0]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15">
      <c r="A77" s="46" t="str">
        <f t="shared" ca="1" si="57"/>
        <v>19659c81-8e3e-4ba4-1fd5-a7e382f1971f-a77</v>
      </c>
      <c r="B77" s="46" t="s">
        <v>78</v>
      </c>
      <c r="C77" s="46" t="str">
        <f t="shared" ca="1" si="52"/>
        <v>19659c81-8e3e-4ba4-1fd5-a7e382f1971f-a77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[USD][2E9C5][USD.LOCKFXF.HSFRA000][U0]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15">
      <c r="A78" s="46" t="str">
        <f t="shared" ca="1" si="57"/>
        <v>10b64a56-7e03-6752-9a74-258df817464c-a78</v>
      </c>
      <c r="B78" s="46" t="s">
        <v>78</v>
      </c>
      <c r="C78" s="46" t="str">
        <f t="shared" ca="1" si="52"/>
        <v>10b64a56-7e03-6752-9a74-258df817464c-a78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[USD][2E9C5][USD.LOCKINSTA.HSBEL0][U0]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15">
      <c r="A79" s="46" t="str">
        <f t="shared" ca="1" si="57"/>
        <v>9afd569e-7624-22a0-7019-e861294a082c-a79</v>
      </c>
      <c r="B79" s="46" t="s">
        <v>78</v>
      </c>
      <c r="C79" s="46" t="str">
        <f t="shared" ca="1" si="52"/>
        <v>9afd569e-7624-22a0-7019-e861294a082c-a79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[USD][2E9C5][USD.LOCKINSTA.HSFRA0][U0]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15">
      <c r="A80" s="46" t="str">
        <f t="shared" ca="1" si="57"/>
        <v>9ec7e236-8795-2adc-0f0f-cd1f35109eab-a8a</v>
      </c>
      <c r="B80" s="46" t="s">
        <v>78</v>
      </c>
      <c r="C80" s="46" t="str">
        <f t="shared" ca="1" si="52"/>
        <v>9ec7e236-8795-2adc-0f0f-cd1f35109eab-a8a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[USD][2E9C5][USD.LOCKINSTF.HSBEL0][U0]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15">
      <c r="A81" s="46" t="str">
        <f t="shared" ca="1" si="57"/>
        <v>62d7a3ef-7d5f-96ab-771e-80c67cad1f5f-a81</v>
      </c>
      <c r="B81" s="46" t="s">
        <v>78</v>
      </c>
      <c r="C81" s="46" t="str">
        <f t="shared" ca="1" si="52"/>
        <v>62d7a3ef-7d5f-96ab-771e-80c67cad1f5f-a81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[USD][2E9C5][USD.LOCKINSTF.HSFRA0][U0]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43725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tabSelected="1" workbookViewId="0">
      <pane ySplit="1" topLeftCell="A2" activePane="bottomLeft" state="frozen"/>
      <selection pane="bottomLeft" activeCell="A2" sqref="A2:R37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5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5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5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5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5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5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5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5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5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5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5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5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5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5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5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5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5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5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5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5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5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5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5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5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5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5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5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5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5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5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5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5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5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5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5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5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5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5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4408237 ACCOUNTS-FIRSTDIR-EXT</v>
      </c>
      <c r="T2" s="26" t="str">
        <f ca="1">S2</f>
        <v>4408237 ACCOUNTS-FIRSTDIR-EXT</v>
      </c>
      <c r="U2" s="8">
        <f ca="1">RANDBETWEEN(0,99999999)</f>
        <v>4408237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28659134 ACCOUNTS-SANTANDE-EXT</v>
      </c>
      <c r="T3" s="26" t="str">
        <f t="shared" ref="T3:T23" ca="1" si="3">S3</f>
        <v>28659134 ACCOUNTS-SANTANDE-EXT</v>
      </c>
      <c r="U3" s="8">
        <f t="shared" ref="U3:U23" ca="1" si="4">RANDBETWEEN(0,99999999)</f>
        <v>28659134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22782179 ACCOUNTS-SMILE-EXT</v>
      </c>
      <c r="T4" s="26" t="str">
        <f t="shared" ca="1" si="3"/>
        <v>22782179 ACCOUNTS-SMILE-EXT</v>
      </c>
      <c r="U4" s="8">
        <f t="shared" ca="1" si="4"/>
        <v>22782179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81149763 ACCOUNTS-NATIONWI-EXT</v>
      </c>
      <c r="T5" s="26" t="str">
        <f t="shared" ca="1" si="3"/>
        <v>81149763 ACCOUNTS-NATIONWI-EXT</v>
      </c>
      <c r="U5" s="8">
        <f t="shared" ca="1" si="4"/>
        <v>81149763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857353 ACCOUNTS-THECOOP-EXT</v>
      </c>
      <c r="T6" s="26" t="str">
        <f t="shared" ca="1" si="3"/>
        <v>857353 ACCOUNTS-THECOOP-EXT</v>
      </c>
      <c r="U6" s="8">
        <f t="shared" ca="1" si="4"/>
        <v>857353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13005813 ACCOUNTS-HALIFAX -EXT</v>
      </c>
      <c r="T7" s="26" t="str">
        <f t="shared" ca="1" si="3"/>
        <v>13005813 ACCOUNTS-HALIFAX -EXT</v>
      </c>
      <c r="U7" s="8">
        <f t="shared" ca="1" si="4"/>
        <v>13005813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92582876 ACCOUNTS-TSB -EXT</v>
      </c>
      <c r="T8" s="26" t="str">
        <f t="shared" ca="1" si="3"/>
        <v>92582876 ACCOUNTS-TSB -EXT</v>
      </c>
      <c r="U8" s="8">
        <f t="shared" ca="1" si="4"/>
        <v>92582876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1183446 ACCOUNTS-BANKOFSC-EXT</v>
      </c>
      <c r="T9" s="26" t="str">
        <f t="shared" ca="1" si="3"/>
        <v>1183446 ACCOUNTS-BANKOFSC-EXT</v>
      </c>
      <c r="U9" s="8">
        <f t="shared" ca="1" si="4"/>
        <v>1183446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73471621 ACCOUNTS-YORKSHIR-EXT</v>
      </c>
      <c r="T10" s="26" t="str">
        <f t="shared" ca="1" si="3"/>
        <v>73471621 ACCOUNTS-YORKSHIR-EXT</v>
      </c>
      <c r="U10" s="8">
        <f t="shared" ca="1" si="4"/>
        <v>73471621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96089403 ACCOUNTS-LLOYDSBA-EXT</v>
      </c>
      <c r="T11" s="26" t="str">
        <f t="shared" ca="1" si="3"/>
        <v>96089403 ACCOUNTS-LLOYDSBA-EXT</v>
      </c>
      <c r="U11" s="8">
        <f t="shared" ca="1" si="4"/>
        <v>96089403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20884326 ACCOUNTS-HSBC -EXT</v>
      </c>
      <c r="T12" s="26" t="str">
        <f t="shared" ca="1" si="3"/>
        <v>20884326 ACCOUNTS-HSBC -EXT</v>
      </c>
      <c r="U12" s="8">
        <f t="shared" ca="1" si="4"/>
        <v>20884326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245595 RECON-FIRSTDIR-EXT</v>
      </c>
      <c r="T13" s="26" t="str">
        <f t="shared" ca="1" si="3"/>
        <v>245595 RECON-FIRSTDIR-EXT</v>
      </c>
      <c r="U13" s="8">
        <f t="shared" ca="1" si="4"/>
        <v>245595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37231768 RECON-SANTANDE-EXT</v>
      </c>
      <c r="T14" s="26" t="str">
        <f t="shared" ca="1" si="3"/>
        <v>37231768 RECON-SANTANDE-EXT</v>
      </c>
      <c r="U14" s="8">
        <f t="shared" ca="1" si="4"/>
        <v>37231768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19228156 RECON-SMILE-EXT</v>
      </c>
      <c r="T15" s="26" t="str">
        <f t="shared" ca="1" si="3"/>
        <v>19228156 RECON-SMILE-EXT</v>
      </c>
      <c r="U15" s="8">
        <f t="shared" ca="1" si="4"/>
        <v>19228156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37877762 RECON-NATIONWI-EXT</v>
      </c>
      <c r="T16" s="26" t="str">
        <f t="shared" ca="1" si="3"/>
        <v>37877762 RECON-NATIONWI-EXT</v>
      </c>
      <c r="U16" s="8">
        <f t="shared" ca="1" si="4"/>
        <v>37877762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30714473 RECON-THECOOP-EXT</v>
      </c>
      <c r="T17" s="26" t="str">
        <f t="shared" ca="1" si="3"/>
        <v>30714473 RECON-THECOOP-EXT</v>
      </c>
      <c r="U17" s="8">
        <f t="shared" ca="1" si="4"/>
        <v>30714473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86371182 RECON-HALIFAX -EXT</v>
      </c>
      <c r="T18" s="26" t="str">
        <f t="shared" ca="1" si="3"/>
        <v>86371182 RECON-HALIFAX -EXT</v>
      </c>
      <c r="U18" s="8">
        <f t="shared" ca="1" si="4"/>
        <v>86371182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91324834 RECON-TSB -EXT</v>
      </c>
      <c r="T19" s="26" t="str">
        <f t="shared" ca="1" si="3"/>
        <v>91324834 RECON-TSB -EXT</v>
      </c>
      <c r="U19" s="8">
        <f t="shared" ca="1" si="4"/>
        <v>91324834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10423592 RECON-BANKOFSC-EXT</v>
      </c>
      <c r="T20" s="26" t="str">
        <f t="shared" ca="1" si="3"/>
        <v>10423592 RECON-BANKOFSC-EXT</v>
      </c>
      <c r="U20" s="8">
        <f t="shared" ca="1" si="4"/>
        <v>10423592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46608793 RECON-YORKSHIR-EXT</v>
      </c>
      <c r="T21" s="26" t="str">
        <f t="shared" ca="1" si="3"/>
        <v>46608793 RECON-YORKSHIR-EXT</v>
      </c>
      <c r="U21" s="8">
        <f t="shared" ca="1" si="4"/>
        <v>46608793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28493672 RECON-LLOYDSBA-EXT</v>
      </c>
      <c r="T22" s="26" t="str">
        <f t="shared" ca="1" si="3"/>
        <v>28493672 RECON-LLOYDSBA-EXT</v>
      </c>
      <c r="U22" s="8">
        <f t="shared" ca="1" si="4"/>
        <v>28493672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64251710 RECON-HSBC -EXT</v>
      </c>
      <c r="T23" s="26" t="str">
        <f t="shared" ca="1" si="3"/>
        <v>64251710 RECON-HSBC -EXT</v>
      </c>
      <c r="U23" s="8">
        <f t="shared" ca="1" si="4"/>
        <v>64251710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12852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9974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7176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7230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-7410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14531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-12783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707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17300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-14901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3743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12973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9889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7173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7202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-7389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14576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-12689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676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17313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-14887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3858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2019-09-17T17:57:27Z</dcterms:modified>
</cp:coreProperties>
</file>