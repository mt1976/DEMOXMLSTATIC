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DA769B9D-8F87-6244-BA91-A2387D910C54}" xr6:coauthVersionLast="45" xr6:coauthVersionMax="45" xr10:uidLastSave="{00000000-0000-0000-0000-000000000000}"/>
  <bookViews>
    <workbookView xWindow="0" yWindow="0" windowWidth="29040" windowHeight="16000" tabRatio="997" activeTab="1" xr2:uid="{00000000-000D-0000-FFFF-FFFF00000000}"/>
  </bookViews>
  <sheets>
    <sheet name="Setup" sheetId="8" r:id="rId1"/>
    <sheet name="ACC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1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F41" i="85" l="1"/>
  <c r="S55" i="85"/>
  <c r="L76" i="85"/>
  <c r="W56" i="85"/>
  <c r="U77" i="85"/>
  <c r="S77" i="85" s="1"/>
  <c r="S39" i="85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<sst xmlns="http://schemas.openxmlformats.org/spreadsheetml/2006/main" count="2202" uniqueCount="467">
  <si>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</si>
  <si>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</si>
  <si>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</si>
  <si>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</si>
  <si>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</si>
  <si>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</si>
  <si>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</si>
  <si>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</si>
  <si>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</si>
  <si>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</si>
  <si>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</si>
  <si>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</si>
  <si>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</si>
  <si>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</si>
  <si>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</si>
  <si>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</si>
  <si>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</si>
  <si>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</si>
  <si>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</si>
  <si>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</si>
  <si>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</si>
  <si>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</si>
  <si>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</si>
  <si>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</si>
  <si>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</si>
  <si>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</si>
  <si>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</si>
  <si>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</si>
  <si>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</si>
  <si>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</si>
  <si>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</si>
  <si>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</si>
  <si>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</si>
  <si>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</si>
  <si>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</si>
  <si>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</si>
  <si>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</si>
  <si>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</si>
  <si>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</si>
  <si>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</si>
  <si>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</si>
  <si>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</si>
  <si>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</si>
  <si>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</si>
  <si>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</si>
  <si>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</si>
  <si>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</si>
  <si>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</si>
  <si>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</si>
  <si>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</si>
  <si>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</si>
  <si>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</si>
  <si>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</si>
  <si>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</si>
  <si>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</si>
  <si>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</si>
  <si>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</si>
  <si>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</si>
  <si>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</si>
  <si>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</si>
  <si>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</si>
  <si>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</si>
  <si>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</si>
  <si>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</si>
  <si>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</si>
  <si>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</si>
  <si>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</si>
  <si>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</si>
  <si>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</si>
  <si>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</si>
  <si>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</si>
  <si>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</si>
  <si>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</si>
  <si>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</si>
  <si>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</si>
  <si>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</si>
  <si>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</si>
  <si>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</si>
  <si>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</si>
  <si>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</si>
  <si>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</si>
  <si>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</si>
  <si>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</si>
  <si>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</si>
  <si>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</si>
  <si>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</si>
  <si>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</si>
  <si>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</si>
  <si>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</si>
  <si>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</si>
  <si>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</si>
  <si>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</si>
  <si>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</si>
  <si>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</si>
  <si>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</si>
  <si>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</si>
  <si>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</si>
  <si>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</si>
  <si>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</si>
  <si>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</si>
  <si>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</si>
  <si>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</si>
  <si>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</si>
  <si>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</si>
  <si>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</si>
  <si>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</si>
  <si>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</si>
  <si>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</si>
  <si>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</si>
  <si>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</si>
  <si>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</si>
  <si>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</si>
  <si>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</si>
  <si>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</si>
  <si>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</si>
  <si>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</si>
  <si>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</si>
  <si>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</si>
  <si>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</si>
  <si>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</si>
  <si>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</si>
  <si>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</si>
  <si>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</si>
  <si>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</si>
  <si>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</si>
  <si>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</si>
  <si>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</si>
  <si>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</si>
  <si>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</si>
  <si>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</si>
  <si>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</si>
  <si>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</si>
  <si>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</si>
  <si>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</si>
  <si>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</si>
  <si>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</si>
  <si>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</si>
  <si>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</si>
  <si>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</si>
  <si>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</si>
  <si>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</si>
  <si>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</si>
  <si>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</si>
  <si>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</si>
  <si>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</si>
  <si>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</si>
  <si>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</si>
  <si>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</si>
  <si>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</si>
  <si>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</si>
  <si>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</si>
  <si>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</si>
  <si>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</si>
  <si>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</si>
  <si>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</si>
  <si>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</si>
  <si>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</si>
  <si>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</si>
  <si>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</si>
  <si>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</si>
  <si>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</si>
  <si>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</si>
  <si>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</si>
  <si>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</si>
  <si>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</si>
  <si>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</si>
  <si>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</si>
  <si>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</si>
  <si>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</si>
  <si>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</si>
  <si>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</si>
  <si>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</si>
  <si>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</si>
  <si>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</si>
  <si>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</si>
  <si>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</si>
  <si>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</si>
  <si>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</si>
  <si>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</si>
  <si>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</si>
  <si>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</si>
  <si>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</si>
  <si>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</si>
  <si>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</si>
  <si>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</si>
  <si>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</si>
  <si>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</si>
  <si>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</si>
  <si>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</si>
  <si>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</si>
  <si>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</si>
  <si>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</si>
  <si>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</si>
  <si>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</si>
  <si>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</si>
  <si>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</si>
  <si>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</si>
  <si>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</si>
  <si>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</si>
  <si>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</si>
  <si>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</si>
  <si>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</si>
  <si>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</si>
  <si>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</si>
  <si>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</si>
  <si>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</si>
  <si>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</si>
  <si>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</si>
  <si>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</si>
  <si>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</si>
  <si>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</si>
  <si>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</si>
  <si>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</si>
  <si>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</si>
  <si>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</si>
  <si>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</si>
  <si>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</si>
  <si>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</si>
  <si>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</si>
  <si>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</si>
  <si>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</si>
  <si>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</si>
  <si>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</si>
  <si>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</si>
  <si>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</si>
  <si>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</si>
  <si>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</si>
  <si>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</si>
  <si>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</si>
  <si>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</si>
  <si>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</si>
  <si>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</si>
  <si>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</si>
  <si>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</si>
  <si>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</si>
  <si>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</si>
  <si>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</si>
  <si>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</si>
  <si>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</si>
  <si>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</si>
  <si>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</si>
  <si>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</si>
  <si>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</si>
  <si>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</si>
  <si>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</si>
  <si>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</si>
  <si>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</si>
  <si>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</si>
  <si>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</si>
  <si>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</si>
  <si>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</si>
  <si>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</si>
  <si>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</si>
  <si>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</si>
  <si>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</si>
  <si>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</si>
  <si>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</si>
  <si>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</si>
  <si>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</si>
  <si>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</si>
  <si>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</si>
  <si>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</si>
  <si>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</si>
  <si>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</si>
  <si>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</si>
  <si>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</si>
  <si>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</si>
  <si>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</si>
  <si>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</si>
  <si>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</si>
  <si>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</si>
  <si>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</si>
  <si>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</si>
  <si>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</si>
  <si>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</si>
  <si>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</si>
  <si>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</si>
  <si>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</si>
  <si>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</si>
  <si>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</si>
  <si>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</si>
  <si>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</si>
  <si>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</si>
  <si>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</si>
  <si>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</si>
  <si>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</si>
  <si>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</si>
  <si>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</si>
  <si>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</si>
  <si>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</si>
  <si>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</si>
  <si>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</si>
  <si>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</si>
  <si>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</si>
  <si>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</si>
  <si>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</si>
  <si>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</si>
  <si>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</si>
  <si>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</si>
  <si>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</si>
  <si>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</si>
  <si>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</si>
  <si>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</si>
  <si>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</si>
  <si>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</si>
  <si>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</si>
  <si>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</si>
  <si>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</si>
  <si>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</si>
  <si>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</si>
  <si>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</si>
  <si>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</si>
  <si>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</si>
  <si>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</si>
  <si>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</si>
  <si>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</si>
  <si>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</si>
  <si>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</si>
  <si>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</si>
  <si>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</si>
  <si>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</si>
  <si>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</si>
  <si>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</si>
  <si>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</si>
  <si>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</si>
  <si>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</si>
  <si>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</si>
  <si>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</si>
  <si>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</si>
  <si>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</si>
  <si>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</si>
  <si>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</si>
  <si>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</si>
  <si>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</si>
  <si>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</si>
  <si>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</si>
  <si>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</si>
  <si>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</si>
  <si>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</si>
  <si>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</si>
  <si>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</si>
  <si>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</si>
  <si>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</si>
  <si>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</si>
  <si>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</si>
  <si>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</si>
  <si>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</si>
  <si>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</si>
  <si>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</si>
  <si>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</si>
  <si>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</si>
  <si>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</si>
  <si>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</si>
  <si>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</si>
  <si>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</si>
  <si>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</si>
  <si>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</si>
  <si>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</si>
  <si>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</si>
  <si>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</si>
  <si>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</si>
  <si>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</si>
  <si>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</si>
  <si>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</si>
  <si>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</si>
  <si>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</si>
  <si>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</si>
  <si>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</si>
  <si>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</si>
  <si>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</si>
  <si>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</si>
  <si>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</si>
  <si>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</si>
  <si>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</si>
  <si>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</si>
  <si>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</si>
  <si>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</si>
  <si>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</si>
  <si>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</si>
  <si>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</si>
  <si>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</si>
  <si>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</si>
  <si>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</si>
  <si>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</si>
  <si>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</si>
  <si>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</si>
  <si>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</si>
  <si>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</si>
  <si>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</si>
  <si>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</si>
  <si>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</si>
  <si>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</si>
  <si>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</si>
  <si>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</si>
  <si>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</si>
  <si>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</si>
  <si>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</si>
  <si>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</si>
  <si>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</si>
  <si>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</si>
  <si>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</si>
  <si>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</si>
  <si>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</si>
  <si>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</si>
  <si>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</si>
  <si>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</si>
  <si>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</si>
  <si>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</si>
  <si>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</si>
  <si>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</si>
  <si>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</si>
  <si>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</si>
  <si>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</si>
  <si>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</si>
  <si>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</si>
  <si>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</si>
  <si>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</si>
  <si>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</si>
  <si>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</si>
  <si>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</si>
  <si>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</si>
  <si>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</si>
  <si>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</si>
  <si>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</si>
  <si>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</si>
  <si>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</si>
  <si>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</si>
  <si>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</si>
  <si>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</si>
  <si>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</si>
  <si>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</si>
  <si>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</si>
  <si>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</si>
  <si>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</si>
  <si>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</si>
  <si>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</si>
  <si>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</si>
  <si>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</si>
  <si>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</si>
  <si>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</si>
  <si>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</si>
  <si>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</si>
  <si>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</si>
  <si>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</si>
  <si>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</si>
  <si>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</si>
  <si>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</si>
  <si>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</si>
  <si>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</si>
  <si>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</si>
  <si>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</si>
  <si>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</si>
  <si>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</si>
  <si>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</si>
  <si>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</si>
  <si>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</si>
  <si>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</si>
  <si>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</si>
  <si>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</si>
  <si>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</si>
  <si>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</si>
  <si>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</si>
  <si>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</si>
  <si>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</si>
  <si>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</si>
  <si>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</si>
  <si>
    <t>/Users/matttownsend/Google Drive/eurobase/repos/ebSiena-DemoSystemData/Prospects/HomeSend/XML Deal Generator/DATA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</si>
</sst>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6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.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14" customWidth="1"/>
    <col min="2" max="2" width="101.5" customWidth="1"/>
  </cols>
  <sheetData>
    <row r="1" spans="1:2" x14ac:dyDescent="0.2">
      <c r="A1" s="1" t="s">
        <v>0</v>
      </c>
      <c r="B1" s="6" t="s">
        <v>466</v>
      </c>
    </row>
    <row r="2" spans="1:2" x14ac:dyDescent="0.2">
      <c r="A2" s="22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318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 t="s">
        <v>335</v>
      </c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abSelected="1" topLeftCell="P1" zoomScaleNormal="100" workbookViewId="0">
      <selection activeCell="S16" sqref="S16"/>
    </sheetView>
  </sheetViews>
  <sheetFormatPr baseColWidth="10" defaultColWidth="16" defaultRowHeight="15" x14ac:dyDescent="0.2"/>
  <cols>
    <col min="1" max="1" width="48" style="46" bestFit="1" customWidth="1"/>
    <col min="2" max="2" width="4" style="46" customWidth="1"/>
    <col min="3" max="3" width="4.83203125" style="46" customWidth="1"/>
    <col min="4" max="4" width="3" style="46" customWidth="1"/>
    <col min="5" max="5" width="15.83203125" style="49" bestFit="1" customWidth="1"/>
    <col min="6" max="6" width="32.1640625" style="46" bestFit="1" customWidth="1"/>
    <col min="7" max="7" width="25" style="46" bestFit="1" customWidth="1"/>
    <col min="8" max="8" width="2.6640625" style="46" customWidth="1"/>
    <col min="9" max="9" width="3.33203125" style="46" customWidth="1"/>
    <col min="10" max="10" width="21.5" style="46" bestFit="1" customWidth="1"/>
    <col min="11" max="11" width="19" style="46" bestFit="1" customWidth="1"/>
    <col min="12" max="12" width="13.5" style="46" bestFit="1" customWidth="1"/>
    <col min="13" max="13" width="16.6640625" style="49" bestFit="1" customWidth="1"/>
    <col min="14" max="14" width="20.1640625" style="46" bestFit="1" customWidth="1"/>
    <col min="15" max="15" width="26.1640625" style="46" bestFit="1" customWidth="1"/>
    <col min="16" max="16" width="25" style="46" bestFit="1" customWidth="1"/>
    <col min="17" max="17" width="27.5" style="46" bestFit="1" customWidth="1"/>
    <col min="18" max="18" width="22.6640625" style="46" bestFit="1" customWidth="1"/>
    <col min="19" max="19" width="45.5" style="46" bestFit="1" customWidth="1"/>
    <col min="20" max="20" width="37.5" style="46" bestFit="1" customWidth="1"/>
    <col min="21" max="21" width="26.1640625" style="46" bestFit="1" customWidth="1"/>
    <col min="22" max="22" width="20" style="46" bestFit="1" customWidth="1"/>
    <col min="23" max="16384" width="16" style="46"/>
  </cols>
  <sheetData>
    <row r="1" spans="1:23" x14ac:dyDescent="0.2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2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0c3633ac-9603-2740-0274-5d0f459d89da-aa2</v>
      </c>
      <c r="B2" s="46" t="s">
        <v>78</v>
      </c>
      <c r="C2" s="46" t="str">
        <f ca="1">A2</f>
        <v>0c3633ac-9603-2740-0274-5d0f459d89da-aa2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[BRL][2E9C5][BRL.CASHTXA.BDB00000][U1]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2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36053b0b-1d02-4ce0-2f01-8d4fa826390d-aa3</v>
      </c>
      <c r="B3" s="46" t="s">
        <v>78</v>
      </c>
      <c r="C3" s="46" t="str">
        <f t="shared" ref="C3:C21" ca="1" si="1">A3</f>
        <v>36053b0b-1d02-4ce0-2f01-8d4fa826390d-aa3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[USD][2E9C5][USD.CASHTXA.BDB00000][U1]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2">
      <c r="A4" s="46" t="str">
        <f t="shared" ca="1" si="0"/>
        <v>02169210-6f61-022a-59c6-8542010b2eb4-aa4</v>
      </c>
      <c r="B4" s="46" t="s">
        <v>78</v>
      </c>
      <c r="C4" s="46" t="str">
        <f t="shared" ca="1" si="1"/>
        <v>02169210-6f61-022a-59c6-8542010b2eb4-aa4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[BRL][2E9C5][BRL.CASHTXF.BDB00000][U1]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2">
      <c r="A5" s="46" t="str">
        <f t="shared" ca="1" si="0"/>
        <v>2e3a3fe0-98c4-4b7f-48f6-e0bf65c869ac-aa5</v>
      </c>
      <c r="B5" s="46" t="s">
        <v>78</v>
      </c>
      <c r="C5" s="46" t="str">
        <f t="shared" ca="1" si="1"/>
        <v>2e3a3fe0-98c4-4b7f-48f6-e0bf65c869ac-aa5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[USD][2E9C5][USD.CASHTXF.BDB00000][U1]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2">
      <c r="A6" s="46" t="str">
        <f t="shared" ca="1" si="0"/>
        <v>f2d66c1c-784b-2780-a094-5d9b6677128f-aa6</v>
      </c>
      <c r="B6" s="46" t="s">
        <v>78</v>
      </c>
      <c r="C6" s="46" t="str">
        <f t="shared" ca="1" si="1"/>
        <v>f2d66c1c-784b-2780-a094-5d9b6677128f-aa6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[BRL][2E9C5][BRL.CUSTINSTA.BDB000][U1]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2">
      <c r="A7" s="46" t="str">
        <f t="shared" ca="1" si="0"/>
        <v>fc619e7f-1d36-4755-8bd3-627f43ed9858-aa7</v>
      </c>
      <c r="B7" s="46" t="s">
        <v>78</v>
      </c>
      <c r="C7" s="46" t="str">
        <f t="shared" ca="1" si="1"/>
        <v>fc619e7f-1d36-4755-8bd3-627f43ed9858-aa7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[USD][2E9C5][USD.CUSTINSTA.BDB000][U1]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2">
      <c r="A8" s="46" t="str">
        <f t="shared" ca="1" si="0"/>
        <v>b35d8f73-5765-44ef-93de-54565a0d701b-aa8</v>
      </c>
      <c r="B8" s="46" t="s">
        <v>78</v>
      </c>
      <c r="C8" s="46" t="str">
        <f t="shared" ca="1" si="1"/>
        <v>b35d8f73-5765-44ef-93de-54565a0d701b-aa8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[BRL][2E9C5][BRL.CUSTINSTF.BDB000][U1]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2">
      <c r="A9" s="46" t="str">
        <f t="shared" ca="1" si="0"/>
        <v>f4369cf2-8160-a139-9e5d-fb5960954ab9-aa9</v>
      </c>
      <c r="B9" s="46" t="s">
        <v>78</v>
      </c>
      <c r="C9" s="46" t="str">
        <f t="shared" ca="1" si="1"/>
        <v>f4369cf2-8160-a139-9e5d-fb5960954ab9-aa9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[USD][2E9C5][USD.CUSTINSTF.BDB000][U1]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2">
      <c r="A10" s="46" t="str">
        <f t="shared" ca="1" si="0"/>
        <v>452fd0ce-53ea-1eb3-484f-b94973d141a5-a1a</v>
      </c>
      <c r="B10" s="46" t="s">
        <v>78</v>
      </c>
      <c r="C10" s="46" t="str">
        <f t="shared" ca="1" si="1"/>
        <v>452fd0ce-53ea-1eb3-484f-b94973d141a5-a1a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[BRL][2E9C5][BRL.FXA.BDB000000000][U1]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2">
      <c r="A11" s="46" t="str">
        <f t="shared" ca="1" si="0"/>
        <v>e51de361-643a-3c85-5487-8f103c0a39fb-a11</v>
      </c>
      <c r="B11" s="46" t="s">
        <v>78</v>
      </c>
      <c r="C11" s="46" t="str">
        <f t="shared" ca="1" si="1"/>
        <v>e51de361-643a-3c85-5487-8f103c0a39fb-a11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[USD][2E9C5][USD.FXA.BDB000000000][U1]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2">
      <c r="A12" s="46" t="str">
        <f t="shared" ca="1" si="0"/>
        <v>94c64545-52d5-2b6c-2919-682ca7694b28-a12</v>
      </c>
      <c r="B12" s="46" t="s">
        <v>78</v>
      </c>
      <c r="C12" s="46" t="str">
        <f t="shared" ca="1" si="1"/>
        <v>94c64545-52d5-2b6c-2919-682ca7694b28-a12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[BRL][2E9C5][BRL.FXF.BDB000000000][U1]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2">
      <c r="A13" s="46" t="str">
        <f t="shared" ca="1" si="0"/>
        <v>2e9e2560-6c07-9b8b-25ed-4cad743a08a6-a13</v>
      </c>
      <c r="B13" s="46" t="s">
        <v>78</v>
      </c>
      <c r="C13" s="46" t="str">
        <f t="shared" ca="1" si="1"/>
        <v>2e9e2560-6c07-9b8b-25ed-4cad743a08a6-a13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[USD][2E9C5][USD.FXF.BDB000000000][U1]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2">
      <c r="A14" s="46" t="str">
        <f t="shared" ca="1" si="0"/>
        <v>e0af3837-840c-3e46-67b7-cb59a3ad0f8b-a14</v>
      </c>
      <c r="B14" s="46" t="s">
        <v>78</v>
      </c>
      <c r="C14" s="46" t="str">
        <f t="shared" ca="1" si="1"/>
        <v>e0af3837-840c-3e46-67b7-cb59a3ad0f8b-a14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[BRL][2E9C5][BRL.LOCKFXA.BDB00000][U1]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2">
      <c r="A15" s="46" t="str">
        <f t="shared" ca="1" si="0"/>
        <v>b9d292ae-47ae-7595-78f6-5b109089892a-a15</v>
      </c>
      <c r="B15" s="46" t="s">
        <v>78</v>
      </c>
      <c r="C15" s="46" t="str">
        <f t="shared" ca="1" si="1"/>
        <v>b9d292ae-47ae-7595-78f6-5b109089892a-a15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[USD][2E9C5][USD.LOCKFXA.BDB00000][U1]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2">
      <c r="A16" s="46" t="str">
        <f t="shared" ca="1" si="0"/>
        <v>9a3c52ea-06a5-6d00-16af-7fd4802a1574-a16</v>
      </c>
      <c r="B16" s="46" t="s">
        <v>78</v>
      </c>
      <c r="C16" s="46" t="str">
        <f t="shared" ca="1" si="1"/>
        <v>9a3c52ea-06a5-6d00-16af-7fd4802a1574-a16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[BRL][2E9C5][BRL.LOCKFXF.BDB00000][U1]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2">
      <c r="A17" s="46" t="str">
        <f t="shared" ca="1" si="0"/>
        <v>d9411059-9d00-2747-41eb-a34b9eba6aaa-a17</v>
      </c>
      <c r="B17" s="46" t="s">
        <v>78</v>
      </c>
      <c r="C17" s="46" t="str">
        <f t="shared" ca="1" si="1"/>
        <v>d9411059-9d00-2747-41eb-a34b9eba6aaa-a17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[USD][2E9C5][USD.LOCKFXF.BDB00000][U1]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2">
      <c r="A18" s="46" t="str">
        <f t="shared" ca="1" si="0"/>
        <v>505087d2-39de-7c74-19ce-ca9e38c94222-a18</v>
      </c>
      <c r="B18" s="46" t="s">
        <v>78</v>
      </c>
      <c r="C18" s="46" t="str">
        <f t="shared" ca="1" si="1"/>
        <v>505087d2-39de-7c74-19ce-ca9e38c94222-a18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[BRL][2E9C5][BRL.LOCKINSTA.BDB000][U1]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2">
      <c r="A19" s="46" t="str">
        <f t="shared" ca="1" si="0"/>
        <v>3ff337c1-7f6c-2228-0c90-b2932c8a0c8e-a19</v>
      </c>
      <c r="B19" s="46" t="s">
        <v>78</v>
      </c>
      <c r="C19" s="46" t="str">
        <f t="shared" ca="1" si="1"/>
        <v>3ff337c1-7f6c-2228-0c90-b2932c8a0c8e-a19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[USD][2E9C5][USD.LOCKINSTA.BDB000][U1]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2">
      <c r="A20" s="46" t="str">
        <f t="shared" ca="1" si="0"/>
        <v>369848c2-7f8b-6627-1254-2037903350d0-a2a</v>
      </c>
      <c r="B20" s="46" t="s">
        <v>78</v>
      </c>
      <c r="C20" s="46" t="str">
        <f t="shared" ca="1" si="1"/>
        <v>369848c2-7f8b-6627-1254-2037903350d0-a2a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[BRL][2E9C5][BRL.LOCKINSTF.BDB000][U1]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2">
      <c r="A21" s="46" t="str">
        <f t="shared" ca="1" si="0"/>
        <v>e31abc2f-8b0b-6ed7-672e-4da53ccb5ab5-a21</v>
      </c>
      <c r="B21" s="46" t="s">
        <v>78</v>
      </c>
      <c r="C21" s="46" t="str">
        <f t="shared" ca="1" si="1"/>
        <v>e31abc2f-8b0b-6ed7-672e-4da53ccb5ab5-a21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[USD][2E9C5][USD.LOCKINSTF.BDB000][U1]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2">
      <c r="A22" s="46" t="str">
        <f t="shared" ca="1" si="0"/>
        <v>be836ad6-a472-a723-855e-f1f9e887156d-a22</v>
      </c>
      <c r="B22" s="46" t="s">
        <v>78</v>
      </c>
      <c r="C22" s="46" t="str">
        <f t="shared" ref="C22" ca="1" si="13">A22</f>
        <v>be836ad6-a472-a723-855e-f1f9e887156d-a22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[BDT][2E9C5][BDT.CASHTXA.SCB00000][U2]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2">
      <c r="A23" s="46" t="str">
        <f t="shared" ca="1" si="0"/>
        <v>d404f901-5f8c-189f-04e2-35086af0a6db-a23</v>
      </c>
      <c r="B23" s="46" t="s">
        <v>78</v>
      </c>
      <c r="C23" s="46" t="str">
        <f t="shared" ref="C23:C24" ca="1" si="18">A23</f>
        <v>d404f901-5f8c-189f-04e2-35086af0a6db-a23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[USD][2E9C5][USD.CASHTXA.SCB00000][U2]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2">
      <c r="A24" s="46" t="str">
        <f t="shared" ca="1" si="0"/>
        <v>8d2b7158-6c23-46e1-7cd1-ba59e86d6907-a24</v>
      </c>
      <c r="B24" s="46" t="s">
        <v>78</v>
      </c>
      <c r="C24" s="46" t="str">
        <f t="shared" ca="1" si="18"/>
        <v>8d2b7158-6c23-46e1-7cd1-ba59e86d6907-a24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[BDT][2E9C5][BDT.CASHTXF.SCB00000][U2]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2">
      <c r="A25" s="46" t="str">
        <f t="shared" ca="1" si="0"/>
        <v>06192218-6377-5227-4721-c1d31abb786b-a25</v>
      </c>
      <c r="B25" s="46" t="s">
        <v>78</v>
      </c>
      <c r="C25" s="46" t="str">
        <f t="shared" ref="C25:C28" ca="1" si="24">A25</f>
        <v>06192218-6377-5227-4721-c1d31abb786b-a25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[USD][2E9C5][USD.CASHTXF.SCB00000][U2]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2">
      <c r="A26" s="46" t="str">
        <f t="shared" ca="1" si="0"/>
        <v>c1257918-1a5d-3fc2-a5ef-fc9dbf565f3f-a26</v>
      </c>
      <c r="B26" s="46" t="s">
        <v>78</v>
      </c>
      <c r="C26" s="46" t="str">
        <f t="shared" ca="1" si="24"/>
        <v>c1257918-1a5d-3fc2-a5ef-fc9dbf565f3f-a26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1" si="29">I$2</f>
        <v>0</v>
      </c>
      <c r="J26" s="46" t="s">
        <v>320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[BDT][2E9C5][BDT.CUSTINSTA.SCB000][U2]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2">
      <c r="A27" s="46" t="str">
        <f t="shared" ca="1" si="0"/>
        <v>6f1284e4-173f-1864-2edb-e41d57096620-a27</v>
      </c>
      <c r="B27" s="46" t="s">
        <v>78</v>
      </c>
      <c r="C27" s="46" t="str">
        <f t="shared" ca="1" si="24"/>
        <v>6f1284e4-173f-1864-2edb-e41d57096620-a27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[USD][2E9C5][USD.CUSTINSTA.SCB000][U2]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2">
      <c r="A28" s="46" t="str">
        <f t="shared" ca="1" si="0"/>
        <v>095adfd8-905c-5df2-147b-e37772c8319c-a28</v>
      </c>
      <c r="B28" s="46" t="s">
        <v>78</v>
      </c>
      <c r="C28" s="46" t="str">
        <f t="shared" ca="1" si="24"/>
        <v>095adfd8-905c-5df2-147b-e37772c8319c-a28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[BDT][2E9C5][BDT.CUSTINSTF.SCB000][U2]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2">
      <c r="A29" s="46" t="str">
        <f t="shared" ca="1" si="0"/>
        <v>884191d3-a4e4-4e27-416d-8a6bbd9310a3-a29</v>
      </c>
      <c r="B29" s="46" t="s">
        <v>78</v>
      </c>
      <c r="C29" s="46" t="str">
        <f t="shared" ref="C29:C43" ca="1" si="32">A29</f>
        <v>884191d3-a4e4-4e27-416d-8a6bbd9310a3-a29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[USD][2E9C5][USD.CUSTINSTF.SCB000][U2]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2">
      <c r="A30" s="46" t="str">
        <f t="shared" ca="1" si="0"/>
        <v>b4ba731d-12f6-124c-18c1-6e52bd30928e-a3a</v>
      </c>
      <c r="B30" s="46" t="s">
        <v>78</v>
      </c>
      <c r="C30" s="46" t="str">
        <f t="shared" ca="1" si="32"/>
        <v>b4ba731d-12f6-124c-18c1-6e52bd30928e-a3a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[BDT][2E9C5][BDT.FXA.SCB000000000][U2]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2">
      <c r="A31" s="46" t="str">
        <f t="shared" ca="1" si="0"/>
        <v>d9a624b4-1ee5-5be6-1a32-3687095c0803-a31</v>
      </c>
      <c r="B31" s="46" t="s">
        <v>78</v>
      </c>
      <c r="C31" s="46" t="str">
        <f t="shared" ca="1" si="32"/>
        <v>d9a624b4-1ee5-5be6-1a32-3687095c0803-a31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[USD][2E9C5][USD.FXA.SCB000000000][U2]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2">
      <c r="A32" s="46" t="str">
        <f t="shared" ca="1" si="0"/>
        <v>32f3272d-24a0-a605-7736-de79fe4c89a0-a32</v>
      </c>
      <c r="B32" s="46" t="s">
        <v>78</v>
      </c>
      <c r="C32" s="46" t="str">
        <f t="shared" ca="1" si="32"/>
        <v>32f3272d-24a0-a605-7736-de79fe4c89a0-a32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[BDT][2E9C5][BDT.FXF.SCB000000000][U2]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2">
      <c r="A33" s="46" t="str">
        <f t="shared" ca="1" si="0"/>
        <v>936d55f3-8ca5-03b7-7a41-021408118e05-a33</v>
      </c>
      <c r="B33" s="46" t="s">
        <v>78</v>
      </c>
      <c r="C33" s="46" t="str">
        <f t="shared" ca="1" si="32"/>
        <v>936d55f3-8ca5-03b7-7a41-021408118e05-a33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[USD][2E9C5][USD.FXF.SCB000000000][U2]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2">
      <c r="A34" s="46" t="str">
        <f t="shared" ca="1" si="0"/>
        <v>54760ea0-3699-4313-8447-f29210609a78-a34</v>
      </c>
      <c r="B34" s="46" t="s">
        <v>78</v>
      </c>
      <c r="C34" s="46" t="str">
        <f t="shared" ca="1" si="32"/>
        <v>54760ea0-3699-4313-8447-f29210609a78-a34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[BDT][2E9C5][BDT.LOCKFXA.SCB00000][U2]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2">
      <c r="A35" s="46" t="str">
        <f t="shared" ca="1" si="0"/>
        <v>90f9dde5-7f20-2429-5016-6a4a6e4602d6-a35</v>
      </c>
      <c r="B35" s="46" t="s">
        <v>78</v>
      </c>
      <c r="C35" s="46" t="str">
        <f t="shared" ca="1" si="32"/>
        <v>90f9dde5-7f20-2429-5016-6a4a6e4602d6-a35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[USD][2E9C5][USD.LOCKFXA.SCB00000][U2]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2">
      <c r="A36" s="46" t="str">
        <f t="shared" ca="1" si="0"/>
        <v>ba4847b1-a182-69ac-7abd-83148a187d7b-a36</v>
      </c>
      <c r="B36" s="46" t="s">
        <v>78</v>
      </c>
      <c r="C36" s="46" t="str">
        <f t="shared" ca="1" si="32"/>
        <v>ba4847b1-a182-69ac-7abd-83148a187d7b-a36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[BDT][2E9C5][BDT.LOCKFXF.SCB00000][U2]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2">
      <c r="A37" s="46" t="str">
        <f t="shared" ca="1" si="0"/>
        <v>3af152da-9f4a-6db5-6e69-097bd43b070c-a37</v>
      </c>
      <c r="B37" s="46" t="s">
        <v>78</v>
      </c>
      <c r="C37" s="46" t="str">
        <f t="shared" ca="1" si="32"/>
        <v>3af152da-9f4a-6db5-6e69-097bd43b070c-a37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[USD][2E9C5][USD.LOCKFXF.SCB00000][U2]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2">
      <c r="A38" s="46" t="str">
        <f t="shared" ca="1" si="0"/>
        <v>24495335-8f24-9c07-3d90-984869c92994-a38</v>
      </c>
      <c r="B38" s="46" t="s">
        <v>78</v>
      </c>
      <c r="C38" s="46" t="str">
        <f t="shared" ca="1" si="32"/>
        <v>24495335-8f24-9c07-3d90-984869c92994-a38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[BDT][2E9C5][BDT.LOCKINSTA.SCB000][U2]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2">
      <c r="A39" s="46" t="str">
        <f t="shared" ca="1" si="0"/>
        <v>5d8a005e-a4af-4254-304e-b1681dbf6836-a39</v>
      </c>
      <c r="B39" s="46" t="s">
        <v>78</v>
      </c>
      <c r="C39" s="46" t="str">
        <f t="shared" ca="1" si="32"/>
        <v>5d8a005e-a4af-4254-304e-b1681dbf6836-a39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[USD][2E9C5][USD.LOCKINSTA.SCB000][U2]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2">
      <c r="A40" s="46" t="str">
        <f t="shared" ca="1" si="0"/>
        <v>6a473161-16dc-3257-8633-66ee4f2d4076-a4a</v>
      </c>
      <c r="B40" s="46" t="s">
        <v>78</v>
      </c>
      <c r="C40" s="46" t="str">
        <f t="shared" ca="1" si="32"/>
        <v>6a473161-16dc-3257-8633-66ee4f2d4076-a4a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[BDT][2E9C5][BDT.LOCKINSTF.SCB000][U2]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2">
      <c r="A41" s="46" t="str">
        <f t="shared" ca="1" si="0"/>
        <v>04b7d61d-1766-0093-0b12-4b7e97369477-a41</v>
      </c>
      <c r="B41" s="46" t="s">
        <v>78</v>
      </c>
      <c r="C41" s="46" t="str">
        <f t="shared" ca="1" si="32"/>
        <v>04b7d61d-1766-0093-0b12-4b7e97369477-a41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[USD][2E9C5][USD.LOCKINSTF.SCB000][U2]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2">
      <c r="A42" s="46" t="str">
        <f t="shared" ca="1" si="0"/>
        <v>66d99eb3-1388-0ee6-36bb-c052420e1058-a42</v>
      </c>
      <c r="B42" s="46" t="s">
        <v>78</v>
      </c>
      <c r="C42" s="46" t="str">
        <f t="shared" ca="1" si="32"/>
        <v>66d99eb3-1388-0ee6-36bb-c052420e1058-a42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[SGD][2E9C5][SGD.CASHTXA.CS000000][U3]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2">
      <c r="A43" s="46" t="str">
        <f t="shared" ca="1" si="0"/>
        <v>b4a3d5ca-8c5e-873f-1f43-deb844617369-a43</v>
      </c>
      <c r="B43" s="46" t="s">
        <v>78</v>
      </c>
      <c r="C43" s="46" t="str">
        <f t="shared" ca="1" si="32"/>
        <v>b4a3d5ca-8c5e-873f-1f43-deb844617369-a43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[USD][2E9C5][USD.CASHTXA.CS000000][U3]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2">
      <c r="A44" s="46" t="str">
        <f t="shared" ca="1" si="0"/>
        <v>03681bf0-08ee-5a59-1865-8dbafb2294a6-a44</v>
      </c>
      <c r="B44" s="46" t="s">
        <v>78</v>
      </c>
      <c r="C44" s="46" t="str">
        <f t="shared" ref="C44:C63" ca="1" si="45">A44</f>
        <v>03681bf0-08ee-5a59-1865-8dbafb2294a6-a44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[SGD][2E9C5][SGD.CASHTXF.CS000000][U3]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2">
      <c r="A45" s="46" t="str">
        <f t="shared" ca="1" si="0"/>
        <v>2cf20e18-925b-81e7-59b0-1de2f6b904e2-a45</v>
      </c>
      <c r="B45" s="46" t="s">
        <v>78</v>
      </c>
      <c r="C45" s="46" t="str">
        <f t="shared" ca="1" si="45"/>
        <v>2cf20e18-925b-81e7-59b0-1de2f6b904e2-a45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[USD][2E9C5][USD.CASHTXF.CS000000][U3]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2">
      <c r="A46" s="46" t="str">
        <f t="shared" ca="1" si="0"/>
        <v>83e492f6-9acf-93a3-6ff8-27bda10980c7-a46</v>
      </c>
      <c r="B46" s="46" t="s">
        <v>78</v>
      </c>
      <c r="C46" s="46" t="str">
        <f t="shared" ca="1" si="45"/>
        <v>83e492f6-9acf-93a3-6ff8-27bda10980c7-a46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[SGD][2E9C5][SGD.CUSTINSTA.CS0000][U3]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2">
      <c r="A47" s="46" t="str">
        <f t="shared" ca="1" si="0"/>
        <v>5d55e25a-1fc1-7d28-4842-e2a823e2945e-a47</v>
      </c>
      <c r="B47" s="46" t="s">
        <v>78</v>
      </c>
      <c r="C47" s="46" t="str">
        <f t="shared" ca="1" si="45"/>
        <v>5d55e25a-1fc1-7d28-4842-e2a823e2945e-a47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[USD][2E9C5][USD.CUSTINSTA.CS0000][U3]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2">
      <c r="A48" s="46" t="str">
        <f t="shared" ca="1" si="0"/>
        <v>cb0f45d9-326e-414b-951a-e5aa72d69390-a48</v>
      </c>
      <c r="B48" s="46" t="s">
        <v>78</v>
      </c>
      <c r="C48" s="46" t="str">
        <f t="shared" ca="1" si="45"/>
        <v>cb0f45d9-326e-414b-951a-e5aa72d69390-a48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[SGD][2E9C5][SGD.CUSTINSTF.CS0000][U3]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2">
      <c r="A49" s="46" t="str">
        <f t="shared" ca="1" si="0"/>
        <v>7fa2788e-6af0-46b8-7b7d-f45c8c5e56b9-a49</v>
      </c>
      <c r="B49" s="46" t="s">
        <v>78</v>
      </c>
      <c r="C49" s="46" t="str">
        <f t="shared" ca="1" si="45"/>
        <v>7fa2788e-6af0-46b8-7b7d-f45c8c5e56b9-a49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[USD][2E9C5][USD.CUSTINSTF.CS0000][U3]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2">
      <c r="A50" s="46" t="str">
        <f t="shared" ca="1" si="0"/>
        <v>30dfd2f6-0a60-88b2-7a4a-eb116d6e3602-a5a</v>
      </c>
      <c r="B50" s="46" t="s">
        <v>78</v>
      </c>
      <c r="C50" s="46" t="str">
        <f t="shared" ca="1" si="45"/>
        <v>30dfd2f6-0a60-88b2-7a4a-eb116d6e3602-a5a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[SGD][2E9C5][SGD.FXA.CS0000000000][U3]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2">
      <c r="A51" s="46" t="str">
        <f t="shared" ca="1" si="0"/>
        <v>d42854c0-2936-7894-0b74-919259273d1d-a51</v>
      </c>
      <c r="B51" s="46" t="s">
        <v>78</v>
      </c>
      <c r="C51" s="46" t="str">
        <f t="shared" ca="1" si="45"/>
        <v>d42854c0-2936-7894-0b74-919259273d1d-a51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[USD][2E9C5][USD.FXA.CS0000000000][U3]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2">
      <c r="A52" s="46" t="str">
        <f t="shared" ca="1" si="0"/>
        <v>032a68d1-0650-5cf7-2ce6-9f8417e993ae-a52</v>
      </c>
      <c r="B52" s="46" t="s">
        <v>78</v>
      </c>
      <c r="C52" s="46" t="str">
        <f t="shared" ca="1" si="45"/>
        <v>032a68d1-0650-5cf7-2ce6-9f8417e993ae-a52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[SGD][2E9C5][SGD.FXF.CS0000000000][U3]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2">
      <c r="A53" s="46" t="str">
        <f t="shared" ca="1" si="0"/>
        <v>2210289a-672d-1a7e-31fd-a143ef807f0e-a53</v>
      </c>
      <c r="B53" s="46" t="s">
        <v>78</v>
      </c>
      <c r="C53" s="46" t="str">
        <f t="shared" ca="1" si="45"/>
        <v>2210289a-672d-1a7e-31fd-a143ef807f0e-a53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[USD][2E9C5][USD.FXF.CS0000000000][U3]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2">
      <c r="A54" s="46" t="str">
        <f t="shared" ca="1" si="0"/>
        <v>75f2b739-7bd3-0dad-40ab-71605fdd34e6-a54</v>
      </c>
      <c r="B54" s="46" t="s">
        <v>78</v>
      </c>
      <c r="C54" s="46" t="str">
        <f t="shared" ca="1" si="45"/>
        <v>75f2b739-7bd3-0dad-40ab-71605fdd34e6-a54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[SGD][2E9C5][SGD.LOCKFXA.CS000000][U3]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2">
      <c r="A55" s="46" t="str">
        <f t="shared" ca="1" si="0"/>
        <v>dbfcf9b1-1424-38ea-6dd4-d094d51f1b20-a55</v>
      </c>
      <c r="B55" s="46" t="s">
        <v>78</v>
      </c>
      <c r="C55" s="46" t="str">
        <f t="shared" ca="1" si="45"/>
        <v>dbfcf9b1-1424-38ea-6dd4-d094d51f1b20-a55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[USD][2E9C5][USD.LOCKFXA.CS000000][U3]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2">
      <c r="A56" s="46" t="str">
        <f t="shared" ca="1" si="0"/>
        <v>788536db-7227-7a23-4883-169c7fd243bb-a56</v>
      </c>
      <c r="B56" s="46" t="s">
        <v>78</v>
      </c>
      <c r="C56" s="46" t="str">
        <f t="shared" ca="1" si="45"/>
        <v>788536db-7227-7a23-4883-169c7fd243bb-a56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[SGD][2E9C5][SGD.LOCKFXF.CS000000][U3]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2">
      <c r="A57" s="46" t="str">
        <f t="shared" ca="1" si="0"/>
        <v>9292fa07-558e-5265-5978-51e830371bcd-a57</v>
      </c>
      <c r="B57" s="46" t="s">
        <v>78</v>
      </c>
      <c r="C57" s="46" t="str">
        <f t="shared" ca="1" si="45"/>
        <v>9292fa07-558e-5265-5978-51e830371bcd-a57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[USD][2E9C5][USD.LOCKFXF.CS000000][U3]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2">
      <c r="A58" s="46" t="str">
        <f t="shared" ca="1" si="0"/>
        <v>536c4a87-8ea7-861d-1287-b0129ff37302-a58</v>
      </c>
      <c r="B58" s="46" t="s">
        <v>78</v>
      </c>
      <c r="C58" s="46" t="str">
        <f t="shared" ca="1" si="45"/>
        <v>536c4a87-8ea7-861d-1287-b0129ff37302-a58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[SGD][2E9C5][SGD.LOCKINSTA.CS0000][U3]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2">
      <c r="A59" s="46" t="str">
        <f t="shared" ca="1" si="0"/>
        <v>40ff15cc-0b30-4d75-4799-7108039c222b-a59</v>
      </c>
      <c r="B59" s="46" t="s">
        <v>78</v>
      </c>
      <c r="C59" s="46" t="str">
        <f t="shared" ca="1" si="45"/>
        <v>40ff15cc-0b30-4d75-4799-7108039c222b-a59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[USD][2E9C5][USD.LOCKINSTA.CS0000][U3]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2">
      <c r="A60" s="46" t="str">
        <f t="shared" ca="1" si="0"/>
        <v>beae370d-80b1-46d7-2f51-01daa7b62b71-a6a</v>
      </c>
      <c r="B60" s="46" t="s">
        <v>78</v>
      </c>
      <c r="C60" s="46" t="str">
        <f t="shared" ca="1" si="45"/>
        <v>beae370d-80b1-46d7-2f51-01daa7b62b71-a6a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[SGD][2E9C5][SGD.LOCKINSTF.CS0000][U3]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2">
      <c r="A61" s="46" t="str">
        <f t="shared" ca="1" si="0"/>
        <v>e1c3977f-8b3b-7a45-1db4-191d88f87032-a61</v>
      </c>
      <c r="B61" s="46" t="s">
        <v>78</v>
      </c>
      <c r="C61" s="46" t="str">
        <f t="shared" ca="1" si="45"/>
        <v>e1c3977f-8b3b-7a45-1db4-191d88f87032-a61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[USD][2E9C5][USD.LOCKINSTF.CS0000][U3]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2">
      <c r="A62" s="46" t="str">
        <f t="shared" ca="1" si="0"/>
        <v>87b614eb-2237-86ed-877e-e37f6749082e-a62</v>
      </c>
      <c r="B62" s="46" t="s">
        <v>78</v>
      </c>
      <c r="C62" s="46" t="str">
        <f t="shared" ca="1" si="45"/>
        <v>87b614eb-2237-86ed-877e-e37f6749082e-a62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[USD][2E9C5][USD.CASHTXA.HSBEL000][U0]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2">
      <c r="A63" s="46" t="str">
        <f t="shared" ca="1" si="0"/>
        <v>9bf86bf5-3cfa-02dd-31b6-8883111f38ee-a63</v>
      </c>
      <c r="B63" s="46" t="s">
        <v>78</v>
      </c>
      <c r="C63" s="46" t="str">
        <f t="shared" ca="1" si="45"/>
        <v>9bf86bf5-3cfa-02dd-31b6-8883111f38ee-a63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[USD][2E9C5][USD.CASHTXA.HSFRA000][U0]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2">
      <c r="A64" s="46" t="str">
        <f t="shared" ca="1" si="0"/>
        <v>fd43ffdd-8e1a-9069-91dc-13ebaaa9a080-a64</v>
      </c>
      <c r="B64" s="46" t="s">
        <v>78</v>
      </c>
      <c r="C64" s="46" t="str">
        <f t="shared" ref="C64:C81" ca="1" si="52">A64</f>
        <v>fd43ffdd-8e1a-9069-91dc-13ebaaa9a080-a64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[USD][2E9C5][USD.CASHTXF.HSBEL000][U0]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1" si="56">IF(RIGHT(L64,1)="A","ACTUAL","FORECAST")</f>
        <v>FORECAST</v>
      </c>
    </row>
    <row r="65" spans="1:23" x14ac:dyDescent="0.2">
      <c r="A65" s="46" t="str">
        <f t="shared" ca="1" si="0"/>
        <v>a2131480-47d4-85ab-2333-a6d6355362b9-a65</v>
      </c>
      <c r="B65" s="46" t="s">
        <v>78</v>
      </c>
      <c r="C65" s="46" t="str">
        <f t="shared" ca="1" si="52"/>
        <v>a2131480-47d4-85ab-2333-a6d6355362b9-a65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[USD][2E9C5][USD.CASHTXF.HSFRA000][U0]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2">
      <c r="A66" s="46" t="str">
        <f t="shared" ca="1" si="0"/>
        <v>2b88925b-643b-741b-7196-0ede335500f2-a66</v>
      </c>
      <c r="B66" s="46" t="s">
        <v>78</v>
      </c>
      <c r="C66" s="46" t="str">
        <f t="shared" ca="1" si="52"/>
        <v>2b88925b-643b-741b-7196-0ede335500f2-a66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[USD][2E9C5][USD.CUSTINSTA.HSBEL0][U0]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2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003293b8-1e7a-5abb-5782-662a8e7844ff-a67</v>
      </c>
      <c r="B67" s="46" t="s">
        <v>78</v>
      </c>
      <c r="C67" s="46" t="str">
        <f t="shared" ca="1" si="52"/>
        <v>003293b8-1e7a-5abb-5782-662a8e7844ff-a67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[USD][2E9C5][USD.CUSTINSTA.HSFRA0][U0]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2">
      <c r="A68" s="46" t="str">
        <f t="shared" ca="1" si="57"/>
        <v>9d9957e0-871b-0507-12e3-2d0d742e6172-a68</v>
      </c>
      <c r="B68" s="46" t="s">
        <v>78</v>
      </c>
      <c r="C68" s="46" t="str">
        <f t="shared" ca="1" si="52"/>
        <v>9d9957e0-871b-0507-12e3-2d0d742e6172-a68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[USD][2E9C5][USD.CUSTINSTF.HSBEL0][U0]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2">
      <c r="A69" s="46" t="str">
        <f t="shared" ca="1" si="57"/>
        <v>30e5b31e-4805-4573-7c63-1ba9c6373332-a69</v>
      </c>
      <c r="B69" s="46" t="s">
        <v>78</v>
      </c>
      <c r="C69" s="46" t="str">
        <f t="shared" ca="1" si="52"/>
        <v>30e5b31e-4805-4573-7c63-1ba9c6373332-a69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[USD][2E9C5][USD.CUSTINSTF.HSFRA0][U0]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2">
      <c r="A70" s="46" t="str">
        <f t="shared" ca="1" si="57"/>
        <v>074a0d2d-31d4-62fa-1acf-6ae093256005-a7a</v>
      </c>
      <c r="B70" s="46" t="s">
        <v>78</v>
      </c>
      <c r="C70" s="46" t="str">
        <f t="shared" ca="1" si="52"/>
        <v>074a0d2d-31d4-62fa-1acf-6ae093256005-a7a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[USD][2E9C5][USD.FXA.HSBEL0000000][U0]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2">
      <c r="A71" s="46" t="str">
        <f t="shared" ca="1" si="57"/>
        <v>43f7bda2-1442-72fe-2ea3-c013ce64281e-a71</v>
      </c>
      <c r="B71" s="46" t="s">
        <v>78</v>
      </c>
      <c r="C71" s="46" t="str">
        <f t="shared" ca="1" si="52"/>
        <v>43f7bda2-1442-72fe-2ea3-c013ce64281e-a71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[USD][2E9C5][USD.FXA.HSFRA0000000][U0]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2">
      <c r="A72" s="46" t="str">
        <f t="shared" ca="1" si="57"/>
        <v>078997b2-32d5-8f5e-249a-ec593fba346a-a72</v>
      </c>
      <c r="B72" s="46" t="s">
        <v>78</v>
      </c>
      <c r="C72" s="46" t="str">
        <f t="shared" ca="1" si="52"/>
        <v>078997b2-32d5-8f5e-249a-ec593fba346a-a72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[USD][2E9C5][USD.FXF.HSBEL0000000][U0]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2">
      <c r="A73" s="46" t="str">
        <f t="shared" ca="1" si="57"/>
        <v>e9ba6dc6-5b56-2514-6ae8-0634f1f81a83-a73</v>
      </c>
      <c r="B73" s="46" t="s">
        <v>78</v>
      </c>
      <c r="C73" s="46" t="str">
        <f t="shared" ca="1" si="52"/>
        <v>e9ba6dc6-5b56-2514-6ae8-0634f1f81a83-a73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[USD][2E9C5][USD.FXF.HSFRA0000000][U0]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2">
      <c r="A74" s="46" t="str">
        <f t="shared" ca="1" si="57"/>
        <v>a9531992-1782-6de2-4972-e6f22d8a6a93-a74</v>
      </c>
      <c r="B74" s="46" t="s">
        <v>78</v>
      </c>
      <c r="C74" s="46" t="str">
        <f t="shared" ca="1" si="52"/>
        <v>a9531992-1782-6de2-4972-e6f22d8a6a93-a74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[USD][2E9C5][USD.LOCKFXA.HSBEL000][U0]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2">
      <c r="A75" s="46" t="str">
        <f t="shared" ca="1" si="57"/>
        <v>14b816d6-495b-5219-0b74-f53f038743e7-a75</v>
      </c>
      <c r="B75" s="46" t="s">
        <v>78</v>
      </c>
      <c r="C75" s="46" t="str">
        <f t="shared" ca="1" si="52"/>
        <v>14b816d6-495b-5219-0b74-f53f038743e7-a75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[USD][2E9C5][USD.LOCKFXA.HSFRA000][U0]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2">
      <c r="A76" s="46" t="str">
        <f t="shared" ca="1" si="57"/>
        <v>81c68233-a7b5-3caa-96e1-818308f80cfe-a76</v>
      </c>
      <c r="B76" s="46" t="s">
        <v>78</v>
      </c>
      <c r="C76" s="46" t="str">
        <f t="shared" ca="1" si="52"/>
        <v>81c68233-a7b5-3caa-96e1-818308f80cfe-a76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[USD][2E9C5][USD.LOCKFXF.HSBEL000][U0]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2">
      <c r="A77" s="46" t="str">
        <f t="shared" ca="1" si="57"/>
        <v>66c6450e-1b83-4c07-6d9e-5d3c5b7382c5-a77</v>
      </c>
      <c r="B77" s="46" t="s">
        <v>78</v>
      </c>
      <c r="C77" s="46" t="str">
        <f t="shared" ca="1" si="52"/>
        <v>66c6450e-1b83-4c07-6d9e-5d3c5b7382c5-a77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[USD][2E9C5][USD.LOCKFXF.HSFRA000][U0]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2">
      <c r="A78" s="46" t="str">
        <f t="shared" ca="1" si="57"/>
        <v>1af0496b-33ef-6c2f-3c28-c8f55a9d4043-a78</v>
      </c>
      <c r="B78" s="46" t="s">
        <v>78</v>
      </c>
      <c r="C78" s="46" t="str">
        <f t="shared" ca="1" si="52"/>
        <v>1af0496b-33ef-6c2f-3c28-c8f55a9d4043-a78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[USD][2E9C5][USD.LOCKINSTA.HSBEL0][U0]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2">
      <c r="A79" s="46" t="str">
        <f t="shared" ca="1" si="57"/>
        <v>789e6441-2cee-5bd1-65a5-7332f2a7117d-a79</v>
      </c>
      <c r="B79" s="46" t="s">
        <v>78</v>
      </c>
      <c r="C79" s="46" t="str">
        <f t="shared" ca="1" si="52"/>
        <v>789e6441-2cee-5bd1-65a5-7332f2a7117d-a79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[USD][2E9C5][USD.LOCKINSTA.HSFRA0][U0]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2">
      <c r="A80" s="46" t="str">
        <f t="shared" ca="1" si="57"/>
        <v>b81d5ff5-6211-1adc-3cd0-0769e92b4906-a8a</v>
      </c>
      <c r="B80" s="46" t="s">
        <v>78</v>
      </c>
      <c r="C80" s="46" t="str">
        <f t="shared" ca="1" si="52"/>
        <v>b81d5ff5-6211-1adc-3cd0-0769e92b4906-a8a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[USD][2E9C5][USD.LOCKINSTF.HSBEL0][U0]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2">
      <c r="A81" s="46" t="str">
        <f t="shared" ca="1" si="57"/>
        <v>0ae70993-14b0-4fad-5c1d-f7dda244114c-a81</v>
      </c>
      <c r="B81" s="46" t="s">
        <v>78</v>
      </c>
      <c r="C81" s="46" t="str">
        <f t="shared" ca="1" si="52"/>
        <v>0ae70993-14b0-4fad-5c1d-f7dda244114c-a81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[USD][2E9C5][USD.LOCKINSTF.HSFRA0][U0]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2">
      <c r="E82" s="47"/>
      <c r="F82" s="48"/>
      <c r="T82" s="48"/>
    </row>
    <row r="83" spans="1:23" x14ac:dyDescent="0.2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43725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workbookViewId="0">
      <pane ySplit="1" topLeftCell="A2" activePane="bottomLeft" state="frozen"/>
      <selection pane="bottomLeft" activeCell="A2" sqref="A2:R37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64313342 ACCOUNTS-FIRSTDIR-EXT</v>
      </c>
      <c r="T2" s="26" t="str">
        <f ca="1">S2</f>
        <v>64313342 ACCOUNTS-FIRSTDIR-EXT</v>
      </c>
      <c r="U2" s="8">
        <f ca="1">RANDBETWEEN(0,99999999)</f>
        <v>64313342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86179226 ACCOUNTS-SANTANDE-EXT</v>
      </c>
      <c r="T3" s="26" t="str">
        <f t="shared" ref="T3:T23" ca="1" si="3">S3</f>
        <v>86179226 ACCOUNTS-SANTANDE-EXT</v>
      </c>
      <c r="U3" s="8">
        <f t="shared" ref="U3:U23" ca="1" si="4">RANDBETWEEN(0,99999999)</f>
        <v>86179226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7793073 ACCOUNTS-SMILE-EXT</v>
      </c>
      <c r="T4" s="26" t="str">
        <f t="shared" ca="1" si="3"/>
        <v>7793073 ACCOUNTS-SMILE-EXT</v>
      </c>
      <c r="U4" s="8">
        <f t="shared" ca="1" si="4"/>
        <v>7793073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82460999 ACCOUNTS-NATIONWI-EXT</v>
      </c>
      <c r="T5" s="26" t="str">
        <f t="shared" ca="1" si="3"/>
        <v>82460999 ACCOUNTS-NATIONWI-EXT</v>
      </c>
      <c r="U5" s="8">
        <f t="shared" ca="1" si="4"/>
        <v>82460999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76215961 ACCOUNTS-THECOOP-EXT</v>
      </c>
      <c r="T6" s="26" t="str">
        <f t="shared" ca="1" si="3"/>
        <v>76215961 ACCOUNTS-THECOOP-EXT</v>
      </c>
      <c r="U6" s="8">
        <f t="shared" ca="1" si="4"/>
        <v>76215961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85761698 ACCOUNTS-HALIFAX -EXT</v>
      </c>
      <c r="T7" s="26" t="str">
        <f t="shared" ca="1" si="3"/>
        <v>85761698 ACCOUNTS-HALIFAX -EXT</v>
      </c>
      <c r="U7" s="8">
        <f t="shared" ca="1" si="4"/>
        <v>85761698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15997042 ACCOUNTS-TSB -EXT</v>
      </c>
      <c r="T8" s="26" t="str">
        <f t="shared" ca="1" si="3"/>
        <v>15997042 ACCOUNTS-TSB -EXT</v>
      </c>
      <c r="U8" s="8">
        <f t="shared" ca="1" si="4"/>
        <v>15997042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88857961 ACCOUNTS-BANKOFSC-EXT</v>
      </c>
      <c r="T9" s="26" t="str">
        <f t="shared" ca="1" si="3"/>
        <v>88857961 ACCOUNTS-BANKOFSC-EXT</v>
      </c>
      <c r="U9" s="8">
        <f t="shared" ca="1" si="4"/>
        <v>88857961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60973459 ACCOUNTS-YORKSHIR-EXT</v>
      </c>
      <c r="T10" s="26" t="str">
        <f t="shared" ca="1" si="3"/>
        <v>60973459 ACCOUNTS-YORKSHIR-EXT</v>
      </c>
      <c r="U10" s="8">
        <f t="shared" ca="1" si="4"/>
        <v>60973459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1983820 ACCOUNTS-LLOYDSBA-EXT</v>
      </c>
      <c r="T11" s="26" t="str">
        <f t="shared" ca="1" si="3"/>
        <v>1983820 ACCOUNTS-LLOYDSBA-EXT</v>
      </c>
      <c r="U11" s="8">
        <f t="shared" ca="1" si="4"/>
        <v>1983820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75206172 ACCOUNTS-HSBC -EXT</v>
      </c>
      <c r="T12" s="26" t="str">
        <f t="shared" ca="1" si="3"/>
        <v>75206172 ACCOUNTS-HSBC -EXT</v>
      </c>
      <c r="U12" s="8">
        <f t="shared" ca="1" si="4"/>
        <v>75206172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1996042 RECON-FIRSTDIR-EXT</v>
      </c>
      <c r="T13" s="26" t="str">
        <f t="shared" ca="1" si="3"/>
        <v>1996042 RECON-FIRSTDIR-EXT</v>
      </c>
      <c r="U13" s="8">
        <f t="shared" ca="1" si="4"/>
        <v>1996042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79329048 RECON-SANTANDE-EXT</v>
      </c>
      <c r="T14" s="26" t="str">
        <f t="shared" ca="1" si="3"/>
        <v>79329048 RECON-SANTANDE-EXT</v>
      </c>
      <c r="U14" s="8">
        <f t="shared" ca="1" si="4"/>
        <v>79329048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66158879 RECON-SMILE-EXT</v>
      </c>
      <c r="T15" s="26" t="str">
        <f t="shared" ca="1" si="3"/>
        <v>66158879 RECON-SMILE-EXT</v>
      </c>
      <c r="U15" s="8">
        <f t="shared" ca="1" si="4"/>
        <v>66158879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53019122 RECON-NATIONWI-EXT</v>
      </c>
      <c r="T16" s="26" t="str">
        <f t="shared" ca="1" si="3"/>
        <v>53019122 RECON-NATIONWI-EXT</v>
      </c>
      <c r="U16" s="8">
        <f t="shared" ca="1" si="4"/>
        <v>53019122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8791621 RECON-THECOOP-EXT</v>
      </c>
      <c r="T17" s="26" t="str">
        <f t="shared" ca="1" si="3"/>
        <v>8791621 RECON-THECOOP-EXT</v>
      </c>
      <c r="U17" s="8">
        <f t="shared" ca="1" si="4"/>
        <v>8791621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19308674 RECON-HALIFAX -EXT</v>
      </c>
      <c r="T18" s="26" t="str">
        <f t="shared" ca="1" si="3"/>
        <v>19308674 RECON-HALIFAX -EXT</v>
      </c>
      <c r="U18" s="8">
        <f t="shared" ca="1" si="4"/>
        <v>19308674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91710081 RECON-TSB -EXT</v>
      </c>
      <c r="T19" s="26" t="str">
        <f t="shared" ca="1" si="3"/>
        <v>91710081 RECON-TSB -EXT</v>
      </c>
      <c r="U19" s="8">
        <f t="shared" ca="1" si="4"/>
        <v>91710081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2974741 RECON-BANKOFSC-EXT</v>
      </c>
      <c r="T20" s="26" t="str">
        <f t="shared" ca="1" si="3"/>
        <v>2974741 RECON-BANKOFSC-EXT</v>
      </c>
      <c r="U20" s="8">
        <f t="shared" ca="1" si="4"/>
        <v>2974741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31247102 RECON-YORKSHIR-EXT</v>
      </c>
      <c r="T21" s="26" t="str">
        <f t="shared" ca="1" si="3"/>
        <v>31247102 RECON-YORKSHIR-EXT</v>
      </c>
      <c r="U21" s="8">
        <f t="shared" ca="1" si="4"/>
        <v>31247102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2830054 RECON-LLOYDSBA-EXT</v>
      </c>
      <c r="T22" s="26" t="str">
        <f t="shared" ca="1" si="3"/>
        <v>2830054 RECON-LLOYDSBA-EXT</v>
      </c>
      <c r="U22" s="8">
        <f t="shared" ca="1" si="4"/>
        <v>2830054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11666218 RECON-HSBC -EXT</v>
      </c>
      <c r="T23" s="26" t="str">
        <f t="shared" ca="1" si="3"/>
        <v>11666218 RECON-HSBC -EXT</v>
      </c>
      <c r="U23" s="8">
        <f t="shared" ca="1" si="4"/>
        <v>11666218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4315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6355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-4214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-1105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-2348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1875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-2169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17764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-5107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-4246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16851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4296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6376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-4136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-1081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-2265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1959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-2143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17760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-5091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-4282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16787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2019-09-17T20:45:37Z</dcterms:modified>
</cp:coreProperties>
</file>