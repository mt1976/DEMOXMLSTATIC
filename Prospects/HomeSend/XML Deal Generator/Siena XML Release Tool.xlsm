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09369F11-5F9F-5146-B4E5-BA206DE29B80}" xr6:coauthVersionLast="45" xr6:coauthVersionMax="45" xr10:uidLastSave="{00000000-0000-0000-0000-000000000000}"/>
  <bookViews>
    <workbookView xWindow="3140" yWindow="640" windowWidth="28040" windowHeight="17440" activeTab="2" xr2:uid="{FB0F0F22-0686-E145-9628-8C9365172CEE}"/>
  </bookViews>
  <sheets>
    <sheet name="Properties" sheetId="1" r:id="rId1"/>
    <sheet name="Data" sheetId="2" r:id="rId2"/>
    <sheet name="Engine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2" i="2"/>
  <c r="F3" i="2" l="1"/>
  <c r="F4" i="2"/>
  <c r="B8" i="3" s="1"/>
  <c r="F5" i="2"/>
  <c r="F6" i="2"/>
  <c r="F7" i="2"/>
  <c r="F8" i="2"/>
  <c r="F9" i="2"/>
  <c r="F10" i="2"/>
  <c r="F11" i="2"/>
  <c r="F12" i="2"/>
  <c r="F13" i="2"/>
  <c r="F14" i="2"/>
  <c r="F2" i="2"/>
  <c r="C7" i="2"/>
  <c r="E7" i="2" s="1"/>
  <c r="C8" i="2"/>
  <c r="E8" i="2"/>
  <c r="C9" i="2"/>
  <c r="E9" i="2"/>
  <c r="C10" i="2"/>
  <c r="E10" i="2"/>
  <c r="C11" i="2"/>
  <c r="E11" i="2" s="1"/>
  <c r="C12" i="2"/>
  <c r="E12" i="2"/>
  <c r="C13" i="2"/>
  <c r="E13" i="2"/>
  <c r="C14" i="2"/>
  <c r="E14" i="2"/>
  <c r="E3" i="2"/>
  <c r="E4" i="2"/>
  <c r="E5" i="2"/>
  <c r="E6" i="2"/>
  <c r="C3" i="2"/>
  <c r="C4" i="2"/>
  <c r="C5" i="2"/>
  <c r="C6" i="2"/>
  <c r="E2" i="2"/>
  <c r="C2" i="2"/>
  <c r="B11" i="3" l="1" a="1"/>
  <c r="B11" i="3" s="1"/>
  <c r="B9" i="3" a="1"/>
  <c r="B9" i="3" s="1"/>
  <c r="B10" i="3" a="1"/>
  <c r="B1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<sst xmlns="http://schemas.openxmlformats.org/spreadsheetml/2006/main" count="30" uniqueCount="18">
  <si>
    <t>Path</t>
  </si>
  <si>
    <t>Folder</t>
  </si>
  <si>
    <t>HSFT</t>
  </si>
  <si>
    <t>Use Case</t>
  </si>
  <si>
    <t>uNo</t>
  </si>
  <si>
    <t>Time</t>
  </si>
  <si>
    <t>SearchString</t>
  </si>
  <si>
    <t>ToPath</t>
  </si>
  <si>
    <t>FromPath</t>
  </si>
  <si>
    <t>DropdownText</t>
  </si>
  <si>
    <t>Index</t>
  </si>
  <si>
    <t>Search</t>
  </si>
  <si>
    <t>From</t>
  </si>
  <si>
    <t>To</t>
  </si>
  <si>
    <t>Select Use Case</t>
  </si>
  <si>
    <t>Siena Use Case injector</t>
  </si>
  <si>
    <t>/Users/matttownsend/Google Drive/eurobase/repos/ebSiena-DemoSystemData/Prospects/HomeSend/XML Deal Generator/DATA</t>
  </si>
  <si>
    <t>UC03 HSFT 08:10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</si>
</sst>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Courier"/>
      <family val="1"/>
    </font>
    <font>
      <sz val="12"/>
      <color theme="2"/>
      <name val="Calibri"/>
      <family val="2"/>
      <scheme val="minor"/>
    </font>
    <font>
      <sz val="26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48"/>
      <color rgb="FF00B0F0"/>
      <name val="Raleway"/>
    </font>
  </fonts>
  <fills count="4">
    <fill>
      <patternFill patternType="none"/>
    </fill>
    <fill>
      <patternFill patternType="gray125"/>
    </fill>
    <fill>
      <patternFill patternType="solid">
        <fgColor rgb="FF011DA8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0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2" borderId="0" xfId="0" applyFill="1"/>
    <xf numFmtId="0" fontId="2" fillId="2" borderId="0" xfId="0" applyFont="1" applyFill="1"/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workbookViewId="0">
      <selection activeCell="B2" sqref="B2"/>
    </sheetView>
  </sheetViews>
  <sheetFormatPr baseColWidth="10" defaultRowHeight="16" x14ac:dyDescent="0.2"/>
  <sheetData>
    <row r="1" spans="1:2" x14ac:dyDescent="0.2">
      <c r="A1" t="s">
        <v>0</v>
      </c>
      <c r="B1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14"/>
  <sheetViews>
    <sheetView topLeftCell="H1" zoomScale="287" zoomScaleNormal="287" workbookViewId="0">
      <selection activeCell="H2" sqref="H2:H14"/>
    </sheetView>
  </sheetViews>
  <sheetFormatPr baseColWidth="10" defaultRowHeight="16" x14ac:dyDescent="0.2"/>
  <cols>
    <col min="6" max="6" width="14.1640625" bestFit="1" customWidth="1"/>
    <col min="7" max="7" width="27.33203125" customWidth="1"/>
  </cols>
  <sheetData>
    <row r="1" spans="1:8" x14ac:dyDescent="0.2">
      <c r="A1" t="s">
        <v>1</v>
      </c>
      <c r="B1" t="s">
        <v>3</v>
      </c>
      <c r="C1" t="s">
        <v>4</v>
      </c>
      <c r="D1" t="s">
        <v>5</v>
      </c>
      <c r="E1" t="s">
        <v>6</v>
      </c>
      <c r="F1" t="s">
        <v>9</v>
      </c>
      <c r="G1" t="s">
        <v>7</v>
      </c>
      <c r="H1" t="s">
        <v>8</v>
      </c>
    </row>
    <row r="2" spans="1:8" x14ac:dyDescent="0.2">
      <c r="A2" t="s">
        <v>2</v>
      </c>
      <c r="B2">
        <v>1</v>
      </c>
      <c r="C2" t="str">
        <f>"u"&amp;B2</f>
        <v>u1</v>
      </c>
      <c r="D2" s="1">
        <v>0.375</v>
      </c>
      <c r="E2" t="str">
        <f>"-"&amp;C2&amp;"-"&amp;TEXT(D2,"HHMM"&amp;"-")</f>
        <v>-u1-0900-</v>
      </c>
      <c r="F2" t="str">
        <f>"UC"&amp;TEXT(B2,"00")&amp;" "&amp;A2&amp;" "&amp;TEXT(D2,"HH:MM")</f>
        <v>UC01 HSFT 09:00</v>
      </c>
      <c r="G2" t="str">
        <f>Properties!$B$1&amp;"/"</f>
        <v>/Users/matttownsend/Google Drive/eurobase/repos/ebSiena-DemoSystemData/Prospects/HomeSend/XML Deal Generator/DATA/</v>
      </c>
      <c r="H2" t="str">
        <f>G2&amp;A2&amp;"/"</f>
        <v>/Users/matttownsend/Google Drive/eurobase/repos/ebSiena-DemoSystemData/Prospects/HomeSend/XML Deal Generator/DATA/HSFT/</v>
      </c>
    </row>
    <row r="3" spans="1:8" x14ac:dyDescent="0.2">
      <c r="A3" t="s">
        <v>2</v>
      </c>
      <c r="B3">
        <v>2</v>
      </c>
      <c r="C3" t="str">
        <f t="shared" ref="C3:C14" si="0">"u"&amp;B3</f>
        <v>u2</v>
      </c>
      <c r="D3" s="1">
        <v>0.41666666666666702</v>
      </c>
      <c r="E3" t="str">
        <f t="shared" ref="E3:E6" si="1">"-"&amp;C3&amp;"-"&amp;TEXT(D3,"HHMM"&amp;"-")</f>
        <v>-u2-1000-</v>
      </c>
      <c r="F3" t="str">
        <f t="shared" ref="F3:F14" si="2">"UC"&amp;TEXT(B3,"00")&amp;" "&amp;A3&amp;" "&amp;TEXT(D3,"HH:MM")</f>
        <v>UC02 HSFT 10:00</v>
      </c>
      <c r="G3" t="str">
        <f>Properties!$B$1&amp;"/"</f>
        <v>/Users/matttownsend/Google Drive/eurobase/repos/ebSiena-DemoSystemData/Prospects/HomeSend/XML Deal Generator/DATA/</v>
      </c>
      <c r="H3" t="str">
        <f t="shared" ref="H3:H14" si="3">G3&amp;A3&amp;"/"</f>
        <v>/Users/matttownsend/Google Drive/eurobase/repos/ebSiena-DemoSystemData/Prospects/HomeSend/XML Deal Generator/DATA/HSFT/</v>
      </c>
    </row>
    <row r="4" spans="1:8" x14ac:dyDescent="0.2">
      <c r="A4" t="s">
        <v>2</v>
      </c>
      <c r="B4">
        <v>3</v>
      </c>
      <c r="C4" t="str">
        <f t="shared" si="0"/>
        <v>u3</v>
      </c>
      <c r="D4" s="1">
        <v>0.34027777777777773</v>
      </c>
      <c r="E4" t="str">
        <f t="shared" si="1"/>
        <v>-u3-0810-</v>
      </c>
      <c r="F4" t="str">
        <f t="shared" si="2"/>
        <v>UC03 HSFT 08:10</v>
      </c>
      <c r="G4" t="str">
        <f>Properties!$B$1&amp;"/"</f>
        <v>/Users/matttownsend/Google Drive/eurobase/repos/ebSiena-DemoSystemData/Prospects/HomeSend/XML Deal Generator/DATA/</v>
      </c>
      <c r="H4" t="str">
        <f t="shared" si="3"/>
        <v>/Users/matttownsend/Google Drive/eurobase/repos/ebSiena-DemoSystemData/Prospects/HomeSend/XML Deal Generator/DATA/HSFT/</v>
      </c>
    </row>
    <row r="5" spans="1:8" x14ac:dyDescent="0.2">
      <c r="A5" t="s">
        <v>2</v>
      </c>
      <c r="B5">
        <v>4</v>
      </c>
      <c r="C5" t="str">
        <f t="shared" si="0"/>
        <v>u4</v>
      </c>
      <c r="D5" s="1">
        <v>0.5</v>
      </c>
      <c r="E5" t="str">
        <f t="shared" si="1"/>
        <v>-u4-1200-</v>
      </c>
      <c r="F5" t="str">
        <f t="shared" si="2"/>
        <v>UC04 HSFT 12:00</v>
      </c>
      <c r="G5" t="str">
        <f>Properties!$B$1&amp;"/"</f>
        <v>/Users/matttownsend/Google Drive/eurobase/repos/ebSiena-DemoSystemData/Prospects/HomeSend/XML Deal Generator/DATA/</v>
      </c>
      <c r="H5" t="str">
        <f t="shared" si="3"/>
        <v>/Users/matttownsend/Google Drive/eurobase/repos/ebSiena-DemoSystemData/Prospects/HomeSend/XML Deal Generator/DATA/HSFT/</v>
      </c>
    </row>
    <row r="6" spans="1:8" x14ac:dyDescent="0.2">
      <c r="A6" t="s">
        <v>2</v>
      </c>
      <c r="B6">
        <v>5</v>
      </c>
      <c r="C6" t="str">
        <f t="shared" si="0"/>
        <v>u5</v>
      </c>
      <c r="D6" s="1">
        <v>0.54166666666666696</v>
      </c>
      <c r="E6" t="str">
        <f t="shared" si="1"/>
        <v>-u5-1300-</v>
      </c>
      <c r="F6" t="str">
        <f t="shared" si="2"/>
        <v>UC05 HSFT 13:00</v>
      </c>
      <c r="G6" t="str">
        <f>Properties!$B$1&amp;"/"</f>
        <v>/Users/matttownsend/Google Drive/eurobase/repos/ebSiena-DemoSystemData/Prospects/HomeSend/XML Deal Generator/DATA/</v>
      </c>
      <c r="H6" t="str">
        <f t="shared" si="3"/>
        <v>/Users/matttownsend/Google Drive/eurobase/repos/ebSiena-DemoSystemData/Prospects/HomeSend/XML Deal Generator/DATA/HSFT/</v>
      </c>
    </row>
    <row r="7" spans="1:8" x14ac:dyDescent="0.2">
      <c r="A7" t="s">
        <v>2</v>
      </c>
      <c r="B7">
        <v>6</v>
      </c>
      <c r="C7" t="str">
        <f t="shared" si="0"/>
        <v>u6</v>
      </c>
      <c r="D7" s="1">
        <v>0.58333333333333404</v>
      </c>
      <c r="E7" t="str">
        <f t="shared" ref="E7:E14" si="4">"-"&amp;C7&amp;"-"&amp;TEXT(D7,"HHMM"&amp;"-")</f>
        <v>-u6-1400-</v>
      </c>
      <c r="F7" t="str">
        <f t="shared" si="2"/>
        <v>UC06 HSFT 14:00</v>
      </c>
      <c r="G7" t="str">
        <f>Properties!$B$1&amp;"/"</f>
        <v>/Users/matttownsend/Google Drive/eurobase/repos/ebSiena-DemoSystemData/Prospects/HomeSend/XML Deal Generator/DATA/</v>
      </c>
      <c r="H7" t="str">
        <f t="shared" si="3"/>
        <v>/Users/matttownsend/Google Drive/eurobase/repos/ebSiena-DemoSystemData/Prospects/HomeSend/XML Deal Generator/DATA/HSFT/</v>
      </c>
    </row>
    <row r="8" spans="1:8" x14ac:dyDescent="0.2">
      <c r="A8" t="s">
        <v>2</v>
      </c>
      <c r="B8">
        <v>7</v>
      </c>
      <c r="C8" t="str">
        <f t="shared" si="0"/>
        <v>u7</v>
      </c>
      <c r="D8" s="1">
        <v>0.625</v>
      </c>
      <c r="E8" t="str">
        <f t="shared" si="4"/>
        <v>-u7-1500-</v>
      </c>
      <c r="F8" t="str">
        <f t="shared" si="2"/>
        <v>UC07 HSFT 15:00</v>
      </c>
      <c r="G8" t="str">
        <f>Properties!$B$1&amp;"/"</f>
        <v>/Users/matttownsend/Google Drive/eurobase/repos/ebSiena-DemoSystemData/Prospects/HomeSend/XML Deal Generator/DATA/</v>
      </c>
      <c r="H8" t="str">
        <f t="shared" si="3"/>
        <v>/Users/matttownsend/Google Drive/eurobase/repos/ebSiena-DemoSystemData/Prospects/HomeSend/XML Deal Generator/DATA/HSFT/</v>
      </c>
    </row>
    <row r="9" spans="1:8" x14ac:dyDescent="0.2">
      <c r="A9" t="s">
        <v>2</v>
      </c>
      <c r="B9">
        <v>8</v>
      </c>
      <c r="C9" t="str">
        <f t="shared" si="0"/>
        <v>u8</v>
      </c>
      <c r="D9" s="1">
        <v>0.66666666666666696</v>
      </c>
      <c r="E9" t="str">
        <f t="shared" si="4"/>
        <v>-u8-1600-</v>
      </c>
      <c r="F9" t="str">
        <f t="shared" si="2"/>
        <v>UC08 HSFT 16:00</v>
      </c>
      <c r="G9" t="str">
        <f>Properties!$B$1&amp;"/"</f>
        <v>/Users/matttownsend/Google Drive/eurobase/repos/ebSiena-DemoSystemData/Prospects/HomeSend/XML Deal Generator/DATA/</v>
      </c>
      <c r="H9" t="str">
        <f t="shared" si="3"/>
        <v>/Users/matttownsend/Google Drive/eurobase/repos/ebSiena-DemoSystemData/Prospects/HomeSend/XML Deal Generator/DATA/HSFT/</v>
      </c>
    </row>
    <row r="10" spans="1:8" x14ac:dyDescent="0.2">
      <c r="A10" t="s">
        <v>2</v>
      </c>
      <c r="B10">
        <v>9</v>
      </c>
      <c r="C10" t="str">
        <f t="shared" si="0"/>
        <v>u9</v>
      </c>
      <c r="D10" s="1">
        <v>0.70833333333333404</v>
      </c>
      <c r="E10" t="str">
        <f t="shared" si="4"/>
        <v>-u9-1700-</v>
      </c>
      <c r="F10" t="str">
        <f t="shared" si="2"/>
        <v>UC09 HSFT 17:00</v>
      </c>
      <c r="G10" t="str">
        <f>Properties!$B$1&amp;"/"</f>
        <v>/Users/matttownsend/Google Drive/eurobase/repos/ebSiena-DemoSystemData/Prospects/HomeSend/XML Deal Generator/DATA/</v>
      </c>
      <c r="H10" t="str">
        <f t="shared" si="3"/>
        <v>/Users/matttownsend/Google Drive/eurobase/repos/ebSiena-DemoSystemData/Prospects/HomeSend/XML Deal Generator/DATA/HSFT/</v>
      </c>
    </row>
    <row r="11" spans="1:8" x14ac:dyDescent="0.2">
      <c r="A11" t="s">
        <v>2</v>
      </c>
      <c r="B11">
        <v>10</v>
      </c>
      <c r="C11" t="str">
        <f t="shared" si="0"/>
        <v>u10</v>
      </c>
      <c r="D11" s="1">
        <v>0.75</v>
      </c>
      <c r="E11" t="str">
        <f t="shared" si="4"/>
        <v>-u10-1800-</v>
      </c>
      <c r="F11" t="str">
        <f t="shared" si="2"/>
        <v>UC10 HSFT 18:00</v>
      </c>
      <c r="G11" t="str">
        <f>Properties!$B$1&amp;"/"</f>
        <v>/Users/matttownsend/Google Drive/eurobase/repos/ebSiena-DemoSystemData/Prospects/HomeSend/XML Deal Generator/DATA/</v>
      </c>
      <c r="H11" t="str">
        <f t="shared" si="3"/>
        <v>/Users/matttownsend/Google Drive/eurobase/repos/ebSiena-DemoSystemData/Prospects/HomeSend/XML Deal Generator/DATA/HSFT/</v>
      </c>
    </row>
    <row r="12" spans="1:8" x14ac:dyDescent="0.2">
      <c r="A12" t="s">
        <v>2</v>
      </c>
      <c r="B12">
        <v>11</v>
      </c>
      <c r="C12" t="str">
        <f t="shared" si="0"/>
        <v>u11</v>
      </c>
      <c r="D12" s="1">
        <v>0.79166666666666696</v>
      </c>
      <c r="E12" t="str">
        <f t="shared" si="4"/>
        <v>-u11-1900-</v>
      </c>
      <c r="F12" t="str">
        <f t="shared" si="2"/>
        <v>UC11 HSFT 19:00</v>
      </c>
      <c r="G12" t="str">
        <f>Properties!$B$1&amp;"/"</f>
        <v>/Users/matttownsend/Google Drive/eurobase/repos/ebSiena-DemoSystemData/Prospects/HomeSend/XML Deal Generator/DATA/</v>
      </c>
      <c r="H12" t="str">
        <f t="shared" si="3"/>
        <v>/Users/matttownsend/Google Drive/eurobase/repos/ebSiena-DemoSystemData/Prospects/HomeSend/XML Deal Generator/DATA/HSFT/</v>
      </c>
    </row>
    <row r="13" spans="1:8" x14ac:dyDescent="0.2">
      <c r="A13" t="s">
        <v>2</v>
      </c>
      <c r="B13">
        <v>12</v>
      </c>
      <c r="C13" t="str">
        <f t="shared" si="0"/>
        <v>u12</v>
      </c>
      <c r="D13" s="1">
        <v>0.83333333333333404</v>
      </c>
      <c r="E13" t="str">
        <f t="shared" si="4"/>
        <v>-u12-2000-</v>
      </c>
      <c r="F13" t="str">
        <f t="shared" si="2"/>
        <v>UC12 HSFT 20:00</v>
      </c>
      <c r="G13" t="str">
        <f>Properties!$B$1&amp;"/"</f>
        <v>/Users/matttownsend/Google Drive/eurobase/repos/ebSiena-DemoSystemData/Prospects/HomeSend/XML Deal Generator/DATA/</v>
      </c>
      <c r="H13" t="str">
        <f t="shared" si="3"/>
        <v>/Users/matttownsend/Google Drive/eurobase/repos/ebSiena-DemoSystemData/Prospects/HomeSend/XML Deal Generator/DATA/HSFT/</v>
      </c>
    </row>
    <row r="14" spans="1:8" x14ac:dyDescent="0.2">
      <c r="A14" t="s">
        <v>2</v>
      </c>
      <c r="B14">
        <v>13</v>
      </c>
      <c r="C14" t="str">
        <f t="shared" si="0"/>
        <v>u13</v>
      </c>
      <c r="D14" s="1">
        <v>0.875</v>
      </c>
      <c r="E14" t="str">
        <f t="shared" si="4"/>
        <v>-u13-2100-</v>
      </c>
      <c r="F14" t="str">
        <f t="shared" si="2"/>
        <v>UC13 HSFT 21:00</v>
      </c>
      <c r="G14" t="str">
        <f>Properties!$B$1&amp;"/"</f>
        <v>/Users/matttownsend/Google Drive/eurobase/repos/ebSiena-DemoSystemData/Prospects/HomeSend/XML Deal Generator/DATA/</v>
      </c>
      <c r="H14" t="str">
        <f t="shared" si="3"/>
        <v>/Users/matttownsend/Google Drive/eurobase/repos/ebSiena-DemoSystemData/Prospects/HomeSend/XML Deal Generator/DATA/HSFT/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1"/>
  <sheetViews>
    <sheetView tabSelected="1" topLeftCell="B1" zoomScale="195" zoomScaleNormal="195" workbookViewId="0">
      <selection activeCell="B10" sqref="B10"/>
    </sheetView>
  </sheetViews>
  <sheetFormatPr baseColWidth="10" defaultRowHeight="16" x14ac:dyDescent="0.2"/>
  <cols>
    <col min="1" max="1" width="15.83203125" customWidth="1"/>
    <col min="2" max="2" width="83" customWidth="1"/>
    <col min="3" max="7" width="15.83203125" customWidth="1"/>
  </cols>
  <sheetData>
    <row r="1" spans="1:7" x14ac:dyDescent="0.2">
      <c r="A1" s="4"/>
      <c r="B1" s="4"/>
      <c r="C1" s="4"/>
      <c r="D1" s="4"/>
      <c r="E1" s="4"/>
      <c r="F1" s="4"/>
      <c r="G1" s="4"/>
    </row>
    <row r="2" spans="1:7" ht="60" x14ac:dyDescent="0.6">
      <c r="A2" s="4"/>
      <c r="B2" s="8" t="s">
        <v>15</v>
      </c>
      <c r="C2" s="4"/>
      <c r="D2" s="4"/>
      <c r="E2" s="4"/>
      <c r="F2" s="4"/>
      <c r="G2" s="4"/>
    </row>
    <row r="3" spans="1:7" x14ac:dyDescent="0.2">
      <c r="A3" s="4"/>
      <c r="B3" s="4"/>
      <c r="C3" s="4"/>
      <c r="D3" s="4"/>
      <c r="E3" s="4"/>
      <c r="F3" s="4"/>
      <c r="G3" s="4"/>
    </row>
    <row r="4" spans="1:7" ht="40" customHeight="1" x14ac:dyDescent="0.2">
      <c r="A4" s="5"/>
      <c r="B4" s="9" t="s">
        <v>14</v>
      </c>
      <c r="C4" s="5"/>
      <c r="D4" s="7"/>
      <c r="E4" s="7"/>
      <c r="F4" s="7"/>
      <c r="G4" s="4"/>
    </row>
    <row r="5" spans="1:7" ht="59" customHeight="1" x14ac:dyDescent="0.2">
      <c r="A5" s="5"/>
      <c r="B5" s="6" t="s">
        <v>17</v>
      </c>
      <c r="C5" s="5"/>
      <c r="D5" s="7"/>
      <c r="E5" s="7"/>
      <c r="F5" s="7"/>
      <c r="G5" s="4"/>
    </row>
    <row r="6" spans="1:7" ht="40" customHeight="1" x14ac:dyDescent="0.2">
      <c r="A6" s="5"/>
      <c r="B6" s="5"/>
      <c r="C6" s="5"/>
      <c r="D6" s="7"/>
      <c r="E6" s="7"/>
      <c r="F6" s="7"/>
      <c r="G6" s="4"/>
    </row>
    <row r="7" spans="1:7" ht="85" customHeight="1" x14ac:dyDescent="0.2">
      <c r="A7" s="4"/>
      <c r="B7" s="4"/>
      <c r="C7" s="4"/>
      <c r="D7" s="4"/>
      <c r="E7" s="4"/>
      <c r="F7" s="4"/>
      <c r="G7" s="4"/>
    </row>
    <row r="8" spans="1:7" x14ac:dyDescent="0.2">
      <c r="A8" t="s">
        <v>10</v>
      </c>
      <c r="B8" s="3">
        <f>MATCH(B5,Data!F:F)</f>
        <v>4</v>
      </c>
    </row>
    <row r="9" spans="1:7" x14ac:dyDescent="0.2">
      <c r="A9" t="s">
        <v>11</v>
      </c>
      <c r="B9" s="2" t="str" cm="1">
        <f t="array" ref="B9">INDEX(Data!E:E,B8)</f>
        <v>-u3-0810-</v>
      </c>
    </row>
    <row r="10" spans="1:7" x14ac:dyDescent="0.2">
      <c r="A10" t="s">
        <v>12</v>
      </c>
      <c r="B10" t="str" cm="1">
        <f t="array" ref="B10">INDEX(Data!H:H,Engine!B8)</f>
        <v>/Users/matttownsend/Google Drive/eurobase/repos/ebSiena-DemoSystemData/Prospects/HomeSend/XML Deal Generator/DATA/HSFT/</v>
      </c>
    </row>
    <row r="11" spans="1:7" x14ac:dyDescent="0.2">
      <c r="A11" t="s">
        <v>13</v>
      </c>
      <c r="B11" t="str" cm="1">
        <f t="array" ref="B11">INDEX(Data!G:G,Engine!B8)</f>
        <v>/Users/matttownsend/Google Drive/eurobase/repos/ebSiena-DemoSystemData/Prospects/HomeSend/XML Deal Generator/DATA/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Use Case" prompt="Select a use case to inject into Siena" xr:uid="{A0C785C2-9EA1-E547-AE95-653F59C54CE1}">
          <x14:formula1>
            <xm:f>Data!F2:F50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Data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2019-09-17T21:35:24Z</dcterms:modified>
</cp:coreProperties>
</file>