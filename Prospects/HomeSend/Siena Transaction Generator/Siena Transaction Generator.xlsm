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1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FF40CB6B-3AFF-494B-A6EE-475A91F7CE83}" xr6:coauthVersionLast="41" xr6:coauthVersionMax="45" xr10:uidLastSave="{00000000-0000-0000-0000-000000000000}"/>
  <bookViews>
    <workbookView xWindow="-28920" yWindow="-120" windowWidth="29040" windowHeight="15990" tabRatio="997" activeTab="4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" sheetId="97" r:id="rId7"/>
    <sheet name="UC2FT" sheetId="98" r:id="rId8"/>
    <sheet name="UC2FX" sheetId="99" r:id="rId9"/>
    <sheet name="UC3FT" sheetId="100" r:id="rId10"/>
    <sheet name="UC3FX" sheetId="101" r:id="rId11"/>
    <sheet name="Sample" sheetId="91" state="hidden" r:id="rId12"/>
    <sheet name="ReconAccounts" sheetId="92" state="hidden" r:id="rId13"/>
    <sheet name="ReconUpload" sheetId="94" state="hidden" r:id="rId14"/>
    <sheet name="RUN" sheetId="78" state="hidden" r:id="rId15"/>
    <sheet name="Term" sheetId="16" state="hidden" r:id="rId16"/>
    <sheet name="$Term2" sheetId="73" state="hidden" r:id="rId17"/>
    <sheet name="$TermInterestDates" sheetId="17" state="hidden" r:id="rId18"/>
    <sheet name="$TermInterestRates" sheetId="74" state="hidden" r:id="rId19"/>
    <sheet name="$TermInterestAmortisations" sheetId="76" state="hidden" r:id="rId20"/>
  </sheets>
  <functionGroups builtInGroupCount="19"/>
  <definedNames>
    <definedName name="_xlnm._FilterDatabase" localSheetId="4" hidden="1">Accounts!$A$1:$U$81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UC1FT!$A$1:$O$1</definedName>
    <definedName name="_xlnm._FilterDatabase" localSheetId="6" hidden="1">UC1FX!$A$1:$P$2</definedName>
    <definedName name="_xlnm._FilterDatabase" localSheetId="7" hidden="1">UC2FT!$A$1:$O$1</definedName>
    <definedName name="_xlnm._FilterDatabase" localSheetId="8" hidden="1">UC2FX!$A$1:$P$2</definedName>
    <definedName name="_xlnm._FilterDatabase" localSheetId="9" hidden="1">UC3FT!$A$1:$O$1</definedName>
    <definedName name="_xlnm._FilterDatabase" localSheetId="10" hidden="1">UC3FX!$A$1:$P$1</definedName>
  </definedNames>
  <calcPr calcId="191029"/>
  <pivotCaches>
    <pivotCache cacheId="0" r:id="rId21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F27" i="85"/>
  <c r="T42" i="85"/>
  <c r="W38" i="85"/>
  <c r="T31" i="85"/>
  <c r="W30" i="85"/>
  <c r="T26" i="85"/>
  <c r="W40" i="85"/>
  <c r="W37" i="85"/>
  <c r="W32" i="85"/>
  <c r="W29" i="85"/>
  <c r="W25" i="85"/>
  <c r="T27" i="85" l="1"/>
  <c r="T54" i="85"/>
  <c r="F41" i="85"/>
  <c r="S55" i="85"/>
  <c r="L76" i="85"/>
  <c r="W56" i="85"/>
  <c r="U77" i="85"/>
  <c r="S77" i="85" s="1"/>
  <c r="S39" i="85"/>
  <c r="U71" i="85"/>
  <c r="S71" i="85" s="1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T77" i="85" l="1"/>
  <c r="T79" i="85"/>
  <c r="F75" i="85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<sst xmlns="http://schemas.openxmlformats.org/spreadsheetml/2006/main" count="3895" uniqueCount="828">
  <si>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</si>
  <si>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</si>
  <si>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</si>
  <si>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</si>
  <si>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</si>
  <si>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</si>
  <si>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</si>
  <si>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</si>
  <si>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</si>
  <si>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</si>
  <si>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</si>
  <si>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</si>
  <si>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</si>
  <si>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</si>
  <si>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</si>
  <si>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</si>
  <si>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</si>
  <si>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</si>
  <si>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</si>
  <si>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</si>
  <si>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</si>
  <si>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</si>
  <si>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</si>
  <si>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</si>
  <si>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</si>
  <si>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</si>
  <si>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</si>
  <si>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</si>
  <si>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</si>
  <si>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</si>
  <si>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</si>
  <si>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</si>
  <si>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</si>
  <si>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</si>
  <si>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</si>
  <si>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</si>
  <si>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</si>
  <si>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</si>
  <si>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</si>
  <si>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</si>
  <si>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</si>
  <si>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</si>
  <si>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</si>
  <si>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</si>
  <si>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</si>
  <si>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</si>
  <si>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</si>
  <si>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</si>
  <si>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</si>
  <si>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</si>
  <si>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</si>
  <si>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</si>
  <si>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</si>
  <si>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</si>
  <si>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</si>
  <si>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</si>
  <si>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</si>
  <si>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</si>
  <si>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</si>
  <si>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</si>
  <si>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</si>
  <si>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</si>
  <si>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</si>
  <si>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</si>
  <si>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</si>
  <si>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</si>
  <si>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</si>
  <si>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</si>
  <si>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</si>
  <si>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</si>
  <si>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</si>
  <si>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</si>
  <si>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</si>
  <si>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</si>
  <si>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</si>
  <si>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</si>
  <si>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</si>
  <si>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</si>
  <si>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</si>
  <si>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</si>
  <si>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</si>
  <si>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</si>
  <si>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</si>
  <si>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</si>
  <si>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</si>
  <si>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</si>
  <si>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</si>
  <si>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</si>
  <si>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</si>
  <si>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</si>
  <si>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</si>
  <si>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</si>
  <si>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</si>
  <si>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</si>
  <si>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</si>
  <si>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</si>
  <si>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</si>
  <si>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</si>
  <si>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</si>
  <si>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</si>
  <si>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</si>
  <si>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</si>
  <si>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</si>
  <si>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</si>
  <si>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</si>
  <si>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</si>
  <si>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</si>
  <si>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</si>
  <si>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</si>
  <si>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</si>
  <si>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</si>
  <si>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</si>
  <si>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</si>
  <si>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</si>
  <si>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</si>
  <si>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</si>
  <si>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</si>
  <si>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</si>
  <si>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</si>
  <si>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</si>
  <si>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</si>
  <si>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</si>
  <si>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</si>
  <si>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</si>
  <si>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</si>
  <si>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</si>
  <si>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</si>
  <si>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</si>
  <si>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</si>
  <si>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</si>
  <si>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</si>
  <si>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</si>
  <si>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</si>
  <si>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</si>
  <si>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</si>
  <si>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</si>
  <si>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</si>
  <si>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</si>
  <si>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</si>
  <si>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</si>
  <si>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</si>
  <si>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</si>
  <si>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</si>
  <si>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</si>
  <si>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</si>
  <si>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</si>
  <si>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</si>
  <si>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</si>
  <si>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</si>
  <si>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</si>
  <si>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</si>
  <si>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</si>
  <si>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</si>
  <si>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</si>
  <si>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</si>
  <si>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</si>
  <si>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</si>
  <si>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</si>
  <si>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</si>
  <si>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</si>
  <si>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</si>
  <si>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</si>
  <si>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</si>
  <si>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</si>
  <si>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</si>
  <si>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</si>
  <si>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</si>
  <si>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</si>
  <si>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</si>
  <si>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</si>
  <si>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</si>
  <si>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</si>
  <si>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</si>
  <si>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</si>
  <si>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</si>
  <si>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</si>
  <si>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</si>
  <si>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</si>
  <si>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</si>
  <si>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</si>
  <si>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</si>
  <si>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</si>
  <si>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</si>
  <si>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</si>
  <si>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</si>
  <si>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</si>
  <si>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</si>
  <si>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</si>
  <si>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</si>
  <si>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</si>
  <si>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</si>
  <si>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</si>
  <si>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</si>
  <si>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</si>
  <si>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</si>
  <si>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</si>
  <si>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</si>
  <si>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</si>
  <si>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</si>
  <si>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</si>
  <si>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</si>
  <si>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</si>
  <si>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</si>
  <si>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</si>
  <si>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</si>
  <si>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</si>
  <si>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</si>
  <si>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</si>
  <si>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</si>
  <si>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</si>
  <si>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</si>
  <si>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</si>
  <si>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</si>
  <si>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</si>
  <si>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</si>
  <si>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</si>
  <si>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</si>
  <si>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</si>
  <si>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</si>
  <si>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</si>
  <si>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</si>
  <si>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</si>
  <si>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</si>
  <si>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</si>
  <si>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</si>
  <si>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</si>
  <si>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</si>
  <si>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</si>
  <si>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</si>
  <si>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</si>
  <si>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</si>
  <si>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</si>
  <si>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</si>
  <si>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</si>
  <si>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</si>
  <si>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</si>
  <si>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</si>
  <si>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</si>
  <si>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</si>
  <si>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</si>
  <si>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</si>
  <si>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</si>
  <si>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</si>
  <si>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</si>
  <si>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</si>
  <si>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</si>
  <si>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</si>
  <si>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</si>
  <si>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</si>
  <si>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</si>
  <si>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</si>
  <si>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</si>
  <si>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</si>
  <si>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</si>
  <si>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</si>
  <si>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</si>
  <si>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</si>
  <si>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</si>
  <si>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</si>
  <si>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</si>
  <si>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</si>
  <si>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</si>
  <si>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</si>
  <si>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</si>
  <si>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</si>
  <si>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</si>
  <si>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</si>
  <si>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</si>
  <si>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</si>
  <si>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</si>
  <si>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</si>
  <si>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</si>
  <si>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</si>
  <si>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</si>
  <si>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</si>
  <si>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</si>
  <si>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</si>
  <si>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</si>
  <si>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</si>
  <si>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</si>
  <si>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</si>
  <si>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</si>
  <si>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</si>
  <si>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</si>
  <si>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</si>
  <si>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</si>
  <si>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</si>
  <si>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</si>
  <si>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</si>
  <si>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</si>
  <si>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</si>
  <si>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</si>
  <si>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</si>
  <si>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</si>
  <si>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</si>
  <si>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</si>
  <si>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</si>
  <si>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</si>
  <si>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</si>
  <si>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</si>
  <si>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</si>
  <si>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</si>
  <si>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</si>
  <si>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</si>
  <si>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</si>
  <si>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</si>
  <si>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</si>
  <si>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</si>
  <si>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</si>
  <si>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</si>
  <si>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</si>
  <si>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</si>
  <si>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</si>
  <si>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</si>
  <si>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</si>
  <si>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</si>
  <si>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</si>
  <si>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</si>
  <si>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</si>
  <si>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</si>
  <si>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</si>
  <si>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</si>
  <si>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</si>
  <si>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</si>
  <si>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</si>
  <si>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</si>
  <si>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</si>
  <si>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</si>
  <si>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</si>
  <si>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</si>
  <si>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</si>
  <si>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C:\Users\mtownsend\Documents\GitHub\ebSiena-DemoSystemData\Prospects\HomeSend\Siena Transaction Generator\DATA</t>
  </si>
  <si>
    <t>9a549e9d-8795-8bdf-6196-32f821020ae9-018</t>
  </si>
  <si>
    <t>SGD.CUSTINSTF.CS0000</t>
  </si>
  <si>
    <t>Customer Payment Instruction</t>
  </si>
  <si>
    <t>ext-u3-0810-2e9c6-0018</t>
  </si>
  <si>
    <t>PAY</t>
  </si>
  <si>
    <t>[UC3]Customer Payment Instruction [08:10]</t>
  </si>
  <si>
    <t>CS9A549E9D87958BDF61</t>
  </si>
  <si>
    <t>FORECAST</t>
  </si>
  <si>
    <t>d7bd97b1-08fd-3aea-6310-767bfcf71e19-019</t>
  </si>
  <si>
    <t>ext-u3-0810-2e9c6-0019</t>
  </si>
  <si>
    <t>CSD7BD97B108FD3AEA63</t>
  </si>
  <si>
    <t>46b5e324-0f18-9b30-60c4-547afb9e74f4-020</t>
  </si>
  <si>
    <t>ext-u3-0810-2e9c6-0020</t>
  </si>
  <si>
    <t>CS46B5E3240F189B3060</t>
  </si>
  <si>
    <t>2748b8b4-5881-6915-5cda-b4bda3f0485e-021</t>
  </si>
  <si>
    <t>ext-u3-0810-2e9c6-0021</t>
  </si>
  <si>
    <t>CS2748B8B4588169155C</t>
  </si>
  <si>
    <t>cb05a5e8-3a46-4b13-1160-d85432be4ac6-022</t>
  </si>
  <si>
    <t>ext-u3-0810-2e9c6-0022</t>
  </si>
  <si>
    <t>CSCB05A5E83A464B1311</t>
  </si>
  <si>
    <t>e9433666-8a1d-2697-a175-81faa9836188-023</t>
  </si>
  <si>
    <t>ext-u3-0810-2e9c6-0023</t>
  </si>
  <si>
    <t>CSE94336668A1D2697A1</t>
  </si>
  <si>
    <t>1f81c2a7-8b36-472f-49c3-c4ebc5cf2061-024</t>
  </si>
  <si>
    <t>SGD.CASHTXF.CS000000</t>
  </si>
  <si>
    <t>Cash Transfer</t>
  </si>
  <si>
    <t>ext-u3-0810-2e9c6-0024</t>
  </si>
  <si>
    <t>RECEIVE</t>
  </si>
  <si>
    <t>[UC3]Cash Transfer                [08:10]</t>
  </si>
  <si>
    <t>CS1F81C2A78B36472F49</t>
  </si>
  <si>
    <t>141f7da5-454b-0355-8a31-a38dfc7f804c-025</t>
  </si>
  <si>
    <t>ext-u3-0910-2e9c6-0025</t>
  </si>
  <si>
    <t>[UC3]Customer Payment Instruction [09:10]</t>
  </si>
  <si>
    <t>CS141F7DA5454B03558A</t>
  </si>
  <si>
    <t>fffdab79-7202-4de1-0a02-2ad70f4e53a0-026</t>
  </si>
  <si>
    <t>ext-u3-0910-2e9c6-0026</t>
  </si>
  <si>
    <t>CSFFFDAB7972024DE10A</t>
  </si>
  <si>
    <t>1393e59a-996c-5a8d-0588-72bfbadb8339-027</t>
  </si>
  <si>
    <t>ext-u3-0910-2e9c6-0027</t>
  </si>
  <si>
    <t>CS1393E59A996C5A8D05</t>
  </si>
  <si>
    <t>6c975a27-713e-332c-5f6e-eef641c40dd4-028</t>
  </si>
  <si>
    <t>ext-u3-0910-2e9c6-0028</t>
  </si>
  <si>
    <t>CS6C975A27713E332C5F</t>
  </si>
  <si>
    <t>bb264691-1aa9-463c-3dcd-88f9b0453ebd-029</t>
  </si>
  <si>
    <t>ext-u3-0910-2e9c6-0029</t>
  </si>
  <si>
    <t>CSBB2646911AA9463C3D</t>
  </si>
  <si>
    <t>32c63bde-6222-9b08-55d9-36431de73814-030</t>
  </si>
  <si>
    <t>ext-u3-0910-2e9c6-0030</t>
  </si>
  <si>
    <t>CS32C63BDE62229B0855</t>
  </si>
  <si>
    <t>51d8c40e-50df-0ba1-2da0-4401c3ff9e30-031</t>
  </si>
  <si>
    <t>ext-u3-0910-2e9c6-0031</t>
  </si>
  <si>
    <t>CS51D8C40E50DF0BA12D</t>
  </si>
  <si>
    <t>6260dd90-2f27-3b7a-8cbf-3d69a8a31364-032</t>
  </si>
  <si>
    <t>ext-u3-0910-2e9c6-0032</t>
  </si>
  <si>
    <t>CS6260DD902F273B7A8C</t>
  </si>
  <si>
    <t>f3d57864-7c2c-8f3f-a27c-ca32d07ba074-033</t>
  </si>
  <si>
    <t>ext-u3-0910-2e9c6-0033</t>
  </si>
  <si>
    <t>[UC3]Cash Transfer                [09:10]</t>
  </si>
  <si>
    <t>CSF3D578647C2C8F3FA2</t>
  </si>
  <si>
    <t>fa283242-22f6-4969-625c-92d7c23c9074-051</t>
  </si>
  <si>
    <t>SGD.CUSTINSTA.CS0000</t>
  </si>
  <si>
    <t>ext-u3-0810-2e9c6-0051</t>
  </si>
  <si>
    <t>CSFA28324222F6496962</t>
  </si>
  <si>
    <t>ACTUAL</t>
  </si>
  <si>
    <t>0113285a-86e9-261c-5932-41d38905a375-052</t>
  </si>
  <si>
    <t>ext-u3-0810-2e9c6-0052</t>
  </si>
  <si>
    <t>CS0113285A86E9261C59</t>
  </si>
  <si>
    <t>ec4c7989-a3da-0416-4b16-ad3128541d63-053</t>
  </si>
  <si>
    <t>ext-u3-0810-2e9c6-0053</t>
  </si>
  <si>
    <t>CSEC4C7989A3DA04164B</t>
  </si>
  <si>
    <t>7053e4b1-3f26-3e8d-1392-05b3184d897c-054</t>
  </si>
  <si>
    <t>ext-u3-0810-2e9c6-0054</t>
  </si>
  <si>
    <t>CS7053E4B13F263E8D13</t>
  </si>
  <si>
    <t>c6490e0f-4ea3-9120-1d09-d39b1952188c-055</t>
  </si>
  <si>
    <t>ext-u3-0810-2e9c6-0055</t>
  </si>
  <si>
    <t>CSC6490E0F4EA391201D</t>
  </si>
  <si>
    <t>c4ea43cc-a08a-0798-61d6-dce5cb2a6691-056</t>
  </si>
  <si>
    <t>ext-u3-0810-2e9c6-0056</t>
  </si>
  <si>
    <t>CSC4EA43CCA08A079861</t>
  </si>
  <si>
    <t>50bd5249-464d-9cd0-1188-0883e9ea8e79-057</t>
  </si>
  <si>
    <t>SGD.CASHTXA.CS000000</t>
  </si>
  <si>
    <t>ext-u3-0810-2e9c6-0057</t>
  </si>
  <si>
    <t>CS50BD5249464D9CD011</t>
  </si>
  <si>
    <t>ce7679e8-1c64-15e3-023b-cc9f3cd9a557-058</t>
  </si>
  <si>
    <t>ext-u3-0910-2e9c6-0058</t>
  </si>
  <si>
    <t>CSCE7679E81C6415E302</t>
  </si>
  <si>
    <t>a9c7d903-577f-881f-1cac-1dae4b3d35d2-059</t>
  </si>
  <si>
    <t>ext-u3-0910-2e9c6-0059</t>
  </si>
  <si>
    <t>CSA9C7D903577F881F1C</t>
  </si>
  <si>
    <t>37f57e49-052a-8994-434a-151ccb4c7a14-060</t>
  </si>
  <si>
    <t>ext-u3-0910-2e9c6-0060</t>
  </si>
  <si>
    <t>CS37F57E49052A899443</t>
  </si>
  <si>
    <t>06282413-42a5-05a7-627e-bbd1528d7562-061</t>
  </si>
  <si>
    <t>ext-u3-0910-2e9c6-0061</t>
  </si>
  <si>
    <t>CS0628241342A505A762</t>
  </si>
  <si>
    <t>de0d425a-61de-7efc-5ff1-df1a801826df-062</t>
  </si>
  <si>
    <t>ext-u3-0910-2e9c6-0062</t>
  </si>
  <si>
    <t>CSDE0D425A61DE7EFC5F</t>
  </si>
  <si>
    <t>ff08b9a9-a22e-22a8-8dc0-936d004707fe-063</t>
  </si>
  <si>
    <t>ext-u3-0910-2e9c6-0063</t>
  </si>
  <si>
    <t>CSFF08B9A9A22E22A88D</t>
  </si>
  <si>
    <t>782a053b-1055-57f6-24d9-953056382110-064</t>
  </si>
  <si>
    <t>ext-u3-0910-2e9c6-0064</t>
  </si>
  <si>
    <t>CS782A053B105557F624</t>
  </si>
  <si>
    <t>e0710b5f-8918-4773-097d-9ea4d2c82ea0-065</t>
  </si>
  <si>
    <t>ext-u3-0910-2e9c6-0065</t>
  </si>
  <si>
    <t>CSE0710B5F8918477309</t>
  </si>
  <si>
    <t>50b45fe2-459f-5be0-0655-c68630b59e29-066</t>
  </si>
  <si>
    <t>ext-u3-0910-2e9c6-0066</t>
  </si>
  <si>
    <t>CS50B45FE2459F5BE006</t>
  </si>
  <si>
    <t>f53978f0-6f00-532e-29ec-5ac7b1d808a0-002</t>
  </si>
  <si>
    <t>USD.CASHTXF.SCB00000</t>
  </si>
  <si>
    <t>ext-u2-0800-2e9c6-0002</t>
  </si>
  <si>
    <t>[UC2]Cash Transfer                [08:00]</t>
  </si>
  <si>
    <t>SCBF53978F06F00532E2</t>
  </si>
  <si>
    <t>dccbce97-554c-3f45-876e-7c4ea4b25f38-004</t>
  </si>
  <si>
    <t>BDT.CUSTINSTF.SCB000</t>
  </si>
  <si>
    <t>ext-u2-0840-2e9c6-0004</t>
  </si>
  <si>
    <t>[UC2]Customer Payment Instruction [08:40]</t>
  </si>
  <si>
    <t>SCBDCCBCE97554C3F458</t>
  </si>
  <si>
    <t>25ee8b8c-6eb8-5070-7bdc-b7ee6110959f-005</t>
  </si>
  <si>
    <t>ext-u2-0840-2e9c6-0005</t>
  </si>
  <si>
    <t>SCB25EE8B8C6EB850707</t>
  </si>
  <si>
    <t>348ec118-023d-404d-3596-0a554ff02a3e-006</t>
  </si>
  <si>
    <t>BDT.LOCKINSTF.SCB000</t>
  </si>
  <si>
    <t>Lock In Instruction</t>
  </si>
  <si>
    <t>ext-u2-0900-2e9c6-0006</t>
  </si>
  <si>
    <t>[UC2]Lock In Instruction          [09:00]</t>
  </si>
  <si>
    <t>SCB348EC118023D404D3</t>
  </si>
  <si>
    <t>0c9633ea-46c1-a6cc-32f1-27fe1b737c57-007</t>
  </si>
  <si>
    <t>ext-u2-0915-2e9c6-0007</t>
  </si>
  <si>
    <t>[UC2]Customer Payment Instruction [09:15]</t>
  </si>
  <si>
    <t>SCB0C9633EA46C1A6CC3</t>
  </si>
  <si>
    <t>54bdec7d-1a7b-6522-1485-76f96deb6ef2-008</t>
  </si>
  <si>
    <t>ext-u2-0915-2e9c6-0008</t>
  </si>
  <si>
    <t>SCB54BDEC7D1A7B65221</t>
  </si>
  <si>
    <t>b014a395-0053-8107-6543-a4b6054405aa-011</t>
  </si>
  <si>
    <t>USD.CASHTXA.SCB00000</t>
  </si>
  <si>
    <t>ext-u2-0800-2e9c6-0011</t>
  </si>
  <si>
    <t>SCBB014A395005381076</t>
  </si>
  <si>
    <t>b6198de3-72a6-8836-9c94-00fa9b118b1f-013</t>
  </si>
  <si>
    <t>BDT.CASHTXA.SCB00000</t>
  </si>
  <si>
    <t>ext-u2-0840-2e9c6-0013</t>
  </si>
  <si>
    <t>SCBB6198DE372A688369</t>
  </si>
  <si>
    <t>9e2d3785-2d1d-47a3-5675-ff950ba596bc-014</t>
  </si>
  <si>
    <t>ext-u2-0840-2e9c6-0014</t>
  </si>
  <si>
    <t>SCB9E2D37852D1D47A35</t>
  </si>
  <si>
    <t>02196bf8-1fd3-3433-8b53-f3912bf66306-015</t>
  </si>
  <si>
    <t>BDT.LOCKINSTA.SCB000</t>
  </si>
  <si>
    <t>ext-u2-0900-2e9c6-0015</t>
  </si>
  <si>
    <t>SCB02196BF81FD334338</t>
  </si>
  <si>
    <t>1e37358d-a0dc-10c4-00e8-6873be713751-016</t>
  </si>
  <si>
    <t>BDT.CUSTINSTA.SCB000</t>
  </si>
  <si>
    <t>ext-u2-0930-2e9c6-0016</t>
  </si>
  <si>
    <t>[UC2]Customer Payment Instruction [09:30]</t>
  </si>
  <si>
    <t>SCB1E37358DA0DC10C40</t>
  </si>
  <si>
    <t>60bfbf19-497f-5a8b-100a-0fcb58af330a-017</t>
  </si>
  <si>
    <t>ext-u2-0930-2e9c6-0017</t>
  </si>
  <si>
    <t>SCB60BFBF19497F5A8B1</t>
  </si>
  <si>
    <t>b96f2327-9ecc-0427-8cb6-328cb14a47b0-003</t>
  </si>
  <si>
    <t>FX Lock In</t>
  </si>
  <si>
    <t>ext-u2-0810-2e9c6-0003</t>
  </si>
  <si>
    <t>SELL</t>
  </si>
  <si>
    <t>[UC2]FX Lock In                   [08:10]</t>
  </si>
  <si>
    <t>SCBB96F23279ECC04278</t>
  </si>
  <si>
    <t>cc5a5196-2d94-550b-157c-320bfba48f9a-009</t>
  </si>
  <si>
    <t>FX Trade</t>
  </si>
  <si>
    <t>ext-u2-0915-2e9c6-0009</t>
  </si>
  <si>
    <t>[UC2]FX Trade                     [09:15]</t>
  </si>
  <si>
    <t>SCBCC5A51962D94550B1</t>
  </si>
  <si>
    <t>344040d5-2eab-3630-4719-5911d8912666-012</t>
  </si>
  <si>
    <t>ext-u2-0810-2e9c6-0012</t>
  </si>
  <si>
    <t>SCB344040D52EAB36304</t>
  </si>
  <si>
    <t>ee2d7ac9-8c5a-8c1c-55f4-be952b61027e-018</t>
  </si>
  <si>
    <t>ext-u2-0945-2e9c6-0018</t>
  </si>
  <si>
    <t>[UC2]FX Trade                     [09:45]</t>
  </si>
  <si>
    <t>SCBEE2D7AC98C5A8C1C5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</si>
  <si>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</si>
  <si>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</si>
  <si>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</si>
  <si>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</si>
  <si>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</si>
  <si>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</si>
  <si>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</si>
  <si>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</si>
  <si>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</si>
  <si>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</si>
  <si>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</si>
  <si>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</si>
  <si>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</si>
  <si>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</si>
  <si>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</si>
  <si>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</si>
  <si>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</si>
  <si>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</si>
  <si>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</si>
  <si>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</si>
  <si>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</si>
  <si>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</si>
  <si>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</si>
  <si>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</si>
  <si>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</si>
  <si>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</si>
  <si>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</si>
  <si>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</si>
  <si>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</si>
  <si>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</si>
  <si>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</si>
  <si>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</si>
  <si>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</si>
  <si>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</si>
  <si>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</si>
  <si>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</si>
  <si>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</si>
  <si>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</si>
  <si>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</si>
  <si>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</si>
  <si>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</si>
  <si>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</si>
  <si>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</si>
  <si>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</si>
  <si>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</si>
  <si>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</si>
  <si>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</si>
  <si>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</si>
  <si>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</si>
  <si>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</si>
  <si>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</si>
  <si>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</si>
  <si>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</si>
  <si>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</si>
  <si>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</si>
  <si>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</si>
  <si>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</si>
  <si>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</si>
  <si>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</si>
  <si>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</si>
  <si>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</si>
  <si>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</si>
  <si>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</si>
  <si>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</si>
  <si>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</si>
  <si>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</si>
  <si>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BRL.CUSTINSTA.BDB000</t>
  </si>
  <si>
    <t>ext-u1-1059-2e9c6-0058</t>
  </si>
  <si>
    <t>[UC1]Customer Payment Instruction [10:59]</t>
  </si>
  <si>
    <t>ext-u1-1059-2e9c6-0059</t>
  </si>
  <si>
    <t>ext-u1-1059-2e9c6-0060</t>
  </si>
  <si>
    <t>ext-u1-1030-2e9c6-0061</t>
  </si>
  <si>
    <t>ext-u1-1059-2e9c6-0062</t>
  </si>
  <si>
    <t>ext-u1-1031-2e9c6-0063</t>
  </si>
  <si>
    <t>ext-u1-1031-2e9c6-0064</t>
  </si>
  <si>
    <t>ext-u1-1059-2e9c6-0065</t>
  </si>
  <si>
    <t>ext-u1-1059-2e9c6-0066</t>
  </si>
  <si>
    <t>ext-u1-1059-2e9c6-0067</t>
  </si>
  <si>
    <t>ext-u1-1059-2e9c6-0068</t>
  </si>
  <si>
    <t>ext-u1-1059-2e9c6-0069</t>
  </si>
  <si>
    <t>ext-u1-1059-2e9c6-0070</t>
  </si>
  <si>
    <t>ext-u1-1059-2e9c6-0071</t>
  </si>
  <si>
    <t>ext-u1-1059-2e9c6-0072</t>
  </si>
  <si>
    <t>ext-u1-1059-2e9c6-0073</t>
  </si>
  <si>
    <t>ext-u1-1059-2e9c6-0074</t>
  </si>
  <si>
    <t>ext-u1-1101-2e9c6-0076</t>
  </si>
  <si>
    <t>ext-u1-1300-2e9c6-0077</t>
  </si>
  <si>
    <t>ext-u1-1300-2e9c6-0078</t>
  </si>
  <si>
    <t>ext-u1-1300-2e9c6-0079</t>
  </si>
  <si>
    <t>ext-u1-1300-2e9c6-0080</t>
  </si>
  <si>
    <t>ext-u1-1300-2e9c6-0081</t>
  </si>
  <si>
    <t>ext-u1-1300-2e9c6-0082</t>
  </si>
  <si>
    <t>ext-u1-1300-2e9c6-0083</t>
  </si>
  <si>
    <t>ext-u1-1300-2e9c6-0084</t>
  </si>
  <si>
    <t>ext-u1-1300-2e9c6-0085</t>
  </si>
  <si>
    <t>ext-u1-1300-2e9c6-0086</t>
  </si>
  <si>
    <t>ext-u1-1300-2e9c6-0087</t>
  </si>
  <si>
    <t>ext-u1-1300-2e9c6-0088</t>
  </si>
  <si>
    <t>ext-u1-1300-2e9c6-0089</t>
  </si>
  <si>
    <t>ext-u1-1300-2e9c6-0090</t>
  </si>
  <si>
    <t>ext-u1-1300-2e9c6-0091</t>
  </si>
  <si>
    <t>ext-u1-1300-2e9c6-0092</t>
  </si>
  <si>
    <t>ext-u1-1300-2e9c6-0093</t>
  </si>
  <si>
    <t>ext-u1-1300-2e9c6-0094</t>
  </si>
  <si>
    <t>ext-u1-1300-2e9c6-0095</t>
  </si>
  <si>
    <t>ext-u1-1300-2e9c6-0096</t>
  </si>
  <si>
    <t>ext-u1-1300-2e9c6-0097</t>
  </si>
  <si>
    <t>ext-u1-1300-2e9c6-0098</t>
  </si>
  <si>
    <t>ext-u1-1300-2e9c6-0099</t>
  </si>
  <si>
    <t>ext-u1-1300-2e9c6-0100</t>
  </si>
  <si>
    <t>ext-u1-1300-2e9c6-0101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</si>
  <si>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</si>
  <si>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</si>
  <si>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</si>
  <si>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</si>
  <si>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</si>
  <si>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</si>
  <si>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</si>
  <si>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</si>
  <si>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</si>
  <si>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</si>
  <si>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</si>
  <si>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</si>
  <si>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</si>
  <si>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</si>
  <si>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</si>
  <si>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</si>
  <si>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</si>
  <si>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</si>
  <si>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</si>
  <si>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</si>
  <si>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</si>
  <si>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</si>
  <si>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</si>
  <si>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</si>
  <si>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</si>
  <si>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</si>
  <si>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</si>
  <si>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</si>
  <si>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</si>
  <si>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</si>
  <si>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</si>
  <si>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</si>
  <si>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</si>
  <si>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</si>
  <si>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</si>
  <si>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</si>
  <si>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</si>
  <si>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</si>
  <si>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</si>
  <si>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</si>
  <si>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</si>
  <si>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</si>
  <si>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</si>
  <si>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</si>
  <si>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</si>
  <si>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</si>
  <si>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</si>
  <si>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</si>
  <si>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</si>
  <si>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</si>
  <si>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</si>
  <si>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</si>
  <si>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</si>
  <si>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</si>
  <si>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</si>
  <si>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</si>
  <si>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</si>
  <si>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</si>
  <si>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</si>
  <si>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</si>
  <si>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</si>
  <si>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</si>
  <si>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</si>
  <si>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</si>
  <si>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</si>
  <si>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</si>
  <si>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</si>
  <si>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</si>
  <si>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</si>
  <si>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</si>
  <si>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</si>
  <si>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</si>
  <si>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</si>
  <si>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</si>
  <si>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</si>
  <si>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</si>
  <si>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</si>
  <si>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</si>
  <si>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</si>
  <si>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</si>
  <si>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</si>
  <si>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</si>
  <si>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</si>
  <si>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</si>
  <si>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</si>
  <si>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</si>
  <si>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</si>
  <si>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</si>
  <si>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</si>
  <si>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</si>
  <si>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</si>
  <si>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</si>
  <si>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</si>
  <si>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</si>
  <si>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</si>
  <si>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</si>
  <si>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</si>
  <si>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</si>
  <si>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</si>
  <si>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</si>
  <si>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</si>
  <si>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</si>
  <si>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</si>
  <si>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</si>
  <si>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</si>
  <si>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</si>
  <si>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</si>
  <si>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</si>
  <si>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</si>
  <si>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</si>
  <si>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</si>
  <si>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</si>
  <si>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</si>
  <si>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</si>
  <si>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</si>
  <si>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</si>
  <si>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</si>
  <si>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</si>
  <si>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</si>
  <si>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</si>
  <si>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</si>
  <si>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</si>
  <si>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</si>
  <si>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</si>
  <si>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</si>
  <si>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</si>
  <si>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</si>
  <si>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</si>
  <si>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</si>
  <si>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</si>
  <si>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</si>
  <si>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</si>
  <si>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</si>
  <si>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</si>
  <si>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</si>
  <si>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</si>
  <si>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</si>
  <si>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</si>
  <si>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</si>
  <si>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</si>
  <si>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</si>
  <si>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</si>
  <si>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</si>
  <si>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</si>
  <si>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</si>
  <si>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</si>
  <si>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</si>
  <si>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</si>
  <si>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</si>
  <si>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</si>
  <si>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</si>
  <si>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</si>
  <si>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</si>
  <si>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</si>
  <si>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</si>
  <si>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</si>
  <si>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</si>
  <si>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</si>
  <si>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</si>
  <si>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</si>
  <si>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</si>
  <si>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</si>
  <si>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</si>
  <si>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</si>
  <si>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</si>
  <si>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</si>
  <si>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</si>
  <si>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</si>
  <si>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</si>
  <si>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</si>
  <si>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</si>
  <si>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</si>
  <si>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</si>
  <si>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</si>
  <si>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</si>
  <si>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</si>
  <si>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</si>
  <si>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</si>
  <si>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</si>
  <si>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</si>
  <si>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</si>
  <si>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</si>
  <si>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</si>
  <si>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</si>
  <si>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</si>
  <si>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</si>
  <si>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</si>
  <si>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</si>
  <si>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</si>
  <si>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</si>
  <si>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</si>
  <si>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</si>
  <si>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</si>
  <si>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</si>
  <si>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ext-u1-1031-2e9c6-0024</t>
  </si>
  <si>
    <t>[UC1]FX Trade                     [10:31]</t>
  </si>
  <si>
    <t>BDB595DA7A0A44C0BC74</t>
  </si>
  <si>
    <t>43523472-68c2-93a1-7c3d-b60452114935-051</t>
  </si>
  <si>
    <t>ext-u1-1300-2e9c6-0051</t>
  </si>
  <si>
    <t>[UC1]FX Trade                     [13:00]</t>
  </si>
  <si>
    <t>BDB4352347268C293A17</t>
  </si>
  <si>
    <t>28133452-8f33-52a3-a441-09a0aad91b88-075</t>
  </si>
  <si>
    <t>ext-u1-1031-2e9c6-0075</t>
  </si>
  <si>
    <t>BDB281334528F3352A3A</t>
  </si>
  <si>
    <t>cdcf5167-74ef-23f0-4fb0-ff7d86002032-102</t>
  </si>
  <si>
    <t>ext-u1-1330-2e9c6-0102</t>
  </si>
  <si>
    <t>[UC1]FX Trade                     [13:30]</t>
  </si>
  <si>
    <t>BDBCDCF516774EF23F04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</si>
</sst>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101.42578125" customWidth="1"/>
  </cols>
  <sheetData>
    <row r="1" spans="1:2" x14ac:dyDescent="0.25">
      <c r="A1" s="1" t="s">
        <v>0</v>
      </c>
      <c r="B1" s="6" t="s">
        <v>331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312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 t="s">
        <v>328</v>
      </c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G17" sqref="G17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W83"/>
  <sheetViews>
    <sheetView tabSelected="1" zoomScaleNormal="100" workbookViewId="0">
      <selection activeCell="G2" sqref="G2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42578125" style="46" bestFit="1" customWidth="1"/>
    <col min="20" max="20" width="37.42578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5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c7da6866-83f0-0469-3f0b-cef9e2ca30f9-aa2</v>
      </c>
      <c r="B2" s="46" t="s">
        <v>78</v>
      </c>
      <c r="C2" s="46" t="str">
        <f ca="1">A2</f>
        <v>c7da6866-83f0-0469-3f0b-cef9e2ca30f9-aa2</v>
      </c>
      <c r="D2" s="46">
        <v>1</v>
      </c>
      <c r="E2" s="47">
        <v>43466</v>
      </c>
      <c r="F2" s="48" t="str">
        <f>U2</f>
        <v>BRL.CASHTXA.BDB00000</v>
      </c>
      <c r="G2" s="46" t="s">
        <v>318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322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314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d6fca641-0b48-4f06-0294-b465fad9772d-aa3</v>
      </c>
      <c r="B3" s="46" t="s">
        <v>78</v>
      </c>
      <c r="C3" s="46" t="str">
        <f t="shared" ref="C3:C21" ca="1" si="1">A3</f>
        <v>d6fca641-0b48-4f06-0294-b465fad9772d-aa3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318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322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314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01ae4757-0c89-3b27-4eae-e375a35f8aa3-aa4</v>
      </c>
      <c r="B4" s="46" t="s">
        <v>78</v>
      </c>
      <c r="C4" s="46" t="str">
        <f t="shared" ca="1" si="1"/>
        <v>01ae4757-0c89-3b27-4eae-e375a35f8aa3-aa4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318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323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314</v>
      </c>
      <c r="W4" s="46" t="str">
        <f t="shared" si="7"/>
        <v>FORECAST</v>
      </c>
    </row>
    <row r="5" spans="1:23" x14ac:dyDescent="0.15">
      <c r="A5" s="46" t="str">
        <f t="shared" ca="1" si="0"/>
        <v>b3d077ee-5c0d-71b5-382c-4156e9966390-aa5</v>
      </c>
      <c r="B5" s="46" t="s">
        <v>78</v>
      </c>
      <c r="C5" s="46" t="str">
        <f t="shared" ca="1" si="1"/>
        <v>b3d077ee-5c0d-71b5-382c-4156e9966390-aa5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318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323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314</v>
      </c>
      <c r="W5" s="46" t="str">
        <f t="shared" si="7"/>
        <v>FORECAST</v>
      </c>
    </row>
    <row r="6" spans="1:23" x14ac:dyDescent="0.15">
      <c r="A6" s="46" t="str">
        <f t="shared" ca="1" si="0"/>
        <v>76b3e02b-6925-2541-28a3-37dbd5f7a422-aa6</v>
      </c>
      <c r="B6" s="46" t="s">
        <v>78</v>
      </c>
      <c r="C6" s="46" t="str">
        <f t="shared" ca="1" si="1"/>
        <v>76b3e02b-6925-2541-28a3-37dbd5f7a422-aa6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318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321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314</v>
      </c>
      <c r="W6" s="46" t="str">
        <f t="shared" si="7"/>
        <v>ACTUAL</v>
      </c>
    </row>
    <row r="7" spans="1:23" x14ac:dyDescent="0.15">
      <c r="A7" s="46" t="str">
        <f t="shared" ca="1" si="0"/>
        <v>e8c9ba82-9f7e-7d86-71ed-03773c388cfe-aa7</v>
      </c>
      <c r="B7" s="46" t="s">
        <v>78</v>
      </c>
      <c r="C7" s="46" t="str">
        <f t="shared" ca="1" si="1"/>
        <v>e8c9ba82-9f7e-7d86-71ed-03773c388cfe-aa7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318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321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314</v>
      </c>
      <c r="W7" s="46" t="str">
        <f t="shared" si="7"/>
        <v>ACTUAL</v>
      </c>
    </row>
    <row r="8" spans="1:23" x14ac:dyDescent="0.15">
      <c r="A8" s="46" t="str">
        <f t="shared" ca="1" si="0"/>
        <v>e2b3f48c-1b74-8b3c-528e-a6738c2b2ceb-aa8</v>
      </c>
      <c r="B8" s="46" t="s">
        <v>78</v>
      </c>
      <c r="C8" s="46" t="str">
        <f t="shared" ca="1" si="1"/>
        <v>e2b3f48c-1b74-8b3c-528e-a6738c2b2ceb-aa8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318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320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314</v>
      </c>
      <c r="W8" s="46" t="str">
        <f t="shared" si="7"/>
        <v>FORECAST</v>
      </c>
    </row>
    <row r="9" spans="1:23" x14ac:dyDescent="0.15">
      <c r="A9" s="46" t="str">
        <f t="shared" ca="1" si="0"/>
        <v>030b6eb3-1a47-a718-97c6-20460c3449eb-aa9</v>
      </c>
      <c r="B9" s="46" t="s">
        <v>78</v>
      </c>
      <c r="C9" s="46" t="str">
        <f t="shared" ca="1" si="1"/>
        <v>030b6eb3-1a47-a718-97c6-20460c3449eb-aa9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318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320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314</v>
      </c>
      <c r="W9" s="46" t="str">
        <f t="shared" si="7"/>
        <v>FORECAST</v>
      </c>
    </row>
    <row r="10" spans="1:23" x14ac:dyDescent="0.15">
      <c r="A10" s="46" t="str">
        <f t="shared" ca="1" si="0"/>
        <v>8cc001b1-82fe-90aa-2461-1eb7457a105a-a1a</v>
      </c>
      <c r="B10" s="46" t="s">
        <v>78</v>
      </c>
      <c r="C10" s="46" t="str">
        <f t="shared" ca="1" si="1"/>
        <v>8cc001b1-82fe-90aa-2461-1eb7457a105a-a1a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318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319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314</v>
      </c>
      <c r="W10" s="46" t="str">
        <f t="shared" si="7"/>
        <v>ACTUAL</v>
      </c>
    </row>
    <row r="11" spans="1:23" x14ac:dyDescent="0.15">
      <c r="A11" s="46" t="str">
        <f t="shared" ca="1" si="0"/>
        <v>43f5f52b-775b-7179-7021-5ab23e0b4486-a11</v>
      </c>
      <c r="B11" s="46" t="s">
        <v>78</v>
      </c>
      <c r="C11" s="46" t="str">
        <f t="shared" ca="1" si="1"/>
        <v>43f5f52b-775b-7179-7021-5ab23e0b4486-a11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318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319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314</v>
      </c>
      <c r="W11" s="46" t="str">
        <f t="shared" si="7"/>
        <v>ACTUAL</v>
      </c>
    </row>
    <row r="12" spans="1:23" x14ac:dyDescent="0.15">
      <c r="A12" s="46" t="str">
        <f t="shared" ca="1" si="0"/>
        <v>62b8d481-6670-7d35-8a06-bc7a61546467-a12</v>
      </c>
      <c r="B12" s="46" t="s">
        <v>78</v>
      </c>
      <c r="C12" s="46" t="str">
        <f t="shared" ca="1" si="1"/>
        <v>62b8d481-6670-7d35-8a06-bc7a61546467-a12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318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316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314</v>
      </c>
      <c r="W12" s="46" t="str">
        <f t="shared" si="7"/>
        <v>FORECAST</v>
      </c>
    </row>
    <row r="13" spans="1:23" x14ac:dyDescent="0.15">
      <c r="A13" s="46" t="str">
        <f t="shared" ca="1" si="0"/>
        <v>3647e600-0081-9e86-12be-36515607a5a7-a13</v>
      </c>
      <c r="B13" s="46" t="s">
        <v>78</v>
      </c>
      <c r="C13" s="46" t="str">
        <f t="shared" ca="1" si="1"/>
        <v>3647e600-0081-9e86-12be-36515607a5a7-a13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318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316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314</v>
      </c>
      <c r="W13" s="46" t="str">
        <f t="shared" si="7"/>
        <v>FORECAST</v>
      </c>
    </row>
    <row r="14" spans="1:23" x14ac:dyDescent="0.15">
      <c r="A14" s="46" t="str">
        <f t="shared" ca="1" si="0"/>
        <v>6fb19ff9-649c-8c89-7364-36b6819d96b8-a14</v>
      </c>
      <c r="B14" s="46" t="s">
        <v>78</v>
      </c>
      <c r="C14" s="46" t="str">
        <f t="shared" ca="1" si="1"/>
        <v>6fb19ff9-649c-8c89-7364-36b6819d96b8-a14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318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324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314</v>
      </c>
      <c r="W14" s="46" t="str">
        <f t="shared" si="7"/>
        <v>ACTUAL</v>
      </c>
    </row>
    <row r="15" spans="1:23" x14ac:dyDescent="0.15">
      <c r="A15" s="46" t="str">
        <f t="shared" ca="1" si="0"/>
        <v>e1d30b72-75af-94d2-1487-16e3818c7e15-a15</v>
      </c>
      <c r="B15" s="46" t="s">
        <v>78</v>
      </c>
      <c r="C15" s="46" t="str">
        <f t="shared" ca="1" si="1"/>
        <v>e1d30b72-75af-94d2-1487-16e3818c7e15-a15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318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324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314</v>
      </c>
      <c r="W15" s="46" t="str">
        <f t="shared" si="7"/>
        <v>ACTUAL</v>
      </c>
    </row>
    <row r="16" spans="1:23" x14ac:dyDescent="0.15">
      <c r="A16" s="46" t="str">
        <f t="shared" ca="1" si="0"/>
        <v>41e30deb-3e10-a698-5bdf-6576f1fa4c9d-a16</v>
      </c>
      <c r="B16" s="46" t="s">
        <v>78</v>
      </c>
      <c r="C16" s="46" t="str">
        <f t="shared" ca="1" si="1"/>
        <v>41e30deb-3e10-a698-5bdf-6576f1fa4c9d-a16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318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325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314</v>
      </c>
      <c r="W16" s="46" t="str">
        <f t="shared" si="7"/>
        <v>FORECAST</v>
      </c>
    </row>
    <row r="17" spans="1:23" x14ac:dyDescent="0.15">
      <c r="A17" s="46" t="str">
        <f t="shared" ca="1" si="0"/>
        <v>8a65c436-3cc5-1f80-8657-69b8c7013e27-a17</v>
      </c>
      <c r="B17" s="46" t="s">
        <v>78</v>
      </c>
      <c r="C17" s="46" t="str">
        <f t="shared" ca="1" si="1"/>
        <v>8a65c436-3cc5-1f80-8657-69b8c7013e27-a17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318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325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314</v>
      </c>
      <c r="W17" s="46" t="str">
        <f t="shared" si="7"/>
        <v>FORECAST</v>
      </c>
    </row>
    <row r="18" spans="1:23" x14ac:dyDescent="0.15">
      <c r="A18" s="46" t="str">
        <f t="shared" ca="1" si="0"/>
        <v>b12ab301-60cc-3696-6c90-abb0bf4e92d7-a18</v>
      </c>
      <c r="B18" s="46" t="s">
        <v>78</v>
      </c>
      <c r="C18" s="46" t="str">
        <f t="shared" ca="1" si="1"/>
        <v>b12ab301-60cc-3696-6c90-abb0bf4e92d7-a18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318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326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314</v>
      </c>
      <c r="W18" s="46" t="str">
        <f t="shared" si="7"/>
        <v>ACTUAL</v>
      </c>
    </row>
    <row r="19" spans="1:23" x14ac:dyDescent="0.15">
      <c r="A19" s="46" t="str">
        <f t="shared" ca="1" si="0"/>
        <v>366d7d7c-524d-7663-3947-96a9bb1031f1-a19</v>
      </c>
      <c r="B19" s="46" t="s">
        <v>78</v>
      </c>
      <c r="C19" s="46" t="str">
        <f t="shared" ca="1" si="1"/>
        <v>366d7d7c-524d-7663-3947-96a9bb1031f1-a19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318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326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314</v>
      </c>
      <c r="W19" s="46" t="str">
        <f t="shared" si="7"/>
        <v>ACTUAL</v>
      </c>
    </row>
    <row r="20" spans="1:23" x14ac:dyDescent="0.15">
      <c r="A20" s="46" t="str">
        <f t="shared" ca="1" si="0"/>
        <v>2fd76adb-41c9-1bd3-2efe-7945caf572b2-a2a</v>
      </c>
      <c r="B20" s="46" t="s">
        <v>78</v>
      </c>
      <c r="C20" s="46" t="str">
        <f t="shared" ca="1" si="1"/>
        <v>2fd76adb-41c9-1bd3-2efe-7945caf572b2-a2a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318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327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314</v>
      </c>
      <c r="W20" s="46" t="str">
        <f t="shared" si="7"/>
        <v>FORECAST</v>
      </c>
    </row>
    <row r="21" spans="1:23" x14ac:dyDescent="0.15">
      <c r="A21" s="46" t="str">
        <f t="shared" ca="1" si="0"/>
        <v>2673ed6c-6e51-0492-5b11-31e3c8385b25-a21</v>
      </c>
      <c r="B21" s="46" t="s">
        <v>78</v>
      </c>
      <c r="C21" s="46" t="str">
        <f t="shared" ca="1" si="1"/>
        <v>2673ed6c-6e51-0492-5b11-31e3c8385b25-a21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318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327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314</v>
      </c>
      <c r="W21" s="46" t="str">
        <f t="shared" si="7"/>
        <v>FORECAST</v>
      </c>
    </row>
    <row r="22" spans="1:23" x14ac:dyDescent="0.15">
      <c r="A22" s="46" t="str">
        <f t="shared" ca="1" si="0"/>
        <v>613931f7-8c05-4a73-21cf-60ea0ff52523-a22</v>
      </c>
      <c r="B22" s="46" t="s">
        <v>78</v>
      </c>
      <c r="C22" s="46" t="str">
        <f t="shared" ref="C22" ca="1" si="13">A22</f>
        <v>613931f7-8c05-4a73-21cf-60ea0ff52523-a22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329</v>
      </c>
      <c r="H22" s="46" t="s">
        <v>49</v>
      </c>
      <c r="I22" s="46">
        <f>I$2</f>
        <v>0</v>
      </c>
      <c r="J22" s="46" t="s">
        <v>313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314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482c24f5-83e9-6c6f-228a-df56c6231cce-a23</v>
      </c>
      <c r="B23" s="46" t="s">
        <v>78</v>
      </c>
      <c r="C23" s="46" t="str">
        <f t="shared" ref="C23:C24" ca="1" si="18">A23</f>
        <v>482c24f5-83e9-6c6f-228a-df56c6231cce-a23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329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314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758d36a7-7ee3-4983-091f-7a4cd0c56a0c-a24</v>
      </c>
      <c r="B24" s="46" t="s">
        <v>78</v>
      </c>
      <c r="C24" s="46" t="str">
        <f t="shared" ca="1" si="18"/>
        <v>758d36a7-7ee3-4983-091f-7a4cd0c56a0c-a24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329</v>
      </c>
      <c r="H24" s="46" t="s">
        <v>49</v>
      </c>
      <c r="I24" s="46">
        <f>I$2</f>
        <v>0</v>
      </c>
      <c r="J24" s="46" t="s">
        <v>313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314</v>
      </c>
      <c r="W24" s="46" t="str">
        <f t="shared" si="23"/>
        <v>FORECAST</v>
      </c>
    </row>
    <row r="25" spans="1:23" x14ac:dyDescent="0.15">
      <c r="A25" s="46" t="str">
        <f t="shared" ca="1" si="0"/>
        <v>ecfde216-3049-900f-155a-6dbcb60b90a9-a25</v>
      </c>
      <c r="B25" s="46" t="s">
        <v>78</v>
      </c>
      <c r="C25" s="46" t="str">
        <f t="shared" ref="C25:C28" ca="1" si="24">A25</f>
        <v>ecfde216-3049-900f-155a-6dbcb60b90a9-a25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329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314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88808896-5a9f-2b16-5b3d-b19166a59838-a26</v>
      </c>
      <c r="B26" s="46" t="s">
        <v>78</v>
      </c>
      <c r="C26" s="46" t="str">
        <f t="shared" ca="1" si="24"/>
        <v>88808896-5a9f-2b16-5b3d-b19166a59838-a26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329</v>
      </c>
      <c r="H26" s="46" t="s">
        <v>49</v>
      </c>
      <c r="I26" s="46">
        <f t="shared" ref="I26:I81" si="29">I$2</f>
        <v>0</v>
      </c>
      <c r="J26" s="46" t="s">
        <v>313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314</v>
      </c>
      <c r="W26" s="46" t="str">
        <f t="shared" si="28"/>
        <v>ACTUAL</v>
      </c>
    </row>
    <row r="27" spans="1:23" x14ac:dyDescent="0.15">
      <c r="A27" s="46" t="str">
        <f t="shared" ca="1" si="0"/>
        <v>7debb35e-78fb-0399-2be6-d89fb71c3634-a27</v>
      </c>
      <c r="B27" s="46" t="s">
        <v>78</v>
      </c>
      <c r="C27" s="46" t="str">
        <f t="shared" ca="1" si="24"/>
        <v>7debb35e-78fb-0399-2be6-d89fb71c3634-a27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329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314</v>
      </c>
      <c r="W27" s="46" t="str">
        <f t="shared" si="28"/>
        <v>ACTUAL</v>
      </c>
    </row>
    <row r="28" spans="1:23" x14ac:dyDescent="0.15">
      <c r="A28" s="46" t="str">
        <f t="shared" ca="1" si="0"/>
        <v>b12fd954-9504-220a-9179-881b1ea5306b-a28</v>
      </c>
      <c r="B28" s="46" t="s">
        <v>78</v>
      </c>
      <c r="C28" s="46" t="str">
        <f t="shared" ca="1" si="24"/>
        <v>b12fd954-9504-220a-9179-881b1ea5306b-a28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329</v>
      </c>
      <c r="H28" s="46" t="s">
        <v>49</v>
      </c>
      <c r="I28" s="46">
        <f t="shared" si="29"/>
        <v>0</v>
      </c>
      <c r="J28" s="46" t="s">
        <v>313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314</v>
      </c>
      <c r="W28" s="46" t="str">
        <f t="shared" si="28"/>
        <v>FORECAST</v>
      </c>
    </row>
    <row r="29" spans="1:23" x14ac:dyDescent="0.15">
      <c r="A29" s="46" t="str">
        <f t="shared" ca="1" si="0"/>
        <v>515f1495-43ad-4bbf-640d-2c1bd78f80f1-a29</v>
      </c>
      <c r="B29" s="46" t="s">
        <v>78</v>
      </c>
      <c r="C29" s="46" t="str">
        <f t="shared" ref="C29:C43" ca="1" si="32">A29</f>
        <v>515f1495-43ad-4bbf-640d-2c1bd78f80f1-a29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329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314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be211ff2-46b7-62ee-7a7b-3aa7bed380f0-a3a</v>
      </c>
      <c r="B30" s="46" t="s">
        <v>78</v>
      </c>
      <c r="C30" s="46" t="str">
        <f t="shared" ca="1" si="32"/>
        <v>be211ff2-46b7-62ee-7a7b-3aa7bed380f0-a3a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329</v>
      </c>
      <c r="H30" s="46" t="s">
        <v>49</v>
      </c>
      <c r="I30" s="46">
        <f t="shared" si="29"/>
        <v>0</v>
      </c>
      <c r="J30" s="46" t="s">
        <v>313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314</v>
      </c>
      <c r="W30" s="46" t="str">
        <f t="shared" si="37"/>
        <v>ACTUAL</v>
      </c>
    </row>
    <row r="31" spans="1:23" x14ac:dyDescent="0.15">
      <c r="A31" s="46" t="str">
        <f t="shared" ca="1" si="0"/>
        <v>927dc894-83bb-8fc9-9bcb-8c3a729e580d-a31</v>
      </c>
      <c r="B31" s="46" t="s">
        <v>78</v>
      </c>
      <c r="C31" s="46" t="str">
        <f t="shared" ca="1" si="32"/>
        <v>927dc894-83bb-8fc9-9bcb-8c3a729e580d-a31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329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314</v>
      </c>
      <c r="W31" s="46" t="str">
        <f t="shared" si="37"/>
        <v>ACTUAL</v>
      </c>
    </row>
    <row r="32" spans="1:23" x14ac:dyDescent="0.15">
      <c r="A32" s="46" t="str">
        <f t="shared" ca="1" si="0"/>
        <v>37be0c7a-6926-9127-59c3-5f2c049162aa-a32</v>
      </c>
      <c r="B32" s="46" t="s">
        <v>78</v>
      </c>
      <c r="C32" s="46" t="str">
        <f t="shared" ca="1" si="32"/>
        <v>37be0c7a-6926-9127-59c3-5f2c049162aa-a32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329</v>
      </c>
      <c r="H32" s="46" t="s">
        <v>49</v>
      </c>
      <c r="I32" s="46">
        <f t="shared" si="29"/>
        <v>0</v>
      </c>
      <c r="J32" s="46" t="s">
        <v>313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314</v>
      </c>
      <c r="W32" s="46" t="str">
        <f t="shared" si="37"/>
        <v>FORECAST</v>
      </c>
    </row>
    <row r="33" spans="1:23" x14ac:dyDescent="0.15">
      <c r="A33" s="46" t="str">
        <f t="shared" ca="1" si="0"/>
        <v>b6131634-0726-65e9-1243-a01138809ee6-a33</v>
      </c>
      <c r="B33" s="46" t="s">
        <v>78</v>
      </c>
      <c r="C33" s="46" t="str">
        <f t="shared" ca="1" si="32"/>
        <v>b6131634-0726-65e9-1243-a01138809ee6-a33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329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314</v>
      </c>
      <c r="W33" s="46" t="str">
        <f t="shared" si="37"/>
        <v>FORECAST</v>
      </c>
    </row>
    <row r="34" spans="1:23" x14ac:dyDescent="0.15">
      <c r="A34" s="46" t="str">
        <f t="shared" ca="1" si="0"/>
        <v>41e676cf-9237-6ad6-6c04-c9a293d48f7f-a34</v>
      </c>
      <c r="B34" s="46" t="s">
        <v>78</v>
      </c>
      <c r="C34" s="46" t="str">
        <f t="shared" ca="1" si="32"/>
        <v>41e676cf-9237-6ad6-6c04-c9a293d48f7f-a34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329</v>
      </c>
      <c r="H34" s="46" t="s">
        <v>49</v>
      </c>
      <c r="I34" s="46">
        <f t="shared" si="29"/>
        <v>0</v>
      </c>
      <c r="J34" s="46" t="s">
        <v>313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314</v>
      </c>
      <c r="W34" s="46" t="str">
        <f t="shared" si="37"/>
        <v>ACTUAL</v>
      </c>
    </row>
    <row r="35" spans="1:23" x14ac:dyDescent="0.15">
      <c r="A35" s="46" t="str">
        <f t="shared" ca="1" si="0"/>
        <v>a831cf56-231d-8df2-79ff-fc3c90900ec3-a35</v>
      </c>
      <c r="B35" s="46" t="s">
        <v>78</v>
      </c>
      <c r="C35" s="46" t="str">
        <f t="shared" ca="1" si="32"/>
        <v>a831cf56-231d-8df2-79ff-fc3c90900ec3-a35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329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314</v>
      </c>
      <c r="W35" s="46" t="str">
        <f t="shared" si="37"/>
        <v>ACTUAL</v>
      </c>
    </row>
    <row r="36" spans="1:23" x14ac:dyDescent="0.15">
      <c r="A36" s="46" t="str">
        <f t="shared" ca="1" si="0"/>
        <v>f7dfd570-3d56-3433-1d09-a63e189c4262-a36</v>
      </c>
      <c r="B36" s="46" t="s">
        <v>78</v>
      </c>
      <c r="C36" s="46" t="str">
        <f t="shared" ca="1" si="32"/>
        <v>f7dfd570-3d56-3433-1d09-a63e189c4262-a36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329</v>
      </c>
      <c r="H36" s="46" t="s">
        <v>49</v>
      </c>
      <c r="I36" s="46">
        <f t="shared" si="29"/>
        <v>0</v>
      </c>
      <c r="J36" s="46" t="s">
        <v>313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314</v>
      </c>
      <c r="W36" s="46" t="str">
        <f t="shared" si="37"/>
        <v>FORECAST</v>
      </c>
    </row>
    <row r="37" spans="1:23" x14ac:dyDescent="0.15">
      <c r="A37" s="46" t="str">
        <f t="shared" ca="1" si="0"/>
        <v>4f430a2f-3c08-6ebd-a0b6-d4040ae85665-a37</v>
      </c>
      <c r="B37" s="46" t="s">
        <v>78</v>
      </c>
      <c r="C37" s="46" t="str">
        <f t="shared" ca="1" si="32"/>
        <v>4f430a2f-3c08-6ebd-a0b6-d4040ae85665-a37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329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314</v>
      </c>
      <c r="W37" s="46" t="str">
        <f t="shared" si="37"/>
        <v>FORECAST</v>
      </c>
    </row>
    <row r="38" spans="1:23" x14ac:dyDescent="0.15">
      <c r="A38" s="46" t="str">
        <f t="shared" ca="1" si="0"/>
        <v>1f9c3b93-a151-3e78-9c14-953d0d102548-a38</v>
      </c>
      <c r="B38" s="46" t="s">
        <v>78</v>
      </c>
      <c r="C38" s="46" t="str">
        <f t="shared" ca="1" si="32"/>
        <v>1f9c3b93-a151-3e78-9c14-953d0d102548-a38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329</v>
      </c>
      <c r="H38" s="46" t="s">
        <v>49</v>
      </c>
      <c r="I38" s="46">
        <f t="shared" si="29"/>
        <v>0</v>
      </c>
      <c r="J38" s="46" t="s">
        <v>313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314</v>
      </c>
      <c r="W38" s="46" t="str">
        <f t="shared" si="37"/>
        <v>ACTUAL</v>
      </c>
    </row>
    <row r="39" spans="1:23" x14ac:dyDescent="0.15">
      <c r="A39" s="46" t="str">
        <f t="shared" ca="1" si="0"/>
        <v>9e14a4a6-804c-981f-93ab-ae989fe91e70-a39</v>
      </c>
      <c r="B39" s="46" t="s">
        <v>78</v>
      </c>
      <c r="C39" s="46" t="str">
        <f t="shared" ca="1" si="32"/>
        <v>9e14a4a6-804c-981f-93ab-ae989fe91e70-a39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329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314</v>
      </c>
      <c r="W39" s="46" t="str">
        <f t="shared" si="37"/>
        <v>ACTUAL</v>
      </c>
    </row>
    <row r="40" spans="1:23" x14ac:dyDescent="0.15">
      <c r="A40" s="46" t="str">
        <f t="shared" ca="1" si="0"/>
        <v>cdb57e2f-72a6-a149-2d38-ff2cb1223595-a4a</v>
      </c>
      <c r="B40" s="46" t="s">
        <v>78</v>
      </c>
      <c r="C40" s="46" t="str">
        <f t="shared" ca="1" si="32"/>
        <v>cdb57e2f-72a6-a149-2d38-ff2cb1223595-a4a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329</v>
      </c>
      <c r="H40" s="46" t="s">
        <v>49</v>
      </c>
      <c r="I40" s="46">
        <f t="shared" si="29"/>
        <v>0</v>
      </c>
      <c r="J40" s="46" t="s">
        <v>313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314</v>
      </c>
      <c r="W40" s="46" t="str">
        <f t="shared" si="37"/>
        <v>FORECAST</v>
      </c>
    </row>
    <row r="41" spans="1:23" x14ac:dyDescent="0.15">
      <c r="A41" s="46" t="str">
        <f t="shared" ca="1" si="0"/>
        <v>03392a0e-33a5-432c-642d-c6da8aa1a47a-a41</v>
      </c>
      <c r="B41" s="46" t="s">
        <v>78</v>
      </c>
      <c r="C41" s="46" t="str">
        <f t="shared" ca="1" si="32"/>
        <v>03392a0e-33a5-432c-642d-c6da8aa1a47a-a41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329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314</v>
      </c>
      <c r="W41" s="46" t="str">
        <f t="shared" si="37"/>
        <v>FORECAST</v>
      </c>
    </row>
    <row r="42" spans="1:23" x14ac:dyDescent="0.15">
      <c r="A42" s="46" t="str">
        <f t="shared" ca="1" si="0"/>
        <v>6fb76480-590f-83ed-a5f5-5df1fedfa3cb-a42</v>
      </c>
      <c r="B42" s="46" t="s">
        <v>78</v>
      </c>
      <c r="C42" s="46" t="str">
        <f t="shared" ca="1" si="32"/>
        <v>6fb76480-590f-83ed-a5f5-5df1fedfa3cb-a42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317</v>
      </c>
      <c r="H42" s="46" t="s">
        <v>49</v>
      </c>
      <c r="I42" s="46">
        <f t="shared" si="29"/>
        <v>0</v>
      </c>
      <c r="J42" s="46" t="s">
        <v>315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314</v>
      </c>
      <c r="W42" s="46" t="str">
        <f t="shared" si="37"/>
        <v>ACTUAL</v>
      </c>
    </row>
    <row r="43" spans="1:23" x14ac:dyDescent="0.15">
      <c r="A43" s="46" t="str">
        <f t="shared" ca="1" si="0"/>
        <v>54db69ab-0c21-6f72-53d4-cc6de9c96892-a43</v>
      </c>
      <c r="B43" s="46" t="s">
        <v>78</v>
      </c>
      <c r="C43" s="46" t="str">
        <f t="shared" ca="1" si="32"/>
        <v>54db69ab-0c21-6f72-53d4-cc6de9c96892-a43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317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314</v>
      </c>
      <c r="W43" s="46" t="str">
        <f t="shared" si="37"/>
        <v>ACTUAL</v>
      </c>
    </row>
    <row r="44" spans="1:23" x14ac:dyDescent="0.15">
      <c r="A44" s="46" t="str">
        <f t="shared" ca="1" si="0"/>
        <v>23de9dbc-4ecf-09af-535e-1571ac788c98-a44</v>
      </c>
      <c r="B44" s="46" t="s">
        <v>78</v>
      </c>
      <c r="C44" s="46" t="str">
        <f t="shared" ref="C44:C63" ca="1" si="45">A44</f>
        <v>23de9dbc-4ecf-09af-535e-1571ac788c98-a44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317</v>
      </c>
      <c r="H44" s="46" t="s">
        <v>49</v>
      </c>
      <c r="I44" s="46">
        <f t="shared" si="29"/>
        <v>0</v>
      </c>
      <c r="J44" s="46" t="s">
        <v>315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314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24008a42-884c-1956-02c3-c965e21b537d-a45</v>
      </c>
      <c r="B45" s="46" t="s">
        <v>78</v>
      </c>
      <c r="C45" s="46" t="str">
        <f t="shared" ca="1" si="45"/>
        <v>24008a42-884c-1956-02c3-c965e21b537d-a45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317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314</v>
      </c>
      <c r="W45" s="46" t="str">
        <f t="shared" si="50"/>
        <v>FORECAST</v>
      </c>
    </row>
    <row r="46" spans="1:23" x14ac:dyDescent="0.15">
      <c r="A46" s="46" t="str">
        <f t="shared" ca="1" si="0"/>
        <v>32a78c4e-448d-2e1b-33c4-fc63d9319eae-a46</v>
      </c>
      <c r="B46" s="46" t="s">
        <v>78</v>
      </c>
      <c r="C46" s="46" t="str">
        <f t="shared" ca="1" si="45"/>
        <v>32a78c4e-448d-2e1b-33c4-fc63d9319eae-a46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317</v>
      </c>
      <c r="H46" s="46" t="s">
        <v>49</v>
      </c>
      <c r="I46" s="46">
        <f t="shared" si="29"/>
        <v>0</v>
      </c>
      <c r="J46" s="46" t="s">
        <v>315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314</v>
      </c>
      <c r="W46" s="46" t="str">
        <f t="shared" si="50"/>
        <v>ACTUAL</v>
      </c>
    </row>
    <row r="47" spans="1:23" x14ac:dyDescent="0.15">
      <c r="A47" s="46" t="str">
        <f t="shared" ca="1" si="0"/>
        <v>c6711314-3a35-183b-1257-f8a2bfb7224f-a47</v>
      </c>
      <c r="B47" s="46" t="s">
        <v>78</v>
      </c>
      <c r="C47" s="46" t="str">
        <f t="shared" ca="1" si="45"/>
        <v>c6711314-3a35-183b-1257-f8a2bfb7224f-a47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317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314</v>
      </c>
      <c r="W47" s="46" t="str">
        <f t="shared" si="50"/>
        <v>ACTUAL</v>
      </c>
    </row>
    <row r="48" spans="1:23" x14ac:dyDescent="0.15">
      <c r="A48" s="46" t="str">
        <f t="shared" ca="1" si="0"/>
        <v>ea171592-67e3-2504-823f-d84d95b3174b-a48</v>
      </c>
      <c r="B48" s="46" t="s">
        <v>78</v>
      </c>
      <c r="C48" s="46" t="str">
        <f t="shared" ca="1" si="45"/>
        <v>ea171592-67e3-2504-823f-d84d95b3174b-a48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317</v>
      </c>
      <c r="H48" s="46" t="s">
        <v>49</v>
      </c>
      <c r="I48" s="46">
        <f t="shared" si="29"/>
        <v>0</v>
      </c>
      <c r="J48" s="46" t="s">
        <v>315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314</v>
      </c>
      <c r="W48" s="46" t="str">
        <f t="shared" si="50"/>
        <v>FORECAST</v>
      </c>
    </row>
    <row r="49" spans="1:23" x14ac:dyDescent="0.15">
      <c r="A49" s="46" t="str">
        <f t="shared" ca="1" si="0"/>
        <v>c0e43113-88c7-45c8-3ec1-cad9d0532bbe-a49</v>
      </c>
      <c r="B49" s="46" t="s">
        <v>78</v>
      </c>
      <c r="C49" s="46" t="str">
        <f t="shared" ca="1" si="45"/>
        <v>c0e43113-88c7-45c8-3ec1-cad9d0532bbe-a49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317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314</v>
      </c>
      <c r="W49" s="46" t="str">
        <f t="shared" si="50"/>
        <v>FORECAST</v>
      </c>
    </row>
    <row r="50" spans="1:23" x14ac:dyDescent="0.15">
      <c r="A50" s="46" t="str">
        <f t="shared" ca="1" si="0"/>
        <v>2a10efb0-2f25-2af8-3cfe-06099c39219f-a5a</v>
      </c>
      <c r="B50" s="46" t="s">
        <v>78</v>
      </c>
      <c r="C50" s="46" t="str">
        <f t="shared" ca="1" si="45"/>
        <v>2a10efb0-2f25-2af8-3cfe-06099c39219f-a5a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317</v>
      </c>
      <c r="H50" s="46" t="s">
        <v>49</v>
      </c>
      <c r="I50" s="46">
        <f t="shared" si="29"/>
        <v>0</v>
      </c>
      <c r="J50" s="46" t="s">
        <v>315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314</v>
      </c>
      <c r="W50" s="46" t="str">
        <f t="shared" si="50"/>
        <v>ACTUAL</v>
      </c>
    </row>
    <row r="51" spans="1:23" x14ac:dyDescent="0.15">
      <c r="A51" s="46" t="str">
        <f t="shared" ca="1" si="0"/>
        <v>c3cf38df-9a32-1f7c-0212-63b8bd0e6104-a51</v>
      </c>
      <c r="B51" s="46" t="s">
        <v>78</v>
      </c>
      <c r="C51" s="46" t="str">
        <f t="shared" ca="1" si="45"/>
        <v>c3cf38df-9a32-1f7c-0212-63b8bd0e6104-a51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317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314</v>
      </c>
      <c r="W51" s="46" t="str">
        <f t="shared" si="50"/>
        <v>ACTUAL</v>
      </c>
    </row>
    <row r="52" spans="1:23" x14ac:dyDescent="0.15">
      <c r="A52" s="46" t="str">
        <f t="shared" ca="1" si="0"/>
        <v>8ee33ac3-16b2-436a-81eb-197251ae3164-a52</v>
      </c>
      <c r="B52" s="46" t="s">
        <v>78</v>
      </c>
      <c r="C52" s="46" t="str">
        <f t="shared" ca="1" si="45"/>
        <v>8ee33ac3-16b2-436a-81eb-197251ae3164-a52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317</v>
      </c>
      <c r="H52" s="46" t="s">
        <v>49</v>
      </c>
      <c r="I52" s="46">
        <f t="shared" si="29"/>
        <v>0</v>
      </c>
      <c r="J52" s="46" t="s">
        <v>315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314</v>
      </c>
      <c r="W52" s="46" t="str">
        <f t="shared" si="50"/>
        <v>FORECAST</v>
      </c>
    </row>
    <row r="53" spans="1:23" x14ac:dyDescent="0.15">
      <c r="A53" s="46" t="str">
        <f t="shared" ca="1" si="0"/>
        <v>bb3edbdb-1490-503e-7bd5-4b1c81b01a2e-a53</v>
      </c>
      <c r="B53" s="46" t="s">
        <v>78</v>
      </c>
      <c r="C53" s="46" t="str">
        <f t="shared" ca="1" si="45"/>
        <v>bb3edbdb-1490-503e-7bd5-4b1c81b01a2e-a53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317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314</v>
      </c>
      <c r="W53" s="46" t="str">
        <f t="shared" si="50"/>
        <v>FORECAST</v>
      </c>
    </row>
    <row r="54" spans="1:23" x14ac:dyDescent="0.15">
      <c r="A54" s="46" t="str">
        <f t="shared" ca="1" si="0"/>
        <v>46369c8d-6a3d-0b9b-9959-6c0f63514a2c-a54</v>
      </c>
      <c r="B54" s="46" t="s">
        <v>78</v>
      </c>
      <c r="C54" s="46" t="str">
        <f t="shared" ca="1" si="45"/>
        <v>46369c8d-6a3d-0b9b-9959-6c0f63514a2c-a54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317</v>
      </c>
      <c r="H54" s="46" t="s">
        <v>49</v>
      </c>
      <c r="I54" s="46">
        <f t="shared" si="29"/>
        <v>0</v>
      </c>
      <c r="J54" s="46" t="s">
        <v>315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314</v>
      </c>
      <c r="W54" s="46" t="str">
        <f t="shared" si="50"/>
        <v>ACTUAL</v>
      </c>
    </row>
    <row r="55" spans="1:23" x14ac:dyDescent="0.15">
      <c r="A55" s="46" t="str">
        <f t="shared" ca="1" si="0"/>
        <v>313b2cdc-0190-124c-6bed-606024e13501-a55</v>
      </c>
      <c r="B55" s="46" t="s">
        <v>78</v>
      </c>
      <c r="C55" s="46" t="str">
        <f t="shared" ca="1" si="45"/>
        <v>313b2cdc-0190-124c-6bed-606024e13501-a55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317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314</v>
      </c>
      <c r="W55" s="46" t="str">
        <f t="shared" si="50"/>
        <v>ACTUAL</v>
      </c>
    </row>
    <row r="56" spans="1:23" x14ac:dyDescent="0.15">
      <c r="A56" s="46" t="str">
        <f t="shared" ca="1" si="0"/>
        <v>57df19f4-4412-9763-9462-54814f075725-a56</v>
      </c>
      <c r="B56" s="46" t="s">
        <v>78</v>
      </c>
      <c r="C56" s="46" t="str">
        <f t="shared" ca="1" si="45"/>
        <v>57df19f4-4412-9763-9462-54814f075725-a56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317</v>
      </c>
      <c r="H56" s="46" t="s">
        <v>49</v>
      </c>
      <c r="I56" s="46">
        <f t="shared" si="29"/>
        <v>0</v>
      </c>
      <c r="J56" s="46" t="s">
        <v>315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314</v>
      </c>
      <c r="W56" s="46" t="str">
        <f t="shared" si="50"/>
        <v>FORECAST</v>
      </c>
    </row>
    <row r="57" spans="1:23" x14ac:dyDescent="0.15">
      <c r="A57" s="46" t="str">
        <f t="shared" ca="1" si="0"/>
        <v>8f5b5774-0c35-2c75-60da-79defdcc9e44-a57</v>
      </c>
      <c r="B57" s="46" t="s">
        <v>78</v>
      </c>
      <c r="C57" s="46" t="str">
        <f t="shared" ca="1" si="45"/>
        <v>8f5b5774-0c35-2c75-60da-79defdcc9e44-a57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317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314</v>
      </c>
      <c r="W57" s="46" t="str">
        <f t="shared" si="50"/>
        <v>FORECAST</v>
      </c>
    </row>
    <row r="58" spans="1:23" x14ac:dyDescent="0.15">
      <c r="A58" s="46" t="str">
        <f t="shared" ca="1" si="0"/>
        <v>c77307c9-4165-7d0b-5934-a7f7e22b2b78-a58</v>
      </c>
      <c r="B58" s="46" t="s">
        <v>78</v>
      </c>
      <c r="C58" s="46" t="str">
        <f t="shared" ca="1" si="45"/>
        <v>c77307c9-4165-7d0b-5934-a7f7e22b2b78-a58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317</v>
      </c>
      <c r="H58" s="46" t="s">
        <v>49</v>
      </c>
      <c r="I58" s="46">
        <f t="shared" si="29"/>
        <v>0</v>
      </c>
      <c r="J58" s="46" t="s">
        <v>315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314</v>
      </c>
      <c r="W58" s="46" t="str">
        <f t="shared" si="50"/>
        <v>ACTUAL</v>
      </c>
    </row>
    <row r="59" spans="1:23" x14ac:dyDescent="0.15">
      <c r="A59" s="46" t="str">
        <f t="shared" ca="1" si="0"/>
        <v>0058fbb2-83f4-5bd6-8c64-8d2f63333fae-a59</v>
      </c>
      <c r="B59" s="46" t="s">
        <v>78</v>
      </c>
      <c r="C59" s="46" t="str">
        <f t="shared" ca="1" si="45"/>
        <v>0058fbb2-83f4-5bd6-8c64-8d2f63333fae-a59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317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314</v>
      </c>
      <c r="W59" s="46" t="str">
        <f t="shared" si="50"/>
        <v>ACTUAL</v>
      </c>
    </row>
    <row r="60" spans="1:23" x14ac:dyDescent="0.15">
      <c r="A60" s="46" t="str">
        <f t="shared" ca="1" si="0"/>
        <v>31ed5227-1c0c-98d0-12f7-551bddf76438-a6a</v>
      </c>
      <c r="B60" s="46" t="s">
        <v>78</v>
      </c>
      <c r="C60" s="46" t="str">
        <f t="shared" ca="1" si="45"/>
        <v>31ed5227-1c0c-98d0-12f7-551bddf76438-a6a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317</v>
      </c>
      <c r="H60" s="46" t="s">
        <v>49</v>
      </c>
      <c r="I60" s="46">
        <f t="shared" si="29"/>
        <v>0</v>
      </c>
      <c r="J60" s="46" t="s">
        <v>315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314</v>
      </c>
      <c r="W60" s="46" t="str">
        <f t="shared" si="50"/>
        <v>FORECAST</v>
      </c>
    </row>
    <row r="61" spans="1:23" x14ac:dyDescent="0.15">
      <c r="A61" s="46" t="str">
        <f t="shared" ca="1" si="0"/>
        <v>f1815aa2-48e6-007f-5267-74959d621265-a61</v>
      </c>
      <c r="B61" s="46" t="s">
        <v>78</v>
      </c>
      <c r="C61" s="46" t="str">
        <f t="shared" ca="1" si="45"/>
        <v>f1815aa2-48e6-007f-5267-74959d621265-a61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317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314</v>
      </c>
      <c r="W61" s="46" t="str">
        <f t="shared" si="50"/>
        <v>FORECAST</v>
      </c>
    </row>
    <row r="62" spans="1:23" hidden="1" x14ac:dyDescent="0.15">
      <c r="A62" s="46" t="str">
        <f t="shared" ca="1" si="0"/>
        <v>43bf3e4d-7f96-5ef9-9799-59e872488eaa-a62</v>
      </c>
      <c r="B62" s="46" t="s">
        <v>78</v>
      </c>
      <c r="C62" s="46" t="str">
        <f t="shared" ca="1" si="45"/>
        <v>43bf3e4d-7f96-5ef9-9799-59e872488eaa-a62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314</v>
      </c>
      <c r="W62" s="46" t="str">
        <f t="shared" si="50"/>
        <v>ACTUAL</v>
      </c>
    </row>
    <row r="63" spans="1:23" hidden="1" x14ac:dyDescent="0.15">
      <c r="A63" s="46" t="str">
        <f t="shared" ca="1" si="0"/>
        <v>acd1ad88-0fce-9d88-88e5-9f8dda9a7af0-a63</v>
      </c>
      <c r="B63" s="46" t="s">
        <v>78</v>
      </c>
      <c r="C63" s="46" t="str">
        <f t="shared" ca="1" si="45"/>
        <v>acd1ad88-0fce-9d88-88e5-9f8dda9a7af0-a63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330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314</v>
      </c>
      <c r="W63" s="46" t="str">
        <f t="shared" si="50"/>
        <v>ACTUAL</v>
      </c>
    </row>
    <row r="64" spans="1:23" hidden="1" x14ac:dyDescent="0.15">
      <c r="A64" s="46" t="str">
        <f t="shared" ca="1" si="0"/>
        <v>49c119c9-7838-54e7-6b32-09e231a50bf2-a64</v>
      </c>
      <c r="B64" s="46" t="s">
        <v>78</v>
      </c>
      <c r="C64" s="46" t="str">
        <f t="shared" ref="C64:C81" ca="1" si="52">A64</f>
        <v>49c119c9-7838-54e7-6b32-09e231a50bf2-a64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314</v>
      </c>
      <c r="W64" s="46" t="str">
        <f t="shared" ref="W64:W81" si="56">IF(RIGHT(L64,1)="A","ACTUAL","FORECAST")</f>
        <v>FORECAST</v>
      </c>
    </row>
    <row r="65" spans="1:23" hidden="1" x14ac:dyDescent="0.15">
      <c r="A65" s="46" t="str">
        <f t="shared" ca="1" si="0"/>
        <v>a8485653-276c-8beb-74a7-e372d64f4b18-a65</v>
      </c>
      <c r="B65" s="46" t="s">
        <v>78</v>
      </c>
      <c r="C65" s="46" t="str">
        <f t="shared" ca="1" si="52"/>
        <v>a8485653-276c-8beb-74a7-e372d64f4b18-a65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330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314</v>
      </c>
      <c r="W65" s="46" t="str">
        <f t="shared" si="56"/>
        <v>FORECAST</v>
      </c>
    </row>
    <row r="66" spans="1:23" hidden="1" x14ac:dyDescent="0.15">
      <c r="A66" s="46" t="str">
        <f t="shared" ca="1" si="0"/>
        <v>f861f13f-193c-4d59-7aca-64597aec7eb8-a66</v>
      </c>
      <c r="B66" s="46" t="s">
        <v>78</v>
      </c>
      <c r="C66" s="46" t="str">
        <f t="shared" ca="1" si="52"/>
        <v>f861f13f-193c-4d59-7aca-64597aec7eb8-a66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314</v>
      </c>
      <c r="W66" s="46" t="str">
        <f t="shared" si="56"/>
        <v>ACTUAL</v>
      </c>
    </row>
    <row r="67" spans="1:23" hidden="1" x14ac:dyDescent="0.15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b6128a35-5abb-9394-3a2f-75030df33f9d-a67</v>
      </c>
      <c r="B67" s="46" t="s">
        <v>78</v>
      </c>
      <c r="C67" s="46" t="str">
        <f t="shared" ca="1" si="52"/>
        <v>b6128a35-5abb-9394-3a2f-75030df33f9d-a67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330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314</v>
      </c>
      <c r="W67" s="46" t="str">
        <f t="shared" si="56"/>
        <v>ACTUAL</v>
      </c>
    </row>
    <row r="68" spans="1:23" hidden="1" x14ac:dyDescent="0.15">
      <c r="A68" s="46" t="str">
        <f t="shared" ca="1" si="57"/>
        <v>4cf82cab-9c17-0066-0741-475a7b3584a4-a68</v>
      </c>
      <c r="B68" s="46" t="s">
        <v>78</v>
      </c>
      <c r="C68" s="46" t="str">
        <f t="shared" ca="1" si="52"/>
        <v>4cf82cab-9c17-0066-0741-475a7b3584a4-a68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314</v>
      </c>
      <c r="W68" s="46" t="str">
        <f t="shared" si="56"/>
        <v>FORECAST</v>
      </c>
    </row>
    <row r="69" spans="1:23" hidden="1" x14ac:dyDescent="0.15">
      <c r="A69" s="46" t="str">
        <f t="shared" ca="1" si="57"/>
        <v>c4669797-644e-72b7-8e63-59ced67827d0-a69</v>
      </c>
      <c r="B69" s="46" t="s">
        <v>78</v>
      </c>
      <c r="C69" s="46" t="str">
        <f t="shared" ca="1" si="52"/>
        <v>c4669797-644e-72b7-8e63-59ced67827d0-a69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330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314</v>
      </c>
      <c r="W69" s="46" t="str">
        <f t="shared" si="56"/>
        <v>FORECAST</v>
      </c>
    </row>
    <row r="70" spans="1:23" hidden="1" x14ac:dyDescent="0.15">
      <c r="A70" s="46" t="str">
        <f t="shared" ca="1" si="57"/>
        <v>3eddbb80-9c75-7c5b-4229-eb10e8337014-a7a</v>
      </c>
      <c r="B70" s="46" t="s">
        <v>78</v>
      </c>
      <c r="C70" s="46" t="str">
        <f t="shared" ca="1" si="52"/>
        <v>3eddbb80-9c75-7c5b-4229-eb10e8337014-a7a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314</v>
      </c>
      <c r="W70" s="46" t="str">
        <f t="shared" si="56"/>
        <v>ACTUAL</v>
      </c>
    </row>
    <row r="71" spans="1:23" hidden="1" x14ac:dyDescent="0.15">
      <c r="A71" s="46" t="str">
        <f t="shared" ca="1" si="57"/>
        <v>190123dd-9b05-6402-8ec9-d596183a4afd-a71</v>
      </c>
      <c r="B71" s="46" t="s">
        <v>78</v>
      </c>
      <c r="C71" s="46" t="str">
        <f t="shared" ca="1" si="52"/>
        <v>190123dd-9b05-6402-8ec9-d596183a4afd-a71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330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314</v>
      </c>
      <c r="W71" s="46" t="str">
        <f t="shared" si="56"/>
        <v>ACTUAL</v>
      </c>
    </row>
    <row r="72" spans="1:23" hidden="1" x14ac:dyDescent="0.15">
      <c r="A72" s="46" t="str">
        <f t="shared" ca="1" si="57"/>
        <v>f65a8395-6836-2bad-55d4-e9690d0136e1-a72</v>
      </c>
      <c r="B72" s="46" t="s">
        <v>78</v>
      </c>
      <c r="C72" s="46" t="str">
        <f t="shared" ca="1" si="52"/>
        <v>f65a8395-6836-2bad-55d4-e9690d0136e1-a72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314</v>
      </c>
      <c r="W72" s="46" t="str">
        <f t="shared" si="56"/>
        <v>FORECAST</v>
      </c>
    </row>
    <row r="73" spans="1:23" hidden="1" x14ac:dyDescent="0.15">
      <c r="A73" s="46" t="str">
        <f t="shared" ca="1" si="57"/>
        <v>b41a2661-3023-9f56-9148-c8274b7d5e48-a73</v>
      </c>
      <c r="B73" s="46" t="s">
        <v>78</v>
      </c>
      <c r="C73" s="46" t="str">
        <f t="shared" ca="1" si="52"/>
        <v>b41a2661-3023-9f56-9148-c8274b7d5e48-a73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330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314</v>
      </c>
      <c r="W73" s="46" t="str">
        <f t="shared" si="56"/>
        <v>FORECAST</v>
      </c>
    </row>
    <row r="74" spans="1:23" hidden="1" x14ac:dyDescent="0.15">
      <c r="A74" s="46" t="str">
        <f t="shared" ca="1" si="57"/>
        <v>f4cfbda6-0384-71d7-3f0f-accd775e6876-a74</v>
      </c>
      <c r="B74" s="46" t="s">
        <v>78</v>
      </c>
      <c r="C74" s="46" t="str">
        <f t="shared" ca="1" si="52"/>
        <v>f4cfbda6-0384-71d7-3f0f-accd775e6876-a74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314</v>
      </c>
      <c r="W74" s="46" t="str">
        <f t="shared" si="56"/>
        <v>ACTUAL</v>
      </c>
    </row>
    <row r="75" spans="1:23" hidden="1" x14ac:dyDescent="0.15">
      <c r="A75" s="46" t="str">
        <f t="shared" ca="1" si="57"/>
        <v>6aa4bb7a-050d-3d72-637a-1764f8654640-a75</v>
      </c>
      <c r="B75" s="46" t="s">
        <v>78</v>
      </c>
      <c r="C75" s="46" t="str">
        <f t="shared" ca="1" si="52"/>
        <v>6aa4bb7a-050d-3d72-637a-1764f8654640-a75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330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314</v>
      </c>
      <c r="W75" s="46" t="str">
        <f t="shared" si="56"/>
        <v>ACTUAL</v>
      </c>
    </row>
    <row r="76" spans="1:23" hidden="1" x14ac:dyDescent="0.15">
      <c r="A76" s="46" t="str">
        <f t="shared" ca="1" si="57"/>
        <v>1492177f-1ee8-6c9d-7dc8-84781c705266-a76</v>
      </c>
      <c r="B76" s="46" t="s">
        <v>78</v>
      </c>
      <c r="C76" s="46" t="str">
        <f t="shared" ca="1" si="52"/>
        <v>1492177f-1ee8-6c9d-7dc8-84781c705266-a76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314</v>
      </c>
      <c r="W76" s="46" t="str">
        <f t="shared" si="56"/>
        <v>FORECAST</v>
      </c>
    </row>
    <row r="77" spans="1:23" hidden="1" x14ac:dyDescent="0.15">
      <c r="A77" s="46" t="str">
        <f t="shared" ca="1" si="57"/>
        <v>08155200-0c18-84d7-958e-e36d5dcb9369-a77</v>
      </c>
      <c r="B77" s="46" t="s">
        <v>78</v>
      </c>
      <c r="C77" s="46" t="str">
        <f t="shared" ca="1" si="52"/>
        <v>08155200-0c18-84d7-958e-e36d5dcb9369-a77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330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314</v>
      </c>
      <c r="W77" s="46" t="str">
        <f t="shared" si="56"/>
        <v>FORECAST</v>
      </c>
    </row>
    <row r="78" spans="1:23" hidden="1" x14ac:dyDescent="0.15">
      <c r="A78" s="46" t="str">
        <f t="shared" ca="1" si="57"/>
        <v>fa846bf3-3651-3c2b-5235-a7eedbeb4217-a78</v>
      </c>
      <c r="B78" s="46" t="s">
        <v>78</v>
      </c>
      <c r="C78" s="46" t="str">
        <f t="shared" ca="1" si="52"/>
        <v>fa846bf3-3651-3c2b-5235-a7eedbeb4217-a78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314</v>
      </c>
      <c r="W78" s="46" t="str">
        <f t="shared" si="56"/>
        <v>ACTUAL</v>
      </c>
    </row>
    <row r="79" spans="1:23" hidden="1" x14ac:dyDescent="0.15">
      <c r="A79" s="46" t="str">
        <f t="shared" ca="1" si="57"/>
        <v>33a2f1ee-0b95-4721-6a7d-b05827803885-a79</v>
      </c>
      <c r="B79" s="46" t="s">
        <v>78</v>
      </c>
      <c r="C79" s="46" t="str">
        <f t="shared" ca="1" si="52"/>
        <v>33a2f1ee-0b95-4721-6a7d-b05827803885-a79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330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314</v>
      </c>
      <c r="W79" s="46" t="str">
        <f t="shared" si="56"/>
        <v>ACTUAL</v>
      </c>
    </row>
    <row r="80" spans="1:23" hidden="1" x14ac:dyDescent="0.15">
      <c r="A80" s="46" t="str">
        <f t="shared" ca="1" si="57"/>
        <v>053501c5-70dd-5255-6ead-ae641b8f5794-a8a</v>
      </c>
      <c r="B80" s="46" t="s">
        <v>78</v>
      </c>
      <c r="C80" s="46" t="str">
        <f t="shared" ca="1" si="52"/>
        <v>053501c5-70dd-5255-6ead-ae641b8f5794-a8a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314</v>
      </c>
      <c r="W80" s="46" t="str">
        <f t="shared" si="56"/>
        <v>FORECAST</v>
      </c>
    </row>
    <row r="81" spans="1:23" hidden="1" x14ac:dyDescent="0.15">
      <c r="A81" s="46" t="str">
        <f t="shared" ca="1" si="57"/>
        <v>03949e47-9ec3-67b4-985a-45f6ea1413bd-a81</v>
      </c>
      <c r="B81" s="46" t="s">
        <v>78</v>
      </c>
      <c r="C81" s="46" t="str">
        <f t="shared" ca="1" si="52"/>
        <v>03949e47-9ec3-67b4-985a-45f6ea1413bd-a81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330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314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97"/>
  <sheetViews>
    <sheetView workbookViewId="0">
      <pane ySplit="1" topLeftCell="A2" activePane="bottomLeft" state="frozen"/>
      <selection pane="bottomLeft" activeCell="A16" sqref="A16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620</v>
      </c>
      <c r="B2" s="56" t="s">
        <v>509</v>
      </c>
      <c r="C2" s="57" t="s">
        <v>357</v>
      </c>
      <c r="D2" s="56" t="s">
        <v>620</v>
      </c>
      <c r="E2" s="63">
        <v>0</v>
      </c>
      <c r="F2" s="61">
        <v>43726</v>
      </c>
      <c r="G2" s="59" t="s">
        <v>510</v>
      </c>
      <c r="H2" s="57" t="s">
        <v>318</v>
      </c>
      <c r="I2" s="57" t="s">
        <v>359</v>
      </c>
      <c r="J2" s="57" t="s">
        <v>56</v>
      </c>
      <c r="K2" s="60">
        <v>40000</v>
      </c>
      <c r="L2" s="57" t="s">
        <v>323</v>
      </c>
      <c r="M2" s="58" t="s">
        <v>8</v>
      </c>
      <c r="N2" s="55" t="s">
        <v>511</v>
      </c>
      <c r="O2" s="56" t="s">
        <v>314</v>
      </c>
      <c r="P2" s="57" t="s">
        <v>621</v>
      </c>
      <c r="Q2" s="55" t="s">
        <v>77</v>
      </c>
      <c r="R2" s="55" t="s">
        <v>339</v>
      </c>
    </row>
    <row r="3" spans="1:18" x14ac:dyDescent="0.25">
      <c r="A3" s="56" t="s">
        <v>622</v>
      </c>
      <c r="B3" s="55" t="s">
        <v>509</v>
      </c>
      <c r="C3" s="57" t="s">
        <v>357</v>
      </c>
      <c r="D3" s="56" t="s">
        <v>622</v>
      </c>
      <c r="E3" s="63">
        <v>0</v>
      </c>
      <c r="F3" s="61">
        <v>43726</v>
      </c>
      <c r="G3" s="59" t="s">
        <v>512</v>
      </c>
      <c r="H3" s="57" t="s">
        <v>318</v>
      </c>
      <c r="I3" s="57" t="s">
        <v>359</v>
      </c>
      <c r="J3" s="57" t="s">
        <v>56</v>
      </c>
      <c r="K3" s="60">
        <v>25000</v>
      </c>
      <c r="L3" s="57" t="s">
        <v>323</v>
      </c>
      <c r="M3" s="58" t="s">
        <v>8</v>
      </c>
      <c r="N3" s="55" t="s">
        <v>513</v>
      </c>
      <c r="O3" s="56" t="s">
        <v>314</v>
      </c>
      <c r="P3" s="57" t="s">
        <v>623</v>
      </c>
      <c r="Q3" s="55" t="s">
        <v>77</v>
      </c>
      <c r="R3" s="55" t="s">
        <v>339</v>
      </c>
    </row>
    <row r="4" spans="1:18" x14ac:dyDescent="0.25">
      <c r="A4" s="56" t="s">
        <v>624</v>
      </c>
      <c r="B4" s="56" t="s">
        <v>509</v>
      </c>
      <c r="C4" s="57" t="s">
        <v>357</v>
      </c>
      <c r="D4" s="56" t="s">
        <v>624</v>
      </c>
      <c r="E4" s="63">
        <v>0</v>
      </c>
      <c r="F4" s="61">
        <v>43726</v>
      </c>
      <c r="G4" s="59" t="s">
        <v>514</v>
      </c>
      <c r="H4" s="57" t="s">
        <v>318</v>
      </c>
      <c r="I4" s="57" t="s">
        <v>359</v>
      </c>
      <c r="J4" s="57" t="s">
        <v>56</v>
      </c>
      <c r="K4" s="60">
        <v>75000</v>
      </c>
      <c r="L4" s="57" t="s">
        <v>323</v>
      </c>
      <c r="M4" s="58" t="s">
        <v>8</v>
      </c>
      <c r="N4" s="55" t="s">
        <v>515</v>
      </c>
      <c r="O4" s="56" t="s">
        <v>314</v>
      </c>
      <c r="P4" s="57" t="s">
        <v>625</v>
      </c>
      <c r="Q4" s="55" t="s">
        <v>77</v>
      </c>
      <c r="R4" s="55" t="s">
        <v>339</v>
      </c>
    </row>
    <row r="5" spans="1:18" x14ac:dyDescent="0.25">
      <c r="A5" s="56" t="s">
        <v>626</v>
      </c>
      <c r="B5" s="56" t="s">
        <v>509</v>
      </c>
      <c r="C5" s="57" t="s">
        <v>357</v>
      </c>
      <c r="D5" s="56" t="s">
        <v>626</v>
      </c>
      <c r="E5" s="63">
        <v>0</v>
      </c>
      <c r="F5" s="61">
        <v>43726</v>
      </c>
      <c r="G5" s="59" t="s">
        <v>516</v>
      </c>
      <c r="H5" s="57" t="s">
        <v>318</v>
      </c>
      <c r="I5" s="57" t="s">
        <v>359</v>
      </c>
      <c r="J5" s="57" t="s">
        <v>56</v>
      </c>
      <c r="K5" s="60">
        <v>40000</v>
      </c>
      <c r="L5" s="57" t="s">
        <v>323</v>
      </c>
      <c r="M5" s="58" t="s">
        <v>8</v>
      </c>
      <c r="N5" s="55" t="s">
        <v>515</v>
      </c>
      <c r="O5" s="56" t="s">
        <v>314</v>
      </c>
      <c r="P5" s="57" t="s">
        <v>627</v>
      </c>
      <c r="Q5" s="55" t="s">
        <v>77</v>
      </c>
      <c r="R5" s="55" t="s">
        <v>339</v>
      </c>
    </row>
    <row r="6" spans="1:18" x14ac:dyDescent="0.25">
      <c r="A6" s="56" t="s">
        <v>628</v>
      </c>
      <c r="B6" s="56" t="s">
        <v>509</v>
      </c>
      <c r="C6" s="57" t="s">
        <v>357</v>
      </c>
      <c r="D6" s="56" t="s">
        <v>628</v>
      </c>
      <c r="E6" s="63">
        <v>0</v>
      </c>
      <c r="F6" s="61">
        <v>43726</v>
      </c>
      <c r="G6" s="59" t="s">
        <v>517</v>
      </c>
      <c r="H6" s="57" t="s">
        <v>318</v>
      </c>
      <c r="I6" s="57" t="s">
        <v>359</v>
      </c>
      <c r="J6" s="57" t="s">
        <v>56</v>
      </c>
      <c r="K6" s="60">
        <v>10000</v>
      </c>
      <c r="L6" s="57" t="s">
        <v>323</v>
      </c>
      <c r="M6" s="58" t="s">
        <v>8</v>
      </c>
      <c r="N6" s="55" t="s">
        <v>515</v>
      </c>
      <c r="O6" s="56" t="s">
        <v>314</v>
      </c>
      <c r="P6" s="57" t="s">
        <v>629</v>
      </c>
      <c r="Q6" s="55" t="s">
        <v>77</v>
      </c>
      <c r="R6" s="55" t="s">
        <v>339</v>
      </c>
    </row>
    <row r="7" spans="1:18" x14ac:dyDescent="0.25">
      <c r="A7" s="56" t="s">
        <v>630</v>
      </c>
      <c r="B7" s="56" t="s">
        <v>518</v>
      </c>
      <c r="C7" s="57" t="s">
        <v>334</v>
      </c>
      <c r="D7" s="56" t="s">
        <v>630</v>
      </c>
      <c r="E7" s="63">
        <v>0</v>
      </c>
      <c r="F7" s="61">
        <v>43726</v>
      </c>
      <c r="G7" s="59" t="s">
        <v>519</v>
      </c>
      <c r="H7" s="57" t="s">
        <v>318</v>
      </c>
      <c r="I7" s="57" t="s">
        <v>336</v>
      </c>
      <c r="J7" s="57" t="s">
        <v>66</v>
      </c>
      <c r="K7" s="60">
        <v>-152</v>
      </c>
      <c r="L7" s="57" t="s">
        <v>320</v>
      </c>
      <c r="M7" s="58" t="s">
        <v>8</v>
      </c>
      <c r="N7" s="55" t="s">
        <v>520</v>
      </c>
      <c r="O7" s="56" t="s">
        <v>314</v>
      </c>
      <c r="P7" s="57" t="s">
        <v>631</v>
      </c>
      <c r="Q7" s="55" t="s">
        <v>77</v>
      </c>
      <c r="R7" s="55" t="s">
        <v>339</v>
      </c>
    </row>
    <row r="8" spans="1:18" x14ac:dyDescent="0.25">
      <c r="A8" s="56" t="s">
        <v>632</v>
      </c>
      <c r="B8" s="56" t="s">
        <v>518</v>
      </c>
      <c r="C8" s="57" t="s">
        <v>334</v>
      </c>
      <c r="D8" s="56" t="s">
        <v>632</v>
      </c>
      <c r="E8" s="63">
        <v>0</v>
      </c>
      <c r="F8" s="61">
        <v>43726</v>
      </c>
      <c r="G8" s="59" t="s">
        <v>521</v>
      </c>
      <c r="H8" s="57" t="s">
        <v>318</v>
      </c>
      <c r="I8" s="57" t="s">
        <v>336</v>
      </c>
      <c r="J8" s="57" t="s">
        <v>66</v>
      </c>
      <c r="K8" s="60">
        <v>-278</v>
      </c>
      <c r="L8" s="57" t="s">
        <v>320</v>
      </c>
      <c r="M8" s="58" t="s">
        <v>8</v>
      </c>
      <c r="N8" s="55" t="s">
        <v>520</v>
      </c>
      <c r="O8" s="56" t="s">
        <v>314</v>
      </c>
      <c r="P8" s="57" t="s">
        <v>633</v>
      </c>
      <c r="Q8" s="55" t="s">
        <v>77</v>
      </c>
      <c r="R8" s="55" t="s">
        <v>339</v>
      </c>
    </row>
    <row r="9" spans="1:18" x14ac:dyDescent="0.25">
      <c r="A9" s="56" t="s">
        <v>634</v>
      </c>
      <c r="B9" s="56" t="s">
        <v>518</v>
      </c>
      <c r="C9" s="57" t="s">
        <v>334</v>
      </c>
      <c r="D9" s="56" t="s">
        <v>634</v>
      </c>
      <c r="E9" s="63">
        <v>0</v>
      </c>
      <c r="F9" s="61">
        <v>43726</v>
      </c>
      <c r="G9" s="59" t="s">
        <v>522</v>
      </c>
      <c r="H9" s="57" t="s">
        <v>318</v>
      </c>
      <c r="I9" s="57" t="s">
        <v>336</v>
      </c>
      <c r="J9" s="57" t="s">
        <v>66</v>
      </c>
      <c r="K9" s="60">
        <v>-7996</v>
      </c>
      <c r="L9" s="57" t="s">
        <v>320</v>
      </c>
      <c r="M9" s="58" t="s">
        <v>8</v>
      </c>
      <c r="N9" s="55" t="s">
        <v>520</v>
      </c>
      <c r="O9" s="56" t="s">
        <v>314</v>
      </c>
      <c r="P9" s="57" t="s">
        <v>635</v>
      </c>
      <c r="Q9" s="55" t="s">
        <v>77</v>
      </c>
      <c r="R9" s="55" t="s">
        <v>339</v>
      </c>
    </row>
    <row r="10" spans="1:18" x14ac:dyDescent="0.25">
      <c r="A10" s="56" t="s">
        <v>636</v>
      </c>
      <c r="B10" s="56" t="s">
        <v>509</v>
      </c>
      <c r="C10" s="57" t="s">
        <v>357</v>
      </c>
      <c r="D10" s="56" t="s">
        <v>636</v>
      </c>
      <c r="E10" s="63">
        <v>0</v>
      </c>
      <c r="F10" s="61">
        <v>43726</v>
      </c>
      <c r="G10" s="59" t="s">
        <v>523</v>
      </c>
      <c r="H10" s="57" t="s">
        <v>318</v>
      </c>
      <c r="I10" s="57" t="s">
        <v>359</v>
      </c>
      <c r="J10" s="57" t="s">
        <v>56</v>
      </c>
      <c r="K10" s="60">
        <v>15000</v>
      </c>
      <c r="L10" s="57" t="s">
        <v>323</v>
      </c>
      <c r="M10" s="58" t="s">
        <v>8</v>
      </c>
      <c r="N10" s="55" t="s">
        <v>524</v>
      </c>
      <c r="O10" s="56" t="s">
        <v>314</v>
      </c>
      <c r="P10" s="57" t="s">
        <v>637</v>
      </c>
      <c r="Q10" s="55" t="s">
        <v>77</v>
      </c>
      <c r="R10" s="55" t="s">
        <v>339</v>
      </c>
    </row>
    <row r="11" spans="1:18" x14ac:dyDescent="0.25">
      <c r="A11" s="56" t="s">
        <v>638</v>
      </c>
      <c r="B11" s="56" t="s">
        <v>518</v>
      </c>
      <c r="C11" s="57" t="s">
        <v>334</v>
      </c>
      <c r="D11" s="56" t="s">
        <v>638</v>
      </c>
      <c r="E11" s="63">
        <v>0</v>
      </c>
      <c r="F11" s="61">
        <v>43726</v>
      </c>
      <c r="G11" s="59" t="s">
        <v>525</v>
      </c>
      <c r="H11" s="57" t="s">
        <v>318</v>
      </c>
      <c r="I11" s="57" t="s">
        <v>336</v>
      </c>
      <c r="J11" s="57" t="s">
        <v>66</v>
      </c>
      <c r="K11" s="60">
        <v>-2000</v>
      </c>
      <c r="L11" s="57" t="s">
        <v>320</v>
      </c>
      <c r="M11" s="58" t="s">
        <v>8</v>
      </c>
      <c r="N11" s="55" t="s">
        <v>526</v>
      </c>
      <c r="O11" s="56" t="s">
        <v>314</v>
      </c>
      <c r="P11" s="57" t="s">
        <v>639</v>
      </c>
      <c r="Q11" s="55" t="s">
        <v>77</v>
      </c>
      <c r="R11" s="55" t="s">
        <v>339</v>
      </c>
    </row>
    <row r="12" spans="1:18" x14ac:dyDescent="0.25">
      <c r="A12" s="56" t="s">
        <v>640</v>
      </c>
      <c r="B12" s="56" t="s">
        <v>509</v>
      </c>
      <c r="C12" s="57" t="s">
        <v>357</v>
      </c>
      <c r="D12" s="56" t="s">
        <v>640</v>
      </c>
      <c r="E12" s="63">
        <v>0</v>
      </c>
      <c r="F12" s="61">
        <v>43726</v>
      </c>
      <c r="G12" s="59" t="s">
        <v>527</v>
      </c>
      <c r="H12" s="57" t="s">
        <v>318</v>
      </c>
      <c r="I12" s="57" t="s">
        <v>359</v>
      </c>
      <c r="J12" s="57" t="s">
        <v>56</v>
      </c>
      <c r="K12" s="60">
        <v>20000</v>
      </c>
      <c r="L12" s="57" t="s">
        <v>323</v>
      </c>
      <c r="M12" s="58" t="s">
        <v>8</v>
      </c>
      <c r="N12" s="55" t="s">
        <v>528</v>
      </c>
      <c r="O12" s="56" t="s">
        <v>314</v>
      </c>
      <c r="P12" s="57" t="s">
        <v>641</v>
      </c>
      <c r="Q12" s="55" t="s">
        <v>77</v>
      </c>
      <c r="R12" s="55" t="s">
        <v>339</v>
      </c>
    </row>
    <row r="13" spans="1:18" x14ac:dyDescent="0.25">
      <c r="A13" s="56" t="s">
        <v>642</v>
      </c>
      <c r="B13" s="56" t="s">
        <v>509</v>
      </c>
      <c r="C13" s="57" t="s">
        <v>357</v>
      </c>
      <c r="D13" s="56" t="s">
        <v>642</v>
      </c>
      <c r="E13" s="63">
        <v>0</v>
      </c>
      <c r="F13" s="61">
        <v>43726</v>
      </c>
      <c r="G13" s="59" t="s">
        <v>529</v>
      </c>
      <c r="H13" s="57" t="s">
        <v>318</v>
      </c>
      <c r="I13" s="57" t="s">
        <v>359</v>
      </c>
      <c r="J13" s="57" t="s">
        <v>56</v>
      </c>
      <c r="K13" s="60">
        <v>15000</v>
      </c>
      <c r="L13" s="57" t="s">
        <v>323</v>
      </c>
      <c r="M13" s="58" t="s">
        <v>8</v>
      </c>
      <c r="N13" s="55" t="s">
        <v>528</v>
      </c>
      <c r="O13" s="56" t="s">
        <v>314</v>
      </c>
      <c r="P13" s="57" t="s">
        <v>643</v>
      </c>
      <c r="Q13" s="55" t="s">
        <v>77</v>
      </c>
      <c r="R13" s="55" t="s">
        <v>339</v>
      </c>
    </row>
    <row r="14" spans="1:18" x14ac:dyDescent="0.25">
      <c r="A14" s="56" t="s">
        <v>644</v>
      </c>
      <c r="B14" s="56" t="s">
        <v>518</v>
      </c>
      <c r="C14" s="57" t="s">
        <v>334</v>
      </c>
      <c r="D14" s="56" t="s">
        <v>644</v>
      </c>
      <c r="E14" s="63">
        <v>0</v>
      </c>
      <c r="F14" s="61">
        <v>43726</v>
      </c>
      <c r="G14" s="59" t="s">
        <v>530</v>
      </c>
      <c r="H14" s="57" t="s">
        <v>318</v>
      </c>
      <c r="I14" s="57" t="s">
        <v>336</v>
      </c>
      <c r="J14" s="57" t="s">
        <v>66</v>
      </c>
      <c r="K14" s="60">
        <v>-1542</v>
      </c>
      <c r="L14" s="57" t="s">
        <v>320</v>
      </c>
      <c r="M14" s="58" t="s">
        <v>8</v>
      </c>
      <c r="N14" s="55" t="s">
        <v>531</v>
      </c>
      <c r="O14" s="56" t="s">
        <v>314</v>
      </c>
      <c r="P14" s="57" t="s">
        <v>645</v>
      </c>
      <c r="Q14" s="55" t="s">
        <v>77</v>
      </c>
      <c r="R14" s="55" t="s">
        <v>339</v>
      </c>
    </row>
    <row r="15" spans="1:18" x14ac:dyDescent="0.25">
      <c r="A15" s="56" t="s">
        <v>646</v>
      </c>
      <c r="B15" s="56" t="s">
        <v>518</v>
      </c>
      <c r="C15" s="57" t="s">
        <v>334</v>
      </c>
      <c r="D15" s="56" t="s">
        <v>646</v>
      </c>
      <c r="E15" s="63">
        <v>0</v>
      </c>
      <c r="F15" s="61">
        <v>43726</v>
      </c>
      <c r="G15" s="59" t="s">
        <v>532</v>
      </c>
      <c r="H15" s="57" t="s">
        <v>318</v>
      </c>
      <c r="I15" s="57" t="s">
        <v>336</v>
      </c>
      <c r="J15" s="57" t="s">
        <v>66</v>
      </c>
      <c r="K15" s="60">
        <v>-3744.2</v>
      </c>
      <c r="L15" s="57" t="s">
        <v>320</v>
      </c>
      <c r="M15" s="58" t="s">
        <v>8</v>
      </c>
      <c r="N15" s="55" t="s">
        <v>531</v>
      </c>
      <c r="O15" s="56" t="s">
        <v>314</v>
      </c>
      <c r="P15" s="57" t="s">
        <v>647</v>
      </c>
      <c r="Q15" s="55" t="s">
        <v>77</v>
      </c>
      <c r="R15" s="55" t="s">
        <v>339</v>
      </c>
    </row>
    <row r="16" spans="1:18" x14ac:dyDescent="0.25">
      <c r="A16" s="56" t="s">
        <v>648</v>
      </c>
      <c r="B16" s="56" t="s">
        <v>518</v>
      </c>
      <c r="C16" s="57" t="s">
        <v>334</v>
      </c>
      <c r="D16" s="56" t="s">
        <v>648</v>
      </c>
      <c r="E16" s="63">
        <v>0</v>
      </c>
      <c r="F16" s="61">
        <v>43726</v>
      </c>
      <c r="G16" s="59" t="s">
        <v>533</v>
      </c>
      <c r="H16" s="57" t="s">
        <v>318</v>
      </c>
      <c r="I16" s="57" t="s">
        <v>336</v>
      </c>
      <c r="J16" s="57" t="s">
        <v>66</v>
      </c>
      <c r="K16" s="60">
        <v>-4194.3999999999996</v>
      </c>
      <c r="L16" s="57" t="s">
        <v>320</v>
      </c>
      <c r="M16" s="58" t="s">
        <v>8</v>
      </c>
      <c r="N16" s="55" t="s">
        <v>531</v>
      </c>
      <c r="O16" s="56" t="s">
        <v>314</v>
      </c>
      <c r="P16" s="57" t="s">
        <v>649</v>
      </c>
      <c r="Q16" s="55" t="s">
        <v>77</v>
      </c>
      <c r="R16" s="55" t="s">
        <v>339</v>
      </c>
    </row>
    <row r="17" spans="1:18" x14ac:dyDescent="0.25">
      <c r="A17" s="56" t="s">
        <v>650</v>
      </c>
      <c r="B17" s="56" t="s">
        <v>518</v>
      </c>
      <c r="C17" s="57" t="s">
        <v>334</v>
      </c>
      <c r="D17" s="56" t="s">
        <v>650</v>
      </c>
      <c r="E17" s="63">
        <v>0</v>
      </c>
      <c r="F17" s="61">
        <v>43726</v>
      </c>
      <c r="G17" s="59" t="s">
        <v>534</v>
      </c>
      <c r="H17" s="57" t="s">
        <v>318</v>
      </c>
      <c r="I17" s="57" t="s">
        <v>336</v>
      </c>
      <c r="J17" s="57" t="s">
        <v>66</v>
      </c>
      <c r="K17" s="60">
        <v>-4644.6000000000004</v>
      </c>
      <c r="L17" s="57" t="s">
        <v>320</v>
      </c>
      <c r="M17" s="58" t="s">
        <v>8</v>
      </c>
      <c r="N17" s="55" t="s">
        <v>531</v>
      </c>
      <c r="O17" s="56" t="s">
        <v>314</v>
      </c>
      <c r="P17" s="57" t="s">
        <v>651</v>
      </c>
      <c r="Q17" s="55" t="s">
        <v>77</v>
      </c>
      <c r="R17" s="55" t="s">
        <v>339</v>
      </c>
    </row>
    <row r="18" spans="1:18" x14ac:dyDescent="0.25">
      <c r="A18" s="56" t="s">
        <v>652</v>
      </c>
      <c r="B18" s="56" t="s">
        <v>518</v>
      </c>
      <c r="C18" s="57" t="s">
        <v>334</v>
      </c>
      <c r="D18" s="56" t="s">
        <v>652</v>
      </c>
      <c r="E18" s="63">
        <v>0</v>
      </c>
      <c r="F18" s="61">
        <v>43726</v>
      </c>
      <c r="G18" s="59" t="s">
        <v>535</v>
      </c>
      <c r="H18" s="57" t="s">
        <v>318</v>
      </c>
      <c r="I18" s="57" t="s">
        <v>336</v>
      </c>
      <c r="J18" s="57" t="s">
        <v>66</v>
      </c>
      <c r="K18" s="60">
        <v>-5094.8</v>
      </c>
      <c r="L18" s="57" t="s">
        <v>320</v>
      </c>
      <c r="M18" s="58" t="s">
        <v>8</v>
      </c>
      <c r="N18" s="55" t="s">
        <v>531</v>
      </c>
      <c r="O18" s="56" t="s">
        <v>314</v>
      </c>
      <c r="P18" s="57" t="s">
        <v>653</v>
      </c>
      <c r="Q18" s="55" t="s">
        <v>77</v>
      </c>
      <c r="R18" s="55" t="s">
        <v>339</v>
      </c>
    </row>
    <row r="19" spans="1:18" x14ac:dyDescent="0.25">
      <c r="A19" s="56" t="s">
        <v>654</v>
      </c>
      <c r="B19" s="56" t="s">
        <v>518</v>
      </c>
      <c r="C19" s="57" t="s">
        <v>334</v>
      </c>
      <c r="D19" s="56" t="s">
        <v>654</v>
      </c>
      <c r="E19" s="63">
        <v>0</v>
      </c>
      <c r="F19" s="61">
        <v>43726</v>
      </c>
      <c r="G19" s="59" t="s">
        <v>536</v>
      </c>
      <c r="H19" s="57" t="s">
        <v>318</v>
      </c>
      <c r="I19" s="57" t="s">
        <v>336</v>
      </c>
      <c r="J19" s="57" t="s">
        <v>66</v>
      </c>
      <c r="K19" s="60">
        <v>-5545</v>
      </c>
      <c r="L19" s="57" t="s">
        <v>320</v>
      </c>
      <c r="M19" s="58" t="s">
        <v>8</v>
      </c>
      <c r="N19" s="55" t="s">
        <v>531</v>
      </c>
      <c r="O19" s="56" t="s">
        <v>314</v>
      </c>
      <c r="P19" s="57" t="s">
        <v>655</v>
      </c>
      <c r="Q19" s="55" t="s">
        <v>77</v>
      </c>
      <c r="R19" s="55" t="s">
        <v>339</v>
      </c>
    </row>
    <row r="20" spans="1:18" x14ac:dyDescent="0.25">
      <c r="A20" s="56" t="s">
        <v>656</v>
      </c>
      <c r="B20" s="56" t="s">
        <v>518</v>
      </c>
      <c r="C20" s="57" t="s">
        <v>334</v>
      </c>
      <c r="D20" s="56" t="s">
        <v>656</v>
      </c>
      <c r="E20" s="63">
        <v>0</v>
      </c>
      <c r="F20" s="61">
        <v>43726</v>
      </c>
      <c r="G20" s="59" t="s">
        <v>537</v>
      </c>
      <c r="H20" s="57" t="s">
        <v>318</v>
      </c>
      <c r="I20" s="57" t="s">
        <v>336</v>
      </c>
      <c r="J20" s="57" t="s">
        <v>66</v>
      </c>
      <c r="K20" s="60">
        <v>-5995.2</v>
      </c>
      <c r="L20" s="57" t="s">
        <v>320</v>
      </c>
      <c r="M20" s="58" t="s">
        <v>8</v>
      </c>
      <c r="N20" s="55" t="s">
        <v>531</v>
      </c>
      <c r="O20" s="56" t="s">
        <v>314</v>
      </c>
      <c r="P20" s="57" t="s">
        <v>657</v>
      </c>
      <c r="Q20" s="55" t="s">
        <v>77</v>
      </c>
      <c r="R20" s="55" t="s">
        <v>339</v>
      </c>
    </row>
    <row r="21" spans="1:18" x14ac:dyDescent="0.25">
      <c r="A21" s="56" t="s">
        <v>658</v>
      </c>
      <c r="B21" s="56" t="s">
        <v>518</v>
      </c>
      <c r="C21" s="57" t="s">
        <v>334</v>
      </c>
      <c r="D21" s="56" t="s">
        <v>658</v>
      </c>
      <c r="E21" s="63">
        <v>0</v>
      </c>
      <c r="F21" s="61">
        <v>43726</v>
      </c>
      <c r="G21" s="59" t="s">
        <v>538</v>
      </c>
      <c r="H21" s="57" t="s">
        <v>318</v>
      </c>
      <c r="I21" s="57" t="s">
        <v>336</v>
      </c>
      <c r="J21" s="57" t="s">
        <v>66</v>
      </c>
      <c r="K21" s="60">
        <v>-6445.4</v>
      </c>
      <c r="L21" s="57" t="s">
        <v>320</v>
      </c>
      <c r="M21" s="58" t="s">
        <v>8</v>
      </c>
      <c r="N21" s="55" t="s">
        <v>531</v>
      </c>
      <c r="O21" s="56" t="s">
        <v>314</v>
      </c>
      <c r="P21" s="57" t="s">
        <v>659</v>
      </c>
      <c r="Q21" s="55" t="s">
        <v>77</v>
      </c>
      <c r="R21" s="55" t="s">
        <v>339</v>
      </c>
    </row>
    <row r="22" spans="1:18" x14ac:dyDescent="0.25">
      <c r="A22" s="55" t="s">
        <v>660</v>
      </c>
      <c r="B22" s="55" t="s">
        <v>518</v>
      </c>
      <c r="C22" s="55" t="s">
        <v>334</v>
      </c>
      <c r="D22" s="55" t="s">
        <v>660</v>
      </c>
      <c r="E22" s="63">
        <v>0</v>
      </c>
      <c r="F22" s="61">
        <v>43726</v>
      </c>
      <c r="G22" s="55" t="s">
        <v>539</v>
      </c>
      <c r="H22" s="55" t="s">
        <v>318</v>
      </c>
      <c r="I22" s="55" t="s">
        <v>336</v>
      </c>
      <c r="J22" s="60" t="s">
        <v>66</v>
      </c>
      <c r="K22" s="55">
        <v>-6895.6</v>
      </c>
      <c r="L22" s="61" t="s">
        <v>320</v>
      </c>
      <c r="M22" s="55" t="s">
        <v>8</v>
      </c>
      <c r="N22" s="55" t="s">
        <v>531</v>
      </c>
      <c r="O22" s="55" t="s">
        <v>314</v>
      </c>
      <c r="P22" s="55" t="s">
        <v>661</v>
      </c>
      <c r="Q22" s="55" t="s">
        <v>77</v>
      </c>
      <c r="R22" s="55" t="s">
        <v>339</v>
      </c>
    </row>
    <row r="23" spans="1:18" x14ac:dyDescent="0.25">
      <c r="A23" s="55" t="s">
        <v>662</v>
      </c>
      <c r="B23" s="55" t="s">
        <v>518</v>
      </c>
      <c r="C23" s="55" t="s">
        <v>334</v>
      </c>
      <c r="D23" s="55" t="s">
        <v>662</v>
      </c>
      <c r="E23" s="63">
        <v>0</v>
      </c>
      <c r="F23" s="61">
        <v>43726</v>
      </c>
      <c r="G23" s="55" t="s">
        <v>540</v>
      </c>
      <c r="H23" s="55" t="s">
        <v>318</v>
      </c>
      <c r="I23" s="55" t="s">
        <v>336</v>
      </c>
      <c r="J23" s="60" t="s">
        <v>66</v>
      </c>
      <c r="K23" s="55">
        <v>-7345.8</v>
      </c>
      <c r="L23" s="61" t="s">
        <v>320</v>
      </c>
      <c r="M23" s="55" t="s">
        <v>8</v>
      </c>
      <c r="N23" s="55" t="s">
        <v>531</v>
      </c>
      <c r="O23" s="55" t="s">
        <v>314</v>
      </c>
      <c r="P23" s="55" t="s">
        <v>663</v>
      </c>
      <c r="Q23" s="55" t="s">
        <v>77</v>
      </c>
      <c r="R23" s="55" t="s">
        <v>339</v>
      </c>
    </row>
    <row r="24" spans="1:18" x14ac:dyDescent="0.25">
      <c r="A24" s="55" t="s">
        <v>664</v>
      </c>
      <c r="B24" s="55" t="s">
        <v>518</v>
      </c>
      <c r="C24" s="55" t="s">
        <v>334</v>
      </c>
      <c r="D24" s="55" t="s">
        <v>664</v>
      </c>
      <c r="E24" s="63">
        <v>0</v>
      </c>
      <c r="F24" s="61">
        <v>43726</v>
      </c>
      <c r="G24" s="55" t="s">
        <v>541</v>
      </c>
      <c r="H24" s="55" t="s">
        <v>318</v>
      </c>
      <c r="I24" s="55" t="s">
        <v>336</v>
      </c>
      <c r="J24" s="60" t="s">
        <v>66</v>
      </c>
      <c r="K24" s="55">
        <v>-7796</v>
      </c>
      <c r="L24" s="61" t="s">
        <v>320</v>
      </c>
      <c r="M24" s="55" t="s">
        <v>8</v>
      </c>
      <c r="N24" s="55" t="s">
        <v>542</v>
      </c>
      <c r="O24" s="55" t="s">
        <v>314</v>
      </c>
      <c r="P24" s="55" t="s">
        <v>665</v>
      </c>
      <c r="Q24" s="55" t="s">
        <v>77</v>
      </c>
      <c r="R24" s="55" t="s">
        <v>339</v>
      </c>
    </row>
    <row r="25" spans="1:18" x14ac:dyDescent="0.25">
      <c r="A25" s="55" t="s">
        <v>666</v>
      </c>
      <c r="B25" s="55" t="s">
        <v>518</v>
      </c>
      <c r="C25" s="55" t="s">
        <v>334</v>
      </c>
      <c r="D25" s="55" t="s">
        <v>666</v>
      </c>
      <c r="E25" s="63">
        <v>0</v>
      </c>
      <c r="F25" s="61">
        <v>43726</v>
      </c>
      <c r="G25" s="55" t="s">
        <v>543</v>
      </c>
      <c r="H25" s="55" t="s">
        <v>318</v>
      </c>
      <c r="I25" s="55" t="s">
        <v>336</v>
      </c>
      <c r="J25" s="60" t="s">
        <v>66</v>
      </c>
      <c r="K25" s="55">
        <v>-8246.2000000000007</v>
      </c>
      <c r="L25" s="61" t="s">
        <v>320</v>
      </c>
      <c r="M25" s="55" t="s">
        <v>8</v>
      </c>
      <c r="N25" s="55" t="s">
        <v>544</v>
      </c>
      <c r="O25" s="55" t="s">
        <v>314</v>
      </c>
      <c r="P25" s="55" t="s">
        <v>667</v>
      </c>
      <c r="Q25" s="55" t="s">
        <v>77</v>
      </c>
      <c r="R25" s="55" t="s">
        <v>339</v>
      </c>
    </row>
    <row r="26" spans="1:18" x14ac:dyDescent="0.25">
      <c r="A26" s="55" t="s">
        <v>668</v>
      </c>
      <c r="B26" s="55" t="s">
        <v>518</v>
      </c>
      <c r="C26" s="55" t="s">
        <v>334</v>
      </c>
      <c r="D26" s="55" t="s">
        <v>668</v>
      </c>
      <c r="E26" s="63">
        <v>0</v>
      </c>
      <c r="F26" s="61">
        <v>43726</v>
      </c>
      <c r="G26" s="55" t="s">
        <v>545</v>
      </c>
      <c r="H26" s="55" t="s">
        <v>318</v>
      </c>
      <c r="I26" s="55" t="s">
        <v>336</v>
      </c>
      <c r="J26" s="60" t="s">
        <v>66</v>
      </c>
      <c r="K26" s="55">
        <v>-8696.4</v>
      </c>
      <c r="L26" s="61" t="s">
        <v>320</v>
      </c>
      <c r="M26" s="55" t="s">
        <v>8</v>
      </c>
      <c r="N26" s="55" t="s">
        <v>544</v>
      </c>
      <c r="O26" s="55" t="s">
        <v>314</v>
      </c>
      <c r="P26" s="55" t="s">
        <v>669</v>
      </c>
      <c r="Q26" s="55" t="s">
        <v>77</v>
      </c>
      <c r="R26" s="55" t="s">
        <v>339</v>
      </c>
    </row>
    <row r="27" spans="1:18" x14ac:dyDescent="0.25">
      <c r="A27" s="55" t="s">
        <v>670</v>
      </c>
      <c r="B27" s="55" t="s">
        <v>518</v>
      </c>
      <c r="C27" s="55" t="s">
        <v>334</v>
      </c>
      <c r="D27" s="55" t="s">
        <v>670</v>
      </c>
      <c r="E27" s="63">
        <v>0</v>
      </c>
      <c r="F27" s="61">
        <v>43726</v>
      </c>
      <c r="G27" s="55" t="s">
        <v>546</v>
      </c>
      <c r="H27" s="55" t="s">
        <v>318</v>
      </c>
      <c r="I27" s="55" t="s">
        <v>336</v>
      </c>
      <c r="J27" s="60" t="s">
        <v>66</v>
      </c>
      <c r="K27" s="55">
        <v>-946.6</v>
      </c>
      <c r="L27" s="61" t="s">
        <v>320</v>
      </c>
      <c r="M27" s="55" t="s">
        <v>8</v>
      </c>
      <c r="N27" s="55" t="s">
        <v>544</v>
      </c>
      <c r="O27" s="55" t="s">
        <v>314</v>
      </c>
      <c r="P27" s="55" t="s">
        <v>671</v>
      </c>
      <c r="Q27" s="55" t="s">
        <v>77</v>
      </c>
      <c r="R27" s="55" t="s">
        <v>339</v>
      </c>
    </row>
    <row r="28" spans="1:18" x14ac:dyDescent="0.25">
      <c r="A28" s="55" t="s">
        <v>672</v>
      </c>
      <c r="B28" s="55" t="s">
        <v>518</v>
      </c>
      <c r="C28" s="55" t="s">
        <v>334</v>
      </c>
      <c r="D28" s="55" t="s">
        <v>672</v>
      </c>
      <c r="E28" s="63">
        <v>0</v>
      </c>
      <c r="F28" s="61">
        <v>43726</v>
      </c>
      <c r="G28" s="55" t="s">
        <v>547</v>
      </c>
      <c r="H28" s="55" t="s">
        <v>318</v>
      </c>
      <c r="I28" s="55" t="s">
        <v>336</v>
      </c>
      <c r="J28" s="60" t="s">
        <v>66</v>
      </c>
      <c r="K28" s="55">
        <v>-596.79999999999995</v>
      </c>
      <c r="L28" s="61" t="s">
        <v>320</v>
      </c>
      <c r="M28" s="55" t="s">
        <v>8</v>
      </c>
      <c r="N28" s="55" t="s">
        <v>544</v>
      </c>
      <c r="O28" s="55" t="s">
        <v>314</v>
      </c>
      <c r="P28" s="55" t="s">
        <v>673</v>
      </c>
      <c r="Q28" s="55" t="s">
        <v>77</v>
      </c>
      <c r="R28" s="55" t="s">
        <v>339</v>
      </c>
    </row>
    <row r="29" spans="1:18" x14ac:dyDescent="0.25">
      <c r="A29" s="55" t="s">
        <v>674</v>
      </c>
      <c r="B29" s="55" t="s">
        <v>518</v>
      </c>
      <c r="C29" s="55" t="s">
        <v>334</v>
      </c>
      <c r="D29" s="55" t="s">
        <v>674</v>
      </c>
      <c r="E29" s="63">
        <v>0</v>
      </c>
      <c r="F29" s="61">
        <v>43726</v>
      </c>
      <c r="G29" s="55" t="s">
        <v>548</v>
      </c>
      <c r="H29" s="55" t="s">
        <v>318</v>
      </c>
      <c r="I29" s="55" t="s">
        <v>336</v>
      </c>
      <c r="J29" s="60" t="s">
        <v>66</v>
      </c>
      <c r="K29" s="55">
        <v>-147</v>
      </c>
      <c r="L29" s="61" t="s">
        <v>320</v>
      </c>
      <c r="M29" s="55" t="s">
        <v>8</v>
      </c>
      <c r="N29" s="55" t="s">
        <v>544</v>
      </c>
      <c r="O29" s="55" t="s">
        <v>314</v>
      </c>
      <c r="P29" s="55" t="s">
        <v>675</v>
      </c>
      <c r="Q29" s="55" t="s">
        <v>77</v>
      </c>
      <c r="R29" s="55" t="s">
        <v>339</v>
      </c>
    </row>
    <row r="30" spans="1:18" x14ac:dyDescent="0.25">
      <c r="A30" s="55" t="s">
        <v>676</v>
      </c>
      <c r="B30" s="55" t="s">
        <v>518</v>
      </c>
      <c r="C30" s="55" t="s">
        <v>334</v>
      </c>
      <c r="D30" s="55" t="s">
        <v>676</v>
      </c>
      <c r="E30" s="63">
        <v>0</v>
      </c>
      <c r="F30" s="61">
        <v>43726</v>
      </c>
      <c r="G30" s="55" t="s">
        <v>549</v>
      </c>
      <c r="H30" s="55" t="s">
        <v>318</v>
      </c>
      <c r="I30" s="55" t="s">
        <v>336</v>
      </c>
      <c r="J30" s="60" t="s">
        <v>66</v>
      </c>
      <c r="K30" s="55">
        <v>-10497.2</v>
      </c>
      <c r="L30" s="61" t="s">
        <v>320</v>
      </c>
      <c r="M30" s="55" t="s">
        <v>8</v>
      </c>
      <c r="N30" s="55" t="s">
        <v>544</v>
      </c>
      <c r="O30" s="55" t="s">
        <v>314</v>
      </c>
      <c r="P30" s="55" t="s">
        <v>677</v>
      </c>
      <c r="Q30" s="55" t="s">
        <v>77</v>
      </c>
      <c r="R30" s="55" t="s">
        <v>339</v>
      </c>
    </row>
    <row r="31" spans="1:18" x14ac:dyDescent="0.25">
      <c r="A31" s="55" t="s">
        <v>678</v>
      </c>
      <c r="B31" s="55" t="s">
        <v>518</v>
      </c>
      <c r="C31" s="55" t="s">
        <v>334</v>
      </c>
      <c r="D31" s="55" t="s">
        <v>678</v>
      </c>
      <c r="E31" s="63">
        <v>0</v>
      </c>
      <c r="F31" s="61">
        <v>43726</v>
      </c>
      <c r="G31" s="55" t="s">
        <v>550</v>
      </c>
      <c r="H31" s="55" t="s">
        <v>318</v>
      </c>
      <c r="I31" s="55" t="s">
        <v>336</v>
      </c>
      <c r="J31" s="60" t="s">
        <v>66</v>
      </c>
      <c r="K31" s="55">
        <v>-5017.3999999999996</v>
      </c>
      <c r="L31" s="61" t="s">
        <v>320</v>
      </c>
      <c r="M31" s="55" t="s">
        <v>8</v>
      </c>
      <c r="N31" s="55" t="s">
        <v>544</v>
      </c>
      <c r="O31" s="55" t="s">
        <v>314</v>
      </c>
      <c r="P31" s="55" t="s">
        <v>679</v>
      </c>
      <c r="Q31" s="55" t="s">
        <v>77</v>
      </c>
      <c r="R31" s="55" t="s">
        <v>339</v>
      </c>
    </row>
    <row r="32" spans="1:18" x14ac:dyDescent="0.25">
      <c r="A32" s="55" t="s">
        <v>680</v>
      </c>
      <c r="B32" s="55" t="s">
        <v>518</v>
      </c>
      <c r="C32" s="55" t="s">
        <v>334</v>
      </c>
      <c r="D32" s="55" t="s">
        <v>680</v>
      </c>
      <c r="E32" s="63">
        <v>0</v>
      </c>
      <c r="F32" s="61">
        <v>43726</v>
      </c>
      <c r="G32" s="55" t="s">
        <v>551</v>
      </c>
      <c r="H32" s="55" t="s">
        <v>318</v>
      </c>
      <c r="I32" s="55" t="s">
        <v>336</v>
      </c>
      <c r="J32" s="60" t="s">
        <v>66</v>
      </c>
      <c r="K32" s="55">
        <v>-5297.6</v>
      </c>
      <c r="L32" s="61" t="s">
        <v>320</v>
      </c>
      <c r="M32" s="55" t="s">
        <v>8</v>
      </c>
      <c r="N32" s="55" t="s">
        <v>544</v>
      </c>
      <c r="O32" s="55" t="s">
        <v>314</v>
      </c>
      <c r="P32" s="55" t="s">
        <v>681</v>
      </c>
      <c r="Q32" s="55" t="s">
        <v>77</v>
      </c>
      <c r="R32" s="55" t="s">
        <v>339</v>
      </c>
    </row>
    <row r="33" spans="1:18" x14ac:dyDescent="0.25">
      <c r="A33" s="55" t="s">
        <v>682</v>
      </c>
      <c r="B33" s="55" t="s">
        <v>518</v>
      </c>
      <c r="C33" s="55" t="s">
        <v>334</v>
      </c>
      <c r="D33" s="55" t="s">
        <v>682</v>
      </c>
      <c r="E33" s="63">
        <v>0</v>
      </c>
      <c r="F33" s="61">
        <v>43726</v>
      </c>
      <c r="G33" s="55" t="s">
        <v>552</v>
      </c>
      <c r="H33" s="55" t="s">
        <v>318</v>
      </c>
      <c r="I33" s="55" t="s">
        <v>336</v>
      </c>
      <c r="J33" s="60" t="s">
        <v>66</v>
      </c>
      <c r="K33" s="55">
        <v>-5577.8</v>
      </c>
      <c r="L33" s="61" t="s">
        <v>320</v>
      </c>
      <c r="M33" s="55" t="s">
        <v>8</v>
      </c>
      <c r="N33" s="55" t="s">
        <v>544</v>
      </c>
      <c r="O33" s="55" t="s">
        <v>314</v>
      </c>
      <c r="P33" s="55" t="s">
        <v>683</v>
      </c>
      <c r="Q33" s="55" t="s">
        <v>77</v>
      </c>
      <c r="R33" s="55" t="s">
        <v>339</v>
      </c>
    </row>
    <row r="34" spans="1:18" x14ac:dyDescent="0.25">
      <c r="A34" s="55" t="s">
        <v>684</v>
      </c>
      <c r="B34" s="55" t="s">
        <v>518</v>
      </c>
      <c r="C34" s="55" t="s">
        <v>334</v>
      </c>
      <c r="D34" s="55" t="s">
        <v>684</v>
      </c>
      <c r="E34" s="63">
        <v>0</v>
      </c>
      <c r="F34" s="61">
        <v>43726</v>
      </c>
      <c r="G34" s="55" t="s">
        <v>553</v>
      </c>
      <c r="H34" s="55" t="s">
        <v>318</v>
      </c>
      <c r="I34" s="55" t="s">
        <v>336</v>
      </c>
      <c r="J34" s="60" t="s">
        <v>66</v>
      </c>
      <c r="K34" s="55">
        <v>-5858</v>
      </c>
      <c r="L34" s="61" t="s">
        <v>320</v>
      </c>
      <c r="M34" s="55" t="s">
        <v>8</v>
      </c>
      <c r="N34" s="55" t="s">
        <v>544</v>
      </c>
      <c r="O34" s="55" t="s">
        <v>314</v>
      </c>
      <c r="P34" s="55" t="s">
        <v>685</v>
      </c>
      <c r="Q34" s="55" t="s">
        <v>77</v>
      </c>
      <c r="R34" s="55" t="s">
        <v>339</v>
      </c>
    </row>
    <row r="35" spans="1:18" x14ac:dyDescent="0.25">
      <c r="A35" s="55" t="s">
        <v>686</v>
      </c>
      <c r="B35" s="55" t="s">
        <v>518</v>
      </c>
      <c r="C35" s="55" t="s">
        <v>334</v>
      </c>
      <c r="D35" s="55" t="s">
        <v>686</v>
      </c>
      <c r="E35" s="63">
        <v>0</v>
      </c>
      <c r="F35" s="61">
        <v>43726</v>
      </c>
      <c r="G35" s="55" t="s">
        <v>554</v>
      </c>
      <c r="H35" s="55" t="s">
        <v>318</v>
      </c>
      <c r="I35" s="55" t="s">
        <v>336</v>
      </c>
      <c r="J35" s="60" t="s">
        <v>66</v>
      </c>
      <c r="K35" s="55">
        <v>-6138.2</v>
      </c>
      <c r="L35" s="61" t="s">
        <v>320</v>
      </c>
      <c r="M35" s="55" t="s">
        <v>8</v>
      </c>
      <c r="N35" s="55" t="s">
        <v>544</v>
      </c>
      <c r="O35" s="55" t="s">
        <v>314</v>
      </c>
      <c r="P35" s="55" t="s">
        <v>687</v>
      </c>
      <c r="Q35" s="55" t="s">
        <v>77</v>
      </c>
      <c r="R35" s="55" t="s">
        <v>339</v>
      </c>
    </row>
    <row r="36" spans="1:18" x14ac:dyDescent="0.25">
      <c r="A36" s="55" t="s">
        <v>688</v>
      </c>
      <c r="B36" s="55" t="s">
        <v>518</v>
      </c>
      <c r="C36" s="55" t="s">
        <v>334</v>
      </c>
      <c r="D36" s="55" t="s">
        <v>688</v>
      </c>
      <c r="E36" s="63">
        <v>0</v>
      </c>
      <c r="F36" s="61">
        <v>43726</v>
      </c>
      <c r="G36" s="55" t="s">
        <v>555</v>
      </c>
      <c r="H36" s="55" t="s">
        <v>318</v>
      </c>
      <c r="I36" s="55" t="s">
        <v>336</v>
      </c>
      <c r="J36" s="60" t="s">
        <v>66</v>
      </c>
      <c r="K36" s="55">
        <v>-6418.4</v>
      </c>
      <c r="L36" s="61" t="s">
        <v>320</v>
      </c>
      <c r="M36" s="55" t="s">
        <v>8</v>
      </c>
      <c r="N36" s="55" t="s">
        <v>544</v>
      </c>
      <c r="O36" s="55" t="s">
        <v>314</v>
      </c>
      <c r="P36" s="55" t="s">
        <v>689</v>
      </c>
      <c r="Q36" s="55" t="s">
        <v>77</v>
      </c>
      <c r="R36" s="55" t="s">
        <v>339</v>
      </c>
    </row>
    <row r="37" spans="1:18" x14ac:dyDescent="0.25">
      <c r="A37" s="55" t="s">
        <v>690</v>
      </c>
      <c r="B37" s="55" t="s">
        <v>518</v>
      </c>
      <c r="C37" s="55" t="s">
        <v>334</v>
      </c>
      <c r="D37" s="55" t="s">
        <v>690</v>
      </c>
      <c r="E37" s="63">
        <v>0</v>
      </c>
      <c r="F37" s="61">
        <v>43726</v>
      </c>
      <c r="G37" s="55" t="s">
        <v>556</v>
      </c>
      <c r="H37" s="55" t="s">
        <v>318</v>
      </c>
      <c r="I37" s="55" t="s">
        <v>336</v>
      </c>
      <c r="J37" s="60" t="s">
        <v>66</v>
      </c>
      <c r="K37" s="55">
        <v>-6698.6</v>
      </c>
      <c r="L37" s="61" t="s">
        <v>320</v>
      </c>
      <c r="M37" s="55" t="s">
        <v>8</v>
      </c>
      <c r="N37" s="55" t="s">
        <v>544</v>
      </c>
      <c r="O37" s="55" t="s">
        <v>314</v>
      </c>
      <c r="P37" s="55" t="s">
        <v>691</v>
      </c>
      <c r="Q37" s="55" t="s">
        <v>77</v>
      </c>
      <c r="R37" s="55" t="s">
        <v>339</v>
      </c>
    </row>
    <row r="38" spans="1:18" x14ac:dyDescent="0.25">
      <c r="A38" s="55" t="s">
        <v>692</v>
      </c>
      <c r="B38" s="55" t="s">
        <v>518</v>
      </c>
      <c r="C38" s="55" t="s">
        <v>334</v>
      </c>
      <c r="D38" s="55" t="s">
        <v>692</v>
      </c>
      <c r="E38" s="63">
        <v>0</v>
      </c>
      <c r="F38" s="61">
        <v>43726</v>
      </c>
      <c r="G38" s="55" t="s">
        <v>557</v>
      </c>
      <c r="H38" s="55" t="s">
        <v>318</v>
      </c>
      <c r="I38" s="55" t="s">
        <v>336</v>
      </c>
      <c r="J38" s="60" t="s">
        <v>66</v>
      </c>
      <c r="K38" s="55">
        <v>-6978.8</v>
      </c>
      <c r="L38" s="61" t="s">
        <v>320</v>
      </c>
      <c r="M38" s="55" t="s">
        <v>8</v>
      </c>
      <c r="N38" s="55" t="s">
        <v>544</v>
      </c>
      <c r="O38" s="55" t="s">
        <v>314</v>
      </c>
      <c r="P38" s="55" t="s">
        <v>693</v>
      </c>
      <c r="Q38" s="55" t="s">
        <v>77</v>
      </c>
      <c r="R38" s="55" t="s">
        <v>339</v>
      </c>
    </row>
    <row r="39" spans="1:18" x14ac:dyDescent="0.25">
      <c r="A39" s="55" t="s">
        <v>694</v>
      </c>
      <c r="B39" s="55" t="s">
        <v>518</v>
      </c>
      <c r="C39" s="55" t="s">
        <v>334</v>
      </c>
      <c r="D39" s="55" t="s">
        <v>694</v>
      </c>
      <c r="E39" s="63">
        <v>0</v>
      </c>
      <c r="F39" s="61">
        <v>43726</v>
      </c>
      <c r="G39" s="55" t="s">
        <v>558</v>
      </c>
      <c r="H39" s="55" t="s">
        <v>318</v>
      </c>
      <c r="I39" s="55" t="s">
        <v>336</v>
      </c>
      <c r="J39" s="60" t="s">
        <v>66</v>
      </c>
      <c r="K39" s="55">
        <v>-7259</v>
      </c>
      <c r="L39" s="61" t="s">
        <v>320</v>
      </c>
      <c r="M39" s="55" t="s">
        <v>8</v>
      </c>
      <c r="N39" s="55" t="s">
        <v>544</v>
      </c>
      <c r="O39" s="55" t="s">
        <v>314</v>
      </c>
      <c r="P39" s="55" t="s">
        <v>695</v>
      </c>
      <c r="Q39" s="55" t="s">
        <v>77</v>
      </c>
      <c r="R39" s="55" t="s">
        <v>339</v>
      </c>
    </row>
    <row r="40" spans="1:18" x14ac:dyDescent="0.25">
      <c r="A40" s="55" t="s">
        <v>696</v>
      </c>
      <c r="B40" s="55" t="s">
        <v>518</v>
      </c>
      <c r="C40" s="55" t="s">
        <v>334</v>
      </c>
      <c r="D40" s="55" t="s">
        <v>696</v>
      </c>
      <c r="E40" s="63">
        <v>0</v>
      </c>
      <c r="F40" s="61">
        <v>43726</v>
      </c>
      <c r="G40" s="55" t="s">
        <v>559</v>
      </c>
      <c r="H40" s="55" t="s">
        <v>318</v>
      </c>
      <c r="I40" s="55" t="s">
        <v>336</v>
      </c>
      <c r="J40" s="60" t="s">
        <v>66</v>
      </c>
      <c r="K40" s="55">
        <v>-7539.2</v>
      </c>
      <c r="L40" s="61" t="s">
        <v>320</v>
      </c>
      <c r="M40" s="55" t="s">
        <v>8</v>
      </c>
      <c r="N40" s="55" t="s">
        <v>544</v>
      </c>
      <c r="O40" s="55" t="s">
        <v>314</v>
      </c>
      <c r="P40" s="55" t="s">
        <v>697</v>
      </c>
      <c r="Q40" s="55" t="s">
        <v>77</v>
      </c>
      <c r="R40" s="55" t="s">
        <v>339</v>
      </c>
    </row>
    <row r="41" spans="1:18" x14ac:dyDescent="0.25">
      <c r="A41" s="55" t="s">
        <v>698</v>
      </c>
      <c r="B41" s="55" t="s">
        <v>518</v>
      </c>
      <c r="C41" s="55" t="s">
        <v>334</v>
      </c>
      <c r="D41" s="55" t="s">
        <v>698</v>
      </c>
      <c r="E41" s="63">
        <v>0</v>
      </c>
      <c r="F41" s="61">
        <v>43726</v>
      </c>
      <c r="G41" s="55" t="s">
        <v>560</v>
      </c>
      <c r="H41" s="55" t="s">
        <v>318</v>
      </c>
      <c r="I41" s="55" t="s">
        <v>336</v>
      </c>
      <c r="J41" s="60" t="s">
        <v>66</v>
      </c>
      <c r="K41" s="55">
        <v>-7819.4</v>
      </c>
      <c r="L41" s="61" t="s">
        <v>320</v>
      </c>
      <c r="M41" s="55" t="s">
        <v>8</v>
      </c>
      <c r="N41" s="55" t="s">
        <v>544</v>
      </c>
      <c r="O41" s="55" t="s">
        <v>314</v>
      </c>
      <c r="P41" s="55" t="s">
        <v>699</v>
      </c>
      <c r="Q41" s="55" t="s">
        <v>77</v>
      </c>
      <c r="R41" s="55" t="s">
        <v>339</v>
      </c>
    </row>
    <row r="42" spans="1:18" x14ac:dyDescent="0.25">
      <c r="A42" s="55" t="s">
        <v>700</v>
      </c>
      <c r="B42" s="55" t="s">
        <v>518</v>
      </c>
      <c r="C42" s="55" t="s">
        <v>334</v>
      </c>
      <c r="D42" s="55" t="s">
        <v>700</v>
      </c>
      <c r="E42" s="63">
        <v>0</v>
      </c>
      <c r="F42" s="61">
        <v>43726</v>
      </c>
      <c r="G42" s="55" t="s">
        <v>561</v>
      </c>
      <c r="H42" s="55" t="s">
        <v>318</v>
      </c>
      <c r="I42" s="55" t="s">
        <v>336</v>
      </c>
      <c r="J42" s="60" t="s">
        <v>66</v>
      </c>
      <c r="K42" s="55">
        <v>-8099.6</v>
      </c>
      <c r="L42" s="61" t="s">
        <v>320</v>
      </c>
      <c r="M42" s="55" t="s">
        <v>8</v>
      </c>
      <c r="N42" s="55" t="s">
        <v>544</v>
      </c>
      <c r="O42" s="55" t="s">
        <v>314</v>
      </c>
      <c r="P42" s="55" t="s">
        <v>701</v>
      </c>
      <c r="Q42" s="55" t="s">
        <v>77</v>
      </c>
      <c r="R42" s="55" t="s">
        <v>339</v>
      </c>
    </row>
    <row r="43" spans="1:18" x14ac:dyDescent="0.25">
      <c r="A43" s="55" t="s">
        <v>702</v>
      </c>
      <c r="B43" s="55" t="s">
        <v>518</v>
      </c>
      <c r="C43" s="55" t="s">
        <v>334</v>
      </c>
      <c r="D43" s="55" t="s">
        <v>702</v>
      </c>
      <c r="E43" s="63">
        <v>0</v>
      </c>
      <c r="F43" s="61">
        <v>43726</v>
      </c>
      <c r="G43" s="55" t="s">
        <v>562</v>
      </c>
      <c r="H43" s="55" t="s">
        <v>318</v>
      </c>
      <c r="I43" s="55" t="s">
        <v>336</v>
      </c>
      <c r="J43" s="60" t="s">
        <v>66</v>
      </c>
      <c r="K43" s="55">
        <v>-8379.7999999999993</v>
      </c>
      <c r="L43" s="61" t="s">
        <v>320</v>
      </c>
      <c r="M43" s="55" t="s">
        <v>8</v>
      </c>
      <c r="N43" s="55" t="s">
        <v>544</v>
      </c>
      <c r="O43" s="55" t="s">
        <v>314</v>
      </c>
      <c r="P43" s="55" t="s">
        <v>703</v>
      </c>
      <c r="Q43" s="55" t="s">
        <v>77</v>
      </c>
      <c r="R43" s="55" t="s">
        <v>339</v>
      </c>
    </row>
    <row r="44" spans="1:18" x14ac:dyDescent="0.25">
      <c r="A44" s="55" t="s">
        <v>704</v>
      </c>
      <c r="B44" s="55" t="s">
        <v>518</v>
      </c>
      <c r="C44" s="55" t="s">
        <v>334</v>
      </c>
      <c r="D44" s="55" t="s">
        <v>704</v>
      </c>
      <c r="E44" s="63">
        <v>0</v>
      </c>
      <c r="F44" s="61">
        <v>43726</v>
      </c>
      <c r="G44" s="55" t="s">
        <v>563</v>
      </c>
      <c r="H44" s="55" t="s">
        <v>318</v>
      </c>
      <c r="I44" s="55" t="s">
        <v>336</v>
      </c>
      <c r="J44" s="60" t="s">
        <v>66</v>
      </c>
      <c r="K44" s="55">
        <v>-8660</v>
      </c>
      <c r="L44" s="61" t="s">
        <v>320</v>
      </c>
      <c r="M44" s="55" t="s">
        <v>8</v>
      </c>
      <c r="N44" s="55" t="s">
        <v>544</v>
      </c>
      <c r="O44" s="55" t="s">
        <v>314</v>
      </c>
      <c r="P44" s="55" t="s">
        <v>705</v>
      </c>
      <c r="Q44" s="55" t="s">
        <v>77</v>
      </c>
      <c r="R44" s="55" t="s">
        <v>339</v>
      </c>
    </row>
    <row r="45" spans="1:18" x14ac:dyDescent="0.25">
      <c r="A45" s="55" t="s">
        <v>706</v>
      </c>
      <c r="B45" s="55" t="s">
        <v>518</v>
      </c>
      <c r="C45" s="55" t="s">
        <v>334</v>
      </c>
      <c r="D45" s="55" t="s">
        <v>706</v>
      </c>
      <c r="E45" s="63">
        <v>0</v>
      </c>
      <c r="F45" s="61">
        <v>43726</v>
      </c>
      <c r="G45" s="55" t="s">
        <v>564</v>
      </c>
      <c r="H45" s="55" t="s">
        <v>318</v>
      </c>
      <c r="I45" s="55" t="s">
        <v>336</v>
      </c>
      <c r="J45" s="60" t="s">
        <v>66</v>
      </c>
      <c r="K45" s="55">
        <v>-8940.2000000000007</v>
      </c>
      <c r="L45" s="61" t="s">
        <v>320</v>
      </c>
      <c r="M45" s="55" t="s">
        <v>8</v>
      </c>
      <c r="N45" s="55" t="s">
        <v>544</v>
      </c>
      <c r="O45" s="55" t="s">
        <v>314</v>
      </c>
      <c r="P45" s="55" t="s">
        <v>707</v>
      </c>
      <c r="Q45" s="55" t="s">
        <v>77</v>
      </c>
      <c r="R45" s="55" t="s">
        <v>339</v>
      </c>
    </row>
    <row r="46" spans="1:18" x14ac:dyDescent="0.25">
      <c r="A46" s="55" t="s">
        <v>708</v>
      </c>
      <c r="B46" s="55" t="s">
        <v>518</v>
      </c>
      <c r="C46" s="55" t="s">
        <v>334</v>
      </c>
      <c r="D46" s="55" t="s">
        <v>708</v>
      </c>
      <c r="E46" s="63">
        <v>0</v>
      </c>
      <c r="F46" s="61">
        <v>43726</v>
      </c>
      <c r="G46" s="55" t="s">
        <v>565</v>
      </c>
      <c r="H46" s="55" t="s">
        <v>318</v>
      </c>
      <c r="I46" s="55" t="s">
        <v>336</v>
      </c>
      <c r="J46" s="60" t="s">
        <v>66</v>
      </c>
      <c r="K46" s="55">
        <v>-9220.4</v>
      </c>
      <c r="L46" s="61" t="s">
        <v>320</v>
      </c>
      <c r="M46" s="55" t="s">
        <v>8</v>
      </c>
      <c r="N46" s="55" t="s">
        <v>544</v>
      </c>
      <c r="O46" s="55" t="s">
        <v>314</v>
      </c>
      <c r="P46" s="55" t="s">
        <v>709</v>
      </c>
      <c r="Q46" s="55" t="s">
        <v>77</v>
      </c>
      <c r="R46" s="55" t="s">
        <v>339</v>
      </c>
    </row>
    <row r="47" spans="1:18" x14ac:dyDescent="0.25">
      <c r="A47" s="55" t="s">
        <v>710</v>
      </c>
      <c r="B47" s="55" t="s">
        <v>518</v>
      </c>
      <c r="C47" s="55" t="s">
        <v>334</v>
      </c>
      <c r="D47" s="55" t="s">
        <v>710</v>
      </c>
      <c r="E47" s="63">
        <v>0</v>
      </c>
      <c r="F47" s="61">
        <v>43726</v>
      </c>
      <c r="G47" s="55" t="s">
        <v>566</v>
      </c>
      <c r="H47" s="55" t="s">
        <v>318</v>
      </c>
      <c r="I47" s="55" t="s">
        <v>336</v>
      </c>
      <c r="J47" s="60" t="s">
        <v>66</v>
      </c>
      <c r="K47" s="55">
        <v>-9500.6</v>
      </c>
      <c r="L47" s="61" t="s">
        <v>320</v>
      </c>
      <c r="M47" s="55" t="s">
        <v>8</v>
      </c>
      <c r="N47" s="55" t="s">
        <v>544</v>
      </c>
      <c r="O47" s="55" t="s">
        <v>314</v>
      </c>
      <c r="P47" s="55" t="s">
        <v>711</v>
      </c>
      <c r="Q47" s="55" t="s">
        <v>77</v>
      </c>
      <c r="R47" s="55" t="s">
        <v>339</v>
      </c>
    </row>
    <row r="48" spans="1:18" x14ac:dyDescent="0.25">
      <c r="A48" s="55" t="s">
        <v>712</v>
      </c>
      <c r="B48" s="55" t="s">
        <v>518</v>
      </c>
      <c r="C48" s="55" t="s">
        <v>334</v>
      </c>
      <c r="D48" s="55" t="s">
        <v>712</v>
      </c>
      <c r="E48" s="63">
        <v>0</v>
      </c>
      <c r="F48" s="61">
        <v>43726</v>
      </c>
      <c r="G48" s="55" t="s">
        <v>567</v>
      </c>
      <c r="H48" s="55" t="s">
        <v>318</v>
      </c>
      <c r="I48" s="55" t="s">
        <v>336</v>
      </c>
      <c r="J48" s="60" t="s">
        <v>66</v>
      </c>
      <c r="K48" s="55">
        <v>-9780.7999999999993</v>
      </c>
      <c r="L48" s="61" t="s">
        <v>320</v>
      </c>
      <c r="M48" s="55" t="s">
        <v>8</v>
      </c>
      <c r="N48" s="55" t="s">
        <v>544</v>
      </c>
      <c r="O48" s="55" t="s">
        <v>314</v>
      </c>
      <c r="P48" s="55" t="s">
        <v>713</v>
      </c>
      <c r="Q48" s="55" t="s">
        <v>77</v>
      </c>
      <c r="R48" s="55" t="s">
        <v>339</v>
      </c>
    </row>
    <row r="49" spans="1:18" x14ac:dyDescent="0.25">
      <c r="A49" s="55" t="s">
        <v>714</v>
      </c>
      <c r="B49" s="55" t="s">
        <v>518</v>
      </c>
      <c r="C49" s="55" t="s">
        <v>334</v>
      </c>
      <c r="D49" s="55" t="s">
        <v>714</v>
      </c>
      <c r="E49" s="63">
        <v>0</v>
      </c>
      <c r="F49" s="61">
        <v>43726</v>
      </c>
      <c r="G49" s="55" t="s">
        <v>568</v>
      </c>
      <c r="H49" s="55" t="s">
        <v>318</v>
      </c>
      <c r="I49" s="55" t="s">
        <v>336</v>
      </c>
      <c r="J49" s="60" t="s">
        <v>66</v>
      </c>
      <c r="K49" s="55">
        <v>-10061</v>
      </c>
      <c r="L49" s="61" t="s">
        <v>320</v>
      </c>
      <c r="M49" s="55" t="s">
        <v>8</v>
      </c>
      <c r="N49" s="55" t="s">
        <v>544</v>
      </c>
      <c r="O49" s="55" t="s">
        <v>314</v>
      </c>
      <c r="P49" s="55" t="s">
        <v>715</v>
      </c>
      <c r="Q49" s="55" t="s">
        <v>77</v>
      </c>
      <c r="R49" s="55" t="s">
        <v>339</v>
      </c>
    </row>
    <row r="50" spans="1:18" x14ac:dyDescent="0.25">
      <c r="A50" s="55" t="s">
        <v>716</v>
      </c>
      <c r="B50" s="55" t="s">
        <v>569</v>
      </c>
      <c r="C50" s="55" t="s">
        <v>357</v>
      </c>
      <c r="D50" s="55" t="s">
        <v>716</v>
      </c>
      <c r="E50" s="63">
        <v>0</v>
      </c>
      <c r="F50" s="61">
        <v>43726</v>
      </c>
      <c r="G50" s="55" t="s">
        <v>570</v>
      </c>
      <c r="H50" s="55" t="s">
        <v>318</v>
      </c>
      <c r="I50" s="55" t="s">
        <v>359</v>
      </c>
      <c r="J50" s="60" t="s">
        <v>56</v>
      </c>
      <c r="K50" s="55">
        <v>40000</v>
      </c>
      <c r="L50" s="61" t="s">
        <v>322</v>
      </c>
      <c r="M50" s="55" t="s">
        <v>8</v>
      </c>
      <c r="N50" s="55" t="s">
        <v>511</v>
      </c>
      <c r="O50" s="55" t="s">
        <v>314</v>
      </c>
      <c r="P50" s="55" t="s">
        <v>717</v>
      </c>
      <c r="Q50" s="55" t="s">
        <v>77</v>
      </c>
      <c r="R50" s="55" t="s">
        <v>395</v>
      </c>
    </row>
    <row r="51" spans="1:18" x14ac:dyDescent="0.25">
      <c r="A51" s="55" t="s">
        <v>718</v>
      </c>
      <c r="B51" s="55" t="s">
        <v>569</v>
      </c>
      <c r="C51" s="55" t="s">
        <v>357</v>
      </c>
      <c r="D51" s="55" t="s">
        <v>718</v>
      </c>
      <c r="E51" s="63">
        <v>0</v>
      </c>
      <c r="F51" s="61">
        <v>43726</v>
      </c>
      <c r="G51" s="55" t="s">
        <v>571</v>
      </c>
      <c r="H51" s="55" t="s">
        <v>318</v>
      </c>
      <c r="I51" s="55" t="s">
        <v>359</v>
      </c>
      <c r="J51" s="60" t="s">
        <v>56</v>
      </c>
      <c r="K51" s="55">
        <v>25000</v>
      </c>
      <c r="L51" s="61" t="s">
        <v>322</v>
      </c>
      <c r="M51" s="55" t="s">
        <v>8</v>
      </c>
      <c r="N51" s="55" t="s">
        <v>513</v>
      </c>
      <c r="O51" s="55" t="s">
        <v>314</v>
      </c>
      <c r="P51" s="55" t="s">
        <v>719</v>
      </c>
      <c r="Q51" s="55" t="s">
        <v>77</v>
      </c>
      <c r="R51" s="55" t="s">
        <v>395</v>
      </c>
    </row>
    <row r="52" spans="1:18" x14ac:dyDescent="0.25">
      <c r="A52" s="55" t="s">
        <v>720</v>
      </c>
      <c r="B52" s="55" t="s">
        <v>569</v>
      </c>
      <c r="C52" s="55" t="s">
        <v>357</v>
      </c>
      <c r="D52" s="55" t="s">
        <v>720</v>
      </c>
      <c r="E52" s="63">
        <v>0</v>
      </c>
      <c r="F52" s="61">
        <v>43726</v>
      </c>
      <c r="G52" s="55" t="s">
        <v>572</v>
      </c>
      <c r="H52" s="55" t="s">
        <v>318</v>
      </c>
      <c r="I52" s="55" t="s">
        <v>359</v>
      </c>
      <c r="J52" s="60" t="s">
        <v>56</v>
      </c>
      <c r="K52" s="55">
        <v>75000</v>
      </c>
      <c r="L52" s="61" t="s">
        <v>322</v>
      </c>
      <c r="M52" s="55" t="s">
        <v>8</v>
      </c>
      <c r="N52" s="55" t="s">
        <v>515</v>
      </c>
      <c r="O52" s="55" t="s">
        <v>314</v>
      </c>
      <c r="P52" s="55" t="s">
        <v>721</v>
      </c>
      <c r="Q52" s="55" t="s">
        <v>77</v>
      </c>
      <c r="R52" s="55" t="s">
        <v>395</v>
      </c>
    </row>
    <row r="53" spans="1:18" x14ac:dyDescent="0.25">
      <c r="A53" s="55" t="s">
        <v>722</v>
      </c>
      <c r="B53" s="55" t="s">
        <v>569</v>
      </c>
      <c r="C53" s="55" t="s">
        <v>357</v>
      </c>
      <c r="D53" s="55" t="s">
        <v>722</v>
      </c>
      <c r="E53" s="63">
        <v>0</v>
      </c>
      <c r="F53" s="61">
        <v>43726</v>
      </c>
      <c r="G53" s="55" t="s">
        <v>573</v>
      </c>
      <c r="H53" s="55" t="s">
        <v>318</v>
      </c>
      <c r="I53" s="55" t="s">
        <v>359</v>
      </c>
      <c r="J53" s="60" t="s">
        <v>56</v>
      </c>
      <c r="K53" s="55">
        <v>40000</v>
      </c>
      <c r="L53" s="61" t="s">
        <v>322</v>
      </c>
      <c r="M53" s="55" t="s">
        <v>8</v>
      </c>
      <c r="N53" s="55" t="s">
        <v>515</v>
      </c>
      <c r="O53" s="55" t="s">
        <v>314</v>
      </c>
      <c r="P53" s="55" t="s">
        <v>723</v>
      </c>
      <c r="Q53" s="55" t="s">
        <v>77</v>
      </c>
      <c r="R53" s="55" t="s">
        <v>395</v>
      </c>
    </row>
    <row r="54" spans="1:18" x14ac:dyDescent="0.25">
      <c r="A54" s="55" t="s">
        <v>724</v>
      </c>
      <c r="B54" s="55" t="s">
        <v>569</v>
      </c>
      <c r="C54" s="55" t="s">
        <v>357</v>
      </c>
      <c r="D54" s="55" t="s">
        <v>724</v>
      </c>
      <c r="E54" s="63">
        <v>0</v>
      </c>
      <c r="F54" s="61">
        <v>43726</v>
      </c>
      <c r="G54" s="55" t="s">
        <v>574</v>
      </c>
      <c r="H54" s="55" t="s">
        <v>318</v>
      </c>
      <c r="I54" s="55" t="s">
        <v>359</v>
      </c>
      <c r="J54" s="60" t="s">
        <v>56</v>
      </c>
      <c r="K54" s="55">
        <v>10000</v>
      </c>
      <c r="L54" s="61" t="s">
        <v>322</v>
      </c>
      <c r="M54" s="55" t="s">
        <v>8</v>
      </c>
      <c r="N54" s="55" t="s">
        <v>515</v>
      </c>
      <c r="O54" s="55" t="s">
        <v>314</v>
      </c>
      <c r="P54" s="55" t="s">
        <v>725</v>
      </c>
      <c r="Q54" s="55" t="s">
        <v>77</v>
      </c>
      <c r="R54" s="55" t="s">
        <v>395</v>
      </c>
    </row>
    <row r="55" spans="1:18" x14ac:dyDescent="0.25">
      <c r="A55" s="55" t="s">
        <v>726</v>
      </c>
      <c r="B55" s="55" t="s">
        <v>575</v>
      </c>
      <c r="C55" s="55" t="s">
        <v>334</v>
      </c>
      <c r="D55" s="55" t="s">
        <v>726</v>
      </c>
      <c r="E55" s="63">
        <v>0</v>
      </c>
      <c r="F55" s="61">
        <v>43726</v>
      </c>
      <c r="G55" s="55" t="s">
        <v>576</v>
      </c>
      <c r="H55" s="55" t="s">
        <v>318</v>
      </c>
      <c r="I55" s="55" t="s">
        <v>336</v>
      </c>
      <c r="J55" s="60" t="s">
        <v>66</v>
      </c>
      <c r="K55" s="55">
        <v>-152</v>
      </c>
      <c r="L55" s="61" t="s">
        <v>321</v>
      </c>
      <c r="M55" s="55" t="s">
        <v>8</v>
      </c>
      <c r="N55" s="55" t="s">
        <v>577</v>
      </c>
      <c r="O55" s="55" t="s">
        <v>314</v>
      </c>
      <c r="P55" s="55" t="s">
        <v>727</v>
      </c>
      <c r="Q55" s="55" t="s">
        <v>77</v>
      </c>
      <c r="R55" s="55" t="s">
        <v>395</v>
      </c>
    </row>
    <row r="56" spans="1:18" x14ac:dyDescent="0.25">
      <c r="A56" s="55" t="s">
        <v>728</v>
      </c>
      <c r="B56" s="55" t="s">
        <v>575</v>
      </c>
      <c r="C56" s="55" t="s">
        <v>334</v>
      </c>
      <c r="D56" s="55" t="s">
        <v>728</v>
      </c>
      <c r="E56" s="63">
        <v>0</v>
      </c>
      <c r="F56" s="61">
        <v>43726</v>
      </c>
      <c r="G56" s="55" t="s">
        <v>578</v>
      </c>
      <c r="H56" s="55" t="s">
        <v>318</v>
      </c>
      <c r="I56" s="55" t="s">
        <v>336</v>
      </c>
      <c r="J56" s="60" t="s">
        <v>66</v>
      </c>
      <c r="K56" s="55">
        <v>-278</v>
      </c>
      <c r="L56" s="61" t="s">
        <v>321</v>
      </c>
      <c r="M56" s="55" t="s">
        <v>8</v>
      </c>
      <c r="N56" s="55" t="s">
        <v>577</v>
      </c>
      <c r="O56" s="55" t="s">
        <v>314</v>
      </c>
      <c r="P56" s="55" t="s">
        <v>729</v>
      </c>
      <c r="Q56" s="55" t="s">
        <v>77</v>
      </c>
      <c r="R56" s="55" t="s">
        <v>395</v>
      </c>
    </row>
    <row r="57" spans="1:18" x14ac:dyDescent="0.25">
      <c r="A57" s="55" t="s">
        <v>730</v>
      </c>
      <c r="B57" s="55" t="s">
        <v>575</v>
      </c>
      <c r="C57" s="55" t="s">
        <v>334</v>
      </c>
      <c r="D57" s="55" t="s">
        <v>730</v>
      </c>
      <c r="E57" s="63">
        <v>0</v>
      </c>
      <c r="F57" s="61">
        <v>43726</v>
      </c>
      <c r="G57" s="55" t="s">
        <v>579</v>
      </c>
      <c r="H57" s="55" t="s">
        <v>318</v>
      </c>
      <c r="I57" s="55" t="s">
        <v>336</v>
      </c>
      <c r="J57" s="60" t="s">
        <v>66</v>
      </c>
      <c r="K57" s="55">
        <v>-7996</v>
      </c>
      <c r="L57" s="61" t="s">
        <v>321</v>
      </c>
      <c r="M57" s="55" t="s">
        <v>8</v>
      </c>
      <c r="N57" s="55" t="s">
        <v>577</v>
      </c>
      <c r="O57" s="55" t="s">
        <v>314</v>
      </c>
      <c r="P57" s="55" t="s">
        <v>731</v>
      </c>
      <c r="Q57" s="55" t="s">
        <v>77</v>
      </c>
      <c r="R57" s="55" t="s">
        <v>395</v>
      </c>
    </row>
    <row r="58" spans="1:18" x14ac:dyDescent="0.25">
      <c r="A58" s="55" t="s">
        <v>732</v>
      </c>
      <c r="B58" s="55" t="s">
        <v>569</v>
      </c>
      <c r="C58" s="55" t="s">
        <v>357</v>
      </c>
      <c r="D58" s="55" t="s">
        <v>732</v>
      </c>
      <c r="E58" s="63">
        <v>0</v>
      </c>
      <c r="F58" s="61">
        <v>43726</v>
      </c>
      <c r="G58" s="55" t="s">
        <v>580</v>
      </c>
      <c r="H58" s="55" t="s">
        <v>318</v>
      </c>
      <c r="I58" s="55" t="s">
        <v>359</v>
      </c>
      <c r="J58" s="60" t="s">
        <v>56</v>
      </c>
      <c r="K58" s="55">
        <v>15000</v>
      </c>
      <c r="L58" s="61" t="s">
        <v>322</v>
      </c>
      <c r="M58" s="55" t="s">
        <v>8</v>
      </c>
      <c r="N58" s="55" t="s">
        <v>524</v>
      </c>
      <c r="O58" s="55" t="s">
        <v>314</v>
      </c>
      <c r="P58" s="55" t="s">
        <v>733</v>
      </c>
      <c r="Q58" s="55" t="s">
        <v>77</v>
      </c>
      <c r="R58" s="55" t="s">
        <v>395</v>
      </c>
    </row>
    <row r="59" spans="1:18" x14ac:dyDescent="0.25">
      <c r="A59" s="55" t="s">
        <v>734</v>
      </c>
      <c r="B59" s="55" t="s">
        <v>575</v>
      </c>
      <c r="C59" s="55" t="s">
        <v>334</v>
      </c>
      <c r="D59" s="55" t="s">
        <v>734</v>
      </c>
      <c r="E59" s="63">
        <v>0</v>
      </c>
      <c r="F59" s="61">
        <v>43726</v>
      </c>
      <c r="G59" s="55" t="s">
        <v>581</v>
      </c>
      <c r="H59" s="55" t="s">
        <v>318</v>
      </c>
      <c r="I59" s="55" t="s">
        <v>336</v>
      </c>
      <c r="J59" s="60" t="s">
        <v>66</v>
      </c>
      <c r="K59" s="55">
        <v>-2000</v>
      </c>
      <c r="L59" s="61" t="s">
        <v>321</v>
      </c>
      <c r="M59" s="55" t="s">
        <v>8</v>
      </c>
      <c r="N59" s="55" t="s">
        <v>577</v>
      </c>
      <c r="O59" s="55" t="s">
        <v>314</v>
      </c>
      <c r="P59" s="55" t="s">
        <v>735</v>
      </c>
      <c r="Q59" s="55" t="s">
        <v>77</v>
      </c>
      <c r="R59" s="55" t="s">
        <v>395</v>
      </c>
    </row>
    <row r="60" spans="1:18" x14ac:dyDescent="0.25">
      <c r="A60" s="55" t="s">
        <v>736</v>
      </c>
      <c r="B60" s="55" t="s">
        <v>569</v>
      </c>
      <c r="C60" s="55" t="s">
        <v>357</v>
      </c>
      <c r="D60" s="55" t="s">
        <v>736</v>
      </c>
      <c r="E60" s="63">
        <v>0</v>
      </c>
      <c r="F60" s="61">
        <v>43726</v>
      </c>
      <c r="G60" s="55" t="s">
        <v>582</v>
      </c>
      <c r="H60" s="55" t="s">
        <v>318</v>
      </c>
      <c r="I60" s="55" t="s">
        <v>359</v>
      </c>
      <c r="J60" s="60" t="s">
        <v>56</v>
      </c>
      <c r="K60" s="55">
        <v>20000</v>
      </c>
      <c r="L60" s="61" t="s">
        <v>322</v>
      </c>
      <c r="M60" s="55" t="s">
        <v>8</v>
      </c>
      <c r="N60" s="55" t="s">
        <v>528</v>
      </c>
      <c r="O60" s="55" t="s">
        <v>314</v>
      </c>
      <c r="P60" s="55" t="s">
        <v>737</v>
      </c>
      <c r="Q60" s="55" t="s">
        <v>77</v>
      </c>
      <c r="R60" s="55" t="s">
        <v>395</v>
      </c>
    </row>
    <row r="61" spans="1:18" x14ac:dyDescent="0.25">
      <c r="A61" s="55" t="s">
        <v>738</v>
      </c>
      <c r="B61" s="55" t="s">
        <v>569</v>
      </c>
      <c r="C61" s="55" t="s">
        <v>357</v>
      </c>
      <c r="D61" s="55" t="s">
        <v>738</v>
      </c>
      <c r="E61" s="63">
        <v>0</v>
      </c>
      <c r="F61" s="61">
        <v>43726</v>
      </c>
      <c r="G61" s="55" t="s">
        <v>583</v>
      </c>
      <c r="H61" s="55" t="s">
        <v>318</v>
      </c>
      <c r="I61" s="55" t="s">
        <v>359</v>
      </c>
      <c r="J61" s="60" t="s">
        <v>56</v>
      </c>
      <c r="K61" s="55">
        <v>15000</v>
      </c>
      <c r="L61" s="61" t="s">
        <v>322</v>
      </c>
      <c r="M61" s="55" t="s">
        <v>8</v>
      </c>
      <c r="N61" s="55" t="s">
        <v>528</v>
      </c>
      <c r="O61" s="55" t="s">
        <v>314</v>
      </c>
      <c r="P61" s="55" t="s">
        <v>739</v>
      </c>
      <c r="Q61" s="55" t="s">
        <v>77</v>
      </c>
      <c r="R61" s="55" t="s">
        <v>395</v>
      </c>
    </row>
    <row r="62" spans="1:18" x14ac:dyDescent="0.25">
      <c r="A62" s="55" t="s">
        <v>740</v>
      </c>
      <c r="B62" s="55" t="s">
        <v>575</v>
      </c>
      <c r="C62" s="55" t="s">
        <v>334</v>
      </c>
      <c r="D62" s="55" t="s">
        <v>740</v>
      </c>
      <c r="E62" s="63">
        <v>0</v>
      </c>
      <c r="F62" s="61">
        <v>43726</v>
      </c>
      <c r="G62" s="55" t="s">
        <v>584</v>
      </c>
      <c r="H62" s="55" t="s">
        <v>318</v>
      </c>
      <c r="I62" s="55" t="s">
        <v>336</v>
      </c>
      <c r="J62" s="60" t="s">
        <v>66</v>
      </c>
      <c r="K62" s="55">
        <v>-1542</v>
      </c>
      <c r="L62" s="61" t="s">
        <v>321</v>
      </c>
      <c r="M62" s="55" t="s">
        <v>8</v>
      </c>
      <c r="N62" s="55" t="s">
        <v>577</v>
      </c>
      <c r="O62" s="55" t="s">
        <v>314</v>
      </c>
      <c r="P62" s="55" t="s">
        <v>741</v>
      </c>
      <c r="Q62" s="55" t="s">
        <v>77</v>
      </c>
      <c r="R62" s="55" t="s">
        <v>395</v>
      </c>
    </row>
    <row r="63" spans="1:18" x14ac:dyDescent="0.25">
      <c r="A63" s="55" t="s">
        <v>742</v>
      </c>
      <c r="B63" s="55" t="s">
        <v>575</v>
      </c>
      <c r="C63" s="55" t="s">
        <v>334</v>
      </c>
      <c r="D63" s="55" t="s">
        <v>742</v>
      </c>
      <c r="E63" s="63">
        <v>0</v>
      </c>
      <c r="F63" s="61">
        <v>43726</v>
      </c>
      <c r="G63" s="55" t="s">
        <v>585</v>
      </c>
      <c r="H63" s="55" t="s">
        <v>318</v>
      </c>
      <c r="I63" s="55" t="s">
        <v>336</v>
      </c>
      <c r="J63" s="60" t="s">
        <v>66</v>
      </c>
      <c r="K63" s="55">
        <v>-3744.2</v>
      </c>
      <c r="L63" s="61" t="s">
        <v>321</v>
      </c>
      <c r="M63" s="55" t="s">
        <v>8</v>
      </c>
      <c r="N63" s="55" t="s">
        <v>577</v>
      </c>
      <c r="O63" s="55" t="s">
        <v>314</v>
      </c>
      <c r="P63" s="55" t="s">
        <v>743</v>
      </c>
      <c r="Q63" s="55" t="s">
        <v>77</v>
      </c>
      <c r="R63" s="55" t="s">
        <v>395</v>
      </c>
    </row>
    <row r="64" spans="1:18" x14ac:dyDescent="0.25">
      <c r="A64" s="55" t="s">
        <v>744</v>
      </c>
      <c r="B64" s="55" t="s">
        <v>575</v>
      </c>
      <c r="C64" s="55" t="s">
        <v>334</v>
      </c>
      <c r="D64" s="55" t="s">
        <v>744</v>
      </c>
      <c r="E64" s="63">
        <v>0</v>
      </c>
      <c r="F64" s="61">
        <v>43726</v>
      </c>
      <c r="G64" s="55" t="s">
        <v>586</v>
      </c>
      <c r="H64" s="55" t="s">
        <v>318</v>
      </c>
      <c r="I64" s="55" t="s">
        <v>336</v>
      </c>
      <c r="J64" s="60" t="s">
        <v>66</v>
      </c>
      <c r="K64" s="55">
        <v>-4194.3999999999996</v>
      </c>
      <c r="L64" s="61" t="s">
        <v>321</v>
      </c>
      <c r="M64" s="55" t="s">
        <v>8</v>
      </c>
      <c r="N64" s="55" t="s">
        <v>577</v>
      </c>
      <c r="O64" s="55" t="s">
        <v>314</v>
      </c>
      <c r="P64" s="55" t="s">
        <v>745</v>
      </c>
      <c r="Q64" s="55" t="s">
        <v>77</v>
      </c>
      <c r="R64" s="55" t="s">
        <v>395</v>
      </c>
    </row>
    <row r="65" spans="1:18" x14ac:dyDescent="0.25">
      <c r="A65" s="55" t="s">
        <v>746</v>
      </c>
      <c r="B65" s="55" t="s">
        <v>575</v>
      </c>
      <c r="C65" s="55" t="s">
        <v>334</v>
      </c>
      <c r="D65" s="55" t="s">
        <v>746</v>
      </c>
      <c r="E65" s="63">
        <v>0</v>
      </c>
      <c r="F65" s="61">
        <v>43726</v>
      </c>
      <c r="G65" s="55" t="s">
        <v>587</v>
      </c>
      <c r="H65" s="55" t="s">
        <v>318</v>
      </c>
      <c r="I65" s="55" t="s">
        <v>336</v>
      </c>
      <c r="J65" s="60" t="s">
        <v>66</v>
      </c>
      <c r="K65" s="55">
        <v>-4644.6000000000004</v>
      </c>
      <c r="L65" s="61" t="s">
        <v>321</v>
      </c>
      <c r="M65" s="55" t="s">
        <v>8</v>
      </c>
      <c r="N65" s="55" t="s">
        <v>577</v>
      </c>
      <c r="O65" s="55" t="s">
        <v>314</v>
      </c>
      <c r="P65" s="55" t="s">
        <v>747</v>
      </c>
      <c r="Q65" s="55" t="s">
        <v>77</v>
      </c>
      <c r="R65" s="55" t="s">
        <v>395</v>
      </c>
    </row>
    <row r="66" spans="1:18" x14ac:dyDescent="0.25">
      <c r="A66" s="55" t="s">
        <v>748</v>
      </c>
      <c r="B66" s="55" t="s">
        <v>575</v>
      </c>
      <c r="C66" s="55" t="s">
        <v>334</v>
      </c>
      <c r="D66" s="55" t="s">
        <v>748</v>
      </c>
      <c r="E66" s="63">
        <v>0</v>
      </c>
      <c r="F66" s="61">
        <v>43726</v>
      </c>
      <c r="G66" s="55" t="s">
        <v>588</v>
      </c>
      <c r="H66" s="55" t="s">
        <v>318</v>
      </c>
      <c r="I66" s="55" t="s">
        <v>336</v>
      </c>
      <c r="J66" s="60" t="s">
        <v>66</v>
      </c>
      <c r="K66" s="55">
        <v>-5094.8</v>
      </c>
      <c r="L66" s="61" t="s">
        <v>321</v>
      </c>
      <c r="M66" s="55" t="s">
        <v>8</v>
      </c>
      <c r="N66" s="55" t="s">
        <v>577</v>
      </c>
      <c r="O66" s="55" t="s">
        <v>314</v>
      </c>
      <c r="P66" s="55" t="s">
        <v>749</v>
      </c>
      <c r="Q66" s="55" t="s">
        <v>77</v>
      </c>
      <c r="R66" s="55" t="s">
        <v>395</v>
      </c>
    </row>
    <row r="67" spans="1:18" x14ac:dyDescent="0.25">
      <c r="A67" s="55" t="s">
        <v>750</v>
      </c>
      <c r="B67" s="55" t="s">
        <v>575</v>
      </c>
      <c r="C67" s="55" t="s">
        <v>334</v>
      </c>
      <c r="D67" s="55" t="s">
        <v>750</v>
      </c>
      <c r="E67" s="63">
        <v>0</v>
      </c>
      <c r="F67" s="61">
        <v>43726</v>
      </c>
      <c r="G67" s="55" t="s">
        <v>589</v>
      </c>
      <c r="H67" s="55" t="s">
        <v>318</v>
      </c>
      <c r="I67" s="55" t="s">
        <v>336</v>
      </c>
      <c r="J67" s="60" t="s">
        <v>66</v>
      </c>
      <c r="K67" s="55">
        <v>-5545</v>
      </c>
      <c r="L67" s="61" t="s">
        <v>321</v>
      </c>
      <c r="M67" s="55" t="s">
        <v>8</v>
      </c>
      <c r="N67" s="55" t="s">
        <v>577</v>
      </c>
      <c r="O67" s="55" t="s">
        <v>314</v>
      </c>
      <c r="P67" s="55" t="s">
        <v>751</v>
      </c>
      <c r="Q67" s="55" t="s">
        <v>77</v>
      </c>
      <c r="R67" s="55" t="s">
        <v>395</v>
      </c>
    </row>
    <row r="68" spans="1:18" x14ac:dyDescent="0.25">
      <c r="A68" s="55" t="s">
        <v>752</v>
      </c>
      <c r="B68" s="55" t="s">
        <v>575</v>
      </c>
      <c r="C68" s="55" t="s">
        <v>334</v>
      </c>
      <c r="D68" s="55" t="s">
        <v>752</v>
      </c>
      <c r="E68" s="63">
        <v>0</v>
      </c>
      <c r="F68" s="61">
        <v>43726</v>
      </c>
      <c r="G68" s="55" t="s">
        <v>590</v>
      </c>
      <c r="H68" s="55" t="s">
        <v>318</v>
      </c>
      <c r="I68" s="55" t="s">
        <v>336</v>
      </c>
      <c r="J68" s="60" t="s">
        <v>66</v>
      </c>
      <c r="K68" s="55">
        <v>-5995.2</v>
      </c>
      <c r="L68" s="61" t="s">
        <v>321</v>
      </c>
      <c r="M68" s="55" t="s">
        <v>8</v>
      </c>
      <c r="N68" s="55" t="s">
        <v>577</v>
      </c>
      <c r="O68" s="55" t="s">
        <v>314</v>
      </c>
      <c r="P68" s="55" t="s">
        <v>753</v>
      </c>
      <c r="Q68" s="55" t="s">
        <v>77</v>
      </c>
      <c r="R68" s="55" t="s">
        <v>395</v>
      </c>
    </row>
    <row r="69" spans="1:18" x14ac:dyDescent="0.25">
      <c r="A69" s="55" t="s">
        <v>754</v>
      </c>
      <c r="B69" s="55" t="s">
        <v>575</v>
      </c>
      <c r="C69" s="55" t="s">
        <v>334</v>
      </c>
      <c r="D69" s="55" t="s">
        <v>754</v>
      </c>
      <c r="E69" s="63">
        <v>0</v>
      </c>
      <c r="F69" s="61">
        <v>43726</v>
      </c>
      <c r="G69" s="55" t="s">
        <v>591</v>
      </c>
      <c r="H69" s="55" t="s">
        <v>318</v>
      </c>
      <c r="I69" s="55" t="s">
        <v>336</v>
      </c>
      <c r="J69" s="60" t="s">
        <v>66</v>
      </c>
      <c r="K69" s="55">
        <v>-6445.4</v>
      </c>
      <c r="L69" s="61" t="s">
        <v>321</v>
      </c>
      <c r="M69" s="55" t="s">
        <v>8</v>
      </c>
      <c r="N69" s="55" t="s">
        <v>577</v>
      </c>
      <c r="O69" s="55" t="s">
        <v>314</v>
      </c>
      <c r="P69" s="55" t="s">
        <v>755</v>
      </c>
      <c r="Q69" s="55" t="s">
        <v>77</v>
      </c>
      <c r="R69" s="55" t="s">
        <v>395</v>
      </c>
    </row>
    <row r="70" spans="1:18" x14ac:dyDescent="0.25">
      <c r="A70" s="55" t="s">
        <v>756</v>
      </c>
      <c r="B70" s="55" t="s">
        <v>575</v>
      </c>
      <c r="C70" s="55" t="s">
        <v>334</v>
      </c>
      <c r="D70" s="55" t="s">
        <v>756</v>
      </c>
      <c r="E70" s="63">
        <v>0</v>
      </c>
      <c r="F70" s="61">
        <v>43726</v>
      </c>
      <c r="G70" s="55" t="s">
        <v>592</v>
      </c>
      <c r="H70" s="55" t="s">
        <v>318</v>
      </c>
      <c r="I70" s="55" t="s">
        <v>336</v>
      </c>
      <c r="J70" s="60" t="s">
        <v>66</v>
      </c>
      <c r="K70" s="55">
        <v>-6895.6</v>
      </c>
      <c r="L70" s="61" t="s">
        <v>321</v>
      </c>
      <c r="M70" s="55" t="s">
        <v>8</v>
      </c>
      <c r="N70" s="55" t="s">
        <v>577</v>
      </c>
      <c r="O70" s="55" t="s">
        <v>314</v>
      </c>
      <c r="P70" s="55" t="s">
        <v>757</v>
      </c>
      <c r="Q70" s="55" t="s">
        <v>77</v>
      </c>
      <c r="R70" s="55" t="s">
        <v>395</v>
      </c>
    </row>
    <row r="71" spans="1:18" x14ac:dyDescent="0.25">
      <c r="A71" s="55" t="s">
        <v>758</v>
      </c>
      <c r="B71" s="55" t="s">
        <v>575</v>
      </c>
      <c r="C71" s="55" t="s">
        <v>334</v>
      </c>
      <c r="D71" s="55" t="s">
        <v>758</v>
      </c>
      <c r="E71" s="63">
        <v>0</v>
      </c>
      <c r="F71" s="61">
        <v>43726</v>
      </c>
      <c r="G71" s="55" t="s">
        <v>593</v>
      </c>
      <c r="H71" s="55" t="s">
        <v>318</v>
      </c>
      <c r="I71" s="55" t="s">
        <v>336</v>
      </c>
      <c r="J71" s="60" t="s">
        <v>66</v>
      </c>
      <c r="K71" s="55">
        <v>-7345.8</v>
      </c>
      <c r="L71" s="61" t="s">
        <v>321</v>
      </c>
      <c r="M71" s="55" t="s">
        <v>8</v>
      </c>
      <c r="N71" s="55" t="s">
        <v>577</v>
      </c>
      <c r="O71" s="55" t="s">
        <v>314</v>
      </c>
      <c r="P71" s="55" t="s">
        <v>759</v>
      </c>
      <c r="Q71" s="55" t="s">
        <v>77</v>
      </c>
      <c r="R71" s="55" t="s">
        <v>395</v>
      </c>
    </row>
    <row r="72" spans="1:18" x14ac:dyDescent="0.25">
      <c r="A72" s="55" t="s">
        <v>760</v>
      </c>
      <c r="B72" s="55" t="s">
        <v>575</v>
      </c>
      <c r="C72" s="55" t="s">
        <v>334</v>
      </c>
      <c r="D72" s="55" t="s">
        <v>760</v>
      </c>
      <c r="E72" s="63">
        <v>0</v>
      </c>
      <c r="F72" s="61">
        <v>43726</v>
      </c>
      <c r="G72" s="55" t="s">
        <v>594</v>
      </c>
      <c r="H72" s="55" t="s">
        <v>318</v>
      </c>
      <c r="I72" s="55" t="s">
        <v>336</v>
      </c>
      <c r="J72" s="60" t="s">
        <v>66</v>
      </c>
      <c r="K72" s="55">
        <v>-7796</v>
      </c>
      <c r="L72" s="61" t="s">
        <v>321</v>
      </c>
      <c r="M72" s="55" t="s">
        <v>8</v>
      </c>
      <c r="N72" s="55" t="s">
        <v>542</v>
      </c>
      <c r="O72" s="55" t="s">
        <v>314</v>
      </c>
      <c r="P72" s="55" t="s">
        <v>761</v>
      </c>
      <c r="Q72" s="55" t="s">
        <v>77</v>
      </c>
      <c r="R72" s="55" t="s">
        <v>395</v>
      </c>
    </row>
    <row r="73" spans="1:18" x14ac:dyDescent="0.25">
      <c r="A73" s="55" t="s">
        <v>762</v>
      </c>
      <c r="B73" s="55" t="s">
        <v>575</v>
      </c>
      <c r="C73" s="55" t="s">
        <v>334</v>
      </c>
      <c r="D73" s="55" t="s">
        <v>762</v>
      </c>
      <c r="E73" s="63">
        <v>0</v>
      </c>
      <c r="F73" s="61">
        <v>43726</v>
      </c>
      <c r="G73" s="55" t="s">
        <v>595</v>
      </c>
      <c r="H73" s="55" t="s">
        <v>318</v>
      </c>
      <c r="I73" s="55" t="s">
        <v>336</v>
      </c>
      <c r="J73" s="60" t="s">
        <v>66</v>
      </c>
      <c r="K73" s="55">
        <v>-8246.2000000000007</v>
      </c>
      <c r="L73" s="61" t="s">
        <v>321</v>
      </c>
      <c r="M73" s="55" t="s">
        <v>8</v>
      </c>
      <c r="N73" s="55" t="s">
        <v>544</v>
      </c>
      <c r="O73" s="55" t="s">
        <v>314</v>
      </c>
      <c r="P73" s="55" t="s">
        <v>763</v>
      </c>
      <c r="Q73" s="55" t="s">
        <v>77</v>
      </c>
      <c r="R73" s="55" t="s">
        <v>395</v>
      </c>
    </row>
    <row r="74" spans="1:18" x14ac:dyDescent="0.25">
      <c r="A74" s="55" t="s">
        <v>764</v>
      </c>
      <c r="B74" s="55" t="s">
        <v>575</v>
      </c>
      <c r="C74" s="55" t="s">
        <v>334</v>
      </c>
      <c r="D74" s="55" t="s">
        <v>764</v>
      </c>
      <c r="E74" s="63">
        <v>0</v>
      </c>
      <c r="F74" s="61">
        <v>43726</v>
      </c>
      <c r="G74" s="55" t="s">
        <v>596</v>
      </c>
      <c r="H74" s="55" t="s">
        <v>318</v>
      </c>
      <c r="I74" s="55" t="s">
        <v>336</v>
      </c>
      <c r="J74" s="60" t="s">
        <v>66</v>
      </c>
      <c r="K74" s="55">
        <v>-8696.4</v>
      </c>
      <c r="L74" s="61" t="s">
        <v>321</v>
      </c>
      <c r="M74" s="55" t="s">
        <v>8</v>
      </c>
      <c r="N74" s="55" t="s">
        <v>544</v>
      </c>
      <c r="O74" s="55" t="s">
        <v>314</v>
      </c>
      <c r="P74" s="55" t="s">
        <v>765</v>
      </c>
      <c r="Q74" s="55" t="s">
        <v>77</v>
      </c>
      <c r="R74" s="55" t="s">
        <v>395</v>
      </c>
    </row>
    <row r="75" spans="1:18" x14ac:dyDescent="0.25">
      <c r="A75" s="55" t="s">
        <v>766</v>
      </c>
      <c r="B75" s="55" t="s">
        <v>575</v>
      </c>
      <c r="C75" s="55" t="s">
        <v>334</v>
      </c>
      <c r="D75" s="55" t="s">
        <v>766</v>
      </c>
      <c r="E75" s="63">
        <v>0</v>
      </c>
      <c r="F75" s="61">
        <v>43726</v>
      </c>
      <c r="G75" s="55" t="s">
        <v>597</v>
      </c>
      <c r="H75" s="55" t="s">
        <v>318</v>
      </c>
      <c r="I75" s="55" t="s">
        <v>336</v>
      </c>
      <c r="J75" s="60" t="s">
        <v>66</v>
      </c>
      <c r="K75" s="55">
        <v>-946.6</v>
      </c>
      <c r="L75" s="61" t="s">
        <v>321</v>
      </c>
      <c r="M75" s="55" t="s">
        <v>8</v>
      </c>
      <c r="N75" s="55" t="s">
        <v>544</v>
      </c>
      <c r="O75" s="55" t="s">
        <v>314</v>
      </c>
      <c r="P75" s="55" t="s">
        <v>767</v>
      </c>
      <c r="Q75" s="55" t="s">
        <v>77</v>
      </c>
      <c r="R75" s="55" t="s">
        <v>395</v>
      </c>
    </row>
    <row r="76" spans="1:18" x14ac:dyDescent="0.25">
      <c r="A76" s="55" t="s">
        <v>768</v>
      </c>
      <c r="B76" s="55" t="s">
        <v>575</v>
      </c>
      <c r="C76" s="55" t="s">
        <v>334</v>
      </c>
      <c r="D76" s="55" t="s">
        <v>768</v>
      </c>
      <c r="E76" s="63">
        <v>0</v>
      </c>
      <c r="F76" s="61">
        <v>43726</v>
      </c>
      <c r="G76" s="55" t="s">
        <v>598</v>
      </c>
      <c r="H76" s="55" t="s">
        <v>318</v>
      </c>
      <c r="I76" s="55" t="s">
        <v>336</v>
      </c>
      <c r="J76" s="60" t="s">
        <v>66</v>
      </c>
      <c r="K76" s="55">
        <v>-596.79999999999995</v>
      </c>
      <c r="L76" s="61" t="s">
        <v>321</v>
      </c>
      <c r="M76" s="55" t="s">
        <v>8</v>
      </c>
      <c r="N76" s="55" t="s">
        <v>544</v>
      </c>
      <c r="O76" s="55" t="s">
        <v>314</v>
      </c>
      <c r="P76" s="55" t="s">
        <v>769</v>
      </c>
      <c r="Q76" s="55" t="s">
        <v>77</v>
      </c>
      <c r="R76" s="55" t="s">
        <v>395</v>
      </c>
    </row>
    <row r="77" spans="1:18" x14ac:dyDescent="0.25">
      <c r="A77" s="55" t="s">
        <v>770</v>
      </c>
      <c r="B77" s="55" t="s">
        <v>575</v>
      </c>
      <c r="C77" s="55" t="s">
        <v>334</v>
      </c>
      <c r="D77" s="55" t="s">
        <v>770</v>
      </c>
      <c r="E77" s="63">
        <v>0</v>
      </c>
      <c r="F77" s="61">
        <v>43726</v>
      </c>
      <c r="G77" s="55" t="s">
        <v>599</v>
      </c>
      <c r="H77" s="55" t="s">
        <v>318</v>
      </c>
      <c r="I77" s="55" t="s">
        <v>336</v>
      </c>
      <c r="J77" s="60" t="s">
        <v>66</v>
      </c>
      <c r="K77" s="55">
        <v>-147</v>
      </c>
      <c r="L77" s="61" t="s">
        <v>321</v>
      </c>
      <c r="M77" s="55" t="s">
        <v>8</v>
      </c>
      <c r="N77" s="55" t="s">
        <v>544</v>
      </c>
      <c r="O77" s="55" t="s">
        <v>314</v>
      </c>
      <c r="P77" s="55" t="s">
        <v>771</v>
      </c>
      <c r="Q77" s="55" t="s">
        <v>77</v>
      </c>
      <c r="R77" s="55" t="s">
        <v>395</v>
      </c>
    </row>
    <row r="78" spans="1:18" x14ac:dyDescent="0.25">
      <c r="A78" s="55" t="s">
        <v>772</v>
      </c>
      <c r="B78" s="55" t="s">
        <v>575</v>
      </c>
      <c r="C78" s="55" t="s">
        <v>334</v>
      </c>
      <c r="D78" s="55" t="s">
        <v>772</v>
      </c>
      <c r="E78" s="63">
        <v>0</v>
      </c>
      <c r="F78" s="61">
        <v>43726</v>
      </c>
      <c r="G78" s="55" t="s">
        <v>600</v>
      </c>
      <c r="H78" s="55" t="s">
        <v>318</v>
      </c>
      <c r="I78" s="55" t="s">
        <v>336</v>
      </c>
      <c r="J78" s="60" t="s">
        <v>66</v>
      </c>
      <c r="K78" s="55">
        <v>-10497.2</v>
      </c>
      <c r="L78" s="61" t="s">
        <v>321</v>
      </c>
      <c r="M78" s="55" t="s">
        <v>8</v>
      </c>
      <c r="N78" s="55" t="s">
        <v>544</v>
      </c>
      <c r="O78" s="55" t="s">
        <v>314</v>
      </c>
      <c r="P78" s="55" t="s">
        <v>773</v>
      </c>
      <c r="Q78" s="55" t="s">
        <v>77</v>
      </c>
      <c r="R78" s="55" t="s">
        <v>395</v>
      </c>
    </row>
    <row r="79" spans="1:18" x14ac:dyDescent="0.25">
      <c r="A79" s="55" t="s">
        <v>774</v>
      </c>
      <c r="B79" s="55" t="s">
        <v>575</v>
      </c>
      <c r="C79" s="55" t="s">
        <v>334</v>
      </c>
      <c r="D79" s="55" t="s">
        <v>774</v>
      </c>
      <c r="E79" s="63">
        <v>0</v>
      </c>
      <c r="F79" s="61">
        <v>43726</v>
      </c>
      <c r="G79" s="55" t="s">
        <v>601</v>
      </c>
      <c r="H79" s="55" t="s">
        <v>318</v>
      </c>
      <c r="I79" s="55" t="s">
        <v>336</v>
      </c>
      <c r="J79" s="60" t="s">
        <v>66</v>
      </c>
      <c r="K79" s="55">
        <v>-5017.3999999999996</v>
      </c>
      <c r="L79" s="61" t="s">
        <v>321</v>
      </c>
      <c r="M79" s="55" t="s">
        <v>8</v>
      </c>
      <c r="N79" s="55" t="s">
        <v>544</v>
      </c>
      <c r="O79" s="55" t="s">
        <v>314</v>
      </c>
      <c r="P79" s="55" t="s">
        <v>775</v>
      </c>
      <c r="Q79" s="55" t="s">
        <v>77</v>
      </c>
      <c r="R79" s="55" t="s">
        <v>395</v>
      </c>
    </row>
    <row r="80" spans="1:18" x14ac:dyDescent="0.25">
      <c r="A80" s="55" t="s">
        <v>776</v>
      </c>
      <c r="B80" s="55" t="s">
        <v>575</v>
      </c>
      <c r="C80" s="55" t="s">
        <v>334</v>
      </c>
      <c r="D80" s="55" t="s">
        <v>776</v>
      </c>
      <c r="E80" s="63">
        <v>0</v>
      </c>
      <c r="F80" s="61">
        <v>43726</v>
      </c>
      <c r="G80" s="55" t="s">
        <v>602</v>
      </c>
      <c r="H80" s="55" t="s">
        <v>318</v>
      </c>
      <c r="I80" s="55" t="s">
        <v>336</v>
      </c>
      <c r="J80" s="60" t="s">
        <v>66</v>
      </c>
      <c r="K80" s="55">
        <v>-5297.6</v>
      </c>
      <c r="L80" s="61" t="s">
        <v>321</v>
      </c>
      <c r="M80" s="55" t="s">
        <v>8</v>
      </c>
      <c r="N80" s="55" t="s">
        <v>544</v>
      </c>
      <c r="O80" s="55" t="s">
        <v>314</v>
      </c>
      <c r="P80" s="55" t="s">
        <v>777</v>
      </c>
      <c r="Q80" s="55" t="s">
        <v>77</v>
      </c>
      <c r="R80" s="55" t="s">
        <v>395</v>
      </c>
    </row>
    <row r="81" spans="1:18" x14ac:dyDescent="0.25">
      <c r="A81" s="55" t="s">
        <v>778</v>
      </c>
      <c r="B81" s="55" t="s">
        <v>575</v>
      </c>
      <c r="C81" s="55" t="s">
        <v>334</v>
      </c>
      <c r="D81" s="55" t="s">
        <v>778</v>
      </c>
      <c r="E81" s="63">
        <v>0</v>
      </c>
      <c r="F81" s="61">
        <v>43726</v>
      </c>
      <c r="G81" s="55" t="s">
        <v>603</v>
      </c>
      <c r="H81" s="55" t="s">
        <v>318</v>
      </c>
      <c r="I81" s="55" t="s">
        <v>336</v>
      </c>
      <c r="J81" s="60" t="s">
        <v>66</v>
      </c>
      <c r="K81" s="55">
        <v>-5577.8</v>
      </c>
      <c r="L81" s="61" t="s">
        <v>321</v>
      </c>
      <c r="M81" s="55" t="s">
        <v>8</v>
      </c>
      <c r="N81" s="55" t="s">
        <v>544</v>
      </c>
      <c r="O81" s="55" t="s">
        <v>314</v>
      </c>
      <c r="P81" s="55" t="s">
        <v>779</v>
      </c>
      <c r="Q81" s="55" t="s">
        <v>77</v>
      </c>
      <c r="R81" s="55" t="s">
        <v>395</v>
      </c>
    </row>
    <row r="82" spans="1:18" x14ac:dyDescent="0.25">
      <c r="A82" s="55" t="s">
        <v>780</v>
      </c>
      <c r="B82" s="55" t="s">
        <v>575</v>
      </c>
      <c r="C82" s="55" t="s">
        <v>334</v>
      </c>
      <c r="D82" s="55" t="s">
        <v>780</v>
      </c>
      <c r="E82" s="63">
        <v>0</v>
      </c>
      <c r="F82" s="61">
        <v>43726</v>
      </c>
      <c r="G82" s="55" t="s">
        <v>604</v>
      </c>
      <c r="H82" s="55" t="s">
        <v>318</v>
      </c>
      <c r="I82" s="55" t="s">
        <v>336</v>
      </c>
      <c r="J82" s="60" t="s">
        <v>66</v>
      </c>
      <c r="K82" s="55">
        <v>-5858</v>
      </c>
      <c r="L82" s="61" t="s">
        <v>321</v>
      </c>
      <c r="M82" s="55" t="s">
        <v>8</v>
      </c>
      <c r="N82" s="55" t="s">
        <v>544</v>
      </c>
      <c r="O82" s="55" t="s">
        <v>314</v>
      </c>
      <c r="P82" s="55" t="s">
        <v>781</v>
      </c>
      <c r="Q82" s="55" t="s">
        <v>77</v>
      </c>
      <c r="R82" s="55" t="s">
        <v>395</v>
      </c>
    </row>
    <row r="83" spans="1:18" x14ac:dyDescent="0.25">
      <c r="A83" s="55" t="s">
        <v>782</v>
      </c>
      <c r="B83" s="55" t="s">
        <v>575</v>
      </c>
      <c r="C83" s="55" t="s">
        <v>334</v>
      </c>
      <c r="D83" s="55" t="s">
        <v>782</v>
      </c>
      <c r="E83" s="63">
        <v>0</v>
      </c>
      <c r="F83" s="61">
        <v>43726</v>
      </c>
      <c r="G83" s="55" t="s">
        <v>605</v>
      </c>
      <c r="H83" s="55" t="s">
        <v>318</v>
      </c>
      <c r="I83" s="55" t="s">
        <v>336</v>
      </c>
      <c r="J83" s="60" t="s">
        <v>66</v>
      </c>
      <c r="K83" s="55">
        <v>-6138.2</v>
      </c>
      <c r="L83" s="61" t="s">
        <v>321</v>
      </c>
      <c r="M83" s="55" t="s">
        <v>8</v>
      </c>
      <c r="N83" s="55" t="s">
        <v>544</v>
      </c>
      <c r="O83" s="55" t="s">
        <v>314</v>
      </c>
      <c r="P83" s="55" t="s">
        <v>783</v>
      </c>
      <c r="Q83" s="55" t="s">
        <v>77</v>
      </c>
      <c r="R83" s="55" t="s">
        <v>395</v>
      </c>
    </row>
    <row r="84" spans="1:18" x14ac:dyDescent="0.25">
      <c r="A84" s="55" t="s">
        <v>784</v>
      </c>
      <c r="B84" s="55" t="s">
        <v>575</v>
      </c>
      <c r="C84" s="55" t="s">
        <v>334</v>
      </c>
      <c r="D84" s="55" t="s">
        <v>784</v>
      </c>
      <c r="E84" s="63">
        <v>0</v>
      </c>
      <c r="F84" s="61">
        <v>43726</v>
      </c>
      <c r="G84" s="55" t="s">
        <v>606</v>
      </c>
      <c r="H84" s="55" t="s">
        <v>318</v>
      </c>
      <c r="I84" s="55" t="s">
        <v>336</v>
      </c>
      <c r="J84" s="60" t="s">
        <v>66</v>
      </c>
      <c r="K84" s="55">
        <v>-6418.4</v>
      </c>
      <c r="L84" s="61" t="s">
        <v>321</v>
      </c>
      <c r="M84" s="55" t="s">
        <v>8</v>
      </c>
      <c r="N84" s="55" t="s">
        <v>544</v>
      </c>
      <c r="O84" s="55" t="s">
        <v>314</v>
      </c>
      <c r="P84" s="55" t="s">
        <v>785</v>
      </c>
      <c r="Q84" s="55" t="s">
        <v>77</v>
      </c>
      <c r="R84" s="55" t="s">
        <v>395</v>
      </c>
    </row>
    <row r="85" spans="1:18" x14ac:dyDescent="0.25">
      <c r="A85" s="55" t="s">
        <v>786</v>
      </c>
      <c r="B85" s="55" t="s">
        <v>575</v>
      </c>
      <c r="C85" s="55" t="s">
        <v>334</v>
      </c>
      <c r="D85" s="55" t="s">
        <v>786</v>
      </c>
      <c r="E85" s="63">
        <v>0</v>
      </c>
      <c r="F85" s="61">
        <v>43726</v>
      </c>
      <c r="G85" s="55" t="s">
        <v>607</v>
      </c>
      <c r="H85" s="55" t="s">
        <v>318</v>
      </c>
      <c r="I85" s="55" t="s">
        <v>336</v>
      </c>
      <c r="J85" s="60" t="s">
        <v>66</v>
      </c>
      <c r="K85" s="55">
        <v>-6698.6</v>
      </c>
      <c r="L85" s="61" t="s">
        <v>321</v>
      </c>
      <c r="M85" s="55" t="s">
        <v>8</v>
      </c>
      <c r="N85" s="55" t="s">
        <v>544</v>
      </c>
      <c r="O85" s="55" t="s">
        <v>314</v>
      </c>
      <c r="P85" s="55" t="s">
        <v>787</v>
      </c>
      <c r="Q85" s="55" t="s">
        <v>77</v>
      </c>
      <c r="R85" s="55" t="s">
        <v>395</v>
      </c>
    </row>
    <row r="86" spans="1:18" x14ac:dyDescent="0.25">
      <c r="A86" s="55" t="s">
        <v>788</v>
      </c>
      <c r="B86" s="55" t="s">
        <v>575</v>
      </c>
      <c r="C86" s="55" t="s">
        <v>334</v>
      </c>
      <c r="D86" s="55" t="s">
        <v>788</v>
      </c>
      <c r="E86" s="63">
        <v>0</v>
      </c>
      <c r="F86" s="61">
        <v>43726</v>
      </c>
      <c r="G86" s="55" t="s">
        <v>608</v>
      </c>
      <c r="H86" s="55" t="s">
        <v>318</v>
      </c>
      <c r="I86" s="55" t="s">
        <v>336</v>
      </c>
      <c r="J86" s="60" t="s">
        <v>66</v>
      </c>
      <c r="K86" s="55">
        <v>-6978.8</v>
      </c>
      <c r="L86" s="61" t="s">
        <v>321</v>
      </c>
      <c r="M86" s="55" t="s">
        <v>8</v>
      </c>
      <c r="N86" s="55" t="s">
        <v>544</v>
      </c>
      <c r="O86" s="55" t="s">
        <v>314</v>
      </c>
      <c r="P86" s="55" t="s">
        <v>789</v>
      </c>
      <c r="Q86" s="55" t="s">
        <v>77</v>
      </c>
      <c r="R86" s="55" t="s">
        <v>395</v>
      </c>
    </row>
    <row r="87" spans="1:18" x14ac:dyDescent="0.25">
      <c r="A87" s="55" t="s">
        <v>790</v>
      </c>
      <c r="B87" s="55" t="s">
        <v>575</v>
      </c>
      <c r="C87" s="55" t="s">
        <v>334</v>
      </c>
      <c r="D87" s="55" t="s">
        <v>790</v>
      </c>
      <c r="E87" s="63">
        <v>0</v>
      </c>
      <c r="F87" s="61">
        <v>43726</v>
      </c>
      <c r="G87" s="55" t="s">
        <v>609</v>
      </c>
      <c r="H87" s="55" t="s">
        <v>318</v>
      </c>
      <c r="I87" s="55" t="s">
        <v>336</v>
      </c>
      <c r="J87" s="60" t="s">
        <v>66</v>
      </c>
      <c r="K87" s="55">
        <v>-7259</v>
      </c>
      <c r="L87" s="61" t="s">
        <v>321</v>
      </c>
      <c r="M87" s="55" t="s">
        <v>8</v>
      </c>
      <c r="N87" s="55" t="s">
        <v>544</v>
      </c>
      <c r="O87" s="55" t="s">
        <v>314</v>
      </c>
      <c r="P87" s="55" t="s">
        <v>791</v>
      </c>
      <c r="Q87" s="55" t="s">
        <v>77</v>
      </c>
      <c r="R87" s="55" t="s">
        <v>395</v>
      </c>
    </row>
    <row r="88" spans="1:18" x14ac:dyDescent="0.25">
      <c r="A88" s="55" t="s">
        <v>792</v>
      </c>
      <c r="B88" s="55" t="s">
        <v>575</v>
      </c>
      <c r="C88" s="55" t="s">
        <v>334</v>
      </c>
      <c r="D88" s="55" t="s">
        <v>792</v>
      </c>
      <c r="E88" s="63">
        <v>0</v>
      </c>
      <c r="F88" s="61">
        <v>43726</v>
      </c>
      <c r="G88" s="55" t="s">
        <v>610</v>
      </c>
      <c r="H88" s="55" t="s">
        <v>318</v>
      </c>
      <c r="I88" s="55" t="s">
        <v>336</v>
      </c>
      <c r="J88" s="60" t="s">
        <v>66</v>
      </c>
      <c r="K88" s="55">
        <v>-7539.2</v>
      </c>
      <c r="L88" s="61" t="s">
        <v>321</v>
      </c>
      <c r="M88" s="55" t="s">
        <v>8</v>
      </c>
      <c r="N88" s="55" t="s">
        <v>544</v>
      </c>
      <c r="O88" s="55" t="s">
        <v>314</v>
      </c>
      <c r="P88" s="55" t="s">
        <v>793</v>
      </c>
      <c r="Q88" s="55" t="s">
        <v>77</v>
      </c>
      <c r="R88" s="55" t="s">
        <v>395</v>
      </c>
    </row>
    <row r="89" spans="1:18" x14ac:dyDescent="0.25">
      <c r="A89" s="55" t="s">
        <v>794</v>
      </c>
      <c r="B89" s="55" t="s">
        <v>575</v>
      </c>
      <c r="C89" s="55" t="s">
        <v>334</v>
      </c>
      <c r="D89" s="55" t="s">
        <v>794</v>
      </c>
      <c r="E89" s="63">
        <v>0</v>
      </c>
      <c r="F89" s="61">
        <v>43726</v>
      </c>
      <c r="G89" s="55" t="s">
        <v>611</v>
      </c>
      <c r="H89" s="55" t="s">
        <v>318</v>
      </c>
      <c r="I89" s="55" t="s">
        <v>336</v>
      </c>
      <c r="J89" s="60" t="s">
        <v>66</v>
      </c>
      <c r="K89" s="55">
        <v>-7819.4</v>
      </c>
      <c r="L89" s="61" t="s">
        <v>321</v>
      </c>
      <c r="M89" s="55" t="s">
        <v>8</v>
      </c>
      <c r="N89" s="55" t="s">
        <v>544</v>
      </c>
      <c r="O89" s="55" t="s">
        <v>314</v>
      </c>
      <c r="P89" s="55" t="s">
        <v>795</v>
      </c>
      <c r="Q89" s="55" t="s">
        <v>77</v>
      </c>
      <c r="R89" s="55" t="s">
        <v>395</v>
      </c>
    </row>
    <row r="90" spans="1:18" x14ac:dyDescent="0.25">
      <c r="A90" s="55" t="s">
        <v>796</v>
      </c>
      <c r="B90" s="55" t="s">
        <v>575</v>
      </c>
      <c r="C90" s="55" t="s">
        <v>334</v>
      </c>
      <c r="D90" s="55" t="s">
        <v>796</v>
      </c>
      <c r="E90" s="63">
        <v>0</v>
      </c>
      <c r="F90" s="61">
        <v>43726</v>
      </c>
      <c r="G90" s="55" t="s">
        <v>612</v>
      </c>
      <c r="H90" s="55" t="s">
        <v>318</v>
      </c>
      <c r="I90" s="55" t="s">
        <v>336</v>
      </c>
      <c r="J90" s="60" t="s">
        <v>66</v>
      </c>
      <c r="K90" s="55">
        <v>-8099.6</v>
      </c>
      <c r="L90" s="61" t="s">
        <v>321</v>
      </c>
      <c r="M90" s="55" t="s">
        <v>8</v>
      </c>
      <c r="N90" s="55" t="s">
        <v>544</v>
      </c>
      <c r="O90" s="55" t="s">
        <v>314</v>
      </c>
      <c r="P90" s="55" t="s">
        <v>797</v>
      </c>
      <c r="Q90" s="55" t="s">
        <v>77</v>
      </c>
      <c r="R90" s="55" t="s">
        <v>395</v>
      </c>
    </row>
    <row r="91" spans="1:18" x14ac:dyDescent="0.25">
      <c r="A91" s="55" t="s">
        <v>798</v>
      </c>
      <c r="B91" s="55" t="s">
        <v>575</v>
      </c>
      <c r="C91" s="55" t="s">
        <v>334</v>
      </c>
      <c r="D91" s="55" t="s">
        <v>798</v>
      </c>
      <c r="E91" s="63">
        <v>0</v>
      </c>
      <c r="F91" s="61">
        <v>43726</v>
      </c>
      <c r="G91" s="55" t="s">
        <v>613</v>
      </c>
      <c r="H91" s="55" t="s">
        <v>318</v>
      </c>
      <c r="I91" s="55" t="s">
        <v>336</v>
      </c>
      <c r="J91" s="60" t="s">
        <v>66</v>
      </c>
      <c r="K91" s="55">
        <v>-8379.7999999999993</v>
      </c>
      <c r="L91" s="61" t="s">
        <v>321</v>
      </c>
      <c r="M91" s="55" t="s">
        <v>8</v>
      </c>
      <c r="N91" s="55" t="s">
        <v>544</v>
      </c>
      <c r="O91" s="55" t="s">
        <v>314</v>
      </c>
      <c r="P91" s="55" t="s">
        <v>799</v>
      </c>
      <c r="Q91" s="55" t="s">
        <v>77</v>
      </c>
      <c r="R91" s="55" t="s">
        <v>395</v>
      </c>
    </row>
    <row r="92" spans="1:18" x14ac:dyDescent="0.25">
      <c r="A92" s="55" t="s">
        <v>800</v>
      </c>
      <c r="B92" s="55" t="s">
        <v>575</v>
      </c>
      <c r="C92" s="55" t="s">
        <v>334</v>
      </c>
      <c r="D92" s="55" t="s">
        <v>800</v>
      </c>
      <c r="E92" s="63">
        <v>0</v>
      </c>
      <c r="F92" s="61">
        <v>43726</v>
      </c>
      <c r="G92" s="55" t="s">
        <v>614</v>
      </c>
      <c r="H92" s="55" t="s">
        <v>318</v>
      </c>
      <c r="I92" s="55" t="s">
        <v>336</v>
      </c>
      <c r="J92" s="60" t="s">
        <v>66</v>
      </c>
      <c r="K92" s="55">
        <v>-8660</v>
      </c>
      <c r="L92" s="61" t="s">
        <v>321</v>
      </c>
      <c r="M92" s="55" t="s">
        <v>8</v>
      </c>
      <c r="N92" s="55" t="s">
        <v>544</v>
      </c>
      <c r="O92" s="55" t="s">
        <v>314</v>
      </c>
      <c r="P92" s="55" t="s">
        <v>801</v>
      </c>
      <c r="Q92" s="55" t="s">
        <v>77</v>
      </c>
      <c r="R92" s="55" t="s">
        <v>395</v>
      </c>
    </row>
    <row r="93" spans="1:18" x14ac:dyDescent="0.25">
      <c r="A93" s="55" t="s">
        <v>802</v>
      </c>
      <c r="B93" s="55" t="s">
        <v>575</v>
      </c>
      <c r="C93" s="55" t="s">
        <v>334</v>
      </c>
      <c r="D93" s="55" t="s">
        <v>802</v>
      </c>
      <c r="E93" s="63">
        <v>0</v>
      </c>
      <c r="F93" s="61">
        <v>43726</v>
      </c>
      <c r="G93" s="55" t="s">
        <v>615</v>
      </c>
      <c r="H93" s="55" t="s">
        <v>318</v>
      </c>
      <c r="I93" s="55" t="s">
        <v>336</v>
      </c>
      <c r="J93" s="60" t="s">
        <v>66</v>
      </c>
      <c r="K93" s="55">
        <v>-8940.2000000000007</v>
      </c>
      <c r="L93" s="61" t="s">
        <v>321</v>
      </c>
      <c r="M93" s="55" t="s">
        <v>8</v>
      </c>
      <c r="N93" s="55" t="s">
        <v>544</v>
      </c>
      <c r="O93" s="55" t="s">
        <v>314</v>
      </c>
      <c r="P93" s="55" t="s">
        <v>803</v>
      </c>
      <c r="Q93" s="55" t="s">
        <v>77</v>
      </c>
      <c r="R93" s="55" t="s">
        <v>395</v>
      </c>
    </row>
    <row r="94" spans="1:18" x14ac:dyDescent="0.25">
      <c r="A94" s="55" t="s">
        <v>804</v>
      </c>
      <c r="B94" s="55" t="s">
        <v>575</v>
      </c>
      <c r="C94" s="55" t="s">
        <v>334</v>
      </c>
      <c r="D94" s="55" t="s">
        <v>804</v>
      </c>
      <c r="E94" s="63">
        <v>0</v>
      </c>
      <c r="F94" s="61">
        <v>43726</v>
      </c>
      <c r="G94" s="55" t="s">
        <v>616</v>
      </c>
      <c r="H94" s="55" t="s">
        <v>318</v>
      </c>
      <c r="I94" s="55" t="s">
        <v>336</v>
      </c>
      <c r="J94" s="60" t="s">
        <v>66</v>
      </c>
      <c r="K94" s="55">
        <v>-9220.4</v>
      </c>
      <c r="L94" s="61" t="s">
        <v>321</v>
      </c>
      <c r="M94" s="55" t="s">
        <v>8</v>
      </c>
      <c r="N94" s="55" t="s">
        <v>544</v>
      </c>
      <c r="O94" s="55" t="s">
        <v>314</v>
      </c>
      <c r="P94" s="55" t="s">
        <v>805</v>
      </c>
      <c r="Q94" s="55" t="s">
        <v>77</v>
      </c>
      <c r="R94" s="55" t="s">
        <v>395</v>
      </c>
    </row>
    <row r="95" spans="1:18" x14ac:dyDescent="0.25">
      <c r="A95" s="55" t="s">
        <v>806</v>
      </c>
      <c r="B95" s="55" t="s">
        <v>575</v>
      </c>
      <c r="C95" s="55" t="s">
        <v>334</v>
      </c>
      <c r="D95" s="55" t="s">
        <v>806</v>
      </c>
      <c r="E95" s="63">
        <v>0</v>
      </c>
      <c r="F95" s="61">
        <v>43726</v>
      </c>
      <c r="G95" s="55" t="s">
        <v>617</v>
      </c>
      <c r="H95" s="55" t="s">
        <v>318</v>
      </c>
      <c r="I95" s="55" t="s">
        <v>336</v>
      </c>
      <c r="J95" s="60" t="s">
        <v>66</v>
      </c>
      <c r="K95" s="55">
        <v>-9500.6</v>
      </c>
      <c r="L95" s="61" t="s">
        <v>321</v>
      </c>
      <c r="M95" s="55" t="s">
        <v>8</v>
      </c>
      <c r="N95" s="55" t="s">
        <v>544</v>
      </c>
      <c r="O95" s="55" t="s">
        <v>314</v>
      </c>
      <c r="P95" s="55" t="s">
        <v>807</v>
      </c>
      <c r="Q95" s="55" t="s">
        <v>77</v>
      </c>
      <c r="R95" s="55" t="s">
        <v>395</v>
      </c>
    </row>
    <row r="96" spans="1:18" x14ac:dyDescent="0.25">
      <c r="A96" s="55" t="s">
        <v>808</v>
      </c>
      <c r="B96" s="55" t="s">
        <v>575</v>
      </c>
      <c r="C96" s="55" t="s">
        <v>334</v>
      </c>
      <c r="D96" s="55" t="s">
        <v>808</v>
      </c>
      <c r="E96" s="63">
        <v>0</v>
      </c>
      <c r="F96" s="61">
        <v>43726</v>
      </c>
      <c r="G96" s="55" t="s">
        <v>618</v>
      </c>
      <c r="H96" s="55" t="s">
        <v>318</v>
      </c>
      <c r="I96" s="55" t="s">
        <v>336</v>
      </c>
      <c r="J96" s="60" t="s">
        <v>66</v>
      </c>
      <c r="K96" s="55">
        <v>-9780.7999999999993</v>
      </c>
      <c r="L96" s="61" t="s">
        <v>321</v>
      </c>
      <c r="M96" s="55" t="s">
        <v>8</v>
      </c>
      <c r="N96" s="55" t="s">
        <v>544</v>
      </c>
      <c r="O96" s="55" t="s">
        <v>314</v>
      </c>
      <c r="P96" s="55" t="s">
        <v>809</v>
      </c>
      <c r="Q96" s="55" t="s">
        <v>77</v>
      </c>
      <c r="R96" s="55" t="s">
        <v>395</v>
      </c>
    </row>
    <row r="97" spans="1:18" x14ac:dyDescent="0.25">
      <c r="A97" s="55" t="s">
        <v>810</v>
      </c>
      <c r="B97" s="55" t="s">
        <v>575</v>
      </c>
      <c r="C97" s="55" t="s">
        <v>334</v>
      </c>
      <c r="D97" s="55" t="s">
        <v>810</v>
      </c>
      <c r="E97" s="63">
        <v>0</v>
      </c>
      <c r="F97" s="61">
        <v>43726</v>
      </c>
      <c r="G97" s="55" t="s">
        <v>619</v>
      </c>
      <c r="H97" s="55" t="s">
        <v>318</v>
      </c>
      <c r="I97" s="55" t="s">
        <v>336</v>
      </c>
      <c r="J97" s="60" t="s">
        <v>66</v>
      </c>
      <c r="K97" s="55">
        <v>-10061</v>
      </c>
      <c r="L97" s="61" t="s">
        <v>321</v>
      </c>
      <c r="M97" s="55" t="s">
        <v>8</v>
      </c>
      <c r="N97" s="55" t="s">
        <v>544</v>
      </c>
      <c r="O97" s="55" t="s">
        <v>314</v>
      </c>
      <c r="P97" s="55" t="s">
        <v>811</v>
      </c>
      <c r="Q97" s="55" t="s">
        <v>77</v>
      </c>
      <c r="R97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topLeftCell="G1" workbookViewId="0">
      <pane ySplit="1" topLeftCell="A2" activePane="bottomLeft" state="frozen"/>
      <selection pane="bottomLeft" activeCell="Q9" sqref="Q9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812</v>
      </c>
      <c r="B2" s="36" t="s">
        <v>498</v>
      </c>
      <c r="C2" s="39" t="s">
        <v>813</v>
      </c>
      <c r="D2" s="36">
        <v>0</v>
      </c>
      <c r="E2" s="37">
        <v>43726</v>
      </c>
      <c r="F2" s="40" t="s">
        <v>814</v>
      </c>
      <c r="G2" s="36" t="s">
        <v>318</v>
      </c>
      <c r="H2" s="36" t="s">
        <v>494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316</v>
      </c>
      <c r="P2" s="36" t="s">
        <v>815</v>
      </c>
      <c r="Q2" s="36" t="s">
        <v>314</v>
      </c>
      <c r="R2" s="39" t="s">
        <v>816</v>
      </c>
    </row>
    <row r="3" spans="1:18" x14ac:dyDescent="0.25">
      <c r="A3" s="39" t="s">
        <v>817</v>
      </c>
      <c r="B3" s="36" t="s">
        <v>498</v>
      </c>
      <c r="C3" s="39" t="s">
        <v>817</v>
      </c>
      <c r="D3" s="36">
        <v>0</v>
      </c>
      <c r="E3" s="37">
        <v>43726</v>
      </c>
      <c r="F3" s="40" t="s">
        <v>818</v>
      </c>
      <c r="G3" s="36" t="s">
        <v>318</v>
      </c>
      <c r="H3" s="36" t="s">
        <v>494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316</v>
      </c>
      <c r="P3" s="36" t="s">
        <v>819</v>
      </c>
      <c r="Q3" s="36" t="s">
        <v>314</v>
      </c>
      <c r="R3" s="39" t="s">
        <v>820</v>
      </c>
    </row>
    <row r="4" spans="1:18" x14ac:dyDescent="0.25">
      <c r="A4" s="35" t="s">
        <v>821</v>
      </c>
      <c r="B4" s="35" t="s">
        <v>498</v>
      </c>
      <c r="C4" s="35" t="s">
        <v>821</v>
      </c>
      <c r="D4" s="35">
        <v>0</v>
      </c>
      <c r="E4" s="37">
        <v>43726</v>
      </c>
      <c r="F4" s="35" t="s">
        <v>822</v>
      </c>
      <c r="G4" s="35" t="s">
        <v>318</v>
      </c>
      <c r="H4" s="35" t="s">
        <v>494</v>
      </c>
      <c r="I4" s="35">
        <v>4.12</v>
      </c>
      <c r="J4" s="35" t="s">
        <v>56</v>
      </c>
      <c r="K4" s="35" t="s">
        <v>66</v>
      </c>
      <c r="L4" s="35">
        <v>50000</v>
      </c>
      <c r="N4" s="35" t="s">
        <v>319</v>
      </c>
      <c r="P4" s="35" t="s">
        <v>815</v>
      </c>
      <c r="Q4" s="35" t="s">
        <v>314</v>
      </c>
      <c r="R4" s="35" t="s">
        <v>823</v>
      </c>
    </row>
    <row r="5" spans="1:18" x14ac:dyDescent="0.25">
      <c r="A5" s="35" t="s">
        <v>824</v>
      </c>
      <c r="B5" s="35" t="s">
        <v>498</v>
      </c>
      <c r="C5" s="35" t="s">
        <v>824</v>
      </c>
      <c r="D5" s="35">
        <v>0</v>
      </c>
      <c r="E5" s="37">
        <v>43726</v>
      </c>
      <c r="F5" s="35" t="s">
        <v>825</v>
      </c>
      <c r="G5" s="35" t="s">
        <v>318</v>
      </c>
      <c r="H5" s="35" t="s">
        <v>494</v>
      </c>
      <c r="I5" s="35">
        <v>4.1159999999999997</v>
      </c>
      <c r="J5" s="35" t="s">
        <v>56</v>
      </c>
      <c r="K5" s="35" t="s">
        <v>66</v>
      </c>
      <c r="L5" s="35">
        <v>10000</v>
      </c>
      <c r="N5" s="35" t="s">
        <v>319</v>
      </c>
      <c r="P5" s="35" t="s">
        <v>826</v>
      </c>
      <c r="Q5" s="35" t="s">
        <v>314</v>
      </c>
      <c r="R5" s="35" t="s">
        <v>827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R21"/>
  <sheetViews>
    <sheetView topLeftCell="I1" workbookViewId="0">
      <pane ySplit="1" topLeftCell="A2" activePane="bottomLeft" state="frozen"/>
      <selection pane="bottomLeft" activeCell="Q13" sqref="Q13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442</v>
      </c>
      <c r="B2" s="56" t="s">
        <v>443</v>
      </c>
      <c r="C2" s="57" t="s">
        <v>357</v>
      </c>
      <c r="D2" s="56" t="s">
        <v>442</v>
      </c>
      <c r="E2" s="63">
        <v>1</v>
      </c>
      <c r="F2" s="61">
        <v>43726</v>
      </c>
      <c r="G2" s="59" t="s">
        <v>444</v>
      </c>
      <c r="H2" s="57" t="s">
        <v>329</v>
      </c>
      <c r="I2" s="57" t="s">
        <v>359</v>
      </c>
      <c r="J2" s="57" t="s">
        <v>56</v>
      </c>
      <c r="K2" s="60">
        <v>50000</v>
      </c>
      <c r="L2" s="57" t="s">
        <v>323</v>
      </c>
      <c r="M2" s="58" t="s">
        <v>8</v>
      </c>
      <c r="N2" s="55" t="s">
        <v>445</v>
      </c>
      <c r="O2" s="56" t="s">
        <v>314</v>
      </c>
      <c r="P2" s="57" t="s">
        <v>446</v>
      </c>
      <c r="Q2" s="55" t="s">
        <v>77</v>
      </c>
      <c r="R2" s="55" t="s">
        <v>339</v>
      </c>
    </row>
    <row r="3" spans="1:18" x14ac:dyDescent="0.25">
      <c r="A3" s="56" t="s">
        <v>447</v>
      </c>
      <c r="B3" s="55" t="s">
        <v>448</v>
      </c>
      <c r="C3" s="57" t="s">
        <v>334</v>
      </c>
      <c r="D3" s="56" t="s">
        <v>447</v>
      </c>
      <c r="E3" s="63">
        <v>1</v>
      </c>
      <c r="F3" s="61">
        <v>43726</v>
      </c>
      <c r="G3" s="59" t="s">
        <v>449</v>
      </c>
      <c r="H3" s="57" t="s">
        <v>329</v>
      </c>
      <c r="I3" s="57" t="s">
        <v>336</v>
      </c>
      <c r="J3" s="57" t="s">
        <v>313</v>
      </c>
      <c r="K3" s="60">
        <v>-275132.45</v>
      </c>
      <c r="L3" s="57" t="s">
        <v>320</v>
      </c>
      <c r="M3" s="58"/>
      <c r="N3" s="55" t="s">
        <v>450</v>
      </c>
      <c r="O3" s="56" t="s">
        <v>314</v>
      </c>
      <c r="P3" s="57" t="s">
        <v>451</v>
      </c>
      <c r="Q3" s="55" t="s">
        <v>77</v>
      </c>
      <c r="R3" s="55" t="s">
        <v>339</v>
      </c>
    </row>
    <row r="4" spans="1:18" x14ac:dyDescent="0.25">
      <c r="A4" s="56" t="s">
        <v>452</v>
      </c>
      <c r="B4" s="56" t="s">
        <v>448</v>
      </c>
      <c r="C4" s="57" t="s">
        <v>334</v>
      </c>
      <c r="D4" s="56" t="s">
        <v>452</v>
      </c>
      <c r="E4" s="63">
        <v>1</v>
      </c>
      <c r="F4" s="61">
        <v>43726</v>
      </c>
      <c r="G4" s="59" t="s">
        <v>453</v>
      </c>
      <c r="H4" s="57" t="s">
        <v>329</v>
      </c>
      <c r="I4" s="57" t="s">
        <v>336</v>
      </c>
      <c r="J4" s="57" t="s">
        <v>313</v>
      </c>
      <c r="K4" s="60">
        <v>-112564.67</v>
      </c>
      <c r="L4" s="57" t="s">
        <v>320</v>
      </c>
      <c r="M4" s="58"/>
      <c r="N4" s="55" t="s">
        <v>450</v>
      </c>
      <c r="O4" s="56" t="s">
        <v>314</v>
      </c>
      <c r="P4" s="57" t="s">
        <v>454</v>
      </c>
      <c r="Q4" s="55" t="s">
        <v>77</v>
      </c>
      <c r="R4" s="55" t="s">
        <v>339</v>
      </c>
    </row>
    <row r="5" spans="1:18" x14ac:dyDescent="0.25">
      <c r="A5" s="56" t="s">
        <v>455</v>
      </c>
      <c r="B5" s="56" t="s">
        <v>456</v>
      </c>
      <c r="C5" s="57" t="s">
        <v>457</v>
      </c>
      <c r="D5" s="56" t="s">
        <v>455</v>
      </c>
      <c r="E5" s="63">
        <v>1</v>
      </c>
      <c r="F5" s="61">
        <v>43726</v>
      </c>
      <c r="G5" s="59" t="s">
        <v>458</v>
      </c>
      <c r="H5" s="57" t="s">
        <v>329</v>
      </c>
      <c r="I5" s="57" t="s">
        <v>336</v>
      </c>
      <c r="J5" s="57" t="s">
        <v>313</v>
      </c>
      <c r="K5" s="60">
        <v>-423000</v>
      </c>
      <c r="L5" s="57" t="s">
        <v>327</v>
      </c>
      <c r="M5" s="58"/>
      <c r="N5" s="55" t="s">
        <v>459</v>
      </c>
      <c r="O5" s="56" t="s">
        <v>314</v>
      </c>
      <c r="P5" s="57" t="s">
        <v>460</v>
      </c>
      <c r="Q5" s="55" t="s">
        <v>77</v>
      </c>
      <c r="R5" s="55" t="s">
        <v>339</v>
      </c>
    </row>
    <row r="6" spans="1:18" x14ac:dyDescent="0.25">
      <c r="A6" s="56" t="s">
        <v>461</v>
      </c>
      <c r="B6" s="56" t="s">
        <v>448</v>
      </c>
      <c r="C6" s="57" t="s">
        <v>334</v>
      </c>
      <c r="D6" s="56" t="s">
        <v>461</v>
      </c>
      <c r="E6" s="63">
        <v>1</v>
      </c>
      <c r="F6" s="61">
        <v>43726</v>
      </c>
      <c r="G6" s="59" t="s">
        <v>462</v>
      </c>
      <c r="H6" s="57" t="s">
        <v>329</v>
      </c>
      <c r="I6" s="57" t="s">
        <v>336</v>
      </c>
      <c r="J6" s="57" t="s">
        <v>313</v>
      </c>
      <c r="K6" s="60">
        <v>-425132.45</v>
      </c>
      <c r="L6" s="57" t="s">
        <v>320</v>
      </c>
      <c r="M6" s="58"/>
      <c r="N6" s="55" t="s">
        <v>463</v>
      </c>
      <c r="O6" s="56" t="s">
        <v>314</v>
      </c>
      <c r="P6" s="57" t="s">
        <v>464</v>
      </c>
      <c r="Q6" s="55" t="s">
        <v>77</v>
      </c>
      <c r="R6" s="55" t="s">
        <v>339</v>
      </c>
    </row>
    <row r="7" spans="1:18" x14ac:dyDescent="0.25">
      <c r="A7" s="56" t="s">
        <v>465</v>
      </c>
      <c r="B7" s="56" t="s">
        <v>448</v>
      </c>
      <c r="C7" s="57" t="s">
        <v>334</v>
      </c>
      <c r="D7" s="56" t="s">
        <v>465</v>
      </c>
      <c r="E7" s="63">
        <v>1</v>
      </c>
      <c r="F7" s="61">
        <v>43726</v>
      </c>
      <c r="G7" s="59" t="s">
        <v>466</v>
      </c>
      <c r="H7" s="57" t="s">
        <v>329</v>
      </c>
      <c r="I7" s="57" t="s">
        <v>336</v>
      </c>
      <c r="J7" s="57" t="s">
        <v>313</v>
      </c>
      <c r="K7" s="60">
        <v>-132564.67000000001</v>
      </c>
      <c r="L7" s="57" t="s">
        <v>320</v>
      </c>
      <c r="M7" s="58"/>
      <c r="N7" s="55" t="s">
        <v>463</v>
      </c>
      <c r="O7" s="56" t="s">
        <v>314</v>
      </c>
      <c r="P7" s="57" t="s">
        <v>467</v>
      </c>
      <c r="Q7" s="55" t="s">
        <v>77</v>
      </c>
      <c r="R7" s="55" t="s">
        <v>339</v>
      </c>
    </row>
    <row r="8" spans="1:18" x14ac:dyDescent="0.25">
      <c r="A8" s="56" t="s">
        <v>468</v>
      </c>
      <c r="B8" s="56" t="s">
        <v>469</v>
      </c>
      <c r="C8" s="57" t="s">
        <v>357</v>
      </c>
      <c r="D8" s="56" t="s">
        <v>468</v>
      </c>
      <c r="E8" s="63">
        <v>1</v>
      </c>
      <c r="F8" s="61">
        <v>43726</v>
      </c>
      <c r="G8" s="59" t="s">
        <v>470</v>
      </c>
      <c r="H8" s="57" t="s">
        <v>329</v>
      </c>
      <c r="I8" s="57" t="s">
        <v>359</v>
      </c>
      <c r="J8" s="57" t="s">
        <v>56</v>
      </c>
      <c r="K8" s="60">
        <v>50000</v>
      </c>
      <c r="L8" s="57" t="s">
        <v>322</v>
      </c>
      <c r="M8" s="58"/>
      <c r="N8" s="55" t="s">
        <v>445</v>
      </c>
      <c r="O8" s="56" t="s">
        <v>314</v>
      </c>
      <c r="P8" s="57" t="s">
        <v>471</v>
      </c>
      <c r="Q8" s="55" t="s">
        <v>77</v>
      </c>
      <c r="R8" s="55" t="s">
        <v>395</v>
      </c>
    </row>
    <row r="9" spans="1:18" x14ac:dyDescent="0.25">
      <c r="A9" s="56" t="s">
        <v>472</v>
      </c>
      <c r="B9" s="56" t="s">
        <v>473</v>
      </c>
      <c r="C9" s="57" t="s">
        <v>334</v>
      </c>
      <c r="D9" s="56" t="s">
        <v>472</v>
      </c>
      <c r="E9" s="63">
        <v>1</v>
      </c>
      <c r="F9" s="61">
        <v>43726</v>
      </c>
      <c r="G9" s="59" t="s">
        <v>474</v>
      </c>
      <c r="H9" s="57" t="s">
        <v>329</v>
      </c>
      <c r="I9" s="57" t="s">
        <v>336</v>
      </c>
      <c r="J9" s="57" t="s">
        <v>313</v>
      </c>
      <c r="K9" s="60">
        <v>-275132.45</v>
      </c>
      <c r="L9" s="57" t="s">
        <v>322</v>
      </c>
      <c r="M9" s="58"/>
      <c r="N9" s="55" t="s">
        <v>450</v>
      </c>
      <c r="O9" s="56" t="s">
        <v>314</v>
      </c>
      <c r="P9" s="57" t="s">
        <v>475</v>
      </c>
      <c r="Q9" s="55" t="s">
        <v>77</v>
      </c>
      <c r="R9" s="55" t="s">
        <v>395</v>
      </c>
    </row>
    <row r="10" spans="1:18" x14ac:dyDescent="0.25">
      <c r="A10" s="56" t="s">
        <v>476</v>
      </c>
      <c r="B10" s="56" t="s">
        <v>473</v>
      </c>
      <c r="C10" s="57" t="s">
        <v>334</v>
      </c>
      <c r="D10" s="56" t="s">
        <v>476</v>
      </c>
      <c r="E10" s="63">
        <v>1</v>
      </c>
      <c r="F10" s="61">
        <v>43726</v>
      </c>
      <c r="G10" s="59" t="s">
        <v>477</v>
      </c>
      <c r="H10" s="57" t="s">
        <v>329</v>
      </c>
      <c r="I10" s="57" t="s">
        <v>336</v>
      </c>
      <c r="J10" s="57" t="s">
        <v>313</v>
      </c>
      <c r="K10" s="60">
        <v>-112564.67</v>
      </c>
      <c r="L10" s="57" t="s">
        <v>322</v>
      </c>
      <c r="M10" s="58"/>
      <c r="N10" s="55" t="s">
        <v>450</v>
      </c>
      <c r="O10" s="56" t="s">
        <v>314</v>
      </c>
      <c r="P10" s="57" t="s">
        <v>478</v>
      </c>
      <c r="Q10" s="55" t="s">
        <v>77</v>
      </c>
      <c r="R10" s="55" t="s">
        <v>395</v>
      </c>
    </row>
    <row r="11" spans="1:18" x14ac:dyDescent="0.25">
      <c r="A11" s="56" t="s">
        <v>479</v>
      </c>
      <c r="B11" s="56" t="s">
        <v>480</v>
      </c>
      <c r="C11" s="57" t="s">
        <v>457</v>
      </c>
      <c r="D11" s="56" t="s">
        <v>479</v>
      </c>
      <c r="E11" s="63">
        <v>1</v>
      </c>
      <c r="F11" s="61">
        <v>43726</v>
      </c>
      <c r="G11" s="59" t="s">
        <v>481</v>
      </c>
      <c r="H11" s="57" t="s">
        <v>329</v>
      </c>
      <c r="I11" s="57" t="s">
        <v>336</v>
      </c>
      <c r="J11" s="57" t="s">
        <v>313</v>
      </c>
      <c r="K11" s="60">
        <v>-423000</v>
      </c>
      <c r="L11" s="57" t="s">
        <v>326</v>
      </c>
      <c r="M11" s="58"/>
      <c r="N11" s="55" t="s">
        <v>459</v>
      </c>
      <c r="O11" s="56" t="s">
        <v>314</v>
      </c>
      <c r="P11" s="57" t="s">
        <v>482</v>
      </c>
      <c r="Q11" s="55" t="s">
        <v>77</v>
      </c>
      <c r="R11" s="55" t="s">
        <v>395</v>
      </c>
    </row>
    <row r="12" spans="1:18" x14ac:dyDescent="0.25">
      <c r="A12" s="56" t="s">
        <v>483</v>
      </c>
      <c r="B12" s="56" t="s">
        <v>484</v>
      </c>
      <c r="C12" s="57" t="s">
        <v>334</v>
      </c>
      <c r="D12" s="56" t="s">
        <v>483</v>
      </c>
      <c r="E12" s="63">
        <v>1</v>
      </c>
      <c r="F12" s="61">
        <v>43726</v>
      </c>
      <c r="G12" s="59" t="s">
        <v>485</v>
      </c>
      <c r="H12" s="57" t="s">
        <v>329</v>
      </c>
      <c r="I12" s="57" t="s">
        <v>336</v>
      </c>
      <c r="J12" s="57" t="s">
        <v>313</v>
      </c>
      <c r="K12" s="60">
        <v>-425132.45</v>
      </c>
      <c r="L12" s="57" t="s">
        <v>321</v>
      </c>
      <c r="M12" s="58"/>
      <c r="N12" s="55" t="s">
        <v>486</v>
      </c>
      <c r="O12" s="56" t="s">
        <v>314</v>
      </c>
      <c r="P12" s="57" t="s">
        <v>487</v>
      </c>
      <c r="Q12" s="55" t="s">
        <v>77</v>
      </c>
      <c r="R12" s="55" t="s">
        <v>395</v>
      </c>
    </row>
    <row r="13" spans="1:18" x14ac:dyDescent="0.25">
      <c r="A13" s="56" t="s">
        <v>488</v>
      </c>
      <c r="B13" s="56" t="s">
        <v>484</v>
      </c>
      <c r="C13" s="57" t="s">
        <v>334</v>
      </c>
      <c r="D13" s="56" t="s">
        <v>488</v>
      </c>
      <c r="E13" s="63">
        <v>1</v>
      </c>
      <c r="F13" s="61">
        <v>43726</v>
      </c>
      <c r="G13" s="59" t="s">
        <v>489</v>
      </c>
      <c r="H13" s="57" t="s">
        <v>329</v>
      </c>
      <c r="I13" s="57" t="s">
        <v>336</v>
      </c>
      <c r="J13" s="57" t="s">
        <v>313</v>
      </c>
      <c r="K13" s="60">
        <v>-132564.67000000001</v>
      </c>
      <c r="L13" s="57" t="s">
        <v>321</v>
      </c>
      <c r="M13" s="58"/>
      <c r="N13" s="55" t="s">
        <v>486</v>
      </c>
      <c r="O13" s="56" t="s">
        <v>314</v>
      </c>
      <c r="P13" s="57" t="s">
        <v>490</v>
      </c>
      <c r="Q13" s="55" t="s">
        <v>77</v>
      </c>
      <c r="R13" s="55" t="s">
        <v>395</v>
      </c>
    </row>
    <row r="14" spans="1:18" x14ac:dyDescent="0.25">
      <c r="A14" s="56"/>
      <c r="B14" s="56"/>
      <c r="C14" s="57"/>
      <c r="D14" s="56"/>
      <c r="G14" s="59"/>
      <c r="H14" s="57"/>
      <c r="I14" s="57"/>
      <c r="J14" s="57"/>
      <c r="K14" s="60"/>
      <c r="L14" s="57"/>
      <c r="M14" s="58"/>
      <c r="O14" s="56"/>
      <c r="P14" s="57"/>
    </row>
    <row r="15" spans="1:18" x14ac:dyDescent="0.25">
      <c r="A15" s="56"/>
      <c r="B15" s="56"/>
      <c r="C15" s="57"/>
      <c r="D15" s="56"/>
      <c r="G15" s="59"/>
      <c r="H15" s="57"/>
      <c r="I15" s="57"/>
      <c r="J15" s="57"/>
      <c r="K15" s="60"/>
      <c r="L15" s="57"/>
      <c r="M15" s="58"/>
      <c r="O15" s="56"/>
      <c r="P15" s="57"/>
    </row>
    <row r="16" spans="1:18" x14ac:dyDescent="0.25">
      <c r="A16" s="56"/>
      <c r="B16" s="56"/>
      <c r="C16" s="57"/>
      <c r="D16" s="56"/>
      <c r="G16" s="59"/>
      <c r="H16" s="57"/>
      <c r="I16" s="57"/>
      <c r="J16" s="57"/>
      <c r="K16" s="60"/>
      <c r="L16" s="57"/>
      <c r="M16" s="58"/>
      <c r="O16" s="56"/>
      <c r="P16" s="57"/>
    </row>
    <row r="17" spans="1:16" x14ac:dyDescent="0.25">
      <c r="A17" s="56"/>
      <c r="B17" s="56"/>
      <c r="C17" s="57"/>
      <c r="D17" s="56"/>
      <c r="G17" s="59"/>
      <c r="H17" s="57"/>
      <c r="I17" s="57"/>
      <c r="J17" s="57"/>
      <c r="K17" s="60"/>
      <c r="L17" s="57"/>
      <c r="M17" s="58"/>
      <c r="O17" s="56"/>
      <c r="P17" s="57"/>
    </row>
    <row r="18" spans="1:16" x14ac:dyDescent="0.25">
      <c r="A18" s="56"/>
      <c r="B18" s="56"/>
      <c r="C18" s="57"/>
      <c r="D18" s="56"/>
      <c r="G18" s="59"/>
      <c r="H18" s="57"/>
      <c r="I18" s="57"/>
      <c r="J18" s="57"/>
      <c r="K18" s="60"/>
      <c r="L18" s="57"/>
      <c r="M18" s="58"/>
      <c r="O18" s="56"/>
      <c r="P18" s="57"/>
    </row>
    <row r="19" spans="1:16" x14ac:dyDescent="0.25">
      <c r="A19" s="56"/>
      <c r="B19" s="56"/>
      <c r="C19" s="57"/>
      <c r="D19" s="56"/>
      <c r="G19" s="59"/>
      <c r="H19" s="57"/>
      <c r="I19" s="57"/>
      <c r="J19" s="57"/>
      <c r="K19" s="60"/>
      <c r="L19" s="57"/>
      <c r="M19" s="58"/>
      <c r="O19" s="56"/>
      <c r="P19" s="57"/>
    </row>
    <row r="20" spans="1:16" x14ac:dyDescent="0.25">
      <c r="A20" s="56"/>
      <c r="B20" s="56"/>
      <c r="C20" s="57"/>
      <c r="D20" s="56"/>
      <c r="G20" s="59"/>
      <c r="H20" s="57"/>
      <c r="I20" s="57"/>
      <c r="J20" s="57"/>
      <c r="K20" s="60"/>
      <c r="L20" s="57"/>
      <c r="M20" s="58"/>
      <c r="O20" s="56"/>
      <c r="P20" s="57"/>
    </row>
    <row r="21" spans="1:16" x14ac:dyDescent="0.25">
      <c r="A21" s="56"/>
      <c r="B21" s="56"/>
      <c r="C21" s="57"/>
      <c r="D21" s="56"/>
      <c r="G21" s="59"/>
      <c r="H21" s="57"/>
      <c r="I21" s="57"/>
      <c r="J21" s="57"/>
      <c r="K21" s="60"/>
      <c r="L21" s="57"/>
      <c r="M21" s="58"/>
      <c r="O21" s="56"/>
      <c r="P21" s="57"/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N30:O1048576 N22:N29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G22:G1048576</xm:sqref>
        </x14:dataValidation>
        <x14:dataValidation type="list" allowBlank="1" showInputMessage="1" showErrorMessage="1" xr:uid="{0BF28239-05D5-4330-9EFC-D12400B62E09}">
          <x14:formula1>
            <xm:f>Accounts!$J:$J</xm:f>
          </x14:formula1>
          <xm:sqref>J22:K1048576</xm:sqref>
        </x14:dataValidation>
        <x14:dataValidation type="list" allowBlank="1" showInputMessage="1" showErrorMessage="1" xr:uid="{F2DB48E0-7A46-4620-82E5-22E79B0FEE00}">
          <x14:formula1>
            <xm:f>Accounts!$L:$L</xm:f>
          </x14:formula1>
          <xm:sqref>M22:M1048576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A4" sqref="A4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  <row r="2" spans="1:18" x14ac:dyDescent="0.25">
      <c r="A2" s="39" t="s">
        <v>491</v>
      </c>
      <c r="B2" s="36" t="s">
        <v>492</v>
      </c>
      <c r="C2" s="39" t="s">
        <v>491</v>
      </c>
      <c r="D2" s="36">
        <v>1</v>
      </c>
      <c r="E2" s="37">
        <v>43726</v>
      </c>
      <c r="F2" s="40" t="s">
        <v>493</v>
      </c>
      <c r="G2" s="36" t="s">
        <v>329</v>
      </c>
      <c r="H2" s="36" t="s">
        <v>494</v>
      </c>
      <c r="I2" s="36">
        <v>84.754599999999996</v>
      </c>
      <c r="J2" s="36" t="s">
        <v>56</v>
      </c>
      <c r="K2" s="36" t="s">
        <v>313</v>
      </c>
      <c r="L2" s="41">
        <v>423773</v>
      </c>
      <c r="M2" s="36"/>
      <c r="N2" s="36" t="s">
        <v>325</v>
      </c>
      <c r="O2" s="37">
        <v>43726</v>
      </c>
      <c r="P2" s="36" t="s">
        <v>495</v>
      </c>
      <c r="Q2" s="36" t="s">
        <v>314</v>
      </c>
      <c r="R2" s="39" t="s">
        <v>496</v>
      </c>
    </row>
    <row r="3" spans="1:18" x14ac:dyDescent="0.25">
      <c r="A3" s="39" t="s">
        <v>497</v>
      </c>
      <c r="B3" s="36" t="s">
        <v>498</v>
      </c>
      <c r="C3" s="39" t="s">
        <v>497</v>
      </c>
      <c r="D3" s="36">
        <v>1</v>
      </c>
      <c r="E3" s="37">
        <v>43726</v>
      </c>
      <c r="F3" s="40" t="s">
        <v>499</v>
      </c>
      <c r="G3" s="36" t="s">
        <v>329</v>
      </c>
      <c r="H3" s="36" t="s">
        <v>494</v>
      </c>
      <c r="I3" s="36">
        <v>84.765000000000001</v>
      </c>
      <c r="J3" s="36" t="s">
        <v>56</v>
      </c>
      <c r="K3" s="36" t="s">
        <v>313</v>
      </c>
      <c r="L3" s="41">
        <v>974797.5</v>
      </c>
      <c r="M3" s="36"/>
      <c r="N3" s="36" t="s">
        <v>316</v>
      </c>
      <c r="O3" s="37">
        <v>43726</v>
      </c>
      <c r="P3" s="36" t="s">
        <v>500</v>
      </c>
      <c r="Q3" s="36" t="s">
        <v>314</v>
      </c>
      <c r="R3" s="39" t="s">
        <v>501</v>
      </c>
    </row>
    <row r="4" spans="1:18" x14ac:dyDescent="0.25">
      <c r="A4" s="35" t="s">
        <v>502</v>
      </c>
      <c r="B4" s="35" t="s">
        <v>492</v>
      </c>
      <c r="C4" s="35" t="s">
        <v>502</v>
      </c>
      <c r="D4" s="35">
        <v>1</v>
      </c>
      <c r="E4" s="37">
        <v>43726</v>
      </c>
      <c r="F4" s="35" t="s">
        <v>503</v>
      </c>
      <c r="G4" s="35" t="s">
        <v>329</v>
      </c>
      <c r="H4" s="35" t="s">
        <v>494</v>
      </c>
      <c r="I4" s="35">
        <v>84.754599999999996</v>
      </c>
      <c r="J4" s="35" t="s">
        <v>56</v>
      </c>
      <c r="K4" s="35" t="s">
        <v>313</v>
      </c>
      <c r="L4" s="35">
        <v>423773</v>
      </c>
      <c r="N4" s="35" t="s">
        <v>324</v>
      </c>
      <c r="O4" s="37">
        <v>43726</v>
      </c>
      <c r="P4" s="35" t="s">
        <v>495</v>
      </c>
      <c r="Q4" s="35" t="s">
        <v>314</v>
      </c>
      <c r="R4" s="35" t="s">
        <v>504</v>
      </c>
    </row>
    <row r="5" spans="1:18" x14ac:dyDescent="0.25">
      <c r="A5" s="35" t="s">
        <v>505</v>
      </c>
      <c r="B5" s="35" t="s">
        <v>498</v>
      </c>
      <c r="C5" s="35" t="s">
        <v>505</v>
      </c>
      <c r="D5" s="35">
        <v>1</v>
      </c>
      <c r="E5" s="37">
        <v>43726</v>
      </c>
      <c r="F5" s="35" t="s">
        <v>506</v>
      </c>
      <c r="G5" s="35" t="s">
        <v>329</v>
      </c>
      <c r="H5" s="35" t="s">
        <v>494</v>
      </c>
      <c r="I5" s="35">
        <v>84.765000000000001</v>
      </c>
      <c r="J5" s="35" t="s">
        <v>56</v>
      </c>
      <c r="K5" s="35" t="s">
        <v>313</v>
      </c>
      <c r="L5" s="35">
        <v>974797.5</v>
      </c>
      <c r="N5" s="35" t="s">
        <v>319</v>
      </c>
      <c r="O5" s="37">
        <v>43726</v>
      </c>
      <c r="P5" s="35" t="s">
        <v>507</v>
      </c>
      <c r="Q5" s="35" t="s">
        <v>314</v>
      </c>
      <c r="R5" s="35" t="s">
        <v>508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R33"/>
  <sheetViews>
    <sheetView workbookViewId="0">
      <pane ySplit="1" topLeftCell="A2" activePane="bottomLeft" state="frozen"/>
      <selection pane="bottomLeft" activeCell="E17" sqref="E17:E33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310</v>
      </c>
      <c r="Q1" s="51" t="s">
        <v>81</v>
      </c>
      <c r="R1" s="55" t="s">
        <v>84</v>
      </c>
    </row>
    <row r="2" spans="1:18" x14ac:dyDescent="0.25">
      <c r="A2" s="56" t="s">
        <v>332</v>
      </c>
      <c r="B2" s="56" t="s">
        <v>333</v>
      </c>
      <c r="C2" s="57" t="s">
        <v>334</v>
      </c>
      <c r="D2" s="56" t="s">
        <v>332</v>
      </c>
      <c r="E2" s="63">
        <v>1</v>
      </c>
      <c r="F2" s="61">
        <v>43726</v>
      </c>
      <c r="G2" s="59" t="s">
        <v>335</v>
      </c>
      <c r="H2" s="57" t="s">
        <v>317</v>
      </c>
      <c r="I2" s="57" t="s">
        <v>336</v>
      </c>
      <c r="J2" s="57" t="s">
        <v>315</v>
      </c>
      <c r="K2" s="60">
        <v>-172.43937500000001</v>
      </c>
      <c r="L2" s="57" t="s">
        <v>320</v>
      </c>
      <c r="M2" s="58" t="s">
        <v>8</v>
      </c>
      <c r="N2" s="55" t="s">
        <v>337</v>
      </c>
      <c r="O2" s="56" t="s">
        <v>314</v>
      </c>
      <c r="P2" s="57" t="s">
        <v>338</v>
      </c>
      <c r="Q2" s="55" t="s">
        <v>77</v>
      </c>
      <c r="R2" s="55" t="s">
        <v>339</v>
      </c>
    </row>
    <row r="3" spans="1:18" x14ac:dyDescent="0.25">
      <c r="A3" s="56" t="s">
        <v>340</v>
      </c>
      <c r="B3" s="55" t="s">
        <v>333</v>
      </c>
      <c r="C3" s="57" t="s">
        <v>334</v>
      </c>
      <c r="D3" s="56" t="s">
        <v>340</v>
      </c>
      <c r="E3" s="63">
        <v>1</v>
      </c>
      <c r="F3" s="61">
        <v>43726</v>
      </c>
      <c r="G3" s="59" t="s">
        <v>341</v>
      </c>
      <c r="H3" s="57" t="s">
        <v>317</v>
      </c>
      <c r="I3" s="57" t="s">
        <v>336</v>
      </c>
      <c r="J3" s="57" t="s">
        <v>315</v>
      </c>
      <c r="K3" s="60">
        <v>-3448.7925000000005</v>
      </c>
      <c r="L3" s="57" t="s">
        <v>320</v>
      </c>
      <c r="M3" s="58" t="s">
        <v>8</v>
      </c>
      <c r="N3" s="55" t="s">
        <v>337</v>
      </c>
      <c r="O3" s="56" t="s">
        <v>314</v>
      </c>
      <c r="P3" s="57" t="s">
        <v>342</v>
      </c>
      <c r="Q3" s="55" t="s">
        <v>77</v>
      </c>
      <c r="R3" s="55" t="s">
        <v>339</v>
      </c>
    </row>
    <row r="4" spans="1:18" x14ac:dyDescent="0.25">
      <c r="A4" s="56" t="s">
        <v>343</v>
      </c>
      <c r="B4" s="56" t="s">
        <v>333</v>
      </c>
      <c r="C4" s="57" t="s">
        <v>334</v>
      </c>
      <c r="D4" s="56" t="s">
        <v>343</v>
      </c>
      <c r="E4" s="63">
        <v>1</v>
      </c>
      <c r="F4" s="61">
        <v>43726</v>
      </c>
      <c r="G4" s="59" t="s">
        <v>344</v>
      </c>
      <c r="H4" s="57" t="s">
        <v>317</v>
      </c>
      <c r="I4" s="57" t="s">
        <v>336</v>
      </c>
      <c r="J4" s="57" t="s">
        <v>315</v>
      </c>
      <c r="K4" s="60">
        <v>-2069.2485000000001</v>
      </c>
      <c r="L4" s="57" t="s">
        <v>320</v>
      </c>
      <c r="M4" s="58" t="s">
        <v>8</v>
      </c>
      <c r="N4" s="55" t="s">
        <v>337</v>
      </c>
      <c r="O4" s="56" t="s">
        <v>314</v>
      </c>
      <c r="P4" s="57" t="s">
        <v>345</v>
      </c>
      <c r="Q4" s="55" t="s">
        <v>77</v>
      </c>
      <c r="R4" s="55" t="s">
        <v>339</v>
      </c>
    </row>
    <row r="5" spans="1:18" x14ac:dyDescent="0.25">
      <c r="A5" s="56" t="s">
        <v>346</v>
      </c>
      <c r="B5" s="56" t="s">
        <v>333</v>
      </c>
      <c r="C5" s="57" t="s">
        <v>334</v>
      </c>
      <c r="D5" s="56" t="s">
        <v>346</v>
      </c>
      <c r="E5" s="63">
        <v>1</v>
      </c>
      <c r="F5" s="61">
        <v>43726</v>
      </c>
      <c r="G5" s="59" t="s">
        <v>347</v>
      </c>
      <c r="H5" s="57" t="s">
        <v>317</v>
      </c>
      <c r="I5" s="57" t="s">
        <v>336</v>
      </c>
      <c r="J5" s="57" t="s">
        <v>315</v>
      </c>
      <c r="K5" s="60">
        <v>-485.52662400000003</v>
      </c>
      <c r="L5" s="57" t="s">
        <v>320</v>
      </c>
      <c r="M5" s="58" t="s">
        <v>8</v>
      </c>
      <c r="N5" s="55" t="s">
        <v>337</v>
      </c>
      <c r="O5" s="56" t="s">
        <v>314</v>
      </c>
      <c r="P5" s="57" t="s">
        <v>348</v>
      </c>
      <c r="Q5" s="55" t="s">
        <v>77</v>
      </c>
      <c r="R5" s="55" t="s">
        <v>339</v>
      </c>
    </row>
    <row r="6" spans="1:18" x14ac:dyDescent="0.25">
      <c r="A6" s="56" t="s">
        <v>349</v>
      </c>
      <c r="B6" s="56" t="s">
        <v>333</v>
      </c>
      <c r="C6" s="57" t="s">
        <v>334</v>
      </c>
      <c r="D6" s="56" t="s">
        <v>349</v>
      </c>
      <c r="E6" s="63">
        <v>1</v>
      </c>
      <c r="F6" s="61">
        <v>43726</v>
      </c>
      <c r="G6" s="59" t="s">
        <v>350</v>
      </c>
      <c r="H6" s="57" t="s">
        <v>317</v>
      </c>
      <c r="I6" s="57" t="s">
        <v>336</v>
      </c>
      <c r="J6" s="57" t="s">
        <v>315</v>
      </c>
      <c r="K6" s="60">
        <v>-1165.179795</v>
      </c>
      <c r="L6" s="57" t="s">
        <v>320</v>
      </c>
      <c r="M6" s="58" t="s">
        <v>8</v>
      </c>
      <c r="N6" s="55" t="s">
        <v>337</v>
      </c>
      <c r="O6" s="56" t="s">
        <v>314</v>
      </c>
      <c r="P6" s="57" t="s">
        <v>351</v>
      </c>
      <c r="Q6" s="55" t="s">
        <v>77</v>
      </c>
      <c r="R6" s="55" t="s">
        <v>339</v>
      </c>
    </row>
    <row r="7" spans="1:18" x14ac:dyDescent="0.25">
      <c r="A7" s="56" t="s">
        <v>352</v>
      </c>
      <c r="B7" s="56" t="s">
        <v>333</v>
      </c>
      <c r="C7" s="57" t="s">
        <v>334</v>
      </c>
      <c r="D7" s="56" t="s">
        <v>352</v>
      </c>
      <c r="E7" s="63">
        <v>1</v>
      </c>
      <c r="F7" s="61">
        <v>43726</v>
      </c>
      <c r="G7" s="59" t="s">
        <v>353</v>
      </c>
      <c r="H7" s="57" t="s">
        <v>317</v>
      </c>
      <c r="I7" s="57" t="s">
        <v>336</v>
      </c>
      <c r="J7" s="57" t="s">
        <v>315</v>
      </c>
      <c r="K7" s="60">
        <v>-21002.6260014</v>
      </c>
      <c r="L7" s="57" t="s">
        <v>320</v>
      </c>
      <c r="M7" s="58" t="s">
        <v>8</v>
      </c>
      <c r="N7" s="55" t="s">
        <v>337</v>
      </c>
      <c r="O7" s="56" t="s">
        <v>314</v>
      </c>
      <c r="P7" s="57" t="s">
        <v>354</v>
      </c>
      <c r="Q7" s="55" t="s">
        <v>77</v>
      </c>
      <c r="R7" s="55" t="s">
        <v>339</v>
      </c>
    </row>
    <row r="8" spans="1:18" x14ac:dyDescent="0.25">
      <c r="A8" s="56" t="s">
        <v>355</v>
      </c>
      <c r="B8" s="56" t="s">
        <v>356</v>
      </c>
      <c r="C8" s="57" t="s">
        <v>357</v>
      </c>
      <c r="D8" s="56" t="s">
        <v>355</v>
      </c>
      <c r="E8" s="63">
        <v>1</v>
      </c>
      <c r="F8" s="61">
        <v>43726</v>
      </c>
      <c r="G8" s="59" t="s">
        <v>358</v>
      </c>
      <c r="H8" s="57" t="s">
        <v>317</v>
      </c>
      <c r="I8" s="57" t="s">
        <v>359</v>
      </c>
      <c r="J8" s="57" t="s">
        <v>315</v>
      </c>
      <c r="K8" s="60">
        <v>28971.599999999999</v>
      </c>
      <c r="L8" s="57" t="s">
        <v>323</v>
      </c>
      <c r="M8" s="58" t="s">
        <v>8</v>
      </c>
      <c r="N8" s="55" t="s">
        <v>360</v>
      </c>
      <c r="O8" s="56" t="s">
        <v>314</v>
      </c>
      <c r="P8" s="57" t="s">
        <v>361</v>
      </c>
      <c r="Q8" s="55" t="s">
        <v>77</v>
      </c>
      <c r="R8" s="55" t="s">
        <v>339</v>
      </c>
    </row>
    <row r="9" spans="1:18" x14ac:dyDescent="0.25">
      <c r="A9" s="56" t="s">
        <v>362</v>
      </c>
      <c r="B9" s="56" t="s">
        <v>333</v>
      </c>
      <c r="C9" s="57" t="s">
        <v>334</v>
      </c>
      <c r="D9" s="56" t="s">
        <v>362</v>
      </c>
      <c r="E9" s="63">
        <v>1</v>
      </c>
      <c r="F9" s="61">
        <v>43726</v>
      </c>
      <c r="G9" s="59" t="s">
        <v>363</v>
      </c>
      <c r="H9" s="57" t="s">
        <v>317</v>
      </c>
      <c r="I9" s="57" t="s">
        <v>336</v>
      </c>
      <c r="J9" s="57" t="s">
        <v>315</v>
      </c>
      <c r="K9" s="60">
        <v>-985.84242899999992</v>
      </c>
      <c r="L9" s="57" t="s">
        <v>320</v>
      </c>
      <c r="M9" s="58" t="s">
        <v>8</v>
      </c>
      <c r="N9" s="55" t="s">
        <v>364</v>
      </c>
      <c r="O9" s="56" t="s">
        <v>314</v>
      </c>
      <c r="P9" s="57" t="s">
        <v>365</v>
      </c>
      <c r="Q9" s="55" t="s">
        <v>77</v>
      </c>
      <c r="R9" s="55" t="s">
        <v>339</v>
      </c>
    </row>
    <row r="10" spans="1:18" x14ac:dyDescent="0.25">
      <c r="A10" s="56" t="s">
        <v>366</v>
      </c>
      <c r="B10" s="56" t="s">
        <v>333</v>
      </c>
      <c r="C10" s="57" t="s">
        <v>334</v>
      </c>
      <c r="D10" s="56" t="s">
        <v>366</v>
      </c>
      <c r="E10" s="63">
        <v>1</v>
      </c>
      <c r="F10" s="61">
        <v>43726</v>
      </c>
      <c r="G10" s="59" t="s">
        <v>367</v>
      </c>
      <c r="H10" s="57" t="s">
        <v>317</v>
      </c>
      <c r="I10" s="57" t="s">
        <v>336</v>
      </c>
      <c r="J10" s="57" t="s">
        <v>315</v>
      </c>
      <c r="K10" s="60">
        <v>-137.86617999999999</v>
      </c>
      <c r="L10" s="57" t="s">
        <v>320</v>
      </c>
      <c r="M10" s="58" t="s">
        <v>8</v>
      </c>
      <c r="N10" s="55" t="s">
        <v>364</v>
      </c>
      <c r="O10" s="56" t="s">
        <v>314</v>
      </c>
      <c r="P10" s="57" t="s">
        <v>368</v>
      </c>
      <c r="Q10" s="55" t="s">
        <v>77</v>
      </c>
      <c r="R10" s="55" t="s">
        <v>339</v>
      </c>
    </row>
    <row r="11" spans="1:18" x14ac:dyDescent="0.25">
      <c r="A11" s="56" t="s">
        <v>369</v>
      </c>
      <c r="B11" s="56" t="s">
        <v>333</v>
      </c>
      <c r="C11" s="57" t="s">
        <v>334</v>
      </c>
      <c r="D11" s="56" t="s">
        <v>369</v>
      </c>
      <c r="E11" s="63">
        <v>1</v>
      </c>
      <c r="F11" s="61">
        <v>43726</v>
      </c>
      <c r="G11" s="59" t="s">
        <v>370</v>
      </c>
      <c r="H11" s="57" t="s">
        <v>317</v>
      </c>
      <c r="I11" s="57" t="s">
        <v>336</v>
      </c>
      <c r="J11" s="57" t="s">
        <v>315</v>
      </c>
      <c r="K11" s="60">
        <v>-27570.46</v>
      </c>
      <c r="L11" s="57" t="s">
        <v>320</v>
      </c>
      <c r="M11" s="58" t="s">
        <v>8</v>
      </c>
      <c r="N11" s="55" t="s">
        <v>364</v>
      </c>
      <c r="O11" s="56" t="s">
        <v>314</v>
      </c>
      <c r="P11" s="57" t="s">
        <v>371</v>
      </c>
      <c r="Q11" s="55" t="s">
        <v>77</v>
      </c>
      <c r="R11" s="55" t="s">
        <v>339</v>
      </c>
    </row>
    <row r="12" spans="1:18" x14ac:dyDescent="0.25">
      <c r="A12" s="56" t="s">
        <v>372</v>
      </c>
      <c r="B12" s="56" t="s">
        <v>333</v>
      </c>
      <c r="C12" s="57" t="s">
        <v>334</v>
      </c>
      <c r="D12" s="56" t="s">
        <v>372</v>
      </c>
      <c r="E12" s="63">
        <v>1</v>
      </c>
      <c r="F12" s="61">
        <v>43726</v>
      </c>
      <c r="G12" s="59" t="s">
        <v>373</v>
      </c>
      <c r="H12" s="57" t="s">
        <v>317</v>
      </c>
      <c r="I12" s="57" t="s">
        <v>336</v>
      </c>
      <c r="J12" s="57" t="s">
        <v>315</v>
      </c>
      <c r="K12" s="60">
        <v>-2067.5762999999997</v>
      </c>
      <c r="L12" s="57" t="s">
        <v>320</v>
      </c>
      <c r="M12" s="58" t="s">
        <v>8</v>
      </c>
      <c r="N12" s="55" t="s">
        <v>364</v>
      </c>
      <c r="O12" s="56" t="s">
        <v>314</v>
      </c>
      <c r="P12" s="57" t="s">
        <v>374</v>
      </c>
      <c r="Q12" s="55" t="s">
        <v>77</v>
      </c>
      <c r="R12" s="55" t="s">
        <v>339</v>
      </c>
    </row>
    <row r="13" spans="1:18" x14ac:dyDescent="0.25">
      <c r="A13" s="56" t="s">
        <v>375</v>
      </c>
      <c r="B13" s="56" t="s">
        <v>333</v>
      </c>
      <c r="C13" s="57" t="s">
        <v>334</v>
      </c>
      <c r="D13" s="56" t="s">
        <v>375</v>
      </c>
      <c r="E13" s="63">
        <v>1</v>
      </c>
      <c r="F13" s="61">
        <v>43726</v>
      </c>
      <c r="G13" s="59" t="s">
        <v>376</v>
      </c>
      <c r="H13" s="57" t="s">
        <v>317</v>
      </c>
      <c r="I13" s="57" t="s">
        <v>336</v>
      </c>
      <c r="J13" s="57" t="s">
        <v>315</v>
      </c>
      <c r="K13" s="60">
        <v>-1309.33313</v>
      </c>
      <c r="L13" s="57" t="s">
        <v>320</v>
      </c>
      <c r="M13" s="58" t="s">
        <v>8</v>
      </c>
      <c r="N13" s="55" t="s">
        <v>364</v>
      </c>
      <c r="O13" s="56" t="s">
        <v>314</v>
      </c>
      <c r="P13" s="57" t="s">
        <v>377</v>
      </c>
      <c r="Q13" s="55" t="s">
        <v>77</v>
      </c>
      <c r="R13" s="55" t="s">
        <v>339</v>
      </c>
    </row>
    <row r="14" spans="1:18" x14ac:dyDescent="0.25">
      <c r="A14" s="56" t="s">
        <v>378</v>
      </c>
      <c r="B14" s="56" t="s">
        <v>333</v>
      </c>
      <c r="C14" s="57" t="s">
        <v>334</v>
      </c>
      <c r="D14" s="56" t="s">
        <v>378</v>
      </c>
      <c r="E14" s="63">
        <v>1</v>
      </c>
      <c r="F14" s="61">
        <v>43726</v>
      </c>
      <c r="G14" s="59" t="s">
        <v>379</v>
      </c>
      <c r="H14" s="57" t="s">
        <v>317</v>
      </c>
      <c r="I14" s="57" t="s">
        <v>336</v>
      </c>
      <c r="J14" s="57" t="s">
        <v>315</v>
      </c>
      <c r="K14" s="60">
        <v>-1034.9580566</v>
      </c>
      <c r="L14" s="57" t="s">
        <v>320</v>
      </c>
      <c r="M14" s="58" t="s">
        <v>8</v>
      </c>
      <c r="N14" s="55" t="s">
        <v>364</v>
      </c>
      <c r="O14" s="56" t="s">
        <v>314</v>
      </c>
      <c r="P14" s="57" t="s">
        <v>380</v>
      </c>
      <c r="Q14" s="55" t="s">
        <v>77</v>
      </c>
      <c r="R14" s="55" t="s">
        <v>339</v>
      </c>
    </row>
    <row r="15" spans="1:18" x14ac:dyDescent="0.25">
      <c r="A15" s="56" t="s">
        <v>381</v>
      </c>
      <c r="B15" s="56" t="s">
        <v>333</v>
      </c>
      <c r="C15" s="57" t="s">
        <v>334</v>
      </c>
      <c r="D15" s="56" t="s">
        <v>381</v>
      </c>
      <c r="E15" s="63">
        <v>1</v>
      </c>
      <c r="F15" s="61">
        <v>43726</v>
      </c>
      <c r="G15" s="59" t="s">
        <v>382</v>
      </c>
      <c r="H15" s="57" t="s">
        <v>317</v>
      </c>
      <c r="I15" s="57" t="s">
        <v>336</v>
      </c>
      <c r="J15" s="57" t="s">
        <v>315</v>
      </c>
      <c r="K15" s="60">
        <v>-4481.1512855999999</v>
      </c>
      <c r="L15" s="57" t="s">
        <v>320</v>
      </c>
      <c r="M15" s="58" t="s">
        <v>8</v>
      </c>
      <c r="N15" s="55" t="s">
        <v>364</v>
      </c>
      <c r="O15" s="56" t="s">
        <v>314</v>
      </c>
      <c r="P15" s="57" t="s">
        <v>383</v>
      </c>
      <c r="Q15" s="55" t="s">
        <v>77</v>
      </c>
      <c r="R15" s="55" t="s">
        <v>339</v>
      </c>
    </row>
    <row r="16" spans="1:18" x14ac:dyDescent="0.25">
      <c r="A16" s="56" t="s">
        <v>384</v>
      </c>
      <c r="B16" s="56" t="s">
        <v>333</v>
      </c>
      <c r="C16" s="57" t="s">
        <v>334</v>
      </c>
      <c r="D16" s="56" t="s">
        <v>384</v>
      </c>
      <c r="E16" s="63">
        <v>1</v>
      </c>
      <c r="F16" s="61">
        <v>43726</v>
      </c>
      <c r="G16" s="59" t="s">
        <v>385</v>
      </c>
      <c r="H16" s="57" t="s">
        <v>317</v>
      </c>
      <c r="I16" s="57" t="s">
        <v>336</v>
      </c>
      <c r="J16" s="57" t="s">
        <v>315</v>
      </c>
      <c r="K16" s="60">
        <v>-239.74224599999999</v>
      </c>
      <c r="L16" s="57" t="s">
        <v>320</v>
      </c>
      <c r="M16" s="58" t="s">
        <v>8</v>
      </c>
      <c r="N16" s="55" t="s">
        <v>364</v>
      </c>
      <c r="O16" s="56" t="s">
        <v>314</v>
      </c>
      <c r="P16" s="57" t="s">
        <v>386</v>
      </c>
      <c r="Q16" s="55" t="s">
        <v>77</v>
      </c>
      <c r="R16" s="55" t="s">
        <v>339</v>
      </c>
    </row>
    <row r="17" spans="1:18" x14ac:dyDescent="0.25">
      <c r="A17" s="56" t="s">
        <v>387</v>
      </c>
      <c r="B17" s="56" t="s">
        <v>356</v>
      </c>
      <c r="C17" s="57" t="s">
        <v>357</v>
      </c>
      <c r="D17" s="56" t="s">
        <v>387</v>
      </c>
      <c r="E17" s="63">
        <v>1</v>
      </c>
      <c r="F17" s="61">
        <v>43726</v>
      </c>
      <c r="G17" s="59" t="s">
        <v>388</v>
      </c>
      <c r="H17" s="57" t="s">
        <v>317</v>
      </c>
      <c r="I17" s="57" t="s">
        <v>359</v>
      </c>
      <c r="J17" s="57" t="s">
        <v>315</v>
      </c>
      <c r="K17" s="60">
        <v>34470</v>
      </c>
      <c r="L17" s="57" t="s">
        <v>323</v>
      </c>
      <c r="M17" s="58" t="s">
        <v>8</v>
      </c>
      <c r="N17" s="55" t="s">
        <v>389</v>
      </c>
      <c r="O17" s="56" t="s">
        <v>314</v>
      </c>
      <c r="P17" s="57" t="s">
        <v>390</v>
      </c>
      <c r="Q17" s="55" t="s">
        <v>77</v>
      </c>
      <c r="R17" s="55" t="s">
        <v>339</v>
      </c>
    </row>
    <row r="18" spans="1:18" x14ac:dyDescent="0.25">
      <c r="A18" s="56" t="s">
        <v>391</v>
      </c>
      <c r="B18" s="56" t="s">
        <v>392</v>
      </c>
      <c r="C18" s="57" t="s">
        <v>334</v>
      </c>
      <c r="D18" s="56" t="s">
        <v>391</v>
      </c>
      <c r="E18" s="63">
        <v>1</v>
      </c>
      <c r="F18" s="61">
        <v>43726</v>
      </c>
      <c r="G18" s="59" t="s">
        <v>393</v>
      </c>
      <c r="H18" s="57" t="s">
        <v>317</v>
      </c>
      <c r="I18" s="57" t="s">
        <v>336</v>
      </c>
      <c r="J18" s="57" t="s">
        <v>315</v>
      </c>
      <c r="K18" s="60">
        <v>-172.43937500000001</v>
      </c>
      <c r="L18" s="57" t="s">
        <v>321</v>
      </c>
      <c r="M18" s="58" t="s">
        <v>8</v>
      </c>
      <c r="N18" s="55" t="s">
        <v>337</v>
      </c>
      <c r="O18" s="56" t="s">
        <v>314</v>
      </c>
      <c r="P18" s="57" t="s">
        <v>394</v>
      </c>
      <c r="Q18" s="55" t="s">
        <v>77</v>
      </c>
      <c r="R18" s="55" t="s">
        <v>395</v>
      </c>
    </row>
    <row r="19" spans="1:18" x14ac:dyDescent="0.25">
      <c r="A19" s="56" t="s">
        <v>396</v>
      </c>
      <c r="B19" s="56" t="s">
        <v>392</v>
      </c>
      <c r="C19" s="57" t="s">
        <v>334</v>
      </c>
      <c r="D19" s="56" t="s">
        <v>396</v>
      </c>
      <c r="E19" s="63">
        <v>1</v>
      </c>
      <c r="F19" s="61">
        <v>43726</v>
      </c>
      <c r="G19" s="59" t="s">
        <v>397</v>
      </c>
      <c r="H19" s="57" t="s">
        <v>317</v>
      </c>
      <c r="I19" s="57" t="s">
        <v>336</v>
      </c>
      <c r="J19" s="57" t="s">
        <v>315</v>
      </c>
      <c r="K19" s="60">
        <v>-3448.7925000000005</v>
      </c>
      <c r="L19" s="57" t="s">
        <v>321</v>
      </c>
      <c r="M19" s="58" t="s">
        <v>8</v>
      </c>
      <c r="N19" s="55" t="s">
        <v>337</v>
      </c>
      <c r="O19" s="56" t="s">
        <v>314</v>
      </c>
      <c r="P19" s="57" t="s">
        <v>398</v>
      </c>
      <c r="Q19" s="55" t="s">
        <v>77</v>
      </c>
      <c r="R19" s="55" t="s">
        <v>395</v>
      </c>
    </row>
    <row r="20" spans="1:18" x14ac:dyDescent="0.25">
      <c r="A20" s="56" t="s">
        <v>399</v>
      </c>
      <c r="B20" s="56" t="s">
        <v>392</v>
      </c>
      <c r="C20" s="57" t="s">
        <v>334</v>
      </c>
      <c r="D20" s="56" t="s">
        <v>399</v>
      </c>
      <c r="E20" s="63">
        <v>1</v>
      </c>
      <c r="F20" s="61">
        <v>43726</v>
      </c>
      <c r="G20" s="59" t="s">
        <v>400</v>
      </c>
      <c r="H20" s="57" t="s">
        <v>317</v>
      </c>
      <c r="I20" s="57" t="s">
        <v>336</v>
      </c>
      <c r="J20" s="57" t="s">
        <v>315</v>
      </c>
      <c r="K20" s="60">
        <v>-2069.2485000000001</v>
      </c>
      <c r="L20" s="57" t="s">
        <v>321</v>
      </c>
      <c r="M20" s="58" t="s">
        <v>8</v>
      </c>
      <c r="N20" s="55" t="s">
        <v>337</v>
      </c>
      <c r="O20" s="56" t="s">
        <v>314</v>
      </c>
      <c r="P20" s="57" t="s">
        <v>401</v>
      </c>
      <c r="Q20" s="55" t="s">
        <v>77</v>
      </c>
      <c r="R20" s="55" t="s">
        <v>395</v>
      </c>
    </row>
    <row r="21" spans="1:18" x14ac:dyDescent="0.25">
      <c r="A21" s="56" t="s">
        <v>402</v>
      </c>
      <c r="B21" s="56" t="s">
        <v>392</v>
      </c>
      <c r="C21" s="57" t="s">
        <v>334</v>
      </c>
      <c r="D21" s="56" t="s">
        <v>402</v>
      </c>
      <c r="E21" s="63">
        <v>1</v>
      </c>
      <c r="F21" s="61">
        <v>43726</v>
      </c>
      <c r="G21" s="59" t="s">
        <v>403</v>
      </c>
      <c r="H21" s="57" t="s">
        <v>317</v>
      </c>
      <c r="I21" s="57" t="s">
        <v>336</v>
      </c>
      <c r="J21" s="57" t="s">
        <v>315</v>
      </c>
      <c r="K21" s="60">
        <v>-485.52662400000003</v>
      </c>
      <c r="L21" s="57" t="s">
        <v>321</v>
      </c>
      <c r="M21" s="58" t="s">
        <v>8</v>
      </c>
      <c r="N21" s="55" t="s">
        <v>337</v>
      </c>
      <c r="O21" s="56" t="s">
        <v>314</v>
      </c>
      <c r="P21" s="57" t="s">
        <v>404</v>
      </c>
      <c r="Q21" s="55" t="s">
        <v>77</v>
      </c>
      <c r="R21" s="55" t="s">
        <v>395</v>
      </c>
    </row>
    <row r="22" spans="1:18" x14ac:dyDescent="0.25">
      <c r="A22" s="55" t="s">
        <v>405</v>
      </c>
      <c r="B22" s="55" t="s">
        <v>392</v>
      </c>
      <c r="C22" s="55" t="s">
        <v>334</v>
      </c>
      <c r="D22" s="55" t="s">
        <v>405</v>
      </c>
      <c r="E22" s="63">
        <v>1</v>
      </c>
      <c r="F22" s="61">
        <v>43726</v>
      </c>
      <c r="G22" s="55" t="s">
        <v>406</v>
      </c>
      <c r="H22" s="55" t="s">
        <v>317</v>
      </c>
      <c r="I22" s="55" t="s">
        <v>336</v>
      </c>
      <c r="J22" s="60" t="s">
        <v>315</v>
      </c>
      <c r="K22" s="55">
        <v>-1165.179795</v>
      </c>
      <c r="L22" s="61" t="s">
        <v>321</v>
      </c>
      <c r="M22" s="55" t="s">
        <v>8</v>
      </c>
      <c r="N22" s="55" t="s">
        <v>337</v>
      </c>
      <c r="O22" s="55" t="s">
        <v>314</v>
      </c>
      <c r="P22" s="55" t="s">
        <v>407</v>
      </c>
      <c r="Q22" s="55" t="s">
        <v>77</v>
      </c>
      <c r="R22" s="55" t="s">
        <v>395</v>
      </c>
    </row>
    <row r="23" spans="1:18" x14ac:dyDescent="0.25">
      <c r="A23" s="55" t="s">
        <v>408</v>
      </c>
      <c r="B23" s="55" t="s">
        <v>392</v>
      </c>
      <c r="C23" s="55" t="s">
        <v>334</v>
      </c>
      <c r="D23" s="55" t="s">
        <v>408</v>
      </c>
      <c r="E23" s="63">
        <v>1</v>
      </c>
      <c r="F23" s="61">
        <v>43726</v>
      </c>
      <c r="G23" s="55" t="s">
        <v>409</v>
      </c>
      <c r="H23" s="55" t="s">
        <v>317</v>
      </c>
      <c r="I23" s="55" t="s">
        <v>336</v>
      </c>
      <c r="J23" s="60" t="s">
        <v>315</v>
      </c>
      <c r="K23" s="55">
        <v>-21002.6260014</v>
      </c>
      <c r="L23" s="61" t="s">
        <v>321</v>
      </c>
      <c r="M23" s="55" t="s">
        <v>8</v>
      </c>
      <c r="N23" s="55" t="s">
        <v>337</v>
      </c>
      <c r="O23" s="55" t="s">
        <v>314</v>
      </c>
      <c r="P23" s="55" t="s">
        <v>410</v>
      </c>
      <c r="Q23" s="55" t="s">
        <v>77</v>
      </c>
      <c r="R23" s="55" t="s">
        <v>395</v>
      </c>
    </row>
    <row r="24" spans="1:18" x14ac:dyDescent="0.25">
      <c r="A24" s="55" t="s">
        <v>411</v>
      </c>
      <c r="B24" s="55" t="s">
        <v>412</v>
      </c>
      <c r="C24" s="55" t="s">
        <v>357</v>
      </c>
      <c r="D24" s="55" t="s">
        <v>411</v>
      </c>
      <c r="E24" s="63">
        <v>1</v>
      </c>
      <c r="F24" s="61">
        <v>43726</v>
      </c>
      <c r="G24" s="55" t="s">
        <v>413</v>
      </c>
      <c r="H24" s="55" t="s">
        <v>317</v>
      </c>
      <c r="I24" s="55" t="s">
        <v>359</v>
      </c>
      <c r="J24" s="60" t="s">
        <v>315</v>
      </c>
      <c r="K24" s="55">
        <v>28971.599999999999</v>
      </c>
      <c r="L24" s="61" t="s">
        <v>322</v>
      </c>
      <c r="M24" s="55" t="s">
        <v>8</v>
      </c>
      <c r="N24" s="55" t="s">
        <v>360</v>
      </c>
      <c r="O24" s="55" t="s">
        <v>314</v>
      </c>
      <c r="P24" s="55" t="s">
        <v>414</v>
      </c>
      <c r="Q24" s="55" t="s">
        <v>77</v>
      </c>
      <c r="R24" s="55" t="s">
        <v>395</v>
      </c>
    </row>
    <row r="25" spans="1:18" x14ac:dyDescent="0.25">
      <c r="A25" s="55" t="s">
        <v>415</v>
      </c>
      <c r="B25" s="55" t="s">
        <v>392</v>
      </c>
      <c r="C25" s="55" t="s">
        <v>334</v>
      </c>
      <c r="D25" s="55" t="s">
        <v>415</v>
      </c>
      <c r="E25" s="63">
        <v>1</v>
      </c>
      <c r="F25" s="61">
        <v>43726</v>
      </c>
      <c r="G25" s="55" t="s">
        <v>416</v>
      </c>
      <c r="H25" s="55" t="s">
        <v>317</v>
      </c>
      <c r="I25" s="55" t="s">
        <v>336</v>
      </c>
      <c r="J25" s="60" t="s">
        <v>315</v>
      </c>
      <c r="K25" s="55">
        <v>-985.84242899999992</v>
      </c>
      <c r="L25" s="61" t="s">
        <v>321</v>
      </c>
      <c r="M25" s="55" t="s">
        <v>8</v>
      </c>
      <c r="N25" s="55" t="s">
        <v>364</v>
      </c>
      <c r="O25" s="55" t="s">
        <v>314</v>
      </c>
      <c r="P25" s="55" t="s">
        <v>417</v>
      </c>
      <c r="Q25" s="55" t="s">
        <v>77</v>
      </c>
      <c r="R25" s="55" t="s">
        <v>395</v>
      </c>
    </row>
    <row r="26" spans="1:18" x14ac:dyDescent="0.25">
      <c r="A26" s="55" t="s">
        <v>418</v>
      </c>
      <c r="B26" s="55" t="s">
        <v>392</v>
      </c>
      <c r="C26" s="55" t="s">
        <v>334</v>
      </c>
      <c r="D26" s="55" t="s">
        <v>418</v>
      </c>
      <c r="E26" s="63">
        <v>1</v>
      </c>
      <c r="F26" s="61">
        <v>43726</v>
      </c>
      <c r="G26" s="55" t="s">
        <v>419</v>
      </c>
      <c r="H26" s="55" t="s">
        <v>317</v>
      </c>
      <c r="I26" s="55" t="s">
        <v>336</v>
      </c>
      <c r="J26" s="60" t="s">
        <v>315</v>
      </c>
      <c r="K26" s="55">
        <v>-137.86617999999999</v>
      </c>
      <c r="L26" s="61" t="s">
        <v>321</v>
      </c>
      <c r="M26" s="55" t="s">
        <v>8</v>
      </c>
      <c r="N26" s="55" t="s">
        <v>364</v>
      </c>
      <c r="O26" s="55" t="s">
        <v>314</v>
      </c>
      <c r="P26" s="55" t="s">
        <v>420</v>
      </c>
      <c r="Q26" s="55" t="s">
        <v>77</v>
      </c>
      <c r="R26" s="55" t="s">
        <v>395</v>
      </c>
    </row>
    <row r="27" spans="1:18" x14ac:dyDescent="0.25">
      <c r="A27" s="55" t="s">
        <v>421</v>
      </c>
      <c r="B27" s="55" t="s">
        <v>392</v>
      </c>
      <c r="C27" s="55" t="s">
        <v>334</v>
      </c>
      <c r="D27" s="55" t="s">
        <v>421</v>
      </c>
      <c r="E27" s="63">
        <v>1</v>
      </c>
      <c r="F27" s="61">
        <v>43726</v>
      </c>
      <c r="G27" s="55" t="s">
        <v>422</v>
      </c>
      <c r="H27" s="55" t="s">
        <v>317</v>
      </c>
      <c r="I27" s="55" t="s">
        <v>336</v>
      </c>
      <c r="J27" s="60" t="s">
        <v>315</v>
      </c>
      <c r="K27" s="55">
        <v>-22849.569999999992</v>
      </c>
      <c r="L27" s="61" t="s">
        <v>321</v>
      </c>
      <c r="M27" s="55" t="s">
        <v>8</v>
      </c>
      <c r="N27" s="55" t="s">
        <v>364</v>
      </c>
      <c r="O27" s="55" t="s">
        <v>314</v>
      </c>
      <c r="P27" s="55" t="s">
        <v>423</v>
      </c>
      <c r="Q27" s="55" t="s">
        <v>77</v>
      </c>
      <c r="R27" s="55" t="s">
        <v>395</v>
      </c>
    </row>
    <row r="28" spans="1:18" x14ac:dyDescent="0.25">
      <c r="A28" s="55" t="s">
        <v>424</v>
      </c>
      <c r="B28" s="55" t="s">
        <v>392</v>
      </c>
      <c r="C28" s="55" t="s">
        <v>334</v>
      </c>
      <c r="D28" s="55" t="s">
        <v>424</v>
      </c>
      <c r="E28" s="63">
        <v>1</v>
      </c>
      <c r="F28" s="61">
        <v>43726</v>
      </c>
      <c r="G28" s="55" t="s">
        <v>425</v>
      </c>
      <c r="H28" s="55" t="s">
        <v>317</v>
      </c>
      <c r="I28" s="55" t="s">
        <v>336</v>
      </c>
      <c r="J28" s="60" t="s">
        <v>315</v>
      </c>
      <c r="K28" s="55">
        <v>-2067.5762999999997</v>
      </c>
      <c r="L28" s="61" t="s">
        <v>321</v>
      </c>
      <c r="M28" s="55" t="s">
        <v>8</v>
      </c>
      <c r="N28" s="55" t="s">
        <v>364</v>
      </c>
      <c r="O28" s="55" t="s">
        <v>314</v>
      </c>
      <c r="P28" s="55" t="s">
        <v>426</v>
      </c>
      <c r="Q28" s="55" t="s">
        <v>77</v>
      </c>
      <c r="R28" s="55" t="s">
        <v>395</v>
      </c>
    </row>
    <row r="29" spans="1:18" x14ac:dyDescent="0.25">
      <c r="A29" s="55" t="s">
        <v>427</v>
      </c>
      <c r="B29" s="55" t="s">
        <v>392</v>
      </c>
      <c r="C29" s="55" t="s">
        <v>334</v>
      </c>
      <c r="D29" s="55" t="s">
        <v>427</v>
      </c>
      <c r="E29" s="63">
        <v>1</v>
      </c>
      <c r="F29" s="61">
        <v>43726</v>
      </c>
      <c r="G29" s="55" t="s">
        <v>428</v>
      </c>
      <c r="H29" s="55" t="s">
        <v>317</v>
      </c>
      <c r="I29" s="55" t="s">
        <v>336</v>
      </c>
      <c r="J29" s="60" t="s">
        <v>315</v>
      </c>
      <c r="K29" s="55">
        <v>-1309.33313</v>
      </c>
      <c r="L29" s="61" t="s">
        <v>321</v>
      </c>
      <c r="M29" s="55" t="s">
        <v>8</v>
      </c>
      <c r="N29" s="55" t="s">
        <v>364</v>
      </c>
      <c r="O29" s="55" t="s">
        <v>314</v>
      </c>
      <c r="P29" s="55" t="s">
        <v>429</v>
      </c>
      <c r="Q29" s="55" t="s">
        <v>77</v>
      </c>
      <c r="R29" s="55" t="s">
        <v>395</v>
      </c>
    </row>
    <row r="30" spans="1:18" x14ac:dyDescent="0.25">
      <c r="A30" s="55" t="s">
        <v>430</v>
      </c>
      <c r="B30" s="55" t="s">
        <v>392</v>
      </c>
      <c r="C30" s="55" t="s">
        <v>334</v>
      </c>
      <c r="D30" s="55" t="s">
        <v>430</v>
      </c>
      <c r="E30" s="63">
        <v>1</v>
      </c>
      <c r="F30" s="61">
        <v>43726</v>
      </c>
      <c r="G30" s="55" t="s">
        <v>431</v>
      </c>
      <c r="H30" s="55" t="s">
        <v>317</v>
      </c>
      <c r="I30" s="55" t="s">
        <v>336</v>
      </c>
      <c r="J30" s="60" t="s">
        <v>315</v>
      </c>
      <c r="K30" s="55">
        <v>-1034.9580566</v>
      </c>
      <c r="L30" s="61" t="s">
        <v>321</v>
      </c>
      <c r="M30" s="55" t="s">
        <v>8</v>
      </c>
      <c r="N30" s="55" t="s">
        <v>364</v>
      </c>
      <c r="O30" s="55" t="s">
        <v>314</v>
      </c>
      <c r="P30" s="55" t="s">
        <v>432</v>
      </c>
      <c r="Q30" s="55" t="s">
        <v>77</v>
      </c>
      <c r="R30" s="55" t="s">
        <v>395</v>
      </c>
    </row>
    <row r="31" spans="1:18" x14ac:dyDescent="0.25">
      <c r="A31" s="55" t="s">
        <v>433</v>
      </c>
      <c r="B31" s="55" t="s">
        <v>392</v>
      </c>
      <c r="C31" s="55" t="s">
        <v>334</v>
      </c>
      <c r="D31" s="55" t="s">
        <v>433</v>
      </c>
      <c r="E31" s="63">
        <v>1</v>
      </c>
      <c r="F31" s="61">
        <v>43726</v>
      </c>
      <c r="G31" s="55" t="s">
        <v>434</v>
      </c>
      <c r="H31" s="55" t="s">
        <v>317</v>
      </c>
      <c r="I31" s="55" t="s">
        <v>336</v>
      </c>
      <c r="J31" s="60" t="s">
        <v>315</v>
      </c>
      <c r="K31" s="55">
        <v>-4481.1512855999999</v>
      </c>
      <c r="L31" s="61" t="s">
        <v>321</v>
      </c>
      <c r="M31" s="55" t="s">
        <v>8</v>
      </c>
      <c r="N31" s="55" t="s">
        <v>364</v>
      </c>
      <c r="O31" s="55" t="s">
        <v>314</v>
      </c>
      <c r="P31" s="55" t="s">
        <v>435</v>
      </c>
      <c r="Q31" s="55" t="s">
        <v>77</v>
      </c>
      <c r="R31" s="55" t="s">
        <v>395</v>
      </c>
    </row>
    <row r="32" spans="1:18" x14ac:dyDescent="0.25">
      <c r="A32" s="55" t="s">
        <v>436</v>
      </c>
      <c r="B32" s="55" t="s">
        <v>392</v>
      </c>
      <c r="C32" s="55" t="s">
        <v>334</v>
      </c>
      <c r="D32" s="55" t="s">
        <v>436</v>
      </c>
      <c r="E32" s="63">
        <v>1</v>
      </c>
      <c r="F32" s="61">
        <v>43726</v>
      </c>
      <c r="G32" s="55" t="s">
        <v>437</v>
      </c>
      <c r="H32" s="55" t="s">
        <v>317</v>
      </c>
      <c r="I32" s="55" t="s">
        <v>336</v>
      </c>
      <c r="J32" s="60" t="s">
        <v>315</v>
      </c>
      <c r="K32" s="55">
        <v>-239.74224599999999</v>
      </c>
      <c r="L32" s="61" t="s">
        <v>321</v>
      </c>
      <c r="M32" s="55" t="s">
        <v>8</v>
      </c>
      <c r="N32" s="55" t="s">
        <v>364</v>
      </c>
      <c r="O32" s="55" t="s">
        <v>314</v>
      </c>
      <c r="P32" s="55" t="s">
        <v>438</v>
      </c>
      <c r="Q32" s="55" t="s">
        <v>77</v>
      </c>
      <c r="R32" s="55" t="s">
        <v>395</v>
      </c>
    </row>
    <row r="33" spans="1:18" x14ac:dyDescent="0.25">
      <c r="A33" s="55" t="s">
        <v>439</v>
      </c>
      <c r="B33" s="55" t="s">
        <v>412</v>
      </c>
      <c r="C33" s="55" t="s">
        <v>357</v>
      </c>
      <c r="D33" s="55" t="s">
        <v>439</v>
      </c>
      <c r="E33" s="63">
        <v>1</v>
      </c>
      <c r="F33" s="61">
        <v>43726</v>
      </c>
      <c r="G33" s="55" t="s">
        <v>440</v>
      </c>
      <c r="H33" s="55" t="s">
        <v>317</v>
      </c>
      <c r="I33" s="55" t="s">
        <v>359</v>
      </c>
      <c r="J33" s="60" t="s">
        <v>315</v>
      </c>
      <c r="K33" s="55">
        <v>34470</v>
      </c>
      <c r="L33" s="61" t="s">
        <v>322</v>
      </c>
      <c r="M33" s="55" t="s">
        <v>8</v>
      </c>
      <c r="N33" s="55" t="s">
        <v>389</v>
      </c>
      <c r="O33" s="55" t="s">
        <v>314</v>
      </c>
      <c r="P33" s="55" t="s">
        <v>441</v>
      </c>
      <c r="Q33" s="55" t="s">
        <v>77</v>
      </c>
      <c r="R33" s="55" t="s">
        <v>395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Accounts!$L:$L</xm:f>
          </x14:formula1>
          <xm:sqref>M22:M1048576</xm:sqref>
        </x14:dataValidation>
        <x14:dataValidation type="list" allowBlank="1" showInputMessage="1" showErrorMessage="1" xr:uid="{107D1911-AEDC-4636-812D-D33F518BE1EA}">
          <x14:formula1>
            <xm:f>Accounts!$J:$J</xm:f>
          </x14:formula1>
          <xm:sqref>J22:K1048576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311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310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50081113 ACCOUNTS-FIRSTDIR-EXT</v>
      </c>
      <c r="T2" s="26" t="str">
        <f ca="1">S2</f>
        <v>50081113 ACCOUNTS-FIRSTDIR-EXT</v>
      </c>
      <c r="U2" s="8">
        <f ca="1">RANDBETWEEN(0,99999999)</f>
        <v>50081113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67222630 ACCOUNTS-SANTANDE-EXT</v>
      </c>
      <c r="T3" s="26" t="str">
        <f t="shared" ref="T3:T23" ca="1" si="3">S3</f>
        <v>67222630 ACCOUNTS-SANTANDE-EXT</v>
      </c>
      <c r="U3" s="8">
        <f t="shared" ref="U3:U23" ca="1" si="4">RANDBETWEEN(0,99999999)</f>
        <v>67222630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32089070 ACCOUNTS-SMILE-EXT</v>
      </c>
      <c r="T4" s="26" t="str">
        <f t="shared" ca="1" si="3"/>
        <v>32089070 ACCOUNTS-SMILE-EXT</v>
      </c>
      <c r="U4" s="8">
        <f t="shared" ca="1" si="4"/>
        <v>32089070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21111939 ACCOUNTS-NATIONWI-EXT</v>
      </c>
      <c r="T5" s="26" t="str">
        <f t="shared" ca="1" si="3"/>
        <v>21111939 ACCOUNTS-NATIONWI-EXT</v>
      </c>
      <c r="U5" s="8">
        <f t="shared" ca="1" si="4"/>
        <v>21111939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22811416 ACCOUNTS-THECOOP-EXT</v>
      </c>
      <c r="T6" s="26" t="str">
        <f t="shared" ca="1" si="3"/>
        <v>22811416 ACCOUNTS-THECOOP-EXT</v>
      </c>
      <c r="U6" s="8">
        <f t="shared" ca="1" si="4"/>
        <v>22811416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59990318 ACCOUNTS-HALIFAX -EXT</v>
      </c>
      <c r="T7" s="26" t="str">
        <f t="shared" ca="1" si="3"/>
        <v>59990318 ACCOUNTS-HALIFAX -EXT</v>
      </c>
      <c r="U7" s="8">
        <f t="shared" ca="1" si="4"/>
        <v>59990318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31483745 ACCOUNTS-TSB -EXT</v>
      </c>
      <c r="T8" s="26" t="str">
        <f t="shared" ca="1" si="3"/>
        <v>31483745 ACCOUNTS-TSB -EXT</v>
      </c>
      <c r="U8" s="8">
        <f t="shared" ca="1" si="4"/>
        <v>31483745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96406603 ACCOUNTS-BANKOFSC-EXT</v>
      </c>
      <c r="T9" s="26" t="str">
        <f t="shared" ca="1" si="3"/>
        <v>96406603 ACCOUNTS-BANKOFSC-EXT</v>
      </c>
      <c r="U9" s="8">
        <f t="shared" ca="1" si="4"/>
        <v>96406603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92828330 ACCOUNTS-YORKSHIR-EXT</v>
      </c>
      <c r="T10" s="26" t="str">
        <f t="shared" ca="1" si="3"/>
        <v>92828330 ACCOUNTS-YORKSHIR-EXT</v>
      </c>
      <c r="U10" s="8">
        <f t="shared" ca="1" si="4"/>
        <v>92828330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77188570 ACCOUNTS-LLOYDSBA-EXT</v>
      </c>
      <c r="T11" s="26" t="str">
        <f t="shared" ca="1" si="3"/>
        <v>77188570 ACCOUNTS-LLOYDSBA-EXT</v>
      </c>
      <c r="U11" s="8">
        <f t="shared" ca="1" si="4"/>
        <v>77188570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3532779 ACCOUNTS-HSBC -EXT</v>
      </c>
      <c r="T12" s="26" t="str">
        <f t="shared" ca="1" si="3"/>
        <v>3532779 ACCOUNTS-HSBC -EXT</v>
      </c>
      <c r="U12" s="8">
        <f t="shared" ca="1" si="4"/>
        <v>3532779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94908792 RECON-FIRSTDIR-EXT</v>
      </c>
      <c r="T13" s="26" t="str">
        <f t="shared" ca="1" si="3"/>
        <v>94908792 RECON-FIRSTDIR-EXT</v>
      </c>
      <c r="U13" s="8">
        <f t="shared" ca="1" si="4"/>
        <v>94908792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3580586 RECON-SANTANDE-EXT</v>
      </c>
      <c r="T14" s="26" t="str">
        <f t="shared" ca="1" si="3"/>
        <v>3580586 RECON-SANTANDE-EXT</v>
      </c>
      <c r="U14" s="8">
        <f t="shared" ca="1" si="4"/>
        <v>3580586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53148803 RECON-SMILE-EXT</v>
      </c>
      <c r="T15" s="26" t="str">
        <f t="shared" ca="1" si="3"/>
        <v>53148803 RECON-SMILE-EXT</v>
      </c>
      <c r="U15" s="8">
        <f t="shared" ca="1" si="4"/>
        <v>53148803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82610743 RECON-NATIONWI-EXT</v>
      </c>
      <c r="T16" s="26" t="str">
        <f t="shared" ca="1" si="3"/>
        <v>82610743 RECON-NATIONWI-EXT</v>
      </c>
      <c r="U16" s="8">
        <f t="shared" ca="1" si="4"/>
        <v>82610743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57005067 RECON-THECOOP-EXT</v>
      </c>
      <c r="T17" s="26" t="str">
        <f t="shared" ca="1" si="3"/>
        <v>57005067 RECON-THECOOP-EXT</v>
      </c>
      <c r="U17" s="8">
        <f t="shared" ca="1" si="4"/>
        <v>57005067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79385986 RECON-HALIFAX -EXT</v>
      </c>
      <c r="T18" s="26" t="str">
        <f t="shared" ca="1" si="3"/>
        <v>79385986 RECON-HALIFAX -EXT</v>
      </c>
      <c r="U18" s="8">
        <f t="shared" ca="1" si="4"/>
        <v>79385986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47771081 RECON-TSB -EXT</v>
      </c>
      <c r="T19" s="26" t="str">
        <f t="shared" ca="1" si="3"/>
        <v>47771081 RECON-TSB -EXT</v>
      </c>
      <c r="U19" s="8">
        <f t="shared" ca="1" si="4"/>
        <v>47771081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1910673 RECON-BANKOFSC-EXT</v>
      </c>
      <c r="T20" s="26" t="str">
        <f t="shared" ca="1" si="3"/>
        <v>1910673 RECON-BANKOFSC-EXT</v>
      </c>
      <c r="U20" s="8">
        <f t="shared" ca="1" si="4"/>
        <v>1910673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60675118 RECON-YORKSHIR-EXT</v>
      </c>
      <c r="T21" s="26" t="str">
        <f t="shared" ca="1" si="3"/>
        <v>60675118 RECON-YORKSHIR-EXT</v>
      </c>
      <c r="U21" s="8">
        <f t="shared" ca="1" si="4"/>
        <v>60675118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58714902 RECON-LLOYDSBA-EXT</v>
      </c>
      <c r="T22" s="26" t="str">
        <f t="shared" ca="1" si="3"/>
        <v>58714902 RECON-LLOYDSBA-EXT</v>
      </c>
      <c r="U22" s="8">
        <f t="shared" ca="1" si="4"/>
        <v>58714902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35833185 RECON-HSBC -EXT</v>
      </c>
      <c r="T23" s="26" t="str">
        <f t="shared" ca="1" si="3"/>
        <v>35833185 RECON-HSBC -EXT</v>
      </c>
      <c r="U23" s="8">
        <f t="shared" ca="1" si="4"/>
        <v>35833185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15697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11344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11354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4202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13039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-11005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-7446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-170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-14447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3683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1308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15817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11389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11309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4233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12967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-11042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-7441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-161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-14540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3640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1367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Setup</vt:lpstr>
      <vt:lpstr>SpotUpload</vt:lpstr>
      <vt:lpstr>Sheet3</vt:lpstr>
      <vt:lpstr>StatementUpload</vt:lpstr>
      <vt:lpstr>Accounts</vt:lpstr>
      <vt:lpstr>UC1FT</vt:lpstr>
      <vt:lpstr>UC1FX</vt:lpstr>
      <vt:lpstr>UC2FT</vt:lpstr>
      <vt:lpstr>UC2FX</vt:lpstr>
      <vt:lpstr>UC3FT</vt:lpstr>
      <vt:lpstr>UC3FX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2019-09-18T12:17:12Z</dcterms:modified>
</cp:coreProperties>
</file>