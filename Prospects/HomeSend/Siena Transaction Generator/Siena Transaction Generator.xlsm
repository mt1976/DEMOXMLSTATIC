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5745D1D0-FADC-4D13-AE81-87FB5DDC332F}" xr6:coauthVersionLast="41" xr6:coauthVersionMax="45" xr10:uidLastSave="{00000000-0000-0000-0000-000000000000}"/>
  <bookViews>
    <workbookView xWindow="-120" yWindow="-120" windowWidth="29040" windowHeight="15990" tabRatio="997" activeTab="1" xr2:uid="{00000000-000D-0000-FFFF-FFFF00000000}"/>
  </bookViews>
  <sheets>
    <sheet name="Setup" sheetId="8" r:id="rId1"/>
    <sheet name="ACC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ACCTS!$A$1:$U$81</definedName>
    <definedName name="_xlnm._FilterDatabase" localSheetId="5" hidden="1">HSFT!$A$1:$O$1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97" l="1"/>
  <c r="O2" i="97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T35" i="85" s="1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T54" i="85"/>
  <c r="F44" i="85"/>
  <c r="S44" i="85"/>
  <c r="T44" i="85"/>
  <c r="U59" i="85"/>
  <c r="S59" i="85" s="1"/>
  <c r="U51" i="85"/>
  <c r="S51" i="85" s="1"/>
  <c r="W46" i="85"/>
  <c r="W55" i="85"/>
  <c r="W52" i="85"/>
  <c r="W44" i="85"/>
  <c r="S42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T27" i="85"/>
  <c r="F27" i="85"/>
  <c r="T42" i="85"/>
  <c r="W38" i="85"/>
  <c r="T31" i="85"/>
  <c r="W30" i="85"/>
  <c r="T26" i="85"/>
  <c r="W40" i="85"/>
  <c r="W37" i="85"/>
  <c r="W32" i="85"/>
  <c r="W29" i="85"/>
  <c r="W25" i="85"/>
  <c r="F41" i="85" l="1"/>
  <c r="S55" i="85"/>
  <c r="L76" i="85"/>
  <c r="W56" i="85"/>
  <c r="U77" i="85"/>
  <c r="S77" i="85" s="1"/>
  <c r="S39" i="85"/>
  <c r="U71" i="85"/>
  <c r="S71" i="85" s="1"/>
  <c r="T77" i="85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79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F75" i="85" l="1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T7" i="85" l="1"/>
  <c r="F13" i="85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<sst xmlns="http://schemas.openxmlformats.org/spreadsheetml/2006/main" count="2202" uniqueCount="467">
  <si>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</si>
  <si>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</si>
  <si>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</si>
  <si>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</si>
  <si>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</si>
  <si>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</si>
  <si>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</si>
  <si>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</si>
  <si>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</si>
  <si>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</si>
  <si>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</si>
  <si>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</si>
  <si>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</si>
  <si>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</si>
  <si>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</si>
  <si>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</si>
  <si>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</si>
  <si>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</si>
  <si>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</si>
  <si>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</si>
  <si>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</si>
  <si>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</si>
  <si>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</si>
  <si>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</si>
  <si>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</si>
  <si>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</si>
  <si>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</si>
  <si>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</si>
  <si>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</si>
  <si>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</si>
  <si>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</si>
  <si>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</si>
  <si>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</si>
  <si>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</si>
  <si>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</si>
  <si>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</si>
  <si>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</si>
  <si>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</si>
  <si>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</si>
  <si>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</si>
  <si>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</si>
  <si>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</si>
  <si>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</si>
  <si>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</si>
  <si>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</si>
  <si>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</si>
  <si>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</si>
  <si>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</si>
  <si>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</si>
  <si>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</si>
  <si>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</si>
  <si>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</si>
  <si>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</si>
  <si>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</si>
  <si>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</si>
  <si>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</si>
  <si>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</si>
  <si>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</si>
  <si>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</si>
  <si>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</si>
  <si>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</si>
  <si>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</si>
  <si>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</si>
  <si>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</si>
  <si>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</si>
  <si>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</si>
  <si>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</si>
  <si>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</si>
  <si>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</si>
  <si>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</si>
  <si>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</si>
  <si>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</si>
  <si>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</si>
  <si>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</si>
  <si>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</si>
  <si>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</si>
  <si>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</si>
  <si>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</si>
  <si>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</si>
  <si>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</si>
  <si>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</si>
  <si>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</si>
  <si>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</si>
  <si>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</si>
  <si>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</si>
  <si>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</si>
  <si>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</si>
  <si>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</si>
  <si>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</si>
  <si>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</si>
  <si>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</si>
  <si>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</si>
  <si>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</si>
  <si>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</si>
  <si>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</si>
  <si>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</si>
  <si>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</si>
  <si>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</si>
  <si>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</si>
  <si>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</si>
  <si>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</si>
  <si>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</si>
  <si>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</si>
  <si>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</si>
  <si>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</si>
  <si>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</si>
  <si>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</si>
  <si>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</si>
  <si>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</si>
  <si>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</si>
  <si>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</si>
  <si>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</si>
  <si>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</si>
  <si>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</si>
  <si>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</si>
  <si>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</si>
  <si>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</si>
  <si>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</si>
  <si>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</si>
  <si>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</si>
  <si>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</si>
  <si>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</si>
  <si>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</si>
  <si>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</si>
  <si>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</si>
  <si>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</si>
  <si>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</si>
  <si>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</si>
  <si>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</si>
  <si>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</si>
  <si>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</si>
  <si>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</si>
  <si>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</si>
  <si>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</si>
  <si>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</si>
  <si>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</si>
  <si>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</si>
  <si>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</si>
  <si>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</si>
  <si>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</si>
  <si>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</si>
  <si>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</si>
  <si>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</si>
  <si>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</si>
  <si>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</si>
  <si>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</si>
  <si>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</si>
  <si>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</si>
  <si>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</si>
  <si>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</si>
  <si>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</si>
  <si>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</si>
  <si>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</si>
  <si>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</si>
  <si>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</si>
  <si>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</si>
  <si>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</si>
  <si>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</si>
  <si>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</si>
  <si>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</si>
  <si>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</si>
  <si>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</si>
  <si>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</si>
  <si>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</si>
  <si>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</si>
  <si>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</si>
  <si>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</si>
  <si>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</si>
  <si>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</si>
  <si>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</si>
  <si>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</si>
  <si>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</si>
  <si>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</si>
  <si>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</si>
  <si>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</si>
  <si>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</si>
  <si>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</si>
  <si>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</si>
  <si>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</si>
  <si>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</si>
  <si>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</si>
  <si>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</si>
  <si>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</si>
  <si>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</si>
  <si>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</si>
  <si>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</si>
  <si>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</si>
  <si>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</si>
  <si>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</si>
  <si>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</si>
  <si>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</si>
  <si>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</si>
  <si>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</si>
  <si>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</si>
  <si>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</si>
  <si>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</si>
  <si>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</si>
  <si>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</si>
  <si>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</si>
  <si>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</si>
  <si>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</si>
  <si>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</si>
  <si>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</si>
  <si>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</si>
  <si>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</si>
  <si>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</si>
  <si>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</si>
  <si>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</si>
  <si>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</si>
  <si>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</si>
  <si>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</si>
  <si>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</si>
  <si>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</si>
  <si>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</si>
  <si>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</si>
  <si>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</si>
  <si>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</si>
  <si>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</si>
  <si>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</si>
  <si>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</si>
  <si>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</si>
  <si>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</si>
  <si>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</si>
  <si>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</si>
  <si>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</si>
  <si>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</si>
  <si>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</si>
  <si>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</si>
  <si>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</si>
  <si>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</si>
  <si>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</si>
  <si>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</si>
  <si>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</si>
  <si>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</si>
  <si>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</si>
  <si>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</si>
  <si>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</si>
  <si>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</si>
  <si>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</si>
  <si>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</si>
  <si>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</si>
  <si>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</si>
  <si>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</si>
  <si>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</si>
  <si>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</si>
  <si>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</si>
  <si>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</si>
  <si>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</si>
  <si>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</si>
  <si>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</si>
  <si>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</si>
  <si>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</si>
  <si>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</si>
  <si>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</si>
  <si>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</si>
  <si>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</si>
  <si>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</si>
  <si>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</si>
  <si>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</si>
  <si>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</si>
  <si>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</si>
  <si>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</si>
  <si>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</si>
  <si>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</si>
  <si>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</si>
  <si>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</si>
  <si>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</si>
  <si>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</si>
  <si>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</si>
  <si>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</si>
  <si>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</si>
  <si>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</si>
  <si>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</si>
  <si>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</si>
  <si>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</si>
  <si>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</si>
  <si>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</si>
  <si>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</si>
  <si>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</si>
  <si>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</si>
  <si>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</si>
  <si>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</si>
  <si>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</si>
  <si>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</si>
  <si>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</si>
  <si>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</si>
  <si>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</si>
  <si>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</si>
  <si>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</si>
  <si>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</si>
  <si>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</si>
  <si>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</si>
  <si>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</si>
  <si>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</si>
  <si>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</si>
  <si>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</si>
  <si>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</si>
  <si>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</si>
  <si>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</si>
  <si>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</si>
  <si>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</si>
  <si>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</si>
  <si>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</si>
  <si>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</si>
  <si>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</si>
  <si>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</si>
  <si>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</si>
  <si>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</si>
  <si>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</si>
  <si>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</si>
  <si>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</si>
  <si>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</si>
  <si>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</si>
  <si>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</si>
  <si>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</si>
  <si>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</si>
  <si>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</si>
  <si>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</si>
  <si>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</si>
  <si>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SELL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</si>
  <si>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</si>
  <si>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</si>
  <si>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</si>
  <si>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</si>
  <si>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</si>
  <si>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</si>
  <si>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</si>
  <si>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</si>
  <si>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</si>
  <si>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</si>
  <si>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</si>
  <si>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</si>
  <si>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</si>
  <si>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</si>
  <si>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</si>
  <si>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</si>
  <si>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</si>
  <si>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</si>
  <si>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FORECAST</t>
  </si>
  <si>
    <t>ext-u1-1031-2e9c5-0024</t>
  </si>
  <si>
    <t>[UC1]FX Trade                     [10:31]</t>
  </si>
  <si>
    <t>ext-u1-1300-2e9c5-0051</t>
  </si>
  <si>
    <t>[UC1]FX Trade                     [13:00]</t>
  </si>
  <si>
    <t>020efeab-0a07-92bb-9bad-207142598342-024</t>
  </si>
  <si>
    <t>668625ff-8e1a-871d-054c-837656eb05ff-025</t>
  </si>
  <si>
    <t>BDBUSD020EFEAB0A0792</t>
  </si>
  <si>
    <t>8bd3321e-69e9-28aa-a788-a4eac9b43551-051</t>
  </si>
  <si>
    <t>BDBUSD8BD3321E69E928</t>
  </si>
  <si>
    <t>USD.CUSTINSTF.CS0000</t>
  </si>
  <si>
    <t>USD.CASHTXF.CS000000</t>
  </si>
  <si>
    <t>ext-u3-0910-2e9c5-0009</t>
  </si>
  <si>
    <t>[UC3]Customer Payment Instruction [09:10]</t>
  </si>
  <si>
    <t>ext-u3-0910-2e9c5-0010</t>
  </si>
  <si>
    <t>ext-u3-0910-2e9c5-0011</t>
  </si>
  <si>
    <t>ext-u3-0910-2e9c5-0012</t>
  </si>
  <si>
    <t>ext-u3-0910-2e9c5-0013</t>
  </si>
  <si>
    <t>ext-u3-0910-2e9c5-0014</t>
  </si>
  <si>
    <t>ext-u3-0910-2e9c5-0015</t>
  </si>
  <si>
    <t>ext-u3-0910-2e9c5-0016</t>
  </si>
  <si>
    <t>ext-u3-0910-2e9c5-0017</t>
  </si>
  <si>
    <t>[UC3]Cash Transfer                [09:10]</t>
  </si>
  <si>
    <t>SGD.CUSTINSTF.CS0000</t>
  </si>
  <si>
    <t>SGD.CASHTXF.CS000000</t>
  </si>
  <si>
    <t>ext-u3-0910-2e9c5-0025</t>
  </si>
  <si>
    <t>ext-u3-0910-2e9c5-0026</t>
  </si>
  <si>
    <t>ext-u3-0910-2e9c5-0027</t>
  </si>
  <si>
    <t>ext-u3-0910-2e9c5-0028</t>
  </si>
  <si>
    <t>ext-u3-0910-2e9c5-0029</t>
  </si>
  <si>
    <t>ext-u3-0910-2e9c5-0030</t>
  </si>
  <si>
    <t>ext-u3-0910-2e9c5-0031</t>
  </si>
  <si>
    <t>ext-u3-0910-2e9c5-0032</t>
  </si>
  <si>
    <t>ext-u3-0910-2e9c5-0033</t>
  </si>
  <si>
    <t>USD.CUSTINSTA.CS0000</t>
  </si>
  <si>
    <t>USD.CASHTXA.CS000000</t>
  </si>
  <si>
    <t>ext-u3-0910-2e9c5-0042</t>
  </si>
  <si>
    <t>ext-u3-0910-2e9c5-0043</t>
  </si>
  <si>
    <t>ext-u3-0910-2e9c5-0044</t>
  </si>
  <si>
    <t>ext-u3-0910-2e9c5-0045</t>
  </si>
  <si>
    <t>ext-u3-0910-2e9c5-0046</t>
  </si>
  <si>
    <t>ext-u3-0910-2e9c5-0047</t>
  </si>
  <si>
    <t>ext-u3-0910-2e9c5-0048</t>
  </si>
  <si>
    <t>ext-u3-0910-2e9c5-0049</t>
  </si>
  <si>
    <t>ext-u3-0910-2e9c5-0050</t>
  </si>
  <si>
    <t>SGD.CUSTINSTA.CS0000</t>
  </si>
  <si>
    <t>SGD.CASHTXA.CS000000</t>
  </si>
  <si>
    <t>ext-u3-0910-2e9c5-0058</t>
  </si>
  <si>
    <t>ext-u3-0910-2e9c5-0059</t>
  </si>
  <si>
    <t>ext-u3-0910-2e9c5-0060</t>
  </si>
  <si>
    <t>ext-u3-0910-2e9c5-0061</t>
  </si>
  <si>
    <t>ext-u3-0910-2e9c5-0062</t>
  </si>
  <si>
    <t>ext-u3-0910-2e9c5-0063</t>
  </si>
  <si>
    <t>ext-u3-0910-2e9c5-0064</t>
  </si>
  <si>
    <t>ext-u3-0910-2e9c5-0065</t>
  </si>
  <si>
    <t>ext-u3-0910-2e9c5-0066</t>
  </si>
  <si>
    <t>7e85884b-510e-19de-6470-7a3ff1757255-009</t>
  </si>
  <si>
    <t>CS7E85884B510E19DE64</t>
  </si>
  <si>
    <t>cd3874db-1493-8163-7a92-51ba0b954586-010</t>
  </si>
  <si>
    <t>CSCD3874DB149381637A</t>
  </si>
  <si>
    <t>4184764a-7418-5c6a-2fd8-00baae570d06-011</t>
  </si>
  <si>
    <t>CS4184764A74185C6A2F</t>
  </si>
  <si>
    <t>9343482d-58fb-23ad-9fee-1dd76347545a-012</t>
  </si>
  <si>
    <t>CS9343482D58FB23AD9F</t>
  </si>
  <si>
    <t>995e9fce-149f-5d1b-9535-e0d52f1c0317-013</t>
  </si>
  <si>
    <t>CS995E9FCE149F5D1B95</t>
  </si>
  <si>
    <t>73085165-2e7a-3e70-0653-003342fda5bb-014</t>
  </si>
  <si>
    <t>CS730851652E7A3E7006</t>
  </si>
  <si>
    <t>6a87315b-1727-4fc9-7b87-b09f434c467b-015</t>
  </si>
  <si>
    <t>CS6A87315B17274FC97B</t>
  </si>
  <si>
    <t>027901ec-582a-55d1-9eac-db76e40c3a0d-016</t>
  </si>
  <si>
    <t>CS027901EC582A55D19E</t>
  </si>
  <si>
    <t>f2058383-214d-0a80-728f-bcbb284060ac-017</t>
  </si>
  <si>
    <t>CSF2058383214D0A8072</t>
  </si>
  <si>
    <t>d20b7b91-2553-8447-2245-c45bfdc01314-025</t>
  </si>
  <si>
    <t>CSD20B7B912553844722</t>
  </si>
  <si>
    <t>2b3ecc56-48fd-0551-929c-f88cfbdc4a21-026</t>
  </si>
  <si>
    <t>CS2B3ECC5648FD055192</t>
  </si>
  <si>
    <t>aaff71e1-7b53-0c85-79bb-b9a9af463659-027</t>
  </si>
  <si>
    <t>CSAAFF71E17B530C8579</t>
  </si>
  <si>
    <t>98c5921f-23f5-9cce-2b1e-016495243994-028</t>
  </si>
  <si>
    <t>CS98C5921F23F59CCE2B</t>
  </si>
  <si>
    <t>d713e7d5-99d4-9f18-7121-66e955301d6a-029</t>
  </si>
  <si>
    <t>CSD713E7D599D49F1871</t>
  </si>
  <si>
    <t>cb46d50b-3d2a-5850-46a7-e41c31c6a667-030</t>
  </si>
  <si>
    <t>CSCB46D50B3D2A585046</t>
  </si>
  <si>
    <t>40b38b7b-5160-0b9e-5437-1fe6f60e1615-031</t>
  </si>
  <si>
    <t>CS40B38B7B51600B9E54</t>
  </si>
  <si>
    <t>e5256926-6324-7b59-62fd-033a859558b9-032</t>
  </si>
  <si>
    <t>CSE525692663247B5962</t>
  </si>
  <si>
    <t>a765cd9f-3b65-781c-6f39-7578843337f6-033</t>
  </si>
  <si>
    <t>CSA765CD9F3B65781C6F</t>
  </si>
  <si>
    <t>57112049-2172-4021-812d-47489c14a078-042</t>
  </si>
  <si>
    <t>CS571120492172402181</t>
  </si>
  <si>
    <t>b8a31d89-a27c-91e4-2372-297b60e7564d-043</t>
  </si>
  <si>
    <t>CSB8A31D89A27C91E423</t>
  </si>
  <si>
    <t>59835350-75e2-20a5-6692-728affe48f37-044</t>
  </si>
  <si>
    <t>CS5983535075E220A566</t>
  </si>
  <si>
    <t>90e737dc-9414-2566-5caf-d5d169b39eff-045</t>
  </si>
  <si>
    <t>CS90E737DC941425665C</t>
  </si>
  <si>
    <t>7eed79bf-89b3-7ffc-1357-89e8b06f8b9a-046</t>
  </si>
  <si>
    <t>CS7EED79BF89B37FFC13</t>
  </si>
  <si>
    <t>15ab37ea-793c-071b-a108-cc90dbe59a8a-047</t>
  </si>
  <si>
    <t>CS15AB37EA793C071BA1</t>
  </si>
  <si>
    <t>2e9234cc-3a48-77e9-0aec-397860a86632-048</t>
  </si>
  <si>
    <t>CS2E9234CC3A4877E90A</t>
  </si>
  <si>
    <t>12494d6a-35d9-8168-633c-99b2fbb30f77-049</t>
  </si>
  <si>
    <t>CS12494D6A35D9816863</t>
  </si>
  <si>
    <t>0f5f39b0-23e8-5fa2-4890-57d7522d5d85-050</t>
  </si>
  <si>
    <t>CS0F5F39B023E85FA248</t>
  </si>
  <si>
    <t>fea249ff-5f7d-221d-5a01-e96422f19023-058</t>
  </si>
  <si>
    <t>CSFEA249FF5F7D221D5A</t>
  </si>
  <si>
    <t>4df63f31-5262-9dd0-69a3-ddd17687475d-059</t>
  </si>
  <si>
    <t>CS4DF63F3152629DD069</t>
  </si>
  <si>
    <t>35ce03dd-888f-7260-4f4c-ebffe2fb5261-060</t>
  </si>
  <si>
    <t>CS35CE03DD888F72604F</t>
  </si>
  <si>
    <t>a54011ae-5fe5-010f-3b5c-fa84c9904c7e-061</t>
  </si>
  <si>
    <t>CSA54011AE5FE5010F3B</t>
  </si>
  <si>
    <t>f72978db-68d6-3041-5e85-6fa2c1dd9cd7-062</t>
  </si>
  <si>
    <t>CSF72978DB68D630415E</t>
  </si>
  <si>
    <t>11d5cc3a-3de2-42db-1216-1175c0318b7f-063</t>
  </si>
  <si>
    <t>CS11D5CC3A3DE242DB12</t>
  </si>
  <si>
    <t>aaa30448-644a-2cf9-3d00-ad85be3a0b95-064</t>
  </si>
  <si>
    <t>CSAAA30448644A2CF93D</t>
  </si>
  <si>
    <t>c9229623-943f-2a90-0067-fe0db6af9ac1-065</t>
  </si>
  <si>
    <t>CSC9229623943F2A9000</t>
  </si>
  <si>
    <t>4c9dd892-60ed-14a4-64b7-31ed1f4225d1-066</t>
  </si>
  <si>
    <t>CS4C9DD89260ED14A464</t>
  </si>
  <si>
    <t>/Users/matttownsend/Google Drive/eurobase/repos/ebSiena-DemoSystemData/Prospects/HomeSend/XML Deal Generator/DATA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</si>
</sst>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4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4" sqref="B4"/>
    </sheetView>
  </sheetViews>
  <sheetFormatPr defaultColWidth="8.85546875" defaultRowHeight="15" x14ac:dyDescent="0.25"/>
  <cols>
    <col min="1" max="1" width="14" customWidth="1"/>
    <col min="2" max="2" width="101.42578125" customWidth="1"/>
  </cols>
  <sheetData>
    <row r="1" spans="1:2" x14ac:dyDescent="0.25">
      <c r="A1" s="1" t="s">
        <v>0</v>
      </c>
      <c r="B1" s="6" t="s">
        <v>466</v>
      </c>
    </row>
    <row r="2" spans="1:2" x14ac:dyDescent="0.25">
      <c r="A2" s="22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318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 t="s">
        <v>335</v>
      </c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83"/>
  <sheetViews>
    <sheetView tabSelected="1" topLeftCell="P1" zoomScaleNormal="100" workbookViewId="0">
      <selection activeCell="S16" sqref="S16"/>
    </sheetView>
  </sheetViews>
  <sheetFormatPr defaultColWidth="16" defaultRowHeight="12" x14ac:dyDescent="0.15"/>
  <cols>
    <col min="1" max="1" width="48" style="46" bestFit="1" customWidth="1"/>
    <col min="2" max="2" width="4" style="46" customWidth="1"/>
    <col min="3" max="3" width="4.85546875" style="46" customWidth="1"/>
    <col min="4" max="4" width="3" style="46" customWidth="1"/>
    <col min="5" max="5" width="15.85546875" style="49" bestFit="1" customWidth="1"/>
    <col min="6" max="6" width="32.140625" style="46" bestFit="1" customWidth="1"/>
    <col min="7" max="7" width="25" style="46" bestFit="1" customWidth="1"/>
    <col min="8" max="8" width="2.7109375" style="46" customWidth="1"/>
    <col min="9" max="9" width="3.28515625" style="46" customWidth="1"/>
    <col min="10" max="10" width="21.42578125" style="46" bestFit="1" customWidth="1"/>
    <col min="11" max="11" width="19" style="46" bestFit="1" customWidth="1"/>
    <col min="12" max="12" width="13.42578125" style="46" bestFit="1" customWidth="1"/>
    <col min="13" max="13" width="16.7109375" style="49" bestFit="1" customWidth="1"/>
    <col min="14" max="14" width="20.140625" style="46" bestFit="1" customWidth="1"/>
    <col min="15" max="15" width="26.140625" style="46" bestFit="1" customWidth="1"/>
    <col min="16" max="16" width="25" style="46" bestFit="1" customWidth="1"/>
    <col min="17" max="17" width="27.42578125" style="46" bestFit="1" customWidth="1"/>
    <col min="18" max="18" width="22.7109375" style="46" bestFit="1" customWidth="1"/>
    <col min="19" max="19" width="45.42578125" style="46" bestFit="1" customWidth="1"/>
    <col min="20" max="20" width="37.42578125" style="46" bestFit="1" customWidth="1"/>
    <col min="21" max="21" width="26.140625" style="46" bestFit="1" customWidth="1"/>
    <col min="22" max="22" width="20" style="46" bestFit="1" customWidth="1"/>
    <col min="23" max="16384" width="16" style="46"/>
  </cols>
  <sheetData>
    <row r="1" spans="1:23" x14ac:dyDescent="0.15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6" t="s">
        <v>84</v>
      </c>
    </row>
    <row r="2" spans="1:23" x14ac:dyDescent="0.15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004524b8-9342-5ea3-3a2e-55917d9f831d-aa2</v>
      </c>
      <c r="B2" s="46" t="s">
        <v>78</v>
      </c>
      <c r="C2" s="46" t="str">
        <f ca="1">A2</f>
        <v>004524b8-9342-5ea3-3a2e-55917d9f831d-aa2</v>
      </c>
      <c r="D2" s="46">
        <v>1</v>
      </c>
      <c r="E2" s="47">
        <v>43466</v>
      </c>
      <c r="F2" s="48" t="str">
        <f>U2</f>
        <v>BRL.CASHTXA.BDB00000</v>
      </c>
      <c r="G2" s="46" t="s">
        <v>325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329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[BRL][2E9C6][BRL.CASHTXA.BDB00000][U1]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321</v>
      </c>
      <c r="W2" s="46" t="str">
        <f>IF(RIGHT(L2,1)="A","ACTUAL","FORECAST")</f>
        <v>ACTUAL</v>
      </c>
    </row>
    <row r="3" spans="1:23" x14ac:dyDescent="0.15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0bf63226-223d-a2dc-247b-8e0776ca4401-aa3</v>
      </c>
      <c r="B3" s="46" t="s">
        <v>78</v>
      </c>
      <c r="C3" s="46" t="str">
        <f t="shared" ref="C3:C21" ca="1" si="1">A3</f>
        <v>0bf63226-223d-a2dc-247b-8e0776ca4401-aa3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325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329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[USD][2E9C6][USD.CASHTXA.BDB00000][U1]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321</v>
      </c>
      <c r="W3" s="46" t="str">
        <f t="shared" ref="W3:W21" si="7">IF(RIGHT(L3,1)="A","ACTUAL","FORECAST")</f>
        <v>ACTUAL</v>
      </c>
    </row>
    <row r="4" spans="1:23" x14ac:dyDescent="0.15">
      <c r="A4" s="46" t="str">
        <f t="shared" ca="1" si="0"/>
        <v>f09573f0-967c-a144-29c7-86f849757ec4-aa4</v>
      </c>
      <c r="B4" s="46" t="s">
        <v>78</v>
      </c>
      <c r="C4" s="46" t="str">
        <f t="shared" ca="1" si="1"/>
        <v>f09573f0-967c-a144-29c7-86f849757ec4-aa4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325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330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[BRL][2E9C6][BRL.CASHTXF.BDB00000][U1]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321</v>
      </c>
      <c r="W4" s="46" t="str">
        <f t="shared" si="7"/>
        <v>FORECAST</v>
      </c>
    </row>
    <row r="5" spans="1:23" x14ac:dyDescent="0.15">
      <c r="A5" s="46" t="str">
        <f t="shared" ca="1" si="0"/>
        <v>fe3229c7-87ff-8841-71c3-61094a6f6945-aa5</v>
      </c>
      <c r="B5" s="46" t="s">
        <v>78</v>
      </c>
      <c r="C5" s="46" t="str">
        <f t="shared" ca="1" si="1"/>
        <v>fe3229c7-87ff-8841-71c3-61094a6f6945-aa5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325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330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[USD][2E9C6][USD.CASHTXF.BDB00000][U1]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321</v>
      </c>
      <c r="W5" s="46" t="str">
        <f t="shared" si="7"/>
        <v>FORECAST</v>
      </c>
    </row>
    <row r="6" spans="1:23" x14ac:dyDescent="0.15">
      <c r="A6" s="46" t="str">
        <f t="shared" ca="1" si="0"/>
        <v>521ccc01-2fc0-a4e5-44df-43c278210c06-aa6</v>
      </c>
      <c r="B6" s="46" t="s">
        <v>78</v>
      </c>
      <c r="C6" s="46" t="str">
        <f t="shared" ca="1" si="1"/>
        <v>521ccc01-2fc0-a4e5-44df-43c278210c06-aa6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325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328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[BRL][2E9C6][BRL.CUSTINSTA.BDB000][U1]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321</v>
      </c>
      <c r="W6" s="46" t="str">
        <f t="shared" si="7"/>
        <v>ACTUAL</v>
      </c>
    </row>
    <row r="7" spans="1:23" x14ac:dyDescent="0.15">
      <c r="A7" s="46" t="str">
        <f t="shared" ca="1" si="0"/>
        <v>365da39f-4bfb-a029-8575-40d7f7b388a6-aa7</v>
      </c>
      <c r="B7" s="46" t="s">
        <v>78</v>
      </c>
      <c r="C7" s="46" t="str">
        <f t="shared" ca="1" si="1"/>
        <v>365da39f-4bfb-a029-8575-40d7f7b388a6-aa7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325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328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[USD][2E9C6][USD.CUSTINSTA.BDB000][U1]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321</v>
      </c>
      <c r="W7" s="46" t="str">
        <f t="shared" si="7"/>
        <v>ACTUAL</v>
      </c>
    </row>
    <row r="8" spans="1:23" x14ac:dyDescent="0.15">
      <c r="A8" s="46" t="str">
        <f t="shared" ca="1" si="0"/>
        <v>5bb224d1-4905-1922-631a-e817dd58a32b-aa8</v>
      </c>
      <c r="B8" s="46" t="s">
        <v>78</v>
      </c>
      <c r="C8" s="46" t="str">
        <f t="shared" ca="1" si="1"/>
        <v>5bb224d1-4905-1922-631a-e817dd58a32b-aa8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325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327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[BRL][2E9C6][BRL.CUSTINSTF.BDB000][U1]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321</v>
      </c>
      <c r="W8" s="46" t="str">
        <f t="shared" si="7"/>
        <v>FORECAST</v>
      </c>
    </row>
    <row r="9" spans="1:23" x14ac:dyDescent="0.15">
      <c r="A9" s="46" t="str">
        <f t="shared" ca="1" si="0"/>
        <v>9fa2004b-196b-0c9e-09d6-e52ad0f933ee-aa9</v>
      </c>
      <c r="B9" s="46" t="s">
        <v>78</v>
      </c>
      <c r="C9" s="46" t="str">
        <f t="shared" ca="1" si="1"/>
        <v>9fa2004b-196b-0c9e-09d6-e52ad0f933ee-aa9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325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327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[USD][2E9C6][USD.CUSTINSTF.BDB000][U1]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321</v>
      </c>
      <c r="W9" s="46" t="str">
        <f t="shared" si="7"/>
        <v>FORECAST</v>
      </c>
    </row>
    <row r="10" spans="1:23" x14ac:dyDescent="0.15">
      <c r="A10" s="46" t="str">
        <f t="shared" ca="1" si="0"/>
        <v>c6affc9a-4ce2-3c58-7162-4eaa81f0a102-a1a</v>
      </c>
      <c r="B10" s="46" t="s">
        <v>78</v>
      </c>
      <c r="C10" s="46" t="str">
        <f t="shared" ca="1" si="1"/>
        <v>c6affc9a-4ce2-3c58-7162-4eaa81f0a102-a1a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325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326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[BRL][2E9C6][BRL.FXA.BDB000000000][U1]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321</v>
      </c>
      <c r="W10" s="46" t="str">
        <f t="shared" si="7"/>
        <v>ACTUAL</v>
      </c>
    </row>
    <row r="11" spans="1:23" x14ac:dyDescent="0.15">
      <c r="A11" s="46" t="str">
        <f t="shared" ca="1" si="0"/>
        <v>26a44d7b-a0cf-0dcb-6c5a-8a82f2db9159-a11</v>
      </c>
      <c r="B11" s="46" t="s">
        <v>78</v>
      </c>
      <c r="C11" s="46" t="str">
        <f t="shared" ca="1" si="1"/>
        <v>26a44d7b-a0cf-0dcb-6c5a-8a82f2db9159-a11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325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326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[USD][2E9C6][USD.FXA.BDB000000000][U1]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321</v>
      </c>
      <c r="W11" s="46" t="str">
        <f t="shared" si="7"/>
        <v>ACTUAL</v>
      </c>
    </row>
    <row r="12" spans="1:23" x14ac:dyDescent="0.15">
      <c r="A12" s="46" t="str">
        <f t="shared" ca="1" si="0"/>
        <v>348561af-556a-8ebd-0457-a9374aab5d59-a12</v>
      </c>
      <c r="B12" s="46" t="s">
        <v>78</v>
      </c>
      <c r="C12" s="46" t="str">
        <f t="shared" ca="1" si="1"/>
        <v>348561af-556a-8ebd-0457-a9374aab5d59-a12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325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323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[BRL][2E9C6][BRL.FXF.BDB000000000][U1]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321</v>
      </c>
      <c r="W12" s="46" t="str">
        <f t="shared" si="7"/>
        <v>FORECAST</v>
      </c>
    </row>
    <row r="13" spans="1:23" x14ac:dyDescent="0.15">
      <c r="A13" s="46" t="str">
        <f t="shared" ca="1" si="0"/>
        <v>eb45917e-7f7a-12ef-0771-2162d0b538eb-a13</v>
      </c>
      <c r="B13" s="46" t="s">
        <v>78</v>
      </c>
      <c r="C13" s="46" t="str">
        <f t="shared" ca="1" si="1"/>
        <v>eb45917e-7f7a-12ef-0771-2162d0b538eb-a13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325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323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[USD][2E9C6][USD.FXF.BDB000000000][U1]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321</v>
      </c>
      <c r="W13" s="46" t="str">
        <f t="shared" si="7"/>
        <v>FORECAST</v>
      </c>
    </row>
    <row r="14" spans="1:23" x14ac:dyDescent="0.15">
      <c r="A14" s="46" t="str">
        <f t="shared" ca="1" si="0"/>
        <v>cbfea907-36be-9e08-6b45-fe015bc35edd-a14</v>
      </c>
      <c r="B14" s="46" t="s">
        <v>78</v>
      </c>
      <c r="C14" s="46" t="str">
        <f t="shared" ca="1" si="1"/>
        <v>cbfea907-36be-9e08-6b45-fe015bc35edd-a14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325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331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[BRL][2E9C6][BRL.LOCKFXA.BDB00000][U1]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321</v>
      </c>
      <c r="W14" s="46" t="str">
        <f t="shared" si="7"/>
        <v>ACTUAL</v>
      </c>
    </row>
    <row r="15" spans="1:23" x14ac:dyDescent="0.15">
      <c r="A15" s="46" t="str">
        <f t="shared" ca="1" si="0"/>
        <v>9ffdb9fc-0396-4180-0bf7-babaf2491506-a15</v>
      </c>
      <c r="B15" s="46" t="s">
        <v>78</v>
      </c>
      <c r="C15" s="46" t="str">
        <f t="shared" ca="1" si="1"/>
        <v>9ffdb9fc-0396-4180-0bf7-babaf2491506-a15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325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331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[USD][2E9C6][USD.LOCKFXA.BDB00000][U1]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321</v>
      </c>
      <c r="W15" s="46" t="str">
        <f t="shared" si="7"/>
        <v>ACTUAL</v>
      </c>
    </row>
    <row r="16" spans="1:23" x14ac:dyDescent="0.15">
      <c r="A16" s="46" t="str">
        <f t="shared" ca="1" si="0"/>
        <v>98ceea9d-8536-3b9e-509a-53b3437f0160-a16</v>
      </c>
      <c r="B16" s="46" t="s">
        <v>78</v>
      </c>
      <c r="C16" s="46" t="str">
        <f t="shared" ca="1" si="1"/>
        <v>98ceea9d-8536-3b9e-509a-53b3437f0160-a16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325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332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[BRL][2E9C6][BRL.LOCKFXF.BDB00000][U1]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321</v>
      </c>
      <c r="W16" s="46" t="str">
        <f t="shared" si="7"/>
        <v>FORECAST</v>
      </c>
    </row>
    <row r="17" spans="1:23" x14ac:dyDescent="0.15">
      <c r="A17" s="46" t="str">
        <f t="shared" ca="1" si="0"/>
        <v>c993a253-71ef-2e55-7e77-e5e9dd7309a9-a17</v>
      </c>
      <c r="B17" s="46" t="s">
        <v>78</v>
      </c>
      <c r="C17" s="46" t="str">
        <f t="shared" ca="1" si="1"/>
        <v>c993a253-71ef-2e55-7e77-e5e9dd7309a9-a17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325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332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[USD][2E9C6][USD.LOCKFXF.BDB00000][U1]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321</v>
      </c>
      <c r="W17" s="46" t="str">
        <f t="shared" si="7"/>
        <v>FORECAST</v>
      </c>
    </row>
    <row r="18" spans="1:23" x14ac:dyDescent="0.15">
      <c r="A18" s="46" t="str">
        <f t="shared" ca="1" si="0"/>
        <v>7cece8d9-189b-3927-6329-ff90f4f41708-a18</v>
      </c>
      <c r="B18" s="46" t="s">
        <v>78</v>
      </c>
      <c r="C18" s="46" t="str">
        <f t="shared" ca="1" si="1"/>
        <v>7cece8d9-189b-3927-6329-ff90f4f41708-a18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325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333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[BRL][2E9C6][BRL.LOCKINSTA.BDB000][U1]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321</v>
      </c>
      <c r="W18" s="46" t="str">
        <f t="shared" si="7"/>
        <v>ACTUAL</v>
      </c>
    </row>
    <row r="19" spans="1:23" x14ac:dyDescent="0.15">
      <c r="A19" s="46" t="str">
        <f t="shared" ca="1" si="0"/>
        <v>3292284e-2e99-9144-81df-d133471e8005-a19</v>
      </c>
      <c r="B19" s="46" t="s">
        <v>78</v>
      </c>
      <c r="C19" s="46" t="str">
        <f t="shared" ca="1" si="1"/>
        <v>3292284e-2e99-9144-81df-d133471e8005-a19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325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333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[USD][2E9C6][USD.LOCKINSTA.BDB000][U1]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321</v>
      </c>
      <c r="W19" s="46" t="str">
        <f t="shared" si="7"/>
        <v>ACTUAL</v>
      </c>
    </row>
    <row r="20" spans="1:23" x14ac:dyDescent="0.15">
      <c r="A20" s="46" t="str">
        <f t="shared" ca="1" si="0"/>
        <v>a6353042-5d28-4608-49fc-0de5d6fc0422-a2a</v>
      </c>
      <c r="B20" s="46" t="s">
        <v>78</v>
      </c>
      <c r="C20" s="46" t="str">
        <f t="shared" ca="1" si="1"/>
        <v>a6353042-5d28-4608-49fc-0de5d6fc0422-a2a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325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334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[BRL][2E9C6][BRL.LOCKINSTF.BDB000][U1]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321</v>
      </c>
      <c r="W20" s="46" t="str">
        <f t="shared" si="7"/>
        <v>FORECAST</v>
      </c>
    </row>
    <row r="21" spans="1:23" x14ac:dyDescent="0.15">
      <c r="A21" s="46" t="str">
        <f t="shared" ca="1" si="0"/>
        <v>0dc26a8e-3bca-297d-699c-7291c074a013-a21</v>
      </c>
      <c r="B21" s="46" t="s">
        <v>78</v>
      </c>
      <c r="C21" s="46" t="str">
        <f t="shared" ca="1" si="1"/>
        <v>0dc26a8e-3bca-297d-699c-7291c074a013-a21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325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334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[USD][2E9C6][USD.LOCKINSTF.BDB000][U1]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321</v>
      </c>
      <c r="W21" s="46" t="str">
        <f t="shared" si="7"/>
        <v>FORECAST</v>
      </c>
    </row>
    <row r="22" spans="1:23" x14ac:dyDescent="0.15">
      <c r="A22" s="46" t="str">
        <f t="shared" ca="1" si="0"/>
        <v>9105caaf-80b4-5524-61f3-50eaa09a6a24-a22</v>
      </c>
      <c r="B22" s="46" t="s">
        <v>78</v>
      </c>
      <c r="C22" s="46" t="str">
        <f t="shared" ref="C22" ca="1" si="13">A22</f>
        <v>9105caaf-80b4-5524-61f3-50eaa09a6a24-a22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336</v>
      </c>
      <c r="H22" s="46" t="s">
        <v>49</v>
      </c>
      <c r="I22" s="46">
        <f>I$2</f>
        <v>0</v>
      </c>
      <c r="J22" s="46" t="s">
        <v>320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[BDT][2E9C6][BDT.CASHTXA.SCB00000][U2]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321</v>
      </c>
      <c r="W22" s="46" t="str">
        <f t="shared" ref="W22" si="17">IF(RIGHT(L22,1)="A","ACTUAL","FORECAST")</f>
        <v>ACTUAL</v>
      </c>
    </row>
    <row r="23" spans="1:23" x14ac:dyDescent="0.15">
      <c r="A23" s="46" t="str">
        <f t="shared" ca="1" si="0"/>
        <v>b65563a1-5b5b-0adf-8500-d21239985a13-a23</v>
      </c>
      <c r="B23" s="46" t="s">
        <v>78</v>
      </c>
      <c r="C23" s="46" t="str">
        <f t="shared" ref="C23:C24" ca="1" si="18">A23</f>
        <v>b65563a1-5b5b-0adf-8500-d21239985a13-a23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336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[USD][2E9C6][USD.CASHTXA.SCB00000][U2]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321</v>
      </c>
      <c r="W23" s="46" t="str">
        <f t="shared" ref="W23:W24" si="23">IF(RIGHT(L23,1)="A","ACTUAL","FORECAST")</f>
        <v>ACTUAL</v>
      </c>
    </row>
    <row r="24" spans="1:23" x14ac:dyDescent="0.15">
      <c r="A24" s="46" t="str">
        <f t="shared" ca="1" si="0"/>
        <v>8d37dc23-0baf-a016-83d2-116f22a61179-a24</v>
      </c>
      <c r="B24" s="46" t="s">
        <v>78</v>
      </c>
      <c r="C24" s="46" t="str">
        <f t="shared" ca="1" si="18"/>
        <v>8d37dc23-0baf-a016-83d2-116f22a61179-a24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336</v>
      </c>
      <c r="H24" s="46" t="s">
        <v>49</v>
      </c>
      <c r="I24" s="46">
        <f>I$2</f>
        <v>0</v>
      </c>
      <c r="J24" s="46" t="s">
        <v>320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[BDT][2E9C6][BDT.CASHTXF.SCB00000][U2]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321</v>
      </c>
      <c r="W24" s="46" t="str">
        <f t="shared" si="23"/>
        <v>FORECAST</v>
      </c>
    </row>
    <row r="25" spans="1:23" x14ac:dyDescent="0.15">
      <c r="A25" s="46" t="str">
        <f t="shared" ca="1" si="0"/>
        <v>335c6e1e-3de1-a6f3-193f-13976dd25f8e-a25</v>
      </c>
      <c r="B25" s="46" t="s">
        <v>78</v>
      </c>
      <c r="C25" s="46" t="str">
        <f t="shared" ref="C25:C28" ca="1" si="24">A25</f>
        <v>335c6e1e-3de1-a6f3-193f-13976dd25f8e-a25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336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[USD][2E9C6][USD.CASHTXF.SCB00000][U2]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321</v>
      </c>
      <c r="W25" s="46" t="str">
        <f t="shared" ref="W25:W28" si="28">IF(RIGHT(L25,1)="A","ACTUAL","FORECAST")</f>
        <v>FORECAST</v>
      </c>
    </row>
    <row r="26" spans="1:23" x14ac:dyDescent="0.15">
      <c r="A26" s="46" t="str">
        <f t="shared" ca="1" si="0"/>
        <v>58d901fc-5e1d-2d2f-a0f4-6b09563d7bb5-a26</v>
      </c>
      <c r="B26" s="46" t="s">
        <v>78</v>
      </c>
      <c r="C26" s="46" t="str">
        <f t="shared" ca="1" si="24"/>
        <v>58d901fc-5e1d-2d2f-a0f4-6b09563d7bb5-a26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336</v>
      </c>
      <c r="H26" s="46" t="s">
        <v>49</v>
      </c>
      <c r="I26" s="46">
        <f t="shared" ref="I26:I81" si="29">I$2</f>
        <v>0</v>
      </c>
      <c r="J26" s="46" t="s">
        <v>320</v>
      </c>
      <c r="K26" s="46">
        <f t="shared" si="3"/>
        <v>0</v>
      </c>
      <c r="L26" s="46" t="str">
        <f t="shared" ref="L26:L81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[BDT][2E9C6][BDT.CUSTINSTA.SCB000][U2]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321</v>
      </c>
      <c r="W26" s="46" t="str">
        <f t="shared" si="28"/>
        <v>ACTUAL</v>
      </c>
    </row>
    <row r="27" spans="1:23" x14ac:dyDescent="0.15">
      <c r="A27" s="46" t="str">
        <f t="shared" ca="1" si="0"/>
        <v>99e8e073-0d00-4851-4162-1bc251453737-a27</v>
      </c>
      <c r="B27" s="46" t="s">
        <v>78</v>
      </c>
      <c r="C27" s="46" t="str">
        <f t="shared" ca="1" si="24"/>
        <v>99e8e073-0d00-4851-4162-1bc251453737-a27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336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[USD][2E9C6][USD.CUSTINSTA.SCB000][U2]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321</v>
      </c>
      <c r="W27" s="46" t="str">
        <f t="shared" si="28"/>
        <v>ACTUAL</v>
      </c>
    </row>
    <row r="28" spans="1:23" x14ac:dyDescent="0.15">
      <c r="A28" s="46" t="str">
        <f t="shared" ca="1" si="0"/>
        <v>7ff01cf7-30ea-3505-110b-097051c76220-a28</v>
      </c>
      <c r="B28" s="46" t="s">
        <v>78</v>
      </c>
      <c r="C28" s="46" t="str">
        <f t="shared" ca="1" si="24"/>
        <v>7ff01cf7-30ea-3505-110b-097051c76220-a28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336</v>
      </c>
      <c r="H28" s="46" t="s">
        <v>49</v>
      </c>
      <c r="I28" s="46">
        <f t="shared" si="29"/>
        <v>0</v>
      </c>
      <c r="J28" s="46" t="s">
        <v>320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[BDT][2E9C6][BDT.CUSTINSTF.SCB000][U2]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321</v>
      </c>
      <c r="W28" s="46" t="str">
        <f t="shared" si="28"/>
        <v>FORECAST</v>
      </c>
    </row>
    <row r="29" spans="1:23" x14ac:dyDescent="0.15">
      <c r="A29" s="46" t="str">
        <f t="shared" ca="1" si="0"/>
        <v>a6e12d97-a316-60fa-7390-b3ac27333979-a29</v>
      </c>
      <c r="B29" s="46" t="s">
        <v>78</v>
      </c>
      <c r="C29" s="46" t="str">
        <f t="shared" ref="C29:C43" ca="1" si="32">A29</f>
        <v>a6e12d97-a316-60fa-7390-b3ac27333979-a29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336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[USD][2E9C6][USD.CUSTINSTF.SCB000][U2]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321</v>
      </c>
      <c r="W29" s="46" t="str">
        <f t="shared" ref="W29:W43" si="37">IF(RIGHT(L29,1)="A","ACTUAL","FORECAST")</f>
        <v>FORECAST</v>
      </c>
    </row>
    <row r="30" spans="1:23" x14ac:dyDescent="0.15">
      <c r="A30" s="46" t="str">
        <f t="shared" ca="1" si="0"/>
        <v>f36971cb-3f70-70a6-8e4c-edb511111bbc-a3a</v>
      </c>
      <c r="B30" s="46" t="s">
        <v>78</v>
      </c>
      <c r="C30" s="46" t="str">
        <f t="shared" ca="1" si="32"/>
        <v>f36971cb-3f70-70a6-8e4c-edb511111bbc-a3a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336</v>
      </c>
      <c r="H30" s="46" t="s">
        <v>49</v>
      </c>
      <c r="I30" s="46">
        <f t="shared" si="29"/>
        <v>0</v>
      </c>
      <c r="J30" s="46" t="s">
        <v>320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[BDT][2E9C6][BDT.FXA.SCB000000000][U2]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321</v>
      </c>
      <c r="W30" s="46" t="str">
        <f t="shared" si="37"/>
        <v>ACTUAL</v>
      </c>
    </row>
    <row r="31" spans="1:23" x14ac:dyDescent="0.15">
      <c r="A31" s="46" t="str">
        <f t="shared" ca="1" si="0"/>
        <v>f6e0f791-43c0-6b14-9d37-e6a21af88bf8-a31</v>
      </c>
      <c r="B31" s="46" t="s">
        <v>78</v>
      </c>
      <c r="C31" s="46" t="str">
        <f t="shared" ca="1" si="32"/>
        <v>f6e0f791-43c0-6b14-9d37-e6a21af88bf8-a31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336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[USD][2E9C6][USD.FXA.SCB000000000][U2]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321</v>
      </c>
      <c r="W31" s="46" t="str">
        <f t="shared" si="37"/>
        <v>ACTUAL</v>
      </c>
    </row>
    <row r="32" spans="1:23" x14ac:dyDescent="0.15">
      <c r="A32" s="46" t="str">
        <f t="shared" ca="1" si="0"/>
        <v>4521116c-9663-3719-34a8-19afe60a63eb-a32</v>
      </c>
      <c r="B32" s="46" t="s">
        <v>78</v>
      </c>
      <c r="C32" s="46" t="str">
        <f t="shared" ca="1" si="32"/>
        <v>4521116c-9663-3719-34a8-19afe60a63eb-a32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336</v>
      </c>
      <c r="H32" s="46" t="s">
        <v>49</v>
      </c>
      <c r="I32" s="46">
        <f t="shared" si="29"/>
        <v>0</v>
      </c>
      <c r="J32" s="46" t="s">
        <v>320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[BDT][2E9C6][BDT.FXF.SCB000000000][U2]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321</v>
      </c>
      <c r="W32" s="46" t="str">
        <f t="shared" si="37"/>
        <v>FORECAST</v>
      </c>
    </row>
    <row r="33" spans="1:23" x14ac:dyDescent="0.15">
      <c r="A33" s="46" t="str">
        <f t="shared" ca="1" si="0"/>
        <v>e8deac36-0d99-36c8-878d-b90e44290bc6-a33</v>
      </c>
      <c r="B33" s="46" t="s">
        <v>78</v>
      </c>
      <c r="C33" s="46" t="str">
        <f t="shared" ca="1" si="32"/>
        <v>e8deac36-0d99-36c8-878d-b90e44290bc6-a33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336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[USD][2E9C6][USD.FXF.SCB000000000][U2]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321</v>
      </c>
      <c r="W33" s="46" t="str">
        <f t="shared" si="37"/>
        <v>FORECAST</v>
      </c>
    </row>
    <row r="34" spans="1:23" x14ac:dyDescent="0.15">
      <c r="A34" s="46" t="str">
        <f t="shared" ca="1" si="0"/>
        <v>6d4475a3-9666-9e4b-2dd6-3717f4f7896b-a34</v>
      </c>
      <c r="B34" s="46" t="s">
        <v>78</v>
      </c>
      <c r="C34" s="46" t="str">
        <f t="shared" ca="1" si="32"/>
        <v>6d4475a3-9666-9e4b-2dd6-3717f4f7896b-a34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336</v>
      </c>
      <c r="H34" s="46" t="s">
        <v>49</v>
      </c>
      <c r="I34" s="46">
        <f t="shared" si="29"/>
        <v>0</v>
      </c>
      <c r="J34" s="46" t="s">
        <v>320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[BDT][2E9C6][BDT.LOCKFXA.SCB00000][U2]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321</v>
      </c>
      <c r="W34" s="46" t="str">
        <f t="shared" si="37"/>
        <v>ACTUAL</v>
      </c>
    </row>
    <row r="35" spans="1:23" x14ac:dyDescent="0.15">
      <c r="A35" s="46" t="str">
        <f t="shared" ca="1" si="0"/>
        <v>7e7b2cb8-11f5-a288-6792-e2cda35f3e6b-a35</v>
      </c>
      <c r="B35" s="46" t="s">
        <v>78</v>
      </c>
      <c r="C35" s="46" t="str">
        <f t="shared" ca="1" si="32"/>
        <v>7e7b2cb8-11f5-a288-6792-e2cda35f3e6b-a35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336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[USD][2E9C6][USD.LOCKFXA.SCB00000][U2]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321</v>
      </c>
      <c r="W35" s="46" t="str">
        <f t="shared" si="37"/>
        <v>ACTUAL</v>
      </c>
    </row>
    <row r="36" spans="1:23" x14ac:dyDescent="0.15">
      <c r="A36" s="46" t="str">
        <f t="shared" ca="1" si="0"/>
        <v>c1d39be6-52f5-29cd-34f1-10fa25819cf6-a36</v>
      </c>
      <c r="B36" s="46" t="s">
        <v>78</v>
      </c>
      <c r="C36" s="46" t="str">
        <f t="shared" ca="1" si="32"/>
        <v>c1d39be6-52f5-29cd-34f1-10fa25819cf6-a36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336</v>
      </c>
      <c r="H36" s="46" t="s">
        <v>49</v>
      </c>
      <c r="I36" s="46">
        <f t="shared" si="29"/>
        <v>0</v>
      </c>
      <c r="J36" s="46" t="s">
        <v>320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[BDT][2E9C6][BDT.LOCKFXF.SCB00000][U2]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321</v>
      </c>
      <c r="W36" s="46" t="str">
        <f t="shared" si="37"/>
        <v>FORECAST</v>
      </c>
    </row>
    <row r="37" spans="1:23" x14ac:dyDescent="0.15">
      <c r="A37" s="46" t="str">
        <f t="shared" ca="1" si="0"/>
        <v>4fb495b8-312d-5278-8833-767874566bea-a37</v>
      </c>
      <c r="B37" s="46" t="s">
        <v>78</v>
      </c>
      <c r="C37" s="46" t="str">
        <f t="shared" ca="1" si="32"/>
        <v>4fb495b8-312d-5278-8833-767874566bea-a37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336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[USD][2E9C6][USD.LOCKFXF.SCB00000][U2]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321</v>
      </c>
      <c r="W37" s="46" t="str">
        <f t="shared" si="37"/>
        <v>FORECAST</v>
      </c>
    </row>
    <row r="38" spans="1:23" x14ac:dyDescent="0.15">
      <c r="A38" s="46" t="str">
        <f t="shared" ca="1" si="0"/>
        <v>af3b6ba0-5f10-37a6-30c6-e074f64a1ec7-a38</v>
      </c>
      <c r="B38" s="46" t="s">
        <v>78</v>
      </c>
      <c r="C38" s="46" t="str">
        <f t="shared" ca="1" si="32"/>
        <v>af3b6ba0-5f10-37a6-30c6-e074f64a1ec7-a38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336</v>
      </c>
      <c r="H38" s="46" t="s">
        <v>49</v>
      </c>
      <c r="I38" s="46">
        <f t="shared" si="29"/>
        <v>0</v>
      </c>
      <c r="J38" s="46" t="s">
        <v>320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[BDT][2E9C6][BDT.LOCKINSTA.SCB000][U2]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321</v>
      </c>
      <c r="W38" s="46" t="str">
        <f t="shared" si="37"/>
        <v>ACTUAL</v>
      </c>
    </row>
    <row r="39" spans="1:23" x14ac:dyDescent="0.15">
      <c r="A39" s="46" t="str">
        <f t="shared" ca="1" si="0"/>
        <v>348e7930-9523-4501-7fa3-e88d6d9c5404-a39</v>
      </c>
      <c r="B39" s="46" t="s">
        <v>78</v>
      </c>
      <c r="C39" s="46" t="str">
        <f t="shared" ca="1" si="32"/>
        <v>348e7930-9523-4501-7fa3-e88d6d9c5404-a39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336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[USD][2E9C6][USD.LOCKINSTA.SCB000][U2]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321</v>
      </c>
      <c r="W39" s="46" t="str">
        <f t="shared" si="37"/>
        <v>ACTUAL</v>
      </c>
    </row>
    <row r="40" spans="1:23" x14ac:dyDescent="0.15">
      <c r="A40" s="46" t="str">
        <f t="shared" ca="1" si="0"/>
        <v>2dacd3cf-45bd-8285-8354-ca322fbd552e-a4a</v>
      </c>
      <c r="B40" s="46" t="s">
        <v>78</v>
      </c>
      <c r="C40" s="46" t="str">
        <f t="shared" ca="1" si="32"/>
        <v>2dacd3cf-45bd-8285-8354-ca322fbd552e-a4a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336</v>
      </c>
      <c r="H40" s="46" t="s">
        <v>49</v>
      </c>
      <c r="I40" s="46">
        <f t="shared" si="29"/>
        <v>0</v>
      </c>
      <c r="J40" s="46" t="s">
        <v>320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[BDT][2E9C6][BDT.LOCKINSTF.SCB000][U2]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321</v>
      </c>
      <c r="W40" s="46" t="str">
        <f t="shared" si="37"/>
        <v>FORECAST</v>
      </c>
    </row>
    <row r="41" spans="1:23" x14ac:dyDescent="0.15">
      <c r="A41" s="46" t="str">
        <f t="shared" ca="1" si="0"/>
        <v>37244c0d-6528-419d-5f1b-8eda76569e39-a41</v>
      </c>
      <c r="B41" s="46" t="s">
        <v>78</v>
      </c>
      <c r="C41" s="46" t="str">
        <f t="shared" ca="1" si="32"/>
        <v>37244c0d-6528-419d-5f1b-8eda76569e39-a41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336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[USD][2E9C6][USD.LOCKINSTF.SCB000][U2]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321</v>
      </c>
      <c r="W41" s="46" t="str">
        <f t="shared" si="37"/>
        <v>FORECAST</v>
      </c>
    </row>
    <row r="42" spans="1:23" x14ac:dyDescent="0.15">
      <c r="A42" s="46" t="str">
        <f t="shared" ca="1" si="0"/>
        <v>da8ce15f-1c27-18fb-4e4f-780264343382-a42</v>
      </c>
      <c r="B42" s="46" t="s">
        <v>78</v>
      </c>
      <c r="C42" s="46" t="str">
        <f t="shared" ca="1" si="32"/>
        <v>da8ce15f-1c27-18fb-4e4f-780264343382-a42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324</v>
      </c>
      <c r="H42" s="46" t="s">
        <v>49</v>
      </c>
      <c r="I42" s="46">
        <f t="shared" si="29"/>
        <v>0</v>
      </c>
      <c r="J42" s="46" t="s">
        <v>322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[SGD][2E9C6][SGD.CASHTXA.CS000000][U3]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321</v>
      </c>
      <c r="W42" s="46" t="str">
        <f t="shared" si="37"/>
        <v>ACTUAL</v>
      </c>
    </row>
    <row r="43" spans="1:23" x14ac:dyDescent="0.15">
      <c r="A43" s="46" t="str">
        <f t="shared" ca="1" si="0"/>
        <v>545b1621-4932-3aab-55e9-19f417fa8ace-a43</v>
      </c>
      <c r="B43" s="46" t="s">
        <v>78</v>
      </c>
      <c r="C43" s="46" t="str">
        <f t="shared" ca="1" si="32"/>
        <v>545b1621-4932-3aab-55e9-19f417fa8ace-a43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324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[USD][2E9C6][USD.CASHTXA.CS000000][U3]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321</v>
      </c>
      <c r="W43" s="46" t="str">
        <f t="shared" si="37"/>
        <v>ACTUAL</v>
      </c>
    </row>
    <row r="44" spans="1:23" x14ac:dyDescent="0.15">
      <c r="A44" s="46" t="str">
        <f t="shared" ca="1" si="0"/>
        <v>9ffc547c-97a9-7e95-20f0-0569ca17046b-a44</v>
      </c>
      <c r="B44" s="46" t="s">
        <v>78</v>
      </c>
      <c r="C44" s="46" t="str">
        <f t="shared" ref="C44:C63" ca="1" si="45">A44</f>
        <v>9ffc547c-97a9-7e95-20f0-0569ca17046b-a44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324</v>
      </c>
      <c r="H44" s="46" t="s">
        <v>49</v>
      </c>
      <c r="I44" s="46">
        <f t="shared" si="29"/>
        <v>0</v>
      </c>
      <c r="J44" s="46" t="s">
        <v>322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1" ca="1" si="47">"["&amp;J44&amp;"]["&amp;DEC2HEX(TEXT(TODAY(),"YYMMDD"))&amp;"]["&amp;U44&amp;"][U3]"</f>
        <v>[SGD][2E9C6][SGD.CASHTXF.CS000000][U3]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321</v>
      </c>
      <c r="W44" s="46" t="str">
        <f t="shared" ref="W44:W63" si="50">IF(RIGHT(L44,1)="A","ACTUAL","FORECAST")</f>
        <v>FORECAST</v>
      </c>
    </row>
    <row r="45" spans="1:23" x14ac:dyDescent="0.15">
      <c r="A45" s="46" t="str">
        <f t="shared" ca="1" si="0"/>
        <v>d187c113-0fa7-5988-01e8-d70e1aa5a59b-a45</v>
      </c>
      <c r="B45" s="46" t="s">
        <v>78</v>
      </c>
      <c r="C45" s="46" t="str">
        <f t="shared" ca="1" si="45"/>
        <v>d187c113-0fa7-5988-01e8-d70e1aa5a59b-a45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324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[USD][2E9C6][USD.CASHTXF.CS000000][U3]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321</v>
      </c>
      <c r="W45" s="46" t="str">
        <f t="shared" si="50"/>
        <v>FORECAST</v>
      </c>
    </row>
    <row r="46" spans="1:23" x14ac:dyDescent="0.15">
      <c r="A46" s="46" t="str">
        <f t="shared" ca="1" si="0"/>
        <v>be1e2c9a-4849-2b4b-2ede-d73909916c11-a46</v>
      </c>
      <c r="B46" s="46" t="s">
        <v>78</v>
      </c>
      <c r="C46" s="46" t="str">
        <f t="shared" ca="1" si="45"/>
        <v>be1e2c9a-4849-2b4b-2ede-d73909916c11-a46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324</v>
      </c>
      <c r="H46" s="46" t="s">
        <v>49</v>
      </c>
      <c r="I46" s="46">
        <f t="shared" si="29"/>
        <v>0</v>
      </c>
      <c r="J46" s="46" t="s">
        <v>322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[SGD][2E9C6][SGD.CUSTINSTA.CS0000][U3]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321</v>
      </c>
      <c r="W46" s="46" t="str">
        <f t="shared" si="50"/>
        <v>ACTUAL</v>
      </c>
    </row>
    <row r="47" spans="1:23" x14ac:dyDescent="0.15">
      <c r="A47" s="46" t="str">
        <f t="shared" ca="1" si="0"/>
        <v>b868feba-4c77-24b1-496c-56e75f9829b7-a47</v>
      </c>
      <c r="B47" s="46" t="s">
        <v>78</v>
      </c>
      <c r="C47" s="46" t="str">
        <f t="shared" ca="1" si="45"/>
        <v>b868feba-4c77-24b1-496c-56e75f9829b7-a47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324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[USD][2E9C6][USD.CUSTINSTA.CS0000][U3]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321</v>
      </c>
      <c r="W47" s="46" t="str">
        <f t="shared" si="50"/>
        <v>ACTUAL</v>
      </c>
    </row>
    <row r="48" spans="1:23" x14ac:dyDescent="0.15">
      <c r="A48" s="46" t="str">
        <f t="shared" ca="1" si="0"/>
        <v>60066830-2611-50fc-09db-5471f80c14e0-a48</v>
      </c>
      <c r="B48" s="46" t="s">
        <v>78</v>
      </c>
      <c r="C48" s="46" t="str">
        <f t="shared" ca="1" si="45"/>
        <v>60066830-2611-50fc-09db-5471f80c14e0-a48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324</v>
      </c>
      <c r="H48" s="46" t="s">
        <v>49</v>
      </c>
      <c r="I48" s="46">
        <f t="shared" si="29"/>
        <v>0</v>
      </c>
      <c r="J48" s="46" t="s">
        <v>322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[SGD][2E9C6][SGD.CUSTINSTF.CS0000][U3]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321</v>
      </c>
      <c r="W48" s="46" t="str">
        <f t="shared" si="50"/>
        <v>FORECAST</v>
      </c>
    </row>
    <row r="49" spans="1:23" x14ac:dyDescent="0.15">
      <c r="A49" s="46" t="str">
        <f t="shared" ca="1" si="0"/>
        <v>98a52186-0ca1-4ee1-2d2d-4655312b1588-a49</v>
      </c>
      <c r="B49" s="46" t="s">
        <v>78</v>
      </c>
      <c r="C49" s="46" t="str">
        <f t="shared" ca="1" si="45"/>
        <v>98a52186-0ca1-4ee1-2d2d-4655312b1588-a49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324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[USD][2E9C6][USD.CUSTINSTF.CS0000][U3]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321</v>
      </c>
      <c r="W49" s="46" t="str">
        <f t="shared" si="50"/>
        <v>FORECAST</v>
      </c>
    </row>
    <row r="50" spans="1:23" x14ac:dyDescent="0.15">
      <c r="A50" s="46" t="str">
        <f t="shared" ca="1" si="0"/>
        <v>a0acc62d-10fe-9e08-9ffa-948cfaa86920-a5a</v>
      </c>
      <c r="B50" s="46" t="s">
        <v>78</v>
      </c>
      <c r="C50" s="46" t="str">
        <f t="shared" ca="1" si="45"/>
        <v>a0acc62d-10fe-9e08-9ffa-948cfaa86920-a5a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324</v>
      </c>
      <c r="H50" s="46" t="s">
        <v>49</v>
      </c>
      <c r="I50" s="46">
        <f t="shared" si="29"/>
        <v>0</v>
      </c>
      <c r="J50" s="46" t="s">
        <v>322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[SGD][2E9C6][SGD.FXA.CS0000000000][U3]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321</v>
      </c>
      <c r="W50" s="46" t="str">
        <f t="shared" si="50"/>
        <v>ACTUAL</v>
      </c>
    </row>
    <row r="51" spans="1:23" x14ac:dyDescent="0.15">
      <c r="A51" s="46" t="str">
        <f t="shared" ca="1" si="0"/>
        <v>0867a75c-9c44-17c0-8101-0c0e9ff538b5-a51</v>
      </c>
      <c r="B51" s="46" t="s">
        <v>78</v>
      </c>
      <c r="C51" s="46" t="str">
        <f t="shared" ca="1" si="45"/>
        <v>0867a75c-9c44-17c0-8101-0c0e9ff538b5-a51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324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[USD][2E9C6][USD.FXA.CS0000000000][U3]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321</v>
      </c>
      <c r="W51" s="46" t="str">
        <f t="shared" si="50"/>
        <v>ACTUAL</v>
      </c>
    </row>
    <row r="52" spans="1:23" x14ac:dyDescent="0.15">
      <c r="A52" s="46" t="str">
        <f t="shared" ca="1" si="0"/>
        <v>34831eda-8a9c-337b-8ea2-bf872cda690c-a52</v>
      </c>
      <c r="B52" s="46" t="s">
        <v>78</v>
      </c>
      <c r="C52" s="46" t="str">
        <f t="shared" ca="1" si="45"/>
        <v>34831eda-8a9c-337b-8ea2-bf872cda690c-a52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324</v>
      </c>
      <c r="H52" s="46" t="s">
        <v>49</v>
      </c>
      <c r="I52" s="46">
        <f t="shared" si="29"/>
        <v>0</v>
      </c>
      <c r="J52" s="46" t="s">
        <v>322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[SGD][2E9C6][SGD.FXF.CS0000000000][U3]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321</v>
      </c>
      <c r="W52" s="46" t="str">
        <f t="shared" si="50"/>
        <v>FORECAST</v>
      </c>
    </row>
    <row r="53" spans="1:23" x14ac:dyDescent="0.15">
      <c r="A53" s="46" t="str">
        <f t="shared" ca="1" si="0"/>
        <v>34a2c3d5-2f2d-3800-3da9-cff3c9df368b-a53</v>
      </c>
      <c r="B53" s="46" t="s">
        <v>78</v>
      </c>
      <c r="C53" s="46" t="str">
        <f t="shared" ca="1" si="45"/>
        <v>34a2c3d5-2f2d-3800-3da9-cff3c9df368b-a53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324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[USD][2E9C6][USD.FXF.CS0000000000][U3]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321</v>
      </c>
      <c r="W53" s="46" t="str">
        <f t="shared" si="50"/>
        <v>FORECAST</v>
      </c>
    </row>
    <row r="54" spans="1:23" x14ac:dyDescent="0.15">
      <c r="A54" s="46" t="str">
        <f t="shared" ca="1" si="0"/>
        <v>31f53f03-28c9-0063-3393-2018b7572142-a54</v>
      </c>
      <c r="B54" s="46" t="s">
        <v>78</v>
      </c>
      <c r="C54" s="46" t="str">
        <f t="shared" ca="1" si="45"/>
        <v>31f53f03-28c9-0063-3393-2018b7572142-a54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324</v>
      </c>
      <c r="H54" s="46" t="s">
        <v>49</v>
      </c>
      <c r="I54" s="46">
        <f t="shared" si="29"/>
        <v>0</v>
      </c>
      <c r="J54" s="46" t="s">
        <v>322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[SGD][2E9C6][SGD.LOCKFXA.CS000000][U3]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321</v>
      </c>
      <c r="W54" s="46" t="str">
        <f t="shared" si="50"/>
        <v>ACTUAL</v>
      </c>
    </row>
    <row r="55" spans="1:23" x14ac:dyDescent="0.15">
      <c r="A55" s="46" t="str">
        <f t="shared" ca="1" si="0"/>
        <v>a223e751-6271-02f8-5cd4-9bf707b18eb2-a55</v>
      </c>
      <c r="B55" s="46" t="s">
        <v>78</v>
      </c>
      <c r="C55" s="46" t="str">
        <f t="shared" ca="1" si="45"/>
        <v>a223e751-6271-02f8-5cd4-9bf707b18eb2-a55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324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[USD][2E9C6][USD.LOCKFXA.CS000000][U3]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321</v>
      </c>
      <c r="W55" s="46" t="str">
        <f t="shared" si="50"/>
        <v>ACTUAL</v>
      </c>
    </row>
    <row r="56" spans="1:23" x14ac:dyDescent="0.15">
      <c r="A56" s="46" t="str">
        <f t="shared" ca="1" si="0"/>
        <v>2e2f0b75-a292-5946-5fac-aa819fd3a48a-a56</v>
      </c>
      <c r="B56" s="46" t="s">
        <v>78</v>
      </c>
      <c r="C56" s="46" t="str">
        <f t="shared" ca="1" si="45"/>
        <v>2e2f0b75-a292-5946-5fac-aa819fd3a48a-a56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324</v>
      </c>
      <c r="H56" s="46" t="s">
        <v>49</v>
      </c>
      <c r="I56" s="46">
        <f t="shared" si="29"/>
        <v>0</v>
      </c>
      <c r="J56" s="46" t="s">
        <v>322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[SGD][2E9C6][SGD.LOCKFXF.CS000000][U3]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321</v>
      </c>
      <c r="W56" s="46" t="str">
        <f t="shared" si="50"/>
        <v>FORECAST</v>
      </c>
    </row>
    <row r="57" spans="1:23" x14ac:dyDescent="0.15">
      <c r="A57" s="46" t="str">
        <f t="shared" ca="1" si="0"/>
        <v>0feb7d92-434c-62ee-5f11-ef776bce0d97-a57</v>
      </c>
      <c r="B57" s="46" t="s">
        <v>78</v>
      </c>
      <c r="C57" s="46" t="str">
        <f t="shared" ca="1" si="45"/>
        <v>0feb7d92-434c-62ee-5f11-ef776bce0d97-a57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324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[USD][2E9C6][USD.LOCKFXF.CS000000][U3]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321</v>
      </c>
      <c r="W57" s="46" t="str">
        <f t="shared" si="50"/>
        <v>FORECAST</v>
      </c>
    </row>
    <row r="58" spans="1:23" x14ac:dyDescent="0.15">
      <c r="A58" s="46" t="str">
        <f t="shared" ca="1" si="0"/>
        <v>e1d7eb48-8c29-3017-1c7e-079e99b68b9c-a58</v>
      </c>
      <c r="B58" s="46" t="s">
        <v>78</v>
      </c>
      <c r="C58" s="46" t="str">
        <f t="shared" ca="1" si="45"/>
        <v>e1d7eb48-8c29-3017-1c7e-079e99b68b9c-a58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324</v>
      </c>
      <c r="H58" s="46" t="s">
        <v>49</v>
      </c>
      <c r="I58" s="46">
        <f t="shared" si="29"/>
        <v>0</v>
      </c>
      <c r="J58" s="46" t="s">
        <v>322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[SGD][2E9C6][SGD.LOCKINSTA.CS0000][U3]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321</v>
      </c>
      <c r="W58" s="46" t="str">
        <f t="shared" si="50"/>
        <v>ACTUAL</v>
      </c>
    </row>
    <row r="59" spans="1:23" x14ac:dyDescent="0.15">
      <c r="A59" s="46" t="str">
        <f t="shared" ca="1" si="0"/>
        <v>29eda57a-6dad-5493-a0de-c96627be65b3-a59</v>
      </c>
      <c r="B59" s="46" t="s">
        <v>78</v>
      </c>
      <c r="C59" s="46" t="str">
        <f t="shared" ca="1" si="45"/>
        <v>29eda57a-6dad-5493-a0de-c96627be65b3-a59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324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[USD][2E9C6][USD.LOCKINSTA.CS0000][U3]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321</v>
      </c>
      <c r="W59" s="46" t="str">
        <f t="shared" si="50"/>
        <v>ACTUAL</v>
      </c>
    </row>
    <row r="60" spans="1:23" x14ac:dyDescent="0.15">
      <c r="A60" s="46" t="str">
        <f t="shared" ca="1" si="0"/>
        <v>9025bfd9-5202-7567-3d20-7001bd6409fe-a6a</v>
      </c>
      <c r="B60" s="46" t="s">
        <v>78</v>
      </c>
      <c r="C60" s="46" t="str">
        <f t="shared" ca="1" si="45"/>
        <v>9025bfd9-5202-7567-3d20-7001bd6409fe-a6a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324</v>
      </c>
      <c r="H60" s="46" t="s">
        <v>49</v>
      </c>
      <c r="I60" s="46">
        <f t="shared" si="29"/>
        <v>0</v>
      </c>
      <c r="J60" s="46" t="s">
        <v>322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[SGD][2E9C6][SGD.LOCKINSTF.CS0000][U3]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321</v>
      </c>
      <c r="W60" s="46" t="str">
        <f t="shared" si="50"/>
        <v>FORECAST</v>
      </c>
    </row>
    <row r="61" spans="1:23" x14ac:dyDescent="0.15">
      <c r="A61" s="46" t="str">
        <f t="shared" ca="1" si="0"/>
        <v>e15a558a-0b57-62f5-0281-9893b51b0c5e-a61</v>
      </c>
      <c r="B61" s="46" t="s">
        <v>78</v>
      </c>
      <c r="C61" s="46" t="str">
        <f t="shared" ca="1" si="45"/>
        <v>e15a558a-0b57-62f5-0281-9893b51b0c5e-a61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324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[USD][2E9C6][USD.LOCKINSTF.CS0000][U3]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321</v>
      </c>
      <c r="W61" s="46" t="str">
        <f t="shared" si="50"/>
        <v>FORECAST</v>
      </c>
    </row>
    <row r="62" spans="1:23" x14ac:dyDescent="0.15">
      <c r="A62" s="46" t="str">
        <f t="shared" ca="1" si="0"/>
        <v>ce990a4d-4b47-727b-5ad9-9b7670a70ff5-a62</v>
      </c>
      <c r="B62" s="46" t="s">
        <v>78</v>
      </c>
      <c r="C62" s="46" t="str">
        <f t="shared" ca="1" si="45"/>
        <v>ce990a4d-4b47-727b-5ad9-9b7670a70ff5-a62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[USD][2E9C6][USD.CASHTXA.HSBEL000][U0]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321</v>
      </c>
      <c r="W62" s="46" t="str">
        <f t="shared" si="50"/>
        <v>ACTUAL</v>
      </c>
    </row>
    <row r="63" spans="1:23" x14ac:dyDescent="0.15">
      <c r="A63" s="46" t="str">
        <f t="shared" ca="1" si="0"/>
        <v>be9961a0-755c-3e63-0148-55efe33b2f5a-a63</v>
      </c>
      <c r="B63" s="46" t="s">
        <v>78</v>
      </c>
      <c r="C63" s="46" t="str">
        <f t="shared" ca="1" si="45"/>
        <v>be9961a0-755c-3e63-0148-55efe33b2f5a-a63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337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[USD][2E9C6][USD.CASHTXA.HSFRA000][U0]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321</v>
      </c>
      <c r="W63" s="46" t="str">
        <f t="shared" si="50"/>
        <v>ACTUAL</v>
      </c>
    </row>
    <row r="64" spans="1:23" x14ac:dyDescent="0.15">
      <c r="A64" s="46" t="str">
        <f t="shared" ca="1" si="0"/>
        <v>49028299-45a0-6547-2b8d-dc933c5f09fb-a64</v>
      </c>
      <c r="B64" s="46" t="s">
        <v>78</v>
      </c>
      <c r="C64" s="46" t="str">
        <f t="shared" ref="C64:C81" ca="1" si="52">A64</f>
        <v>49028299-45a0-6547-2b8d-dc933c5f09fb-a64</v>
      </c>
      <c r="D64" s="46">
        <f t="shared" si="8"/>
        <v>1</v>
      </c>
      <c r="E64" s="47">
        <f t="shared" si="9"/>
        <v>43466</v>
      </c>
      <c r="F64" s="48" t="str">
        <f t="shared" ref="F64:F81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[USD][2E9C6][USD.CASHTXF.HSBEL000][U0]</v>
      </c>
      <c r="T64" s="48" t="str">
        <f t="shared" ref="T64:T81" si="54">O64&amp;"."&amp;P64&amp;"."&amp;U64</f>
        <v>1M.Fixed.USD.CASHTXF.HSBEL000</v>
      </c>
      <c r="U64" s="46" t="str">
        <f t="shared" ref="U64:U81" si="55">LEFT(LEFT(J64,3)&amp;"."&amp;SUBSTITUTE(L64,"-","")&amp;"."&amp;G64&amp;"0000000000000",20)</f>
        <v>USD.CASHTXF.HSBEL000</v>
      </c>
      <c r="V64" s="46" t="s">
        <v>321</v>
      </c>
      <c r="W64" s="46" t="str">
        <f t="shared" ref="W64:W81" si="56">IF(RIGHT(L64,1)="A","ACTUAL","FORECAST")</f>
        <v>FORECAST</v>
      </c>
    </row>
    <row r="65" spans="1:23" x14ac:dyDescent="0.15">
      <c r="A65" s="46" t="str">
        <f t="shared" ca="1" si="0"/>
        <v>42f2f3c0-539b-8699-1af2-88f349561980-a65</v>
      </c>
      <c r="B65" s="46" t="s">
        <v>78</v>
      </c>
      <c r="C65" s="46" t="str">
        <f t="shared" ca="1" si="52"/>
        <v>42f2f3c0-539b-8699-1af2-88f349561980-a65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337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[USD][2E9C6][USD.CASHTXF.HSFRA000][U0]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321</v>
      </c>
      <c r="W65" s="46" t="str">
        <f t="shared" si="56"/>
        <v>FORECAST</v>
      </c>
    </row>
    <row r="66" spans="1:23" x14ac:dyDescent="0.15">
      <c r="A66" s="46" t="str">
        <f t="shared" ca="1" si="0"/>
        <v>b95c071b-869c-2621-8683-3a869bfa3ef3-a66</v>
      </c>
      <c r="B66" s="46" t="s">
        <v>78</v>
      </c>
      <c r="C66" s="46" t="str">
        <f t="shared" ca="1" si="52"/>
        <v>b95c071b-869c-2621-8683-3a869bfa3ef3-a66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[USD][2E9C6][USD.CUSTINSTA.HSBEL0][U0]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321</v>
      </c>
      <c r="W66" s="46" t="str">
        <f t="shared" si="56"/>
        <v>ACTUAL</v>
      </c>
    </row>
    <row r="67" spans="1:23" x14ac:dyDescent="0.15">
      <c r="A67" s="46" t="str">
        <f t="shared" ref="A67:A81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cd288dd3-3cf6-2292-1364-19d6142125bf-a67</v>
      </c>
      <c r="B67" s="46" t="s">
        <v>78</v>
      </c>
      <c r="C67" s="46" t="str">
        <f t="shared" ca="1" si="52"/>
        <v>cd288dd3-3cf6-2292-1364-19d6142125bf-a67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337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1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[USD][2E9C6][USD.CUSTINSTA.HSFRA0][U0]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321</v>
      </c>
      <c r="W67" s="46" t="str">
        <f t="shared" si="56"/>
        <v>ACTUAL</v>
      </c>
    </row>
    <row r="68" spans="1:23" x14ac:dyDescent="0.15">
      <c r="A68" s="46" t="str">
        <f t="shared" ca="1" si="57"/>
        <v>85b9ccf3-217e-a375-9646-77249911578e-a68</v>
      </c>
      <c r="B68" s="46" t="s">
        <v>78</v>
      </c>
      <c r="C68" s="46" t="str">
        <f t="shared" ca="1" si="52"/>
        <v>85b9ccf3-217e-a375-9646-77249911578e-a68</v>
      </c>
      <c r="D68" s="46">
        <f t="shared" ref="D68:E81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1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[USD][2E9C6][USD.CUSTINSTF.HSBEL0][U0]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321</v>
      </c>
      <c r="W68" s="46" t="str">
        <f t="shared" si="56"/>
        <v>FORECAST</v>
      </c>
    </row>
    <row r="69" spans="1:23" x14ac:dyDescent="0.15">
      <c r="A69" s="46" t="str">
        <f t="shared" ca="1" si="57"/>
        <v>ed0c0121-9a3a-1dd7-4a84-561de53e82d8-a69</v>
      </c>
      <c r="B69" s="46" t="s">
        <v>78</v>
      </c>
      <c r="C69" s="46" t="str">
        <f t="shared" ca="1" si="52"/>
        <v>ed0c0121-9a3a-1dd7-4a84-561de53e82d8-a69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337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[USD][2E9C6][USD.CUSTINSTF.HSFRA0][U0]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321</v>
      </c>
      <c r="W69" s="46" t="str">
        <f t="shared" si="56"/>
        <v>FORECAST</v>
      </c>
    </row>
    <row r="70" spans="1:23" x14ac:dyDescent="0.15">
      <c r="A70" s="46" t="str">
        <f t="shared" ca="1" si="57"/>
        <v>e275c1ba-3325-201a-3a95-c18ea5aa7727-a7a</v>
      </c>
      <c r="B70" s="46" t="s">
        <v>78</v>
      </c>
      <c r="C70" s="46" t="str">
        <f t="shared" ca="1" si="52"/>
        <v>e275c1ba-3325-201a-3a95-c18ea5aa7727-a7a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[USD][2E9C6][USD.FXA.HSBEL0000000][U0]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321</v>
      </c>
      <c r="W70" s="46" t="str">
        <f t="shared" si="56"/>
        <v>ACTUAL</v>
      </c>
    </row>
    <row r="71" spans="1:23" x14ac:dyDescent="0.15">
      <c r="A71" s="46" t="str">
        <f t="shared" ca="1" si="57"/>
        <v>953398fb-85dd-60bd-1c24-e5e53d52381a-a71</v>
      </c>
      <c r="B71" s="46" t="s">
        <v>78</v>
      </c>
      <c r="C71" s="46" t="str">
        <f t="shared" ca="1" si="52"/>
        <v>953398fb-85dd-60bd-1c24-e5e53d52381a-a71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337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[USD][2E9C6][USD.FXA.HSFRA0000000][U0]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321</v>
      </c>
      <c r="W71" s="46" t="str">
        <f t="shared" si="56"/>
        <v>ACTUAL</v>
      </c>
    </row>
    <row r="72" spans="1:23" x14ac:dyDescent="0.15">
      <c r="A72" s="46" t="str">
        <f t="shared" ca="1" si="57"/>
        <v>c6362ad1-255f-0948-8a36-5b3eb4c703df-a72</v>
      </c>
      <c r="B72" s="46" t="s">
        <v>78</v>
      </c>
      <c r="C72" s="46" t="str">
        <f t="shared" ca="1" si="52"/>
        <v>c6362ad1-255f-0948-8a36-5b3eb4c703df-a72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[USD][2E9C6][USD.FXF.HSBEL0000000][U0]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321</v>
      </c>
      <c r="W72" s="46" t="str">
        <f t="shared" si="56"/>
        <v>FORECAST</v>
      </c>
    </row>
    <row r="73" spans="1:23" x14ac:dyDescent="0.15">
      <c r="A73" s="46" t="str">
        <f t="shared" ca="1" si="57"/>
        <v>b63b52ee-2009-090f-9e95-8efe3aa32bfb-a73</v>
      </c>
      <c r="B73" s="46" t="s">
        <v>78</v>
      </c>
      <c r="C73" s="46" t="str">
        <f t="shared" ca="1" si="52"/>
        <v>b63b52ee-2009-090f-9e95-8efe3aa32bfb-a73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337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[USD][2E9C6][USD.FXF.HSFRA0000000][U0]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321</v>
      </c>
      <c r="W73" s="46" t="str">
        <f t="shared" si="56"/>
        <v>FORECAST</v>
      </c>
    </row>
    <row r="74" spans="1:23" x14ac:dyDescent="0.15">
      <c r="A74" s="46" t="str">
        <f t="shared" ca="1" si="57"/>
        <v>69f7b5f4-39a2-327f-9fe7-def095a72570-a74</v>
      </c>
      <c r="B74" s="46" t="s">
        <v>78</v>
      </c>
      <c r="C74" s="46" t="str">
        <f t="shared" ca="1" si="52"/>
        <v>69f7b5f4-39a2-327f-9fe7-def095a72570-a74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[USD][2E9C6][USD.LOCKFXA.HSBEL000][U0]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321</v>
      </c>
      <c r="W74" s="46" t="str">
        <f t="shared" si="56"/>
        <v>ACTUAL</v>
      </c>
    </row>
    <row r="75" spans="1:23" x14ac:dyDescent="0.15">
      <c r="A75" s="46" t="str">
        <f t="shared" ca="1" si="57"/>
        <v>57d6c79a-98a4-8aab-3b74-01678d3d5223-a75</v>
      </c>
      <c r="B75" s="46" t="s">
        <v>78</v>
      </c>
      <c r="C75" s="46" t="str">
        <f t="shared" ca="1" si="52"/>
        <v>57d6c79a-98a4-8aab-3b74-01678d3d5223-a75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337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[USD][2E9C6][USD.LOCKFXA.HSFRA000][U0]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321</v>
      </c>
      <c r="W75" s="46" t="str">
        <f t="shared" si="56"/>
        <v>ACTUAL</v>
      </c>
    </row>
    <row r="76" spans="1:23" x14ac:dyDescent="0.15">
      <c r="A76" s="46" t="str">
        <f t="shared" ca="1" si="57"/>
        <v>a9ccf084-9198-6bc3-38d6-0caa546c9990-a76</v>
      </c>
      <c r="B76" s="46" t="s">
        <v>78</v>
      </c>
      <c r="C76" s="46" t="str">
        <f t="shared" ca="1" si="52"/>
        <v>a9ccf084-9198-6bc3-38d6-0caa546c9990-a76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[USD][2E9C6][USD.LOCKFXF.HSBEL000][U0]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321</v>
      </c>
      <c r="W76" s="46" t="str">
        <f t="shared" si="56"/>
        <v>FORECAST</v>
      </c>
    </row>
    <row r="77" spans="1:23" x14ac:dyDescent="0.15">
      <c r="A77" s="46" t="str">
        <f t="shared" ca="1" si="57"/>
        <v>5a742802-6b5f-5ce0-5a10-e1e2957b0f5e-a77</v>
      </c>
      <c r="B77" s="46" t="s">
        <v>78</v>
      </c>
      <c r="C77" s="46" t="str">
        <f t="shared" ca="1" si="52"/>
        <v>5a742802-6b5f-5ce0-5a10-e1e2957b0f5e-a77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337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[USD][2E9C6][USD.LOCKFXF.HSFRA000][U0]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321</v>
      </c>
      <c r="W77" s="46" t="str">
        <f t="shared" si="56"/>
        <v>FORECAST</v>
      </c>
    </row>
    <row r="78" spans="1:23" x14ac:dyDescent="0.15">
      <c r="A78" s="46" t="str">
        <f t="shared" ca="1" si="57"/>
        <v>42c08c7f-7d90-6dcd-6fd4-86affe6c1d57-a78</v>
      </c>
      <c r="B78" s="46" t="s">
        <v>78</v>
      </c>
      <c r="C78" s="46" t="str">
        <f t="shared" ca="1" si="52"/>
        <v>42c08c7f-7d90-6dcd-6fd4-86affe6c1d57-a78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[USD][2E9C6][USD.LOCKINSTA.HSBEL0][U0]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321</v>
      </c>
      <c r="W78" s="46" t="str">
        <f t="shared" si="56"/>
        <v>ACTUAL</v>
      </c>
    </row>
    <row r="79" spans="1:23" x14ac:dyDescent="0.15">
      <c r="A79" s="46" t="str">
        <f t="shared" ca="1" si="57"/>
        <v>b00b3069-47a0-6ad2-4f8e-73bcd7dc3c5a-a79</v>
      </c>
      <c r="B79" s="46" t="s">
        <v>78</v>
      </c>
      <c r="C79" s="46" t="str">
        <f t="shared" ca="1" si="52"/>
        <v>b00b3069-47a0-6ad2-4f8e-73bcd7dc3c5a-a79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337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[USD][2E9C6][USD.LOCKINSTA.HSFRA0][U0]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321</v>
      </c>
      <c r="W79" s="46" t="str">
        <f t="shared" si="56"/>
        <v>ACTUAL</v>
      </c>
    </row>
    <row r="80" spans="1:23" x14ac:dyDescent="0.15">
      <c r="A80" s="46" t="str">
        <f t="shared" ca="1" si="57"/>
        <v>0e05fe25-5e20-6806-8c7f-8db520219400-a8a</v>
      </c>
      <c r="B80" s="46" t="s">
        <v>78</v>
      </c>
      <c r="C80" s="46" t="str">
        <f t="shared" ca="1" si="52"/>
        <v>0e05fe25-5e20-6806-8c7f-8db520219400-a8a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[USD][2E9C6][USD.LOCKINSTF.HSBEL0][U0]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321</v>
      </c>
      <c r="W80" s="46" t="str">
        <f t="shared" si="56"/>
        <v>FORECAST</v>
      </c>
    </row>
    <row r="81" spans="1:23" x14ac:dyDescent="0.15">
      <c r="A81" s="46" t="str">
        <f t="shared" ca="1" si="57"/>
        <v>f160d7fb-6437-24dd-4358-12ab06d59f89-a81</v>
      </c>
      <c r="B81" s="46" t="s">
        <v>78</v>
      </c>
      <c r="C81" s="46" t="str">
        <f t="shared" ca="1" si="52"/>
        <v>f160d7fb-6437-24dd-4358-12ab06d59f89-a81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337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[USD][2E9C6][USD.LOCKINSTF.HSFRA0][U0]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321</v>
      </c>
      <c r="W81" s="46" t="str">
        <f t="shared" si="56"/>
        <v>FORECAST</v>
      </c>
    </row>
    <row r="82" spans="1:23" x14ac:dyDescent="0.15">
      <c r="E82" s="47"/>
      <c r="F82" s="48"/>
      <c r="T82" s="48"/>
    </row>
    <row r="83" spans="1:23" x14ac:dyDescent="0.15">
      <c r="E83" s="47"/>
      <c r="F83" s="48"/>
      <c r="T83" s="48"/>
    </row>
  </sheetData>
  <autoFilter ref="A1:U8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31" sqref="F31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5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43726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42578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2" s="28" customFormat="1" ht="14.25" customHeight="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5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5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5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5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5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5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5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37"/>
  <sheetViews>
    <sheetView workbookViewId="0">
      <pane ySplit="1" topLeftCell="A2" activePane="bottomLeft" state="frozen"/>
      <selection pane="bottomLeft" activeCell="A2" sqref="A2:R37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314</v>
      </c>
      <c r="Q1" s="51" t="s">
        <v>81</v>
      </c>
      <c r="R1" s="55" t="s">
        <v>84</v>
      </c>
    </row>
    <row r="2" spans="1:18" x14ac:dyDescent="0.25">
      <c r="A2" s="56" t="s">
        <v>394</v>
      </c>
      <c r="B2" s="56" t="s">
        <v>348</v>
      </c>
      <c r="C2" s="57" t="s">
        <v>312</v>
      </c>
      <c r="D2" s="56" t="s">
        <v>394</v>
      </c>
      <c r="E2" s="63">
        <v>1</v>
      </c>
      <c r="F2" s="61">
        <v>43725</v>
      </c>
      <c r="G2" s="59" t="s">
        <v>350</v>
      </c>
      <c r="H2" s="57" t="s">
        <v>324</v>
      </c>
      <c r="I2" s="57" t="s">
        <v>313</v>
      </c>
      <c r="J2" s="57" t="s">
        <v>56</v>
      </c>
      <c r="K2" s="60">
        <v>-715</v>
      </c>
      <c r="L2" s="57" t="s">
        <v>327</v>
      </c>
      <c r="M2" s="58" t="s">
        <v>8</v>
      </c>
      <c r="N2" s="55" t="s">
        <v>351</v>
      </c>
      <c r="O2" s="56" t="s">
        <v>321</v>
      </c>
      <c r="P2" s="57" t="s">
        <v>395</v>
      </c>
      <c r="Q2" s="55" t="s">
        <v>77</v>
      </c>
      <c r="R2" s="55" t="s">
        <v>338</v>
      </c>
    </row>
    <row r="3" spans="1:18" x14ac:dyDescent="0.25">
      <c r="A3" s="56" t="s">
        <v>396</v>
      </c>
      <c r="B3" s="55" t="s">
        <v>348</v>
      </c>
      <c r="C3" s="57" t="s">
        <v>312</v>
      </c>
      <c r="D3" s="56" t="s">
        <v>396</v>
      </c>
      <c r="E3" s="63">
        <v>1</v>
      </c>
      <c r="F3" s="61">
        <v>43725</v>
      </c>
      <c r="G3" s="59" t="s">
        <v>352</v>
      </c>
      <c r="H3" s="57" t="s">
        <v>324</v>
      </c>
      <c r="I3" s="57" t="s">
        <v>313</v>
      </c>
      <c r="J3" s="57" t="s">
        <v>56</v>
      </c>
      <c r="K3" s="60">
        <v>-100</v>
      </c>
      <c r="L3" s="57" t="s">
        <v>327</v>
      </c>
      <c r="M3" s="58" t="s">
        <v>8</v>
      </c>
      <c r="N3" s="55" t="s">
        <v>351</v>
      </c>
      <c r="O3" s="56" t="s">
        <v>321</v>
      </c>
      <c r="P3" s="57" t="s">
        <v>397</v>
      </c>
      <c r="Q3" s="55" t="s">
        <v>77</v>
      </c>
      <c r="R3" s="55" t="s">
        <v>338</v>
      </c>
    </row>
    <row r="4" spans="1:18" x14ac:dyDescent="0.25">
      <c r="A4" s="56" t="s">
        <v>398</v>
      </c>
      <c r="B4" s="56" t="s">
        <v>348</v>
      </c>
      <c r="C4" s="57" t="s">
        <v>312</v>
      </c>
      <c r="D4" s="56" t="s">
        <v>398</v>
      </c>
      <c r="E4" s="63">
        <v>1</v>
      </c>
      <c r="F4" s="61">
        <v>43725</v>
      </c>
      <c r="G4" s="59" t="s">
        <v>353</v>
      </c>
      <c r="H4" s="57" t="s">
        <v>324</v>
      </c>
      <c r="I4" s="57" t="s">
        <v>313</v>
      </c>
      <c r="J4" s="57" t="s">
        <v>56</v>
      </c>
      <c r="K4" s="60">
        <v>-20000</v>
      </c>
      <c r="L4" s="57" t="s">
        <v>327</v>
      </c>
      <c r="M4" s="58" t="s">
        <v>8</v>
      </c>
      <c r="N4" s="55" t="s">
        <v>351</v>
      </c>
      <c r="O4" s="56" t="s">
        <v>321</v>
      </c>
      <c r="P4" s="57" t="s">
        <v>399</v>
      </c>
      <c r="Q4" s="55" t="s">
        <v>77</v>
      </c>
      <c r="R4" s="55" t="s">
        <v>338</v>
      </c>
    </row>
    <row r="5" spans="1:18" x14ac:dyDescent="0.25">
      <c r="A5" s="56" t="s">
        <v>400</v>
      </c>
      <c r="B5" s="56" t="s">
        <v>348</v>
      </c>
      <c r="C5" s="57" t="s">
        <v>312</v>
      </c>
      <c r="D5" s="56" t="s">
        <v>400</v>
      </c>
      <c r="E5" s="63">
        <v>1</v>
      </c>
      <c r="F5" s="61">
        <v>43725</v>
      </c>
      <c r="G5" s="59" t="s">
        <v>354</v>
      </c>
      <c r="H5" s="57" t="s">
        <v>324</v>
      </c>
      <c r="I5" s="57" t="s">
        <v>313</v>
      </c>
      <c r="J5" s="57" t="s">
        <v>56</v>
      </c>
      <c r="K5" s="60">
        <v>-1500</v>
      </c>
      <c r="L5" s="57" t="s">
        <v>327</v>
      </c>
      <c r="M5" s="58" t="s">
        <v>8</v>
      </c>
      <c r="N5" s="55" t="s">
        <v>351</v>
      </c>
      <c r="O5" s="56" t="s">
        <v>321</v>
      </c>
      <c r="P5" s="57" t="s">
        <v>401</v>
      </c>
      <c r="Q5" s="55" t="s">
        <v>77</v>
      </c>
      <c r="R5" s="55" t="s">
        <v>338</v>
      </c>
    </row>
    <row r="6" spans="1:18" x14ac:dyDescent="0.25">
      <c r="A6" s="56" t="s">
        <v>402</v>
      </c>
      <c r="B6" s="56" t="s">
        <v>348</v>
      </c>
      <c r="C6" s="57" t="s">
        <v>312</v>
      </c>
      <c r="D6" s="56" t="s">
        <v>402</v>
      </c>
      <c r="E6" s="63">
        <v>1</v>
      </c>
      <c r="F6" s="61">
        <v>43725</v>
      </c>
      <c r="G6" s="59" t="s">
        <v>355</v>
      </c>
      <c r="H6" s="57" t="s">
        <v>324</v>
      </c>
      <c r="I6" s="57" t="s">
        <v>313</v>
      </c>
      <c r="J6" s="57" t="s">
        <v>56</v>
      </c>
      <c r="K6" s="60">
        <v>-950</v>
      </c>
      <c r="L6" s="57" t="s">
        <v>327</v>
      </c>
      <c r="M6" s="58" t="s">
        <v>8</v>
      </c>
      <c r="N6" s="55" t="s">
        <v>351</v>
      </c>
      <c r="O6" s="56" t="s">
        <v>321</v>
      </c>
      <c r="P6" s="57" t="s">
        <v>403</v>
      </c>
      <c r="Q6" s="55" t="s">
        <v>77</v>
      </c>
      <c r="R6" s="55" t="s">
        <v>338</v>
      </c>
    </row>
    <row r="7" spans="1:18" x14ac:dyDescent="0.25">
      <c r="A7" s="56" t="s">
        <v>404</v>
      </c>
      <c r="B7" s="56" t="s">
        <v>348</v>
      </c>
      <c r="C7" s="57" t="s">
        <v>312</v>
      </c>
      <c r="D7" s="56" t="s">
        <v>404</v>
      </c>
      <c r="E7" s="63">
        <v>1</v>
      </c>
      <c r="F7" s="61">
        <v>43725</v>
      </c>
      <c r="G7" s="59" t="s">
        <v>356</v>
      </c>
      <c r="H7" s="57" t="s">
        <v>324</v>
      </c>
      <c r="I7" s="57" t="s">
        <v>313</v>
      </c>
      <c r="J7" s="57" t="s">
        <v>56</v>
      </c>
      <c r="K7" s="60">
        <v>-751</v>
      </c>
      <c r="L7" s="57" t="s">
        <v>327</v>
      </c>
      <c r="M7" s="58" t="s">
        <v>8</v>
      </c>
      <c r="N7" s="55" t="s">
        <v>351</v>
      </c>
      <c r="O7" s="56" t="s">
        <v>321</v>
      </c>
      <c r="P7" s="57" t="s">
        <v>405</v>
      </c>
      <c r="Q7" s="55" t="s">
        <v>77</v>
      </c>
      <c r="R7" s="55" t="s">
        <v>338</v>
      </c>
    </row>
    <row r="8" spans="1:18" x14ac:dyDescent="0.25">
      <c r="A8" s="56" t="s">
        <v>406</v>
      </c>
      <c r="B8" s="56" t="s">
        <v>348</v>
      </c>
      <c r="C8" s="57" t="s">
        <v>312</v>
      </c>
      <c r="D8" s="56" t="s">
        <v>406</v>
      </c>
      <c r="E8" s="63">
        <v>1</v>
      </c>
      <c r="F8" s="61">
        <v>43725</v>
      </c>
      <c r="G8" s="59" t="s">
        <v>357</v>
      </c>
      <c r="H8" s="57" t="s">
        <v>324</v>
      </c>
      <c r="I8" s="57" t="s">
        <v>313</v>
      </c>
      <c r="J8" s="57" t="s">
        <v>56</v>
      </c>
      <c r="K8" s="60">
        <v>-3252</v>
      </c>
      <c r="L8" s="57" t="s">
        <v>327</v>
      </c>
      <c r="M8" s="58" t="s">
        <v>8</v>
      </c>
      <c r="N8" s="55" t="s">
        <v>351</v>
      </c>
      <c r="O8" s="56" t="s">
        <v>321</v>
      </c>
      <c r="P8" s="57" t="s">
        <v>407</v>
      </c>
      <c r="Q8" s="55" t="s">
        <v>77</v>
      </c>
      <c r="R8" s="55" t="s">
        <v>338</v>
      </c>
    </row>
    <row r="9" spans="1:18" x14ac:dyDescent="0.25">
      <c r="A9" s="56" t="s">
        <v>408</v>
      </c>
      <c r="B9" s="56" t="s">
        <v>348</v>
      </c>
      <c r="C9" s="57" t="s">
        <v>312</v>
      </c>
      <c r="D9" s="56" t="s">
        <v>408</v>
      </c>
      <c r="E9" s="63">
        <v>1</v>
      </c>
      <c r="F9" s="61">
        <v>43725</v>
      </c>
      <c r="G9" s="59" t="s">
        <v>358</v>
      </c>
      <c r="H9" s="57" t="s">
        <v>324</v>
      </c>
      <c r="I9" s="57" t="s">
        <v>313</v>
      </c>
      <c r="J9" s="57" t="s">
        <v>56</v>
      </c>
      <c r="K9" s="60">
        <v>-174</v>
      </c>
      <c r="L9" s="57" t="s">
        <v>327</v>
      </c>
      <c r="M9" s="58" t="s">
        <v>8</v>
      </c>
      <c r="N9" s="55" t="s">
        <v>351</v>
      </c>
      <c r="O9" s="56" t="s">
        <v>321</v>
      </c>
      <c r="P9" s="57" t="s">
        <v>409</v>
      </c>
      <c r="Q9" s="55" t="s">
        <v>77</v>
      </c>
      <c r="R9" s="55" t="s">
        <v>338</v>
      </c>
    </row>
    <row r="10" spans="1:18" x14ac:dyDescent="0.25">
      <c r="A10" s="56" t="s">
        <v>410</v>
      </c>
      <c r="B10" s="56" t="s">
        <v>349</v>
      </c>
      <c r="C10" s="57" t="s">
        <v>310</v>
      </c>
      <c r="D10" s="56" t="s">
        <v>410</v>
      </c>
      <c r="E10" s="63">
        <v>1</v>
      </c>
      <c r="F10" s="61">
        <v>43725</v>
      </c>
      <c r="G10" s="59" t="s">
        <v>359</v>
      </c>
      <c r="H10" s="57" t="s">
        <v>324</v>
      </c>
      <c r="I10" s="57" t="s">
        <v>311</v>
      </c>
      <c r="J10" s="57" t="s">
        <v>56</v>
      </c>
      <c r="K10" s="60">
        <v>25000</v>
      </c>
      <c r="L10" s="57" t="s">
        <v>330</v>
      </c>
      <c r="M10" s="58" t="s">
        <v>8</v>
      </c>
      <c r="N10" s="55" t="s">
        <v>360</v>
      </c>
      <c r="O10" s="56" t="s">
        <v>321</v>
      </c>
      <c r="P10" s="57" t="s">
        <v>411</v>
      </c>
      <c r="Q10" s="55" t="s">
        <v>77</v>
      </c>
      <c r="R10" s="55" t="s">
        <v>338</v>
      </c>
    </row>
    <row r="11" spans="1:18" x14ac:dyDescent="0.25">
      <c r="A11" s="56" t="s">
        <v>412</v>
      </c>
      <c r="B11" s="56" t="s">
        <v>361</v>
      </c>
      <c r="C11" s="57" t="s">
        <v>312</v>
      </c>
      <c r="D11" s="56" t="s">
        <v>412</v>
      </c>
      <c r="E11" s="63">
        <v>1</v>
      </c>
      <c r="F11" s="61">
        <v>43725</v>
      </c>
      <c r="G11" s="59" t="s">
        <v>363</v>
      </c>
      <c r="H11" s="57" t="s">
        <v>324</v>
      </c>
      <c r="I11" s="57" t="s">
        <v>313</v>
      </c>
      <c r="J11" s="57" t="s">
        <v>322</v>
      </c>
      <c r="K11" s="60">
        <v>-985.84242899999992</v>
      </c>
      <c r="L11" s="57" t="s">
        <v>327</v>
      </c>
      <c r="M11" s="58" t="s">
        <v>8</v>
      </c>
      <c r="N11" s="55" t="s">
        <v>351</v>
      </c>
      <c r="O11" s="56" t="s">
        <v>321</v>
      </c>
      <c r="P11" s="57" t="s">
        <v>413</v>
      </c>
      <c r="Q11" s="55" t="s">
        <v>77</v>
      </c>
      <c r="R11" s="55" t="s">
        <v>338</v>
      </c>
    </row>
    <row r="12" spans="1:18" x14ac:dyDescent="0.25">
      <c r="A12" s="56" t="s">
        <v>414</v>
      </c>
      <c r="B12" s="56" t="s">
        <v>361</v>
      </c>
      <c r="C12" s="57" t="s">
        <v>312</v>
      </c>
      <c r="D12" s="56" t="s">
        <v>414</v>
      </c>
      <c r="E12" s="63">
        <v>1</v>
      </c>
      <c r="F12" s="61">
        <v>43725</v>
      </c>
      <c r="G12" s="59" t="s">
        <v>364</v>
      </c>
      <c r="H12" s="57" t="s">
        <v>324</v>
      </c>
      <c r="I12" s="57" t="s">
        <v>313</v>
      </c>
      <c r="J12" s="57" t="s">
        <v>322</v>
      </c>
      <c r="K12" s="60">
        <v>-137.86617999999999</v>
      </c>
      <c r="L12" s="57" t="s">
        <v>327</v>
      </c>
      <c r="M12" s="58" t="s">
        <v>8</v>
      </c>
      <c r="N12" s="55" t="s">
        <v>351</v>
      </c>
      <c r="O12" s="56" t="s">
        <v>321</v>
      </c>
      <c r="P12" s="57" t="s">
        <v>415</v>
      </c>
      <c r="Q12" s="55" t="s">
        <v>77</v>
      </c>
      <c r="R12" s="55" t="s">
        <v>338</v>
      </c>
    </row>
    <row r="13" spans="1:18" x14ac:dyDescent="0.25">
      <c r="A13" s="56" t="s">
        <v>416</v>
      </c>
      <c r="B13" s="56" t="s">
        <v>361</v>
      </c>
      <c r="C13" s="57" t="s">
        <v>312</v>
      </c>
      <c r="D13" s="56" t="s">
        <v>416</v>
      </c>
      <c r="E13" s="63">
        <v>1</v>
      </c>
      <c r="F13" s="61">
        <v>43725</v>
      </c>
      <c r="G13" s="59" t="s">
        <v>365</v>
      </c>
      <c r="H13" s="57" t="s">
        <v>324</v>
      </c>
      <c r="I13" s="57" t="s">
        <v>313</v>
      </c>
      <c r="J13" s="57" t="s">
        <v>322</v>
      </c>
      <c r="K13" s="60">
        <v>-27570.46</v>
      </c>
      <c r="L13" s="57" t="s">
        <v>327</v>
      </c>
      <c r="M13" s="58" t="s">
        <v>8</v>
      </c>
      <c r="N13" s="55" t="s">
        <v>351</v>
      </c>
      <c r="O13" s="56" t="s">
        <v>321</v>
      </c>
      <c r="P13" s="57" t="s">
        <v>417</v>
      </c>
      <c r="Q13" s="55" t="s">
        <v>77</v>
      </c>
      <c r="R13" s="55" t="s">
        <v>338</v>
      </c>
    </row>
    <row r="14" spans="1:18" x14ac:dyDescent="0.25">
      <c r="A14" s="56" t="s">
        <v>418</v>
      </c>
      <c r="B14" s="56" t="s">
        <v>361</v>
      </c>
      <c r="C14" s="57" t="s">
        <v>312</v>
      </c>
      <c r="D14" s="56" t="s">
        <v>418</v>
      </c>
      <c r="E14" s="63">
        <v>1</v>
      </c>
      <c r="F14" s="61">
        <v>43725</v>
      </c>
      <c r="G14" s="59" t="s">
        <v>366</v>
      </c>
      <c r="H14" s="57" t="s">
        <v>324</v>
      </c>
      <c r="I14" s="57" t="s">
        <v>313</v>
      </c>
      <c r="J14" s="57" t="s">
        <v>322</v>
      </c>
      <c r="K14" s="60">
        <v>-2067.5762999999997</v>
      </c>
      <c r="L14" s="57" t="s">
        <v>327</v>
      </c>
      <c r="M14" s="58" t="s">
        <v>8</v>
      </c>
      <c r="N14" s="55" t="s">
        <v>351</v>
      </c>
      <c r="O14" s="56" t="s">
        <v>321</v>
      </c>
      <c r="P14" s="57" t="s">
        <v>419</v>
      </c>
      <c r="Q14" s="55" t="s">
        <v>77</v>
      </c>
      <c r="R14" s="55" t="s">
        <v>338</v>
      </c>
    </row>
    <row r="15" spans="1:18" x14ac:dyDescent="0.25">
      <c r="A15" s="56" t="s">
        <v>420</v>
      </c>
      <c r="B15" s="56" t="s">
        <v>361</v>
      </c>
      <c r="C15" s="57" t="s">
        <v>312</v>
      </c>
      <c r="D15" s="56" t="s">
        <v>420</v>
      </c>
      <c r="E15" s="63">
        <v>1</v>
      </c>
      <c r="F15" s="61">
        <v>43725</v>
      </c>
      <c r="G15" s="59" t="s">
        <v>367</v>
      </c>
      <c r="H15" s="57" t="s">
        <v>324</v>
      </c>
      <c r="I15" s="57" t="s">
        <v>313</v>
      </c>
      <c r="J15" s="57" t="s">
        <v>322</v>
      </c>
      <c r="K15" s="60">
        <v>-1309.33313</v>
      </c>
      <c r="L15" s="57" t="s">
        <v>327</v>
      </c>
      <c r="M15" s="58" t="s">
        <v>8</v>
      </c>
      <c r="N15" s="55" t="s">
        <v>351</v>
      </c>
      <c r="O15" s="56" t="s">
        <v>321</v>
      </c>
      <c r="P15" s="57" t="s">
        <v>421</v>
      </c>
      <c r="Q15" s="55" t="s">
        <v>77</v>
      </c>
      <c r="R15" s="55" t="s">
        <v>338</v>
      </c>
    </row>
    <row r="16" spans="1:18" x14ac:dyDescent="0.25">
      <c r="A16" s="56" t="s">
        <v>422</v>
      </c>
      <c r="B16" s="56" t="s">
        <v>361</v>
      </c>
      <c r="C16" s="57" t="s">
        <v>312</v>
      </c>
      <c r="D16" s="56" t="s">
        <v>422</v>
      </c>
      <c r="E16" s="63">
        <v>1</v>
      </c>
      <c r="F16" s="61">
        <v>43725</v>
      </c>
      <c r="G16" s="59" t="s">
        <v>368</v>
      </c>
      <c r="H16" s="57" t="s">
        <v>324</v>
      </c>
      <c r="I16" s="57" t="s">
        <v>313</v>
      </c>
      <c r="J16" s="57" t="s">
        <v>322</v>
      </c>
      <c r="K16" s="60">
        <v>-1034.9580566</v>
      </c>
      <c r="L16" s="57" t="s">
        <v>327</v>
      </c>
      <c r="M16" s="58" t="s">
        <v>8</v>
      </c>
      <c r="N16" s="55" t="s">
        <v>351</v>
      </c>
      <c r="O16" s="56" t="s">
        <v>321</v>
      </c>
      <c r="P16" s="57" t="s">
        <v>423</v>
      </c>
      <c r="Q16" s="55" t="s">
        <v>77</v>
      </c>
      <c r="R16" s="55" t="s">
        <v>338</v>
      </c>
    </row>
    <row r="17" spans="1:18" x14ac:dyDescent="0.25">
      <c r="A17" s="56" t="s">
        <v>424</v>
      </c>
      <c r="B17" s="56" t="s">
        <v>361</v>
      </c>
      <c r="C17" s="57" t="s">
        <v>312</v>
      </c>
      <c r="D17" s="56" t="s">
        <v>424</v>
      </c>
      <c r="E17" s="63">
        <v>1</v>
      </c>
      <c r="F17" s="61">
        <v>43725</v>
      </c>
      <c r="G17" s="59" t="s">
        <v>369</v>
      </c>
      <c r="H17" s="57" t="s">
        <v>324</v>
      </c>
      <c r="I17" s="57" t="s">
        <v>313</v>
      </c>
      <c r="J17" s="57" t="s">
        <v>322</v>
      </c>
      <c r="K17" s="60">
        <v>-4481.1512855999999</v>
      </c>
      <c r="L17" s="57" t="s">
        <v>327</v>
      </c>
      <c r="M17" s="58" t="s">
        <v>8</v>
      </c>
      <c r="N17" s="55" t="s">
        <v>351</v>
      </c>
      <c r="O17" s="56" t="s">
        <v>321</v>
      </c>
      <c r="P17" s="57" t="s">
        <v>425</v>
      </c>
      <c r="Q17" s="55" t="s">
        <v>77</v>
      </c>
      <c r="R17" s="55" t="s">
        <v>338</v>
      </c>
    </row>
    <row r="18" spans="1:18" x14ac:dyDescent="0.25">
      <c r="A18" s="56" t="s">
        <v>426</v>
      </c>
      <c r="B18" s="56" t="s">
        <v>361</v>
      </c>
      <c r="C18" s="57" t="s">
        <v>312</v>
      </c>
      <c r="D18" s="56" t="s">
        <v>426</v>
      </c>
      <c r="E18" s="63">
        <v>1</v>
      </c>
      <c r="F18" s="61">
        <v>43725</v>
      </c>
      <c r="G18" s="59" t="s">
        <v>370</v>
      </c>
      <c r="H18" s="57" t="s">
        <v>324</v>
      </c>
      <c r="I18" s="57" t="s">
        <v>313</v>
      </c>
      <c r="J18" s="57" t="s">
        <v>322</v>
      </c>
      <c r="K18" s="60">
        <v>-239.74224599999999</v>
      </c>
      <c r="L18" s="57" t="s">
        <v>327</v>
      </c>
      <c r="M18" s="58" t="s">
        <v>8</v>
      </c>
      <c r="N18" s="55" t="s">
        <v>351</v>
      </c>
      <c r="O18" s="56" t="s">
        <v>321</v>
      </c>
      <c r="P18" s="57" t="s">
        <v>427</v>
      </c>
      <c r="Q18" s="55" t="s">
        <v>77</v>
      </c>
      <c r="R18" s="55" t="s">
        <v>338</v>
      </c>
    </row>
    <row r="19" spans="1:18" x14ac:dyDescent="0.25">
      <c r="A19" s="56" t="s">
        <v>428</v>
      </c>
      <c r="B19" s="56" t="s">
        <v>362</v>
      </c>
      <c r="C19" s="57" t="s">
        <v>310</v>
      </c>
      <c r="D19" s="56" t="s">
        <v>428</v>
      </c>
      <c r="E19" s="63">
        <v>1</v>
      </c>
      <c r="F19" s="61">
        <v>43725</v>
      </c>
      <c r="G19" s="59" t="s">
        <v>371</v>
      </c>
      <c r="H19" s="57" t="s">
        <v>324</v>
      </c>
      <c r="I19" s="57" t="s">
        <v>311</v>
      </c>
      <c r="J19" s="57" t="s">
        <v>322</v>
      </c>
      <c r="K19" s="60">
        <v>34470</v>
      </c>
      <c r="L19" s="57" t="s">
        <v>330</v>
      </c>
      <c r="M19" s="58" t="s">
        <v>8</v>
      </c>
      <c r="N19" s="55" t="s">
        <v>360</v>
      </c>
      <c r="O19" s="56" t="s">
        <v>321</v>
      </c>
      <c r="P19" s="57" t="s">
        <v>429</v>
      </c>
      <c r="Q19" s="55" t="s">
        <v>77</v>
      </c>
      <c r="R19" s="55" t="s">
        <v>338</v>
      </c>
    </row>
    <row r="20" spans="1:18" x14ac:dyDescent="0.25">
      <c r="A20" s="56" t="s">
        <v>430</v>
      </c>
      <c r="B20" s="56" t="s">
        <v>372</v>
      </c>
      <c r="C20" s="57" t="s">
        <v>312</v>
      </c>
      <c r="D20" s="56" t="s">
        <v>430</v>
      </c>
      <c r="E20" s="63">
        <v>2</v>
      </c>
      <c r="F20" s="61">
        <v>43725</v>
      </c>
      <c r="G20" s="59" t="s">
        <v>374</v>
      </c>
      <c r="H20" s="57" t="s">
        <v>324</v>
      </c>
      <c r="I20" s="57" t="s">
        <v>313</v>
      </c>
      <c r="J20" s="57" t="s">
        <v>56</v>
      </c>
      <c r="K20" s="60">
        <v>-715</v>
      </c>
      <c r="L20" s="57" t="s">
        <v>328</v>
      </c>
      <c r="M20" s="58" t="s">
        <v>8</v>
      </c>
      <c r="N20" s="55" t="s">
        <v>351</v>
      </c>
      <c r="O20" s="56" t="s">
        <v>321</v>
      </c>
      <c r="P20" s="57" t="s">
        <v>431</v>
      </c>
      <c r="Q20" s="55" t="s">
        <v>77</v>
      </c>
      <c r="R20" s="55" t="s">
        <v>317</v>
      </c>
    </row>
    <row r="21" spans="1:18" x14ac:dyDescent="0.25">
      <c r="A21" s="56" t="s">
        <v>432</v>
      </c>
      <c r="B21" s="56" t="s">
        <v>372</v>
      </c>
      <c r="C21" s="57" t="s">
        <v>312</v>
      </c>
      <c r="D21" s="56" t="s">
        <v>432</v>
      </c>
      <c r="E21" s="63">
        <v>2</v>
      </c>
      <c r="F21" s="61">
        <v>43725</v>
      </c>
      <c r="G21" s="59" t="s">
        <v>375</v>
      </c>
      <c r="H21" s="57" t="s">
        <v>324</v>
      </c>
      <c r="I21" s="57" t="s">
        <v>313</v>
      </c>
      <c r="J21" s="57" t="s">
        <v>56</v>
      </c>
      <c r="K21" s="60">
        <v>-100</v>
      </c>
      <c r="L21" s="57" t="s">
        <v>328</v>
      </c>
      <c r="M21" s="58" t="s">
        <v>8</v>
      </c>
      <c r="N21" s="55" t="s">
        <v>351</v>
      </c>
      <c r="O21" s="56" t="s">
        <v>321</v>
      </c>
      <c r="P21" s="57" t="s">
        <v>433</v>
      </c>
      <c r="Q21" s="55" t="s">
        <v>77</v>
      </c>
      <c r="R21" s="55" t="s">
        <v>317</v>
      </c>
    </row>
    <row r="22" spans="1:18" x14ac:dyDescent="0.25">
      <c r="A22" s="55" t="s">
        <v>434</v>
      </c>
      <c r="B22" s="55" t="s">
        <v>372</v>
      </c>
      <c r="C22" s="55" t="s">
        <v>312</v>
      </c>
      <c r="D22" s="55" t="s">
        <v>434</v>
      </c>
      <c r="E22" s="63">
        <v>2</v>
      </c>
      <c r="F22" s="61">
        <v>43725</v>
      </c>
      <c r="G22" s="55" t="s">
        <v>376</v>
      </c>
      <c r="H22" s="55" t="s">
        <v>324</v>
      </c>
      <c r="I22" s="55" t="s">
        <v>313</v>
      </c>
      <c r="J22" s="60" t="s">
        <v>56</v>
      </c>
      <c r="K22" s="55">
        <v>-20000</v>
      </c>
      <c r="L22" s="61" t="s">
        <v>328</v>
      </c>
      <c r="M22" s="55" t="s">
        <v>8</v>
      </c>
      <c r="N22" s="55" t="s">
        <v>351</v>
      </c>
      <c r="O22" s="55" t="s">
        <v>321</v>
      </c>
      <c r="P22" s="55" t="s">
        <v>435</v>
      </c>
      <c r="Q22" s="55" t="s">
        <v>77</v>
      </c>
      <c r="R22" s="55" t="s">
        <v>317</v>
      </c>
    </row>
    <row r="23" spans="1:18" x14ac:dyDescent="0.25">
      <c r="A23" s="55" t="s">
        <v>436</v>
      </c>
      <c r="B23" s="55" t="s">
        <v>372</v>
      </c>
      <c r="C23" s="55" t="s">
        <v>312</v>
      </c>
      <c r="D23" s="55" t="s">
        <v>436</v>
      </c>
      <c r="E23" s="63">
        <v>2</v>
      </c>
      <c r="F23" s="61">
        <v>43725</v>
      </c>
      <c r="G23" s="55" t="s">
        <v>377</v>
      </c>
      <c r="H23" s="55" t="s">
        <v>324</v>
      </c>
      <c r="I23" s="55" t="s">
        <v>313</v>
      </c>
      <c r="J23" s="60" t="s">
        <v>56</v>
      </c>
      <c r="K23" s="55">
        <v>-1500</v>
      </c>
      <c r="L23" s="61" t="s">
        <v>328</v>
      </c>
      <c r="M23" s="55" t="s">
        <v>8</v>
      </c>
      <c r="N23" s="55" t="s">
        <v>351</v>
      </c>
      <c r="O23" s="55" t="s">
        <v>321</v>
      </c>
      <c r="P23" s="55" t="s">
        <v>437</v>
      </c>
      <c r="Q23" s="55" t="s">
        <v>77</v>
      </c>
      <c r="R23" s="55" t="s">
        <v>317</v>
      </c>
    </row>
    <row r="24" spans="1:18" x14ac:dyDescent="0.25">
      <c r="A24" s="55" t="s">
        <v>438</v>
      </c>
      <c r="B24" s="55" t="s">
        <v>372</v>
      </c>
      <c r="C24" s="55" t="s">
        <v>312</v>
      </c>
      <c r="D24" s="55" t="s">
        <v>438</v>
      </c>
      <c r="E24" s="63">
        <v>2</v>
      </c>
      <c r="F24" s="61">
        <v>43725</v>
      </c>
      <c r="G24" s="55" t="s">
        <v>378</v>
      </c>
      <c r="H24" s="55" t="s">
        <v>324</v>
      </c>
      <c r="I24" s="55" t="s">
        <v>313</v>
      </c>
      <c r="J24" s="60" t="s">
        <v>56</v>
      </c>
      <c r="K24" s="55">
        <v>-950</v>
      </c>
      <c r="L24" s="61" t="s">
        <v>328</v>
      </c>
      <c r="M24" s="55" t="s">
        <v>8</v>
      </c>
      <c r="N24" s="55" t="s">
        <v>351</v>
      </c>
      <c r="O24" s="55" t="s">
        <v>321</v>
      </c>
      <c r="P24" s="55" t="s">
        <v>439</v>
      </c>
      <c r="Q24" s="55" t="s">
        <v>77</v>
      </c>
      <c r="R24" s="55" t="s">
        <v>317</v>
      </c>
    </row>
    <row r="25" spans="1:18" x14ac:dyDescent="0.25">
      <c r="A25" s="55" t="s">
        <v>440</v>
      </c>
      <c r="B25" s="55" t="s">
        <v>372</v>
      </c>
      <c r="C25" s="55" t="s">
        <v>312</v>
      </c>
      <c r="D25" s="55" t="s">
        <v>440</v>
      </c>
      <c r="E25" s="63">
        <v>2</v>
      </c>
      <c r="F25" s="61">
        <v>43725</v>
      </c>
      <c r="G25" s="55" t="s">
        <v>379</v>
      </c>
      <c r="H25" s="55" t="s">
        <v>324</v>
      </c>
      <c r="I25" s="55" t="s">
        <v>313</v>
      </c>
      <c r="J25" s="60" t="s">
        <v>56</v>
      </c>
      <c r="K25" s="55">
        <v>-751</v>
      </c>
      <c r="L25" s="61" t="s">
        <v>328</v>
      </c>
      <c r="M25" s="55" t="s">
        <v>8</v>
      </c>
      <c r="N25" s="55" t="s">
        <v>351</v>
      </c>
      <c r="O25" s="55" t="s">
        <v>321</v>
      </c>
      <c r="P25" s="55" t="s">
        <v>441</v>
      </c>
      <c r="Q25" s="55" t="s">
        <v>77</v>
      </c>
      <c r="R25" s="55" t="s">
        <v>317</v>
      </c>
    </row>
    <row r="26" spans="1:18" x14ac:dyDescent="0.25">
      <c r="A26" s="55" t="s">
        <v>442</v>
      </c>
      <c r="B26" s="55" t="s">
        <v>372</v>
      </c>
      <c r="C26" s="55" t="s">
        <v>312</v>
      </c>
      <c r="D26" s="55" t="s">
        <v>442</v>
      </c>
      <c r="E26" s="63">
        <v>2</v>
      </c>
      <c r="F26" s="61">
        <v>43725</v>
      </c>
      <c r="G26" s="55" t="s">
        <v>380</v>
      </c>
      <c r="H26" s="55" t="s">
        <v>324</v>
      </c>
      <c r="I26" s="55" t="s">
        <v>313</v>
      </c>
      <c r="J26" s="60" t="s">
        <v>56</v>
      </c>
      <c r="K26" s="55">
        <v>-3252</v>
      </c>
      <c r="L26" s="61" t="s">
        <v>328</v>
      </c>
      <c r="M26" s="55" t="s">
        <v>8</v>
      </c>
      <c r="N26" s="55" t="s">
        <v>351</v>
      </c>
      <c r="O26" s="55" t="s">
        <v>321</v>
      </c>
      <c r="P26" s="55" t="s">
        <v>443</v>
      </c>
      <c r="Q26" s="55" t="s">
        <v>77</v>
      </c>
      <c r="R26" s="55" t="s">
        <v>317</v>
      </c>
    </row>
    <row r="27" spans="1:18" x14ac:dyDescent="0.25">
      <c r="A27" s="55" t="s">
        <v>444</v>
      </c>
      <c r="B27" s="55" t="s">
        <v>372</v>
      </c>
      <c r="C27" s="55" t="s">
        <v>312</v>
      </c>
      <c r="D27" s="55" t="s">
        <v>444</v>
      </c>
      <c r="E27" s="63">
        <v>2</v>
      </c>
      <c r="F27" s="61">
        <v>43725</v>
      </c>
      <c r="G27" s="55" t="s">
        <v>381</v>
      </c>
      <c r="H27" s="55" t="s">
        <v>324</v>
      </c>
      <c r="I27" s="55" t="s">
        <v>313</v>
      </c>
      <c r="J27" s="60" t="s">
        <v>56</v>
      </c>
      <c r="K27" s="55">
        <v>-174</v>
      </c>
      <c r="L27" s="61" t="s">
        <v>328</v>
      </c>
      <c r="M27" s="55" t="s">
        <v>8</v>
      </c>
      <c r="N27" s="55" t="s">
        <v>351</v>
      </c>
      <c r="O27" s="55" t="s">
        <v>321</v>
      </c>
      <c r="P27" s="55" t="s">
        <v>445</v>
      </c>
      <c r="Q27" s="55" t="s">
        <v>77</v>
      </c>
      <c r="R27" s="55" t="s">
        <v>317</v>
      </c>
    </row>
    <row r="28" spans="1:18" x14ac:dyDescent="0.25">
      <c r="A28" s="55" t="s">
        <v>446</v>
      </c>
      <c r="B28" s="55" t="s">
        <v>373</v>
      </c>
      <c r="C28" s="55" t="s">
        <v>310</v>
      </c>
      <c r="D28" s="55" t="s">
        <v>446</v>
      </c>
      <c r="E28" s="63">
        <v>2</v>
      </c>
      <c r="F28" s="61">
        <v>43725</v>
      </c>
      <c r="G28" s="55" t="s">
        <v>382</v>
      </c>
      <c r="H28" s="55" t="s">
        <v>324</v>
      </c>
      <c r="I28" s="55" t="s">
        <v>311</v>
      </c>
      <c r="J28" s="60" t="s">
        <v>56</v>
      </c>
      <c r="K28" s="55">
        <v>25000</v>
      </c>
      <c r="L28" s="61" t="s">
        <v>329</v>
      </c>
      <c r="M28" s="55" t="s">
        <v>8</v>
      </c>
      <c r="N28" s="55" t="s">
        <v>360</v>
      </c>
      <c r="O28" s="55" t="s">
        <v>321</v>
      </c>
      <c r="P28" s="55" t="s">
        <v>447</v>
      </c>
      <c r="Q28" s="55" t="s">
        <v>77</v>
      </c>
      <c r="R28" s="55" t="s">
        <v>317</v>
      </c>
    </row>
    <row r="29" spans="1:18" x14ac:dyDescent="0.25">
      <c r="A29" s="55" t="s">
        <v>448</v>
      </c>
      <c r="B29" s="55" t="s">
        <v>383</v>
      </c>
      <c r="C29" s="55" t="s">
        <v>312</v>
      </c>
      <c r="D29" s="55" t="s">
        <v>448</v>
      </c>
      <c r="E29" s="63">
        <v>2</v>
      </c>
      <c r="F29" s="61">
        <v>43725</v>
      </c>
      <c r="G29" s="55" t="s">
        <v>385</v>
      </c>
      <c r="H29" s="55" t="s">
        <v>324</v>
      </c>
      <c r="I29" s="55" t="s">
        <v>313</v>
      </c>
      <c r="J29" s="60" t="s">
        <v>322</v>
      </c>
      <c r="K29" s="55">
        <v>-985.84242899999992</v>
      </c>
      <c r="L29" s="61" t="s">
        <v>328</v>
      </c>
      <c r="M29" s="55" t="s">
        <v>8</v>
      </c>
      <c r="N29" s="55" t="s">
        <v>351</v>
      </c>
      <c r="O29" s="55" t="s">
        <v>321</v>
      </c>
      <c r="P29" s="55" t="s">
        <v>449</v>
      </c>
      <c r="Q29" s="55" t="s">
        <v>77</v>
      </c>
      <c r="R29" s="55" t="s">
        <v>317</v>
      </c>
    </row>
    <row r="30" spans="1:18" x14ac:dyDescent="0.25">
      <c r="A30" s="55" t="s">
        <v>450</v>
      </c>
      <c r="B30" s="55" t="s">
        <v>383</v>
      </c>
      <c r="C30" s="55" t="s">
        <v>312</v>
      </c>
      <c r="D30" s="55" t="s">
        <v>450</v>
      </c>
      <c r="E30" s="63">
        <v>2</v>
      </c>
      <c r="F30" s="61">
        <v>43725</v>
      </c>
      <c r="G30" s="55" t="s">
        <v>386</v>
      </c>
      <c r="H30" s="55" t="s">
        <v>324</v>
      </c>
      <c r="I30" s="55" t="s">
        <v>313</v>
      </c>
      <c r="J30" s="60" t="s">
        <v>322</v>
      </c>
      <c r="K30" s="55">
        <v>-137.86617999999999</v>
      </c>
      <c r="L30" s="61" t="s">
        <v>328</v>
      </c>
      <c r="M30" s="55" t="s">
        <v>8</v>
      </c>
      <c r="N30" s="55" t="s">
        <v>351</v>
      </c>
      <c r="O30" s="55" t="s">
        <v>321</v>
      </c>
      <c r="P30" s="55" t="s">
        <v>451</v>
      </c>
      <c r="Q30" s="55" t="s">
        <v>77</v>
      </c>
      <c r="R30" s="55" t="s">
        <v>317</v>
      </c>
    </row>
    <row r="31" spans="1:18" x14ac:dyDescent="0.25">
      <c r="A31" s="55" t="s">
        <v>452</v>
      </c>
      <c r="B31" s="55" t="s">
        <v>383</v>
      </c>
      <c r="C31" s="55" t="s">
        <v>312</v>
      </c>
      <c r="D31" s="55" t="s">
        <v>452</v>
      </c>
      <c r="E31" s="63">
        <v>2</v>
      </c>
      <c r="F31" s="61">
        <v>43725</v>
      </c>
      <c r="G31" s="55" t="s">
        <v>387</v>
      </c>
      <c r="H31" s="55" t="s">
        <v>324</v>
      </c>
      <c r="I31" s="55" t="s">
        <v>313</v>
      </c>
      <c r="J31" s="60" t="s">
        <v>322</v>
      </c>
      <c r="K31" s="55">
        <v>-27570.46</v>
      </c>
      <c r="L31" s="61" t="s">
        <v>328</v>
      </c>
      <c r="M31" s="55" t="s">
        <v>8</v>
      </c>
      <c r="N31" s="55" t="s">
        <v>351</v>
      </c>
      <c r="O31" s="55" t="s">
        <v>321</v>
      </c>
      <c r="P31" s="55" t="s">
        <v>453</v>
      </c>
      <c r="Q31" s="55" t="s">
        <v>77</v>
      </c>
      <c r="R31" s="55" t="s">
        <v>317</v>
      </c>
    </row>
    <row r="32" spans="1:18" x14ac:dyDescent="0.25">
      <c r="A32" s="55" t="s">
        <v>454</v>
      </c>
      <c r="B32" s="55" t="s">
        <v>383</v>
      </c>
      <c r="C32" s="55" t="s">
        <v>312</v>
      </c>
      <c r="D32" s="55" t="s">
        <v>454</v>
      </c>
      <c r="E32" s="63">
        <v>2</v>
      </c>
      <c r="F32" s="61">
        <v>43725</v>
      </c>
      <c r="G32" s="55" t="s">
        <v>388</v>
      </c>
      <c r="H32" s="55" t="s">
        <v>324</v>
      </c>
      <c r="I32" s="55" t="s">
        <v>313</v>
      </c>
      <c r="J32" s="60" t="s">
        <v>322</v>
      </c>
      <c r="K32" s="55">
        <v>-2067.5762999999997</v>
      </c>
      <c r="L32" s="61" t="s">
        <v>328</v>
      </c>
      <c r="M32" s="55" t="s">
        <v>8</v>
      </c>
      <c r="N32" s="55" t="s">
        <v>351</v>
      </c>
      <c r="O32" s="55" t="s">
        <v>321</v>
      </c>
      <c r="P32" s="55" t="s">
        <v>455</v>
      </c>
      <c r="Q32" s="55" t="s">
        <v>77</v>
      </c>
      <c r="R32" s="55" t="s">
        <v>317</v>
      </c>
    </row>
    <row r="33" spans="1:18" x14ac:dyDescent="0.25">
      <c r="A33" s="55" t="s">
        <v>456</v>
      </c>
      <c r="B33" s="55" t="s">
        <v>383</v>
      </c>
      <c r="C33" s="55" t="s">
        <v>312</v>
      </c>
      <c r="D33" s="55" t="s">
        <v>456</v>
      </c>
      <c r="E33" s="63">
        <v>2</v>
      </c>
      <c r="F33" s="61">
        <v>43725</v>
      </c>
      <c r="G33" s="55" t="s">
        <v>389</v>
      </c>
      <c r="H33" s="55" t="s">
        <v>324</v>
      </c>
      <c r="I33" s="55" t="s">
        <v>313</v>
      </c>
      <c r="J33" s="60" t="s">
        <v>322</v>
      </c>
      <c r="K33" s="55">
        <v>-1309.33313</v>
      </c>
      <c r="L33" s="61" t="s">
        <v>328</v>
      </c>
      <c r="M33" s="55" t="s">
        <v>8</v>
      </c>
      <c r="N33" s="55" t="s">
        <v>351</v>
      </c>
      <c r="O33" s="55" t="s">
        <v>321</v>
      </c>
      <c r="P33" s="55" t="s">
        <v>457</v>
      </c>
      <c r="Q33" s="55" t="s">
        <v>77</v>
      </c>
      <c r="R33" s="55" t="s">
        <v>317</v>
      </c>
    </row>
    <row r="34" spans="1:18" x14ac:dyDescent="0.25">
      <c r="A34" s="55" t="s">
        <v>458</v>
      </c>
      <c r="B34" s="55" t="s">
        <v>383</v>
      </c>
      <c r="C34" s="55" t="s">
        <v>312</v>
      </c>
      <c r="D34" s="55" t="s">
        <v>458</v>
      </c>
      <c r="E34" s="63">
        <v>2</v>
      </c>
      <c r="F34" s="61">
        <v>43725</v>
      </c>
      <c r="G34" s="55" t="s">
        <v>390</v>
      </c>
      <c r="H34" s="55" t="s">
        <v>324</v>
      </c>
      <c r="I34" s="55" t="s">
        <v>313</v>
      </c>
      <c r="J34" s="60" t="s">
        <v>322</v>
      </c>
      <c r="K34" s="55">
        <v>-1034.9580566</v>
      </c>
      <c r="L34" s="61" t="s">
        <v>328</v>
      </c>
      <c r="M34" s="55" t="s">
        <v>8</v>
      </c>
      <c r="N34" s="55" t="s">
        <v>351</v>
      </c>
      <c r="O34" s="55" t="s">
        <v>321</v>
      </c>
      <c r="P34" s="55" t="s">
        <v>459</v>
      </c>
      <c r="Q34" s="55" t="s">
        <v>77</v>
      </c>
      <c r="R34" s="55" t="s">
        <v>317</v>
      </c>
    </row>
    <row r="35" spans="1:18" x14ac:dyDescent="0.25">
      <c r="A35" s="55" t="s">
        <v>460</v>
      </c>
      <c r="B35" s="55" t="s">
        <v>383</v>
      </c>
      <c r="C35" s="55" t="s">
        <v>312</v>
      </c>
      <c r="D35" s="55" t="s">
        <v>460</v>
      </c>
      <c r="E35" s="63">
        <v>2</v>
      </c>
      <c r="F35" s="61">
        <v>43725</v>
      </c>
      <c r="G35" s="55" t="s">
        <v>391</v>
      </c>
      <c r="H35" s="55" t="s">
        <v>324</v>
      </c>
      <c r="I35" s="55" t="s">
        <v>313</v>
      </c>
      <c r="J35" s="60" t="s">
        <v>322</v>
      </c>
      <c r="K35" s="55">
        <v>-4481.1512855999999</v>
      </c>
      <c r="L35" s="61" t="s">
        <v>328</v>
      </c>
      <c r="M35" s="55" t="s">
        <v>8</v>
      </c>
      <c r="N35" s="55" t="s">
        <v>351</v>
      </c>
      <c r="O35" s="55" t="s">
        <v>321</v>
      </c>
      <c r="P35" s="55" t="s">
        <v>461</v>
      </c>
      <c r="Q35" s="55" t="s">
        <v>77</v>
      </c>
      <c r="R35" s="55" t="s">
        <v>317</v>
      </c>
    </row>
    <row r="36" spans="1:18" x14ac:dyDescent="0.25">
      <c r="A36" s="55" t="s">
        <v>462</v>
      </c>
      <c r="B36" s="55" t="s">
        <v>383</v>
      </c>
      <c r="C36" s="55" t="s">
        <v>312</v>
      </c>
      <c r="D36" s="55" t="s">
        <v>462</v>
      </c>
      <c r="E36" s="63">
        <v>2</v>
      </c>
      <c r="F36" s="61">
        <v>43725</v>
      </c>
      <c r="G36" s="55" t="s">
        <v>392</v>
      </c>
      <c r="H36" s="55" t="s">
        <v>324</v>
      </c>
      <c r="I36" s="55" t="s">
        <v>313</v>
      </c>
      <c r="J36" s="60" t="s">
        <v>322</v>
      </c>
      <c r="K36" s="55">
        <v>-239.74224599999999</v>
      </c>
      <c r="L36" s="61" t="s">
        <v>328</v>
      </c>
      <c r="M36" s="55" t="s">
        <v>8</v>
      </c>
      <c r="N36" s="55" t="s">
        <v>351</v>
      </c>
      <c r="O36" s="55" t="s">
        <v>321</v>
      </c>
      <c r="P36" s="55" t="s">
        <v>463</v>
      </c>
      <c r="Q36" s="55" t="s">
        <v>77</v>
      </c>
      <c r="R36" s="55" t="s">
        <v>317</v>
      </c>
    </row>
    <row r="37" spans="1:18" x14ac:dyDescent="0.25">
      <c r="A37" s="55" t="s">
        <v>464</v>
      </c>
      <c r="B37" s="55" t="s">
        <v>384</v>
      </c>
      <c r="C37" s="55" t="s">
        <v>310</v>
      </c>
      <c r="D37" s="55" t="s">
        <v>464</v>
      </c>
      <c r="E37" s="63">
        <v>2</v>
      </c>
      <c r="F37" s="61">
        <v>43725</v>
      </c>
      <c r="G37" s="55" t="s">
        <v>393</v>
      </c>
      <c r="H37" s="55" t="s">
        <v>324</v>
      </c>
      <c r="I37" s="55" t="s">
        <v>311</v>
      </c>
      <c r="J37" s="60" t="s">
        <v>322</v>
      </c>
      <c r="K37" s="55">
        <v>34470</v>
      </c>
      <c r="L37" s="61" t="s">
        <v>329</v>
      </c>
      <c r="M37" s="55" t="s">
        <v>8</v>
      </c>
      <c r="N37" s="55" t="s">
        <v>360</v>
      </c>
      <c r="O37" s="55" t="s">
        <v>321</v>
      </c>
      <c r="P37" s="55" t="s">
        <v>465</v>
      </c>
      <c r="Q37" s="55" t="s">
        <v>77</v>
      </c>
      <c r="R37" s="55" t="s">
        <v>317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D7" sqref="D7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315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314</v>
      </c>
    </row>
    <row r="2" spans="1:18" x14ac:dyDescent="0.25">
      <c r="A2" s="39" t="s">
        <v>343</v>
      </c>
      <c r="B2" s="36" t="s">
        <v>316</v>
      </c>
      <c r="C2" s="39" t="s">
        <v>344</v>
      </c>
      <c r="D2" s="36">
        <v>1</v>
      </c>
      <c r="E2" s="37">
        <v>43726</v>
      </c>
      <c r="F2" s="40" t="s">
        <v>339</v>
      </c>
      <c r="G2" s="36" t="s">
        <v>325</v>
      </c>
      <c r="H2" s="36" t="s">
        <v>319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323</v>
      </c>
      <c r="O2" s="37">
        <f>E2</f>
        <v>43726</v>
      </c>
      <c r="P2" s="36" t="s">
        <v>340</v>
      </c>
      <c r="Q2" s="36" t="s">
        <v>321</v>
      </c>
      <c r="R2" s="39" t="s">
        <v>345</v>
      </c>
    </row>
    <row r="3" spans="1:18" x14ac:dyDescent="0.25">
      <c r="A3" s="39" t="s">
        <v>346</v>
      </c>
      <c r="B3" s="36" t="s">
        <v>316</v>
      </c>
      <c r="C3" s="39" t="s">
        <v>346</v>
      </c>
      <c r="D3" s="36">
        <v>1</v>
      </c>
      <c r="E3" s="37">
        <v>43726</v>
      </c>
      <c r="F3" s="40" t="s">
        <v>341</v>
      </c>
      <c r="G3" s="36" t="s">
        <v>325</v>
      </c>
      <c r="H3" s="36" t="s">
        <v>319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323</v>
      </c>
      <c r="O3" s="37">
        <f>E3</f>
        <v>43726</v>
      </c>
      <c r="P3" s="36" t="s">
        <v>342</v>
      </c>
      <c r="Q3" s="36" t="s">
        <v>321</v>
      </c>
      <c r="R3" s="39" t="s">
        <v>347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5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5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5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5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5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5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5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5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5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5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5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5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5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5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5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5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5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5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5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5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5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5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5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5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5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5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5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5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5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5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5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5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5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5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5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5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5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5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5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5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5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5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5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5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5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5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5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5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5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5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5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5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5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5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5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5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5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5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5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5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5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5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5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5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5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5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5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5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5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5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5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5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5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5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5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5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5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5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5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5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5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5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5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5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5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84223333 ACCOUNTS-FIRSTDIR-EXT</v>
      </c>
      <c r="T2" s="26" t="str">
        <f ca="1">S2</f>
        <v>84223333 ACCOUNTS-FIRSTDIR-EXT</v>
      </c>
      <c r="U2" s="8">
        <f ca="1">RANDBETWEEN(0,99999999)</f>
        <v>84223333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63387630 ACCOUNTS-SANTANDE-EXT</v>
      </c>
      <c r="T3" s="26" t="str">
        <f t="shared" ref="T3:T23" ca="1" si="3">S3</f>
        <v>63387630 ACCOUNTS-SANTANDE-EXT</v>
      </c>
      <c r="U3" s="8">
        <f t="shared" ref="U3:U23" ca="1" si="4">RANDBETWEEN(0,99999999)</f>
        <v>63387630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79786958 ACCOUNTS-SMILE-EXT</v>
      </c>
      <c r="T4" s="26" t="str">
        <f t="shared" ca="1" si="3"/>
        <v>79786958 ACCOUNTS-SMILE-EXT</v>
      </c>
      <c r="U4" s="8">
        <f t="shared" ca="1" si="4"/>
        <v>79786958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9407419 ACCOUNTS-NATIONWI-EXT</v>
      </c>
      <c r="T5" s="26" t="str">
        <f t="shared" ca="1" si="3"/>
        <v>9407419 ACCOUNTS-NATIONWI-EXT</v>
      </c>
      <c r="U5" s="8">
        <f t="shared" ca="1" si="4"/>
        <v>9407419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79583889 ACCOUNTS-THECOOP-EXT</v>
      </c>
      <c r="T6" s="26" t="str">
        <f t="shared" ca="1" si="3"/>
        <v>79583889 ACCOUNTS-THECOOP-EXT</v>
      </c>
      <c r="U6" s="8">
        <f t="shared" ca="1" si="4"/>
        <v>79583889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41781217 ACCOUNTS-HALIFAX -EXT</v>
      </c>
      <c r="T7" s="26" t="str">
        <f t="shared" ca="1" si="3"/>
        <v>41781217 ACCOUNTS-HALIFAX -EXT</v>
      </c>
      <c r="U7" s="8">
        <f t="shared" ca="1" si="4"/>
        <v>41781217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86823527 ACCOUNTS-TSB -EXT</v>
      </c>
      <c r="T8" s="26" t="str">
        <f t="shared" ca="1" si="3"/>
        <v>86823527 ACCOUNTS-TSB -EXT</v>
      </c>
      <c r="U8" s="8">
        <f t="shared" ca="1" si="4"/>
        <v>86823527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79884436 ACCOUNTS-BANKOFSC-EXT</v>
      </c>
      <c r="T9" s="26" t="str">
        <f t="shared" ca="1" si="3"/>
        <v>79884436 ACCOUNTS-BANKOFSC-EXT</v>
      </c>
      <c r="U9" s="8">
        <f t="shared" ca="1" si="4"/>
        <v>79884436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2065744 ACCOUNTS-YORKSHIR-EXT</v>
      </c>
      <c r="T10" s="26" t="str">
        <f t="shared" ca="1" si="3"/>
        <v>2065744 ACCOUNTS-YORKSHIR-EXT</v>
      </c>
      <c r="U10" s="8">
        <f t="shared" ca="1" si="4"/>
        <v>2065744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65079984 ACCOUNTS-LLOYDSBA-EXT</v>
      </c>
      <c r="T11" s="26" t="str">
        <f t="shared" ca="1" si="3"/>
        <v>65079984 ACCOUNTS-LLOYDSBA-EXT</v>
      </c>
      <c r="U11" s="8">
        <f t="shared" ca="1" si="4"/>
        <v>65079984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19518014 ACCOUNTS-HSBC -EXT</v>
      </c>
      <c r="T12" s="26" t="str">
        <f t="shared" ca="1" si="3"/>
        <v>19518014 ACCOUNTS-HSBC -EXT</v>
      </c>
      <c r="U12" s="8">
        <f t="shared" ca="1" si="4"/>
        <v>19518014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5988341 RECON-FIRSTDIR-EXT</v>
      </c>
      <c r="T13" s="26" t="str">
        <f t="shared" ca="1" si="3"/>
        <v>5988341 RECON-FIRSTDIR-EXT</v>
      </c>
      <c r="U13" s="8">
        <f t="shared" ca="1" si="4"/>
        <v>5988341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23130746 RECON-SANTANDE-EXT</v>
      </c>
      <c r="T14" s="26" t="str">
        <f t="shared" ca="1" si="3"/>
        <v>23130746 RECON-SANTANDE-EXT</v>
      </c>
      <c r="U14" s="8">
        <f t="shared" ca="1" si="4"/>
        <v>23130746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84195689 RECON-SMILE-EXT</v>
      </c>
      <c r="T15" s="26" t="str">
        <f t="shared" ca="1" si="3"/>
        <v>84195689 RECON-SMILE-EXT</v>
      </c>
      <c r="U15" s="8">
        <f t="shared" ca="1" si="4"/>
        <v>84195689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24342482 RECON-NATIONWI-EXT</v>
      </c>
      <c r="T16" s="26" t="str">
        <f t="shared" ca="1" si="3"/>
        <v>24342482 RECON-NATIONWI-EXT</v>
      </c>
      <c r="U16" s="8">
        <f t="shared" ca="1" si="4"/>
        <v>24342482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90368559 RECON-THECOOP-EXT</v>
      </c>
      <c r="T17" s="26" t="str">
        <f t="shared" ca="1" si="3"/>
        <v>90368559 RECON-THECOOP-EXT</v>
      </c>
      <c r="U17" s="8">
        <f t="shared" ca="1" si="4"/>
        <v>90368559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26309917 RECON-HALIFAX -EXT</v>
      </c>
      <c r="T18" s="26" t="str">
        <f t="shared" ca="1" si="3"/>
        <v>26309917 RECON-HALIFAX -EXT</v>
      </c>
      <c r="U18" s="8">
        <f t="shared" ca="1" si="4"/>
        <v>26309917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32702369 RECON-TSB -EXT</v>
      </c>
      <c r="T19" s="26" t="str">
        <f t="shared" ca="1" si="3"/>
        <v>32702369 RECON-TSB -EXT</v>
      </c>
      <c r="U19" s="8">
        <f t="shared" ca="1" si="4"/>
        <v>32702369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87665805 RECON-BANKOFSC-EXT</v>
      </c>
      <c r="T20" s="26" t="str">
        <f t="shared" ca="1" si="3"/>
        <v>87665805 RECON-BANKOFSC-EXT</v>
      </c>
      <c r="U20" s="8">
        <f t="shared" ca="1" si="4"/>
        <v>87665805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80931237 RECON-YORKSHIR-EXT</v>
      </c>
      <c r="T21" s="26" t="str">
        <f t="shared" ca="1" si="3"/>
        <v>80931237 RECON-YORKSHIR-EXT</v>
      </c>
      <c r="U21" s="8">
        <f t="shared" ca="1" si="4"/>
        <v>80931237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45719434 RECON-LLOYDSBA-EXT</v>
      </c>
      <c r="T22" s="26" t="str">
        <f t="shared" ca="1" si="3"/>
        <v>45719434 RECON-LLOYDSBA-EXT</v>
      </c>
      <c r="U22" s="8">
        <f t="shared" ca="1" si="4"/>
        <v>45719434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53250842 RECON-HSBC -EXT</v>
      </c>
      <c r="T23" s="26" t="str">
        <f t="shared" ca="1" si="3"/>
        <v>53250842 RECON-HSBC -EXT</v>
      </c>
      <c r="U23" s="8">
        <f t="shared" ca="1" si="4"/>
        <v>53250842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2449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-14376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12322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12326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-7686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18086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1699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17089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6594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-2275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17980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2415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-14377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12404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12432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-7743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18051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1611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17136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6571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-2235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17888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2019-09-18T07:36:37Z</dcterms:modified>
</cp:coreProperties>
</file>