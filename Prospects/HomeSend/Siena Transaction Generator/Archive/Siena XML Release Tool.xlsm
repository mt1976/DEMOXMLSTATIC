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05AC818A-3D80-BC48-9F42-5BF47EBA8517}" xr6:coauthVersionLast="45" xr6:coauthVersionMax="45" xr10:uidLastSave="{00000000-0000-0000-0000-000000000000}"/>
  <bookViews>
    <workbookView xWindow="0" yWindow="0" windowWidth="33600" windowHeight="2100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3" l="1" a="1"/>
  <c r="B10" i="3"/>
  <c r="B9" i="3" a="1"/>
  <c r="B9" i="3" s="1"/>
  <c r="B8" i="3"/>
  <c r="B11" i="3" s="1" a="1"/>
  <c r="B11" i="3" s="1"/>
  <c r="F3" i="2"/>
  <c r="F4" i="2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G7" i="2"/>
  <c r="H7" i="2" s="1"/>
  <c r="C8" i="2"/>
  <c r="E8" i="2"/>
  <c r="G8" i="2"/>
  <c r="H8" i="2" s="1"/>
  <c r="C9" i="2"/>
  <c r="E9" i="2"/>
  <c r="G9" i="2"/>
  <c r="H9" i="2"/>
  <c r="C10" i="2"/>
  <c r="E10" i="2"/>
  <c r="G10" i="2"/>
  <c r="H10" i="2"/>
  <c r="C11" i="2"/>
  <c r="E11" i="2" s="1"/>
  <c r="G11" i="2"/>
  <c r="H11" i="2"/>
  <c r="C12" i="2"/>
  <c r="E12" i="2"/>
  <c r="G12" i="2"/>
  <c r="H12" i="2" s="1"/>
  <c r="C13" i="2"/>
  <c r="E13" i="2"/>
  <c r="G13" i="2"/>
  <c r="H13" i="2"/>
  <c r="C14" i="2"/>
  <c r="E14" i="2"/>
  <c r="G14" i="2"/>
  <c r="H14" i="2"/>
  <c r="G3" i="2"/>
  <c r="H3" i="2" s="1"/>
  <c r="G4" i="2"/>
  <c r="H4" i="2"/>
  <c r="G5" i="2"/>
  <c r="H5" i="2" s="1"/>
  <c r="G6" i="2"/>
  <c r="H6" i="2" s="1"/>
  <c r="G2" i="2"/>
  <c r="H2" i="2" s="1"/>
  <c r="E3" i="2"/>
  <c r="E4" i="2"/>
  <c r="E5" i="2"/>
  <c r="E6" i="2"/>
  <c r="C3" i="2"/>
  <c r="C4" i="2"/>
  <c r="C5" i="2"/>
  <c r="C6" i="2"/>
  <c r="E2" i="2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<sst xmlns="http://schemas.openxmlformats.org/spreadsheetml/2006/main" count="30" uniqueCount="18">
  <si>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</si>
  <si>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/Users/matttownsend/Google Drive/eurobase/repos/ebSiena-DemoSystemData/Prospects/HomeSend/XML Deal Generator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</si>
  <si>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</si>
  <si>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</si>
  <si>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</si>
  <si>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</si>
  <si>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</si>
  <si>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</si>
  <si>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</si>
  <si>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</si>
  <si>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</si>
  <si>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</si>
  <si>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UC06 HSFT 14:00</t>
  </si>
  <si>
    <t>Search</t>
  </si>
  <si>
    <t>From</t>
  </si>
  <si>
    <t>To</t>
  </si>
  <si>
    <t>Select Use Case</t>
  </si>
  <si>
    <t>Siena Use Case injector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</si>
</sst>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A2" sqref="A2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C1" zoomScale="287" zoomScaleNormal="287" workbookViewId="0">
      <selection activeCell="F2" sqref="F2:F14"/>
    </sheetView>
  </sheetViews>
  <sheetFormatPr baseColWidth="10" defaultRowHeight="16" x14ac:dyDescent="0.2"/>
  <cols>
    <col min="6" max="6" width="14.1640625" bestFit="1" customWidth="1"/>
  </cols>
  <sheetData>
    <row r="1" spans="1:8" x14ac:dyDescent="0.2">
      <c r="A1" t="s">
        <v>2</v>
      </c>
      <c r="B1" t="s">
        <v>4</v>
      </c>
      <c r="C1" t="s">
        <v>5</v>
      </c>
      <c r="D1" t="s">
        <v>6</v>
      </c>
      <c r="E1" t="s">
        <v>7</v>
      </c>
      <c r="F1" t="s">
        <v>10</v>
      </c>
      <c r="G1" t="s">
        <v>8</v>
      </c>
      <c r="H1" t="s">
        <v>9</v>
      </c>
    </row>
    <row r="2" spans="1:8" x14ac:dyDescent="0.2">
      <c r="A2" t="s">
        <v>3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</f>
        <v>/Users/matttownsend/Google Drive/eurobase/repos/ebSiena-DemoSystemData/Prospects/HomeSend/XML Deal Generator</v>
      </c>
      <c r="H2" t="str">
        <f>G2&amp;"/"&amp;A2&amp;"/"</f>
        <v>/Users/matttownsend/Google Drive/eurobase/repos/ebSiena-DemoSystemData/Prospects/HomeSend/XML Deal Generator/HSFT/</v>
      </c>
    </row>
    <row r="3" spans="1:8" x14ac:dyDescent="0.2">
      <c r="A3" t="s">
        <v>3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</f>
        <v>/Users/matttownsend/Google Drive/eurobase/repos/ebSiena-DemoSystemData/Prospects/HomeSend/XML Deal Generator</v>
      </c>
      <c r="H3" t="str">
        <f t="shared" ref="H3:H6" si="3">G3&amp;"/"&amp;A3&amp;"/"</f>
        <v>/Users/matttownsend/Google Drive/eurobase/repos/ebSiena-DemoSystemData/Prospects/HomeSend/XML Deal Generator/HSFT/</v>
      </c>
    </row>
    <row r="4" spans="1:8" x14ac:dyDescent="0.2">
      <c r="A4" t="s">
        <v>3</v>
      </c>
      <c r="B4">
        <v>3</v>
      </c>
      <c r="C4" t="str">
        <f t="shared" si="0"/>
        <v>u3</v>
      </c>
      <c r="D4" s="1">
        <v>0.45833333333333298</v>
      </c>
      <c r="E4" t="str">
        <f t="shared" si="1"/>
        <v>-u3-1100-</v>
      </c>
      <c r="F4" t="str">
        <f t="shared" si="2"/>
        <v>UC03 HSFT 11:00</v>
      </c>
      <c r="G4" t="str">
        <f>Properties!$B$1</f>
        <v>/Users/matttownsend/Google Drive/eurobase/repos/ebSiena-DemoSystemData/Prospects/HomeSend/XML Deal Generator</v>
      </c>
      <c r="H4" t="str">
        <f t="shared" si="3"/>
        <v>/Users/matttownsend/Google Drive/eurobase/repos/ebSiena-DemoSystemData/Prospects/HomeSend/XML Deal Generator/HSFT/</v>
      </c>
    </row>
    <row r="5" spans="1:8" x14ac:dyDescent="0.2">
      <c r="A5" t="s">
        <v>3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</f>
        <v>/Users/matttownsend/Google Drive/eurobase/repos/ebSiena-DemoSystemData/Prospects/HomeSend/XML Deal Generator</v>
      </c>
      <c r="H5" t="str">
        <f t="shared" si="3"/>
        <v>/Users/matttownsend/Google Drive/eurobase/repos/ebSiena-DemoSystemData/Prospects/HomeSend/XML Deal Generator/HSFT/</v>
      </c>
    </row>
    <row r="6" spans="1:8" x14ac:dyDescent="0.2">
      <c r="A6" t="s">
        <v>3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</f>
        <v>/Users/matttownsend/Google Drive/eurobase/repos/ebSiena-DemoSystemData/Prospects/HomeSend/XML Deal Generator</v>
      </c>
      <c r="H6" t="str">
        <f t="shared" si="3"/>
        <v>/Users/matttownsend/Google Drive/eurobase/repos/ebSiena-DemoSystemData/Prospects/HomeSend/XML Deal Generator/HSFT/</v>
      </c>
    </row>
    <row r="7" spans="1:8" x14ac:dyDescent="0.2">
      <c r="A7" t="s">
        <v>3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</f>
        <v>/Users/matttownsend/Google Drive/eurobase/repos/ebSiena-DemoSystemData/Prospects/HomeSend/XML Deal Generator</v>
      </c>
      <c r="H7" t="str">
        <f t="shared" ref="H7:H14" si="5">G7&amp;"/"&amp;A7&amp;"/"</f>
        <v>/Users/matttownsend/Google Drive/eurobase/repos/ebSiena-DemoSystemData/Prospects/HomeSend/XML Deal Generator/HSFT/</v>
      </c>
    </row>
    <row r="8" spans="1:8" x14ac:dyDescent="0.2">
      <c r="A8" t="s">
        <v>3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</f>
        <v>/Users/matttownsend/Google Drive/eurobase/repos/ebSiena-DemoSystemData/Prospects/HomeSend/XML Deal Generator</v>
      </c>
      <c r="H8" t="str">
        <f t="shared" si="5"/>
        <v>/Users/matttownsend/Google Drive/eurobase/repos/ebSiena-DemoSystemData/Prospects/HomeSend/XML Deal Generator/HSFT/</v>
      </c>
    </row>
    <row r="9" spans="1:8" x14ac:dyDescent="0.2">
      <c r="A9" t="s">
        <v>3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</f>
        <v>/Users/matttownsend/Google Drive/eurobase/repos/ebSiena-DemoSystemData/Prospects/HomeSend/XML Deal Generator</v>
      </c>
      <c r="H9" t="str">
        <f t="shared" si="5"/>
        <v>/Users/matttownsend/Google Drive/eurobase/repos/ebSiena-DemoSystemData/Prospects/HomeSend/XML Deal Generator/HSFT/</v>
      </c>
    </row>
    <row r="10" spans="1:8" x14ac:dyDescent="0.2">
      <c r="A10" t="s">
        <v>3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</f>
        <v>/Users/matttownsend/Google Drive/eurobase/repos/ebSiena-DemoSystemData/Prospects/HomeSend/XML Deal Generator</v>
      </c>
      <c r="H10" t="str">
        <f t="shared" si="5"/>
        <v>/Users/matttownsend/Google Drive/eurobase/repos/ebSiena-DemoSystemData/Prospects/HomeSend/XML Deal Generator/HSFT/</v>
      </c>
    </row>
    <row r="11" spans="1:8" x14ac:dyDescent="0.2">
      <c r="A11" t="s">
        <v>3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</f>
        <v>/Users/matttownsend/Google Drive/eurobase/repos/ebSiena-DemoSystemData/Prospects/HomeSend/XML Deal Generator</v>
      </c>
      <c r="H11" t="str">
        <f t="shared" si="5"/>
        <v>/Users/matttownsend/Google Drive/eurobase/repos/ebSiena-DemoSystemData/Prospects/HomeSend/XML Deal Generator/HSFT/</v>
      </c>
    </row>
    <row r="12" spans="1:8" x14ac:dyDescent="0.2">
      <c r="A12" t="s">
        <v>3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</f>
        <v>/Users/matttownsend/Google Drive/eurobase/repos/ebSiena-DemoSystemData/Prospects/HomeSend/XML Deal Generator</v>
      </c>
      <c r="H12" t="str">
        <f t="shared" si="5"/>
        <v>/Users/matttownsend/Google Drive/eurobase/repos/ebSiena-DemoSystemData/Prospects/HomeSend/XML Deal Generator/HSFT/</v>
      </c>
    </row>
    <row r="13" spans="1:8" x14ac:dyDescent="0.2">
      <c r="A13" t="s">
        <v>3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</f>
        <v>/Users/matttownsend/Google Drive/eurobase/repos/ebSiena-DemoSystemData/Prospects/HomeSend/XML Deal Generator</v>
      </c>
      <c r="H13" t="str">
        <f t="shared" si="5"/>
        <v>/Users/matttownsend/Google Drive/eurobase/repos/ebSiena-DemoSystemData/Prospects/HomeSend/XML Deal Generator/HSFT/</v>
      </c>
    </row>
    <row r="14" spans="1:8" x14ac:dyDescent="0.2">
      <c r="A14" t="s">
        <v>3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</f>
        <v>/Users/matttownsend/Google Drive/eurobase/repos/ebSiena-DemoSystemData/Prospects/HomeSend/XML Deal Generator</v>
      </c>
      <c r="H14" t="str">
        <f t="shared" si="5"/>
        <v>/Users/matttownsend/Google Drive/eurobase/repos/ebSiena-DemoSystemData/Prospects/HomeSend/XML Deal Generator/HSFT/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workbookViewId="0">
      <selection activeCell="H7" sqref="H7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17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16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12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11</v>
      </c>
      <c r="B8" s="3">
        <f>MATCH(B5,Data!F:F)</f>
        <v>7</v>
      </c>
    </row>
    <row r="9" spans="1:7" x14ac:dyDescent="0.2">
      <c r="A9" t="s">
        <v>13</v>
      </c>
      <c r="B9" s="2" t="str" cm="1">
        <f t="array" ref="B9">INDEX(Data!E:E,B8)</f>
        <v>-u6-1400-</v>
      </c>
    </row>
    <row r="10" spans="1:7" x14ac:dyDescent="0.2">
      <c r="A10" t="s">
        <v>14</v>
      </c>
      <c r="B10" t="str" cm="1">
        <f t="array" ref="B10">INDEX(Data!H:H,Engine!B8)</f>
        <v>/Users/matttownsend/Google Drive/eurobase/repos/ebSiena-DemoSystemData/Prospects/HomeSend/XML Deal Generator/HSFT/</v>
      </c>
    </row>
    <row r="11" spans="1:7" x14ac:dyDescent="0.2">
      <c r="A11" t="s">
        <v>15</v>
      </c>
      <c r="B11" t="str" cm="1">
        <f t="array" ref="B11">INDEX(Data!G:G,Engine!B8)</f>
        <v>/Users/matttownsend/Google Drive/eurobase/repos/ebSiena-DemoSystemData/Prospects/HomeSend/XML Deal Generator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2019-09-17T20:48:59Z</dcterms:modified>
</cp:coreProperties>
</file>