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townsend\Documents\GitHub\ebSiena-DemoSystemData\XML Deal Generator\"/>
    </mc:Choice>
  </mc:AlternateContent>
  <bookViews>
    <workbookView xWindow="0" yWindow="225" windowWidth="38400" windowHeight="21600" tabRatio="997" activeTab="1"/>
  </bookViews>
  <sheets>
    <sheet name="Setup" sheetId="8" r:id="rId1"/>
    <sheet name="Spot (Sample)" sheetId="79" r:id="rId2"/>
    <sheet name="Sheet3" sheetId="80" state="hidden" r:id="rId3"/>
    <sheet name="Accounts" sheetId="85" r:id="rId4"/>
    <sheet name="BalanceUpload" sheetId="88" r:id="rId5"/>
    <sheet name="Sample" sheetId="91" r:id="rId6"/>
    <sheet name="ReconAccounts" sheetId="92" r:id="rId7"/>
    <sheet name="ReconUpload" sheetId="94" r:id="rId8"/>
    <sheet name="Term" sheetId="16" state="hidden" r:id="rId9"/>
    <sheet name="$Term2" sheetId="73" state="hidden" r:id="rId10"/>
    <sheet name="$TermInterestDates" sheetId="17" state="hidden" r:id="rId11"/>
    <sheet name="$TermInterestRates" sheetId="74" state="hidden" r:id="rId12"/>
    <sheet name="$TermInterestAmortisations" sheetId="76" state="hidden" r:id="rId13"/>
  </sheets>
  <functionGroups builtInGroupCount="18"/>
  <definedNames>
    <definedName name="_xlnm._FilterDatabase" localSheetId="4" hidden="1">BalanceUpload!$A$1:$K$10960</definedName>
    <definedName name="_xlnm._FilterDatabase" localSheetId="1" hidden="1">'Spot (Sample)'!$A$1:$O$11</definedName>
  </definedNames>
  <calcPr calcId="171027" concurrentCalc="0"/>
  <pivotCaches>
    <pivotCache cacheId="0" r:id="rId14"/>
  </pivotCaches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3" i="94" l="1"/>
  <c r="E14" i="94"/>
  <c r="E4" i="94"/>
  <c r="E15" i="94"/>
  <c r="E5" i="94"/>
  <c r="E16" i="94"/>
  <c r="E6" i="94"/>
  <c r="E17" i="94"/>
  <c r="E7" i="94"/>
  <c r="E18" i="94"/>
  <c r="E8" i="94"/>
  <c r="E19" i="94"/>
  <c r="E9" i="94"/>
  <c r="E20" i="94"/>
  <c r="E10" i="94"/>
  <c r="E21" i="94"/>
  <c r="E11" i="94"/>
  <c r="E22" i="94"/>
  <c r="E12" i="94"/>
  <c r="E23" i="94"/>
  <c r="E2" i="94"/>
  <c r="E13" i="94"/>
  <c r="D4" i="94"/>
  <c r="D5" i="94"/>
  <c r="D6" i="94"/>
  <c r="D7" i="94"/>
  <c r="D8" i="94"/>
  <c r="D9" i="94"/>
  <c r="D10" i="94"/>
  <c r="D11" i="94"/>
  <c r="D12" i="94"/>
  <c r="D13" i="94"/>
  <c r="D14" i="94"/>
  <c r="D15" i="94"/>
  <c r="D16" i="94"/>
  <c r="D17" i="94"/>
  <c r="D18" i="94"/>
  <c r="D19" i="94"/>
  <c r="D20" i="94"/>
  <c r="D21" i="94"/>
  <c r="D22" i="94"/>
  <c r="D23" i="94"/>
  <c r="D3" i="94"/>
  <c r="K3" i="94"/>
  <c r="K4" i="94"/>
  <c r="K5" i="94"/>
  <c r="K6" i="94"/>
  <c r="K7" i="94"/>
  <c r="K8" i="94"/>
  <c r="K9" i="94"/>
  <c r="K10" i="94"/>
  <c r="K11" i="94"/>
  <c r="K12" i="94"/>
  <c r="K13" i="94"/>
  <c r="K14" i="94"/>
  <c r="K15" i="94"/>
  <c r="K16" i="94"/>
  <c r="K17" i="94"/>
  <c r="K18" i="94"/>
  <c r="K19" i="94"/>
  <c r="K20" i="94"/>
  <c r="K21" i="94"/>
  <c r="K22" i="94"/>
  <c r="K23" i="94"/>
  <c r="K2" i="94"/>
  <c r="A3" i="94"/>
  <c r="A4" i="94"/>
  <c r="A5" i="94"/>
  <c r="A6" i="94"/>
  <c r="A7" i="94"/>
  <c r="A8" i="94"/>
  <c r="A9" i="94"/>
  <c r="A10" i="94"/>
  <c r="A11" i="94"/>
  <c r="A12" i="94"/>
  <c r="A13" i="94"/>
  <c r="A14" i="94"/>
  <c r="A15" i="94"/>
  <c r="A16" i="94"/>
  <c r="A17" i="94"/>
  <c r="A18" i="94"/>
  <c r="A19" i="94"/>
  <c r="A20" i="94"/>
  <c r="A21" i="94"/>
  <c r="A22" i="94"/>
  <c r="A23" i="94"/>
  <c r="A2" i="94"/>
  <c r="U3" i="92"/>
  <c r="S3" i="92"/>
  <c r="U4" i="92"/>
  <c r="S4" i="92"/>
  <c r="U5" i="92"/>
  <c r="S5" i="92"/>
  <c r="U6" i="92"/>
  <c r="S6" i="92"/>
  <c r="U7" i="92"/>
  <c r="S7" i="92"/>
  <c r="U8" i="92"/>
  <c r="S8" i="92"/>
  <c r="U9" i="92"/>
  <c r="S9" i="92"/>
  <c r="U10" i="92"/>
  <c r="S10" i="92"/>
  <c r="U11" i="92"/>
  <c r="S11" i="92"/>
  <c r="U12" i="92"/>
  <c r="S12" i="92"/>
  <c r="U13" i="92"/>
  <c r="S13" i="92"/>
  <c r="U14" i="92"/>
  <c r="S14" i="92"/>
  <c r="U15" i="92"/>
  <c r="S15" i="92"/>
  <c r="U16" i="92"/>
  <c r="S16" i="92"/>
  <c r="U17" i="92"/>
  <c r="S17" i="92"/>
  <c r="U18" i="92"/>
  <c r="S18" i="92"/>
  <c r="U19" i="92"/>
  <c r="S19" i="92"/>
  <c r="U20" i="92"/>
  <c r="S20" i="92"/>
  <c r="U21" i="92"/>
  <c r="S21" i="92"/>
  <c r="U22" i="92"/>
  <c r="S22" i="92"/>
  <c r="U23" i="92"/>
  <c r="S23" i="92"/>
  <c r="U2" i="92"/>
  <c r="S2" i="92"/>
  <c r="F3" i="92"/>
  <c r="F4" i="92"/>
  <c r="F5" i="92"/>
  <c r="F6" i="92"/>
  <c r="F7" i="92"/>
  <c r="F8" i="92"/>
  <c r="F9" i="92"/>
  <c r="F10" i="92"/>
  <c r="F11" i="92"/>
  <c r="F12" i="92"/>
  <c r="F13" i="92"/>
  <c r="F14" i="92"/>
  <c r="F15" i="92"/>
  <c r="F16" i="92"/>
  <c r="F17" i="92"/>
  <c r="F18" i="92"/>
  <c r="F19" i="92"/>
  <c r="F20" i="92"/>
  <c r="F21" i="92"/>
  <c r="F22" i="92"/>
  <c r="F23" i="92"/>
  <c r="F2" i="92"/>
  <c r="T3" i="92"/>
  <c r="T4" i="92"/>
  <c r="T5" i="92"/>
  <c r="T6" i="92"/>
  <c r="T7" i="92"/>
  <c r="T8" i="92"/>
  <c r="T9" i="92"/>
  <c r="T10" i="92"/>
  <c r="T11" i="92"/>
  <c r="T12" i="92"/>
  <c r="T13" i="92"/>
  <c r="T14" i="92"/>
  <c r="T15" i="92"/>
  <c r="T16" i="92"/>
  <c r="T17" i="92"/>
  <c r="T18" i="92"/>
  <c r="T19" i="92"/>
  <c r="T20" i="92"/>
  <c r="T21" i="92"/>
  <c r="T22" i="92"/>
  <c r="T23" i="92"/>
  <c r="T2" i="92"/>
  <c r="M3" i="92"/>
  <c r="M4" i="92"/>
  <c r="O3" i="92"/>
  <c r="O4" i="92"/>
  <c r="P3" i="92"/>
  <c r="P4" i="92"/>
  <c r="R3" i="92"/>
  <c r="R4" i="92"/>
  <c r="M5" i="92"/>
  <c r="O5" i="92"/>
  <c r="P5" i="92"/>
  <c r="R5" i="92"/>
  <c r="M6" i="92"/>
  <c r="O6" i="92"/>
  <c r="P6" i="92"/>
  <c r="R6" i="92"/>
  <c r="M7" i="92"/>
  <c r="O7" i="92"/>
  <c r="P7" i="92"/>
  <c r="R7" i="92"/>
  <c r="M8" i="92"/>
  <c r="O8" i="92"/>
  <c r="P8" i="92"/>
  <c r="R8" i="92"/>
  <c r="M9" i="92"/>
  <c r="O9" i="92"/>
  <c r="P9" i="92"/>
  <c r="R9" i="92"/>
  <c r="M10" i="92"/>
  <c r="O10" i="92"/>
  <c r="P10" i="92"/>
  <c r="R10" i="92"/>
  <c r="M11" i="92"/>
  <c r="O11" i="92"/>
  <c r="P11" i="92"/>
  <c r="R11" i="92"/>
  <c r="M12" i="92"/>
  <c r="O12" i="92"/>
  <c r="P12" i="92"/>
  <c r="R12" i="92"/>
  <c r="M13" i="92"/>
  <c r="O13" i="92"/>
  <c r="P13" i="92"/>
  <c r="R13" i="92"/>
  <c r="M14" i="92"/>
  <c r="O14" i="92"/>
  <c r="P14" i="92"/>
  <c r="R14" i="92"/>
  <c r="M15" i="92"/>
  <c r="O15" i="92"/>
  <c r="P15" i="92"/>
  <c r="R15" i="92"/>
  <c r="M16" i="92"/>
  <c r="O16" i="92"/>
  <c r="P16" i="92"/>
  <c r="R16" i="92"/>
  <c r="M17" i="92"/>
  <c r="O17" i="92"/>
  <c r="P17" i="92"/>
  <c r="R17" i="92"/>
  <c r="M18" i="92"/>
  <c r="O18" i="92"/>
  <c r="P18" i="92"/>
  <c r="R18" i="92"/>
  <c r="M19" i="92"/>
  <c r="O19" i="92"/>
  <c r="P19" i="92"/>
  <c r="R19" i="92"/>
  <c r="M20" i="92"/>
  <c r="O20" i="92"/>
  <c r="P20" i="92"/>
  <c r="R20" i="92"/>
  <c r="M21" i="92"/>
  <c r="O21" i="92"/>
  <c r="P21" i="92"/>
  <c r="R21" i="92"/>
  <c r="M22" i="92"/>
  <c r="O22" i="92"/>
  <c r="P22" i="92"/>
  <c r="R22" i="92"/>
  <c r="M23" i="92"/>
  <c r="O23" i="92"/>
  <c r="P23" i="92"/>
  <c r="R23" i="92"/>
  <c r="H3" i="92"/>
  <c r="H4" i="92"/>
  <c r="I3" i="92"/>
  <c r="I4" i="92"/>
  <c r="J3" i="92"/>
  <c r="J4" i="92"/>
  <c r="K3" i="92"/>
  <c r="K4" i="92"/>
  <c r="H5" i="92"/>
  <c r="I5" i="92"/>
  <c r="J5" i="92"/>
  <c r="K5" i="92"/>
  <c r="H6" i="92"/>
  <c r="I6" i="92"/>
  <c r="J6" i="92"/>
  <c r="K6" i="92"/>
  <c r="H7" i="92"/>
  <c r="I7" i="92"/>
  <c r="J7" i="92"/>
  <c r="K7" i="92"/>
  <c r="H8" i="92"/>
  <c r="I8" i="92"/>
  <c r="J8" i="92"/>
  <c r="K8" i="92"/>
  <c r="H9" i="92"/>
  <c r="I9" i="92"/>
  <c r="J9" i="92"/>
  <c r="K9" i="92"/>
  <c r="H10" i="92"/>
  <c r="I10" i="92"/>
  <c r="J10" i="92"/>
  <c r="K10" i="92"/>
  <c r="H11" i="92"/>
  <c r="I11" i="92"/>
  <c r="J11" i="92"/>
  <c r="K11" i="92"/>
  <c r="H12" i="92"/>
  <c r="I12" i="92"/>
  <c r="J12" i="92"/>
  <c r="K12" i="92"/>
  <c r="H13" i="92"/>
  <c r="I13" i="92"/>
  <c r="J13" i="92"/>
  <c r="K13" i="92"/>
  <c r="H14" i="92"/>
  <c r="I14" i="92"/>
  <c r="J14" i="92"/>
  <c r="K14" i="92"/>
  <c r="H15" i="92"/>
  <c r="I15" i="92"/>
  <c r="J15" i="92"/>
  <c r="K15" i="92"/>
  <c r="H16" i="92"/>
  <c r="I16" i="92"/>
  <c r="J16" i="92"/>
  <c r="K16" i="92"/>
  <c r="H17" i="92"/>
  <c r="I17" i="92"/>
  <c r="J17" i="92"/>
  <c r="K17" i="92"/>
  <c r="H18" i="92"/>
  <c r="I18" i="92"/>
  <c r="J18" i="92"/>
  <c r="K18" i="92"/>
  <c r="H19" i="92"/>
  <c r="I19" i="92"/>
  <c r="J19" i="92"/>
  <c r="K19" i="92"/>
  <c r="H20" i="92"/>
  <c r="I20" i="92"/>
  <c r="J20" i="92"/>
  <c r="K20" i="92"/>
  <c r="H21" i="92"/>
  <c r="I21" i="92"/>
  <c r="J21" i="92"/>
  <c r="K21" i="92"/>
  <c r="H22" i="92"/>
  <c r="I22" i="92"/>
  <c r="J22" i="92"/>
  <c r="K22" i="92"/>
  <c r="H23" i="92"/>
  <c r="I23" i="92"/>
  <c r="J23" i="92"/>
  <c r="K23" i="92"/>
  <c r="A2" i="92"/>
  <c r="C2" i="92"/>
  <c r="D4" i="92"/>
  <c r="E4" i="92"/>
  <c r="D5" i="92"/>
  <c r="E5" i="92"/>
  <c r="D6" i="92"/>
  <c r="E6" i="92"/>
  <c r="D7" i="92"/>
  <c r="E7" i="92"/>
  <c r="D8" i="92"/>
  <c r="E8" i="92"/>
  <c r="D9" i="92"/>
  <c r="E9" i="92"/>
  <c r="D10" i="92"/>
  <c r="E10" i="92"/>
  <c r="D11" i="92"/>
  <c r="E11" i="92"/>
  <c r="D12" i="92"/>
  <c r="E12" i="92"/>
  <c r="D13" i="92"/>
  <c r="E13" i="92"/>
  <c r="D14" i="92"/>
  <c r="E14" i="92"/>
  <c r="D15" i="92"/>
  <c r="E15" i="92"/>
  <c r="D16" i="92"/>
  <c r="E16" i="92"/>
  <c r="D17" i="92"/>
  <c r="E17" i="92"/>
  <c r="D18" i="92"/>
  <c r="E18" i="92"/>
  <c r="D19" i="92"/>
  <c r="E19" i="92"/>
  <c r="D20" i="92"/>
  <c r="E20" i="92"/>
  <c r="D21" i="92"/>
  <c r="E21" i="92"/>
  <c r="D22" i="92"/>
  <c r="E22" i="92"/>
  <c r="D23" i="92"/>
  <c r="E23" i="92"/>
  <c r="A3" i="92"/>
  <c r="C3" i="92"/>
  <c r="A4" i="92"/>
  <c r="C4" i="92"/>
  <c r="A5" i="92"/>
  <c r="C5" i="92"/>
  <c r="A6" i="92"/>
  <c r="C6" i="92"/>
  <c r="A7" i="92"/>
  <c r="C7" i="92"/>
  <c r="A8" i="92"/>
  <c r="C8" i="92"/>
  <c r="A9" i="92"/>
  <c r="C9" i="92"/>
  <c r="A10" i="92"/>
  <c r="C10" i="92"/>
  <c r="A11" i="92"/>
  <c r="C11" i="92"/>
  <c r="A12" i="92"/>
  <c r="C12" i="92"/>
  <c r="A13" i="92"/>
  <c r="C13" i="92"/>
  <c r="A14" i="92"/>
  <c r="C14" i="92"/>
  <c r="A15" i="92"/>
  <c r="C15" i="92"/>
  <c r="A16" i="92"/>
  <c r="C16" i="92"/>
  <c r="A17" i="92"/>
  <c r="C17" i="92"/>
  <c r="A18" i="92"/>
  <c r="C18" i="92"/>
  <c r="A19" i="92"/>
  <c r="C19" i="92"/>
  <c r="A20" i="92"/>
  <c r="C20" i="92"/>
  <c r="A21" i="92"/>
  <c r="C21" i="92"/>
  <c r="A22" i="92"/>
  <c r="C22" i="92"/>
  <c r="A23" i="92"/>
  <c r="C23" i="92"/>
  <c r="K89" i="91"/>
  <c r="K88" i="91"/>
  <c r="K87" i="91"/>
  <c r="K86" i="91"/>
  <c r="K85" i="91"/>
  <c r="K84" i="91"/>
  <c r="K83" i="91"/>
  <c r="K82" i="91"/>
  <c r="K81" i="91"/>
  <c r="K80" i="91"/>
  <c r="K79" i="91"/>
  <c r="K78" i="91"/>
  <c r="K77" i="91"/>
  <c r="K76" i="91"/>
  <c r="K75" i="91"/>
  <c r="K74" i="91"/>
  <c r="K73" i="91"/>
  <c r="K72" i="91"/>
  <c r="K71" i="91"/>
  <c r="K70" i="91"/>
  <c r="K69" i="91"/>
  <c r="K68" i="91"/>
  <c r="K67" i="91"/>
  <c r="K66" i="91"/>
  <c r="K65" i="91"/>
  <c r="K64" i="91"/>
  <c r="K63" i="91"/>
  <c r="K62" i="91"/>
  <c r="K61" i="91"/>
  <c r="K60" i="91"/>
  <c r="K59" i="91"/>
  <c r="K58" i="91"/>
  <c r="K57" i="91"/>
  <c r="K56" i="91"/>
  <c r="K55" i="91"/>
  <c r="K54" i="91"/>
  <c r="K53" i="91"/>
  <c r="K52" i="91"/>
  <c r="K51" i="91"/>
  <c r="K50" i="91"/>
  <c r="K49" i="91"/>
  <c r="K48" i="91"/>
  <c r="K47" i="91"/>
  <c r="K46" i="91"/>
  <c r="K45" i="91"/>
  <c r="K44" i="91"/>
  <c r="K43" i="91"/>
  <c r="K42" i="91"/>
  <c r="K41" i="91"/>
  <c r="K40" i="91"/>
  <c r="K39" i="91"/>
  <c r="K38" i="91"/>
  <c r="K37" i="91"/>
  <c r="K36" i="91"/>
  <c r="K35" i="91"/>
  <c r="K34" i="91"/>
  <c r="K33" i="91"/>
  <c r="K32" i="91"/>
  <c r="K31" i="91"/>
  <c r="K30" i="91"/>
  <c r="K29" i="91"/>
  <c r="K28" i="91"/>
  <c r="K27" i="91"/>
  <c r="K26" i="91"/>
  <c r="K25" i="91"/>
  <c r="K24" i="91"/>
  <c r="K23" i="91"/>
  <c r="K22" i="91"/>
  <c r="K21" i="91"/>
  <c r="K20" i="91"/>
  <c r="K19" i="91"/>
  <c r="K18" i="91"/>
  <c r="K17" i="91"/>
  <c r="K16" i="91"/>
  <c r="K15" i="91"/>
  <c r="K14" i="91"/>
  <c r="K13" i="91"/>
  <c r="K12" i="91"/>
  <c r="K11" i="91"/>
  <c r="K10" i="91"/>
  <c r="K9" i="91"/>
  <c r="K8" i="91"/>
  <c r="K7" i="91"/>
  <c r="K6" i="91"/>
  <c r="K5" i="91"/>
  <c r="K4" i="91"/>
  <c r="K3" i="91"/>
  <c r="K2" i="91"/>
  <c r="K3" i="88"/>
  <c r="K4" i="88"/>
  <c r="K5" i="88"/>
  <c r="K6" i="88"/>
  <c r="K7" i="88"/>
  <c r="K8" i="88"/>
  <c r="K9" i="88"/>
  <c r="K10" i="88"/>
  <c r="K11" i="88"/>
  <c r="K12" i="88"/>
  <c r="K13" i="88"/>
  <c r="K14" i="88"/>
  <c r="K15" i="88"/>
  <c r="K16" i="88"/>
  <c r="K17" i="88"/>
  <c r="K18" i="88"/>
  <c r="K19" i="88"/>
  <c r="K20" i="88"/>
  <c r="K21" i="88"/>
  <c r="K22" i="88"/>
  <c r="K23" i="88"/>
  <c r="K24" i="88"/>
  <c r="K25" i="88"/>
  <c r="K26" i="88"/>
  <c r="K27" i="88"/>
  <c r="K28" i="88"/>
  <c r="K29" i="88"/>
  <c r="K30" i="88"/>
  <c r="K31" i="88"/>
  <c r="K32" i="88"/>
  <c r="K33" i="88"/>
  <c r="K34" i="88"/>
  <c r="K35" i="88"/>
  <c r="K36" i="88"/>
  <c r="K37" i="88"/>
  <c r="K38" i="88"/>
  <c r="K39" i="88"/>
  <c r="K40" i="88"/>
  <c r="K41" i="88"/>
  <c r="K42" i="88"/>
  <c r="K43" i="88"/>
  <c r="K44" i="88"/>
  <c r="K45" i="88"/>
  <c r="K46" i="88"/>
  <c r="K47" i="88"/>
  <c r="K48" i="88"/>
  <c r="K49" i="88"/>
  <c r="K50" i="88"/>
  <c r="K51" i="88"/>
  <c r="K52" i="88"/>
  <c r="K53" i="88"/>
  <c r="K54" i="88"/>
  <c r="K55" i="88"/>
  <c r="K56" i="88"/>
  <c r="K57" i="88"/>
  <c r="K58" i="88"/>
  <c r="K59" i="88"/>
  <c r="K60" i="88"/>
  <c r="K61" i="88"/>
  <c r="K62" i="88"/>
  <c r="K63" i="88"/>
  <c r="K64" i="88"/>
  <c r="K65" i="88"/>
  <c r="K66" i="88"/>
  <c r="K67" i="88"/>
  <c r="K68" i="88"/>
  <c r="K69" i="88"/>
  <c r="K70" i="88"/>
  <c r="K71" i="88"/>
  <c r="K72" i="88"/>
  <c r="K73" i="88"/>
  <c r="K74" i="88"/>
  <c r="K75" i="88"/>
  <c r="K76" i="88"/>
  <c r="K77" i="88"/>
  <c r="K78" i="88"/>
  <c r="K79" i="88"/>
  <c r="K80" i="88"/>
  <c r="K81" i="88"/>
  <c r="K82" i="88"/>
  <c r="K83" i="88"/>
  <c r="K84" i="88"/>
  <c r="K85" i="88"/>
  <c r="K86" i="88"/>
  <c r="K87" i="88"/>
  <c r="K88" i="88"/>
  <c r="K89" i="88"/>
  <c r="K90" i="88"/>
  <c r="K91" i="88"/>
  <c r="K92" i="88"/>
  <c r="K93" i="88"/>
  <c r="K94" i="88"/>
  <c r="K95" i="88"/>
  <c r="K96" i="88"/>
  <c r="K97" i="88"/>
  <c r="K98" i="88"/>
  <c r="K99" i="88"/>
  <c r="K100" i="88"/>
  <c r="K101" i="88"/>
  <c r="K102" i="88"/>
  <c r="K103" i="88"/>
  <c r="K104" i="88"/>
  <c r="K105" i="88"/>
  <c r="K106" i="88"/>
  <c r="K107" i="88"/>
  <c r="K108" i="88"/>
  <c r="K109" i="88"/>
  <c r="K110" i="88"/>
  <c r="K111" i="88"/>
  <c r="K112" i="88"/>
  <c r="K113" i="88"/>
  <c r="K114" i="88"/>
  <c r="K115" i="88"/>
  <c r="K116" i="88"/>
  <c r="K117" i="88"/>
  <c r="K118" i="88"/>
  <c r="K119" i="88"/>
  <c r="K120" i="88"/>
  <c r="K121" i="88"/>
  <c r="K122" i="88"/>
  <c r="K123" i="88"/>
  <c r="K124" i="88"/>
  <c r="K125" i="88"/>
  <c r="K126" i="88"/>
  <c r="K127" i="88"/>
  <c r="K128" i="88"/>
  <c r="K129" i="88"/>
  <c r="K130" i="88"/>
  <c r="K131" i="88"/>
  <c r="K132" i="88"/>
  <c r="K133" i="88"/>
  <c r="K134" i="88"/>
  <c r="K135" i="88"/>
  <c r="K136" i="88"/>
  <c r="K137" i="88"/>
  <c r="K138" i="88"/>
  <c r="K139" i="88"/>
  <c r="K140" i="88"/>
  <c r="K141" i="88"/>
  <c r="K142" i="88"/>
  <c r="K143" i="88"/>
  <c r="K144" i="88"/>
  <c r="K145" i="88"/>
  <c r="K146" i="88"/>
  <c r="K147" i="88"/>
  <c r="K148" i="88"/>
  <c r="K149" i="88"/>
  <c r="K150" i="88"/>
  <c r="K151" i="88"/>
  <c r="K152" i="88"/>
  <c r="K153" i="88"/>
  <c r="K154" i="88"/>
  <c r="K155" i="88"/>
  <c r="K156" i="88"/>
  <c r="K157" i="88"/>
  <c r="K158" i="88"/>
  <c r="K159" i="88"/>
  <c r="K160" i="88"/>
  <c r="K161" i="88"/>
  <c r="K162" i="88"/>
  <c r="K163" i="88"/>
  <c r="K164" i="88"/>
  <c r="K165" i="88"/>
  <c r="K166" i="88"/>
  <c r="K167" i="88"/>
  <c r="K168" i="88"/>
  <c r="K169" i="88"/>
  <c r="K170" i="88"/>
  <c r="K171" i="88"/>
  <c r="K172" i="88"/>
  <c r="K173" i="88"/>
  <c r="K174" i="88"/>
  <c r="K175" i="88"/>
  <c r="K176" i="88"/>
  <c r="K177" i="88"/>
  <c r="K178" i="88"/>
  <c r="K179" i="88"/>
  <c r="K180" i="88"/>
  <c r="K181" i="88"/>
  <c r="K182" i="88"/>
  <c r="K183" i="88"/>
  <c r="K184" i="88"/>
  <c r="K185" i="88"/>
  <c r="K186" i="88"/>
  <c r="K187" i="88"/>
  <c r="K188" i="88"/>
  <c r="K189" i="88"/>
  <c r="K190" i="88"/>
  <c r="K191" i="88"/>
  <c r="K192" i="88"/>
  <c r="K193" i="88"/>
  <c r="K194" i="88"/>
  <c r="K195" i="88"/>
  <c r="K196" i="88"/>
  <c r="K197" i="88"/>
  <c r="K198" i="88"/>
  <c r="K199" i="88"/>
  <c r="K200" i="88"/>
  <c r="K201" i="88"/>
  <c r="K202" i="88"/>
  <c r="K203" i="88"/>
  <c r="K204" i="88"/>
  <c r="K205" i="88"/>
  <c r="K206" i="88"/>
  <c r="K207" i="88"/>
  <c r="K208" i="88"/>
  <c r="K209" i="88"/>
  <c r="K210" i="88"/>
  <c r="K211" i="88"/>
  <c r="K212" i="88"/>
  <c r="K213" i="88"/>
  <c r="K214" i="88"/>
  <c r="K215" i="88"/>
  <c r="K216" i="88"/>
  <c r="K217" i="88"/>
  <c r="K218" i="88"/>
  <c r="K219" i="88"/>
  <c r="K220" i="88"/>
  <c r="K221" i="88"/>
  <c r="K222" i="88"/>
  <c r="K223" i="88"/>
  <c r="K224" i="88"/>
  <c r="K225" i="88"/>
  <c r="K226" i="88"/>
  <c r="K227" i="88"/>
  <c r="K228" i="88"/>
  <c r="K229" i="88"/>
  <c r="K230" i="88"/>
  <c r="K231" i="88"/>
  <c r="K232" i="88"/>
  <c r="K233" i="88"/>
  <c r="K234" i="88"/>
  <c r="K235" i="88"/>
  <c r="K236" i="88"/>
  <c r="K237" i="88"/>
  <c r="K238" i="88"/>
  <c r="K239" i="88"/>
  <c r="K240" i="88"/>
  <c r="K241" i="88"/>
  <c r="K242" i="88"/>
  <c r="K243" i="88"/>
  <c r="K244" i="88"/>
  <c r="K245" i="88"/>
  <c r="K246" i="88"/>
  <c r="K247" i="88"/>
  <c r="K248" i="88"/>
  <c r="K249" i="88"/>
  <c r="K250" i="88"/>
  <c r="K251" i="88"/>
  <c r="K252" i="88"/>
  <c r="K253" i="88"/>
  <c r="K254" i="88"/>
  <c r="K255" i="88"/>
  <c r="K256" i="88"/>
  <c r="K257" i="88"/>
  <c r="K258" i="88"/>
  <c r="K259" i="88"/>
  <c r="K260" i="88"/>
  <c r="K261" i="88"/>
  <c r="K262" i="88"/>
  <c r="K263" i="88"/>
  <c r="K264" i="88"/>
  <c r="K265" i="88"/>
  <c r="K266" i="88"/>
  <c r="K267" i="88"/>
  <c r="K268" i="88"/>
  <c r="K269" i="88"/>
  <c r="K270" i="88"/>
  <c r="K271" i="88"/>
  <c r="K272" i="88"/>
  <c r="K273" i="88"/>
  <c r="K274" i="88"/>
  <c r="K275" i="88"/>
  <c r="K276" i="88"/>
  <c r="K277" i="88"/>
  <c r="K278" i="88"/>
  <c r="K279" i="88"/>
  <c r="K280" i="88"/>
  <c r="K281" i="88"/>
  <c r="K282" i="88"/>
  <c r="K283" i="88"/>
  <c r="K284" i="88"/>
  <c r="K285" i="88"/>
  <c r="K286" i="88"/>
  <c r="K287" i="88"/>
  <c r="K288" i="88"/>
  <c r="K289" i="88"/>
  <c r="K290" i="88"/>
  <c r="K291" i="88"/>
  <c r="K292" i="88"/>
  <c r="K293" i="88"/>
  <c r="K294" i="88"/>
  <c r="K295" i="88"/>
  <c r="K296" i="88"/>
  <c r="K297" i="88"/>
  <c r="K298" i="88"/>
  <c r="K299" i="88"/>
  <c r="K300" i="88"/>
  <c r="K301" i="88"/>
  <c r="K302" i="88"/>
  <c r="K303" i="88"/>
  <c r="K304" i="88"/>
  <c r="K305" i="88"/>
  <c r="K306" i="88"/>
  <c r="K307" i="88"/>
  <c r="K308" i="88"/>
  <c r="K309" i="88"/>
  <c r="K310" i="88"/>
  <c r="K311" i="88"/>
  <c r="K312" i="88"/>
  <c r="K313" i="88"/>
  <c r="K314" i="88"/>
  <c r="K315" i="88"/>
  <c r="K316" i="88"/>
  <c r="K317" i="88"/>
  <c r="K318" i="88"/>
  <c r="K319" i="88"/>
  <c r="K320" i="88"/>
  <c r="K321" i="88"/>
  <c r="K322" i="88"/>
  <c r="K323" i="88"/>
  <c r="K324" i="88"/>
  <c r="K325" i="88"/>
  <c r="K326" i="88"/>
  <c r="K327" i="88"/>
  <c r="K328" i="88"/>
  <c r="K329" i="88"/>
  <c r="K330" i="88"/>
  <c r="K331" i="88"/>
  <c r="K332" i="88"/>
  <c r="K333" i="88"/>
  <c r="K334" i="88"/>
  <c r="K335" i="88"/>
  <c r="K336" i="88"/>
  <c r="K337" i="88"/>
  <c r="K338" i="88"/>
  <c r="K339" i="88"/>
  <c r="K340" i="88"/>
  <c r="K341" i="88"/>
  <c r="K342" i="88"/>
  <c r="K343" i="88"/>
  <c r="K344" i="88"/>
  <c r="K345" i="88"/>
  <c r="K346" i="88"/>
  <c r="K347" i="88"/>
  <c r="K348" i="88"/>
  <c r="K349" i="88"/>
  <c r="K350" i="88"/>
  <c r="K351" i="88"/>
  <c r="K352" i="88"/>
  <c r="K353" i="88"/>
  <c r="K354" i="88"/>
  <c r="K355" i="88"/>
  <c r="K356" i="88"/>
  <c r="K357" i="88"/>
  <c r="K358" i="88"/>
  <c r="K359" i="88"/>
  <c r="K360" i="88"/>
  <c r="K361" i="88"/>
  <c r="K362" i="88"/>
  <c r="K363" i="88"/>
  <c r="K364" i="88"/>
  <c r="K365" i="88"/>
  <c r="K366" i="88"/>
  <c r="K367" i="88"/>
  <c r="K368" i="88"/>
  <c r="K369" i="88"/>
  <c r="K370" i="88"/>
  <c r="K371" i="88"/>
  <c r="K372" i="88"/>
  <c r="K373" i="88"/>
  <c r="K374" i="88"/>
  <c r="K375" i="88"/>
  <c r="K376" i="88"/>
  <c r="K377" i="88"/>
  <c r="K378" i="88"/>
  <c r="K379" i="88"/>
  <c r="K380" i="88"/>
  <c r="K381" i="88"/>
  <c r="K382" i="88"/>
  <c r="K383" i="88"/>
  <c r="K384" i="88"/>
  <c r="K385" i="88"/>
  <c r="K386" i="88"/>
  <c r="K387" i="88"/>
  <c r="K388" i="88"/>
  <c r="K389" i="88"/>
  <c r="K390" i="88"/>
  <c r="K391" i="88"/>
  <c r="K392" i="88"/>
  <c r="K393" i="88"/>
  <c r="K394" i="88"/>
  <c r="K395" i="88"/>
  <c r="K396" i="88"/>
  <c r="K397" i="88"/>
  <c r="K398" i="88"/>
  <c r="K399" i="88"/>
  <c r="K400" i="88"/>
  <c r="K401" i="88"/>
  <c r="K402" i="88"/>
  <c r="K403" i="88"/>
  <c r="K404" i="88"/>
  <c r="K405" i="88"/>
  <c r="K406" i="88"/>
  <c r="K407" i="88"/>
  <c r="K408" i="88"/>
  <c r="K409" i="88"/>
  <c r="K410" i="88"/>
  <c r="K411" i="88"/>
  <c r="K412" i="88"/>
  <c r="K413" i="88"/>
  <c r="K414" i="88"/>
  <c r="K415" i="88"/>
  <c r="K416" i="88"/>
  <c r="K417" i="88"/>
  <c r="K418" i="88"/>
  <c r="K419" i="88"/>
  <c r="K420" i="88"/>
  <c r="K421" i="88"/>
  <c r="K422" i="88"/>
  <c r="K423" i="88"/>
  <c r="K424" i="88"/>
  <c r="K425" i="88"/>
  <c r="K426" i="88"/>
  <c r="K427" i="88"/>
  <c r="K428" i="88"/>
  <c r="K429" i="88"/>
  <c r="K430" i="88"/>
  <c r="K431" i="88"/>
  <c r="K432" i="88"/>
  <c r="K433" i="88"/>
  <c r="K434" i="88"/>
  <c r="K435" i="88"/>
  <c r="K436" i="88"/>
  <c r="K437" i="88"/>
  <c r="K438" i="88"/>
  <c r="K439" i="88"/>
  <c r="K440" i="88"/>
  <c r="K441" i="88"/>
  <c r="K442" i="88"/>
  <c r="K443" i="88"/>
  <c r="K444" i="88"/>
  <c r="K445" i="88"/>
  <c r="K446" i="88"/>
  <c r="K447" i="88"/>
  <c r="K448" i="88"/>
  <c r="K449" i="88"/>
  <c r="K450" i="88"/>
  <c r="K451" i="88"/>
  <c r="K452" i="88"/>
  <c r="K453" i="88"/>
  <c r="K454" i="88"/>
  <c r="K455" i="88"/>
  <c r="K456" i="88"/>
  <c r="K457" i="88"/>
  <c r="K458" i="88"/>
  <c r="K459" i="88"/>
  <c r="K460" i="88"/>
  <c r="K461" i="88"/>
  <c r="K462" i="88"/>
  <c r="K463" i="88"/>
  <c r="K464" i="88"/>
  <c r="K465" i="88"/>
  <c r="K466" i="88"/>
  <c r="K467" i="88"/>
  <c r="K468" i="88"/>
  <c r="K469" i="88"/>
  <c r="K470" i="88"/>
  <c r="K471" i="88"/>
  <c r="K472" i="88"/>
  <c r="K473" i="88"/>
  <c r="K474" i="88"/>
  <c r="K475" i="88"/>
  <c r="K476" i="88"/>
  <c r="K477" i="88"/>
  <c r="K478" i="88"/>
  <c r="K479" i="88"/>
  <c r="K480" i="88"/>
  <c r="K481" i="88"/>
  <c r="K482" i="88"/>
  <c r="K483" i="88"/>
  <c r="K484" i="88"/>
  <c r="K485" i="88"/>
  <c r="K486" i="88"/>
  <c r="K487" i="88"/>
  <c r="K488" i="88"/>
  <c r="K489" i="88"/>
  <c r="K490" i="88"/>
  <c r="K491" i="88"/>
  <c r="K492" i="88"/>
  <c r="K493" i="88"/>
  <c r="K494" i="88"/>
  <c r="K495" i="88"/>
  <c r="K496" i="88"/>
  <c r="K497" i="88"/>
  <c r="K498" i="88"/>
  <c r="K499" i="88"/>
  <c r="K500" i="88"/>
  <c r="K501" i="88"/>
  <c r="K502" i="88"/>
  <c r="K503" i="88"/>
  <c r="K504" i="88"/>
  <c r="K505" i="88"/>
  <c r="K506" i="88"/>
  <c r="K507" i="88"/>
  <c r="K508" i="88"/>
  <c r="K509" i="88"/>
  <c r="K510" i="88"/>
  <c r="K511" i="88"/>
  <c r="K512" i="88"/>
  <c r="K513" i="88"/>
  <c r="K514" i="88"/>
  <c r="K515" i="88"/>
  <c r="K516" i="88"/>
  <c r="K517" i="88"/>
  <c r="K518" i="88"/>
  <c r="K519" i="88"/>
  <c r="K520" i="88"/>
  <c r="K521" i="88"/>
  <c r="K522" i="88"/>
  <c r="K523" i="88"/>
  <c r="K524" i="88"/>
  <c r="K525" i="88"/>
  <c r="K526" i="88"/>
  <c r="K527" i="88"/>
  <c r="K528" i="88"/>
  <c r="K529" i="88"/>
  <c r="K530" i="88"/>
  <c r="K531" i="88"/>
  <c r="K532" i="88"/>
  <c r="K533" i="88"/>
  <c r="K534" i="88"/>
  <c r="K535" i="88"/>
  <c r="K536" i="88"/>
  <c r="K537" i="88"/>
  <c r="K538" i="88"/>
  <c r="K539" i="88"/>
  <c r="K540" i="88"/>
  <c r="K541" i="88"/>
  <c r="K542" i="88"/>
  <c r="K543" i="88"/>
  <c r="K544" i="88"/>
  <c r="K545" i="88"/>
  <c r="K546" i="88"/>
  <c r="K547" i="88"/>
  <c r="K548" i="88"/>
  <c r="K549" i="88"/>
  <c r="K550" i="88"/>
  <c r="K551" i="88"/>
  <c r="K552" i="88"/>
  <c r="K553" i="88"/>
  <c r="K554" i="88"/>
  <c r="K555" i="88"/>
  <c r="K556" i="88"/>
  <c r="K557" i="88"/>
  <c r="K558" i="88"/>
  <c r="K559" i="88"/>
  <c r="K560" i="88"/>
  <c r="K561" i="88"/>
  <c r="K562" i="88"/>
  <c r="K563" i="88"/>
  <c r="K564" i="88"/>
  <c r="K565" i="88"/>
  <c r="K566" i="88"/>
  <c r="K567" i="88"/>
  <c r="K568" i="88"/>
  <c r="K569" i="88"/>
  <c r="K570" i="88"/>
  <c r="K571" i="88"/>
  <c r="K572" i="88"/>
  <c r="K573" i="88"/>
  <c r="K574" i="88"/>
  <c r="K575" i="88"/>
  <c r="K576" i="88"/>
  <c r="K577" i="88"/>
  <c r="K578" i="88"/>
  <c r="K579" i="88"/>
  <c r="K580" i="88"/>
  <c r="K581" i="88"/>
  <c r="K582" i="88"/>
  <c r="K583" i="88"/>
  <c r="K584" i="88"/>
  <c r="K585" i="88"/>
  <c r="K586" i="88"/>
  <c r="K587" i="88"/>
  <c r="K588" i="88"/>
  <c r="K589" i="88"/>
  <c r="K590" i="88"/>
  <c r="K591" i="88"/>
  <c r="K592" i="88"/>
  <c r="K593" i="88"/>
  <c r="K594" i="88"/>
  <c r="K595" i="88"/>
  <c r="K596" i="88"/>
  <c r="K597" i="88"/>
  <c r="K598" i="88"/>
  <c r="K599" i="88"/>
  <c r="K600" i="88"/>
  <c r="K601" i="88"/>
  <c r="K602" i="88"/>
  <c r="K603" i="88"/>
  <c r="K604" i="88"/>
  <c r="K605" i="88"/>
  <c r="K606" i="88"/>
  <c r="K607" i="88"/>
  <c r="K608" i="88"/>
  <c r="K609" i="88"/>
  <c r="K610" i="88"/>
  <c r="K611" i="88"/>
  <c r="K612" i="88"/>
  <c r="K613" i="88"/>
  <c r="K614" i="88"/>
  <c r="K615" i="88"/>
  <c r="K616" i="88"/>
  <c r="K617" i="88"/>
  <c r="K618" i="88"/>
  <c r="K619" i="88"/>
  <c r="K620" i="88"/>
  <c r="K621" i="88"/>
  <c r="K622" i="88"/>
  <c r="K623" i="88"/>
  <c r="K624" i="88"/>
  <c r="K625" i="88"/>
  <c r="K626" i="88"/>
  <c r="K627" i="88"/>
  <c r="K628" i="88"/>
  <c r="K629" i="88"/>
  <c r="K630" i="88"/>
  <c r="K631" i="88"/>
  <c r="K632" i="88"/>
  <c r="K633" i="88"/>
  <c r="K634" i="88"/>
  <c r="K635" i="88"/>
  <c r="K636" i="88"/>
  <c r="K637" i="88"/>
  <c r="K638" i="88"/>
  <c r="K639" i="88"/>
  <c r="K640" i="88"/>
  <c r="K641" i="88"/>
  <c r="K642" i="88"/>
  <c r="K643" i="88"/>
  <c r="K644" i="88"/>
  <c r="K645" i="88"/>
  <c r="K646" i="88"/>
  <c r="K647" i="88"/>
  <c r="K648" i="88"/>
  <c r="K649" i="88"/>
  <c r="K650" i="88"/>
  <c r="K651" i="88"/>
  <c r="K652" i="88"/>
  <c r="K653" i="88"/>
  <c r="K654" i="88"/>
  <c r="K655" i="88"/>
  <c r="K656" i="88"/>
  <c r="K657" i="88"/>
  <c r="K658" i="88"/>
  <c r="K659" i="88"/>
  <c r="K660" i="88"/>
  <c r="K661" i="88"/>
  <c r="K662" i="88"/>
  <c r="K663" i="88"/>
  <c r="K664" i="88"/>
  <c r="K665" i="88"/>
  <c r="K666" i="88"/>
  <c r="K667" i="88"/>
  <c r="K668" i="88"/>
  <c r="K669" i="88"/>
  <c r="K670" i="88"/>
  <c r="K671" i="88"/>
  <c r="K672" i="88"/>
  <c r="K673" i="88"/>
  <c r="K674" i="88"/>
  <c r="K675" i="88"/>
  <c r="K676" i="88"/>
  <c r="K677" i="88"/>
  <c r="K678" i="88"/>
  <c r="K679" i="88"/>
  <c r="K680" i="88"/>
  <c r="K681" i="88"/>
  <c r="K682" i="88"/>
  <c r="K683" i="88"/>
  <c r="K684" i="88"/>
  <c r="K685" i="88"/>
  <c r="K686" i="88"/>
  <c r="K687" i="88"/>
  <c r="K688" i="88"/>
  <c r="K689" i="88"/>
  <c r="K690" i="88"/>
  <c r="K691" i="88"/>
  <c r="K692" i="88"/>
  <c r="K693" i="88"/>
  <c r="K694" i="88"/>
  <c r="K695" i="88"/>
  <c r="K696" i="88"/>
  <c r="K697" i="88"/>
  <c r="K698" i="88"/>
  <c r="K699" i="88"/>
  <c r="K700" i="88"/>
  <c r="K701" i="88"/>
  <c r="K702" i="88"/>
  <c r="K703" i="88"/>
  <c r="K704" i="88"/>
  <c r="K705" i="88"/>
  <c r="K706" i="88"/>
  <c r="K707" i="88"/>
  <c r="K708" i="88"/>
  <c r="K709" i="88"/>
  <c r="K710" i="88"/>
  <c r="K711" i="88"/>
  <c r="K712" i="88"/>
  <c r="K713" i="88"/>
  <c r="K714" i="88"/>
  <c r="K715" i="88"/>
  <c r="K716" i="88"/>
  <c r="K717" i="88"/>
  <c r="K718" i="88"/>
  <c r="K719" i="88"/>
  <c r="K720" i="88"/>
  <c r="K721" i="88"/>
  <c r="K722" i="88"/>
  <c r="K723" i="88"/>
  <c r="K724" i="88"/>
  <c r="K725" i="88"/>
  <c r="K726" i="88"/>
  <c r="K727" i="88"/>
  <c r="K728" i="88"/>
  <c r="K729" i="88"/>
  <c r="K730" i="88"/>
  <c r="K731" i="88"/>
  <c r="K732" i="88"/>
  <c r="K733" i="88"/>
  <c r="K734" i="88"/>
  <c r="K735" i="88"/>
  <c r="K736" i="88"/>
  <c r="K737" i="88"/>
  <c r="K738" i="88"/>
  <c r="K739" i="88"/>
  <c r="K740" i="88"/>
  <c r="K741" i="88"/>
  <c r="K742" i="88"/>
  <c r="K743" i="88"/>
  <c r="K744" i="88"/>
  <c r="K745" i="88"/>
  <c r="K746" i="88"/>
  <c r="K747" i="88"/>
  <c r="K748" i="88"/>
  <c r="K749" i="88"/>
  <c r="K750" i="88"/>
  <c r="K751" i="88"/>
  <c r="K752" i="88"/>
  <c r="K753" i="88"/>
  <c r="K754" i="88"/>
  <c r="K755" i="88"/>
  <c r="K756" i="88"/>
  <c r="K757" i="88"/>
  <c r="K758" i="88"/>
  <c r="K759" i="88"/>
  <c r="K760" i="88"/>
  <c r="K761" i="88"/>
  <c r="K762" i="88"/>
  <c r="K763" i="88"/>
  <c r="K764" i="88"/>
  <c r="K765" i="88"/>
  <c r="K766" i="88"/>
  <c r="K767" i="88"/>
  <c r="K768" i="88"/>
  <c r="K769" i="88"/>
  <c r="K770" i="88"/>
  <c r="K771" i="88"/>
  <c r="K772" i="88"/>
  <c r="K773" i="88"/>
  <c r="K774" i="88"/>
  <c r="K775" i="88"/>
  <c r="K776" i="88"/>
  <c r="K777" i="88"/>
  <c r="K778" i="88"/>
  <c r="K779" i="88"/>
  <c r="K780" i="88"/>
  <c r="K781" i="88"/>
  <c r="K782" i="88"/>
  <c r="K783" i="88"/>
  <c r="K784" i="88"/>
  <c r="K785" i="88"/>
  <c r="K786" i="88"/>
  <c r="K787" i="88"/>
  <c r="K788" i="88"/>
  <c r="K789" i="88"/>
  <c r="K790" i="88"/>
  <c r="K791" i="88"/>
  <c r="K792" i="88"/>
  <c r="K793" i="88"/>
  <c r="K794" i="88"/>
  <c r="K795" i="88"/>
  <c r="K796" i="88"/>
  <c r="K797" i="88"/>
  <c r="K798" i="88"/>
  <c r="K799" i="88"/>
  <c r="K800" i="88"/>
  <c r="K801" i="88"/>
  <c r="K802" i="88"/>
  <c r="K803" i="88"/>
  <c r="K804" i="88"/>
  <c r="K805" i="88"/>
  <c r="K806" i="88"/>
  <c r="K807" i="88"/>
  <c r="K808" i="88"/>
  <c r="K809" i="88"/>
  <c r="K810" i="88"/>
  <c r="K811" i="88"/>
  <c r="K812" i="88"/>
  <c r="K813" i="88"/>
  <c r="K814" i="88"/>
  <c r="K815" i="88"/>
  <c r="K816" i="88"/>
  <c r="K817" i="88"/>
  <c r="K818" i="88"/>
  <c r="K819" i="88"/>
  <c r="K820" i="88"/>
  <c r="K821" i="88"/>
  <c r="K822" i="88"/>
  <c r="K823" i="88"/>
  <c r="K824" i="88"/>
  <c r="K825" i="88"/>
  <c r="K826" i="88"/>
  <c r="K827" i="88"/>
  <c r="K828" i="88"/>
  <c r="K829" i="88"/>
  <c r="K830" i="88"/>
  <c r="K831" i="88"/>
  <c r="K832" i="88"/>
  <c r="K833" i="88"/>
  <c r="K834" i="88"/>
  <c r="K835" i="88"/>
  <c r="K836" i="88"/>
  <c r="K837" i="88"/>
  <c r="K838" i="88"/>
  <c r="K839" i="88"/>
  <c r="K840" i="88"/>
  <c r="K841" i="88"/>
  <c r="K842" i="88"/>
  <c r="K843" i="88"/>
  <c r="K844" i="88"/>
  <c r="K845" i="88"/>
  <c r="K846" i="88"/>
  <c r="K847" i="88"/>
  <c r="K848" i="88"/>
  <c r="K849" i="88"/>
  <c r="K850" i="88"/>
  <c r="K851" i="88"/>
  <c r="K852" i="88"/>
  <c r="K853" i="88"/>
  <c r="K854" i="88"/>
  <c r="K855" i="88"/>
  <c r="K856" i="88"/>
  <c r="K857" i="88"/>
  <c r="K858" i="88"/>
  <c r="K859" i="88"/>
  <c r="K860" i="88"/>
  <c r="K861" i="88"/>
  <c r="K862" i="88"/>
  <c r="K863" i="88"/>
  <c r="K864" i="88"/>
  <c r="K865" i="88"/>
  <c r="K866" i="88"/>
  <c r="K867" i="88"/>
  <c r="K868" i="88"/>
  <c r="K869" i="88"/>
  <c r="K870" i="88"/>
  <c r="K871" i="88"/>
  <c r="K872" i="88"/>
  <c r="K873" i="88"/>
  <c r="K874" i="88"/>
  <c r="K875" i="88"/>
  <c r="K876" i="88"/>
  <c r="K877" i="88"/>
  <c r="K878" i="88"/>
  <c r="K879" i="88"/>
  <c r="K880" i="88"/>
  <c r="K881" i="88"/>
  <c r="K882" i="88"/>
  <c r="K883" i="88"/>
  <c r="K884" i="88"/>
  <c r="K885" i="88"/>
  <c r="K886" i="88"/>
  <c r="K887" i="88"/>
  <c r="K888" i="88"/>
  <c r="K889" i="88"/>
  <c r="K890" i="88"/>
  <c r="K891" i="88"/>
  <c r="K892" i="88"/>
  <c r="K893" i="88"/>
  <c r="K894" i="88"/>
  <c r="K895" i="88"/>
  <c r="K896" i="88"/>
  <c r="K897" i="88"/>
  <c r="K898" i="88"/>
  <c r="K899" i="88"/>
  <c r="K900" i="88"/>
  <c r="K901" i="88"/>
  <c r="K902" i="88"/>
  <c r="K903" i="88"/>
  <c r="K904" i="88"/>
  <c r="K905" i="88"/>
  <c r="K906" i="88"/>
  <c r="K907" i="88"/>
  <c r="K908" i="88"/>
  <c r="K909" i="88"/>
  <c r="K910" i="88"/>
  <c r="K911" i="88"/>
  <c r="K912" i="88"/>
  <c r="K913" i="88"/>
  <c r="K914" i="88"/>
  <c r="K915" i="88"/>
  <c r="K916" i="88"/>
  <c r="K917" i="88"/>
  <c r="K918" i="88"/>
  <c r="K919" i="88"/>
  <c r="K920" i="88"/>
  <c r="K921" i="88"/>
  <c r="K922" i="88"/>
  <c r="K923" i="88"/>
  <c r="K924" i="88"/>
  <c r="K925" i="88"/>
  <c r="K926" i="88"/>
  <c r="K927" i="88"/>
  <c r="K928" i="88"/>
  <c r="K929" i="88"/>
  <c r="K930" i="88"/>
  <c r="K931" i="88"/>
  <c r="K932" i="88"/>
  <c r="K933" i="88"/>
  <c r="K934" i="88"/>
  <c r="K935" i="88"/>
  <c r="K936" i="88"/>
  <c r="K937" i="88"/>
  <c r="K938" i="88"/>
  <c r="K939" i="88"/>
  <c r="K940" i="88"/>
  <c r="K941" i="88"/>
  <c r="K942" i="88"/>
  <c r="K943" i="88"/>
  <c r="K944" i="88"/>
  <c r="K945" i="88"/>
  <c r="K946" i="88"/>
  <c r="K947" i="88"/>
  <c r="K948" i="88"/>
  <c r="K949" i="88"/>
  <c r="K950" i="88"/>
  <c r="K951" i="88"/>
  <c r="K952" i="88"/>
  <c r="K953" i="88"/>
  <c r="K954" i="88"/>
  <c r="K955" i="88"/>
  <c r="K956" i="88"/>
  <c r="K957" i="88"/>
  <c r="K958" i="88"/>
  <c r="K959" i="88"/>
  <c r="K960" i="88"/>
  <c r="K961" i="88"/>
  <c r="K962" i="88"/>
  <c r="K963" i="88"/>
  <c r="K964" i="88"/>
  <c r="K965" i="88"/>
  <c r="K966" i="88"/>
  <c r="K967" i="88"/>
  <c r="K968" i="88"/>
  <c r="K969" i="88"/>
  <c r="K970" i="88"/>
  <c r="K971" i="88"/>
  <c r="K972" i="88"/>
  <c r="K973" i="88"/>
  <c r="K974" i="88"/>
  <c r="K975" i="88"/>
  <c r="K976" i="88"/>
  <c r="K977" i="88"/>
  <c r="K978" i="88"/>
  <c r="K979" i="88"/>
  <c r="K980" i="88"/>
  <c r="K981" i="88"/>
  <c r="K982" i="88"/>
  <c r="K983" i="88"/>
  <c r="K984" i="88"/>
  <c r="K985" i="88"/>
  <c r="K986" i="88"/>
  <c r="K987" i="88"/>
  <c r="K988" i="88"/>
  <c r="K989" i="88"/>
  <c r="K990" i="88"/>
  <c r="K991" i="88"/>
  <c r="K992" i="88"/>
  <c r="K993" i="88"/>
  <c r="K994" i="88"/>
  <c r="K995" i="88"/>
  <c r="K996" i="88"/>
  <c r="K997" i="88"/>
  <c r="K998" i="88"/>
  <c r="K999" i="88"/>
  <c r="K1000" i="88"/>
  <c r="K1001" i="88"/>
  <c r="K1002" i="88"/>
  <c r="K1003" i="88"/>
  <c r="K1004" i="88"/>
  <c r="K1005" i="88"/>
  <c r="K1006" i="88"/>
  <c r="K1007" i="88"/>
  <c r="K1008" i="88"/>
  <c r="K1009" i="88"/>
  <c r="K1010" i="88"/>
  <c r="K1011" i="88"/>
  <c r="K1012" i="88"/>
  <c r="K1013" i="88"/>
  <c r="K1014" i="88"/>
  <c r="K1015" i="88"/>
  <c r="K1016" i="88"/>
  <c r="K1017" i="88"/>
  <c r="K1018" i="88"/>
  <c r="K1019" i="88"/>
  <c r="K1020" i="88"/>
  <c r="K1021" i="88"/>
  <c r="K1022" i="88"/>
  <c r="K1023" i="88"/>
  <c r="K1024" i="88"/>
  <c r="K1025" i="88"/>
  <c r="K1026" i="88"/>
  <c r="K1027" i="88"/>
  <c r="K1028" i="88"/>
  <c r="K1029" i="88"/>
  <c r="K1030" i="88"/>
  <c r="K1031" i="88"/>
  <c r="K1032" i="88"/>
  <c r="K1033" i="88"/>
  <c r="K1034" i="88"/>
  <c r="K1035" i="88"/>
  <c r="K1036" i="88"/>
  <c r="K1037" i="88"/>
  <c r="K1038" i="88"/>
  <c r="K1039" i="88"/>
  <c r="K1040" i="88"/>
  <c r="K1041" i="88"/>
  <c r="K1042" i="88"/>
  <c r="K1043" i="88"/>
  <c r="K1044" i="88"/>
  <c r="K1045" i="88"/>
  <c r="K1046" i="88"/>
  <c r="K1047" i="88"/>
  <c r="K1048" i="88"/>
  <c r="K1049" i="88"/>
  <c r="K1050" i="88"/>
  <c r="K1051" i="88"/>
  <c r="K1052" i="88"/>
  <c r="K1053" i="88"/>
  <c r="K1054" i="88"/>
  <c r="K1055" i="88"/>
  <c r="K1056" i="88"/>
  <c r="K1057" i="88"/>
  <c r="K1058" i="88"/>
  <c r="K1059" i="88"/>
  <c r="K1060" i="88"/>
  <c r="K1061" i="88"/>
  <c r="K1062" i="88"/>
  <c r="K1063" i="88"/>
  <c r="K1064" i="88"/>
  <c r="K1065" i="88"/>
  <c r="K1066" i="88"/>
  <c r="K1067" i="88"/>
  <c r="K1068" i="88"/>
  <c r="K1069" i="88"/>
  <c r="K1070" i="88"/>
  <c r="K1071" i="88"/>
  <c r="K1072" i="88"/>
  <c r="K1073" i="88"/>
  <c r="K1074" i="88"/>
  <c r="K1075" i="88"/>
  <c r="K1076" i="88"/>
  <c r="K1077" i="88"/>
  <c r="K1078" i="88"/>
  <c r="K1079" i="88"/>
  <c r="K1080" i="88"/>
  <c r="K1081" i="88"/>
  <c r="K1082" i="88"/>
  <c r="K1083" i="88"/>
  <c r="K1084" i="88"/>
  <c r="K1085" i="88"/>
  <c r="K1086" i="88"/>
  <c r="K1087" i="88"/>
  <c r="K1088" i="88"/>
  <c r="K1089" i="88"/>
  <c r="K1090" i="88"/>
  <c r="K1091" i="88"/>
  <c r="K1092" i="88"/>
  <c r="K1093" i="88"/>
  <c r="K1094" i="88"/>
  <c r="K1095" i="88"/>
  <c r="K1096" i="88"/>
  <c r="K1097" i="88"/>
  <c r="K1098" i="88"/>
  <c r="K1099" i="88"/>
  <c r="K1100" i="88"/>
  <c r="K1101" i="88"/>
  <c r="K1102" i="88"/>
  <c r="K1103" i="88"/>
  <c r="K1104" i="88"/>
  <c r="K1105" i="88"/>
  <c r="K1106" i="88"/>
  <c r="K1107" i="88"/>
  <c r="K1108" i="88"/>
  <c r="K1109" i="88"/>
  <c r="K1110" i="88"/>
  <c r="K1111" i="88"/>
  <c r="K1112" i="88"/>
  <c r="K1113" i="88"/>
  <c r="K1114" i="88"/>
  <c r="K1115" i="88"/>
  <c r="K1116" i="88"/>
  <c r="K1117" i="88"/>
  <c r="K1118" i="88"/>
  <c r="K1119" i="88"/>
  <c r="K1120" i="88"/>
  <c r="K1121" i="88"/>
  <c r="K1122" i="88"/>
  <c r="K1123" i="88"/>
  <c r="K1124" i="88"/>
  <c r="K1125" i="88"/>
  <c r="K1126" i="88"/>
  <c r="K1127" i="88"/>
  <c r="K1128" i="88"/>
  <c r="K1129" i="88"/>
  <c r="K1130" i="88"/>
  <c r="K1131" i="88"/>
  <c r="K1132" i="88"/>
  <c r="K1133" i="88"/>
  <c r="K1134" i="88"/>
  <c r="K1135" i="88"/>
  <c r="K1136" i="88"/>
  <c r="K1137" i="88"/>
  <c r="K1138" i="88"/>
  <c r="K1139" i="88"/>
  <c r="K1140" i="88"/>
  <c r="K1141" i="88"/>
  <c r="K1142" i="88"/>
  <c r="K1143" i="88"/>
  <c r="K1144" i="88"/>
  <c r="K1145" i="88"/>
  <c r="K1146" i="88"/>
  <c r="K1147" i="88"/>
  <c r="K1148" i="88"/>
  <c r="K1149" i="88"/>
  <c r="K1150" i="88"/>
  <c r="K1151" i="88"/>
  <c r="K1152" i="88"/>
  <c r="K1153" i="88"/>
  <c r="K1154" i="88"/>
  <c r="K1155" i="88"/>
  <c r="K1156" i="88"/>
  <c r="K1157" i="88"/>
  <c r="K1158" i="88"/>
  <c r="K1159" i="88"/>
  <c r="K1160" i="88"/>
  <c r="K1161" i="88"/>
  <c r="K1162" i="88"/>
  <c r="K1163" i="88"/>
  <c r="K1164" i="88"/>
  <c r="K1165" i="88"/>
  <c r="K1166" i="88"/>
  <c r="K1167" i="88"/>
  <c r="K1168" i="88"/>
  <c r="K1169" i="88"/>
  <c r="K1170" i="88"/>
  <c r="K1171" i="88"/>
  <c r="K1172" i="88"/>
  <c r="K1173" i="88"/>
  <c r="K1174" i="88"/>
  <c r="K1175" i="88"/>
  <c r="K1176" i="88"/>
  <c r="K1177" i="88"/>
  <c r="K1178" i="88"/>
  <c r="K1179" i="88"/>
  <c r="K1180" i="88"/>
  <c r="K1181" i="88"/>
  <c r="K1182" i="88"/>
  <c r="K1183" i="88"/>
  <c r="K1184" i="88"/>
  <c r="K1185" i="88"/>
  <c r="K1186" i="88"/>
  <c r="K1187" i="88"/>
  <c r="K1188" i="88"/>
  <c r="K1189" i="88"/>
  <c r="K1190" i="88"/>
  <c r="K1191" i="88"/>
  <c r="K1192" i="88"/>
  <c r="K1193" i="88"/>
  <c r="K1194" i="88"/>
  <c r="K1195" i="88"/>
  <c r="K1196" i="88"/>
  <c r="K1197" i="88"/>
  <c r="K1198" i="88"/>
  <c r="K1199" i="88"/>
  <c r="K1200" i="88"/>
  <c r="K1201" i="88"/>
  <c r="K1202" i="88"/>
  <c r="K1203" i="88"/>
  <c r="K1204" i="88"/>
  <c r="K1205" i="88"/>
  <c r="K1206" i="88"/>
  <c r="K1207" i="88"/>
  <c r="K1208" i="88"/>
  <c r="K1209" i="88"/>
  <c r="K1210" i="88"/>
  <c r="K1211" i="88"/>
  <c r="K1212" i="88"/>
  <c r="K1213" i="88"/>
  <c r="K1214" i="88"/>
  <c r="K1215" i="88"/>
  <c r="K1216" i="88"/>
  <c r="K1217" i="88"/>
  <c r="K1218" i="88"/>
  <c r="K1219" i="88"/>
  <c r="K1220" i="88"/>
  <c r="K1221" i="88"/>
  <c r="K1222" i="88"/>
  <c r="K1223" i="88"/>
  <c r="K1224" i="88"/>
  <c r="K1225" i="88"/>
  <c r="K1226" i="88"/>
  <c r="K1227" i="88"/>
  <c r="K1228" i="88"/>
  <c r="K1229" i="88"/>
  <c r="K1230" i="88"/>
  <c r="K1231" i="88"/>
  <c r="K1232" i="88"/>
  <c r="K1233" i="88"/>
  <c r="K1234" i="88"/>
  <c r="K1235" i="88"/>
  <c r="K1236" i="88"/>
  <c r="K1237" i="88"/>
  <c r="K1238" i="88"/>
  <c r="K1239" i="88"/>
  <c r="K1240" i="88"/>
  <c r="K1241" i="88"/>
  <c r="K1242" i="88"/>
  <c r="K1243" i="88"/>
  <c r="K1244" i="88"/>
  <c r="K1245" i="88"/>
  <c r="K1246" i="88"/>
  <c r="K1247" i="88"/>
  <c r="K1248" i="88"/>
  <c r="K1249" i="88"/>
  <c r="K1250" i="88"/>
  <c r="K1251" i="88"/>
  <c r="K1252" i="88"/>
  <c r="K1253" i="88"/>
  <c r="K1254" i="88"/>
  <c r="K1255" i="88"/>
  <c r="K1256" i="88"/>
  <c r="K1257" i="88"/>
  <c r="K1258" i="88"/>
  <c r="K1259" i="88"/>
  <c r="K1260" i="88"/>
  <c r="K1261" i="88"/>
  <c r="K1262" i="88"/>
  <c r="K1263" i="88"/>
  <c r="K1264" i="88"/>
  <c r="K1265" i="88"/>
  <c r="K1266" i="88"/>
  <c r="K1267" i="88"/>
  <c r="K1268" i="88"/>
  <c r="K1269" i="88"/>
  <c r="K1270" i="88"/>
  <c r="K1271" i="88"/>
  <c r="K1272" i="88"/>
  <c r="K1273" i="88"/>
  <c r="K1274" i="88"/>
  <c r="K1275" i="88"/>
  <c r="K1276" i="88"/>
  <c r="K1277" i="88"/>
  <c r="K1278" i="88"/>
  <c r="K1279" i="88"/>
  <c r="K1280" i="88"/>
  <c r="K1281" i="88"/>
  <c r="K1282" i="88"/>
  <c r="K1283" i="88"/>
  <c r="K1284" i="88"/>
  <c r="K1285" i="88"/>
  <c r="K1286" i="88"/>
  <c r="K1287" i="88"/>
  <c r="K1288" i="88"/>
  <c r="K1289" i="88"/>
  <c r="K1290" i="88"/>
  <c r="K1291" i="88"/>
  <c r="K1292" i="88"/>
  <c r="K1293" i="88"/>
  <c r="K1294" i="88"/>
  <c r="K1295" i="88"/>
  <c r="K1296" i="88"/>
  <c r="K1297" i="88"/>
  <c r="K1298" i="88"/>
  <c r="K1299" i="88"/>
  <c r="K1300" i="88"/>
  <c r="K1301" i="88"/>
  <c r="K1302" i="88"/>
  <c r="K1303" i="88"/>
  <c r="K1304" i="88"/>
  <c r="K1305" i="88"/>
  <c r="K1306" i="88"/>
  <c r="K1307" i="88"/>
  <c r="K1308" i="88"/>
  <c r="K1309" i="88"/>
  <c r="K1310" i="88"/>
  <c r="K1311" i="88"/>
  <c r="K1312" i="88"/>
  <c r="K1313" i="88"/>
  <c r="K1314" i="88"/>
  <c r="K1315" i="88"/>
  <c r="K1316" i="88"/>
  <c r="K1317" i="88"/>
  <c r="K1318" i="88"/>
  <c r="K1319" i="88"/>
  <c r="K1320" i="88"/>
  <c r="K1321" i="88"/>
  <c r="K1322" i="88"/>
  <c r="K1323" i="88"/>
  <c r="K1324" i="88"/>
  <c r="K1325" i="88"/>
  <c r="K1326" i="88"/>
  <c r="K1327" i="88"/>
  <c r="K1328" i="88"/>
  <c r="K1329" i="88"/>
  <c r="K1330" i="88"/>
  <c r="K1331" i="88"/>
  <c r="K1332" i="88"/>
  <c r="K1333" i="88"/>
  <c r="K1334" i="88"/>
  <c r="K1335" i="88"/>
  <c r="K1336" i="88"/>
  <c r="K1337" i="88"/>
  <c r="K1338" i="88"/>
  <c r="K1339" i="88"/>
  <c r="K1340" i="88"/>
  <c r="K1341" i="88"/>
  <c r="K1342" i="88"/>
  <c r="K1343" i="88"/>
  <c r="K1344" i="88"/>
  <c r="K1345" i="88"/>
  <c r="K1346" i="88"/>
  <c r="K1347" i="88"/>
  <c r="K1348" i="88"/>
  <c r="K1349" i="88"/>
  <c r="K1350" i="88"/>
  <c r="K1351" i="88"/>
  <c r="K1352" i="88"/>
  <c r="K1353" i="88"/>
  <c r="K1354" i="88"/>
  <c r="K1355" i="88"/>
  <c r="K1356" i="88"/>
  <c r="K1357" i="88"/>
  <c r="K1358" i="88"/>
  <c r="K1359" i="88"/>
  <c r="K1360" i="88"/>
  <c r="K1361" i="88"/>
  <c r="K1362" i="88"/>
  <c r="K1363" i="88"/>
  <c r="K1364" i="88"/>
  <c r="K1365" i="88"/>
  <c r="K1366" i="88"/>
  <c r="K1367" i="88"/>
  <c r="K1368" i="88"/>
  <c r="K1369" i="88"/>
  <c r="K1370" i="88"/>
  <c r="K1371" i="88"/>
  <c r="K1372" i="88"/>
  <c r="K1373" i="88"/>
  <c r="K1374" i="88"/>
  <c r="K1375" i="88"/>
  <c r="K1376" i="88"/>
  <c r="K1377" i="88"/>
  <c r="K1378" i="88"/>
  <c r="K1379" i="88"/>
  <c r="K1380" i="88"/>
  <c r="K1381" i="88"/>
  <c r="K1382" i="88"/>
  <c r="K1383" i="88"/>
  <c r="K1384" i="88"/>
  <c r="K1385" i="88"/>
  <c r="K1386" i="88"/>
  <c r="K1387" i="88"/>
  <c r="K1388" i="88"/>
  <c r="K1389" i="88"/>
  <c r="K1390" i="88"/>
  <c r="K1391" i="88"/>
  <c r="K1392" i="88"/>
  <c r="K1393" i="88"/>
  <c r="K1394" i="88"/>
  <c r="K1395" i="88"/>
  <c r="K1396" i="88"/>
  <c r="K1397" i="88"/>
  <c r="K1398" i="88"/>
  <c r="K1399" i="88"/>
  <c r="K1400" i="88"/>
  <c r="K1401" i="88"/>
  <c r="K1402" i="88"/>
  <c r="K1403" i="88"/>
  <c r="K1404" i="88"/>
  <c r="K1405" i="88"/>
  <c r="K1406" i="88"/>
  <c r="K1407" i="88"/>
  <c r="K1408" i="88"/>
  <c r="K1409" i="88"/>
  <c r="K1410" i="88"/>
  <c r="K1411" i="88"/>
  <c r="K1412" i="88"/>
  <c r="K1413" i="88"/>
  <c r="K1414" i="88"/>
  <c r="K1415" i="88"/>
  <c r="K1416" i="88"/>
  <c r="K1417" i="88"/>
  <c r="K1418" i="88"/>
  <c r="K1419" i="88"/>
  <c r="K1420" i="88"/>
  <c r="K1421" i="88"/>
  <c r="K1422" i="88"/>
  <c r="K1423" i="88"/>
  <c r="K1424" i="88"/>
  <c r="K1425" i="88"/>
  <c r="K1426" i="88"/>
  <c r="K1427" i="88"/>
  <c r="K1428" i="88"/>
  <c r="K1429" i="88"/>
  <c r="K1430" i="88"/>
  <c r="K1431" i="88"/>
  <c r="K1432" i="88"/>
  <c r="K1433" i="88"/>
  <c r="K1434" i="88"/>
  <c r="K1435" i="88"/>
  <c r="K1436" i="88"/>
  <c r="K1437" i="88"/>
  <c r="K1438" i="88"/>
  <c r="K1439" i="88"/>
  <c r="K1440" i="88"/>
  <c r="K1441" i="88"/>
  <c r="K1442" i="88"/>
  <c r="K1443" i="88"/>
  <c r="K1444" i="88"/>
  <c r="K1445" i="88"/>
  <c r="K1446" i="88"/>
  <c r="K1447" i="88"/>
  <c r="K1448" i="88"/>
  <c r="K1449" i="88"/>
  <c r="K1450" i="88"/>
  <c r="K1451" i="88"/>
  <c r="K1452" i="88"/>
  <c r="K1453" i="88"/>
  <c r="K1454" i="88"/>
  <c r="K1455" i="88"/>
  <c r="K1456" i="88"/>
  <c r="K1457" i="88"/>
  <c r="K1458" i="88"/>
  <c r="K1459" i="88"/>
  <c r="K1460" i="88"/>
  <c r="K1461" i="88"/>
  <c r="K1462" i="88"/>
  <c r="K1463" i="88"/>
  <c r="K1464" i="88"/>
  <c r="K1465" i="88"/>
  <c r="K1466" i="88"/>
  <c r="K1467" i="88"/>
  <c r="K1468" i="88"/>
  <c r="K1469" i="88"/>
  <c r="K1470" i="88"/>
  <c r="K1471" i="88"/>
  <c r="K1472" i="88"/>
  <c r="K1473" i="88"/>
  <c r="K1474" i="88"/>
  <c r="K1475" i="88"/>
  <c r="K1476" i="88"/>
  <c r="K1477" i="88"/>
  <c r="K1478" i="88"/>
  <c r="K1479" i="88"/>
  <c r="K1480" i="88"/>
  <c r="K1481" i="88"/>
  <c r="K1482" i="88"/>
  <c r="K1483" i="88"/>
  <c r="K1484" i="88"/>
  <c r="K1485" i="88"/>
  <c r="K1486" i="88"/>
  <c r="K1487" i="88"/>
  <c r="K1488" i="88"/>
  <c r="K1489" i="88"/>
  <c r="K1490" i="88"/>
  <c r="K1491" i="88"/>
  <c r="K1492" i="88"/>
  <c r="K1493" i="88"/>
  <c r="K1494" i="88"/>
  <c r="K1495" i="88"/>
  <c r="K1496" i="88"/>
  <c r="K1497" i="88"/>
  <c r="K1498" i="88"/>
  <c r="K1499" i="88"/>
  <c r="K1500" i="88"/>
  <c r="K1501" i="88"/>
  <c r="K1502" i="88"/>
  <c r="K1503" i="88"/>
  <c r="K1504" i="88"/>
  <c r="K1505" i="88"/>
  <c r="K1506" i="88"/>
  <c r="K1507" i="88"/>
  <c r="K1508" i="88"/>
  <c r="K1509" i="88"/>
  <c r="K1510" i="88"/>
  <c r="K1511" i="88"/>
  <c r="K1512" i="88"/>
  <c r="K1513" i="88"/>
  <c r="K1514" i="88"/>
  <c r="K1515" i="88"/>
  <c r="K1516" i="88"/>
  <c r="K1517" i="88"/>
  <c r="K1518" i="88"/>
  <c r="K1519" i="88"/>
  <c r="K1520" i="88"/>
  <c r="K1521" i="88"/>
  <c r="K1522" i="88"/>
  <c r="K1523" i="88"/>
  <c r="K1524" i="88"/>
  <c r="K1525" i="88"/>
  <c r="K1526" i="88"/>
  <c r="K1527" i="88"/>
  <c r="K1528" i="88"/>
  <c r="K1529" i="88"/>
  <c r="K1530" i="88"/>
  <c r="K1531" i="88"/>
  <c r="K1532" i="88"/>
  <c r="K1533" i="88"/>
  <c r="K1534" i="88"/>
  <c r="K1535" i="88"/>
  <c r="K1536" i="88"/>
  <c r="K1537" i="88"/>
  <c r="K1538" i="88"/>
  <c r="K1539" i="88"/>
  <c r="K1540" i="88"/>
  <c r="K1541" i="88"/>
  <c r="K1542" i="88"/>
  <c r="K1543" i="88"/>
  <c r="K1544" i="88"/>
  <c r="K1545" i="88"/>
  <c r="K1546" i="88"/>
  <c r="K1547" i="88"/>
  <c r="K1548" i="88"/>
  <c r="K1549" i="88"/>
  <c r="K1550" i="88"/>
  <c r="K1551" i="88"/>
  <c r="K1552" i="88"/>
  <c r="K1553" i="88"/>
  <c r="K1554" i="88"/>
  <c r="K1555" i="88"/>
  <c r="K1556" i="88"/>
  <c r="K1557" i="88"/>
  <c r="K1558" i="88"/>
  <c r="K1559" i="88"/>
  <c r="K1560" i="88"/>
  <c r="K1561" i="88"/>
  <c r="K1562" i="88"/>
  <c r="K1563" i="88"/>
  <c r="K1564" i="88"/>
  <c r="K1565" i="88"/>
  <c r="K1566" i="88"/>
  <c r="K1567" i="88"/>
  <c r="K1568" i="88"/>
  <c r="K1569" i="88"/>
  <c r="K1570" i="88"/>
  <c r="K1571" i="88"/>
  <c r="K1572" i="88"/>
  <c r="K1573" i="88"/>
  <c r="K1574" i="88"/>
  <c r="K1575" i="88"/>
  <c r="K1576" i="88"/>
  <c r="K1577" i="88"/>
  <c r="K1578" i="88"/>
  <c r="K1579" i="88"/>
  <c r="K1580" i="88"/>
  <c r="K1581" i="88"/>
  <c r="K1582" i="88"/>
  <c r="K1583" i="88"/>
  <c r="K1584" i="88"/>
  <c r="K1585" i="88"/>
  <c r="K1586" i="88"/>
  <c r="K1587" i="88"/>
  <c r="K1588" i="88"/>
  <c r="K1589" i="88"/>
  <c r="K1590" i="88"/>
  <c r="K1591" i="88"/>
  <c r="K1592" i="88"/>
  <c r="K1593" i="88"/>
  <c r="K1594" i="88"/>
  <c r="K1595" i="88"/>
  <c r="K1596" i="88"/>
  <c r="K1597" i="88"/>
  <c r="K1598" i="88"/>
  <c r="K1599" i="88"/>
  <c r="K1600" i="88"/>
  <c r="K1601" i="88"/>
  <c r="K1602" i="88"/>
  <c r="K1603" i="88"/>
  <c r="K1604" i="88"/>
  <c r="K1605" i="88"/>
  <c r="K1606" i="88"/>
  <c r="K1607" i="88"/>
  <c r="K1608" i="88"/>
  <c r="K1609" i="88"/>
  <c r="K1610" i="88"/>
  <c r="K1611" i="88"/>
  <c r="K1612" i="88"/>
  <c r="K1613" i="88"/>
  <c r="K1614" i="88"/>
  <c r="K1615" i="88"/>
  <c r="K1616" i="88"/>
  <c r="K1617" i="88"/>
  <c r="K1618" i="88"/>
  <c r="K1619" i="88"/>
  <c r="K1620" i="88"/>
  <c r="K1621" i="88"/>
  <c r="K1622" i="88"/>
  <c r="K1623" i="88"/>
  <c r="K1624" i="88"/>
  <c r="K1625" i="88"/>
  <c r="K1626" i="88"/>
  <c r="K1627" i="88"/>
  <c r="K1628" i="88"/>
  <c r="K1629" i="88"/>
  <c r="K1630" i="88"/>
  <c r="K1631" i="88"/>
  <c r="K1632" i="88"/>
  <c r="K1633" i="88"/>
  <c r="K1634" i="88"/>
  <c r="K1635" i="88"/>
  <c r="K1636" i="88"/>
  <c r="K1637" i="88"/>
  <c r="K1638" i="88"/>
  <c r="K1639" i="88"/>
  <c r="K1640" i="88"/>
  <c r="K1641" i="88"/>
  <c r="K1642" i="88"/>
  <c r="K1643" i="88"/>
  <c r="K1644" i="88"/>
  <c r="K1645" i="88"/>
  <c r="K1646" i="88"/>
  <c r="K1647" i="88"/>
  <c r="K1648" i="88"/>
  <c r="K1649" i="88"/>
  <c r="K1650" i="88"/>
  <c r="K1651" i="88"/>
  <c r="K1652" i="88"/>
  <c r="K1653" i="88"/>
  <c r="K1654" i="88"/>
  <c r="K1655" i="88"/>
  <c r="K1656" i="88"/>
  <c r="K1657" i="88"/>
  <c r="K1658" i="88"/>
  <c r="K1659" i="88"/>
  <c r="K1660" i="88"/>
  <c r="K1661" i="88"/>
  <c r="K1662" i="88"/>
  <c r="K1663" i="88"/>
  <c r="K1664" i="88"/>
  <c r="K1665" i="88"/>
  <c r="K1666" i="88"/>
  <c r="K1667" i="88"/>
  <c r="K1668" i="88"/>
  <c r="K1669" i="88"/>
  <c r="K1670" i="88"/>
  <c r="K1671" i="88"/>
  <c r="K1672" i="88"/>
  <c r="K1673" i="88"/>
  <c r="K1674" i="88"/>
  <c r="K1675" i="88"/>
  <c r="K1676" i="88"/>
  <c r="K1677" i="88"/>
  <c r="K1678" i="88"/>
  <c r="K1679" i="88"/>
  <c r="K1680" i="88"/>
  <c r="K1681" i="88"/>
  <c r="K1682" i="88"/>
  <c r="K1683" i="88"/>
  <c r="K1684" i="88"/>
  <c r="K1685" i="88"/>
  <c r="K1686" i="88"/>
  <c r="K1687" i="88"/>
  <c r="K1688" i="88"/>
  <c r="K1689" i="88"/>
  <c r="K1690" i="88"/>
  <c r="K1691" i="88"/>
  <c r="K1692" i="88"/>
  <c r="K1693" i="88"/>
  <c r="K1694" i="88"/>
  <c r="K1695" i="88"/>
  <c r="K1696" i="88"/>
  <c r="K1697" i="88"/>
  <c r="K1698" i="88"/>
  <c r="K1699" i="88"/>
  <c r="K1700" i="88"/>
  <c r="K1701" i="88"/>
  <c r="K1702" i="88"/>
  <c r="K1703" i="88"/>
  <c r="K1704" i="88"/>
  <c r="K1705" i="88"/>
  <c r="K1706" i="88"/>
  <c r="K1707" i="88"/>
  <c r="K1708" i="88"/>
  <c r="K1709" i="88"/>
  <c r="K1710" i="88"/>
  <c r="K1711" i="88"/>
  <c r="K1712" i="88"/>
  <c r="K1713" i="88"/>
  <c r="K1714" i="88"/>
  <c r="K1715" i="88"/>
  <c r="K1716" i="88"/>
  <c r="K1717" i="88"/>
  <c r="K1718" i="88"/>
  <c r="K1719" i="88"/>
  <c r="K1720" i="88"/>
  <c r="K1721" i="88"/>
  <c r="K1722" i="88"/>
  <c r="K1723" i="88"/>
  <c r="K1724" i="88"/>
  <c r="K1725" i="88"/>
  <c r="K1726" i="88"/>
  <c r="K1727" i="88"/>
  <c r="K1728" i="88"/>
  <c r="K1729" i="88"/>
  <c r="K1730" i="88"/>
  <c r="K1731" i="88"/>
  <c r="K1732" i="88"/>
  <c r="K1733" i="88"/>
  <c r="K1734" i="88"/>
  <c r="K1735" i="88"/>
  <c r="K1736" i="88"/>
  <c r="K1737" i="88"/>
  <c r="K1738" i="88"/>
  <c r="K1739" i="88"/>
  <c r="K1740" i="88"/>
  <c r="K1741" i="88"/>
  <c r="K1742" i="88"/>
  <c r="K1743" i="88"/>
  <c r="K1744" i="88"/>
  <c r="K1745" i="88"/>
  <c r="K1746" i="88"/>
  <c r="K1747" i="88"/>
  <c r="K1748" i="88"/>
  <c r="K1749" i="88"/>
  <c r="K1750" i="88"/>
  <c r="K1751" i="88"/>
  <c r="K1752" i="88"/>
  <c r="K1753" i="88"/>
  <c r="K1754" i="88"/>
  <c r="K1755" i="88"/>
  <c r="K1756" i="88"/>
  <c r="K1757" i="88"/>
  <c r="K1758" i="88"/>
  <c r="K1759" i="88"/>
  <c r="K1760" i="88"/>
  <c r="K1761" i="88"/>
  <c r="K1762" i="88"/>
  <c r="K1763" i="88"/>
  <c r="K1764" i="88"/>
  <c r="K1765" i="88"/>
  <c r="K1766" i="88"/>
  <c r="K1767" i="88"/>
  <c r="K1768" i="88"/>
  <c r="K1769" i="88"/>
  <c r="K1770" i="88"/>
  <c r="K1771" i="88"/>
  <c r="K1772" i="88"/>
  <c r="K1773" i="88"/>
  <c r="K1774" i="88"/>
  <c r="K1775" i="88"/>
  <c r="K1776" i="88"/>
  <c r="K1777" i="88"/>
  <c r="K1778" i="88"/>
  <c r="K1779" i="88"/>
  <c r="K1780" i="88"/>
  <c r="K1781" i="88"/>
  <c r="K1782" i="88"/>
  <c r="K1783" i="88"/>
  <c r="K1784" i="88"/>
  <c r="K1785" i="88"/>
  <c r="K1786" i="88"/>
  <c r="K1787" i="88"/>
  <c r="K1788" i="88"/>
  <c r="K1789" i="88"/>
  <c r="K1790" i="88"/>
  <c r="K1791" i="88"/>
  <c r="K1792" i="88"/>
  <c r="K1793" i="88"/>
  <c r="K1794" i="88"/>
  <c r="K1795" i="88"/>
  <c r="K1796" i="88"/>
  <c r="K1797" i="88"/>
  <c r="K1798" i="88"/>
  <c r="K1799" i="88"/>
  <c r="K1800" i="88"/>
  <c r="K1801" i="88"/>
  <c r="K1802" i="88"/>
  <c r="K1803" i="88"/>
  <c r="K1804" i="88"/>
  <c r="K1805" i="88"/>
  <c r="K1806" i="88"/>
  <c r="K1807" i="88"/>
  <c r="K1808" i="88"/>
  <c r="K1809" i="88"/>
  <c r="K1810" i="88"/>
  <c r="K1811" i="88"/>
  <c r="K1812" i="88"/>
  <c r="K1813" i="88"/>
  <c r="K1814" i="88"/>
  <c r="K1815" i="88"/>
  <c r="K1816" i="88"/>
  <c r="K1817" i="88"/>
  <c r="K1818" i="88"/>
  <c r="K1819" i="88"/>
  <c r="K1820" i="88"/>
  <c r="K1821" i="88"/>
  <c r="K1822" i="88"/>
  <c r="K1823" i="88"/>
  <c r="K1824" i="88"/>
  <c r="K1825" i="88"/>
  <c r="K1826" i="88"/>
  <c r="K1827" i="88"/>
  <c r="K1828" i="88"/>
  <c r="K1829" i="88"/>
  <c r="K1830" i="88"/>
  <c r="K1831" i="88"/>
  <c r="K1832" i="88"/>
  <c r="K1833" i="88"/>
  <c r="K1834" i="88"/>
  <c r="K1835" i="88"/>
  <c r="K1836" i="88"/>
  <c r="K1837" i="88"/>
  <c r="K1838" i="88"/>
  <c r="K1839" i="88"/>
  <c r="K1840" i="88"/>
  <c r="K1841" i="88"/>
  <c r="K1842" i="88"/>
  <c r="K1843" i="88"/>
  <c r="K1844" i="88"/>
  <c r="K1845" i="88"/>
  <c r="K1846" i="88"/>
  <c r="K1847" i="88"/>
  <c r="K1848" i="88"/>
  <c r="K1849" i="88"/>
  <c r="K1850" i="88"/>
  <c r="K1851" i="88"/>
  <c r="K1852" i="88"/>
  <c r="K1853" i="88"/>
  <c r="K1854" i="88"/>
  <c r="K1855" i="88"/>
  <c r="K1856" i="88"/>
  <c r="K1857" i="88"/>
  <c r="K1858" i="88"/>
  <c r="K1859" i="88"/>
  <c r="K1860" i="88"/>
  <c r="K1861" i="88"/>
  <c r="K1862" i="88"/>
  <c r="K1863" i="88"/>
  <c r="K1864" i="88"/>
  <c r="K1865" i="88"/>
  <c r="K1866" i="88"/>
  <c r="K1867" i="88"/>
  <c r="K1868" i="88"/>
  <c r="K1869" i="88"/>
  <c r="K1870" i="88"/>
  <c r="K1871" i="88"/>
  <c r="K1872" i="88"/>
  <c r="K1873" i="88"/>
  <c r="K1874" i="88"/>
  <c r="K1875" i="88"/>
  <c r="K1876" i="88"/>
  <c r="K1877" i="88"/>
  <c r="K1878" i="88"/>
  <c r="K1879" i="88"/>
  <c r="K1880" i="88"/>
  <c r="K1881" i="88"/>
  <c r="K1882" i="88"/>
  <c r="K1883" i="88"/>
  <c r="K1884" i="88"/>
  <c r="K1885" i="88"/>
  <c r="K1886" i="88"/>
  <c r="K1887" i="88"/>
  <c r="K1888" i="88"/>
  <c r="K1889" i="88"/>
  <c r="K1890" i="88"/>
  <c r="K1891" i="88"/>
  <c r="K1892" i="88"/>
  <c r="K1893" i="88"/>
  <c r="K1894" i="88"/>
  <c r="K1895" i="88"/>
  <c r="K1896" i="88"/>
  <c r="K1897" i="88"/>
  <c r="K1898" i="88"/>
  <c r="K1899" i="88"/>
  <c r="K1900" i="88"/>
  <c r="K1901" i="88"/>
  <c r="K1902" i="88"/>
  <c r="K1903" i="88"/>
  <c r="K1904" i="88"/>
  <c r="K1905" i="88"/>
  <c r="K1906" i="88"/>
  <c r="K1907" i="88"/>
  <c r="K1908" i="88"/>
  <c r="K1909" i="88"/>
  <c r="K1910" i="88"/>
  <c r="K1911" i="88"/>
  <c r="K1912" i="88"/>
  <c r="K1913" i="88"/>
  <c r="K1914" i="88"/>
  <c r="K1915" i="88"/>
  <c r="K1916" i="88"/>
  <c r="K1917" i="88"/>
  <c r="K1918" i="88"/>
  <c r="K1919" i="88"/>
  <c r="K1920" i="88"/>
  <c r="K1921" i="88"/>
  <c r="K1922" i="88"/>
  <c r="K1923" i="88"/>
  <c r="K1924" i="88"/>
  <c r="K1925" i="88"/>
  <c r="K1926" i="88"/>
  <c r="K1927" i="88"/>
  <c r="K1928" i="88"/>
  <c r="K1929" i="88"/>
  <c r="K1930" i="88"/>
  <c r="K1931" i="88"/>
  <c r="K1932" i="88"/>
  <c r="K1933" i="88"/>
  <c r="K1934" i="88"/>
  <c r="K1935" i="88"/>
  <c r="K1936" i="88"/>
  <c r="K1937" i="88"/>
  <c r="K1938" i="88"/>
  <c r="K1939" i="88"/>
  <c r="K1940" i="88"/>
  <c r="K1941" i="88"/>
  <c r="K1942" i="88"/>
  <c r="K1943" i="88"/>
  <c r="K1944" i="88"/>
  <c r="K1945" i="88"/>
  <c r="K1946" i="88"/>
  <c r="K1947" i="88"/>
  <c r="K1948" i="88"/>
  <c r="K1949" i="88"/>
  <c r="K1950" i="88"/>
  <c r="K1951" i="88"/>
  <c r="K1952" i="88"/>
  <c r="K1953" i="88"/>
  <c r="K1954" i="88"/>
  <c r="K1955" i="88"/>
  <c r="K1956" i="88"/>
  <c r="K1957" i="88"/>
  <c r="K1958" i="88"/>
  <c r="K1959" i="88"/>
  <c r="K1960" i="88"/>
  <c r="K1961" i="88"/>
  <c r="K1962" i="88"/>
  <c r="K1963" i="88"/>
  <c r="K1964" i="88"/>
  <c r="K1965" i="88"/>
  <c r="K1966" i="88"/>
  <c r="K1967" i="88"/>
  <c r="K1968" i="88"/>
  <c r="K1969" i="88"/>
  <c r="K1970" i="88"/>
  <c r="K1971" i="88"/>
  <c r="K1972" i="88"/>
  <c r="K1973" i="88"/>
  <c r="K1974" i="88"/>
  <c r="K1975" i="88"/>
  <c r="K1976" i="88"/>
  <c r="K1977" i="88"/>
  <c r="K1978" i="88"/>
  <c r="K1979" i="88"/>
  <c r="K1980" i="88"/>
  <c r="K1981" i="88"/>
  <c r="K1982" i="88"/>
  <c r="K1983" i="88"/>
  <c r="K1984" i="88"/>
  <c r="K1985" i="88"/>
  <c r="K1986" i="88"/>
  <c r="K1987" i="88"/>
  <c r="K1988" i="88"/>
  <c r="K1989" i="88"/>
  <c r="K1990" i="88"/>
  <c r="K1991" i="88"/>
  <c r="K1992" i="88"/>
  <c r="K1993" i="88"/>
  <c r="K1994" i="88"/>
  <c r="K1995" i="88"/>
  <c r="K1996" i="88"/>
  <c r="K1997" i="88"/>
  <c r="K1998" i="88"/>
  <c r="K1999" i="88"/>
  <c r="K2000" i="88"/>
  <c r="K2001" i="88"/>
  <c r="K2002" i="88"/>
  <c r="K2003" i="88"/>
  <c r="K2004" i="88"/>
  <c r="K2005" i="88"/>
  <c r="K2006" i="88"/>
  <c r="K2007" i="88"/>
  <c r="K2008" i="88"/>
  <c r="K2009" i="88"/>
  <c r="K2010" i="88"/>
  <c r="K2011" i="88"/>
  <c r="K2012" i="88"/>
  <c r="K2013" i="88"/>
  <c r="K2014" i="88"/>
  <c r="K2015" i="88"/>
  <c r="K2016" i="88"/>
  <c r="K2017" i="88"/>
  <c r="K2018" i="88"/>
  <c r="K2019" i="88"/>
  <c r="K2020" i="88"/>
  <c r="K2021" i="88"/>
  <c r="K2022" i="88"/>
  <c r="K2023" i="88"/>
  <c r="K2024" i="88"/>
  <c r="K2025" i="88"/>
  <c r="K2026" i="88"/>
  <c r="K2027" i="88"/>
  <c r="K2028" i="88"/>
  <c r="K2029" i="88"/>
  <c r="K2030" i="88"/>
  <c r="K2031" i="88"/>
  <c r="K2032" i="88"/>
  <c r="K2033" i="88"/>
  <c r="K2034" i="88"/>
  <c r="K2035" i="88"/>
  <c r="K2036" i="88"/>
  <c r="K2037" i="88"/>
  <c r="K2038" i="88"/>
  <c r="K2039" i="88"/>
  <c r="K2040" i="88"/>
  <c r="K2041" i="88"/>
  <c r="K2042" i="88"/>
  <c r="K2043" i="88"/>
  <c r="K2044" i="88"/>
  <c r="K2045" i="88"/>
  <c r="K2046" i="88"/>
  <c r="K2047" i="88"/>
  <c r="K2048" i="88"/>
  <c r="K2049" i="88"/>
  <c r="K2050" i="88"/>
  <c r="K2051" i="88"/>
  <c r="K2052" i="88"/>
  <c r="K2053" i="88"/>
  <c r="K2054" i="88"/>
  <c r="K2055" i="88"/>
  <c r="K2056" i="88"/>
  <c r="K2057" i="88"/>
  <c r="K2058" i="88"/>
  <c r="K2059" i="88"/>
  <c r="K2060" i="88"/>
  <c r="K2061" i="88"/>
  <c r="K2062" i="88"/>
  <c r="K2063" i="88"/>
  <c r="K2064" i="88"/>
  <c r="K2065" i="88"/>
  <c r="K2066" i="88"/>
  <c r="K2067" i="88"/>
  <c r="K2068" i="88"/>
  <c r="K2069" i="88"/>
  <c r="K2070" i="88"/>
  <c r="K2071" i="88"/>
  <c r="K2072" i="88"/>
  <c r="K2073" i="88"/>
  <c r="K2074" i="88"/>
  <c r="K2075" i="88"/>
  <c r="K2076" i="88"/>
  <c r="K2077" i="88"/>
  <c r="K2078" i="88"/>
  <c r="K2079" i="88"/>
  <c r="K2080" i="88"/>
  <c r="K2081" i="88"/>
  <c r="K2082" i="88"/>
  <c r="K2083" i="88"/>
  <c r="K2084" i="88"/>
  <c r="K2085" i="88"/>
  <c r="K2086" i="88"/>
  <c r="K2087" i="88"/>
  <c r="K2088" i="88"/>
  <c r="K2089" i="88"/>
  <c r="K2090" i="88"/>
  <c r="K2091" i="88"/>
  <c r="K2092" i="88"/>
  <c r="K2093" i="88"/>
  <c r="K2094" i="88"/>
  <c r="K2095" i="88"/>
  <c r="K2096" i="88"/>
  <c r="K2097" i="88"/>
  <c r="K2098" i="88"/>
  <c r="K2099" i="88"/>
  <c r="K2100" i="88"/>
  <c r="K2101" i="88"/>
  <c r="K2102" i="88"/>
  <c r="K2103" i="88"/>
  <c r="K2104" i="88"/>
  <c r="K2105" i="88"/>
  <c r="K2106" i="88"/>
  <c r="K2107" i="88"/>
  <c r="K2108" i="88"/>
  <c r="K2109" i="88"/>
  <c r="K2110" i="88"/>
  <c r="K2111" i="88"/>
  <c r="K2112" i="88"/>
  <c r="K2113" i="88"/>
  <c r="K2114" i="88"/>
  <c r="K2115" i="88"/>
  <c r="K2116" i="88"/>
  <c r="K2117" i="88"/>
  <c r="K2118" i="88"/>
  <c r="K2119" i="88"/>
  <c r="K2120" i="88"/>
  <c r="K2121" i="88"/>
  <c r="K2122" i="88"/>
  <c r="K2123" i="88"/>
  <c r="K2124" i="88"/>
  <c r="K2125" i="88"/>
  <c r="K2126" i="88"/>
  <c r="K2127" i="88"/>
  <c r="K2128" i="88"/>
  <c r="K2129" i="88"/>
  <c r="K2130" i="88"/>
  <c r="K2131" i="88"/>
  <c r="K2132" i="88"/>
  <c r="K2133" i="88"/>
  <c r="K2134" i="88"/>
  <c r="K2135" i="88"/>
  <c r="K2136" i="88"/>
  <c r="K2137" i="88"/>
  <c r="K2138" i="88"/>
  <c r="K2139" i="88"/>
  <c r="K2140" i="88"/>
  <c r="K2141" i="88"/>
  <c r="K2142" i="88"/>
  <c r="K2143" i="88"/>
  <c r="K2144" i="88"/>
  <c r="K2145" i="88"/>
  <c r="K2146" i="88"/>
  <c r="K2147" i="88"/>
  <c r="K2148" i="88"/>
  <c r="K2149" i="88"/>
  <c r="K2150" i="88"/>
  <c r="K2151" i="88"/>
  <c r="K2152" i="88"/>
  <c r="K2153" i="88"/>
  <c r="K2154" i="88"/>
  <c r="K2155" i="88"/>
  <c r="K2156" i="88"/>
  <c r="K2157" i="88"/>
  <c r="K2158" i="88"/>
  <c r="K2159" i="88"/>
  <c r="K2160" i="88"/>
  <c r="K2161" i="88"/>
  <c r="K2162" i="88"/>
  <c r="K2163" i="88"/>
  <c r="K2164" i="88"/>
  <c r="K2165" i="88"/>
  <c r="K2166" i="88"/>
  <c r="K2167" i="88"/>
  <c r="K2168" i="88"/>
  <c r="K2169" i="88"/>
  <c r="K2170" i="88"/>
  <c r="K2171" i="88"/>
  <c r="K2172" i="88"/>
  <c r="K2173" i="88"/>
  <c r="K2174" i="88"/>
  <c r="K2175" i="88"/>
  <c r="K2176" i="88"/>
  <c r="K2177" i="88"/>
  <c r="K2178" i="88"/>
  <c r="K2179" i="88"/>
  <c r="K2180" i="88"/>
  <c r="K2181" i="88"/>
  <c r="K2182" i="88"/>
  <c r="K2183" i="88"/>
  <c r="K2184" i="88"/>
  <c r="K2185" i="88"/>
  <c r="K2186" i="88"/>
  <c r="K2187" i="88"/>
  <c r="K2188" i="88"/>
  <c r="K2189" i="88"/>
  <c r="K2190" i="88"/>
  <c r="K2191" i="88"/>
  <c r="K2192" i="88"/>
  <c r="K2193" i="88"/>
  <c r="K2194" i="88"/>
  <c r="K2195" i="88"/>
  <c r="K2196" i="88"/>
  <c r="K2197" i="88"/>
  <c r="K2198" i="88"/>
  <c r="K2199" i="88"/>
  <c r="K2200" i="88"/>
  <c r="K2201" i="88"/>
  <c r="K2202" i="88"/>
  <c r="K2203" i="88"/>
  <c r="K2204" i="88"/>
  <c r="K2205" i="88"/>
  <c r="K2206" i="88"/>
  <c r="K2207" i="88"/>
  <c r="K2208" i="88"/>
  <c r="K2209" i="88"/>
  <c r="K2210" i="88"/>
  <c r="K2211" i="88"/>
  <c r="K2212" i="88"/>
  <c r="K2213" i="88"/>
  <c r="K2214" i="88"/>
  <c r="K2215" i="88"/>
  <c r="K2216" i="88"/>
  <c r="K2217" i="88"/>
  <c r="K2218" i="88"/>
  <c r="K2219" i="88"/>
  <c r="K2220" i="88"/>
  <c r="K2221" i="88"/>
  <c r="K2222" i="88"/>
  <c r="K2223" i="88"/>
  <c r="K2224" i="88"/>
  <c r="K2225" i="88"/>
  <c r="K2226" i="88"/>
  <c r="K2227" i="88"/>
  <c r="K2228" i="88"/>
  <c r="K2229" i="88"/>
  <c r="K2230" i="88"/>
  <c r="K2231" i="88"/>
  <c r="K2232" i="88"/>
  <c r="K2233" i="88"/>
  <c r="K2234" i="88"/>
  <c r="K2235" i="88"/>
  <c r="K2236" i="88"/>
  <c r="K2237" i="88"/>
  <c r="K2238" i="88"/>
  <c r="K2239" i="88"/>
  <c r="K2240" i="88"/>
  <c r="K2241" i="88"/>
  <c r="K2242" i="88"/>
  <c r="K2243" i="88"/>
  <c r="K2244" i="88"/>
  <c r="K2245" i="88"/>
  <c r="K2246" i="88"/>
  <c r="K2247" i="88"/>
  <c r="K2248" i="88"/>
  <c r="K2249" i="88"/>
  <c r="K2250" i="88"/>
  <c r="K2251" i="88"/>
  <c r="K2252" i="88"/>
  <c r="K2253" i="88"/>
  <c r="K2254" i="88"/>
  <c r="K2255" i="88"/>
  <c r="K2256" i="88"/>
  <c r="K2257" i="88"/>
  <c r="K2258" i="88"/>
  <c r="K2259" i="88"/>
  <c r="K2260" i="88"/>
  <c r="K2261" i="88"/>
  <c r="K2262" i="88"/>
  <c r="K2263" i="88"/>
  <c r="K2264" i="88"/>
  <c r="K2265" i="88"/>
  <c r="K2266" i="88"/>
  <c r="K2267" i="88"/>
  <c r="K2268" i="88"/>
  <c r="K2269" i="88"/>
  <c r="K2270" i="88"/>
  <c r="K2271" i="88"/>
  <c r="K2272" i="88"/>
  <c r="K2273" i="88"/>
  <c r="K2274" i="88"/>
  <c r="K2275" i="88"/>
  <c r="K2276" i="88"/>
  <c r="K2277" i="88"/>
  <c r="K2278" i="88"/>
  <c r="K2279" i="88"/>
  <c r="K2280" i="88"/>
  <c r="K2281" i="88"/>
  <c r="K2282" i="88"/>
  <c r="K2283" i="88"/>
  <c r="K2284" i="88"/>
  <c r="K2285" i="88"/>
  <c r="K2286" i="88"/>
  <c r="K2287" i="88"/>
  <c r="K2288" i="88"/>
  <c r="K2289" i="88"/>
  <c r="K2290" i="88"/>
  <c r="K2291" i="88"/>
  <c r="K2292" i="88"/>
  <c r="K2293" i="88"/>
  <c r="K2294" i="88"/>
  <c r="K2295" i="88"/>
  <c r="K2296" i="88"/>
  <c r="K2297" i="88"/>
  <c r="K2298" i="88"/>
  <c r="K2299" i="88"/>
  <c r="K2300" i="88"/>
  <c r="K2301" i="88"/>
  <c r="K2302" i="88"/>
  <c r="K2303" i="88"/>
  <c r="K2304" i="88"/>
  <c r="K2305" i="88"/>
  <c r="K2306" i="88"/>
  <c r="K2307" i="88"/>
  <c r="K2308" i="88"/>
  <c r="K2309" i="88"/>
  <c r="K2310" i="88"/>
  <c r="K2311" i="88"/>
  <c r="K2312" i="88"/>
  <c r="K2313" i="88"/>
  <c r="K2314" i="88"/>
  <c r="K2315" i="88"/>
  <c r="K2316" i="88"/>
  <c r="K2317" i="88"/>
  <c r="K2318" i="88"/>
  <c r="K2319" i="88"/>
  <c r="K2320" i="88"/>
  <c r="K2321" i="88"/>
  <c r="K2322" i="88"/>
  <c r="K2323" i="88"/>
  <c r="K2324" i="88"/>
  <c r="K2325" i="88"/>
  <c r="K2326" i="88"/>
  <c r="K2327" i="88"/>
  <c r="K2328" i="88"/>
  <c r="K2329" i="88"/>
  <c r="K2330" i="88"/>
  <c r="K2331" i="88"/>
  <c r="K2332" i="88"/>
  <c r="K2333" i="88"/>
  <c r="K2334" i="88"/>
  <c r="K2335" i="88"/>
  <c r="K2336" i="88"/>
  <c r="K2337" i="88"/>
  <c r="K2338" i="88"/>
  <c r="K2339" i="88"/>
  <c r="K2340" i="88"/>
  <c r="K2341" i="88"/>
  <c r="K2342" i="88"/>
  <c r="K2343" i="88"/>
  <c r="K2344" i="88"/>
  <c r="K2345" i="88"/>
  <c r="K2346" i="88"/>
  <c r="K2347" i="88"/>
  <c r="K2348" i="88"/>
  <c r="K2349" i="88"/>
  <c r="K2350" i="88"/>
  <c r="K2351" i="88"/>
  <c r="K2352" i="88"/>
  <c r="K2353" i="88"/>
  <c r="K2354" i="88"/>
  <c r="K2355" i="88"/>
  <c r="K2356" i="88"/>
  <c r="K2357" i="88"/>
  <c r="K2358" i="88"/>
  <c r="K2359" i="88"/>
  <c r="K2360" i="88"/>
  <c r="K2361" i="88"/>
  <c r="K2362" i="88"/>
  <c r="K2363" i="88"/>
  <c r="K2364" i="88"/>
  <c r="K2365" i="88"/>
  <c r="K2366" i="88"/>
  <c r="K2367" i="88"/>
  <c r="K2368" i="88"/>
  <c r="K2369" i="88"/>
  <c r="K2370" i="88"/>
  <c r="K2371" i="88"/>
  <c r="K2372" i="88"/>
  <c r="K2373" i="88"/>
  <c r="K2374" i="88"/>
  <c r="K2375" i="88"/>
  <c r="K2376" i="88"/>
  <c r="K2377" i="88"/>
  <c r="K2378" i="88"/>
  <c r="K2379" i="88"/>
  <c r="K2380" i="88"/>
  <c r="K2381" i="88"/>
  <c r="K2382" i="88"/>
  <c r="K2383" i="88"/>
  <c r="K2384" i="88"/>
  <c r="K2385" i="88"/>
  <c r="K2386" i="88"/>
  <c r="K2387" i="88"/>
  <c r="K2388" i="88"/>
  <c r="K2389" i="88"/>
  <c r="K2390" i="88"/>
  <c r="K2391" i="88"/>
  <c r="K2392" i="88"/>
  <c r="K2393" i="88"/>
  <c r="K2394" i="88"/>
  <c r="K2395" i="88"/>
  <c r="K2396" i="88"/>
  <c r="K2397" i="88"/>
  <c r="K2398" i="88"/>
  <c r="K2399" i="88"/>
  <c r="K2400" i="88"/>
  <c r="K2401" i="88"/>
  <c r="K2402" i="88"/>
  <c r="K2403" i="88"/>
  <c r="K2404" i="88"/>
  <c r="K2405" i="88"/>
  <c r="K2406" i="88"/>
  <c r="K2407" i="88"/>
  <c r="K2408" i="88"/>
  <c r="K2409" i="88"/>
  <c r="K2410" i="88"/>
  <c r="K2411" i="88"/>
  <c r="K2412" i="88"/>
  <c r="K2413" i="88"/>
  <c r="K2414" i="88"/>
  <c r="K2415" i="88"/>
  <c r="K2416" i="88"/>
  <c r="K2417" i="88"/>
  <c r="K2418" i="88"/>
  <c r="K2419" i="88"/>
  <c r="K2420" i="88"/>
  <c r="K2421" i="88"/>
  <c r="K2422" i="88"/>
  <c r="K2423" i="88"/>
  <c r="K2424" i="88"/>
  <c r="K2425" i="88"/>
  <c r="K2426" i="88"/>
  <c r="K2427" i="88"/>
  <c r="K2428" i="88"/>
  <c r="K2429" i="88"/>
  <c r="K2430" i="88"/>
  <c r="K2431" i="88"/>
  <c r="K2432" i="88"/>
  <c r="K2433" i="88"/>
  <c r="K2434" i="88"/>
  <c r="K2435" i="88"/>
  <c r="K2436" i="88"/>
  <c r="K2437" i="88"/>
  <c r="K2438" i="88"/>
  <c r="K2439" i="88"/>
  <c r="K2440" i="88"/>
  <c r="K2441" i="88"/>
  <c r="K2442" i="88"/>
  <c r="K2443" i="88"/>
  <c r="K2444" i="88"/>
  <c r="K2445" i="88"/>
  <c r="K2446" i="88"/>
  <c r="K2447" i="88"/>
  <c r="K2448" i="88"/>
  <c r="K2449" i="88"/>
  <c r="K2450" i="88"/>
  <c r="K2451" i="88"/>
  <c r="K2452" i="88"/>
  <c r="K2453" i="88"/>
  <c r="K2454" i="88"/>
  <c r="K2455" i="88"/>
  <c r="K2456" i="88"/>
  <c r="K2457" i="88"/>
  <c r="K2458" i="88"/>
  <c r="K2459" i="88"/>
  <c r="K2460" i="88"/>
  <c r="K2461" i="88"/>
  <c r="K2462" i="88"/>
  <c r="K2463" i="88"/>
  <c r="K2464" i="88"/>
  <c r="K2465" i="88"/>
  <c r="K2466" i="88"/>
  <c r="K2467" i="88"/>
  <c r="K2468" i="88"/>
  <c r="K2469" i="88"/>
  <c r="K2470" i="88"/>
  <c r="K2471" i="88"/>
  <c r="K2472" i="88"/>
  <c r="K2473" i="88"/>
  <c r="K2474" i="88"/>
  <c r="K2475" i="88"/>
  <c r="K2476" i="88"/>
  <c r="K2477" i="88"/>
  <c r="K2478" i="88"/>
  <c r="K2479" i="88"/>
  <c r="K2480" i="88"/>
  <c r="K2481" i="88"/>
  <c r="K2482" i="88"/>
  <c r="K2483" i="88"/>
  <c r="K2484" i="88"/>
  <c r="K2485" i="88"/>
  <c r="K2486" i="88"/>
  <c r="K2487" i="88"/>
  <c r="K2488" i="88"/>
  <c r="K2489" i="88"/>
  <c r="K2490" i="88"/>
  <c r="K2491" i="88"/>
  <c r="K2492" i="88"/>
  <c r="K2493" i="88"/>
  <c r="K2494" i="88"/>
  <c r="K2495" i="88"/>
  <c r="K2496" i="88"/>
  <c r="K2497" i="88"/>
  <c r="K2498" i="88"/>
  <c r="K2499" i="88"/>
  <c r="K2500" i="88"/>
  <c r="K2501" i="88"/>
  <c r="K2502" i="88"/>
  <c r="K2503" i="88"/>
  <c r="K2504" i="88"/>
  <c r="K2505" i="88"/>
  <c r="K2506" i="88"/>
  <c r="K2507" i="88"/>
  <c r="K2508" i="88"/>
  <c r="K2509" i="88"/>
  <c r="K2510" i="88"/>
  <c r="K2511" i="88"/>
  <c r="K2512" i="88"/>
  <c r="K2513" i="88"/>
  <c r="K2514" i="88"/>
  <c r="K2515" i="88"/>
  <c r="K2516" i="88"/>
  <c r="K2517" i="88"/>
  <c r="K2518" i="88"/>
  <c r="K2519" i="88"/>
  <c r="K2520" i="88"/>
  <c r="K2521" i="88"/>
  <c r="K2522" i="88"/>
  <c r="K2523" i="88"/>
  <c r="K2524" i="88"/>
  <c r="K2525" i="88"/>
  <c r="K2526" i="88"/>
  <c r="K2527" i="88"/>
  <c r="K2528" i="88"/>
  <c r="K2529" i="88"/>
  <c r="K2530" i="88"/>
  <c r="K2531" i="88"/>
  <c r="K2532" i="88"/>
  <c r="K2533" i="88"/>
  <c r="K2534" i="88"/>
  <c r="K2535" i="88"/>
  <c r="K2536" i="88"/>
  <c r="K2537" i="88"/>
  <c r="K2538" i="88"/>
  <c r="K2539" i="88"/>
  <c r="K2540" i="88"/>
  <c r="K2541" i="88"/>
  <c r="K2542" i="88"/>
  <c r="K2543" i="88"/>
  <c r="K2544" i="88"/>
  <c r="K2545" i="88"/>
  <c r="K2546" i="88"/>
  <c r="K2547" i="88"/>
  <c r="K2548" i="88"/>
  <c r="K2549" i="88"/>
  <c r="K2550" i="88"/>
  <c r="K2551" i="88"/>
  <c r="K2552" i="88"/>
  <c r="K2553" i="88"/>
  <c r="K2554" i="88"/>
  <c r="K2555" i="88"/>
  <c r="K2556" i="88"/>
  <c r="K2557" i="88"/>
  <c r="K2558" i="88"/>
  <c r="K2559" i="88"/>
  <c r="K2560" i="88"/>
  <c r="K2561" i="88"/>
  <c r="K2562" i="88"/>
  <c r="K2563" i="88"/>
  <c r="K2564" i="88"/>
  <c r="K2565" i="88"/>
  <c r="K2566" i="88"/>
  <c r="K2567" i="88"/>
  <c r="K2568" i="88"/>
  <c r="K2569" i="88"/>
  <c r="K2570" i="88"/>
  <c r="K2571" i="88"/>
  <c r="K2572" i="88"/>
  <c r="K2573" i="88"/>
  <c r="K2574" i="88"/>
  <c r="K2575" i="88"/>
  <c r="K2576" i="88"/>
  <c r="K2577" i="88"/>
  <c r="K2578" i="88"/>
  <c r="K2579" i="88"/>
  <c r="K2580" i="88"/>
  <c r="K2581" i="88"/>
  <c r="K2582" i="88"/>
  <c r="K2583" i="88"/>
  <c r="K2584" i="88"/>
  <c r="K2585" i="88"/>
  <c r="K2586" i="88"/>
  <c r="K2587" i="88"/>
  <c r="K2588" i="88"/>
  <c r="K2589" i="88"/>
  <c r="K2590" i="88"/>
  <c r="K2591" i="88"/>
  <c r="K2592" i="88"/>
  <c r="K2593" i="88"/>
  <c r="K2594" i="88"/>
  <c r="K2595" i="88"/>
  <c r="K2596" i="88"/>
  <c r="K2597" i="88"/>
  <c r="K2598" i="88"/>
  <c r="K2599" i="88"/>
  <c r="K2600" i="88"/>
  <c r="K2601" i="88"/>
  <c r="K2602" i="88"/>
  <c r="K2603" i="88"/>
  <c r="K2604" i="88"/>
  <c r="K2605" i="88"/>
  <c r="K2606" i="88"/>
  <c r="K2607" i="88"/>
  <c r="K2608" i="88"/>
  <c r="K2609" i="88"/>
  <c r="K2610" i="88"/>
  <c r="K2611" i="88"/>
  <c r="K2612" i="88"/>
  <c r="K2613" i="88"/>
  <c r="K2614" i="88"/>
  <c r="K2615" i="88"/>
  <c r="K2616" i="88"/>
  <c r="K2617" i="88"/>
  <c r="K2618" i="88"/>
  <c r="K2619" i="88"/>
  <c r="K2620" i="88"/>
  <c r="K2621" i="88"/>
  <c r="K2622" i="88"/>
  <c r="K2623" i="88"/>
  <c r="K2624" i="88"/>
  <c r="K2625" i="88"/>
  <c r="K2626" i="88"/>
  <c r="K2627" i="88"/>
  <c r="K2628" i="88"/>
  <c r="K2629" i="88"/>
  <c r="K2630" i="88"/>
  <c r="K2631" i="88"/>
  <c r="K2632" i="88"/>
  <c r="K2633" i="88"/>
  <c r="K2634" i="88"/>
  <c r="K2635" i="88"/>
  <c r="K2636" i="88"/>
  <c r="K2637" i="88"/>
  <c r="K2638" i="88"/>
  <c r="K2639" i="88"/>
  <c r="K2640" i="88"/>
  <c r="K2641" i="88"/>
  <c r="K2642" i="88"/>
  <c r="K2643" i="88"/>
  <c r="K2644" i="88"/>
  <c r="K2645" i="88"/>
  <c r="K2646" i="88"/>
  <c r="K2647" i="88"/>
  <c r="K2648" i="88"/>
  <c r="K2649" i="88"/>
  <c r="K2650" i="88"/>
  <c r="K2651" i="88"/>
  <c r="K2652" i="88"/>
  <c r="K2653" i="88"/>
  <c r="K2654" i="88"/>
  <c r="K2655" i="88"/>
  <c r="K2656" i="88"/>
  <c r="K2657" i="88"/>
  <c r="K2658" i="88"/>
  <c r="K2659" i="88"/>
  <c r="K2660" i="88"/>
  <c r="K2661" i="88"/>
  <c r="K2662" i="88"/>
  <c r="K2663" i="88"/>
  <c r="K2664" i="88"/>
  <c r="K2665" i="88"/>
  <c r="K2666" i="88"/>
  <c r="K2667" i="88"/>
  <c r="K2668" i="88"/>
  <c r="K2669" i="88"/>
  <c r="K2670" i="88"/>
  <c r="K2671" i="88"/>
  <c r="K2672" i="88"/>
  <c r="K2673" i="88"/>
  <c r="K2674" i="88"/>
  <c r="K2675" i="88"/>
  <c r="K2676" i="88"/>
  <c r="K2677" i="88"/>
  <c r="K2678" i="88"/>
  <c r="K2679" i="88"/>
  <c r="K2680" i="88"/>
  <c r="K2681" i="88"/>
  <c r="K2682" i="88"/>
  <c r="K2683" i="88"/>
  <c r="K2684" i="88"/>
  <c r="K2685" i="88"/>
  <c r="K2686" i="88"/>
  <c r="K2687" i="88"/>
  <c r="K2688" i="88"/>
  <c r="K2689" i="88"/>
  <c r="K2690" i="88"/>
  <c r="K2691" i="88"/>
  <c r="K2692" i="88"/>
  <c r="K2693" i="88"/>
  <c r="K2694" i="88"/>
  <c r="K2695" i="88"/>
  <c r="K2696" i="88"/>
  <c r="K2697" i="88"/>
  <c r="K2698" i="88"/>
  <c r="K2699" i="88"/>
  <c r="K2700" i="88"/>
  <c r="K2701" i="88"/>
  <c r="K2702" i="88"/>
  <c r="K2703" i="88"/>
  <c r="K2704" i="88"/>
  <c r="K2705" i="88"/>
  <c r="K2706" i="88"/>
  <c r="K2707" i="88"/>
  <c r="K2708" i="88"/>
  <c r="K2709" i="88"/>
  <c r="K2710" i="88"/>
  <c r="K2711" i="88"/>
  <c r="K2712" i="88"/>
  <c r="K2713" i="88"/>
  <c r="K2714" i="88"/>
  <c r="K2715" i="88"/>
  <c r="K2716" i="88"/>
  <c r="K2717" i="88"/>
  <c r="K2718" i="88"/>
  <c r="K2719" i="88"/>
  <c r="K2720" i="88"/>
  <c r="K2721" i="88"/>
  <c r="K2722" i="88"/>
  <c r="K2723" i="88"/>
  <c r="K2724" i="88"/>
  <c r="K2725" i="88"/>
  <c r="K2726" i="88"/>
  <c r="K2727" i="88"/>
  <c r="K2728" i="88"/>
  <c r="K2729" i="88"/>
  <c r="K2730" i="88"/>
  <c r="K2731" i="88"/>
  <c r="K2732" i="88"/>
  <c r="K2733" i="88"/>
  <c r="K2734" i="88"/>
  <c r="K2735" i="88"/>
  <c r="K2736" i="88"/>
  <c r="K2737" i="88"/>
  <c r="K2738" i="88"/>
  <c r="K2739" i="88"/>
  <c r="K2740" i="88"/>
  <c r="K2741" i="88"/>
  <c r="K2742" i="88"/>
  <c r="K2743" i="88"/>
  <c r="K2744" i="88"/>
  <c r="K2745" i="88"/>
  <c r="K2746" i="88"/>
  <c r="K2747" i="88"/>
  <c r="K2748" i="88"/>
  <c r="K2749" i="88"/>
  <c r="K2750" i="88"/>
  <c r="K2751" i="88"/>
  <c r="K2752" i="88"/>
  <c r="K2753" i="88"/>
  <c r="K2754" i="88"/>
  <c r="K2755" i="88"/>
  <c r="K2756" i="88"/>
  <c r="K2757" i="88"/>
  <c r="K2758" i="88"/>
  <c r="K2759" i="88"/>
  <c r="K2760" i="88"/>
  <c r="K2761" i="88"/>
  <c r="K2762" i="88"/>
  <c r="K2763" i="88"/>
  <c r="K2764" i="88"/>
  <c r="K2765" i="88"/>
  <c r="K2766" i="88"/>
  <c r="K2767" i="88"/>
  <c r="K2768" i="88"/>
  <c r="K2769" i="88"/>
  <c r="K2770" i="88"/>
  <c r="K2771" i="88"/>
  <c r="K2772" i="88"/>
  <c r="K2773" i="88"/>
  <c r="K2774" i="88"/>
  <c r="K2775" i="88"/>
  <c r="K2776" i="88"/>
  <c r="K2777" i="88"/>
  <c r="K2778" i="88"/>
  <c r="K2779" i="88"/>
  <c r="K2780" i="88"/>
  <c r="K2781" i="88"/>
  <c r="K2782" i="88"/>
  <c r="K2783" i="88"/>
  <c r="K2784" i="88"/>
  <c r="K2785" i="88"/>
  <c r="K2786" i="88"/>
  <c r="K2787" i="88"/>
  <c r="K2788" i="88"/>
  <c r="K2789" i="88"/>
  <c r="K2790" i="88"/>
  <c r="K2791" i="88"/>
  <c r="K2792" i="88"/>
  <c r="K2793" i="88"/>
  <c r="K2794" i="88"/>
  <c r="K2795" i="88"/>
  <c r="K2796" i="88"/>
  <c r="K2797" i="88"/>
  <c r="K2798" i="88"/>
  <c r="K2799" i="88"/>
  <c r="K2800" i="88"/>
  <c r="K2801" i="88"/>
  <c r="K2802" i="88"/>
  <c r="K2803" i="88"/>
  <c r="K2804" i="88"/>
  <c r="K2805" i="88"/>
  <c r="K2806" i="88"/>
  <c r="K2807" i="88"/>
  <c r="K2808" i="88"/>
  <c r="K2809" i="88"/>
  <c r="K2810" i="88"/>
  <c r="K2811" i="88"/>
  <c r="K2812" i="88"/>
  <c r="K2813" i="88"/>
  <c r="K2814" i="88"/>
  <c r="K2815" i="88"/>
  <c r="K2816" i="88"/>
  <c r="K2817" i="88"/>
  <c r="K2818" i="88"/>
  <c r="K2819" i="88"/>
  <c r="K2820" i="88"/>
  <c r="K2821" i="88"/>
  <c r="K2822" i="88"/>
  <c r="K2823" i="88"/>
  <c r="K2824" i="88"/>
  <c r="K2825" i="88"/>
  <c r="K2826" i="88"/>
  <c r="K2827" i="88"/>
  <c r="K2828" i="88"/>
  <c r="K2829" i="88"/>
  <c r="K2830" i="88"/>
  <c r="K2831" i="88"/>
  <c r="K2832" i="88"/>
  <c r="K2833" i="88"/>
  <c r="K2834" i="88"/>
  <c r="K2835" i="88"/>
  <c r="K2836" i="88"/>
  <c r="K2837" i="88"/>
  <c r="K2838" i="88"/>
  <c r="K2839" i="88"/>
  <c r="K2840" i="88"/>
  <c r="K2841" i="88"/>
  <c r="K2842" i="88"/>
  <c r="K2843" i="88"/>
  <c r="K2844" i="88"/>
  <c r="K2845" i="88"/>
  <c r="K2846" i="88"/>
  <c r="K2847" i="88"/>
  <c r="K2848" i="88"/>
  <c r="K2849" i="88"/>
  <c r="K2850" i="88"/>
  <c r="K2851" i="88"/>
  <c r="K2852" i="88"/>
  <c r="K2853" i="88"/>
  <c r="K2854" i="88"/>
  <c r="K2855" i="88"/>
  <c r="K2856" i="88"/>
  <c r="K2857" i="88"/>
  <c r="K2858" i="88"/>
  <c r="K2859" i="88"/>
  <c r="K2860" i="88"/>
  <c r="K2861" i="88"/>
  <c r="K2862" i="88"/>
  <c r="K2863" i="88"/>
  <c r="K2864" i="88"/>
  <c r="K2865" i="88"/>
  <c r="K2866" i="88"/>
  <c r="K2867" i="88"/>
  <c r="K2868" i="88"/>
  <c r="K2869" i="88"/>
  <c r="K2870" i="88"/>
  <c r="K2871" i="88"/>
  <c r="K2872" i="88"/>
  <c r="K2873" i="88"/>
  <c r="K2874" i="88"/>
  <c r="K2875" i="88"/>
  <c r="K2876" i="88"/>
  <c r="K2877" i="88"/>
  <c r="K2878" i="88"/>
  <c r="K2879" i="88"/>
  <c r="K2880" i="88"/>
  <c r="K2881" i="88"/>
  <c r="K2882" i="88"/>
  <c r="K2883" i="88"/>
  <c r="K2884" i="88"/>
  <c r="K2885" i="88"/>
  <c r="K2886" i="88"/>
  <c r="K2887" i="88"/>
  <c r="K2888" i="88"/>
  <c r="K2889" i="88"/>
  <c r="K2890" i="88"/>
  <c r="K2891" i="88"/>
  <c r="K2892" i="88"/>
  <c r="K2893" i="88"/>
  <c r="K2894" i="88"/>
  <c r="K2895" i="88"/>
  <c r="K2896" i="88"/>
  <c r="K2897" i="88"/>
  <c r="K2898" i="88"/>
  <c r="K2899" i="88"/>
  <c r="K2900" i="88"/>
  <c r="K2901" i="88"/>
  <c r="K2902" i="88"/>
  <c r="K2903" i="88"/>
  <c r="K2904" i="88"/>
  <c r="K2905" i="88"/>
  <c r="K2906" i="88"/>
  <c r="K2907" i="88"/>
  <c r="K2908" i="88"/>
  <c r="K2909" i="88"/>
  <c r="K2910" i="88"/>
  <c r="K2911" i="88"/>
  <c r="K2912" i="88"/>
  <c r="K2913" i="88"/>
  <c r="K2914" i="88"/>
  <c r="K2915" i="88"/>
  <c r="K2916" i="88"/>
  <c r="K2917" i="88"/>
  <c r="K2918" i="88"/>
  <c r="K2919" i="88"/>
  <c r="K2920" i="88"/>
  <c r="K2921" i="88"/>
  <c r="K2922" i="88"/>
  <c r="K2923" i="88"/>
  <c r="K2924" i="88"/>
  <c r="K2925" i="88"/>
  <c r="K2926" i="88"/>
  <c r="K2927" i="88"/>
  <c r="K2928" i="88"/>
  <c r="K2929" i="88"/>
  <c r="K2930" i="88"/>
  <c r="K2931" i="88"/>
  <c r="K2932" i="88"/>
  <c r="K2933" i="88"/>
  <c r="K2934" i="88"/>
  <c r="K2935" i="88"/>
  <c r="K2936" i="88"/>
  <c r="K2937" i="88"/>
  <c r="K2938" i="88"/>
  <c r="K2939" i="88"/>
  <c r="K2940" i="88"/>
  <c r="K2941" i="88"/>
  <c r="K2942" i="88"/>
  <c r="K2943" i="88"/>
  <c r="K2944" i="88"/>
  <c r="K2945" i="88"/>
  <c r="K2946" i="88"/>
  <c r="K2947" i="88"/>
  <c r="K2948" i="88"/>
  <c r="K2949" i="88"/>
  <c r="K2950" i="88"/>
  <c r="K2951" i="88"/>
  <c r="K2952" i="88"/>
  <c r="K2953" i="88"/>
  <c r="K2954" i="88"/>
  <c r="K2955" i="88"/>
  <c r="K2956" i="88"/>
  <c r="K2957" i="88"/>
  <c r="K2958" i="88"/>
  <c r="K2959" i="88"/>
  <c r="K2960" i="88"/>
  <c r="K2961" i="88"/>
  <c r="K2962" i="88"/>
  <c r="K2963" i="88"/>
  <c r="K2964" i="88"/>
  <c r="K2965" i="88"/>
  <c r="K2966" i="88"/>
  <c r="K2967" i="88"/>
  <c r="K2968" i="88"/>
  <c r="K2969" i="88"/>
  <c r="K2970" i="88"/>
  <c r="K2971" i="88"/>
  <c r="K2972" i="88"/>
  <c r="K2973" i="88"/>
  <c r="K2974" i="88"/>
  <c r="K2975" i="88"/>
  <c r="K2976" i="88"/>
  <c r="K2977" i="88"/>
  <c r="K2978" i="88"/>
  <c r="K2979" i="88"/>
  <c r="K2980" i="88"/>
  <c r="K2981" i="88"/>
  <c r="K2982" i="88"/>
  <c r="K2983" i="88"/>
  <c r="K2984" i="88"/>
  <c r="K2985" i="88"/>
  <c r="K2986" i="88"/>
  <c r="K2987" i="88"/>
  <c r="K2988" i="88"/>
  <c r="K2989" i="88"/>
  <c r="K2990" i="88"/>
  <c r="K2991" i="88"/>
  <c r="K2992" i="88"/>
  <c r="K2993" i="88"/>
  <c r="K2994" i="88"/>
  <c r="K2995" i="88"/>
  <c r="K2996" i="88"/>
  <c r="K2997" i="88"/>
  <c r="K2998" i="88"/>
  <c r="K2999" i="88"/>
  <c r="K3000" i="88"/>
  <c r="K3001" i="88"/>
  <c r="K3002" i="88"/>
  <c r="K3003" i="88"/>
  <c r="K3004" i="88"/>
  <c r="K3005" i="88"/>
  <c r="K3006" i="88"/>
  <c r="K3007" i="88"/>
  <c r="K3008" i="88"/>
  <c r="K3009" i="88"/>
  <c r="K3010" i="88"/>
  <c r="K3011" i="88"/>
  <c r="K3012" i="88"/>
  <c r="K3013" i="88"/>
  <c r="K3014" i="88"/>
  <c r="K3015" i="88"/>
  <c r="K3016" i="88"/>
  <c r="K3017" i="88"/>
  <c r="K3018" i="88"/>
  <c r="K3019" i="88"/>
  <c r="K3020" i="88"/>
  <c r="K3021" i="88"/>
  <c r="K3022" i="88"/>
  <c r="K3023" i="88"/>
  <c r="K3024" i="88"/>
  <c r="K3025" i="88"/>
  <c r="K3026" i="88"/>
  <c r="K3027" i="88"/>
  <c r="K3028" i="88"/>
  <c r="K3029" i="88"/>
  <c r="K3030" i="88"/>
  <c r="K3031" i="88"/>
  <c r="K3032" i="88"/>
  <c r="K3033" i="88"/>
  <c r="K3034" i="88"/>
  <c r="K3035" i="88"/>
  <c r="K3036" i="88"/>
  <c r="K3037" i="88"/>
  <c r="K3038" i="88"/>
  <c r="K3039" i="88"/>
  <c r="K3040" i="88"/>
  <c r="K3041" i="88"/>
  <c r="K3042" i="88"/>
  <c r="K3043" i="88"/>
  <c r="K3044" i="88"/>
  <c r="K3045" i="88"/>
  <c r="K3046" i="88"/>
  <c r="K3047" i="88"/>
  <c r="K3048" i="88"/>
  <c r="K3049" i="88"/>
  <c r="K3050" i="88"/>
  <c r="K3051" i="88"/>
  <c r="K3052" i="88"/>
  <c r="K3053" i="88"/>
  <c r="K3054" i="88"/>
  <c r="K3055" i="88"/>
  <c r="K3056" i="88"/>
  <c r="K3057" i="88"/>
  <c r="K3058" i="88"/>
  <c r="K3059" i="88"/>
  <c r="K3060" i="88"/>
  <c r="K3061" i="88"/>
  <c r="K3062" i="88"/>
  <c r="K3063" i="88"/>
  <c r="K3064" i="88"/>
  <c r="K3065" i="88"/>
  <c r="K3066" i="88"/>
  <c r="K3067" i="88"/>
  <c r="K3068" i="88"/>
  <c r="K3069" i="88"/>
  <c r="K3070" i="88"/>
  <c r="K3071" i="88"/>
  <c r="K3072" i="88"/>
  <c r="K3073" i="88"/>
  <c r="K3074" i="88"/>
  <c r="K3075" i="88"/>
  <c r="K3076" i="88"/>
  <c r="K3077" i="88"/>
  <c r="K3078" i="88"/>
  <c r="K3079" i="88"/>
  <c r="K3080" i="88"/>
  <c r="K3081" i="88"/>
  <c r="K3082" i="88"/>
  <c r="K3083" i="88"/>
  <c r="K3084" i="88"/>
  <c r="K3085" i="88"/>
  <c r="K3086" i="88"/>
  <c r="K3087" i="88"/>
  <c r="K3088" i="88"/>
  <c r="K3089" i="88"/>
  <c r="K3090" i="88"/>
  <c r="K3091" i="88"/>
  <c r="K3092" i="88"/>
  <c r="K3093" i="88"/>
  <c r="K3094" i="88"/>
  <c r="K3095" i="88"/>
  <c r="K3096" i="88"/>
  <c r="K3097" i="88"/>
  <c r="K3098" i="88"/>
  <c r="K3099" i="88"/>
  <c r="K3100" i="88"/>
  <c r="K3101" i="88"/>
  <c r="K3102" i="88"/>
  <c r="K3103" i="88"/>
  <c r="K3104" i="88"/>
  <c r="K3105" i="88"/>
  <c r="K3106" i="88"/>
  <c r="K3107" i="88"/>
  <c r="K3108" i="88"/>
  <c r="K3109" i="88"/>
  <c r="K3110" i="88"/>
  <c r="K3111" i="88"/>
  <c r="K3112" i="88"/>
  <c r="K3113" i="88"/>
  <c r="K3114" i="88"/>
  <c r="K3115" i="88"/>
  <c r="K3116" i="88"/>
  <c r="K3117" i="88"/>
  <c r="K3118" i="88"/>
  <c r="K3119" i="88"/>
  <c r="K3120" i="88"/>
  <c r="K3121" i="88"/>
  <c r="K3122" i="88"/>
  <c r="K3123" i="88"/>
  <c r="K3124" i="88"/>
  <c r="K3125" i="88"/>
  <c r="K3126" i="88"/>
  <c r="K3127" i="88"/>
  <c r="K3128" i="88"/>
  <c r="K3129" i="88"/>
  <c r="K3130" i="88"/>
  <c r="K3131" i="88"/>
  <c r="K3132" i="88"/>
  <c r="K3133" i="88"/>
  <c r="K3134" i="88"/>
  <c r="K3135" i="88"/>
  <c r="K3136" i="88"/>
  <c r="K3137" i="88"/>
  <c r="K3138" i="88"/>
  <c r="K3139" i="88"/>
  <c r="K3140" i="88"/>
  <c r="K3141" i="88"/>
  <c r="K3142" i="88"/>
  <c r="K3143" i="88"/>
  <c r="K3144" i="88"/>
  <c r="K3145" i="88"/>
  <c r="K3146" i="88"/>
  <c r="K3147" i="88"/>
  <c r="K3148" i="88"/>
  <c r="K3149" i="88"/>
  <c r="K3150" i="88"/>
  <c r="K3151" i="88"/>
  <c r="K3152" i="88"/>
  <c r="K3153" i="88"/>
  <c r="K3154" i="88"/>
  <c r="K3155" i="88"/>
  <c r="K3156" i="88"/>
  <c r="K3157" i="88"/>
  <c r="K3158" i="88"/>
  <c r="K3159" i="88"/>
  <c r="K3160" i="88"/>
  <c r="K3161" i="88"/>
  <c r="K3162" i="88"/>
  <c r="K3163" i="88"/>
  <c r="K3164" i="88"/>
  <c r="K3165" i="88"/>
  <c r="K3166" i="88"/>
  <c r="K3167" i="88"/>
  <c r="K3168" i="88"/>
  <c r="K3169" i="88"/>
  <c r="K3170" i="88"/>
  <c r="K3171" i="88"/>
  <c r="K3172" i="88"/>
  <c r="K3173" i="88"/>
  <c r="K3174" i="88"/>
  <c r="K3175" i="88"/>
  <c r="K3176" i="88"/>
  <c r="K3177" i="88"/>
  <c r="K3178" i="88"/>
  <c r="K3179" i="88"/>
  <c r="K3180" i="88"/>
  <c r="K3181" i="88"/>
  <c r="K3182" i="88"/>
  <c r="K3183" i="88"/>
  <c r="K3184" i="88"/>
  <c r="K3185" i="88"/>
  <c r="K3186" i="88"/>
  <c r="K3187" i="88"/>
  <c r="K3188" i="88"/>
  <c r="K3189" i="88"/>
  <c r="K3190" i="88"/>
  <c r="K3191" i="88"/>
  <c r="K3192" i="88"/>
  <c r="K3193" i="88"/>
  <c r="K3194" i="88"/>
  <c r="K3195" i="88"/>
  <c r="K3196" i="88"/>
  <c r="K3197" i="88"/>
  <c r="K3198" i="88"/>
  <c r="K3199" i="88"/>
  <c r="K3200" i="88"/>
  <c r="K3201" i="88"/>
  <c r="K3202" i="88"/>
  <c r="K3203" i="88"/>
  <c r="K3204" i="88"/>
  <c r="K3205" i="88"/>
  <c r="K3206" i="88"/>
  <c r="K3207" i="88"/>
  <c r="K3208" i="88"/>
  <c r="K3209" i="88"/>
  <c r="K3210" i="88"/>
  <c r="K3211" i="88"/>
  <c r="K3212" i="88"/>
  <c r="K3213" i="88"/>
  <c r="K3214" i="88"/>
  <c r="K3215" i="88"/>
  <c r="K3216" i="88"/>
  <c r="K3217" i="88"/>
  <c r="K3218" i="88"/>
  <c r="K3219" i="88"/>
  <c r="K3220" i="88"/>
  <c r="K3221" i="88"/>
  <c r="K3222" i="88"/>
  <c r="K3223" i="88"/>
  <c r="K3224" i="88"/>
  <c r="K3225" i="88"/>
  <c r="K3226" i="88"/>
  <c r="K3227" i="88"/>
  <c r="K3228" i="88"/>
  <c r="K3229" i="88"/>
  <c r="K3230" i="88"/>
  <c r="K3231" i="88"/>
  <c r="K3232" i="88"/>
  <c r="K3233" i="88"/>
  <c r="K3234" i="88"/>
  <c r="K3235" i="88"/>
  <c r="K3236" i="88"/>
  <c r="K3237" i="88"/>
  <c r="K3238" i="88"/>
  <c r="K3239" i="88"/>
  <c r="K3240" i="88"/>
  <c r="K3241" i="88"/>
  <c r="K3242" i="88"/>
  <c r="K3243" i="88"/>
  <c r="K3244" i="88"/>
  <c r="K3245" i="88"/>
  <c r="K3246" i="88"/>
  <c r="K3247" i="88"/>
  <c r="K3248" i="88"/>
  <c r="K3249" i="88"/>
  <c r="K3250" i="88"/>
  <c r="K3251" i="88"/>
  <c r="K3252" i="88"/>
  <c r="K3253" i="88"/>
  <c r="K3254" i="88"/>
  <c r="K3255" i="88"/>
  <c r="K3256" i="88"/>
  <c r="K3257" i="88"/>
  <c r="K3258" i="88"/>
  <c r="K3259" i="88"/>
  <c r="K3260" i="88"/>
  <c r="K3261" i="88"/>
  <c r="K3262" i="88"/>
  <c r="K3263" i="88"/>
  <c r="K3264" i="88"/>
  <c r="K3265" i="88"/>
  <c r="K3266" i="88"/>
  <c r="K3267" i="88"/>
  <c r="K3268" i="88"/>
  <c r="K3269" i="88"/>
  <c r="K3270" i="88"/>
  <c r="K3271" i="88"/>
  <c r="K3272" i="88"/>
  <c r="K3273" i="88"/>
  <c r="K3274" i="88"/>
  <c r="K3275" i="88"/>
  <c r="K3276" i="88"/>
  <c r="K3277" i="88"/>
  <c r="K3278" i="88"/>
  <c r="K3279" i="88"/>
  <c r="K3280" i="88"/>
  <c r="K3281" i="88"/>
  <c r="K3282" i="88"/>
  <c r="K3283" i="88"/>
  <c r="K3284" i="88"/>
  <c r="K3285" i="88"/>
  <c r="K3286" i="88"/>
  <c r="K3287" i="88"/>
  <c r="K3288" i="88"/>
  <c r="K3289" i="88"/>
  <c r="K3290" i="88"/>
  <c r="K3291" i="88"/>
  <c r="K3292" i="88"/>
  <c r="K3293" i="88"/>
  <c r="K3294" i="88"/>
  <c r="K3295" i="88"/>
  <c r="K3296" i="88"/>
  <c r="K3297" i="88"/>
  <c r="K3298" i="88"/>
  <c r="K3299" i="88"/>
  <c r="K3300" i="88"/>
  <c r="K3301" i="88"/>
  <c r="K3302" i="88"/>
  <c r="K3303" i="88"/>
  <c r="K3304" i="88"/>
  <c r="K3305" i="88"/>
  <c r="K3306" i="88"/>
  <c r="K3307" i="88"/>
  <c r="K3308" i="88"/>
  <c r="K3309" i="88"/>
  <c r="K3310" i="88"/>
  <c r="K3311" i="88"/>
  <c r="K3312" i="88"/>
  <c r="K3313" i="88"/>
  <c r="K3314" i="88"/>
  <c r="K3315" i="88"/>
  <c r="K3316" i="88"/>
  <c r="K3317" i="88"/>
  <c r="K3318" i="88"/>
  <c r="K3319" i="88"/>
  <c r="K3320" i="88"/>
  <c r="K3321" i="88"/>
  <c r="K3322" i="88"/>
  <c r="K3323" i="88"/>
  <c r="K3324" i="88"/>
  <c r="K3325" i="88"/>
  <c r="K3326" i="88"/>
  <c r="K3327" i="88"/>
  <c r="K3328" i="88"/>
  <c r="K3329" i="88"/>
  <c r="K3330" i="88"/>
  <c r="K3331" i="88"/>
  <c r="K3332" i="88"/>
  <c r="K3333" i="88"/>
  <c r="K3334" i="88"/>
  <c r="K3335" i="88"/>
  <c r="K3336" i="88"/>
  <c r="K3337" i="88"/>
  <c r="K3338" i="88"/>
  <c r="K3339" i="88"/>
  <c r="K3340" i="88"/>
  <c r="K3341" i="88"/>
  <c r="K3342" i="88"/>
  <c r="K3343" i="88"/>
  <c r="K3344" i="88"/>
  <c r="K3345" i="88"/>
  <c r="K3346" i="88"/>
  <c r="K3347" i="88"/>
  <c r="K3348" i="88"/>
  <c r="K3349" i="88"/>
  <c r="K3350" i="88"/>
  <c r="K3351" i="88"/>
  <c r="K3352" i="88"/>
  <c r="K3353" i="88"/>
  <c r="K3354" i="88"/>
  <c r="K3355" i="88"/>
  <c r="K3356" i="88"/>
  <c r="K3357" i="88"/>
  <c r="K3358" i="88"/>
  <c r="K3359" i="88"/>
  <c r="K3360" i="88"/>
  <c r="K3361" i="88"/>
  <c r="K3362" i="88"/>
  <c r="K3363" i="88"/>
  <c r="K3364" i="88"/>
  <c r="K3365" i="88"/>
  <c r="K3366" i="88"/>
  <c r="K3367" i="88"/>
  <c r="K3368" i="88"/>
  <c r="K3369" i="88"/>
  <c r="K3370" i="88"/>
  <c r="K3371" i="88"/>
  <c r="K3372" i="88"/>
  <c r="K3373" i="88"/>
  <c r="K3374" i="88"/>
  <c r="K3375" i="88"/>
  <c r="K3376" i="88"/>
  <c r="K3377" i="88"/>
  <c r="K3378" i="88"/>
  <c r="K3379" i="88"/>
  <c r="K3380" i="88"/>
  <c r="K3381" i="88"/>
  <c r="K3382" i="88"/>
  <c r="K3383" i="88"/>
  <c r="K3384" i="88"/>
  <c r="K3385" i="88"/>
  <c r="K3386" i="88"/>
  <c r="K3387" i="88"/>
  <c r="K3388" i="88"/>
  <c r="K3389" i="88"/>
  <c r="K3390" i="88"/>
  <c r="K3391" i="88"/>
  <c r="K3392" i="88"/>
  <c r="K3393" i="88"/>
  <c r="K3394" i="88"/>
  <c r="K3395" i="88"/>
  <c r="K3396" i="88"/>
  <c r="K3397" i="88"/>
  <c r="K3398" i="88"/>
  <c r="K3399" i="88"/>
  <c r="K3400" i="88"/>
  <c r="K3401" i="88"/>
  <c r="K3402" i="88"/>
  <c r="K3403" i="88"/>
  <c r="K3404" i="88"/>
  <c r="K3405" i="88"/>
  <c r="K3406" i="88"/>
  <c r="K3407" i="88"/>
  <c r="K3408" i="88"/>
  <c r="K3409" i="88"/>
  <c r="K3410" i="88"/>
  <c r="K3411" i="88"/>
  <c r="K3412" i="88"/>
  <c r="K3413" i="88"/>
  <c r="K3414" i="88"/>
  <c r="K3415" i="88"/>
  <c r="K3416" i="88"/>
  <c r="K3417" i="88"/>
  <c r="K3418" i="88"/>
  <c r="K3419" i="88"/>
  <c r="K3420" i="88"/>
  <c r="K3421" i="88"/>
  <c r="K3422" i="88"/>
  <c r="K3423" i="88"/>
  <c r="K3424" i="88"/>
  <c r="K3425" i="88"/>
  <c r="K3426" i="88"/>
  <c r="K3427" i="88"/>
  <c r="K3428" i="88"/>
  <c r="K3429" i="88"/>
  <c r="K3430" i="88"/>
  <c r="K3431" i="88"/>
  <c r="K3432" i="88"/>
  <c r="K3433" i="88"/>
  <c r="K3434" i="88"/>
  <c r="K3435" i="88"/>
  <c r="K3436" i="88"/>
  <c r="K3437" i="88"/>
  <c r="K3438" i="88"/>
  <c r="K3439" i="88"/>
  <c r="K3440" i="88"/>
  <c r="K3441" i="88"/>
  <c r="K3442" i="88"/>
  <c r="K3443" i="88"/>
  <c r="K3444" i="88"/>
  <c r="K3445" i="88"/>
  <c r="K3446" i="88"/>
  <c r="K3447" i="88"/>
  <c r="K3448" i="88"/>
  <c r="K3449" i="88"/>
  <c r="K3450" i="88"/>
  <c r="K3451" i="88"/>
  <c r="K3452" i="88"/>
  <c r="K3453" i="88"/>
  <c r="K3454" i="88"/>
  <c r="K3455" i="88"/>
  <c r="K3456" i="88"/>
  <c r="K3457" i="88"/>
  <c r="K3458" i="88"/>
  <c r="K3459" i="88"/>
  <c r="K3460" i="88"/>
  <c r="K3461" i="88"/>
  <c r="K3462" i="88"/>
  <c r="K3463" i="88"/>
  <c r="K3464" i="88"/>
  <c r="K3465" i="88"/>
  <c r="K3466" i="88"/>
  <c r="K3467" i="88"/>
  <c r="K3468" i="88"/>
  <c r="K3469" i="88"/>
  <c r="K3470" i="88"/>
  <c r="K3471" i="88"/>
  <c r="K3472" i="88"/>
  <c r="K3473" i="88"/>
  <c r="K3474" i="88"/>
  <c r="K3475" i="88"/>
  <c r="K3476" i="88"/>
  <c r="K3477" i="88"/>
  <c r="K3478" i="88"/>
  <c r="K3479" i="88"/>
  <c r="K3480" i="88"/>
  <c r="K3481" i="88"/>
  <c r="K3482" i="88"/>
  <c r="K3483" i="88"/>
  <c r="K3484" i="88"/>
  <c r="K3485" i="88"/>
  <c r="K3486" i="88"/>
  <c r="K3487" i="88"/>
  <c r="K3488" i="88"/>
  <c r="K3489" i="88"/>
  <c r="K3490" i="88"/>
  <c r="K3491" i="88"/>
  <c r="K3492" i="88"/>
  <c r="K3493" i="88"/>
  <c r="K3494" i="88"/>
  <c r="K3495" i="88"/>
  <c r="K3496" i="88"/>
  <c r="K3497" i="88"/>
  <c r="K3498" i="88"/>
  <c r="K3499" i="88"/>
  <c r="K3500" i="88"/>
  <c r="K3501" i="88"/>
  <c r="K3502" i="88"/>
  <c r="K3503" i="88"/>
  <c r="K3504" i="88"/>
  <c r="K3505" i="88"/>
  <c r="K3506" i="88"/>
  <c r="K3507" i="88"/>
  <c r="K3508" i="88"/>
  <c r="K3509" i="88"/>
  <c r="K3510" i="88"/>
  <c r="K3511" i="88"/>
  <c r="K3512" i="88"/>
  <c r="K3513" i="88"/>
  <c r="K3514" i="88"/>
  <c r="K3515" i="88"/>
  <c r="K3516" i="88"/>
  <c r="K3517" i="88"/>
  <c r="K3518" i="88"/>
  <c r="K3519" i="88"/>
  <c r="K3520" i="88"/>
  <c r="K3521" i="88"/>
  <c r="K3522" i="88"/>
  <c r="K3523" i="88"/>
  <c r="K3524" i="88"/>
  <c r="K3525" i="88"/>
  <c r="K3526" i="88"/>
  <c r="K3527" i="88"/>
  <c r="K3528" i="88"/>
  <c r="K3529" i="88"/>
  <c r="K3530" i="88"/>
  <c r="K3531" i="88"/>
  <c r="K3532" i="88"/>
  <c r="K3533" i="88"/>
  <c r="K3534" i="88"/>
  <c r="K3535" i="88"/>
  <c r="K3536" i="88"/>
  <c r="K3537" i="88"/>
  <c r="K3538" i="88"/>
  <c r="K3539" i="88"/>
  <c r="K3540" i="88"/>
  <c r="K3541" i="88"/>
  <c r="K3542" i="88"/>
  <c r="K3543" i="88"/>
  <c r="K3544" i="88"/>
  <c r="K3545" i="88"/>
  <c r="K3546" i="88"/>
  <c r="K3547" i="88"/>
  <c r="K3548" i="88"/>
  <c r="K3549" i="88"/>
  <c r="K3550" i="88"/>
  <c r="K3551" i="88"/>
  <c r="K3552" i="88"/>
  <c r="K3553" i="88"/>
  <c r="K3554" i="88"/>
  <c r="K3555" i="88"/>
  <c r="K3556" i="88"/>
  <c r="K3557" i="88"/>
  <c r="K3558" i="88"/>
  <c r="K3559" i="88"/>
  <c r="K3560" i="88"/>
  <c r="K3561" i="88"/>
  <c r="K3562" i="88"/>
  <c r="K3563" i="88"/>
  <c r="K3564" i="88"/>
  <c r="K3565" i="88"/>
  <c r="K3566" i="88"/>
  <c r="K3567" i="88"/>
  <c r="K3568" i="88"/>
  <c r="K3569" i="88"/>
  <c r="K3570" i="88"/>
  <c r="K3571" i="88"/>
  <c r="K3572" i="88"/>
  <c r="K3573" i="88"/>
  <c r="K3574" i="88"/>
  <c r="K3575" i="88"/>
  <c r="K3576" i="88"/>
  <c r="K3577" i="88"/>
  <c r="K3578" i="88"/>
  <c r="K3579" i="88"/>
  <c r="K3580" i="88"/>
  <c r="K3581" i="88"/>
  <c r="K3582" i="88"/>
  <c r="K3583" i="88"/>
  <c r="K3584" i="88"/>
  <c r="K3585" i="88"/>
  <c r="K3586" i="88"/>
  <c r="K3587" i="88"/>
  <c r="K3588" i="88"/>
  <c r="K3589" i="88"/>
  <c r="K3590" i="88"/>
  <c r="K3591" i="88"/>
  <c r="K3592" i="88"/>
  <c r="K3593" i="88"/>
  <c r="K3594" i="88"/>
  <c r="K3595" i="88"/>
  <c r="K3596" i="88"/>
  <c r="K3597" i="88"/>
  <c r="K3598" i="88"/>
  <c r="K3599" i="88"/>
  <c r="K3600" i="88"/>
  <c r="K3601" i="88"/>
  <c r="K3602" i="88"/>
  <c r="K3603" i="88"/>
  <c r="K3604" i="88"/>
  <c r="K3605" i="88"/>
  <c r="K3606" i="88"/>
  <c r="K3607" i="88"/>
  <c r="K3608" i="88"/>
  <c r="K3609" i="88"/>
  <c r="K3610" i="88"/>
  <c r="K3611" i="88"/>
  <c r="K3612" i="88"/>
  <c r="K3613" i="88"/>
  <c r="K3614" i="88"/>
  <c r="K3615" i="88"/>
  <c r="K3616" i="88"/>
  <c r="K3617" i="88"/>
  <c r="K3618" i="88"/>
  <c r="K3619" i="88"/>
  <c r="K3620" i="88"/>
  <c r="K3621" i="88"/>
  <c r="K3622" i="88"/>
  <c r="K3623" i="88"/>
  <c r="K3624" i="88"/>
  <c r="K3625" i="88"/>
  <c r="K3626" i="88"/>
  <c r="K3627" i="88"/>
  <c r="K3628" i="88"/>
  <c r="K3629" i="88"/>
  <c r="K3630" i="88"/>
  <c r="K3631" i="88"/>
  <c r="K3632" i="88"/>
  <c r="K3633" i="88"/>
  <c r="K3634" i="88"/>
  <c r="K3635" i="88"/>
  <c r="K3636" i="88"/>
  <c r="K3637" i="88"/>
  <c r="K3638" i="88"/>
  <c r="K3639" i="88"/>
  <c r="K3640" i="88"/>
  <c r="K3641" i="88"/>
  <c r="K3642" i="88"/>
  <c r="K3643" i="88"/>
  <c r="K3644" i="88"/>
  <c r="K3645" i="88"/>
  <c r="K3646" i="88"/>
  <c r="K3647" i="88"/>
  <c r="K3648" i="88"/>
  <c r="K3649" i="88"/>
  <c r="K3650" i="88"/>
  <c r="K3651" i="88"/>
  <c r="K3652" i="88"/>
  <c r="K3653" i="88"/>
  <c r="K3654" i="88"/>
  <c r="K3655" i="88"/>
  <c r="K3656" i="88"/>
  <c r="K3657" i="88"/>
  <c r="K3658" i="88"/>
  <c r="K3659" i="88"/>
  <c r="K3660" i="88"/>
  <c r="K3661" i="88"/>
  <c r="K3662" i="88"/>
  <c r="K3663" i="88"/>
  <c r="K3664" i="88"/>
  <c r="K3665" i="88"/>
  <c r="K3666" i="88"/>
  <c r="K3667" i="88"/>
  <c r="K3668" i="88"/>
  <c r="K3669" i="88"/>
  <c r="K3670" i="88"/>
  <c r="K3671" i="88"/>
  <c r="K3672" i="88"/>
  <c r="K3673" i="88"/>
  <c r="K3674" i="88"/>
  <c r="K3675" i="88"/>
  <c r="K3676" i="88"/>
  <c r="K3677" i="88"/>
  <c r="K3678" i="88"/>
  <c r="K3679" i="88"/>
  <c r="K3680" i="88"/>
  <c r="K3681" i="88"/>
  <c r="K3682" i="88"/>
  <c r="K3683" i="88"/>
  <c r="K3684" i="88"/>
  <c r="K3685" i="88"/>
  <c r="K3686" i="88"/>
  <c r="K3687" i="88"/>
  <c r="K3688" i="88"/>
  <c r="K3689" i="88"/>
  <c r="K3690" i="88"/>
  <c r="K3691" i="88"/>
  <c r="K3692" i="88"/>
  <c r="K3693" i="88"/>
  <c r="K3694" i="88"/>
  <c r="K3695" i="88"/>
  <c r="K3696" i="88"/>
  <c r="K3697" i="88"/>
  <c r="K3698" i="88"/>
  <c r="K3699" i="88"/>
  <c r="K3700" i="88"/>
  <c r="K3701" i="88"/>
  <c r="K3702" i="88"/>
  <c r="K3703" i="88"/>
  <c r="K3704" i="88"/>
  <c r="K3705" i="88"/>
  <c r="K3706" i="88"/>
  <c r="K3707" i="88"/>
  <c r="K3708" i="88"/>
  <c r="K3709" i="88"/>
  <c r="K3710" i="88"/>
  <c r="K3711" i="88"/>
  <c r="K3712" i="88"/>
  <c r="K3713" i="88"/>
  <c r="K3714" i="88"/>
  <c r="K3715" i="88"/>
  <c r="K3716" i="88"/>
  <c r="K3717" i="88"/>
  <c r="K3718" i="88"/>
  <c r="K3719" i="88"/>
  <c r="K3720" i="88"/>
  <c r="K3721" i="88"/>
  <c r="K3722" i="88"/>
  <c r="K3723" i="88"/>
  <c r="K3724" i="88"/>
  <c r="K3725" i="88"/>
  <c r="K3726" i="88"/>
  <c r="K3727" i="88"/>
  <c r="K3728" i="88"/>
  <c r="K3729" i="88"/>
  <c r="K3730" i="88"/>
  <c r="K3731" i="88"/>
  <c r="K3732" i="88"/>
  <c r="K3733" i="88"/>
  <c r="K3734" i="88"/>
  <c r="K3735" i="88"/>
  <c r="K3736" i="88"/>
  <c r="K3737" i="88"/>
  <c r="K3738" i="88"/>
  <c r="K3739" i="88"/>
  <c r="K3740" i="88"/>
  <c r="K3741" i="88"/>
  <c r="K3742" i="88"/>
  <c r="K3743" i="88"/>
  <c r="K3744" i="88"/>
  <c r="K3745" i="88"/>
  <c r="K3746" i="88"/>
  <c r="K3747" i="88"/>
  <c r="K3748" i="88"/>
  <c r="K3749" i="88"/>
  <c r="K3750" i="88"/>
  <c r="K3751" i="88"/>
  <c r="K3752" i="88"/>
  <c r="K3753" i="88"/>
  <c r="K3754" i="88"/>
  <c r="K3755" i="88"/>
  <c r="K3756" i="88"/>
  <c r="K3757" i="88"/>
  <c r="K3758" i="88"/>
  <c r="K3759" i="88"/>
  <c r="K3760" i="88"/>
  <c r="K3761" i="88"/>
  <c r="K3762" i="88"/>
  <c r="K3763" i="88"/>
  <c r="K3764" i="88"/>
  <c r="K3765" i="88"/>
  <c r="K3766" i="88"/>
  <c r="K3767" i="88"/>
  <c r="K3768" i="88"/>
  <c r="K3769" i="88"/>
  <c r="K3770" i="88"/>
  <c r="K3771" i="88"/>
  <c r="K3772" i="88"/>
  <c r="K3773" i="88"/>
  <c r="K3774" i="88"/>
  <c r="K3775" i="88"/>
  <c r="K3776" i="88"/>
  <c r="K3777" i="88"/>
  <c r="K3778" i="88"/>
  <c r="K3779" i="88"/>
  <c r="K3780" i="88"/>
  <c r="K3781" i="88"/>
  <c r="K3782" i="88"/>
  <c r="K3783" i="88"/>
  <c r="K3784" i="88"/>
  <c r="K3785" i="88"/>
  <c r="K3786" i="88"/>
  <c r="K3787" i="88"/>
  <c r="K3788" i="88"/>
  <c r="K3789" i="88"/>
  <c r="K3790" i="88"/>
  <c r="K3791" i="88"/>
  <c r="K3792" i="88"/>
  <c r="K3793" i="88"/>
  <c r="K3794" i="88"/>
  <c r="K3795" i="88"/>
  <c r="K3796" i="88"/>
  <c r="K3797" i="88"/>
  <c r="K3798" i="88"/>
  <c r="K3799" i="88"/>
  <c r="K3800" i="88"/>
  <c r="K3801" i="88"/>
  <c r="K3802" i="88"/>
  <c r="K3803" i="88"/>
  <c r="K3804" i="88"/>
  <c r="K3805" i="88"/>
  <c r="K3806" i="88"/>
  <c r="K3807" i="88"/>
  <c r="K3808" i="88"/>
  <c r="K3809" i="88"/>
  <c r="K3810" i="88"/>
  <c r="K3811" i="88"/>
  <c r="K3812" i="88"/>
  <c r="K3813" i="88"/>
  <c r="K3814" i="88"/>
  <c r="K3815" i="88"/>
  <c r="K3816" i="88"/>
  <c r="K3817" i="88"/>
  <c r="K3818" i="88"/>
  <c r="K3819" i="88"/>
  <c r="K3820" i="88"/>
  <c r="K3821" i="88"/>
  <c r="K3822" i="88"/>
  <c r="K3823" i="88"/>
  <c r="K3824" i="88"/>
  <c r="K3825" i="88"/>
  <c r="K3826" i="88"/>
  <c r="K3827" i="88"/>
  <c r="K3828" i="88"/>
  <c r="K3829" i="88"/>
  <c r="K3830" i="88"/>
  <c r="K3831" i="88"/>
  <c r="K3832" i="88"/>
  <c r="K3833" i="88"/>
  <c r="K3834" i="88"/>
  <c r="K3835" i="88"/>
  <c r="K3836" i="88"/>
  <c r="K3837" i="88"/>
  <c r="K3838" i="88"/>
  <c r="K3839" i="88"/>
  <c r="K3840" i="88"/>
  <c r="K3841" i="88"/>
  <c r="K3842" i="88"/>
  <c r="K3843" i="88"/>
  <c r="K3844" i="88"/>
  <c r="K3845" i="88"/>
  <c r="K3846" i="88"/>
  <c r="K3847" i="88"/>
  <c r="K3848" i="88"/>
  <c r="K3849" i="88"/>
  <c r="K3850" i="88"/>
  <c r="K3851" i="88"/>
  <c r="K3852" i="88"/>
  <c r="K3853" i="88"/>
  <c r="K3854" i="88"/>
  <c r="K3855" i="88"/>
  <c r="K3856" i="88"/>
  <c r="K3857" i="88"/>
  <c r="K3858" i="88"/>
  <c r="K3859" i="88"/>
  <c r="K3860" i="88"/>
  <c r="K3861" i="88"/>
  <c r="K3862" i="88"/>
  <c r="K3863" i="88"/>
  <c r="K3864" i="88"/>
  <c r="K3865" i="88"/>
  <c r="K3866" i="88"/>
  <c r="K3867" i="88"/>
  <c r="K3868" i="88"/>
  <c r="K3869" i="88"/>
  <c r="K3870" i="88"/>
  <c r="K3871" i="88"/>
  <c r="K3872" i="88"/>
  <c r="K3873" i="88"/>
  <c r="K3874" i="88"/>
  <c r="K3875" i="88"/>
  <c r="K3876" i="88"/>
  <c r="K3877" i="88"/>
  <c r="K3878" i="88"/>
  <c r="K3879" i="88"/>
  <c r="K3880" i="88"/>
  <c r="K3881" i="88"/>
  <c r="K3882" i="88"/>
  <c r="K3883" i="88"/>
  <c r="K3884" i="88"/>
  <c r="K3885" i="88"/>
  <c r="K3886" i="88"/>
  <c r="K3887" i="88"/>
  <c r="K3888" i="88"/>
  <c r="K3889" i="88"/>
  <c r="K3890" i="88"/>
  <c r="K3891" i="88"/>
  <c r="K3892" i="88"/>
  <c r="K3893" i="88"/>
  <c r="K3894" i="88"/>
  <c r="K3895" i="88"/>
  <c r="K3896" i="88"/>
  <c r="K3897" i="88"/>
  <c r="K3898" i="88"/>
  <c r="K3899" i="88"/>
  <c r="K3900" i="88"/>
  <c r="K3901" i="88"/>
  <c r="K3902" i="88"/>
  <c r="K3903" i="88"/>
  <c r="K3904" i="88"/>
  <c r="K3905" i="88"/>
  <c r="K3906" i="88"/>
  <c r="K3907" i="88"/>
  <c r="K3908" i="88"/>
  <c r="K3909" i="88"/>
  <c r="K3910" i="88"/>
  <c r="K3911" i="88"/>
  <c r="K3912" i="88"/>
  <c r="K3913" i="88"/>
  <c r="K3914" i="88"/>
  <c r="K3915" i="88"/>
  <c r="K3916" i="88"/>
  <c r="K3917" i="88"/>
  <c r="K3918" i="88"/>
  <c r="K3919" i="88"/>
  <c r="K3920" i="88"/>
  <c r="K3921" i="88"/>
  <c r="K3922" i="88"/>
  <c r="K3923" i="88"/>
  <c r="K3924" i="88"/>
  <c r="K3925" i="88"/>
  <c r="K3926" i="88"/>
  <c r="K3927" i="88"/>
  <c r="K3928" i="88"/>
  <c r="K3929" i="88"/>
  <c r="K3930" i="88"/>
  <c r="K3931" i="88"/>
  <c r="K3932" i="88"/>
  <c r="K3933" i="88"/>
  <c r="K3934" i="88"/>
  <c r="K3935" i="88"/>
  <c r="K3936" i="88"/>
  <c r="K3937" i="88"/>
  <c r="K3938" i="88"/>
  <c r="K3939" i="88"/>
  <c r="K3940" i="88"/>
  <c r="K3941" i="88"/>
  <c r="K3942" i="88"/>
  <c r="K3943" i="88"/>
  <c r="K3944" i="88"/>
  <c r="K3945" i="88"/>
  <c r="K3946" i="88"/>
  <c r="K3947" i="88"/>
  <c r="K3948" i="88"/>
  <c r="K3949" i="88"/>
  <c r="K3950" i="88"/>
  <c r="K3951" i="88"/>
  <c r="K3952" i="88"/>
  <c r="K3953" i="88"/>
  <c r="K3954" i="88"/>
  <c r="K3955" i="88"/>
  <c r="K3956" i="88"/>
  <c r="K3957" i="88"/>
  <c r="K3958" i="88"/>
  <c r="K3959" i="88"/>
  <c r="K3960" i="88"/>
  <c r="K3961" i="88"/>
  <c r="K3962" i="88"/>
  <c r="K3963" i="88"/>
  <c r="K3964" i="88"/>
  <c r="K3965" i="88"/>
  <c r="K3966" i="88"/>
  <c r="K3967" i="88"/>
  <c r="K3968" i="88"/>
  <c r="K3969" i="88"/>
  <c r="K3970" i="88"/>
  <c r="K3971" i="88"/>
  <c r="K3972" i="88"/>
  <c r="K3973" i="88"/>
  <c r="K3974" i="88"/>
  <c r="K3975" i="88"/>
  <c r="K3976" i="88"/>
  <c r="K3977" i="88"/>
  <c r="K3978" i="88"/>
  <c r="K3979" i="88"/>
  <c r="K3980" i="88"/>
  <c r="K3981" i="88"/>
  <c r="K3982" i="88"/>
  <c r="K3983" i="88"/>
  <c r="K3984" i="88"/>
  <c r="K3985" i="88"/>
  <c r="K3986" i="88"/>
  <c r="K3987" i="88"/>
  <c r="K3988" i="88"/>
  <c r="K3989" i="88"/>
  <c r="K3990" i="88"/>
  <c r="K3991" i="88"/>
  <c r="K3992" i="88"/>
  <c r="K3993" i="88"/>
  <c r="K3994" i="88"/>
  <c r="K3995" i="88"/>
  <c r="K3996" i="88"/>
  <c r="K3997" i="88"/>
  <c r="K3998" i="88"/>
  <c r="K3999" i="88"/>
  <c r="K4000" i="88"/>
  <c r="K4001" i="88"/>
  <c r="K4002" i="88"/>
  <c r="K4003" i="88"/>
  <c r="K4004" i="88"/>
  <c r="K4005" i="88"/>
  <c r="K4006" i="88"/>
  <c r="K4007" i="88"/>
  <c r="K4008" i="88"/>
  <c r="K4009" i="88"/>
  <c r="K4010" i="88"/>
  <c r="K4011" i="88"/>
  <c r="K4012" i="88"/>
  <c r="K4013" i="88"/>
  <c r="K4014" i="88"/>
  <c r="K4015" i="88"/>
  <c r="K4016" i="88"/>
  <c r="K4017" i="88"/>
  <c r="K4018" i="88"/>
  <c r="K4019" i="88"/>
  <c r="K4020" i="88"/>
  <c r="K4021" i="88"/>
  <c r="K4022" i="88"/>
  <c r="K4023" i="88"/>
  <c r="K4024" i="88"/>
  <c r="K4025" i="88"/>
  <c r="K4026" i="88"/>
  <c r="K4027" i="88"/>
  <c r="K4028" i="88"/>
  <c r="K4029" i="88"/>
  <c r="K4030" i="88"/>
  <c r="K4031" i="88"/>
  <c r="K4032" i="88"/>
  <c r="K4033" i="88"/>
  <c r="K4034" i="88"/>
  <c r="K4035" i="88"/>
  <c r="K4036" i="88"/>
  <c r="K4037" i="88"/>
  <c r="K4038" i="88"/>
  <c r="K4039" i="88"/>
  <c r="K4040" i="88"/>
  <c r="K4041" i="88"/>
  <c r="K4042" i="88"/>
  <c r="K4043" i="88"/>
  <c r="K4044" i="88"/>
  <c r="K4045" i="88"/>
  <c r="K4046" i="88"/>
  <c r="K4047" i="88"/>
  <c r="K4048" i="88"/>
  <c r="K4049" i="88"/>
  <c r="K4050" i="88"/>
  <c r="K4051" i="88"/>
  <c r="K4052" i="88"/>
  <c r="K4053" i="88"/>
  <c r="K4054" i="88"/>
  <c r="K4055" i="88"/>
  <c r="K4056" i="88"/>
  <c r="K4057" i="88"/>
  <c r="K4058" i="88"/>
  <c r="K4059" i="88"/>
  <c r="K4060" i="88"/>
  <c r="K4061" i="88"/>
  <c r="K4062" i="88"/>
  <c r="K4063" i="88"/>
  <c r="K4064" i="88"/>
  <c r="K4065" i="88"/>
  <c r="K4066" i="88"/>
  <c r="K4067" i="88"/>
  <c r="K4068" i="88"/>
  <c r="K4069" i="88"/>
  <c r="K4070" i="88"/>
  <c r="K4071" i="88"/>
  <c r="K4072" i="88"/>
  <c r="K4073" i="88"/>
  <c r="K4074" i="88"/>
  <c r="K4075" i="88"/>
  <c r="K4076" i="88"/>
  <c r="K4077" i="88"/>
  <c r="K4078" i="88"/>
  <c r="K4079" i="88"/>
  <c r="K4080" i="88"/>
  <c r="K4081" i="88"/>
  <c r="K4082" i="88"/>
  <c r="K4083" i="88"/>
  <c r="K4084" i="88"/>
  <c r="K4085" i="88"/>
  <c r="K4086" i="88"/>
  <c r="K4087" i="88"/>
  <c r="K4088" i="88"/>
  <c r="K4089" i="88"/>
  <c r="K4090" i="88"/>
  <c r="K4091" i="88"/>
  <c r="K4092" i="88"/>
  <c r="K4093" i="88"/>
  <c r="K4094" i="88"/>
  <c r="K4095" i="88"/>
  <c r="K4096" i="88"/>
  <c r="K4097" i="88"/>
  <c r="K4098" i="88"/>
  <c r="K4099" i="88"/>
  <c r="K4100" i="88"/>
  <c r="K4101" i="88"/>
  <c r="K4102" i="88"/>
  <c r="K4103" i="88"/>
  <c r="K4104" i="88"/>
  <c r="K4105" i="88"/>
  <c r="K4106" i="88"/>
  <c r="K4107" i="88"/>
  <c r="K4108" i="88"/>
  <c r="K4109" i="88"/>
  <c r="K4110" i="88"/>
  <c r="K4111" i="88"/>
  <c r="K4112" i="88"/>
  <c r="K4113" i="88"/>
  <c r="K4114" i="88"/>
  <c r="K4115" i="88"/>
  <c r="K4116" i="88"/>
  <c r="K4117" i="88"/>
  <c r="K4118" i="88"/>
  <c r="K4119" i="88"/>
  <c r="K4120" i="88"/>
  <c r="K4121" i="88"/>
  <c r="K4122" i="88"/>
  <c r="K4123" i="88"/>
  <c r="K4124" i="88"/>
  <c r="K4125" i="88"/>
  <c r="K4126" i="88"/>
  <c r="K4127" i="88"/>
  <c r="K4128" i="88"/>
  <c r="K4129" i="88"/>
  <c r="K4130" i="88"/>
  <c r="K4131" i="88"/>
  <c r="K4132" i="88"/>
  <c r="K4133" i="88"/>
  <c r="K4134" i="88"/>
  <c r="K4135" i="88"/>
  <c r="K4136" i="88"/>
  <c r="K4137" i="88"/>
  <c r="K4138" i="88"/>
  <c r="K4139" i="88"/>
  <c r="K4140" i="88"/>
  <c r="K4141" i="88"/>
  <c r="K4142" i="88"/>
  <c r="K4143" i="88"/>
  <c r="K4144" i="88"/>
  <c r="K4145" i="88"/>
  <c r="K4146" i="88"/>
  <c r="K4147" i="88"/>
  <c r="K4148" i="88"/>
  <c r="K4149" i="88"/>
  <c r="K4150" i="88"/>
  <c r="K4151" i="88"/>
  <c r="K4152" i="88"/>
  <c r="K4153" i="88"/>
  <c r="K4154" i="88"/>
  <c r="K4155" i="88"/>
  <c r="K4156" i="88"/>
  <c r="K4157" i="88"/>
  <c r="K4158" i="88"/>
  <c r="K4159" i="88"/>
  <c r="K4160" i="88"/>
  <c r="K4161" i="88"/>
  <c r="K4162" i="88"/>
  <c r="K4163" i="88"/>
  <c r="K4164" i="88"/>
  <c r="K4165" i="88"/>
  <c r="K4166" i="88"/>
  <c r="K4167" i="88"/>
  <c r="K4168" i="88"/>
  <c r="K4169" i="88"/>
  <c r="K4170" i="88"/>
  <c r="K4171" i="88"/>
  <c r="K4172" i="88"/>
  <c r="K4173" i="88"/>
  <c r="K4174" i="88"/>
  <c r="K4175" i="88"/>
  <c r="K4176" i="88"/>
  <c r="K4177" i="88"/>
  <c r="K4178" i="88"/>
  <c r="K4179" i="88"/>
  <c r="K4180" i="88"/>
  <c r="K4181" i="88"/>
  <c r="K4182" i="88"/>
  <c r="K4183" i="88"/>
  <c r="K4184" i="88"/>
  <c r="K4185" i="88"/>
  <c r="K4186" i="88"/>
  <c r="K4187" i="88"/>
  <c r="K4188" i="88"/>
  <c r="K4189" i="88"/>
  <c r="K4190" i="88"/>
  <c r="K4191" i="88"/>
  <c r="K4192" i="88"/>
  <c r="K4193" i="88"/>
  <c r="K4194" i="88"/>
  <c r="K4195" i="88"/>
  <c r="K4196" i="88"/>
  <c r="K4197" i="88"/>
  <c r="K4198" i="88"/>
  <c r="K4199" i="88"/>
  <c r="K4200" i="88"/>
  <c r="K4201" i="88"/>
  <c r="K4202" i="88"/>
  <c r="K4203" i="88"/>
  <c r="K4204" i="88"/>
  <c r="K4205" i="88"/>
  <c r="K4206" i="88"/>
  <c r="K4207" i="88"/>
  <c r="K4208" i="88"/>
  <c r="K4209" i="88"/>
  <c r="K4210" i="88"/>
  <c r="K4211" i="88"/>
  <c r="K4212" i="88"/>
  <c r="K4213" i="88"/>
  <c r="K4214" i="88"/>
  <c r="K4215" i="88"/>
  <c r="K4216" i="88"/>
  <c r="K4217" i="88"/>
  <c r="K4218" i="88"/>
  <c r="K4219" i="88"/>
  <c r="K4220" i="88"/>
  <c r="K4221" i="88"/>
  <c r="K4222" i="88"/>
  <c r="K4223" i="88"/>
  <c r="K4224" i="88"/>
  <c r="K4225" i="88"/>
  <c r="K4226" i="88"/>
  <c r="K4227" i="88"/>
  <c r="K4228" i="88"/>
  <c r="K4229" i="88"/>
  <c r="K4230" i="88"/>
  <c r="K4231" i="88"/>
  <c r="K4232" i="88"/>
  <c r="K4233" i="88"/>
  <c r="K4234" i="88"/>
  <c r="K4235" i="88"/>
  <c r="K4236" i="88"/>
  <c r="K4237" i="88"/>
  <c r="K4238" i="88"/>
  <c r="K4239" i="88"/>
  <c r="K4240" i="88"/>
  <c r="K4241" i="88"/>
  <c r="K4242" i="88"/>
  <c r="K4243" i="88"/>
  <c r="K4244" i="88"/>
  <c r="K4245" i="88"/>
  <c r="K4246" i="88"/>
  <c r="K4247" i="88"/>
  <c r="K4248" i="88"/>
  <c r="K4249" i="88"/>
  <c r="K4250" i="88"/>
  <c r="K4251" i="88"/>
  <c r="K4252" i="88"/>
  <c r="K4253" i="88"/>
  <c r="K4254" i="88"/>
  <c r="K4255" i="88"/>
  <c r="K4256" i="88"/>
  <c r="K4257" i="88"/>
  <c r="K4258" i="88"/>
  <c r="K4259" i="88"/>
  <c r="K4260" i="88"/>
  <c r="K4261" i="88"/>
  <c r="K4262" i="88"/>
  <c r="K4263" i="88"/>
  <c r="K4264" i="88"/>
  <c r="K4265" i="88"/>
  <c r="K4266" i="88"/>
  <c r="K4267" i="88"/>
  <c r="K4268" i="88"/>
  <c r="K4269" i="88"/>
  <c r="K4270" i="88"/>
  <c r="K4271" i="88"/>
  <c r="K4272" i="88"/>
  <c r="K4273" i="88"/>
  <c r="K4274" i="88"/>
  <c r="K4275" i="88"/>
  <c r="K4276" i="88"/>
  <c r="K4277" i="88"/>
  <c r="K4278" i="88"/>
  <c r="K4279" i="88"/>
  <c r="K4280" i="88"/>
  <c r="K4281" i="88"/>
  <c r="K4282" i="88"/>
  <c r="K4283" i="88"/>
  <c r="K4284" i="88"/>
  <c r="K4285" i="88"/>
  <c r="K4286" i="88"/>
  <c r="K4287" i="88"/>
  <c r="K4288" i="88"/>
  <c r="K4289" i="88"/>
  <c r="K4290" i="88"/>
  <c r="K4291" i="88"/>
  <c r="K4292" i="88"/>
  <c r="K4293" i="88"/>
  <c r="K4294" i="88"/>
  <c r="K4295" i="88"/>
  <c r="K4296" i="88"/>
  <c r="K4297" i="88"/>
  <c r="K4298" i="88"/>
  <c r="K4299" i="88"/>
  <c r="K4300" i="88"/>
  <c r="K4301" i="88"/>
  <c r="K4302" i="88"/>
  <c r="K4303" i="88"/>
  <c r="K4304" i="88"/>
  <c r="K4305" i="88"/>
  <c r="K4306" i="88"/>
  <c r="K4307" i="88"/>
  <c r="K4308" i="88"/>
  <c r="K4309" i="88"/>
  <c r="K4310" i="88"/>
  <c r="K4311" i="88"/>
  <c r="K4312" i="88"/>
  <c r="K4313" i="88"/>
  <c r="K4314" i="88"/>
  <c r="K4315" i="88"/>
  <c r="K4316" i="88"/>
  <c r="K4317" i="88"/>
  <c r="K4318" i="88"/>
  <c r="K4319" i="88"/>
  <c r="K4320" i="88"/>
  <c r="K4321" i="88"/>
  <c r="K4322" i="88"/>
  <c r="K4323" i="88"/>
  <c r="K4324" i="88"/>
  <c r="K4325" i="88"/>
  <c r="K4326" i="88"/>
  <c r="K4327" i="88"/>
  <c r="K4328" i="88"/>
  <c r="K4329" i="88"/>
  <c r="K4330" i="88"/>
  <c r="K4331" i="88"/>
  <c r="K4332" i="88"/>
  <c r="K4333" i="88"/>
  <c r="K4334" i="88"/>
  <c r="K4335" i="88"/>
  <c r="K4336" i="88"/>
  <c r="K4337" i="88"/>
  <c r="K4338" i="88"/>
  <c r="K4339" i="88"/>
  <c r="K4340" i="88"/>
  <c r="K4341" i="88"/>
  <c r="K4342" i="88"/>
  <c r="K4343" i="88"/>
  <c r="K4344" i="88"/>
  <c r="K4345" i="88"/>
  <c r="K4346" i="88"/>
  <c r="K4347" i="88"/>
  <c r="K4348" i="88"/>
  <c r="K4349" i="88"/>
  <c r="K4350" i="88"/>
  <c r="K4351" i="88"/>
  <c r="K4352" i="88"/>
  <c r="K4353" i="88"/>
  <c r="K4354" i="88"/>
  <c r="K4355" i="88"/>
  <c r="K4356" i="88"/>
  <c r="K4357" i="88"/>
  <c r="K4358" i="88"/>
  <c r="K4359" i="88"/>
  <c r="K4360" i="88"/>
  <c r="K4361" i="88"/>
  <c r="K4362" i="88"/>
  <c r="K4363" i="88"/>
  <c r="K4364" i="88"/>
  <c r="K4365" i="88"/>
  <c r="K4366" i="88"/>
  <c r="K4367" i="88"/>
  <c r="K4368" i="88"/>
  <c r="K4369" i="88"/>
  <c r="K4370" i="88"/>
  <c r="K4371" i="88"/>
  <c r="K4372" i="88"/>
  <c r="K4373" i="88"/>
  <c r="K4374" i="88"/>
  <c r="K4375" i="88"/>
  <c r="K4376" i="88"/>
  <c r="K4377" i="88"/>
  <c r="K4378" i="88"/>
  <c r="K4379" i="88"/>
  <c r="K4380" i="88"/>
  <c r="K4381" i="88"/>
  <c r="K4382" i="88"/>
  <c r="K4383" i="88"/>
  <c r="K4384" i="88"/>
  <c r="K4385" i="88"/>
  <c r="K4386" i="88"/>
  <c r="K4387" i="88"/>
  <c r="K4388" i="88"/>
  <c r="K4389" i="88"/>
  <c r="K4390" i="88"/>
  <c r="K4391" i="88"/>
  <c r="K4392" i="88"/>
  <c r="K4393" i="88"/>
  <c r="K4394" i="88"/>
  <c r="K4395" i="88"/>
  <c r="K4396" i="88"/>
  <c r="K4397" i="88"/>
  <c r="K4398" i="88"/>
  <c r="K4399" i="88"/>
  <c r="K4400" i="88"/>
  <c r="K4401" i="88"/>
  <c r="K4402" i="88"/>
  <c r="K4403" i="88"/>
  <c r="K4404" i="88"/>
  <c r="K4405" i="88"/>
  <c r="K4406" i="88"/>
  <c r="K4407" i="88"/>
  <c r="K4408" i="88"/>
  <c r="K4409" i="88"/>
  <c r="K4410" i="88"/>
  <c r="K4411" i="88"/>
  <c r="K4412" i="88"/>
  <c r="K4413" i="88"/>
  <c r="K4414" i="88"/>
  <c r="K4415" i="88"/>
  <c r="K4416" i="88"/>
  <c r="K4417" i="88"/>
  <c r="K4418" i="88"/>
  <c r="K4419" i="88"/>
  <c r="K4420" i="88"/>
  <c r="K4421" i="88"/>
  <c r="K4422" i="88"/>
  <c r="K4423" i="88"/>
  <c r="K4424" i="88"/>
  <c r="K4425" i="88"/>
  <c r="K4426" i="88"/>
  <c r="K4427" i="88"/>
  <c r="K4428" i="88"/>
  <c r="K4429" i="88"/>
  <c r="K4430" i="88"/>
  <c r="K4431" i="88"/>
  <c r="K4432" i="88"/>
  <c r="K4433" i="88"/>
  <c r="K4434" i="88"/>
  <c r="K4435" i="88"/>
  <c r="K4436" i="88"/>
  <c r="K4437" i="88"/>
  <c r="K4438" i="88"/>
  <c r="K4439" i="88"/>
  <c r="K4440" i="88"/>
  <c r="K4441" i="88"/>
  <c r="K4442" i="88"/>
  <c r="K4443" i="88"/>
  <c r="K4444" i="88"/>
  <c r="K4445" i="88"/>
  <c r="K4446" i="88"/>
  <c r="K4447" i="88"/>
  <c r="K4448" i="88"/>
  <c r="K4449" i="88"/>
  <c r="K4450" i="88"/>
  <c r="K4451" i="88"/>
  <c r="K4452" i="88"/>
  <c r="K4453" i="88"/>
  <c r="K4454" i="88"/>
  <c r="K4455" i="88"/>
  <c r="K4456" i="88"/>
  <c r="K4457" i="88"/>
  <c r="K4458" i="88"/>
  <c r="K4459" i="88"/>
  <c r="K4460" i="88"/>
  <c r="K4461" i="88"/>
  <c r="K4462" i="88"/>
  <c r="K4463" i="88"/>
  <c r="K4464" i="88"/>
  <c r="K4465" i="88"/>
  <c r="K4466" i="88"/>
  <c r="K4467" i="88"/>
  <c r="K4468" i="88"/>
  <c r="K4469" i="88"/>
  <c r="K4470" i="88"/>
  <c r="K4471" i="88"/>
  <c r="K4472" i="88"/>
  <c r="K4473" i="88"/>
  <c r="K4474" i="88"/>
  <c r="K4475" i="88"/>
  <c r="K4476" i="88"/>
  <c r="K4477" i="88"/>
  <c r="K4478" i="88"/>
  <c r="K4479" i="88"/>
  <c r="K4480" i="88"/>
  <c r="K4481" i="88"/>
  <c r="K4482" i="88"/>
  <c r="K4483" i="88"/>
  <c r="K4484" i="88"/>
  <c r="K4485" i="88"/>
  <c r="K4486" i="88"/>
  <c r="K4487" i="88"/>
  <c r="K4488" i="88"/>
  <c r="K4489" i="88"/>
  <c r="K4490" i="88"/>
  <c r="K4491" i="88"/>
  <c r="K4492" i="88"/>
  <c r="K4493" i="88"/>
  <c r="K4494" i="88"/>
  <c r="K4495" i="88"/>
  <c r="K4496" i="88"/>
  <c r="K4497" i="88"/>
  <c r="K4498" i="88"/>
  <c r="K4499" i="88"/>
  <c r="K4500" i="88"/>
  <c r="K4501" i="88"/>
  <c r="K4502" i="88"/>
  <c r="K4503" i="88"/>
  <c r="K4504" i="88"/>
  <c r="K4505" i="88"/>
  <c r="K4506" i="88"/>
  <c r="K4507" i="88"/>
  <c r="K4508" i="88"/>
  <c r="K4509" i="88"/>
  <c r="K4510" i="88"/>
  <c r="K4511" i="88"/>
  <c r="K4512" i="88"/>
  <c r="K4513" i="88"/>
  <c r="K4514" i="88"/>
  <c r="K4515" i="88"/>
  <c r="K4516" i="88"/>
  <c r="K4517" i="88"/>
  <c r="K4518" i="88"/>
  <c r="K4519" i="88"/>
  <c r="K4520" i="88"/>
  <c r="K4521" i="88"/>
  <c r="K4522" i="88"/>
  <c r="K4523" i="88"/>
  <c r="K4524" i="88"/>
  <c r="K4525" i="88"/>
  <c r="K4526" i="88"/>
  <c r="K4527" i="88"/>
  <c r="K4528" i="88"/>
  <c r="K4529" i="88"/>
  <c r="K4530" i="88"/>
  <c r="K4531" i="88"/>
  <c r="K4532" i="88"/>
  <c r="K4533" i="88"/>
  <c r="K4534" i="88"/>
  <c r="K4535" i="88"/>
  <c r="K4536" i="88"/>
  <c r="K4537" i="88"/>
  <c r="K4538" i="88"/>
  <c r="K4539" i="88"/>
  <c r="K4540" i="88"/>
  <c r="K4541" i="88"/>
  <c r="K4542" i="88"/>
  <c r="K4543" i="88"/>
  <c r="K4544" i="88"/>
  <c r="K4545" i="88"/>
  <c r="K4546" i="88"/>
  <c r="K4547" i="88"/>
  <c r="K4548" i="88"/>
  <c r="K4549" i="88"/>
  <c r="K4550" i="88"/>
  <c r="K4551" i="88"/>
  <c r="K4552" i="88"/>
  <c r="K4553" i="88"/>
  <c r="K4554" i="88"/>
  <c r="K4555" i="88"/>
  <c r="K4556" i="88"/>
  <c r="K4557" i="88"/>
  <c r="K4558" i="88"/>
  <c r="K4559" i="88"/>
  <c r="K4560" i="88"/>
  <c r="K4561" i="88"/>
  <c r="K4562" i="88"/>
  <c r="K4563" i="88"/>
  <c r="K4564" i="88"/>
  <c r="K4565" i="88"/>
  <c r="K4566" i="88"/>
  <c r="K4567" i="88"/>
  <c r="K4568" i="88"/>
  <c r="K4569" i="88"/>
  <c r="K4570" i="88"/>
  <c r="K4571" i="88"/>
  <c r="K4572" i="88"/>
  <c r="K4573" i="88"/>
  <c r="K4574" i="88"/>
  <c r="K4575" i="88"/>
  <c r="K4576" i="88"/>
  <c r="K4577" i="88"/>
  <c r="K4578" i="88"/>
  <c r="K4579" i="88"/>
  <c r="K4580" i="88"/>
  <c r="K4581" i="88"/>
  <c r="K4582" i="88"/>
  <c r="K4583" i="88"/>
  <c r="K4584" i="88"/>
  <c r="K4585" i="88"/>
  <c r="K4586" i="88"/>
  <c r="K4587" i="88"/>
  <c r="K4588" i="88"/>
  <c r="K4589" i="88"/>
  <c r="K4590" i="88"/>
  <c r="K4591" i="88"/>
  <c r="K4592" i="88"/>
  <c r="K4593" i="88"/>
  <c r="K4594" i="88"/>
  <c r="K4595" i="88"/>
  <c r="K4596" i="88"/>
  <c r="K4597" i="88"/>
  <c r="K4598" i="88"/>
  <c r="K4599" i="88"/>
  <c r="K4600" i="88"/>
  <c r="K4601" i="88"/>
  <c r="K4602" i="88"/>
  <c r="K4603" i="88"/>
  <c r="K4604" i="88"/>
  <c r="K4605" i="88"/>
  <c r="K4606" i="88"/>
  <c r="K4607" i="88"/>
  <c r="K4608" i="88"/>
  <c r="K4609" i="88"/>
  <c r="K4610" i="88"/>
  <c r="K4611" i="88"/>
  <c r="K4612" i="88"/>
  <c r="K4613" i="88"/>
  <c r="K4614" i="88"/>
  <c r="K4615" i="88"/>
  <c r="K4616" i="88"/>
  <c r="K4617" i="88"/>
  <c r="K4618" i="88"/>
  <c r="K4619" i="88"/>
  <c r="K4620" i="88"/>
  <c r="K4621" i="88"/>
  <c r="K4622" i="88"/>
  <c r="K4623" i="88"/>
  <c r="K4624" i="88"/>
  <c r="K4625" i="88"/>
  <c r="K4626" i="88"/>
  <c r="K4627" i="88"/>
  <c r="K4628" i="88"/>
  <c r="K4629" i="88"/>
  <c r="K4630" i="88"/>
  <c r="K4631" i="88"/>
  <c r="K4632" i="88"/>
  <c r="K4633" i="88"/>
  <c r="K4634" i="88"/>
  <c r="K4635" i="88"/>
  <c r="K4636" i="88"/>
  <c r="K4637" i="88"/>
  <c r="K4638" i="88"/>
  <c r="K4639" i="88"/>
  <c r="K4640" i="88"/>
  <c r="K4641" i="88"/>
  <c r="K4642" i="88"/>
  <c r="K4643" i="88"/>
  <c r="K4644" i="88"/>
  <c r="K4645" i="88"/>
  <c r="K4646" i="88"/>
  <c r="K4647" i="88"/>
  <c r="K4648" i="88"/>
  <c r="K4649" i="88"/>
  <c r="K4650" i="88"/>
  <c r="K4651" i="88"/>
  <c r="K4652" i="88"/>
  <c r="K4653" i="88"/>
  <c r="K4654" i="88"/>
  <c r="K4655" i="88"/>
  <c r="K4656" i="88"/>
  <c r="K4657" i="88"/>
  <c r="K4658" i="88"/>
  <c r="K4659" i="88"/>
  <c r="K4660" i="88"/>
  <c r="K4661" i="88"/>
  <c r="K4662" i="88"/>
  <c r="K4663" i="88"/>
  <c r="K4664" i="88"/>
  <c r="K4665" i="88"/>
  <c r="K4666" i="88"/>
  <c r="K4667" i="88"/>
  <c r="K4668" i="88"/>
  <c r="K4669" i="88"/>
  <c r="K4670" i="88"/>
  <c r="K4671" i="88"/>
  <c r="K4672" i="88"/>
  <c r="K4673" i="88"/>
  <c r="K4674" i="88"/>
  <c r="K4675" i="88"/>
  <c r="K4676" i="88"/>
  <c r="K4677" i="88"/>
  <c r="K4678" i="88"/>
  <c r="K4679" i="88"/>
  <c r="K4680" i="88"/>
  <c r="K4681" i="88"/>
  <c r="K4682" i="88"/>
  <c r="K4683" i="88"/>
  <c r="K4684" i="88"/>
  <c r="K4685" i="88"/>
  <c r="K4686" i="88"/>
  <c r="K4687" i="88"/>
  <c r="K4688" i="88"/>
  <c r="K4689" i="88"/>
  <c r="K4690" i="88"/>
  <c r="K4691" i="88"/>
  <c r="K4692" i="88"/>
  <c r="K4693" i="88"/>
  <c r="K4694" i="88"/>
  <c r="K4695" i="88"/>
  <c r="K4696" i="88"/>
  <c r="K4697" i="88"/>
  <c r="K4698" i="88"/>
  <c r="K4699" i="88"/>
  <c r="K4700" i="88"/>
  <c r="K4701" i="88"/>
  <c r="K4702" i="88"/>
  <c r="K4703" i="88"/>
  <c r="K4704" i="88"/>
  <c r="K4705" i="88"/>
  <c r="K4706" i="88"/>
  <c r="K4707" i="88"/>
  <c r="K4708" i="88"/>
  <c r="K4709" i="88"/>
  <c r="K4710" i="88"/>
  <c r="K4711" i="88"/>
  <c r="K4712" i="88"/>
  <c r="K4713" i="88"/>
  <c r="K4714" i="88"/>
  <c r="K4715" i="88"/>
  <c r="K4716" i="88"/>
  <c r="K4717" i="88"/>
  <c r="K4718" i="88"/>
  <c r="K4719" i="88"/>
  <c r="K4720" i="88"/>
  <c r="K4721" i="88"/>
  <c r="K4722" i="88"/>
  <c r="K4723" i="88"/>
  <c r="K4724" i="88"/>
  <c r="K4725" i="88"/>
  <c r="K4726" i="88"/>
  <c r="K4727" i="88"/>
  <c r="K4728" i="88"/>
  <c r="K4729" i="88"/>
  <c r="K4730" i="88"/>
  <c r="K4731" i="88"/>
  <c r="K4732" i="88"/>
  <c r="K4733" i="88"/>
  <c r="K4734" i="88"/>
  <c r="K4735" i="88"/>
  <c r="K4736" i="88"/>
  <c r="K4737" i="88"/>
  <c r="K4738" i="88"/>
  <c r="K4739" i="88"/>
  <c r="K4740" i="88"/>
  <c r="K4741" i="88"/>
  <c r="K4742" i="88"/>
  <c r="K4743" i="88"/>
  <c r="K4744" i="88"/>
  <c r="K4745" i="88"/>
  <c r="K4746" i="88"/>
  <c r="K4747" i="88"/>
  <c r="K4748" i="88"/>
  <c r="K4749" i="88"/>
  <c r="K4750" i="88"/>
  <c r="K4751" i="88"/>
  <c r="K4752" i="88"/>
  <c r="K4753" i="88"/>
  <c r="K4754" i="88"/>
  <c r="K4755" i="88"/>
  <c r="K4756" i="88"/>
  <c r="K4757" i="88"/>
  <c r="K4758" i="88"/>
  <c r="K4759" i="88"/>
  <c r="K4760" i="88"/>
  <c r="K4761" i="88"/>
  <c r="K4762" i="88"/>
  <c r="K4763" i="88"/>
  <c r="K4764" i="88"/>
  <c r="K4765" i="88"/>
  <c r="K4766" i="88"/>
  <c r="K4767" i="88"/>
  <c r="K4768" i="88"/>
  <c r="K4769" i="88"/>
  <c r="K4770" i="88"/>
  <c r="K4771" i="88"/>
  <c r="K4772" i="88"/>
  <c r="K4773" i="88"/>
  <c r="K4774" i="88"/>
  <c r="K4775" i="88"/>
  <c r="K4776" i="88"/>
  <c r="K4777" i="88"/>
  <c r="K4778" i="88"/>
  <c r="K4779" i="88"/>
  <c r="K4780" i="88"/>
  <c r="K4781" i="88"/>
  <c r="K4782" i="88"/>
  <c r="K4783" i="88"/>
  <c r="K4784" i="88"/>
  <c r="K4785" i="88"/>
  <c r="K4786" i="88"/>
  <c r="K4787" i="88"/>
  <c r="K4788" i="88"/>
  <c r="K4789" i="88"/>
  <c r="K4790" i="88"/>
  <c r="K4791" i="88"/>
  <c r="K4792" i="88"/>
  <c r="K4793" i="88"/>
  <c r="K4794" i="88"/>
  <c r="K4795" i="88"/>
  <c r="K4796" i="88"/>
  <c r="K4797" i="88"/>
  <c r="K4798" i="88"/>
  <c r="K4799" i="88"/>
  <c r="K4800" i="88"/>
  <c r="K4801" i="88"/>
  <c r="K4802" i="88"/>
  <c r="K4803" i="88"/>
  <c r="K4804" i="88"/>
  <c r="K4805" i="88"/>
  <c r="K4806" i="88"/>
  <c r="K4807" i="88"/>
  <c r="K4808" i="88"/>
  <c r="K4809" i="88"/>
  <c r="K4810" i="88"/>
  <c r="K4811" i="88"/>
  <c r="K4812" i="88"/>
  <c r="K4813" i="88"/>
  <c r="K4814" i="88"/>
  <c r="K4815" i="88"/>
  <c r="K4816" i="88"/>
  <c r="K4817" i="88"/>
  <c r="K4818" i="88"/>
  <c r="K4819" i="88"/>
  <c r="K4820" i="88"/>
  <c r="K4821" i="88"/>
  <c r="K4822" i="88"/>
  <c r="K4823" i="88"/>
  <c r="K4824" i="88"/>
  <c r="K4825" i="88"/>
  <c r="K4826" i="88"/>
  <c r="K4827" i="88"/>
  <c r="K4828" i="88"/>
  <c r="K4829" i="88"/>
  <c r="K4830" i="88"/>
  <c r="K4831" i="88"/>
  <c r="K4832" i="88"/>
  <c r="K4833" i="88"/>
  <c r="K4834" i="88"/>
  <c r="K4835" i="88"/>
  <c r="K4836" i="88"/>
  <c r="K4837" i="88"/>
  <c r="K4838" i="88"/>
  <c r="K4839" i="88"/>
  <c r="K4840" i="88"/>
  <c r="K4841" i="88"/>
  <c r="K4842" i="88"/>
  <c r="K4843" i="88"/>
  <c r="K4844" i="88"/>
  <c r="K4845" i="88"/>
  <c r="K4846" i="88"/>
  <c r="K4847" i="88"/>
  <c r="K4848" i="88"/>
  <c r="K4849" i="88"/>
  <c r="K4850" i="88"/>
  <c r="K4851" i="88"/>
  <c r="K4852" i="88"/>
  <c r="K4853" i="88"/>
  <c r="K4854" i="88"/>
  <c r="K4855" i="88"/>
  <c r="K4856" i="88"/>
  <c r="K4857" i="88"/>
  <c r="K4858" i="88"/>
  <c r="K4859" i="88"/>
  <c r="K4860" i="88"/>
  <c r="K4861" i="88"/>
  <c r="K4862" i="88"/>
  <c r="K4863" i="88"/>
  <c r="K4864" i="88"/>
  <c r="K4865" i="88"/>
  <c r="K4866" i="88"/>
  <c r="K4867" i="88"/>
  <c r="K4868" i="88"/>
  <c r="K4869" i="88"/>
  <c r="K4870" i="88"/>
  <c r="K4871" i="88"/>
  <c r="K4872" i="88"/>
  <c r="K4873" i="88"/>
  <c r="K4874" i="88"/>
  <c r="K4875" i="88"/>
  <c r="K4876" i="88"/>
  <c r="K4877" i="88"/>
  <c r="K4878" i="88"/>
  <c r="K4879" i="88"/>
  <c r="K4880" i="88"/>
  <c r="K4881" i="88"/>
  <c r="K4882" i="88"/>
  <c r="K4883" i="88"/>
  <c r="K4884" i="88"/>
  <c r="K4885" i="88"/>
  <c r="K4886" i="88"/>
  <c r="K4887" i="88"/>
  <c r="K4888" i="88"/>
  <c r="K4889" i="88"/>
  <c r="K4890" i="88"/>
  <c r="K4891" i="88"/>
  <c r="K4892" i="88"/>
  <c r="K4893" i="88"/>
  <c r="K4894" i="88"/>
  <c r="K4895" i="88"/>
  <c r="K4896" i="88"/>
  <c r="K4897" i="88"/>
  <c r="K4898" i="88"/>
  <c r="K4899" i="88"/>
  <c r="K4900" i="88"/>
  <c r="K4901" i="88"/>
  <c r="K4902" i="88"/>
  <c r="K4903" i="88"/>
  <c r="K4904" i="88"/>
  <c r="K4905" i="88"/>
  <c r="K4906" i="88"/>
  <c r="K4907" i="88"/>
  <c r="K4908" i="88"/>
  <c r="K4909" i="88"/>
  <c r="K4910" i="88"/>
  <c r="K4911" i="88"/>
  <c r="K4912" i="88"/>
  <c r="K4913" i="88"/>
  <c r="K4914" i="88"/>
  <c r="K4915" i="88"/>
  <c r="K4916" i="88"/>
  <c r="K4917" i="88"/>
  <c r="K4918" i="88"/>
  <c r="K4919" i="88"/>
  <c r="K4920" i="88"/>
  <c r="K4921" i="88"/>
  <c r="K4922" i="88"/>
  <c r="K4923" i="88"/>
  <c r="K4924" i="88"/>
  <c r="K4925" i="88"/>
  <c r="K4926" i="88"/>
  <c r="K4927" i="88"/>
  <c r="K4928" i="88"/>
  <c r="K4929" i="88"/>
  <c r="K4930" i="88"/>
  <c r="K4931" i="88"/>
  <c r="K4932" i="88"/>
  <c r="K4933" i="88"/>
  <c r="K4934" i="88"/>
  <c r="K4935" i="88"/>
  <c r="K4936" i="88"/>
  <c r="K4937" i="88"/>
  <c r="K4938" i="88"/>
  <c r="K4939" i="88"/>
  <c r="K4940" i="88"/>
  <c r="K4941" i="88"/>
  <c r="K4942" i="88"/>
  <c r="K4943" i="88"/>
  <c r="K4944" i="88"/>
  <c r="K4945" i="88"/>
  <c r="K4946" i="88"/>
  <c r="K4947" i="88"/>
  <c r="K4948" i="88"/>
  <c r="K4949" i="88"/>
  <c r="K4950" i="88"/>
  <c r="K4951" i="88"/>
  <c r="K4952" i="88"/>
  <c r="K4953" i="88"/>
  <c r="K4954" i="88"/>
  <c r="K4955" i="88"/>
  <c r="K4956" i="88"/>
  <c r="K4957" i="88"/>
  <c r="K4958" i="88"/>
  <c r="K4959" i="88"/>
  <c r="K4960" i="88"/>
  <c r="K4961" i="88"/>
  <c r="K4962" i="88"/>
  <c r="K4963" i="88"/>
  <c r="K4964" i="88"/>
  <c r="K4965" i="88"/>
  <c r="K4966" i="88"/>
  <c r="K4967" i="88"/>
  <c r="K4968" i="88"/>
  <c r="K4969" i="88"/>
  <c r="K4970" i="88"/>
  <c r="K4971" i="88"/>
  <c r="K4972" i="88"/>
  <c r="K4973" i="88"/>
  <c r="K4974" i="88"/>
  <c r="K4975" i="88"/>
  <c r="K4976" i="88"/>
  <c r="K4977" i="88"/>
  <c r="K4978" i="88"/>
  <c r="K4979" i="88"/>
  <c r="K4980" i="88"/>
  <c r="K4981" i="88"/>
  <c r="K4982" i="88"/>
  <c r="K4983" i="88"/>
  <c r="K4984" i="88"/>
  <c r="K4985" i="88"/>
  <c r="K4986" i="88"/>
  <c r="K4987" i="88"/>
  <c r="K4988" i="88"/>
  <c r="K4989" i="88"/>
  <c r="K4990" i="88"/>
  <c r="K4991" i="88"/>
  <c r="K4992" i="88"/>
  <c r="K4993" i="88"/>
  <c r="K4994" i="88"/>
  <c r="K4995" i="88"/>
  <c r="K4996" i="88"/>
  <c r="K4997" i="88"/>
  <c r="K4998" i="88"/>
  <c r="K4999" i="88"/>
  <c r="K5000" i="88"/>
  <c r="K5001" i="88"/>
  <c r="K5002" i="88"/>
  <c r="K5003" i="88"/>
  <c r="K5004" i="88"/>
  <c r="K5005" i="88"/>
  <c r="K5006" i="88"/>
  <c r="K5007" i="88"/>
  <c r="K5008" i="88"/>
  <c r="K5009" i="88"/>
  <c r="K5010" i="88"/>
  <c r="K5011" i="88"/>
  <c r="K5012" i="88"/>
  <c r="K5013" i="88"/>
  <c r="K5014" i="88"/>
  <c r="K5015" i="88"/>
  <c r="K5016" i="88"/>
  <c r="K5017" i="88"/>
  <c r="K5018" i="88"/>
  <c r="K5019" i="88"/>
  <c r="K5020" i="88"/>
  <c r="K5021" i="88"/>
  <c r="K5022" i="88"/>
  <c r="K5023" i="88"/>
  <c r="K5024" i="88"/>
  <c r="K5025" i="88"/>
  <c r="K5026" i="88"/>
  <c r="K5027" i="88"/>
  <c r="K5028" i="88"/>
  <c r="K5029" i="88"/>
  <c r="K5030" i="88"/>
  <c r="K5031" i="88"/>
  <c r="K5032" i="88"/>
  <c r="K5033" i="88"/>
  <c r="K5034" i="88"/>
  <c r="K5035" i="88"/>
  <c r="K5036" i="88"/>
  <c r="K5037" i="88"/>
  <c r="K5038" i="88"/>
  <c r="K5039" i="88"/>
  <c r="K5040" i="88"/>
  <c r="K5041" i="88"/>
  <c r="K5042" i="88"/>
  <c r="K5043" i="88"/>
  <c r="K5044" i="88"/>
  <c r="K5045" i="88"/>
  <c r="K5046" i="88"/>
  <c r="K5047" i="88"/>
  <c r="K5048" i="88"/>
  <c r="K5049" i="88"/>
  <c r="K5050" i="88"/>
  <c r="K5051" i="88"/>
  <c r="K5052" i="88"/>
  <c r="K5053" i="88"/>
  <c r="K5054" i="88"/>
  <c r="K5055" i="88"/>
  <c r="K5056" i="88"/>
  <c r="K5057" i="88"/>
  <c r="K5058" i="88"/>
  <c r="K5059" i="88"/>
  <c r="K5060" i="88"/>
  <c r="K5061" i="88"/>
  <c r="K5062" i="88"/>
  <c r="K5063" i="88"/>
  <c r="K5064" i="88"/>
  <c r="K5065" i="88"/>
  <c r="K5066" i="88"/>
  <c r="K5067" i="88"/>
  <c r="K5068" i="88"/>
  <c r="K5069" i="88"/>
  <c r="K5070" i="88"/>
  <c r="K5071" i="88"/>
  <c r="K5072" i="88"/>
  <c r="K5073" i="88"/>
  <c r="K5074" i="88"/>
  <c r="K5075" i="88"/>
  <c r="K5076" i="88"/>
  <c r="K5077" i="88"/>
  <c r="K5078" i="88"/>
  <c r="K5079" i="88"/>
  <c r="K5080" i="88"/>
  <c r="K5081" i="88"/>
  <c r="K5082" i="88"/>
  <c r="K5083" i="88"/>
  <c r="K5084" i="88"/>
  <c r="K5085" i="88"/>
  <c r="K5086" i="88"/>
  <c r="K5087" i="88"/>
  <c r="K5088" i="88"/>
  <c r="K5089" i="88"/>
  <c r="K5090" i="88"/>
  <c r="K5091" i="88"/>
  <c r="K5092" i="88"/>
  <c r="K5093" i="88"/>
  <c r="K5094" i="88"/>
  <c r="K5095" i="88"/>
  <c r="K5096" i="88"/>
  <c r="K5097" i="88"/>
  <c r="K5098" i="88"/>
  <c r="K5099" i="88"/>
  <c r="K5100" i="88"/>
  <c r="K5101" i="88"/>
  <c r="K5102" i="88"/>
  <c r="K5103" i="88"/>
  <c r="K5104" i="88"/>
  <c r="K5105" i="88"/>
  <c r="K5106" i="88"/>
  <c r="K5107" i="88"/>
  <c r="K5108" i="88"/>
  <c r="K5109" i="88"/>
  <c r="K5110" i="88"/>
  <c r="K5111" i="88"/>
  <c r="K5112" i="88"/>
  <c r="K5113" i="88"/>
  <c r="K5114" i="88"/>
  <c r="K5115" i="88"/>
  <c r="K5116" i="88"/>
  <c r="K5117" i="88"/>
  <c r="K5118" i="88"/>
  <c r="K5119" i="88"/>
  <c r="K5120" i="88"/>
  <c r="K5121" i="88"/>
  <c r="K5122" i="88"/>
  <c r="K5123" i="88"/>
  <c r="K5124" i="88"/>
  <c r="K5125" i="88"/>
  <c r="K5126" i="88"/>
  <c r="K5127" i="88"/>
  <c r="K5128" i="88"/>
  <c r="K5129" i="88"/>
  <c r="K5130" i="88"/>
  <c r="K5131" i="88"/>
  <c r="K5132" i="88"/>
  <c r="K5133" i="88"/>
  <c r="K5134" i="88"/>
  <c r="K5135" i="88"/>
  <c r="K5136" i="88"/>
  <c r="K5137" i="88"/>
  <c r="K5138" i="88"/>
  <c r="K5139" i="88"/>
  <c r="K5140" i="88"/>
  <c r="K5141" i="88"/>
  <c r="K5142" i="88"/>
  <c r="K5143" i="88"/>
  <c r="K5144" i="88"/>
  <c r="K5145" i="88"/>
  <c r="K5146" i="88"/>
  <c r="K5147" i="88"/>
  <c r="K5148" i="88"/>
  <c r="K5149" i="88"/>
  <c r="K5150" i="88"/>
  <c r="K5151" i="88"/>
  <c r="K5152" i="88"/>
  <c r="K5153" i="88"/>
  <c r="K5154" i="88"/>
  <c r="K5155" i="88"/>
  <c r="K5156" i="88"/>
  <c r="K5157" i="88"/>
  <c r="K5158" i="88"/>
  <c r="K5159" i="88"/>
  <c r="K5160" i="88"/>
  <c r="K5161" i="88"/>
  <c r="K5162" i="88"/>
  <c r="K5163" i="88"/>
  <c r="K5164" i="88"/>
  <c r="K5165" i="88"/>
  <c r="K5166" i="88"/>
  <c r="K5167" i="88"/>
  <c r="K5168" i="88"/>
  <c r="K5169" i="88"/>
  <c r="K5170" i="88"/>
  <c r="K5171" i="88"/>
  <c r="K5172" i="88"/>
  <c r="K5173" i="88"/>
  <c r="K5174" i="88"/>
  <c r="K5175" i="88"/>
  <c r="K5176" i="88"/>
  <c r="K5177" i="88"/>
  <c r="K5178" i="88"/>
  <c r="K5179" i="88"/>
  <c r="K5180" i="88"/>
  <c r="K5181" i="88"/>
  <c r="K5182" i="88"/>
  <c r="K5183" i="88"/>
  <c r="K5184" i="88"/>
  <c r="K5185" i="88"/>
  <c r="K5186" i="88"/>
  <c r="K5187" i="88"/>
  <c r="K5188" i="88"/>
  <c r="K5189" i="88"/>
  <c r="K5190" i="88"/>
  <c r="K5191" i="88"/>
  <c r="K5192" i="88"/>
  <c r="K5193" i="88"/>
  <c r="K5194" i="88"/>
  <c r="K5195" i="88"/>
  <c r="K5196" i="88"/>
  <c r="K5197" i="88"/>
  <c r="K5198" i="88"/>
  <c r="K5199" i="88"/>
  <c r="K5200" i="88"/>
  <c r="K5201" i="88"/>
  <c r="K5202" i="88"/>
  <c r="K5203" i="88"/>
  <c r="K5204" i="88"/>
  <c r="K5205" i="88"/>
  <c r="K5206" i="88"/>
  <c r="K5207" i="88"/>
  <c r="K5208" i="88"/>
  <c r="K5209" i="88"/>
  <c r="K5210" i="88"/>
  <c r="K5211" i="88"/>
  <c r="K5212" i="88"/>
  <c r="K5213" i="88"/>
  <c r="K5214" i="88"/>
  <c r="K5215" i="88"/>
  <c r="K5216" i="88"/>
  <c r="K5217" i="88"/>
  <c r="K5218" i="88"/>
  <c r="K5219" i="88"/>
  <c r="K5220" i="88"/>
  <c r="K5221" i="88"/>
  <c r="K5222" i="88"/>
  <c r="K5223" i="88"/>
  <c r="K5224" i="88"/>
  <c r="K5225" i="88"/>
  <c r="K5226" i="88"/>
  <c r="K5227" i="88"/>
  <c r="K5228" i="88"/>
  <c r="K5229" i="88"/>
  <c r="K5230" i="88"/>
  <c r="K5231" i="88"/>
  <c r="K5232" i="88"/>
  <c r="K5233" i="88"/>
  <c r="K5234" i="88"/>
  <c r="K5235" i="88"/>
  <c r="K5236" i="88"/>
  <c r="K5237" i="88"/>
  <c r="K5238" i="88"/>
  <c r="K5239" i="88"/>
  <c r="K5240" i="88"/>
  <c r="K5241" i="88"/>
  <c r="K5242" i="88"/>
  <c r="K5243" i="88"/>
  <c r="K5244" i="88"/>
  <c r="K5245" i="88"/>
  <c r="K5246" i="88"/>
  <c r="K5247" i="88"/>
  <c r="K5248" i="88"/>
  <c r="K5249" i="88"/>
  <c r="K5250" i="88"/>
  <c r="K5251" i="88"/>
  <c r="K5252" i="88"/>
  <c r="K5253" i="88"/>
  <c r="K5254" i="88"/>
  <c r="K5255" i="88"/>
  <c r="K5256" i="88"/>
  <c r="K5257" i="88"/>
  <c r="K5258" i="88"/>
  <c r="K5259" i="88"/>
  <c r="K5260" i="88"/>
  <c r="K5261" i="88"/>
  <c r="K5262" i="88"/>
  <c r="K5263" i="88"/>
  <c r="K5264" i="88"/>
  <c r="K5265" i="88"/>
  <c r="K5266" i="88"/>
  <c r="K5267" i="88"/>
  <c r="K5268" i="88"/>
  <c r="K5269" i="88"/>
  <c r="K5270" i="88"/>
  <c r="K5271" i="88"/>
  <c r="K5272" i="88"/>
  <c r="K5273" i="88"/>
  <c r="K5274" i="88"/>
  <c r="K5275" i="88"/>
  <c r="K5276" i="88"/>
  <c r="K5277" i="88"/>
  <c r="K5278" i="88"/>
  <c r="K5279" i="88"/>
  <c r="K5280" i="88"/>
  <c r="K5281" i="88"/>
  <c r="K5282" i="88"/>
  <c r="K5283" i="88"/>
  <c r="K5284" i="88"/>
  <c r="K5285" i="88"/>
  <c r="K5286" i="88"/>
  <c r="K5287" i="88"/>
  <c r="K5288" i="88"/>
  <c r="K5289" i="88"/>
  <c r="K5290" i="88"/>
  <c r="K5291" i="88"/>
  <c r="K5292" i="88"/>
  <c r="K5293" i="88"/>
  <c r="K5294" i="88"/>
  <c r="K5295" i="88"/>
  <c r="K5296" i="88"/>
  <c r="K5297" i="88"/>
  <c r="K5298" i="88"/>
  <c r="K5299" i="88"/>
  <c r="K5300" i="88"/>
  <c r="K5301" i="88"/>
  <c r="K5302" i="88"/>
  <c r="K5303" i="88"/>
  <c r="K5304" i="88"/>
  <c r="K5305" i="88"/>
  <c r="K5306" i="88"/>
  <c r="K5307" i="88"/>
  <c r="K5308" i="88"/>
  <c r="K5309" i="88"/>
  <c r="K5310" i="88"/>
  <c r="K5311" i="88"/>
  <c r="K5312" i="88"/>
  <c r="K5313" i="88"/>
  <c r="K5314" i="88"/>
  <c r="K5315" i="88"/>
  <c r="K5316" i="88"/>
  <c r="K5317" i="88"/>
  <c r="K5318" i="88"/>
  <c r="K5319" i="88"/>
  <c r="K5320" i="88"/>
  <c r="K5321" i="88"/>
  <c r="K5322" i="88"/>
  <c r="K5323" i="88"/>
  <c r="K5324" i="88"/>
  <c r="K5325" i="88"/>
  <c r="K5326" i="88"/>
  <c r="K5327" i="88"/>
  <c r="K5328" i="88"/>
  <c r="K5329" i="88"/>
  <c r="K5330" i="88"/>
  <c r="K5331" i="88"/>
  <c r="K5332" i="88"/>
  <c r="K5333" i="88"/>
  <c r="K5334" i="88"/>
  <c r="K5335" i="88"/>
  <c r="K5336" i="88"/>
  <c r="K5337" i="88"/>
  <c r="K5338" i="88"/>
  <c r="K5339" i="88"/>
  <c r="K5340" i="88"/>
  <c r="K5341" i="88"/>
  <c r="K5342" i="88"/>
  <c r="K5343" i="88"/>
  <c r="K5344" i="88"/>
  <c r="K5345" i="88"/>
  <c r="K5346" i="88"/>
  <c r="K5347" i="88"/>
  <c r="K5348" i="88"/>
  <c r="K5349" i="88"/>
  <c r="K5350" i="88"/>
  <c r="K5351" i="88"/>
  <c r="K5352" i="88"/>
  <c r="K5353" i="88"/>
  <c r="K5354" i="88"/>
  <c r="K5355" i="88"/>
  <c r="K5356" i="88"/>
  <c r="K5357" i="88"/>
  <c r="K5358" i="88"/>
  <c r="K5359" i="88"/>
  <c r="K5360" i="88"/>
  <c r="K5361" i="88"/>
  <c r="K5362" i="88"/>
  <c r="K5363" i="88"/>
  <c r="K5364" i="88"/>
  <c r="K5365" i="88"/>
  <c r="K5366" i="88"/>
  <c r="K5367" i="88"/>
  <c r="K5368" i="88"/>
  <c r="K5369" i="88"/>
  <c r="K5370" i="88"/>
  <c r="K5371" i="88"/>
  <c r="K5372" i="88"/>
  <c r="K5373" i="88"/>
  <c r="K5374" i="88"/>
  <c r="K5375" i="88"/>
  <c r="K5376" i="88"/>
  <c r="K5377" i="88"/>
  <c r="K5378" i="88"/>
  <c r="K5379" i="88"/>
  <c r="K5380" i="88"/>
  <c r="K5381" i="88"/>
  <c r="K5382" i="88"/>
  <c r="K5383" i="88"/>
  <c r="K5384" i="88"/>
  <c r="K5385" i="88"/>
  <c r="K5386" i="88"/>
  <c r="K5387" i="88"/>
  <c r="K5388" i="88"/>
  <c r="K5389" i="88"/>
  <c r="K5390" i="88"/>
  <c r="K5391" i="88"/>
  <c r="K5392" i="88"/>
  <c r="K5393" i="88"/>
  <c r="K5394" i="88"/>
  <c r="K5395" i="88"/>
  <c r="K5396" i="88"/>
  <c r="K5397" i="88"/>
  <c r="K5398" i="88"/>
  <c r="K5399" i="88"/>
  <c r="K5400" i="88"/>
  <c r="K5401" i="88"/>
  <c r="K5402" i="88"/>
  <c r="K5403" i="88"/>
  <c r="K5404" i="88"/>
  <c r="K5405" i="88"/>
  <c r="K5406" i="88"/>
  <c r="K5407" i="88"/>
  <c r="K5408" i="88"/>
  <c r="K5409" i="88"/>
  <c r="K5410" i="88"/>
  <c r="K5411" i="88"/>
  <c r="K5412" i="88"/>
  <c r="K5413" i="88"/>
  <c r="K5414" i="88"/>
  <c r="K5415" i="88"/>
  <c r="K5416" i="88"/>
  <c r="K5417" i="88"/>
  <c r="K5418" i="88"/>
  <c r="K5419" i="88"/>
  <c r="K5420" i="88"/>
  <c r="K5421" i="88"/>
  <c r="K5422" i="88"/>
  <c r="K5423" i="88"/>
  <c r="K5424" i="88"/>
  <c r="K5425" i="88"/>
  <c r="K5426" i="88"/>
  <c r="K5427" i="88"/>
  <c r="K5428" i="88"/>
  <c r="K5429" i="88"/>
  <c r="K5430" i="88"/>
  <c r="K5431" i="88"/>
  <c r="K5432" i="88"/>
  <c r="K5433" i="88"/>
  <c r="K5434" i="88"/>
  <c r="K5435" i="88"/>
  <c r="K5436" i="88"/>
  <c r="K5437" i="88"/>
  <c r="K5438" i="88"/>
  <c r="K5439" i="88"/>
  <c r="K5440" i="88"/>
  <c r="K5441" i="88"/>
  <c r="K5442" i="88"/>
  <c r="K5443" i="88"/>
  <c r="K5444" i="88"/>
  <c r="K5445" i="88"/>
  <c r="K5446" i="88"/>
  <c r="K5447" i="88"/>
  <c r="K5448" i="88"/>
  <c r="K5449" i="88"/>
  <c r="K5450" i="88"/>
  <c r="K5451" i="88"/>
  <c r="K5452" i="88"/>
  <c r="K5453" i="88"/>
  <c r="K5454" i="88"/>
  <c r="K5455" i="88"/>
  <c r="K5456" i="88"/>
  <c r="K5457" i="88"/>
  <c r="K5458" i="88"/>
  <c r="K5459" i="88"/>
  <c r="K5460" i="88"/>
  <c r="K5461" i="88"/>
  <c r="K5462" i="88"/>
  <c r="K5463" i="88"/>
  <c r="K5464" i="88"/>
  <c r="K5465" i="88"/>
  <c r="K5466" i="88"/>
  <c r="K5467" i="88"/>
  <c r="K5468" i="88"/>
  <c r="K5469" i="88"/>
  <c r="K5470" i="88"/>
  <c r="K5471" i="88"/>
  <c r="K5472" i="88"/>
  <c r="K5473" i="88"/>
  <c r="K5474" i="88"/>
  <c r="K5475" i="88"/>
  <c r="K5476" i="88"/>
  <c r="K5477" i="88"/>
  <c r="K5478" i="88"/>
  <c r="K5479" i="88"/>
  <c r="K5480" i="88"/>
  <c r="K5481" i="88"/>
  <c r="K5482" i="88"/>
  <c r="K5483" i="88"/>
  <c r="K5484" i="88"/>
  <c r="K5485" i="88"/>
  <c r="K5486" i="88"/>
  <c r="K5487" i="88"/>
  <c r="K5488" i="88"/>
  <c r="K5489" i="88"/>
  <c r="K5490" i="88"/>
  <c r="K5491" i="88"/>
  <c r="K5492" i="88"/>
  <c r="K5493" i="88"/>
  <c r="K5494" i="88"/>
  <c r="K5495" i="88"/>
  <c r="K5496" i="88"/>
  <c r="K5497" i="88"/>
  <c r="K5498" i="88"/>
  <c r="K5499" i="88"/>
  <c r="K5500" i="88"/>
  <c r="K5501" i="88"/>
  <c r="K5502" i="88"/>
  <c r="K5503" i="88"/>
  <c r="K5504" i="88"/>
  <c r="K5505" i="88"/>
  <c r="K5506" i="88"/>
  <c r="K5507" i="88"/>
  <c r="K5508" i="88"/>
  <c r="K5509" i="88"/>
  <c r="K5510" i="88"/>
  <c r="K5511" i="88"/>
  <c r="K5512" i="88"/>
  <c r="K5513" i="88"/>
  <c r="K5514" i="88"/>
  <c r="K5515" i="88"/>
  <c r="K5516" i="88"/>
  <c r="K5517" i="88"/>
  <c r="K5518" i="88"/>
  <c r="K5519" i="88"/>
  <c r="K5520" i="88"/>
  <c r="K5521" i="88"/>
  <c r="K5522" i="88"/>
  <c r="K5523" i="88"/>
  <c r="K5524" i="88"/>
  <c r="K5525" i="88"/>
  <c r="K5526" i="88"/>
  <c r="K5527" i="88"/>
  <c r="K5528" i="88"/>
  <c r="K5529" i="88"/>
  <c r="K5530" i="88"/>
  <c r="K5531" i="88"/>
  <c r="K5532" i="88"/>
  <c r="K5533" i="88"/>
  <c r="K5534" i="88"/>
  <c r="K5535" i="88"/>
  <c r="K5536" i="88"/>
  <c r="K5537" i="88"/>
  <c r="K5538" i="88"/>
  <c r="K5539" i="88"/>
  <c r="K5540" i="88"/>
  <c r="K5541" i="88"/>
  <c r="K5542" i="88"/>
  <c r="K5543" i="88"/>
  <c r="K5544" i="88"/>
  <c r="K5545" i="88"/>
  <c r="K5546" i="88"/>
  <c r="K5547" i="88"/>
  <c r="K5548" i="88"/>
  <c r="K5549" i="88"/>
  <c r="K5550" i="88"/>
  <c r="K5551" i="88"/>
  <c r="K5552" i="88"/>
  <c r="K5553" i="88"/>
  <c r="K5554" i="88"/>
  <c r="K5555" i="88"/>
  <c r="K5556" i="88"/>
  <c r="K5557" i="88"/>
  <c r="K5558" i="88"/>
  <c r="K5559" i="88"/>
  <c r="K5560" i="88"/>
  <c r="K5561" i="88"/>
  <c r="K5562" i="88"/>
  <c r="K5563" i="88"/>
  <c r="K5564" i="88"/>
  <c r="K5565" i="88"/>
  <c r="K5566" i="88"/>
  <c r="K5567" i="88"/>
  <c r="K5568" i="88"/>
  <c r="K5569" i="88"/>
  <c r="K5570" i="88"/>
  <c r="K5571" i="88"/>
  <c r="K5572" i="88"/>
  <c r="K5573" i="88"/>
  <c r="K5574" i="88"/>
  <c r="K5575" i="88"/>
  <c r="K5576" i="88"/>
  <c r="K5577" i="88"/>
  <c r="K5578" i="88"/>
  <c r="K5579" i="88"/>
  <c r="K5580" i="88"/>
  <c r="K5581" i="88"/>
  <c r="K5582" i="88"/>
  <c r="K5583" i="88"/>
  <c r="K5584" i="88"/>
  <c r="K5585" i="88"/>
  <c r="K5586" i="88"/>
  <c r="K5587" i="88"/>
  <c r="K5588" i="88"/>
  <c r="K5589" i="88"/>
  <c r="K5590" i="88"/>
  <c r="K5591" i="88"/>
  <c r="K5592" i="88"/>
  <c r="K5593" i="88"/>
  <c r="K5594" i="88"/>
  <c r="K5595" i="88"/>
  <c r="K5596" i="88"/>
  <c r="K5597" i="88"/>
  <c r="K5598" i="88"/>
  <c r="K5599" i="88"/>
  <c r="K5600" i="88"/>
  <c r="K5601" i="88"/>
  <c r="K5602" i="88"/>
  <c r="K5603" i="88"/>
  <c r="K5604" i="88"/>
  <c r="K5605" i="88"/>
  <c r="K5606" i="88"/>
  <c r="K5607" i="88"/>
  <c r="K5608" i="88"/>
  <c r="K5609" i="88"/>
  <c r="K5610" i="88"/>
  <c r="K5611" i="88"/>
  <c r="K5612" i="88"/>
  <c r="K5613" i="88"/>
  <c r="K5614" i="88"/>
  <c r="K5615" i="88"/>
  <c r="K5616" i="88"/>
  <c r="K5617" i="88"/>
  <c r="K5618" i="88"/>
  <c r="K5619" i="88"/>
  <c r="K5620" i="88"/>
  <c r="K5621" i="88"/>
  <c r="K5622" i="88"/>
  <c r="K5623" i="88"/>
  <c r="K5624" i="88"/>
  <c r="K5625" i="88"/>
  <c r="K5626" i="88"/>
  <c r="K5627" i="88"/>
  <c r="K5628" i="88"/>
  <c r="K5629" i="88"/>
  <c r="K5630" i="88"/>
  <c r="K5631" i="88"/>
  <c r="K5632" i="88"/>
  <c r="K5633" i="88"/>
  <c r="K5634" i="88"/>
  <c r="K5635" i="88"/>
  <c r="K5636" i="88"/>
  <c r="K5637" i="88"/>
  <c r="K5638" i="88"/>
  <c r="K5639" i="88"/>
  <c r="K5640" i="88"/>
  <c r="K5641" i="88"/>
  <c r="K5642" i="88"/>
  <c r="K5643" i="88"/>
  <c r="K5644" i="88"/>
  <c r="K5645" i="88"/>
  <c r="K5646" i="88"/>
  <c r="K5647" i="88"/>
  <c r="K5648" i="88"/>
  <c r="K5649" i="88"/>
  <c r="K5650" i="88"/>
  <c r="K5651" i="88"/>
  <c r="K5652" i="88"/>
  <c r="K5653" i="88"/>
  <c r="K5654" i="88"/>
  <c r="K5655" i="88"/>
  <c r="K5656" i="88"/>
  <c r="K5657" i="88"/>
  <c r="K5658" i="88"/>
  <c r="K5659" i="88"/>
  <c r="K5660" i="88"/>
  <c r="K5661" i="88"/>
  <c r="K5662" i="88"/>
  <c r="K5663" i="88"/>
  <c r="K5664" i="88"/>
  <c r="K5665" i="88"/>
  <c r="K5666" i="88"/>
  <c r="K5667" i="88"/>
  <c r="K5668" i="88"/>
  <c r="K5669" i="88"/>
  <c r="K5670" i="88"/>
  <c r="K5671" i="88"/>
  <c r="K5672" i="88"/>
  <c r="K5673" i="88"/>
  <c r="K5674" i="88"/>
  <c r="K5675" i="88"/>
  <c r="K5676" i="88"/>
  <c r="K5677" i="88"/>
  <c r="K5678" i="88"/>
  <c r="K5679" i="88"/>
  <c r="K5680" i="88"/>
  <c r="K5681" i="88"/>
  <c r="K5682" i="88"/>
  <c r="K5683" i="88"/>
  <c r="K5684" i="88"/>
  <c r="K5685" i="88"/>
  <c r="K5686" i="88"/>
  <c r="K5687" i="88"/>
  <c r="K5688" i="88"/>
  <c r="K5689" i="88"/>
  <c r="K5690" i="88"/>
  <c r="K5691" i="88"/>
  <c r="K5692" i="88"/>
  <c r="K5693" i="88"/>
  <c r="K5694" i="88"/>
  <c r="K5695" i="88"/>
  <c r="K5696" i="88"/>
  <c r="K5697" i="88"/>
  <c r="K5698" i="88"/>
  <c r="K5699" i="88"/>
  <c r="K5700" i="88"/>
  <c r="K5701" i="88"/>
  <c r="K5702" i="88"/>
  <c r="K5703" i="88"/>
  <c r="K5704" i="88"/>
  <c r="K5705" i="88"/>
  <c r="K5706" i="88"/>
  <c r="K5707" i="88"/>
  <c r="K5708" i="88"/>
  <c r="K5709" i="88"/>
  <c r="K5710" i="88"/>
  <c r="K5711" i="88"/>
  <c r="K5712" i="88"/>
  <c r="K5713" i="88"/>
  <c r="K5714" i="88"/>
  <c r="K5715" i="88"/>
  <c r="K5716" i="88"/>
  <c r="K5717" i="88"/>
  <c r="K5718" i="88"/>
  <c r="K5719" i="88"/>
  <c r="K5720" i="88"/>
  <c r="K5721" i="88"/>
  <c r="K5722" i="88"/>
  <c r="K5723" i="88"/>
  <c r="K5724" i="88"/>
  <c r="K5725" i="88"/>
  <c r="K5726" i="88"/>
  <c r="K5727" i="88"/>
  <c r="K5728" i="88"/>
  <c r="K5729" i="88"/>
  <c r="K5730" i="88"/>
  <c r="K5731" i="88"/>
  <c r="K5732" i="88"/>
  <c r="K5733" i="88"/>
  <c r="K5734" i="88"/>
  <c r="K5735" i="88"/>
  <c r="K5736" i="88"/>
  <c r="K5737" i="88"/>
  <c r="K5738" i="88"/>
  <c r="K5739" i="88"/>
  <c r="K5740" i="88"/>
  <c r="K5741" i="88"/>
  <c r="K5742" i="88"/>
  <c r="K5743" i="88"/>
  <c r="K5744" i="88"/>
  <c r="K5745" i="88"/>
  <c r="K5746" i="88"/>
  <c r="K5747" i="88"/>
  <c r="K5748" i="88"/>
  <c r="K5749" i="88"/>
  <c r="K5750" i="88"/>
  <c r="K5751" i="88"/>
  <c r="K5752" i="88"/>
  <c r="K5753" i="88"/>
  <c r="K5754" i="88"/>
  <c r="K5755" i="88"/>
  <c r="K5756" i="88"/>
  <c r="K5757" i="88"/>
  <c r="K5758" i="88"/>
  <c r="K5759" i="88"/>
  <c r="K5760" i="88"/>
  <c r="K5761" i="88"/>
  <c r="K5762" i="88"/>
  <c r="K5763" i="88"/>
  <c r="K5764" i="88"/>
  <c r="K5765" i="88"/>
  <c r="K5766" i="88"/>
  <c r="K5767" i="88"/>
  <c r="K5768" i="88"/>
  <c r="K5769" i="88"/>
  <c r="K5770" i="88"/>
  <c r="K5771" i="88"/>
  <c r="K5772" i="88"/>
  <c r="K5773" i="88"/>
  <c r="K5774" i="88"/>
  <c r="K5775" i="88"/>
  <c r="K5776" i="88"/>
  <c r="K5777" i="88"/>
  <c r="K5778" i="88"/>
  <c r="K5779" i="88"/>
  <c r="K5780" i="88"/>
  <c r="K5781" i="88"/>
  <c r="K5782" i="88"/>
  <c r="K5783" i="88"/>
  <c r="K5784" i="88"/>
  <c r="K5785" i="88"/>
  <c r="K5786" i="88"/>
  <c r="K5787" i="88"/>
  <c r="K5788" i="88"/>
  <c r="K5789" i="88"/>
  <c r="K5790" i="88"/>
  <c r="K5791" i="88"/>
  <c r="K5792" i="88"/>
  <c r="K5793" i="88"/>
  <c r="K5794" i="88"/>
  <c r="K5795" i="88"/>
  <c r="K5796" i="88"/>
  <c r="K5797" i="88"/>
  <c r="K5798" i="88"/>
  <c r="K5799" i="88"/>
  <c r="K5800" i="88"/>
  <c r="K5801" i="88"/>
  <c r="K5802" i="88"/>
  <c r="K5803" i="88"/>
  <c r="K5804" i="88"/>
  <c r="K5805" i="88"/>
  <c r="K5806" i="88"/>
  <c r="K5807" i="88"/>
  <c r="K5808" i="88"/>
  <c r="K5809" i="88"/>
  <c r="K5810" i="88"/>
  <c r="K5811" i="88"/>
  <c r="K5812" i="88"/>
  <c r="K5813" i="88"/>
  <c r="K5814" i="88"/>
  <c r="K5815" i="88"/>
  <c r="K5816" i="88"/>
  <c r="K5817" i="88"/>
  <c r="K5818" i="88"/>
  <c r="K5819" i="88"/>
  <c r="K5820" i="88"/>
  <c r="K5821" i="88"/>
  <c r="K5822" i="88"/>
  <c r="K5823" i="88"/>
  <c r="K5824" i="88"/>
  <c r="K5825" i="88"/>
  <c r="K5826" i="88"/>
  <c r="K5827" i="88"/>
  <c r="K5828" i="88"/>
  <c r="K5829" i="88"/>
  <c r="K5830" i="88"/>
  <c r="K5831" i="88"/>
  <c r="K5832" i="88"/>
  <c r="K5833" i="88"/>
  <c r="K5834" i="88"/>
  <c r="K5835" i="88"/>
  <c r="K5836" i="88"/>
  <c r="K5837" i="88"/>
  <c r="K5838" i="88"/>
  <c r="K5839" i="88"/>
  <c r="K5840" i="88"/>
  <c r="K5841" i="88"/>
  <c r="K5842" i="88"/>
  <c r="K5843" i="88"/>
  <c r="K5844" i="88"/>
  <c r="K5845" i="88"/>
  <c r="K5846" i="88"/>
  <c r="K5847" i="88"/>
  <c r="K5848" i="88"/>
  <c r="K5849" i="88"/>
  <c r="K5850" i="88"/>
  <c r="K5851" i="88"/>
  <c r="K5852" i="88"/>
  <c r="K5853" i="88"/>
  <c r="K5854" i="88"/>
  <c r="K5855" i="88"/>
  <c r="K5856" i="88"/>
  <c r="K5857" i="88"/>
  <c r="K5858" i="88"/>
  <c r="K5859" i="88"/>
  <c r="K5860" i="88"/>
  <c r="K5861" i="88"/>
  <c r="K5862" i="88"/>
  <c r="K5863" i="88"/>
  <c r="K5864" i="88"/>
  <c r="K5865" i="88"/>
  <c r="K5866" i="88"/>
  <c r="K5867" i="88"/>
  <c r="K5868" i="88"/>
  <c r="K5869" i="88"/>
  <c r="K5870" i="88"/>
  <c r="K5871" i="88"/>
  <c r="K5872" i="88"/>
  <c r="K5873" i="88"/>
  <c r="K5874" i="88"/>
  <c r="K5875" i="88"/>
  <c r="K5876" i="88"/>
  <c r="K5877" i="88"/>
  <c r="K5878" i="88"/>
  <c r="K5879" i="88"/>
  <c r="K5880" i="88"/>
  <c r="K5881" i="88"/>
  <c r="K5882" i="88"/>
  <c r="K5883" i="88"/>
  <c r="K5884" i="88"/>
  <c r="K5885" i="88"/>
  <c r="K5886" i="88"/>
  <c r="K5887" i="88"/>
  <c r="K5888" i="88"/>
  <c r="K5889" i="88"/>
  <c r="K5890" i="88"/>
  <c r="K5891" i="88"/>
  <c r="K5892" i="88"/>
  <c r="K5893" i="88"/>
  <c r="K5894" i="88"/>
  <c r="K5895" i="88"/>
  <c r="K5896" i="88"/>
  <c r="K5897" i="88"/>
  <c r="K5898" i="88"/>
  <c r="K5899" i="88"/>
  <c r="K5900" i="88"/>
  <c r="K5901" i="88"/>
  <c r="K5902" i="88"/>
  <c r="K5903" i="88"/>
  <c r="K5904" i="88"/>
  <c r="K5905" i="88"/>
  <c r="K5906" i="88"/>
  <c r="K5907" i="88"/>
  <c r="K5908" i="88"/>
  <c r="K5909" i="88"/>
  <c r="K5910" i="88"/>
  <c r="K5911" i="88"/>
  <c r="K5912" i="88"/>
  <c r="K5913" i="88"/>
  <c r="K5914" i="88"/>
  <c r="K5915" i="88"/>
  <c r="K5916" i="88"/>
  <c r="K5917" i="88"/>
  <c r="K5918" i="88"/>
  <c r="K5919" i="88"/>
  <c r="K5920" i="88"/>
  <c r="K5921" i="88"/>
  <c r="K5922" i="88"/>
  <c r="K5923" i="88"/>
  <c r="K5924" i="88"/>
  <c r="K5925" i="88"/>
  <c r="K5926" i="88"/>
  <c r="K5927" i="88"/>
  <c r="K5928" i="88"/>
  <c r="K5929" i="88"/>
  <c r="K5930" i="88"/>
  <c r="K5931" i="88"/>
  <c r="K5932" i="88"/>
  <c r="K5933" i="88"/>
  <c r="K5934" i="88"/>
  <c r="K5935" i="88"/>
  <c r="K5936" i="88"/>
  <c r="K5937" i="88"/>
  <c r="K5938" i="88"/>
  <c r="K5939" i="88"/>
  <c r="K5940" i="88"/>
  <c r="K5941" i="88"/>
  <c r="K5942" i="88"/>
  <c r="K5943" i="88"/>
  <c r="K5944" i="88"/>
  <c r="K5945" i="88"/>
  <c r="K5946" i="88"/>
  <c r="K5947" i="88"/>
  <c r="K5948" i="88"/>
  <c r="K5949" i="88"/>
  <c r="K5950" i="88"/>
  <c r="K5951" i="88"/>
  <c r="K5952" i="88"/>
  <c r="K5953" i="88"/>
  <c r="K5954" i="88"/>
  <c r="K5955" i="88"/>
  <c r="K5956" i="88"/>
  <c r="K5957" i="88"/>
  <c r="K5958" i="88"/>
  <c r="K5959" i="88"/>
  <c r="K5960" i="88"/>
  <c r="K5961" i="88"/>
  <c r="K5962" i="88"/>
  <c r="K5963" i="88"/>
  <c r="K5964" i="88"/>
  <c r="K5965" i="88"/>
  <c r="K5966" i="88"/>
  <c r="K5967" i="88"/>
  <c r="K5968" i="88"/>
  <c r="K5969" i="88"/>
  <c r="K5970" i="88"/>
  <c r="K5971" i="88"/>
  <c r="K5972" i="88"/>
  <c r="K5973" i="88"/>
  <c r="K5974" i="88"/>
  <c r="K5975" i="88"/>
  <c r="K5976" i="88"/>
  <c r="K5977" i="88"/>
  <c r="K5978" i="88"/>
  <c r="K5979" i="88"/>
  <c r="K5980" i="88"/>
  <c r="K5981" i="88"/>
  <c r="K5982" i="88"/>
  <c r="K5983" i="88"/>
  <c r="K5984" i="88"/>
  <c r="K5985" i="88"/>
  <c r="K5986" i="88"/>
  <c r="K5987" i="88"/>
  <c r="K5988" i="88"/>
  <c r="K5989" i="88"/>
  <c r="K5990" i="88"/>
  <c r="K5991" i="88"/>
  <c r="K5992" i="88"/>
  <c r="K5993" i="88"/>
  <c r="K5994" i="88"/>
  <c r="K5995" i="88"/>
  <c r="K5996" i="88"/>
  <c r="K5997" i="88"/>
  <c r="K5998" i="88"/>
  <c r="K5999" i="88"/>
  <c r="K6000" i="88"/>
  <c r="K6001" i="88"/>
  <c r="K6002" i="88"/>
  <c r="K6003" i="88"/>
  <c r="K6004" i="88"/>
  <c r="K6005" i="88"/>
  <c r="K6006" i="88"/>
  <c r="K6007" i="88"/>
  <c r="K6008" i="88"/>
  <c r="K6009" i="88"/>
  <c r="K6010" i="88"/>
  <c r="K6011" i="88"/>
  <c r="K6012" i="88"/>
  <c r="K6013" i="88"/>
  <c r="K6014" i="88"/>
  <c r="K6015" i="88"/>
  <c r="K6016" i="88"/>
  <c r="K6017" i="88"/>
  <c r="K6018" i="88"/>
  <c r="K6019" i="88"/>
  <c r="K6020" i="88"/>
  <c r="K6021" i="88"/>
  <c r="K6022" i="88"/>
  <c r="K6023" i="88"/>
  <c r="K6024" i="88"/>
  <c r="K6025" i="88"/>
  <c r="K6026" i="88"/>
  <c r="K6027" i="88"/>
  <c r="K6028" i="88"/>
  <c r="K6029" i="88"/>
  <c r="K6030" i="88"/>
  <c r="K6031" i="88"/>
  <c r="K6032" i="88"/>
  <c r="K6033" i="88"/>
  <c r="K6034" i="88"/>
  <c r="K6035" i="88"/>
  <c r="K6036" i="88"/>
  <c r="K6037" i="88"/>
  <c r="K6038" i="88"/>
  <c r="K6039" i="88"/>
  <c r="K6040" i="88"/>
  <c r="K6041" i="88"/>
  <c r="K6042" i="88"/>
  <c r="K6043" i="88"/>
  <c r="K6044" i="88"/>
  <c r="K6045" i="88"/>
  <c r="K6046" i="88"/>
  <c r="K6047" i="88"/>
  <c r="K6048" i="88"/>
  <c r="K6049" i="88"/>
  <c r="K6050" i="88"/>
  <c r="K6051" i="88"/>
  <c r="K6052" i="88"/>
  <c r="K6053" i="88"/>
  <c r="K6054" i="88"/>
  <c r="K6055" i="88"/>
  <c r="K6056" i="88"/>
  <c r="K6057" i="88"/>
  <c r="K6058" i="88"/>
  <c r="K6059" i="88"/>
  <c r="K6060" i="88"/>
  <c r="K6061" i="88"/>
  <c r="K6062" i="88"/>
  <c r="K6063" i="88"/>
  <c r="K6064" i="88"/>
  <c r="K6065" i="88"/>
  <c r="K6066" i="88"/>
  <c r="K6067" i="88"/>
  <c r="K6068" i="88"/>
  <c r="K6069" i="88"/>
  <c r="K6070" i="88"/>
  <c r="K6071" i="88"/>
  <c r="K6072" i="88"/>
  <c r="K6073" i="88"/>
  <c r="K6074" i="88"/>
  <c r="K6075" i="88"/>
  <c r="K6076" i="88"/>
  <c r="K6077" i="88"/>
  <c r="K6078" i="88"/>
  <c r="K6079" i="88"/>
  <c r="K6080" i="88"/>
  <c r="K6081" i="88"/>
  <c r="K6082" i="88"/>
  <c r="K6083" i="88"/>
  <c r="K6084" i="88"/>
  <c r="K6085" i="88"/>
  <c r="K6086" i="88"/>
  <c r="K6087" i="88"/>
  <c r="K6088" i="88"/>
  <c r="K6089" i="88"/>
  <c r="K6090" i="88"/>
  <c r="K6091" i="88"/>
  <c r="K6092" i="88"/>
  <c r="K6093" i="88"/>
  <c r="K6094" i="88"/>
  <c r="K6095" i="88"/>
  <c r="K6096" i="88"/>
  <c r="K6097" i="88"/>
  <c r="K6098" i="88"/>
  <c r="K6099" i="88"/>
  <c r="K6100" i="88"/>
  <c r="K6101" i="88"/>
  <c r="K6102" i="88"/>
  <c r="K6103" i="88"/>
  <c r="K6104" i="88"/>
  <c r="K6105" i="88"/>
  <c r="K6106" i="88"/>
  <c r="K6107" i="88"/>
  <c r="K6108" i="88"/>
  <c r="K6109" i="88"/>
  <c r="K6110" i="88"/>
  <c r="K6111" i="88"/>
  <c r="K6112" i="88"/>
  <c r="K6113" i="88"/>
  <c r="K6114" i="88"/>
  <c r="K6115" i="88"/>
  <c r="K6116" i="88"/>
  <c r="K6117" i="88"/>
  <c r="K6118" i="88"/>
  <c r="K6119" i="88"/>
  <c r="K6120" i="88"/>
  <c r="K6121" i="88"/>
  <c r="K6122" i="88"/>
  <c r="K6123" i="88"/>
  <c r="K6124" i="88"/>
  <c r="K6125" i="88"/>
  <c r="K6126" i="88"/>
  <c r="K6127" i="88"/>
  <c r="K6128" i="88"/>
  <c r="K6129" i="88"/>
  <c r="K6130" i="88"/>
  <c r="K6131" i="88"/>
  <c r="K6132" i="88"/>
  <c r="K6133" i="88"/>
  <c r="K6134" i="88"/>
  <c r="K6135" i="88"/>
  <c r="K6136" i="88"/>
  <c r="K6137" i="88"/>
  <c r="K6138" i="88"/>
  <c r="K6139" i="88"/>
  <c r="K6140" i="88"/>
  <c r="K6141" i="88"/>
  <c r="K6142" i="88"/>
  <c r="K6143" i="88"/>
  <c r="K6144" i="88"/>
  <c r="K6145" i="88"/>
  <c r="K6146" i="88"/>
  <c r="K6147" i="88"/>
  <c r="K6148" i="88"/>
  <c r="K6149" i="88"/>
  <c r="K6150" i="88"/>
  <c r="K6151" i="88"/>
  <c r="K6152" i="88"/>
  <c r="K6153" i="88"/>
  <c r="K6154" i="88"/>
  <c r="K6155" i="88"/>
  <c r="K6156" i="88"/>
  <c r="K6157" i="88"/>
  <c r="K6158" i="88"/>
  <c r="K6159" i="88"/>
  <c r="K6160" i="88"/>
  <c r="K6161" i="88"/>
  <c r="K6162" i="88"/>
  <c r="K6163" i="88"/>
  <c r="K6164" i="88"/>
  <c r="K6165" i="88"/>
  <c r="K6166" i="88"/>
  <c r="K6167" i="88"/>
  <c r="K6168" i="88"/>
  <c r="K6169" i="88"/>
  <c r="K6170" i="88"/>
  <c r="K6171" i="88"/>
  <c r="K6172" i="88"/>
  <c r="K6173" i="88"/>
  <c r="K6174" i="88"/>
  <c r="K6175" i="88"/>
  <c r="K6176" i="88"/>
  <c r="K6177" i="88"/>
  <c r="K6178" i="88"/>
  <c r="K6179" i="88"/>
  <c r="K6180" i="88"/>
  <c r="K6181" i="88"/>
  <c r="K6182" i="88"/>
  <c r="K6183" i="88"/>
  <c r="K6184" i="88"/>
  <c r="K6185" i="88"/>
  <c r="K6186" i="88"/>
  <c r="K6187" i="88"/>
  <c r="K6188" i="88"/>
  <c r="K6189" i="88"/>
  <c r="K6190" i="88"/>
  <c r="K6191" i="88"/>
  <c r="K6192" i="88"/>
  <c r="K6193" i="88"/>
  <c r="K6194" i="88"/>
  <c r="K6195" i="88"/>
  <c r="K6196" i="88"/>
  <c r="K6197" i="88"/>
  <c r="K6198" i="88"/>
  <c r="K6199" i="88"/>
  <c r="K6200" i="88"/>
  <c r="K6201" i="88"/>
  <c r="K6202" i="88"/>
  <c r="K6203" i="88"/>
  <c r="K6204" i="88"/>
  <c r="K6205" i="88"/>
  <c r="K6206" i="88"/>
  <c r="K6207" i="88"/>
  <c r="K6208" i="88"/>
  <c r="K6209" i="88"/>
  <c r="K6210" i="88"/>
  <c r="K6211" i="88"/>
  <c r="K6212" i="88"/>
  <c r="K6213" i="88"/>
  <c r="K6214" i="88"/>
  <c r="K6215" i="88"/>
  <c r="K6216" i="88"/>
  <c r="K6217" i="88"/>
  <c r="K6218" i="88"/>
  <c r="K6219" i="88"/>
  <c r="K6220" i="88"/>
  <c r="K6221" i="88"/>
  <c r="K6222" i="88"/>
  <c r="K6223" i="88"/>
  <c r="K6224" i="88"/>
  <c r="K6225" i="88"/>
  <c r="K6226" i="88"/>
  <c r="K6227" i="88"/>
  <c r="K6228" i="88"/>
  <c r="K6229" i="88"/>
  <c r="K6230" i="88"/>
  <c r="K6231" i="88"/>
  <c r="K6232" i="88"/>
  <c r="K6233" i="88"/>
  <c r="K6234" i="88"/>
  <c r="K6235" i="88"/>
  <c r="K6236" i="88"/>
  <c r="K6237" i="88"/>
  <c r="K6238" i="88"/>
  <c r="K6239" i="88"/>
  <c r="K6240" i="88"/>
  <c r="K6241" i="88"/>
  <c r="K6242" i="88"/>
  <c r="K6243" i="88"/>
  <c r="K6244" i="88"/>
  <c r="K6245" i="88"/>
  <c r="K6246" i="88"/>
  <c r="K6247" i="88"/>
  <c r="K6248" i="88"/>
  <c r="K6249" i="88"/>
  <c r="K6250" i="88"/>
  <c r="K6251" i="88"/>
  <c r="K6252" i="88"/>
  <c r="K6253" i="88"/>
  <c r="K6254" i="88"/>
  <c r="K6255" i="88"/>
  <c r="K6256" i="88"/>
  <c r="K6257" i="88"/>
  <c r="K6258" i="88"/>
  <c r="K6259" i="88"/>
  <c r="K6260" i="88"/>
  <c r="K6261" i="88"/>
  <c r="K6262" i="88"/>
  <c r="K6263" i="88"/>
  <c r="K6264" i="88"/>
  <c r="K6265" i="88"/>
  <c r="K6266" i="88"/>
  <c r="K6267" i="88"/>
  <c r="K6268" i="88"/>
  <c r="K6269" i="88"/>
  <c r="K6270" i="88"/>
  <c r="K6271" i="88"/>
  <c r="K6272" i="88"/>
  <c r="K6273" i="88"/>
  <c r="K6274" i="88"/>
  <c r="K6275" i="88"/>
  <c r="K6276" i="88"/>
  <c r="K6277" i="88"/>
  <c r="K6278" i="88"/>
  <c r="K6279" i="88"/>
  <c r="K6280" i="88"/>
  <c r="K6281" i="88"/>
  <c r="K6282" i="88"/>
  <c r="K6283" i="88"/>
  <c r="K6284" i="88"/>
  <c r="K6285" i="88"/>
  <c r="K6286" i="88"/>
  <c r="K6287" i="88"/>
  <c r="K6288" i="88"/>
  <c r="K6289" i="88"/>
  <c r="K6290" i="88"/>
  <c r="K6291" i="88"/>
  <c r="K6292" i="88"/>
  <c r="K6293" i="88"/>
  <c r="K6294" i="88"/>
  <c r="K6295" i="88"/>
  <c r="K6296" i="88"/>
  <c r="K6297" i="88"/>
  <c r="K6298" i="88"/>
  <c r="K6299" i="88"/>
  <c r="K6300" i="88"/>
  <c r="K6301" i="88"/>
  <c r="K6302" i="88"/>
  <c r="K6303" i="88"/>
  <c r="K6304" i="88"/>
  <c r="K6305" i="88"/>
  <c r="K6306" i="88"/>
  <c r="K6307" i="88"/>
  <c r="K6308" i="88"/>
  <c r="K6309" i="88"/>
  <c r="K6310" i="88"/>
  <c r="K6311" i="88"/>
  <c r="K6312" i="88"/>
  <c r="K6313" i="88"/>
  <c r="K6314" i="88"/>
  <c r="K6315" i="88"/>
  <c r="K6316" i="88"/>
  <c r="K6317" i="88"/>
  <c r="K6318" i="88"/>
  <c r="K6319" i="88"/>
  <c r="K6320" i="88"/>
  <c r="K6321" i="88"/>
  <c r="K6322" i="88"/>
  <c r="K6323" i="88"/>
  <c r="K6324" i="88"/>
  <c r="K6325" i="88"/>
  <c r="K6326" i="88"/>
  <c r="K6327" i="88"/>
  <c r="K6328" i="88"/>
  <c r="K6329" i="88"/>
  <c r="K6330" i="88"/>
  <c r="K6331" i="88"/>
  <c r="K6332" i="88"/>
  <c r="K6333" i="88"/>
  <c r="K6334" i="88"/>
  <c r="K6335" i="88"/>
  <c r="K6336" i="88"/>
  <c r="K6337" i="88"/>
  <c r="K6338" i="88"/>
  <c r="K6339" i="88"/>
  <c r="K6340" i="88"/>
  <c r="K6341" i="88"/>
  <c r="K6342" i="88"/>
  <c r="K6343" i="88"/>
  <c r="K6344" i="88"/>
  <c r="K6345" i="88"/>
  <c r="K6346" i="88"/>
  <c r="K6347" i="88"/>
  <c r="K6348" i="88"/>
  <c r="K6349" i="88"/>
  <c r="K6350" i="88"/>
  <c r="K6351" i="88"/>
  <c r="K6352" i="88"/>
  <c r="K6353" i="88"/>
  <c r="K6354" i="88"/>
  <c r="K6355" i="88"/>
  <c r="K6356" i="88"/>
  <c r="K6357" i="88"/>
  <c r="K6358" i="88"/>
  <c r="K6359" i="88"/>
  <c r="K6360" i="88"/>
  <c r="K6361" i="88"/>
  <c r="K6362" i="88"/>
  <c r="K6363" i="88"/>
  <c r="K6364" i="88"/>
  <c r="K6365" i="88"/>
  <c r="K6366" i="88"/>
  <c r="K6367" i="88"/>
  <c r="K6368" i="88"/>
  <c r="K6369" i="88"/>
  <c r="K6370" i="88"/>
  <c r="K6371" i="88"/>
  <c r="K6372" i="88"/>
  <c r="K6373" i="88"/>
  <c r="K6374" i="88"/>
  <c r="K6375" i="88"/>
  <c r="K6376" i="88"/>
  <c r="K6377" i="88"/>
  <c r="K6378" i="88"/>
  <c r="K6379" i="88"/>
  <c r="K6380" i="88"/>
  <c r="K6381" i="88"/>
  <c r="K6382" i="88"/>
  <c r="K6383" i="88"/>
  <c r="K6384" i="88"/>
  <c r="K6385" i="88"/>
  <c r="K6386" i="88"/>
  <c r="K6387" i="88"/>
  <c r="K6388" i="88"/>
  <c r="K6389" i="88"/>
  <c r="K6390" i="88"/>
  <c r="K6391" i="88"/>
  <c r="K6392" i="88"/>
  <c r="K6393" i="88"/>
  <c r="K6394" i="88"/>
  <c r="K6395" i="88"/>
  <c r="K6396" i="88"/>
  <c r="K6397" i="88"/>
  <c r="K6398" i="88"/>
  <c r="K6399" i="88"/>
  <c r="K6400" i="88"/>
  <c r="K6401" i="88"/>
  <c r="K6402" i="88"/>
  <c r="K6403" i="88"/>
  <c r="K6404" i="88"/>
  <c r="K6405" i="88"/>
  <c r="K6406" i="88"/>
  <c r="K6407" i="88"/>
  <c r="K6408" i="88"/>
  <c r="K6409" i="88"/>
  <c r="K6410" i="88"/>
  <c r="K6411" i="88"/>
  <c r="K6412" i="88"/>
  <c r="K6413" i="88"/>
  <c r="K6414" i="88"/>
  <c r="K6415" i="88"/>
  <c r="K6416" i="88"/>
  <c r="K6417" i="88"/>
  <c r="K6418" i="88"/>
  <c r="K6419" i="88"/>
  <c r="K6420" i="88"/>
  <c r="K6421" i="88"/>
  <c r="K6422" i="88"/>
  <c r="K6423" i="88"/>
  <c r="K6424" i="88"/>
  <c r="K6425" i="88"/>
  <c r="K6426" i="88"/>
  <c r="K6427" i="88"/>
  <c r="K6428" i="88"/>
  <c r="K6429" i="88"/>
  <c r="K6430" i="88"/>
  <c r="K6431" i="88"/>
  <c r="K6432" i="88"/>
  <c r="K6433" i="88"/>
  <c r="K6434" i="88"/>
  <c r="K6435" i="88"/>
  <c r="K6436" i="88"/>
  <c r="K6437" i="88"/>
  <c r="K6438" i="88"/>
  <c r="K6439" i="88"/>
  <c r="K6440" i="88"/>
  <c r="K6441" i="88"/>
  <c r="K6442" i="88"/>
  <c r="K6443" i="88"/>
  <c r="K6444" i="88"/>
  <c r="K6445" i="88"/>
  <c r="K6446" i="88"/>
  <c r="K6447" i="88"/>
  <c r="K6448" i="88"/>
  <c r="K6449" i="88"/>
  <c r="K6450" i="88"/>
  <c r="K6451" i="88"/>
  <c r="K6452" i="88"/>
  <c r="K6453" i="88"/>
  <c r="K6454" i="88"/>
  <c r="K6455" i="88"/>
  <c r="K6456" i="88"/>
  <c r="K6457" i="88"/>
  <c r="K6458" i="88"/>
  <c r="K6459" i="88"/>
  <c r="K6460" i="88"/>
  <c r="K6461" i="88"/>
  <c r="K6462" i="88"/>
  <c r="K6463" i="88"/>
  <c r="K6464" i="88"/>
  <c r="K6465" i="88"/>
  <c r="K6466" i="88"/>
  <c r="K6467" i="88"/>
  <c r="K6468" i="88"/>
  <c r="K6469" i="88"/>
  <c r="K6470" i="88"/>
  <c r="K6471" i="88"/>
  <c r="K6472" i="88"/>
  <c r="K6473" i="88"/>
  <c r="K6474" i="88"/>
  <c r="K6475" i="88"/>
  <c r="K6476" i="88"/>
  <c r="K6477" i="88"/>
  <c r="K6478" i="88"/>
  <c r="K6479" i="88"/>
  <c r="K6480" i="88"/>
  <c r="K6481" i="88"/>
  <c r="K6482" i="88"/>
  <c r="K6483" i="88"/>
  <c r="K6484" i="88"/>
  <c r="K6485" i="88"/>
  <c r="K6486" i="88"/>
  <c r="K6487" i="88"/>
  <c r="K6488" i="88"/>
  <c r="K6489" i="88"/>
  <c r="K6490" i="88"/>
  <c r="K6491" i="88"/>
  <c r="K6492" i="88"/>
  <c r="K6493" i="88"/>
  <c r="K6494" i="88"/>
  <c r="K6495" i="88"/>
  <c r="K6496" i="88"/>
  <c r="K6497" i="88"/>
  <c r="K6498" i="88"/>
  <c r="K6499" i="88"/>
  <c r="K6500" i="88"/>
  <c r="K6501" i="88"/>
  <c r="K6502" i="88"/>
  <c r="K6503" i="88"/>
  <c r="K6504" i="88"/>
  <c r="K6505" i="88"/>
  <c r="K6506" i="88"/>
  <c r="K6507" i="88"/>
  <c r="K6508" i="88"/>
  <c r="K6509" i="88"/>
  <c r="K6510" i="88"/>
  <c r="K6511" i="88"/>
  <c r="K6512" i="88"/>
  <c r="K6513" i="88"/>
  <c r="K6514" i="88"/>
  <c r="K6515" i="88"/>
  <c r="K6516" i="88"/>
  <c r="K6517" i="88"/>
  <c r="K6518" i="88"/>
  <c r="K6519" i="88"/>
  <c r="K6520" i="88"/>
  <c r="K6521" i="88"/>
  <c r="K6522" i="88"/>
  <c r="K6523" i="88"/>
  <c r="K6524" i="88"/>
  <c r="K6525" i="88"/>
  <c r="K6526" i="88"/>
  <c r="K6527" i="88"/>
  <c r="K6528" i="88"/>
  <c r="K6529" i="88"/>
  <c r="K6530" i="88"/>
  <c r="K6531" i="88"/>
  <c r="K6532" i="88"/>
  <c r="K6533" i="88"/>
  <c r="K6534" i="88"/>
  <c r="K6535" i="88"/>
  <c r="K6536" i="88"/>
  <c r="K6537" i="88"/>
  <c r="K6538" i="88"/>
  <c r="K6539" i="88"/>
  <c r="K6540" i="88"/>
  <c r="K6541" i="88"/>
  <c r="K6542" i="88"/>
  <c r="K6543" i="88"/>
  <c r="K6544" i="88"/>
  <c r="K6545" i="88"/>
  <c r="K6546" i="88"/>
  <c r="K6547" i="88"/>
  <c r="K6548" i="88"/>
  <c r="K6549" i="88"/>
  <c r="K6550" i="88"/>
  <c r="K6551" i="88"/>
  <c r="K6552" i="88"/>
  <c r="K6553" i="88"/>
  <c r="K6554" i="88"/>
  <c r="K6555" i="88"/>
  <c r="K6556" i="88"/>
  <c r="K6557" i="88"/>
  <c r="K6558" i="88"/>
  <c r="K6559" i="88"/>
  <c r="K6560" i="88"/>
  <c r="K6561" i="88"/>
  <c r="K6562" i="88"/>
  <c r="K6563" i="88"/>
  <c r="K6564" i="88"/>
  <c r="K6565" i="88"/>
  <c r="K6566" i="88"/>
  <c r="K6567" i="88"/>
  <c r="K6568" i="88"/>
  <c r="K6569" i="88"/>
  <c r="K6570" i="88"/>
  <c r="K6571" i="88"/>
  <c r="K6572" i="88"/>
  <c r="K6573" i="88"/>
  <c r="K6574" i="88"/>
  <c r="K6575" i="88"/>
  <c r="K6576" i="88"/>
  <c r="K6577" i="88"/>
  <c r="K6578" i="88"/>
  <c r="K6579" i="88"/>
  <c r="K6580" i="88"/>
  <c r="K6581" i="88"/>
  <c r="K6582" i="88"/>
  <c r="K6583" i="88"/>
  <c r="K6584" i="88"/>
  <c r="K6585" i="88"/>
  <c r="K6586" i="88"/>
  <c r="K6587" i="88"/>
  <c r="K6588" i="88"/>
  <c r="K6589" i="88"/>
  <c r="K6590" i="88"/>
  <c r="K6591" i="88"/>
  <c r="K6592" i="88"/>
  <c r="K6593" i="88"/>
  <c r="K6594" i="88"/>
  <c r="K6595" i="88"/>
  <c r="K6596" i="88"/>
  <c r="K6597" i="88"/>
  <c r="K6598" i="88"/>
  <c r="K6599" i="88"/>
  <c r="K6600" i="88"/>
  <c r="K6601" i="88"/>
  <c r="K6602" i="88"/>
  <c r="K6603" i="88"/>
  <c r="K6604" i="88"/>
  <c r="K6605" i="88"/>
  <c r="K6606" i="88"/>
  <c r="K6607" i="88"/>
  <c r="K6608" i="88"/>
  <c r="K6609" i="88"/>
  <c r="K6610" i="88"/>
  <c r="K6611" i="88"/>
  <c r="K6612" i="88"/>
  <c r="K6613" i="88"/>
  <c r="K6614" i="88"/>
  <c r="K6615" i="88"/>
  <c r="K6616" i="88"/>
  <c r="K6617" i="88"/>
  <c r="K6618" i="88"/>
  <c r="K6619" i="88"/>
  <c r="K6620" i="88"/>
  <c r="K6621" i="88"/>
  <c r="K6622" i="88"/>
  <c r="K6623" i="88"/>
  <c r="K6624" i="88"/>
  <c r="K6625" i="88"/>
  <c r="K6626" i="88"/>
  <c r="K6627" i="88"/>
  <c r="K6628" i="88"/>
  <c r="K6629" i="88"/>
  <c r="K6630" i="88"/>
  <c r="K6631" i="88"/>
  <c r="K6632" i="88"/>
  <c r="K6633" i="88"/>
  <c r="K6634" i="88"/>
  <c r="K6635" i="88"/>
  <c r="K6636" i="88"/>
  <c r="K6637" i="88"/>
  <c r="K6638" i="88"/>
  <c r="K6639" i="88"/>
  <c r="K6640" i="88"/>
  <c r="K6641" i="88"/>
  <c r="K6642" i="88"/>
  <c r="K6643" i="88"/>
  <c r="K6644" i="88"/>
  <c r="K6645" i="88"/>
  <c r="K6646" i="88"/>
  <c r="K6647" i="88"/>
  <c r="K6648" i="88"/>
  <c r="K6649" i="88"/>
  <c r="K6650" i="88"/>
  <c r="K6651" i="88"/>
  <c r="K6652" i="88"/>
  <c r="K6653" i="88"/>
  <c r="K6654" i="88"/>
  <c r="K6655" i="88"/>
  <c r="K6656" i="88"/>
  <c r="K6657" i="88"/>
  <c r="K6658" i="88"/>
  <c r="K6659" i="88"/>
  <c r="K6660" i="88"/>
  <c r="K6661" i="88"/>
  <c r="K6662" i="88"/>
  <c r="K6663" i="88"/>
  <c r="K6664" i="88"/>
  <c r="K6665" i="88"/>
  <c r="K6666" i="88"/>
  <c r="K6667" i="88"/>
  <c r="K6668" i="88"/>
  <c r="K6669" i="88"/>
  <c r="K6670" i="88"/>
  <c r="K6671" i="88"/>
  <c r="K6672" i="88"/>
  <c r="K6673" i="88"/>
  <c r="K6674" i="88"/>
  <c r="K6675" i="88"/>
  <c r="K6676" i="88"/>
  <c r="K6677" i="88"/>
  <c r="K6678" i="88"/>
  <c r="K6679" i="88"/>
  <c r="K6680" i="88"/>
  <c r="K6681" i="88"/>
  <c r="K6682" i="88"/>
  <c r="K6683" i="88"/>
  <c r="K6684" i="88"/>
  <c r="K6685" i="88"/>
  <c r="K6686" i="88"/>
  <c r="K6687" i="88"/>
  <c r="K6688" i="88"/>
  <c r="K6689" i="88"/>
  <c r="K6690" i="88"/>
  <c r="K6691" i="88"/>
  <c r="K6692" i="88"/>
  <c r="K6693" i="88"/>
  <c r="K6694" i="88"/>
  <c r="K6695" i="88"/>
  <c r="K6696" i="88"/>
  <c r="K6697" i="88"/>
  <c r="K6698" i="88"/>
  <c r="K6699" i="88"/>
  <c r="K6700" i="88"/>
  <c r="K6701" i="88"/>
  <c r="K6702" i="88"/>
  <c r="K6703" i="88"/>
  <c r="K6704" i="88"/>
  <c r="K6705" i="88"/>
  <c r="K6706" i="88"/>
  <c r="K6707" i="88"/>
  <c r="K6708" i="88"/>
  <c r="K6709" i="88"/>
  <c r="K6710" i="88"/>
  <c r="K6711" i="88"/>
  <c r="K6712" i="88"/>
  <c r="K6713" i="88"/>
  <c r="K6714" i="88"/>
  <c r="K6715" i="88"/>
  <c r="K6716" i="88"/>
  <c r="K6717" i="88"/>
  <c r="K6718" i="88"/>
  <c r="K6719" i="88"/>
  <c r="K6720" i="88"/>
  <c r="K6721" i="88"/>
  <c r="K6722" i="88"/>
  <c r="K6723" i="88"/>
  <c r="K6724" i="88"/>
  <c r="K6725" i="88"/>
  <c r="K6726" i="88"/>
  <c r="K6727" i="88"/>
  <c r="K6728" i="88"/>
  <c r="K6729" i="88"/>
  <c r="K6730" i="88"/>
  <c r="K6731" i="88"/>
  <c r="K6732" i="88"/>
  <c r="K6733" i="88"/>
  <c r="K6734" i="88"/>
  <c r="K6735" i="88"/>
  <c r="K6736" i="88"/>
  <c r="K6737" i="88"/>
  <c r="K6738" i="88"/>
  <c r="K6739" i="88"/>
  <c r="K6740" i="88"/>
  <c r="K6741" i="88"/>
  <c r="K6742" i="88"/>
  <c r="K6743" i="88"/>
  <c r="K6744" i="88"/>
  <c r="K6745" i="88"/>
  <c r="K6746" i="88"/>
  <c r="K6747" i="88"/>
  <c r="K6748" i="88"/>
  <c r="K6749" i="88"/>
  <c r="K6750" i="88"/>
  <c r="K6751" i="88"/>
  <c r="K6752" i="88"/>
  <c r="K6753" i="88"/>
  <c r="K6754" i="88"/>
  <c r="K6755" i="88"/>
  <c r="K6756" i="88"/>
  <c r="K6757" i="88"/>
  <c r="K6758" i="88"/>
  <c r="K6759" i="88"/>
  <c r="K6760" i="88"/>
  <c r="K6761" i="88"/>
  <c r="K6762" i="88"/>
  <c r="K6763" i="88"/>
  <c r="K6764" i="88"/>
  <c r="K6765" i="88"/>
  <c r="K6766" i="88"/>
  <c r="K6767" i="88"/>
  <c r="K6768" i="88"/>
  <c r="K6769" i="88"/>
  <c r="K6770" i="88"/>
  <c r="K6771" i="88"/>
  <c r="K6772" i="88"/>
  <c r="K6773" i="88"/>
  <c r="K6774" i="88"/>
  <c r="K6775" i="88"/>
  <c r="K6776" i="88"/>
  <c r="K6777" i="88"/>
  <c r="K6778" i="88"/>
  <c r="K6779" i="88"/>
  <c r="K6780" i="88"/>
  <c r="K6781" i="88"/>
  <c r="K6782" i="88"/>
  <c r="K6783" i="88"/>
  <c r="K6784" i="88"/>
  <c r="K6785" i="88"/>
  <c r="K6786" i="88"/>
  <c r="K6787" i="88"/>
  <c r="K6788" i="88"/>
  <c r="K6789" i="88"/>
  <c r="K6790" i="88"/>
  <c r="K6791" i="88"/>
  <c r="K6792" i="88"/>
  <c r="K6793" i="88"/>
  <c r="K6794" i="88"/>
  <c r="K6795" i="88"/>
  <c r="K6796" i="88"/>
  <c r="K6797" i="88"/>
  <c r="K6798" i="88"/>
  <c r="K6799" i="88"/>
  <c r="K6800" i="88"/>
  <c r="K6801" i="88"/>
  <c r="K6802" i="88"/>
  <c r="K6803" i="88"/>
  <c r="K6804" i="88"/>
  <c r="K6805" i="88"/>
  <c r="K6806" i="88"/>
  <c r="K6807" i="88"/>
  <c r="K6808" i="88"/>
  <c r="K6809" i="88"/>
  <c r="K6810" i="88"/>
  <c r="K6811" i="88"/>
  <c r="K6812" i="88"/>
  <c r="K6813" i="88"/>
  <c r="K6814" i="88"/>
  <c r="K6815" i="88"/>
  <c r="K6816" i="88"/>
  <c r="K6817" i="88"/>
  <c r="K6818" i="88"/>
  <c r="K6819" i="88"/>
  <c r="K6820" i="88"/>
  <c r="K6821" i="88"/>
  <c r="K6822" i="88"/>
  <c r="K6823" i="88"/>
  <c r="K6824" i="88"/>
  <c r="K6825" i="88"/>
  <c r="K6826" i="88"/>
  <c r="K6827" i="88"/>
  <c r="K6828" i="88"/>
  <c r="K6829" i="88"/>
  <c r="K6830" i="88"/>
  <c r="K6831" i="88"/>
  <c r="K6832" i="88"/>
  <c r="K6833" i="88"/>
  <c r="K6834" i="88"/>
  <c r="K6835" i="88"/>
  <c r="K6836" i="88"/>
  <c r="K6837" i="88"/>
  <c r="K6838" i="88"/>
  <c r="K6839" i="88"/>
  <c r="K6840" i="88"/>
  <c r="K6841" i="88"/>
  <c r="K6842" i="88"/>
  <c r="K6843" i="88"/>
  <c r="K6844" i="88"/>
  <c r="K6845" i="88"/>
  <c r="K6846" i="88"/>
  <c r="K6847" i="88"/>
  <c r="K6848" i="88"/>
  <c r="K6849" i="88"/>
  <c r="K6850" i="88"/>
  <c r="K6851" i="88"/>
  <c r="K6852" i="88"/>
  <c r="K6853" i="88"/>
  <c r="K6854" i="88"/>
  <c r="K6855" i="88"/>
  <c r="K6856" i="88"/>
  <c r="K6857" i="88"/>
  <c r="K6858" i="88"/>
  <c r="K6859" i="88"/>
  <c r="K6860" i="88"/>
  <c r="K6861" i="88"/>
  <c r="K6862" i="88"/>
  <c r="K6863" i="88"/>
  <c r="K6864" i="88"/>
  <c r="K6865" i="88"/>
  <c r="K6866" i="88"/>
  <c r="K6867" i="88"/>
  <c r="K6868" i="88"/>
  <c r="K6869" i="88"/>
  <c r="K6870" i="88"/>
  <c r="K6871" i="88"/>
  <c r="K6872" i="88"/>
  <c r="K6873" i="88"/>
  <c r="K6874" i="88"/>
  <c r="K6875" i="88"/>
  <c r="K6876" i="88"/>
  <c r="K6877" i="88"/>
  <c r="K6878" i="88"/>
  <c r="K6879" i="88"/>
  <c r="K6880" i="88"/>
  <c r="K6881" i="88"/>
  <c r="K6882" i="88"/>
  <c r="K6883" i="88"/>
  <c r="K6884" i="88"/>
  <c r="K6885" i="88"/>
  <c r="K6886" i="88"/>
  <c r="K6887" i="88"/>
  <c r="K6888" i="88"/>
  <c r="K6889" i="88"/>
  <c r="K6890" i="88"/>
  <c r="K6891" i="88"/>
  <c r="K6892" i="88"/>
  <c r="K6893" i="88"/>
  <c r="K6894" i="88"/>
  <c r="K6895" i="88"/>
  <c r="K6896" i="88"/>
  <c r="K6897" i="88"/>
  <c r="K6898" i="88"/>
  <c r="K6899" i="88"/>
  <c r="K6900" i="88"/>
  <c r="K6901" i="88"/>
  <c r="K6902" i="88"/>
  <c r="K6903" i="88"/>
  <c r="K6904" i="88"/>
  <c r="K6905" i="88"/>
  <c r="K6906" i="88"/>
  <c r="K6907" i="88"/>
  <c r="K6908" i="88"/>
  <c r="K6909" i="88"/>
  <c r="K6910" i="88"/>
  <c r="K6911" i="88"/>
  <c r="K6912" i="88"/>
  <c r="K6913" i="88"/>
  <c r="K6914" i="88"/>
  <c r="K6915" i="88"/>
  <c r="K6916" i="88"/>
  <c r="K6917" i="88"/>
  <c r="K6918" i="88"/>
  <c r="K6919" i="88"/>
  <c r="K6920" i="88"/>
  <c r="K6921" i="88"/>
  <c r="K6922" i="88"/>
  <c r="K6923" i="88"/>
  <c r="K6924" i="88"/>
  <c r="K6925" i="88"/>
  <c r="K6926" i="88"/>
  <c r="K6927" i="88"/>
  <c r="K6928" i="88"/>
  <c r="K6929" i="88"/>
  <c r="K6930" i="88"/>
  <c r="K6931" i="88"/>
  <c r="K6932" i="88"/>
  <c r="K6933" i="88"/>
  <c r="K6934" i="88"/>
  <c r="K6935" i="88"/>
  <c r="K6936" i="88"/>
  <c r="K6937" i="88"/>
  <c r="K6938" i="88"/>
  <c r="K6939" i="88"/>
  <c r="K6940" i="88"/>
  <c r="K6941" i="88"/>
  <c r="K6942" i="88"/>
  <c r="K6943" i="88"/>
  <c r="K6944" i="88"/>
  <c r="K6945" i="88"/>
  <c r="K6946" i="88"/>
  <c r="K6947" i="88"/>
  <c r="K6948" i="88"/>
  <c r="K6949" i="88"/>
  <c r="K6950" i="88"/>
  <c r="K6951" i="88"/>
  <c r="K6952" i="88"/>
  <c r="K6953" i="88"/>
  <c r="K6954" i="88"/>
  <c r="K6955" i="88"/>
  <c r="K6956" i="88"/>
  <c r="K6957" i="88"/>
  <c r="K6958" i="88"/>
  <c r="K6959" i="88"/>
  <c r="K6960" i="88"/>
  <c r="K6961" i="88"/>
  <c r="K6962" i="88"/>
  <c r="K6963" i="88"/>
  <c r="K6964" i="88"/>
  <c r="K6965" i="88"/>
  <c r="K6966" i="88"/>
  <c r="K6967" i="88"/>
  <c r="K6968" i="88"/>
  <c r="K6969" i="88"/>
  <c r="K6970" i="88"/>
  <c r="K6971" i="88"/>
  <c r="K6972" i="88"/>
  <c r="K6973" i="88"/>
  <c r="K6974" i="88"/>
  <c r="K6975" i="88"/>
  <c r="K6976" i="88"/>
  <c r="K6977" i="88"/>
  <c r="K6978" i="88"/>
  <c r="K6979" i="88"/>
  <c r="K6980" i="88"/>
  <c r="K6981" i="88"/>
  <c r="K6982" i="88"/>
  <c r="K6983" i="88"/>
  <c r="K6984" i="88"/>
  <c r="K6985" i="88"/>
  <c r="K6986" i="88"/>
  <c r="K6987" i="88"/>
  <c r="K6988" i="88"/>
  <c r="K6989" i="88"/>
  <c r="K6990" i="88"/>
  <c r="K6991" i="88"/>
  <c r="K6992" i="88"/>
  <c r="K6993" i="88"/>
  <c r="K6994" i="88"/>
  <c r="K6995" i="88"/>
  <c r="K6996" i="88"/>
  <c r="K6997" i="88"/>
  <c r="K6998" i="88"/>
  <c r="K6999" i="88"/>
  <c r="K7000" i="88"/>
  <c r="K7001" i="88"/>
  <c r="K7002" i="88"/>
  <c r="K7003" i="88"/>
  <c r="K7004" i="88"/>
  <c r="K7005" i="88"/>
  <c r="K7006" i="88"/>
  <c r="K7007" i="88"/>
  <c r="K7008" i="88"/>
  <c r="K7009" i="88"/>
  <c r="K7010" i="88"/>
  <c r="K7011" i="88"/>
  <c r="K7012" i="88"/>
  <c r="K7013" i="88"/>
  <c r="K7014" i="88"/>
  <c r="K7015" i="88"/>
  <c r="K7016" i="88"/>
  <c r="K7017" i="88"/>
  <c r="K7018" i="88"/>
  <c r="K7019" i="88"/>
  <c r="K7020" i="88"/>
  <c r="K7021" i="88"/>
  <c r="K7022" i="88"/>
  <c r="K7023" i="88"/>
  <c r="K7024" i="88"/>
  <c r="K7025" i="88"/>
  <c r="K7026" i="88"/>
  <c r="K7027" i="88"/>
  <c r="K7028" i="88"/>
  <c r="K7029" i="88"/>
  <c r="K7030" i="88"/>
  <c r="K7031" i="88"/>
  <c r="K7032" i="88"/>
  <c r="K7033" i="88"/>
  <c r="K7034" i="88"/>
  <c r="K7035" i="88"/>
  <c r="K7036" i="88"/>
  <c r="K7037" i="88"/>
  <c r="K7038" i="88"/>
  <c r="K7039" i="88"/>
  <c r="K7040" i="88"/>
  <c r="K7041" i="88"/>
  <c r="K7042" i="88"/>
  <c r="K7043" i="88"/>
  <c r="K7044" i="88"/>
  <c r="K7045" i="88"/>
  <c r="K7046" i="88"/>
  <c r="K7047" i="88"/>
  <c r="K7048" i="88"/>
  <c r="K7049" i="88"/>
  <c r="K7050" i="88"/>
  <c r="K7051" i="88"/>
  <c r="K7052" i="88"/>
  <c r="K7053" i="88"/>
  <c r="K7054" i="88"/>
  <c r="K7055" i="88"/>
  <c r="K7056" i="88"/>
  <c r="K7057" i="88"/>
  <c r="K7058" i="88"/>
  <c r="K7059" i="88"/>
  <c r="K7060" i="88"/>
  <c r="K7061" i="88"/>
  <c r="K7062" i="88"/>
  <c r="K7063" i="88"/>
  <c r="K7064" i="88"/>
  <c r="K7065" i="88"/>
  <c r="K7066" i="88"/>
  <c r="K7067" i="88"/>
  <c r="K7068" i="88"/>
  <c r="K7069" i="88"/>
  <c r="K7070" i="88"/>
  <c r="K7071" i="88"/>
  <c r="K7072" i="88"/>
  <c r="K7073" i="88"/>
  <c r="K7074" i="88"/>
  <c r="K7075" i="88"/>
  <c r="K7076" i="88"/>
  <c r="K7077" i="88"/>
  <c r="K7078" i="88"/>
  <c r="K7079" i="88"/>
  <c r="K7080" i="88"/>
  <c r="K7081" i="88"/>
  <c r="K7082" i="88"/>
  <c r="K7083" i="88"/>
  <c r="K7084" i="88"/>
  <c r="K7085" i="88"/>
  <c r="K7086" i="88"/>
  <c r="K7087" i="88"/>
  <c r="K7088" i="88"/>
  <c r="K7089" i="88"/>
  <c r="K7090" i="88"/>
  <c r="K7091" i="88"/>
  <c r="K7092" i="88"/>
  <c r="K7093" i="88"/>
  <c r="K7094" i="88"/>
  <c r="K7095" i="88"/>
  <c r="K7096" i="88"/>
  <c r="K7097" i="88"/>
  <c r="K7098" i="88"/>
  <c r="K7099" i="88"/>
  <c r="K7100" i="88"/>
  <c r="K7101" i="88"/>
  <c r="K7102" i="88"/>
  <c r="K7103" i="88"/>
  <c r="K7104" i="88"/>
  <c r="K7105" i="88"/>
  <c r="K7106" i="88"/>
  <c r="K7107" i="88"/>
  <c r="K7108" i="88"/>
  <c r="K7109" i="88"/>
  <c r="K7110" i="88"/>
  <c r="K7111" i="88"/>
  <c r="K7112" i="88"/>
  <c r="K7113" i="88"/>
  <c r="K7114" i="88"/>
  <c r="K7115" i="88"/>
  <c r="K7116" i="88"/>
  <c r="K7117" i="88"/>
  <c r="K7118" i="88"/>
  <c r="K7119" i="88"/>
  <c r="K7120" i="88"/>
  <c r="K7121" i="88"/>
  <c r="K7122" i="88"/>
  <c r="K7123" i="88"/>
  <c r="K7124" i="88"/>
  <c r="K7125" i="88"/>
  <c r="K7126" i="88"/>
  <c r="K7127" i="88"/>
  <c r="K7128" i="88"/>
  <c r="K7129" i="88"/>
  <c r="K7130" i="88"/>
  <c r="K7131" i="88"/>
  <c r="K7132" i="88"/>
  <c r="K7133" i="88"/>
  <c r="K7134" i="88"/>
  <c r="K7135" i="88"/>
  <c r="K7136" i="88"/>
  <c r="K7137" i="88"/>
  <c r="K7138" i="88"/>
  <c r="K7139" i="88"/>
  <c r="K7140" i="88"/>
  <c r="K7141" i="88"/>
  <c r="K7142" i="88"/>
  <c r="K7143" i="88"/>
  <c r="K7144" i="88"/>
  <c r="K7145" i="88"/>
  <c r="K7146" i="88"/>
  <c r="K7147" i="88"/>
  <c r="K7148" i="88"/>
  <c r="K7149" i="88"/>
  <c r="K7150" i="88"/>
  <c r="K7151" i="88"/>
  <c r="K7152" i="88"/>
  <c r="K7153" i="88"/>
  <c r="K7154" i="88"/>
  <c r="K7155" i="88"/>
  <c r="K7156" i="88"/>
  <c r="K7157" i="88"/>
  <c r="K7158" i="88"/>
  <c r="K7159" i="88"/>
  <c r="K7160" i="88"/>
  <c r="K7161" i="88"/>
  <c r="K7162" i="88"/>
  <c r="K7163" i="88"/>
  <c r="K7164" i="88"/>
  <c r="K7165" i="88"/>
  <c r="K7166" i="88"/>
  <c r="K7167" i="88"/>
  <c r="K7168" i="88"/>
  <c r="K7169" i="88"/>
  <c r="K7170" i="88"/>
  <c r="K7171" i="88"/>
  <c r="K7172" i="88"/>
  <c r="K7173" i="88"/>
  <c r="K7174" i="88"/>
  <c r="K7175" i="88"/>
  <c r="K7176" i="88"/>
  <c r="K7177" i="88"/>
  <c r="K7178" i="88"/>
  <c r="K7179" i="88"/>
  <c r="K7180" i="88"/>
  <c r="K7181" i="88"/>
  <c r="K7182" i="88"/>
  <c r="K7183" i="88"/>
  <c r="K7184" i="88"/>
  <c r="K7185" i="88"/>
  <c r="K7186" i="88"/>
  <c r="K7187" i="88"/>
  <c r="K7188" i="88"/>
  <c r="K7189" i="88"/>
  <c r="K7190" i="88"/>
  <c r="K7191" i="88"/>
  <c r="K7192" i="88"/>
  <c r="K7193" i="88"/>
  <c r="K7194" i="88"/>
  <c r="K7195" i="88"/>
  <c r="K7196" i="88"/>
  <c r="K7197" i="88"/>
  <c r="K7198" i="88"/>
  <c r="K7199" i="88"/>
  <c r="K7200" i="88"/>
  <c r="K7201" i="88"/>
  <c r="K7202" i="88"/>
  <c r="K7203" i="88"/>
  <c r="K7204" i="88"/>
  <c r="K7205" i="88"/>
  <c r="K7206" i="88"/>
  <c r="K7207" i="88"/>
  <c r="K7208" i="88"/>
  <c r="K7209" i="88"/>
  <c r="K7210" i="88"/>
  <c r="K7211" i="88"/>
  <c r="K7212" i="88"/>
  <c r="K7213" i="88"/>
  <c r="K7214" i="88"/>
  <c r="K7215" i="88"/>
  <c r="K7216" i="88"/>
  <c r="K7217" i="88"/>
  <c r="K7218" i="88"/>
  <c r="K7219" i="88"/>
  <c r="K7220" i="88"/>
  <c r="K7221" i="88"/>
  <c r="K7222" i="88"/>
  <c r="K7223" i="88"/>
  <c r="K7224" i="88"/>
  <c r="K7225" i="88"/>
  <c r="K7226" i="88"/>
  <c r="K7227" i="88"/>
  <c r="K7228" i="88"/>
  <c r="K7229" i="88"/>
  <c r="K7230" i="88"/>
  <c r="K7231" i="88"/>
  <c r="K7232" i="88"/>
  <c r="K7233" i="88"/>
  <c r="K7234" i="88"/>
  <c r="K7235" i="88"/>
  <c r="K7236" i="88"/>
  <c r="K7237" i="88"/>
  <c r="K7238" i="88"/>
  <c r="K7239" i="88"/>
  <c r="K7240" i="88"/>
  <c r="K7241" i="88"/>
  <c r="K7242" i="88"/>
  <c r="K7243" i="88"/>
  <c r="K7244" i="88"/>
  <c r="K7245" i="88"/>
  <c r="K7246" i="88"/>
  <c r="K7247" i="88"/>
  <c r="K7248" i="88"/>
  <c r="K7249" i="88"/>
  <c r="K7250" i="88"/>
  <c r="K7251" i="88"/>
  <c r="K7252" i="88"/>
  <c r="K7253" i="88"/>
  <c r="K7254" i="88"/>
  <c r="K7255" i="88"/>
  <c r="K7256" i="88"/>
  <c r="K7257" i="88"/>
  <c r="K7258" i="88"/>
  <c r="K7259" i="88"/>
  <c r="K7260" i="88"/>
  <c r="K7261" i="88"/>
  <c r="K7262" i="88"/>
  <c r="K7263" i="88"/>
  <c r="K7264" i="88"/>
  <c r="K7265" i="88"/>
  <c r="K7266" i="88"/>
  <c r="K7267" i="88"/>
  <c r="K7268" i="88"/>
  <c r="K7269" i="88"/>
  <c r="K7270" i="88"/>
  <c r="K7271" i="88"/>
  <c r="K7272" i="88"/>
  <c r="K7273" i="88"/>
  <c r="K7274" i="88"/>
  <c r="K7275" i="88"/>
  <c r="K7276" i="88"/>
  <c r="K7277" i="88"/>
  <c r="K7278" i="88"/>
  <c r="K7279" i="88"/>
  <c r="K7280" i="88"/>
  <c r="K7281" i="88"/>
  <c r="K7282" i="88"/>
  <c r="K7283" i="88"/>
  <c r="K7284" i="88"/>
  <c r="K7285" i="88"/>
  <c r="K7286" i="88"/>
  <c r="K7287" i="88"/>
  <c r="K7288" i="88"/>
  <c r="K7289" i="88"/>
  <c r="K7290" i="88"/>
  <c r="K7291" i="88"/>
  <c r="K7292" i="88"/>
  <c r="K7293" i="88"/>
  <c r="K7294" i="88"/>
  <c r="K7295" i="88"/>
  <c r="K7296" i="88"/>
  <c r="K7297" i="88"/>
  <c r="K7298" i="88"/>
  <c r="K7299" i="88"/>
  <c r="K7300" i="88"/>
  <c r="K7301" i="88"/>
  <c r="K7302" i="88"/>
  <c r="K7303" i="88"/>
  <c r="K7304" i="88"/>
  <c r="K7305" i="88"/>
  <c r="K7306" i="88"/>
  <c r="K7307" i="88"/>
  <c r="K7308" i="88"/>
  <c r="K7309" i="88"/>
  <c r="K7310" i="88"/>
  <c r="K7311" i="88"/>
  <c r="K7312" i="88"/>
  <c r="K7313" i="88"/>
  <c r="K7314" i="88"/>
  <c r="K7315" i="88"/>
  <c r="K7316" i="88"/>
  <c r="K7317" i="88"/>
  <c r="K7318" i="88"/>
  <c r="K7319" i="88"/>
  <c r="K7320" i="88"/>
  <c r="K7321" i="88"/>
  <c r="K7322" i="88"/>
  <c r="K7323" i="88"/>
  <c r="K7324" i="88"/>
  <c r="K7325" i="88"/>
  <c r="K7326" i="88"/>
  <c r="K7327" i="88"/>
  <c r="K7328" i="88"/>
  <c r="K7329" i="88"/>
  <c r="K7330" i="88"/>
  <c r="K7331" i="88"/>
  <c r="K7332" i="88"/>
  <c r="K7333" i="88"/>
  <c r="K7334" i="88"/>
  <c r="K7335" i="88"/>
  <c r="K7336" i="88"/>
  <c r="K7337" i="88"/>
  <c r="K7338" i="88"/>
  <c r="K7339" i="88"/>
  <c r="K7340" i="88"/>
  <c r="K7341" i="88"/>
  <c r="K7342" i="88"/>
  <c r="K7343" i="88"/>
  <c r="K7344" i="88"/>
  <c r="K7345" i="88"/>
  <c r="K7346" i="88"/>
  <c r="K7347" i="88"/>
  <c r="K7348" i="88"/>
  <c r="K7349" i="88"/>
  <c r="K7350" i="88"/>
  <c r="K7351" i="88"/>
  <c r="K7352" i="88"/>
  <c r="K7353" i="88"/>
  <c r="K7354" i="88"/>
  <c r="K7355" i="88"/>
  <c r="K7356" i="88"/>
  <c r="K7357" i="88"/>
  <c r="K7358" i="88"/>
  <c r="K7359" i="88"/>
  <c r="K7360" i="88"/>
  <c r="K7361" i="88"/>
  <c r="K7362" i="88"/>
  <c r="K7363" i="88"/>
  <c r="K7364" i="88"/>
  <c r="K7365" i="88"/>
  <c r="K7366" i="88"/>
  <c r="K7367" i="88"/>
  <c r="K7368" i="88"/>
  <c r="K7369" i="88"/>
  <c r="K7370" i="88"/>
  <c r="K7371" i="88"/>
  <c r="K7372" i="88"/>
  <c r="K7373" i="88"/>
  <c r="K7374" i="88"/>
  <c r="K7375" i="88"/>
  <c r="K7376" i="88"/>
  <c r="K7377" i="88"/>
  <c r="K7378" i="88"/>
  <c r="K7379" i="88"/>
  <c r="K7380" i="88"/>
  <c r="K7381" i="88"/>
  <c r="K7382" i="88"/>
  <c r="K7383" i="88"/>
  <c r="K7384" i="88"/>
  <c r="K7385" i="88"/>
  <c r="K7386" i="88"/>
  <c r="K7387" i="88"/>
  <c r="K7388" i="88"/>
  <c r="K7389" i="88"/>
  <c r="K7390" i="88"/>
  <c r="K7391" i="88"/>
  <c r="K7392" i="88"/>
  <c r="K7393" i="88"/>
  <c r="K7394" i="88"/>
  <c r="K7395" i="88"/>
  <c r="K7396" i="88"/>
  <c r="K7397" i="88"/>
  <c r="K7398" i="88"/>
  <c r="K7399" i="88"/>
  <c r="K7400" i="88"/>
  <c r="K7401" i="88"/>
  <c r="K7402" i="88"/>
  <c r="K7403" i="88"/>
  <c r="K7404" i="88"/>
  <c r="K7405" i="88"/>
  <c r="K7406" i="88"/>
  <c r="K7407" i="88"/>
  <c r="K7408" i="88"/>
  <c r="K7409" i="88"/>
  <c r="K7410" i="88"/>
  <c r="K7411" i="88"/>
  <c r="K7412" i="88"/>
  <c r="K7413" i="88"/>
  <c r="K7414" i="88"/>
  <c r="K7415" i="88"/>
  <c r="K7416" i="88"/>
  <c r="K7417" i="88"/>
  <c r="K7418" i="88"/>
  <c r="K7419" i="88"/>
  <c r="K7420" i="88"/>
  <c r="K7421" i="88"/>
  <c r="K7422" i="88"/>
  <c r="K7423" i="88"/>
  <c r="K7424" i="88"/>
  <c r="K7425" i="88"/>
  <c r="K7426" i="88"/>
  <c r="K7427" i="88"/>
  <c r="K7428" i="88"/>
  <c r="K7429" i="88"/>
  <c r="K7430" i="88"/>
  <c r="K7431" i="88"/>
  <c r="K7432" i="88"/>
  <c r="K7433" i="88"/>
  <c r="K7434" i="88"/>
  <c r="K7435" i="88"/>
  <c r="K7436" i="88"/>
  <c r="K7437" i="88"/>
  <c r="K7438" i="88"/>
  <c r="K7439" i="88"/>
  <c r="K7440" i="88"/>
  <c r="K7441" i="88"/>
  <c r="K7442" i="88"/>
  <c r="K7443" i="88"/>
  <c r="K7444" i="88"/>
  <c r="K7445" i="88"/>
  <c r="K7446" i="88"/>
  <c r="K7447" i="88"/>
  <c r="K7448" i="88"/>
  <c r="K7449" i="88"/>
  <c r="K7450" i="88"/>
  <c r="K7451" i="88"/>
  <c r="K7452" i="88"/>
  <c r="K7453" i="88"/>
  <c r="K7454" i="88"/>
  <c r="K7455" i="88"/>
  <c r="K7456" i="88"/>
  <c r="K7457" i="88"/>
  <c r="K7458" i="88"/>
  <c r="K7459" i="88"/>
  <c r="K7460" i="88"/>
  <c r="K7461" i="88"/>
  <c r="K7462" i="88"/>
  <c r="K7463" i="88"/>
  <c r="K7464" i="88"/>
  <c r="K7465" i="88"/>
  <c r="K7466" i="88"/>
  <c r="K7467" i="88"/>
  <c r="K7468" i="88"/>
  <c r="K7469" i="88"/>
  <c r="K7470" i="88"/>
  <c r="K7471" i="88"/>
  <c r="K7472" i="88"/>
  <c r="K7473" i="88"/>
  <c r="K7474" i="88"/>
  <c r="K7475" i="88"/>
  <c r="K7476" i="88"/>
  <c r="K7477" i="88"/>
  <c r="K7478" i="88"/>
  <c r="K7479" i="88"/>
  <c r="K7480" i="88"/>
  <c r="K7481" i="88"/>
  <c r="K7482" i="88"/>
  <c r="K7483" i="88"/>
  <c r="K7484" i="88"/>
  <c r="K7485" i="88"/>
  <c r="K7486" i="88"/>
  <c r="K7487" i="88"/>
  <c r="K7488" i="88"/>
  <c r="K7489" i="88"/>
  <c r="K7490" i="88"/>
  <c r="K7491" i="88"/>
  <c r="K7492" i="88"/>
  <c r="K7493" i="88"/>
  <c r="K7494" i="88"/>
  <c r="K7495" i="88"/>
  <c r="K7496" i="88"/>
  <c r="K7497" i="88"/>
  <c r="K7498" i="88"/>
  <c r="K7499" i="88"/>
  <c r="K7500" i="88"/>
  <c r="K7501" i="88"/>
  <c r="K7502" i="88"/>
  <c r="K7503" i="88"/>
  <c r="K7504" i="88"/>
  <c r="K7505" i="88"/>
  <c r="K7506" i="88"/>
  <c r="K7507" i="88"/>
  <c r="K7508" i="88"/>
  <c r="K7509" i="88"/>
  <c r="K7510" i="88"/>
  <c r="K7511" i="88"/>
  <c r="K7512" i="88"/>
  <c r="K7513" i="88"/>
  <c r="K7514" i="88"/>
  <c r="K7515" i="88"/>
  <c r="K7516" i="88"/>
  <c r="K7517" i="88"/>
  <c r="K7518" i="88"/>
  <c r="K7519" i="88"/>
  <c r="K7520" i="88"/>
  <c r="K7521" i="88"/>
  <c r="K7522" i="88"/>
  <c r="K7523" i="88"/>
  <c r="K7524" i="88"/>
  <c r="K7525" i="88"/>
  <c r="K7526" i="88"/>
  <c r="K7527" i="88"/>
  <c r="K7528" i="88"/>
  <c r="K7529" i="88"/>
  <c r="K7530" i="88"/>
  <c r="K7531" i="88"/>
  <c r="K7532" i="88"/>
  <c r="K7533" i="88"/>
  <c r="K7534" i="88"/>
  <c r="K7535" i="88"/>
  <c r="K7536" i="88"/>
  <c r="K7537" i="88"/>
  <c r="K7538" i="88"/>
  <c r="K7539" i="88"/>
  <c r="K7540" i="88"/>
  <c r="K7541" i="88"/>
  <c r="K7542" i="88"/>
  <c r="K7543" i="88"/>
  <c r="K7544" i="88"/>
  <c r="K7545" i="88"/>
  <c r="K7546" i="88"/>
  <c r="K7547" i="88"/>
  <c r="K7548" i="88"/>
  <c r="K7549" i="88"/>
  <c r="K7550" i="88"/>
  <c r="K7551" i="88"/>
  <c r="K7552" i="88"/>
  <c r="K7553" i="88"/>
  <c r="K7554" i="88"/>
  <c r="K7555" i="88"/>
  <c r="K7556" i="88"/>
  <c r="K7557" i="88"/>
  <c r="K7558" i="88"/>
  <c r="K7559" i="88"/>
  <c r="K7560" i="88"/>
  <c r="K7561" i="88"/>
  <c r="K7562" i="88"/>
  <c r="K7563" i="88"/>
  <c r="K7564" i="88"/>
  <c r="K7565" i="88"/>
  <c r="K7566" i="88"/>
  <c r="K7567" i="88"/>
  <c r="K7568" i="88"/>
  <c r="K7569" i="88"/>
  <c r="K7570" i="88"/>
  <c r="K7571" i="88"/>
  <c r="K7572" i="88"/>
  <c r="K7573" i="88"/>
  <c r="K7574" i="88"/>
  <c r="K7575" i="88"/>
  <c r="K7576" i="88"/>
  <c r="K7577" i="88"/>
  <c r="K7578" i="88"/>
  <c r="K7579" i="88"/>
  <c r="K7580" i="88"/>
  <c r="K7581" i="88"/>
  <c r="K7582" i="88"/>
  <c r="K7583" i="88"/>
  <c r="K7584" i="88"/>
  <c r="K7585" i="88"/>
  <c r="K7586" i="88"/>
  <c r="K7587" i="88"/>
  <c r="K7588" i="88"/>
  <c r="K7589" i="88"/>
  <c r="K7590" i="88"/>
  <c r="K7591" i="88"/>
  <c r="K7592" i="88"/>
  <c r="K7593" i="88"/>
  <c r="K7594" i="88"/>
  <c r="K7595" i="88"/>
  <c r="K7596" i="88"/>
  <c r="K7597" i="88"/>
  <c r="K7598" i="88"/>
  <c r="K7599" i="88"/>
  <c r="K7600" i="88"/>
  <c r="K7601" i="88"/>
  <c r="K7602" i="88"/>
  <c r="K7603" i="88"/>
  <c r="K7604" i="88"/>
  <c r="K7605" i="88"/>
  <c r="K7606" i="88"/>
  <c r="K7607" i="88"/>
  <c r="K7608" i="88"/>
  <c r="K7609" i="88"/>
  <c r="K7610" i="88"/>
  <c r="K7611" i="88"/>
  <c r="K7612" i="88"/>
  <c r="K7613" i="88"/>
  <c r="K7614" i="88"/>
  <c r="K7615" i="88"/>
  <c r="K7616" i="88"/>
  <c r="K7617" i="88"/>
  <c r="K7618" i="88"/>
  <c r="K7619" i="88"/>
  <c r="K7620" i="88"/>
  <c r="K7621" i="88"/>
  <c r="K7622" i="88"/>
  <c r="K7623" i="88"/>
  <c r="K7624" i="88"/>
  <c r="K7625" i="88"/>
  <c r="K7626" i="88"/>
  <c r="K7627" i="88"/>
  <c r="K7628" i="88"/>
  <c r="K7629" i="88"/>
  <c r="K7630" i="88"/>
  <c r="K7631" i="88"/>
  <c r="K7632" i="88"/>
  <c r="K7633" i="88"/>
  <c r="K7634" i="88"/>
  <c r="K7635" i="88"/>
  <c r="K7636" i="88"/>
  <c r="K7637" i="88"/>
  <c r="K7638" i="88"/>
  <c r="K7639" i="88"/>
  <c r="K7640" i="88"/>
  <c r="K7641" i="88"/>
  <c r="K7642" i="88"/>
  <c r="K7643" i="88"/>
  <c r="K7644" i="88"/>
  <c r="K7645" i="88"/>
  <c r="K7646" i="88"/>
  <c r="K7647" i="88"/>
  <c r="K7648" i="88"/>
  <c r="K7649" i="88"/>
  <c r="K7650" i="88"/>
  <c r="K7651" i="88"/>
  <c r="K7652" i="88"/>
  <c r="K7653" i="88"/>
  <c r="K7654" i="88"/>
  <c r="K7655" i="88"/>
  <c r="K7656" i="88"/>
  <c r="K7657" i="88"/>
  <c r="K7658" i="88"/>
  <c r="K7659" i="88"/>
  <c r="K7660" i="88"/>
  <c r="K7661" i="88"/>
  <c r="K7662" i="88"/>
  <c r="K7663" i="88"/>
  <c r="K7664" i="88"/>
  <c r="K7665" i="88"/>
  <c r="K7666" i="88"/>
  <c r="K7667" i="88"/>
  <c r="K7668" i="88"/>
  <c r="K7669" i="88"/>
  <c r="K7670" i="88"/>
  <c r="K7671" i="88"/>
  <c r="K7672" i="88"/>
  <c r="K7673" i="88"/>
  <c r="K7674" i="88"/>
  <c r="K7675" i="88"/>
  <c r="K7676" i="88"/>
  <c r="K7677" i="88"/>
  <c r="K7678" i="88"/>
  <c r="K7679" i="88"/>
  <c r="K7680" i="88"/>
  <c r="K7681" i="88"/>
  <c r="K7682" i="88"/>
  <c r="K7683" i="88"/>
  <c r="K7684" i="88"/>
  <c r="K7685" i="88"/>
  <c r="K7686" i="88"/>
  <c r="K7687" i="88"/>
  <c r="K7688" i="88"/>
  <c r="K7689" i="88"/>
  <c r="K7690" i="88"/>
  <c r="K7691" i="88"/>
  <c r="K7692" i="88"/>
  <c r="K7693" i="88"/>
  <c r="K7694" i="88"/>
  <c r="K7695" i="88"/>
  <c r="K7696" i="88"/>
  <c r="K7697" i="88"/>
  <c r="K7698" i="88"/>
  <c r="K7699" i="88"/>
  <c r="K7700" i="88"/>
  <c r="K7701" i="88"/>
  <c r="K7702" i="88"/>
  <c r="K7703" i="88"/>
  <c r="K7704" i="88"/>
  <c r="K7705" i="88"/>
  <c r="K7706" i="88"/>
  <c r="K7707" i="88"/>
  <c r="K7708" i="88"/>
  <c r="K7709" i="88"/>
  <c r="K7710" i="88"/>
  <c r="K7711" i="88"/>
  <c r="K7712" i="88"/>
  <c r="K7713" i="88"/>
  <c r="K7714" i="88"/>
  <c r="K7715" i="88"/>
  <c r="K7716" i="88"/>
  <c r="K7717" i="88"/>
  <c r="K7718" i="88"/>
  <c r="K7719" i="88"/>
  <c r="K7720" i="88"/>
  <c r="K7721" i="88"/>
  <c r="K7722" i="88"/>
  <c r="K7723" i="88"/>
  <c r="K7724" i="88"/>
  <c r="K7725" i="88"/>
  <c r="K7726" i="88"/>
  <c r="K7727" i="88"/>
  <c r="K7728" i="88"/>
  <c r="K7729" i="88"/>
  <c r="K7730" i="88"/>
  <c r="K7731" i="88"/>
  <c r="K7732" i="88"/>
  <c r="K7733" i="88"/>
  <c r="K7734" i="88"/>
  <c r="K7735" i="88"/>
  <c r="K7736" i="88"/>
  <c r="K7737" i="88"/>
  <c r="K7738" i="88"/>
  <c r="K7739" i="88"/>
  <c r="K7740" i="88"/>
  <c r="K7741" i="88"/>
  <c r="K7742" i="88"/>
  <c r="K7743" i="88"/>
  <c r="K7744" i="88"/>
  <c r="K7745" i="88"/>
  <c r="K7746" i="88"/>
  <c r="K7747" i="88"/>
  <c r="K7748" i="88"/>
  <c r="K7749" i="88"/>
  <c r="K7750" i="88"/>
  <c r="K7751" i="88"/>
  <c r="K7752" i="88"/>
  <c r="K7753" i="88"/>
  <c r="K7754" i="88"/>
  <c r="K7755" i="88"/>
  <c r="K7756" i="88"/>
  <c r="K7757" i="88"/>
  <c r="K7758" i="88"/>
  <c r="K7759" i="88"/>
  <c r="K7760" i="88"/>
  <c r="K7761" i="88"/>
  <c r="K7762" i="88"/>
  <c r="K7763" i="88"/>
  <c r="K7764" i="88"/>
  <c r="K7765" i="88"/>
  <c r="K7766" i="88"/>
  <c r="K7767" i="88"/>
  <c r="K7768" i="88"/>
  <c r="K7769" i="88"/>
  <c r="K7770" i="88"/>
  <c r="K7771" i="88"/>
  <c r="K7772" i="88"/>
  <c r="K7773" i="88"/>
  <c r="K7774" i="88"/>
  <c r="K7775" i="88"/>
  <c r="K7776" i="88"/>
  <c r="K7777" i="88"/>
  <c r="K7778" i="88"/>
  <c r="K7779" i="88"/>
  <c r="K7780" i="88"/>
  <c r="K7781" i="88"/>
  <c r="K7782" i="88"/>
  <c r="K7783" i="88"/>
  <c r="K7784" i="88"/>
  <c r="K7785" i="88"/>
  <c r="K7786" i="88"/>
  <c r="K7787" i="88"/>
  <c r="K7788" i="88"/>
  <c r="K7789" i="88"/>
  <c r="K7790" i="88"/>
  <c r="K7791" i="88"/>
  <c r="K7792" i="88"/>
  <c r="K7793" i="88"/>
  <c r="K7794" i="88"/>
  <c r="K7795" i="88"/>
  <c r="K7796" i="88"/>
  <c r="K7797" i="88"/>
  <c r="K7798" i="88"/>
  <c r="K7799" i="88"/>
  <c r="K7800" i="88"/>
  <c r="K7801" i="88"/>
  <c r="K7802" i="88"/>
  <c r="K7803" i="88"/>
  <c r="K7804" i="88"/>
  <c r="K7805" i="88"/>
  <c r="K7806" i="88"/>
  <c r="K7807" i="88"/>
  <c r="K7808" i="88"/>
  <c r="K7809" i="88"/>
  <c r="K7810" i="88"/>
  <c r="K7811" i="88"/>
  <c r="K7812" i="88"/>
  <c r="K7813" i="88"/>
  <c r="K7814" i="88"/>
  <c r="K7815" i="88"/>
  <c r="K7816" i="88"/>
  <c r="K7817" i="88"/>
  <c r="K7818" i="88"/>
  <c r="K7819" i="88"/>
  <c r="K7820" i="88"/>
  <c r="K7821" i="88"/>
  <c r="K7822" i="88"/>
  <c r="K7823" i="88"/>
  <c r="K7824" i="88"/>
  <c r="K7825" i="88"/>
  <c r="K7826" i="88"/>
  <c r="K7827" i="88"/>
  <c r="K7828" i="88"/>
  <c r="K7829" i="88"/>
  <c r="K7830" i="88"/>
  <c r="K7831" i="88"/>
  <c r="K7832" i="88"/>
  <c r="K7833" i="88"/>
  <c r="K7834" i="88"/>
  <c r="K7835" i="88"/>
  <c r="K7836" i="88"/>
  <c r="K7837" i="88"/>
  <c r="K7838" i="88"/>
  <c r="K7839" i="88"/>
  <c r="K7840" i="88"/>
  <c r="K7841" i="88"/>
  <c r="K7842" i="88"/>
  <c r="K7843" i="88"/>
  <c r="K7844" i="88"/>
  <c r="K7845" i="88"/>
  <c r="K7846" i="88"/>
  <c r="K7847" i="88"/>
  <c r="K7848" i="88"/>
  <c r="K7849" i="88"/>
  <c r="K7850" i="88"/>
  <c r="K7851" i="88"/>
  <c r="K7852" i="88"/>
  <c r="K7853" i="88"/>
  <c r="K7854" i="88"/>
  <c r="K7855" i="88"/>
  <c r="K7856" i="88"/>
  <c r="K7857" i="88"/>
  <c r="K7858" i="88"/>
  <c r="K7859" i="88"/>
  <c r="K7860" i="88"/>
  <c r="K7861" i="88"/>
  <c r="K7862" i="88"/>
  <c r="K7863" i="88"/>
  <c r="K7864" i="88"/>
  <c r="K7865" i="88"/>
  <c r="K7866" i="88"/>
  <c r="K7867" i="88"/>
  <c r="K7868" i="88"/>
  <c r="K7869" i="88"/>
  <c r="K7870" i="88"/>
  <c r="K7871" i="88"/>
  <c r="K7872" i="88"/>
  <c r="K7873" i="88"/>
  <c r="K7874" i="88"/>
  <c r="K7875" i="88"/>
  <c r="K7876" i="88"/>
  <c r="K7877" i="88"/>
  <c r="K7878" i="88"/>
  <c r="K7879" i="88"/>
  <c r="K7880" i="88"/>
  <c r="K7881" i="88"/>
  <c r="K7882" i="88"/>
  <c r="K7883" i="88"/>
  <c r="K7884" i="88"/>
  <c r="K7885" i="88"/>
  <c r="K7886" i="88"/>
  <c r="K7887" i="88"/>
  <c r="K7888" i="88"/>
  <c r="K7889" i="88"/>
  <c r="K7890" i="88"/>
  <c r="K7891" i="88"/>
  <c r="K7892" i="88"/>
  <c r="K7893" i="88"/>
  <c r="K7894" i="88"/>
  <c r="K7895" i="88"/>
  <c r="K7896" i="88"/>
  <c r="K7897" i="88"/>
  <c r="K7898" i="88"/>
  <c r="K7899" i="88"/>
  <c r="K7900" i="88"/>
  <c r="K7901" i="88"/>
  <c r="K7902" i="88"/>
  <c r="K7903" i="88"/>
  <c r="K7904" i="88"/>
  <c r="K7905" i="88"/>
  <c r="K7906" i="88"/>
  <c r="K7907" i="88"/>
  <c r="K7908" i="88"/>
  <c r="K7909" i="88"/>
  <c r="K7910" i="88"/>
  <c r="K7911" i="88"/>
  <c r="K7912" i="88"/>
  <c r="K7913" i="88"/>
  <c r="K7914" i="88"/>
  <c r="K7915" i="88"/>
  <c r="K7916" i="88"/>
  <c r="K7917" i="88"/>
  <c r="K7918" i="88"/>
  <c r="K7919" i="88"/>
  <c r="K7920" i="88"/>
  <c r="K7921" i="88"/>
  <c r="K7922" i="88"/>
  <c r="K7923" i="88"/>
  <c r="K7924" i="88"/>
  <c r="K7925" i="88"/>
  <c r="K7926" i="88"/>
  <c r="K7927" i="88"/>
  <c r="K7928" i="88"/>
  <c r="K7929" i="88"/>
  <c r="K7930" i="88"/>
  <c r="K7931" i="88"/>
  <c r="K7932" i="88"/>
  <c r="K7933" i="88"/>
  <c r="K7934" i="88"/>
  <c r="K7935" i="88"/>
  <c r="K7936" i="88"/>
  <c r="K7937" i="88"/>
  <c r="K7938" i="88"/>
  <c r="K7939" i="88"/>
  <c r="K7940" i="88"/>
  <c r="K7941" i="88"/>
  <c r="K7942" i="88"/>
  <c r="K7943" i="88"/>
  <c r="K7944" i="88"/>
  <c r="K7945" i="88"/>
  <c r="K7946" i="88"/>
  <c r="K7947" i="88"/>
  <c r="K7948" i="88"/>
  <c r="K7949" i="88"/>
  <c r="K7950" i="88"/>
  <c r="K7951" i="88"/>
  <c r="K7952" i="88"/>
  <c r="K7953" i="88"/>
  <c r="K7954" i="88"/>
  <c r="K7955" i="88"/>
  <c r="K7956" i="88"/>
  <c r="K7957" i="88"/>
  <c r="K7958" i="88"/>
  <c r="K7959" i="88"/>
  <c r="K7960" i="88"/>
  <c r="K7961" i="88"/>
  <c r="K7962" i="88"/>
  <c r="K7963" i="88"/>
  <c r="K7964" i="88"/>
  <c r="K7965" i="88"/>
  <c r="K7966" i="88"/>
  <c r="K7967" i="88"/>
  <c r="K7968" i="88"/>
  <c r="K7969" i="88"/>
  <c r="K7970" i="88"/>
  <c r="K7971" i="88"/>
  <c r="K7972" i="88"/>
  <c r="K7973" i="88"/>
  <c r="K7974" i="88"/>
  <c r="K7975" i="88"/>
  <c r="K7976" i="88"/>
  <c r="K7977" i="88"/>
  <c r="K7978" i="88"/>
  <c r="K7979" i="88"/>
  <c r="K7980" i="88"/>
  <c r="K7981" i="88"/>
  <c r="K7982" i="88"/>
  <c r="K7983" i="88"/>
  <c r="K7984" i="88"/>
  <c r="K7985" i="88"/>
  <c r="K7986" i="88"/>
  <c r="K7987" i="88"/>
  <c r="K7988" i="88"/>
  <c r="K7989" i="88"/>
  <c r="K7990" i="88"/>
  <c r="K7991" i="88"/>
  <c r="K7992" i="88"/>
  <c r="K7993" i="88"/>
  <c r="K7994" i="88"/>
  <c r="K7995" i="88"/>
  <c r="K7996" i="88"/>
  <c r="K7997" i="88"/>
  <c r="K7998" i="88"/>
  <c r="K7999" i="88"/>
  <c r="K8000" i="88"/>
  <c r="K8001" i="88"/>
  <c r="K8002" i="88"/>
  <c r="K8003" i="88"/>
  <c r="K8004" i="88"/>
  <c r="K8005" i="88"/>
  <c r="K8006" i="88"/>
  <c r="K8007" i="88"/>
  <c r="K8008" i="88"/>
  <c r="K8009" i="88"/>
  <c r="K8010" i="88"/>
  <c r="K8011" i="88"/>
  <c r="K8012" i="88"/>
  <c r="K8013" i="88"/>
  <c r="K8014" i="88"/>
  <c r="K8015" i="88"/>
  <c r="K8016" i="88"/>
  <c r="K8017" i="88"/>
  <c r="K8018" i="88"/>
  <c r="K8019" i="88"/>
  <c r="K8020" i="88"/>
  <c r="K8021" i="88"/>
  <c r="K8022" i="88"/>
  <c r="K8023" i="88"/>
  <c r="K8024" i="88"/>
  <c r="K8025" i="88"/>
  <c r="K8026" i="88"/>
  <c r="K8027" i="88"/>
  <c r="K8028" i="88"/>
  <c r="K8029" i="88"/>
  <c r="K8030" i="88"/>
  <c r="K8031" i="88"/>
  <c r="K8032" i="88"/>
  <c r="K8033" i="88"/>
  <c r="K8034" i="88"/>
  <c r="K8035" i="88"/>
  <c r="K8036" i="88"/>
  <c r="K8037" i="88"/>
  <c r="K8038" i="88"/>
  <c r="K8039" i="88"/>
  <c r="K8040" i="88"/>
  <c r="K8041" i="88"/>
  <c r="K8042" i="88"/>
  <c r="K8043" i="88"/>
  <c r="K8044" i="88"/>
  <c r="K8045" i="88"/>
  <c r="K8046" i="88"/>
  <c r="K8047" i="88"/>
  <c r="K8048" i="88"/>
  <c r="K8049" i="88"/>
  <c r="K8050" i="88"/>
  <c r="K8051" i="88"/>
  <c r="K8052" i="88"/>
  <c r="K8053" i="88"/>
  <c r="K8054" i="88"/>
  <c r="K8055" i="88"/>
  <c r="K8056" i="88"/>
  <c r="K8057" i="88"/>
  <c r="K8058" i="88"/>
  <c r="K8059" i="88"/>
  <c r="K8060" i="88"/>
  <c r="K8061" i="88"/>
  <c r="K8062" i="88"/>
  <c r="K8063" i="88"/>
  <c r="K8064" i="88"/>
  <c r="K8065" i="88"/>
  <c r="K8066" i="88"/>
  <c r="K8067" i="88"/>
  <c r="K8068" i="88"/>
  <c r="K8069" i="88"/>
  <c r="K8070" i="88"/>
  <c r="K8071" i="88"/>
  <c r="K8072" i="88"/>
  <c r="K8073" i="88"/>
  <c r="K8074" i="88"/>
  <c r="K8075" i="88"/>
  <c r="K8076" i="88"/>
  <c r="K8077" i="88"/>
  <c r="K8078" i="88"/>
  <c r="K8079" i="88"/>
  <c r="K8080" i="88"/>
  <c r="K8081" i="88"/>
  <c r="K8082" i="88"/>
  <c r="K8083" i="88"/>
  <c r="K8084" i="88"/>
  <c r="K8085" i="88"/>
  <c r="K8086" i="88"/>
  <c r="K8087" i="88"/>
  <c r="K8088" i="88"/>
  <c r="K8089" i="88"/>
  <c r="K8090" i="88"/>
  <c r="K8091" i="88"/>
  <c r="K8092" i="88"/>
  <c r="K8093" i="88"/>
  <c r="K8094" i="88"/>
  <c r="K8095" i="88"/>
  <c r="K8096" i="88"/>
  <c r="K8097" i="88"/>
  <c r="K8098" i="88"/>
  <c r="K8099" i="88"/>
  <c r="K8100" i="88"/>
  <c r="K8101" i="88"/>
  <c r="K8102" i="88"/>
  <c r="K8103" i="88"/>
  <c r="K8104" i="88"/>
  <c r="K8105" i="88"/>
  <c r="K8106" i="88"/>
  <c r="K8107" i="88"/>
  <c r="K8108" i="88"/>
  <c r="K8109" i="88"/>
  <c r="K8110" i="88"/>
  <c r="K8111" i="88"/>
  <c r="K8112" i="88"/>
  <c r="K8113" i="88"/>
  <c r="K8114" i="88"/>
  <c r="K8115" i="88"/>
  <c r="K8116" i="88"/>
  <c r="K8117" i="88"/>
  <c r="K8118" i="88"/>
  <c r="K8119" i="88"/>
  <c r="K8120" i="88"/>
  <c r="K8121" i="88"/>
  <c r="K8122" i="88"/>
  <c r="K8123" i="88"/>
  <c r="K8124" i="88"/>
  <c r="K8125" i="88"/>
  <c r="K8126" i="88"/>
  <c r="K8127" i="88"/>
  <c r="K8128" i="88"/>
  <c r="K8129" i="88"/>
  <c r="K8130" i="88"/>
  <c r="K8131" i="88"/>
  <c r="K8132" i="88"/>
  <c r="K8133" i="88"/>
  <c r="K8134" i="88"/>
  <c r="K8135" i="88"/>
  <c r="K8136" i="88"/>
  <c r="K8137" i="88"/>
  <c r="K8138" i="88"/>
  <c r="K8139" i="88"/>
  <c r="K8140" i="88"/>
  <c r="K8141" i="88"/>
  <c r="K8142" i="88"/>
  <c r="K8143" i="88"/>
  <c r="K8144" i="88"/>
  <c r="K8145" i="88"/>
  <c r="K8146" i="88"/>
  <c r="K8147" i="88"/>
  <c r="K8148" i="88"/>
  <c r="K8149" i="88"/>
  <c r="K8150" i="88"/>
  <c r="K8151" i="88"/>
  <c r="K8152" i="88"/>
  <c r="K8153" i="88"/>
  <c r="K8154" i="88"/>
  <c r="K8155" i="88"/>
  <c r="K8156" i="88"/>
  <c r="K8157" i="88"/>
  <c r="K8158" i="88"/>
  <c r="K8159" i="88"/>
  <c r="K8160" i="88"/>
  <c r="K8161" i="88"/>
  <c r="K8162" i="88"/>
  <c r="K8163" i="88"/>
  <c r="K8164" i="88"/>
  <c r="K8165" i="88"/>
  <c r="K8166" i="88"/>
  <c r="K8167" i="88"/>
  <c r="K8168" i="88"/>
  <c r="K8169" i="88"/>
  <c r="K8170" i="88"/>
  <c r="K8171" i="88"/>
  <c r="K8172" i="88"/>
  <c r="K8173" i="88"/>
  <c r="K8174" i="88"/>
  <c r="K8175" i="88"/>
  <c r="K8176" i="88"/>
  <c r="K8177" i="88"/>
  <c r="K8178" i="88"/>
  <c r="K8179" i="88"/>
  <c r="K8180" i="88"/>
  <c r="K8181" i="88"/>
  <c r="K8182" i="88"/>
  <c r="K8183" i="88"/>
  <c r="K8184" i="88"/>
  <c r="K8185" i="88"/>
  <c r="K8186" i="88"/>
  <c r="K8187" i="88"/>
  <c r="K8188" i="88"/>
  <c r="K8189" i="88"/>
  <c r="K8190" i="88"/>
  <c r="K8191" i="88"/>
  <c r="K8192" i="88"/>
  <c r="K8193" i="88"/>
  <c r="K8194" i="88"/>
  <c r="K8195" i="88"/>
  <c r="K8196" i="88"/>
  <c r="K8197" i="88"/>
  <c r="K8198" i="88"/>
  <c r="K8199" i="88"/>
  <c r="K8200" i="88"/>
  <c r="K8201" i="88"/>
  <c r="K8202" i="88"/>
  <c r="K8203" i="88"/>
  <c r="K8204" i="88"/>
  <c r="K8205" i="88"/>
  <c r="K8206" i="88"/>
  <c r="K8207" i="88"/>
  <c r="K8208" i="88"/>
  <c r="K8209" i="88"/>
  <c r="K8210" i="88"/>
  <c r="K8211" i="88"/>
  <c r="K8212" i="88"/>
  <c r="K8213" i="88"/>
  <c r="K8214" i="88"/>
  <c r="K8215" i="88"/>
  <c r="K8216" i="88"/>
  <c r="K8217" i="88"/>
  <c r="K8218" i="88"/>
  <c r="K8219" i="88"/>
  <c r="K8220" i="88"/>
  <c r="K8221" i="88"/>
  <c r="K8222" i="88"/>
  <c r="K8223" i="88"/>
  <c r="K8224" i="88"/>
  <c r="K8225" i="88"/>
  <c r="K8226" i="88"/>
  <c r="K8227" i="88"/>
  <c r="K8228" i="88"/>
  <c r="K8229" i="88"/>
  <c r="K8230" i="88"/>
  <c r="K8231" i="88"/>
  <c r="K8232" i="88"/>
  <c r="K8233" i="88"/>
  <c r="K8234" i="88"/>
  <c r="K8235" i="88"/>
  <c r="K8236" i="88"/>
  <c r="K8237" i="88"/>
  <c r="K8238" i="88"/>
  <c r="K8239" i="88"/>
  <c r="K8240" i="88"/>
  <c r="K8241" i="88"/>
  <c r="K8242" i="88"/>
  <c r="K8243" i="88"/>
  <c r="K8244" i="88"/>
  <c r="K8245" i="88"/>
  <c r="K8246" i="88"/>
  <c r="K8247" i="88"/>
  <c r="K8248" i="88"/>
  <c r="K8249" i="88"/>
  <c r="K8250" i="88"/>
  <c r="K8251" i="88"/>
  <c r="K8252" i="88"/>
  <c r="K8253" i="88"/>
  <c r="K8254" i="88"/>
  <c r="K8255" i="88"/>
  <c r="K8256" i="88"/>
  <c r="K8257" i="88"/>
  <c r="K8258" i="88"/>
  <c r="K8259" i="88"/>
  <c r="K8260" i="88"/>
  <c r="K8261" i="88"/>
  <c r="K8262" i="88"/>
  <c r="K8263" i="88"/>
  <c r="K8264" i="88"/>
  <c r="K8265" i="88"/>
  <c r="K8266" i="88"/>
  <c r="K8267" i="88"/>
  <c r="K8268" i="88"/>
  <c r="K8269" i="88"/>
  <c r="K8270" i="88"/>
  <c r="K8271" i="88"/>
  <c r="K8272" i="88"/>
  <c r="K8273" i="88"/>
  <c r="K8274" i="88"/>
  <c r="K8275" i="88"/>
  <c r="K8276" i="88"/>
  <c r="K8277" i="88"/>
  <c r="K8278" i="88"/>
  <c r="K8279" i="88"/>
  <c r="K8280" i="88"/>
  <c r="K8281" i="88"/>
  <c r="K8282" i="88"/>
  <c r="K8283" i="88"/>
  <c r="K8284" i="88"/>
  <c r="K8285" i="88"/>
  <c r="K8286" i="88"/>
  <c r="K8287" i="88"/>
  <c r="K8288" i="88"/>
  <c r="K8289" i="88"/>
  <c r="K8290" i="88"/>
  <c r="K8291" i="88"/>
  <c r="K8292" i="88"/>
  <c r="K8293" i="88"/>
  <c r="K8294" i="88"/>
  <c r="K8295" i="88"/>
  <c r="K8296" i="88"/>
  <c r="K8297" i="88"/>
  <c r="K8298" i="88"/>
  <c r="K8299" i="88"/>
  <c r="K8300" i="88"/>
  <c r="K8301" i="88"/>
  <c r="K8302" i="88"/>
  <c r="K8303" i="88"/>
  <c r="K8304" i="88"/>
  <c r="K8305" i="88"/>
  <c r="K8306" i="88"/>
  <c r="K8307" i="88"/>
  <c r="K8308" i="88"/>
  <c r="K8309" i="88"/>
  <c r="K8310" i="88"/>
  <c r="K8311" i="88"/>
  <c r="K8312" i="88"/>
  <c r="K8313" i="88"/>
  <c r="K8314" i="88"/>
  <c r="K8315" i="88"/>
  <c r="K8316" i="88"/>
  <c r="K8317" i="88"/>
  <c r="K8318" i="88"/>
  <c r="K8319" i="88"/>
  <c r="K8320" i="88"/>
  <c r="K8321" i="88"/>
  <c r="K8322" i="88"/>
  <c r="K8323" i="88"/>
  <c r="K8324" i="88"/>
  <c r="K8325" i="88"/>
  <c r="K8326" i="88"/>
  <c r="K8327" i="88"/>
  <c r="K8328" i="88"/>
  <c r="K8329" i="88"/>
  <c r="K8330" i="88"/>
  <c r="K8331" i="88"/>
  <c r="K8332" i="88"/>
  <c r="K8333" i="88"/>
  <c r="K8334" i="88"/>
  <c r="K8335" i="88"/>
  <c r="K8336" i="88"/>
  <c r="K8337" i="88"/>
  <c r="K8338" i="88"/>
  <c r="K8339" i="88"/>
  <c r="K8340" i="88"/>
  <c r="K8341" i="88"/>
  <c r="K8342" i="88"/>
  <c r="K8343" i="88"/>
  <c r="K8344" i="88"/>
  <c r="K8345" i="88"/>
  <c r="K8346" i="88"/>
  <c r="K8347" i="88"/>
  <c r="K8348" i="88"/>
  <c r="K8349" i="88"/>
  <c r="K8350" i="88"/>
  <c r="K8351" i="88"/>
  <c r="K8352" i="88"/>
  <c r="K8353" i="88"/>
  <c r="K8354" i="88"/>
  <c r="K8355" i="88"/>
  <c r="K8356" i="88"/>
  <c r="K8357" i="88"/>
  <c r="K8358" i="88"/>
  <c r="K8359" i="88"/>
  <c r="K8360" i="88"/>
  <c r="K8361" i="88"/>
  <c r="K8362" i="88"/>
  <c r="K8363" i="88"/>
  <c r="K8364" i="88"/>
  <c r="K8365" i="88"/>
  <c r="K8366" i="88"/>
  <c r="K8367" i="88"/>
  <c r="K8368" i="88"/>
  <c r="K8369" i="88"/>
  <c r="K8370" i="88"/>
  <c r="K8371" i="88"/>
  <c r="K8372" i="88"/>
  <c r="K8373" i="88"/>
  <c r="K8374" i="88"/>
  <c r="K8375" i="88"/>
  <c r="K8376" i="88"/>
  <c r="K8377" i="88"/>
  <c r="K8378" i="88"/>
  <c r="K8379" i="88"/>
  <c r="K8380" i="88"/>
  <c r="K8381" i="88"/>
  <c r="K8382" i="88"/>
  <c r="K8383" i="88"/>
  <c r="K8384" i="88"/>
  <c r="K8385" i="88"/>
  <c r="K8386" i="88"/>
  <c r="K8387" i="88"/>
  <c r="K8388" i="88"/>
  <c r="K8389" i="88"/>
  <c r="K8390" i="88"/>
  <c r="K8391" i="88"/>
  <c r="K8392" i="88"/>
  <c r="K8393" i="88"/>
  <c r="K8394" i="88"/>
  <c r="K8395" i="88"/>
  <c r="K8396" i="88"/>
  <c r="K8397" i="88"/>
  <c r="K8398" i="88"/>
  <c r="K8399" i="88"/>
  <c r="K8400" i="88"/>
  <c r="K8401" i="88"/>
  <c r="K8402" i="88"/>
  <c r="K8403" i="88"/>
  <c r="K8404" i="88"/>
  <c r="K8405" i="88"/>
  <c r="K8406" i="88"/>
  <c r="K8407" i="88"/>
  <c r="K8408" i="88"/>
  <c r="K8409" i="88"/>
  <c r="K8410" i="88"/>
  <c r="K8411" i="88"/>
  <c r="K8412" i="88"/>
  <c r="K8413" i="88"/>
  <c r="K8414" i="88"/>
  <c r="K8415" i="88"/>
  <c r="K8416" i="88"/>
  <c r="K8417" i="88"/>
  <c r="K8418" i="88"/>
  <c r="K8419" i="88"/>
  <c r="K8420" i="88"/>
  <c r="K8421" i="88"/>
  <c r="K8422" i="88"/>
  <c r="K8423" i="88"/>
  <c r="K8424" i="88"/>
  <c r="K8425" i="88"/>
  <c r="K8426" i="88"/>
  <c r="K8427" i="88"/>
  <c r="K8428" i="88"/>
  <c r="K8429" i="88"/>
  <c r="K8430" i="88"/>
  <c r="K8431" i="88"/>
  <c r="K8432" i="88"/>
  <c r="K8433" i="88"/>
  <c r="K8434" i="88"/>
  <c r="K8435" i="88"/>
  <c r="K8436" i="88"/>
  <c r="K8437" i="88"/>
  <c r="K8438" i="88"/>
  <c r="K8439" i="88"/>
  <c r="K8440" i="88"/>
  <c r="K8441" i="88"/>
  <c r="K8442" i="88"/>
  <c r="K8443" i="88"/>
  <c r="K8444" i="88"/>
  <c r="K8445" i="88"/>
  <c r="K8446" i="88"/>
  <c r="K8447" i="88"/>
  <c r="K8448" i="88"/>
  <c r="K8449" i="88"/>
  <c r="K8450" i="88"/>
  <c r="K8451" i="88"/>
  <c r="K8452" i="88"/>
  <c r="K8453" i="88"/>
  <c r="K8454" i="88"/>
  <c r="K8455" i="88"/>
  <c r="K8456" i="88"/>
  <c r="K8457" i="88"/>
  <c r="K8458" i="88"/>
  <c r="K8459" i="88"/>
  <c r="K8460" i="88"/>
  <c r="K8461" i="88"/>
  <c r="K8462" i="88"/>
  <c r="K8463" i="88"/>
  <c r="K8464" i="88"/>
  <c r="K8465" i="88"/>
  <c r="K8466" i="88"/>
  <c r="K8467" i="88"/>
  <c r="K8468" i="88"/>
  <c r="K8469" i="88"/>
  <c r="K8470" i="88"/>
  <c r="K8471" i="88"/>
  <c r="K8472" i="88"/>
  <c r="K8473" i="88"/>
  <c r="K8474" i="88"/>
  <c r="K8475" i="88"/>
  <c r="K8476" i="88"/>
  <c r="K8477" i="88"/>
  <c r="K8478" i="88"/>
  <c r="K8479" i="88"/>
  <c r="K8480" i="88"/>
  <c r="K8481" i="88"/>
  <c r="K8482" i="88"/>
  <c r="K8483" i="88"/>
  <c r="K8484" i="88"/>
  <c r="K8485" i="88"/>
  <c r="K8486" i="88"/>
  <c r="K8487" i="88"/>
  <c r="K8488" i="88"/>
  <c r="K8489" i="88"/>
  <c r="K8490" i="88"/>
  <c r="K8491" i="88"/>
  <c r="K8492" i="88"/>
  <c r="K8493" i="88"/>
  <c r="K8494" i="88"/>
  <c r="K8495" i="88"/>
  <c r="K8496" i="88"/>
  <c r="K8497" i="88"/>
  <c r="K8498" i="88"/>
  <c r="K8499" i="88"/>
  <c r="K8500" i="88"/>
  <c r="K8501" i="88"/>
  <c r="K8502" i="88"/>
  <c r="K8503" i="88"/>
  <c r="K8504" i="88"/>
  <c r="K8505" i="88"/>
  <c r="K8506" i="88"/>
  <c r="K8507" i="88"/>
  <c r="K8508" i="88"/>
  <c r="K8509" i="88"/>
  <c r="K8510" i="88"/>
  <c r="K8511" i="88"/>
  <c r="K8512" i="88"/>
  <c r="K8513" i="88"/>
  <c r="K8514" i="88"/>
  <c r="K8515" i="88"/>
  <c r="K8516" i="88"/>
  <c r="K8517" i="88"/>
  <c r="K8518" i="88"/>
  <c r="K8519" i="88"/>
  <c r="K8520" i="88"/>
  <c r="K8521" i="88"/>
  <c r="K8522" i="88"/>
  <c r="K8523" i="88"/>
  <c r="K8524" i="88"/>
  <c r="K8525" i="88"/>
  <c r="K8526" i="88"/>
  <c r="K8527" i="88"/>
  <c r="K8528" i="88"/>
  <c r="K8529" i="88"/>
  <c r="K8530" i="88"/>
  <c r="K8531" i="88"/>
  <c r="K8532" i="88"/>
  <c r="K8533" i="88"/>
  <c r="K8534" i="88"/>
  <c r="K8535" i="88"/>
  <c r="K8536" i="88"/>
  <c r="K8537" i="88"/>
  <c r="K8538" i="88"/>
  <c r="K8539" i="88"/>
  <c r="K8540" i="88"/>
  <c r="K8541" i="88"/>
  <c r="K8542" i="88"/>
  <c r="K8543" i="88"/>
  <c r="K8544" i="88"/>
  <c r="K8545" i="88"/>
  <c r="K8546" i="88"/>
  <c r="K8547" i="88"/>
  <c r="K8548" i="88"/>
  <c r="K8549" i="88"/>
  <c r="K8550" i="88"/>
  <c r="K8551" i="88"/>
  <c r="K8552" i="88"/>
  <c r="K8553" i="88"/>
  <c r="K8554" i="88"/>
  <c r="K8555" i="88"/>
  <c r="K8556" i="88"/>
  <c r="K8557" i="88"/>
  <c r="K8558" i="88"/>
  <c r="K8559" i="88"/>
  <c r="K8560" i="88"/>
  <c r="K8561" i="88"/>
  <c r="K8562" i="88"/>
  <c r="K8563" i="88"/>
  <c r="K8564" i="88"/>
  <c r="K8565" i="88"/>
  <c r="K8566" i="88"/>
  <c r="K8567" i="88"/>
  <c r="K8568" i="88"/>
  <c r="K8569" i="88"/>
  <c r="K8570" i="88"/>
  <c r="K8571" i="88"/>
  <c r="K8572" i="88"/>
  <c r="K8573" i="88"/>
  <c r="K8574" i="88"/>
  <c r="K8575" i="88"/>
  <c r="K8576" i="88"/>
  <c r="K8577" i="88"/>
  <c r="K8578" i="88"/>
  <c r="K8579" i="88"/>
  <c r="K8580" i="88"/>
  <c r="K8581" i="88"/>
  <c r="K8582" i="88"/>
  <c r="K8583" i="88"/>
  <c r="K8584" i="88"/>
  <c r="K8585" i="88"/>
  <c r="K8586" i="88"/>
  <c r="K8587" i="88"/>
  <c r="K8588" i="88"/>
  <c r="K8589" i="88"/>
  <c r="K8590" i="88"/>
  <c r="K8591" i="88"/>
  <c r="K8592" i="88"/>
  <c r="K8593" i="88"/>
  <c r="K8594" i="88"/>
  <c r="K8595" i="88"/>
  <c r="K8596" i="88"/>
  <c r="K8597" i="88"/>
  <c r="K8598" i="88"/>
  <c r="K8599" i="88"/>
  <c r="K8600" i="88"/>
  <c r="K8601" i="88"/>
  <c r="K8602" i="88"/>
  <c r="K8603" i="88"/>
  <c r="K8604" i="88"/>
  <c r="K8605" i="88"/>
  <c r="K8606" i="88"/>
  <c r="K8607" i="88"/>
  <c r="K8608" i="88"/>
  <c r="K8609" i="88"/>
  <c r="K8610" i="88"/>
  <c r="K8611" i="88"/>
  <c r="K8612" i="88"/>
  <c r="K8613" i="88"/>
  <c r="K8614" i="88"/>
  <c r="K8615" i="88"/>
  <c r="K8616" i="88"/>
  <c r="K8617" i="88"/>
  <c r="K8618" i="88"/>
  <c r="K8619" i="88"/>
  <c r="K8620" i="88"/>
  <c r="K8621" i="88"/>
  <c r="K8622" i="88"/>
  <c r="K8623" i="88"/>
  <c r="K8624" i="88"/>
  <c r="K8625" i="88"/>
  <c r="K8626" i="88"/>
  <c r="K8627" i="88"/>
  <c r="K8628" i="88"/>
  <c r="K8629" i="88"/>
  <c r="K8630" i="88"/>
  <c r="K8631" i="88"/>
  <c r="K8632" i="88"/>
  <c r="K8633" i="88"/>
  <c r="K8634" i="88"/>
  <c r="K8635" i="88"/>
  <c r="K8636" i="88"/>
  <c r="K8637" i="88"/>
  <c r="K8638" i="88"/>
  <c r="K8639" i="88"/>
  <c r="K8640" i="88"/>
  <c r="K8641" i="88"/>
  <c r="K8642" i="88"/>
  <c r="K8643" i="88"/>
  <c r="K8644" i="88"/>
  <c r="K8645" i="88"/>
  <c r="K8646" i="88"/>
  <c r="K8647" i="88"/>
  <c r="K8648" i="88"/>
  <c r="K8649" i="88"/>
  <c r="K8650" i="88"/>
  <c r="K8651" i="88"/>
  <c r="K8652" i="88"/>
  <c r="K8653" i="88"/>
  <c r="K8654" i="88"/>
  <c r="K8655" i="88"/>
  <c r="K8656" i="88"/>
  <c r="K8657" i="88"/>
  <c r="K8658" i="88"/>
  <c r="K8659" i="88"/>
  <c r="K8660" i="88"/>
  <c r="K8661" i="88"/>
  <c r="K8662" i="88"/>
  <c r="K8663" i="88"/>
  <c r="K8664" i="88"/>
  <c r="K8665" i="88"/>
  <c r="K8666" i="88"/>
  <c r="K8667" i="88"/>
  <c r="K8668" i="88"/>
  <c r="K8669" i="88"/>
  <c r="K8670" i="88"/>
  <c r="K8671" i="88"/>
  <c r="K8672" i="88"/>
  <c r="K8673" i="88"/>
  <c r="K8674" i="88"/>
  <c r="K8675" i="88"/>
  <c r="K8676" i="88"/>
  <c r="K8677" i="88"/>
  <c r="K8678" i="88"/>
  <c r="K8679" i="88"/>
  <c r="K8680" i="88"/>
  <c r="K8681" i="88"/>
  <c r="K8682" i="88"/>
  <c r="K8683" i="88"/>
  <c r="K8684" i="88"/>
  <c r="K8685" i="88"/>
  <c r="K8686" i="88"/>
  <c r="K8687" i="88"/>
  <c r="K8688" i="88"/>
  <c r="K8689" i="88"/>
  <c r="K8690" i="88"/>
  <c r="K8691" i="88"/>
  <c r="K8692" i="88"/>
  <c r="K8693" i="88"/>
  <c r="K8694" i="88"/>
  <c r="K8695" i="88"/>
  <c r="K8696" i="88"/>
  <c r="K8697" i="88"/>
  <c r="K8698" i="88"/>
  <c r="K8699" i="88"/>
  <c r="K8700" i="88"/>
  <c r="K8701" i="88"/>
  <c r="K8702" i="88"/>
  <c r="K8703" i="88"/>
  <c r="K8704" i="88"/>
  <c r="K8705" i="88"/>
  <c r="K8706" i="88"/>
  <c r="K8707" i="88"/>
  <c r="K8708" i="88"/>
  <c r="K8709" i="88"/>
  <c r="K8710" i="88"/>
  <c r="K8711" i="88"/>
  <c r="K8712" i="88"/>
  <c r="K8713" i="88"/>
  <c r="K8714" i="88"/>
  <c r="K8715" i="88"/>
  <c r="K8716" i="88"/>
  <c r="K8717" i="88"/>
  <c r="K8718" i="88"/>
  <c r="K8719" i="88"/>
  <c r="K8720" i="88"/>
  <c r="K8721" i="88"/>
  <c r="K8722" i="88"/>
  <c r="K8723" i="88"/>
  <c r="K8724" i="88"/>
  <c r="K8725" i="88"/>
  <c r="K8726" i="88"/>
  <c r="K8727" i="88"/>
  <c r="K8728" i="88"/>
  <c r="K8729" i="88"/>
  <c r="K8730" i="88"/>
  <c r="K8731" i="88"/>
  <c r="K8732" i="88"/>
  <c r="K8733" i="88"/>
  <c r="K8734" i="88"/>
  <c r="K8735" i="88"/>
  <c r="K8736" i="88"/>
  <c r="K8737" i="88"/>
  <c r="K8738" i="88"/>
  <c r="K8739" i="88"/>
  <c r="K8740" i="88"/>
  <c r="K8741" i="88"/>
  <c r="K8742" i="88"/>
  <c r="K8743" i="88"/>
  <c r="K8744" i="88"/>
  <c r="K8745" i="88"/>
  <c r="K8746" i="88"/>
  <c r="K8747" i="88"/>
  <c r="K8748" i="88"/>
  <c r="K8749" i="88"/>
  <c r="K8750" i="88"/>
  <c r="K8751" i="88"/>
  <c r="K8752" i="88"/>
  <c r="K8753" i="88"/>
  <c r="K8754" i="88"/>
  <c r="K8755" i="88"/>
  <c r="K8756" i="88"/>
  <c r="K8757" i="88"/>
  <c r="K8758" i="88"/>
  <c r="K8759" i="88"/>
  <c r="K8760" i="88"/>
  <c r="K8761" i="88"/>
  <c r="K8762" i="88"/>
  <c r="K8763" i="88"/>
  <c r="K8764" i="88"/>
  <c r="K8765" i="88"/>
  <c r="K8766" i="88"/>
  <c r="K8767" i="88"/>
  <c r="K8768" i="88"/>
  <c r="K8769" i="88"/>
  <c r="K8770" i="88"/>
  <c r="K8771" i="88"/>
  <c r="K8772" i="88"/>
  <c r="K8773" i="88"/>
  <c r="K8774" i="88"/>
  <c r="K8775" i="88"/>
  <c r="K8776" i="88"/>
  <c r="K8777" i="88"/>
  <c r="K8778" i="88"/>
  <c r="K8779" i="88"/>
  <c r="K8780" i="88"/>
  <c r="K8781" i="88"/>
  <c r="K8782" i="88"/>
  <c r="K8783" i="88"/>
  <c r="K8784" i="88"/>
  <c r="K8785" i="88"/>
  <c r="K8786" i="88"/>
  <c r="K8787" i="88"/>
  <c r="K8788" i="88"/>
  <c r="K8789" i="88"/>
  <c r="K8790" i="88"/>
  <c r="K8791" i="88"/>
  <c r="K8792" i="88"/>
  <c r="K8793" i="88"/>
  <c r="K8794" i="88"/>
  <c r="K8795" i="88"/>
  <c r="K8796" i="88"/>
  <c r="K8797" i="88"/>
  <c r="K8798" i="88"/>
  <c r="K8799" i="88"/>
  <c r="K8800" i="88"/>
  <c r="K8801" i="88"/>
  <c r="K8802" i="88"/>
  <c r="K8803" i="88"/>
  <c r="K8804" i="88"/>
  <c r="K8805" i="88"/>
  <c r="K8806" i="88"/>
  <c r="K8807" i="88"/>
  <c r="K8808" i="88"/>
  <c r="K8809" i="88"/>
  <c r="K8810" i="88"/>
  <c r="K8811" i="88"/>
  <c r="K8812" i="88"/>
  <c r="K8813" i="88"/>
  <c r="K8814" i="88"/>
  <c r="K8815" i="88"/>
  <c r="K8816" i="88"/>
  <c r="K8817" i="88"/>
  <c r="K8818" i="88"/>
  <c r="K8819" i="88"/>
  <c r="K8820" i="88"/>
  <c r="K8821" i="88"/>
  <c r="K8822" i="88"/>
  <c r="K8823" i="88"/>
  <c r="K8824" i="88"/>
  <c r="K8825" i="88"/>
  <c r="K8826" i="88"/>
  <c r="K8827" i="88"/>
  <c r="K8828" i="88"/>
  <c r="K8829" i="88"/>
  <c r="K8830" i="88"/>
  <c r="K8831" i="88"/>
  <c r="K8832" i="88"/>
  <c r="K8833" i="88"/>
  <c r="K8834" i="88"/>
  <c r="K8835" i="88"/>
  <c r="K8836" i="88"/>
  <c r="K8837" i="88"/>
  <c r="K8838" i="88"/>
  <c r="K8839" i="88"/>
  <c r="K8840" i="88"/>
  <c r="K8841" i="88"/>
  <c r="K8842" i="88"/>
  <c r="K8843" i="88"/>
  <c r="K8844" i="88"/>
  <c r="K8845" i="88"/>
  <c r="K8846" i="88"/>
  <c r="K8847" i="88"/>
  <c r="K8848" i="88"/>
  <c r="K8849" i="88"/>
  <c r="K8850" i="88"/>
  <c r="K8851" i="88"/>
  <c r="K8852" i="88"/>
  <c r="K8853" i="88"/>
  <c r="K8854" i="88"/>
  <c r="K8855" i="88"/>
  <c r="K8856" i="88"/>
  <c r="K8857" i="88"/>
  <c r="K8858" i="88"/>
  <c r="K8859" i="88"/>
  <c r="K8860" i="88"/>
  <c r="K8861" i="88"/>
  <c r="K8862" i="88"/>
  <c r="K8863" i="88"/>
  <c r="K8864" i="88"/>
  <c r="K8865" i="88"/>
  <c r="K8866" i="88"/>
  <c r="K8867" i="88"/>
  <c r="K8868" i="88"/>
  <c r="K8869" i="88"/>
  <c r="K8870" i="88"/>
  <c r="K8871" i="88"/>
  <c r="K8872" i="88"/>
  <c r="K8873" i="88"/>
  <c r="K8874" i="88"/>
  <c r="K8875" i="88"/>
  <c r="K8876" i="88"/>
  <c r="K8877" i="88"/>
  <c r="K8878" i="88"/>
  <c r="K8879" i="88"/>
  <c r="K8880" i="88"/>
  <c r="K8881" i="88"/>
  <c r="K8882" i="88"/>
  <c r="K8883" i="88"/>
  <c r="K8884" i="88"/>
  <c r="K8885" i="88"/>
  <c r="K8886" i="88"/>
  <c r="K8887" i="88"/>
  <c r="K8888" i="88"/>
  <c r="K8889" i="88"/>
  <c r="K8890" i="88"/>
  <c r="K8891" i="88"/>
  <c r="K8892" i="88"/>
  <c r="K8893" i="88"/>
  <c r="K8894" i="88"/>
  <c r="K8895" i="88"/>
  <c r="K8896" i="88"/>
  <c r="K8897" i="88"/>
  <c r="K8898" i="88"/>
  <c r="K8899" i="88"/>
  <c r="K8900" i="88"/>
  <c r="K8901" i="88"/>
  <c r="K8902" i="88"/>
  <c r="K8903" i="88"/>
  <c r="K8904" i="88"/>
  <c r="K8905" i="88"/>
  <c r="K8906" i="88"/>
  <c r="K8907" i="88"/>
  <c r="K8908" i="88"/>
  <c r="K8909" i="88"/>
  <c r="K8910" i="88"/>
  <c r="K8911" i="88"/>
  <c r="K8912" i="88"/>
  <c r="K8913" i="88"/>
  <c r="K8914" i="88"/>
  <c r="K8915" i="88"/>
  <c r="K8916" i="88"/>
  <c r="K8917" i="88"/>
  <c r="K8918" i="88"/>
  <c r="K8919" i="88"/>
  <c r="K8920" i="88"/>
  <c r="K8921" i="88"/>
  <c r="K8922" i="88"/>
  <c r="K8923" i="88"/>
  <c r="K8924" i="88"/>
  <c r="K8925" i="88"/>
  <c r="K8926" i="88"/>
  <c r="K8927" i="88"/>
  <c r="K8928" i="88"/>
  <c r="K8929" i="88"/>
  <c r="K8930" i="88"/>
  <c r="K8931" i="88"/>
  <c r="K8932" i="88"/>
  <c r="K8933" i="88"/>
  <c r="K8934" i="88"/>
  <c r="K8935" i="88"/>
  <c r="K8936" i="88"/>
  <c r="K8937" i="88"/>
  <c r="K8938" i="88"/>
  <c r="K8939" i="88"/>
  <c r="K8940" i="88"/>
  <c r="K8941" i="88"/>
  <c r="K8942" i="88"/>
  <c r="K8943" i="88"/>
  <c r="K8944" i="88"/>
  <c r="K8945" i="88"/>
  <c r="K8946" i="88"/>
  <c r="K8947" i="88"/>
  <c r="K8948" i="88"/>
  <c r="K8949" i="88"/>
  <c r="K8950" i="88"/>
  <c r="K8951" i="88"/>
  <c r="K8952" i="88"/>
  <c r="K8953" i="88"/>
  <c r="K8954" i="88"/>
  <c r="K8955" i="88"/>
  <c r="K8956" i="88"/>
  <c r="K8957" i="88"/>
  <c r="K8958" i="88"/>
  <c r="K8959" i="88"/>
  <c r="K8960" i="88"/>
  <c r="K8961" i="88"/>
  <c r="K8962" i="88"/>
  <c r="K8963" i="88"/>
  <c r="K8964" i="88"/>
  <c r="K8965" i="88"/>
  <c r="K8966" i="88"/>
  <c r="K8967" i="88"/>
  <c r="K8968" i="88"/>
  <c r="K8969" i="88"/>
  <c r="K8970" i="88"/>
  <c r="K8971" i="88"/>
  <c r="K8972" i="88"/>
  <c r="K8973" i="88"/>
  <c r="K8974" i="88"/>
  <c r="K8975" i="88"/>
  <c r="K8976" i="88"/>
  <c r="K8977" i="88"/>
  <c r="K8978" i="88"/>
  <c r="K8979" i="88"/>
  <c r="K8980" i="88"/>
  <c r="K8981" i="88"/>
  <c r="K8982" i="88"/>
  <c r="K8983" i="88"/>
  <c r="K8984" i="88"/>
  <c r="K8985" i="88"/>
  <c r="K8986" i="88"/>
  <c r="K8987" i="88"/>
  <c r="K8988" i="88"/>
  <c r="K8989" i="88"/>
  <c r="K8990" i="88"/>
  <c r="K8991" i="88"/>
  <c r="K8992" i="88"/>
  <c r="K8993" i="88"/>
  <c r="K8994" i="88"/>
  <c r="K8995" i="88"/>
  <c r="K8996" i="88"/>
  <c r="K8997" i="88"/>
  <c r="K8998" i="88"/>
  <c r="K8999" i="88"/>
  <c r="K9000" i="88"/>
  <c r="K9001" i="88"/>
  <c r="K9002" i="88"/>
  <c r="K9003" i="88"/>
  <c r="K9004" i="88"/>
  <c r="K9005" i="88"/>
  <c r="K9006" i="88"/>
  <c r="K9007" i="88"/>
  <c r="K9008" i="88"/>
  <c r="K9009" i="88"/>
  <c r="K9010" i="88"/>
  <c r="K9011" i="88"/>
  <c r="K9012" i="88"/>
  <c r="K9013" i="88"/>
  <c r="K9014" i="88"/>
  <c r="K9015" i="88"/>
  <c r="K9016" i="88"/>
  <c r="K9017" i="88"/>
  <c r="K9018" i="88"/>
  <c r="K9019" i="88"/>
  <c r="K9020" i="88"/>
  <c r="K9021" i="88"/>
  <c r="K9022" i="88"/>
  <c r="K9023" i="88"/>
  <c r="K9024" i="88"/>
  <c r="K9025" i="88"/>
  <c r="K9026" i="88"/>
  <c r="K9027" i="88"/>
  <c r="K9028" i="88"/>
  <c r="K9029" i="88"/>
  <c r="K9030" i="88"/>
  <c r="K9031" i="88"/>
  <c r="K9032" i="88"/>
  <c r="K9033" i="88"/>
  <c r="K9034" i="88"/>
  <c r="K9035" i="88"/>
  <c r="K9036" i="88"/>
  <c r="K9037" i="88"/>
  <c r="K9038" i="88"/>
  <c r="K9039" i="88"/>
  <c r="K9040" i="88"/>
  <c r="K9041" i="88"/>
  <c r="K9042" i="88"/>
  <c r="K9043" i="88"/>
  <c r="K9044" i="88"/>
  <c r="K9045" i="88"/>
  <c r="K9046" i="88"/>
  <c r="K9047" i="88"/>
  <c r="K9048" i="88"/>
  <c r="K9049" i="88"/>
  <c r="K9050" i="88"/>
  <c r="K9051" i="88"/>
  <c r="K9052" i="88"/>
  <c r="K9053" i="88"/>
  <c r="K9054" i="88"/>
  <c r="K9055" i="88"/>
  <c r="K9056" i="88"/>
  <c r="K9057" i="88"/>
  <c r="K9058" i="88"/>
  <c r="K9059" i="88"/>
  <c r="K9060" i="88"/>
  <c r="K9061" i="88"/>
  <c r="K9062" i="88"/>
  <c r="K9063" i="88"/>
  <c r="K9064" i="88"/>
  <c r="K9065" i="88"/>
  <c r="K9066" i="88"/>
  <c r="K9067" i="88"/>
  <c r="K9068" i="88"/>
  <c r="K9069" i="88"/>
  <c r="K9070" i="88"/>
  <c r="K9071" i="88"/>
  <c r="K9072" i="88"/>
  <c r="K9073" i="88"/>
  <c r="K9074" i="88"/>
  <c r="K9075" i="88"/>
  <c r="K9076" i="88"/>
  <c r="K9077" i="88"/>
  <c r="K9078" i="88"/>
  <c r="K9079" i="88"/>
  <c r="K9080" i="88"/>
  <c r="K9081" i="88"/>
  <c r="K9082" i="88"/>
  <c r="K9083" i="88"/>
  <c r="K9084" i="88"/>
  <c r="K9085" i="88"/>
  <c r="K9086" i="88"/>
  <c r="K9087" i="88"/>
  <c r="K9088" i="88"/>
  <c r="K9089" i="88"/>
  <c r="K9090" i="88"/>
  <c r="K9091" i="88"/>
  <c r="K9092" i="88"/>
  <c r="K9093" i="88"/>
  <c r="K9094" i="88"/>
  <c r="K9095" i="88"/>
  <c r="K9096" i="88"/>
  <c r="K9097" i="88"/>
  <c r="K9098" i="88"/>
  <c r="K9099" i="88"/>
  <c r="K9100" i="88"/>
  <c r="K9101" i="88"/>
  <c r="K9102" i="88"/>
  <c r="K9103" i="88"/>
  <c r="K9104" i="88"/>
  <c r="K9105" i="88"/>
  <c r="K9106" i="88"/>
  <c r="K9107" i="88"/>
  <c r="K9108" i="88"/>
  <c r="K9109" i="88"/>
  <c r="K9110" i="88"/>
  <c r="K9111" i="88"/>
  <c r="K9112" i="88"/>
  <c r="K9113" i="88"/>
  <c r="K9114" i="88"/>
  <c r="K9115" i="88"/>
  <c r="K9116" i="88"/>
  <c r="K9117" i="88"/>
  <c r="K9118" i="88"/>
  <c r="K9119" i="88"/>
  <c r="K9120" i="88"/>
  <c r="K9121" i="88"/>
  <c r="K9122" i="88"/>
  <c r="K9123" i="88"/>
  <c r="K9124" i="88"/>
  <c r="K9125" i="88"/>
  <c r="K9126" i="88"/>
  <c r="K9127" i="88"/>
  <c r="K9128" i="88"/>
  <c r="K9129" i="88"/>
  <c r="K9130" i="88"/>
  <c r="K9131" i="88"/>
  <c r="K9132" i="88"/>
  <c r="K9133" i="88"/>
  <c r="K9134" i="88"/>
  <c r="K9135" i="88"/>
  <c r="K9136" i="88"/>
  <c r="K9137" i="88"/>
  <c r="K9138" i="88"/>
  <c r="K9139" i="88"/>
  <c r="K9140" i="88"/>
  <c r="K9141" i="88"/>
  <c r="K9142" i="88"/>
  <c r="K9143" i="88"/>
  <c r="K9144" i="88"/>
  <c r="K9145" i="88"/>
  <c r="K9146" i="88"/>
  <c r="K9147" i="88"/>
  <c r="K9148" i="88"/>
  <c r="K9149" i="88"/>
  <c r="K9150" i="88"/>
  <c r="K9151" i="88"/>
  <c r="K9152" i="88"/>
  <c r="K9153" i="88"/>
  <c r="K9154" i="88"/>
  <c r="K9155" i="88"/>
  <c r="K9156" i="88"/>
  <c r="K9157" i="88"/>
  <c r="K9158" i="88"/>
  <c r="K9159" i="88"/>
  <c r="K9160" i="88"/>
  <c r="K9161" i="88"/>
  <c r="K9162" i="88"/>
  <c r="K9163" i="88"/>
  <c r="K9164" i="88"/>
  <c r="K9165" i="88"/>
  <c r="K9166" i="88"/>
  <c r="K9167" i="88"/>
  <c r="K9168" i="88"/>
  <c r="K9169" i="88"/>
  <c r="K9170" i="88"/>
  <c r="K9171" i="88"/>
  <c r="K9172" i="88"/>
  <c r="K9173" i="88"/>
  <c r="K9174" i="88"/>
  <c r="K9175" i="88"/>
  <c r="K9176" i="88"/>
  <c r="K9177" i="88"/>
  <c r="K9178" i="88"/>
  <c r="K9179" i="88"/>
  <c r="K9180" i="88"/>
  <c r="K9181" i="88"/>
  <c r="K9182" i="88"/>
  <c r="K9183" i="88"/>
  <c r="K9184" i="88"/>
  <c r="K9185" i="88"/>
  <c r="K9186" i="88"/>
  <c r="K9187" i="88"/>
  <c r="K9188" i="88"/>
  <c r="K9189" i="88"/>
  <c r="K9190" i="88"/>
  <c r="K9191" i="88"/>
  <c r="K9192" i="88"/>
  <c r="K9193" i="88"/>
  <c r="K9194" i="88"/>
  <c r="K9195" i="88"/>
  <c r="K9196" i="88"/>
  <c r="K9197" i="88"/>
  <c r="K9198" i="88"/>
  <c r="K9199" i="88"/>
  <c r="K9200" i="88"/>
  <c r="K9201" i="88"/>
  <c r="K9202" i="88"/>
  <c r="K9203" i="88"/>
  <c r="K9204" i="88"/>
  <c r="K9205" i="88"/>
  <c r="K9206" i="88"/>
  <c r="K9207" i="88"/>
  <c r="K9208" i="88"/>
  <c r="K9209" i="88"/>
  <c r="K9210" i="88"/>
  <c r="K9211" i="88"/>
  <c r="K9212" i="88"/>
  <c r="K9213" i="88"/>
  <c r="K9214" i="88"/>
  <c r="K9215" i="88"/>
  <c r="K9216" i="88"/>
  <c r="K9217" i="88"/>
  <c r="K9218" i="88"/>
  <c r="K9219" i="88"/>
  <c r="K9220" i="88"/>
  <c r="K9221" i="88"/>
  <c r="K9222" i="88"/>
  <c r="K9223" i="88"/>
  <c r="K9224" i="88"/>
  <c r="K9225" i="88"/>
  <c r="K9226" i="88"/>
  <c r="K9227" i="88"/>
  <c r="K9228" i="88"/>
  <c r="K9229" i="88"/>
  <c r="K9230" i="88"/>
  <c r="K9231" i="88"/>
  <c r="K9232" i="88"/>
  <c r="K9233" i="88"/>
  <c r="K9234" i="88"/>
  <c r="K9235" i="88"/>
  <c r="K9236" i="88"/>
  <c r="K9237" i="88"/>
  <c r="K9238" i="88"/>
  <c r="K9239" i="88"/>
  <c r="K9240" i="88"/>
  <c r="K9241" i="88"/>
  <c r="K9242" i="88"/>
  <c r="K9243" i="88"/>
  <c r="K9244" i="88"/>
  <c r="K9245" i="88"/>
  <c r="K9246" i="88"/>
  <c r="K9247" i="88"/>
  <c r="K9248" i="88"/>
  <c r="K9249" i="88"/>
  <c r="K9250" i="88"/>
  <c r="K9251" i="88"/>
  <c r="K9252" i="88"/>
  <c r="K9253" i="88"/>
  <c r="K9254" i="88"/>
  <c r="K9255" i="88"/>
  <c r="K9256" i="88"/>
  <c r="K9257" i="88"/>
  <c r="K9258" i="88"/>
  <c r="K9259" i="88"/>
  <c r="K9260" i="88"/>
  <c r="K9261" i="88"/>
  <c r="K9262" i="88"/>
  <c r="K9263" i="88"/>
  <c r="K9264" i="88"/>
  <c r="K9265" i="88"/>
  <c r="K9266" i="88"/>
  <c r="K9267" i="88"/>
  <c r="K9268" i="88"/>
  <c r="K9269" i="88"/>
  <c r="K9270" i="88"/>
  <c r="K9271" i="88"/>
  <c r="K9272" i="88"/>
  <c r="K9273" i="88"/>
  <c r="K9274" i="88"/>
  <c r="K9275" i="88"/>
  <c r="K9276" i="88"/>
  <c r="K9277" i="88"/>
  <c r="K9278" i="88"/>
  <c r="K9279" i="88"/>
  <c r="K9280" i="88"/>
  <c r="K9281" i="88"/>
  <c r="K9282" i="88"/>
  <c r="K9283" i="88"/>
  <c r="K9284" i="88"/>
  <c r="K9285" i="88"/>
  <c r="K9286" i="88"/>
  <c r="K9287" i="88"/>
  <c r="K9288" i="88"/>
  <c r="K9289" i="88"/>
  <c r="K9290" i="88"/>
  <c r="K9291" i="88"/>
  <c r="K9292" i="88"/>
  <c r="K9293" i="88"/>
  <c r="K9294" i="88"/>
  <c r="K9295" i="88"/>
  <c r="K9296" i="88"/>
  <c r="K9297" i="88"/>
  <c r="K9298" i="88"/>
  <c r="K9299" i="88"/>
  <c r="K9300" i="88"/>
  <c r="K9301" i="88"/>
  <c r="K9302" i="88"/>
  <c r="K9303" i="88"/>
  <c r="K9304" i="88"/>
  <c r="K9305" i="88"/>
  <c r="K9306" i="88"/>
  <c r="K9307" i="88"/>
  <c r="K9308" i="88"/>
  <c r="K9309" i="88"/>
  <c r="K9310" i="88"/>
  <c r="K9311" i="88"/>
  <c r="K9312" i="88"/>
  <c r="K9313" i="88"/>
  <c r="K9314" i="88"/>
  <c r="K9315" i="88"/>
  <c r="K9316" i="88"/>
  <c r="K9317" i="88"/>
  <c r="K9318" i="88"/>
  <c r="K9319" i="88"/>
  <c r="K9320" i="88"/>
  <c r="K9321" i="88"/>
  <c r="K9322" i="88"/>
  <c r="K9323" i="88"/>
  <c r="K9324" i="88"/>
  <c r="K9325" i="88"/>
  <c r="K9326" i="88"/>
  <c r="K9327" i="88"/>
  <c r="K9328" i="88"/>
  <c r="K9329" i="88"/>
  <c r="K9330" i="88"/>
  <c r="K9331" i="88"/>
  <c r="K9332" i="88"/>
  <c r="K9333" i="88"/>
  <c r="K9334" i="88"/>
  <c r="K9335" i="88"/>
  <c r="K9336" i="88"/>
  <c r="K9337" i="88"/>
  <c r="K9338" i="88"/>
  <c r="K9339" i="88"/>
  <c r="K9340" i="88"/>
  <c r="K9341" i="88"/>
  <c r="K9342" i="88"/>
  <c r="K9343" i="88"/>
  <c r="K9344" i="88"/>
  <c r="K9345" i="88"/>
  <c r="K9346" i="88"/>
  <c r="K9347" i="88"/>
  <c r="K9348" i="88"/>
  <c r="K9349" i="88"/>
  <c r="K9350" i="88"/>
  <c r="K9351" i="88"/>
  <c r="K9352" i="88"/>
  <c r="K9353" i="88"/>
  <c r="K9354" i="88"/>
  <c r="K9355" i="88"/>
  <c r="K9356" i="88"/>
  <c r="K9357" i="88"/>
  <c r="K9358" i="88"/>
  <c r="K9359" i="88"/>
  <c r="K9360" i="88"/>
  <c r="K9361" i="88"/>
  <c r="K9362" i="88"/>
  <c r="K9363" i="88"/>
  <c r="K9364" i="88"/>
  <c r="K9365" i="88"/>
  <c r="K9366" i="88"/>
  <c r="K9367" i="88"/>
  <c r="K9368" i="88"/>
  <c r="K9369" i="88"/>
  <c r="K9370" i="88"/>
  <c r="K9371" i="88"/>
  <c r="K9372" i="88"/>
  <c r="K9373" i="88"/>
  <c r="K9374" i="88"/>
  <c r="K9375" i="88"/>
  <c r="K9376" i="88"/>
  <c r="K9377" i="88"/>
  <c r="K9378" i="88"/>
  <c r="K9379" i="88"/>
  <c r="K9380" i="88"/>
  <c r="K9381" i="88"/>
  <c r="K9382" i="88"/>
  <c r="K9383" i="88"/>
  <c r="K9384" i="88"/>
  <c r="K9385" i="88"/>
  <c r="K9386" i="88"/>
  <c r="K9387" i="88"/>
  <c r="K9388" i="88"/>
  <c r="K9389" i="88"/>
  <c r="K9390" i="88"/>
  <c r="K9391" i="88"/>
  <c r="K9392" i="88"/>
  <c r="K9393" i="88"/>
  <c r="K9394" i="88"/>
  <c r="K9395" i="88"/>
  <c r="K9396" i="88"/>
  <c r="K9397" i="88"/>
  <c r="K9398" i="88"/>
  <c r="K9399" i="88"/>
  <c r="K9400" i="88"/>
  <c r="K9401" i="88"/>
  <c r="K9402" i="88"/>
  <c r="K9403" i="88"/>
  <c r="K9404" i="88"/>
  <c r="K9405" i="88"/>
  <c r="K9406" i="88"/>
  <c r="K9407" i="88"/>
  <c r="K9408" i="88"/>
  <c r="K9409" i="88"/>
  <c r="K9410" i="88"/>
  <c r="K9411" i="88"/>
  <c r="K9412" i="88"/>
  <c r="K9413" i="88"/>
  <c r="K9414" i="88"/>
  <c r="K9415" i="88"/>
  <c r="K9416" i="88"/>
  <c r="K9417" i="88"/>
  <c r="K9418" i="88"/>
  <c r="K9419" i="88"/>
  <c r="K9420" i="88"/>
  <c r="K9421" i="88"/>
  <c r="K9422" i="88"/>
  <c r="K9423" i="88"/>
  <c r="K9424" i="88"/>
  <c r="K9425" i="88"/>
  <c r="K9426" i="88"/>
  <c r="K9427" i="88"/>
  <c r="K9428" i="88"/>
  <c r="K9429" i="88"/>
  <c r="K9430" i="88"/>
  <c r="K9431" i="88"/>
  <c r="K9432" i="88"/>
  <c r="K9433" i="88"/>
  <c r="K9434" i="88"/>
  <c r="K9435" i="88"/>
  <c r="K9436" i="88"/>
  <c r="K9437" i="88"/>
  <c r="K9438" i="88"/>
  <c r="K9439" i="88"/>
  <c r="K9440" i="88"/>
  <c r="K9441" i="88"/>
  <c r="K9442" i="88"/>
  <c r="K9443" i="88"/>
  <c r="K9444" i="88"/>
  <c r="K9445" i="88"/>
  <c r="K9446" i="88"/>
  <c r="K9447" i="88"/>
  <c r="K9448" i="88"/>
  <c r="K9449" i="88"/>
  <c r="K9450" i="88"/>
  <c r="K9451" i="88"/>
  <c r="K9452" i="88"/>
  <c r="K9453" i="88"/>
  <c r="K9454" i="88"/>
  <c r="K9455" i="88"/>
  <c r="K9456" i="88"/>
  <c r="K9457" i="88"/>
  <c r="K9458" i="88"/>
  <c r="K9459" i="88"/>
  <c r="K9460" i="88"/>
  <c r="K9461" i="88"/>
  <c r="K9462" i="88"/>
  <c r="K9463" i="88"/>
  <c r="K9464" i="88"/>
  <c r="K9465" i="88"/>
  <c r="K9466" i="88"/>
  <c r="K9467" i="88"/>
  <c r="K9468" i="88"/>
  <c r="K9469" i="88"/>
  <c r="K9470" i="88"/>
  <c r="K9471" i="88"/>
  <c r="K9472" i="88"/>
  <c r="K9473" i="88"/>
  <c r="K9474" i="88"/>
  <c r="K9475" i="88"/>
  <c r="K9476" i="88"/>
  <c r="K9477" i="88"/>
  <c r="K9478" i="88"/>
  <c r="K9479" i="88"/>
  <c r="K9480" i="88"/>
  <c r="K9481" i="88"/>
  <c r="K9482" i="88"/>
  <c r="K9483" i="88"/>
  <c r="K9484" i="88"/>
  <c r="K9485" i="88"/>
  <c r="K9486" i="88"/>
  <c r="K9487" i="88"/>
  <c r="K9488" i="88"/>
  <c r="K9489" i="88"/>
  <c r="K9490" i="88"/>
  <c r="K9491" i="88"/>
  <c r="K9492" i="88"/>
  <c r="K9493" i="88"/>
  <c r="K9494" i="88"/>
  <c r="K9495" i="88"/>
  <c r="K9496" i="88"/>
  <c r="K9497" i="88"/>
  <c r="K9498" i="88"/>
  <c r="K9499" i="88"/>
  <c r="K9500" i="88"/>
  <c r="K9501" i="88"/>
  <c r="K9502" i="88"/>
  <c r="K9503" i="88"/>
  <c r="K9504" i="88"/>
  <c r="K9505" i="88"/>
  <c r="K9506" i="88"/>
  <c r="K9507" i="88"/>
  <c r="K9508" i="88"/>
  <c r="K9509" i="88"/>
  <c r="K9510" i="88"/>
  <c r="K9511" i="88"/>
  <c r="K9512" i="88"/>
  <c r="K9513" i="88"/>
  <c r="K9514" i="88"/>
  <c r="K9515" i="88"/>
  <c r="K9516" i="88"/>
  <c r="K9517" i="88"/>
  <c r="K9518" i="88"/>
  <c r="K9519" i="88"/>
  <c r="K9520" i="88"/>
  <c r="K9521" i="88"/>
  <c r="K9522" i="88"/>
  <c r="K9523" i="88"/>
  <c r="K9524" i="88"/>
  <c r="K9525" i="88"/>
  <c r="K9526" i="88"/>
  <c r="K9527" i="88"/>
  <c r="K9528" i="88"/>
  <c r="K9529" i="88"/>
  <c r="K9530" i="88"/>
  <c r="K9531" i="88"/>
  <c r="K9532" i="88"/>
  <c r="K9533" i="88"/>
  <c r="K9534" i="88"/>
  <c r="K9535" i="88"/>
  <c r="K9536" i="88"/>
  <c r="K9537" i="88"/>
  <c r="K9538" i="88"/>
  <c r="K9539" i="88"/>
  <c r="K9540" i="88"/>
  <c r="K9541" i="88"/>
  <c r="K9542" i="88"/>
  <c r="K9543" i="88"/>
  <c r="K9544" i="88"/>
  <c r="K9545" i="88"/>
  <c r="K9546" i="88"/>
  <c r="K9547" i="88"/>
  <c r="K9548" i="88"/>
  <c r="K9549" i="88"/>
  <c r="K9550" i="88"/>
  <c r="K9551" i="88"/>
  <c r="K9552" i="88"/>
  <c r="K9553" i="88"/>
  <c r="K9554" i="88"/>
  <c r="K9555" i="88"/>
  <c r="K9556" i="88"/>
  <c r="K9557" i="88"/>
  <c r="K9558" i="88"/>
  <c r="K9559" i="88"/>
  <c r="K9560" i="88"/>
  <c r="K9561" i="88"/>
  <c r="K9562" i="88"/>
  <c r="K9563" i="88"/>
  <c r="K9564" i="88"/>
  <c r="K9565" i="88"/>
  <c r="K9566" i="88"/>
  <c r="K9567" i="88"/>
  <c r="K9568" i="88"/>
  <c r="K9569" i="88"/>
  <c r="K9570" i="88"/>
  <c r="K9571" i="88"/>
  <c r="K9572" i="88"/>
  <c r="K9573" i="88"/>
  <c r="K9574" i="88"/>
  <c r="K9575" i="88"/>
  <c r="K9576" i="88"/>
  <c r="K9577" i="88"/>
  <c r="K9578" i="88"/>
  <c r="K9579" i="88"/>
  <c r="K9580" i="88"/>
  <c r="K9581" i="88"/>
  <c r="K9582" i="88"/>
  <c r="K9583" i="88"/>
  <c r="K9584" i="88"/>
  <c r="K9585" i="88"/>
  <c r="K9586" i="88"/>
  <c r="K9587" i="88"/>
  <c r="K9588" i="88"/>
  <c r="K9589" i="88"/>
  <c r="K9590" i="88"/>
  <c r="K9591" i="88"/>
  <c r="K9592" i="88"/>
  <c r="K9593" i="88"/>
  <c r="K9594" i="88"/>
  <c r="K9595" i="88"/>
  <c r="K9596" i="88"/>
  <c r="K9597" i="88"/>
  <c r="K9598" i="88"/>
  <c r="K9599" i="88"/>
  <c r="K9600" i="88"/>
  <c r="K9601" i="88"/>
  <c r="K9602" i="88"/>
  <c r="K9603" i="88"/>
  <c r="K9604" i="88"/>
  <c r="K9605" i="88"/>
  <c r="K9606" i="88"/>
  <c r="K9607" i="88"/>
  <c r="K9608" i="88"/>
  <c r="K9609" i="88"/>
  <c r="K9610" i="88"/>
  <c r="K9611" i="88"/>
  <c r="K9612" i="88"/>
  <c r="K9613" i="88"/>
  <c r="K9614" i="88"/>
  <c r="K9615" i="88"/>
  <c r="K9616" i="88"/>
  <c r="K9617" i="88"/>
  <c r="K9618" i="88"/>
  <c r="K9619" i="88"/>
  <c r="K9620" i="88"/>
  <c r="K9621" i="88"/>
  <c r="K9622" i="88"/>
  <c r="K9623" i="88"/>
  <c r="K9624" i="88"/>
  <c r="K9625" i="88"/>
  <c r="K9626" i="88"/>
  <c r="K9627" i="88"/>
  <c r="K9628" i="88"/>
  <c r="K9629" i="88"/>
  <c r="K9630" i="88"/>
  <c r="K9631" i="88"/>
  <c r="K9632" i="88"/>
  <c r="K9633" i="88"/>
  <c r="K9634" i="88"/>
  <c r="K9635" i="88"/>
  <c r="K9636" i="88"/>
  <c r="K9637" i="88"/>
  <c r="K9638" i="88"/>
  <c r="K9639" i="88"/>
  <c r="K9640" i="88"/>
  <c r="K9641" i="88"/>
  <c r="K9642" i="88"/>
  <c r="K9643" i="88"/>
  <c r="K9644" i="88"/>
  <c r="K9645" i="88"/>
  <c r="K9646" i="88"/>
  <c r="K9647" i="88"/>
  <c r="K9648" i="88"/>
  <c r="K9649" i="88"/>
  <c r="K9650" i="88"/>
  <c r="K9651" i="88"/>
  <c r="K9652" i="88"/>
  <c r="K9653" i="88"/>
  <c r="K9654" i="88"/>
  <c r="K9655" i="88"/>
  <c r="K9656" i="88"/>
  <c r="K9657" i="88"/>
  <c r="K9658" i="88"/>
  <c r="K9659" i="88"/>
  <c r="K9660" i="88"/>
  <c r="K9661" i="88"/>
  <c r="K9662" i="88"/>
  <c r="K9663" i="88"/>
  <c r="K9664" i="88"/>
  <c r="K9665" i="88"/>
  <c r="K9666" i="88"/>
  <c r="K9667" i="88"/>
  <c r="K9668" i="88"/>
  <c r="K9669" i="88"/>
  <c r="K9670" i="88"/>
  <c r="K9671" i="88"/>
  <c r="K9672" i="88"/>
  <c r="K9673" i="88"/>
  <c r="K9674" i="88"/>
  <c r="K9675" i="88"/>
  <c r="K9676" i="88"/>
  <c r="K9677" i="88"/>
  <c r="K9678" i="88"/>
  <c r="K9679" i="88"/>
  <c r="K9680" i="88"/>
  <c r="K9681" i="88"/>
  <c r="K9682" i="88"/>
  <c r="K9683" i="88"/>
  <c r="K9684" i="88"/>
  <c r="K9685" i="88"/>
  <c r="K9686" i="88"/>
  <c r="K9687" i="88"/>
  <c r="K9688" i="88"/>
  <c r="K9689" i="88"/>
  <c r="K9690" i="88"/>
  <c r="K9691" i="88"/>
  <c r="K9692" i="88"/>
  <c r="K9693" i="88"/>
  <c r="K9694" i="88"/>
  <c r="K9695" i="88"/>
  <c r="K9696" i="88"/>
  <c r="K9697" i="88"/>
  <c r="K9698" i="88"/>
  <c r="K9699" i="88"/>
  <c r="K9700" i="88"/>
  <c r="K9701" i="88"/>
  <c r="K9702" i="88"/>
  <c r="K9703" i="88"/>
  <c r="K9704" i="88"/>
  <c r="K9705" i="88"/>
  <c r="K9706" i="88"/>
  <c r="K9707" i="88"/>
  <c r="K9708" i="88"/>
  <c r="K9709" i="88"/>
  <c r="K9710" i="88"/>
  <c r="K9711" i="88"/>
  <c r="K9712" i="88"/>
  <c r="K9713" i="88"/>
  <c r="K9714" i="88"/>
  <c r="K9715" i="88"/>
  <c r="K9716" i="88"/>
  <c r="K9717" i="88"/>
  <c r="K9718" i="88"/>
  <c r="K9719" i="88"/>
  <c r="K9720" i="88"/>
  <c r="K9721" i="88"/>
  <c r="K9722" i="88"/>
  <c r="K9723" i="88"/>
  <c r="K9724" i="88"/>
  <c r="K9725" i="88"/>
  <c r="K9726" i="88"/>
  <c r="K9727" i="88"/>
  <c r="K9728" i="88"/>
  <c r="K9729" i="88"/>
  <c r="K9730" i="88"/>
  <c r="K9731" i="88"/>
  <c r="K9732" i="88"/>
  <c r="K9733" i="88"/>
  <c r="K9734" i="88"/>
  <c r="K9735" i="88"/>
  <c r="K9736" i="88"/>
  <c r="K9737" i="88"/>
  <c r="K9738" i="88"/>
  <c r="K9739" i="88"/>
  <c r="K9740" i="88"/>
  <c r="K9741" i="88"/>
  <c r="K9742" i="88"/>
  <c r="K9743" i="88"/>
  <c r="K9744" i="88"/>
  <c r="K9745" i="88"/>
  <c r="K9746" i="88"/>
  <c r="K9747" i="88"/>
  <c r="K9748" i="88"/>
  <c r="K9749" i="88"/>
  <c r="K9750" i="88"/>
  <c r="K9751" i="88"/>
  <c r="K9752" i="88"/>
  <c r="K9753" i="88"/>
  <c r="K9754" i="88"/>
  <c r="K9755" i="88"/>
  <c r="K9756" i="88"/>
  <c r="K9757" i="88"/>
  <c r="K9758" i="88"/>
  <c r="K9759" i="88"/>
  <c r="K9760" i="88"/>
  <c r="K9761" i="88"/>
  <c r="K9762" i="88"/>
  <c r="K9763" i="88"/>
  <c r="K9764" i="88"/>
  <c r="K9765" i="88"/>
  <c r="K9766" i="88"/>
  <c r="K9767" i="88"/>
  <c r="K9768" i="88"/>
  <c r="K9769" i="88"/>
  <c r="K9770" i="88"/>
  <c r="K9771" i="88"/>
  <c r="K9772" i="88"/>
  <c r="K9773" i="88"/>
  <c r="K9774" i="88"/>
  <c r="K9775" i="88"/>
  <c r="K9776" i="88"/>
  <c r="K9777" i="88"/>
  <c r="K9778" i="88"/>
  <c r="K9779" i="88"/>
  <c r="K9780" i="88"/>
  <c r="K9781" i="88"/>
  <c r="K9782" i="88"/>
  <c r="K9783" i="88"/>
  <c r="K9784" i="88"/>
  <c r="K9785" i="88"/>
  <c r="K9786" i="88"/>
  <c r="K9787" i="88"/>
  <c r="K9788" i="88"/>
  <c r="K9789" i="88"/>
  <c r="K9790" i="88"/>
  <c r="K9791" i="88"/>
  <c r="K9792" i="88"/>
  <c r="K9793" i="88"/>
  <c r="K9794" i="88"/>
  <c r="K9795" i="88"/>
  <c r="K9796" i="88"/>
  <c r="K9797" i="88"/>
  <c r="K9798" i="88"/>
  <c r="K9799" i="88"/>
  <c r="K9800" i="88"/>
  <c r="K9801" i="88"/>
  <c r="K9802" i="88"/>
  <c r="K9803" i="88"/>
  <c r="K9804" i="88"/>
  <c r="K9805" i="88"/>
  <c r="K9806" i="88"/>
  <c r="K9807" i="88"/>
  <c r="K9808" i="88"/>
  <c r="K9809" i="88"/>
  <c r="K9810" i="88"/>
  <c r="K9811" i="88"/>
  <c r="K9812" i="88"/>
  <c r="K9813" i="88"/>
  <c r="K9814" i="88"/>
  <c r="K9815" i="88"/>
  <c r="K9816" i="88"/>
  <c r="K9817" i="88"/>
  <c r="K9818" i="88"/>
  <c r="K9819" i="88"/>
  <c r="K9820" i="88"/>
  <c r="K9821" i="88"/>
  <c r="K9822" i="88"/>
  <c r="K9823" i="88"/>
  <c r="K9824" i="88"/>
  <c r="K9825" i="88"/>
  <c r="K9826" i="88"/>
  <c r="K9827" i="88"/>
  <c r="K9828" i="88"/>
  <c r="K9829" i="88"/>
  <c r="K9830" i="88"/>
  <c r="K9831" i="88"/>
  <c r="K9832" i="88"/>
  <c r="K9833" i="88"/>
  <c r="K9834" i="88"/>
  <c r="K9835" i="88"/>
  <c r="K9836" i="88"/>
  <c r="K9837" i="88"/>
  <c r="K9838" i="88"/>
  <c r="K9839" i="88"/>
  <c r="K9840" i="88"/>
  <c r="K9841" i="88"/>
  <c r="K9842" i="88"/>
  <c r="K9843" i="88"/>
  <c r="K9844" i="88"/>
  <c r="K9845" i="88"/>
  <c r="K9846" i="88"/>
  <c r="K9847" i="88"/>
  <c r="K9848" i="88"/>
  <c r="K9849" i="88"/>
  <c r="K9850" i="88"/>
  <c r="K9851" i="88"/>
  <c r="K9852" i="88"/>
  <c r="K9853" i="88"/>
  <c r="K9854" i="88"/>
  <c r="K9855" i="88"/>
  <c r="K9856" i="88"/>
  <c r="K9857" i="88"/>
  <c r="K9858" i="88"/>
  <c r="K9859" i="88"/>
  <c r="K9860" i="88"/>
  <c r="K9861" i="88"/>
  <c r="K9862" i="88"/>
  <c r="K9863" i="88"/>
  <c r="K9864" i="88"/>
  <c r="K9865" i="88"/>
  <c r="K9866" i="88"/>
  <c r="K9867" i="88"/>
  <c r="K9868" i="88"/>
  <c r="K9869" i="88"/>
  <c r="K9870" i="88"/>
  <c r="K9871" i="88"/>
  <c r="K9872" i="88"/>
  <c r="K9873" i="88"/>
  <c r="K9874" i="88"/>
  <c r="K9875" i="88"/>
  <c r="K9876" i="88"/>
  <c r="K9877" i="88"/>
  <c r="K9878" i="88"/>
  <c r="K9879" i="88"/>
  <c r="K9880" i="88"/>
  <c r="K9881" i="88"/>
  <c r="K9882" i="88"/>
  <c r="K9883" i="88"/>
  <c r="K9884" i="88"/>
  <c r="K9885" i="88"/>
  <c r="K9886" i="88"/>
  <c r="K9887" i="88"/>
  <c r="K9888" i="88"/>
  <c r="K9889" i="88"/>
  <c r="K9890" i="88"/>
  <c r="K9891" i="88"/>
  <c r="K9892" i="88"/>
  <c r="K9893" i="88"/>
  <c r="K9894" i="88"/>
  <c r="K9895" i="88"/>
  <c r="K9896" i="88"/>
  <c r="K9897" i="88"/>
  <c r="K9898" i="88"/>
  <c r="K9899" i="88"/>
  <c r="K9900" i="88"/>
  <c r="K9901" i="88"/>
  <c r="K9902" i="88"/>
  <c r="K9903" i="88"/>
  <c r="K9904" i="88"/>
  <c r="K9905" i="88"/>
  <c r="K9906" i="88"/>
  <c r="K9907" i="88"/>
  <c r="K9908" i="88"/>
  <c r="K9909" i="88"/>
  <c r="K9910" i="88"/>
  <c r="K9911" i="88"/>
  <c r="K9912" i="88"/>
  <c r="K9913" i="88"/>
  <c r="K9914" i="88"/>
  <c r="K9915" i="88"/>
  <c r="K9916" i="88"/>
  <c r="K9917" i="88"/>
  <c r="K9918" i="88"/>
  <c r="K9919" i="88"/>
  <c r="K9920" i="88"/>
  <c r="K9921" i="88"/>
  <c r="K9922" i="88"/>
  <c r="K9923" i="88"/>
  <c r="K9924" i="88"/>
  <c r="K9925" i="88"/>
  <c r="K9926" i="88"/>
  <c r="K9927" i="88"/>
  <c r="K9928" i="88"/>
  <c r="K9929" i="88"/>
  <c r="K9930" i="88"/>
  <c r="K9931" i="88"/>
  <c r="K9932" i="88"/>
  <c r="K9933" i="88"/>
  <c r="K9934" i="88"/>
  <c r="K9935" i="88"/>
  <c r="K9936" i="88"/>
  <c r="K9937" i="88"/>
  <c r="K9938" i="88"/>
  <c r="K9939" i="88"/>
  <c r="K9940" i="88"/>
  <c r="K9941" i="88"/>
  <c r="K9942" i="88"/>
  <c r="K9943" i="88"/>
  <c r="K9944" i="88"/>
  <c r="K9945" i="88"/>
  <c r="K9946" i="88"/>
  <c r="K9947" i="88"/>
  <c r="K9948" i="88"/>
  <c r="K9949" i="88"/>
  <c r="K9950" i="88"/>
  <c r="K9951" i="88"/>
  <c r="K9952" i="88"/>
  <c r="K9953" i="88"/>
  <c r="K9954" i="88"/>
  <c r="K9955" i="88"/>
  <c r="K9956" i="88"/>
  <c r="K9957" i="88"/>
  <c r="K9958" i="88"/>
  <c r="K9959" i="88"/>
  <c r="K9960" i="88"/>
  <c r="K9961" i="88"/>
  <c r="K9962" i="88"/>
  <c r="K9963" i="88"/>
  <c r="K9964" i="88"/>
  <c r="K9965" i="88"/>
  <c r="K9966" i="88"/>
  <c r="K9967" i="88"/>
  <c r="K9968" i="88"/>
  <c r="K9969" i="88"/>
  <c r="K9970" i="88"/>
  <c r="K9971" i="88"/>
  <c r="K9972" i="88"/>
  <c r="K9973" i="88"/>
  <c r="K9974" i="88"/>
  <c r="K9975" i="88"/>
  <c r="K9976" i="88"/>
  <c r="K9977" i="88"/>
  <c r="K9978" i="88"/>
  <c r="K9979" i="88"/>
  <c r="K9980" i="88"/>
  <c r="K9981" i="88"/>
  <c r="K9982" i="88"/>
  <c r="K9983" i="88"/>
  <c r="K9984" i="88"/>
  <c r="K9985" i="88"/>
  <c r="K9986" i="88"/>
  <c r="K9987" i="88"/>
  <c r="K9988" i="88"/>
  <c r="K9989" i="88"/>
  <c r="K9990" i="88"/>
  <c r="K9991" i="88"/>
  <c r="K9992" i="88"/>
  <c r="K9993" i="88"/>
  <c r="K9994" i="88"/>
  <c r="K9995" i="88"/>
  <c r="K9996" i="88"/>
  <c r="K9997" i="88"/>
  <c r="K9998" i="88"/>
  <c r="K9999" i="88"/>
  <c r="K10000" i="88"/>
  <c r="K10001" i="88"/>
  <c r="K10002" i="88"/>
  <c r="K10003" i="88"/>
  <c r="K10004" i="88"/>
  <c r="K10005" i="88"/>
  <c r="K10006" i="88"/>
  <c r="K10007" i="88"/>
  <c r="K10008" i="88"/>
  <c r="K10009" i="88"/>
  <c r="K10010" i="88"/>
  <c r="K10011" i="88"/>
  <c r="K10012" i="88"/>
  <c r="K10013" i="88"/>
  <c r="K10014" i="88"/>
  <c r="K10015" i="88"/>
  <c r="K10016" i="88"/>
  <c r="K10017" i="88"/>
  <c r="K10018" i="88"/>
  <c r="K10019" i="88"/>
  <c r="K10020" i="88"/>
  <c r="K10021" i="88"/>
  <c r="K10022" i="88"/>
  <c r="K10023" i="88"/>
  <c r="K10024" i="88"/>
  <c r="K10025" i="88"/>
  <c r="K10026" i="88"/>
  <c r="K10027" i="88"/>
  <c r="K10028" i="88"/>
  <c r="K10029" i="88"/>
  <c r="K10030" i="88"/>
  <c r="K10031" i="88"/>
  <c r="K10032" i="88"/>
  <c r="K10033" i="88"/>
  <c r="K10034" i="88"/>
  <c r="K10035" i="88"/>
  <c r="K10036" i="88"/>
  <c r="K10037" i="88"/>
  <c r="K10038" i="88"/>
  <c r="K10039" i="88"/>
  <c r="K10040" i="88"/>
  <c r="K10041" i="88"/>
  <c r="K10042" i="88"/>
  <c r="K10043" i="88"/>
  <c r="K10044" i="88"/>
  <c r="K10045" i="88"/>
  <c r="K10046" i="88"/>
  <c r="K10047" i="88"/>
  <c r="K10048" i="88"/>
  <c r="K10049" i="88"/>
  <c r="K10050" i="88"/>
  <c r="K10051" i="88"/>
  <c r="K10052" i="88"/>
  <c r="K10053" i="88"/>
  <c r="K10054" i="88"/>
  <c r="K10055" i="88"/>
  <c r="K10056" i="88"/>
  <c r="K10057" i="88"/>
  <c r="K10058" i="88"/>
  <c r="K10059" i="88"/>
  <c r="K10060" i="88"/>
  <c r="K10061" i="88"/>
  <c r="K10062" i="88"/>
  <c r="K10063" i="88"/>
  <c r="K10064" i="88"/>
  <c r="K10065" i="88"/>
  <c r="K10066" i="88"/>
  <c r="K10067" i="88"/>
  <c r="K10068" i="88"/>
  <c r="K10069" i="88"/>
  <c r="K10070" i="88"/>
  <c r="K10071" i="88"/>
  <c r="K10072" i="88"/>
  <c r="K10073" i="88"/>
  <c r="K10074" i="88"/>
  <c r="K10075" i="88"/>
  <c r="K10076" i="88"/>
  <c r="K10077" i="88"/>
  <c r="K10078" i="88"/>
  <c r="K10079" i="88"/>
  <c r="K10080" i="88"/>
  <c r="K10081" i="88"/>
  <c r="K10082" i="88"/>
  <c r="K10083" i="88"/>
  <c r="K10084" i="88"/>
  <c r="K10085" i="88"/>
  <c r="K10086" i="88"/>
  <c r="K10087" i="88"/>
  <c r="K10088" i="88"/>
  <c r="K10089" i="88"/>
  <c r="K10090" i="88"/>
  <c r="K10091" i="88"/>
  <c r="K10092" i="88"/>
  <c r="K10093" i="88"/>
  <c r="K10094" i="88"/>
  <c r="K10095" i="88"/>
  <c r="K10096" i="88"/>
  <c r="K10097" i="88"/>
  <c r="K10098" i="88"/>
  <c r="K10099" i="88"/>
  <c r="K10100" i="88"/>
  <c r="K10101" i="88"/>
  <c r="K10102" i="88"/>
  <c r="K10103" i="88"/>
  <c r="K10104" i="88"/>
  <c r="K10105" i="88"/>
  <c r="K10106" i="88"/>
  <c r="K10107" i="88"/>
  <c r="K10108" i="88"/>
  <c r="K10109" i="88"/>
  <c r="K10110" i="88"/>
  <c r="K10111" i="88"/>
  <c r="K10112" i="88"/>
  <c r="K10113" i="88"/>
  <c r="K10114" i="88"/>
  <c r="K10115" i="88"/>
  <c r="K10116" i="88"/>
  <c r="K10117" i="88"/>
  <c r="K10118" i="88"/>
  <c r="K10119" i="88"/>
  <c r="K10120" i="88"/>
  <c r="K10121" i="88"/>
  <c r="K10122" i="88"/>
  <c r="K10123" i="88"/>
  <c r="K10124" i="88"/>
  <c r="K10125" i="88"/>
  <c r="K10126" i="88"/>
  <c r="K10127" i="88"/>
  <c r="K10128" i="88"/>
  <c r="K10129" i="88"/>
  <c r="K10130" i="88"/>
  <c r="K10131" i="88"/>
  <c r="K10132" i="88"/>
  <c r="K10133" i="88"/>
  <c r="K10134" i="88"/>
  <c r="K10135" i="88"/>
  <c r="K10136" i="88"/>
  <c r="K10137" i="88"/>
  <c r="K10138" i="88"/>
  <c r="K10139" i="88"/>
  <c r="K10140" i="88"/>
  <c r="K10141" i="88"/>
  <c r="K10142" i="88"/>
  <c r="K10143" i="88"/>
  <c r="K10144" i="88"/>
  <c r="K10145" i="88"/>
  <c r="K10146" i="88"/>
  <c r="K10147" i="88"/>
  <c r="K10148" i="88"/>
  <c r="K10149" i="88"/>
  <c r="K10150" i="88"/>
  <c r="K10151" i="88"/>
  <c r="K10152" i="88"/>
  <c r="K10153" i="88"/>
  <c r="K10154" i="88"/>
  <c r="K10155" i="88"/>
  <c r="K10156" i="88"/>
  <c r="K10157" i="88"/>
  <c r="K10158" i="88"/>
  <c r="K10159" i="88"/>
  <c r="K10160" i="88"/>
  <c r="K10161" i="88"/>
  <c r="K10162" i="88"/>
  <c r="K10163" i="88"/>
  <c r="K10164" i="88"/>
  <c r="K10165" i="88"/>
  <c r="K10166" i="88"/>
  <c r="K10167" i="88"/>
  <c r="K10168" i="88"/>
  <c r="K10169" i="88"/>
  <c r="K10170" i="88"/>
  <c r="K10171" i="88"/>
  <c r="K10172" i="88"/>
  <c r="K10173" i="88"/>
  <c r="K10174" i="88"/>
  <c r="K10175" i="88"/>
  <c r="K10176" i="88"/>
  <c r="K10177" i="88"/>
  <c r="K10178" i="88"/>
  <c r="K10179" i="88"/>
  <c r="K10180" i="88"/>
  <c r="K10181" i="88"/>
  <c r="K10182" i="88"/>
  <c r="K10183" i="88"/>
  <c r="K10184" i="88"/>
  <c r="K10185" i="88"/>
  <c r="K10186" i="88"/>
  <c r="K10187" i="88"/>
  <c r="K10188" i="88"/>
  <c r="K10189" i="88"/>
  <c r="K10190" i="88"/>
  <c r="K10191" i="88"/>
  <c r="K10192" i="88"/>
  <c r="K10193" i="88"/>
  <c r="K10194" i="88"/>
  <c r="K10195" i="88"/>
  <c r="K10196" i="88"/>
  <c r="K10197" i="88"/>
  <c r="K10198" i="88"/>
  <c r="K10199" i="88"/>
  <c r="K10200" i="88"/>
  <c r="K10201" i="88"/>
  <c r="K10202" i="88"/>
  <c r="K10203" i="88"/>
  <c r="K10204" i="88"/>
  <c r="K10205" i="88"/>
  <c r="K10206" i="88"/>
  <c r="K10207" i="88"/>
  <c r="K10208" i="88"/>
  <c r="K10209" i="88"/>
  <c r="K10210" i="88"/>
  <c r="K10211" i="88"/>
  <c r="K10212" i="88"/>
  <c r="K10213" i="88"/>
  <c r="K10214" i="88"/>
  <c r="K10215" i="88"/>
  <c r="K10216" i="88"/>
  <c r="K10217" i="88"/>
  <c r="K10218" i="88"/>
  <c r="K10219" i="88"/>
  <c r="K10220" i="88"/>
  <c r="K10221" i="88"/>
  <c r="K10222" i="88"/>
  <c r="K10223" i="88"/>
  <c r="K10224" i="88"/>
  <c r="K10225" i="88"/>
  <c r="K10226" i="88"/>
  <c r="K10227" i="88"/>
  <c r="K10228" i="88"/>
  <c r="K10229" i="88"/>
  <c r="K10230" i="88"/>
  <c r="K10231" i="88"/>
  <c r="K10232" i="88"/>
  <c r="K10233" i="88"/>
  <c r="K10234" i="88"/>
  <c r="K10235" i="88"/>
  <c r="K10236" i="88"/>
  <c r="K10237" i="88"/>
  <c r="K10238" i="88"/>
  <c r="K10239" i="88"/>
  <c r="K10240" i="88"/>
  <c r="K10241" i="88"/>
  <c r="K10242" i="88"/>
  <c r="K10243" i="88"/>
  <c r="K10244" i="88"/>
  <c r="K10245" i="88"/>
  <c r="K10246" i="88"/>
  <c r="K10247" i="88"/>
  <c r="K10248" i="88"/>
  <c r="K10249" i="88"/>
  <c r="K10250" i="88"/>
  <c r="K10251" i="88"/>
  <c r="K10252" i="88"/>
  <c r="K10253" i="88"/>
  <c r="K10254" i="88"/>
  <c r="K10255" i="88"/>
  <c r="K10256" i="88"/>
  <c r="K10257" i="88"/>
  <c r="K10258" i="88"/>
  <c r="K10259" i="88"/>
  <c r="K10260" i="88"/>
  <c r="K10261" i="88"/>
  <c r="K10262" i="88"/>
  <c r="K10263" i="88"/>
  <c r="K10264" i="88"/>
  <c r="K10265" i="88"/>
  <c r="K10266" i="88"/>
  <c r="K10267" i="88"/>
  <c r="K10268" i="88"/>
  <c r="K10269" i="88"/>
  <c r="K10270" i="88"/>
  <c r="K10271" i="88"/>
  <c r="K10272" i="88"/>
  <c r="K10273" i="88"/>
  <c r="K10274" i="88"/>
  <c r="K10275" i="88"/>
  <c r="K10276" i="88"/>
  <c r="K10277" i="88"/>
  <c r="K10278" i="88"/>
  <c r="K10279" i="88"/>
  <c r="K10280" i="88"/>
  <c r="K10281" i="88"/>
  <c r="K10282" i="88"/>
  <c r="K10283" i="88"/>
  <c r="K10284" i="88"/>
  <c r="K10285" i="88"/>
  <c r="K10286" i="88"/>
  <c r="K10287" i="88"/>
  <c r="K10288" i="88"/>
  <c r="K10289" i="88"/>
  <c r="K10290" i="88"/>
  <c r="K10291" i="88"/>
  <c r="K10292" i="88"/>
  <c r="K10293" i="88"/>
  <c r="K10294" i="88"/>
  <c r="K10295" i="88"/>
  <c r="K10296" i="88"/>
  <c r="K10297" i="88"/>
  <c r="K10298" i="88"/>
  <c r="K10299" i="88"/>
  <c r="K10300" i="88"/>
  <c r="K10301" i="88"/>
  <c r="K10302" i="88"/>
  <c r="K10303" i="88"/>
  <c r="K10304" i="88"/>
  <c r="K10305" i="88"/>
  <c r="K10306" i="88"/>
  <c r="K10307" i="88"/>
  <c r="K10308" i="88"/>
  <c r="K10309" i="88"/>
  <c r="K10310" i="88"/>
  <c r="K10311" i="88"/>
  <c r="K10312" i="88"/>
  <c r="K10313" i="88"/>
  <c r="K10314" i="88"/>
  <c r="K10315" i="88"/>
  <c r="K10316" i="88"/>
  <c r="K10317" i="88"/>
  <c r="K10318" i="88"/>
  <c r="K10319" i="88"/>
  <c r="K10320" i="88"/>
  <c r="K10321" i="88"/>
  <c r="K10322" i="88"/>
  <c r="K10323" i="88"/>
  <c r="K10324" i="88"/>
  <c r="K10325" i="88"/>
  <c r="K10326" i="88"/>
  <c r="K10327" i="88"/>
  <c r="K10328" i="88"/>
  <c r="K10329" i="88"/>
  <c r="K10330" i="88"/>
  <c r="K10331" i="88"/>
  <c r="K10332" i="88"/>
  <c r="K10333" i="88"/>
  <c r="K10334" i="88"/>
  <c r="K10335" i="88"/>
  <c r="K10336" i="88"/>
  <c r="K10337" i="88"/>
  <c r="K10338" i="88"/>
  <c r="K10339" i="88"/>
  <c r="K10340" i="88"/>
  <c r="K10341" i="88"/>
  <c r="K10342" i="88"/>
  <c r="K10343" i="88"/>
  <c r="K10344" i="88"/>
  <c r="K10345" i="88"/>
  <c r="K10346" i="88"/>
  <c r="K10347" i="88"/>
  <c r="K10348" i="88"/>
  <c r="K10349" i="88"/>
  <c r="K10350" i="88"/>
  <c r="K10351" i="88"/>
  <c r="K10352" i="88"/>
  <c r="K10353" i="88"/>
  <c r="K10354" i="88"/>
  <c r="K10355" i="88"/>
  <c r="K10356" i="88"/>
  <c r="K10357" i="88"/>
  <c r="K10358" i="88"/>
  <c r="K10359" i="88"/>
  <c r="K10360" i="88"/>
  <c r="K10361" i="88"/>
  <c r="K10362" i="88"/>
  <c r="K10363" i="88"/>
  <c r="K10364" i="88"/>
  <c r="K10365" i="88"/>
  <c r="K10366" i="88"/>
  <c r="K10367" i="88"/>
  <c r="K10368" i="88"/>
  <c r="K10369" i="88"/>
  <c r="K10370" i="88"/>
  <c r="K10371" i="88"/>
  <c r="K10372" i="88"/>
  <c r="K10373" i="88"/>
  <c r="K10374" i="88"/>
  <c r="K10375" i="88"/>
  <c r="K10376" i="88"/>
  <c r="K10377" i="88"/>
  <c r="K10378" i="88"/>
  <c r="K10379" i="88"/>
  <c r="K10380" i="88"/>
  <c r="K10381" i="88"/>
  <c r="K10382" i="88"/>
  <c r="K10383" i="88"/>
  <c r="K10384" i="88"/>
  <c r="K10385" i="88"/>
  <c r="K10386" i="88"/>
  <c r="K10387" i="88"/>
  <c r="K10388" i="88"/>
  <c r="K10389" i="88"/>
  <c r="K10390" i="88"/>
  <c r="K10391" i="88"/>
  <c r="K10392" i="88"/>
  <c r="K10393" i="88"/>
  <c r="K10394" i="88"/>
  <c r="K10395" i="88"/>
  <c r="K10396" i="88"/>
  <c r="K10397" i="88"/>
  <c r="K10398" i="88"/>
  <c r="K10399" i="88"/>
  <c r="K10400" i="88"/>
  <c r="K10401" i="88"/>
  <c r="K10402" i="88"/>
  <c r="K10403" i="88"/>
  <c r="K10404" i="88"/>
  <c r="K10405" i="88"/>
  <c r="K10406" i="88"/>
  <c r="K10407" i="88"/>
  <c r="K10408" i="88"/>
  <c r="K10409" i="88"/>
  <c r="K10410" i="88"/>
  <c r="K10411" i="88"/>
  <c r="K10412" i="88"/>
  <c r="K10413" i="88"/>
  <c r="K10414" i="88"/>
  <c r="K10415" i="88"/>
  <c r="K10416" i="88"/>
  <c r="K10417" i="88"/>
  <c r="K10418" i="88"/>
  <c r="K10419" i="88"/>
  <c r="K10420" i="88"/>
  <c r="K10421" i="88"/>
  <c r="K10422" i="88"/>
  <c r="K10423" i="88"/>
  <c r="K10424" i="88"/>
  <c r="K10425" i="88"/>
  <c r="K10426" i="88"/>
  <c r="K10427" i="88"/>
  <c r="K10428" i="88"/>
  <c r="K10429" i="88"/>
  <c r="K10430" i="88"/>
  <c r="K10431" i="88"/>
  <c r="K10432" i="88"/>
  <c r="K10433" i="88"/>
  <c r="K10434" i="88"/>
  <c r="K10435" i="88"/>
  <c r="K10436" i="88"/>
  <c r="K10437" i="88"/>
  <c r="K10438" i="88"/>
  <c r="K10439" i="88"/>
  <c r="K10440" i="88"/>
  <c r="K10441" i="88"/>
  <c r="K10442" i="88"/>
  <c r="K10443" i="88"/>
  <c r="K10444" i="88"/>
  <c r="K10445" i="88"/>
  <c r="K10446" i="88"/>
  <c r="K10447" i="88"/>
  <c r="K10448" i="88"/>
  <c r="K10449" i="88"/>
  <c r="K10450" i="88"/>
  <c r="K10451" i="88"/>
  <c r="K10452" i="88"/>
  <c r="K10453" i="88"/>
  <c r="K10454" i="88"/>
  <c r="K10455" i="88"/>
  <c r="K10456" i="88"/>
  <c r="K10457" i="88"/>
  <c r="K10458" i="88"/>
  <c r="K10459" i="88"/>
  <c r="K10460" i="88"/>
  <c r="K10461" i="88"/>
  <c r="K10462" i="88"/>
  <c r="K10463" i="88"/>
  <c r="K10464" i="88"/>
  <c r="K10465" i="88"/>
  <c r="K10466" i="88"/>
  <c r="K10467" i="88"/>
  <c r="K10468" i="88"/>
  <c r="K10469" i="88"/>
  <c r="K10470" i="88"/>
  <c r="K10471" i="88"/>
  <c r="K10472" i="88"/>
  <c r="K10473" i="88"/>
  <c r="K10474" i="88"/>
  <c r="K10475" i="88"/>
  <c r="K10476" i="88"/>
  <c r="K10477" i="88"/>
  <c r="K10478" i="88"/>
  <c r="K10479" i="88"/>
  <c r="K10480" i="88"/>
  <c r="K10481" i="88"/>
  <c r="K10482" i="88"/>
  <c r="K10483" i="88"/>
  <c r="K10484" i="88"/>
  <c r="K10485" i="88"/>
  <c r="K10486" i="88"/>
  <c r="K10487" i="88"/>
  <c r="K10488" i="88"/>
  <c r="K10489" i="88"/>
  <c r="K10490" i="88"/>
  <c r="K10491" i="88"/>
  <c r="K10492" i="88"/>
  <c r="K10493" i="88"/>
  <c r="K10494" i="88"/>
  <c r="K10495" i="88"/>
  <c r="K10496" i="88"/>
  <c r="K10497" i="88"/>
  <c r="K10498" i="88"/>
  <c r="K10499" i="88"/>
  <c r="K10500" i="88"/>
  <c r="K10501" i="88"/>
  <c r="K10502" i="88"/>
  <c r="K10503" i="88"/>
  <c r="K10504" i="88"/>
  <c r="K10505" i="88"/>
  <c r="K10506" i="88"/>
  <c r="K10507" i="88"/>
  <c r="K10508" i="88"/>
  <c r="K10509" i="88"/>
  <c r="K10510" i="88"/>
  <c r="K10511" i="88"/>
  <c r="K10512" i="88"/>
  <c r="K10513" i="88"/>
  <c r="K10514" i="88"/>
  <c r="K10515" i="88"/>
  <c r="K10516" i="88"/>
  <c r="K10517" i="88"/>
  <c r="K10518" i="88"/>
  <c r="K10519" i="88"/>
  <c r="K10520" i="88"/>
  <c r="K10521" i="88"/>
  <c r="K10522" i="88"/>
  <c r="K10523" i="88"/>
  <c r="K10524" i="88"/>
  <c r="K10525" i="88"/>
  <c r="K10526" i="88"/>
  <c r="K10527" i="88"/>
  <c r="K10528" i="88"/>
  <c r="K10529" i="88"/>
  <c r="K10530" i="88"/>
  <c r="K10531" i="88"/>
  <c r="K10532" i="88"/>
  <c r="K10533" i="88"/>
  <c r="K10534" i="88"/>
  <c r="K10535" i="88"/>
  <c r="K10536" i="88"/>
  <c r="K10537" i="88"/>
  <c r="K10538" i="88"/>
  <c r="K10539" i="88"/>
  <c r="K10540" i="88"/>
  <c r="K10541" i="88"/>
  <c r="K10542" i="88"/>
  <c r="K10543" i="88"/>
  <c r="K10544" i="88"/>
  <c r="K10545" i="88"/>
  <c r="K10546" i="88"/>
  <c r="K10547" i="88"/>
  <c r="K10548" i="88"/>
  <c r="K10549" i="88"/>
  <c r="K10550" i="88"/>
  <c r="K10551" i="88"/>
  <c r="K10552" i="88"/>
  <c r="K10553" i="88"/>
  <c r="K10554" i="88"/>
  <c r="K10555" i="88"/>
  <c r="K10556" i="88"/>
  <c r="K10557" i="88"/>
  <c r="K10558" i="88"/>
  <c r="K10559" i="88"/>
  <c r="K10560" i="88"/>
  <c r="K10561" i="88"/>
  <c r="K10562" i="88"/>
  <c r="K10563" i="88"/>
  <c r="K10564" i="88"/>
  <c r="K10565" i="88"/>
  <c r="K10566" i="88"/>
  <c r="K10567" i="88"/>
  <c r="K10568" i="88"/>
  <c r="K10569" i="88"/>
  <c r="K10570" i="88"/>
  <c r="K10571" i="88"/>
  <c r="K10572" i="88"/>
  <c r="K10573" i="88"/>
  <c r="K10574" i="88"/>
  <c r="K10575" i="88"/>
  <c r="K10576" i="88"/>
  <c r="K10577" i="88"/>
  <c r="K10578" i="88"/>
  <c r="K10579" i="88"/>
  <c r="K10580" i="88"/>
  <c r="K10581" i="88"/>
  <c r="K10582" i="88"/>
  <c r="K10583" i="88"/>
  <c r="K10584" i="88"/>
  <c r="K10585" i="88"/>
  <c r="K10586" i="88"/>
  <c r="K10587" i="88"/>
  <c r="K10588" i="88"/>
  <c r="K10589" i="88"/>
  <c r="K10590" i="88"/>
  <c r="K10591" i="88"/>
  <c r="K10592" i="88"/>
  <c r="K10593" i="88"/>
  <c r="K10594" i="88"/>
  <c r="K10595" i="88"/>
  <c r="K10596" i="88"/>
  <c r="K10597" i="88"/>
  <c r="K10598" i="88"/>
  <c r="K10599" i="88"/>
  <c r="K10600" i="88"/>
  <c r="K10601" i="88"/>
  <c r="K10602" i="88"/>
  <c r="K10603" i="88"/>
  <c r="K10604" i="88"/>
  <c r="K10605" i="88"/>
  <c r="K10606" i="88"/>
  <c r="K10607" i="88"/>
  <c r="K10608" i="88"/>
  <c r="K10609" i="88"/>
  <c r="K10610" i="88"/>
  <c r="K10611" i="88"/>
  <c r="K10612" i="88"/>
  <c r="K10613" i="88"/>
  <c r="K10614" i="88"/>
  <c r="K10615" i="88"/>
  <c r="K10616" i="88"/>
  <c r="K10617" i="88"/>
  <c r="K10618" i="88"/>
  <c r="K10619" i="88"/>
  <c r="K10620" i="88"/>
  <c r="K10621" i="88"/>
  <c r="K10622" i="88"/>
  <c r="K10623" i="88"/>
  <c r="K10624" i="88"/>
  <c r="K10625" i="88"/>
  <c r="K10626" i="88"/>
  <c r="K10627" i="88"/>
  <c r="K10628" i="88"/>
  <c r="K10629" i="88"/>
  <c r="K10630" i="88"/>
  <c r="K10631" i="88"/>
  <c r="K10632" i="88"/>
  <c r="K10633" i="88"/>
  <c r="K10634" i="88"/>
  <c r="K10635" i="88"/>
  <c r="K10636" i="88"/>
  <c r="K10637" i="88"/>
  <c r="K10638" i="88"/>
  <c r="K10639" i="88"/>
  <c r="K10640" i="88"/>
  <c r="K10641" i="88"/>
  <c r="K10642" i="88"/>
  <c r="K10643" i="88"/>
  <c r="K10644" i="88"/>
  <c r="K10645" i="88"/>
  <c r="K10646" i="88"/>
  <c r="K10647" i="88"/>
  <c r="K10648" i="88"/>
  <c r="K10649" i="88"/>
  <c r="K10650" i="88"/>
  <c r="K10651" i="88"/>
  <c r="K10652" i="88"/>
  <c r="K10653" i="88"/>
  <c r="K10654" i="88"/>
  <c r="K10655" i="88"/>
  <c r="K10656" i="88"/>
  <c r="K10657" i="88"/>
  <c r="K10658" i="88"/>
  <c r="K10659" i="88"/>
  <c r="K10660" i="88"/>
  <c r="K10661" i="88"/>
  <c r="K10662" i="88"/>
  <c r="K10663" i="88"/>
  <c r="K10664" i="88"/>
  <c r="K10665" i="88"/>
  <c r="K10666" i="88"/>
  <c r="K10667" i="88"/>
  <c r="K10668" i="88"/>
  <c r="K10669" i="88"/>
  <c r="K10670" i="88"/>
  <c r="K10671" i="88"/>
  <c r="K10672" i="88"/>
  <c r="K10673" i="88"/>
  <c r="K10674" i="88"/>
  <c r="K10675" i="88"/>
  <c r="K10676" i="88"/>
  <c r="K10677" i="88"/>
  <c r="K10678" i="88"/>
  <c r="K10679" i="88"/>
  <c r="K10680" i="88"/>
  <c r="K10681" i="88"/>
  <c r="K10682" i="88"/>
  <c r="K10683" i="88"/>
  <c r="K10684" i="88"/>
  <c r="K10685" i="88"/>
  <c r="K10686" i="88"/>
  <c r="K10687" i="88"/>
  <c r="K10688" i="88"/>
  <c r="K10689" i="88"/>
  <c r="K10690" i="88"/>
  <c r="K10691" i="88"/>
  <c r="K10692" i="88"/>
  <c r="K10693" i="88"/>
  <c r="K10694" i="88"/>
  <c r="K10695" i="88"/>
  <c r="K10696" i="88"/>
  <c r="K10697" i="88"/>
  <c r="K10698" i="88"/>
  <c r="K10699" i="88"/>
  <c r="K10700" i="88"/>
  <c r="K10701" i="88"/>
  <c r="K10702" i="88"/>
  <c r="K10703" i="88"/>
  <c r="K10704" i="88"/>
  <c r="K10705" i="88"/>
  <c r="K10706" i="88"/>
  <c r="K10707" i="88"/>
  <c r="K10708" i="88"/>
  <c r="K10709" i="88"/>
  <c r="K10710" i="88"/>
  <c r="K10711" i="88"/>
  <c r="K10712" i="88"/>
  <c r="K10713" i="88"/>
  <c r="K10714" i="88"/>
  <c r="K10715" i="88"/>
  <c r="K10716" i="88"/>
  <c r="K10717" i="88"/>
  <c r="K10718" i="88"/>
  <c r="K10719" i="88"/>
  <c r="K10720" i="88"/>
  <c r="K10721" i="88"/>
  <c r="K10722" i="88"/>
  <c r="K10723" i="88"/>
  <c r="K10724" i="88"/>
  <c r="K10725" i="88"/>
  <c r="K10726" i="88"/>
  <c r="K10727" i="88"/>
  <c r="K10728" i="88"/>
  <c r="K10729" i="88"/>
  <c r="K10730" i="88"/>
  <c r="K10731" i="88"/>
  <c r="K10732" i="88"/>
  <c r="K10733" i="88"/>
  <c r="K10734" i="88"/>
  <c r="K10735" i="88"/>
  <c r="K10736" i="88"/>
  <c r="K10737" i="88"/>
  <c r="K10738" i="88"/>
  <c r="K10739" i="88"/>
  <c r="K10740" i="88"/>
  <c r="K10741" i="88"/>
  <c r="K10742" i="88"/>
  <c r="K10743" i="88"/>
  <c r="K10744" i="88"/>
  <c r="K10745" i="88"/>
  <c r="K10746" i="88"/>
  <c r="K10747" i="88"/>
  <c r="K10748" i="88"/>
  <c r="K10749" i="88"/>
  <c r="K10750" i="88"/>
  <c r="K10751" i="88"/>
  <c r="K10752" i="88"/>
  <c r="K10753" i="88"/>
  <c r="K10754" i="88"/>
  <c r="K10755" i="88"/>
  <c r="K10756" i="88"/>
  <c r="K10757" i="88"/>
  <c r="K10758" i="88"/>
  <c r="K10759" i="88"/>
  <c r="K10760" i="88"/>
  <c r="K10761" i="88"/>
  <c r="K10762" i="88"/>
  <c r="K10763" i="88"/>
  <c r="K10764" i="88"/>
  <c r="K10765" i="88"/>
  <c r="K10766" i="88"/>
  <c r="K10767" i="88"/>
  <c r="K10768" i="88"/>
  <c r="K10769" i="88"/>
  <c r="K10770" i="88"/>
  <c r="K10771" i="88"/>
  <c r="K10772" i="88"/>
  <c r="K10773" i="88"/>
  <c r="K10774" i="88"/>
  <c r="K10775" i="88"/>
  <c r="K10776" i="88"/>
  <c r="K10777" i="88"/>
  <c r="K10778" i="88"/>
  <c r="K10779" i="88"/>
  <c r="K10780" i="88"/>
  <c r="K10781" i="88"/>
  <c r="K10782" i="88"/>
  <c r="K10783" i="88"/>
  <c r="K10784" i="88"/>
  <c r="K10785" i="88"/>
  <c r="K10786" i="88"/>
  <c r="K10787" i="88"/>
  <c r="K10788" i="88"/>
  <c r="K10789" i="88"/>
  <c r="K10790" i="88"/>
  <c r="K10791" i="88"/>
  <c r="K10792" i="88"/>
  <c r="K10793" i="88"/>
  <c r="K10794" i="88"/>
  <c r="K10795" i="88"/>
  <c r="K10796" i="88"/>
  <c r="K10797" i="88"/>
  <c r="K10798" i="88"/>
  <c r="K10799" i="88"/>
  <c r="K10800" i="88"/>
  <c r="K10801" i="88"/>
  <c r="K10802" i="88"/>
  <c r="K10803" i="88"/>
  <c r="K10804" i="88"/>
  <c r="K10805" i="88"/>
  <c r="K10806" i="88"/>
  <c r="K10807" i="88"/>
  <c r="K10808" i="88"/>
  <c r="K10809" i="88"/>
  <c r="K10810" i="88"/>
  <c r="K10811" i="88"/>
  <c r="K10812" i="88"/>
  <c r="K10813" i="88"/>
  <c r="K10814" i="88"/>
  <c r="K10815" i="88"/>
  <c r="K10816" i="88"/>
  <c r="K10817" i="88"/>
  <c r="K10818" i="88"/>
  <c r="K10819" i="88"/>
  <c r="K10820" i="88"/>
  <c r="K10821" i="88"/>
  <c r="K10822" i="88"/>
  <c r="K10823" i="88"/>
  <c r="K10824" i="88"/>
  <c r="K10825" i="88"/>
  <c r="K10826" i="88"/>
  <c r="K10827" i="88"/>
  <c r="K10828" i="88"/>
  <c r="K10829" i="88"/>
  <c r="K10830" i="88"/>
  <c r="K10831" i="88"/>
  <c r="K10832" i="88"/>
  <c r="K10833" i="88"/>
  <c r="K10834" i="88"/>
  <c r="K10835" i="88"/>
  <c r="K10836" i="88"/>
  <c r="K10837" i="88"/>
  <c r="K10838" i="88"/>
  <c r="K10839" i="88"/>
  <c r="K10840" i="88"/>
  <c r="K10841" i="88"/>
  <c r="K10842" i="88"/>
  <c r="K10843" i="88"/>
  <c r="K10844" i="88"/>
  <c r="K10845" i="88"/>
  <c r="K10846" i="88"/>
  <c r="K10847" i="88"/>
  <c r="K10848" i="88"/>
  <c r="K10849" i="88"/>
  <c r="K10850" i="88"/>
  <c r="K10851" i="88"/>
  <c r="K10852" i="88"/>
  <c r="K10853" i="88"/>
  <c r="K10854" i="88"/>
  <c r="K10855" i="88"/>
  <c r="K10856" i="88"/>
  <c r="K10857" i="88"/>
  <c r="K10858" i="88"/>
  <c r="K10859" i="88"/>
  <c r="K10860" i="88"/>
  <c r="K10861" i="88"/>
  <c r="K10862" i="88"/>
  <c r="K10863" i="88"/>
  <c r="K10864" i="88"/>
  <c r="K10865" i="88"/>
  <c r="K10866" i="88"/>
  <c r="K10867" i="88"/>
  <c r="K10868" i="88"/>
  <c r="K10869" i="88"/>
  <c r="K10870" i="88"/>
  <c r="K10871" i="88"/>
  <c r="K10872" i="88"/>
  <c r="K10873" i="88"/>
  <c r="K10874" i="88"/>
  <c r="K10875" i="88"/>
  <c r="K10876" i="88"/>
  <c r="K10877" i="88"/>
  <c r="K10878" i="88"/>
  <c r="K10879" i="88"/>
  <c r="K10880" i="88"/>
  <c r="K10881" i="88"/>
  <c r="K10882" i="88"/>
  <c r="K10883" i="88"/>
  <c r="K10884" i="88"/>
  <c r="K10885" i="88"/>
  <c r="K10886" i="88"/>
  <c r="K10887" i="88"/>
  <c r="K10888" i="88"/>
  <c r="K10889" i="88"/>
  <c r="K10890" i="88"/>
  <c r="K10891" i="88"/>
  <c r="K10892" i="88"/>
  <c r="K10893" i="88"/>
  <c r="K10894" i="88"/>
  <c r="K10895" i="88"/>
  <c r="K10896" i="88"/>
  <c r="K10897" i="88"/>
  <c r="K10898" i="88"/>
  <c r="K10899" i="88"/>
  <c r="K10900" i="88"/>
  <c r="K10901" i="88"/>
  <c r="K10902" i="88"/>
  <c r="K10903" i="88"/>
  <c r="K10904" i="88"/>
  <c r="K10905" i="88"/>
  <c r="K10906" i="88"/>
  <c r="K10907" i="88"/>
  <c r="K10908" i="88"/>
  <c r="K10909" i="88"/>
  <c r="K10910" i="88"/>
  <c r="K10911" i="88"/>
  <c r="K10912" i="88"/>
  <c r="K10913" i="88"/>
  <c r="K10914" i="88"/>
  <c r="K10915" i="88"/>
  <c r="K10916" i="88"/>
  <c r="K10917" i="88"/>
  <c r="K10918" i="88"/>
  <c r="K10919" i="88"/>
  <c r="K10920" i="88"/>
  <c r="K10921" i="88"/>
  <c r="K10922" i="88"/>
  <c r="K10923" i="88"/>
  <c r="K10924" i="88"/>
  <c r="K10925" i="88"/>
  <c r="K10926" i="88"/>
  <c r="K10927" i="88"/>
  <c r="K10928" i="88"/>
  <c r="K10929" i="88"/>
  <c r="K10930" i="88"/>
  <c r="K10931" i="88"/>
  <c r="K10932" i="88"/>
  <c r="K10933" i="88"/>
  <c r="K10934" i="88"/>
  <c r="K10935" i="88"/>
  <c r="K10936" i="88"/>
  <c r="K10937" i="88"/>
  <c r="K10938" i="88"/>
  <c r="K10939" i="88"/>
  <c r="K10940" i="88"/>
  <c r="K10941" i="88"/>
  <c r="K10942" i="88"/>
  <c r="K10943" i="88"/>
  <c r="K10944" i="88"/>
  <c r="K10945" i="88"/>
  <c r="K10946" i="88"/>
  <c r="K10947" i="88"/>
  <c r="K10948" i="88"/>
  <c r="K10949" i="88"/>
  <c r="K10950" i="88"/>
  <c r="K10951" i="88"/>
  <c r="K10952" i="88"/>
  <c r="K10953" i="88"/>
  <c r="K10954" i="88"/>
  <c r="K10955" i="88"/>
  <c r="K10956" i="88"/>
  <c r="K10957" i="88"/>
  <c r="K10958" i="88"/>
  <c r="K10959" i="88"/>
  <c r="K10960" i="88"/>
  <c r="K2" i="88"/>
  <c r="J3" i="79"/>
  <c r="J4" i="79"/>
  <c r="J5" i="79"/>
  <c r="J6" i="79"/>
  <c r="J7" i="79"/>
  <c r="J8" i="79"/>
  <c r="J9" i="79"/>
  <c r="J10" i="79"/>
  <c r="J11" i="79"/>
  <c r="K3" i="79"/>
  <c r="K4" i="79"/>
  <c r="K5" i="79"/>
  <c r="K6" i="79"/>
  <c r="K7" i="79"/>
  <c r="K8" i="79"/>
  <c r="K9" i="79"/>
  <c r="K10" i="79"/>
  <c r="K11" i="79"/>
  <c r="K2" i="79"/>
  <c r="J2" i="79"/>
  <c r="E11" i="79"/>
  <c r="E10" i="79"/>
  <c r="E9" i="79"/>
  <c r="E8" i="79"/>
  <c r="E7" i="79"/>
  <c r="E6" i="79"/>
  <c r="E5" i="79"/>
  <c r="E4" i="79"/>
  <c r="E3" i="79"/>
  <c r="E2" i="79"/>
  <c r="A3" i="16"/>
  <c r="U3" i="16"/>
  <c r="A4" i="16"/>
  <c r="T4" i="16"/>
  <c r="U4" i="16"/>
  <c r="S4" i="16"/>
  <c r="A2" i="73"/>
  <c r="A2" i="16"/>
  <c r="S2" i="16"/>
  <c r="S3" i="16"/>
  <c r="T3" i="16"/>
  <c r="T2" i="16"/>
  <c r="U2" i="16"/>
  <c r="A223" i="91"/>
  <c r="A157" i="94"/>
</calcChain>
</file>

<file path=xl/comments1.xml><?xml version="1.0" encoding="utf-8"?>
<comments xmlns="http://schemas.openxmlformats.org/spreadsheetml/2006/main">
  <authors>
    <author>Jo Newell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2.xml><?xml version="1.0" encoding="utf-8"?>
<comments xmlns="http://schemas.openxmlformats.org/spreadsheetml/2006/main">
  <authors>
    <author>Jo Newell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3.xml><?xml version="1.0" encoding="utf-8"?>
<comments xmlns="http://schemas.openxmlformats.org/spreadsheetml/2006/main">
  <authors>
    <author>Jo Newell</author>
  </authors>
  <commentList>
    <comment ref="C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4.xml><?xml version="1.0" encoding="utf-8"?>
<comments xmlns="http://schemas.openxmlformats.org/spreadsheetml/2006/main">
  <authors>
    <author>Jo Newell</author>
  </authors>
  <commentList>
    <comment ref="C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5.xml><?xml version="1.0" encoding="utf-8"?>
<comments xmlns="http://schemas.openxmlformats.org/spreadsheetml/2006/main">
  <authors>
    <author>Jo Newell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6.xml><?xml version="1.0" encoding="utf-8"?>
<comments xmlns="http://schemas.openxmlformats.org/spreadsheetml/2006/main">
  <authors>
    <author>Jo Newell</author>
  </authors>
  <commentList>
    <comment ref="C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7.xml><?xml version="1.0" encoding="utf-8"?>
<comments xmlns="http://schemas.openxmlformats.org/spreadsheetml/2006/main">
  <authors>
    <author>Jo Newell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sharedStrings.xml><?xml version="1.0" encoding="utf-8"?>
<sst xmlns="http://schemas.openxmlformats.org/spreadsheetml/2006/main" count="11180" uniqueCount="3723">
  <si>
    <t>Directory</t>
  </si>
  <si>
    <t>Term</t>
  </si>
  <si>
    <t>JEN</t>
  </si>
  <si>
    <t>Book</t>
  </si>
  <si>
    <t>3M</t>
  </si>
  <si>
    <t>ZAR</t>
  </si>
  <si>
    <t>DealType</t>
  </si>
  <si>
    <t>Call</t>
  </si>
  <si>
    <t>Fixed</t>
  </si>
  <si>
    <t>LIBOR</t>
  </si>
  <si>
    <t>Key</t>
  </si>
  <si>
    <t>MsgID</t>
  </si>
  <si>
    <t>ExecType</t>
  </si>
  <si>
    <t>TradeDate</t>
  </si>
  <si>
    <t>ExtRefNo</t>
  </si>
  <si>
    <t>ABC1234</t>
  </si>
  <si>
    <t>ExternalCustomer</t>
  </si>
  <si>
    <t>ABCLON</t>
  </si>
  <si>
    <t>Direction</t>
  </si>
  <si>
    <t>LOAN</t>
  </si>
  <si>
    <t>Payment</t>
  </si>
  <si>
    <t>abc1</t>
  </si>
  <si>
    <t>Rate</t>
  </si>
  <si>
    <t>DealtCurrency</t>
  </si>
  <si>
    <t>DealtAmount</t>
  </si>
  <si>
    <t>BkA</t>
  </si>
  <si>
    <t>ValueDate</t>
  </si>
  <si>
    <t>2008-05-21</t>
  </si>
  <si>
    <t>2008-05-23</t>
  </si>
  <si>
    <t>MaturityDate</t>
  </si>
  <si>
    <t>2009-05-23</t>
  </si>
  <si>
    <t>InterestFrequency</t>
  </si>
  <si>
    <t>InterestRateType</t>
  </si>
  <si>
    <t>FloatingRateMargin</t>
  </si>
  <si>
    <t>InterestAction</t>
  </si>
  <si>
    <t>InterestDates</t>
  </si>
  <si>
    <t>2</t>
  </si>
  <si>
    <t>InterestRates</t>
  </si>
  <si>
    <t>InterestAmortisations</t>
  </si>
  <si>
    <t>Notes</t>
  </si>
  <si>
    <t>Hello</t>
  </si>
  <si>
    <t>ABC1235</t>
  </si>
  <si>
    <t>InterestDate</t>
  </si>
  <si>
    <t>2008-08-25</t>
  </si>
  <si>
    <t>2008-11-24</t>
  </si>
  <si>
    <t>2009-02-21</t>
  </si>
  <si>
    <t>2009-05-25</t>
  </si>
  <si>
    <t>InterestRate</t>
  </si>
  <si>
    <t>3.5</t>
  </si>
  <si>
    <t>DEPO</t>
  </si>
  <si>
    <t>ABC1236</t>
  </si>
  <si>
    <t>ABC1237</t>
  </si>
  <si>
    <t>ABC1238</t>
  </si>
  <si>
    <t>Spot</t>
  </si>
  <si>
    <t>AgainstCurrency</t>
  </si>
  <si>
    <t>GBP</t>
  </si>
  <si>
    <t>USD</t>
  </si>
  <si>
    <t>EUR</t>
  </si>
  <si>
    <t>TRY</t>
  </si>
  <si>
    <t>Deal</t>
  </si>
  <si>
    <t>32-1458747973-1753-409739</t>
  </si>
  <si>
    <t>NOK</t>
  </si>
  <si>
    <t>1191-1458747966-6284-4668090</t>
  </si>
  <si>
    <t>CAD</t>
  </si>
  <si>
    <t>10-1458747965-9604-4642443</t>
  </si>
  <si>
    <t>1516-1458747964-3083-4604414</t>
  </si>
  <si>
    <t>172-1458747961-4002-438740</t>
  </si>
  <si>
    <t>239-1458747961-3393-4110577</t>
  </si>
  <si>
    <t>578-1458747958-5958-709355</t>
  </si>
  <si>
    <t>743-1458747957-0414-3855820</t>
  </si>
  <si>
    <t>12-1458747955-8583-79142</t>
  </si>
  <si>
    <t>JPY</t>
  </si>
  <si>
    <t>3641053-1458747975-56</t>
  </si>
  <si>
    <t>56</t>
  </si>
  <si>
    <t>3641050-1458747973-261</t>
  </si>
  <si>
    <t>261</t>
  </si>
  <si>
    <t>3641044-1458747967-238</t>
  </si>
  <si>
    <t>238</t>
  </si>
  <si>
    <t>3641041-1458747966-216</t>
  </si>
  <si>
    <t>216</t>
  </si>
  <si>
    <t>3641038-1458747964-171</t>
  </si>
  <si>
    <t>171</t>
  </si>
  <si>
    <t>3641035-1458747961-172</t>
  </si>
  <si>
    <t>172</t>
  </si>
  <si>
    <t>3641032-1458747961-200</t>
  </si>
  <si>
    <t>200</t>
  </si>
  <si>
    <t>3641029-1458747959-107</t>
  </si>
  <si>
    <t>107</t>
  </si>
  <si>
    <t>3641026-1458747957-102</t>
  </si>
  <si>
    <t>102</t>
  </si>
  <si>
    <t>3641023-1458747956-224</t>
  </si>
  <si>
    <t>224</t>
  </si>
  <si>
    <t>AUD</t>
  </si>
  <si>
    <t>NZD</t>
  </si>
  <si>
    <t>RUB</t>
  </si>
  <si>
    <t>BRL</t>
  </si>
  <si>
    <t>AED</t>
  </si>
  <si>
    <t>DKK</t>
  </si>
  <si>
    <t>SEK</t>
  </si>
  <si>
    <t>AZN</t>
  </si>
  <si>
    <t>END POINT</t>
  </si>
  <si>
    <t>BUY</t>
  </si>
  <si>
    <t>Row Labels</t>
  </si>
  <si>
    <t>(blank)</t>
  </si>
  <si>
    <t>Grand Total</t>
  </si>
  <si>
    <t>1M</t>
  </si>
  <si>
    <t>N</t>
  </si>
  <si>
    <t>Account</t>
  </si>
  <si>
    <t>ParentExtRefNo</t>
  </si>
  <si>
    <t>Adjustment</t>
  </si>
  <si>
    <t>RedefaultValues</t>
  </si>
  <si>
    <t>Account Amendment</t>
  </si>
  <si>
    <t>ADJUSTMENT/A-ADJ</t>
  </si>
  <si>
    <t>K:\Banking\Sales\Prospective Customers\HM Treasury\Demo 201805\DEMOXMLSTATIC\dealImportData\</t>
  </si>
  <si>
    <t>BACSRCPTS/A-BACS</t>
  </si>
  <si>
    <t>BARCTOSHIP/A-BBARC</t>
  </si>
  <si>
    <t>BOECLRD1/A-BECC1</t>
  </si>
  <si>
    <t>NWTOSHIP/A-BNATW</t>
  </si>
  <si>
    <t>CREST/A-CREST</t>
  </si>
  <si>
    <t>RESIDUAL/A-RESID</t>
  </si>
  <si>
    <t>NICTONI/A-TNINI</t>
  </si>
  <si>
    <t>BOECLRCPAY/A-UBECC</t>
  </si>
  <si>
    <t>CHAPSPAYM/A-UCHAP</t>
  </si>
  <si>
    <t>NICSTONIF/AZ-TNIF</t>
  </si>
  <si>
    <t>ADJUSTMENT/B-ADJ</t>
  </si>
  <si>
    <t>BACSRCPTS/B-BACS</t>
  </si>
  <si>
    <t>ENGLISHREC/B-ENG</t>
  </si>
  <si>
    <t>OTHER-OTH</t>
  </si>
  <si>
    <t>APD/B-DUTYX</t>
  </si>
  <si>
    <t>BACS/D-P1BAC</t>
  </si>
  <si>
    <t>BOE-OTH</t>
  </si>
  <si>
    <t>BARCTOSHIP</t>
  </si>
  <si>
    <t>BROADCAST/D-BRL</t>
  </si>
  <si>
    <t>EDUCATION/D-ED</t>
  </si>
  <si>
    <t>INCREDITCL/B-VETF</t>
  </si>
  <si>
    <t>INDEBITCLE/B-VMTF</t>
  </si>
  <si>
    <t>MISC.PMGRE/D-MSCPR</t>
  </si>
  <si>
    <t>MISC</t>
  </si>
  <si>
    <t>NICSTONIF/DZ-TNIF</t>
  </si>
  <si>
    <t>NIFBENEFIT/D-P1CHPX</t>
  </si>
  <si>
    <t>NLFINTRPAY/D-NLFR</t>
  </si>
  <si>
    <t>NLFPRINCIP/D-NLFP</t>
  </si>
  <si>
    <t>OTHERPAY</t>
  </si>
  <si>
    <t>OTHERRCPT/D-OIDR</t>
  </si>
  <si>
    <t>PAYMASTER/D-P1LOD</t>
  </si>
  <si>
    <t>PROFITSOFI/I-POFI</t>
  </si>
  <si>
    <t>RBSCUMBERN/A-BSCOT</t>
  </si>
  <si>
    <t>SCOTTISHRE/B-SCOT</t>
  </si>
  <si>
    <t>VATBACSREP/B-VRPAY</t>
  </si>
  <si>
    <t>VATCHPSREC/B-VOTC</t>
  </si>
  <si>
    <t>VATCHPSREP/B-YRPAY</t>
  </si>
  <si>
    <t>VATPAYABLE/B-XRPAY</t>
  </si>
  <si>
    <t>Portfolio</t>
  </si>
  <si>
    <t>APD/B-dutyx/22-05-18/16:30</t>
  </si>
  <si>
    <t>7180522163002335</t>
  </si>
  <si>
    <t>APD/B-dutyx/24-05-18/09:30</t>
  </si>
  <si>
    <t>1180522093002336</t>
  </si>
  <si>
    <t>APD/B-dutyx/24-05-18/12:45</t>
  </si>
  <si>
    <t>2180522124502337</t>
  </si>
  <si>
    <t>APD/B-dutyx/25-05-18/12:45</t>
  </si>
  <si>
    <t>2180522124502344</t>
  </si>
  <si>
    <t>APD/B-dutyx/28-05-18/09:30</t>
  </si>
  <si>
    <t>1180522093002350</t>
  </si>
  <si>
    <t>APD/B-dutyx/28-05-18/12:45</t>
  </si>
  <si>
    <t>2180522124502351</t>
  </si>
  <si>
    <t>APD/B-dutyx/31-05-18/12:45</t>
  </si>
  <si>
    <t>2180522124502358</t>
  </si>
  <si>
    <t>APD/B-dutyx/01-06-18/09:30</t>
  </si>
  <si>
    <t>1180522093002364</t>
  </si>
  <si>
    <t>APD/B-dutyx/05-06-18/12:45</t>
  </si>
  <si>
    <t>2180522124502379</t>
  </si>
  <si>
    <t>APD/B-dutyx/05-06-18/14:15</t>
  </si>
  <si>
    <t>3180522141502380</t>
  </si>
  <si>
    <t>APD/B-dutyx/05-06-18/15:40</t>
  </si>
  <si>
    <t>5180522154002382</t>
  </si>
  <si>
    <t>APD/B-dutyx/06-06-18/09:30</t>
  </si>
  <si>
    <t>1180522093002385</t>
  </si>
  <si>
    <t>APD/B-dutyx/11-06-18/12:45</t>
  </si>
  <si>
    <t>2180522124502393</t>
  </si>
  <si>
    <t>APD/B-dutyx/12-06-18/12:45</t>
  </si>
  <si>
    <t>2180522124502400</t>
  </si>
  <si>
    <t>APD/B-dutyx/12-06-18/14:15</t>
  </si>
  <si>
    <t>3180522141502401</t>
  </si>
  <si>
    <t>APD/B-dutyx/13-06-18/12:45</t>
  </si>
  <si>
    <t>2180522124502407</t>
  </si>
  <si>
    <t>APD/B-dutyx/14-06-18/12:45</t>
  </si>
  <si>
    <t>2180522124502414</t>
  </si>
  <si>
    <t>APD/B-dutyx/14-06-18/14:15</t>
  </si>
  <si>
    <t>3180522141502415</t>
  </si>
  <si>
    <t>APD/B-dutyx/15-06-18/12:45</t>
  </si>
  <si>
    <t>2180522124502421</t>
  </si>
  <si>
    <t>APD/B-dutyx/20-06-18/09:30</t>
  </si>
  <si>
    <t>1180522093002427</t>
  </si>
  <si>
    <t>APD/B-dutyx/20-06-18/14:15</t>
  </si>
  <si>
    <t>3180522141502429</t>
  </si>
  <si>
    <t>APD/B-dutyx/20-06-18/15:15</t>
  </si>
  <si>
    <t>4180522151502430</t>
  </si>
  <si>
    <t>APD/B-dutyx/21-06-18/12:45</t>
  </si>
  <si>
    <t>2180522124502435</t>
  </si>
  <si>
    <t>APD/B-dutyx/22-06-18/12:45</t>
  </si>
  <si>
    <t>2180522124502442</t>
  </si>
  <si>
    <t>APD/B-dutyx/25-06-18/09:30</t>
  </si>
  <si>
    <t>1180522093002448</t>
  </si>
  <si>
    <t>APD/B-dutyx/25-06-18/15:40</t>
  </si>
  <si>
    <t>5180522154002452</t>
  </si>
  <si>
    <t>APD/B-dutyx/26-06-18/09:30</t>
  </si>
  <si>
    <t>1180522093002455</t>
  </si>
  <si>
    <t>APD/B-dutyx/26-06-18/15:15</t>
  </si>
  <si>
    <t>4180522151502458</t>
  </si>
  <si>
    <t>APD/B-dutyx/26-06-18/15:40</t>
  </si>
  <si>
    <t>5180522154002459</t>
  </si>
  <si>
    <t>APD/B-dutyx/29-06-18/09:30</t>
  </si>
  <si>
    <t>1180522093002462</t>
  </si>
  <si>
    <t>APD/B-dutyx/29-06-18/12:45</t>
  </si>
  <si>
    <t>2180522124502463</t>
  </si>
  <si>
    <t>APD/B-dutyx/02-07-18/09:30</t>
  </si>
  <si>
    <t>1180522093002469</t>
  </si>
  <si>
    <t>APD/B-dutyx/03-07-18/12:45</t>
  </si>
  <si>
    <t>2180522124502477</t>
  </si>
  <si>
    <t>APD/B-dutyx/04-07-18/09:30</t>
  </si>
  <si>
    <t>1180522093002483</t>
  </si>
  <si>
    <t>APD/B-dutyx/05-07-18/09:30</t>
  </si>
  <si>
    <t>1180522093002490</t>
  </si>
  <si>
    <t>APD/B-dutyx/12-07-18/12:45</t>
  </si>
  <si>
    <t>2180522124502498</t>
  </si>
  <si>
    <t>APD/B-dutyx/13-07-18/12:45</t>
  </si>
  <si>
    <t>2180522124502505</t>
  </si>
  <si>
    <t>APD/B-dutyx/16-07-18/12:45</t>
  </si>
  <si>
    <t>2180522124502512</t>
  </si>
  <si>
    <t>APD/B-dutyx/16-07-18/14:15</t>
  </si>
  <si>
    <t>3180522141502513</t>
  </si>
  <si>
    <t>APD/B-dutyx/19-07-18/12:45</t>
  </si>
  <si>
    <t>2180522124502519</t>
  </si>
  <si>
    <t>APD/B-dutyx/23-07-18/12:45</t>
  </si>
  <si>
    <t>2180522124502526</t>
  </si>
  <si>
    <t>APD/B-dutyx/24-07-18/12:45</t>
  </si>
  <si>
    <t>2180522124502533</t>
  </si>
  <si>
    <t>APD/B-dutyx/24-07-18/14:15</t>
  </si>
  <si>
    <t>3180522141502534</t>
  </si>
  <si>
    <t>APD/B-dutyx/24-07-18/15:15</t>
  </si>
  <si>
    <t>4180522151502535</t>
  </si>
  <si>
    <t>APD/B-dutyx/25-07-18/16:05</t>
  </si>
  <si>
    <t>6180522160502544</t>
  </si>
  <si>
    <t>APD/B-dutyx/30-07-18/15:15</t>
  </si>
  <si>
    <t>4180522151502549</t>
  </si>
  <si>
    <t>APD/B-dutyx/31-07-18/12:45</t>
  </si>
  <si>
    <t>2180522124502554</t>
  </si>
  <si>
    <t>APD/B-dutyx/01-08-18/12:45</t>
  </si>
  <si>
    <t>2180522124502561</t>
  </si>
  <si>
    <t>APD/B-dutyx/02-08-18/12:45</t>
  </si>
  <si>
    <t>2180522124502568</t>
  </si>
  <si>
    <t>APD/B-dutyx/03-08-18/09:30</t>
  </si>
  <si>
    <t>1180522093002574</t>
  </si>
  <si>
    <t>APD/B-dutyx/03-08-18/15:15</t>
  </si>
  <si>
    <t>4180522151502577</t>
  </si>
  <si>
    <t>APD/B-dutyx/03-08-18/15:40</t>
  </si>
  <si>
    <t>5180522154002578</t>
  </si>
  <si>
    <t>APD/B-dutyx/03-08-18/16:05</t>
  </si>
  <si>
    <t>6180522160502579</t>
  </si>
  <si>
    <t>APD/B-dutyx/08-08-18/09:30</t>
  </si>
  <si>
    <t>1180522093002581</t>
  </si>
  <si>
    <t>APD/B-dutyx/09-08-18/09:30</t>
  </si>
  <si>
    <t>1180522093002588</t>
  </si>
  <si>
    <t>APD/B-dutyx/09-08-18/12:45</t>
  </si>
  <si>
    <t>2180522124502589</t>
  </si>
  <si>
    <t>APD/B-dutyx/09-08-18/14:15</t>
  </si>
  <si>
    <t>3180522141502590</t>
  </si>
  <si>
    <t>APD/B-dutyx/10-08-18/09:30</t>
  </si>
  <si>
    <t>1180522093002595</t>
  </si>
  <si>
    <t>APD/B-dutyx/13-08-18/12:45</t>
  </si>
  <si>
    <t>2180522124502603</t>
  </si>
  <si>
    <t>APD/B-dutyx/14-08-18/09:30</t>
  </si>
  <si>
    <t>1180522093002609</t>
  </si>
  <si>
    <t>APD/B-dutyx/14-08-18/12:45</t>
  </si>
  <si>
    <t>2180522124502610</t>
  </si>
  <si>
    <t>APD/B-dutyx/21-08-18/12:45</t>
  </si>
  <si>
    <t>2180522124502617</t>
  </si>
  <si>
    <t>APD/B-dutyx/28-08-18/12:45</t>
  </si>
  <si>
    <t>2180522124502624</t>
  </si>
  <si>
    <t>APD/B-dutyx/29-08-18/12:45</t>
  </si>
  <si>
    <t>2180522124502631</t>
  </si>
  <si>
    <t>APD/B-dutyx/31-08-18/12:45</t>
  </si>
  <si>
    <t>2180522124502645</t>
  </si>
  <si>
    <t>APD/B-dutyx/31-08-18/15:40</t>
  </si>
  <si>
    <t>5180522154002648</t>
  </si>
  <si>
    <t>APD/B-dutyx/03-09-18/12:45</t>
  </si>
  <si>
    <t>2180522124502652</t>
  </si>
  <si>
    <t>APD/B-dutyx/10-09-18/12:45</t>
  </si>
  <si>
    <t>2180522124502659</t>
  </si>
  <si>
    <t>APD/B-dutyx/11-09-18/12:45</t>
  </si>
  <si>
    <t>2180522124502666</t>
  </si>
  <si>
    <t>APD/B-dutyx/12-09-18/09:30</t>
  </si>
  <si>
    <t>1180522093002672</t>
  </si>
  <si>
    <t>APD/B-dutyx/12-09-18/15:15</t>
  </si>
  <si>
    <t>4180522151502675</t>
  </si>
  <si>
    <t>APD/B-dutyx/17-09-18/09:30</t>
  </si>
  <si>
    <t>1180522093002679</t>
  </si>
  <si>
    <t>APD/B-dutyx/17-09-18/15:15</t>
  </si>
  <si>
    <t>4180522151502682</t>
  </si>
  <si>
    <t>APD/B-dutyx/17-09-18/15:40</t>
  </si>
  <si>
    <t>5180522154002683</t>
  </si>
  <si>
    <t>APD/B-dutyx/17-09-18/16:05</t>
  </si>
  <si>
    <t>6180522160502684</t>
  </si>
  <si>
    <t>APD/B-dutyx/18-09-18/09:30</t>
  </si>
  <si>
    <t>1180522093002686</t>
  </si>
  <si>
    <t>APD/B-dutyx/18-09-18/12:45</t>
  </si>
  <si>
    <t>2180522124502687</t>
  </si>
  <si>
    <t>APD/B-dutyx/19-09-18/12:45</t>
  </si>
  <si>
    <t>2180522124502694</t>
  </si>
  <si>
    <t>APD/B-dutyx/28-09-18/09:30</t>
  </si>
  <si>
    <t>1180522093002707</t>
  </si>
  <si>
    <t>APD/B-dutyx/01-10-18/12:45</t>
  </si>
  <si>
    <t>2180522124502715</t>
  </si>
  <si>
    <t>APD/B-dutyx/09-10-18/12:45</t>
  </si>
  <si>
    <t>2180522124502722</t>
  </si>
  <si>
    <t>APD/B-dutyx/11-10-18/14:15</t>
  </si>
  <si>
    <t>3180522141502730</t>
  </si>
  <si>
    <t>APD/B-dutyx/16-10-18/12:45</t>
  </si>
  <si>
    <t>2180522124502736</t>
  </si>
  <si>
    <t>APD/B-dutyx/18-10-18/12:45</t>
  </si>
  <si>
    <t>2180522124502743</t>
  </si>
  <si>
    <t>APD/B-dutyx/18-10-18/14:15</t>
  </si>
  <si>
    <t>3180522141502744</t>
  </si>
  <si>
    <t>APD/B-dutyx/18-10-18/15:15</t>
  </si>
  <si>
    <t>4180522151502745</t>
  </si>
  <si>
    <t>APD/B-dutyx/19-10-18/12:45</t>
  </si>
  <si>
    <t>2180522124502750</t>
  </si>
  <si>
    <t>APD/B-dutyx/29-10-18/09:30</t>
  </si>
  <si>
    <t>1180522093002756</t>
  </si>
  <si>
    <t>ALLIANCEAN/A-CGIRO</t>
  </si>
  <si>
    <t>AccountName</t>
  </si>
  <si>
    <t>AccountNumber</t>
  </si>
  <si>
    <t>ACCOUNTS</t>
  </si>
  <si>
    <t>FIRSTDIR-EXT</t>
  </si>
  <si>
    <t>SANTANDE-EXT</t>
  </si>
  <si>
    <t>SMILE-EXT</t>
  </si>
  <si>
    <t>NATIONWI-EXT</t>
  </si>
  <si>
    <t>THECOOP-EXT</t>
  </si>
  <si>
    <t>HALIFAX -EXT</t>
  </si>
  <si>
    <t>TSB -EXT</t>
  </si>
  <si>
    <t>BANKOFSC-EXT</t>
  </si>
  <si>
    <t>YORKSHIR-EXT</t>
  </si>
  <si>
    <t>LLOYDSBA-EXT</t>
  </si>
  <si>
    <t>HSBC -EXT</t>
  </si>
  <si>
    <t>RECON</t>
  </si>
  <si>
    <t>Adjustments/B-adj/14-01-10/17:00 (prev)</t>
  </si>
  <si>
    <t>0180524170000002</t>
  </si>
  <si>
    <t>Adjustments/A-adj/03-03-10/17:00 (prev)</t>
  </si>
  <si>
    <t>0180524170000003</t>
  </si>
  <si>
    <t>Adjustments/B-adj/15-03-10/17:00 (prev)</t>
  </si>
  <si>
    <t>0180524170000004</t>
  </si>
  <si>
    <t>Adjustments/A-adj/19-03-10/17:00 (prev)</t>
  </si>
  <si>
    <t>0180524170000005</t>
  </si>
  <si>
    <t>Adjustments/A-adj/22-03-10/17:00 (prev)</t>
  </si>
  <si>
    <t>0180524170000006</t>
  </si>
  <si>
    <t>Adjustments/B-adj/22-03-10/17:00 (prev)</t>
  </si>
  <si>
    <t>0180524170000007</t>
  </si>
  <si>
    <t>Adjustments/A-adj/15-04-10/17:00 (prev)</t>
  </si>
  <si>
    <t>0180524170000008</t>
  </si>
  <si>
    <t>Alliance &amp; Leicester/A-cgiro/04-01-10/17:00 (prev)</t>
  </si>
  <si>
    <t>0180524170000009</t>
  </si>
  <si>
    <t>Alliance &amp; Leicester/A-cgiro/05-01-10/17:00 (prev)</t>
  </si>
  <si>
    <t>0180524170000010</t>
  </si>
  <si>
    <t>Alliance &amp; Leicester/A-cgiro/06-01-10/17:00 (prev)</t>
  </si>
  <si>
    <t>0180524170000011</t>
  </si>
  <si>
    <t>Alliance &amp; Leicester/A-cgiro/07-01-10/17:00 (prev)</t>
  </si>
  <si>
    <t>0180524170000012</t>
  </si>
  <si>
    <t>Alliance &amp; Leicester/A-cgiro/08-01-10/17:00 (prev)</t>
  </si>
  <si>
    <t>0180524170000013</t>
  </si>
  <si>
    <t>Alliance &amp; Leicester/A-cgiro/11-01-10/17:00 (prev)</t>
  </si>
  <si>
    <t>0180524170000014</t>
  </si>
  <si>
    <t>Alliance &amp; Leicester/A-cgiro/12-01-10/17:00 (prev)</t>
  </si>
  <si>
    <t>0180524170000015</t>
  </si>
  <si>
    <t>Alliance &amp; Leicester/A-cgiro/13-01-10/17:00 (prev)</t>
  </si>
  <si>
    <t>0180524170000016</t>
  </si>
  <si>
    <t>Alliance &amp; Leicester/A-cgiro/14-01-10/17:00 (prev)</t>
  </si>
  <si>
    <t>0180524170000017</t>
  </si>
  <si>
    <t>Alliance &amp; Leicester/A-cgiro/15-01-10/17:00 (prev)</t>
  </si>
  <si>
    <t>0180524170000018</t>
  </si>
  <si>
    <t>Alliance &amp; Leicester/A-cgiro/18-01-10/17:00 (prev)</t>
  </si>
  <si>
    <t>0180524170000019</t>
  </si>
  <si>
    <t>Alliance &amp; Leicester/A-cgiro/19-01-10/17:00 (prev)</t>
  </si>
  <si>
    <t>0180524170000020</t>
  </si>
  <si>
    <t>Alliance &amp; Leicester/A-cgiro/20-01-10/17:00 (prev)</t>
  </si>
  <si>
    <t>0180524170000021</t>
  </si>
  <si>
    <t>Alliance &amp; Leicester/A-cgiro/21-01-10/17:00 (prev)</t>
  </si>
  <si>
    <t>0180524170000022</t>
  </si>
  <si>
    <t>Alliance &amp; Leicester/A-cgiro/22-01-10/17:00 (prev)</t>
  </si>
  <si>
    <t>0180524170000023</t>
  </si>
  <si>
    <t>Alliance &amp; Leicester/A-cgiro/25-01-10/17:00 (prev)</t>
  </si>
  <si>
    <t>0180524170000024</t>
  </si>
  <si>
    <t>Alliance &amp; Leicester/A-cgiro/26-01-10/17:00 (prev)</t>
  </si>
  <si>
    <t>0180524170000025</t>
  </si>
  <si>
    <t>Alliance &amp; Leicester/A-cgiro/27-01-10/17:00 (prev)</t>
  </si>
  <si>
    <t>0180524170000026</t>
  </si>
  <si>
    <t>Alliance &amp; Leicester/A-cgiro/28-01-10/17:00 (prev)</t>
  </si>
  <si>
    <t>0180524170000027</t>
  </si>
  <si>
    <t>Alliance &amp; Leicester/A-cgiro/29-01-10/17:00 (prev)</t>
  </si>
  <si>
    <t>0180524170000028</t>
  </si>
  <si>
    <t>Alliance &amp; Leicester/A-cgiro/01-02-10/17:00 (prev)</t>
  </si>
  <si>
    <t>0180524170000029</t>
  </si>
  <si>
    <t>Alliance &amp; Leicester/A-cgiro/02-02-10/17:00 (prev)</t>
  </si>
  <si>
    <t>0180524170000030</t>
  </si>
  <si>
    <t>Alliance &amp; Leicester/A-cgiro/03-02-10/17:00 (prev)</t>
  </si>
  <si>
    <t>0180524170000031</t>
  </si>
  <si>
    <t>Alliance &amp; Leicester/A-cgiro/04-02-10/17:00 (prev)</t>
  </si>
  <si>
    <t>0180524170000032</t>
  </si>
  <si>
    <t>Alliance &amp; Leicester/A-cgiro/05-02-10/17:00 (prev)</t>
  </si>
  <si>
    <t>0180524170000033</t>
  </si>
  <si>
    <t>Alliance &amp; Leicester/A-cgiro/08-02-10/17:00 (prev)</t>
  </si>
  <si>
    <t>0180524170000034</t>
  </si>
  <si>
    <t>Alliance &amp; Leicester/A-cgiro/09-02-10/17:00 (prev)</t>
  </si>
  <si>
    <t>0180524170000035</t>
  </si>
  <si>
    <t>Alliance &amp; Leicester/A-cgiro/10-02-10/17:00 (prev)</t>
  </si>
  <si>
    <t>0180524170000036</t>
  </si>
  <si>
    <t>Alliance &amp; Leicester/A-cgiro/11-02-10/17:00 (prev)</t>
  </si>
  <si>
    <t>0180524170000037</t>
  </si>
  <si>
    <t>Alliance &amp; Leicester/A-cgiro/12-02-10/17:00 (prev)</t>
  </si>
  <si>
    <t>0180524170000038</t>
  </si>
  <si>
    <t>Alliance &amp; Leicester/A-cgiro/15-02-10/17:00 (prev)</t>
  </si>
  <si>
    <t>0180524170000039</t>
  </si>
  <si>
    <t>Alliance &amp; Leicester/A-cgiro/16-02-10/17:00 (prev)</t>
  </si>
  <si>
    <t>0180524170000040</t>
  </si>
  <si>
    <t>Alliance &amp; Leicester/A-cgiro/17-02-10/17:00 (prev)</t>
  </si>
  <si>
    <t>0180524170000041</t>
  </si>
  <si>
    <t>Alliance &amp; Leicester/A-cgiro/18-02-10/17:00 (prev)</t>
  </si>
  <si>
    <t>0180524170000042</t>
  </si>
  <si>
    <t>Alliance &amp; Leicester/A-cgiro/19-02-10/17:00 (prev)</t>
  </si>
  <si>
    <t>0180524170000043</t>
  </si>
  <si>
    <t>Alliance &amp; Leicester/A-cgiro/22-02-10/17:00 (prev)</t>
  </si>
  <si>
    <t>0180524170000044</t>
  </si>
  <si>
    <t>Alliance &amp; Leicester/A-cgiro/23-02-10/17:00 (prev)</t>
  </si>
  <si>
    <t>0180524170000045</t>
  </si>
  <si>
    <t>Alliance &amp; Leicester/A-cgiro/24-02-10/17:00 (prev)</t>
  </si>
  <si>
    <t>0180524170000046</t>
  </si>
  <si>
    <t>Alliance &amp; Leicester/A-cgiro/25-02-10/17:00 (prev)</t>
  </si>
  <si>
    <t>0180524170000047</t>
  </si>
  <si>
    <t>Alliance &amp; Leicester/A-cgiro/26-02-10/17:00 (prev)</t>
  </si>
  <si>
    <t>0180524170000048</t>
  </si>
  <si>
    <t>Alliance &amp; Leicester/A-cgiro/01-03-10/17:00 (prev)</t>
  </si>
  <si>
    <t>0180524170000049</t>
  </si>
  <si>
    <t>Alliance &amp; Leicester/A-cgiro/02-03-10/17:00 (prev)</t>
  </si>
  <si>
    <t>0180524170000050</t>
  </si>
  <si>
    <t>Alliance &amp; Leicester/A-cgiro/03-03-10/17:00 (prev)</t>
  </si>
  <si>
    <t>0180524170000051</t>
  </si>
  <si>
    <t>Alliance &amp; Leicester/A-cgiro/04-03-10/17:00 (prev)</t>
  </si>
  <si>
    <t>0180524170000052</t>
  </si>
  <si>
    <t>Alliance &amp; Leicester/A-cgiro/05-03-10/17:00 (prev)</t>
  </si>
  <si>
    <t>0180524170000053</t>
  </si>
  <si>
    <t>Alliance &amp; Leicester/A-cgiro/08-03-10/17:00 (prev)</t>
  </si>
  <si>
    <t>0180524170000054</t>
  </si>
  <si>
    <t>Alliance &amp; Leicester/A-cgiro/09-03-10/17:00 (prev)</t>
  </si>
  <si>
    <t>0180524170000055</t>
  </si>
  <si>
    <t>Alliance &amp; Leicester/A-cgiro/10-03-10/17:00 (prev)</t>
  </si>
  <si>
    <t>0180524170000056</t>
  </si>
  <si>
    <t>Alliance &amp; Leicester/A-cgiro/11-03-10/17:00 (prev)</t>
  </si>
  <si>
    <t>0180524170000057</t>
  </si>
  <si>
    <t>Alliance &amp; Leicester/A-cgiro/12-03-10/17:00 (prev)</t>
  </si>
  <si>
    <t>0180524170000058</t>
  </si>
  <si>
    <t>Alliance &amp; Leicester/A-cgiro/15-03-10/17:00 (prev)</t>
  </si>
  <si>
    <t>0180524170000059</t>
  </si>
  <si>
    <t>Alliance &amp; Leicester/A-cgiro/16-03-10/17:00 (prev)</t>
  </si>
  <si>
    <t>0180524170000060</t>
  </si>
  <si>
    <t>Alliance &amp; Leicester/A-cgiro/17-03-10/17:00 (prev)</t>
  </si>
  <si>
    <t>0180524170000061</t>
  </si>
  <si>
    <t>Alliance &amp; Leicester/A-cgiro/18-03-10/17:00 (prev)</t>
  </si>
  <si>
    <t>0180524170000062</t>
  </si>
  <si>
    <t>Alliance &amp; Leicester/A-cgiro/19-03-10/17:00 (prev)</t>
  </si>
  <si>
    <t>0180524170000063</t>
  </si>
  <si>
    <t>Alliance &amp; Leicester/A-cgiro/22-03-10/17:00 (prev)</t>
  </si>
  <si>
    <t>0180524170000064</t>
  </si>
  <si>
    <t>Alliance &amp; Leicester/A-cgiro/23-03-10/17:00 (prev)</t>
  </si>
  <si>
    <t>0180524170000065</t>
  </si>
  <si>
    <t>Alliance &amp; Leicester/A-cgiro/24-03-10/17:00 (prev)</t>
  </si>
  <si>
    <t>0180524170000066</t>
  </si>
  <si>
    <t>Alliance &amp; Leicester/A-cgiro/25-03-10/17:00 (prev)</t>
  </si>
  <si>
    <t>0180524170000067</t>
  </si>
  <si>
    <t>Alliance &amp; Leicester/A-cgiro/26-03-10/17:00 (prev)</t>
  </si>
  <si>
    <t>0180524170000068</t>
  </si>
  <si>
    <t>Alliance &amp; Leicester/A-cgiro/29-03-10/17:00 (prev)</t>
  </si>
  <si>
    <t>0180524170000069</t>
  </si>
  <si>
    <t>Alliance &amp; Leicester/A-cgiro/30-03-10/17:00 (prev)</t>
  </si>
  <si>
    <t>0180524170000070</t>
  </si>
  <si>
    <t>Alliance &amp; Leicester/A-cgiro/31-03-10/17:00 (prev)</t>
  </si>
  <si>
    <t>0180524170000071</t>
  </si>
  <si>
    <t>Alliance &amp; Leicester/A-cgiro/01-04-10/17:00 (prev)</t>
  </si>
  <si>
    <t>0180524170000072</t>
  </si>
  <si>
    <t>Alliance &amp; Leicester/A-cgiro/06-04-10/17:00 (prev)</t>
  </si>
  <si>
    <t>0180524170000073</t>
  </si>
  <si>
    <t>Alliance &amp; Leicester/A-cgiro/07-04-10/17:00 (prev)</t>
  </si>
  <si>
    <t>0180524170000074</t>
  </si>
  <si>
    <t>Alliance &amp; Leicester/A-cgiro/08-04-10/17:00 (prev)</t>
  </si>
  <si>
    <t>0180524170000075</t>
  </si>
  <si>
    <t>Alliance &amp; Leicester/A-cgiro/09-04-10/17:00 (prev)</t>
  </si>
  <si>
    <t>0180524170000076</t>
  </si>
  <si>
    <t>Alliance &amp; Leicester/A-cgiro/12-04-10/17:00 (prev)</t>
  </si>
  <si>
    <t>0180524170000077</t>
  </si>
  <si>
    <t>Alliance &amp; Leicester/A-cgiro/13-04-10/17:00 (prev)</t>
  </si>
  <si>
    <t>0180524170000078</t>
  </si>
  <si>
    <t>Alliance &amp; Leicester/A-cgiro/14-04-10/17:00 (prev)</t>
  </si>
  <si>
    <t>0180524170000079</t>
  </si>
  <si>
    <t>Alliance &amp; Leicester/A-cgiro/15-04-10/17:00 (prev)</t>
  </si>
  <si>
    <t>0180524170000080</t>
  </si>
  <si>
    <t>Alliance &amp; Leicester/A-cgiro/16-04-10/17:00 (prev)</t>
  </si>
  <si>
    <t>0180524170000081</t>
  </si>
  <si>
    <t>Alliance &amp; Leicester/A-cgiro/19-04-10/17:00 (prev)</t>
  </si>
  <si>
    <t>0180524170000082</t>
  </si>
  <si>
    <t>Alliance &amp; Leicester/A-cgiro/20-04-10/17:00 (prev)</t>
  </si>
  <si>
    <t>0180524170000083</t>
  </si>
  <si>
    <t>Alliance &amp; Leicester/A-cgiro/21-04-10/17:00 (prev)</t>
  </si>
  <si>
    <t>0180524170000084</t>
  </si>
  <si>
    <t>Alliance &amp; Leicester/A-cgiro/22-04-10/17:00 (prev)</t>
  </si>
  <si>
    <t>0180524170000085</t>
  </si>
  <si>
    <t>Alliance &amp; Leicester/A-cgiro/23-04-10/17:00 (prev)</t>
  </si>
  <si>
    <t>0180524170000086</t>
  </si>
  <si>
    <t>Alliance &amp; Leicester/A-cgiro/26-04-10/17:00 (prev)</t>
  </si>
  <si>
    <t>0180524170000087</t>
  </si>
  <si>
    <t>Alliance &amp; Leicester/A-cgiro/27-04-10/17:00 (prev)</t>
  </si>
  <si>
    <t>0180524170000088</t>
  </si>
  <si>
    <t>Alliance &amp; Leicester/A-cgiro/28-04-10/17:00 (prev)</t>
  </si>
  <si>
    <t>0180524170000089</t>
  </si>
  <si>
    <t>Alliance &amp; Leicester/A-cgiro/29-04-10/17:00 (prev)</t>
  </si>
  <si>
    <t>0180524170000090</t>
  </si>
  <si>
    <t>Alliance &amp; Leicester/A-cgiro/30-04-10/17:00 (prev)</t>
  </si>
  <si>
    <t>0180524170000091</t>
  </si>
  <si>
    <t>BACS/D-p1bac/14-01-10/17:00 (prev)</t>
  </si>
  <si>
    <t>0180524170000092</t>
  </si>
  <si>
    <t>BACS/D-p1bac/15-01-10/17:00 (prev)</t>
  </si>
  <si>
    <t>0180524170000093</t>
  </si>
  <si>
    <t>BACS/D-p1bac/15-04-10/17:00 (prev)</t>
  </si>
  <si>
    <t>0180524170000094</t>
  </si>
  <si>
    <t>BACS/D-p1bac/30-04-10/17:00 (prev)</t>
  </si>
  <si>
    <t>0180524170000095</t>
  </si>
  <si>
    <t>BACS receipts/A-bacs/04-01-10/17:00 (prev)</t>
  </si>
  <si>
    <t>0180524170000096</t>
  </si>
  <si>
    <t>BACS receipts/B-bacs/04-01-10/17:00 (prev)</t>
  </si>
  <si>
    <t>0180524170000097</t>
  </si>
  <si>
    <t>BACS receipts/A-bacs/05-01-10/17:00 (prev)</t>
  </si>
  <si>
    <t>0180524170000098</t>
  </si>
  <si>
    <t>BACS receipts/B-bacs/05-01-10/17:00 (prev)</t>
  </si>
  <si>
    <t>0180524170000099</t>
  </si>
  <si>
    <t>BACS receipts/A-bacs/06-01-10/17:00 (prev)</t>
  </si>
  <si>
    <t>0180524170000100</t>
  </si>
  <si>
    <t>BACS receipts/B-bacs/06-01-10/17:00 (prev)</t>
  </si>
  <si>
    <t>0180524170000101</t>
  </si>
  <si>
    <t>BACS receipts/A-bacs/07-01-10/17:00 (prev)</t>
  </si>
  <si>
    <t>0180524170000102</t>
  </si>
  <si>
    <t>BACS receipts/B-bacs/07-01-10/17:00 (prev)</t>
  </si>
  <si>
    <t>0180524170000103</t>
  </si>
  <si>
    <t>BACS receipts/A-bacs/08-01-10/17:00 (prev)</t>
  </si>
  <si>
    <t>0180524170000104</t>
  </si>
  <si>
    <t>BACS receipts/B-bacs/08-01-10/17:00 (prev)</t>
  </si>
  <si>
    <t>0180524170000105</t>
  </si>
  <si>
    <t>BACS receipts/A-bacs/11-01-10/17:00 (prev)</t>
  </si>
  <si>
    <t>0180524170000106</t>
  </si>
  <si>
    <t>BACS receipts/B-bacs/11-01-10/17:00 (prev)</t>
  </si>
  <si>
    <t>0180524170000107</t>
  </si>
  <si>
    <t>BACS receipts/A-bacs/12-01-10/17:00 (prev)</t>
  </si>
  <si>
    <t>0180524170000108</t>
  </si>
  <si>
    <t>BACS receipts/B-bacs/12-01-10/17:00 (prev)</t>
  </si>
  <si>
    <t>0180524170000109</t>
  </si>
  <si>
    <t>BACS receipts/A-bacs/13-01-10/17:00 (prev)</t>
  </si>
  <si>
    <t>0180524170000110</t>
  </si>
  <si>
    <t>BACS receipts/B-bacs/13-01-10/17:00 (prev)</t>
  </si>
  <si>
    <t>0180524170000111</t>
  </si>
  <si>
    <t>BACS receipts/A-bacs/14-01-10/17:00 (prev)</t>
  </si>
  <si>
    <t>0180524170000112</t>
  </si>
  <si>
    <t>BACS receipts/B-bacs/14-01-10/17:00 (prev)</t>
  </si>
  <si>
    <t>0180524170000113</t>
  </si>
  <si>
    <t>BACS receipts/A-bacs/15-01-10/17:00 (prev)</t>
  </si>
  <si>
    <t>0180524170000114</t>
  </si>
  <si>
    <t>BACS receipts/B-bacs/15-01-10/17:00 (prev)</t>
  </si>
  <si>
    <t>0180524170000115</t>
  </si>
  <si>
    <t>BACS receipts/A-bacs/18-01-10/17:00 (prev)</t>
  </si>
  <si>
    <t>0180524170000116</t>
  </si>
  <si>
    <t>BACS receipts/B-bacs/18-01-10/17:00 (prev)</t>
  </si>
  <si>
    <t>0180524170000117</t>
  </si>
  <si>
    <t>BACS receipts/A-bacs/19-01-10/17:00 (prev)</t>
  </si>
  <si>
    <t>0180524170000118</t>
  </si>
  <si>
    <t>BACS receipts/B-bacs/19-01-10/17:00 (prev)</t>
  </si>
  <si>
    <t>0180524170000119</t>
  </si>
  <si>
    <t>BACS receipts/A-bacs/20-01-10/17:00 (prev)</t>
  </si>
  <si>
    <t>0180524170000120</t>
  </si>
  <si>
    <t>BACS receipts/B-bacs/20-01-10/17:00 (prev)</t>
  </si>
  <si>
    <t>0180524170000121</t>
  </si>
  <si>
    <t>BACS receipts/A-bacs/21-01-10/17:00 (prev)</t>
  </si>
  <si>
    <t>0180524170000122</t>
  </si>
  <si>
    <t>BACS receipts/B-bacs/21-01-10/17:00 (prev)</t>
  </si>
  <si>
    <t>0180524170000123</t>
  </si>
  <si>
    <t>BACS receipts/A-bacs/22-01-10/17:00 (prev)</t>
  </si>
  <si>
    <t>0180524170000124</t>
  </si>
  <si>
    <t>BACS receipts/B-bacs/22-01-10/17:00 (prev)</t>
  </si>
  <si>
    <t>0180524170000125</t>
  </si>
  <si>
    <t>BACS receipts/A-bacs/25-01-10/17:00 (prev)</t>
  </si>
  <si>
    <t>0180524170000126</t>
  </si>
  <si>
    <t>BACS receipts/B-bacs/25-01-10/17:00 (prev)</t>
  </si>
  <si>
    <t>0180524170000127</t>
  </si>
  <si>
    <t>BACS receipts/A-bacs/26-01-10/17:00 (prev)</t>
  </si>
  <si>
    <t>0180524170000128</t>
  </si>
  <si>
    <t>BACS receipts/B-bacs/26-01-10/17:00 (prev)</t>
  </si>
  <si>
    <t>0180524170000129</t>
  </si>
  <si>
    <t>BACS receipts/A-bacs/27-01-10/17:00 (prev)</t>
  </si>
  <si>
    <t>0180524170000130</t>
  </si>
  <si>
    <t>BACS receipts/B-bacs/27-01-10/17:00 (prev)</t>
  </si>
  <si>
    <t>0180524170000131</t>
  </si>
  <si>
    <t>BACS receipts/A-bacs/28-01-10/17:00 (prev)</t>
  </si>
  <si>
    <t>0180524170000132</t>
  </si>
  <si>
    <t>BACS receipts/B-bacs/28-01-10/17:00 (prev)</t>
  </si>
  <si>
    <t>0180524170000133</t>
  </si>
  <si>
    <t>BACS receipts/A-bacs/29-01-10/17:00 (prev)</t>
  </si>
  <si>
    <t>0180524170000134</t>
  </si>
  <si>
    <t>BACS receipts/B-bacs/29-01-10/17:00 (prev)</t>
  </si>
  <si>
    <t>0180524170000135</t>
  </si>
  <si>
    <t>BACS receipts/A-bacs/01-02-10/17:00 (prev)</t>
  </si>
  <si>
    <t>0180524170000136</t>
  </si>
  <si>
    <t>BACS receipts/B-bacs/01-02-10/17:00 (prev)</t>
  </si>
  <si>
    <t>0180524170000137</t>
  </si>
  <si>
    <t>BACS receipts/A-bacs/02-02-10/17:00 (prev)</t>
  </si>
  <si>
    <t>0180524170000138</t>
  </si>
  <si>
    <t>BACS receipts/B-bacs/02-02-10/17:00 (prev)</t>
  </si>
  <si>
    <t>0180524170000139</t>
  </si>
  <si>
    <t>BACS receipts/A-bacs/03-02-10/17:00 (prev)</t>
  </si>
  <si>
    <t>0180524170000140</t>
  </si>
  <si>
    <t>BACS receipts/B-bacs/03-02-10/17:00 (prev)</t>
  </si>
  <si>
    <t>0180524170000141</t>
  </si>
  <si>
    <t>BACS receipts/A-bacs/04-02-10/17:00 (prev)</t>
  </si>
  <si>
    <t>0180524170000142</t>
  </si>
  <si>
    <t>BACS receipts/B-bacs/04-02-10/17:00 (prev)</t>
  </si>
  <si>
    <t>0180524170000143</t>
  </si>
  <si>
    <t>BACS receipts/A-bacs/05-02-10/17:00 (prev)</t>
  </si>
  <si>
    <t>0180524170000144</t>
  </si>
  <si>
    <t>BACS receipts/B-bacs/05-02-10/17:00 (prev)</t>
  </si>
  <si>
    <t>0180524170000145</t>
  </si>
  <si>
    <t>BACS receipts/A-bacs/08-02-10/17:00 (prev)</t>
  </si>
  <si>
    <t>0180524170000146</t>
  </si>
  <si>
    <t>BACS receipts/B-bacs/08-02-10/17:00 (prev)</t>
  </si>
  <si>
    <t>0180524170000147</t>
  </si>
  <si>
    <t>BACS receipts/A-bacs/09-02-10/17:00 (prev)</t>
  </si>
  <si>
    <t>0180524170000148</t>
  </si>
  <si>
    <t>BACS receipts/B-bacs/09-02-10/17:00 (prev)</t>
  </si>
  <si>
    <t>0180524170000149</t>
  </si>
  <si>
    <t>BACS receipts/A-bacs/10-02-10/17:00 (prev)</t>
  </si>
  <si>
    <t>0180524170000150</t>
  </si>
  <si>
    <t>BACS receipts/B-bacs/10-02-10/17:00 (prev)</t>
  </si>
  <si>
    <t>0180524170000151</t>
  </si>
  <si>
    <t>BACS receipts/A-bacs/11-02-10/17:00 (prev)</t>
  </si>
  <si>
    <t>0180524170000152</t>
  </si>
  <si>
    <t>BACS receipts/B-bacs/11-02-10/17:00 (prev)</t>
  </si>
  <si>
    <t>0180524170000153</t>
  </si>
  <si>
    <t>BACS receipts/A-bacs/12-02-10/17:00 (prev)</t>
  </si>
  <si>
    <t>0180524170000154</t>
  </si>
  <si>
    <t>BACS receipts/B-bacs/12-02-10/17:00 (prev)</t>
  </si>
  <si>
    <t>0180524170000155</t>
  </si>
  <si>
    <t>BACS receipts/A-bacs/15-02-10/17:00 (prev)</t>
  </si>
  <si>
    <t>0180524170000156</t>
  </si>
  <si>
    <t>BACS receipts/B-bacs/15-02-10/17:00 (prev)</t>
  </si>
  <si>
    <t>0180524170000157</t>
  </si>
  <si>
    <t>BACS receipts/A-bacs/16-02-10/17:00 (prev)</t>
  </si>
  <si>
    <t>0180524170000158</t>
  </si>
  <si>
    <t>BACS receipts/B-bacs/16-02-10/17:00 (prev)</t>
  </si>
  <si>
    <t>0180524170000159</t>
  </si>
  <si>
    <t>BACS receipts/A-bacs/17-02-10/17:00 (prev)</t>
  </si>
  <si>
    <t>0180524170000160</t>
  </si>
  <si>
    <t>BACS receipts/B-bacs/17-02-10/17:00 (prev)</t>
  </si>
  <si>
    <t>0180524170000161</t>
  </si>
  <si>
    <t>BACS receipts/A-bacs/18-02-10/17:00 (prev)</t>
  </si>
  <si>
    <t>0180524170000162</t>
  </si>
  <si>
    <t>BACS receipts/B-bacs/18-02-10/17:00 (prev)</t>
  </si>
  <si>
    <t>0180524170000163</t>
  </si>
  <si>
    <t>BACS receipts/A-bacs/19-02-10/17:00 (prev)</t>
  </si>
  <si>
    <t>0180524170000164</t>
  </si>
  <si>
    <t>BACS receipts/B-bacs/19-02-10/17:00 (prev)</t>
  </si>
  <si>
    <t>0180524170000165</t>
  </si>
  <si>
    <t>BACS receipts/A-bacs/22-02-10/17:00 (prev)</t>
  </si>
  <si>
    <t>0180524170000166</t>
  </si>
  <si>
    <t>BACS receipts/B-bacs/22-02-10/17:00 (prev)</t>
  </si>
  <si>
    <t>0180524170000167</t>
  </si>
  <si>
    <t>BACS receipts/A-bacs/23-02-10/17:00 (prev)</t>
  </si>
  <si>
    <t>0180524170000168</t>
  </si>
  <si>
    <t>BACS receipts/B-bacs/23-02-10/17:00 (prev)</t>
  </si>
  <si>
    <t>0180524170000169</t>
  </si>
  <si>
    <t>BACS receipts/A-bacs/24-02-10/17:00 (prev)</t>
  </si>
  <si>
    <t>0180524170000170</t>
  </si>
  <si>
    <t>BACS receipts/B-bacs/24-02-10/17:00 (prev)</t>
  </si>
  <si>
    <t>0180524170000171</t>
  </si>
  <si>
    <t>BACS receipts/A-bacs/25-02-10/17:00 (prev)</t>
  </si>
  <si>
    <t>0180524170000172</t>
  </si>
  <si>
    <t>BACS receipts/B-bacs/25-02-10/17:00 (prev)</t>
  </si>
  <si>
    <t>0180524170000173</t>
  </si>
  <si>
    <t>BACS receipts/A-bacs/26-02-10/17:00 (prev)</t>
  </si>
  <si>
    <t>0180524170000174</t>
  </si>
  <si>
    <t>BACS receipts/B-bacs/26-02-10/17:00 (prev)</t>
  </si>
  <si>
    <t>0180524170000175</t>
  </si>
  <si>
    <t>BACS receipts/A-bacs/01-03-10/17:00 (prev)</t>
  </si>
  <si>
    <t>0180524170000176</t>
  </si>
  <si>
    <t>BACS receipts/B-bacs/01-03-10/17:00 (prev)</t>
  </si>
  <si>
    <t>0180524170000177</t>
  </si>
  <si>
    <t>BACS receipts/A-bacs/02-03-10/17:00 (prev)</t>
  </si>
  <si>
    <t>0180524170000178</t>
  </si>
  <si>
    <t>BACS receipts/B-bacs/02-03-10/17:00 (prev)</t>
  </si>
  <si>
    <t>0180524170000179</t>
  </si>
  <si>
    <t>BACS receipts/A-bacs/03-03-10/17:00 (prev)</t>
  </si>
  <si>
    <t>0180524170000180</t>
  </si>
  <si>
    <t>BACS receipts/B-bacs/03-03-10/17:00 (prev)</t>
  </si>
  <si>
    <t>0180524170000181</t>
  </si>
  <si>
    <t>BACS receipts/A-bacs/04-03-10/17:00 (prev)</t>
  </si>
  <si>
    <t>0180524170000182</t>
  </si>
  <si>
    <t>BACS receipts/B-bacs/04-03-10/17:00 (prev)</t>
  </si>
  <si>
    <t>0180524170000183</t>
  </si>
  <si>
    <t>BACS receipts/A-bacs/05-03-10/17:00 (prev)</t>
  </si>
  <si>
    <t>0180524170000184</t>
  </si>
  <si>
    <t>BACS receipts/B-bacs/05-03-10/17:00 (prev)</t>
  </si>
  <si>
    <t>0180524170000185</t>
  </si>
  <si>
    <t>BACS receipts/A-bacs/08-03-10/17:00 (prev)</t>
  </si>
  <si>
    <t>0180524170000186</t>
  </si>
  <si>
    <t>BACS receipts/B-bacs/08-03-10/17:00 (prev)</t>
  </si>
  <si>
    <t>0180524170000187</t>
  </si>
  <si>
    <t>BACS receipts/A-bacs/09-03-10/17:00 (prev)</t>
  </si>
  <si>
    <t>0180524170000188</t>
  </si>
  <si>
    <t>BACS receipts/B-bacs/09-03-10/17:00 (prev)</t>
  </si>
  <si>
    <t>0180524170000189</t>
  </si>
  <si>
    <t>BACS receipts/A-bacs/10-03-10/17:00 (prev)</t>
  </si>
  <si>
    <t>0180524170000190</t>
  </si>
  <si>
    <t>BACS receipts/B-bacs/10-03-10/17:00 (prev)</t>
  </si>
  <si>
    <t>0180524170000191</t>
  </si>
  <si>
    <t>BACS receipts/A-bacs/11-03-10/17:00 (prev)</t>
  </si>
  <si>
    <t>0180524170000192</t>
  </si>
  <si>
    <t>BACS receipts/B-bacs/11-03-10/17:00 (prev)</t>
  </si>
  <si>
    <t>0180524170000193</t>
  </si>
  <si>
    <t>BACS receipts/A-bacs/12-03-10/17:00 (prev)</t>
  </si>
  <si>
    <t>0180524170000194</t>
  </si>
  <si>
    <t>BACS receipts/B-bacs/12-03-10/17:00 (prev)</t>
  </si>
  <si>
    <t>0180524170000195</t>
  </si>
  <si>
    <t>BACS receipts/A-bacs/15-03-10/17:00 (prev)</t>
  </si>
  <si>
    <t>0180524170000196</t>
  </si>
  <si>
    <t>BACS receipts/B-bacs/15-03-10/17:00 (prev)</t>
  </si>
  <si>
    <t>0180524170000197</t>
  </si>
  <si>
    <t>BACS receipts/A-bacs/16-03-10/17:00 (prev)</t>
  </si>
  <si>
    <t>0180524170000198</t>
  </si>
  <si>
    <t>BACS receipts/B-bacs/16-03-10/17:00 (prev)</t>
  </si>
  <si>
    <t>0180524170000199</t>
  </si>
  <si>
    <t>BACS receipts/A-bacs/17-03-10/17:00 (prev)</t>
  </si>
  <si>
    <t>0180524170000200</t>
  </si>
  <si>
    <t>BACS receipts/B-bacs/17-03-10/17:00 (prev)</t>
  </si>
  <si>
    <t>0180524170000201</t>
  </si>
  <si>
    <t>BACS receipts/A-bacs/18-03-10/17:00 (prev)</t>
  </si>
  <si>
    <t>0180524170000202</t>
  </si>
  <si>
    <t>BACS receipts/B-bacs/18-03-10/17:00 (prev)</t>
  </si>
  <si>
    <t>0180524170000203</t>
  </si>
  <si>
    <t>BACS receipts/A-bacs/19-03-10/17:00 (prev)</t>
  </si>
  <si>
    <t>0180524170000204</t>
  </si>
  <si>
    <t>BACS receipts/B-bacs/19-03-10/17:00 (prev)</t>
  </si>
  <si>
    <t>0180524170000205</t>
  </si>
  <si>
    <t>BACS receipts/A-bacs/22-03-10/17:00 (prev)</t>
  </si>
  <si>
    <t>0180524170000206</t>
  </si>
  <si>
    <t>BACS receipts/B-bacs/22-03-10/17:00 (prev)</t>
  </si>
  <si>
    <t>0180524170000207</t>
  </si>
  <si>
    <t>BACS receipts/A-bacs/23-03-10/17:00 (prev)</t>
  </si>
  <si>
    <t>0180524170000208</t>
  </si>
  <si>
    <t>BACS receipts/B-bacs/23-03-10/17:00 (prev)</t>
  </si>
  <si>
    <t>0180524170000209</t>
  </si>
  <si>
    <t>BACS receipts/A-bacs/24-03-10/17:00 (prev)</t>
  </si>
  <si>
    <t>0180524170000210</t>
  </si>
  <si>
    <t>BACS receipts/B-bacs/24-03-10/17:00 (prev)</t>
  </si>
  <si>
    <t>0180524170000211</t>
  </si>
  <si>
    <t>BACS receipts/A-bacs/25-03-10/17:00 (prev)</t>
  </si>
  <si>
    <t>0180524170000212</t>
  </si>
  <si>
    <t>BACS receipts/B-bacs/25-03-10/17:00 (prev)</t>
  </si>
  <si>
    <t>0180524170000213</t>
  </si>
  <si>
    <t>BACS receipts/A-bacs/26-03-10/17:00 (prev)</t>
  </si>
  <si>
    <t>0180524170000214</t>
  </si>
  <si>
    <t>BACS receipts/B-bacs/26-03-10/17:00 (prev)</t>
  </si>
  <si>
    <t>0180524170000215</t>
  </si>
  <si>
    <t>BACS receipts/A-bacs/29-03-10/17:00 (prev)</t>
  </si>
  <si>
    <t>0180524170000216</t>
  </si>
  <si>
    <t>BACS receipts/B-bacs/29-03-10/17:00 (prev)</t>
  </si>
  <si>
    <t>0180524170000217</t>
  </si>
  <si>
    <t>BACS receipts/A-bacs/30-03-10/17:00 (prev)</t>
  </si>
  <si>
    <t>0180524170000218</t>
  </si>
  <si>
    <t>BACS receipts/B-bacs/30-03-10/17:00 (prev)</t>
  </si>
  <si>
    <t>0180524170000219</t>
  </si>
  <si>
    <t>BACS receipts/A-bacs/31-03-10/17:00 (prev)</t>
  </si>
  <si>
    <t>0180524170000220</t>
  </si>
  <si>
    <t>BACS receipts/B-bacs/31-03-10/17:00 (prev)</t>
  </si>
  <si>
    <t>0180524170000221</t>
  </si>
  <si>
    <t>BACS receipts/A-bacs/01-04-10/17:00 (prev)</t>
  </si>
  <si>
    <t>0180524170000222</t>
  </si>
  <si>
    <t>BACS receipts/B-bacs/01-04-10/17:00 (prev)</t>
  </si>
  <si>
    <t>0180524170000223</t>
  </si>
  <si>
    <t>BACS receipts/A-bacs/06-04-10/17:00 (prev)</t>
  </si>
  <si>
    <t>0180524170000224</t>
  </si>
  <si>
    <t>BACS receipts/B-bacs/06-04-10/17:00 (prev)</t>
  </si>
  <si>
    <t>0180524170000225</t>
  </si>
  <si>
    <t>BACS receipts/A-bacs/07-04-10/17:00 (prev)</t>
  </si>
  <si>
    <t>0180524170000226</t>
  </si>
  <si>
    <t>BACS receipts/B-bacs/07-04-10/17:00 (prev)</t>
  </si>
  <si>
    <t>0180524170000227</t>
  </si>
  <si>
    <t>BACS receipts/A-bacs/08-04-10/17:00 (prev)</t>
  </si>
  <si>
    <t>0180524170000228</t>
  </si>
  <si>
    <t>BACS receipts/B-bacs/08-04-10/17:00 (prev)</t>
  </si>
  <si>
    <t>0180524170000229</t>
  </si>
  <si>
    <t>BACS receipts/A-bacs/09-04-10/17:00 (prev)</t>
  </si>
  <si>
    <t>0180524170000230</t>
  </si>
  <si>
    <t>BACS receipts/B-bacs/09-04-10/17:00 (prev)</t>
  </si>
  <si>
    <t>0180524170000231</t>
  </si>
  <si>
    <t>BACS receipts/A-bacs/12-04-10/17:00 (prev)</t>
  </si>
  <si>
    <t>0180524170000232</t>
  </si>
  <si>
    <t>BACS receipts/B-bacs/12-04-10/17:00 (prev)</t>
  </si>
  <si>
    <t>0180524170000233</t>
  </si>
  <si>
    <t>BACS receipts/A-bacs/13-04-10/17:00 (prev)</t>
  </si>
  <si>
    <t>0180524170000234</t>
  </si>
  <si>
    <t>BACS receipts/B-bacs/13-04-10/17:00 (prev)</t>
  </si>
  <si>
    <t>0180524170000235</t>
  </si>
  <si>
    <t>BACS receipts/A-bacs/14-04-10/17:00 (prev)</t>
  </si>
  <si>
    <t>0180524170000236</t>
  </si>
  <si>
    <t>BACS receipts/B-bacs/14-04-10/17:00 (prev)</t>
  </si>
  <si>
    <t>0180524170000237</t>
  </si>
  <si>
    <t>BACS receipts/A-bacs/15-04-10/17:00 (prev)</t>
  </si>
  <si>
    <t>0180524170000238</t>
  </si>
  <si>
    <t>BACS receipts/B-bacs/15-04-10/17:00 (prev)</t>
  </si>
  <si>
    <t>0180524170000239</t>
  </si>
  <si>
    <t>BACS receipts/A-bacs/16-04-10/17:00 (prev)</t>
  </si>
  <si>
    <t>0180524170000240</t>
  </si>
  <si>
    <t>BACS receipts/B-bacs/16-04-10/17:00 (prev)</t>
  </si>
  <si>
    <t>0180524170000241</t>
  </si>
  <si>
    <t>BACS receipts/A-bacs/19-04-10/17:00 (prev)</t>
  </si>
  <si>
    <t>0180524170000242</t>
  </si>
  <si>
    <t>BACS receipts/B-bacs/19-04-10/17:00 (prev)</t>
  </si>
  <si>
    <t>0180524170000243</t>
  </si>
  <si>
    <t>BACS receipts/A-bacs/20-04-10/17:00 (prev)</t>
  </si>
  <si>
    <t>0180524170000244</t>
  </si>
  <si>
    <t>BACS receipts/B-bacs/20-04-10/17:00 (prev)</t>
  </si>
  <si>
    <t>0180524170000245</t>
  </si>
  <si>
    <t>BACS receipts/A-bacs/21-04-10/17:00 (prev)</t>
  </si>
  <si>
    <t>0180524170000246</t>
  </si>
  <si>
    <t>BACS receipts/B-bacs/21-04-10/17:00 (prev)</t>
  </si>
  <si>
    <t>0180524170000247</t>
  </si>
  <si>
    <t>BACS receipts/A-bacs/22-04-10/17:00 (prev)</t>
  </si>
  <si>
    <t>0180524170000248</t>
  </si>
  <si>
    <t>BACS receipts/B-bacs/22-04-10/17:00 (prev)</t>
  </si>
  <si>
    <t>0180524170000249</t>
  </si>
  <si>
    <t>BACS receipts/A-bacs/23-04-10/17:00 (prev)</t>
  </si>
  <si>
    <t>0180524170000250</t>
  </si>
  <si>
    <t>BACS receipts/B-bacs/23-04-10/17:00 (prev)</t>
  </si>
  <si>
    <t>0180524170000251</t>
  </si>
  <si>
    <t>BACS receipts/A-bacs/26-04-10/17:00 (prev)</t>
  </si>
  <si>
    <t>0180524170000252</t>
  </si>
  <si>
    <t>BACS receipts/B-bacs/26-04-10/17:00 (prev)</t>
  </si>
  <si>
    <t>0180524170000253</t>
  </si>
  <si>
    <t>BACS receipts/A-bacs/27-04-10/17:00 (prev)</t>
  </si>
  <si>
    <t>0180524170000254</t>
  </si>
  <si>
    <t>BACS receipts/B-bacs/27-04-10/17:00 (prev)</t>
  </si>
  <si>
    <t>0180524170000255</t>
  </si>
  <si>
    <t>BACS receipts/A-bacs/28-04-10/17:00 (prev)</t>
  </si>
  <si>
    <t>0180524170000256</t>
  </si>
  <si>
    <t>BACS receipts/B-bacs/28-04-10/17:00 (prev)</t>
  </si>
  <si>
    <t>0180524170000257</t>
  </si>
  <si>
    <t>BACS receipts/A-bacs/29-04-10/17:00 (prev)</t>
  </si>
  <si>
    <t>0180524170000258</t>
  </si>
  <si>
    <t>BACS receipts/B-bacs/29-04-10/17:00 (prev)</t>
  </si>
  <si>
    <t>0180524170000259</t>
  </si>
  <si>
    <t>BACS receipts/A-bacs/30-04-10/17:00 (prev)</t>
  </si>
  <si>
    <t>0180524170000260</t>
  </si>
  <si>
    <t>BACS receipts/B-bacs/30-04-10/17:00 (prev)</t>
  </si>
  <si>
    <t>0180524170000261</t>
  </si>
  <si>
    <t>Barclays to Shipley transfer/A-bbarc/04-01-10/17:00 (prev)</t>
  </si>
  <si>
    <t>0180524170000262</t>
  </si>
  <si>
    <t>Barclays to Shipley transfer/A-bbarc/05-01-10/17:00 (prev)</t>
  </si>
  <si>
    <t>0180524170000263</t>
  </si>
  <si>
    <t>Barclays to Shipley transfer/A-bbarc/06-01-10/17:00 (prev)</t>
  </si>
  <si>
    <t>0180524170000264</t>
  </si>
  <si>
    <t>Barclays to Shipley transfer/A-bbarc/07-01-10/17:00 (prev)</t>
  </si>
  <si>
    <t>0180524170000265</t>
  </si>
  <si>
    <t>Barclays to Shipley transfer/A-bbarc/08-01-10/17:00 (prev)</t>
  </si>
  <si>
    <t>0180524170000266</t>
  </si>
  <si>
    <t>Barclays to Shipley transfer/A-bbarc/11-01-10/17:00 (prev)</t>
  </si>
  <si>
    <t>0180524170000267</t>
  </si>
  <si>
    <t>Barclays to Shipley transfer/A-bbarc/12-01-10/17:00 (prev)</t>
  </si>
  <si>
    <t>0180524170000268</t>
  </si>
  <si>
    <t>Barclays to Shipley transfer/A-bbarc/13-01-10/17:00 (prev)</t>
  </si>
  <si>
    <t>0180524170000269</t>
  </si>
  <si>
    <t>Barclays to Shipley transfer/A-bbarc/14-01-10/17:00 (prev)</t>
  </si>
  <si>
    <t>0180524170000270</t>
  </si>
  <si>
    <t>Barclays to Shipley transfer/A-bbarc/15-01-10/17:00 (prev)</t>
  </si>
  <si>
    <t>0180524170000271</t>
  </si>
  <si>
    <t>Barclays to Shipley transfer/A-bbarc/18-01-10/17:00 (prev)</t>
  </si>
  <si>
    <t>0180524170000272</t>
  </si>
  <si>
    <t>Barclays to Shipley transfer/A-bbarc/19-01-10/17:00 (prev)</t>
  </si>
  <si>
    <t>0180524170000273</t>
  </si>
  <si>
    <t>Barclays to Shipley transfer/A-bbarc/20-01-10/17:00 (prev)</t>
  </si>
  <si>
    <t>0180524170000274</t>
  </si>
  <si>
    <t>Barclays to Shipley transfer/A-bbarc/21-01-10/17:00 (prev)</t>
  </si>
  <si>
    <t>0180524170000275</t>
  </si>
  <si>
    <t>Barclays to Shipley transfer/A-bbarc/22-01-10/17:00 (prev)</t>
  </si>
  <si>
    <t>0180524170000276</t>
  </si>
  <si>
    <t>Barclays to Shipley transfer/A-bbarc/25-01-10/17:00 (prev)</t>
  </si>
  <si>
    <t>0180524170000277</t>
  </si>
  <si>
    <t>Barclays to Shipley transfer/A-bbarc/27-01-10/17:00 (prev)</t>
  </si>
  <si>
    <t>0180524170000278</t>
  </si>
  <si>
    <t>Barclays to Shipley transfer/A-bbarc/28-01-10/17:00 (prev)</t>
  </si>
  <si>
    <t>0180524170000279</t>
  </si>
  <si>
    <t>Barclays to Shipley transfer/A-bbarc/29-01-10/17:00 (prev)</t>
  </si>
  <si>
    <t>0180524170000280</t>
  </si>
  <si>
    <t>Barclays to Shipley transfer/A-bbarc/01-02-10/17:00 (prev)</t>
  </si>
  <si>
    <t>0180524170000281</t>
  </si>
  <si>
    <t>Barclays to Shipley transfer/A-bbarc/02-02-10/17:00 (prev)</t>
  </si>
  <si>
    <t>0180524170000282</t>
  </si>
  <si>
    <t>Barclays to Shipley transfer/A-bbarc/03-02-10/17:00 (prev)</t>
  </si>
  <si>
    <t>0180524170000283</t>
  </si>
  <si>
    <t>Barclays to Shipley transfer/A-bbarc/04-02-10/17:00 (prev)</t>
  </si>
  <si>
    <t>0180524170000284</t>
  </si>
  <si>
    <t>Barclays to Shipley transfer/A-bbarc/05-02-10/17:00 (prev)</t>
  </si>
  <si>
    <t>0180524170000285</t>
  </si>
  <si>
    <t>Barclays to Shipley transfer/A-bbarc/08-02-10/17:00 (prev)</t>
  </si>
  <si>
    <t>0180524170000286</t>
  </si>
  <si>
    <t>Barclays to Shipley transfer/A-bbarc/09-02-10/17:00 (prev)</t>
  </si>
  <si>
    <t>0180524170000287</t>
  </si>
  <si>
    <t>Barclays to Shipley transfer/A-bbarc/10-02-10/17:00 (prev)</t>
  </si>
  <si>
    <t>0180524170000288</t>
  </si>
  <si>
    <t>Barclays to Shipley transfer/A-bbarc/11-02-10/17:00 (prev)</t>
  </si>
  <si>
    <t>0180524170000289</t>
  </si>
  <si>
    <t>Barclays to Shipley transfer/A-bbarc/12-02-10/17:00 (prev)</t>
  </si>
  <si>
    <t>0180524170000290</t>
  </si>
  <si>
    <t>Barclays to Shipley transfer/A-bbarc/15-02-10/17:00 (prev)</t>
  </si>
  <si>
    <t>0180524170000291</t>
  </si>
  <si>
    <t>Barclays to Shipley transfer/A-bbarc/16-02-10/17:00 (prev)</t>
  </si>
  <si>
    <t>0180524170000292</t>
  </si>
  <si>
    <t>Barclays to Shipley transfer/A-bbarc/17-02-10/17:00 (prev)</t>
  </si>
  <si>
    <t>0180524170000293</t>
  </si>
  <si>
    <t>Barclays to Shipley transfer/A-bbarc/18-02-10/17:00 (prev)</t>
  </si>
  <si>
    <t>0180524170000294</t>
  </si>
  <si>
    <t>Barclays to Shipley transfer/A-bbarc/19-02-10/17:00 (prev)</t>
  </si>
  <si>
    <t>0180524170000295</t>
  </si>
  <si>
    <t>Barclays to Shipley transfer/A-bbarc/22-02-10/17:00 (prev)</t>
  </si>
  <si>
    <t>0180524170000296</t>
  </si>
  <si>
    <t>Barclays to Shipley transfer/A-bbarc/23-02-10/17:00 (prev)</t>
  </si>
  <si>
    <t>0180524170000297</t>
  </si>
  <si>
    <t>Barclays to Shipley transfer/A-bbarc/24-02-10/17:00 (prev)</t>
  </si>
  <si>
    <t>0180524170000298</t>
  </si>
  <si>
    <t>Barclays to Shipley transfer/A-bbarc/25-02-10/17:00 (prev)</t>
  </si>
  <si>
    <t>0180524170000299</t>
  </si>
  <si>
    <t>Barclays to Shipley transfer/A-bbarc/26-02-10/17:00 (prev)</t>
  </si>
  <si>
    <t>0180524170000300</t>
  </si>
  <si>
    <t>Barclays to Shipley transfer/A-bbarc/01-03-10/17:00 (prev)</t>
  </si>
  <si>
    <t>0180524170000301</t>
  </si>
  <si>
    <t>Barclays to Shipley transfer/A-bbarc/02-03-10/17:00 (prev)</t>
  </si>
  <si>
    <t>0180524170000302</t>
  </si>
  <si>
    <t>Barclays to Shipley transfer/A-bbarc/03-03-10/17:00 (prev)</t>
  </si>
  <si>
    <t>0180524170000303</t>
  </si>
  <si>
    <t>Barclays to Shipley transfer/A-bbarc/04-03-10/17:00 (prev)</t>
  </si>
  <si>
    <t>0180524170000304</t>
  </si>
  <si>
    <t>Barclays to Shipley transfer/A-bbarc/05-03-10/17:00 (prev)</t>
  </si>
  <si>
    <t>0180524170000305</t>
  </si>
  <si>
    <t>Barclays to Shipley transfer/A-bbarc/08-03-10/17:00 (prev)</t>
  </si>
  <si>
    <t>0180524170000306</t>
  </si>
  <si>
    <t>Barclays to Shipley transfer/A-bbarc/09-03-10/17:00 (prev)</t>
  </si>
  <si>
    <t>0180524170000307</t>
  </si>
  <si>
    <t>Barclays to Shipley transfer/A-bbarc/10-03-10/17:00 (prev)</t>
  </si>
  <si>
    <t>0180524170000308</t>
  </si>
  <si>
    <t>Barclays to Shipley transfer/A-bbarc/11-03-10/17:00 (prev)</t>
  </si>
  <si>
    <t>0180524170000309</t>
  </si>
  <si>
    <t>Barclays to Shipley transfer/A-bbarc/12-03-10/17:00 (prev)</t>
  </si>
  <si>
    <t>0180524170000310</t>
  </si>
  <si>
    <t>Barclays to Shipley transfer/A-bbarc/15-03-10/17:00 (prev)</t>
  </si>
  <si>
    <t>0180524170000311</t>
  </si>
  <si>
    <t>Barclays to Shipley transfer/A-bbarc/16-03-10/17:00 (prev)</t>
  </si>
  <si>
    <t>0180524170000312</t>
  </si>
  <si>
    <t>Barclays to Shipley transfer/A-bbarc/17-03-10/17:00 (prev)</t>
  </si>
  <si>
    <t>0180524170000313</t>
  </si>
  <si>
    <t>Barclays to Shipley transfer/A-bbarc/22-03-10/17:00 (prev)</t>
  </si>
  <si>
    <t>0180524170000314</t>
  </si>
  <si>
    <t>Barclays to Shipley transfer/A-bbarc/23-03-10/17:00 (prev)</t>
  </si>
  <si>
    <t>0180524170000315</t>
  </si>
  <si>
    <t>Barclays to Shipley transfer/A-bbarc/24-03-10/17:00 (prev)</t>
  </si>
  <si>
    <t>0180524170000316</t>
  </si>
  <si>
    <t>Barclays to Shipley transfer/A-bbarc/25-03-10/17:00 (prev)</t>
  </si>
  <si>
    <t>0180524170000317</t>
  </si>
  <si>
    <t>Barclays to Shipley transfer/A-bbarc/26-03-10/17:00 (prev)</t>
  </si>
  <si>
    <t>0180524170000318</t>
  </si>
  <si>
    <t>Barclays to Shipley transfer/A-bbarc/29-03-10/17:00 (prev)</t>
  </si>
  <si>
    <t>0180524170000319</t>
  </si>
  <si>
    <t>Barclays to Shipley transfer/A-bbarc/30-03-10/17:00 (prev)</t>
  </si>
  <si>
    <t>0180524170000320</t>
  </si>
  <si>
    <t>Barclays to Shipley transfer/A-bbarc/31-03-10/17:00 (prev)</t>
  </si>
  <si>
    <t>0180524170000321</t>
  </si>
  <si>
    <t>Barclays to Shipley transfer/A-bbarc/01-04-10/17:00 (prev)</t>
  </si>
  <si>
    <t>0180524170000322</t>
  </si>
  <si>
    <t>Barclays to Shipley transfer/A-bbarc/06-04-10/17:00 (prev)</t>
  </si>
  <si>
    <t>0180524170000323</t>
  </si>
  <si>
    <t>Barclays to Shipley transfer/A-bbarc/07-04-10/17:00 (prev)</t>
  </si>
  <si>
    <t>0180524170000324</t>
  </si>
  <si>
    <t>Barclays to Shipley transfer/A-bbarc/08-04-10/17:00 (prev)</t>
  </si>
  <si>
    <t>0180524170000325</t>
  </si>
  <si>
    <t>Barclays to Shipley transfer/A-bbarc/09-04-10/17:00 (prev)</t>
  </si>
  <si>
    <t>0180524170000326</t>
  </si>
  <si>
    <t>Barclays to Shipley transfer/A-bbarc/12-04-10/17:00 (prev)</t>
  </si>
  <si>
    <t>0180524170000327</t>
  </si>
  <si>
    <t>Barclays to Shipley transfer/A-bbarc/13-04-10/17:00 (prev)</t>
  </si>
  <si>
    <t>0180524170000328</t>
  </si>
  <si>
    <t>Barclays to Shipley transfer/A-bbarc/14-04-10/17:00 (prev)</t>
  </si>
  <si>
    <t>0180524170000329</t>
  </si>
  <si>
    <t>Barclays to Shipley transfer/A-bbarc/15-04-10/17:00 (prev)</t>
  </si>
  <si>
    <t>0180524170000330</t>
  </si>
  <si>
    <t>Barclays to Shipley transfer/A-bbarc/16-04-10/17:00 (prev)</t>
  </si>
  <si>
    <t>0180524170000331</t>
  </si>
  <si>
    <t>Barclays to Shipley transfer/A-bbarc/19-04-10/17:00 (prev)</t>
  </si>
  <si>
    <t>0180524170000332</t>
  </si>
  <si>
    <t>Barclays to Shipley transfer/A-bbarc/20-04-10/17:00 (prev)</t>
  </si>
  <si>
    <t>0180524170000333</t>
  </si>
  <si>
    <t>Barclays to Shipley transfer/A-bbarc/21-04-10/17:00 (prev)</t>
  </si>
  <si>
    <t>0180524170000334</t>
  </si>
  <si>
    <t>Barclays to Shipley transfer/A-bbarc/22-04-10/17:00 (prev)</t>
  </si>
  <si>
    <t>0180524170000335</t>
  </si>
  <si>
    <t>Barclays to Shipley transfer/A-bbarc/23-04-10/17:00 (prev)</t>
  </si>
  <si>
    <t>0180524170000336</t>
  </si>
  <si>
    <t>Barclays to Shipley transfer/A-bbarc/26-04-10/17:00 (prev)</t>
  </si>
  <si>
    <t>0180524170000337</t>
  </si>
  <si>
    <t>Barclays to Shipley transfer/A-bbarc/27-04-10/17:00 (prev)</t>
  </si>
  <si>
    <t>0180524170000338</t>
  </si>
  <si>
    <t>Barclays to Shipley transfer/A-bbarc/28-04-10/17:00 (prev)</t>
  </si>
  <si>
    <t>0180524170000339</t>
  </si>
  <si>
    <t>Barclays to Shipley transfer/A-bbarc/29-04-10/17:00 (prev)</t>
  </si>
  <si>
    <t>0180524170000340</t>
  </si>
  <si>
    <t>Barclays to Shipley transfer/A-bbarc/30-04-10/17:00 (prev)</t>
  </si>
  <si>
    <t>0180524170000341</t>
  </si>
  <si>
    <t>BoE Clearing Centre Payments/A-ubecc/04-01-10/17:00 (prev)</t>
  </si>
  <si>
    <t>0180524170000342</t>
  </si>
  <si>
    <t>BoE Clearing Centre Payments/A-ubecc/05-01-10/17:00 (prev)</t>
  </si>
  <si>
    <t>0180524170000343</t>
  </si>
  <si>
    <t>BoE Clearing Centre Payments/A-ubecc/06-01-10/17:00 (prev)</t>
  </si>
  <si>
    <t>0180524170000344</t>
  </si>
  <si>
    <t>BoE Clearing Centre Payments/A-ubecc/07-01-10/17:00 (prev)</t>
  </si>
  <si>
    <t>0180524170000345</t>
  </si>
  <si>
    <t>BoE Clearing Centre Payments/A-ubecc/08-01-10/17:00 (prev)</t>
  </si>
  <si>
    <t>0180524170000346</t>
  </si>
  <si>
    <t>BoE Clearing Centre Payments/A-ubecc/11-01-10/17:00 (prev)</t>
  </si>
  <si>
    <t>0180524170000347</t>
  </si>
  <si>
    <t>BoE Clearing Centre Payments/A-ubecc/12-01-10/17:00 (prev)</t>
  </si>
  <si>
    <t>0180524170000348</t>
  </si>
  <si>
    <t>BoE Clearing Centre Payments/A-ubecc/13-01-10/17:00 (prev)</t>
  </si>
  <si>
    <t>0180524170000349</t>
  </si>
  <si>
    <t>BoE Clearing Centre Payments/A-ubecc/14-01-10/17:00 (prev)</t>
  </si>
  <si>
    <t>0180524170000350</t>
  </si>
  <si>
    <t>BoE Clearing Centre Payments/A-ubecc/15-01-10/17:00 (prev)</t>
  </si>
  <si>
    <t>0180524170000351</t>
  </si>
  <si>
    <t>BoE Clearing Centre Payments/A-ubecc/18-01-10/17:00 (prev)</t>
  </si>
  <si>
    <t>0180524170000352</t>
  </si>
  <si>
    <t>BoE Clearing Centre Payments/A-ubecc/19-01-10/17:00 (prev)</t>
  </si>
  <si>
    <t>0180524170000353</t>
  </si>
  <si>
    <t>BoE Clearing Centre Payments/A-ubecc/20-01-10/17:00 (prev)</t>
  </si>
  <si>
    <t>0180524170000354</t>
  </si>
  <si>
    <t>BoE Clearing Centre Payments/A-ubecc/21-01-10/17:00 (prev)</t>
  </si>
  <si>
    <t>0180524170000355</t>
  </si>
  <si>
    <t>BoE Clearing Centre Payments/A-ubecc/22-01-10/17:00 (prev)</t>
  </si>
  <si>
    <t>0180524170000356</t>
  </si>
  <si>
    <t>BoE Clearing Centre Payments/A-ubecc/25-01-10/17:00 (prev)</t>
  </si>
  <si>
    <t>0180524170000357</t>
  </si>
  <si>
    <t>BoE Clearing Centre Payments/A-ubecc/26-01-10/17:00 (prev)</t>
  </si>
  <si>
    <t>0180524170000358</t>
  </si>
  <si>
    <t>BoE Clearing Centre Payments/A-ubecc/27-01-10/17:00 (prev)</t>
  </si>
  <si>
    <t>0180524170000359</t>
  </si>
  <si>
    <t>BoE Clearing Centre Payments/A-ubecc/28-01-10/17:00 (prev)</t>
  </si>
  <si>
    <t>0180524170000360</t>
  </si>
  <si>
    <t>BoE Clearing Centre Payments/A-ubecc/29-01-10/17:00 (prev)</t>
  </si>
  <si>
    <t>0180524170000361</t>
  </si>
  <si>
    <t>BoE Clearing Centre Payments/A-ubecc/01-02-10/17:00 (prev)</t>
  </si>
  <si>
    <t>0180524170000362</t>
  </si>
  <si>
    <t>BoE Clearing Centre Payments/A-ubecc/02-02-10/17:00 (prev)</t>
  </si>
  <si>
    <t>0180524170000363</t>
  </si>
  <si>
    <t>BoE Clearing Centre Payments/A-ubecc/03-02-10/17:00 (prev)</t>
  </si>
  <si>
    <t>0180524170000364</t>
  </si>
  <si>
    <t>BoE Clearing Centre Payments/A-ubecc/04-02-10/17:00 (prev)</t>
  </si>
  <si>
    <t>0180524170000365</t>
  </si>
  <si>
    <t>BoE Clearing Centre Payments/A-ubecc/05-02-10/17:00 (prev)</t>
  </si>
  <si>
    <t>0180524170000366</t>
  </si>
  <si>
    <t>BoE Clearing Centre Payments/A-ubecc/08-02-10/17:00 (prev)</t>
  </si>
  <si>
    <t>0180524170000367</t>
  </si>
  <si>
    <t>BoE Clearing Centre Payments/A-ubecc/09-02-10/17:00 (prev)</t>
  </si>
  <si>
    <t>0180524170000368</t>
  </si>
  <si>
    <t>BoE Clearing Centre Payments/A-ubecc/10-02-10/17:00 (prev)</t>
  </si>
  <si>
    <t>0180524170000369</t>
  </si>
  <si>
    <t>BoE Clearing Centre Payments/A-ubecc/11-02-10/17:00 (prev)</t>
  </si>
  <si>
    <t>0180524170000370</t>
  </si>
  <si>
    <t>BoE Clearing Centre Payments/A-ubecc/12-02-10/17:00 (prev)</t>
  </si>
  <si>
    <t>0180524170000371</t>
  </si>
  <si>
    <t>BoE Clearing Centre Payments/A-ubecc/15-02-10/17:00 (prev)</t>
  </si>
  <si>
    <t>0180524170000372</t>
  </si>
  <si>
    <t>BoE Clearing Centre Payments/A-ubecc/16-02-10/17:00 (prev)</t>
  </si>
  <si>
    <t>0180524170000373</t>
  </si>
  <si>
    <t>BoE Clearing Centre Payments/A-ubecc/17-02-10/17:00 (prev)</t>
  </si>
  <si>
    <t>0180524170000374</t>
  </si>
  <si>
    <t>BoE Clearing Centre Payments/A-ubecc/18-02-10/17:00 (prev)</t>
  </si>
  <si>
    <t>0180524170000375</t>
  </si>
  <si>
    <t>BoE Clearing Centre Payments/A-ubecc/19-02-10/17:00 (prev)</t>
  </si>
  <si>
    <t>0180524170000376</t>
  </si>
  <si>
    <t>BoE Clearing Centre Payments/A-ubecc/22-02-10/17:00 (prev)</t>
  </si>
  <si>
    <t>0180524170000377</t>
  </si>
  <si>
    <t>BoE Clearing Centre Payments/A-ubecc/23-02-10/17:00 (prev)</t>
  </si>
  <si>
    <t>0180524170000378</t>
  </si>
  <si>
    <t>BoE Clearing Centre Payments/A-ubecc/24-02-10/17:00 (prev)</t>
  </si>
  <si>
    <t>0180524170000379</t>
  </si>
  <si>
    <t>BoE Clearing Centre Payments/A-ubecc/25-02-10/17:00 (prev)</t>
  </si>
  <si>
    <t>0180524170000380</t>
  </si>
  <si>
    <t>BoE Clearing Centre Payments/A-ubecc/01-03-10/17:00 (prev)</t>
  </si>
  <si>
    <t>0180524170000381</t>
  </si>
  <si>
    <t>BoE Clearing Centre Payments/A-ubecc/02-03-10/17:00 (prev)</t>
  </si>
  <si>
    <t>0180524170000382</t>
  </si>
  <si>
    <t>BoE Clearing Centre Payments/A-ubecc/03-03-10/17:00 (prev)</t>
  </si>
  <si>
    <t>0180524170000383</t>
  </si>
  <si>
    <t>BoE Clearing Centre Payments/A-ubecc/04-03-10/17:00 (prev)</t>
  </si>
  <si>
    <t>0180524170000384</t>
  </si>
  <si>
    <t>BoE Clearing Centre Payments/A-ubecc/05-03-10/17:00 (prev)</t>
  </si>
  <si>
    <t>0180524170000385</t>
  </si>
  <si>
    <t>BoE Clearing Centre Payments/A-ubecc/08-03-10/17:00 (prev)</t>
  </si>
  <si>
    <t>0180524170000386</t>
  </si>
  <si>
    <t>BoE Clearing Centre Payments/A-ubecc/09-03-10/17:00 (prev)</t>
  </si>
  <si>
    <t>0180524170000387</t>
  </si>
  <si>
    <t>BoE Clearing Centre Payments/A-ubecc/10-03-10/17:00 (prev)</t>
  </si>
  <si>
    <t>0180524170000388</t>
  </si>
  <si>
    <t>BoE Clearing Centre Payments/A-ubecc/11-03-10/17:00 (prev)</t>
  </si>
  <si>
    <t>0180524170000389</t>
  </si>
  <si>
    <t>BoE Clearing Centre Payments/A-ubecc/12-03-10/17:00 (prev)</t>
  </si>
  <si>
    <t>0180524170000390</t>
  </si>
  <si>
    <t>BoE Clearing Centre Payments/A-ubecc/15-03-10/17:00 (prev)</t>
  </si>
  <si>
    <t>0180524170000391</t>
  </si>
  <si>
    <t>BoE Clearing Centre Payments/A-ubecc/16-03-10/17:00 (prev)</t>
  </si>
  <si>
    <t>0180524170000392</t>
  </si>
  <si>
    <t>BoE Clearing Centre Payments/A-ubecc/17-03-10/17:00 (prev)</t>
  </si>
  <si>
    <t>0180524170000393</t>
  </si>
  <si>
    <t>BoE Clearing Centre Payments/A-ubecc/18-03-10/17:00 (prev)</t>
  </si>
  <si>
    <t>0180524170000394</t>
  </si>
  <si>
    <t>BoE Clearing Centre Payments/A-ubecc/19-03-10/17:00 (prev)</t>
  </si>
  <si>
    <t>0180524170000395</t>
  </si>
  <si>
    <t>BoE Clearing Centre Payments/A-ubecc/22-03-10/17:00 (prev)</t>
  </si>
  <si>
    <t>0180524170000396</t>
  </si>
  <si>
    <t>BoE Clearing Centre Payments/A-ubecc/23-03-10/17:00 (prev)</t>
  </si>
  <si>
    <t>0180524170000397</t>
  </si>
  <si>
    <t>BoE Clearing Centre Payments/A-ubecc/24-03-10/17:00 (prev)</t>
  </si>
  <si>
    <t>0180524170000398</t>
  </si>
  <si>
    <t>BoE Clearing Centre Payments/A-ubecc/25-03-10/17:00 (prev)</t>
  </si>
  <si>
    <t>0180524170000399</t>
  </si>
  <si>
    <t>BoE Clearing Centre Payments/A-ubecc/26-03-10/17:00 (prev)</t>
  </si>
  <si>
    <t>0180524170000400</t>
  </si>
  <si>
    <t>BoE Clearing Centre Payments/A-ubecc/29-03-10/17:00 (prev)</t>
  </si>
  <si>
    <t>0180524170000401</t>
  </si>
  <si>
    <t>BoE Clearing Centre Payments/A-ubecc/30-03-10/17:00 (prev)</t>
  </si>
  <si>
    <t>0180524170000402</t>
  </si>
  <si>
    <t>BoE Clearing Centre Payments/A-ubecc/31-03-10/17:00 (prev)</t>
  </si>
  <si>
    <t>0180524170000403</t>
  </si>
  <si>
    <t>BoE Clearing Centre Payments/A-ubecc/01-04-10/17:00 (prev)</t>
  </si>
  <si>
    <t>0180524170000404</t>
  </si>
  <si>
    <t>BoE Clearing Centre Payments/A-ubecc/06-04-10/17:00 (prev)</t>
  </si>
  <si>
    <t>0180524170000405</t>
  </si>
  <si>
    <t>BoE Clearing Centre Payments/A-ubecc/07-04-10/17:00 (prev)</t>
  </si>
  <si>
    <t>0180524170000406</t>
  </si>
  <si>
    <t>BoE Clearing Centre Payments/A-ubecc/08-04-10/17:00 (prev)</t>
  </si>
  <si>
    <t>0180524170000407</t>
  </si>
  <si>
    <t>BoE Clearing Centre Payments/A-ubecc/09-04-10/17:00 (prev)</t>
  </si>
  <si>
    <t>0180524170000408</t>
  </si>
  <si>
    <t>BoE Clearing Centre Payments/A-ubecc/12-04-10/17:00 (prev)</t>
  </si>
  <si>
    <t>0180524170000409</t>
  </si>
  <si>
    <t>BoE Clearing Centre Payments/A-ubecc/14-04-10/17:00 (prev)</t>
  </si>
  <si>
    <t>0180524170000410</t>
  </si>
  <si>
    <t>BoE Clearing Centre Payments/A-ubecc/15-04-10/17:00 (prev)</t>
  </si>
  <si>
    <t>0180524170000411</t>
  </si>
  <si>
    <t>BoE Clearing Centre Payments/A-ubecc/16-04-10/17:00 (prev)</t>
  </si>
  <si>
    <t>0180524170000412</t>
  </si>
  <si>
    <t>BoE Clearing Centre Payments/A-ubecc/19-04-10/17:00 (prev)</t>
  </si>
  <si>
    <t>0180524170000413</t>
  </si>
  <si>
    <t>BoE Clearing Centre Payments/A-ubecc/20-04-10/17:00 (prev)</t>
  </si>
  <si>
    <t>0180524170000414</t>
  </si>
  <si>
    <t>BoE Clearing Centre Payments/A-ubecc/21-04-10/17:00 (prev)</t>
  </si>
  <si>
    <t>0180524170000415</t>
  </si>
  <si>
    <t>BoE Clearing Centre Payments/A-ubecc/22-04-10/17:00 (prev)</t>
  </si>
  <si>
    <t>0180524170000416</t>
  </si>
  <si>
    <t>BoE Clearing Centre Payments/A-ubecc/23-04-10/17:00 (prev)</t>
  </si>
  <si>
    <t>0180524170000417</t>
  </si>
  <si>
    <t>BoE Clearing Centre Payments/A-ubecc/26-04-10/17:00 (prev)</t>
  </si>
  <si>
    <t>0180524170000418</t>
  </si>
  <si>
    <t>BoE Clearing Centre Payments/A-ubecc/27-04-10/17:00 (prev)</t>
  </si>
  <si>
    <t>0180524170000419</t>
  </si>
  <si>
    <t>BoE Clearing Centre Payments/A-ubecc/28-04-10/17:00 (prev)</t>
  </si>
  <si>
    <t>0180524170000420</t>
  </si>
  <si>
    <t>BoE Clearing Centre Payments/A-ubecc/29-04-10/17:00 (prev)</t>
  </si>
  <si>
    <t>0180524170000421</t>
  </si>
  <si>
    <t>BoE Clearing Centre Payments/A-ubecc/30-04-10/17:00 (prev)</t>
  </si>
  <si>
    <t>0180524170000422</t>
  </si>
  <si>
    <t>BoE Clearing Day 1/A-becc1/04-01-10/17:00 (prev)</t>
  </si>
  <si>
    <t>0180524170000423</t>
  </si>
  <si>
    <t>BoE Clearing Day 1/A-becc1/06-01-10/17:00 (prev)</t>
  </si>
  <si>
    <t>0180524170000424</t>
  </si>
  <si>
    <t>BoE Clearing Day 1/A-becc1/07-01-10/17:00 (prev)</t>
  </si>
  <si>
    <t>0180524170000425</t>
  </si>
  <si>
    <t>BoE Clearing Day 1/A-becc1/08-01-10/17:00 (prev)</t>
  </si>
  <si>
    <t>0180524170000426</t>
  </si>
  <si>
    <t>BoE Clearing Day 1/A-becc1/11-01-10/17:00 (prev)</t>
  </si>
  <si>
    <t>0180524170000427</t>
  </si>
  <si>
    <t>BoE Clearing Day 1/A-becc1/12-01-10/17:00 (prev)</t>
  </si>
  <si>
    <t>0180524170000428</t>
  </si>
  <si>
    <t>BoE Clearing Day 1/A-becc1/13-01-10/17:00 (prev)</t>
  </si>
  <si>
    <t>0180524170000429</t>
  </si>
  <si>
    <t>BoE Clearing Day 1/A-becc1/14-01-10/17:00 (prev)</t>
  </si>
  <si>
    <t>0180524170000430</t>
  </si>
  <si>
    <t>BoE Clearing Day 1/A-becc1/15-01-10/17:00 (prev)</t>
  </si>
  <si>
    <t>0180524170000431</t>
  </si>
  <si>
    <t>BoE Clearing Day 1/A-becc1/18-01-10/17:00 (prev)</t>
  </si>
  <si>
    <t>0180524170000432</t>
  </si>
  <si>
    <t>BoE Clearing Day 1/A-becc1/19-01-10/17:00 (prev)</t>
  </si>
  <si>
    <t>0180524170000433</t>
  </si>
  <si>
    <t>BoE Clearing Day 1/A-becc1/21-01-10/17:00 (prev)</t>
  </si>
  <si>
    <t>0180524170000434</t>
  </si>
  <si>
    <t>BoE Clearing Day 1/A-becc1/22-01-10/17:00 (prev)</t>
  </si>
  <si>
    <t>0180524170000435</t>
  </si>
  <si>
    <t>BoE Clearing Day 1/A-becc1/25-01-10/17:00 (prev)</t>
  </si>
  <si>
    <t>0180524170000436</t>
  </si>
  <si>
    <t>BoE Clearing Day 1/A-becc1/26-01-10/17:00 (prev)</t>
  </si>
  <si>
    <t>0180524170000437</t>
  </si>
  <si>
    <t>BoE Clearing Day 1/A-becc1/27-01-10/17:00 (prev)</t>
  </si>
  <si>
    <t>0180524170000438</t>
  </si>
  <si>
    <t>BoE Clearing Day 1/A-becc1/28-01-10/17:00 (prev)</t>
  </si>
  <si>
    <t>0180524170000439</t>
  </si>
  <si>
    <t>BoE Clearing Day 1/A-becc1/29-01-10/17:00 (prev)</t>
  </si>
  <si>
    <t>0180524170000440</t>
  </si>
  <si>
    <t>BoE Clearing Day 1/A-becc1/01-02-10/17:00 (prev)</t>
  </si>
  <si>
    <t>0180524170000441</t>
  </si>
  <si>
    <t>BoE Clearing Day 1/A-becc1/02-02-10/17:00 (prev)</t>
  </si>
  <si>
    <t>0180524170000442</t>
  </si>
  <si>
    <t>BoE Clearing Day 1/A-becc1/03-02-10/17:00 (prev)</t>
  </si>
  <si>
    <t>0180524170000443</t>
  </si>
  <si>
    <t>BoE Clearing Day 1/A-becc1/04-02-10/17:00 (prev)</t>
  </si>
  <si>
    <t>0180524170000444</t>
  </si>
  <si>
    <t>BoE Clearing Day 1/A-becc1/05-02-10/17:00 (prev)</t>
  </si>
  <si>
    <t>0180524170000445</t>
  </si>
  <si>
    <t>BoE Clearing Day 1/A-becc1/08-02-10/17:00 (prev)</t>
  </si>
  <si>
    <t>0180524170000446</t>
  </si>
  <si>
    <t>BoE Clearing Day 1/A-becc1/09-02-10/17:00 (prev)</t>
  </si>
  <si>
    <t>0180524170000447</t>
  </si>
  <si>
    <t>BoE Clearing Day 1/A-becc1/10-02-10/17:00 (prev)</t>
  </si>
  <si>
    <t>0180524170000448</t>
  </si>
  <si>
    <t>BoE Clearing Day 1/A-becc1/11-02-10/17:00 (prev)</t>
  </si>
  <si>
    <t>0180524170000449</t>
  </si>
  <si>
    <t>BoE Clearing Day 1/A-becc1/12-02-10/17:00 (prev)</t>
  </si>
  <si>
    <t>0180524170000450</t>
  </si>
  <si>
    <t>BoE Clearing Day 1/A-becc1/15-02-10/17:00 (prev)</t>
  </si>
  <si>
    <t>0180524170000451</t>
  </si>
  <si>
    <t>BoE Clearing Day 1/A-becc1/16-02-10/17:00 (prev)</t>
  </si>
  <si>
    <t>0180524170000452</t>
  </si>
  <si>
    <t>BoE Clearing Day 1/A-becc1/17-02-10/17:00 (prev)</t>
  </si>
  <si>
    <t>0180524170000453</t>
  </si>
  <si>
    <t>BoE Clearing Day 1/A-becc1/18-02-10/17:00 (prev)</t>
  </si>
  <si>
    <t>0180524170000454</t>
  </si>
  <si>
    <t>BoE Clearing Day 1/A-becc1/19-02-10/17:00 (prev)</t>
  </si>
  <si>
    <t>0180524170000455</t>
  </si>
  <si>
    <t>BoE Clearing Day 1/A-becc1/22-02-10/17:00 (prev)</t>
  </si>
  <si>
    <t>0180524170000456</t>
  </si>
  <si>
    <t>BoE Clearing Day 1/A-becc1/23-02-10/17:00 (prev)</t>
  </si>
  <si>
    <t>0180524170000457</t>
  </si>
  <si>
    <t>BoE Clearing Day 1/A-becc1/24-02-10/17:00 (prev)</t>
  </si>
  <si>
    <t>0180524170000458</t>
  </si>
  <si>
    <t>BoE Clearing Day 1/A-becc1/25-02-10/17:00 (prev)</t>
  </si>
  <si>
    <t>0180524170000459</t>
  </si>
  <si>
    <t>BoE Clearing Day 1/A-becc1/01-03-10/17:00 (prev)</t>
  </si>
  <si>
    <t>0180524170000460</t>
  </si>
  <si>
    <t>BoE Clearing Day 1/A-becc1/02-03-10/17:00 (prev)</t>
  </si>
  <si>
    <t>0180524170000461</t>
  </si>
  <si>
    <t>BoE Clearing Day 1/A-becc1/03-03-10/17:00 (prev)</t>
  </si>
  <si>
    <t>0180524170000462</t>
  </si>
  <si>
    <t>BoE Clearing Day 1/A-becc1/04-03-10/17:00 (prev)</t>
  </si>
  <si>
    <t>0180524170000463</t>
  </si>
  <si>
    <t>BoE Clearing Day 1/A-becc1/05-03-10/17:00 (prev)</t>
  </si>
  <si>
    <t>0180524170000464</t>
  </si>
  <si>
    <t>BoE Clearing Day 1/A-becc1/08-03-10/17:00 (prev)</t>
  </si>
  <si>
    <t>0180524170000465</t>
  </si>
  <si>
    <t>BoE Clearing Day 1/A-becc1/09-03-10/17:00 (prev)</t>
  </si>
  <si>
    <t>0180524170000466</t>
  </si>
  <si>
    <t>BoE Clearing Day 1/A-becc1/10-03-10/17:00 (prev)</t>
  </si>
  <si>
    <t>0180524170000467</t>
  </si>
  <si>
    <t>BoE Clearing Day 1/A-becc1/11-03-10/17:00 (prev)</t>
  </si>
  <si>
    <t>0180524170000468</t>
  </si>
  <si>
    <t>BoE Clearing Day 1/A-becc1/12-03-10/17:00 (prev)</t>
  </si>
  <si>
    <t>0180524170000469</t>
  </si>
  <si>
    <t>BoE Clearing Day 1/A-becc1/15-03-10/17:00 (prev)</t>
  </si>
  <si>
    <t>0180524170000470</t>
  </si>
  <si>
    <t>BoE Clearing Day 1/A-becc1/16-03-10/17:00 (prev)</t>
  </si>
  <si>
    <t>0180524170000471</t>
  </si>
  <si>
    <t>BoE Clearing Day 1/A-becc1/17-03-10/17:00 (prev)</t>
  </si>
  <si>
    <t>0180524170000472</t>
  </si>
  <si>
    <t>BoE Clearing Day 1/A-becc1/19-03-10/17:00 (prev)</t>
  </si>
  <si>
    <t>0180524170000473</t>
  </si>
  <si>
    <t>BoE Clearing Day 1/A-becc1/22-03-10/17:00 (prev)</t>
  </si>
  <si>
    <t>0180524170000474</t>
  </si>
  <si>
    <t>BoE Clearing Day 1/A-becc1/23-03-10/17:00 (prev)</t>
  </si>
  <si>
    <t>0180524170000475</t>
  </si>
  <si>
    <t>BoE Clearing Day 1/A-becc1/24-03-10/17:00 (prev)</t>
  </si>
  <si>
    <t>0180524170000476</t>
  </si>
  <si>
    <t>BoE Clearing Day 1/A-becc1/25-03-10/17:00 (prev)</t>
  </si>
  <si>
    <t>0180524170000477</t>
  </si>
  <si>
    <t>BoE Clearing Day 1/A-becc1/26-03-10/17:00 (prev)</t>
  </si>
  <si>
    <t>0180524170000478</t>
  </si>
  <si>
    <t>BoE Clearing Day 1/A-becc1/29-03-10/17:00 (prev)</t>
  </si>
  <si>
    <t>0180524170000479</t>
  </si>
  <si>
    <t>BoE Clearing Day 1/A-becc1/30-03-10/17:00 (prev)</t>
  </si>
  <si>
    <t>0180524170000480</t>
  </si>
  <si>
    <t>BoE Clearing Day 1/A-becc1/31-03-10/17:00 (prev)</t>
  </si>
  <si>
    <t>0180524170000481</t>
  </si>
  <si>
    <t>BoE Clearing Day 1/A-becc1/01-04-10/17:00 (prev)</t>
  </si>
  <si>
    <t>0180524170000482</t>
  </si>
  <si>
    <t>BoE Clearing Day 1/A-becc1/06-04-10/17:00 (prev)</t>
  </si>
  <si>
    <t>0180524170000483</t>
  </si>
  <si>
    <t>BoE Clearing Day 1/A-becc1/07-04-10/17:00 (prev)</t>
  </si>
  <si>
    <t>0180524170000484</t>
  </si>
  <si>
    <t>BoE Clearing Day 1/A-becc1/08-04-10/17:00 (prev)</t>
  </si>
  <si>
    <t>0180524170000485</t>
  </si>
  <si>
    <t>BoE Clearing Day 1/A-becc1/09-04-10/17:00 (prev)</t>
  </si>
  <si>
    <t>0180524170000486</t>
  </si>
  <si>
    <t>BoE Clearing Day 1/A-becc1/12-04-10/17:00 (prev)</t>
  </si>
  <si>
    <t>0180524170000487</t>
  </si>
  <si>
    <t>BoE Clearing Day 1/A-becc1/13-04-10/17:00 (prev)</t>
  </si>
  <si>
    <t>0180524170000488</t>
  </si>
  <si>
    <t>BoE Clearing Day 1/A-becc1/14-04-10/17:00 (prev)</t>
  </si>
  <si>
    <t>0180524170000489</t>
  </si>
  <si>
    <t>BoE Clearing Day 1/A-becc1/16-04-10/17:00 (prev)</t>
  </si>
  <si>
    <t>0180524170000490</t>
  </si>
  <si>
    <t>BoE Clearing Day 1/A-becc1/19-04-10/17:00 (prev)</t>
  </si>
  <si>
    <t>0180524170000491</t>
  </si>
  <si>
    <t>BoE Clearing Day 1/A-becc1/20-04-10/17:00 (prev)</t>
  </si>
  <si>
    <t>0180524170000492</t>
  </si>
  <si>
    <t>BoE Clearing Day 1/A-becc1/21-04-10/17:00 (prev)</t>
  </si>
  <si>
    <t>0180524170000493</t>
  </si>
  <si>
    <t>BoE Clearing Day 1/A-becc1/22-04-10/17:00 (prev)</t>
  </si>
  <si>
    <t>0180524170000494</t>
  </si>
  <si>
    <t>BoE Clearing Day 1/A-becc1/23-04-10/17:00 (prev)</t>
  </si>
  <si>
    <t>0180524170000495</t>
  </si>
  <si>
    <t>BoE Clearing Day 1/A-becc1/26-04-10/17:00 (prev)</t>
  </si>
  <si>
    <t>0180524170000496</t>
  </si>
  <si>
    <t>BoE Clearing Day 1/A-becc1/27-04-10/17:00 (prev)</t>
  </si>
  <si>
    <t>0180524170000497</t>
  </si>
  <si>
    <t>BoE Clearing Day 1/A-becc1/28-04-10/17:00 (prev)</t>
  </si>
  <si>
    <t>0180524170000498</t>
  </si>
  <si>
    <t>BoE Clearing Day 1/A-becc1/29-04-10/17:00 (prev)</t>
  </si>
  <si>
    <t>0180524170000499</t>
  </si>
  <si>
    <t>BoE Clearing Day 1/A-becc1/30-04-10/17:00 (prev)</t>
  </si>
  <si>
    <t>0180524170000500</t>
  </si>
  <si>
    <t>Broadcasting Receiving Licences/D-brl/04-01-10/17:00 (prev)</t>
  </si>
  <si>
    <t>0180524170000501</t>
  </si>
  <si>
    <t>Broadcasting Receiving Licences/D-brl/11-01-10/17:00 (prev)</t>
  </si>
  <si>
    <t>0180524170000502</t>
  </si>
  <si>
    <t>Broadcasting Receiving Licences/D-brl/20-01-10/17:00 (prev)</t>
  </si>
  <si>
    <t>0180524170000503</t>
  </si>
  <si>
    <t>Broadcasting Receiving Licences/D-brl/29-01-10/17:00 (prev)</t>
  </si>
  <si>
    <t>0180524170000504</t>
  </si>
  <si>
    <t>Broadcasting Receiving Licences/D-brl/01-02-10/17:00 (prev)</t>
  </si>
  <si>
    <t>0180524170000505</t>
  </si>
  <si>
    <t>Broadcasting Receiving Licences/D-brl/10-02-10/17:00 (prev)</t>
  </si>
  <si>
    <t>0180524170000506</t>
  </si>
  <si>
    <t>Broadcasting Receiving Licences/D-brl/22-02-10/17:00 (prev)</t>
  </si>
  <si>
    <t>0180524170000507</t>
  </si>
  <si>
    <t>Broadcasting Receiving Licences/D-brl/26-02-10/17:00 (prev)</t>
  </si>
  <si>
    <t>0180524170000508</t>
  </si>
  <si>
    <t>Broadcasting Receiving Licences/D-brl/01-03-10/17:00 (prev)</t>
  </si>
  <si>
    <t>0180524170000509</t>
  </si>
  <si>
    <t>Broadcasting Receiving Licences/D-brl/10-03-10/17:00 (prev)</t>
  </si>
  <si>
    <t>0180524170000510</t>
  </si>
  <si>
    <t>Broadcasting Receiving Licences/D-brl/22-03-10/17:00 (prev)</t>
  </si>
  <si>
    <t>0180524170000511</t>
  </si>
  <si>
    <t>Broadcasting Receiving Licences/D-brl/31-03-10/17:00 (prev)</t>
  </si>
  <si>
    <t>0180524170000512</t>
  </si>
  <si>
    <t>Broadcasting Receiving Licences/D-brl/12-04-10/17:00 (prev)</t>
  </si>
  <si>
    <t>0180524170000513</t>
  </si>
  <si>
    <t>Broadcasting Receiving Licences/D-brl/20-04-10/17:00 (prev)</t>
  </si>
  <si>
    <t>0180524170000514</t>
  </si>
  <si>
    <t>Broadcasting Receiving Licences/D-brl/30-04-10/17:00 (prev)</t>
  </si>
  <si>
    <t>0180524170000515</t>
  </si>
  <si>
    <t>CHAPS Payments/A-uchap/11-01-10/17:00 (prev)</t>
  </si>
  <si>
    <t>0180524170000516</t>
  </si>
  <si>
    <t>CHAPS Payments/A-uchap/13-01-10/17:00 (prev)</t>
  </si>
  <si>
    <t>0180524170000517</t>
  </si>
  <si>
    <t>CHAPS Payments/A-uchap/14-01-10/17:00 (prev)</t>
  </si>
  <si>
    <t>0180524170000518</t>
  </si>
  <si>
    <t>CHAPS Payments/A-uchap/15-01-10/17:00 (prev)</t>
  </si>
  <si>
    <t>0180524170000519</t>
  </si>
  <si>
    <t>CHAPS Payments/A-uchap/18-01-10/17:00 (prev)</t>
  </si>
  <si>
    <t>0180524170000520</t>
  </si>
  <si>
    <t>CHAPS Payments/A-uchap/22-01-10/17:00 (prev)</t>
  </si>
  <si>
    <t>0180524170000521</t>
  </si>
  <si>
    <t>CHAPS Payments/A-uchap/26-01-10/17:00 (prev)</t>
  </si>
  <si>
    <t>0180524170000522</t>
  </si>
  <si>
    <t>CHAPS Payments/A-uchap/28-01-10/17:00 (prev)</t>
  </si>
  <si>
    <t>0180524170000523</t>
  </si>
  <si>
    <t>CHAPS Payments/A-uchap/29-01-10/17:00 (prev)</t>
  </si>
  <si>
    <t>0180524170000524</t>
  </si>
  <si>
    <t>CHAPS Payments/A-uchap/02-02-10/17:00 (prev)</t>
  </si>
  <si>
    <t>0180524170000525</t>
  </si>
  <si>
    <t>CHAPS Payments/A-uchap/05-02-10/17:00 (prev)</t>
  </si>
  <si>
    <t>0180524170000526</t>
  </si>
  <si>
    <t>CHAPS Payments/A-uchap/09-02-10/17:00 (prev)</t>
  </si>
  <si>
    <t>0180524170000527</t>
  </si>
  <si>
    <t>CHAPS Payments/A-uchap/10-02-10/17:00 (prev)</t>
  </si>
  <si>
    <t>0180524170000528</t>
  </si>
  <si>
    <t>CHAPS Payments/A-uchap/11-02-10/17:00 (prev)</t>
  </si>
  <si>
    <t>0180524170000529</t>
  </si>
  <si>
    <t>CHAPS Payments/A-uchap/12-02-10/17:00 (prev)</t>
  </si>
  <si>
    <t>0180524170000530</t>
  </si>
  <si>
    <t>CHAPS Payments/A-uchap/15-02-10/17:00 (prev)</t>
  </si>
  <si>
    <t>0180524170000531</t>
  </si>
  <si>
    <t>CHAPS Payments/A-uchap/16-02-10/17:00 (prev)</t>
  </si>
  <si>
    <t>0180524170000532</t>
  </si>
  <si>
    <t>CHAPS Payments/A-uchap/17-02-10/17:00 (prev)</t>
  </si>
  <si>
    <t>0180524170000533</t>
  </si>
  <si>
    <t>CHAPS Payments/A-uchap/18-02-10/17:00 (prev)</t>
  </si>
  <si>
    <t>0180524170000534</t>
  </si>
  <si>
    <t>CHAPS Payments/A-uchap/19-02-10/17:00 (prev)</t>
  </si>
  <si>
    <t>0180524170000535</t>
  </si>
  <si>
    <t>CHAPS Payments/A-uchap/22-02-10/17:00 (prev)</t>
  </si>
  <si>
    <t>0180524170000536</t>
  </si>
  <si>
    <t>CHAPS Payments/A-uchap/23-02-10/17:00 (prev)</t>
  </si>
  <si>
    <t>0180524170000537</t>
  </si>
  <si>
    <t>CHAPS Payments/A-uchap/24-02-10/17:00 (prev)</t>
  </si>
  <si>
    <t>0180524170000538</t>
  </si>
  <si>
    <t>CHAPS Payments/A-uchap/26-02-10/17:00 (prev)</t>
  </si>
  <si>
    <t>0180524170000539</t>
  </si>
  <si>
    <t>CHAPS Payments/A-uchap/03-03-10/17:00 (prev)</t>
  </si>
  <si>
    <t>0180524170000540</t>
  </si>
  <si>
    <t>CHAPS Payments/A-uchap/05-03-10/17:00 (prev)</t>
  </si>
  <si>
    <t>0180524170000541</t>
  </si>
  <si>
    <t>CHAPS Payments/A-uchap/08-03-10/17:00 (prev)</t>
  </si>
  <si>
    <t>0180524170000542</t>
  </si>
  <si>
    <t>CHAPS Payments/A-uchap/09-03-10/17:00 (prev)</t>
  </si>
  <si>
    <t>0180524170000543</t>
  </si>
  <si>
    <t>CHAPS Payments/A-uchap/10-03-10/17:00 (prev)</t>
  </si>
  <si>
    <t>0180524170000544</t>
  </si>
  <si>
    <t>CHAPS Payments/A-uchap/11-03-10/17:00 (prev)</t>
  </si>
  <si>
    <t>0180524170000545</t>
  </si>
  <si>
    <t>CHAPS Payments/A-uchap/12-03-10/17:00 (prev)</t>
  </si>
  <si>
    <t>0180524170000546</t>
  </si>
  <si>
    <t>CHAPS Payments/A-uchap/15-03-10/17:00 (prev)</t>
  </si>
  <si>
    <t>0180524170000547</t>
  </si>
  <si>
    <t>CHAPS Payments/A-uchap/16-03-10/17:00 (prev)</t>
  </si>
  <si>
    <t>0180524170000548</t>
  </si>
  <si>
    <t>CHAPS Payments/A-uchap/17-03-10/17:00 (prev)</t>
  </si>
  <si>
    <t>0180524170000549</t>
  </si>
  <si>
    <t>CHAPS Payments/A-uchap/18-03-10/17:00 (prev)</t>
  </si>
  <si>
    <t>0180524170000550</t>
  </si>
  <si>
    <t>CHAPS Payments/A-uchap/19-03-10/17:00 (prev)</t>
  </si>
  <si>
    <t>0180524170000551</t>
  </si>
  <si>
    <t>CHAPS Payments/A-uchap/22-03-10/17:00 (prev)</t>
  </si>
  <si>
    <t>0180524170000552</t>
  </si>
  <si>
    <t>CHAPS Payments/A-uchap/23-03-10/17:00 (prev)</t>
  </si>
  <si>
    <t>0180524170000553</t>
  </si>
  <si>
    <t>CHAPS Payments/A-uchap/24-03-10/17:00 (prev)</t>
  </si>
  <si>
    <t>0180524170000554</t>
  </si>
  <si>
    <t>CHAPS Payments/A-uchap/25-03-10/17:00 (prev)</t>
  </si>
  <si>
    <t>0180524170000555</t>
  </si>
  <si>
    <t>CHAPS Payments/A-uchap/26-03-10/17:00 (prev)</t>
  </si>
  <si>
    <t>0180524170000556</t>
  </si>
  <si>
    <t>CHAPS Payments/A-uchap/29-03-10/17:00 (prev)</t>
  </si>
  <si>
    <t>0180524170000557</t>
  </si>
  <si>
    <t>CHAPS Payments/A-uchap/31-03-10/17:00 (prev)</t>
  </si>
  <si>
    <t>0180524170000558</t>
  </si>
  <si>
    <t>CHAPS Payments/A-uchap/01-04-10/17:00 (prev)</t>
  </si>
  <si>
    <t>0180524170000559</t>
  </si>
  <si>
    <t>CHAPS Payments/A-uchap/06-04-10/17:00 (prev)</t>
  </si>
  <si>
    <t>0180524170000560</t>
  </si>
  <si>
    <t>CHAPS Payments/A-uchap/07-04-10/17:00 (prev)</t>
  </si>
  <si>
    <t>0180524170000561</t>
  </si>
  <si>
    <t>CHAPS Payments/A-uchap/08-04-10/17:00 (prev)</t>
  </si>
  <si>
    <t>0180524170000562</t>
  </si>
  <si>
    <t>CHAPS Payments/A-uchap/09-04-10/17:00 (prev)</t>
  </si>
  <si>
    <t>0180524170000563</t>
  </si>
  <si>
    <t>CHAPS Payments/A-uchap/12-04-10/17:00 (prev)</t>
  </si>
  <si>
    <t>0180524170000564</t>
  </si>
  <si>
    <t>CHAPS Payments/A-uchap/14-04-10/17:00 (prev)</t>
  </si>
  <si>
    <t>0180524170000565</t>
  </si>
  <si>
    <t>CHAPS Payments/A-uchap/15-04-10/17:00 (prev)</t>
  </si>
  <si>
    <t>0180524170000566</t>
  </si>
  <si>
    <t>CHAPS Payments/A-uchap/16-04-10/17:00 (prev)</t>
  </si>
  <si>
    <t>0180524170000567</t>
  </si>
  <si>
    <t>CHAPS Payments/A-uchap/19-04-10/17:00 (prev)</t>
  </si>
  <si>
    <t>0180524170000568</t>
  </si>
  <si>
    <t>CHAPS Payments/A-uchap/20-04-10/17:00 (prev)</t>
  </si>
  <si>
    <t>0180524170000569</t>
  </si>
  <si>
    <t>CHAPS Payments/A-uchap/21-04-10/17:00 (prev)</t>
  </si>
  <si>
    <t>0180524170000570</t>
  </si>
  <si>
    <t>CHAPS Payments/A-uchap/22-04-10/17:00 (prev)</t>
  </si>
  <si>
    <t>0180524170000571</t>
  </si>
  <si>
    <t>CHAPS Payments/A-uchap/23-04-10/17:00 (prev)</t>
  </si>
  <si>
    <t>0180524170000572</t>
  </si>
  <si>
    <t>CHAPS Payments/A-uchap/26-04-10/17:00 (prev)</t>
  </si>
  <si>
    <t>0180524170000573</t>
  </si>
  <si>
    <t>CHAPS Payments/A-uchap/27-04-10/17:00 (prev)</t>
  </si>
  <si>
    <t>0180524170000574</t>
  </si>
  <si>
    <t>CHAPS Payments/A-uchap/28-04-10/17:00 (prev)</t>
  </si>
  <si>
    <t>0180524170000575</t>
  </si>
  <si>
    <t>CHAPS Payments/A-uchap/29-04-10/17:00 (prev)</t>
  </si>
  <si>
    <t>0180524170000576</t>
  </si>
  <si>
    <t>CHAPS Payments/A-uchap/30-04-10/17:00 (prev)</t>
  </si>
  <si>
    <t>0180524170000577</t>
  </si>
  <si>
    <t>CREST/A-crest/04-01-10/17:00 (prev)</t>
  </si>
  <si>
    <t>0180524170000578</t>
  </si>
  <si>
    <t>CREST/A-crest/08-01-10/17:00 (prev)</t>
  </si>
  <si>
    <t>0180524170000579</t>
  </si>
  <si>
    <t>CREST/A-crest/15-01-10/17:00 (prev)</t>
  </si>
  <si>
    <t>0180524170000580</t>
  </si>
  <si>
    <t>CREST/A-crest/22-01-10/17:00 (prev)</t>
  </si>
  <si>
    <t>0180524170000581</t>
  </si>
  <si>
    <t>CREST/A-crest/29-01-10/17:00 (prev)</t>
  </si>
  <si>
    <t>0180524170000582</t>
  </si>
  <si>
    <t>CREST/A-crest/05-02-10/17:00 (prev)</t>
  </si>
  <si>
    <t>0180524170000583</t>
  </si>
  <si>
    <t>CREST/A-crest/12-02-10/17:00 (prev)</t>
  </si>
  <si>
    <t>0180524170000584</t>
  </si>
  <si>
    <t>CREST/A-crest/19-02-10/17:00 (prev)</t>
  </si>
  <si>
    <t>0180524170000585</t>
  </si>
  <si>
    <t>CREST/A-crest/26-02-10/17:00 (prev)</t>
  </si>
  <si>
    <t>0180524170000586</t>
  </si>
  <si>
    <t>CREST/A-crest/05-03-10/17:00 (prev)</t>
  </si>
  <si>
    <t>0180524170000587</t>
  </si>
  <si>
    <t>CREST/A-crest/12-03-10/17:00 (prev)</t>
  </si>
  <si>
    <t>0180524170000588</t>
  </si>
  <si>
    <t>CREST/A-crest/19-03-10/17:00 (prev)</t>
  </si>
  <si>
    <t>0180524170000589</t>
  </si>
  <si>
    <t>CREST/A-crest/26-03-10/17:00 (prev)</t>
  </si>
  <si>
    <t>0180524170000590</t>
  </si>
  <si>
    <t>CREST/A-crest/06-04-10/17:00 (prev)</t>
  </si>
  <si>
    <t>0180524170000591</t>
  </si>
  <si>
    <t>CREST/A-crest/09-04-10/17:00 (prev)</t>
  </si>
  <si>
    <t>0180524170000592</t>
  </si>
  <si>
    <t>CREST/A-crest/16-04-10/17:00 (prev)</t>
  </si>
  <si>
    <t>0180524170000593</t>
  </si>
  <si>
    <t>CREST/A-crest/23-04-10/17:00 (prev)</t>
  </si>
  <si>
    <t>0180524170000594</t>
  </si>
  <si>
    <t>CREST/A-crest/30-04-10/17:00 (prev)</t>
  </si>
  <si>
    <t>0180524170000595</t>
  </si>
  <si>
    <t>Education/D-ed/04-01-10/17:00 (prev)</t>
  </si>
  <si>
    <t>0180524170000596</t>
  </si>
  <si>
    <t>Education/D-ed/05-01-10/17:00 (prev)</t>
  </si>
  <si>
    <t>0180524170000597</t>
  </si>
  <si>
    <t>Education/D-ed/06-01-10/17:00 (prev)</t>
  </si>
  <si>
    <t>0180524170000598</t>
  </si>
  <si>
    <t>Education/D-ed/07-01-10/17:00 (prev)</t>
  </si>
  <si>
    <t>0180524170000599</t>
  </si>
  <si>
    <t>Education/D-ed/08-01-10/17:00 (prev)</t>
  </si>
  <si>
    <t>0180524170000600</t>
  </si>
  <si>
    <t>Education/D-ed/11-01-10/17:00 (prev)</t>
  </si>
  <si>
    <t>0180524170000601</t>
  </si>
  <si>
    <t>Education/D-ed/12-01-10/17:00 (prev)</t>
  </si>
  <si>
    <t>0180524170000602</t>
  </si>
  <si>
    <t>Education/D-ed/02-02-10/17:00 (prev)</t>
  </si>
  <si>
    <t>0180524170000603</t>
  </si>
  <si>
    <t>Education/D-ed/03-02-10/17:00 (prev)</t>
  </si>
  <si>
    <t>0180524170000604</t>
  </si>
  <si>
    <t>Education/D-ed/04-02-10/17:00 (prev)</t>
  </si>
  <si>
    <t>0180524170000605</t>
  </si>
  <si>
    <t>Education/D-ed/05-02-10/17:00 (prev)</t>
  </si>
  <si>
    <t>0180524170000606</t>
  </si>
  <si>
    <t>Education/D-ed/08-02-10/17:00 (prev)</t>
  </si>
  <si>
    <t>0180524170000607</t>
  </si>
  <si>
    <t>Education/D-ed/09-02-10/17:00 (prev)</t>
  </si>
  <si>
    <t>0180524170000608</t>
  </si>
  <si>
    <t>Education/D-ed/02-03-10/17:00 (prev)</t>
  </si>
  <si>
    <t>0180524170000609</t>
  </si>
  <si>
    <t>Education/D-ed/03-03-10/17:00 (prev)</t>
  </si>
  <si>
    <t>0180524170000610</t>
  </si>
  <si>
    <t>Education/D-ed/04-03-10/17:00 (prev)</t>
  </si>
  <si>
    <t>0180524170000611</t>
  </si>
  <si>
    <t>Education/D-ed/05-03-10/17:00 (prev)</t>
  </si>
  <si>
    <t>0180524170000612</t>
  </si>
  <si>
    <t>Education/D-ed/08-03-10/17:00 (prev)</t>
  </si>
  <si>
    <t>0180524170000613</t>
  </si>
  <si>
    <t>Education/D-ed/09-03-10/17:00 (prev)</t>
  </si>
  <si>
    <t>0180524170000614</t>
  </si>
  <si>
    <t>Education/D-ed/10-03-10/17:00 (prev)</t>
  </si>
  <si>
    <t>0180524170000615</t>
  </si>
  <si>
    <t>Education/D-ed/06-04-10/17:00 (prev)</t>
  </si>
  <si>
    <t>0180524170000616</t>
  </si>
  <si>
    <t>Education/D-ed/07-04-10/17:00 (prev)</t>
  </si>
  <si>
    <t>0180524170000617</t>
  </si>
  <si>
    <t>Education/D-ed/08-04-10/17:00 (prev)</t>
  </si>
  <si>
    <t>0180524170000618</t>
  </si>
  <si>
    <t>Education/D-ed/09-04-10/17:00 (prev)</t>
  </si>
  <si>
    <t>0180524170000619</t>
  </si>
  <si>
    <t>Education/D-ed/12-04-10/17:00 (prev)</t>
  </si>
  <si>
    <t>0180524170000620</t>
  </si>
  <si>
    <t>English Receipts/B-eng/04-01-10/17:00 (prev)</t>
  </si>
  <si>
    <t>0180524170000621</t>
  </si>
  <si>
    <t>English Receipts/B-eng/05-01-10/17:00 (prev)</t>
  </si>
  <si>
    <t>0180524170000622</t>
  </si>
  <si>
    <t>English Receipts/B-eng/06-01-10/17:00 (prev)</t>
  </si>
  <si>
    <t>0180524170000623</t>
  </si>
  <si>
    <t>English Receipts/B-eng/07-01-10/17:00 (prev)</t>
  </si>
  <si>
    <t>0180524170000624</t>
  </si>
  <si>
    <t>English Receipts/B-eng/08-01-10/17:00 (prev)</t>
  </si>
  <si>
    <t>0180524170000625</t>
  </si>
  <si>
    <t>English Receipts/B-eng/11-01-10/17:00 (prev)</t>
  </si>
  <si>
    <t>0180524170000626</t>
  </si>
  <si>
    <t>English Receipts/B-eng/12-01-10/17:00 (prev)</t>
  </si>
  <si>
    <t>0180524170000627</t>
  </si>
  <si>
    <t>English Receipts/B-eng/13-01-10/17:00 (prev)</t>
  </si>
  <si>
    <t>0180524170000628</t>
  </si>
  <si>
    <t>English Receipts/B-eng/14-01-10/17:00 (prev)</t>
  </si>
  <si>
    <t>0180524170000629</t>
  </si>
  <si>
    <t>English Receipts/B-eng/15-01-10/17:00 (prev)</t>
  </si>
  <si>
    <t>0180524170000630</t>
  </si>
  <si>
    <t>English Receipts/B-eng/18-01-10/17:00 (prev)</t>
  </si>
  <si>
    <t>0180524170000631</t>
  </si>
  <si>
    <t>English Receipts/B-eng/19-01-10/17:00 (prev)</t>
  </si>
  <si>
    <t>0180524170000632</t>
  </si>
  <si>
    <t>English Receipts/B-eng/20-01-10/17:00 (prev)</t>
  </si>
  <si>
    <t>0180524170000633</t>
  </si>
  <si>
    <t>English Receipts/B-eng/21-01-10/17:00 (prev)</t>
  </si>
  <si>
    <t>0180524170000634</t>
  </si>
  <si>
    <t>English Receipts/B-eng/22-01-10/17:00 (prev)</t>
  </si>
  <si>
    <t>0180524170000635</t>
  </si>
  <si>
    <t>English Receipts/B-eng/25-01-10/17:00 (prev)</t>
  </si>
  <si>
    <t>0180524170000636</t>
  </si>
  <si>
    <t>English Receipts/B-eng/26-01-10/17:00 (prev)</t>
  </si>
  <si>
    <t>0180524170000637</t>
  </si>
  <si>
    <t>English Receipts/B-eng/27-01-10/17:00 (prev)</t>
  </si>
  <si>
    <t>0180524170000638</t>
  </si>
  <si>
    <t>English Receipts/B-eng/28-01-10/17:00 (prev)</t>
  </si>
  <si>
    <t>0180524170000639</t>
  </si>
  <si>
    <t>English Receipts/B-eng/29-01-10/17:00 (prev)</t>
  </si>
  <si>
    <t>0180524170000640</t>
  </si>
  <si>
    <t>English Receipts/B-eng/01-02-10/17:00 (prev)</t>
  </si>
  <si>
    <t>0180524170000641</t>
  </si>
  <si>
    <t>English Receipts/B-eng/02-02-10/17:00 (prev)</t>
  </si>
  <si>
    <t>0180524170000642</t>
  </si>
  <si>
    <t>English Receipts/B-eng/03-02-10/17:00 (prev)</t>
  </si>
  <si>
    <t>0180524170000643</t>
  </si>
  <si>
    <t>English Receipts/B-eng/04-02-10/17:00 (prev)</t>
  </si>
  <si>
    <t>0180524170000644</t>
  </si>
  <si>
    <t>English Receipts/B-eng/05-02-10/17:00 (prev)</t>
  </si>
  <si>
    <t>0180524170000645</t>
  </si>
  <si>
    <t>English Receipts/B-eng/08-02-10/17:00 (prev)</t>
  </si>
  <si>
    <t>0180524170000646</t>
  </si>
  <si>
    <t>English Receipts/B-eng/09-02-10/17:00 (prev)</t>
  </si>
  <si>
    <t>0180524170000647</t>
  </si>
  <si>
    <t>English Receipts/B-eng/10-02-10/17:00 (prev)</t>
  </si>
  <si>
    <t>0180524170000648</t>
  </si>
  <si>
    <t>English Receipts/B-eng/11-02-10/17:00 (prev)</t>
  </si>
  <si>
    <t>0180524170000649</t>
  </si>
  <si>
    <t>English Receipts/B-eng/12-02-10/17:00 (prev)</t>
  </si>
  <si>
    <t>0180524170000650</t>
  </si>
  <si>
    <t>English Receipts/B-eng/15-02-10/17:00 (prev)</t>
  </si>
  <si>
    <t>0180524170000651</t>
  </si>
  <si>
    <t>English Receipts/B-eng/16-02-10/17:00 (prev)</t>
  </si>
  <si>
    <t>0180524170000652</t>
  </si>
  <si>
    <t>English Receipts/B-eng/17-02-10/17:00 (prev)</t>
  </si>
  <si>
    <t>0180524170000653</t>
  </si>
  <si>
    <t>English Receipts/B-eng/18-02-10/17:00 (prev)</t>
  </si>
  <si>
    <t>0180524170000654</t>
  </si>
  <si>
    <t>English Receipts/B-eng/19-02-10/17:00 (prev)</t>
  </si>
  <si>
    <t>0180524170000655</t>
  </si>
  <si>
    <t>English Receipts/B-eng/22-02-10/17:00 (prev)</t>
  </si>
  <si>
    <t>0180524170000656</t>
  </si>
  <si>
    <t>English Receipts/B-eng/23-02-10/17:00 (prev)</t>
  </si>
  <si>
    <t>0180524170000657</t>
  </si>
  <si>
    <t>English Receipts/B-eng/24-02-10/17:00 (prev)</t>
  </si>
  <si>
    <t>0180524170000658</t>
  </si>
  <si>
    <t>English Receipts/B-eng/25-02-10/17:00 (prev)</t>
  </si>
  <si>
    <t>0180524170000659</t>
  </si>
  <si>
    <t>English Receipts/B-eng/26-02-10/17:00 (prev)</t>
  </si>
  <si>
    <t>0180524170000660</t>
  </si>
  <si>
    <t>English Receipts/B-eng/01-03-10/17:00 (prev)</t>
  </si>
  <si>
    <t>0180524170000661</t>
  </si>
  <si>
    <t>English Receipts/B-eng/02-03-10/17:00 (prev)</t>
  </si>
  <si>
    <t>0180524170000662</t>
  </si>
  <si>
    <t>English Receipts/B-eng/03-03-10/17:00 (prev)</t>
  </si>
  <si>
    <t>0180524170000663</t>
  </si>
  <si>
    <t>English Receipts/B-eng/04-03-10/17:00 (prev)</t>
  </si>
  <si>
    <t>0180524170000664</t>
  </si>
  <si>
    <t>English Receipts/B-eng/05-03-10/17:00 (prev)</t>
  </si>
  <si>
    <t>0180524170000665</t>
  </si>
  <si>
    <t>English Receipts/B-eng/08-03-10/17:00 (prev)</t>
  </si>
  <si>
    <t>0180524170000666</t>
  </si>
  <si>
    <t>English Receipts/B-eng/09-03-10/17:00 (prev)</t>
  </si>
  <si>
    <t>0180524170000667</t>
  </si>
  <si>
    <t>English Receipts/B-eng/10-03-10/17:00 (prev)</t>
  </si>
  <si>
    <t>0180524170000668</t>
  </si>
  <si>
    <t>English Receipts/B-eng/11-03-10/17:00 (prev)</t>
  </si>
  <si>
    <t>0180524170000669</t>
  </si>
  <si>
    <t>English Receipts/B-eng/12-03-10/17:00 (prev)</t>
  </si>
  <si>
    <t>0180524170000670</t>
  </si>
  <si>
    <t>English Receipts/B-eng/15-03-10/17:00 (prev)</t>
  </si>
  <si>
    <t>0180524170000671</t>
  </si>
  <si>
    <t>English Receipts/B-eng/16-03-10/17:00 (prev)</t>
  </si>
  <si>
    <t>0180524170000672</t>
  </si>
  <si>
    <t>English Receipts/B-eng/17-03-10/17:00 (prev)</t>
  </si>
  <si>
    <t>0180524170000673</t>
  </si>
  <si>
    <t>English Receipts/B-eng/18-03-10/17:00 (prev)</t>
  </si>
  <si>
    <t>0180524170000674</t>
  </si>
  <si>
    <t>English Receipts/B-eng/19-03-10/17:00 (prev)</t>
  </si>
  <si>
    <t>0180524170000675</t>
  </si>
  <si>
    <t>English Receipts/B-eng/23-03-10/17:00 (prev)</t>
  </si>
  <si>
    <t>0180524170000676</t>
  </si>
  <si>
    <t>English Receipts/B-eng/24-03-10/17:00 (prev)</t>
  </si>
  <si>
    <t>0180524170000677</t>
  </si>
  <si>
    <t>English Receipts/B-eng/25-03-10/17:00 (prev)</t>
  </si>
  <si>
    <t>0180524170000678</t>
  </si>
  <si>
    <t>English Receipts/B-eng/26-03-10/17:00 (prev)</t>
  </si>
  <si>
    <t>0180524170000679</t>
  </si>
  <si>
    <t>English Receipts/B-eng/30-03-10/17:00 (prev)</t>
  </si>
  <si>
    <t>0180524170000680</t>
  </si>
  <si>
    <t>English Receipts/B-eng/31-03-10/17:00 (prev)</t>
  </si>
  <si>
    <t>0180524170000681</t>
  </si>
  <si>
    <t>English Receipts/B-eng/01-04-10/17:00 (prev)</t>
  </si>
  <si>
    <t>0180524170000682</t>
  </si>
  <si>
    <t>English Receipts/B-eng/06-04-10/17:00 (prev)</t>
  </si>
  <si>
    <t>0180524170000683</t>
  </si>
  <si>
    <t>English Receipts/B-eng/07-04-10/17:00 (prev)</t>
  </si>
  <si>
    <t>0180524170000684</t>
  </si>
  <si>
    <t>English Receipts/B-eng/08-04-10/17:00 (prev)</t>
  </si>
  <si>
    <t>0180524170000685</t>
  </si>
  <si>
    <t>English Receipts/B-eng/09-04-10/17:00 (prev)</t>
  </si>
  <si>
    <t>0180524170000686</t>
  </si>
  <si>
    <t>English Receipts/B-eng/12-04-10/17:00 (prev)</t>
  </si>
  <si>
    <t>0180524170000687</t>
  </si>
  <si>
    <t>English Receipts/B-eng/13-04-10/17:00 (prev)</t>
  </si>
  <si>
    <t>0180524170000688</t>
  </si>
  <si>
    <t>English Receipts/B-eng/14-04-10/17:00 (prev)</t>
  </si>
  <si>
    <t>0180524170000689</t>
  </si>
  <si>
    <t>English Receipts/B-eng/15-04-10/17:00 (prev)</t>
  </si>
  <si>
    <t>0180524170000690</t>
  </si>
  <si>
    <t>English Receipts/B-eng/16-04-10/17:00 (prev)</t>
  </si>
  <si>
    <t>0180524170000691</t>
  </si>
  <si>
    <t>English Receipts/B-eng/19-04-10/17:00 (prev)</t>
  </si>
  <si>
    <t>0180524170000692</t>
  </si>
  <si>
    <t>English Receipts/B-eng/20-04-10/17:00 (prev)</t>
  </si>
  <si>
    <t>0180524170000693</t>
  </si>
  <si>
    <t>English Receipts/B-eng/21-04-10/17:00 (prev)</t>
  </si>
  <si>
    <t>0180524170000694</t>
  </si>
  <si>
    <t>English Receipts/B-eng/22-04-10/17:00 (prev)</t>
  </si>
  <si>
    <t>0180524170000695</t>
  </si>
  <si>
    <t>English Receipts/B-eng/23-04-10/17:00 (prev)</t>
  </si>
  <si>
    <t>0180524170000696</t>
  </si>
  <si>
    <t>English Receipts/B-eng/26-04-10/17:00 (prev)</t>
  </si>
  <si>
    <t>0180524170000697</t>
  </si>
  <si>
    <t>English Receipts/B-eng/27-04-10/17:00 (prev)</t>
  </si>
  <si>
    <t>0180524170000698</t>
  </si>
  <si>
    <t>English Receipts/B-eng/28-04-10/17:00 (prev)</t>
  </si>
  <si>
    <t>0180524170000699</t>
  </si>
  <si>
    <t>English Receipts/B-eng/29-04-10/17:00 (prev)</t>
  </si>
  <si>
    <t>0180524170000700</t>
  </si>
  <si>
    <t>English Receipts/B-eng/30-04-10/17:00 (prev)</t>
  </si>
  <si>
    <t>0180524170000701</t>
  </si>
  <si>
    <t>In Credit Clearing/B-vetf/04-01-10/17:00 (prev)</t>
  </si>
  <si>
    <t>0180524170000702</t>
  </si>
  <si>
    <t>In Credit Clearing/B-vetf/05-01-10/17:00 (prev)</t>
  </si>
  <si>
    <t>0180524170000703</t>
  </si>
  <si>
    <t>In Credit Clearing/B-vetf/06-01-10/17:00 (prev)</t>
  </si>
  <si>
    <t>0180524170000704</t>
  </si>
  <si>
    <t>In Credit Clearing/B-vetf/07-01-10/17:00 (prev)</t>
  </si>
  <si>
    <t>0180524170000705</t>
  </si>
  <si>
    <t>In Credit Clearing/B-vetf/08-01-10/17:00 (prev)</t>
  </si>
  <si>
    <t>0180524170000706</t>
  </si>
  <si>
    <t>In Credit Clearing/B-vetf/11-01-10/17:00 (prev)</t>
  </si>
  <si>
    <t>0180524170000707</t>
  </si>
  <si>
    <t>In Credit Clearing/B-vetf/12-01-10/17:00 (prev)</t>
  </si>
  <si>
    <t>0180524170000708</t>
  </si>
  <si>
    <t>In Credit Clearing/B-vetf/14-01-10/17:00 (prev)</t>
  </si>
  <si>
    <t>0180524170000709</t>
  </si>
  <si>
    <t>In Credit Clearing/B-vetf/15-01-10/17:00 (prev)</t>
  </si>
  <si>
    <t>0180524170000710</t>
  </si>
  <si>
    <t>In Credit Clearing/B-vetf/18-01-10/17:00 (prev)</t>
  </si>
  <si>
    <t>0180524170000711</t>
  </si>
  <si>
    <t>In Credit Clearing/B-vetf/21-01-10/17:00 (prev)</t>
  </si>
  <si>
    <t>0180524170000712</t>
  </si>
  <si>
    <t>In Credit Clearing/B-vetf/22-01-10/17:00 (prev)</t>
  </si>
  <si>
    <t>0180524170000713</t>
  </si>
  <si>
    <t>In Credit Clearing/B-vetf/25-01-10/17:00 (prev)</t>
  </si>
  <si>
    <t>0180524170000714</t>
  </si>
  <si>
    <t>In Credit Clearing/B-vetf/26-01-10/17:00 (prev)</t>
  </si>
  <si>
    <t>0180524170000715</t>
  </si>
  <si>
    <t>In Credit Clearing/B-vetf/27-01-10/17:00 (prev)</t>
  </si>
  <si>
    <t>0180524170000716</t>
  </si>
  <si>
    <t>In Credit Clearing/B-vetf/28-01-10/17:00 (prev)</t>
  </si>
  <si>
    <t>0180524170000717</t>
  </si>
  <si>
    <t>In Credit Clearing/B-vetf/29-01-10/17:00 (prev)</t>
  </si>
  <si>
    <t>0180524170000718</t>
  </si>
  <si>
    <t>In Credit Clearing/B-vetf/01-02-10/17:00 (prev)</t>
  </si>
  <si>
    <t>0180524170000719</t>
  </si>
  <si>
    <t>In Credit Clearing/B-vetf/02-02-10/17:00 (prev)</t>
  </si>
  <si>
    <t>0180524170000720</t>
  </si>
  <si>
    <t>In Credit Clearing/B-vetf/03-02-10/17:00 (prev)</t>
  </si>
  <si>
    <t>0180524170000721</t>
  </si>
  <si>
    <t>In Credit Clearing/B-vetf/04-02-10/17:00 (prev)</t>
  </si>
  <si>
    <t>0180524170000722</t>
  </si>
  <si>
    <t>In Credit Clearing/B-vetf/05-02-10/17:00 (prev)</t>
  </si>
  <si>
    <t>0180524170000723</t>
  </si>
  <si>
    <t>In Credit Clearing/B-vetf/08-02-10/17:00 (prev)</t>
  </si>
  <si>
    <t>0180524170000724</t>
  </si>
  <si>
    <t>In Credit Clearing/B-vetf/09-02-10/17:00 (prev)</t>
  </si>
  <si>
    <t>0180524170000725</t>
  </si>
  <si>
    <t>In Credit Clearing/B-vetf/10-02-10/17:00 (prev)</t>
  </si>
  <si>
    <t>0180524170000726</t>
  </si>
  <si>
    <t>In Credit Clearing/B-vetf/12-02-10/17:00 (prev)</t>
  </si>
  <si>
    <t>0180524170000727</t>
  </si>
  <si>
    <t>In Credit Clearing/B-vetf/15-02-10/17:00 (prev)</t>
  </si>
  <si>
    <t>0180524170000728</t>
  </si>
  <si>
    <t>In Credit Clearing/B-vetf/17-02-10/17:00 (prev)</t>
  </si>
  <si>
    <t>0180524170000729</t>
  </si>
  <si>
    <t>In Credit Clearing/B-vetf/19-02-10/17:00 (prev)</t>
  </si>
  <si>
    <t>0180524170000730</t>
  </si>
  <si>
    <t>In Credit Clearing/B-vetf/23-02-10/17:00 (prev)</t>
  </si>
  <si>
    <t>0180524170000731</t>
  </si>
  <si>
    <t>In Credit Clearing/B-vetf/24-02-10/17:00 (prev)</t>
  </si>
  <si>
    <t>0180524170000732</t>
  </si>
  <si>
    <t>In Credit Clearing/B-vetf/25-02-10/17:00 (prev)</t>
  </si>
  <si>
    <t>0180524170000733</t>
  </si>
  <si>
    <t>In Credit Clearing/B-vetf/26-02-10/17:00 (prev)</t>
  </si>
  <si>
    <t>0180524170000734</t>
  </si>
  <si>
    <t>In Credit Clearing/B-vetf/01-03-10/17:00 (prev)</t>
  </si>
  <si>
    <t>0180524170000735</t>
  </si>
  <si>
    <t>In Credit Clearing/B-vetf/02-03-10/17:00 (prev)</t>
  </si>
  <si>
    <t>0180524170000736</t>
  </si>
  <si>
    <t>In Credit Clearing/B-vetf/03-03-10/17:00 (prev)</t>
  </si>
  <si>
    <t>0180524170000737</t>
  </si>
  <si>
    <t>In Credit Clearing/B-vetf/04-03-10/17:00 (prev)</t>
  </si>
  <si>
    <t>0180524170000738</t>
  </si>
  <si>
    <t>In Credit Clearing/B-vetf/05-03-10/17:00 (prev)</t>
  </si>
  <si>
    <t>0180524170000739</t>
  </si>
  <si>
    <t>In Credit Clearing/B-vetf/08-03-10/17:00 (prev)</t>
  </si>
  <si>
    <t>0180524170000740</t>
  </si>
  <si>
    <t>In Credit Clearing/B-vetf/09-03-10/17:00 (prev)</t>
  </si>
  <si>
    <t>0180524170000741</t>
  </si>
  <si>
    <t>In Credit Clearing/B-vetf/10-03-10/17:00 (prev)</t>
  </si>
  <si>
    <t>0180524170000742</t>
  </si>
  <si>
    <t>In Credit Clearing/B-vetf/11-03-10/17:00 (prev)</t>
  </si>
  <si>
    <t>0180524170000743</t>
  </si>
  <si>
    <t>In Credit Clearing/B-vetf/15-03-10/17:00 (prev)</t>
  </si>
  <si>
    <t>0180524170000744</t>
  </si>
  <si>
    <t>In Credit Clearing/B-vetf/16-03-10/17:00 (prev)</t>
  </si>
  <si>
    <t>0180524170000745</t>
  </si>
  <si>
    <t>In Credit Clearing/B-vetf/23-03-10/17:00 (prev)</t>
  </si>
  <si>
    <t>0180524170000746</t>
  </si>
  <si>
    <t>In Credit Clearing/B-vetf/24-03-10/17:00 (prev)</t>
  </si>
  <si>
    <t>0180524170000747</t>
  </si>
  <si>
    <t>In Credit Clearing/B-vetf/25-03-10/17:00 (prev)</t>
  </si>
  <si>
    <t>0180524170000748</t>
  </si>
  <si>
    <t>In Credit Clearing/B-vetf/26-03-10/17:00 (prev)</t>
  </si>
  <si>
    <t>0180524170000749</t>
  </si>
  <si>
    <t>In Credit Clearing/B-vetf/29-03-10/17:00 (prev)</t>
  </si>
  <si>
    <t>0180524170000750</t>
  </si>
  <si>
    <t>In Credit Clearing/B-vetf/30-03-10/17:00 (prev)</t>
  </si>
  <si>
    <t>0180524170000751</t>
  </si>
  <si>
    <t>In Credit Clearing/B-vetf/31-03-10/17:00 (prev)</t>
  </si>
  <si>
    <t>0180524170000752</t>
  </si>
  <si>
    <t>In Credit Clearing/B-vetf/01-04-10/17:00 (prev)</t>
  </si>
  <si>
    <t>0180524170000753</t>
  </si>
  <si>
    <t>In Credit Clearing/B-vetf/06-04-10/17:00 (prev)</t>
  </si>
  <si>
    <t>0180524170000754</t>
  </si>
  <si>
    <t>In Credit Clearing/B-vetf/07-04-10/17:00 (prev)</t>
  </si>
  <si>
    <t>0180524170000755</t>
  </si>
  <si>
    <t>In Credit Clearing/B-vetf/08-04-10/17:00 (prev)</t>
  </si>
  <si>
    <t>0180524170000756</t>
  </si>
  <si>
    <t>In Credit Clearing/B-vetf/09-04-10/17:00 (prev)</t>
  </si>
  <si>
    <t>0180524170000757</t>
  </si>
  <si>
    <t>In Credit Clearing/B-vetf/12-04-10/17:00 (prev)</t>
  </si>
  <si>
    <t>0180524170000758</t>
  </si>
  <si>
    <t>In Credit Clearing/B-vetf/13-04-10/17:00 (prev)</t>
  </si>
  <si>
    <t>0180524170000759</t>
  </si>
  <si>
    <t>In Credit Clearing/B-vetf/14-04-10/17:00 (prev)</t>
  </si>
  <si>
    <t>0180524170000760</t>
  </si>
  <si>
    <t>In Credit Clearing/B-vetf/19-04-10/17:00 (prev)</t>
  </si>
  <si>
    <t>0180524170000761</t>
  </si>
  <si>
    <t>In Credit Clearing/B-vetf/21-04-10/17:00 (prev)</t>
  </si>
  <si>
    <t>0180524170000762</t>
  </si>
  <si>
    <t>In Credit Clearing/B-vetf/22-04-10/17:00 (prev)</t>
  </si>
  <si>
    <t>0180524170000763</t>
  </si>
  <si>
    <t>In Credit Clearing/B-vetf/23-04-10/17:00 (prev)</t>
  </si>
  <si>
    <t>0180524170000764</t>
  </si>
  <si>
    <t>In Credit Clearing/B-vetf/27-04-10/17:00 (prev)</t>
  </si>
  <si>
    <t>0180524170000765</t>
  </si>
  <si>
    <t>In Credit Clearing/B-vetf/28-04-10/17:00 (prev)</t>
  </si>
  <si>
    <t>0180524170000766</t>
  </si>
  <si>
    <t>In Credit Clearing/B-vetf/29-04-10/17:00 (prev)</t>
  </si>
  <si>
    <t>0180524170000767</t>
  </si>
  <si>
    <t>In Credit Clearing/B-vetf/30-04-10/17:00 (prev)</t>
  </si>
  <si>
    <t>0180524170000768</t>
  </si>
  <si>
    <t>In Debit Clearing/B-vmtf/19-03-10/17:00 (prev)</t>
  </si>
  <si>
    <t>0180524170000769</t>
  </si>
  <si>
    <t>In Debit Clearing/B-vmtf/22-03-10/17:00 (prev)</t>
  </si>
  <si>
    <t>0180524170000770</t>
  </si>
  <si>
    <t>In Debit Clearing/B-vmtf/23-03-10/17:00 (prev)</t>
  </si>
  <si>
    <t>0180524170000771</t>
  </si>
  <si>
    <t>In Debit Clearing/B-vmtf/24-03-10/17:00 (prev)</t>
  </si>
  <si>
    <t>0180524170000772</t>
  </si>
  <si>
    <t>In Debit Clearing/B-vmtf/26-03-10/17:00 (prev)</t>
  </si>
  <si>
    <t>0180524170000773</t>
  </si>
  <si>
    <t>In Debit Clearing/B-vmtf/29-03-10/17:00 (prev)</t>
  </si>
  <si>
    <t>0180524170000774</t>
  </si>
  <si>
    <t>In Debit Clearing/B-vmtf/30-03-10/17:00 (prev)</t>
  </si>
  <si>
    <t>0180524170000775</t>
  </si>
  <si>
    <t>In Debit Clearing/B-vmtf/31-03-10/17:00 (prev)</t>
  </si>
  <si>
    <t>0180524170000776</t>
  </si>
  <si>
    <t>In Debit Clearing/B-vmtf/01-04-10/17:00 (prev)</t>
  </si>
  <si>
    <t>0180524170000777</t>
  </si>
  <si>
    <t>In Debit Clearing/B-vmtf/06-04-10/17:00 (prev)</t>
  </si>
  <si>
    <t>0180524170000778</t>
  </si>
  <si>
    <t>In Debit Clearing/B-vmtf/07-04-10/17:00 (prev)</t>
  </si>
  <si>
    <t>0180524170000779</t>
  </si>
  <si>
    <t>In Debit Clearing/B-vmtf/08-04-10/17:00 (prev)</t>
  </si>
  <si>
    <t>0180524170000780</t>
  </si>
  <si>
    <t>In Debit Clearing/B-vmtf/09-04-10/17:00 (prev)</t>
  </si>
  <si>
    <t>0180524170000781</t>
  </si>
  <si>
    <t>In Debit Clearing/B-vmtf/12-04-10/17:00 (prev)</t>
  </si>
  <si>
    <t>0180524170000782</t>
  </si>
  <si>
    <t>In Debit Clearing/B-vmtf/13-04-10/17:00 (prev)</t>
  </si>
  <si>
    <t>0180524170000783</t>
  </si>
  <si>
    <t>In Debit Clearing/B-vmtf/14-04-10/17:00 (prev)</t>
  </si>
  <si>
    <t>0180524170000784</t>
  </si>
  <si>
    <t>In Debit Clearing/B-vmtf/15-04-10/17:00 (prev)</t>
  </si>
  <si>
    <t>0180524170000785</t>
  </si>
  <si>
    <t>In Debit Clearing/B-vmtf/16-04-10/17:00 (prev)</t>
  </si>
  <si>
    <t>0180524170000786</t>
  </si>
  <si>
    <t>In Debit Clearing/B-vmtf/19-04-10/17:00 (prev)</t>
  </si>
  <si>
    <t>0180524170000787</t>
  </si>
  <si>
    <t>In Debit Clearing/B-vmtf/20-04-10/17:00 (prev)</t>
  </si>
  <si>
    <t>0180524170000788</t>
  </si>
  <si>
    <t>In Debit Clearing/B-vmtf/21-04-10/17:00 (prev)</t>
  </si>
  <si>
    <t>0180524170000789</t>
  </si>
  <si>
    <t>In Debit Clearing/B-vmtf/22-04-10/17:00 (prev)</t>
  </si>
  <si>
    <t>0180524170000790</t>
  </si>
  <si>
    <t>In Debit Clearing/B-vmtf/23-04-10/17:00 (prev)</t>
  </si>
  <si>
    <t>0180524170000791</t>
  </si>
  <si>
    <t>In Debit Clearing/B-vmtf/26-04-10/17:00 (prev)</t>
  </si>
  <si>
    <t>0180524170000792</t>
  </si>
  <si>
    <t>In Debit Clearing/B-vmtf/27-04-10/17:00 (prev)</t>
  </si>
  <si>
    <t>0180524170000793</t>
  </si>
  <si>
    <t>In Debit Clearing/B-vmtf/28-04-10/17:00 (prev)</t>
  </si>
  <si>
    <t>0180524170000794</t>
  </si>
  <si>
    <t>In Debit Clearing/B-vmtf/29-04-10/17:00 (prev)</t>
  </si>
  <si>
    <t>0180524170000795</t>
  </si>
  <si>
    <t>In Debit Clearing/B-vmtf/30-04-10/17:00 (prev)</t>
  </si>
  <si>
    <t>0180524170000796</t>
  </si>
  <si>
    <t>Misc. PMG Receipts/D-mscPR/04-01-10/17:00 (prev)</t>
  </si>
  <si>
    <t>0180524170000797</t>
  </si>
  <si>
    <t>Misc. PMG Receipts/D-mscPR/05-01-10/17:00 (prev)</t>
  </si>
  <si>
    <t>0180524170000798</t>
  </si>
  <si>
    <t>Misc. PMG Receipts/D-mscPR/06-01-10/17:00 (prev)</t>
  </si>
  <si>
    <t>0180524170000799</t>
  </si>
  <si>
    <t>Misc. PMG Receipts/D-mscPR/07-01-10/17:00 (prev)</t>
  </si>
  <si>
    <t>0180524170000800</t>
  </si>
  <si>
    <t>Misc. PMG Receipts/D-mscPR/08-01-10/17:00 (prev)</t>
  </si>
  <si>
    <t>0180524170000801</t>
  </si>
  <si>
    <t>Misc. PMG Receipts/D-mscPR/11-01-10/17:00 (prev)</t>
  </si>
  <si>
    <t>0180524170000802</t>
  </si>
  <si>
    <t>Misc. PMG Receipts/D-mscPR/12-01-10/17:00 (prev)</t>
  </si>
  <si>
    <t>0180524170000803</t>
  </si>
  <si>
    <t>Misc. PMG Receipts/D-mscPR/13-01-10/17:00 (prev)</t>
  </si>
  <si>
    <t>0180524170000804</t>
  </si>
  <si>
    <t>Misc. PMG Receipts/D-mscPR/14-01-10/17:00 (prev)</t>
  </si>
  <si>
    <t>0180524170000805</t>
  </si>
  <si>
    <t>Misc. PMG Receipts/D-mscPR/15-01-10/17:00 (prev)</t>
  </si>
  <si>
    <t>0180524170000806</t>
  </si>
  <si>
    <t>Misc. PMG Receipts/D-mscPR/18-01-10/17:00 (prev)</t>
  </si>
  <si>
    <t>0180524170000807</t>
  </si>
  <si>
    <t>Misc. PMG Receipts/D-mscPR/19-01-10/17:00 (prev)</t>
  </si>
  <si>
    <t>0180524170000808</t>
  </si>
  <si>
    <t>Misc. PMG Receipts/D-mscPR/20-01-10/17:00 (prev)</t>
  </si>
  <si>
    <t>0180524170000809</t>
  </si>
  <si>
    <t>Misc. PMG Receipts/D-mscPR/21-01-10/17:00 (prev)</t>
  </si>
  <si>
    <t>0180524170000810</t>
  </si>
  <si>
    <t>Misc. PMG Receipts/D-mscPR/22-01-10/17:00 (prev)</t>
  </si>
  <si>
    <t>0180524170000811</t>
  </si>
  <si>
    <t>Misc. PMG Receipts/D-mscPR/25-01-10/17:00 (prev)</t>
  </si>
  <si>
    <t>0180524170000812</t>
  </si>
  <si>
    <t>Misc. PMG Receipts/D-mscPR/26-01-10/17:00 (prev)</t>
  </si>
  <si>
    <t>0180524170000813</t>
  </si>
  <si>
    <t>Misc. PMG Receipts/D-mscPR/27-01-10/17:00 (prev)</t>
  </si>
  <si>
    <t>0180524170000814</t>
  </si>
  <si>
    <t>Misc. PMG Receipts/D-mscPR/28-01-10/17:00 (prev)</t>
  </si>
  <si>
    <t>0180524170000815</t>
  </si>
  <si>
    <t>Misc. PMG Receipts/D-mscPR/29-01-10/17:00 (prev)</t>
  </si>
  <si>
    <t>0180524170000816</t>
  </si>
  <si>
    <t>Misc. PMG Receipts/D-mscPR/01-02-10/17:00 (prev)</t>
  </si>
  <si>
    <t>0180524170000817</t>
  </si>
  <si>
    <t>Misc. PMG Receipts/D-mscPR/02-02-10/17:00 (prev)</t>
  </si>
  <si>
    <t>0180524170000818</t>
  </si>
  <si>
    <t>Misc. PMG Receipts/D-mscPR/03-02-10/17:00 (prev)</t>
  </si>
  <si>
    <t>0180524170000819</t>
  </si>
  <si>
    <t>Misc. PMG Receipts/D-mscPR/04-02-10/17:00 (prev)</t>
  </si>
  <si>
    <t>0180524170000820</t>
  </si>
  <si>
    <t>Misc. PMG Receipts/D-mscPR/05-02-10/17:00 (prev)</t>
  </si>
  <si>
    <t>0180524170000821</t>
  </si>
  <si>
    <t>Misc. PMG Receipts/D-mscPR/08-02-10/17:00 (prev)</t>
  </si>
  <si>
    <t>0180524170000822</t>
  </si>
  <si>
    <t>Misc. PMG Receipts/D-mscPR/09-02-10/17:00 (prev)</t>
  </si>
  <si>
    <t>0180524170000823</t>
  </si>
  <si>
    <t>Misc. PMG Receipts/D-mscPR/10-02-10/17:00 (prev)</t>
  </si>
  <si>
    <t>0180524170000824</t>
  </si>
  <si>
    <t>Misc. PMG Receipts/D-mscPR/11-02-10/17:00 (prev)</t>
  </si>
  <si>
    <t>0180524170000825</t>
  </si>
  <si>
    <t>Misc. PMG Receipts/D-mscPR/12-02-10/17:00 (prev)</t>
  </si>
  <si>
    <t>0180524170000826</t>
  </si>
  <si>
    <t>Misc. PMG Receipts/D-mscPR/15-02-10/17:00 (prev)</t>
  </si>
  <si>
    <t>0180524170000827</t>
  </si>
  <si>
    <t>Misc. PMG Receipts/D-mscPR/16-02-10/17:00 (prev)</t>
  </si>
  <si>
    <t>0180524170000828</t>
  </si>
  <si>
    <t>Misc. PMG Receipts/D-mscPR/17-02-10/17:00 (prev)</t>
  </si>
  <si>
    <t>0180524170000829</t>
  </si>
  <si>
    <t>Misc. PMG Receipts/D-mscPR/18-02-10/17:00 (prev)</t>
  </si>
  <si>
    <t>0180524170000830</t>
  </si>
  <si>
    <t>Misc. PMG Receipts/D-mscPR/19-02-10/17:00 (prev)</t>
  </si>
  <si>
    <t>0180524170000831</t>
  </si>
  <si>
    <t>Misc. PMG Receipts/D-mscPR/22-02-10/17:00 (prev)</t>
  </si>
  <si>
    <t>0180524170000832</t>
  </si>
  <si>
    <t>Misc. PMG Receipts/D-mscPR/23-02-10/17:00 (prev)</t>
  </si>
  <si>
    <t>0180524170000833</t>
  </si>
  <si>
    <t>Misc. PMG Receipts/D-mscPR/24-02-10/17:00 (prev)</t>
  </si>
  <si>
    <t>0180524170000834</t>
  </si>
  <si>
    <t>Misc. PMG Receipts/D-mscPR/25-02-10/17:00 (prev)</t>
  </si>
  <si>
    <t>0180524170000835</t>
  </si>
  <si>
    <t>Misc. PMG Receipts/D-mscPR/26-02-10/17:00 (prev)</t>
  </si>
  <si>
    <t>0180524170000836</t>
  </si>
  <si>
    <t>Misc. PMG Receipts/D-mscPR/01-03-10/17:00 (prev)</t>
  </si>
  <si>
    <t>0180524170000837</t>
  </si>
  <si>
    <t>Misc. PMG Receipts/D-mscPR/02-03-10/17:00 (prev)</t>
  </si>
  <si>
    <t>0180524170000838</t>
  </si>
  <si>
    <t>Misc. PMG Receipts/D-mscPR/03-03-10/17:00 (prev)</t>
  </si>
  <si>
    <t>0180524170000839</t>
  </si>
  <si>
    <t>Misc. PMG Receipts/D-mscPR/04-03-10/17:00 (prev)</t>
  </si>
  <si>
    <t>0180524170000840</t>
  </si>
  <si>
    <t>Misc. PMG Receipts/D-mscPR/05-03-10/17:00 (prev)</t>
  </si>
  <si>
    <t>0180524170000841</t>
  </si>
  <si>
    <t>Misc. PMG Receipts/D-mscPR/08-03-10/17:00 (prev)</t>
  </si>
  <si>
    <t>0180524170000842</t>
  </si>
  <si>
    <t>Misc. PMG Receipts/D-mscPR/09-03-10/17:00 (prev)</t>
  </si>
  <si>
    <t>0180524170000843</t>
  </si>
  <si>
    <t>Misc. PMG Receipts/D-mscPR/10-03-10/17:00 (prev)</t>
  </si>
  <si>
    <t>0180524170000844</t>
  </si>
  <si>
    <t>Misc. PMG Receipts/D-mscPR/11-03-10/17:00 (prev)</t>
  </si>
  <si>
    <t>0180524170000845</t>
  </si>
  <si>
    <t>Misc. PMG Receipts/D-mscPR/12-03-10/17:00 (prev)</t>
  </si>
  <si>
    <t>0180524170000846</t>
  </si>
  <si>
    <t>Misc. PMG Receipts/D-mscPR/15-03-10/17:00 (prev)</t>
  </si>
  <si>
    <t>0180524170000847</t>
  </si>
  <si>
    <t>Misc. PMG Receipts/D-mscPR/16-03-10/17:00 (prev)</t>
  </si>
  <si>
    <t>0180524170000848</t>
  </si>
  <si>
    <t>Misc. PMG Receipts/D-mscPR/17-03-10/17:00 (prev)</t>
  </si>
  <si>
    <t>0180524170000849</t>
  </si>
  <si>
    <t>Misc. PMG Receipts/D-mscPR/18-03-10/17:00 (prev)</t>
  </si>
  <si>
    <t>0180524170000850</t>
  </si>
  <si>
    <t>Misc. PMG Receipts/D-mscPR/19-03-10/17:00 (prev)</t>
  </si>
  <si>
    <t>0180524170000851</t>
  </si>
  <si>
    <t>Misc. PMG Receipts/D-mscPR/22-03-10/17:00 (prev)</t>
  </si>
  <si>
    <t>0180524170000852</t>
  </si>
  <si>
    <t>Misc. PMG Receipts/D-mscPR/23-03-10/17:00 (prev)</t>
  </si>
  <si>
    <t>0180524170000853</t>
  </si>
  <si>
    <t>Misc. PMG Receipts/D-mscPR/24-03-10/17:00 (prev)</t>
  </si>
  <si>
    <t>0180524170000854</t>
  </si>
  <si>
    <t>Misc. PMG Receipts/D-mscPR/25-03-10/17:00 (prev)</t>
  </si>
  <si>
    <t>0180524170000855</t>
  </si>
  <si>
    <t>Misc. PMG Receipts/D-mscPR/26-03-10/17:00 (prev)</t>
  </si>
  <si>
    <t>0180524170000856</t>
  </si>
  <si>
    <t>Misc. PMG Receipts/D-mscPR/29-03-10/17:00 (prev)</t>
  </si>
  <si>
    <t>0180524170000857</t>
  </si>
  <si>
    <t>Misc. PMG Receipts/D-mscPR/30-03-10/17:00 (prev)</t>
  </si>
  <si>
    <t>0180524170000858</t>
  </si>
  <si>
    <t>Misc. PMG Receipts/D-mscPR/31-03-10/17:00 (prev)</t>
  </si>
  <si>
    <t>0180524170000859</t>
  </si>
  <si>
    <t>Misc. PMG Receipts/D-mscPR/01-04-10/17:00 (prev)</t>
  </si>
  <si>
    <t>0180524170000860</t>
  </si>
  <si>
    <t>Misc. PMG Receipts/D-mscPR/06-04-10/17:00 (prev)</t>
  </si>
  <si>
    <t>0180524170000861</t>
  </si>
  <si>
    <t>Misc. PMG Receipts/D-mscPR/07-04-10/17:00 (prev)</t>
  </si>
  <si>
    <t>0180524170000862</t>
  </si>
  <si>
    <t>Misc. PMG Receipts/D-mscPR/08-04-10/17:00 (prev)</t>
  </si>
  <si>
    <t>0180524170000863</t>
  </si>
  <si>
    <t>Misc. PMG Receipts/D-mscPR/09-04-10/17:00 (prev)</t>
  </si>
  <si>
    <t>0180524170000864</t>
  </si>
  <si>
    <t>Misc. PMG Receipts/D-mscPR/12-04-10/17:00 (prev)</t>
  </si>
  <si>
    <t>0180524170000865</t>
  </si>
  <si>
    <t>Misc. PMG Receipts/D-mscPR/13-04-10/17:00 (prev)</t>
  </si>
  <si>
    <t>0180524170000866</t>
  </si>
  <si>
    <t>Misc. PMG Receipts/D-mscPR/14-04-10/17:00 (prev)</t>
  </si>
  <si>
    <t>0180524170000867</t>
  </si>
  <si>
    <t>Misc. PMG Receipts/D-mscPR/15-04-10/17:00 (prev)</t>
  </si>
  <si>
    <t>0180524170000868</t>
  </si>
  <si>
    <t>Misc. PMG Receipts/D-mscPR/16-04-10/17:00 (prev)</t>
  </si>
  <si>
    <t>0180524170000869</t>
  </si>
  <si>
    <t>Misc. PMG Receipts/D-mscPR/19-04-10/17:00 (prev)</t>
  </si>
  <si>
    <t>0180524170000870</t>
  </si>
  <si>
    <t>Misc. PMG Receipts/D-mscPR/20-04-10/17:00 (prev)</t>
  </si>
  <si>
    <t>0180524170000871</t>
  </si>
  <si>
    <t>Misc. PMG Receipts/D-mscPR/21-04-10/17:00 (prev)</t>
  </si>
  <si>
    <t>0180524170000872</t>
  </si>
  <si>
    <t>Misc. PMG Receipts/D-mscPR/22-04-10/17:00 (prev)</t>
  </si>
  <si>
    <t>0180524170000873</t>
  </si>
  <si>
    <t>Misc. PMG Receipts/D-mscPR/23-04-10/17:00 (prev)</t>
  </si>
  <si>
    <t>0180524170000874</t>
  </si>
  <si>
    <t>Misc. PMG Receipts/D-mscPR/26-04-10/17:00 (prev)</t>
  </si>
  <si>
    <t>0180524170000875</t>
  </si>
  <si>
    <t>Misc. PMG Receipts/D-mscPR/27-04-10/17:00 (prev)</t>
  </si>
  <si>
    <t>0180524170000876</t>
  </si>
  <si>
    <t>Misc. PMG Receipts/D-mscPR/28-04-10/17:00 (prev)</t>
  </si>
  <si>
    <t>0180524170000877</t>
  </si>
  <si>
    <t>Misc. PMG Receipts/D-mscPR/29-04-10/17:00 (prev)</t>
  </si>
  <si>
    <t>0180524170000878</t>
  </si>
  <si>
    <t>Misc. PMG Receipts/D-mscPR/30-04-10/17:00 (prev)</t>
  </si>
  <si>
    <t>0180524170000879</t>
  </si>
  <si>
    <t>Nat West Bank Shipley/A-bnatw/04-01-10/17:00 (prev)</t>
  </si>
  <si>
    <t>0180524170000880</t>
  </si>
  <si>
    <t>Nat West Bank Shipley/A-bnatw/05-01-10/17:00 (prev)</t>
  </si>
  <si>
    <t>0180524170000881</t>
  </si>
  <si>
    <t>Nat West Bank Shipley/A-bnatw/06-01-10/17:00 (prev)</t>
  </si>
  <si>
    <t>0180524170000882</t>
  </si>
  <si>
    <t>Nat West Bank Shipley/A-bnatw/07-01-10/17:00 (prev)</t>
  </si>
  <si>
    <t>0180524170000883</t>
  </si>
  <si>
    <t>Nat West Bank Shipley/A-bnatw/08-01-10/17:00 (prev)</t>
  </si>
  <si>
    <t>0180524170000884</t>
  </si>
  <si>
    <t>Nat West Bank Shipley/A-bnatw/11-01-10/17:00 (prev)</t>
  </si>
  <si>
    <t>0180524170000885</t>
  </si>
  <si>
    <t>Nat West Bank Shipley/A-bnatw/12-01-10/17:00 (prev)</t>
  </si>
  <si>
    <t>0180524170000886</t>
  </si>
  <si>
    <t>Nat West Bank Shipley/A-bnatw/13-01-10/17:00 (prev)</t>
  </si>
  <si>
    <t>0180524170000887</t>
  </si>
  <si>
    <t>Nat West Bank Shipley/A-bnatw/14-01-10/17:00 (prev)</t>
  </si>
  <si>
    <t>0180524170000888</t>
  </si>
  <si>
    <t>Nat West Bank Shipley/A-bnatw/15-01-10/17:00 (prev)</t>
  </si>
  <si>
    <t>0180524170000889</t>
  </si>
  <si>
    <t>Nat West Bank Shipley/A-bnatw/18-01-10/17:00 (prev)</t>
  </si>
  <si>
    <t>0180524170000890</t>
  </si>
  <si>
    <t>Nat West Bank Shipley/A-bnatw/19-01-10/17:00 (prev)</t>
  </si>
  <si>
    <t>0180524170000891</t>
  </si>
  <si>
    <t>Nat West Bank Shipley/A-bnatw/20-01-10/17:00 (prev)</t>
  </si>
  <si>
    <t>0180524170000892</t>
  </si>
  <si>
    <t>Nat West Bank Shipley/A-bnatw/21-01-10/17:00 (prev)</t>
  </si>
  <si>
    <t>0180524170000893</t>
  </si>
  <si>
    <t>Nat West Bank Shipley/A-bnatw/22-01-10/17:00 (prev)</t>
  </si>
  <si>
    <t>0180524170000894</t>
  </si>
  <si>
    <t>Nat West Bank Shipley/A-bnatw/25-01-10/17:00 (prev)</t>
  </si>
  <si>
    <t>0180524170000895</t>
  </si>
  <si>
    <t>Nat West Bank Shipley/A-bnatw/26-01-10/17:00 (prev)</t>
  </si>
  <si>
    <t>0180524170000896</t>
  </si>
  <si>
    <t>Nat West Bank Shipley/A-bnatw/27-01-10/17:00 (prev)</t>
  </si>
  <si>
    <t>0180524170000897</t>
  </si>
  <si>
    <t>Nat West Bank Shipley/A-bnatw/28-01-10/17:00 (prev)</t>
  </si>
  <si>
    <t>0180524170000898</t>
  </si>
  <si>
    <t>Nat West Bank Shipley/A-bnatw/29-01-10/17:00 (prev)</t>
  </si>
  <si>
    <t>0180524170000899</t>
  </si>
  <si>
    <t>Nat West Bank Shipley/A-bnatw/01-02-10/17:00 (prev)</t>
  </si>
  <si>
    <t>0180524170000900</t>
  </si>
  <si>
    <t>Nat West Bank Shipley/A-bnatw/02-02-10/17:00 (prev)</t>
  </si>
  <si>
    <t>0180524170000901</t>
  </si>
  <si>
    <t>Nat West Bank Shipley/A-bnatw/03-02-10/17:00 (prev)</t>
  </si>
  <si>
    <t>0180524170000902</t>
  </si>
  <si>
    <t>Nat West Bank Shipley/A-bnatw/04-02-10/17:00 (prev)</t>
  </si>
  <si>
    <t>0180524170000903</t>
  </si>
  <si>
    <t>Nat West Bank Shipley/A-bnatw/05-02-10/17:00 (prev)</t>
  </si>
  <si>
    <t>0180524170000904</t>
  </si>
  <si>
    <t>Nat West Bank Shipley/A-bnatw/08-02-10/17:00 (prev)</t>
  </si>
  <si>
    <t>0180524170000905</t>
  </si>
  <si>
    <t>Nat West Bank Shipley/A-bnatw/09-02-10/17:00 (prev)</t>
  </si>
  <si>
    <t>0180524170000906</t>
  </si>
  <si>
    <t>Nat West Bank Shipley/A-bnatw/10-02-10/17:00 (prev)</t>
  </si>
  <si>
    <t>0180524170000907</t>
  </si>
  <si>
    <t>Nat West Bank Shipley/A-bnatw/11-02-10/17:00 (prev)</t>
  </si>
  <si>
    <t>0180524170000908</t>
  </si>
  <si>
    <t>Nat West Bank Shipley/A-bnatw/12-02-10/17:00 (prev)</t>
  </si>
  <si>
    <t>0180524170000909</t>
  </si>
  <si>
    <t>Nat West Bank Shipley/A-bnatw/15-02-10/17:00 (prev)</t>
  </si>
  <si>
    <t>0180524170000910</t>
  </si>
  <si>
    <t>Nat West Bank Shipley/A-bnatw/16-02-10/17:00 (prev)</t>
  </si>
  <si>
    <t>0180524170000911</t>
  </si>
  <si>
    <t>Nat West Bank Shipley/A-bnatw/17-02-10/17:00 (prev)</t>
  </si>
  <si>
    <t>0180524170000912</t>
  </si>
  <si>
    <t>Nat West Bank Shipley/A-bnatw/18-02-10/17:00 (prev)</t>
  </si>
  <si>
    <t>0180524170000913</t>
  </si>
  <si>
    <t>Nat West Bank Shipley/A-bnatw/19-02-10/17:00 (prev)</t>
  </si>
  <si>
    <t>0180524170000914</t>
  </si>
  <si>
    <t>Nat West Bank Shipley/A-bnatw/22-02-10/17:00 (prev)</t>
  </si>
  <si>
    <t>0180524170000915</t>
  </si>
  <si>
    <t>Nat West Bank Shipley/A-bnatw/23-02-10/17:00 (prev)</t>
  </si>
  <si>
    <t>0180524170000916</t>
  </si>
  <si>
    <t>Nat West Bank Shipley/A-bnatw/24-02-10/17:00 (prev)</t>
  </si>
  <si>
    <t>0180524170000917</t>
  </si>
  <si>
    <t>Nat West Bank Shipley/A-bnatw/25-02-10/17:00 (prev)</t>
  </si>
  <si>
    <t>0180524170000918</t>
  </si>
  <si>
    <t>Nat West Bank Shipley/A-bnatw/26-02-10/17:00 (prev)</t>
  </si>
  <si>
    <t>0180524170000919</t>
  </si>
  <si>
    <t>Nat West Bank Shipley/A-bnatw/01-03-10/17:00 (prev)</t>
  </si>
  <si>
    <t>0180524170000920</t>
  </si>
  <si>
    <t>Nat West Bank Shipley/A-bnatw/02-03-10/17:00 (prev)</t>
  </si>
  <si>
    <t>0180524170000921</t>
  </si>
  <si>
    <t>Nat West Bank Shipley/A-bnatw/03-03-10/17:00 (prev)</t>
  </si>
  <si>
    <t>0180524170000922</t>
  </si>
  <si>
    <t>Nat West Bank Shipley/A-bnatw/04-03-10/17:00 (prev)</t>
  </si>
  <si>
    <t>0180524170000923</t>
  </si>
  <si>
    <t>Nat West Bank Shipley/A-bnatw/05-03-10/17:00 (prev)</t>
  </si>
  <si>
    <t>0180524170000924</t>
  </si>
  <si>
    <t>Nat West Bank Shipley/A-bnatw/08-03-10/17:00 (prev)</t>
  </si>
  <si>
    <t>0180524170000925</t>
  </si>
  <si>
    <t>Nat West Bank Shipley/A-bnatw/09-03-10/17:00 (prev)</t>
  </si>
  <si>
    <t>0180524170000926</t>
  </si>
  <si>
    <t>Nat West Bank Shipley/A-bnatw/10-03-10/17:00 (prev)</t>
  </si>
  <si>
    <t>0180524170000927</t>
  </si>
  <si>
    <t>Nat West Bank Shipley/A-bnatw/11-03-10/17:00 (prev)</t>
  </si>
  <si>
    <t>0180524170000928</t>
  </si>
  <si>
    <t>Nat West Bank Shipley/A-bnatw/12-03-10/17:00 (prev)</t>
  </si>
  <si>
    <t>0180524170000929</t>
  </si>
  <si>
    <t>Nat West Bank Shipley/A-bnatw/15-03-10/17:00 (prev)</t>
  </si>
  <si>
    <t>0180524170000930</t>
  </si>
  <si>
    <t>Nat West Bank Shipley/A-bnatw/16-03-10/17:00 (prev)</t>
  </si>
  <si>
    <t>0180524170000931</t>
  </si>
  <si>
    <t>Nat West Bank Shipley/A-bnatw/17-03-10/17:00 (prev)</t>
  </si>
  <si>
    <t>0180524170000932</t>
  </si>
  <si>
    <t>Nat West Bank Shipley/A-bnatw/18-03-10/17:00 (prev)</t>
  </si>
  <si>
    <t>0180524170000933</t>
  </si>
  <si>
    <t>Nat West Bank Shipley/A-bnatw/19-03-10/17:00 (prev)</t>
  </si>
  <si>
    <t>0180524170000934</t>
  </si>
  <si>
    <t>Nat West Bank Shipley/A-bnatw/22-03-10/17:00 (prev)</t>
  </si>
  <si>
    <t>0180524170000935</t>
  </si>
  <si>
    <t>Nat West Bank Shipley/A-bnatw/23-03-10/17:00 (prev)</t>
  </si>
  <si>
    <t>0180524170000936</t>
  </si>
  <si>
    <t>Nat West Bank Shipley/A-bnatw/24-03-10/17:00 (prev)</t>
  </si>
  <si>
    <t>0180524170000937</t>
  </si>
  <si>
    <t>Nat West Bank Shipley/A-bnatw/25-03-10/17:00 (prev)</t>
  </si>
  <si>
    <t>0180524170000938</t>
  </si>
  <si>
    <t>Nat West Bank Shipley/A-bnatw/26-03-10/17:00 (prev)</t>
  </si>
  <si>
    <t>0180524170000939</t>
  </si>
  <si>
    <t>Nat West Bank Shipley/A-bnatw/29-03-10/17:00 (prev)</t>
  </si>
  <si>
    <t>0180524170000940</t>
  </si>
  <si>
    <t>Nat West Bank Shipley/A-bnatw/30-03-10/17:00 (prev)</t>
  </si>
  <si>
    <t>0180524170000941</t>
  </si>
  <si>
    <t>Nat West Bank Shipley/A-bnatw/31-03-10/17:00 (prev)</t>
  </si>
  <si>
    <t>0180524170000942</t>
  </si>
  <si>
    <t>Nat West Bank Shipley/A-bnatw/01-04-10/17:00 (prev)</t>
  </si>
  <si>
    <t>0180524170000943</t>
  </si>
  <si>
    <t>Nat West Bank Shipley/A-bnatw/06-04-10/17:00 (prev)</t>
  </si>
  <si>
    <t>0180524170000944</t>
  </si>
  <si>
    <t>Nat West Bank Shipley/A-bnatw/07-04-10/17:00 (prev)</t>
  </si>
  <si>
    <t>0180524170000945</t>
  </si>
  <si>
    <t>Nat West Bank Shipley/A-bnatw/08-04-10/17:00 (prev)</t>
  </si>
  <si>
    <t>0180524170000946</t>
  </si>
  <si>
    <t>Nat West Bank Shipley/A-bnatw/09-04-10/17:00 (prev)</t>
  </si>
  <si>
    <t>0180524170000947</t>
  </si>
  <si>
    <t>Nat West Bank Shipley/A-bnatw/12-04-10/17:00 (prev)</t>
  </si>
  <si>
    <t>0180524170000948</t>
  </si>
  <si>
    <t>Nat West Bank Shipley/A-bnatw/13-04-10/17:00 (prev)</t>
  </si>
  <si>
    <t>0180524170000949</t>
  </si>
  <si>
    <t>Nat West Bank Shipley/A-bnatw/14-04-10/17:00 (prev)</t>
  </si>
  <si>
    <t>0180524170000950</t>
  </si>
  <si>
    <t>Nat West Bank Shipley/A-bnatw/15-04-10/17:00 (prev)</t>
  </si>
  <si>
    <t>0180524170000951</t>
  </si>
  <si>
    <t>Nat West Bank Shipley/A-bnatw/16-04-10/17:00 (prev)</t>
  </si>
  <si>
    <t>0180524170000952</t>
  </si>
  <si>
    <t>Nat West Bank Shipley/A-bnatw/19-04-10/17:00 (prev)</t>
  </si>
  <si>
    <t>0180524170000953</t>
  </si>
  <si>
    <t>Nat West Bank Shipley/A-bnatw/20-04-10/17:00 (prev)</t>
  </si>
  <si>
    <t>0180524170000954</t>
  </si>
  <si>
    <t>Nat West Bank Shipley/A-bnatw/21-04-10/17:00 (prev)</t>
  </si>
  <si>
    <t>0180524170000955</t>
  </si>
  <si>
    <t>Nat West Bank Shipley/A-bnatw/22-04-10/17:00 (prev)</t>
  </si>
  <si>
    <t>0180524170000956</t>
  </si>
  <si>
    <t>Nat West Bank Shipley/A-bnatw/23-04-10/17:00 (prev)</t>
  </si>
  <si>
    <t>0180524170000957</t>
  </si>
  <si>
    <t>Nat West Bank Shipley/A-bnatw/26-04-10/17:00 (prev)</t>
  </si>
  <si>
    <t>0180524170000958</t>
  </si>
  <si>
    <t>Nat West Bank Shipley/A-bnatw/27-04-10/17:00 (prev)</t>
  </si>
  <si>
    <t>0180524170000959</t>
  </si>
  <si>
    <t>Nat West Bank Shipley/A-bnatw/28-04-10/17:00 (prev)</t>
  </si>
  <si>
    <t>0180524170000960</t>
  </si>
  <si>
    <t>Nat West Bank Shipley/A-bnatw/29-04-10/17:00 (prev)</t>
  </si>
  <si>
    <t>0180524170000961</t>
  </si>
  <si>
    <t>NIC to NI/A-tnini/04-01-10/17:00 (prev)</t>
  </si>
  <si>
    <t>0180524170000962</t>
  </si>
  <si>
    <t>NIC to NI/A-tnini/05-01-10/17:00 (prev)</t>
  </si>
  <si>
    <t>0180524170000963</t>
  </si>
  <si>
    <t>NIC to NI/A-tnini/06-01-10/17:00 (prev)</t>
  </si>
  <si>
    <t>0180524170000964</t>
  </si>
  <si>
    <t>NIC to NI/A-tnini/07-01-10/17:00 (prev)</t>
  </si>
  <si>
    <t>0180524170000965</t>
  </si>
  <si>
    <t>NIC to NI/A-tnini/08-01-10/17:00 (prev)</t>
  </si>
  <si>
    <t>0180524170000966</t>
  </si>
  <si>
    <t>NIC to NI/A-tnini/11-01-10/17:00 (prev)</t>
  </si>
  <si>
    <t>0180524170000967</t>
  </si>
  <si>
    <t>NIC to NI/A-tnini/12-01-10/17:00 (prev)</t>
  </si>
  <si>
    <t>0180524170000968</t>
  </si>
  <si>
    <t>NIC to NI/A-tnini/13-01-10/17:00 (prev)</t>
  </si>
  <si>
    <t>0180524170000969</t>
  </si>
  <si>
    <t>NIC to NI/A-tnini/14-01-10/17:00 (prev)</t>
  </si>
  <si>
    <t>0180524170000970</t>
  </si>
  <si>
    <t>NIC to NI/A-tnini/15-01-10/17:00 (prev)</t>
  </si>
  <si>
    <t>0180524170000971</t>
  </si>
  <si>
    <t>NIC to NI/A-tnini/18-01-10/17:00 (prev)</t>
  </si>
  <si>
    <t>0180524170000972</t>
  </si>
  <si>
    <t>NIC to NI/A-tnini/19-01-10/17:00 (prev)</t>
  </si>
  <si>
    <t>0180524170000973</t>
  </si>
  <si>
    <t>NIC to NI/A-tnini/20-01-10/17:00 (prev)</t>
  </si>
  <si>
    <t>0180524170000974</t>
  </si>
  <si>
    <t>NIC to NI/A-tnini/21-01-10/17:00 (prev)</t>
  </si>
  <si>
    <t>0180524170000975</t>
  </si>
  <si>
    <t>NIC to NI/A-tnini/22-01-10/17:00 (prev)</t>
  </si>
  <si>
    <t>0180524170000976</t>
  </si>
  <si>
    <t>NIC to NI/A-tnini/25-01-10/17:00 (prev)</t>
  </si>
  <si>
    <t>0180524170000977</t>
  </si>
  <si>
    <t>NIC to NI/A-tnini/26-01-10/17:00 (prev)</t>
  </si>
  <si>
    <t>0180524170000978</t>
  </si>
  <si>
    <t>NIC to NI/A-tnini/27-01-10/17:00 (prev)</t>
  </si>
  <si>
    <t>0180524170000979</t>
  </si>
  <si>
    <t>NIC to NI/A-tnini/28-01-10/17:00 (prev)</t>
  </si>
  <si>
    <t>0180524170000980</t>
  </si>
  <si>
    <t>NIC to NI/A-tnini/29-01-10/17:00 (prev)</t>
  </si>
  <si>
    <t>0180524170000981</t>
  </si>
  <si>
    <t>NIC to NI/A-tnini/01-02-10/17:00 (prev)</t>
  </si>
  <si>
    <t>0180524170000982</t>
  </si>
  <si>
    <t>NIC to NI/A-tnini/02-02-10/17:00 (prev)</t>
  </si>
  <si>
    <t>0180524170000983</t>
  </si>
  <si>
    <t>NIC to NI/A-tnini/03-02-10/17:00 (prev)</t>
  </si>
  <si>
    <t>0180524170000984</t>
  </si>
  <si>
    <t>NIC to NI/A-tnini/04-02-10/17:00 (prev)</t>
  </si>
  <si>
    <t>0180524170000985</t>
  </si>
  <si>
    <t>NIC to NI/A-tnini/05-02-10/17:00 (prev)</t>
  </si>
  <si>
    <t>0180524170000986</t>
  </si>
  <si>
    <t>NIC to NI/A-tnini/08-02-10/17:00 (prev)</t>
  </si>
  <si>
    <t>0180524170000987</t>
  </si>
  <si>
    <t>NIC to NI/A-tnini/09-02-10/17:00 (prev)</t>
  </si>
  <si>
    <t>0180524170000988</t>
  </si>
  <si>
    <t>NIC to NI/A-tnini/10-02-10/17:00 (prev)</t>
  </si>
  <si>
    <t>0180524170000989</t>
  </si>
  <si>
    <t>NIC to NI/A-tnini/11-02-10/17:00 (prev)</t>
  </si>
  <si>
    <t>0180524170000990</t>
  </si>
  <si>
    <t>NIC to NI/A-tnini/12-02-10/17:00 (prev)</t>
  </si>
  <si>
    <t>0180524170000991</t>
  </si>
  <si>
    <t>NIC to NI/A-tnini/15-02-10/17:00 (prev)</t>
  </si>
  <si>
    <t>0180524170000992</t>
  </si>
  <si>
    <t>NIC to NI/A-tnini/16-02-10/17:00 (prev)</t>
  </si>
  <si>
    <t>0180524170000993</t>
  </si>
  <si>
    <t>NIC to NI/A-tnini/17-02-10/17:00 (prev)</t>
  </si>
  <si>
    <t>0180524170000994</t>
  </si>
  <si>
    <t>NIC to NI/A-tnini/18-02-10/17:00 (prev)</t>
  </si>
  <si>
    <t>0180524170000995</t>
  </si>
  <si>
    <t>NIC to NI/A-tnini/19-02-10/17:00 (prev)</t>
  </si>
  <si>
    <t>0180524170000996</t>
  </si>
  <si>
    <t>NIC to NI/A-tnini/22-02-10/17:00 (prev)</t>
  </si>
  <si>
    <t>0180524170000997</t>
  </si>
  <si>
    <t>NIC to NI/A-tnini/23-02-10/17:00 (prev)</t>
  </si>
  <si>
    <t>0180524170000998</t>
  </si>
  <si>
    <t>NIC to NI/A-tnini/24-02-10/17:00 (prev)</t>
  </si>
  <si>
    <t>0180524170000999</t>
  </si>
  <si>
    <t>NIC to NI/A-tnini/25-02-10/17:00 (prev)</t>
  </si>
  <si>
    <t>0180524170001000</t>
  </si>
  <si>
    <t>NIC to NI/A-tnini/26-02-10/17:00 (prev)</t>
  </si>
  <si>
    <t>0180524170001001</t>
  </si>
  <si>
    <t>NIC to NI/A-tnini/01-03-10/17:00 (prev)</t>
  </si>
  <si>
    <t>0180524170001002</t>
  </si>
  <si>
    <t>NIC to NI/A-tnini/02-03-10/17:00 (prev)</t>
  </si>
  <si>
    <t>0180524170001003</t>
  </si>
  <si>
    <t>NIC to NI/A-tnini/03-03-10/17:00 (prev)</t>
  </si>
  <si>
    <t>0180524170001004</t>
  </si>
  <si>
    <t>NIC to NI/A-tnini/04-03-10/17:00 (prev)</t>
  </si>
  <si>
    <t>0180524170001005</t>
  </si>
  <si>
    <t>NIC to NI/A-tnini/05-03-10/17:00 (prev)</t>
  </si>
  <si>
    <t>0180524170001006</t>
  </si>
  <si>
    <t>NIC to NI/A-tnini/08-03-10/17:00 (prev)</t>
  </si>
  <si>
    <t>0180524170001007</t>
  </si>
  <si>
    <t>NIC to NI/A-tnini/09-03-10/17:00 (prev)</t>
  </si>
  <si>
    <t>0180524170001008</t>
  </si>
  <si>
    <t>NIC to NI/A-tnini/10-03-10/17:00 (prev)</t>
  </si>
  <si>
    <t>0180524170001009</t>
  </si>
  <si>
    <t>NIC to NI/A-tnini/11-03-10/17:00 (prev)</t>
  </si>
  <si>
    <t>0180524170001010</t>
  </si>
  <si>
    <t>NIC to NI/A-tnini/12-03-10/17:00 (prev)</t>
  </si>
  <si>
    <t>0180524170001011</t>
  </si>
  <si>
    <t>NIC to NI/A-tnini/15-03-10/17:00 (prev)</t>
  </si>
  <si>
    <t>0180524170001012</t>
  </si>
  <si>
    <t>NIC to NI/A-tnini/16-03-10/17:00 (prev)</t>
  </si>
  <si>
    <t>0180524170001013</t>
  </si>
  <si>
    <t>NIC to NI/A-tnini/17-03-10/17:00 (prev)</t>
  </si>
  <si>
    <t>0180524170001014</t>
  </si>
  <si>
    <t>NIC to NI/A-tnini/18-03-10/17:00 (prev)</t>
  </si>
  <si>
    <t>0180524170001015</t>
  </si>
  <si>
    <t>NIC to NI/A-tnini/19-03-10/17:00 (prev)</t>
  </si>
  <si>
    <t>0180524170001016</t>
  </si>
  <si>
    <t>NIC to NI/A-tnini/22-03-10/17:00 (prev)</t>
  </si>
  <si>
    <t>0180524170001017</t>
  </si>
  <si>
    <t>NIC to NI/A-tnini/23-03-10/17:00 (prev)</t>
  </si>
  <si>
    <t>0180524170001018</t>
  </si>
  <si>
    <t>NIC to NI/A-tnini/24-03-10/17:00 (prev)</t>
  </si>
  <si>
    <t>0180524170001019</t>
  </si>
  <si>
    <t>NIC to NI/A-tnini/25-03-10/17:00 (prev)</t>
  </si>
  <si>
    <t>0180524170001020</t>
  </si>
  <si>
    <t>NIC to NI/A-tnini/26-03-10/17:00 (prev)</t>
  </si>
  <si>
    <t>0180524170001021</t>
  </si>
  <si>
    <t>NIC to NI/A-tnini/29-03-10/17:00 (prev)</t>
  </si>
  <si>
    <t>0180524170001022</t>
  </si>
  <si>
    <t>NIC to NI/A-tnini/30-03-10/17:00 (prev)</t>
  </si>
  <si>
    <t>0180524170001023</t>
  </si>
  <si>
    <t>NIC to NI/A-tnini/31-03-10/17:00 (prev)</t>
  </si>
  <si>
    <t>0180524170001024</t>
  </si>
  <si>
    <t>NIC to NI/A-tnini/01-04-10/17:00 (prev)</t>
  </si>
  <si>
    <t>0180524170001025</t>
  </si>
  <si>
    <t>NIC to NI/A-tnini/06-04-10/17:00 (prev)</t>
  </si>
  <si>
    <t>0180524170001026</t>
  </si>
  <si>
    <t>NIC to NI/A-tnini/07-04-10/17:00 (prev)</t>
  </si>
  <si>
    <t>0180524170001027</t>
  </si>
  <si>
    <t>NIC to NI/A-tnini/08-04-10/17:00 (prev)</t>
  </si>
  <si>
    <t>0180524170001028</t>
  </si>
  <si>
    <t>NIC to NI/A-tnini/09-04-10/17:00 (prev)</t>
  </si>
  <si>
    <t>0180524170001029</t>
  </si>
  <si>
    <t>NIC to NI/A-tnini/12-04-10/17:00 (prev)</t>
  </si>
  <si>
    <t>0180524170001030</t>
  </si>
  <si>
    <t>NIC to NI/A-tnini/14-04-10/17:00 (prev)</t>
  </si>
  <si>
    <t>0180524170001031</t>
  </si>
  <si>
    <t>NIC to NI/A-tnini/15-04-10/17:00 (prev)</t>
  </si>
  <si>
    <t>0180524170001032</t>
  </si>
  <si>
    <t>NIC to NI/A-tnini/16-04-10/17:00 (prev)</t>
  </si>
  <si>
    <t>0180524170001033</t>
  </si>
  <si>
    <t>NIC to NI/A-tnini/19-04-10/17:00 (prev)</t>
  </si>
  <si>
    <t>0180524170001034</t>
  </si>
  <si>
    <t>NIC to NI/A-tnini/20-04-10/17:00 (prev)</t>
  </si>
  <si>
    <t>0180524170001035</t>
  </si>
  <si>
    <t>NIC to NI/A-tnini/21-04-10/17:00 (prev)</t>
  </si>
  <si>
    <t>0180524170001036</t>
  </si>
  <si>
    <t>NIC to NI/A-tnini/22-04-10/17:00 (prev)</t>
  </si>
  <si>
    <t>0180524170001037</t>
  </si>
  <si>
    <t>NIC to NI/A-tnini/23-04-10/17:00 (prev)</t>
  </si>
  <si>
    <t>0180524170001038</t>
  </si>
  <si>
    <t>NIC to NI/A-tnini/26-04-10/17:00 (prev)</t>
  </si>
  <si>
    <t>0180524170001039</t>
  </si>
  <si>
    <t>NIC to NI/A-tnini/27-04-10/17:00 (prev)</t>
  </si>
  <si>
    <t>0180524170001040</t>
  </si>
  <si>
    <t>NIC to NI/A-tnini/28-04-10/17:00 (prev)</t>
  </si>
  <si>
    <t>0180524170001041</t>
  </si>
  <si>
    <t>NIC to NI/A-tnini/29-04-10/17:00 (prev)</t>
  </si>
  <si>
    <t>0180524170001042</t>
  </si>
  <si>
    <t>NIC to NI/A-tnini/30-04-10/17:00 (prev)</t>
  </si>
  <si>
    <t>0180524170001043</t>
  </si>
  <si>
    <t>NICs to NIF/AZ-tnif/04-01-10/17:00 (prev)</t>
  </si>
  <si>
    <t>0180524170001044</t>
  </si>
  <si>
    <t>NICs to NIF/AZ-tnif/11-01-10/17:00 (prev)</t>
  </si>
  <si>
    <t>0180524170001045</t>
  </si>
  <si>
    <t>NICs to NIF/AZ-tnif/16-02-10/17:00 (prev)</t>
  </si>
  <si>
    <t>0180524170001046</t>
  </si>
  <si>
    <t>NICs to NIF/AZ-tnif/22-02-10/17:00 (prev)</t>
  </si>
  <si>
    <t>0180524170001047</t>
  </si>
  <si>
    <t>NICs to NIF/DZ-tnif/22-02-10/17:00 (prev)</t>
  </si>
  <si>
    <t>0180524170001048</t>
  </si>
  <si>
    <t>NICs to NIF/AZ-tnif/26-02-10/17:00 (prev)</t>
  </si>
  <si>
    <t>0180524170001049</t>
  </si>
  <si>
    <t>NICs to NIF/DZ-tnif/26-02-10/17:00 (prev)</t>
  </si>
  <si>
    <t>0180524170001050</t>
  </si>
  <si>
    <t>NICs to NIF/AZ-tnif/08-03-10/17:00 (prev)</t>
  </si>
  <si>
    <t>0180524170001051</t>
  </si>
  <si>
    <t>NICs to NIF/DZ-tnif/08-03-10/17:00 (prev)</t>
  </si>
  <si>
    <t>0180524170001052</t>
  </si>
  <si>
    <t>NICs to NIF/AZ-tnif/15-03-10/17:00 (prev)</t>
  </si>
  <si>
    <t>0180524170001053</t>
  </si>
  <si>
    <t>NICs to NIF/DZ-tnif/15-03-10/17:00 (prev)</t>
  </si>
  <si>
    <t>0180524170001054</t>
  </si>
  <si>
    <t>NICs to NIF/AZ-tnif/17-03-10/17:00 (prev)</t>
  </si>
  <si>
    <t>0180524170001055</t>
  </si>
  <si>
    <t>NICs to NIF/DZ-tnif/17-03-10/17:00 (prev)</t>
  </si>
  <si>
    <t>0180524170001056</t>
  </si>
  <si>
    <t>NICs to NIF/AZ-tnif/18-03-10/17:00 (prev)</t>
  </si>
  <si>
    <t>0180524170001057</t>
  </si>
  <si>
    <t>NICs to NIF/DZ-tnif/18-03-10/17:00 (prev)</t>
  </si>
  <si>
    <t>0180524170001058</t>
  </si>
  <si>
    <t>NICs to NIF/AZ-tnif/19-03-10/17:00 (prev)</t>
  </si>
  <si>
    <t>0180524170001059</t>
  </si>
  <si>
    <t>NICs to NIF/DZ-tnif/19-03-10/17:00 (prev)</t>
  </si>
  <si>
    <t>0180524170001060</t>
  </si>
  <si>
    <t>NICs to NIF/AZ-tnif/25-03-10/17:00 (prev)</t>
  </si>
  <si>
    <t>0180524170001061</t>
  </si>
  <si>
    <t>NICs to NIF/DZ-tnif/25-03-10/17:00 (prev)</t>
  </si>
  <si>
    <t>0180524170001062</t>
  </si>
  <si>
    <t>NICs to NIF/AZ-tnif/09-04-10/17:00 (prev)</t>
  </si>
  <si>
    <t>0180524170001063</t>
  </si>
  <si>
    <t>NICs to NIF/DZ-tnif/09-04-10/17:00 (prev)</t>
  </si>
  <si>
    <t>0180524170001064</t>
  </si>
  <si>
    <t>NICs to NIF/AZ-tnif/13-04-10/17:00 (prev)</t>
  </si>
  <si>
    <t>0180524170001065</t>
  </si>
  <si>
    <t>NICs to NIF/DZ-tnif/13-04-10/17:00 (prev)</t>
  </si>
  <si>
    <t>0180524170001066</t>
  </si>
  <si>
    <t>NICs to NIF/AZ-tnif/19-04-10/17:00 (prev)</t>
  </si>
  <si>
    <t>0180524170001067</t>
  </si>
  <si>
    <t>NICs to NIF/DZ-tnif/19-04-10/17:00 (prev)</t>
  </si>
  <si>
    <t>0180524170001068</t>
  </si>
  <si>
    <t>NICs to NIF/AZ-tnif/27-04-10/17:00 (prev)</t>
  </si>
  <si>
    <t>0180524170001069</t>
  </si>
  <si>
    <t>NICs to NIF/AZ-tnif/29-04-10/17:00 (prev)</t>
  </si>
  <si>
    <t>0180524170001070</t>
  </si>
  <si>
    <t>NICs to NIF/DZ-tnif/29-04-10/17:00 (prev)</t>
  </si>
  <si>
    <t>0180524170001071</t>
  </si>
  <si>
    <t>NIF Benefits Girobanks/D-p1chpx/04-01-10/17:00 (prev)</t>
  </si>
  <si>
    <t>0180524170001072</t>
  </si>
  <si>
    <t>NIF Benefits Girobanks/D-p1chpx/05-01-10/17:00 (prev)</t>
  </si>
  <si>
    <t>0180524170001073</t>
  </si>
  <si>
    <t>NIF Benefits Girobanks/D-p1chpx/06-01-10/17:00 (prev)</t>
  </si>
  <si>
    <t>0180524170001074</t>
  </si>
  <si>
    <t>NIF Benefits Girobanks/D-p1chpx/07-01-10/17:00 (prev)</t>
  </si>
  <si>
    <t>0180524170001075</t>
  </si>
  <si>
    <t>NIF Benefits Girobanks/D-p1chpx/08-01-10/17:00 (prev)</t>
  </si>
  <si>
    <t>0180524170001076</t>
  </si>
  <si>
    <t>NIF Benefits Girobanks/D-p1chpx/11-01-10/17:00 (prev)</t>
  </si>
  <si>
    <t>0180524170001077</t>
  </si>
  <si>
    <t>NIF Benefits Girobanks/D-p1chpx/12-01-10/17:00 (prev)</t>
  </si>
  <si>
    <t>0180524170001078</t>
  </si>
  <si>
    <t>NIF Benefits Girobanks/D-p1chpx/13-01-10/17:00 (prev)</t>
  </si>
  <si>
    <t>0180524170001079</t>
  </si>
  <si>
    <t>NIF Benefits Girobanks/D-p1chpx/14-01-10/17:00 (prev)</t>
  </si>
  <si>
    <t>0180524170001080</t>
  </si>
  <si>
    <t>NIF Benefits Girobanks/D-p1chpx/15-01-10/17:00 (prev)</t>
  </si>
  <si>
    <t>0180524170001081</t>
  </si>
  <si>
    <t>NIF Benefits Girobanks/D-p1chpx/18-01-10/17:00 (prev)</t>
  </si>
  <si>
    <t>0180524170001082</t>
  </si>
  <si>
    <t>NIF Benefits Girobanks/D-p1chpx/19-01-10/17:00 (prev)</t>
  </si>
  <si>
    <t>0180524170001083</t>
  </si>
  <si>
    <t>NIF Benefits Girobanks/D-p1chpx/20-01-10/17:00 (prev)</t>
  </si>
  <si>
    <t>0180524170001084</t>
  </si>
  <si>
    <t>NIF Benefits Girobanks/D-p1chpx/21-01-10/17:00 (prev)</t>
  </si>
  <si>
    <t>0180524170001085</t>
  </si>
  <si>
    <t>NIF Benefits Girobanks/D-p1chpx/22-01-10/17:00 (prev)</t>
  </si>
  <si>
    <t>0180524170001086</t>
  </si>
  <si>
    <t>NIF Benefits Girobanks/D-p1chpx/25-01-10/17:00 (prev)</t>
  </si>
  <si>
    <t>0180524170001087</t>
  </si>
  <si>
    <t>NIF Benefits Girobanks/D-p1chpx/26-01-10/17:00 (prev)</t>
  </si>
  <si>
    <t>0180524170001088</t>
  </si>
  <si>
    <t>NIF Benefits Girobanks/D-p1chpx/27-01-10/17:00 (prev)</t>
  </si>
  <si>
    <t>0180524170001089</t>
  </si>
  <si>
    <t>NIF Benefits Girobanks/D-p1chpx/28-01-10/17:00 (prev)</t>
  </si>
  <si>
    <t>0180524170001090</t>
  </si>
  <si>
    <t>NIF Benefits Girobanks/D-p1chpx/29-01-10/17:00 (prev)</t>
  </si>
  <si>
    <t>0180524170001091</t>
  </si>
  <si>
    <t>NIF Benefits Girobanks/D-p1chpx/01-02-10/17:00 (prev)</t>
  </si>
  <si>
    <t>0180524170001092</t>
  </si>
  <si>
    <t>NIF Benefits Girobanks/D-p1chpx/02-02-10/17:00 (prev)</t>
  </si>
  <si>
    <t>0180524170001093</t>
  </si>
  <si>
    <t>NIF Benefits Girobanks/D-p1chpx/03-02-10/17:00 (prev)</t>
  </si>
  <si>
    <t>0180524170001094</t>
  </si>
  <si>
    <t>NIF Benefits Girobanks/D-p1chpx/04-02-10/17:00 (prev)</t>
  </si>
  <si>
    <t>0180524170001095</t>
  </si>
  <si>
    <t>NIF Benefits Girobanks/D-p1chpx/05-02-10/17:00 (prev)</t>
  </si>
  <si>
    <t>0180524170001096</t>
  </si>
  <si>
    <t>NIF Benefits Girobanks/D-p1chpx/08-02-10/17:00 (prev)</t>
  </si>
  <si>
    <t>0180524170001097</t>
  </si>
  <si>
    <t>NIF Benefits Girobanks/D-p1chpx/09-02-10/17:00 (prev)</t>
  </si>
  <si>
    <t>0180524170001098</t>
  </si>
  <si>
    <t>NIF Benefits Girobanks/D-p1chpx/10-02-10/17:00 (prev)</t>
  </si>
  <si>
    <t>0180524170001099</t>
  </si>
  <si>
    <t>NIF Benefits Girobanks/D-p1chpx/11-02-10/17:00 (prev)</t>
  </si>
  <si>
    <t>0180524170001100</t>
  </si>
  <si>
    <t>NIF Benefits Girobanks/D-p1chpx/12-02-10/17:00 (prev)</t>
  </si>
  <si>
    <t>0180524170001101</t>
  </si>
  <si>
    <t>NIF Benefits Girobanks/D-p1chpx/15-02-10/17:00 (prev)</t>
  </si>
  <si>
    <t>0180524170001102</t>
  </si>
  <si>
    <t>NIF Benefits Girobanks/D-p1chpx/16-02-10/17:00 (prev)</t>
  </si>
  <si>
    <t>0180524170001103</t>
  </si>
  <si>
    <t>NIF Benefits Girobanks/D-p1chpx/17-02-10/17:00 (prev)</t>
  </si>
  <si>
    <t>0180524170001104</t>
  </si>
  <si>
    <t>NIF Benefits Girobanks/D-p1chpx/18-02-10/17:00 (prev)</t>
  </si>
  <si>
    <t>0180524170001105</t>
  </si>
  <si>
    <t>NIF Benefits Girobanks/D-p1chpx/19-02-10/17:00 (prev)</t>
  </si>
  <si>
    <t>0180524170001106</t>
  </si>
  <si>
    <t>NIF Benefits Girobanks/D-p1chpx/22-02-10/17:00 (prev)</t>
  </si>
  <si>
    <t>0180524170001107</t>
  </si>
  <si>
    <t>NIF Benefits Girobanks/D-p1chpx/23-02-10/17:00 (prev)</t>
  </si>
  <si>
    <t>0180524170001108</t>
  </si>
  <si>
    <t>NIF Benefits Girobanks/D-p1chpx/24-02-10/17:00 (prev)</t>
  </si>
  <si>
    <t>0180524170001109</t>
  </si>
  <si>
    <t>NIF Benefits Girobanks/D-p1chpx/25-02-10/17:00 (prev)</t>
  </si>
  <si>
    <t>0180524170001110</t>
  </si>
  <si>
    <t>NIF Benefits Girobanks/D-p1chpx/26-02-10/17:00 (prev)</t>
  </si>
  <si>
    <t>0180524170001111</t>
  </si>
  <si>
    <t>NIF Benefits Girobanks/D-p1chpx/01-03-10/17:00 (prev)</t>
  </si>
  <si>
    <t>0180524170001112</t>
  </si>
  <si>
    <t>NIF Benefits Girobanks/D-p1chpx/02-03-10/17:00 (prev)</t>
  </si>
  <si>
    <t>0180524170001113</t>
  </si>
  <si>
    <t>NIF Benefits Girobanks/D-p1chpx/03-03-10/17:00 (prev)</t>
  </si>
  <si>
    <t>0180524170001114</t>
  </si>
  <si>
    <t>NIF Benefits Girobanks/D-p1chpx/04-03-10/17:00 (prev)</t>
  </si>
  <si>
    <t>0180524170001115</t>
  </si>
  <si>
    <t>NIF Benefits Girobanks/D-p1chpx/05-03-10/17:00 (prev)</t>
  </si>
  <si>
    <t>0180524170001116</t>
  </si>
  <si>
    <t>NIF Benefits Girobanks/D-p1chpx/08-03-10/17:00 (prev)</t>
  </si>
  <si>
    <t>0180524170001117</t>
  </si>
  <si>
    <t>NIF Benefits Girobanks/D-p1chpx/09-03-10/17:00 (prev)</t>
  </si>
  <si>
    <t>0180524170001118</t>
  </si>
  <si>
    <t>NIF Benefits Girobanks/D-p1chpx/10-03-10/17:00 (prev)</t>
  </si>
  <si>
    <t>0180524170001119</t>
  </si>
  <si>
    <t>NIF Benefits Girobanks/D-p1chpx/11-03-10/17:00 (prev)</t>
  </si>
  <si>
    <t>0180524170001120</t>
  </si>
  <si>
    <t>NIF Benefits Girobanks/D-p1chpx/12-03-10/17:00 (prev)</t>
  </si>
  <si>
    <t>0180524170001121</t>
  </si>
  <si>
    <t>NIF Benefits Girobanks/D-p1chpx/15-03-10/17:00 (prev)</t>
  </si>
  <si>
    <t>0180524170001122</t>
  </si>
  <si>
    <t>NIF Benefits Girobanks/D-p1chpx/16-03-10/17:00 (prev)</t>
  </si>
  <si>
    <t>0180524170001123</t>
  </si>
  <si>
    <t>NIF Benefits Girobanks/D-p1chpx/17-03-10/17:00 (prev)</t>
  </si>
  <si>
    <t>0180524170001124</t>
  </si>
  <si>
    <t>NIF Benefits Girobanks/D-p1chpx/18-03-10/17:00 (prev)</t>
  </si>
  <si>
    <t>0180524170001125</t>
  </si>
  <si>
    <t>NIF Benefits Girobanks/D-p1chpx/19-03-10/17:00 (prev)</t>
  </si>
  <si>
    <t>0180524170001126</t>
  </si>
  <si>
    <t>NIF Benefits Girobanks/D-p1chpx/22-03-10/17:00 (prev)</t>
  </si>
  <si>
    <t>0180524170001127</t>
  </si>
  <si>
    <t>NIF Benefits Girobanks/D-p1chpx/23-03-10/17:00 (prev)</t>
  </si>
  <si>
    <t>0180524170001128</t>
  </si>
  <si>
    <t>NIF Benefits Girobanks/D-p1chpx/24-03-10/17:00 (prev)</t>
  </si>
  <si>
    <t>0180524170001129</t>
  </si>
  <si>
    <t>NIF Benefits Girobanks/D-p1chpx/25-03-10/17:00 (prev)</t>
  </si>
  <si>
    <t>0180524170001130</t>
  </si>
  <si>
    <t>NIF Benefits Girobanks/D-p1chpx/26-03-10/17:00 (prev)</t>
  </si>
  <si>
    <t>0180524170001131</t>
  </si>
  <si>
    <t>NIF Benefits Girobanks/D-p1chpx/29-03-10/17:00 (prev)</t>
  </si>
  <si>
    <t>0180524170001132</t>
  </si>
  <si>
    <t>NIF Benefits Girobanks/D-p1chpx/30-03-10/17:00 (prev)</t>
  </si>
  <si>
    <t>0180524170001133</t>
  </si>
  <si>
    <t>NIF Benefits Girobanks/D-p1chpx/31-03-10/17:00 (prev)</t>
  </si>
  <si>
    <t>0180524170001134</t>
  </si>
  <si>
    <t>NIF Benefits Girobanks/D-p1chpx/01-04-10/17:00 (prev)</t>
  </si>
  <si>
    <t>0180524170001135</t>
  </si>
  <si>
    <t>NIF Benefits Girobanks/D-p1chpx/06-04-10/17:00 (prev)</t>
  </si>
  <si>
    <t>0180524170001136</t>
  </si>
  <si>
    <t>NIF Benefits Girobanks/D-p1chpx/07-04-10/17:00 (prev)</t>
  </si>
  <si>
    <t>0180524170001137</t>
  </si>
  <si>
    <t>NIF Benefits Girobanks/D-p1chpx/08-04-10/17:00 (prev)</t>
  </si>
  <si>
    <t>0180524170001138</t>
  </si>
  <si>
    <t>NIF Benefits Girobanks/D-p1chpx/09-04-10/17:00 (prev)</t>
  </si>
  <si>
    <t>0180524170001139</t>
  </si>
  <si>
    <t>NIF Benefits Girobanks/D-p1chpx/12-04-10/17:00 (prev)</t>
  </si>
  <si>
    <t>0180524170001140</t>
  </si>
  <si>
    <t>NIF Benefits Girobanks/D-p1chpx/13-04-10/17:00 (prev)</t>
  </si>
  <si>
    <t>0180524170001141</t>
  </si>
  <si>
    <t>NIF Benefits Girobanks/D-p1chpx/14-04-10/17:00 (prev)</t>
  </si>
  <si>
    <t>0180524170001142</t>
  </si>
  <si>
    <t>NIF Benefits Girobanks/D-p1chpx/15-04-10/17:00 (prev)</t>
  </si>
  <si>
    <t>0180524170001143</t>
  </si>
  <si>
    <t>NIF Benefits Girobanks/D-p1chpx/16-04-10/17:00 (prev)</t>
  </si>
  <si>
    <t>0180524170001144</t>
  </si>
  <si>
    <t>NIF Benefits Girobanks/D-p1chpx/19-04-10/17:00 (prev)</t>
  </si>
  <si>
    <t>0180524170001145</t>
  </si>
  <si>
    <t>NIF Benefits Girobanks/D-p1chpx/20-04-10/17:00 (prev)</t>
  </si>
  <si>
    <t>0180524170001146</t>
  </si>
  <si>
    <t>NIF Benefits Girobanks/D-p1chpx/21-04-10/17:00 (prev)</t>
  </si>
  <si>
    <t>0180524170001147</t>
  </si>
  <si>
    <t>NIF Benefits Girobanks/D-p1chpx/22-04-10/17:00 (prev)</t>
  </si>
  <si>
    <t>0180524170001148</t>
  </si>
  <si>
    <t>NIF Benefits Girobanks/D-p1chpx/23-04-10/17:00 (prev)</t>
  </si>
  <si>
    <t>0180524170001149</t>
  </si>
  <si>
    <t>NIF Benefits Girobanks/D-p1chpx/26-04-10/17:00 (prev)</t>
  </si>
  <si>
    <t>0180524170001150</t>
  </si>
  <si>
    <t>NIF Benefits Girobanks/D-p1chpx/27-04-10/17:00 (prev)</t>
  </si>
  <si>
    <t>0180524170001151</t>
  </si>
  <si>
    <t>NIF Benefits Girobanks/D-p1chpx/28-04-10/17:00 (prev)</t>
  </si>
  <si>
    <t>0180524170001152</t>
  </si>
  <si>
    <t>NIF Benefits Girobanks/D-p1chpx/29-04-10/17:00 (prev)</t>
  </si>
  <si>
    <t>0180524170001153</t>
  </si>
  <si>
    <t>NIF Benefits Girobanks/D-p1chpx/30-04-10/17:00 (prev)</t>
  </si>
  <si>
    <t>0180524170001154</t>
  </si>
  <si>
    <t>NLF interest repayments/D-nlfR/07-01-10/17:00 (prev)</t>
  </si>
  <si>
    <t>0180524170001155</t>
  </si>
  <si>
    <t>NLF interest repayments/D-nlfR/08-01-10/17:00 (prev)</t>
  </si>
  <si>
    <t>0180524170001156</t>
  </si>
  <si>
    <t>NLF interest repayments/D-nlfR/25-01-10/17:00 (prev)</t>
  </si>
  <si>
    <t>0180524170001157</t>
  </si>
  <si>
    <t>NLF interest repayments/D-nlfR/29-01-10/17:00 (prev)</t>
  </si>
  <si>
    <t>0180524170001158</t>
  </si>
  <si>
    <t>NLF interest repayments/D-nlfR/01-02-10/17:00 (prev)</t>
  </si>
  <si>
    <t>0180524170001159</t>
  </si>
  <si>
    <t>NLF interest repayments/D-nlfR/01-03-10/17:00 (prev)</t>
  </si>
  <si>
    <t>0180524170001160</t>
  </si>
  <si>
    <t>NLF interest repayments/D-nlfR/05-03-10/17:00 (prev)</t>
  </si>
  <si>
    <t>0180524170001161</t>
  </si>
  <si>
    <t>NLF interest repayments/D-nlfR/12-03-10/17:00 (prev)</t>
  </si>
  <si>
    <t>0180524170001162</t>
  </si>
  <si>
    <t>NLF interest repayments/D-nlfR/15-03-10/17:00 (prev)</t>
  </si>
  <si>
    <t>0180524170001163</t>
  </si>
  <si>
    <t>NLF interest repayments/D-nlfR/22-03-10/17:00 (prev)</t>
  </si>
  <si>
    <t>0180524170001164</t>
  </si>
  <si>
    <t>NLF interest repayments/D-nlfR/29-03-10/17:00 (prev)</t>
  </si>
  <si>
    <t>0180524170001165</t>
  </si>
  <si>
    <t>NLF interest repayments/D-nlfR/06-04-10/17:00 (prev)</t>
  </si>
  <si>
    <t>0180524170001166</t>
  </si>
  <si>
    <t>NLF interest repayments/D-nlfR/12-04-10/17:00 (prev)</t>
  </si>
  <si>
    <t>0180524170001167</t>
  </si>
  <si>
    <t>NLF interest repayments/D-nlfR/14-04-10/17:00 (prev)</t>
  </si>
  <si>
    <t>0180524170001168</t>
  </si>
  <si>
    <t>NLF interest repayments/D-nlfR/15-04-10/17:00 (prev)</t>
  </si>
  <si>
    <t>0180524170001169</t>
  </si>
  <si>
    <t>NLF interest repayments/D-nlfR/16-04-10/17:00 (prev)</t>
  </si>
  <si>
    <t>0180524170001170</t>
  </si>
  <si>
    <t>NLF interest repayments/D-nlfR/20-04-10/17:00 (prev)</t>
  </si>
  <si>
    <t>0180524170001171</t>
  </si>
  <si>
    <t>NLF interest repayments/D-nlfR/26-04-10/17:00 (prev)</t>
  </si>
  <si>
    <t>0180524170001172</t>
  </si>
  <si>
    <t>NLF principal repayments/D-nlfP/05-02-10/17:00 (prev)</t>
  </si>
  <si>
    <t>0180524170001173</t>
  </si>
  <si>
    <t>NLF principal repayments/D-nlfP/25-02-10/17:00 (prev)</t>
  </si>
  <si>
    <t>0180524170001174</t>
  </si>
  <si>
    <t>NLF principal repayments/D-nlfP/15-03-10/17:00 (prev)</t>
  </si>
  <si>
    <t>0180524170001175</t>
  </si>
  <si>
    <t>NLF principal repayments/D-nlfP/24-03-10/17:00 (prev)</t>
  </si>
  <si>
    <t>0180524170001176</t>
  </si>
  <si>
    <t>NLF principal repayments/D-nlfP/13-04-10/17:00 (prev)</t>
  </si>
  <si>
    <t>0180524170001177</t>
  </si>
  <si>
    <t>Other identified receipts/D-oidr/04-01-10/17:00 (prev)</t>
  </si>
  <si>
    <t>0180524170001178</t>
  </si>
  <si>
    <t>Other identified receipts/D-oidr/05-01-10/17:00 (prev)</t>
  </si>
  <si>
    <t>0180524170001179</t>
  </si>
  <si>
    <t>Other identified receipts/D-oidr/06-01-10/17:00 (prev)</t>
  </si>
  <si>
    <t>0180524170001180</t>
  </si>
  <si>
    <t>Other identified receipts/D-oidr/08-01-10/17:00 (prev)</t>
  </si>
  <si>
    <t>0180524170001181</t>
  </si>
  <si>
    <t>Other identified receipts/D-oidr/11-01-10/17:00 (prev)</t>
  </si>
  <si>
    <t>0180524170001182</t>
  </si>
  <si>
    <t>Other identified receipts/D-oidr/12-01-10/17:00 (prev)</t>
  </si>
  <si>
    <t>0180524170001183</t>
  </si>
  <si>
    <t>Other identified receipts/D-oidr/13-01-10/17:00 (prev)</t>
  </si>
  <si>
    <t>0180524170001184</t>
  </si>
  <si>
    <t>Other identified receipts/D-oidr/15-01-10/17:00 (prev)</t>
  </si>
  <si>
    <t>0180524170001185</t>
  </si>
  <si>
    <t>Other identified receipts/D-oidr/18-01-10/17:00 (prev)</t>
  </si>
  <si>
    <t>0180524170001186</t>
  </si>
  <si>
    <t>Other identified receipts/D-oidr/19-01-10/17:00 (prev)</t>
  </si>
  <si>
    <t>0180524170001187</t>
  </si>
  <si>
    <t>Other identified receipts/D-oidr/20-01-10/17:00 (prev)</t>
  </si>
  <si>
    <t>0180524170001188</t>
  </si>
  <si>
    <t>Other identified receipts/D-oidr/22-01-10/17:00 (prev)</t>
  </si>
  <si>
    <t>0180524170001189</t>
  </si>
  <si>
    <t>Other identified receipts/D-oidr/25-01-10/17:00 (prev)</t>
  </si>
  <si>
    <t>0180524170001190</t>
  </si>
  <si>
    <t>Other identified receipts/D-oidr/26-01-10/17:00 (prev)</t>
  </si>
  <si>
    <t>0180524170001191</t>
  </si>
  <si>
    <t>Other identified receipts/D-oidr/27-01-10/17:00 (prev)</t>
  </si>
  <si>
    <t>0180524170001192</t>
  </si>
  <si>
    <t>Other identified receipts/D-oidr/28-01-10/17:00 (prev)</t>
  </si>
  <si>
    <t>0180524170001193</t>
  </si>
  <si>
    <t>Other identified receipts/D-oidr/29-01-10/17:00 (prev)</t>
  </si>
  <si>
    <t>0180524170001194</t>
  </si>
  <si>
    <t>Other identified receipts/D-oidr/01-02-10/17:00 (prev)</t>
  </si>
  <si>
    <t>0180524170001195</t>
  </si>
  <si>
    <t>Other identified receipts/D-oidr/03-02-10/17:00 (prev)</t>
  </si>
  <si>
    <t>0180524170001196</t>
  </si>
  <si>
    <t>Other identified receipts/D-oidr/05-02-10/17:00 (prev)</t>
  </si>
  <si>
    <t>0180524170001197</t>
  </si>
  <si>
    <t>Other identified receipts/D-oidr/08-02-10/17:00 (prev)</t>
  </si>
  <si>
    <t>0180524170001198</t>
  </si>
  <si>
    <t>Other identified receipts/D-oidr/10-02-10/17:00 (prev)</t>
  </si>
  <si>
    <t>0180524170001199</t>
  </si>
  <si>
    <t>Other identified receipts/D-oidr/11-02-10/17:00 (prev)</t>
  </si>
  <si>
    <t>0180524170001200</t>
  </si>
  <si>
    <t>Other identified receipts/D-oidr/12-02-10/17:00 (prev)</t>
  </si>
  <si>
    <t>0180524170001201</t>
  </si>
  <si>
    <t>Other identified receipts/D-oidr/15-02-10/17:00 (prev)</t>
  </si>
  <si>
    <t>0180524170001202</t>
  </si>
  <si>
    <t>Other identified receipts/D-oidr/16-02-10/17:00 (prev)</t>
  </si>
  <si>
    <t>0180524170001203</t>
  </si>
  <si>
    <t>Other identified receipts/D-oidr/17-02-10/17:00 (prev)</t>
  </si>
  <si>
    <t>0180524170001204</t>
  </si>
  <si>
    <t>Other identified receipts/D-oidr/19-02-10/17:00 (prev)</t>
  </si>
  <si>
    <t>0180524170001205</t>
  </si>
  <si>
    <t>Other identified receipts/D-oidr/23-02-10/17:00 (prev)</t>
  </si>
  <si>
    <t>0180524170001206</t>
  </si>
  <si>
    <t>Other identified receipts/D-oidr/24-02-10/17:00 (prev)</t>
  </si>
  <si>
    <t>0180524170001207</t>
  </si>
  <si>
    <t>Other identified receipts/D-oidr/25-02-10/17:00 (prev)</t>
  </si>
  <si>
    <t>0180524170001208</t>
  </si>
  <si>
    <t>Other identified receipts/D-oidr/26-02-10/17:00 (prev)</t>
  </si>
  <si>
    <t>0180524170001209</t>
  </si>
  <si>
    <t>Other identified receipts/D-oidr/01-03-10/17:00 (prev)</t>
  </si>
  <si>
    <t>0180524170001210</t>
  </si>
  <si>
    <t>Other identified receipts/D-oidr/02-03-10/17:00 (prev)</t>
  </si>
  <si>
    <t>0180524170001211</t>
  </si>
  <si>
    <t>Other identified receipts/D-oidr/03-03-10/17:00 (prev)</t>
  </si>
  <si>
    <t>0180524170001212</t>
  </si>
  <si>
    <t>Other identified receipts/D-oidr/04-03-10/17:00 (prev)</t>
  </si>
  <si>
    <t>0180524170001213</t>
  </si>
  <si>
    <t>Other identified receipts/D-oidr/05-03-10/17:00 (prev)</t>
  </si>
  <si>
    <t>0180524170001214</t>
  </si>
  <si>
    <t>Other identified receipts/D-oidr/08-03-10/17:00 (prev)</t>
  </si>
  <si>
    <t>0180524170001215</t>
  </si>
  <si>
    <t>Other identified receipts/D-oidr/09-03-10/17:00 (prev)</t>
  </si>
  <si>
    <t>0180524170001216</t>
  </si>
  <si>
    <t>Other identified receipts/D-oidr/10-03-10/17:00 (prev)</t>
  </si>
  <si>
    <t>0180524170001217</t>
  </si>
  <si>
    <t>Other identified receipts/D-oidr/12-03-10/17:00 (prev)</t>
  </si>
  <si>
    <t>0180524170001218</t>
  </si>
  <si>
    <t>Other identified receipts/D-oidr/15-03-10/17:00 (prev)</t>
  </si>
  <si>
    <t>0180524170001219</t>
  </si>
  <si>
    <t>Other identified receipts/D-oidr/16-03-10/17:00 (prev)</t>
  </si>
  <si>
    <t>0180524170001220</t>
  </si>
  <si>
    <t>Other identified receipts/D-oidr/19-03-10/17:00 (prev)</t>
  </si>
  <si>
    <t>0180524170001221</t>
  </si>
  <si>
    <t>Other identified receipts/D-oidr/22-03-10/17:00 (prev)</t>
  </si>
  <si>
    <t>0180524170001222</t>
  </si>
  <si>
    <t>Other identified receipts/D-oidr/23-03-10/17:00 (prev)</t>
  </si>
  <si>
    <t>0180524170001223</t>
  </si>
  <si>
    <t>Other identified receipts/D-oidr/24-03-10/17:00 (prev)</t>
  </si>
  <si>
    <t>0180524170001224</t>
  </si>
  <si>
    <t>Other identified receipts/D-oidr/25-03-10/17:00 (prev)</t>
  </si>
  <si>
    <t>0180524170001225</t>
  </si>
  <si>
    <t>Other identified receipts/D-oidr/26-03-10/17:00 (prev)</t>
  </si>
  <si>
    <t>0180524170001226</t>
  </si>
  <si>
    <t>Other identified receipts/D-oidr/30-03-10/17:00 (prev)</t>
  </si>
  <si>
    <t>0180524170001227</t>
  </si>
  <si>
    <t>Other identified receipts/D-oidr/31-03-10/17:00 (prev)</t>
  </si>
  <si>
    <t>0180524170001228</t>
  </si>
  <si>
    <t>Other identified receipts/D-oidr/01-04-10/17:00 (prev)</t>
  </si>
  <si>
    <t>0180524170001229</t>
  </si>
  <si>
    <t>Other identified receipts/D-oidr/07-04-10/17:00 (prev)</t>
  </si>
  <si>
    <t>0180524170001230</t>
  </si>
  <si>
    <t>Other identified receipts/D-oidr/09-04-10/17:00 (prev)</t>
  </si>
  <si>
    <t>0180524170001231</t>
  </si>
  <si>
    <t>Other identified receipts/D-oidr/12-04-10/17:00 (prev)</t>
  </si>
  <si>
    <t>0180524170001232</t>
  </si>
  <si>
    <t>Other identified receipts/D-oidr/13-04-10/17:00 (prev)</t>
  </si>
  <si>
    <t>0180524170001233</t>
  </si>
  <si>
    <t>Other identified receipts/D-oidr/14-04-10/17:00 (prev)</t>
  </si>
  <si>
    <t>0180524170001234</t>
  </si>
  <si>
    <t>Other identified receipts/D-oidr/16-04-10/17:00 (prev)</t>
  </si>
  <si>
    <t>0180524170001235</t>
  </si>
  <si>
    <t>Other identified receipts/D-oidr/19-04-10/17:00 (prev)</t>
  </si>
  <si>
    <t>0180524170001236</t>
  </si>
  <si>
    <t>Other identified receipts/D-oidr/20-04-10/17:00 (prev)</t>
  </si>
  <si>
    <t>0180524170001237</t>
  </si>
  <si>
    <t>Other identified receipts/D-oidr/22-04-10/17:00 (prev)</t>
  </si>
  <si>
    <t>0180524170001238</t>
  </si>
  <si>
    <t>Other identified receipts/D-oidr/23-04-10/17:00 (prev)</t>
  </si>
  <si>
    <t>0180524170001239</t>
  </si>
  <si>
    <t>Other identified receipts/D-oidr/26-04-10/17:00 (prev)</t>
  </si>
  <si>
    <t>0180524170001240</t>
  </si>
  <si>
    <t>Other identified receipts/D-oidr/27-04-10/17:00 (prev)</t>
  </si>
  <si>
    <t>0180524170001241</t>
  </si>
  <si>
    <t>Other identified receipts/D-oidr/28-04-10/17:00 (prev)</t>
  </si>
  <si>
    <t>0180524170001242</t>
  </si>
  <si>
    <t>Other identified receipts/D-oidr/29-04-10/17:00 (prev)</t>
  </si>
  <si>
    <t>0180524170001243</t>
  </si>
  <si>
    <t>Other identified receipts/D-oidr/30-04-10/17:00 (prev)</t>
  </si>
  <si>
    <t>0180524170001244</t>
  </si>
  <si>
    <t>Paymaster Lodgement/D-p1lod/04-01-10/17:00 (prev)</t>
  </si>
  <si>
    <t>0180524170001245</t>
  </si>
  <si>
    <t>Paymaster Lodgement/D-p1lod/05-01-10/17:00 (prev)</t>
  </si>
  <si>
    <t>0180524170001246</t>
  </si>
  <si>
    <t>Paymaster Lodgement/D-p1lod/06-01-10/17:00 (prev)</t>
  </si>
  <si>
    <t>0180524170001247</t>
  </si>
  <si>
    <t>Paymaster Lodgement/D-p1lod/07-01-10/17:00 (prev)</t>
  </si>
  <si>
    <t>0180524170001248</t>
  </si>
  <si>
    <t>Paymaster Lodgement/D-p1lod/08-01-10/17:00 (prev)</t>
  </si>
  <si>
    <t>0180524170001249</t>
  </si>
  <si>
    <t>Paymaster Lodgement/D-p1lod/11-01-10/17:00 (prev)</t>
  </si>
  <si>
    <t>0180524170001250</t>
  </si>
  <si>
    <t>Paymaster Lodgement/D-p1lod/12-01-10/17:00 (prev)</t>
  </si>
  <si>
    <t>0180524170001251</t>
  </si>
  <si>
    <t>Paymaster Lodgement/D-p1lod/13-01-10/17:00 (prev)</t>
  </si>
  <si>
    <t>0180524170001252</t>
  </si>
  <si>
    <t>Paymaster Lodgement/D-p1lod/14-01-10/17:00 (prev)</t>
  </si>
  <si>
    <t>0180524170001253</t>
  </si>
  <si>
    <t>Paymaster Lodgement/D-p1lod/15-01-10/17:00 (prev)</t>
  </si>
  <si>
    <t>0180524170001254</t>
  </si>
  <si>
    <t>Paymaster Lodgement/D-p1lod/18-01-10/17:00 (prev)</t>
  </si>
  <si>
    <t>0180524170001255</t>
  </si>
  <si>
    <t>Paymaster Lodgement/D-p1lod/19-01-10/17:00 (prev)</t>
  </si>
  <si>
    <t>0180524170001256</t>
  </si>
  <si>
    <t>Paymaster Lodgement/D-p1lod/20-01-10/17:00 (prev)</t>
  </si>
  <si>
    <t>0180524170001257</t>
  </si>
  <si>
    <t>Paymaster Lodgement/D-p1lod/21-01-10/17:00 (prev)</t>
  </si>
  <si>
    <t>0180524170001258</t>
  </si>
  <si>
    <t>Paymaster Lodgement/D-p1lod/22-01-10/17:00 (prev)</t>
  </si>
  <si>
    <t>0180524170001259</t>
  </si>
  <si>
    <t>Paymaster Lodgement/D-p1lod/25-01-10/17:00 (prev)</t>
  </si>
  <si>
    <t>0180524170001260</t>
  </si>
  <si>
    <t>Paymaster Lodgement/D-p1lod/26-01-10/17:00 (prev)</t>
  </si>
  <si>
    <t>0180524170001261</t>
  </si>
  <si>
    <t>Paymaster Lodgement/D-p1lod/27-01-10/17:00 (prev)</t>
  </si>
  <si>
    <t>0180524170001262</t>
  </si>
  <si>
    <t>Paymaster Lodgement/D-p1lod/28-01-10/17:00 (prev)</t>
  </si>
  <si>
    <t>0180524170001263</t>
  </si>
  <si>
    <t>Paymaster Lodgement/D-p1lod/29-01-10/17:00 (prev)</t>
  </si>
  <si>
    <t>0180524170001264</t>
  </si>
  <si>
    <t>Paymaster Lodgement/D-p1lod/01-02-10/17:00 (prev)</t>
  </si>
  <si>
    <t>0180524170001265</t>
  </si>
  <si>
    <t>Paymaster Lodgement/D-p1lod/02-02-10/17:00 (prev)</t>
  </si>
  <si>
    <t>0180524170001266</t>
  </si>
  <si>
    <t>Paymaster Lodgement/D-p1lod/03-02-10/17:00 (prev)</t>
  </si>
  <si>
    <t>0180524170001267</t>
  </si>
  <si>
    <t>Paymaster Lodgement/D-p1lod/04-02-10/17:00 (prev)</t>
  </si>
  <si>
    <t>0180524170001268</t>
  </si>
  <si>
    <t>Paymaster Lodgement/D-p1lod/05-02-10/17:00 (prev)</t>
  </si>
  <si>
    <t>0180524170001269</t>
  </si>
  <si>
    <t>Paymaster Lodgement/D-p1lod/08-02-10/17:00 (prev)</t>
  </si>
  <si>
    <t>0180524170001270</t>
  </si>
  <si>
    <t>Paymaster Lodgement/D-p1lod/09-02-10/17:00 (prev)</t>
  </si>
  <si>
    <t>0180524170001271</t>
  </si>
  <si>
    <t>Paymaster Lodgement/D-p1lod/10-02-10/17:00 (prev)</t>
  </si>
  <si>
    <t>0180524170001272</t>
  </si>
  <si>
    <t>Paymaster Lodgement/D-p1lod/11-02-10/17:00 (prev)</t>
  </si>
  <si>
    <t>0180524170001273</t>
  </si>
  <si>
    <t>Paymaster Lodgement/D-p1lod/12-02-10/17:00 (prev)</t>
  </si>
  <si>
    <t>0180524170001274</t>
  </si>
  <si>
    <t>Paymaster Lodgement/D-p1lod/15-02-10/17:00 (prev)</t>
  </si>
  <si>
    <t>0180524170001275</t>
  </si>
  <si>
    <t>Paymaster Lodgement/D-p1lod/16-02-10/17:00 (prev)</t>
  </si>
  <si>
    <t>0180524170001276</t>
  </si>
  <si>
    <t>Paymaster Lodgement/D-p1lod/17-02-10/17:00 (prev)</t>
  </si>
  <si>
    <t>0180524170001277</t>
  </si>
  <si>
    <t>Paymaster Lodgement/D-p1lod/18-02-10/17:00 (prev)</t>
  </si>
  <si>
    <t>0180524170001278</t>
  </si>
  <si>
    <t>Paymaster Lodgement/D-p1lod/19-02-10/17:00 (prev)</t>
  </si>
  <si>
    <t>0180524170001279</t>
  </si>
  <si>
    <t>Paymaster Lodgement/D-p1lod/22-02-10/17:00 (prev)</t>
  </si>
  <si>
    <t>0180524170001280</t>
  </si>
  <si>
    <t>Paymaster Lodgement/D-p1lod/23-02-10/17:00 (prev)</t>
  </si>
  <si>
    <t>0180524170001281</t>
  </si>
  <si>
    <t>Paymaster Lodgement/D-p1lod/24-02-10/17:00 (prev)</t>
  </si>
  <si>
    <t>0180524170001282</t>
  </si>
  <si>
    <t>Paymaster Lodgement/D-p1lod/25-02-10/17:00 (prev)</t>
  </si>
  <si>
    <t>0180524170001283</t>
  </si>
  <si>
    <t>Paymaster Lodgement/D-p1lod/26-02-10/17:00 (prev)</t>
  </si>
  <si>
    <t>0180524170001284</t>
  </si>
  <si>
    <t>Paymaster Lodgement/D-p1lod/01-03-10/17:00 (prev)</t>
  </si>
  <si>
    <t>0180524170001285</t>
  </si>
  <si>
    <t>Paymaster Lodgement/D-p1lod/02-03-10/17:00 (prev)</t>
  </si>
  <si>
    <t>0180524170001286</t>
  </si>
  <si>
    <t>Paymaster Lodgement/D-p1lod/03-03-10/17:00 (prev)</t>
  </si>
  <si>
    <t>0180524170001287</t>
  </si>
  <si>
    <t>Paymaster Lodgement/D-p1lod/04-03-10/17:00 (prev)</t>
  </si>
  <si>
    <t>0180524170001288</t>
  </si>
  <si>
    <t>Paymaster Lodgement/D-p1lod/05-03-10/17:00 (prev)</t>
  </si>
  <si>
    <t>0180524170001289</t>
  </si>
  <si>
    <t>Paymaster Lodgement/D-p1lod/08-03-10/17:00 (prev)</t>
  </si>
  <si>
    <t>0180524170001290</t>
  </si>
  <si>
    <t>Paymaster Lodgement/D-p1lod/09-03-10/17:00 (prev)</t>
  </si>
  <si>
    <t>0180524170001291</t>
  </si>
  <si>
    <t>Paymaster Lodgement/D-p1lod/10-03-10/17:00 (prev)</t>
  </si>
  <si>
    <t>0180524170001292</t>
  </si>
  <si>
    <t>Paymaster Lodgement/D-p1lod/11-03-10/17:00 (prev)</t>
  </si>
  <si>
    <t>0180524170001293</t>
  </si>
  <si>
    <t>Paymaster Lodgement/D-p1lod/12-03-10/17:00 (prev)</t>
  </si>
  <si>
    <t>0180524170001294</t>
  </si>
  <si>
    <t>Paymaster Lodgement/D-p1lod/15-03-10/17:00 (prev)</t>
  </si>
  <si>
    <t>0180524170001295</t>
  </si>
  <si>
    <t>Paymaster Lodgement/D-p1lod/16-03-10/17:00 (prev)</t>
  </si>
  <si>
    <t>0180524170001296</t>
  </si>
  <si>
    <t>Paymaster Lodgement/D-p1lod/17-03-10/17:00 (prev)</t>
  </si>
  <si>
    <t>0180524170001297</t>
  </si>
  <si>
    <t>Paymaster Lodgement/D-p1lod/18-03-10/17:00 (prev)</t>
  </si>
  <si>
    <t>0180524170001298</t>
  </si>
  <si>
    <t>Paymaster Lodgement/D-p1lod/19-03-10/17:00 (prev)</t>
  </si>
  <si>
    <t>0180524170001299</t>
  </si>
  <si>
    <t>Paymaster Lodgement/D-p1lod/22-03-10/17:00 (prev)</t>
  </si>
  <si>
    <t>0180524170001300</t>
  </si>
  <si>
    <t>Paymaster Lodgement/D-p1lod/23-03-10/17:00 (prev)</t>
  </si>
  <si>
    <t>0180524170001301</t>
  </si>
  <si>
    <t>Paymaster Lodgement/D-p1lod/24-03-10/17:00 (prev)</t>
  </si>
  <si>
    <t>0180524170001302</t>
  </si>
  <si>
    <t>Paymaster Lodgement/D-p1lod/25-03-10/17:00 (prev)</t>
  </si>
  <si>
    <t>0180524170001303</t>
  </si>
  <si>
    <t>Paymaster Lodgement/D-p1lod/26-03-10/17:00 (prev)</t>
  </si>
  <si>
    <t>0180524170001304</t>
  </si>
  <si>
    <t>Paymaster Lodgement/D-p1lod/29-03-10/17:00 (prev)</t>
  </si>
  <si>
    <t>0180524170001305</t>
  </si>
  <si>
    <t>Paymaster Lodgement/D-p1lod/30-03-10/17:00 (prev)</t>
  </si>
  <si>
    <t>0180524170001306</t>
  </si>
  <si>
    <t>Paymaster Lodgement/D-p1lod/31-03-10/17:00 (prev)</t>
  </si>
  <si>
    <t>0180524170001307</t>
  </si>
  <si>
    <t>Paymaster Lodgement/D-p1lod/01-04-10/17:00 (prev)</t>
  </si>
  <si>
    <t>0180524170001308</t>
  </si>
  <si>
    <t>Paymaster Lodgement/D-p1lod/06-04-10/17:00 (prev)</t>
  </si>
  <si>
    <t>0180524170001309</t>
  </si>
  <si>
    <t>Paymaster Lodgement/D-p1lod/07-04-10/17:00 (prev)</t>
  </si>
  <si>
    <t>0180524170001310</t>
  </si>
  <si>
    <t>Paymaster Lodgement/D-p1lod/08-04-10/17:00 (prev)</t>
  </si>
  <si>
    <t>0180524170001311</t>
  </si>
  <si>
    <t>Paymaster Lodgement/D-p1lod/09-04-10/17:00 (prev)</t>
  </si>
  <si>
    <t>0180524170001312</t>
  </si>
  <si>
    <t>Paymaster Lodgement/D-p1lod/12-04-10/17:00 (prev)</t>
  </si>
  <si>
    <t>0180524170001313</t>
  </si>
  <si>
    <t>Paymaster Lodgement/D-p1lod/13-04-10/17:00 (prev)</t>
  </si>
  <si>
    <t>0180524170001314</t>
  </si>
  <si>
    <t>Paymaster Lodgement/D-p1lod/14-04-10/17:00 (prev)</t>
  </si>
  <si>
    <t>0180524170001315</t>
  </si>
  <si>
    <t>Paymaster Lodgement/D-p1lod/15-04-10/17:00 (prev)</t>
  </si>
  <si>
    <t>0180524170001316</t>
  </si>
  <si>
    <t>Paymaster Lodgement/D-p1lod/16-04-10/17:00 (prev)</t>
  </si>
  <si>
    <t>0180524170001317</t>
  </si>
  <si>
    <t>Paymaster Lodgement/D-p1lod/19-04-10/17:00 (prev)</t>
  </si>
  <si>
    <t>0180524170001318</t>
  </si>
  <si>
    <t>Paymaster Lodgement/D-p1lod/20-04-10/17:00 (prev)</t>
  </si>
  <si>
    <t>0180524170001319</t>
  </si>
  <si>
    <t>Paymaster Lodgement/D-p1lod/21-04-10/17:00 (prev)</t>
  </si>
  <si>
    <t>0180524170001320</t>
  </si>
  <si>
    <t>Paymaster Lodgement/D-p1lod/22-04-10/17:00 (prev)</t>
  </si>
  <si>
    <t>0180524170001321</t>
  </si>
  <si>
    <t>Paymaster Lodgement/D-p1lod/23-04-10/17:00 (prev)</t>
  </si>
  <si>
    <t>0180524170001322</t>
  </si>
  <si>
    <t>Paymaster Lodgement/D-p1lod/26-04-10/17:00 (prev)</t>
  </si>
  <si>
    <t>0180524170001323</t>
  </si>
  <si>
    <t>Paymaster Lodgement/D-p1lod/27-04-10/17:00 (prev)</t>
  </si>
  <si>
    <t>0180524170001324</t>
  </si>
  <si>
    <t>Paymaster Lodgement/D-p1lod/28-04-10/17:00 (prev)</t>
  </si>
  <si>
    <t>0180524170001325</t>
  </si>
  <si>
    <t>Paymaster Lodgement/D-p1lod/29-04-10/17:00 (prev)</t>
  </si>
  <si>
    <t>0180524170001326</t>
  </si>
  <si>
    <t>Paymaster Lodgement/D-p1lod/30-04-10/17:00 (prev)</t>
  </si>
  <si>
    <t>0180524170001327</t>
  </si>
  <si>
    <t>Profits of Issue/I-pofi/13-01-10/17:00 (prev)</t>
  </si>
  <si>
    <t>0180524170001328</t>
  </si>
  <si>
    <t>Profits of Issue/I-pofi/20-01-10/17:00 (prev)</t>
  </si>
  <si>
    <t>0180524170001329</t>
  </si>
  <si>
    <t>RBS Cumbernauld/A-bscot/26-01-10/17:00 (prev)</t>
  </si>
  <si>
    <t>0180524170001330</t>
  </si>
  <si>
    <t>RBS Cumbernauld/A-bscot/18-03-10/17:00 (prev)</t>
  </si>
  <si>
    <t>0180524170001331</t>
  </si>
  <si>
    <t>RBS Cumbernauld/A-bscot/19-03-10/17:00 (prev)</t>
  </si>
  <si>
    <t>0180524170001332</t>
  </si>
  <si>
    <t>Residual/A-resid/04-01-10/17:00 (prev)</t>
  </si>
  <si>
    <t>0180524170001333</t>
  </si>
  <si>
    <t>Residual/A-resid/05-01-10/17:00 (prev)</t>
  </si>
  <si>
    <t>0180524170001334</t>
  </si>
  <si>
    <t>Residual/A-resid/06-01-10/17:00 (prev)</t>
  </si>
  <si>
    <t>0180524170001335</t>
  </si>
  <si>
    <t>Residual/A-resid/07-01-10/17:00 (prev)</t>
  </si>
  <si>
    <t>0180524170001336</t>
  </si>
  <si>
    <t>Residual/A-resid/08-01-10/17:00 (prev)</t>
  </si>
  <si>
    <t>0180524170001337</t>
  </si>
  <si>
    <t>Residual/A-resid/11-01-10/17:00 (prev)</t>
  </si>
  <si>
    <t>0180524170001338</t>
  </si>
  <si>
    <t>Residual/A-resid/12-01-10/17:00 (prev)</t>
  </si>
  <si>
    <t>0180524170001339</t>
  </si>
  <si>
    <t>Residual/A-resid/13-01-10/17:00 (prev)</t>
  </si>
  <si>
    <t>0180524170001340</t>
  </si>
  <si>
    <t>Residual/A-resid/14-01-10/17:00 (prev)</t>
  </si>
  <si>
    <t>0180524170001341</t>
  </si>
  <si>
    <t>Residual/A-resid/15-01-10/17:00 (prev)</t>
  </si>
  <si>
    <t>0180524170001342</t>
  </si>
  <si>
    <t>Residual/A-resid/18-01-10/17:00 (prev)</t>
  </si>
  <si>
    <t>0180524170001343</t>
  </si>
  <si>
    <t>Residual/A-resid/19-01-10/17:00 (prev)</t>
  </si>
  <si>
    <t>0180524170001344</t>
  </si>
  <si>
    <t>Residual/A-resid/20-01-10/17:00 (prev)</t>
  </si>
  <si>
    <t>0180524170001345</t>
  </si>
  <si>
    <t>Residual/A-resid/21-01-10/17:00 (prev)</t>
  </si>
  <si>
    <t>0180524170001346</t>
  </si>
  <si>
    <t>Residual/A-resid/22-01-10/17:00 (prev)</t>
  </si>
  <si>
    <t>0180524170001347</t>
  </si>
  <si>
    <t>Residual/A-resid/25-01-10/17:00 (prev)</t>
  </si>
  <si>
    <t>0180524170001348</t>
  </si>
  <si>
    <t>Residual/A-resid/26-01-10/17:00 (prev)</t>
  </si>
  <si>
    <t>0180524170001349</t>
  </si>
  <si>
    <t>Residual/A-resid/27-01-10/17:00 (prev)</t>
  </si>
  <si>
    <t>0180524170001350</t>
  </si>
  <si>
    <t>Residual/A-resid/28-01-10/17:00 (prev)</t>
  </si>
  <si>
    <t>0180524170001351</t>
  </si>
  <si>
    <t>Residual/A-resid/29-01-10/17:00 (prev)</t>
  </si>
  <si>
    <t>0180524170001352</t>
  </si>
  <si>
    <t>Residual/A-resid/01-02-10/17:00 (prev)</t>
  </si>
  <si>
    <t>0180524170001353</t>
  </si>
  <si>
    <t>Residual/A-resid/02-02-10/17:00 (prev)</t>
  </si>
  <si>
    <t>0180524170001354</t>
  </si>
  <si>
    <t>Residual/A-resid/03-02-10/17:00 (prev)</t>
  </si>
  <si>
    <t>0180524170001355</t>
  </si>
  <si>
    <t>Residual/A-resid/04-02-10/17:00 (prev)</t>
  </si>
  <si>
    <t>0180524170001356</t>
  </si>
  <si>
    <t>Residual/A-resid/05-02-10/17:00 (prev)</t>
  </si>
  <si>
    <t>0180524170001357</t>
  </si>
  <si>
    <t>Residual/A-resid/08-02-10/17:00 (prev)</t>
  </si>
  <si>
    <t>0180524170001358</t>
  </si>
  <si>
    <t>Residual/A-resid/09-02-10/17:00 (prev)</t>
  </si>
  <si>
    <t>0180524170001359</t>
  </si>
  <si>
    <t>Residual/A-resid/10-02-10/17:00 (prev)</t>
  </si>
  <si>
    <t>0180524170001360</t>
  </si>
  <si>
    <t>Residual/A-resid/11-02-10/17:00 (prev)</t>
  </si>
  <si>
    <t>0180524170001361</t>
  </si>
  <si>
    <t>Residual/A-resid/12-02-10/17:00 (prev)</t>
  </si>
  <si>
    <t>0180524170001362</t>
  </si>
  <si>
    <t>Residual/A-resid/15-02-10/17:00 (prev)</t>
  </si>
  <si>
    <t>0180524170001363</t>
  </si>
  <si>
    <t>Residual/A-resid/16-02-10/17:00 (prev)</t>
  </si>
  <si>
    <t>0180524170001364</t>
  </si>
  <si>
    <t>Residual/A-resid/17-02-10/17:00 (prev)</t>
  </si>
  <si>
    <t>0180524170001365</t>
  </si>
  <si>
    <t>Residual/A-resid/18-02-10/17:00 (prev)</t>
  </si>
  <si>
    <t>0180524170001366</t>
  </si>
  <si>
    <t>Residual/A-resid/19-02-10/17:00 (prev)</t>
  </si>
  <si>
    <t>0180524170001367</t>
  </si>
  <si>
    <t>Residual/A-resid/22-02-10/17:00 (prev)</t>
  </si>
  <si>
    <t>0180524170001368</t>
  </si>
  <si>
    <t>Residual/A-resid/23-02-10/17:00 (prev)</t>
  </si>
  <si>
    <t>0180524170001369</t>
  </si>
  <si>
    <t>Residual/A-resid/24-02-10/17:00 (prev)</t>
  </si>
  <si>
    <t>0180524170001370</t>
  </si>
  <si>
    <t>Residual/A-resid/25-02-10/17:00 (prev)</t>
  </si>
  <si>
    <t>0180524170001371</t>
  </si>
  <si>
    <t>Residual/A-resid/26-02-10/17:00 (prev)</t>
  </si>
  <si>
    <t>0180524170001372</t>
  </si>
  <si>
    <t>Residual/A-resid/01-03-10/17:00 (prev)</t>
  </si>
  <si>
    <t>0180524170001373</t>
  </si>
  <si>
    <t>Residual/A-resid/02-03-10/17:00 (prev)</t>
  </si>
  <si>
    <t>0180524170001374</t>
  </si>
  <si>
    <t>Residual/A-resid/03-03-10/17:00 (prev)</t>
  </si>
  <si>
    <t>0180524170001375</t>
  </si>
  <si>
    <t>Residual/A-resid/04-03-10/17:00 (prev)</t>
  </si>
  <si>
    <t>0180524170001376</t>
  </si>
  <si>
    <t>Residual/A-resid/05-03-10/17:00 (prev)</t>
  </si>
  <si>
    <t>0180524170001377</t>
  </si>
  <si>
    <t>Residual/A-resid/08-03-10/17:00 (prev)</t>
  </si>
  <si>
    <t>0180524170001378</t>
  </si>
  <si>
    <t>Residual/A-resid/09-03-10/17:00 (prev)</t>
  </si>
  <si>
    <t>0180524170001379</t>
  </si>
  <si>
    <t>Residual/A-resid/10-03-10/17:00 (prev)</t>
  </si>
  <si>
    <t>0180524170001380</t>
  </si>
  <si>
    <t>Residual/A-resid/11-03-10/17:00 (prev)</t>
  </si>
  <si>
    <t>0180524170001381</t>
  </si>
  <si>
    <t>Residual/A-resid/12-03-10/17:00 (prev)</t>
  </si>
  <si>
    <t>0180524170001382</t>
  </si>
  <si>
    <t>Residual/A-resid/15-03-10/17:00 (prev)</t>
  </si>
  <si>
    <t>0180524170001383</t>
  </si>
  <si>
    <t>Residual/A-resid/16-03-10/17:00 (prev)</t>
  </si>
  <si>
    <t>0180524170001384</t>
  </si>
  <si>
    <t>Residual/A-resid/17-03-10/17:00 (prev)</t>
  </si>
  <si>
    <t>0180524170001385</t>
  </si>
  <si>
    <t>Residual/A-resid/18-03-10/17:00 (prev)</t>
  </si>
  <si>
    <t>0180524170001386</t>
  </si>
  <si>
    <t>Residual/A-resid/19-03-10/17:00 (prev)</t>
  </si>
  <si>
    <t>0180524170001387</t>
  </si>
  <si>
    <t>Residual/A-resid/22-03-10/17:00 (prev)</t>
  </si>
  <si>
    <t>0180524170001388</t>
  </si>
  <si>
    <t>Residual/A-resid/23-03-10/17:00 (prev)</t>
  </si>
  <si>
    <t>0180524170001389</t>
  </si>
  <si>
    <t>Residual/A-resid/24-03-10/17:00 (prev)</t>
  </si>
  <si>
    <t>0180524170001390</t>
  </si>
  <si>
    <t>Residual/A-resid/25-03-10/17:00 (prev)</t>
  </si>
  <si>
    <t>0180524170001391</t>
  </si>
  <si>
    <t>Residual/A-resid/26-03-10/17:00 (prev)</t>
  </si>
  <si>
    <t>0180524170001392</t>
  </si>
  <si>
    <t>Residual/A-resid/29-03-10/17:00 (prev)</t>
  </si>
  <si>
    <t>0180524170001393</t>
  </si>
  <si>
    <t>Residual/A-resid/30-03-10/17:00 (prev)</t>
  </si>
  <si>
    <t>0180524170001394</t>
  </si>
  <si>
    <t>Residual/A-resid/31-03-10/17:00 (prev)</t>
  </si>
  <si>
    <t>0180524170001395</t>
  </si>
  <si>
    <t>Residual/A-resid/01-04-10/17:00 (prev)</t>
  </si>
  <si>
    <t>0180524170001396</t>
  </si>
  <si>
    <t>Residual/A-resid/06-04-10/17:00 (prev)</t>
  </si>
  <si>
    <t>0180524170001397</t>
  </si>
  <si>
    <t>Residual/A-resid/07-04-10/17:00 (prev)</t>
  </si>
  <si>
    <t>0180524170001398</t>
  </si>
  <si>
    <t>Residual/A-resid/08-04-10/17:00 (prev)</t>
  </si>
  <si>
    <t>0180524170001399</t>
  </si>
  <si>
    <t>Residual/A-resid/09-04-10/17:00 (prev)</t>
  </si>
  <si>
    <t>0180524170001400</t>
  </si>
  <si>
    <t>Residual/A-resid/12-04-10/17:00 (prev)</t>
  </si>
  <si>
    <t>0180524170001401</t>
  </si>
  <si>
    <t>Residual/A-resid/13-04-10/17:00 (prev)</t>
  </si>
  <si>
    <t>0180524170001402</t>
  </si>
  <si>
    <t>Residual/A-resid/14-04-10/17:00 (prev)</t>
  </si>
  <si>
    <t>0180524170001403</t>
  </si>
  <si>
    <t>Residual/A-resid/15-04-10/17:00 (prev)</t>
  </si>
  <si>
    <t>0180524170001404</t>
  </si>
  <si>
    <t>Residual/A-resid/16-04-10/17:00 (prev)</t>
  </si>
  <si>
    <t>0180524170001405</t>
  </si>
  <si>
    <t>Residual/A-resid/19-04-10/17:00 (prev)</t>
  </si>
  <si>
    <t>0180524170001406</t>
  </si>
  <si>
    <t>Residual/A-resid/20-04-10/17:00 (prev)</t>
  </si>
  <si>
    <t>0180524170001407</t>
  </si>
  <si>
    <t>Residual/A-resid/21-04-10/17:00 (prev)</t>
  </si>
  <si>
    <t>0180524170001408</t>
  </si>
  <si>
    <t>Residual/A-resid/22-04-10/17:00 (prev)</t>
  </si>
  <si>
    <t>0180524170001409</t>
  </si>
  <si>
    <t>Residual/A-resid/23-04-10/17:00 (prev)</t>
  </si>
  <si>
    <t>0180524170001410</t>
  </si>
  <si>
    <t>Residual/A-resid/26-04-10/17:00 (prev)</t>
  </si>
  <si>
    <t>0180524170001411</t>
  </si>
  <si>
    <t>Residual/A-resid/27-04-10/17:00 (prev)</t>
  </si>
  <si>
    <t>0180524170001412</t>
  </si>
  <si>
    <t>Residual/A-resid/28-04-10/17:00 (prev)</t>
  </si>
  <si>
    <t>0180524170001413</t>
  </si>
  <si>
    <t>Residual/A-resid/29-04-10/17:00 (prev)</t>
  </si>
  <si>
    <t>0180524170001414</t>
  </si>
  <si>
    <t>Residual/A-resid/30-04-10/17:00 (prev)</t>
  </si>
  <si>
    <t>0180524170001415</t>
  </si>
  <si>
    <t>Scottish Receipts/B-scot/19-03-10/17:00 (prev)</t>
  </si>
  <si>
    <t>0180524170001416</t>
  </si>
  <si>
    <t>Scottish Receipts/B-scot/09-04-10/17:00 (prev)</t>
  </si>
  <si>
    <t>0180524170001417</t>
  </si>
  <si>
    <t>VAT BACS Repayments/B-vrpay/04-01-10/17:00 (prev)</t>
  </si>
  <si>
    <t>0180524170001418</t>
  </si>
  <si>
    <t>VAT BACS Repayments/B-vrpay/05-01-10/17:00 (prev)</t>
  </si>
  <si>
    <t>0180524170001419</t>
  </si>
  <si>
    <t>VAT BACS Repayments/B-vrpay/06-01-10/17:00 (prev)</t>
  </si>
  <si>
    <t>0180524170001420</t>
  </si>
  <si>
    <t>VAT BACS Repayments/B-vrpay/08-01-10/17:00 (prev)</t>
  </si>
  <si>
    <t>0180524170001421</t>
  </si>
  <si>
    <t>VAT BACS Repayments/B-vrpay/11-01-10/17:00 (prev)</t>
  </si>
  <si>
    <t>0180524170001422</t>
  </si>
  <si>
    <t>VAT BACS Repayments/B-vrpay/12-01-10/17:00 (prev)</t>
  </si>
  <si>
    <t>0180524170001423</t>
  </si>
  <si>
    <t>VAT BACS Repayments/B-vrpay/13-01-10/17:00 (prev)</t>
  </si>
  <si>
    <t>0180524170001424</t>
  </si>
  <si>
    <t>VAT BACS Repayments/B-vrpay/14-01-10/17:00 (prev)</t>
  </si>
  <si>
    <t>0180524170001425</t>
  </si>
  <si>
    <t>VAT BACS Repayments/B-vrpay/15-01-10/17:00 (prev)</t>
  </si>
  <si>
    <t>0180524170001426</t>
  </si>
  <si>
    <t>VAT BACS Repayments/B-vrpay/18-01-10/17:00 (prev)</t>
  </si>
  <si>
    <t>0180524170001427</t>
  </si>
  <si>
    <t>VAT BACS Repayments/B-vrpay/19-01-10/17:00 (prev)</t>
  </si>
  <si>
    <t>0180524170001428</t>
  </si>
  <si>
    <t>VAT BACS Repayments/B-vrpay/20-01-10/17:00 (prev)</t>
  </si>
  <si>
    <t>0180524170001429</t>
  </si>
  <si>
    <t>VAT BACS Repayments/B-vrpay/21-01-10/17:00 (prev)</t>
  </si>
  <si>
    <t>0180524170001430</t>
  </si>
  <si>
    <t>VAT BACS Repayments/B-vrpay/22-01-10/17:00 (prev)</t>
  </si>
  <si>
    <t>0180524170001431</t>
  </si>
  <si>
    <t>VAT BACS Repayments/B-vrpay/25-01-10/17:00 (prev)</t>
  </si>
  <si>
    <t>0180524170001432</t>
  </si>
  <si>
    <t>VAT BACS Repayments/B-vrpay/26-01-10/17:00 (prev)</t>
  </si>
  <si>
    <t>0180524170001433</t>
  </si>
  <si>
    <t>VAT BACS Repayments/B-vrpay/27-01-10/17:00 (prev)</t>
  </si>
  <si>
    <t>0180524170001434</t>
  </si>
  <si>
    <t>VAT BACS Repayments/B-vrpay/28-01-10/17:00 (prev)</t>
  </si>
  <si>
    <t>0180524170001435</t>
  </si>
  <si>
    <t>VAT BACS Repayments/B-vrpay/29-01-10/17:00 (prev)</t>
  </si>
  <si>
    <t>0180524170001436</t>
  </si>
  <si>
    <t>VAT BACS Repayments/B-vrpay/01-02-10/17:00 (prev)</t>
  </si>
  <si>
    <t>0180524170001437</t>
  </si>
  <si>
    <t>VAT BACS Repayments/B-vrpay/02-02-10/17:00 (prev)</t>
  </si>
  <si>
    <t>0180524170001438</t>
  </si>
  <si>
    <t>VAT BACS Repayments/B-vrpay/03-02-10/17:00 (prev)</t>
  </si>
  <si>
    <t>0180524170001439</t>
  </si>
  <si>
    <t>VAT BACS Repayments/B-vrpay/04-02-10/17:00 (prev)</t>
  </si>
  <si>
    <t>0180524170001440</t>
  </si>
  <si>
    <t>VAT BACS Repayments/B-vrpay/05-02-10/17:00 (prev)</t>
  </si>
  <si>
    <t>0180524170001441</t>
  </si>
  <si>
    <t>VAT BACS Repayments/B-vrpay/08-02-10/17:00 (prev)</t>
  </si>
  <si>
    <t>0180524170001442</t>
  </si>
  <si>
    <t>VAT BACS Repayments/B-vrpay/09-02-10/17:00 (prev)</t>
  </si>
  <si>
    <t>0180524170001443</t>
  </si>
  <si>
    <t>VAT BACS Repayments/B-vrpay/10-02-10/17:00 (prev)</t>
  </si>
  <si>
    <t>0180524170001444</t>
  </si>
  <si>
    <t>VAT BACS Repayments/B-vrpay/11-02-10/17:00 (prev)</t>
  </si>
  <si>
    <t>0180524170001445</t>
  </si>
  <si>
    <t>VAT BACS Repayments/B-vrpay/12-02-10/17:00 (prev)</t>
  </si>
  <si>
    <t>0180524170001446</t>
  </si>
  <si>
    <t>VAT BACS Repayments/B-vrpay/15-02-10/17:00 (prev)</t>
  </si>
  <si>
    <t>0180524170001447</t>
  </si>
  <si>
    <t>VAT BACS Repayments/B-vrpay/16-02-10/17:00 (prev)</t>
  </si>
  <si>
    <t>0180524170001448</t>
  </si>
  <si>
    <t>VAT BACS Repayments/B-vrpay/17-02-10/17:00 (prev)</t>
  </si>
  <si>
    <t>0180524170001449</t>
  </si>
  <si>
    <t>VAT BACS Repayments/B-vrpay/18-02-10/17:00 (prev)</t>
  </si>
  <si>
    <t>0180524170001450</t>
  </si>
  <si>
    <t>VAT BACS Repayments/B-vrpay/19-02-10/17:00 (prev)</t>
  </si>
  <si>
    <t>0180524170001451</t>
  </si>
  <si>
    <t>VAT BACS Repayments/B-vrpay/22-02-10/17:00 (prev)</t>
  </si>
  <si>
    <t>0180524170001452</t>
  </si>
  <si>
    <t>VAT BACS Repayments/B-vrpay/23-02-10/17:00 (prev)</t>
  </si>
  <si>
    <t>0180524170001453</t>
  </si>
  <si>
    <t>VAT BACS Repayments/B-vrpay/24-02-10/17:00 (prev)</t>
  </si>
  <si>
    <t>0180524170001454</t>
  </si>
  <si>
    <t>VAT BACS Repayments/B-vrpay/25-02-10/17:00 (prev)</t>
  </si>
  <si>
    <t>0180524170001455</t>
  </si>
  <si>
    <t>VAT BACS Repayments/B-vrpay/26-02-10/17:00 (prev)</t>
  </si>
  <si>
    <t>0180524170001456</t>
  </si>
  <si>
    <t>VAT BACS Repayments/B-vrpay/01-03-10/17:00 (prev)</t>
  </si>
  <si>
    <t>0180524170001457</t>
  </si>
  <si>
    <t>VAT BACS Repayments/B-vrpay/02-03-10/17:00 (prev)</t>
  </si>
  <si>
    <t>0180524170001458</t>
  </si>
  <si>
    <t>VAT BACS Repayments/B-vrpay/03-03-10/17:00 (prev)</t>
  </si>
  <si>
    <t>0180524170001459</t>
  </si>
  <si>
    <t>VAT BACS Repayments/B-vrpay/04-03-10/17:00 (prev)</t>
  </si>
  <si>
    <t>0180524170001460</t>
  </si>
  <si>
    <t>VAT BACS Repayments/B-vrpay/05-03-10/17:00 (prev)</t>
  </si>
  <si>
    <t>0180524170001461</t>
  </si>
  <si>
    <t>VAT BACS Repayments/B-vrpay/08-03-10/17:00 (prev)</t>
  </si>
  <si>
    <t>0180524170001462</t>
  </si>
  <si>
    <t>VAT BACS Repayments/B-vrpay/09-03-10/17:00 (prev)</t>
  </si>
  <si>
    <t>0180524170001463</t>
  </si>
  <si>
    <t>VAT BACS Repayments/B-vrpay/10-03-10/17:00 (prev)</t>
  </si>
  <si>
    <t>0180524170001464</t>
  </si>
  <si>
    <t>VAT BACS Repayments/B-vrpay/11-03-10/17:00 (prev)</t>
  </si>
  <si>
    <t>0180524170001465</t>
  </si>
  <si>
    <t>VAT BACS Repayments/B-vrpay/12-03-10/17:00 (prev)</t>
  </si>
  <si>
    <t>0180524170001466</t>
  </si>
  <si>
    <t>VAT BACS Repayments/B-vrpay/15-03-10/17:00 (prev)</t>
  </si>
  <si>
    <t>0180524170001467</t>
  </si>
  <si>
    <t>VAT BACS Repayments/B-vrpay/16-03-10/17:00 (prev)</t>
  </si>
  <si>
    <t>0180524170001468</t>
  </si>
  <si>
    <t>VAT BACS Repayments/B-vrpay/17-03-10/17:00 (prev)</t>
  </si>
  <si>
    <t>0180524170001469</t>
  </si>
  <si>
    <t>VAT BACS Repayments/B-vrpay/18-03-10/17:00 (prev)</t>
  </si>
  <si>
    <t>0180524170001470</t>
  </si>
  <si>
    <t>VAT BACS Repayments/B-vrpay/19-03-10/17:00 (prev)</t>
  </si>
  <si>
    <t>0180524170001471</t>
  </si>
  <si>
    <t>VAT BACS Repayments/B-vrpay/22-03-10/17:00 (prev)</t>
  </si>
  <si>
    <t>0180524170001472</t>
  </si>
  <si>
    <t>VAT BACS Repayments/B-vrpay/23-03-10/17:00 (prev)</t>
  </si>
  <si>
    <t>0180524170001473</t>
  </si>
  <si>
    <t>VAT BACS Repayments/B-vrpay/24-03-10/17:00 (prev)</t>
  </si>
  <si>
    <t>0180524170001474</t>
  </si>
  <si>
    <t>VAT BACS Repayments/B-vrpay/25-03-10/17:00 (prev)</t>
  </si>
  <si>
    <t>0180524170001475</t>
  </si>
  <si>
    <t>VAT BACS Repayments/B-vrpay/26-03-10/17:00 (prev)</t>
  </si>
  <si>
    <t>0180524170001476</t>
  </si>
  <si>
    <t>VAT BACS Repayments/B-vrpay/29-03-10/17:00 (prev)</t>
  </si>
  <si>
    <t>0180524170001477</t>
  </si>
  <si>
    <t>VAT BACS Repayments/B-vrpay/30-03-10/17:00 (prev)</t>
  </si>
  <si>
    <t>0180524170001478</t>
  </si>
  <si>
    <t>VAT BACS Repayments/B-vrpay/31-03-10/17:00 (prev)</t>
  </si>
  <si>
    <t>0180524170001479</t>
  </si>
  <si>
    <t>VAT BACS Repayments/B-vrpay/01-04-10/17:00 (prev)</t>
  </si>
  <si>
    <t>0180524170001480</t>
  </si>
  <si>
    <t>VAT BACS Repayments/B-vrpay/06-04-10/17:00 (prev)</t>
  </si>
  <si>
    <t>0180524170001481</t>
  </si>
  <si>
    <t>VAT BACS Repayments/B-vrpay/07-04-10/17:00 (prev)</t>
  </si>
  <si>
    <t>0180524170001482</t>
  </si>
  <si>
    <t>VAT BACS Repayments/B-vrpay/08-04-10/17:00 (prev)</t>
  </si>
  <si>
    <t>0180524170001483</t>
  </si>
  <si>
    <t>VAT BACS Repayments/B-vrpay/09-04-10/17:00 (prev)</t>
  </si>
  <si>
    <t>0180524170001484</t>
  </si>
  <si>
    <t>VAT BACS Repayments/B-vrpay/12-04-10/17:00 (prev)</t>
  </si>
  <si>
    <t>0180524170001485</t>
  </si>
  <si>
    <t>VAT BACS Repayments/B-vrpay/13-04-10/17:00 (prev)</t>
  </si>
  <si>
    <t>0180524170001486</t>
  </si>
  <si>
    <t>VAT BACS Repayments/B-vrpay/14-04-10/17:00 (prev)</t>
  </si>
  <si>
    <t>0180524170001487</t>
  </si>
  <si>
    <t>VAT BACS Repayments/B-vrpay/15-04-10/17:00 (prev)</t>
  </si>
  <si>
    <t>0180524170001488</t>
  </si>
  <si>
    <t>VAT BACS Repayments/B-vrpay/16-04-10/17:00 (prev)</t>
  </si>
  <si>
    <t>0180524170001489</t>
  </si>
  <si>
    <t>VAT BACS Repayments/B-vrpay/19-04-10/17:00 (prev)</t>
  </si>
  <si>
    <t>0180524170001490</t>
  </si>
  <si>
    <t>VAT BACS Repayments/B-vrpay/20-04-10/17:00 (prev)</t>
  </si>
  <si>
    <t>0180524170001491</t>
  </si>
  <si>
    <t>VAT BACS Repayments/B-vrpay/21-04-10/17:00 (prev)</t>
  </si>
  <si>
    <t>0180524170001492</t>
  </si>
  <si>
    <t>VAT BACS Repayments/B-vrpay/22-04-10/17:00 (prev)</t>
  </si>
  <si>
    <t>0180524170001493</t>
  </si>
  <si>
    <t>VAT BACS Repayments/B-vrpay/23-04-10/17:00 (prev)</t>
  </si>
  <si>
    <t>0180524170001494</t>
  </si>
  <si>
    <t>VAT BACS Repayments/B-vrpay/26-04-10/17:00 (prev)</t>
  </si>
  <si>
    <t>0180524170001495</t>
  </si>
  <si>
    <t>VAT BACS Repayments/B-vrpay/27-04-10/17:00 (prev)</t>
  </si>
  <si>
    <t>0180524170001496</t>
  </si>
  <si>
    <t>VAT BACS Repayments/B-vrpay/28-04-10/17:00 (prev)</t>
  </si>
  <si>
    <t>0180524170001497</t>
  </si>
  <si>
    <t>VAT BACS Repayments/B-vrpay/29-04-10/17:00 (prev)</t>
  </si>
  <si>
    <t>0180524170001498</t>
  </si>
  <si>
    <t>VAT BACS Repayments/B-vrpay/30-04-10/17:00 (prev)</t>
  </si>
  <si>
    <t>0180524170001499</t>
  </si>
  <si>
    <t>VAT CHAPS Receipts/B-votc/04-01-10/17:00 (prev)</t>
  </si>
  <si>
    <t>0180524170001500</t>
  </si>
  <si>
    <t>VAT CHAPS Receipts/B-votc/05-01-10/17:00 (prev)</t>
  </si>
  <si>
    <t>0180524170001501</t>
  </si>
  <si>
    <t>VAT CHAPS Receipts/B-votc/06-01-10/17:00 (prev)</t>
  </si>
  <si>
    <t>0180524170001502</t>
  </si>
  <si>
    <t>VAT CHAPS Receipts/B-votc/07-01-10/17:00 (prev)</t>
  </si>
  <si>
    <t>0180524170001503</t>
  </si>
  <si>
    <t>VAT CHAPS Receipts/B-votc/08-01-10/17:00 (prev)</t>
  </si>
  <si>
    <t>0180524170001504</t>
  </si>
  <si>
    <t>VAT CHAPS Receipts/B-votc/11-01-10/17:00 (prev)</t>
  </si>
  <si>
    <t>0180524170001505</t>
  </si>
  <si>
    <t>VAT CHAPS Receipts/B-votc/12-01-10/17:00 (prev)</t>
  </si>
  <si>
    <t>0180524170001506</t>
  </si>
  <si>
    <t>VAT CHAPS Receipts/B-votc/13-01-10/17:00 (prev)</t>
  </si>
  <si>
    <t>0180524170001507</t>
  </si>
  <si>
    <t>VAT CHAPS Receipts/B-votc/14-01-10/17:00 (prev)</t>
  </si>
  <si>
    <t>0180524170001508</t>
  </si>
  <si>
    <t>VAT CHAPS Receipts/B-votc/15-01-10/17:00 (prev)</t>
  </si>
  <si>
    <t>0180524170001509</t>
  </si>
  <si>
    <t>VAT CHAPS Receipts/B-votc/18-01-10/17:00 (prev)</t>
  </si>
  <si>
    <t>0180524170001510</t>
  </si>
  <si>
    <t>VAT CHAPS Receipts/B-votc/19-01-10/17:00 (prev)</t>
  </si>
  <si>
    <t>0180524170001511</t>
  </si>
  <si>
    <t>VAT CHAPS Receipts/B-votc/20-01-10/17:00 (prev)</t>
  </si>
  <si>
    <t>0180524170001512</t>
  </si>
  <si>
    <t>VAT CHAPS Receipts/B-votc/21-01-10/17:00 (prev)</t>
  </si>
  <si>
    <t>0180524170001513</t>
  </si>
  <si>
    <t>VAT CHAPS Receipts/B-votc/22-01-10/17:00 (prev)</t>
  </si>
  <si>
    <t>0180524170001514</t>
  </si>
  <si>
    <t>VAT CHAPS Receipts/B-votc/25-01-10/17:00 (prev)</t>
  </si>
  <si>
    <t>0180524170001515</t>
  </si>
  <si>
    <t>VAT CHAPS Receipts/B-votc/26-01-10/17:00 (prev)</t>
  </si>
  <si>
    <t>0180524170001516</t>
  </si>
  <si>
    <t>VAT CHAPS Receipts/B-votc/27-01-10/17:00 (prev)</t>
  </si>
  <si>
    <t>0180524170001517</t>
  </si>
  <si>
    <t>VAT CHAPS Receipts/B-votc/28-01-10/17:00 (prev)</t>
  </si>
  <si>
    <t>0180524170001518</t>
  </si>
  <si>
    <t>VAT CHAPS Receipts/B-votc/29-01-10/17:00 (prev)</t>
  </si>
  <si>
    <t>0180524170001519</t>
  </si>
  <si>
    <t>VAT CHAPS Receipts/B-votc/01-02-10/17:00 (prev)</t>
  </si>
  <si>
    <t>0180524170001520</t>
  </si>
  <si>
    <t>VAT CHAPS Receipts/B-votc/02-02-10/17:00 (prev)</t>
  </si>
  <si>
    <t>0180524170001521</t>
  </si>
  <si>
    <t>VAT CHAPS Receipts/B-votc/03-02-10/17:00 (prev)</t>
  </si>
  <si>
    <t>0180524170001522</t>
  </si>
  <si>
    <t>VAT CHAPS Receipts/B-votc/04-02-10/17:00 (prev)</t>
  </si>
  <si>
    <t>0180524170001523</t>
  </si>
  <si>
    <t>VAT CHAPS Receipts/B-votc/05-02-10/17:00 (prev)</t>
  </si>
  <si>
    <t>0180524170001524</t>
  </si>
  <si>
    <t>VAT CHAPS Receipts/B-votc/08-02-10/17:00 (prev)</t>
  </si>
  <si>
    <t>0180524170001525</t>
  </si>
  <si>
    <t>VAT CHAPS Receipts/B-votc/09-02-10/17:00 (prev)</t>
  </si>
  <si>
    <t>0180524170001526</t>
  </si>
  <si>
    <t>VAT CHAPS Receipts/B-votc/10-02-10/17:00 (prev)</t>
  </si>
  <si>
    <t>0180524170001527</t>
  </si>
  <si>
    <t>VAT CHAPS Receipts/B-votc/11-02-10/17:00 (prev)</t>
  </si>
  <si>
    <t>0180524170001528</t>
  </si>
  <si>
    <t>VAT CHAPS Receipts/B-votc/12-02-10/17:00 (prev)</t>
  </si>
  <si>
    <t>0180524170001529</t>
  </si>
  <si>
    <t>VAT CHAPS Receipts/B-votc/15-02-10/17:00 (prev)</t>
  </si>
  <si>
    <t>0180524170001530</t>
  </si>
  <si>
    <t>VAT CHAPS Receipts/B-votc/16-02-10/17:00 (prev)</t>
  </si>
  <si>
    <t>0180524170001531</t>
  </si>
  <si>
    <t>VAT CHAPS Receipts/B-votc/17-02-10/17:00 (prev)</t>
  </si>
  <si>
    <t>0180524170001532</t>
  </si>
  <si>
    <t>VAT CHAPS Receipts/B-votc/18-02-10/17:00 (prev)</t>
  </si>
  <si>
    <t>0180524170001533</t>
  </si>
  <si>
    <t>VAT CHAPS Receipts/B-votc/19-02-10/17:00 (prev)</t>
  </si>
  <si>
    <t>0180524170001534</t>
  </si>
  <si>
    <t>VAT CHAPS Receipts/B-votc/22-02-10/17:00 (prev)</t>
  </si>
  <si>
    <t>0180524170001535</t>
  </si>
  <si>
    <t>VAT CHAPS Receipts/B-votc/23-02-10/17:00 (prev)</t>
  </si>
  <si>
    <t>0180524170001536</t>
  </si>
  <si>
    <t>VAT CHAPS Receipts/B-votc/24-02-10/17:00 (prev)</t>
  </si>
  <si>
    <t>0180524170001537</t>
  </si>
  <si>
    <t>VAT CHAPS Receipts/B-votc/25-02-10/17:00 (prev)</t>
  </si>
  <si>
    <t>0180524170001538</t>
  </si>
  <si>
    <t>VAT CHAPS Receipts/B-votc/26-02-10/17:00 (prev)</t>
  </si>
  <si>
    <t>0180524170001539</t>
  </si>
  <si>
    <t>VAT CHAPS Receipts/B-votc/01-03-10/17:00 (prev)</t>
  </si>
  <si>
    <t>0180524170001540</t>
  </si>
  <si>
    <t>VAT CHAPS Receipts/B-votc/02-03-10/17:00 (prev)</t>
  </si>
  <si>
    <t>0180524170001541</t>
  </si>
  <si>
    <t>VAT CHAPS Receipts/B-votc/03-03-10/17:00 (prev)</t>
  </si>
  <si>
    <t>0180524170001542</t>
  </si>
  <si>
    <t>VAT CHAPS Receipts/B-votc/04-03-10/17:00 (prev)</t>
  </si>
  <si>
    <t>0180524170001543</t>
  </si>
  <si>
    <t>VAT CHAPS Receipts/B-votc/05-03-10/17:00 (prev)</t>
  </si>
  <si>
    <t>0180524170001544</t>
  </si>
  <si>
    <t>VAT CHAPS Receipts/B-votc/08-03-10/17:00 (prev)</t>
  </si>
  <si>
    <t>0180524170001545</t>
  </si>
  <si>
    <t>VAT CHAPS Receipts/B-votc/09-03-10/17:00 (prev)</t>
  </si>
  <si>
    <t>0180524170001546</t>
  </si>
  <si>
    <t>VAT CHAPS Receipts/B-votc/10-03-10/17:00 (prev)</t>
  </si>
  <si>
    <t>0180524170001547</t>
  </si>
  <si>
    <t>VAT CHAPS Receipts/B-votc/11-03-10/17:00 (prev)</t>
  </si>
  <si>
    <t>0180524170001548</t>
  </si>
  <si>
    <t>VAT CHAPS Receipts/B-votc/12-03-10/17:00 (prev)</t>
  </si>
  <si>
    <t>0180524170001549</t>
  </si>
  <si>
    <t>VAT CHAPS Receipts/B-votc/15-03-10/17:00 (prev)</t>
  </si>
  <si>
    <t>0180524170001550</t>
  </si>
  <si>
    <t>VAT CHAPS Receipts/B-votc/16-03-10/17:00 (prev)</t>
  </si>
  <si>
    <t>0180524170001551</t>
  </si>
  <si>
    <t>VAT CHAPS Receipts/B-votc/17-03-10/17:00 (prev)</t>
  </si>
  <si>
    <t>0180524170001552</t>
  </si>
  <si>
    <t>VAT CHAPS Receipts/B-votc/18-03-10/17:00 (prev)</t>
  </si>
  <si>
    <t>0180524170001553</t>
  </si>
  <si>
    <t>VAT CHAPS Receipts/B-votc/19-03-10/17:00 (prev)</t>
  </si>
  <si>
    <t>0180524170001554</t>
  </si>
  <si>
    <t>VAT CHAPS Receipts/B-votc/22-03-10/17:00 (prev)</t>
  </si>
  <si>
    <t>0180524170001555</t>
  </si>
  <si>
    <t>VAT CHAPS Receipts/B-votc/23-03-10/17:00 (prev)</t>
  </si>
  <si>
    <t>0180524170001556</t>
  </si>
  <si>
    <t>VAT CHAPS Receipts/B-votc/24-03-10/17:00 (prev)</t>
  </si>
  <si>
    <t>0180524170001557</t>
  </si>
  <si>
    <t>VAT CHAPS Receipts/B-votc/25-03-10/17:00 (prev)</t>
  </si>
  <si>
    <t>0180524170001558</t>
  </si>
  <si>
    <t>VAT CHAPS Receipts/B-votc/26-03-10/17:00 (prev)</t>
  </si>
  <si>
    <t>0180524170001559</t>
  </si>
  <si>
    <t>VAT CHAPS Receipts/B-votc/29-03-10/17:00 (prev)</t>
  </si>
  <si>
    <t>0180524170001560</t>
  </si>
  <si>
    <t>VAT CHAPS Receipts/B-votc/30-03-10/17:00 (prev)</t>
  </si>
  <si>
    <t>0180524170001561</t>
  </si>
  <si>
    <t>VAT CHAPS Receipts/B-votc/31-03-10/17:00 (prev)</t>
  </si>
  <si>
    <t>0180524170001562</t>
  </si>
  <si>
    <t>VAT CHAPS Receipts/B-votc/01-04-10/17:00 (prev)</t>
  </si>
  <si>
    <t>0180524170001563</t>
  </si>
  <si>
    <t>VAT CHAPS Receipts/B-votc/06-04-10/17:00 (prev)</t>
  </si>
  <si>
    <t>0180524170001564</t>
  </si>
  <si>
    <t>VAT CHAPS Receipts/B-votc/07-04-10/17:00 (prev)</t>
  </si>
  <si>
    <t>0180524170001565</t>
  </si>
  <si>
    <t>VAT CHAPS Receipts/B-votc/08-04-10/17:00 (prev)</t>
  </si>
  <si>
    <t>0180524170001566</t>
  </si>
  <si>
    <t>VAT CHAPS Receipts/B-votc/09-04-10/17:00 (prev)</t>
  </si>
  <si>
    <t>0180524170001567</t>
  </si>
  <si>
    <t>VAT CHAPS Receipts/B-votc/12-04-10/17:00 (prev)</t>
  </si>
  <si>
    <t>0180524170001568</t>
  </si>
  <si>
    <t>VAT CHAPS Receipts/B-votc/13-04-10/17:00 (prev)</t>
  </si>
  <si>
    <t>0180524170001569</t>
  </si>
  <si>
    <t>VAT CHAPS Receipts/B-votc/14-04-10/17:00 (prev)</t>
  </si>
  <si>
    <t>0180524170001570</t>
  </si>
  <si>
    <t>VAT CHAPS Receipts/B-votc/15-04-10/17:00 (prev)</t>
  </si>
  <si>
    <t>0180524170001571</t>
  </si>
  <si>
    <t>VAT CHAPS Receipts/B-votc/16-04-10/17:00 (prev)</t>
  </si>
  <si>
    <t>0180524170001572</t>
  </si>
  <si>
    <t>VAT CHAPS Receipts/B-votc/19-04-10/17:00 (prev)</t>
  </si>
  <si>
    <t>0180524170001573</t>
  </si>
  <si>
    <t>VAT CHAPS Receipts/B-votc/20-04-10/17:00 (prev)</t>
  </si>
  <si>
    <t>0180524170001574</t>
  </si>
  <si>
    <t>VAT CHAPS Receipts/B-votc/21-04-10/17:00 (prev)</t>
  </si>
  <si>
    <t>0180524170001575</t>
  </si>
  <si>
    <t>VAT CHAPS Receipts/B-votc/22-04-10/17:00 (prev)</t>
  </si>
  <si>
    <t>0180524170001576</t>
  </si>
  <si>
    <t>VAT CHAPS Receipts/B-votc/23-04-10/17:00 (prev)</t>
  </si>
  <si>
    <t>0180524170001577</t>
  </si>
  <si>
    <t>VAT CHAPS Receipts/B-votc/26-04-10/17:00 (prev)</t>
  </si>
  <si>
    <t>0180524170001578</t>
  </si>
  <si>
    <t>VAT CHAPS Receipts/B-votc/27-04-10/17:00 (prev)</t>
  </si>
  <si>
    <t>0180524170001579</t>
  </si>
  <si>
    <t>VAT CHAPS Receipts/B-votc/28-04-10/17:00 (prev)</t>
  </si>
  <si>
    <t>0180524170001580</t>
  </si>
  <si>
    <t>VAT CHAPS Receipts/B-votc/29-04-10/17:00 (prev)</t>
  </si>
  <si>
    <t>0180524170001581</t>
  </si>
  <si>
    <t>VAT CHAPS Receipts/B-votc/30-04-10/17:00 (prev)</t>
  </si>
  <si>
    <t>0180524170001582</t>
  </si>
  <si>
    <t>VAT CHAPS Repayments/B-yrpay/19-03-10/17:00 (prev)</t>
  </si>
  <si>
    <t>0180524170001583</t>
  </si>
  <si>
    <t>VAT CHAPS Repayments/B-yrpay/29-03-10/17:00 (prev)</t>
  </si>
  <si>
    <t>0180524170001584</t>
  </si>
  <si>
    <t>VAT CHAPS Repayments/B-yrpay/29-04-10/17:00 (prev)</t>
  </si>
  <si>
    <t>0180524170001585</t>
  </si>
  <si>
    <t>VAT Payable Order Repayments/B-xrpay/04-01-10/17:00 (prev)</t>
  </si>
  <si>
    <t>0180524170001586</t>
  </si>
  <si>
    <t>VAT Payable Order Repayments/B-xrpay/05-01-10/17:00 (prev)</t>
  </si>
  <si>
    <t>0180524170001587</t>
  </si>
  <si>
    <t>VAT Payable Order Repayments/B-xrpay/06-01-10/17:00 (prev)</t>
  </si>
  <si>
    <t>0180524170001588</t>
  </si>
  <si>
    <t>VAT Payable Order Repayments/B-xrpay/07-01-10/17:00 (prev)</t>
  </si>
  <si>
    <t>0180524170001589</t>
  </si>
  <si>
    <t>VAT Payable Order Repayments/B-xrpay/08-01-10/17:00 (prev)</t>
  </si>
  <si>
    <t>0180524170001590</t>
  </si>
  <si>
    <t>VAT Payable Order Repayments/B-xrpay/11-01-10/17:00 (prev)</t>
  </si>
  <si>
    <t>0180524170001591</t>
  </si>
  <si>
    <t>VAT Payable Order Repayments/B-xrpay/12-01-10/17:00 (prev)</t>
  </si>
  <si>
    <t>0180524170001592</t>
  </si>
  <si>
    <t>VAT Payable Order Repayments/B-xrpay/13-01-10/17:00 (prev)</t>
  </si>
  <si>
    <t>0180524170001593</t>
  </si>
  <si>
    <t>VAT Payable Order Repayments/B-xrpay/14-01-10/17:00 (prev)</t>
  </si>
  <si>
    <t>0180524170001594</t>
  </si>
  <si>
    <t>VAT Payable Order Repayments/B-xrpay/15-01-10/17:00 (prev)</t>
  </si>
  <si>
    <t>0180524170001595</t>
  </si>
  <si>
    <t>VAT Payable Order Repayments/B-xrpay/18-01-10/17:00 (prev)</t>
  </si>
  <si>
    <t>0180524170001596</t>
  </si>
  <si>
    <t>VAT Payable Order Repayments/B-xrpay/19-01-10/17:00 (prev)</t>
  </si>
  <si>
    <t>0180524170001597</t>
  </si>
  <si>
    <t>VAT Payable Order Repayments/B-xrpay/20-01-10/17:00 (prev)</t>
  </si>
  <si>
    <t>0180524170001598</t>
  </si>
  <si>
    <t>VAT Payable Order Repayments/B-xrpay/21-01-10/17:00 (prev)</t>
  </si>
  <si>
    <t>0180524170001599</t>
  </si>
  <si>
    <t>VAT Payable Order Repayments/B-xrpay/22-01-10/17:00 (prev)</t>
  </si>
  <si>
    <t>0180524170001600</t>
  </si>
  <si>
    <t>VAT Payable Order Repayments/B-xrpay/25-01-10/17:00 (prev)</t>
  </si>
  <si>
    <t>0180524170001601</t>
  </si>
  <si>
    <t>VAT Payable Order Repayments/B-xrpay/26-01-10/17:00 (prev)</t>
  </si>
  <si>
    <t>0180524170001602</t>
  </si>
  <si>
    <t>VAT Payable Order Repayments/B-xrpay/27-01-10/17:00 (prev)</t>
  </si>
  <si>
    <t>0180524170001603</t>
  </si>
  <si>
    <t>VAT Payable Order Repayments/B-xrpay/28-01-10/17:00 (prev)</t>
  </si>
  <si>
    <t>0180524170001604</t>
  </si>
  <si>
    <t>VAT Payable Order Repayments/B-xrpay/29-01-10/17:00 (prev)</t>
  </si>
  <si>
    <t>0180524170001605</t>
  </si>
  <si>
    <t>VAT Payable Order Repayments/B-xrpay/01-02-10/17:00 (prev)</t>
  </si>
  <si>
    <t>0180524170001606</t>
  </si>
  <si>
    <t>VAT Payable Order Repayments/B-xrpay/02-02-10/17:00 (prev)</t>
  </si>
  <si>
    <t>0180524170001607</t>
  </si>
  <si>
    <t>VAT Payable Order Repayments/B-xrpay/03-02-10/17:00 (prev)</t>
  </si>
  <si>
    <t>0180524170001608</t>
  </si>
  <si>
    <t>VAT Payable Order Repayments/B-xrpay/04-02-10/17:00 (prev)</t>
  </si>
  <si>
    <t>0180524170001609</t>
  </si>
  <si>
    <t>VAT Payable Order Repayments/B-xrpay/05-02-10/17:00 (prev)</t>
  </si>
  <si>
    <t>0180524170001610</t>
  </si>
  <si>
    <t>VAT Payable Order Repayments/B-xrpay/08-02-10/17:00 (prev)</t>
  </si>
  <si>
    <t>0180524170001611</t>
  </si>
  <si>
    <t>VAT Payable Order Repayments/B-xrpay/09-02-10/17:00 (prev)</t>
  </si>
  <si>
    <t>0180524170001612</t>
  </si>
  <si>
    <t>VAT Payable Order Repayments/B-xrpay/10-02-10/17:00 (prev)</t>
  </si>
  <si>
    <t>0180524170001613</t>
  </si>
  <si>
    <t>VAT Payable Order Repayments/B-xrpay/11-02-10/17:00 (prev)</t>
  </si>
  <si>
    <t>0180524170001614</t>
  </si>
  <si>
    <t>VAT Payable Order Repayments/B-xrpay/12-02-10/17:00 (prev)</t>
  </si>
  <si>
    <t>0180524170001615</t>
  </si>
  <si>
    <t>VAT Payable Order Repayments/B-xrpay/15-02-10/17:00 (prev)</t>
  </si>
  <si>
    <t>0180524170001616</t>
  </si>
  <si>
    <t>VAT Payable Order Repayments/B-xrpay/16-02-10/17:00 (prev)</t>
  </si>
  <si>
    <t>0180524170001617</t>
  </si>
  <si>
    <t>VAT Payable Order Repayments/B-xrpay/17-02-10/17:00 (prev)</t>
  </si>
  <si>
    <t>0180524170001618</t>
  </si>
  <si>
    <t>VAT Payable Order Repayments/B-xrpay/18-02-10/17:00 (prev)</t>
  </si>
  <si>
    <t>0180524170001619</t>
  </si>
  <si>
    <t>VAT Payable Order Repayments/B-xrpay/19-02-10/17:00 (prev)</t>
  </si>
  <si>
    <t>0180524170001620</t>
  </si>
  <si>
    <t>VAT Payable Order Repayments/B-xrpay/22-02-10/17:00 (prev)</t>
  </si>
  <si>
    <t>0180524170001621</t>
  </si>
  <si>
    <t>VAT Payable Order Repayments/B-xrpay/23-02-10/17:00 (prev)</t>
  </si>
  <si>
    <t>0180524170001622</t>
  </si>
  <si>
    <t>VAT Payable Order Repayments/B-xrpay/25-02-10/17:00 (prev)</t>
  </si>
  <si>
    <t>0180524170001623</t>
  </si>
  <si>
    <t>VAT Payable Order Repayments/B-xrpay/26-02-10/17:00 (prev)</t>
  </si>
  <si>
    <t>0180524170001624</t>
  </si>
  <si>
    <t>VAT Payable Order Repayments/B-xrpay/01-03-10/17:00 (prev)</t>
  </si>
  <si>
    <t>0180524170001625</t>
  </si>
  <si>
    <t>VAT Payable Order Repayments/B-xrpay/02-03-10/17:00 (prev)</t>
  </si>
  <si>
    <t>0180524170001626</t>
  </si>
  <si>
    <t>VAT Payable Order Repayments/B-xrpay/03-03-10/17:00 (prev)</t>
  </si>
  <si>
    <t>0180524170001627</t>
  </si>
  <si>
    <t>VAT Payable Order Repayments/B-xrpay/04-03-10/17:00 (prev)</t>
  </si>
  <si>
    <t>0180524170001628</t>
  </si>
  <si>
    <t>VAT Payable Order Repayments/B-xrpay/05-03-10/17:00 (prev)</t>
  </si>
  <si>
    <t>0180524170001629</t>
  </si>
  <si>
    <t>VAT Payable Order Repayments/B-xrpay/08-03-10/17:00 (prev)</t>
  </si>
  <si>
    <t>0180524170001630</t>
  </si>
  <si>
    <t>VAT Payable Order Repayments/B-xrpay/09-03-10/17:00 (prev)</t>
  </si>
  <si>
    <t>0180524170001631</t>
  </si>
  <si>
    <t>VAT Payable Order Repayments/B-xrpay/10-03-10/17:00 (prev)</t>
  </si>
  <si>
    <t>0180524170001632</t>
  </si>
  <si>
    <t>VAT Payable Order Repayments/B-xrpay/11-03-10/17:00 (prev)</t>
  </si>
  <si>
    <t>0180524170001633</t>
  </si>
  <si>
    <t>VAT Payable Order Repayments/B-xrpay/12-03-10/17:00 (prev)</t>
  </si>
  <si>
    <t>0180524170001634</t>
  </si>
  <si>
    <t>VAT Payable Order Repayments/B-xrpay/15-03-10/17:00 (prev)</t>
  </si>
  <si>
    <t>0180524170001635</t>
  </si>
  <si>
    <t>VAT Payable Order Repayments/B-xrpay/16-03-10/17:00 (prev)</t>
  </si>
  <si>
    <t>0180524170001636</t>
  </si>
  <si>
    <t>VAT Payable Order Repayments/B-xrpay/17-03-10/17:00 (prev)</t>
  </si>
  <si>
    <t>0180524170001637</t>
  </si>
  <si>
    <t>VAT Payable Order Repayments/B-xrpay/18-03-10/17:00 (prev)</t>
  </si>
  <si>
    <t>0180524170001638</t>
  </si>
  <si>
    <t>VAT Payable Order Repayments/B-xrpay/19-03-10/17:00 (prev)</t>
  </si>
  <si>
    <t>0180524170001639</t>
  </si>
  <si>
    <t>VAT Payable Order Repayments/B-xrpay/22-03-10/17:00 (prev)</t>
  </si>
  <si>
    <t>0180524170001640</t>
  </si>
  <si>
    <t>VAT Payable Order Repayments/B-xrpay/23-03-10/17:00 (prev)</t>
  </si>
  <si>
    <t>0180524170001641</t>
  </si>
  <si>
    <t>VAT Payable Order Repayments/B-xrpay/24-03-10/17:00 (prev)</t>
  </si>
  <si>
    <t>0180524170001642</t>
  </si>
  <si>
    <t>VAT Payable Order Repayments/B-xrpay/25-03-10/17:00 (prev)</t>
  </si>
  <si>
    <t>0180524170001643</t>
  </si>
  <si>
    <t>VAT Payable Order Repayments/B-xrpay/26-03-10/17:00 (prev)</t>
  </si>
  <si>
    <t>0180524170001644</t>
  </si>
  <si>
    <t>VAT Payable Order Repayments/B-xrpay/30-03-10/17:00 (prev)</t>
  </si>
  <si>
    <t>0180524170001645</t>
  </si>
  <si>
    <t>VAT Payable Order Repayments/B-xrpay/31-03-10/17:00 (prev)</t>
  </si>
  <si>
    <t>0180524170001646</t>
  </si>
  <si>
    <t>VAT Payable Order Repayments/B-xrpay/01-04-10/17:00 (prev)</t>
  </si>
  <si>
    <t>0180524170001647</t>
  </si>
  <si>
    <t>VAT Payable Order Repayments/B-xrpay/06-04-10/17:00 (prev)</t>
  </si>
  <si>
    <t>0180524170001648</t>
  </si>
  <si>
    <t>VAT Payable Order Repayments/B-xrpay/07-04-10/17:00 (prev)</t>
  </si>
  <si>
    <t>0180524170001649</t>
  </si>
  <si>
    <t>VAT Payable Order Repayments/B-xrpay/08-04-10/17:00 (prev)</t>
  </si>
  <si>
    <t>0180524170001650</t>
  </si>
  <si>
    <t>VAT Payable Order Repayments/B-xrpay/09-04-10/17:00 (prev)</t>
  </si>
  <si>
    <t>0180524170001651</t>
  </si>
  <si>
    <t>VAT Payable Order Repayments/B-xrpay/12-04-10/17:00 (prev)</t>
  </si>
  <si>
    <t>0180524170001652</t>
  </si>
  <si>
    <t>VAT Payable Order Repayments/B-xrpay/13-04-10/17:00 (prev)</t>
  </si>
  <si>
    <t>0180524170001653</t>
  </si>
  <si>
    <t>VAT Payable Order Repayments/B-xrpay/14-04-10/17:00 (prev)</t>
  </si>
  <si>
    <t>0180524170001654</t>
  </si>
  <si>
    <t>VAT Payable Order Repayments/B-xrpay/15-04-10/17:00 (prev)</t>
  </si>
  <si>
    <t>0180524170001655</t>
  </si>
  <si>
    <t>VAT Payable Order Repayments/B-xrpay/16-04-10/17:00 (prev)</t>
  </si>
  <si>
    <t>0180524170001656</t>
  </si>
  <si>
    <t>VAT Payable Order Repayments/B-xrpay/19-04-10/17:00 (prev)</t>
  </si>
  <si>
    <t>0180524170001657</t>
  </si>
  <si>
    <t>VAT Payable Order Repayments/B-xrpay/20-04-10/17:00 (prev)</t>
  </si>
  <si>
    <t>0180524170001658</t>
  </si>
  <si>
    <t>VAT Payable Order Repayments/B-xrpay/21-04-10/17:00 (prev)</t>
  </si>
  <si>
    <t>0180524170001659</t>
  </si>
  <si>
    <t>VAT Payable Order Repayments/B-xrpay/22-04-10/17:00 (prev)</t>
  </si>
  <si>
    <t>0180524170001660</t>
  </si>
  <si>
    <t>VAT Payable Order Repayments/B-xrpay/23-04-10/17:00 (prev)</t>
  </si>
  <si>
    <t>0180524170001661</t>
  </si>
  <si>
    <t>VAT Payable Order Repayments/B-xrpay/26-04-10/17:00 (prev)</t>
  </si>
  <si>
    <t>0180524170001662</t>
  </si>
  <si>
    <t>VAT Payable Order Repayments/B-xrpay/27-04-10/17:00 (prev)</t>
  </si>
  <si>
    <t>0180524170001663</t>
  </si>
  <si>
    <t>VAT Payable Order Repayments/B-xrpay/28-04-10/17:00 (prev)</t>
  </si>
  <si>
    <t>0180524170001664</t>
  </si>
  <si>
    <t>VAT Payable Order Repayments/B-xrpay/29-04-10/17:00 (prev)</t>
  </si>
  <si>
    <t>0180524170001665</t>
  </si>
  <si>
    <t>VAT Payable Order Repayments/B-xrpay/30-04-10/17:00 (prev)</t>
  </si>
  <si>
    <t>0180524170001666</t>
  </si>
  <si>
    <t>C:\Users\mtownsend\Archive\SYS3 - MIFID\DEMOXMLSTATIC\dealImportStage\Balances\</t>
  </si>
  <si>
    <t>BOE/DEBIT</t>
  </si>
  <si>
    <t>BOE</t>
  </si>
  <si>
    <t>Bank of England Transfers [DEBIT][BOE][BOE-OTH]</t>
  </si>
  <si>
    <t>Bank of England Transfers [DEBIT]</t>
  </si>
  <si>
    <t>MISC/CREDIT</t>
  </si>
  <si>
    <t>Miscellaneous [CREDIT][MISC][OTHER-OTH]</t>
  </si>
  <si>
    <t>Miscellaneous [CREDIT]</t>
  </si>
  <si>
    <t>OTHERPAY/PAYMENT</t>
  </si>
  <si>
    <t>Other Identified Payments [PAYMENT][OTHERPAY][OTHER-OTH]</t>
  </si>
  <si>
    <t>Other Identified Payments [PAYMENT]</t>
  </si>
  <si>
    <t>OTHERREC/RECEIPT</t>
  </si>
  <si>
    <t>OTHERREC</t>
  </si>
  <si>
    <t>Other identified receipts [RECEIPT][OTHERREC][OTHER-OTH]</t>
  </si>
  <si>
    <t>Other identified receipts [RECEIPT]</t>
  </si>
  <si>
    <t>INVESTMENT/LOAN</t>
  </si>
  <si>
    <t>INV-OTH</t>
  </si>
  <si>
    <t>INVESTMENT</t>
  </si>
  <si>
    <t>Investment [LOAN][INVESTMENT][INV-OTH]</t>
  </si>
  <si>
    <t>Investment [LOAN]</t>
  </si>
  <si>
    <t>INVESTMENT/DEPOSIT</t>
  </si>
  <si>
    <t>Investment [DEPOSIT][INVESTMENT][INV-OTH]</t>
  </si>
  <si>
    <t>Investment [DEPOSIT]</t>
  </si>
  <si>
    <t>DEVELOP/LOAN</t>
  </si>
  <si>
    <t>DEV-OTH</t>
  </si>
  <si>
    <t>DEVELOP</t>
  </si>
  <si>
    <t>Development [LOAN][DEVELOP][DEV-OTH]</t>
  </si>
  <si>
    <t>Development [LOAN]</t>
  </si>
  <si>
    <t>RETAIL/DEBIT</t>
  </si>
  <si>
    <t>RETAIL-OTH</t>
  </si>
  <si>
    <t>RETAIL</t>
  </si>
  <si>
    <t>Retail [DEBIT][RETAIL][RETAIL-OTH]</t>
  </si>
  <si>
    <t>Retail [DEBIT]</t>
  </si>
  <si>
    <t>RETAIL/CREDIT</t>
  </si>
  <si>
    <t>Retail [CREDIT][RETAIL][RETAIL-OTH]</t>
  </si>
  <si>
    <t>Retail [CREDIT]</t>
  </si>
  <si>
    <t>BARCTOSHIP/LOAN</t>
  </si>
  <si>
    <t>COMM-OTH</t>
  </si>
  <si>
    <t>Commercial [LOAN][BARCTOSHIP][COMM-OTH]</t>
  </si>
  <si>
    <t>Commercial [LOAN]</t>
  </si>
  <si>
    <t>BARCTOSHIP/DEPOSIT</t>
  </si>
  <si>
    <t>Commercial [DEPOSIT][BARCTOSHIP][COMM-OTH]</t>
  </si>
  <si>
    <t>Commercial [DEPOSIT]</t>
  </si>
  <si>
    <t>LENDING/LOAN</t>
  </si>
  <si>
    <t>LEND-OTH</t>
  </si>
  <si>
    <t>LENDING</t>
  </si>
  <si>
    <t>Lending [LOAN][LENDING][LEND-OTH]</t>
  </si>
  <si>
    <t>Lending [LOAN]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</si>
</sst>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-&quot;£&quot;* #,##0.00_-;\-&quot;£&quot;* #,##0.00_-;_-&quot;£&quot;* &quot;-&quot;??_-;_-@_-"/>
    <numFmt numFmtId="164" formatCode="yyyy\-mm\-dd;@"/>
    <numFmt numFmtId="165" formatCode="0.0000000"/>
  </numFmts>
  <fonts count="29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name val="Calibri"/>
      <family val="2"/>
    </font>
    <font>
      <sz val="10"/>
      <color indexed="8"/>
      <name val="Arial"/>
      <family val="2"/>
    </font>
    <font>
      <b/>
      <sz val="11"/>
      <color indexed="8"/>
      <name val="Calibri"/>
      <family val="2"/>
    </font>
    <font>
      <u/>
      <sz val="11"/>
      <color indexed="12"/>
      <name val="Calibri"/>
      <family val="2"/>
    </font>
    <font>
      <b/>
      <sz val="9"/>
      <color indexed="81"/>
      <name val="Tahoma"/>
      <family val="2"/>
    </font>
    <font>
      <sz val="8"/>
      <name val="Verdana"/>
      <family val="2"/>
    </font>
    <font>
      <sz val="10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6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10" fillId="0" borderId="0" applyNumberFormat="0" applyFont="0" applyFill="0" applyBorder="0" applyAlignment="0" applyProtection="0"/>
    <xf numFmtId="0" fontId="9" fillId="0" borderId="0"/>
    <xf numFmtId="0" fontId="2" fillId="0" borderId="0"/>
    <xf numFmtId="0" fontId="4" fillId="0" borderId="0"/>
    <xf numFmtId="0" fontId="13" fillId="0" borderId="0" applyNumberFormat="0" applyFill="0" applyBorder="0" applyAlignment="0" applyProtection="0"/>
    <xf numFmtId="0" fontId="14" fillId="0" borderId="7" applyNumberFormat="0" applyFill="0" applyAlignment="0" applyProtection="0"/>
    <xf numFmtId="0" fontId="15" fillId="0" borderId="8" applyNumberFormat="0" applyFill="0" applyAlignment="0" applyProtection="0"/>
    <xf numFmtId="0" fontId="16" fillId="0" borderId="9" applyNumberFormat="0" applyFill="0" applyAlignment="0" applyProtection="0"/>
    <xf numFmtId="0" fontId="16" fillId="0" borderId="0" applyNumberFormat="0" applyFill="0" applyBorder="0" applyAlignment="0" applyProtection="0"/>
    <xf numFmtId="0" fontId="17" fillId="3" borderId="0" applyNumberFormat="0" applyBorder="0" applyAlignment="0" applyProtection="0"/>
    <xf numFmtId="0" fontId="18" fillId="4" borderId="0" applyNumberFormat="0" applyBorder="0" applyAlignment="0" applyProtection="0"/>
    <xf numFmtId="0" fontId="19" fillId="5" borderId="0" applyNumberFormat="0" applyBorder="0" applyAlignment="0" applyProtection="0"/>
    <xf numFmtId="0" fontId="20" fillId="6" borderId="10" applyNumberFormat="0" applyAlignment="0" applyProtection="0"/>
    <xf numFmtId="0" fontId="21" fillId="7" borderId="11" applyNumberFormat="0" applyAlignment="0" applyProtection="0"/>
    <xf numFmtId="0" fontId="22" fillId="7" borderId="10" applyNumberFormat="0" applyAlignment="0" applyProtection="0"/>
    <xf numFmtId="0" fontId="23" fillId="0" borderId="12" applyNumberFormat="0" applyFill="0" applyAlignment="0" applyProtection="0"/>
    <xf numFmtId="0" fontId="24" fillId="8" borderId="13" applyNumberFormat="0" applyAlignment="0" applyProtection="0"/>
    <xf numFmtId="0" fontId="25" fillId="0" borderId="0" applyNumberFormat="0" applyFill="0" applyBorder="0" applyAlignment="0" applyProtection="0"/>
    <xf numFmtId="0" fontId="12" fillId="9" borderId="14" applyNumberFormat="0" applyFont="0" applyAlignment="0" applyProtection="0"/>
    <xf numFmtId="0" fontId="26" fillId="0" borderId="0" applyNumberFormat="0" applyFill="0" applyBorder="0" applyAlignment="0" applyProtection="0"/>
    <xf numFmtId="0" fontId="27" fillId="0" borderId="15" applyNumberFormat="0" applyFill="0" applyAlignment="0" applyProtection="0"/>
    <xf numFmtId="0" fontId="28" fillId="10" borderId="0" applyNumberFormat="0" applyBorder="0" applyAlignment="0" applyProtection="0"/>
    <xf numFmtId="0" fontId="12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13" borderId="0" applyNumberFormat="0" applyBorder="0" applyAlignment="0" applyProtection="0"/>
    <xf numFmtId="0" fontId="28" fillId="14" borderId="0" applyNumberFormat="0" applyBorder="0" applyAlignment="0" applyProtection="0"/>
    <xf numFmtId="0" fontId="12" fillId="15" borderId="0" applyNumberFormat="0" applyBorder="0" applyAlignment="0" applyProtection="0"/>
    <xf numFmtId="0" fontId="12" fillId="16" borderId="0" applyNumberFormat="0" applyBorder="0" applyAlignment="0" applyProtection="0"/>
    <xf numFmtId="0" fontId="12" fillId="17" borderId="0" applyNumberFormat="0" applyBorder="0" applyAlignment="0" applyProtection="0"/>
    <xf numFmtId="0" fontId="28" fillId="18" borderId="0" applyNumberFormat="0" applyBorder="0" applyAlignment="0" applyProtection="0"/>
    <xf numFmtId="0" fontId="12" fillId="19" borderId="0" applyNumberFormat="0" applyBorder="0" applyAlignment="0" applyProtection="0"/>
    <xf numFmtId="0" fontId="12" fillId="20" borderId="0" applyNumberFormat="0" applyBorder="0" applyAlignment="0" applyProtection="0"/>
    <xf numFmtId="0" fontId="12" fillId="21" borderId="0" applyNumberFormat="0" applyBorder="0" applyAlignment="0" applyProtection="0"/>
    <xf numFmtId="0" fontId="28" fillId="22" borderId="0" applyNumberFormat="0" applyBorder="0" applyAlignment="0" applyProtection="0"/>
    <xf numFmtId="0" fontId="12" fillId="23" borderId="0" applyNumberFormat="0" applyBorder="0" applyAlignment="0" applyProtection="0"/>
    <xf numFmtId="0" fontId="12" fillId="24" borderId="0" applyNumberFormat="0" applyBorder="0" applyAlignment="0" applyProtection="0"/>
    <xf numFmtId="0" fontId="12" fillId="25" borderId="0" applyNumberFormat="0" applyBorder="0" applyAlignment="0" applyProtection="0"/>
    <xf numFmtId="0" fontId="28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8" borderId="0" applyNumberFormat="0" applyBorder="0" applyAlignment="0" applyProtection="0"/>
    <xf numFmtId="0" fontId="12" fillId="29" borderId="0" applyNumberFormat="0" applyBorder="0" applyAlignment="0" applyProtection="0"/>
    <xf numFmtId="0" fontId="28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2" borderId="0" applyNumberFormat="0" applyBorder="0" applyAlignment="0" applyProtection="0"/>
    <xf numFmtId="0" fontId="12" fillId="33" borderId="0" applyNumberFormat="0" applyBorder="0" applyAlignment="0" applyProtection="0"/>
    <xf numFmtId="44" fontId="12" fillId="0" borderId="0" applyFont="0" applyFill="0" applyBorder="0" applyAlignment="0" applyProtection="0"/>
  </cellStyleXfs>
  <cellXfs count="33">
    <xf numFmtId="0" fontId="0" fillId="0" borderId="0" xfId="0"/>
    <xf numFmtId="0" fontId="5" fillId="2" borderId="3" xfId="5" applyFont="1" applyFill="1" applyBorder="1" applyAlignment="1">
      <alignment horizontal="center"/>
    </xf>
    <xf numFmtId="0" fontId="1" fillId="0" borderId="1" xfId="6" applyFont="1" applyFill="1" applyBorder="1" applyAlignment="1">
      <alignment wrapText="1"/>
    </xf>
    <xf numFmtId="0" fontId="1" fillId="2" borderId="4" xfId="6" applyFont="1" applyFill="1" applyBorder="1" applyAlignment="1">
      <alignment horizontal="center"/>
    </xf>
    <xf numFmtId="49" fontId="0" fillId="0" borderId="0" xfId="0" applyNumberFormat="1"/>
    <xf numFmtId="0" fontId="9" fillId="0" borderId="0" xfId="2" applyNumberFormat="1" applyFont="1" applyFill="1" applyBorder="1" applyAlignment="1"/>
    <xf numFmtId="0" fontId="6" fillId="0" borderId="2" xfId="1" applyBorder="1" applyAlignment="1" applyProtection="1"/>
    <xf numFmtId="49" fontId="1" fillId="0" borderId="0" xfId="6" applyNumberFormat="1" applyFont="1" applyFill="1" applyBorder="1" applyAlignment="1">
      <alignment wrapText="1"/>
    </xf>
    <xf numFmtId="0" fontId="0" fillId="0" borderId="0" xfId="0" applyNumberFormat="1"/>
    <xf numFmtId="0" fontId="1" fillId="2" borderId="5" xfId="6" applyNumberFormat="1" applyFont="1" applyFill="1" applyBorder="1" applyAlignment="1">
      <alignment horizontal="center"/>
    </xf>
    <xf numFmtId="0" fontId="1" fillId="0" borderId="0" xfId="6" applyNumberFormat="1" applyFont="1" applyFill="1" applyBorder="1" applyAlignment="1">
      <alignment wrapText="1"/>
    </xf>
    <xf numFmtId="49" fontId="1" fillId="2" borderId="5" xfId="6" applyNumberFormat="1" applyFont="1" applyFill="1" applyBorder="1" applyAlignment="1">
      <alignment horizontal="center"/>
    </xf>
    <xf numFmtId="0" fontId="0" fillId="0" borderId="0" xfId="0" applyBorder="1"/>
    <xf numFmtId="0" fontId="5" fillId="0" borderId="0" xfId="5" applyFont="1" applyFill="1" applyBorder="1" applyAlignment="1">
      <alignment horizontal="center"/>
    </xf>
    <xf numFmtId="0" fontId="0" fillId="0" borderId="0" xfId="0" applyFill="1" applyBorder="1"/>
    <xf numFmtId="164" fontId="0" fillId="0" borderId="0" xfId="0" applyNumberFormat="1"/>
    <xf numFmtId="16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5" fillId="2" borderId="6" xfId="6" applyNumberFormat="1" applyFont="1" applyFill="1" applyBorder="1" applyAlignment="1">
      <alignment horizontal="center"/>
    </xf>
    <xf numFmtId="14" fontId="0" fillId="0" borderId="0" xfId="0" applyNumberFormat="1"/>
    <xf numFmtId="0" fontId="1" fillId="2" borderId="6" xfId="6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4" fontId="1" fillId="2" borderId="5" xfId="6" applyNumberFormat="1" applyFont="1" applyFill="1" applyBorder="1" applyAlignment="1">
      <alignment horizontal="center"/>
    </xf>
    <xf numFmtId="14" fontId="0" fillId="0" borderId="0" xfId="0" quotePrefix="1" applyNumberFormat="1"/>
    <xf numFmtId="14" fontId="1" fillId="0" borderId="0" xfId="6" applyNumberFormat="1" applyFont="1" applyFill="1" applyBorder="1" applyAlignment="1">
      <alignment wrapText="1"/>
    </xf>
    <xf numFmtId="0" fontId="0" fillId="0" borderId="0" xfId="0"/>
    <xf numFmtId="14" fontId="0" fillId="0" borderId="0" xfId="0" applyNumberFormat="1"/>
    <xf numFmtId="0" fontId="27" fillId="0" borderId="0" xfId="0" applyNumberFormat="1" applyFont="1"/>
    <xf numFmtId="0" fontId="18" fillId="4" borderId="5" xfId="13" applyNumberFormat="1" applyBorder="1" applyAlignment="1">
      <alignment horizontal="center"/>
    </xf>
    <xf numFmtId="0" fontId="18" fillId="4" borderId="0" xfId="13"/>
    <xf numFmtId="0" fontId="18" fillId="4" borderId="6" xfId="13" applyNumberFormat="1" applyBorder="1" applyAlignment="1">
      <alignment horizontal="center"/>
    </xf>
    <xf numFmtId="14" fontId="18" fillId="4" borderId="5" xfId="13" applyNumberFormat="1" applyBorder="1" applyAlignment="1">
      <alignment horizontal="center"/>
    </xf>
  </cellXfs>
  <cellStyles count="49">
    <cellStyle name="20% - Accent1" xfId="25" builtinId="30" customBuiltin="1"/>
    <cellStyle name="20% - Accent2" xfId="29" builtinId="34" customBuiltin="1"/>
    <cellStyle name="20% - Accent3" xfId="33" builtinId="38" customBuiltin="1"/>
    <cellStyle name="20% - Accent4" xfId="37" builtinId="42" customBuiltin="1"/>
    <cellStyle name="20% - Accent5" xfId="41" builtinId="46" customBuiltin="1"/>
    <cellStyle name="20% - Accent6" xfId="45" builtinId="50" customBuiltin="1"/>
    <cellStyle name="40% - Accent1" xfId="26" builtinId="31" customBuiltin="1"/>
    <cellStyle name="40% - Accent2" xfId="30" builtinId="35" customBuiltin="1"/>
    <cellStyle name="40% - Accent3" xfId="34" builtinId="39" customBuiltin="1"/>
    <cellStyle name="40% - Accent4" xfId="38" builtinId="43" customBuiltin="1"/>
    <cellStyle name="40% - Accent5" xfId="42" builtinId="47" customBuiltin="1"/>
    <cellStyle name="40% - Accent6" xfId="46" builtinId="51" customBuiltin="1"/>
    <cellStyle name="60% - Accent1" xfId="27" builtinId="32" customBuiltin="1"/>
    <cellStyle name="60% - Accent2" xfId="31" builtinId="36" customBuiltin="1"/>
    <cellStyle name="60% - Accent3" xfId="35" builtinId="40" customBuiltin="1"/>
    <cellStyle name="60% - Accent4" xfId="39" builtinId="44" customBuiltin="1"/>
    <cellStyle name="60% - Accent5" xfId="43" builtinId="48" customBuiltin="1"/>
    <cellStyle name="60% - Accent6" xfId="47" builtinId="52" customBuiltin="1"/>
    <cellStyle name="Accent1" xfId="24" builtinId="29" customBuiltin="1"/>
    <cellStyle name="Accent2" xfId="28" builtinId="33" customBuiltin="1"/>
    <cellStyle name="Accent3" xfId="32" builtinId="37" customBuiltin="1"/>
    <cellStyle name="Accent4" xfId="36" builtinId="41" customBuiltin="1"/>
    <cellStyle name="Accent5" xfId="40" builtinId="45" customBuiltin="1"/>
    <cellStyle name="Accent6" xfId="44" builtinId="49" customBuiltin="1"/>
    <cellStyle name="Bad" xfId="13" builtinId="27" customBuiltin="1"/>
    <cellStyle name="Calculation" xfId="17" builtinId="22" customBuiltin="1"/>
    <cellStyle name="Check Cell" xfId="19" builtinId="23" customBuiltin="1"/>
    <cellStyle name="Currency 2" xfId="48"/>
    <cellStyle name="Explanatory Text" xfId="22" builtinId="53" customBuiltin="1"/>
    <cellStyle name="Good" xfId="12" builtinId="26" customBuiltin="1"/>
    <cellStyle name="Heading 1" xfId="8" builtinId="16" customBuiltin="1"/>
    <cellStyle name="Heading 2" xfId="9" builtinId="17" customBuiltin="1"/>
    <cellStyle name="Heading 3" xfId="10" builtinId="18" customBuiltin="1"/>
    <cellStyle name="Heading 4" xfId="11" builtinId="19" customBuiltin="1"/>
    <cellStyle name="Hyperlink" xfId="1" builtinId="8"/>
    <cellStyle name="Input" xfId="15" builtinId="20" customBuiltin="1"/>
    <cellStyle name="Linked Cell" xfId="18" builtinId="24" customBuiltin="1"/>
    <cellStyle name="Neutral" xfId="14" builtinId="28" customBuiltin="1"/>
    <cellStyle name="Normal" xfId="0" builtinId="0"/>
    <cellStyle name="Normal 2" xfId="2"/>
    <cellStyle name="Normal 3" xfId="3"/>
    <cellStyle name="Normal 5" xfId="4"/>
    <cellStyle name="Normal_Sheet1" xfId="5"/>
    <cellStyle name="Normal_Sheet2" xfId="6"/>
    <cellStyle name="Note" xfId="21" builtinId="10" customBuiltin="1"/>
    <cellStyle name="Output" xfId="16" builtinId="21" customBuiltin="1"/>
    <cellStyle name="Title" xfId="7" builtinId="15" customBuiltin="1"/>
    <cellStyle name="Total" xfId="23" builtinId="25" customBuiltin="1"/>
    <cellStyle name="Warning Text" xfId="20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demo-systems/SYS3%20-%20MIFID/DEMOXMLSTATIC/XML%20Deal%20Generator/XMLDealGenerator-Accounts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SL" refreshedDate="42460.695671875001" createdVersion="5" refreshedVersion="5" minRefreshableVersion="3" recordCount="2723">
  <cacheSource type="worksheet">
    <worksheetSource ref="A1:O1048576" sheet="Spot" r:id="rId2"/>
  </cacheSource>
  <cacheFields count="15">
    <cacheField name="Key" numFmtId="0">
      <sharedItems containsBlank="1"/>
    </cacheField>
    <cacheField name="DealType" numFmtId="0">
      <sharedItems containsBlank="1"/>
    </cacheField>
    <cacheField name="MsgID" numFmtId="0">
      <sharedItems containsBlank="1"/>
    </cacheField>
    <cacheField name="ExecType" numFmtId="0">
      <sharedItems containsString="0" containsBlank="1" containsNumber="1" containsInteger="1" minValue="0" maxValue="0"/>
    </cacheField>
    <cacheField name="TradeDate" numFmtId="0">
      <sharedItems containsNonDate="0" containsDate="1" containsString="0" containsBlank="1" minDate="2016-03-31T00:00:00" maxDate="2016-04-01T00:00:00"/>
    </cacheField>
    <cacheField name="ExtRefNo" numFmtId="0">
      <sharedItems containsBlank="1" containsMixedTypes="1" containsNumber="1" containsInteger="1" minValue="1795" maxValue="312148139" count="2721">
        <n v="30102373"/>
        <s v="32-1458747973-1753-409739"/>
        <s v="1191-1458747966-6284-4668090"/>
        <s v="10-1458747965-9604-4642443"/>
        <s v="1516-1458747964-3083-4604414"/>
        <s v="172-1458747961-4002-438740"/>
        <s v="239-1458747961-3393-4110577"/>
        <s v="578-1458747958-5958-709355"/>
        <s v="743-1458747957-0414-3855820"/>
        <s v="12-1458747955-8583-79142"/>
        <s v="1477-1458747954-2582-4668086"/>
        <s v="10-1458747952-6386-4668082"/>
        <s v="578-1458747929-3092-698999"/>
        <s v="47-1458747922-3112-4668078"/>
        <s v="239-1458747920-4288-3878164"/>
        <n v="49643475"/>
        <s v="578-1458747899-5216-695531"/>
        <s v="443-1458747895-8896-4668074"/>
        <s v="10-1458747895-6215-3696074"/>
        <s v="48-1458747889-4003-4668070"/>
        <s v="10-1458747888-2701-747890"/>
        <s v="5-1458747888-4497-981592"/>
        <s v="12-1458747864-4549-4668066"/>
        <s v="1573-1458747861-6705-4570376"/>
        <s v="12-1458747839-951-4437481"/>
        <s v="578-1458747837-2731-728249"/>
        <s v="346-1458747834-9711-2739552"/>
        <s v="12-1458747822-5893-3880573"/>
        <s v="598-1458747780-1495-630068"/>
        <s v="12-1458747779-6883-3470288"/>
        <s v="32-1458747776-2446-4593230"/>
        <n v="49642961"/>
        <s v="59-1458747755-8004-177198"/>
        <s v="32-1458747735-4885-45867"/>
        <s v="10-1458747730-8384-4157698"/>
        <s v="47-1458747716-3919-4527356"/>
        <s v="99-1458747715-5691-4333021"/>
        <s v="10-1458747715-5231-4157698"/>
        <s v="12-1458747714-6975-242566"/>
        <s v="5-1458747664-3943-28187"/>
        <s v="73-1458747655-5357-1924722"/>
        <s v="1477-1458747648-068-4668062"/>
        <s v="12-1458747646-9144-162830"/>
        <s v="10-1458747637-9432-447194"/>
        <s v="228-1458747634-4582-4658650"/>
        <s v="12-1458747630-7564-3880573"/>
        <s v="10-1458747620-9974-4419382"/>
        <n v="30102289"/>
        <s v="10-1458747601-2344-1936929"/>
        <s v="10-1458747598-3599-17347"/>
        <s v="10-1458747558-7704-12603"/>
        <s v="578-1458747551-6804-4297777"/>
        <s v="419-1458747551-7383-1351758"/>
        <s v="5-1458747549-6368-4540502"/>
        <s v="99-1458747532-4013-4293976"/>
        <s v="424-1458747530-3813-4569053"/>
        <s v="10-1458747523-6589-4271683"/>
        <s v="12-1458747510-6665-712241"/>
        <s v="59-1458747498-5332-107596"/>
        <s v="12-1458747493-9397-4576319"/>
        <s v="10-1458747488-2013-4271683"/>
        <s v="10-1458747478-6403-4373083"/>
        <s v="47-1458747471-0059-4594049"/>
        <s v="32-1458747463-3011-254603"/>
        <s v="578-1458747432-1216-698909"/>
        <s v="239-1458747395-789-153187"/>
        <n v="30102229"/>
        <s v="73-1458747395-0444-4605038"/>
        <s v="21-1458747392-6295-6938"/>
        <s v="10-1458747392-5247-1811028"/>
        <s v="48-1458747375-3016-179622"/>
        <s v="12-1458747368-724-160054"/>
        <n v="30102217"/>
        <s v="32-1458747346-1867-740636"/>
        <n v="30102215"/>
        <s v="133-1458747339-5966-4664598"/>
        <s v="5-1458747333-6662-33367"/>
        <s v="5-1458747330-374-706457"/>
        <s v="99-1458747312-7371-4364311"/>
        <n v="30102204"/>
        <n v="312148139"/>
        <s v="12-1458747272-4261-242566"/>
        <s v="10-1458747269-1438-4147783"/>
        <s v="10-1458747266-0679-4532945"/>
        <s v="59-1458747263-2745-4440019"/>
        <n v="49640659"/>
        <s v="442-1458747232-1663-4665642"/>
        <s v="1138-1458747221-4579-4668034"/>
        <s v="10-1458747215-8776-4668030"/>
        <s v="1396-1458747199-9539-4594052"/>
        <n v="30102174"/>
        <n v="30102166"/>
        <s v="346-1458747174-2881-769199"/>
        <s v="12-1458747161-4162-3378623"/>
        <s v="32-1458747157-3299-4668026"/>
        <s v="12-1458747157-0487-3754099"/>
        <s v="1396-1458747151-9611-4651539"/>
        <s v="12-1458747152-607-242566"/>
        <n v="49640373"/>
        <s v="1396-1458747136-7104-4548416"/>
        <s v="5-1458747115-0895-4251424"/>
        <s v="1396-1458747109-002-4647655"/>
        <n v="30102144"/>
        <s v="12-1458747107-7676-504302"/>
        <s v="99-1458747093-9202-4601033"/>
        <s v="99-1458747074-9606-4498925"/>
        <s v="12-1458747073-5104-74723"/>
        <s v="1396-1458747056-5281-4647607"/>
        <s v="73-1458747051-5617-175897"/>
        <s v="1477-1458747040-669-4668018"/>
        <s v="34-1458747035-7105-260240"/>
        <s v="32-1458747033-3521-43793"/>
        <n v="30102114"/>
        <s v="1396-1458747016-9331-4507037"/>
        <s v="578-1458747015-7541-1159286"/>
        <s v="73-1458747010-0108-4605038"/>
        <s v="5-1458747006-3157-4099414"/>
        <s v="73-1458747001-7362-729725"/>
        <s v="419-1458746988-312-2616219"/>
        <s v="5-1458746979-1341-33367"/>
        <s v="32-1458746969-1533-46317"/>
        <s v="346-1458746967-766-4344646"/>
        <s v="73-1458746965-2139-2608614"/>
        <s v="12-1458746925-6373-232267"/>
        <s v="10-1458746925-3115-4640951"/>
        <s v="133-1458746898-0178-245404"/>
        <s v="578-1458746880-1779-693467"/>
        <s v="10-1458746876-7767-4652239"/>
        <s v="12-1458746859-0184-74723"/>
        <s v="99-1458746856-6198-4313449"/>
        <s v="10-1458746852-0069-4652239"/>
        <n v="312147259"/>
        <s v="12-1458746822-3781-160054"/>
        <s v="1304-1458746816-506-4668010"/>
        <s v="21-1458746798-6198-2525232"/>
        <s v="1138-1458746797-6346-4667830"/>
        <s v="5-1458746783-5734-4251424"/>
        <n v="30102044"/>
        <s v="1516-1458746761-2612-4662278"/>
        <s v="47-1458746751-6595-1637916"/>
        <s v="239-1458746725-2934-4250266"/>
        <s v="12-1458746723-0252-504302"/>
        <n v="49638461"/>
        <s v="888-1458746702-8697-4300036"/>
        <s v="5-1458746699-1479-654461"/>
        <s v="10-1458746684-9189-747890"/>
        <s v="133-1458746677-2198-245404"/>
        <s v="5-1458746676-1607-26895"/>
        <s v="598-1458746670-7232-630068"/>
        <s v="12-1458746645-0324-74723"/>
        <s v="5-1458746630-9664-950141"/>
        <s v="12-1458746615-5821-4668002"/>
        <s v="12-1458746617-6621-4188574"/>
        <n v="312146859"/>
        <s v="47-1458746602-2425-4576292"/>
        <n v="30101992"/>
        <s v="10-1458746576-4833-680093"/>
        <s v="10-1458746558-6642-4507835"/>
        <s v="10-1458746549-0741-4406614"/>
        <s v="12-1458746530-5054-3440300"/>
        <n v="30101972"/>
        <s v="601-1458746518-6244-4628231"/>
        <s v="12-1458746508-0233-3880573"/>
        <s v="346-1458746478-4659-789497"/>
        <s v="5-1458746462-9496-950141"/>
        <s v="48-1458746459-8885-4667998"/>
        <s v="7-1458746459-6368-2403543"/>
        <s v="346-1458746445-925-1556625"/>
        <s v="32-1458746441-2677-84375"/>
        <n v="312146539"/>
        <n v="312146521"/>
        <s v="10-1458746424-32-4544198"/>
        <s v="12-1458746418-1853-74723"/>
        <n v="312146497"/>
        <s v="99-1458746406-3206-4610931"/>
        <s v="10-1458746406-2932-3898936"/>
        <n v="30101940"/>
        <s v="215-1458746392-7784-2904197"/>
        <s v="232-1458746374-0085-4628775"/>
        <s v="620-1458746361-8275-1239471"/>
        <s v="10-1458746353-0718-4667118"/>
        <s v="1516-1458746345-6214-4604414"/>
        <s v="1477-1458746335-1608-4667986"/>
        <s v="424-1458746316-5021-2249509"/>
        <n v="30101912"/>
        <s v="47-1458746303-4703-4667978"/>
        <s v="12-1458746300-9501-1744713"/>
        <s v="10-1458746289-9602-4481066"/>
        <s v="578-1458746271-9581-4339171"/>
        <s v="5-1458746270-7727-4598606"/>
        <s v="12-1458746270-3384-4637351"/>
        <s v="10-1458746265-0912-4481066"/>
        <s v="5-1458746249-012-950141"/>
        <s v="5-1458746239-2328-981592"/>
        <s v="578-1458746231-952-929243"/>
        <n v="312146149"/>
        <s v="12-1458746220-1434-367613"/>
        <s v="73-1458746217-7703-175897"/>
        <s v="10-1458746217-4327-378850"/>
        <s v="573-1458746216-7475-4643931"/>
        <n v="312146095"/>
        <s v="73-1458746193-2341-806384"/>
        <n v="30101890"/>
        <s v="99-1458746173-1437-4346641"/>
        <s v="743-1458746168-6551-3855820"/>
        <s v="346-1458746166-6739-634796"/>
        <s v="10-1458746162-6717-4663102"/>
        <n v="312146011"/>
        <s v="5-1458746156-7567-620771"/>
        <s v="12-1458746144-1377-4479257"/>
        <s v="99-1458746126-5229-4313140"/>
        <s v="73-1458746122-7364-4440571"/>
        <s v="578-1458746116-6377-775367"/>
        <n v="49635637"/>
        <n v="30101860"/>
        <s v="59-1458746096-7529-4277233"/>
        <s v="419-1458746095-5156-493139"/>
        <n v="30101859"/>
        <s v="10-1458746083-0439-4544198"/>
        <n v="49635797"/>
        <s v="578-1458746071-8956-4339171"/>
        <s v="99-1458746070-9387-4296232"/>
        <s v="32-1458746069-3562-55981"/>
        <s v="32-1458746066-9969-91885"/>
        <n v="312145809"/>
        <n v="312145769"/>
        <s v="5-1458746039-7721-620264"/>
        <n v="312145745"/>
        <s v="10-1458746020-3697-4489325"/>
        <s v="73-1458746002-7804-651677"/>
        <s v="47-1458745998-0812-1642266"/>
        <n v="312145683"/>
        <n v="312145663"/>
        <s v="10-1458745981-9407-4482"/>
        <n v="312145641"/>
        <s v="51-1458745978-2864-451269"/>
        <s v="73-1458745976-7035-3011747"/>
        <s v="133-1458745964-5161-4664598"/>
        <s v="5-1458745957-9398-4228378"/>
        <s v="34-1458745953-7375-4639375"/>
        <s v="419-1458745948-2101-638288"/>
        <s v="419-1458745947-0684-493139"/>
        <s v="5-1458745944-7822-1494702"/>
        <s v="34-1458745944-8607-40251"/>
        <s v="12-1458745943-9621-176202"/>
        <s v="10-1458745943-7802-4481066"/>
        <n v="30101811"/>
        <n v="312145547"/>
        <s v="12-1458745927-2825-4620111"/>
        <n v="312145521"/>
        <s v="12-1458745916-335-4479257"/>
        <s v="10-1458745911-6181-2285760"/>
        <n v="312145483"/>
        <s v="5-1458745909-1416-390239"/>
        <n v="312145465"/>
        <s v="10-1458745896-1596-4042999"/>
        <s v="10-1458745893-2358-4409302"/>
        <s v="12-1458745890-6714-3880573"/>
        <n v="312145451"/>
        <n v="312145441"/>
        <n v="312145435"/>
        <s v="10-1458745878-5418-4481066"/>
        <s v="232-1458745876-804-4628775"/>
        <s v="73-1458745873-8392-729725"/>
        <s v="10-1458745872-0645-4520051"/>
        <s v="32-1458745863-3439-84375"/>
        <s v="12-1458745862-1136-3537092"/>
        <s v="5-1458745861-1447-968248"/>
        <s v="5-1458745856-8817-220941"/>
        <s v="10-1458745856-9048-4520051"/>
        <s v="10-1458745855-5041-2285760"/>
        <s v="10-1458745849-9941-22461"/>
        <s v="10-1458745845-0467-4481066"/>
        <s v="1477-1458745842-5852-4667950"/>
        <n v="312145347"/>
        <s v="10-1458745835-9457-4667946"/>
        <s v="10-1458745833-4772-4520051"/>
        <s v="420-1458745832-0254-495153"/>
        <s v="1138-1458745827-3533-4652566"/>
        <s v="346-1458745823-1455-733037"/>
        <n v="312145317"/>
        <s v="10-1458745817-1855-4520051"/>
        <n v="312145305"/>
        <n v="312145279"/>
        <n v="312145273"/>
        <s v="10-1458745794-2632-4520051"/>
        <s v="346-1458745792-5763-754313"/>
        <n v="30101759"/>
        <s v="743-1458745778-9528-4572461"/>
        <s v="10-1458745775-547-4520051"/>
        <n v="312145237"/>
        <s v="420-1458745769-0239-2941454"/>
        <n v="312145233"/>
        <n v="312145215"/>
        <s v="10-1458745750-3277-4445950"/>
        <s v="10-1458745745-5352-4591436"/>
        <s v="73-1458745739-6327-651677"/>
        <s v="419-1458745727-5179-493139"/>
        <s v="1477-1458745719-6084-4667930"/>
        <s v="10-1458745712-4883-4532945"/>
        <s v="32-1458745707-8448-2175007"/>
        <n v="312145153"/>
        <s v="10-1458745706-5083-4511594"/>
        <s v="1138-1458745703-7572-4667830"/>
        <s v="346-1458745698-9035-789497"/>
        <s v="99-1458745697-7087-4596212"/>
        <s v="32-1458745690-8252-436550"/>
        <n v="312145135"/>
        <n v="312145131"/>
        <n v="312145133"/>
        <s v="12-1458745667-5267-4663274"/>
        <n v="312145089"/>
        <s v="10-1458745662-0217-4667226"/>
        <s v="5-1458745648-0275-26043"/>
        <s v="419-1458745631-973-1193804"/>
        <s v="73-1458745628-6507-175897"/>
        <s v="12-1458745624-4426-1744713"/>
        <s v="346-1458745623-5284-792584"/>
        <s v="73-1458745611-949-4605038"/>
        <s v="683-1458745588-5695-4667914"/>
        <s v="743-1458745578-9015-4532876"/>
        <s v="133-1458745571-3694-245404"/>
        <s v="10-1458745562-2784-4643743"/>
        <s v="578-1458745551-1321-844556"/>
        <s v="346-1458745542-7891-4667910"/>
        <n v="30101686"/>
        <s v="51-1458745545-9478-3891667"/>
        <s v="73-1458745537-149-4241785"/>
        <s v="5-1458745528-548-220941"/>
        <s v="620-1458745524-7701-1229160"/>
        <n v="312144881"/>
        <s v="572-1458745515-3083-4425166"/>
        <s v="32-1458745511-7134-4563545"/>
        <s v="419-1458745485-5535-493139"/>
        <s v="133-1458745484-2526-4664598"/>
        <s v="572-1458745478-7164-4573010"/>
        <s v="10-1458745475-3044-50775"/>
        <s v="10-1458745459-7319-4573685"/>
        <s v="10-1458745444-8949-4121392"/>
        <s v="239-1458745430-0549-1739964"/>
        <n v="30101650"/>
        <s v="10-1458745403-8138-4663958"/>
        <s v="12-1458745397-6544-1646094"/>
        <s v="12-1458745393-1743-3302711"/>
        <s v="10-1458745386-9964-49247"/>
        <s v="12-1458745384-1739-3719651"/>
        <s v="12-1458745381-1893-4620111"/>
        <s v="12-1458745369-5444-4667898"/>
        <s v="10-1458745368-2832-1142420"/>
        <s v="48-1458745367-0353-4539290"/>
        <s v="1292-1458745358-8455-4667894"/>
        <n v="312144699"/>
        <s v="73-1458745353-0134-3932332"/>
        <s v="346-1458745350-0647-1118828"/>
        <s v="578-1458745346-327-1165457"/>
        <s v="10-1458745322-9349-313029"/>
        <s v="32-1458745322-3777-4647299"/>
        <s v="424-1458745319-3727-4521119"/>
        <s v="346-1458745316-776-4638091"/>
        <s v="10-1458745307-9548-4339717"/>
        <s v="419-1458745304-7565-4639303"/>
        <s v="73-1458745300-9604-729725"/>
        <n v="30101595"/>
        <s v="1513-1458745288-2285-4664482"/>
        <s v="346-1458745282-8995-769199"/>
        <s v="73-1458745282-9367-1585404"/>
        <s v="21-1458745279-0994-1221746"/>
        <s v="10-1458745274-1169-4399045"/>
        <s v="419-1458745272-4116-638288"/>
        <n v="312144585"/>
        <n v="30101586"/>
        <s v="346-1458745246-1096-4667874"/>
        <s v="10-1458745248-7874-313029"/>
        <s v="419-1458745239-943-493139"/>
        <s v="51-1458745233-8376-3891667"/>
        <s v="420-1458745221-926-959239"/>
        <s v="12-1458745219-7186-3880573"/>
        <s v="10-1458745215-0566-302450"/>
        <n v="30101566"/>
        <s v="419-1458745210-5591-2006085"/>
        <s v="10-1458745203-5605-4392052"/>
        <s v="578-1458745187-618-1365714"/>
        <s v="10-1458745186-1212-4404499"/>
        <s v="1513-1458745177-7599-4664482"/>
        <s v="12-1458745172-0881-3550862"/>
        <n v="30101558"/>
        <s v="228-1458745154-0413-4351249"/>
        <s v="73-1458745144-6511-651677"/>
        <s v="12-1458745137-3589-1626960"/>
        <s v="573-1458745133-7812-4384558"/>
        <s v="419-1458745126-5135-1425933"/>
        <s v="10-1458745118-9836-4020427"/>
        <s v="1477-1458745105-6536-4667866"/>
        <s v="10-1458745085-5947-4399045"/>
        <s v="10-1458745083-2972-4484831"/>
        <s v="12-1458745081-1667-3661568"/>
        <s v="420-1458745080-0605-959239"/>
        <s v="419-1458745072-9819-1038088"/>
        <s v="10-1458745063-6148-4495"/>
        <s v="346-1458745053-7046-733037"/>
        <s v="419-1458745052-3782-516435"/>
        <n v="49631635"/>
        <s v="12-1458745043-7303-2607075"/>
        <s v="20-1458745040-4399-211223"/>
        <s v="5-1458745033-695-467496"/>
        <s v="10-1458745027-9962-4399045"/>
        <s v="99-1458745008-3355-4303411"/>
        <s v="578-1458744997-6641-4667858"/>
        <n v="30101518"/>
        <s v="73-1458744979-1641-729725"/>
        <s v="743-1458744971-8577-4667854"/>
        <s v="12-1458744967-9846-3880573"/>
        <s v="12-1458744959-5635-3550862"/>
        <s v="99-1458744957-8664-4636459"/>
        <s v="620-1458744942-8757-4133653"/>
        <s v="12-1458744937-6451-833411"/>
        <s v="228-1458744936-4733-4391284"/>
        <s v="419-1458744933-0669-638288"/>
        <s v="420-1458744921-7667-959239"/>
        <s v="47-1458744910-0566-3401063"/>
        <s v="10-1458744892-4863-62775"/>
        <s v="59-1458744889-4391-4603730"/>
        <s v="12-1458744883-9673-3880573"/>
        <s v="1212-1458744867-2249-4667846"/>
        <s v="12-1458744865-9126-1626960"/>
        <s v="51-1458744857-748-632594"/>
        <s v="10-1458744855-8205-4634323"/>
        <s v="12-1458744847-6659-1744713"/>
        <s v="32-1458744839-7283-1662450"/>
        <s v="12-1458744838-1481-3391997"/>
        <n v="30101459"/>
        <s v="12-1458744831-9088-73895"/>
        <s v="7-1458744814-8135-666680"/>
        <s v="5-1458744808-3472-43319"/>
        <n v="30101452"/>
        <s v="12-1458744796-669-3880573"/>
        <s v="59-1458744778-6683-2692572"/>
        <s v="21-1458744774-5898-4501160"/>
        <s v="578-1458744773-1726-4425739"/>
        <n v="1797"/>
        <s v="12-1458744751-7337-3395168"/>
        <s v="419-1458744743-3328-638288"/>
        <s v="73-1458744741-091-729725"/>
        <s v="1138-1458744724-6411-4667830"/>
        <s v="32-1458744701-072-4184599"/>
        <s v="12-1458744701-1121-4657666"/>
        <s v="346-1458744696-7016-4409881"/>
        <s v="32-1458744687-9131-4667790"/>
        <n v="30101418"/>
        <s v="10-1458744684-5437-278039"/>
        <s v="12-1458744674-276-3880573"/>
        <n v="30101410"/>
        <s v="10-1458744661-483-790322"/>
        <s v="1164-1458744637-5227-4008322"/>
        <s v="346-1458744632-376-4650975"/>
        <s v="10-1458744622-0155-4667118"/>
        <s v="47-1458744605-8617-4667822"/>
        <s v="5-1458744604-6309-952652"/>
        <s v="419-1458744603-8287-638288"/>
        <s v="5-1458744591-9344-1472247"/>
        <s v="12-1458744585-842-1744713"/>
        <s v="12-1458744578-5757-4660998"/>
        <s v="10-1458744574-4951-4591532"/>
        <s v="47-1458744574-015-4667818"/>
        <s v="99-1458744546-4275-4603787"/>
        <s v="12-1458744543-8945-582346"/>
        <n v="49629507"/>
        <s v="12-1458744535-6056-3396725"/>
        <s v="73-1458744525-6613-2608614"/>
        <n v="49629325"/>
        <s v="48-1458744508-4891-4576418"/>
        <s v="32-1458744506-925-2175007"/>
        <s v="420-1458744505-475-2502183"/>
        <s v="12-1458744502-269-4650263"/>
        <n v="49629315"/>
        <s v="346-1458744485-6355-4254412"/>
        <s v="189-1458744483-2691-4667806"/>
        <s v="48-1458744478-6751-1638633"/>
        <s v="7-1458744474-7197-2403543"/>
        <s v="7-1458744464-7378-653894"/>
        <s v="73-1458744449-8273-974818"/>
        <s v="10-1458744445-7286-2713593"/>
        <s v="743-1458744439-9898-3855820"/>
        <n v="30101342"/>
        <s v="12-1458744429-7634-74239"/>
        <s v="32-1458744417-2214-4233706"/>
        <n v="30101338"/>
        <s v="73-1458744397-8013-651677"/>
        <s v="73-1458744389-9862-1924722"/>
        <s v="10-1458744380-0375-4317853"/>
        <s v="578-1458744373-7219-691664"/>
        <s v="578-1458744373-5447-701249"/>
        <s v="10-1458744362-9497-3527885"/>
        <s v="10-1458744359-9271-1142420"/>
        <s v="99-1458744352-3952-4298974"/>
        <s v="419-1458744349-8877-4639303"/>
        <s v="578-1458744338-3127-4527467"/>
        <s v="73-1458744333-8811-2608614"/>
        <s v="10-1458744331-773-4406302"/>
        <s v="10-1458744322-3811-4317853"/>
        <s v="12-1458744321-7822-3537092"/>
        <s v="12-1458744320-643-4385863"/>
        <n v="30101304"/>
        <s v="10-1458744310-9835-16821"/>
        <s v="12-1458744309-1838-3909664"/>
        <s v="232-1458744304-5996-4491176"/>
        <s v="12-1458744287-524-3537092"/>
        <n v="30101302"/>
        <s v="73-1458744264-3527-2287455"/>
        <s v="10-1458744261-3549-7803"/>
        <n v="30101295"/>
        <n v="30101290"/>
        <s v="47-1458744238-3504-4535294"/>
        <s v="32-1458744230-6255-43811"/>
        <s v="73-1458744228-8035-4605038"/>
        <s v="10-1458744227-2555-7803"/>
        <s v="32-1458744226-6033-432874"/>
        <s v="12-1458744225-2257-196143"/>
        <s v="12-1458744223-8819-1744713"/>
        <s v="32-1458744221-2636-4667790"/>
        <s v="12-1458744209-7061-4667786"/>
        <s v="10-1458744209-2463-2950799"/>
        <s v="133-1458744207-121-4665182"/>
        <s v="419-1458744202-5512-4613181"/>
        <s v="10-1458744197-1844-4484831"/>
        <s v="12-1458744189-2166-1646094"/>
        <s v="7-1458744183-2417-209340"/>
        <s v="10-1458744171-8504-6689"/>
        <s v="32-1458744170-2921-434363"/>
        <s v="12-1458744168-9116-3391997"/>
        <s v="10-1458744167-5281-3401"/>
        <s v="31-1458744150-1076-4359964"/>
        <s v="578-1458744147-5553-4527467"/>
        <s v="346-1458744146-9627-4320733"/>
        <s v="99-1458744143-3378-4292599"/>
        <s v="10-1458744142-4825-4484831"/>
        <s v="73-1458744127-6612-2287455"/>
        <s v="12-1458744120-0733-801194"/>
        <s v="420-1458744114-389-608978"/>
        <n v="30101255"/>
        <s v="239-1458744094-278-189916"/>
        <s v="7-1458744086-8715-3042332"/>
        <s v="47-1458744064-2899-3401063"/>
        <s v="10-1458744062-9127-4667226"/>
        <s v="73-1458744062-2815-729725"/>
        <s v="5-1458744058-9228-43319"/>
        <s v="48-1458744052-4902-4651263"/>
        <s v="12-1458744050-653-1744713"/>
        <s v="73-1458744042-9854-175897"/>
        <s v="10-1458744042-178-4374856"/>
        <s v="20-1458744040-4504-3809446"/>
        <s v="424-1458744034-1683-2812196"/>
        <s v="12-1458744032-1886-4487528"/>
        <s v="578-1458744026-065-899003"/>
        <s v="419-1458744020-2988-1087388"/>
        <s v="12-1458744017-7871-3409895"/>
        <s v="10-1458744010-2312-4596719"/>
        <n v="30101221"/>
        <n v="30101218"/>
        <n v="30101216"/>
        <s v="73-1458743974-3624-2287455"/>
        <s v="48-1458743949-1004-4526744"/>
        <s v="10-1458743940-0528-4395100"/>
        <s v="5-1458743934-4032-750824"/>
        <s v="5-1458743927-5734-641564"/>
        <s v="1573-1458743921-9621-4409494"/>
        <s v="99-1458743920-7114-4293268"/>
        <s v="5-1458743918-9721-1380957"/>
        <s v="743-1458743909-6162-3414146"/>
        <s v="12-1458743905-1518-224059"/>
        <s v="12-1458743903-7227-330171"/>
        <s v="10-1458743898-9518-7803"/>
        <s v="73-1458743880-563-3932332"/>
        <s v="32-1458743880-2701-49929"/>
        <s v="10-1458743851-8538-7803"/>
        <s v="424-1458743845-5661-2812196"/>
        <s v="12-1458743843-891-82238"/>
        <s v="10-1458743843-4913-4651663"/>
        <s v="10-1458743836-6341-7803"/>
        <s v="32-1458743813-4741-55981"/>
        <s v="48-1458743811-2372-4651263"/>
        <s v="12-1458743806-4071-3550862"/>
        <s v="1138-1458743799-5857-4652566"/>
        <s v="10-1458743791-6349-3021344"/>
        <s v="48-1458743786-4957-1638633"/>
        <s v="10-1458743779-1478-2774654"/>
        <s v="10-1458743776-6755-715106"/>
        <s v="5-1458743754-0034-981592"/>
        <n v="30101160"/>
        <s v="48-1458743743-9787-4526741"/>
        <s v="346-1458743730-9691-829898"/>
        <s v="99-1458743729-2117-4294237"/>
        <s v="12-1458743725-7973-4667754"/>
        <s v="12-1458743727-7316-3391997"/>
        <s v="10-1458743708-1695-318902"/>
        <s v="1138-1458743698-9595-4666034"/>
        <s v="10-1458743695-2984-4596719"/>
        <s v="10-1458743692-799-3815821"/>
        <n v="30101141"/>
        <s v="73-1458743671-6776-1924722"/>
        <s v="420-1458743659-8186-532892"/>
        <s v="32-1458743656-0304-38925"/>
        <s v="5-1458743651-8989-1380957"/>
        <s v="10-1458743649-8711-4667750"/>
        <s v="5-1458743649-7411-641564"/>
        <s v="59-1458743648-4829-4013866"/>
        <s v="7-1458743641-1006-3042332"/>
        <s v="10-1458743631-7975-4621"/>
        <s v="10-1458743605-8008-4667750"/>
        <s v="419-1458743604-8006-4613181"/>
        <s v="10-1458743604-0025-4455322"/>
        <s v="1161-1458743592-8703-4659122"/>
        <s v="620-1458743590-7991-2393745"/>
        <s v="12-1458743574-885-2920259"/>
        <s v="99-1458743564-8433-4400515"/>
        <s v="419-1458743549-1616-4310440"/>
        <s v="12-1458743542-8716-1568991"/>
        <s v="10-1458743538-9184-4667118"/>
        <n v="30101110"/>
        <s v="419-1458743536-8547-682040"/>
        <s v="10-1458743527-8443-4627663"/>
        <s v="419-1458743519-4628-941546"/>
        <n v="312142179"/>
        <s v="12-1458743498-9125-79419"/>
        <s v="12-1458743495-495-3474926"/>
        <s v="73-1458743489-312-4605038"/>
        <s v="32-1458743478-3183-487350"/>
        <s v="12-1458743475-2798-173665"/>
        <s v="12-1458743469-8729-4005052"/>
        <s v="99-1458743460-0061-4667734"/>
        <s v="99-1458743450-0235-4667122"/>
        <s v="1212-1458743449-5511-4667726"/>
        <s v="10-1458743437-0459-2362242"/>
        <s v="5-1458743421-2696-1380957"/>
        <s v="7-1458743395-7051-3042332"/>
        <s v="12-1458743371-5079-1047499"/>
        <s v="420-1458743368-9982-959239"/>
        <s v="10-1458743368-0909-4610685"/>
        <s v="578-1458743366-4962-697580"/>
        <s v="48-1458743349-7138-4651263"/>
        <s v="99-1458743340-2461-4372708"/>
        <s v="419-1458743335-8462-4310440"/>
        <n v="312141739"/>
        <s v="443-1458743311-9361-4601333"/>
        <s v="10-1458743289-8355-4044544"/>
        <n v="312141679"/>
        <s v="10-1458743272-2777-4663350"/>
        <n v="30101059"/>
        <s v="10-1458743259-3505-4462465"/>
        <s v="419-1458743243-6608-516435"/>
        <n v="312141571"/>
        <s v="10-1458743212-5917-3613694"/>
        <s v="1573-1458743203-7669-4489775"/>
        <s v="10-1458743195-0721-2713593"/>
        <s v="7-1458743188-4526-3042332"/>
        <s v="743-1458743169-7582-4572128"/>
        <s v="47-1458743151-4917-3401063"/>
        <s v="10-1458743138-752-676460"/>
        <s v="12-1458743131-3538-79419"/>
        <s v="73-1458743129-7941-2509218"/>
        <s v="12-1458743125-8915-3848569"/>
        <s v="443-1458743121-612-4601333"/>
        <s v="32-1458743119-6367-444807"/>
        <s v="1161-1458743113-5302-4659122"/>
        <s v="5-1458743090-4551-1380957"/>
        <n v="30101011"/>
        <s v="420-1458743065-895-959239"/>
        <n v="49623361"/>
        <n v="30100992"/>
        <s v="10-1458743055-2161-3834670"/>
        <s v="420-1458743046-5209-495336"/>
        <s v="12-1458743043-7146-195718"/>
        <s v="424-1458743027-7263-3883846"/>
        <n v="30101004"/>
        <s v="10-1458743019-215-4625783"/>
        <s v="578-1458743015-7683-691664"/>
        <s v="10-1458743012-6267-401385"/>
        <s v="10-1458742996-2898-318902"/>
        <n v="312141129"/>
        <n v="49622801"/>
        <s v="10-1458742938-0137-4651843"/>
        <s v="5-1458742906-5796-1380957"/>
        <s v="346-1458742891-8001-1321689"/>
        <s v="10-1458742872-5003-4121881"/>
        <n v="30100970"/>
        <s v="32-1458742852-8199-84375"/>
        <n v="30100971"/>
        <s v="32-1458742846-1995-4211422"/>
        <s v="10-1458742842-5539-4610685"/>
        <s v="10-1458742832-1634-4667118"/>
        <s v="10-1458742831-2773-4628995"/>
        <s v="5-1458742820-7895-750824"/>
        <s v="59-1458742812-4175-3841534"/>
        <s v="215-1458742801-8503-4667698"/>
        <s v="10-1458742793-9433-187706"/>
        <s v="31-1458742784-501-4359964"/>
        <s v="5-1458742776-3899-1380957"/>
        <s v="10-1458742770-1278-3920059"/>
        <s v="743-1458742758-3642-2934683"/>
        <s v="12-1458742756-3237-3699518"/>
        <s v="48-1458742751-4435-4526744"/>
        <s v="309796606_REF"/>
        <n v="309796606"/>
        <s v="10-1458742743-6499-4350859"/>
        <s v="10-1458742726-3595-4667118"/>
        <n v="49621617"/>
        <s v="578-1458742712-083-697580"/>
        <s v="232-1458742709-8322-4667378"/>
        <s v="31-1458742708-721-4359964"/>
        <s v="48-1458742687-2857-4651263"/>
        <n v="30100929"/>
        <s v="283-1458742652-5142-4540442"/>
        <s v="10-1458742648-9367-6272"/>
        <s v="7-1458742637-2164-206608"/>
        <s v="12-1458742633-7246-3880573"/>
        <s v="1161-1458742629-2419-4659122"/>
        <s v="73-1458742626-2246-4605038"/>
        <s v="12-1458742618-9892-3417110"/>
        <s v="419-1458742603-3875-4639303"/>
        <s v="443-1458742586-6692-4601333"/>
        <s v="420-1458742567-0048-959239"/>
        <s v="59-1458742563-5879-624119"/>
        <s v="424-1458742562-2863-498502"/>
        <n v="312140449"/>
        <s v="48-1458742547-3708-4520870"/>
        <s v="419-1458742538-4466-3886864"/>
        <n v="312140421"/>
        <s v="32-1458742534-8248-4563545"/>
        <s v="10-1458742533-749-4452958"/>
        <s v="578-1458742522-4283-697580"/>
        <n v="312140383"/>
        <s v="51-1458742515-8261-888284"/>
        <s v="5-1458742514-0181-1721661"/>
        <s v="346-1458742511-0553-4630703"/>
        <s v="99-1458742506-1023-4539851"/>
        <s v="35-1458742505-9329-80148"/>
        <n v="30100873"/>
        <n v="312140309"/>
        <s v="99-1458742474-2904-4590479"/>
        <s v="12-1458742470-6357-3880573"/>
        <s v="12-1458742461-0293-82238"/>
        <s v="12-1458742445-9512-3683090"/>
        <n v="30100853"/>
        <n v="312140231"/>
        <s v="578-1458742427-3974-693857"/>
        <s v="10-1458742406-6336-4586837"/>
        <n v="312140167"/>
        <s v="5-1458742379-473-882950"/>
        <s v="419-1458742370-5498-509583"/>
        <s v="12-1458742368-8496-4416871"/>
        <n v="312140093"/>
        <s v="578-1458742352-3363-4113703"/>
        <s v="10-1458742335-0443-4371670"/>
        <s v="12-1458742334-564-582346"/>
        <n v="49620227"/>
        <s v="31-1458742334-1128-4667650"/>
        <s v="10-1458742330-5241-4014196"/>
        <s v="73-1458742323-1208-1924722"/>
        <n v="312140019"/>
        <s v="12-1458742320-9322-2901494"/>
        <s v="420-1458742314-9951-734006"/>
        <s v="1477-1458742284-266-4667638"/>
        <s v="99-1458742281-3912-4292167"/>
        <s v="10-1458742258-6767-615089"/>
        <s v="1477-1458742243-9532-4667634"/>
        <s v="51-1458742240-8173-888284"/>
        <s v="443-1458742233-5773-4667626"/>
        <n v="312139865"/>
        <s v="32-1458742223-4678-800363"/>
        <n v="312139853"/>
        <s v="99-1458742217-2176-4333021"/>
        <s v="12-1458742204-2182-504302"/>
        <s v="10-1458742193-1061-3400223"/>
        <n v="30100792"/>
        <n v="312139805"/>
        <s v="47-1458742177-916-2666556"/>
        <s v="10-1458742169-139-33571"/>
        <s v="419-1458742167-2967-682874"/>
        <n v="312139769"/>
        <n v="30100778"/>
        <s v="99-1458742132-4379-4666242"/>
        <s v="10-1458742130-8396-5691"/>
        <s v="99-1458742127-9396-4667614"/>
        <s v="5-1458742129-6382-750824"/>
        <s v="59-1458742123-9543-274466"/>
        <s v="32-1458742107-0626-84375"/>
        <n v="312139675"/>
        <s v="32-1458742101-4328-477276"/>
        <s v="312139657_REF"/>
        <s v="419-1458742097-3578-4639303"/>
        <s v="1477-1458742095-5324-4667610"/>
        <n v="312139657"/>
        <s v="32-1458742093-7936-721994"/>
        <n v="312139643"/>
        <n v="312139631"/>
        <s v="31-1458742063-8616-4359964"/>
        <s v="578-1458742052-5923-813284"/>
        <n v="312139595"/>
        <s v="12-1458742047-2451-3843199"/>
        <s v="32-1458742044-0104-84375"/>
        <s v="283-1458742039-56-4540442"/>
        <s v="59-1458742023-7102-4408771"/>
        <s v="424-1458742019-1332-1075565"/>
        <n v="312139545"/>
        <s v="12-1458742010-5884-4637351"/>
        <s v="419-1458742006-8413-509583"/>
        <n v="312139531"/>
        <n v="312139527"/>
        <n v="312139509"/>
        <n v="30100750"/>
        <n v="312139495"/>
        <s v="346-1458741963-3519-4667586"/>
        <s v="578-1458741960-8917-4664762"/>
        <n v="312139471"/>
        <s v="578-1458741936-7874-691103"/>
        <s v="424-1458741935-073-1075565"/>
        <s v="5-1458741922-5018-1889"/>
        <s v="10-1458741904-2441-4658834"/>
        <s v="48-1458741897-5418-4535072"/>
        <s v="73-1458741889-3425-1924722"/>
        <s v="59-1458741868-2805-1339545"/>
        <s v="47-1458741847-1474-2666556"/>
        <n v="30100710"/>
        <s v="420-1458741834-6454-608337"/>
        <n v="312139319"/>
        <s v="424-1458741827-592-4154080"/>
        <s v="99-1458741824-9079-4380070"/>
        <s v="5-1458741823-8672-1721661"/>
        <s v="10-1458741823-2656-8169"/>
        <s v="12-1458741821-5879-4474268"/>
        <s v="59-1458741816-4655-624119"/>
        <s v="420-1458741809-1184-608337"/>
        <s v="12-1458741790-5582-4364023"/>
        <s v="424-1458741782-8968-1075565"/>
        <s v="12-1458741751-4979-348474"/>
        <s v="10-1458741739-2594-2088366"/>
        <s v="133-1458741734-6222-4665182"/>
        <s v="5-1458741734-1423-220941"/>
        <s v="419-1458741713-4602-736556"/>
        <s v="12-1458741713-0981-4451677"/>
        <s v="419-1458741704-829-498838"/>
        <s v="424-1458741684-0469-706322"/>
        <s v="424-1458741663-5898-1075565"/>
        <s v="10-1458741663-1887-570359"/>
        <s v="73-1458741661-4699-4605038"/>
        <n v="49617311"/>
        <s v="12-1458741645-9792-4474268"/>
        <s v="1477-1458741640-6328-4667554"/>
        <s v="239-1458741639-8903-4250749"/>
        <s v="424-1458741625-2507-638897"/>
        <s v="7-1458741613-1129-93013"/>
        <s v="419-1458741610-251-1044520"/>
        <s v="10-1458741608-7713-4115041"/>
        <n v="30100656"/>
        <s v="346-1458741569-0306-964534"/>
        <s v="10-1458741567-3522-3082355"/>
        <n v="49616923"/>
        <n v="49616727"/>
        <s v="99-1458741499-4132-4296121"/>
        <s v="99-1458741478-6769-4425055"/>
        <s v="1138-1458741461-5254-4637887"/>
        <s v="10-1458741452-2973-2387682"/>
        <s v="12-1458741423-6459-79419"/>
        <s v="239-1458741422-7151-4250749"/>
        <s v="12-1458741411-7862-4474268"/>
        <s v="419-1458741388-1364-4367800"/>
        <n v="30100581"/>
        <s v="5-1458741363-8776-220941"/>
        <s v="5-1458741358-4579-460446"/>
        <s v="48-1458741327-2019-4526057"/>
        <s v="12-1458741313-801-4245034"/>
        <s v="10-1458741314-8983-29935"/>
        <s v="12-1458741305-2804-3880573"/>
        <s v="10-1458741288-2596-4589993"/>
        <s v="99-1458741286-881-4491515"/>
        <s v="34-1458741285-379-551609"/>
        <s v="32-1458741275-376-49107"/>
        <s v="99-1458741274-2608-4371661"/>
        <s v="73-1458741271-5619-1924722"/>
        <s v="424-1458741261-885-1075565"/>
        <s v="32-1458741250-8588-165877"/>
        <s v="346-1458741233-6612-4209136"/>
        <s v="743-1458741200-5211-2150283"/>
        <s v="215-1458741192-37-2114658"/>
        <s v="10-1458741189-3012-21855"/>
        <s v="578-1458741188-6527-764423"/>
        <n v="30100541"/>
        <s v="12-1458741169-7818-3880573"/>
        <s v="10-1458741168-249-4411819"/>
        <s v="578-1458741149-6371-698705"/>
        <s v="419-1458741144-5872-4310440"/>
        <n v="30100528"/>
        <s v="10-1458741110-7662-4415599"/>
        <n v="30100520"/>
        <s v="10-1458741089-3059-4415599"/>
        <s v="424-1458741086-9039-1075565"/>
        <s v="424-1458741067-5171-1282572"/>
        <s v="10-1458741067-0949-4415599"/>
        <s v="10-1458741047-2377-4408897"/>
        <s v="48-1458741036-1077-4529453"/>
        <n v="30100500"/>
        <s v="5-1458741018-2755-220941"/>
        <s v="20-1458741016-6456-1241469"/>
        <n v="30100490"/>
        <s v="10-1458740985-7842-4667226"/>
        <s v="10-1458740966-8867-4667510"/>
        <s v="99-1458740965-1474-4445989"/>
        <s v="12-1458740957-1571-3880573"/>
        <s v="12-1458740952-57-1568991"/>
        <s v="1477-1458740939-3177-4667502"/>
        <s v="12-1458740922-0286-4453402"/>
        <s v="10-1458740921-9486-4563641"/>
        <s v="99-1458740895-1894-4596212"/>
        <s v="12-1458740876-2393-1568991"/>
        <s v="346-1458740869-3124-892853"/>
        <s v="5-1458740869-3124-1889"/>
        <s v="424-1458740853-192-3883846"/>
        <s v="12-1458740846-4388-4474268"/>
        <s v="7-1458740830-5907-93013"/>
        <s v="5-1458740818-5329-981592"/>
        <s v="5-1458740811-002-309668"/>
        <s v="32-1458740810-302-57114"/>
        <s v="59-1458740797-0253-3899470"/>
        <s v="1477-1458740792-8023-4667494"/>
        <s v="346-1458740792-0542-636644"/>
        <s v="32-1458740788-0722-4667490"/>
        <s v="346-1458740777-2348-3034670"/>
        <s v="12-1458740776-6327-4637351"/>
        <s v="1477-1458740770-7233-4667486"/>
        <s v="578-1458740767-3951-4409362"/>
        <s v="1135-1458740742-1035-4626467"/>
        <s v="442-1458740714-5742-4667478"/>
        <n v="49613145"/>
        <s v="1573-1458740700-8222-4667334"/>
        <s v="133-1458740687-4399-4665182"/>
        <s v="10-1458740685-4669-4408897"/>
        <s v="12-1458740679-47-3880573"/>
        <s v="59-1458740677-5342-4667470"/>
        <n v="49613015"/>
        <s v="10-1458740676-0066-3385496"/>
        <s v="12-1458740666-8761-4667466"/>
        <s v="420-1458740660-4752-3891175"/>
        <n v="49612779"/>
        <s v="419-1458740644-6557-503619"/>
        <s v="12-1458740600-9169-4021501"/>
        <s v="34-1458740582-6755-4667458"/>
        <s v="12-1458740581-45-3396473"/>
        <s v="10-1458740581-249-3792358"/>
        <s v="346-1458740569-407-892853"/>
        <s v="10-1458740554-4777-2201917"/>
        <s v="73-1458740553-8893-1924722"/>
        <s v="10-1458740542-2483-4454482"/>
        <s v="10-1458740540-0156-4667226"/>
        <s v="1573-1458740534-2728-4440616"/>
        <s v="12-1458740525-7012-151705"/>
        <s v="1191-1458740525-6987-4667454"/>
        <s v="10-1458740509-8041-4551176"/>
        <s v="99-1458740497-0739-4319641"/>
        <s v="420-1458740494-441-3891175"/>
        <s v="35-1458740486-2713-80148"/>
        <s v="10-1458740480-3342-570359"/>
        <n v="49612189"/>
        <s v="59-1458740475-03-4013866"/>
        <s v="10-1458740461-6399-570359"/>
        <s v="5-1458740457-9156-220941"/>
        <s v="10-1458740443-8534-570359"/>
        <n v="30100333"/>
        <s v="424-1458740428-202-1075565"/>
        <s v="10-1458740423-1865-4339249"/>
        <s v="1138-1458740420-5884-4666490"/>
        <s v="51-1458740404-9642-918635"/>
        <s v="578-1458740391-0858-4544756"/>
        <s v="1477-1458740385-8731-4667430"/>
        <s v="12-1458740361-9602-1933743"/>
        <s v="12-1458740346-3976-4012219"/>
        <s v="1191-1458740318-9741-4667418"/>
        <s v="12-1458740312-7642-4474268"/>
        <s v="12-1458740299-7869-4637351"/>
        <s v="99-1458740292-7866-4667414"/>
        <s v="424-1458740283-5951-1075565"/>
        <s v="99-1458740265-9852-4319641"/>
        <s v="10-1458740244-1904-9734"/>
        <s v="12-1458740240-774-3909664"/>
        <n v="30100294"/>
        <s v="12-1458740226-3731-4021501"/>
        <s v="48-1458740216-9308-259063"/>
        <s v="73-1458740212-6493-1127195"/>
        <s v="12-1458740211-7888-4291696"/>
        <s v="346-1458740208-4487-3034670"/>
        <s v="10-1458740172-3044-4460206"/>
        <s v="73-1458740161-8084-1127195"/>
        <s v="419-1458740145-429-998626"/>
        <s v="1310-1458740140-4868-4667410"/>
        <n v="312137805"/>
        <s v="51-1458740127-0307-888284"/>
        <s v="419-1458740119-5209-3566537"/>
        <s v="424-1458740115-2509-1075565"/>
        <s v="1477-1458740109-1016-4667406"/>
        <s v="1191-1458740099-6687-4667402"/>
        <s v="764-1458740096-3203-1352919"/>
        <s v="10-1458740094-6916-4667398"/>
        <s v="12-1458740087-3449-3396725"/>
        <s v="419-1458740082-9367-1044520"/>
        <s v="1573-1458740076-8015-4667334"/>
        <s v="12-1458740076-8883-522612"/>
        <s v="12-1458740067-4951-4667386"/>
        <s v="34-1458740072-0318-47707"/>
        <s v="10-1458740068-6932-4545398"/>
        <n v="30100259"/>
        <s v="232-1458740066-3915-4667378"/>
        <s v="12-1458740014-8937-160054"/>
        <n v="30100244"/>
        <s v="420-1458739980-6523-704045"/>
        <s v="424-1458739980-7349-1007983"/>
        <s v="1191-1458739960-1653-4667358"/>
        <s v="5-1458739957-0133-220941"/>
        <s v="578-1458739956-9558-4071016"/>
        <s v="424-1458739953-8326-706322"/>
        <s v="10-1458739945-5624-4495"/>
        <s v="34-1458739928-4144-60580"/>
        <s v="10-1458739927-5158-4560272"/>
        <s v="5-1458739920-3743-1889"/>
        <s v="51-1458739914-3746-918635"/>
        <s v="12-1458739909-1969-3417110"/>
        <s v="346-1458739895-3449-1118828"/>
        <n v="49609411"/>
        <s v="10-1458739872-0971-4475828"/>
        <s v="99-1458739868-4158-4328875"/>
        <s v="10-1458739858-3957-4392052"/>
        <s v="1396-1458739857-7991-4547765"/>
        <s v="419-1458739857-7957-779684"/>
        <s v="1477-1458739853-9052-4667346"/>
        <s v="1396-1458739851-6784-4459177"/>
        <s v="10-1458739830-8809-4660174"/>
        <n v="49609373"/>
        <s v="59-1458739819-4752-572171"/>
        <s v="10-1458739818-5463-615011"/>
        <s v="1573-1458739811-029-4667334"/>
        <s v="51-1458739799-5092-888284"/>
        <n v="49609259"/>
        <s v="12-1458739789-5067-294237"/>
        <s v="12-1458739786-9745-3396473"/>
        <s v="12-1458739776-4573-460109"/>
        <s v="309796314_REF"/>
        <s v="10-1458739771-4748-55699"/>
        <n v="309796314"/>
        <s v="419-1458739767-3988-998626"/>
        <s v="10-1458739761-3041-703748"/>
        <s v="12-1458739758-238-1554042"/>
        <s v="10-1458739757-3628-4667226"/>
        <s v="51-1458739753-7587-3997579"/>
        <s v="578-1458739749-4503-691103"/>
        <s v="10-1458739747-4103-4480535"/>
        <s v="1138-1458739740-5309-4632647"/>
        <s v="59-1458739723-0568-206823"/>
        <n v="30100185"/>
        <s v="10-1458739703-8542-4620339"/>
        <s v="48-1458739697-5412-1648278"/>
        <n v="30100182"/>
        <s v="48-1458739684-6392-201740"/>
        <s v="10-1458739680-9802-4157698"/>
        <s v="10-1458739667-9429-4424047"/>
        <s v="5-1458739649-0641-4332781"/>
        <n v="30100168"/>
        <n v="49608569"/>
        <s v="48-1458739634-8004-259063"/>
        <n v="30100159"/>
        <s v="1573-1458739594-8019-4667334"/>
        <s v="12-1458739596-6649-1933743"/>
        <s v="32-1458739577-9049-49107"/>
        <s v="59-1458739563-4339-116155"/>
        <s v="133-1458739549-5137-4284280"/>
        <s v="1516-1458739531-4494-4546943"/>
        <s v="10-1458739526-3361-4332655"/>
        <s v="12-1458739493-7205-4188574"/>
        <n v="49607799"/>
        <s v="1307-1458739484-2878-4667326"/>
        <s v="10-1458739487-7086-4539449"/>
        <s v="73-1458739468-3253-1127195"/>
        <n v="49607783"/>
        <s v="12-1458739452-0685-476982"/>
        <s v="10-1458739446-8949-4539449"/>
        <n v="30100124"/>
        <s v="51-1458739427-377-411307"/>
        <s v="1135-1458739427-0692-4580726"/>
        <s v="48-1458739412-608-4667318"/>
        <n v="312136737"/>
        <n v="30100116"/>
        <s v="99-1458739399-2794-4533173"/>
        <s v="59-1458739397-5632-206823"/>
        <s v="572-1458739391-1883-4573010"/>
        <s v="12-1458739390-2891-87924"/>
        <s v="5-1458739385-7123-4332781"/>
        <s v="1135-1458739385-0557-4308049"/>
        <n v="49607467"/>
        <n v="312136681"/>
        <s v="10-1458739359-0257-4286"/>
        <s v="35-1458739344-2214-80148"/>
        <s v="32-1458739342-9191-37627"/>
        <s v="73-1458739340-092-2903561"/>
        <s v="32-1458739337-0909-505087"/>
        <s v="99-1458739334-991-4667302"/>
        <s v="5-1458739326-3399-1803009"/>
        <s v="215-1458739324-8341-4542617"/>
        <s v="419-1458739320-073-1179371"/>
        <n v="312136603"/>
        <s v="1477-1458739303-2231-4667306"/>
        <s v="5-1458739296-4447-1807"/>
        <s v="424-1458739251-0719-1708575"/>
        <s v="133-1458739244-309-4665182"/>
        <s v="12-1458739229-2413-99651"/>
        <s v="10-1458739223-0095-4121881"/>
        <s v="73-1458739220-0523-3932332"/>
        <s v="12-1458739220-0938-1933743"/>
        <s v="32-1458739216-3617-65649"/>
        <s v="1477-1458739203-248-4667298"/>
        <s v="99-1458739198-396-4619815"/>
        <s v="598-1458739192-0955-3875290"/>
        <s v="419-1458739184-795-905435"/>
        <s v="10-1458739162-4931-4667226"/>
        <n v="30100057"/>
        <s v="424-1458739154-0355-498502"/>
        <s v="578-1458739148-7484-706982"/>
        <s v="1161-1458739140-2385-4231981"/>
        <s v="99-1458739137-7186-4619815"/>
        <s v="10-1458739137-77-4667294"/>
        <s v="10-1458739135-2126-933266"/>
        <s v="578-1458739132-3638-4546628"/>
        <s v="1477-1458739120-5343-4667290"/>
        <n v="49606441"/>
        <s v="1477-1458739111-6785-4667286"/>
        <n v="312136257"/>
        <s v="59-1458739096-6987-522659"/>
        <s v="10-1458739091-2771-326469"/>
        <s v="10-1458739088-1812-4385368"/>
        <s v="12-1458739084-4956-210145"/>
        <s v="1477-1458739082-9486-4667282"/>
        <s v="419-1458739060-2764-998626"/>
        <s v="73-1458739047-8146-651677"/>
        <s v="59-1458739044-6558-206823"/>
        <s v="32-1458739036-1386-196472"/>
        <s v="5-1458739002-519-2552646"/>
        <s v="73-1458738993-7775-3932332"/>
        <n v="30100013"/>
        <s v="133-1458738976-4186-219111"/>
        <n v="30100006"/>
        <s v="99-1458738969-0018-4393921"/>
        <s v="10-1458738954-9224-4405135"/>
        <s v="12-1458738952-1406-1350300"/>
        <s v="12-1458738941-4194-3618605"/>
        <s v="10-1458738938-4372-13125"/>
        <n v="30100001"/>
        <s v="419-1458738934-1812-779684"/>
        <s v="419-1458738928-7709-1179371"/>
        <s v="5-1458738900-2361-4602"/>
        <s v="1573-1458738899-19-4387333"/>
        <s v="59-1458738894-8946-4220206"/>
        <s v="10-1458738891-48-3900865"/>
        <s v="10-1458738878-6196-4486274"/>
        <s v="10-1458738875-5309-1095587"/>
        <s v="73-1458738867-8231-896921"/>
        <s v="10-1458738865-7817-2715252"/>
        <s v="10-1458738865-0632-462864"/>
        <s v="12-1458738856-762-1337910"/>
        <n v="312135813"/>
        <s v="5-1458738843-8837-1889"/>
        <s v="10-1458738829-044-4445653"/>
        <s v="10-1458738809-3329-4480601"/>
        <s v="1310-1458738803-7429-4667262"/>
        <s v="419-1458738807-2402-1179371"/>
        <s v="578-1458738796-648-706823"/>
        <s v="34-1458738796-0858-586360"/>
        <s v="12-1458738793-6028-3499454"/>
        <s v="59-1458738786-3153-206823"/>
        <s v="32-1458738778-6738-4220026"/>
        <s v="10-1458738771-901-4486274"/>
        <s v="10-1458738770-8782-4667226"/>
        <s v="32-1458738769-2581-4199443"/>
        <s v="424-1458738763-242-1708575"/>
        <s v="10-1458738761-5857-1172381"/>
        <s v="12-1458738750-3749-2944961"/>
        <s v="12-1458738749-4766-3387326"/>
        <s v="10-1458738744-3264-361879"/>
        <s v="1477-1458738732-9-4667242"/>
        <s v="419-1458738717-2964-4639303"/>
        <n v="30099932"/>
        <s v="10-1458738714-896-495144"/>
        <s v="419-1458738709-1078-1179371"/>
        <s v="578-1458738707-1257-3770653"/>
        <s v="1477-1458738700-5452-4667238"/>
        <s v="10-1458738698-4356-4486274"/>
        <n v="30099925"/>
        <s v="346-1458738685-1654-1273137"/>
        <s v="10-1458738682-3664-4667226"/>
        <s v="10-1458738659-477-4662582"/>
        <s v="32-1458738646-3267-37627"/>
        <s v="10-1458738640-4936-4511594"/>
        <n v="312135497"/>
        <s v="5-1458738633-5884-622511"/>
        <s v="578-1458738612-8894-694649"/>
        <s v="1477-1458738608-8984-4667234"/>
        <s v="73-1458738608-0559-733652"/>
        <s v="632-1458738607-9462-4613235"/>
        <s v="888-1458738606-3514-4666742"/>
        <s v="12-1458738602-6733-2981429"/>
        <s v="578-1458738576-2709-978436"/>
        <s v="73-1458738562-0299-651677"/>
        <s v="10-1458738549-7521-4667226"/>
        <s v="10-1458738539-16-4423156"/>
        <s v="12-1458738532-1142-1647462"/>
        <s v="5-1458738531-4642-309668"/>
        <s v="424-1458738529-1782-1007983"/>
        <n v="312135311"/>
        <n v="30099885"/>
        <s v="10-1458738509-4527-440247"/>
        <s v="419-1458738503-5283-498230"/>
        <s v="10-1458738503-0328-21043"/>
        <s v="595-1458738480-7001-4667210"/>
        <s v="12-1458738468-0264-210145"/>
        <n v="312135217"/>
        <s v="239-1458738462-1905-387940"/>
        <n v="312135195"/>
        <s v="10-1458738453-4113-3456371"/>
        <n v="49603669"/>
        <s v="796-1458738430-8538-1205762"/>
        <s v="5-1458738420-9276-2552646"/>
        <s v="10-1458738420-6471-3107549"/>
        <s v="12-1458738388-9962-4453402"/>
        <s v="59-1458738383-2309-4220206"/>
        <s v="10-1458738364-6137-329878"/>
        <n v="312135091"/>
        <s v="73-1458738351-1242-896921"/>
        <s v="420-1458738346-3119-495078"/>
        <s v="12-1458738344-8327-92501"/>
        <s v="12-1458738335-4591-3377993"/>
        <s v="346-1458738335-0442-1849683"/>
        <s v="48-1458738324-5176-4547099"/>
        <s v="12-1458738317-9771-4667190"/>
        <s v="12-1458738317-8147-3880573"/>
        <n v="312135027"/>
        <s v="10-1458738283-8362-657794"/>
        <s v="1573-1458738255-4292-4392337"/>
        <s v="5-1458738242-979-623549"/>
        <s v="10-1458738233-0383-2600301"/>
        <s v="1477-1458738207-9754-4667178"/>
        <s v="10-1458738203-9634-19713"/>
        <s v="5-1458738195-7986-18443"/>
        <s v="346-1458738179-1563-4268740"/>
        <s v="420-1458738170-741-4396471"/>
        <s v="20-1458738165-8644-2243947"/>
        <n v="312134905"/>
        <s v="419-1458738159-5339-4543757"/>
        <s v="34-1458738155-107-313774"/>
        <s v="5-1458738152-4096-622511"/>
        <s v="764-1458738143-6315-4179346"/>
        <s v="12-1458738139-0365-4667170"/>
        <s v="12-1458738126-2596-4444294"/>
        <s v="10-1458738106-3051-4632691"/>
        <s v="32-1458738097-6431-65649"/>
        <s v="12-1458738095-3218-242566"/>
        <s v="420-1458738094-1864-1380933"/>
        <s v="424-1458738087-8006-2925371"/>
        <s v="73-1458738084-3391-3083255"/>
        <n v="312134823"/>
        <s v="12-1458738072-0833-3699518"/>
        <s v="12-1458738070-0483-4621003"/>
        <s v="32-1458738070-0982-47603"/>
        <s v="1477-1458738057-2118-4667162"/>
        <s v="73-1458738031-0543-896921"/>
        <s v="424-1458738028-2527-1007983"/>
        <s v="346-1458738028-0951-1849683"/>
        <s v="59-1458738025-4165-2559987"/>
        <s v="73-1458738022-4325-2179405"/>
        <s v="20-1458738018-0178-3960760"/>
        <s v="59-1458738017-2507-177198"/>
        <s v="420-1458738001-6659-1215572"/>
        <s v="12-1458737982-0259-3880573"/>
        <n v="30099749"/>
        <s v="5-1458737978-5041-1889"/>
        <s v="346-1458737967-8642-3105920"/>
        <s v="12-1458737964-1946-4453402"/>
        <s v="620-1458737956-8363-3173294"/>
        <s v="12-1458737955-7754-3499454"/>
        <s v="10-1458737953-5746-4644771"/>
        <n v="49601707"/>
        <s v="578-1458737937-6049-978436"/>
        <s v="1477-1458737934-0442-4667150"/>
        <s v="99-1458737932-4353-4307605"/>
        <s v="12-1458737923-3405-3377993"/>
        <s v="12-1458737909-3035-4448704"/>
        <s v="10-1458737907-2782-4644771"/>
        <s v="73-1458737901-1861-2493675"/>
        <s v="10-1458737897-7079-5758"/>
        <s v="419-1458737892-5052-4461058"/>
        <s v="59-1458737891-8765-601490"/>
        <s v="420-1458737874-6284-495078"/>
        <s v="420-1458737867-2873-3528821"/>
        <s v="5-1458737864-0294-220941"/>
        <s v="5-1458737856-9956-576519"/>
        <s v="10-1458737850-539-10605"/>
        <s v="442-1458737847-048-4667142"/>
        <s v="5-1458737839-6494-2552646"/>
        <s v="51-1458737812-9185-850427"/>
        <s v="346-1458737809-3909-1118828"/>
        <s v="346-1458737798-9285-792584"/>
        <s v="48-1458737801-4589-541846"/>
        <s v="10-1458737799-3311-4644771"/>
        <s v="12-1458737795-2912-3512180"/>
        <s v="346-1458737795-0084-4268740"/>
        <s v="10-1458737790-5672-4616103"/>
        <s v="419-1458737789-3111-535176"/>
        <s v="10-1458737769-939-4130326"/>
        <s v="12-1458737767-611-3386771"/>
        <s v="420-1458737743-319-1763949"/>
        <s v="578-1458737736-6789-699485"/>
        <s v="1477-1458737732-2997-4667130"/>
        <s v="10-1458737709-2906-4662494"/>
        <s v="35-1458737659-1445-80148"/>
        <s v="73-1458737654-1687-2493675"/>
        <s v="12-1458737652-5494-75794"/>
        <s v="12-1458737644-772-3427097"/>
        <s v="59-1458737639-7529-124926"/>
        <s v="424-1458737640-0506-1708575"/>
        <s v="99-1458737625-2726-4337866"/>
        <s v="99-1458737615-6538-4667122"/>
        <s v="10-1458737610-496-4589993"/>
        <s v="51-1458737606-9453-413356"/>
        <n v="49600491"/>
        <n v="30099645"/>
        <s v="10-1458737581-7159-4386304"/>
        <s v="12-1458737577-0886-2981429"/>
        <s v="424-1458737575-114-638897"/>
        <n v="30099644"/>
        <s v="1304-1458737559-3552-4667110"/>
        <s v="346-1458737557-6475-635468"/>
        <s v="32-1458737548-7567-50392"/>
        <s v="578-1458737527-1159-691166"/>
        <s v="5-1458737526-4983-576519"/>
        <s v="20-1458737510-618-3960760"/>
        <s v="10-1458737509-7558-2708823"/>
        <s v="133-1458737463-5217-2697870"/>
        <s v="578-1458737455-6595-3146219"/>
        <n v="30099608"/>
        <n v="30099604"/>
        <s v="424-1458737431-47-1708575"/>
        <s v="10-1458737431-4303-4450468"/>
        <s v="10-1458737428-1375-4551176"/>
        <s v="10-1458737403-5586-2708823"/>
        <s v="99-1458737393-6808-4346314"/>
        <s v="346-1458737390-3887-1069546"/>
        <s v="48-1458737388-7777-4667090"/>
        <s v="12-1458737388-2408-3387326"/>
        <s v="346-1458737382-4149-1273137"/>
        <s v="1477-1458737382-3357-4667086"/>
        <s v="424-1458737372-0212-638897"/>
        <s v="10-1458737369-5896-4468063"/>
        <s v="12-1458737368-6914-74739"/>
        <s v="419-1458737363-6219-3801097"/>
        <s v="578-1458737354-971-698999"/>
        <s v="5-1458737324-9974-220941"/>
        <s v="578-1458737309-6356-2590263"/>
        <n v="30099563"/>
        <s v="5-1458737285-0084-1195631"/>
        <s v="578-1458737272-914-699356"/>
        <s v="59-1458737262-4609-177198"/>
        <s v="32-1458737258-5424-4667070"/>
        <s v="12-1458737225-9851-242566"/>
        <s v="12-1458737225-7857-3989542"/>
        <s v="12-1458737219-8658-2412414"/>
        <s v="419-1458737210-6853-620414"/>
        <s v="12-1458737209-5181-3470378"/>
        <s v="10-1458737207-3638-4059484"/>
        <s v="424-1458737192-5464-1708575"/>
        <s v="10-1458737192-4558-4551176"/>
        <s v="10-1458737163-9792-8099"/>
        <s v="12-1458737152-8796-4312207"/>
        <s v="5-1458737152-8526-620048"/>
        <s v="31-1458737147-0069-4667058"/>
        <s v="12-1458737141-2652-75794"/>
        <s v="59-1458737139-8822-4091593"/>
        <s v="59-1458737138-8327-82131"/>
        <n v="30099520"/>
        <s v="12-1458737104-244-3967534"/>
        <s v="1138-1458737082-5935-4666838"/>
        <s v="239-1458737076-1799-1523517"/>
        <s v="133-1458737072-1097-2697870"/>
        <s v="443-1458737067-759-4667038"/>
        <s v="10-1458737063-5572-4643743"/>
        <s v="7-1458737049-7304-206608"/>
        <s v="59-1458737042-4141-177198"/>
        <s v="424-1458737027-0502-1708575"/>
        <s v="12-1458737019-9689-74739"/>
        <s v="5-1458737018-689-622511"/>
        <s v="420-1458737015-5291-1763949"/>
        <s v="12-1458737008-7161-4590863"/>
        <s v="12-1458736993-6317-460109"/>
        <s v="10-1458736969-4242-703748"/>
        <s v="12-1458736959-0325-77590"/>
        <s v="20-1458736957-7596-3596678"/>
        <s v="12-1458736933-8524-3880573"/>
        <s v="99-1458736913-5541-4348990"/>
        <s v="10-1458736908-8938-5142"/>
        <s v="10-1458736906-9329-33571"/>
        <s v="1477-1458736875-6621-4667006"/>
        <s v="5-1458736862-8529-220941"/>
        <s v="32-1458736862-382-37627"/>
        <s v="424-1458736856-2324-1708575"/>
        <n v="30099465"/>
        <s v="10-1458736821-3158-3999277"/>
        <s v="73-1458736820-7552-1331502"/>
        <s v="12-1458736778-4738-3967534"/>
        <s v="12-1458736775-6371-4069576"/>
        <n v="30099447"/>
        <s v="12-1458736727-9692-74739"/>
        <s v="10-1458736721-0781-3967174"/>
        <s v="1191-1458736703-9071-4666994"/>
        <s v="32-1458736700-5591-625559"/>
        <s v="5-1458736697-3384-620702"/>
        <s v="73-1458736688-6065-116312"/>
        <s v="59-1458736679-2393-177198"/>
        <s v="12-1458736668-4999-3396473"/>
        <s v="10-1458736667-0469-570550"/>
        <s v="1477-1458736666-5281-4666986"/>
        <s v="12-1458736653-5168-3880573"/>
        <s v="10-1458736636-688-27947"/>
        <s v="2-1458736622-4604-4664110"/>
        <s v="10-1458736613-0039-27947"/>
        <s v="32-1458736612-5663-90028"/>
        <s v="346-1458736603-3214-4250179"/>
        <s v="21-1458736582-7013-3759340"/>
        <n v="49596725"/>
        <n v="30099410"/>
        <s v="12-1458736574-1118-1387428"/>
        <s v="5-1458736572-1787-654713"/>
        <s v="12-1458736568-4613-3489800"/>
        <s v="32-1458736565-5095-3892468"/>
        <n v="30099406"/>
        <s v="419-1458736550-0473-941546"/>
        <s v="888-1458736522-224-4660014"/>
        <s v="1573-1458736495-4719-4387333"/>
        <s v="32-1458736477-8824-42127"/>
        <s v="12-1458736472-7628-196143"/>
        <s v="12-1458736464-1702-3967534"/>
        <s v="32-1458736461-8812-46317"/>
        <n v="49596247"/>
        <s v="10-1458736431-9852-3791527"/>
        <s v="59-1458736412-8412-4268587"/>
        <s v="443-1458736398-0163-4666978"/>
        <s v="59-1458736397-0205-4424845"/>
        <s v="10-1458736383-1752-4581173"/>
        <n v="30099350"/>
        <s v="424-1458736364-6478-638897"/>
        <s v="12-1458736363-3832-3880573"/>
        <s v="598-1458736360-9629-1355925"/>
        <s v="1396-1458736354-1058-4458748"/>
        <s v="12-1458736350-9645-3522245"/>
        <s v="239-1458736344-5662-548108"/>
        <s v="47-1458736337-8554-4596782"/>
        <s v="1396-1458736327-9932-4553201"/>
        <s v="888-1458736320-2267-4660014"/>
        <n v="30099336"/>
        <s v="290-1458736309-9163-4618363"/>
        <s v="1396-1458736288-1149-4458457"/>
        <s v="10-1458736271-2045-4633203"/>
        <s v="10-1458736270-722-1276374"/>
        <s v="10-1458736262-4405-4639999"/>
        <s v="1161-1458736250-3212-4643615"/>
        <s v="1396-1458736249-2553-4458355"/>
        <s v="1396-1458736239-1727-4458349"/>
        <s v="419-1458736228-849-941546"/>
        <s v="12-1458736220-8815-3967534"/>
        <s v="743-1458736211-6823-4433854"/>
        <s v="10-1458736193-6904-100882"/>
        <s v="59-1458736192-3701-4603730"/>
        <n v="30099301"/>
        <s v="5-1458736143-5112-8222"/>
        <s v="1477-1458736118-7224-4666962"/>
        <s v="10-1458736118-3602-4666958"/>
        <s v="99-1458736094-4931-4293394"/>
        <s v="10-1458736085-0951-233419"/>
        <s v="10-1458736083-6945-3544880"/>
        <s v="888-1458736078-601-4666742"/>
        <s v="10-1458736065-7911-139501"/>
        <n v="312132807"/>
        <s v="73-1458736057-1658-116312"/>
        <s v="59-1458736056-3423-2118546"/>
        <s v="443-1458736039-6862-4599950"/>
        <s v="10-1458736023-7635-3848098"/>
        <s v="424-1458736017-3959-1708575"/>
        <s v="32-1458736001-1634-65649"/>
        <n v="312132695"/>
        <n v="312132697"/>
        <s v="10-1458735973-5152-2944907"/>
        <s v="10-1458735959-7286-3875197"/>
        <s v="12-1458735957-0561-4453402"/>
        <s v="73-1458735938-695-116312"/>
        <s v="1477-1458735933-2963-4666946"/>
        <s v="5-1458735920-8988-223999"/>
        <s v="443-1458735911-5365-4620663"/>
        <s v="73-1458735907-1162-3083255"/>
        <s v="10-1458735903-4824-2249095"/>
        <s v="12-1458735901-4124-73388"/>
        <s v="578-1458735879-2987-742379"/>
        <s v="1307-1458735862-8348-4666934"/>
        <s v="12-1458735861-6602-3389240"/>
        <s v="1191-1458735860-8886-4666930"/>
        <s v="424-1458735860-685-3883846"/>
        <s v="683-1458735854-5294-3614717"/>
        <s v="59-1458735849-0951-2125023"/>
        <s v="59-1458735847-2831-177198"/>
        <s v="1516-1458735826-3017-4546943"/>
        <s v="10-1458735821-3818-4541396"/>
        <s v="420-1458735805-606-1028062"/>
        <s v="420-1458735804-7243-3893992"/>
        <s v="48-1458735803-4131-4666922"/>
        <s v="419-1458735797-1198-4375444"/>
        <s v="47-1458735791-783-4666918"/>
        <s v="73-1458735791-0598-2179405"/>
        <s v="419-1458735762-3426-1193804"/>
        <s v="10-1458735748-3834-1276374"/>
        <s v="12-1458735730-4993-3379550"/>
        <s v="10-1458735725-6985-4105"/>
        <s v="888-1458735714-6617-4666742"/>
        <s v="12-1458735712-5113-77590"/>
        <s v="578-1458735711-3032-698705"/>
        <s v="59-1458735697-2215-2125023"/>
        <s v="59-1458735696-7634-177198"/>
        <s v="12-1458735686-8575-3880573"/>
        <s v="59-1458735672-4954-2118546"/>
        <s v="1138-1458735670-7952-4666838"/>
        <s v="10-1458735654-0658-326469"/>
        <s v="5-1458735638-0533-1362657"/>
        <s v="10-1458735631-2065-4666894"/>
        <s v="10-1458735628-9367-4210591"/>
        <s v="133-1458735627-6035-4471609"/>
        <s v="1477-1458735625-2349-4666890"/>
        <n v="312132265"/>
        <s v="578-1458735616-6262-4293538"/>
        <n v="312132261"/>
        <n v="30099176"/>
        <s v="424-1458735588-4246-1708575"/>
        <n v="30099170"/>
        <s v="420-1458735572-9659-3893992"/>
        <s v="10-1458735565-8777-68192"/>
        <s v="1191-1458735551-8579-4666878"/>
        <s v="12-1458735543-0467-1321791"/>
        <s v="232-1458735529-8021-4488794"/>
        <s v="620-1458735526-909-1435278"/>
        <s v="1477-1458735522-7996-4666874"/>
        <s v="48-1458735514-7872-4534082"/>
        <s v="12-1458735511-7045-4666870"/>
        <s v="10-1458735492-9474-4651291"/>
        <n v="30099145"/>
        <s v="10-1458735463-108-4008565"/>
        <s v="48-1458735457-439-1644969"/>
        <s v="5-1458735440-9889-20017"/>
        <s v="5-1458735435-5488-1721661"/>
        <s v="73-1458735431-9835-116312"/>
        <n v="312132025"/>
        <s v="34-1458735421-4895-60580"/>
        <s v="743-1458735415-1012-4499843"/>
        <s v="59-1458735408-5964-2118546"/>
        <s v="346-1458735374-8799-4443931"/>
        <s v="1197-1458735355-0914-3887215"/>
        <n v="312131909"/>
        <s v="743-1458735349-6404-4572461"/>
        <s v="2-1458735335-1918-4664110"/>
        <n v="30099117"/>
        <s v="59-1458735318-1571-4277233"/>
        <s v="51-1458735317-3309-1548099"/>
        <s v="346-1458735312-4152-1273137"/>
        <s v="12-1458735311-8119-3427097"/>
        <s v="1477-1458735310-0655-4666854"/>
        <s v="32-1458735309-34-42127"/>
        <s v="10-1458735306-2947-1316247"/>
        <s v="10-1458735305-6126-4666850"/>
        <s v="424-1458735293-312-1412838"/>
        <s v="1135-1458735292-7241-4626467"/>
        <n v="30099098"/>
        <s v="5-1458735264-2143-220941"/>
        <s v="10-1458735261-9961-4386304"/>
        <n v="30099089"/>
        <n v="49591849"/>
        <s v="420-1458735235-9571-1763949"/>
        <s v="5-1458735220-4743-622511"/>
        <n v="312131689"/>
        <s v="12-1458735194-6851-73388"/>
        <s v="10-1458735178-4144-971917"/>
        <s v="12-1458735175-9562-3880573"/>
        <s v="10-1458735174-721-4596485"/>
        <n v="312131645"/>
        <s v="10-1458735164-6359-3842185"/>
        <s v="73-1458735164-2773-1026088"/>
        <s v="5-1458735159-3164-1362657"/>
        <s v="424-1458735158-5366-1011742"/>
        <s v="10-1458735147-8663-4641415"/>
        <s v="73-1458735142-7899-870971"/>
        <s v="5-1458735136-0196-414676"/>
        <s v="48-1458735135-6988-4531979"/>
        <s v="59-1458735131-7672-177198"/>
        <s v="48-1458735130-4775-4526741"/>
        <s v="743-1458735125-7273-4499843"/>
        <s v="10-1458735124-7799-4633203"/>
        <s v="73-1458735118-2777-1127195"/>
        <n v="30099064"/>
        <s v="578-1458735098-0083-694649"/>
        <s v="5-1458735093-8401-1721661"/>
        <s v="10-1458735093-9402-61497"/>
        <s v="12-1458735088-9884-2946494"/>
        <s v="12-1458735063-7662-3218972"/>
        <s v="10-1458735050-441-75686"/>
        <s v="10-1458735043-3419-4618471"/>
        <s v="1138-1458735033-2292-4666838"/>
        <s v="59-1458735028-2141-2559987"/>
        <s v="10-1458735024-9774-4349884"/>
        <s v="419-1458735021-705-518412"/>
        <s v="578-1458735015-7024-746963"/>
        <s v="47-1458735009-1627-4570697"/>
        <s v="10-1458734982-9017-4618471"/>
        <s v="59-1458734976-2001-522659"/>
        <n v="312131379"/>
        <n v="30099030"/>
        <s v="10-1458734941-2166-4666834"/>
        <s v="1477-1458734931-0834-4666830"/>
        <s v="10-1458734919-8822-2945096"/>
        <s v="12-1458734905-5872-3931903"/>
        <s v="12-1458734901-668-73388"/>
        <s v="12-1458734899-1725-3880573"/>
        <s v="419-1458734889-6449-2580741"/>
        <s v="346-1458734887-1456-4462600"/>
        <s v="47-1458734885-3241-4558148"/>
        <s v="5-1458734880-6402-220941"/>
        <s v="34-1458734874-3134-730958"/>
        <s v="239-1458734868-2369-548108"/>
        <s v="10-1458734863-4263-23417"/>
        <s v="1191-1458734854-098-4666818"/>
        <s v="32-1458734845-054-4220026"/>
        <s v="10-1458734824-327-879833"/>
        <s v="10-1458734818-8171-3885406"/>
        <s v="5-1458734809-7971-633038"/>
        <s v="578-1458734788-7861-746963"/>
        <s v="1212-1458734779-3739-4666806"/>
        <s v="1477-1458734775-717-4666802"/>
        <s v="12-1458734772-5764-2473467"/>
        <s v="73-1458734761-4885-4346353"/>
        <n v="30098990"/>
        <s v="12-1458734760-2418-2946494"/>
        <s v="10-1458734759-0666-618290"/>
        <s v="12-1458734753-247-3218972"/>
        <s v="420-1458734752-2859-1763949"/>
        <s v="1197-1458734751-5093-3887215"/>
        <s v="10-1458734748-7276-4276699"/>
        <s v="1573-1458734745-7169-4387333"/>
        <s v="578-1458734742-2387-703706"/>
        <s v="1477-1458734734-9971-4666790"/>
        <s v="424-1458734723-4623-4516712"/>
        <s v="99-1458734710-158-4666782"/>
        <n v="30098974"/>
        <s v="12-1458734693-7984-3880573"/>
        <s v="59-1458734690-5925-2125023"/>
        <s v="419-1458734671-1235-518412"/>
        <s v="419-1458734650-9393-4613181"/>
        <s v="1197-1458734645-512-3887215"/>
        <s v="32-1458734637-5649-497728"/>
        <s v="1477-1458734626-3682-4666774"/>
        <s v="99-1458734622-8704-4318804"/>
        <s v="1477-1458734616-9655-4666770"/>
        <s v="1212-1458734610-7006-4666766"/>
        <s v="346-1458734607-4425-3913615"/>
        <s v="10-1458734597-701-4567790"/>
        <n v="30098942"/>
        <s v="1191-1458734589-3263-4666758"/>
        <s v="32-1458734575-0542-166855"/>
        <s v="5-1458734566-3915-622511"/>
        <s v="424-1458734554-2918-1412838"/>
        <s v="10-1458734541-1743-4601135"/>
        <s v="1307-1458734506-6134-4666746"/>
        <s v="419-1458734504-1812-1828323"/>
        <s v="99-1458734492-4334-4460020"/>
        <s v="59-1458734485-6251-2125023"/>
        <s v="10-1458734484-9118-9521"/>
        <s v="12-1458734484-7313-4503035"/>
        <s v="888-1458734453-6696-4666742"/>
        <s v="34-1458734449-8062-60580"/>
        <s v="419-1458734449-1484-1065079"/>
        <s v="12-1458734440-7042-3724130"/>
        <s v="1191-1458734433-846-4666738"/>
        <s v="12-1458734430-8152-801194"/>
        <s v="424-1458734402-1377-498502"/>
        <s v="12-1458734388-7342-4589981"/>
        <s v="1161-1458734376-6984-4412899"/>
        <s v="12-1458734354-7567-3880573"/>
        <s v="12-1458734331-07-197761"/>
        <s v="5-1458734321-1695-1146122"/>
        <n v="30098893"/>
        <s v="346-1458734308-1379-1273137"/>
        <n v="30098891"/>
        <s v="59-1458734299-7689-2125023"/>
        <s v="12-1458734295-9383-73388"/>
        <s v="10-1458734289-499-4620603"/>
        <s v="572-1458734259-7439-4224289"/>
        <s v="424-1458734252-5991-1127105"/>
        <n v="30098879"/>
        <s v="12-1458734241-4074-801194"/>
        <n v="30098872"/>
        <s v="47-1458734237-9425-4553375"/>
        <s v="10-1458734232-4346-273353"/>
        <s v="578-1458734205-2227-1568595"/>
        <s v="5-1458734192-7836-220941"/>
        <s v="48-1458734164-0482-532281"/>
        <s v="10-1458734159-0497-1276374"/>
        <s v="10-1458734155-6338-50775"/>
        <s v="1477-1458734154-5639-4666710"/>
        <s v="10-1458734146-5648-2193982"/>
        <n v="30098846"/>
        <n v="30098847"/>
        <s v="12-1458734132-7229-1647462"/>
        <s v="99-1458734084-2462-4631151"/>
        <s v="10-1458734067-0839-4664930"/>
        <n v="30098821"/>
        <s v="12-1458734049-9452-801194"/>
        <s v="73-1458734043-0428-116312"/>
        <s v="1477-1458734024-4496-4666698"/>
        <s v="1191-1458734013-6959-4666694"/>
        <s v="5-1458734008-6003-8222"/>
        <s v="12-1458734004-3363-3724130"/>
        <s v="5-1458733997-7467-127460"/>
        <s v="424-1458733976-7489-4516712"/>
        <s v="10-1458733971-0963-4601180"/>
        <s v="346-1458733963-4875-662216"/>
        <s v="12-1458733955-367-79142"/>
        <s v="12-1458733921-6298-3447137"/>
        <s v="10-1458733919-8707-51829"/>
        <s v="59-1458733917-6984-3663083"/>
        <s v="73-1458733914-2907-4465870"/>
        <s v="595-1458733913-6198-4666690"/>
        <s v="420-1458733900-3512-649364"/>
        <s v="12-1458733898-0288-914408"/>
        <n v="49586995"/>
        <s v="12-1458733892-66-73388"/>
        <s v="12-1458733878-1844-4589981"/>
        <s v="10-1458733867-0541-4620603"/>
        <s v="20-1458733849-6817-2618646"/>
        <s v="12-1458733836-0949-2946494"/>
        <s v="10-1458733829-888-4204492"/>
        <s v="424-1458733829-15-1708575"/>
        <s v="420-1458733805-8035-3897148"/>
        <s v="59-1458733802-5637-57953"/>
        <s v="12-1458733797-0408-3427097"/>
        <s v="73-1458733791-2211-3083255"/>
        <s v="59-1458733784-078-4091593"/>
        <s v="10-1458733780-8616-4011652"/>
        <s v="743-1458733776-7431-4474565"/>
        <n v="30098746"/>
        <s v="578-1458733760-9146-692561"/>
        <s v="7-1458733730-2942-1714044"/>
        <s v="99-1458733694-0537-4406632"/>
        <s v="10-1458733676-8962-16637"/>
        <s v="419-1458733644-2371-1374777"/>
        <n v="30098711"/>
        <s v="420-1458733599-4568-2636112"/>
        <s v="2-1458733576-9165-4664110"/>
        <s v="73-1458733574-6073-1311660"/>
        <s v="578-1458733561-3775-699356"/>
        <s v="48-1458733555-5054-4540400"/>
        <s v="424-1458733547-3397-4516712"/>
        <s v="419-1458733538-2579-620414"/>
        <n v="30098689"/>
        <s v="443-1458733494-0797-4631199"/>
        <s v="346-1458733493-621-3037736"/>
        <n v="30098678"/>
        <s v="99-1458733486-0189-4666662"/>
        <s v="1138-1458733484-4487-4637887"/>
        <n v="1795"/>
        <s v="1477-1458733464-0013-4666658"/>
        <s v="133-1458733463-3796-4471609"/>
        <s v="346-1458733415-4256-3801508"/>
        <s v="1191-1458733414-7816-4666646"/>
        <s v="48-1458733405-6238-4520273"/>
        <s v="5-1458733377-3047-622511"/>
        <s v="12-1458733375-7623-72913"/>
        <s v="419-1458733359-9032-3771607"/>
        <n v="30098647"/>
        <s v="12-1458733340-7578-402554"/>
        <s v="578-1458733333-6253-694649"/>
        <s v="10-1458733326-8658-4644083"/>
        <s v="51-1458733325-7638-851270"/>
        <n v="49584887"/>
        <s v="32-1458733276-8848-54865"/>
        <s v="215-1458733267-5715-4583072"/>
        <s v="215-1458733261-2149-4583072"/>
        <s v="12-1458733253-7281-196143"/>
        <s v="12-1458733237-5482-949865"/>
        <s v="10-1458733202-2813-4277707"/>
        <s v="10-1458733188-6238-4666578"/>
        <s v="99-1458733176-2798-4319323"/>
        <s v="51-1458733174-367-1548099"/>
        <s v="424-1458733164-6921-3934117"/>
        <s v="10-1458733133-7782-519928"/>
        <s v="99-1458733107-7211-4293394"/>
        <s v="133-1458733091-9596-4664598"/>
        <s v="99-1458733091-4672-4431403"/>
        <s v="73-1458733087-3347-1311660"/>
        <s v="10-1458733086-3518-4644083"/>
        <n v="30098588"/>
        <s v="1135-1458733081-2616-3878614"/>
        <s v="424-1458733071-5043-4502720"/>
        <n v="30098584"/>
        <n v="30098581"/>
        <s v="12-1458733055-4602-4421383"/>
        <s v="10-1458733055-2203-3991123"/>
        <s v="578-1458733050-3801-4226413"/>
        <s v="32-1458733050-1202-113964"/>
        <n v="30098571"/>
        <s v="99-1458733023-0458-4431403"/>
        <s v="443-1458733020-9261-4631199"/>
        <s v="5-1458733019-5403-2219"/>
        <s v="10-1458733014-2526-33571"/>
        <s v="578-1458733012-7411-4336564"/>
        <s v="10-1458733012-5903-273353"/>
        <s v="743-1458733007-7464-3421565"/>
        <s v="32-1458733003-5938-48460"/>
        <s v="572-1458732966-4404-758282"/>
        <s v="5-1458732955-3517-4540502"/>
        <s v="10-1458732950-395-4407040"/>
        <s v="12-1458732942-8152-2473467"/>
        <s v="32-1458732937-3538-52575"/>
        <s v="600-1458732929-7735-4562807"/>
        <s v="419-1458732928-0739-505083"/>
        <s v="10-1458732921-5719-2642943"/>
        <n v="30098553"/>
        <s v="12-1458732912-8388-3968290"/>
        <s v="10-1458732856-2272-4610685"/>
        <s v="12-1458732845-5759-261152"/>
        <s v="12-1458732842-9958-491228"/>
        <s v="578-1458732820-816-4275244"/>
        <s v="1310-1458732811-5743-4666630"/>
        <s v="10-1458732809-0164-973606"/>
        <n v="49583317"/>
        <s v="10-1458732803-5389-4256107"/>
        <s v="578-1458732793-0717-698897"/>
        <s v="51-1458732792-6368-1281816"/>
        <s v="12-1458732779-2782-4606771"/>
        <s v="10-1458732761-1769-3838999"/>
        <s v="32-1458732760-9792-3978457"/>
        <s v="2-1458732758-1025-4664110"/>
        <s v="10-1458732756-7179-4495"/>
        <s v="1307-1458732743-2392-4666626"/>
        <s v="10-1458732731-7783-14063"/>
        <s v="7-1458732726-3984-1714044"/>
        <s v="10-1458732723-9819-1276374"/>
        <s v="12-1458732723-721-1272819"/>
        <s v="48-1458732718-8108-4522538"/>
        <s v="59-1458732716-4532-4665662"/>
        <s v="12-1458732714-8906-93389"/>
        <s v="32-1458732712-2815-54865"/>
        <s v="10-1458732704-2946-4562489"/>
        <s v="47-1458732698-0093-4522991"/>
        <s v="1396-1458732688-7936-4503857"/>
        <s v="10-1458732688-3809-658901"/>
        <s v="99-1458732686-6787-4633191"/>
        <s v="1396-1458732665-5595-4625927"/>
        <s v="419-1458732654-2154-4571816"/>
        <s v="578-1458732645-4602-698897"/>
        <n v="30098497"/>
        <s v="377-1458732636-1392-4607048"/>
        <s v="10-1458732628-167-3834670"/>
        <s v="32-1458732614-6832-510477"/>
        <n v="30098487"/>
        <s v="7-1458732598-5213-619835"/>
        <s v="10-1458732590-8046-4666622"/>
        <s v="32-1458732584-3524-57114"/>
        <s v="12-1458732581-573-1001506"/>
        <s v="578-1458732578-5254-4336564"/>
        <s v="1573-1458732566-4648-4387333"/>
        <n v="30098480"/>
        <s v="34-1458732556-1258-208360"/>
        <s v="12-1458732553-7821-3968290"/>
        <s v="48-1458732532-7166-4531943"/>
        <s v="10-1458732523-9461-4663022"/>
        <s v="99-1458732513-5564-4633191"/>
        <s v="10-1458732502-2222-4610685"/>
        <s v="5-1458732482-1275-8222"/>
        <s v="743-1458732475-0353-4318210"/>
        <s v="59-1458732463-4938-522659"/>
        <s v="215-1458732439-4158-4571819"/>
        <s v="10-1458732433-1637-78635"/>
        <s v="34-1458732420-6471-4581719"/>
        <s v="215-1458732410-5348-4548287"/>
        <n v="30098441"/>
        <s v="215-1458732404-8517-4548287"/>
        <s v="620-1458732402-8699-1173140"/>
        <s v="12-1458732402-0878-74850"/>
        <s v="215-1458732399-774-4548287"/>
        <s v="99-1458732398-7502-4666574"/>
        <s v="215-1458732394-374-4548287"/>
        <s v="215-1458732389-6216-4548287"/>
        <s v="215-1458732384-4669-4548287"/>
        <s v="578-1458732381-3604-692855"/>
        <n v="49581861"/>
        <s v="12-1458732375-3247-1871097"/>
        <s v="10-1458732350-2711-1276374"/>
        <s v="73-1458732347-8787-1331502"/>
        <s v="12-1458732336-1329-340587"/>
        <s v="215-1458732334-4365-4542287"/>
        <s v="215-1458732329-1659-4542287"/>
        <s v="420-1458732325-6058-1749984"/>
        <s v="215-1458732323-8486-4542287"/>
        <s v="215-1458732315-5706-4542287"/>
        <s v="215-1458732310-3378-4542287"/>
        <s v="10-1458732304-9797-4583120"/>
        <s v="215-1458732303-5614-4542287"/>
        <s v="10-1458732295-6499-2715603"/>
        <s v="578-1458732292-0527-825086"/>
        <s v="12-1458732280-725-74723"/>
        <s v="1191-1458732274-5073-4666586"/>
        <s v="1307-1458732265-0524-4666582"/>
        <s v="10-1458732257-2107-4406302"/>
        <s v="10-1458732237-7274-326469"/>
        <s v="10-1458732233-7618-677246"/>
        <s v="10-1458732230-2621-615554"/>
        <n v="312129223"/>
        <s v="48-1458732202-1523-211676"/>
        <n v="312129209"/>
        <s v="34-1458732192-1408-730958"/>
        <s v="10-1458732189-1415-50650"/>
        <s v="10-1458732181-6532-4605470"/>
        <s v="10-1458732165-716-1318707"/>
        <s v="12-1458732159-3361-2473467"/>
        <s v="10-1458732154-4564-677246"/>
        <s v="10-1458732154-139-4406302"/>
        <s v="48-1458732145-8274-4520468"/>
        <s v="99-1458732135-7743-4666574"/>
        <s v="10-1458732136-8566-2745261"/>
        <s v="10-1458732136-111-4246942"/>
        <s v="10-1458732128-195-3894109"/>
        <n v="30098369"/>
        <s v="420-1458732087-2344-2381709"/>
        <s v="10-1458732070-0805-4555805"/>
        <s v="239-1458732068-6692-149318"/>
        <n v="49580503"/>
        <s v="47-1458732045-2368-4643451"/>
        <n v="30098353"/>
        <s v="12-1458732029-4558-3474926"/>
        <s v="346-1458732017-2876-3841699"/>
        <s v="12-1458732013-303-299567"/>
        <s v="34-1458732000-217-730958"/>
        <s v="12-1458731996-2622-2946494"/>
        <s v="10-1458731986-0407-258319"/>
        <s v="239-1458731979-1735-167141"/>
        <n v="30098348"/>
        <n v="49580327"/>
        <s v="12-1458731969-2768-3395729"/>
        <s v="34-1458731968-9081-4302403"/>
        <s v="5-1458731957-7083-223999"/>
        <s v="1044-1458731953-0907-4635263"/>
        <n v="30098341"/>
        <n v="49579931"/>
        <s v="5-1458731919-2395-90936"/>
        <s v="47-1458731911-1227-4666562"/>
        <s v="32-1458731911-1604-191139"/>
        <s v="10-1458731907-7231-3988180"/>
        <s v="346-1458731893-263-635186"/>
        <s v="10-1458731887-2014-614054"/>
        <n v="49579697"/>
        <s v="312128837_REF"/>
        <n v="312128837"/>
        <s v="32-1458731833-4028-510477"/>
        <s v="10-1458731832-7028-4420003"/>
        <s v="10-1458731829-2004-4703"/>
        <s v="578-1458731820-7049-832193"/>
        <s v="10-1458731818-374-2049177"/>
        <s v="10-1458731818-1341-1816545"/>
        <s v="10-1458731811-4008-500728"/>
        <s v="346-1458731808-205-4368052"/>
        <s v="578-1458731799-934-835097"/>
        <s v="10-1458731798-2132-2249095"/>
        <s v="578-1458731788-835-696563"/>
        <s v="420-1458731781-851-4666550"/>
        <s v="12-1458731778-2159-801194"/>
        <s v="12-1458731773-4681-74723"/>
        <s v="10-1458731748-3342-247449"/>
        <s v="2-1458731747-0063-4664110"/>
        <n v="312128661"/>
        <s v="10-1458731745-2139-4666546"/>
        <s v="1135-1458731744-001-4545902"/>
        <n v="312128649"/>
        <s v="419-1458731689-9731-3555245"/>
        <n v="30098289"/>
        <n v="49579261"/>
        <n v="312128595"/>
        <s v="99-1458731671-1787-4551449"/>
        <n v="49579083"/>
        <s v="5-1458731657-4293-1362657"/>
        <s v="442-1458731654-6456-4666534"/>
        <s v="419-1458731637-108-4171273"/>
        <n v="312128553"/>
        <s v="10-1458731619-9029-4703"/>
        <s v="12-1458731618-7376-406227"/>
        <n v="312128523"/>
        <s v="12-1458731601-6397-75794"/>
        <n v="312128511"/>
        <s v="578-1458731591-5083-832193"/>
        <s v="578-1458731589-1063-4128496"/>
        <s v="10-1458731580-5888-4495"/>
        <s v="620-1458731573-7882-1643874"/>
        <s v="239-1458731569-3875-149318"/>
        <n v="312128469"/>
        <s v="10-1458731556-4316-4476659"/>
        <s v="10-1458731553-6687-4004722"/>
        <n v="312128455"/>
        <s v="12-1458731549-6014-2946494"/>
        <s v="12-1458731537-5416-575413"/>
        <s v="10-1458731531-6217-349575"/>
        <s v="10-1458731490-5129-4399156"/>
        <s v="10-1458731482-6209-3831412"/>
        <s v="1135-1458731480-3814-4580726"/>
        <s v="12-1458731479-6118-597185"/>
        <s v="1191-1458731476-5938-4666526"/>
        <s v="133-1458731471-1032-4471609"/>
        <s v="420-1458731463-3938-1749984"/>
        <s v="133-1458731450-1538-4471609"/>
        <s v="10-1458731449-0137-4004722"/>
        <s v="10-1458731431-309-41771"/>
        <s v="5-1458731426-7093-1362657"/>
        <s v="1191-1458731420-4168-4666522"/>
        <n v="30098222"/>
        <s v="578-1458731410-0127-693161"/>
        <s v="12-1458731396-3529-818636"/>
        <s v="620-1458731381-5116-1173374"/>
        <s v="99-1458731376-4032-4598759"/>
        <s v="12-1458731375-734-4021501"/>
        <s v="346-1458731357-0175-635186"/>
        <s v="12-1458731343-1142-818636"/>
        <s v="578-1458731326-167-695936"/>
        <s v="10-1458731325-525-4605470"/>
        <s v="48-1458731307-954-40991"/>
        <s v="10-1458731290-6373-4642875"/>
        <s v="10-1458731275-5288-2673468"/>
        <s v="420-1458731266-9748-549725"/>
        <s v="1310-1458731259-9183-4666510"/>
        <s v="420-1458731258-3979-1382133"/>
        <s v="2-1458731241-0376-4664110"/>
        <s v="419-1458731238-9799-3555245"/>
        <s v="133-1458731233-9399-4665182"/>
        <n v="312128103"/>
        <s v="12-1458731221-8374-425710"/>
        <s v="10-1458731220-1173-4666478"/>
        <s v="12-1458731209-1087-261152"/>
        <s v="59-1458731204-9388-249568"/>
        <s v="1573-1458731200-0835-4502111"/>
        <s v="99-1458731192-8784-4436197"/>
        <s v="5-1458731177-0599-90936"/>
        <s v="12-1458731167-6687-74723"/>
        <s v="10-1458731164-9591-4275691"/>
        <n v="30098196"/>
        <s v="1138-1458731156-091-4637887"/>
        <s v="10-1458731146-8641-4251253"/>
        <s v="578-1458731135-5802-4666502"/>
        <s v="578-1458731139-9744-692522"/>
        <s v="1191-1458731137-1108-4666506"/>
        <s v="578-1458731129-5183-824018"/>
        <s v="12-1458731121-2211-3544811"/>
        <n v="30098190"/>
        <n v="312128009"/>
        <s v="10-1458731112-2032-4325059"/>
        <s v="10-1458731100-2206-115866"/>
        <n v="30098181"/>
        <s v="424-1458731065-2218-4502720"/>
        <n v="49577325"/>
        <n v="30098169"/>
        <s v="32-1458731050-7648-83345"/>
        <s v="32-1458731050-2424-721994"/>
        <s v="12-1458731048-765-3489182"/>
        <s v="12-1458731012-2756-4021501"/>
        <s v="420-1458731005-7921-495078"/>
        <n v="30098155"/>
        <s v="59-1458730967-0977-81525"/>
        <s v="10-1458730942-8968-4397146"/>
        <s v="1138-1458730940-2466-4666490"/>
        <s v="99-1458730936-885-4323517"/>
        <n v="30098145"/>
        <n v="312127897"/>
        <s v="419-1458730913-9359-3555245"/>
        <s v="2-1458730912-6483-4664110"/>
        <s v="346-1458730903-9058-635186"/>
        <s v="12-1458730890-3654-1337910"/>
        <n v="49576595"/>
        <s v="578-1458730839-8345-698135"/>
        <n v="30098123"/>
        <s v="578-1458730808-4931-693488"/>
        <s v="12-1458730799-2104-532220"/>
        <s v="59-1458730791-1274-4291390"/>
        <s v="10-1458730782-7903-1316247"/>
        <s v="20-1458730767-3909-2255851"/>
        <s v="346-1458730763-5283-635186"/>
        <s v="12-1458730757-9117-4666474"/>
        <s v="1138-1458730760-462-4637887"/>
        <n v="30098100"/>
        <s v="5-1458730755-4253-623342"/>
        <s v="10-1458730752-4601-4176427"/>
        <s v="12-1458730744-3897-3396473"/>
        <s v="12-1458730743-9199-425710"/>
        <s v="10-1458730716-9603-4558211"/>
        <s v="99-1458730714-4426-4350217"/>
        <s v="32-1458730711-4204-46269"/>
        <n v="30098096"/>
        <n v="30098093"/>
        <s v="99-1458730675-0942-4350217"/>
        <s v="10-1458730674-2139-34553"/>
        <s v="73-1458730671-5623-3262427"/>
        <n v="49575853"/>
        <s v="99-1458730628-1322-4350217"/>
        <s v="10-1458730625-8158-2673468"/>
        <s v="31-1458730625-8556-4666458"/>
        <s v="10-1458730591-2351-4449391"/>
        <s v="99-1458730581-557-4350217"/>
        <s v="12-1458730549-9177-3968290"/>
        <s v="1138-1458730538-6078-4637887"/>
        <s v="578-1458730535-1361-694451"/>
        <s v="99-1458730530-9977-4350217"/>
        <s v="10-1458730490-7392-4011652"/>
        <s v="578-1458730490-1993-2616258"/>
        <s v="12-1458730480-7569-3379550"/>
        <s v="133-1458730467-2977-4471609"/>
        <s v="620-1458730462-3196-1643874"/>
        <s v="73-1458730446-2992-934661"/>
        <s v="346-1458730444-0597-635186"/>
        <s v="73-1458730433-2171-861560"/>
        <s v="31-1458730426-1859-4666438"/>
        <n v="30098028"/>
        <s v="346-1458730405-5377-1424901"/>
        <s v="10-1458730403-9413-4176427"/>
        <s v="10-1458730395-5775-4440481"/>
        <s v="598-1458730380-3798-696572"/>
        <s v="578-1458730379-6615-694451"/>
        <s v="578-1458730374-5178-813284"/>
        <s v="10-1458730364-84-3910870"/>
        <s v="12-1458730350-9805-532220"/>
        <s v="1191-1458730349-5135-4666422"/>
        <s v="12-1458730338-8904-3474926"/>
        <s v="573-1458730333-304-4425154"/>
        <s v="1138-1458730329-6152-4637887"/>
        <s v="10-1458730325-7485-4466410"/>
        <s v="12-1458730325-246-295601"/>
        <s v="578-1458730303-8376-829658"/>
        <s v="12-1458730301-5817-3996103"/>
        <s v="1191-1458730276-5167-4666410"/>
        <s v="442-1458730273-3472-4666406"/>
        <s v="12-1458730275-1567-3968290"/>
        <n v="49574903"/>
        <s v="99-1458730261-9417-4481129"/>
        <s v="12-1458730261-1829-4385863"/>
        <s v="99-1458730255-0777-4352785"/>
        <s v="32-1458730249-833-50111"/>
        <s v="10-1458730248-0174-3847936"/>
        <s v="12-1458730246-9417-306319"/>
        <s v="346-1458730239-1657-635186"/>
        <s v="232-1458730214-1262-4648303"/>
        <s v="10-1458730202-503-703748"/>
        <n v="30097982"/>
        <s v="10-1458730188-9067-4415599"/>
        <s v="47-1458730140-2881-4568348"/>
        <s v="12-1458730105-8562-3381209"/>
        <s v="10-1458730072-019-1276374"/>
        <s v="443-1458730070-8429-4604579"/>
        <s v="10-1458730068-3676-4411831"/>
        <s v="48-1458730052-3974-3401054"/>
        <s v="133-1458730049-0064-4471609"/>
        <n v="30097953"/>
        <s v="346-1458730040-0984-4254412"/>
        <n v="30097942"/>
        <s v="73-1458729998-9167-1924722"/>
        <s v="10-1458729996-0519-4320655"/>
        <s v="10-1458729991-0523-4424047"/>
        <s v="10-1458729974-8124-5872"/>
        <n v="30097927"/>
        <s v="10-1458729956-0456-4011652"/>
        <s v="32-1458729939-8307-37627"/>
        <n v="30097921"/>
        <s v="1477-1458729923-4879-4666382"/>
        <s v="5-1458729921-4414-923261"/>
        <s v="346-1458729920-6437-2325240"/>
        <s v="346-1458729911-9617-635186"/>
        <s v="32-1458729909-5918-44081"/>
        <n v="30097916"/>
        <s v="578-1458729891-5946-728045"/>
        <s v="99-1458729889-0773-4551449"/>
        <s v="1191-1458729862-0033-4666374"/>
        <s v="10-1458729852-095-2946080"/>
        <n v="30097905"/>
        <s v="239-1458729840-6607-4250749"/>
        <s v="12-1458729837-648-3525152"/>
        <s v="12-1458729825-184-3489182"/>
        <s v="10-1458729805-4967-4666366"/>
        <s v="10-1458729802-4932-3847306"/>
        <s v="12-1458729795-8547-306319"/>
        <s v="12-1458729790-3798-72913"/>
        <s v="99-1458729776-0119-4292329"/>
        <s v="10-1458729773-4069-503477"/>
        <s v="10-1458729747-7784-4666354"/>
        <s v="419-1458729738-1545-3942523"/>
        <s v="346-1458729736-5544-635186"/>
        <n v="30097889"/>
        <s v="1477-1458729720-0493-4666350"/>
        <s v="48-1458729708-3172-4666346"/>
        <s v="1138-1458729706-5779-4638415"/>
        <s v="1191-1458729702-3263-4666338"/>
        <s v="12-1458729696-6584-3381209"/>
        <n v="30097865"/>
        <s v="420-1458729676-0926-495078"/>
        <s v="743-1458729673-3526-4224823"/>
        <s v="10-1458729638-0389-1318707"/>
        <s v="10-1458729634-4813-1318707"/>
        <s v="1135-1458729615-9388-4580726"/>
        <s v="10-1458729600-6702-1318707"/>
        <s v="73-1458729595-1812-3918166"/>
        <s v="346-1458729588-8197-635186"/>
        <s v="59-1458729584-0963-4291390"/>
        <s v="99-1458729572-249-4424308"/>
        <s v="10-1458729552-7411-4339894"/>
        <s v="5-1458729540-4557-1362657"/>
        <s v="10-1458729531-1608-4339249"/>
        <s v="10-1458729519-7011-4642103"/>
        <s v="1573-1458729477-4732-4502111"/>
        <s v="12-1458729477-4628-306319"/>
        <s v="743-1458729476-6064-4572461"/>
        <s v="73-1458729472-7796-4238761"/>
        <s v="48-1458729469-7326-4666330"/>
        <s v="5-1458729462-4476-923261"/>
        <s v="12-1458729441-066-3381209"/>
        <s v="10-1458729436-9618-4339894"/>
        <s v="99-1458729431-8662-4436197"/>
        <s v="10-1458729429-3636-3978694"/>
        <s v="12-1458729412-9344-3525152"/>
        <s v="346-1458729363-0107-836144"/>
        <s v="59-1458729361-9743-522659"/>
        <s v="12-1458729357-2911-587639"/>
        <s v="215-1458729335-6289-1042783"/>
        <s v="10-1458729334-6783-4011652"/>
        <s v="10-1458729314-9014-2991896"/>
        <s v="1307-1458729288-5495-4666322"/>
        <s v="419-1458729285-4275-3942523"/>
        <s v="5-1458729283-1503-923438"/>
        <s v="12-1458729266-0025-4385863"/>
        <s v="48-1458729264-3346-4526741"/>
        <s v="1161-1458729263-4658-4516529"/>
        <s v="346-1458729245-8083-1378494"/>
        <s v="215-1458729242-4092-3474614"/>
        <s v="34-1458729240-5692-4302403"/>
        <s v="99-1458729221-2109-4459192"/>
        <n v="30097786"/>
        <s v="48-1458729216-2789-4576694"/>
        <s v="1135-1458729204-2541-4580726"/>
        <s v="12-1458729203-1993-3396473"/>
        <s v="578-1458729187-8537-695219"/>
        <s v="5-1458729177-9402-13923"/>
        <s v="99-1458729135-2334-4666310"/>
        <s v="99-1458729126-362-4459192"/>
        <s v="1396-1458729121-2428-4553741"/>
        <s v="1396-1458729090-7521-4457029"/>
        <s v="419-1458729081-5331-1087388"/>
        <s v="99-1458729080-1956-4405657"/>
        <s v="1477-1458729079-3247-4666306"/>
        <s v="99-1458729071-1236-4459192"/>
        <s v="787-1458729058-1837-3968275"/>
        <s v="48-1458729053-3032-4666302"/>
        <s v="1396-1458729052-2625-4649443"/>
        <s v="787-1458729045-0289-4281100"/>
        <s v="1396-1458729032-3889-4623847"/>
        <n v="30028334"/>
        <s v="346-1458729015-4571-657125"/>
        <s v="12-1458729001-4646-3996103"/>
        <s v="73-1458728998-8347-861560"/>
        <s v="10-1458728994-9755-3654242"/>
        <s v="10-1458728993-8978-609935"/>
        <s v="12-1458728980-0172-3396473"/>
        <s v="99-1458728979-8022-4405657"/>
        <n v="30097750"/>
        <s v="578-1458728928-7174-4309804"/>
        <s v="12-1458728910-5168-4633447"/>
        <s v="47-1458728907-337-4658930"/>
        <s v="48-1458728901-6109-4527950"/>
        <s v="346-1458728895-5366-650435"/>
        <s v="601-1458728895-0585-4628231"/>
        <s v="12-1458728875-66-80414"/>
        <s v="578-1458728869-961-706982"/>
        <s v="99-1458728864-0867-4405657"/>
        <s v="59-1458728863-6741-177198"/>
        <s v="21-1458728821-2991-2180161"/>
        <s v="5-1458728814-7742-923261"/>
        <s v="47-1458728811-96-4666294"/>
        <s v="1191-1458728787-5299-4666290"/>
        <s v="32-1458728772-279-90028"/>
        <s v="1191-1458728770-6907-4666286"/>
        <s v="743-1458728759-2914-3223922"/>
        <s v="1135-1458728744-3817-4626467"/>
        <s v="10-1458728709-2644-3038153"/>
        <s v="346-1458728709-0444-636233"/>
        <s v="99-1458728702-7453-4601174"/>
        <s v="10-1458728699-2047-331235"/>
        <s v="51-1458728695-6833-414788"/>
        <s v="346-1458728693-6707-650435"/>
        <s v="133-1458728679-2357-1399224"/>
        <s v="51-1458728667-6621-410075"/>
        <n v="30097702"/>
        <s v="578-1458728650-405-747512"/>
        <s v="1191-1458728645-0543-4666282"/>
        <s v="10-1458728614-9368-333519"/>
        <s v="99-1458728612-8055-4292332"/>
        <n v="30097697"/>
        <s v="48-1458728609-3873-4638079"/>
        <s v="424-1458728603-6796-4071412"/>
        <s v="59-1458728599-8101-177198"/>
        <s v="51-1458728595-1577-410839"/>
        <s v="10-1458728585-4954-16745"/>
        <s v="5-1458728557-4819-4003711"/>
        <s v="48-1458728544-7635-4520273"/>
        <s v="12-1458728539-7013-4311883"/>
        <s v="10-1458728534-0579-61729"/>
        <s v="48-1458728532-3939-4526741"/>
        <s v="12-1458728524-8941-170300"/>
        <s v="5-1458728511-8907-923261"/>
        <s v="12-1458728501-3396-229267"/>
        <s v="419-1458728483-0401-4172437"/>
        <n v="312126057"/>
        <s v="59-1458728469-8607-177198"/>
        <s v="10-1458728454-2708-4011652"/>
        <s v="5-1458728450-489-3644513"/>
        <s v="442-1458728443-4994-4665642"/>
        <s v="346-1458728433-8695-650435"/>
        <n v="312125985"/>
        <n v="30097664"/>
        <s v="12-1458728401-1522-1272819"/>
        <s v="12-1458728393-0982-270297"/>
        <s v="32-1458728386-8825-4012282"/>
        <s v="743-1458728369-7435-4666274"/>
        <s v="12-1458728367-8733-3474740"/>
        <n v="30097645"/>
        <s v="10-1458728327-7984-4666150"/>
        <s v="743-1458728321-859-4666274"/>
        <s v="73-1458728325-4893-1882803"/>
        <s v="12-1458728325-0591-74723"/>
        <s v="239-1458728312-5237-4192240"/>
        <s v="12-1458728293-1913-170300"/>
        <n v="30097639"/>
        <s v="420-1458728275-031-959239"/>
        <s v="5-1458728267-156-923261"/>
        <s v="48-1458728260-6258-31537"/>
        <n v="312125795"/>
        <s v="5-1458728242-3163-923438"/>
        <s v="578-1458728230-6162-764423"/>
        <s v="1191-1458728227-4264-4666270"/>
        <s v="1477-1458728226-6863-4666266"/>
        <s v="51-1458728225-9075-414788"/>
        <n v="312125759"/>
        <s v="7-1458728198-6119-196920"/>
        <s v="73-1458728181-0813-3485753"/>
        <s v="10-1458728173-2182-4485035"/>
        <s v="12-1458728164-6968-80414"/>
        <s v="10-1458728156-0566-4544588"/>
        <s v="10-1458728133-5298-4666150"/>
        <s v="12-1458728127-7628-4385863"/>
        <n v="30097603"/>
        <s v="346-1458728112-5609-2739552"/>
        <s v="10-1458728100-7908-4511696"/>
        <s v="620-1458728095-3129-1415193"/>
        <s v="10-1458728091-958-4602242"/>
        <s v="12-1458728081-1783-87177"/>
        <s v="10-1458728051-0989-4666150"/>
        <s v="239-1458728047-7809-1660317"/>
        <s v="420-1458728037-1421-1140365"/>
        <s v="10-1458728033-1225-4555943"/>
        <s v="7-1458728023-6905-3911854"/>
        <s v="10-1458728022-9078-62586"/>
        <s v="10-1458728016-9007-4664714"/>
        <s v="228-1458728009-9401-4658650"/>
        <n v="312125503"/>
        <s v="10-1458727978-8439-4450696"/>
        <s v="1477-1458727977-7109-4666250"/>
        <s v="5-1458727971-916-923438"/>
        <n v="30097575"/>
        <n v="312125469"/>
        <n v="49567465"/>
        <s v="10-1458727946-0317-4560206"/>
        <s v="346-1458727944-704-635405"/>
        <s v="99-1458727942-2171-4310374"/>
        <s v="10-1458727929-5446-4586603"/>
        <n v="312125431"/>
        <s v="10-1458727923-0126-4651291"/>
        <s v="99-1458727907-4236-4666242"/>
        <s v="419-1458727902-6015-554181"/>
        <s v="10-1458727902-4652-4373377"/>
        <s v="12-1458727885-9539-2691936"/>
        <s v="397-1458727881-1243-1131965"/>
        <s v="12-1458727875-9217-2377260"/>
        <s v="51-1458727869-8826-414788"/>
        <s v="10-1458727869-5015-4011652"/>
        <s v="48-1458727864-7689-40991"/>
        <s v="48-1458727855-8069-532281"/>
        <s v="12-1458727852-7041-72913"/>
        <s v="12-1458727848-5093-2742366"/>
        <s v="10-1458727833-0082-4431868"/>
        <n v="312125301"/>
        <s v="12-1458727819-4165-3540053"/>
        <s v="48-1458727817-0343-31537"/>
        <s v="10-1458727809-7189-4661938"/>
        <s v="32-1458727788-7782-3851749"/>
        <s v="59-1458727766-8752-4205698"/>
        <s v="10-1458727765-5337-839294"/>
        <s v="12-1458727765-3937-1647462"/>
        <s v="743-1458727761-5275-2686071"/>
        <s v="1191-1458727743-9478-4666226"/>
        <s v="12-1458727735-1796-3381209"/>
        <s v="12-1458727723-0698-170300"/>
        <s v="346-1458727716-4063-4555418"/>
        <s v="5-1458727708-8098-576519"/>
        <s v="215-1458727702-4966-3474614"/>
        <n v="312125135"/>
        <s v="32-1458727691-6206-45525"/>
        <n v="312125113"/>
        <s v="10-1458727672-9214-4651291"/>
        <n v="312125103"/>
        <s v="10-1458727668-5757-839294"/>
        <n v="30097525"/>
        <n v="30097524"/>
        <s v="10-1458727652-5916-3721367"/>
        <n v="312125049"/>
        <n v="312125045"/>
        <s v="5-1458727619-851-923261"/>
        <s v="10-1458727602-4517-4486274"/>
        <s v="133-1458727593-4144-4471609"/>
        <s v="48-1458727585-082-31537"/>
        <s v="10-1458727574-0539-4666218"/>
        <n v="312125003"/>
        <s v="419-1458727558-4327-4621327"/>
        <s v="10-1458727556-7926-4651291"/>
        <s v="12-1458727551-3452-295601"/>
        <s v="346-1458727544-1326-2598711"/>
        <n v="312124969"/>
        <s v="443-1458727526-8153-4604579"/>
        <s v="10-1458727525-2729-4486274"/>
        <s v="12-1458727520-544-3381209"/>
        <s v="59-1458727519-5186-505438"/>
        <s v="10-1458727517-3158-4617306"/>
        <n v="30097494"/>
        <n v="312124951"/>
        <s v="5-1458727473-6348-621278"/>
        <s v="5-1458727467-4035-55620"/>
        <s v="10-1458727465-4153-4486274"/>
        <s v="12-1458727460-0149-491228"/>
        <s v="48-1458727447-1604-4520273"/>
        <s v="12-1458727446-8075-4623595"/>
        <s v="10-1458727446-3235-4666194"/>
        <n v="30097482"/>
        <n v="312124903"/>
        <s v="10-1458727397-979-4293763"/>
        <s v="10-1458727397-7988-4486274"/>
        <s v="419-1458727395-2576-4613181"/>
        <s v="12-1458727369-1596-225368"/>
        <s v="683-1458727365-4264-4664522"/>
        <s v="578-1458727365-58-4309804"/>
        <s v="5-1458727365-2875-55620"/>
        <s v="419-1458727361-7058-1943154"/>
        <n v="312124839"/>
        <s v="1138-1458727342-9292-4638415"/>
        <s v="73-1458727339-7061-4346353"/>
        <s v="12-1458727336-3976-3396473"/>
        <n v="312124811"/>
        <s v="12-1458727331-6595-3968290"/>
        <s v="10-1458727328-0806-8812"/>
        <s v="5-1458727323-2013-4579712"/>
        <s v="578-1458727317-7196-691151"/>
        <s v="12-1458727311-6995-79152"/>
        <s v="10-1458727233-0309-4215619"/>
        <s v="5-1458727224-7213-923261"/>
        <s v="12-1458727184-4617-415786"/>
        <s v="10-1458727181-9441-4444768"/>
        <s v="47-1458727181-2296-34761"/>
        <s v="5-1458727174-752-55620"/>
        <s v="47-1458727172-6447-261017"/>
        <s v="10-1458727145-7053-4492850"/>
        <s v="12-1458727137-0219-79152"/>
        <s v="12-1458727136-8218-74723"/>
        <s v="47-1458727124-4257-32069"/>
        <s v="99-1458727122-4329-4312492"/>
        <s v="5-1458727103-3066-55620"/>
        <s v="48-1458727091-3926-31537"/>
        <n v="30097436"/>
        <s v="48-1458727081-3865-4638079"/>
        <s v="10-1458727068-6442-1419015"/>
        <s v="99-1458727062-1681-4649599"/>
        <s v="578-1458727017-5977-693938"/>
        <s v="51-1458727016-9588-414788"/>
        <s v="12-1458727016-0566-107651"/>
        <s v="7-1458726983-8974-736703"/>
        <s v="346-1458726930-493-4630703"/>
        <s v="10-1458726930-5403-5978"/>
        <n v="49564393"/>
        <s v="419-1458726915-7985-4310440"/>
        <s v="133-1458726902-8279-875897"/>
        <s v="12-1458726902-4302-74723"/>
        <s v="10-1458726895-6446-4666150"/>
        <n v="30097406"/>
        <s v="578-1458726879-7703-693938"/>
        <s v="48-1458726879-0928-199963"/>
        <s v="346-1458726877-0706-4526222"/>
        <s v="1212-1458726855-8622-4666170"/>
        <s v="5-1458726845-1132-55620"/>
        <s v="10-1458726843-8964-4666150"/>
        <s v="10-1458726836-4483-4610685"/>
        <s v="10-1458726822-5519-4619979"/>
        <s v="12-1458726804-6324-491228"/>
        <n v="30097392"/>
        <s v="10-1458726769-4753-4421575"/>
        <s v="10-1458726767-8336-2664522"/>
        <s v="99-1458726767-6352-4619815"/>
        <s v="12-1458726756-3787-261152"/>
        <s v="5-1458726750-0098-923261"/>
        <s v="10-1458726749-1302-4666150"/>
        <s v="99-1458726748-6228-4300732"/>
        <s v="51-1458726744-0835-411173"/>
        <s v="419-1458726738-0138-1943154"/>
        <s v="5-1458726733-0661-4579712"/>
        <s v="578-1458726729-1764-692837"/>
        <s v="420-1458726725-6343-959239"/>
        <s v="51-1458726720-9966-414788"/>
        <s v="59-1458726710-5233-84491"/>
        <s v="59-1458726705-8444-441633"/>
        <s v="99-1458726684-3326-4619815"/>
        <s v="1191-1458726665-261-4666146"/>
        <s v="7-1458726663-9662-624167"/>
        <n v="30097373"/>
        <s v="48-1458726641-3335-4530884"/>
        <n v="30097369"/>
        <s v="1191-1458726632-4844-4666142"/>
        <s v="12-1458726631-5165-3396473"/>
        <s v="5-1458726609-8761-4196482"/>
        <s v="12-1458726609-3393-3381209"/>
        <s v="5-1458726607-0279-2820"/>
        <s v="5-1458726566-6697-8222"/>
        <s v="10-1458726565-2598-4275052"/>
        <s v="12-1458726556-2387-3489182"/>
        <s v="419-1458726522-7377-1943154"/>
        <s v="578-1458726512-5695-3770653"/>
        <s v="12-1458726509-2595-3537092"/>
        <s v="419-1458726503-8723-2521095"/>
        <s v="10-1458726483-3418-618290"/>
        <s v="578-1458726452-6412-701066"/>
        <s v="10-1458726447-4516-4275052"/>
        <s v="59-1458726443-2554-497494"/>
        <s v="12-1458726442-8537-460109"/>
        <s v="1477-1458726440-4605-4666122"/>
        <n v="30097327"/>
        <s v="12-1458726402-7241-3537092"/>
        <s v="578-1458726388-5634-3770653"/>
        <s v="10-1458726383-2668-2664522"/>
        <s v="59-1458726373-8777-4665646"/>
        <s v="10-1458726368-9851-4619979"/>
        <s v="239-1458726364-7429-165159"/>
        <s v="346-1458726354-9456-4597022"/>
        <s v="10-1458726352-6421-4619979"/>
        <s v="12-1458726338-8864-4606010"/>
        <s v="578-1458726320-5988-705251"/>
        <s v="578-1458726318-1069-692690"/>
        <s v="12-1458726311-7613-519970"/>
        <s v="419-1458726308-5552-2521095"/>
        <s v="1135-1458726308-0091-2263713"/>
        <s v="419-1458726299-8815-1943154"/>
        <n v="49562283"/>
        <s v="1135-1458726265-7055-4580726"/>
        <s v="10-1458726264-3282-4275052"/>
        <s v="10-1458726261-4553-4647599"/>
        <s v="578-1458726258-2054-742379"/>
        <s v="12-1458726255-3855-73895"/>
        <n v="312124307"/>
        <s v="346-1458726242-5441-4411345"/>
        <s v="12-1458726223-5921-3488906"/>
        <s v="12-1458726199-5554-170300"/>
        <s v="10-1458726184-0134-3904339"/>
        <s v="10-1458726172-3496-4275052"/>
        <s v="10-1458726163-7469-1733232"/>
        <s v="34-1458726161-8697-1497792"/>
        <s v="12-1458726148-0485-78866"/>
        <s v="7-1458726122-3721-622856"/>
        <s v="10-1458726121-4477-4019971"/>
        <s v="5-1458726109-4725-9816"/>
        <s v="10-1458726108-9103-4275052"/>
        <n v="30097282"/>
        <s v="10-1458726060-1498-4275052"/>
        <s v="10-1458726047-8538-4458424"/>
        <s v="12-1458726045-0891-801194"/>
        <s v="12-1458726026-1316-3447659"/>
        <s v="12-1458726026-1539-170300"/>
        <s v="12-1458726026-1901-73895"/>
        <s v="51-1458726008-5944-414788"/>
        <s v="10-1458726007-7383-4617654"/>
        <s v="10-1458725987-4634-8812"/>
        <s v="10-1458725972-0234-4275052"/>
        <s v="12-1458725943-2501-517602"/>
        <s v="10-1458725929-884-3904339"/>
        <s v="5-1458725927-3645-220941"/>
        <s v="12-1458725926-3346-261152"/>
        <s v="59-1458725917-7475-177198"/>
        <s v="10-1458725916-0342-4275052"/>
        <s v="10-1458725894-9531-3863110"/>
        <s v="10-1458725891-1555-3904339"/>
        <s v="12-1458725880-3759-4256416"/>
        <s v="48-1458725867-356-4526741"/>
        <s v="10-1458725854-7131-4640951"/>
        <s v="10-1458725848-5232-4590506"/>
        <s v="32-1458725838-355-37627"/>
        <s v="12-1458725836-4811-371277"/>
        <s v="59-1458725833-9647-441633"/>
        <s v="99-1458725830-1573-4293907"/>
        <s v="5-1458725811-5784-223999"/>
        <s v="5-1458725810-3477-220941"/>
        <s v="578-1458725792-8206-1495137"/>
        <s v="1138-1458725765-5887-4666034"/>
        <s v="10-1458725748-2619-4275052"/>
        <s v="12-1458725725-4795-3379661"/>
        <s v="32-1458725713-662-4477727"/>
        <s v="1135-1458725695-7605-2263713"/>
        <s v="12-1458725670-1193-3396473"/>
        <s v="10-1458725666-4131-4275052"/>
        <s v="442-1458725639-5018-4666078"/>
        <s v="12-1458725640-1606-79152"/>
        <n v="30097205"/>
        <s v="620-1458725603-4854-1435278"/>
        <s v="32-1458725601-4822-199579"/>
        <s v="1396-1458725569-0323-4451983"/>
        <s v="12-1458725562-9161-73895"/>
        <s v="578-1458725538-3449-4554428"/>
        <s v="578-1458725527-6243-4226413"/>
        <s v="1307-1458725521-2868-4666066"/>
        <s v="420-1458725517-4896-959239"/>
        <s v="12-1458725509-0628-170300"/>
        <n v="312123763"/>
        <s v="1396-1458725507-793-4589453"/>
        <s v="51-1458725499-8249-414788"/>
        <s v="10-1458725460-265-4405579"/>
        <s v="346-1458725454-6968-650435"/>
        <s v="1396-1458725453-9627-4458160"/>
        <n v="49559893"/>
        <s v="1396-1458725443-1981-4649295"/>
        <s v="5-1458725412-3501-4196482"/>
        <s v="1396-1458725410-3981-4649055"/>
        <s v="73-1458725390-0714-3480227"/>
        <s v="48-1458725375-1082-31537"/>
        <s v="20-1458725367-07-2053596"/>
        <s v="10-1458725356-6415-11123"/>
        <s v="10-1458725349-8967-1287480"/>
        <s v="10-1458725346-0961-33571"/>
        <s v="578-1458725299-25-698135"/>
        <s v="10-1458725295-8331-4605470"/>
        <s v="32-1458725268-4681-47287"/>
        <s v="1477-1458725258-3807-4666042"/>
        <s v="578-1458725255-4738-4554428"/>
        <s v="1138-1458725244-7599-4666034"/>
        <s v="10-1458725242-2747-39559"/>
        <s v="5-1458725240-8516-4598606"/>
        <s v="346-1458725234-7736-650435"/>
        <s v="215-1458725184-9638-1042783"/>
        <s v="578-1458725174-374-2446440"/>
        <s v="47-1458725143-3964-4569356"/>
        <s v="51-1458725127-2738-414788"/>
        <s v="424-1458725115-5872-1170449"/>
        <n v="312123293"/>
        <s v="51-1458725093-118-3138593"/>
        <s v="10-1458725090-8548-5848"/>
        <s v="12-1458725084-2794-4332457"/>
        <s v="48-1458725072-5786-31537"/>
        <s v="12-1458725058-5771-76376"/>
        <s v="51-1458725033-1383-411173"/>
        <s v="12-1458725030-0903-92994"/>
        <s v="12-1458725024-84-460109"/>
        <s v="598-1458725018-4454-4660750"/>
        <s v="10-1458725016-9806-4647599"/>
        <s v="12-1458724998-0784-261152"/>
        <s v="443-1458724991-1816-4660862"/>
        <s v="12-1458724985-3943-3996103"/>
        <s v="12-1458724966-4046-3381209"/>
        <s v="12-1458724964-7845-4311883"/>
        <s v="133-1458724950-822-4315951"/>
        <s v="32-1458724937-2801-3851749"/>
        <s v="239-1458724918-1747-528864"/>
        <n v="49558331"/>
        <s v="215-1458724867-4889-3267737"/>
        <s v="51-1458724860-3864-414788"/>
        <s v="12-1458724849-9442-170300"/>
        <s v="346-1458724846-7168-650435"/>
        <s v="10-1458724842-8277-388191"/>
        <s v="99-1458724828-3544-4310374"/>
        <s v="578-1458724819-0868-895328"/>
        <n v="49558049"/>
        <s v="10-1458724738-3018-4220416"/>
        <s v="10-1458724693-1902-2741049"/>
        <s v="419-1458724689-4906-523856"/>
        <s v="32-1458724676-9937-54564"/>
        <s v="10-1458724644-7102-4555259"/>
        <s v="12-1458724642-4095-2946494"/>
        <s v="420-1458724637-7195-4665998"/>
        <s v="215-1458724621-6591-1042783"/>
        <s v="1212-1458724614-3478-4665994"/>
        <s v="10-1458724590-9433-4540979"/>
        <s v="1191-1458724579-6839-4665986"/>
        <s v="32-1458724563-1696-45521"/>
        <s v="133-1458724561-8716-875897"/>
        <s v="73-1458724546-8927-4346353"/>
        <n v="30097076"/>
        <s v="10-1458724516-6312-1487829"/>
        <s v="1516-1458724504-9918-4554209"/>
        <s v="5-1458724501-792-4196482"/>
        <s v="5-1458724499-29-4598606"/>
        <s v="12-1458724498-0938-3381209"/>
        <s v="51-1458724479-9193-3138593"/>
        <s v="1212-1458724467-5505-4665982"/>
        <s v="419-1458724446-2231-2521095"/>
        <s v="51-1458724443-66-410087"/>
        <s v="59-1458724436-9005-2125890"/>
        <m/>
      </sharedItems>
    </cacheField>
    <cacheField name="ExternalCustomer" numFmtId="0">
      <sharedItems containsBlank="1"/>
    </cacheField>
    <cacheField name="Direction" numFmtId="0">
      <sharedItems containsBlank="1"/>
    </cacheField>
    <cacheField name="Rate" numFmtId="0">
      <sharedItems containsString="0" containsBlank="1" containsNumber="1" minValue="0" maxValue="133.96738150115243"/>
    </cacheField>
    <cacheField name="DealtCurrency" numFmtId="0">
      <sharedItems containsBlank="1" count="2">
        <s v="EUR"/>
        <m/>
      </sharedItems>
    </cacheField>
    <cacheField name="AgainstCurrency" numFmtId="0">
      <sharedItems containsBlank="1" count="16">
        <s v="TRY"/>
        <s v="NOK"/>
        <s v="CAD"/>
        <s v="JPY"/>
        <s v="GBP"/>
        <s v="AUD"/>
        <s v="NZD"/>
        <s v="USD"/>
        <s v="RUB"/>
        <s v="AED"/>
        <s v="DKK"/>
        <s v="EUR"/>
        <s v="SEK"/>
        <s v="AZN"/>
        <s v="BRL"/>
        <m/>
      </sharedItems>
    </cacheField>
    <cacheField name="DealtAmount" numFmtId="0">
      <sharedItems containsString="0" containsBlank="1" containsNumber="1" minValue="0.01" maxValue="325861.76000000001"/>
    </cacheField>
    <cacheField name="Book" numFmtId="0">
      <sharedItems containsBlank="1"/>
    </cacheField>
    <cacheField name="ValueDate" numFmtId="0">
      <sharedItems containsNonDate="0" containsString="0" containsBlank="1"/>
    </cacheField>
    <cacheField name="Note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723">
  <r>
    <s v="3641053-1458747975-56"/>
    <s v="Spot"/>
    <s v="3641053-1458747975-56"/>
    <n v="0"/>
    <d v="2016-03-31T00:00:00"/>
    <x v="0"/>
    <s v="56"/>
    <s v="SELL"/>
    <n v="3.3881725211204983"/>
    <x v="0"/>
    <x v="0"/>
    <n v="76.2"/>
    <s v="Deal"/>
    <m/>
    <s v="Original Amount [EUR 22.49], Merchant Amount [EUR 22.49], Customer Amount [TRY 76.2], Status [WAITING], Operation [3D], UUID [3641053-1458747975-56] [23/03/2016 at 15:46:00]"/>
  </r>
  <r>
    <s v="3641050-1458747973-261"/>
    <s v="Spot"/>
    <s v="3641050-1458747973-261"/>
    <n v="0"/>
    <d v="2016-03-31T00:00:00"/>
    <x v="1"/>
    <s v="261"/>
    <s v="SELL"/>
    <n v="9.9505876068376082"/>
    <x v="0"/>
    <x v="1"/>
    <n v="745.1"/>
    <s v="Deal"/>
    <m/>
    <s v="Original Amount [EUR 74.88], Merchant Amount [EUR 74.88], Customer Amount [NOK 745.1], Status [APPROVED], Operation [DIRECT], UUID [3641050-1458747973-261] [23/03/2016 at 15:46:00]"/>
  </r>
  <r>
    <s v="3641044-1458747967-238"/>
    <s v="Spot"/>
    <s v="3641044-1458747967-238"/>
    <n v="0"/>
    <d v="2016-03-31T00:00:00"/>
    <x v="2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41044-1458747967-238] [23/03/2016 at 15:46:00]"/>
  </r>
  <r>
    <s v="3641041-1458747966-216"/>
    <s v="Spot"/>
    <s v="3641041-1458747966-216"/>
    <n v="0"/>
    <d v="2016-03-31T00:00:00"/>
    <x v="3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41041-1458747966-216] [23/03/2016 at 15:46:00]"/>
  </r>
  <r>
    <s v="3641038-1458747964-171"/>
    <s v="Spot"/>
    <s v="3641038-1458747964-171"/>
    <n v="0"/>
    <d v="2016-03-31T00:00:00"/>
    <x v="4"/>
    <s v="171"/>
    <s v="SELL"/>
    <n v="1.5513950073421439"/>
    <x v="0"/>
    <x v="2"/>
    <n v="21.13"/>
    <s v="Deal"/>
    <m/>
    <s v="Original Amount [EUR 13.62], Merchant Amount [EUR 13.62], Customer Amount [CAD 21.13], Status [APPROVED], Operation [DIRECT], UUID [3641038-1458747964-171] [23/03/2016 at 15:46:00]"/>
  </r>
  <r>
    <s v="3641035-1458747961-172"/>
    <s v="Spot"/>
    <s v="3641035-1458747961-172"/>
    <n v="0"/>
    <d v="2016-03-31T00:00:00"/>
    <x v="5"/>
    <s v="172"/>
    <s v="SELL"/>
    <n v="9.9505853658536587"/>
    <x v="0"/>
    <x v="1"/>
    <n v="2039.87"/>
    <s v="Deal"/>
    <m/>
    <s v="Original Amount [EUR 205], Merchant Amount [EUR 205], Customer Amount [NOK 2039.87], Status [WAITING], Operation [3D], UUID [3641035-1458747961-172] [23/03/2016 at 15:46:00]"/>
  </r>
  <r>
    <s v="3641032-1458747961-200"/>
    <s v="Spot"/>
    <s v="3641032-1458747961-200"/>
    <n v="0"/>
    <d v="2016-03-31T00:00:00"/>
    <x v="6"/>
    <s v="200"/>
    <s v="SELL"/>
    <n v="9.9506666666666668"/>
    <x v="0"/>
    <x v="1"/>
    <n v="298.52"/>
    <s v="Deal"/>
    <m/>
    <s v="Original Amount [EUR 30], Merchant Amount [EUR 30], Customer Amount [NOK 298.52], Status [WAITING], Operation [3D], UUID [3641032-1458747961-200] [23/03/2016 at 15:46:00]"/>
  </r>
  <r>
    <s v="3641029-1458747959-107"/>
    <s v="Spot"/>
    <s v="3641029-1458747959-107"/>
    <n v="0"/>
    <d v="2016-03-31T00:00:00"/>
    <x v="7"/>
    <s v="107"/>
    <s v="SELL"/>
    <n v="3.388029589778077"/>
    <x v="0"/>
    <x v="0"/>
    <n v="50.38"/>
    <s v="Deal"/>
    <m/>
    <s v="Original Amount [EUR 14.87], Merchant Amount [EUR 14.87], Customer Amount [TRY 50.38], Status [WAITING], Operation [3D], UUID [3641029-1458747959-107] [23/03/2016 at 15:45:00]"/>
  </r>
  <r>
    <s v="3641026-1458747957-102"/>
    <s v="Spot"/>
    <s v="3641026-1458747957-102"/>
    <n v="0"/>
    <d v="2016-03-31T00:00:00"/>
    <x v="8"/>
    <s v="102"/>
    <s v="SELL"/>
    <n v="3.3879032258064514"/>
    <x v="0"/>
    <x v="0"/>
    <n v="42.01"/>
    <s v="Deal"/>
    <m/>
    <s v="Original Amount [EUR 12.4], Merchant Amount [EUR 12.4], Customer Amount [TRY 42.01], Status [WAITING], Operation [3D], UUID [3641026-1458747957-102] [23/03/2016 at 15:45:00]"/>
  </r>
  <r>
    <s v="3641023-1458747956-224"/>
    <s v="Spot"/>
    <s v="3641023-1458747956-224"/>
    <n v="0"/>
    <d v="2016-03-31T00:00:00"/>
    <x v="9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41023-1458747956-224] [23/03/2016 at 15:45:00]"/>
  </r>
  <r>
    <s v="3641056-1458747977-203"/>
    <s v="Spot"/>
    <s v="3641056-1458747977-203"/>
    <n v="0"/>
    <d v="2016-03-31T00:00:00"/>
    <x v="10"/>
    <s v="203"/>
    <s v="SELL"/>
    <n v="3.3878709677419354"/>
    <x v="0"/>
    <x v="0"/>
    <n v="525.12"/>
    <s v="Deal"/>
    <m/>
    <s v="Original Amount [EUR 155], Merchant Amount [EUR 155], Customer Amount [TRY 525.12], Status [APPROVED], Operation [3DAUTH], UUID [3641056-1458747977-203] [23/03/2016 at 15:46:00]"/>
  </r>
  <r>
    <s v="3641008-1458747953-216"/>
    <s v="Spot"/>
    <s v="3641008-1458747953-216"/>
    <n v="0"/>
    <d v="2016-03-31T00:00:00"/>
    <x v="11"/>
    <s v="216"/>
    <s v="SELL"/>
    <n v="3.3881156316916488"/>
    <x v="0"/>
    <x v="0"/>
    <n v="63.29"/>
    <s v="Deal"/>
    <m/>
    <s v="Original Amount [EUR 18.68], Merchant Amount [EUR 18.68], Customer Amount [TRY 63.29], Status [WAITING], Operation [3D], UUID [3641008-1458747953-216] [23/03/2016 at 15:45:00]"/>
  </r>
  <r>
    <s v="3641020-1458747955-107"/>
    <s v="Spot"/>
    <s v="3641020-1458747955-107"/>
    <n v="0"/>
    <d v="2016-03-31T00:00:00"/>
    <x v="12"/>
    <s v="107"/>
    <s v="SELL"/>
    <n v="3.3880494505494503"/>
    <x v="0"/>
    <x v="0"/>
    <n v="49.33"/>
    <s v="Deal"/>
    <m/>
    <s v="Original Amount [EUR 14.56], Merchant Amount [EUR 14.56], Customer Amount [TRY 49.33], Status [APPROVED], Operation [3DAUTH], UUID [3641020-1458747955-107] [23/03/2016 at 15:45:00]"/>
  </r>
  <r>
    <s v="3641017-1458747955-126"/>
    <s v="Spot"/>
    <s v="3641017-1458747955-126"/>
    <n v="0"/>
    <d v="2016-03-31T00:00:00"/>
    <x v="13"/>
    <s v="126"/>
    <s v="SELL"/>
    <n v="9.9512195121951219"/>
    <x v="0"/>
    <x v="1"/>
    <n v="102"/>
    <s v="Deal"/>
    <m/>
    <s v="Original Amount [EUR 10.25], Merchant Amount [EUR 10.25], Customer Amount [NOK 102], Status [APPROVED], Operation [3DAUTH], UUID [3641017-1458747955-126] [23/03/2016 at 15:45:00]"/>
  </r>
  <r>
    <s v="3640978-1458747920-200"/>
    <s v="Spot"/>
    <s v="3640978-1458747920-200"/>
    <n v="0"/>
    <d v="2016-03-31T00:00:00"/>
    <x v="14"/>
    <s v="200"/>
    <s v="SELL"/>
    <n v="9.9533333333333331"/>
    <x v="0"/>
    <x v="1"/>
    <n v="29.86"/>
    <s v="Deal"/>
    <m/>
    <s v="Original Amount [EUR 3], Merchant Amount [EUR 3], Customer Amount [NOK 29.86], Status [WAITING], Operation [3D], UUID [3640978-1458747920-200] [23/03/2016 at 15:45:00]"/>
  </r>
  <r>
    <s v="3640963-1458747913-264"/>
    <s v="Spot"/>
    <s v="3640963-1458747913-264"/>
    <n v="0"/>
    <d v="2016-03-31T00:00:00"/>
    <x v="15"/>
    <s v="264"/>
    <s v="SELL"/>
    <n v="3.3918781725888327"/>
    <x v="0"/>
    <x v="0"/>
    <n v="100.23"/>
    <s v="Deal"/>
    <m/>
    <s v="Original Amount [TRY 95], Merchant Amount [EUR 29.55], Customer Amount [TRY 100.23], Status [WAITING], Operation [3D], UUID [3640963-1458747913-264] [23/03/2016 at 15:45:00]"/>
  </r>
  <r>
    <s v="3640981-1458747922-107"/>
    <s v="Spot"/>
    <s v="3640981-1458747922-107"/>
    <n v="0"/>
    <d v="2016-03-31T00:00:00"/>
    <x v="16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40981-1458747922-107] [23/03/2016 at 15:45:00]"/>
  </r>
  <r>
    <s v="3640942-1458747896-119"/>
    <s v="Spot"/>
    <s v="3640942-1458747896-119"/>
    <n v="0"/>
    <d v="2016-03-31T00:00:00"/>
    <x v="17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40942-1458747896-119] [23/03/2016 at 15:44:00]"/>
  </r>
  <r>
    <s v="3640990-1458747923-216"/>
    <s v="Spot"/>
    <s v="3640990-1458747923-216"/>
    <n v="0"/>
    <d v="2016-03-31T00:00:00"/>
    <x v="1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40990-1458747923-216] [23/03/2016 at 15:45:00]"/>
  </r>
  <r>
    <s v="3640933-1458747889-126"/>
    <s v="Spot"/>
    <s v="3640933-1458747889-126"/>
    <n v="0"/>
    <d v="2016-03-31T00:00:00"/>
    <x v="19"/>
    <s v="126"/>
    <s v="SELL"/>
    <n v="9.9753658536585377"/>
    <x v="0"/>
    <x v="1"/>
    <n v="408.99"/>
    <s v="Deal"/>
    <m/>
    <s v="Original Amount [EUR 41], Merchant Amount [EUR 41], Customer Amount [NOK 408.99], Status [APPROVED], Operation [DIRECT], UUID [3640933-1458747889-126] [23/03/2016 at 15:44:00]"/>
  </r>
  <r>
    <s v="3640930-1458747888-216"/>
    <s v="Spot"/>
    <s v="3640930-1458747888-216"/>
    <n v="0"/>
    <d v="2016-03-31T00:00:00"/>
    <x v="20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40930-1458747888-216] [23/03/2016 at 15:44:00]"/>
  </r>
  <r>
    <s v="3640927-1458747888-119"/>
    <s v="Spot"/>
    <s v="3640927-1458747888-119"/>
    <n v="0"/>
    <d v="2016-03-31T00:00:00"/>
    <x v="21"/>
    <s v="119"/>
    <s v="SELL"/>
    <n v="9.9753428571428575"/>
    <x v="0"/>
    <x v="1"/>
    <n v="3491.37"/>
    <s v="Deal"/>
    <m/>
    <s v="Original Amount [EUR 350], Merchant Amount [EUR 350], Customer Amount [NOK 3491.37], Status [APPROVED], Operation [DIRECT], UUID [3640927-1458747888-119] [23/03/2016 at 15:44:00]"/>
  </r>
  <r>
    <s v="3640921-1458747867-224"/>
    <s v="Spot"/>
    <s v="3640921-1458747867-224"/>
    <n v="0"/>
    <d v="2016-03-31T00:00:00"/>
    <x v="22"/>
    <s v="224"/>
    <s v="SELL"/>
    <n v="133.03763795453546"/>
    <x v="0"/>
    <x v="3"/>
    <n v="30256.75"/>
    <s v="Deal"/>
    <m/>
    <s v="Original Amount [EUR 227.43], Merchant Amount [EUR 227.43], Customer Amount [JPY 30256.75], Status [APPROVED], Operation [DIRECT], UUID [3640921-1458747867-224] [23/03/2016 at 15:44:00]"/>
  </r>
  <r>
    <s v="3640936-1458747891-196"/>
    <s v="Spot"/>
    <s v="3640936-1458747891-196"/>
    <n v="0"/>
    <d v="2016-03-31T00:00:00"/>
    <x v="23"/>
    <s v="196"/>
    <s v="SELL"/>
    <n v="9.9753892516323468"/>
    <x v="0"/>
    <x v="1"/>
    <n v="198.61"/>
    <s v="Deal"/>
    <m/>
    <s v="Original Amount [EUR 19.91], Merchant Amount [EUR 19.91], Customer Amount [NOK 198.61], Status [APPROVED], Operation [3DAUTH], UUID [3640936-1458747891-196] [23/03/2016 at 15:44:00]"/>
  </r>
  <r>
    <s v="3640903-1458747840-224"/>
    <s v="Spot"/>
    <s v="3640903-1458747840-224"/>
    <n v="0"/>
    <d v="2016-03-31T00:00:00"/>
    <x v="24"/>
    <s v="224"/>
    <s v="SELL"/>
    <n v="133.03761198036079"/>
    <x v="0"/>
    <x v="3"/>
    <n v="237905.84"/>
    <s v="Deal"/>
    <m/>
    <s v="Original Amount [EUR 1788.26], Merchant Amount [EUR 1788.26], Customer Amount [JPY 237905.84], Status [APPROVED], Operation [DIRECT], UUID [3640903-1458747840-224] [23/03/2016 at 15:44:00]"/>
  </r>
  <r>
    <s v="3640918-1458747867-107"/>
    <s v="Spot"/>
    <s v="3640918-1458747867-107"/>
    <n v="0"/>
    <d v="2016-03-31T00:00:00"/>
    <x v="25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40918-1458747867-107] [23/03/2016 at 15:44:00]"/>
  </r>
  <r>
    <s v="3640897-1458747835-187"/>
    <s v="Spot"/>
    <s v="3640897-1458747835-187"/>
    <n v="0"/>
    <d v="2016-03-31T00:00:00"/>
    <x v="26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40897-1458747835-187] [23/03/2016 at 15:43:00]"/>
  </r>
  <r>
    <s v="3640888-1458747823-224"/>
    <s v="Spot"/>
    <s v="3640888-1458747823-224"/>
    <n v="0"/>
    <d v="2016-03-31T00:00:00"/>
    <x v="2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40888-1458747823-224] [23/03/2016 at 15:43:00]"/>
  </r>
  <r>
    <s v="3640864-1458747788-160"/>
    <s v="Spot"/>
    <s v="3640864-1458747788-160"/>
    <n v="0"/>
    <d v="2016-03-31T00:00:00"/>
    <x v="28"/>
    <s v="160"/>
    <s v="SELL"/>
    <n v="0.83322601416613007"/>
    <x v="0"/>
    <x v="4"/>
    <n v="12.94"/>
    <s v="Deal"/>
    <m/>
    <s v="Original Amount [EUR 15.53], Merchant Amount [EUR 15.53], Customer Amount [GBP 12.94], Status [APPROVED], Operation [3DAUTH], UUID [3640864-1458747788-160] [23/03/2016 at 15:43:00]"/>
  </r>
  <r>
    <s v="3640855-1458747780-224"/>
    <s v="Spot"/>
    <s v="3640855-1458747780-224"/>
    <n v="0"/>
    <d v="2016-03-31T00:00:00"/>
    <x v="29"/>
    <s v="224"/>
    <s v="SELL"/>
    <n v="133.03761171116838"/>
    <x v="0"/>
    <x v="3"/>
    <n v="24264.73"/>
    <s v="Deal"/>
    <m/>
    <s v="Original Amount [EUR 182.39], Merchant Amount [EUR 182.39], Customer Amount [JPY 24264.73], Status [APPROVED], Operation [DIRECT], UUID [3640855-1458747780-224] [23/03/2016 at 15:43:00]"/>
  </r>
  <r>
    <s v="3640849-1458747776-261"/>
    <s v="Spot"/>
    <s v="3640849-1458747776-261"/>
    <n v="0"/>
    <d v="2016-03-31T00:00:00"/>
    <x v="30"/>
    <s v="261"/>
    <s v="SELL"/>
    <n v="9.9754159656010479"/>
    <x v="0"/>
    <x v="1"/>
    <n v="1067.17"/>
    <s v="Deal"/>
    <m/>
    <s v="Original Amount [EUR 106.98], Merchant Amount [EUR 106.98], Customer Amount [NOK 1067.17], Status [APPROVED], Operation [DIRECT], UUID [3640849-1458747776-261] [23/03/2016 at 15:42:00]"/>
  </r>
  <r>
    <s v="3640861-1458747785-264"/>
    <s v="Spot"/>
    <s v="3640861-1458747785-264"/>
    <n v="0"/>
    <d v="2016-03-31T00:00:00"/>
    <x v="31"/>
    <s v="264"/>
    <s v="SELL"/>
    <n v="3.397137745974955"/>
    <x v="0"/>
    <x v="0"/>
    <n v="18.989999999999998"/>
    <s v="Deal"/>
    <m/>
    <s v="Original Amount [TRY 18], Merchant Amount [EUR 5.59], Customer Amount [TRY 18.99], Status [APPROVED], Operation [3DAUTH], UUID [3640861-1458747785-264] [23/03/2016 at 15:43:00]"/>
  </r>
  <r>
    <s v="3640834-1458747756-200"/>
    <s v="Spot"/>
    <s v="3640834-1458747756-200"/>
    <n v="0"/>
    <d v="2016-03-31T00:00:00"/>
    <x v="32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40834-1458747756-200] [23/03/2016 at 15:42:00]"/>
  </r>
  <r>
    <s v="3640813-1458747736-261"/>
    <s v="Spot"/>
    <s v="3640813-1458747736-261"/>
    <n v="0"/>
    <d v="2016-03-31T00:00:00"/>
    <x v="33"/>
    <s v="261"/>
    <s v="SELL"/>
    <n v="9.9754672897196262"/>
    <x v="0"/>
    <x v="1"/>
    <n v="170.78"/>
    <s v="Deal"/>
    <m/>
    <s v="Original Amount [EUR 17.12], Merchant Amount [EUR 17.12], Customer Amount [NOK 170.78], Status [APPROVED], Operation [DIRECT], UUID [3640813-1458747736-261] [23/03/2016 at 15:42:00]"/>
  </r>
  <r>
    <s v="3640828-1458747750-216"/>
    <s v="Spot"/>
    <s v="3640828-1458747750-216"/>
    <n v="0"/>
    <d v="2016-03-31T00:00:00"/>
    <x v="34"/>
    <s v="216"/>
    <s v="SELL"/>
    <n v="3.3923444976076556"/>
    <x v="0"/>
    <x v="0"/>
    <n v="49.63"/>
    <s v="Deal"/>
    <m/>
    <s v="Original Amount [EUR 14.63], Merchant Amount [EUR 14.63], Customer Amount [TRY 49.63], Status [APPROVED], Operation [3DAUTH], UUID [3640828-1458747750-216] [23/03/2016 at 15:42:00]"/>
  </r>
  <r>
    <s v="3640819-1458747743-126"/>
    <s v="Spot"/>
    <s v="3640819-1458747743-126"/>
    <n v="0"/>
    <d v="2016-03-31T00:00:00"/>
    <x v="35"/>
    <s v="126"/>
    <s v="SELL"/>
    <n v="9.9506341463414643"/>
    <x v="0"/>
    <x v="1"/>
    <n v="509.97"/>
    <s v="Deal"/>
    <m/>
    <s v="Original Amount [EUR 51.25], Merchant Amount [EUR 51.25], Customer Amount [NOK 509.97], Status [APPROVED], Operation [3DAUTH], UUID [3640819-1458747743-126] [23/03/2016 at 15:42:00]"/>
  </r>
  <r>
    <s v="3640846-1458747771-101"/>
    <s v="Spot"/>
    <s v="3640846-1458747771-101"/>
    <n v="0"/>
    <d v="2016-03-31T00:00:00"/>
    <x v="36"/>
    <s v="101"/>
    <s v="SELL"/>
    <n v="3.3921568627450975"/>
    <x v="0"/>
    <x v="0"/>
    <n v="108.99"/>
    <s v="Deal"/>
    <m/>
    <s v="Original Amount [EUR 32.13], Merchant Amount [EUR 32.13], Customer Amount [TRY 108.99], Status [APPROVED], Operation [3DAUTH], UUID [3640846-1458747771-101] [23/03/2016 at 15:42:00]"/>
  </r>
  <r>
    <s v="3640792-1458747716-216"/>
    <s v="Spot"/>
    <s v="3640792-1458747716-216"/>
    <n v="0"/>
    <d v="2016-03-31T00:00:00"/>
    <x v="37"/>
    <s v="216"/>
    <s v="SELL"/>
    <n v="3.3925767309064954"/>
    <x v="0"/>
    <x v="0"/>
    <n v="47.53"/>
    <s v="Deal"/>
    <m/>
    <s v="Original Amount [EUR 14.01], Merchant Amount [EUR 14.01], Customer Amount [TRY 47.53], Status [WAITING], Operation [3D], UUID [3640792-1458747716-216] [23/03/2016 at 15:41:00]"/>
  </r>
  <r>
    <s v="3640789-1458747715-224"/>
    <s v="Spot"/>
    <s v="3640789-1458747715-224"/>
    <n v="0"/>
    <d v="2016-03-31T00:00:00"/>
    <x v="38"/>
    <s v="224"/>
    <s v="SELL"/>
    <n v="9.9507123604158654"/>
    <x v="0"/>
    <x v="1"/>
    <n v="258.42"/>
    <s v="Deal"/>
    <m/>
    <s v="Original Amount [EUR 25.97], Merchant Amount [EUR 25.97], Customer Amount [NOK 258.42], Status [APPROVED], Operation [DIRECT], UUID [3640789-1458747715-224] [23/03/2016 at 15:41:00]"/>
  </r>
  <r>
    <s v="3640771-1458747664-119"/>
    <s v="Spot"/>
    <s v="3640771-1458747664-119"/>
    <n v="0"/>
    <d v="2016-03-31T00:00:00"/>
    <x v="39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40771-1458747664-119] [23/03/2016 at 15:41:00]"/>
  </r>
  <r>
    <s v="3640762-1458747656-145"/>
    <s v="Spot"/>
    <s v="3640762-1458747656-145"/>
    <n v="0"/>
    <d v="2016-03-31T00:00:00"/>
    <x v="40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40762-1458747656-145] [23/03/2016 at 15:40:00]"/>
  </r>
  <r>
    <s v="3640780-1458747694-203"/>
    <s v="Spot"/>
    <s v="3640780-1458747694-203"/>
    <n v="0"/>
    <d v="2016-03-31T00:00:00"/>
    <x v="41"/>
    <s v="203"/>
    <s v="SELL"/>
    <n v="3.3922580645161289"/>
    <x v="0"/>
    <x v="0"/>
    <n v="52.58"/>
    <s v="Deal"/>
    <m/>
    <s v="Original Amount [EUR 15.5], Merchant Amount [EUR 15.5], Customer Amount [TRY 52.58], Status [APPROVED], Operation [3DAUTH], UUID [3640780-1458747694-203] [23/03/2016 at 15:41:00]"/>
  </r>
  <r>
    <s v="3640756-1458747647-224"/>
    <s v="Spot"/>
    <s v="3640756-1458747647-224"/>
    <n v="0"/>
    <d v="2016-03-31T00:00:00"/>
    <x v="42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40756-1458747647-224] [23/03/2016 at 15:40:00]"/>
  </r>
  <r>
    <s v="3640774-1458747666-216"/>
    <s v="Spot"/>
    <s v="3640774-1458747666-216"/>
    <n v="0"/>
    <d v="2016-03-31T00:00:00"/>
    <x v="43"/>
    <s v="216"/>
    <s v="SELL"/>
    <n v="3.3919678714859436"/>
    <x v="0"/>
    <x v="0"/>
    <n v="42.23"/>
    <s v="Deal"/>
    <m/>
    <s v="Original Amount [EUR 12.45], Merchant Amount [EUR 12.45], Customer Amount [TRY 42.23], Status [APPROVED], Operation [3DAUTH], UUID [3640774-1458747666-216] [23/03/2016 at 15:41:00]"/>
  </r>
  <r>
    <s v="3640768-1458747662-101"/>
    <s v="Spot"/>
    <s v="3640768-1458747662-101"/>
    <n v="0"/>
    <d v="2016-03-31T00:00:00"/>
    <x v="44"/>
    <s v="101"/>
    <s v="SELL"/>
    <n v="3.3922691481746599"/>
    <x v="0"/>
    <x v="0"/>
    <n v="94.78"/>
    <s v="Deal"/>
    <m/>
    <s v="Original Amount [EUR 27.94], Merchant Amount [EUR 27.94], Customer Amount [TRY 94.78], Status [APPROVED], Operation [3DAUTH], UUID [3640768-1458747662-101] [23/03/2016 at 15:41:00]"/>
  </r>
  <r>
    <s v="3640738-1458747631-224"/>
    <s v="Spot"/>
    <s v="3640738-1458747631-224"/>
    <n v="0"/>
    <d v="2016-03-31T00:00:00"/>
    <x v="45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40738-1458747631-224] [23/03/2016 at 15:40:00]"/>
  </r>
  <r>
    <s v="3640753-1458747645-216"/>
    <s v="Spot"/>
    <s v="3640753-1458747645-216"/>
    <n v="0"/>
    <d v="2016-03-31T00:00:00"/>
    <x v="4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40753-1458747645-216] [23/03/2016 at 15:40:00]"/>
  </r>
  <r>
    <s v="3640726-1458747620-56"/>
    <s v="Spot"/>
    <s v="3640726-1458747620-56"/>
    <n v="0"/>
    <d v="2016-03-31T00:00:00"/>
    <x v="47"/>
    <s v="56"/>
    <s v="SELL"/>
    <n v="3.3922789539227898"/>
    <x v="0"/>
    <x v="0"/>
    <n v="27.24"/>
    <s v="Deal"/>
    <m/>
    <s v="Original Amount [EUR 8.03], Merchant Amount [EUR 8.03], Customer Amount [TRY 27.24], Status [WAITING], Operation [3D], UUID [3640726-1458747620-56] [23/03/2016 at 15:40:00]"/>
  </r>
  <r>
    <s v="3640735-1458747624-216"/>
    <s v="Spot"/>
    <s v="3640735-1458747624-216"/>
    <n v="0"/>
    <d v="2016-03-31T00:00:00"/>
    <x v="48"/>
    <s v="216"/>
    <s v="SELL"/>
    <n v="3.3921001926782273"/>
    <x v="0"/>
    <x v="0"/>
    <n v="105.63"/>
    <s v="Deal"/>
    <m/>
    <s v="Original Amount [EUR 31.14], Merchant Amount [EUR 31.14], Customer Amount [TRY 105.63], Status [APPROVED], Operation [3DAUTH], UUID [3640735-1458747624-216] [23/03/2016 at 15:40:00]"/>
  </r>
  <r>
    <s v="3640744-1458747637-216"/>
    <s v="Spot"/>
    <s v="3640744-1458747637-216"/>
    <n v="0"/>
    <d v="2016-03-31T00:00:00"/>
    <x v="49"/>
    <s v="216"/>
    <s v="SELL"/>
    <n v="3.3923982869379015"/>
    <x v="0"/>
    <x v="0"/>
    <n v="63.37"/>
    <s v="Deal"/>
    <m/>
    <s v="Original Amount [EUR 18.68], Merchant Amount [EUR 18.68], Customer Amount [TRY 63.37], Status [APPROVED], Operation [3DAUTH], UUID [3640744-1458747637-216] [23/03/2016 at 15:40:00]"/>
  </r>
  <r>
    <s v="3640693-1458747581-216"/>
    <s v="Spot"/>
    <s v="3640693-1458747581-216"/>
    <n v="0"/>
    <d v="2016-03-31T00:00:00"/>
    <x v="50"/>
    <s v="216"/>
    <s v="SELL"/>
    <n v="3.3926605504587153"/>
    <x v="0"/>
    <x v="0"/>
    <n v="36.979999999999997"/>
    <s v="Deal"/>
    <m/>
    <s v="Original Amount [EUR 10.9], Merchant Amount [EUR 10.9], Customer Amount [TRY 36.98], Status [APPROVED], Operation [3DAUTH], UUID [3640693-1458747581-216] [23/03/2016 at 15:39:00]"/>
  </r>
  <r>
    <s v="3640690-1458747577-107"/>
    <s v="Spot"/>
    <s v="3640690-1458747577-107"/>
    <n v="0"/>
    <d v="2016-03-31T00:00:00"/>
    <x v="51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40690-1458747577-107] [23/03/2016 at 15:39:00]"/>
  </r>
  <r>
    <s v="3640666-1458747552-199"/>
    <s v="Spot"/>
    <s v="3640666-1458747552-199"/>
    <n v="0"/>
    <d v="2016-03-31T00:00:00"/>
    <x v="52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40666-1458747552-199] [23/03/2016 at 15:39:00]"/>
  </r>
  <r>
    <s v="3640663-1458747550-119"/>
    <s v="Spot"/>
    <s v="3640663-1458747550-119"/>
    <n v="0"/>
    <d v="2016-03-31T00:00:00"/>
    <x v="53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40663-1458747550-119] [23/03/2016 at 15:39:00]"/>
  </r>
  <r>
    <s v="3640687-1458747570-101"/>
    <s v="Spot"/>
    <s v="3640687-1458747570-101"/>
    <n v="0"/>
    <d v="2016-03-31T00:00:00"/>
    <x v="54"/>
    <s v="101"/>
    <s v="SELL"/>
    <n v="3.3985056039850563"/>
    <x v="0"/>
    <x v="0"/>
    <n v="54.58"/>
    <s v="Deal"/>
    <m/>
    <s v="Original Amount [EUR 16.06], Merchant Amount [EUR 16.06], Customer Amount [TRY 54.58], Status [APPROVED], Operation [3DAUTH], UUID [3640687-1458747570-101] [23/03/2016 at 15:39:00]"/>
  </r>
  <r>
    <s v="3640654-1458747530-199"/>
    <s v="Spot"/>
    <s v="3640654-1458747530-199"/>
    <n v="0"/>
    <d v="2016-03-31T00:00:00"/>
    <x v="55"/>
    <s v="199"/>
    <s v="SELL"/>
    <n v="9.9506627393225333"/>
    <x v="0"/>
    <x v="1"/>
    <n v="270.26"/>
    <s v="Deal"/>
    <m/>
    <s v="Original Amount [EUR 27.16], Merchant Amount [EUR 27.16], Customer Amount [NOK 270.26], Status [APPROVED], Operation [DIRECT], UUID [3640654-1458747530-199] [23/03/2016 at 15:38:00]"/>
  </r>
  <r>
    <s v="3640681-1458747564-216"/>
    <s v="Spot"/>
    <s v="3640681-1458747564-216"/>
    <n v="0"/>
    <d v="2016-03-31T00:00:00"/>
    <x v="56"/>
    <s v="216"/>
    <s v="SELL"/>
    <n v="3.3989726027397262"/>
    <x v="0"/>
    <x v="0"/>
    <n v="39.700000000000003"/>
    <s v="Deal"/>
    <m/>
    <s v="Original Amount [EUR 11.68], Merchant Amount [EUR 11.68], Customer Amount [TRY 39.7], Status [APPROVED], Operation [3DAUTH], UUID [3640681-1458747564-216] [23/03/2016 at 15:39:00]"/>
  </r>
  <r>
    <s v="3640627-1458747511-224"/>
    <s v="Spot"/>
    <s v="3640627-1458747511-224"/>
    <n v="0"/>
    <d v="2016-03-31T00:00:00"/>
    <x v="57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40627-1458747511-224] [23/03/2016 at 15:38:00]"/>
  </r>
  <r>
    <s v="3640621-1458747499-200"/>
    <s v="Spot"/>
    <s v="3640621-1458747499-200"/>
    <n v="0"/>
    <d v="2016-03-31T00:00:00"/>
    <x v="58"/>
    <s v="200"/>
    <s v="SELL"/>
    <n v="9.9507299270072984"/>
    <x v="0"/>
    <x v="1"/>
    <n v="545.29999999999995"/>
    <s v="Deal"/>
    <m/>
    <s v="Original Amount [EUR 54.8], Merchant Amount [EUR 54.8], Customer Amount [NOK 545.3], Status [APPROVED], Operation [STORED], UUID [3640621-1458747499-200] [23/03/2016 at 15:38:00]"/>
  </r>
  <r>
    <s v="3640618-1458747494-224"/>
    <s v="Spot"/>
    <s v="3640618-1458747494-224"/>
    <n v="0"/>
    <d v="2016-03-31T00:00:00"/>
    <x v="59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40618-1458747494-224] [23/03/2016 at 15:38:00]"/>
  </r>
  <r>
    <s v="3640612-1458747488-216"/>
    <s v="Spot"/>
    <s v="3640612-1458747488-216"/>
    <n v="0"/>
    <d v="2016-03-31T00:00:00"/>
    <x v="60"/>
    <s v="216"/>
    <s v="SELL"/>
    <n v="3.3989856297548604"/>
    <x v="0"/>
    <x v="0"/>
    <n v="40.21"/>
    <s v="Deal"/>
    <m/>
    <s v="Original Amount [EUR 11.83], Merchant Amount [EUR 11.83], Customer Amount [TRY 40.21], Status [WAITING], Operation [3D], UUID [3640612-1458747488-216] [23/03/2016 at 15:38:00]"/>
  </r>
  <r>
    <s v="3640633-1458747514-216"/>
    <s v="Spot"/>
    <s v="3640633-1458747514-216"/>
    <n v="0"/>
    <d v="2016-03-31T00:00:00"/>
    <x v="61"/>
    <s v="216"/>
    <s v="SELL"/>
    <n v="3.3985010706638117"/>
    <x v="0"/>
    <x v="0"/>
    <n v="158.71"/>
    <s v="Deal"/>
    <m/>
    <s v="Original Amount [EUR 46.7], Merchant Amount [EUR 46.7], Customer Amount [TRY 158.71], Status [APPROVED], Operation [3DAUTH], UUID [3640633-1458747514-216] [23/03/2016 at 15:38:00]"/>
  </r>
  <r>
    <s v="3640684-1458747568-126"/>
    <s v="Spot"/>
    <s v="3640684-1458747568-126"/>
    <n v="0"/>
    <d v="2016-03-31T00:00:00"/>
    <x v="62"/>
    <s v="126"/>
    <s v="SELL"/>
    <n v="9.9508130081300799"/>
    <x v="0"/>
    <x v="1"/>
    <n v="244.79"/>
    <s v="Deal"/>
    <m/>
    <s v="Original Amount [EUR 24.6], Merchant Amount [EUR 24.6], Customer Amount [NOK 244.79], Status [APPROVED], Operation [3DAUTH], UUID [3640684-1458747568-126] [23/03/2016 at 15:39:00]"/>
  </r>
  <r>
    <s v="3640588-1458747464-261"/>
    <s v="Spot"/>
    <s v="3640588-1458747464-261"/>
    <n v="0"/>
    <d v="2016-03-31T00:00:00"/>
    <x v="63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40588-1458747464-261] [23/03/2016 at 15:37:00]"/>
  </r>
  <r>
    <s v="3640624-1458747505-107"/>
    <s v="Spot"/>
    <s v="3640624-1458747505-107"/>
    <n v="0"/>
    <d v="2016-03-31T00:00:00"/>
    <x v="64"/>
    <s v="107"/>
    <s v="SELL"/>
    <n v="3.3989670755326014"/>
    <x v="0"/>
    <x v="0"/>
    <n v="52.65"/>
    <s v="Deal"/>
    <m/>
    <s v="Original Amount [EUR 15.49], Merchant Amount [EUR 15.49], Customer Amount [TRY 52.65], Status [APPROVED], Operation [3DAUTH], UUID [3640624-1458747505-107] [23/03/2016 at 15:38:00]"/>
  </r>
  <r>
    <s v="3640537-1458747396-200"/>
    <s v="Spot"/>
    <s v="3640537-1458747396-200"/>
    <n v="0"/>
    <d v="2016-03-31T00:00:00"/>
    <x v="65"/>
    <s v="200"/>
    <s v="SELL"/>
    <n v="9.9510000000000005"/>
    <x v="0"/>
    <x v="1"/>
    <n v="199.02"/>
    <s v="Deal"/>
    <m/>
    <s v="Original Amount [EUR 20], Merchant Amount [EUR 20], Customer Amount [NOK 199.02], Status [APPROVED], Operation [STORED], UUID [3640537-1458747396-200] [23/03/2016 at 15:36:00]"/>
  </r>
  <r>
    <s v="3640555-1458747415-56"/>
    <s v="Spot"/>
    <s v="3640555-1458747415-56"/>
    <n v="0"/>
    <d v="2016-03-31T00:00:00"/>
    <x v="66"/>
    <s v="56"/>
    <s v="SELL"/>
    <n v="3.398416389115817"/>
    <x v="0"/>
    <x v="0"/>
    <n v="540.79"/>
    <s v="Deal"/>
    <m/>
    <s v="Original Amount [EUR 159.13], Merchant Amount [EUR 159.13], Customer Amount [TRY 540.79], Status [APPROVED], Operation [3DAUTH], UUID [3640555-1458747415-56] [23/03/2016 at 15:36:00]"/>
  </r>
  <r>
    <s v="3640534-1458747395-145"/>
    <s v="Spot"/>
    <s v="3640534-1458747395-145"/>
    <n v="0"/>
    <d v="2016-03-31T00:00:00"/>
    <x v="67"/>
    <s v="145"/>
    <s v="SELL"/>
    <n v="9.9507268265055693"/>
    <x v="0"/>
    <x v="1"/>
    <n v="527.09"/>
    <s v="Deal"/>
    <m/>
    <s v="Original Amount [EUR 52.97], Merchant Amount [EUR 52.97], Customer Amount [NOK 527.09], Status [APPROVED], Operation [DIRECT], UUID [3640534-1458747395-145] [23/03/2016 at 15:36:00]"/>
  </r>
  <r>
    <s v="3640528-1458747393-119"/>
    <s v="Spot"/>
    <s v="3640528-1458747393-119"/>
    <n v="0"/>
    <d v="2016-03-31T00:00:00"/>
    <x v="6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40528-1458747393-119] [23/03/2016 at 15:36:00]"/>
  </r>
  <r>
    <s v="3640525-1458747393-216"/>
    <s v="Spot"/>
    <s v="3640525-1458747393-216"/>
    <n v="0"/>
    <d v="2016-03-31T00:00:00"/>
    <x v="69"/>
    <s v="216"/>
    <s v="SELL"/>
    <n v="3.3990825688073389"/>
    <x v="0"/>
    <x v="0"/>
    <n v="37.049999999999997"/>
    <s v="Deal"/>
    <m/>
    <s v="Original Amount [EUR 10.9], Merchant Amount [EUR 10.9], Customer Amount [TRY 37.05], Status [WAITING], Operation [3D], UUID [3640525-1458747393-216] [23/03/2016 at 15:36:00]"/>
  </r>
  <r>
    <s v="3640507-1458747375-126"/>
    <s v="Spot"/>
    <s v="3640507-1458747375-126"/>
    <n v="0"/>
    <d v="2016-03-31T00:00:00"/>
    <x v="70"/>
    <s v="126"/>
    <s v="SELL"/>
    <n v="9.9506341463414643"/>
    <x v="0"/>
    <x v="1"/>
    <n v="1019.94"/>
    <s v="Deal"/>
    <m/>
    <s v="Original Amount [EUR 102.5], Merchant Amount [EUR 102.5], Customer Amount [NOK 1019.94], Status [APPROVED], Operation [DIRECT], UUID [3640507-1458747375-126] [23/03/2016 at 15:36:00]"/>
  </r>
  <r>
    <s v="3640504-1458747369-224"/>
    <s v="Spot"/>
    <s v="3640504-1458747369-224"/>
    <n v="0"/>
    <d v="2016-03-31T00:00:00"/>
    <x v="71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40504-1458747369-224] [23/03/2016 at 15:36:00]"/>
  </r>
  <r>
    <s v="3640519-1458747385-56"/>
    <s v="Spot"/>
    <s v="3640519-1458747385-56"/>
    <n v="0"/>
    <d v="2016-03-31T00:00:00"/>
    <x v="72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519-1458747385-56] [23/03/2016 at 15:36:00]"/>
  </r>
  <r>
    <s v="3640486-1458747346-261"/>
    <s v="Spot"/>
    <s v="3640486-1458747346-261"/>
    <n v="0"/>
    <d v="2016-03-31T00:00:00"/>
    <x v="73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40486-1458747346-261] [23/03/2016 at 15:35:00]"/>
  </r>
  <r>
    <s v="3640522-1458747388-56"/>
    <s v="Spot"/>
    <s v="3640522-1458747388-56"/>
    <n v="0"/>
    <d v="2016-03-31T00:00:00"/>
    <x v="74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522-1458747388-56] [23/03/2016 at 15:36:00]"/>
  </r>
  <r>
    <s v="3640477-1458747339-125"/>
    <s v="Spot"/>
    <s v="3640477-1458747339-125"/>
    <n v="0"/>
    <d v="2016-03-31T00:00:00"/>
    <x v="75"/>
    <s v="125"/>
    <s v="SELL"/>
    <n v="9.954600000000001"/>
    <x v="0"/>
    <x v="1"/>
    <n v="1990.92"/>
    <s v="Deal"/>
    <m/>
    <s v="Original Amount [EUR 200], Merchant Amount [EUR 200], Customer Amount [NOK 1990.92], Status [APPROVED], Operation [DIRECT], UUID [3640477-1458747339-125] [23/03/2016 at 15:35:00]"/>
  </r>
  <r>
    <s v="3640468-1458747334-119"/>
    <s v="Spot"/>
    <s v="3640468-1458747334-119"/>
    <n v="0"/>
    <d v="2016-03-31T00:00:00"/>
    <x v="76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40468-1458747334-119] [23/03/2016 at 15:35:00]"/>
  </r>
  <r>
    <s v="3640465-1458747330-119"/>
    <s v="Spot"/>
    <s v="3640465-1458747330-119"/>
    <n v="0"/>
    <d v="2016-03-31T00:00:00"/>
    <x v="77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40465-1458747330-119] [23/03/2016 at 15:35:00]"/>
  </r>
  <r>
    <s v="3640456-1458747313-101"/>
    <s v="Spot"/>
    <s v="3640456-1458747313-101"/>
    <n v="0"/>
    <d v="2016-03-31T00:00:00"/>
    <x v="78"/>
    <s v="101"/>
    <s v="SELL"/>
    <n v="3.3879377431906614"/>
    <x v="0"/>
    <x v="0"/>
    <n v="87.07"/>
    <s v="Deal"/>
    <m/>
    <s v="Original Amount [EUR 25.7], Merchant Amount [EUR 25.7], Customer Amount [TRY 87.07], Status [WAITING], Operation [3D], UUID [3640456-1458747313-101] [23/03/2016 at 15:35:00]"/>
  </r>
  <r>
    <s v="3640495-1458747358-56"/>
    <s v="Spot"/>
    <s v="3640495-1458747358-56"/>
    <n v="0"/>
    <d v="2016-03-31T00:00:00"/>
    <x v="79"/>
    <s v="56"/>
    <s v="SELL"/>
    <n v="3.3878787878787882"/>
    <x v="0"/>
    <x v="0"/>
    <n v="122.98"/>
    <s v="Deal"/>
    <m/>
    <s v="Original Amount [EUR 36.3], Merchant Amount [EUR 36.3], Customer Amount [TRY 122.98], Status [APPROVED], Operation [3DAUTH], UUID [3640495-1458747358-56] [23/03/2016 at 15:35:00]"/>
  </r>
  <r>
    <s v="3640429-1458747279-82"/>
    <s v="Spot"/>
    <s v="3640429-1458747279-82"/>
    <n v="0"/>
    <d v="2016-03-31T00:00:00"/>
    <x v="8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40429-1458747279-82] [23/03/2016 at 15:34:00]"/>
  </r>
  <r>
    <s v="3640420-1458747273-224"/>
    <s v="Spot"/>
    <s v="3640420-1458747273-224"/>
    <n v="0"/>
    <d v="2016-03-31T00:00:00"/>
    <x v="8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40420-1458747273-224] [23/03/2016 at 15:34:00]"/>
  </r>
  <r>
    <s v="3640492-1458747356-216"/>
    <s v="Spot"/>
    <s v="3640492-1458747356-216"/>
    <n v="0"/>
    <d v="2016-03-31T00:00:00"/>
    <x v="82"/>
    <s v="216"/>
    <s v="SELL"/>
    <n v="3.388046387154326"/>
    <x v="0"/>
    <x v="0"/>
    <n v="37.979999999999997"/>
    <s v="Deal"/>
    <m/>
    <s v="Original Amount [EUR 11.21], Merchant Amount [EUR 11.21], Customer Amount [TRY 37.98], Status [APPROVED], Operation [3DAUTH], UUID [3640492-1458747356-216] [23/03/2016 at 15:35:00]"/>
  </r>
  <r>
    <s v="3640447-1458747296-216"/>
    <s v="Spot"/>
    <s v="3640447-1458747296-216"/>
    <n v="0"/>
    <d v="2016-03-31T00:00:00"/>
    <x v="83"/>
    <s v="216"/>
    <s v="SELL"/>
    <n v="3.3879254977520872"/>
    <x v="0"/>
    <x v="0"/>
    <n v="52.75"/>
    <s v="Deal"/>
    <m/>
    <s v="Original Amount [EUR 15.57], Merchant Amount [EUR 15.57], Customer Amount [TRY 52.75], Status [APPROVED], Operation [3DAUTH], UUID [3640447-1458747296-216] [23/03/2016 at 15:34:00]"/>
  </r>
  <r>
    <s v="3640405-1458747263-200"/>
    <s v="Spot"/>
    <s v="3640405-1458747263-200"/>
    <n v="0"/>
    <d v="2016-03-31T00:00:00"/>
    <x v="84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40405-1458747263-200] [23/03/2016 at 15:34:00]"/>
  </r>
  <r>
    <s v="3640435-1458747280-264"/>
    <s v="Spot"/>
    <s v="3640435-1458747280-264"/>
    <n v="0"/>
    <d v="2016-03-31T00:00:00"/>
    <x v="85"/>
    <s v="264"/>
    <s v="SELL"/>
    <n v="3.3883211678832112"/>
    <x v="0"/>
    <x v="0"/>
    <n v="69.63"/>
    <s v="Deal"/>
    <m/>
    <s v="Original Amount [TRY 66], Merchant Amount [EUR 20.55], Customer Amount [TRY 69.63], Status [APPROVED], Operation [3DAUTH], UUID [3640435-1458747280-264] [23/03/2016 at 15:34:00]"/>
  </r>
  <r>
    <s v="3640381-1458747242-264"/>
    <s v="Spot"/>
    <s v="3640381-1458747242-264"/>
    <n v="0"/>
    <d v="2016-03-31T00:00:00"/>
    <x v="85"/>
    <s v="264"/>
    <s v="SELL"/>
    <n v="3.3883211678832112"/>
    <x v="0"/>
    <x v="0"/>
    <n v="69.63"/>
    <s v="Deal"/>
    <m/>
    <s v="Original Amount [TRY 66], Merchant Amount [EUR 20.55], Customer Amount [TRY 69.63], Status [WAITING], Operation [3D], UUID [3640381-1458747242-264] [23/03/2016 at 15:34:00]"/>
  </r>
  <r>
    <s v="3640483-1458747343-119"/>
    <s v="Spot"/>
    <s v="3640483-1458747343-119"/>
    <n v="0"/>
    <d v="2016-03-31T00:00:00"/>
    <x v="86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40483-1458747343-119] [23/03/2016 at 15:35:00]"/>
  </r>
  <r>
    <s v="3640402-1458747260-124"/>
    <s v="Spot"/>
    <s v="3640402-1458747260-124"/>
    <n v="0"/>
    <d v="2016-03-31T00:00:00"/>
    <x v="87"/>
    <s v="124"/>
    <s v="SELL"/>
    <n v="9.9546742209631738"/>
    <x v="0"/>
    <x v="1"/>
    <n v="105.42"/>
    <s v="Deal"/>
    <m/>
    <s v="Original Amount [EUR 10.59], Merchant Amount [EUR 10.59], Customer Amount [NOK 105.42], Status [APPROVED], Operation [3DAUTH], UUID [3640402-1458747260-124] [23/03/2016 at 15:34:00]"/>
  </r>
  <r>
    <s v="3640399-1458747259-216"/>
    <s v="Spot"/>
    <s v="3640399-1458747259-216"/>
    <n v="0"/>
    <d v="2016-03-31T00:00:00"/>
    <x v="88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40399-1458747259-216] [23/03/2016 at 15:34:00]"/>
  </r>
  <r>
    <s v="3640348-1458747200-161"/>
    <s v="Spot"/>
    <s v="3640348-1458747200-161"/>
    <n v="0"/>
    <d v="2016-03-31T00:00:00"/>
    <x v="89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40348-1458747200-161] [23/03/2016 at 15:33:00]"/>
  </r>
  <r>
    <s v="3640378-1458747241-56"/>
    <s v="Spot"/>
    <s v="3640378-1458747241-56"/>
    <n v="0"/>
    <d v="2016-03-31T00:00:00"/>
    <x v="90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378-1458747241-56] [23/03/2016 at 15:34:00]"/>
  </r>
  <r>
    <s v="3640345-1458747199-56"/>
    <s v="Spot"/>
    <s v="3640345-1458747199-56"/>
    <n v="0"/>
    <d v="2016-03-31T00:00:00"/>
    <x v="91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40345-1458747199-56] [23/03/2016 at 15:33:00]"/>
  </r>
  <r>
    <s v="3640303-1458747175-187"/>
    <s v="Spot"/>
    <s v="3640303-1458747175-187"/>
    <n v="0"/>
    <d v="2016-03-31T00:00:00"/>
    <x v="92"/>
    <s v="187"/>
    <s v="SELL"/>
    <n v="9.9662832834409958"/>
    <x v="0"/>
    <x v="1"/>
    <n v="1265.1199999999999"/>
    <s v="Deal"/>
    <m/>
    <s v="Original Amount [EUR 126.94], Merchant Amount [EUR 126.94], Customer Amount [NOK 1265.12], Status [APPROVED], Operation [DIRECT], UUID [3640303-1458747175-187] [23/03/2016 at 15:32:00]"/>
  </r>
  <r>
    <s v="3640288-1458747161-224"/>
    <s v="Spot"/>
    <s v="3640288-1458747161-224"/>
    <n v="0"/>
    <d v="2016-03-31T00:00:00"/>
    <x v="93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40288-1458747161-224] [23/03/2016 at 15:32:00]"/>
  </r>
  <r>
    <s v="3640282-1458747157-261"/>
    <s v="Spot"/>
    <s v="3640282-1458747157-261"/>
    <n v="0"/>
    <d v="2016-03-31T00:00:00"/>
    <x v="94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40282-1458747157-261] [23/03/2016 at 15:32:00]"/>
  </r>
  <r>
    <s v="3640279-1458747157-224"/>
    <s v="Spot"/>
    <s v="3640279-1458747157-224"/>
    <n v="0"/>
    <d v="2016-03-31T00:00:00"/>
    <x v="95"/>
    <s v="224"/>
    <s v="SELL"/>
    <n v="133.03550376970529"/>
    <x v="0"/>
    <x v="3"/>
    <n v="9704.94"/>
    <s v="Deal"/>
    <m/>
    <s v="Original Amount [EUR 72.95], Merchant Amount [EUR 72.95], Customer Amount [JPY 9704.94], Status [APPROVED], Operation [DIRECT], UUID [3640279-1458747157-224] [23/03/2016 at 15:32:00]"/>
  </r>
  <r>
    <s v="3640273-1458747153-161"/>
    <s v="Spot"/>
    <s v="3640273-1458747153-161"/>
    <n v="0"/>
    <d v="2016-03-31T00:00:00"/>
    <x v="96"/>
    <s v="161"/>
    <s v="SELL"/>
    <n v="1.5591127372513152"/>
    <x v="0"/>
    <x v="5"/>
    <n v="136.36000000000001"/>
    <s v="Deal"/>
    <m/>
    <s v="Original Amount [EUR 87.46], Merchant Amount [EUR 87.46], Customer Amount [AUD 136.36], Status [APPROVED], Operation [STORED], UUID [3640273-1458747153-161] [23/03/2016 at 15:32:00]"/>
  </r>
  <r>
    <s v="3640276-1458747153-224"/>
    <s v="Spot"/>
    <s v="3640276-1458747153-224"/>
    <n v="0"/>
    <d v="2016-03-31T00:00:00"/>
    <x v="97"/>
    <s v="224"/>
    <s v="SELL"/>
    <n v="9.9663366336633672"/>
    <x v="0"/>
    <x v="1"/>
    <n v="150.99"/>
    <s v="Deal"/>
    <m/>
    <s v="Original Amount [EUR 15.15], Merchant Amount [EUR 15.15], Customer Amount [NOK 150.99], Status [APPROVED], Operation [DIRECT], UUID [3640276-1458747153-224] [23/03/2016 at 15:32:00]"/>
  </r>
  <r>
    <s v="3640324-1458747187-264"/>
    <s v="Spot"/>
    <s v="3640324-1458747187-264"/>
    <n v="0"/>
    <d v="2016-03-31T00:00:00"/>
    <x v="98"/>
    <s v="264"/>
    <s v="SELL"/>
    <n v="3.3910714285714283"/>
    <x v="0"/>
    <x v="0"/>
    <n v="18.989999999999998"/>
    <s v="Deal"/>
    <m/>
    <s v="Original Amount [TRY 18], Merchant Amount [EUR 5.6], Customer Amount [TRY 18.99], Status [APPROVED], Operation [3DAUTH], UUID [3640324-1458747187-264] [23/03/2016 at 15:33:00]"/>
  </r>
  <r>
    <s v="3640246-1458747137-161"/>
    <s v="Spot"/>
    <s v="3640246-1458747137-161"/>
    <n v="0"/>
    <d v="2016-03-31T00:00:00"/>
    <x v="99"/>
    <s v="161"/>
    <s v="SELL"/>
    <n v="1.5591127372513152"/>
    <x v="0"/>
    <x v="5"/>
    <n v="68.180000000000007"/>
    <s v="Deal"/>
    <m/>
    <s v="Original Amount [EUR 43.73], Merchant Amount [EUR 43.73], Customer Amount [AUD 68.18], Status [APPROVED], Operation [STORED], UUID [3640246-1458747137-161] [23/03/2016 at 15:32:00]"/>
  </r>
  <r>
    <s v="3640219-1458747115-119"/>
    <s v="Spot"/>
    <s v="3640219-1458747115-119"/>
    <n v="0"/>
    <d v="2016-03-31T00:00:00"/>
    <x v="100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40219-1458747115-119] [23/03/2016 at 15:31:00]"/>
  </r>
  <r>
    <s v="3640204-1458747109-161"/>
    <s v="Spot"/>
    <s v="3640204-1458747109-161"/>
    <n v="0"/>
    <d v="2016-03-31T00:00:00"/>
    <x v="101"/>
    <s v="161"/>
    <s v="SELL"/>
    <n v="1.5592135345221765"/>
    <x v="0"/>
    <x v="5"/>
    <n v="34.1"/>
    <s v="Deal"/>
    <m/>
    <s v="Original Amount [EUR 21.87], Merchant Amount [EUR 21.87], Customer Amount [AUD 34.1], Status [APPROVED], Operation [STORED], UUID [3640204-1458747109-161] [23/03/2016 at 15:31:00]"/>
  </r>
  <r>
    <s v="3640261-1458747145-56"/>
    <s v="Spot"/>
    <s v="3640261-1458747145-56"/>
    <n v="0"/>
    <d v="2016-03-31T00:00:00"/>
    <x v="1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40261-1458747145-56] [23/03/2016 at 15:32:00]"/>
  </r>
  <r>
    <s v="3640198-1458747108-224"/>
    <s v="Spot"/>
    <s v="3640198-1458747108-224"/>
    <n v="0"/>
    <d v="2016-03-31T00:00:00"/>
    <x v="103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40198-1458747108-224] [23/03/2016 at 15:31:00]"/>
  </r>
  <r>
    <s v="3640471-1458747335-101"/>
    <s v="Spot"/>
    <s v="3640471-1458747335-101"/>
    <n v="0"/>
    <d v="2016-03-31T00:00:00"/>
    <x v="104"/>
    <s v="101"/>
    <s v="SELL"/>
    <n v="3.392235609103079"/>
    <x v="0"/>
    <x v="0"/>
    <n v="101.36"/>
    <s v="Deal"/>
    <m/>
    <s v="Original Amount [EUR 29.88], Merchant Amount [EUR 29.88], Customer Amount [TRY 101.36], Status [APPROVED], Operation [3DAUTH], UUID [3640471-1458747335-101] [23/03/2016 at 15:35:00]"/>
  </r>
  <r>
    <s v="3640216-1458747115-101"/>
    <s v="Spot"/>
    <s v="3640216-1458747115-101"/>
    <n v="0"/>
    <d v="2016-03-31T00:00:00"/>
    <x v="105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40216-1458747115-101] [23/03/2016 at 15:31:00]"/>
  </r>
  <r>
    <s v="3640132-1458747074-224"/>
    <s v="Spot"/>
    <s v="3640132-1458747074-224"/>
    <n v="0"/>
    <d v="2016-03-31T00:00:00"/>
    <x v="106"/>
    <s v="224"/>
    <s v="SELL"/>
    <n v="9.9662755243462993"/>
    <x v="0"/>
    <x v="1"/>
    <n v="1078.6500000000001"/>
    <s v="Deal"/>
    <m/>
    <s v="Original Amount [EUR 108.23], Merchant Amount [EUR 108.23], Customer Amount [NOK 1078.65], Status [APPROVED], Operation [DIRECT], UUID [3640132-1458747074-224] [23/03/2016 at 15:31:00]"/>
  </r>
  <r>
    <s v="3640108-1458747057-161"/>
    <s v="Spot"/>
    <s v="3640108-1458747057-161"/>
    <n v="0"/>
    <d v="2016-03-31T00:00:00"/>
    <x v="107"/>
    <s v="161"/>
    <s v="SELL"/>
    <n v="1.5592135345221765"/>
    <x v="0"/>
    <x v="5"/>
    <n v="34.1"/>
    <s v="Deal"/>
    <m/>
    <s v="Original Amount [EUR 21.87], Merchant Amount [EUR 21.87], Customer Amount [AUD 34.1], Status [APPROVED], Operation [STORED], UUID [3640108-1458747057-161] [23/03/2016 at 15:30:00]"/>
  </r>
  <r>
    <s v="3640102-1458747052-145"/>
    <s v="Spot"/>
    <s v="3640102-1458747052-145"/>
    <n v="0"/>
    <d v="2016-03-31T00:00:00"/>
    <x v="108"/>
    <s v="145"/>
    <s v="SELL"/>
    <n v="9.96642626212385"/>
    <x v="0"/>
    <x v="1"/>
    <n v="400.75"/>
    <s v="Deal"/>
    <m/>
    <s v="Original Amount [EUR 40.21], Merchant Amount [EUR 40.21], Customer Amount [NOK 400.75], Status [APPROVED], Operation [DIRECT], UUID [3640102-1458747052-145] [23/03/2016 at 15:30:00]"/>
  </r>
  <r>
    <s v="3640114-1458747059-203"/>
    <s v="Spot"/>
    <s v="3640114-1458747059-203"/>
    <n v="0"/>
    <d v="2016-03-31T00:00:00"/>
    <x v="109"/>
    <s v="203"/>
    <s v="SELL"/>
    <n v="3.3919877998709596"/>
    <x v="0"/>
    <x v="0"/>
    <n v="578.29999999999995"/>
    <s v="Deal"/>
    <m/>
    <s v="Original Amount [EUR 170.49], Merchant Amount [EUR 170.49], Customer Amount [TRY 578.3], Status [APPROVED], Operation [3DAUTH], UUID [3640114-1458747059-203] [23/03/2016 at 15:30:00]"/>
  </r>
  <r>
    <s v="3640072-1458747036-171"/>
    <s v="Spot"/>
    <s v="3640072-1458747036-171"/>
    <n v="0"/>
    <d v="2016-03-31T00:00:00"/>
    <x v="110"/>
    <s v="171"/>
    <s v="SELL"/>
    <n v="9.966333333333333"/>
    <x v="0"/>
    <x v="1"/>
    <n v="597.98"/>
    <s v="Deal"/>
    <m/>
    <s v="Original Amount [EUR 60], Merchant Amount [EUR 60], Customer Amount [NOK 597.98], Status [APPROVED], Operation [DIRECT], UUID [3640072-1458747036-171] [23/03/2016 at 15:30:00]"/>
  </r>
  <r>
    <s v="3640066-1458747033-261"/>
    <s v="Spot"/>
    <s v="3640066-1458747033-261"/>
    <n v="0"/>
    <d v="2016-03-31T00:00:00"/>
    <x v="111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40066-1458747033-261] [23/03/2016 at 15:30:00]"/>
  </r>
  <r>
    <s v="3640048-1458747021-56"/>
    <s v="Spot"/>
    <s v="3640048-1458747021-56"/>
    <n v="0"/>
    <d v="2016-03-31T00:00:00"/>
    <x v="112"/>
    <s v="56"/>
    <s v="SELL"/>
    <n v="3.3921568627450975"/>
    <x v="0"/>
    <x v="0"/>
    <n v="108.99"/>
    <s v="Deal"/>
    <m/>
    <s v="Original Amount [EUR 32.13], Merchant Amount [EUR 32.13], Customer Amount [TRY 108.99], Status [WAITING], Operation [3D], UUID [3640048-1458747021-56] [23/03/2016 at 15:30:00]"/>
  </r>
  <r>
    <s v="3640042-1458747017-161"/>
    <s v="Spot"/>
    <s v="3640042-1458747017-161"/>
    <n v="0"/>
    <d v="2016-03-31T00:00:00"/>
    <x v="113"/>
    <s v="161"/>
    <s v="SELL"/>
    <n v="1.7601961487860303"/>
    <x v="0"/>
    <x v="6"/>
    <n v="147.16999999999999"/>
    <s v="Deal"/>
    <m/>
    <s v="Original Amount [EUR 83.61], Merchant Amount [EUR 83.61], Customer Amount [NZD 147.17], Status [APPROVED], Operation [STORED], UUID [3640042-1458747017-161] [23/03/2016 at 15:30:00]"/>
  </r>
  <r>
    <s v="3640156-1458747083-107"/>
    <s v="Spot"/>
    <s v="3640156-1458747083-107"/>
    <n v="0"/>
    <d v="2016-03-31T00:00:00"/>
    <x v="114"/>
    <s v="107"/>
    <s v="SELL"/>
    <n v="3.3923679060665362"/>
    <x v="0"/>
    <x v="0"/>
    <n v="34.67"/>
    <s v="Deal"/>
    <m/>
    <s v="Original Amount [EUR 10.22], Merchant Amount [EUR 10.22], Customer Amount [TRY 34.67], Status [APPROVED], Operation [3DAUTH], UUID [3640156-1458747083-107] [23/03/2016 at 15:31:00]"/>
  </r>
  <r>
    <s v="3640024-1458747010-145"/>
    <s v="Spot"/>
    <s v="3640024-1458747010-145"/>
    <n v="0"/>
    <d v="2016-03-31T00:00:00"/>
    <x v="115"/>
    <s v="145"/>
    <s v="SELL"/>
    <n v="9.9663960732490082"/>
    <x v="0"/>
    <x v="1"/>
    <n v="527.91999999999996"/>
    <s v="Deal"/>
    <m/>
    <s v="Original Amount [EUR 52.97], Merchant Amount [EUR 52.97], Customer Amount [NOK 527.92], Status [APPROVED], Operation [DIRECT], UUID [3640024-1458747010-145] [23/03/2016 at 15:30:00]"/>
  </r>
  <r>
    <s v="3640015-1458747007-119"/>
    <s v="Spot"/>
    <s v="3640015-1458747007-119"/>
    <n v="0"/>
    <d v="2016-03-31T00:00:00"/>
    <x v="116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40015-1458747007-119] [23/03/2016 at 15:30:00]"/>
  </r>
  <r>
    <s v="3640006-1458747002-145"/>
    <s v="Spot"/>
    <s v="3640006-1458747002-145"/>
    <n v="0"/>
    <d v="2016-03-31T00:00:00"/>
    <x v="117"/>
    <s v="145"/>
    <s v="SELL"/>
    <n v="1.5441154952933716"/>
    <x v="0"/>
    <x v="2"/>
    <n v="316.58999999999997"/>
    <s v="Deal"/>
    <m/>
    <s v="Original Amount [EUR 205.03], Merchant Amount [EUR 205.03], Customer Amount [CAD 316.59], Status [APPROVED], Operation [DIRECT], UUID [3640006-1458747002-145] [23/03/2016 at 15:30:00]"/>
  </r>
  <r>
    <s v="3640000-1458746988-199"/>
    <s v="Spot"/>
    <s v="3640000-1458746988-199"/>
    <n v="0"/>
    <d v="2016-03-31T00:00:00"/>
    <x v="11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40000-1458746988-199] [23/03/2016 at 15:29:00]"/>
  </r>
  <r>
    <s v="3639991-1458746979-119"/>
    <s v="Spot"/>
    <s v="3639991-1458746979-119"/>
    <n v="0"/>
    <d v="2016-03-31T00:00:00"/>
    <x v="119"/>
    <s v="119"/>
    <s v="SELL"/>
    <n v="9.9663000000000004"/>
    <x v="0"/>
    <x v="1"/>
    <n v="996.63"/>
    <s v="Deal"/>
    <m/>
    <s v="Original Amount [EUR 100], Merchant Amount [EUR 100], Customer Amount [NOK 996.63], Status [APPROVED], Operation [DIRECT], UUID [3639991-1458746979-119] [23/03/2016 at 15:29:00]"/>
  </r>
  <r>
    <s v="3639982-1458746969-261"/>
    <s v="Spot"/>
    <s v="3639982-1458746969-261"/>
    <n v="0"/>
    <d v="2016-03-31T00:00:00"/>
    <x v="120"/>
    <s v="261"/>
    <s v="SELL"/>
    <n v="9.966285406311755"/>
    <x v="0"/>
    <x v="1"/>
    <n v="3328.54"/>
    <s v="Deal"/>
    <m/>
    <s v="Original Amount [EUR 333.98], Merchant Amount [EUR 333.98], Customer Amount [NOK 3328.54], Status [APPROVED], Operation [DIRECT], UUID [3639982-1458746969-261] [23/03/2016 at 15:29:00]"/>
  </r>
  <r>
    <s v="3639979-1458746968-187"/>
    <s v="Spot"/>
    <s v="3639979-1458746968-187"/>
    <n v="0"/>
    <d v="2016-03-31T00:00:00"/>
    <x v="121"/>
    <s v="187"/>
    <s v="SELL"/>
    <n v="9.9666036546943921"/>
    <x v="0"/>
    <x v="1"/>
    <n v="158.16999999999999"/>
    <s v="Deal"/>
    <m/>
    <s v="Original Amount [EUR 15.87], Merchant Amount [EUR 15.87], Customer Amount [NOK 158.17], Status [APPROVED], Operation [DIRECT], UUID [3639979-1458746968-187] [23/03/2016 at 15:29:00]"/>
  </r>
  <r>
    <s v="3639976-1458746966-145"/>
    <s v="Spot"/>
    <s v="3639976-1458746966-145"/>
    <n v="0"/>
    <d v="2016-03-31T00:00:00"/>
    <x v="122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9976-1458746966-145] [23/03/2016 at 15:29:00]"/>
  </r>
  <r>
    <s v="3639952-1458746926-224"/>
    <s v="Spot"/>
    <s v="3639952-1458746926-224"/>
    <n v="0"/>
    <d v="2016-03-31T00:00:00"/>
    <x v="123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9952-1458746926-224] [23/03/2016 at 15:28:00]"/>
  </r>
  <r>
    <s v="3639964-1458746954-216"/>
    <s v="Spot"/>
    <s v="3639964-1458746954-216"/>
    <n v="0"/>
    <d v="2016-03-31T00:00:00"/>
    <x v="124"/>
    <s v="216"/>
    <s v="SELL"/>
    <n v="3.3956326268464996"/>
    <x v="0"/>
    <x v="0"/>
    <n v="52.87"/>
    <s v="Deal"/>
    <m/>
    <s v="Original Amount [EUR 15.57], Merchant Amount [EUR 15.57], Customer Amount [TRY 52.87], Status [APPROVED], Operation [3DAUTH], UUID [3639964-1458746954-216] [23/03/2016 at 15:29:00]"/>
  </r>
  <r>
    <s v="3639934-1458746898-125"/>
    <s v="Spot"/>
    <s v="3639934-1458746898-125"/>
    <n v="0"/>
    <d v="2016-03-31T00:00:00"/>
    <x v="125"/>
    <s v="125"/>
    <s v="SELL"/>
    <n v="9.9664000000000001"/>
    <x v="0"/>
    <x v="1"/>
    <n v="498.32"/>
    <s v="Deal"/>
    <m/>
    <s v="Original Amount [EUR 50], Merchant Amount [EUR 50], Customer Amount [NOK 498.32], Status [APPROVED], Operation [DIRECT], UUID [3639934-1458746898-125] [23/03/2016 at 15:28:00]"/>
  </r>
  <r>
    <s v="3639955-1458746937-107"/>
    <s v="Spot"/>
    <s v="3639955-1458746937-107"/>
    <n v="0"/>
    <d v="2016-03-31T00:00:00"/>
    <x v="126"/>
    <s v="107"/>
    <s v="SELL"/>
    <n v="3.3960113960113962"/>
    <x v="0"/>
    <x v="0"/>
    <n v="35.76"/>
    <s v="Deal"/>
    <m/>
    <s v="Original Amount [EUR 10.53], Merchant Amount [EUR 10.53], Customer Amount [TRY 35.76], Status [APPROVED], Operation [3DAUTH], UUID [3639955-1458746937-107] [23/03/2016 at 15:28:00]"/>
  </r>
  <r>
    <s v="3639940-1458746906-216"/>
    <s v="Spot"/>
    <s v="3639940-1458746906-216"/>
    <n v="0"/>
    <d v="2016-03-31T00:00:00"/>
    <x v="127"/>
    <s v="216"/>
    <s v="SELL"/>
    <n v="3.3955375253549698"/>
    <x v="0"/>
    <x v="0"/>
    <n v="50.22"/>
    <s v="Deal"/>
    <m/>
    <s v="Original Amount [EUR 14.79], Merchant Amount [EUR 14.79], Customer Amount [TRY 50.22], Status [APPROVED], Operation [3DAUTH], UUID [3639940-1458746906-216] [23/03/2016 at 15:28:00]"/>
  </r>
  <r>
    <s v="3639910-1458746859-224"/>
    <s v="Spot"/>
    <s v="3639910-1458746859-224"/>
    <n v="0"/>
    <d v="2016-03-31T00:00:00"/>
    <x v="128"/>
    <s v="224"/>
    <s v="SELL"/>
    <n v="9.9662739662739668"/>
    <x v="0"/>
    <x v="1"/>
    <n v="862.88"/>
    <s v="Deal"/>
    <m/>
    <s v="Original Amount [EUR 86.58], Merchant Amount [EUR 86.58], Customer Amount [NOK 862.88], Status [APPROVED], Operation [DIRECT], UUID [3639910-1458746859-224] [23/03/2016 at 15:27:00]"/>
  </r>
  <r>
    <s v="3639961-1458746942-101"/>
    <s v="Spot"/>
    <s v="3639961-1458746942-101"/>
    <n v="0"/>
    <d v="2016-03-31T00:00:00"/>
    <x v="129"/>
    <s v="101"/>
    <s v="SELL"/>
    <n v="3.3955739972337482"/>
    <x v="0"/>
    <x v="0"/>
    <n v="49.1"/>
    <s v="Deal"/>
    <m/>
    <s v="Original Amount [EUR 14.46], Merchant Amount [EUR 14.46], Customer Amount [TRY 49.1], Status [APPROVED], Operation [3DAUTH], UUID [3639961-1458746942-101] [23/03/2016 at 15:29:00]"/>
  </r>
  <r>
    <s v="3639901-1458746852-216"/>
    <s v="Spot"/>
    <s v="3639901-1458746852-216"/>
    <n v="0"/>
    <d v="2016-03-31T00:00:00"/>
    <x v="130"/>
    <s v="216"/>
    <s v="SELL"/>
    <n v="3.3953177257525082"/>
    <x v="0"/>
    <x v="0"/>
    <n v="50.76"/>
    <s v="Deal"/>
    <m/>
    <s v="Original Amount [EUR 14.95], Merchant Amount [EUR 14.95], Customer Amount [TRY 50.76], Status [WAITING], Operation [3D], UUID [3639901-1458746852-216] [23/03/2016 at 15:27:00]"/>
  </r>
  <r>
    <s v="3639892-1458746822-82"/>
    <s v="Spot"/>
    <s v="3639892-1458746822-82"/>
    <n v="0"/>
    <d v="2016-03-31T00:00:00"/>
    <x v="131"/>
    <s v="82"/>
    <s v="SELL"/>
    <n v="1.1842105263157894"/>
    <x v="0"/>
    <x v="7"/>
    <n v="13.95"/>
    <s v="Deal"/>
    <m/>
    <s v="Original Amount [USD 13.95], Merchant Amount [EUR 11.78], Customer Amount [USD 13.95], Status [APPROVED], Operation [STORED], UUID [3639892-1458746822-82] [23/03/2016 at 15:27:00]"/>
  </r>
  <r>
    <s v="3639895-1458746822-224"/>
    <s v="Spot"/>
    <s v="3639895-1458746822-224"/>
    <n v="0"/>
    <d v="2016-03-31T00:00:00"/>
    <x v="132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9895-1458746822-224] [23/03/2016 at 15:27:00]"/>
  </r>
  <r>
    <s v="3639886-1458746820-241"/>
    <s v="Spot"/>
    <s v="3639886-1458746820-241"/>
    <n v="0"/>
    <d v="2016-03-31T00:00:00"/>
    <x v="133"/>
    <s v="241"/>
    <s v="SELL"/>
    <n v="0.83263157894736839"/>
    <x v="0"/>
    <x v="4"/>
    <n v="31.64"/>
    <s v="Deal"/>
    <m/>
    <s v="Original Amount [EUR 38], Merchant Amount [EUR 38], Customer Amount [GBP 31.64], Status [APPROVED], Operation [DIRECT], UUID [3639886-1458746820-241] [23/03/2016 at 15:27:00]"/>
  </r>
  <r>
    <s v="3639874-1458746799-119"/>
    <s v="Spot"/>
    <s v="3639874-1458746799-119"/>
    <n v="0"/>
    <d v="2016-03-31T00:00:00"/>
    <x v="134"/>
    <s v="119"/>
    <s v="SELL"/>
    <n v="9.9756"/>
    <x v="0"/>
    <x v="1"/>
    <n v="249.39"/>
    <s v="Deal"/>
    <m/>
    <s v="Original Amount [EUR 25], Merchant Amount [EUR 25], Customer Amount [NOK 249.39], Status [APPROVED], Operation [DIRECT], UUID [3639874-1458746799-119] [23/03/2016 at 15:26:00]"/>
  </r>
  <r>
    <s v="3639871-1458746798-124"/>
    <s v="Spot"/>
    <s v="3639871-1458746798-124"/>
    <n v="0"/>
    <d v="2016-03-31T00:00:00"/>
    <x v="135"/>
    <s v="124"/>
    <s v="SELL"/>
    <n v="9.9754427390791012"/>
    <x v="0"/>
    <x v="1"/>
    <n v="422.46"/>
    <s v="Deal"/>
    <m/>
    <s v="Original Amount [EUR 42.35], Merchant Amount [EUR 42.35], Customer Amount [NOK 422.46], Status [APPROVED], Operation [DIRECT], UUID [3639871-1458746798-124] [23/03/2016 at 15:26:00]"/>
  </r>
  <r>
    <s v="3639865-1458746783-119"/>
    <s v="Spot"/>
    <s v="3639865-1458746783-119"/>
    <n v="0"/>
    <d v="2016-03-31T00:00:00"/>
    <x v="136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865-1458746783-119] [23/03/2016 at 15:26:00]"/>
  </r>
  <r>
    <s v="3639868-1458746795-56"/>
    <s v="Spot"/>
    <s v="3639868-1458746795-56"/>
    <n v="0"/>
    <d v="2016-03-31T00:00:00"/>
    <x v="137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9868-1458746795-56] [23/03/2016 at 15:26:00]"/>
  </r>
  <r>
    <s v="3639856-1458746761-171"/>
    <s v="Spot"/>
    <s v="3639856-1458746761-171"/>
    <n v="0"/>
    <d v="2016-03-31T00:00:00"/>
    <x v="138"/>
    <s v="171"/>
    <s v="SELL"/>
    <n v="1.5447870778267254"/>
    <x v="0"/>
    <x v="2"/>
    <n v="10.52"/>
    <s v="Deal"/>
    <m/>
    <s v="Original Amount [EUR 6.81], Merchant Amount [EUR 6.81], Customer Amount [CAD 10.52], Status [APPROVED], Operation [DIRECT], UUID [3639856-1458746761-171] [23/03/2016 at 15:26:00]"/>
  </r>
  <r>
    <s v="3639862-1458746775-126"/>
    <s v="Spot"/>
    <s v="3639862-1458746775-126"/>
    <n v="0"/>
    <d v="2016-03-31T00:00:00"/>
    <x v="139"/>
    <s v="126"/>
    <s v="SELL"/>
    <n v="9.9756097560975618"/>
    <x v="0"/>
    <x v="1"/>
    <n v="204.5"/>
    <s v="Deal"/>
    <m/>
    <s v="Original Amount [EUR 20.5], Merchant Amount [EUR 20.5], Customer Amount [NOK 204.5], Status [APPROVED], Operation [3DAUTH], UUID [3639862-1458746775-126] [23/03/2016 at 15:26:00]"/>
  </r>
  <r>
    <s v="3639826-1458746725-200"/>
    <s v="Spot"/>
    <s v="3639826-1458746725-200"/>
    <n v="0"/>
    <d v="2016-03-31T00:00:00"/>
    <x v="140"/>
    <s v="200"/>
    <s v="SELL"/>
    <n v="9.9756666666666653"/>
    <x v="0"/>
    <x v="1"/>
    <n v="299.27"/>
    <s v="Deal"/>
    <m/>
    <s v="Original Amount [EUR 30], Merchant Amount [EUR 30], Customer Amount [NOK 299.27], Status [APPROVED], Operation [STORED], UUID [3639826-1458746725-200] [23/03/2016 at 15:25:00]"/>
  </r>
  <r>
    <s v="3639823-1458746723-224"/>
    <s v="Spot"/>
    <s v="3639823-1458746723-224"/>
    <n v="0"/>
    <d v="2016-03-31T00:00:00"/>
    <x v="141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9823-1458746723-224] [23/03/2016 at 15:25:00]"/>
  </r>
  <r>
    <s v="3639820-1458746716-264"/>
    <s v="Spot"/>
    <s v="3639820-1458746716-264"/>
    <n v="0"/>
    <d v="2016-03-31T00:00:00"/>
    <x v="142"/>
    <s v="264"/>
    <s v="SELL"/>
    <n v="3.3907307171853858"/>
    <x v="0"/>
    <x v="0"/>
    <n v="100.23"/>
    <s v="Deal"/>
    <m/>
    <s v="Original Amount [TRY 95], Merchant Amount [EUR 29.56], Customer Amount [TRY 100.23], Status [WAITING], Operation [3D], UUID [3639820-1458746716-264] [23/03/2016 at 15:25:00]"/>
  </r>
  <r>
    <s v="3639844-1458746743-212"/>
    <s v="Spot"/>
    <s v="3639844-1458746743-212"/>
    <n v="0"/>
    <d v="2016-03-31T00:00:00"/>
    <x v="143"/>
    <s v="212"/>
    <s v="SELL"/>
    <n v="0.83260739602015532"/>
    <x v="0"/>
    <x v="4"/>
    <n v="97.49"/>
    <s v="Deal"/>
    <m/>
    <s v="Original Amount [EUR 117.09], Merchant Amount [EUR 117.09], Customer Amount [GBP 97.49], Status [APPROVED], Operation [3DAUTH], UUID [3639844-1458746743-212] [23/03/2016 at 15:25:00]"/>
  </r>
  <r>
    <s v="3639808-1458746699-119"/>
    <s v="Spot"/>
    <s v="3639808-1458746699-119"/>
    <n v="0"/>
    <d v="2016-03-31T00:00:00"/>
    <x v="144"/>
    <s v="119"/>
    <s v="SELL"/>
    <n v="9.9756"/>
    <x v="0"/>
    <x v="1"/>
    <n v="249.39"/>
    <s v="Deal"/>
    <m/>
    <s v="Original Amount [EUR 25], Merchant Amount [EUR 25], Customer Amount [NOK 249.39], Status [APPROVED], Operation [DIRECT], UUID [3639808-1458746699-119] [23/03/2016 at 15:24:00]"/>
  </r>
  <r>
    <s v="3639802-1458746685-216"/>
    <s v="Spot"/>
    <s v="3639802-1458746685-216"/>
    <n v="0"/>
    <d v="2016-03-31T00:00:00"/>
    <x v="145"/>
    <s v="216"/>
    <s v="SELL"/>
    <n v="3.3959839357429722"/>
    <x v="0"/>
    <x v="0"/>
    <n v="42.28"/>
    <s v="Deal"/>
    <m/>
    <s v="Original Amount [EUR 12.45], Merchant Amount [EUR 12.45], Customer Amount [TRY 42.28], Status [WAITING], Operation [3D], UUID [3639802-1458746685-216] [23/03/2016 at 15:24:00]"/>
  </r>
  <r>
    <s v="3639799-1458746678-125"/>
    <s v="Spot"/>
    <s v="3639799-1458746678-125"/>
    <n v="0"/>
    <d v="2016-03-31T00:00:00"/>
    <x v="146"/>
    <s v="125"/>
    <s v="SELL"/>
    <n v="9.9754000000000005"/>
    <x v="0"/>
    <x v="1"/>
    <n v="498.77"/>
    <s v="Deal"/>
    <m/>
    <s v="Original Amount [EUR 50], Merchant Amount [EUR 50], Customer Amount [NOK 498.77], Status [APPROVED], Operation [DIRECT], UUID [3639799-1458746678-125] [23/03/2016 at 15:24:00]"/>
  </r>
  <r>
    <s v="3639796-1458746676-119"/>
    <s v="Spot"/>
    <s v="3639796-1458746676-119"/>
    <n v="0"/>
    <d v="2016-03-31T00:00:00"/>
    <x v="147"/>
    <s v="119"/>
    <s v="SELL"/>
    <n v="9.9756"/>
    <x v="0"/>
    <x v="1"/>
    <n v="249.39"/>
    <s v="Deal"/>
    <m/>
    <s v="Original Amount [EUR 25], Merchant Amount [EUR 25], Customer Amount [NOK 249.39], Status [APPROVED], Operation [DIRECT], UUID [3639796-1458746676-119] [23/03/2016 at 15:24:00]"/>
  </r>
  <r>
    <s v="3639805-1458746687-160"/>
    <s v="Spot"/>
    <s v="3639805-1458746687-160"/>
    <n v="0"/>
    <d v="2016-03-31T00:00:00"/>
    <x v="148"/>
    <s v="160"/>
    <s v="SELL"/>
    <n v="0.83322601416613007"/>
    <x v="0"/>
    <x v="4"/>
    <n v="12.94"/>
    <s v="Deal"/>
    <m/>
    <s v="Original Amount [EUR 15.53], Merchant Amount [EUR 15.53], Customer Amount [GBP 12.94], Status [APPROVED], Operation [3DAUTH], UUID [3639805-1458746687-160] [23/03/2016 at 15:24:00]"/>
  </r>
  <r>
    <s v="3639781-1458746645-224"/>
    <s v="Spot"/>
    <s v="3639781-1458746645-224"/>
    <n v="0"/>
    <d v="2016-03-31T00:00:00"/>
    <x v="149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9781-1458746645-224] [23/03/2016 at 15:24:00]"/>
  </r>
  <r>
    <s v="3639772-1458746631-119"/>
    <s v="Spot"/>
    <s v="3639772-1458746631-119"/>
    <n v="0"/>
    <d v="2016-03-31T00:00:00"/>
    <x v="150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9772-1458746631-119] [23/03/2016 at 15:23:00]"/>
  </r>
  <r>
    <s v="3639760-1458746620-224"/>
    <s v="Spot"/>
    <s v="3639760-1458746620-224"/>
    <n v="0"/>
    <d v="2016-03-31T00:00:00"/>
    <x v="151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9760-1458746620-224] [23/03/2016 at 15:23:00]"/>
  </r>
  <r>
    <s v="3639757-1458746618-224"/>
    <s v="Spot"/>
    <s v="3639757-1458746618-224"/>
    <n v="0"/>
    <d v="2016-03-31T00:00:00"/>
    <x v="152"/>
    <s v="224"/>
    <s v="SELL"/>
    <n v="132.99339410754393"/>
    <x v="0"/>
    <x v="3"/>
    <n v="10066.27"/>
    <s v="Deal"/>
    <m/>
    <s v="Original Amount [EUR 75.69], Merchant Amount [EUR 75.69], Customer Amount [JPY 10066.27], Status [APPROVED], Operation [DIRECT], UUID [3639757-1458746618-224] [23/03/2016 at 15:23:00]"/>
  </r>
  <r>
    <s v="3639754-1458746617-82"/>
    <s v="Spot"/>
    <s v="3639754-1458746617-82"/>
    <n v="0"/>
    <d v="2016-03-31T00:00:00"/>
    <x v="15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754-1458746617-82] [23/03/2016 at 15:23:00]"/>
  </r>
  <r>
    <s v="3639787-1458746665-126"/>
    <s v="Spot"/>
    <s v="3639787-1458746665-126"/>
    <n v="0"/>
    <d v="2016-03-31T00:00:00"/>
    <x v="154"/>
    <s v="126"/>
    <s v="SELL"/>
    <n v="9.9506341463414643"/>
    <x v="0"/>
    <x v="1"/>
    <n v="1019.94"/>
    <s v="Deal"/>
    <m/>
    <s v="Original Amount [EUR 102.5], Merchant Amount [EUR 102.5], Customer Amount [NOK 1019.94], Status [APPROVED], Operation [3DAUTH], UUID [3639787-1458746665-126] [23/03/2016 at 15:24:00]"/>
  </r>
  <r>
    <s v="3639763-1458746621-56"/>
    <s v="Spot"/>
    <s v="3639763-1458746621-56"/>
    <n v="0"/>
    <d v="2016-03-31T00:00:00"/>
    <x v="155"/>
    <s v="56"/>
    <s v="SELL"/>
    <n v="3.3883268482490272"/>
    <x v="0"/>
    <x v="0"/>
    <n v="43.54"/>
    <s v="Deal"/>
    <m/>
    <s v="Original Amount [EUR 12.85], Merchant Amount [EUR 12.85], Customer Amount [TRY 43.54], Status [APPROVED], Operation [3DAUTH], UUID [3639763-1458746621-56] [23/03/2016 at 15:23:00]"/>
  </r>
  <r>
    <s v="3639766-1458746625-216"/>
    <s v="Spot"/>
    <s v="3639766-1458746625-216"/>
    <n v="0"/>
    <d v="2016-03-31T00:00:00"/>
    <x v="156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39766-1458746625-216] [23/03/2016 at 15:23:00]"/>
  </r>
  <r>
    <s v="3639742-1458746588-216"/>
    <s v="Spot"/>
    <s v="3639742-1458746588-216"/>
    <n v="0"/>
    <d v="2016-03-31T00:00:00"/>
    <x v="157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39742-1458746588-216] [23/03/2016 at 15:23:00]"/>
  </r>
  <r>
    <s v="3639739-1458746587-216"/>
    <s v="Spot"/>
    <s v="3639739-1458746587-216"/>
    <n v="0"/>
    <d v="2016-03-31T00:00:00"/>
    <x v="158"/>
    <s v="216"/>
    <s v="SELL"/>
    <n v="3.3879254977520872"/>
    <x v="0"/>
    <x v="0"/>
    <n v="52.75"/>
    <s v="Deal"/>
    <m/>
    <s v="Original Amount [EUR 15.57], Merchant Amount [EUR 15.57], Customer Amount [TRY 52.75], Status [APPROVED], Operation [3DAUTH], UUID [3639739-1458746587-216] [23/03/2016 at 15:23:00]"/>
  </r>
  <r>
    <s v="3639691-1458746531-224"/>
    <s v="Spot"/>
    <s v="3639691-1458746531-224"/>
    <n v="0"/>
    <d v="2016-03-31T00:00:00"/>
    <x v="159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39691-1458746531-224] [23/03/2016 at 15:22:00]"/>
  </r>
  <r>
    <s v="3639733-1458746584-56"/>
    <s v="Spot"/>
    <s v="3639733-1458746584-56"/>
    <n v="0"/>
    <d v="2016-03-31T00:00:00"/>
    <x v="160"/>
    <s v="56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39733-1458746584-56] [23/03/2016 at 15:23:00]"/>
  </r>
  <r>
    <s v="3639715-1458746561-162"/>
    <s v="Spot"/>
    <s v="3639715-1458746561-162"/>
    <n v="0"/>
    <d v="2016-03-31T00:00:00"/>
    <x v="161"/>
    <s v="162"/>
    <s v="SELL"/>
    <n v="3.3879254977520872"/>
    <x v="0"/>
    <x v="0"/>
    <n v="52.75"/>
    <s v="Deal"/>
    <m/>
    <s v="Original Amount [EUR 15.57], Merchant Amount [EUR 15.57], Customer Amount [TRY 52.75], Status [APPROVED], Operation [3DAUTH], UUID [3639715-1458746561-162] [23/03/2016 at 15:22:00]"/>
  </r>
  <r>
    <s v="3639673-1458746508-224"/>
    <s v="Spot"/>
    <s v="3639673-1458746508-224"/>
    <n v="0"/>
    <d v="2016-03-31T00:00:00"/>
    <x v="162"/>
    <s v="224"/>
    <s v="SELL"/>
    <n v="132.99341816586224"/>
    <x v="0"/>
    <x v="3"/>
    <n v="3030.92"/>
    <s v="Deal"/>
    <m/>
    <s v="Original Amount [EUR 22.79], Merchant Amount [EUR 22.79], Customer Amount [JPY 3030.92], Status [APPROVED], Operation [DIRECT], UUID [3639673-1458746508-224] [23/03/2016 at 15:21:00]"/>
  </r>
  <r>
    <s v="3639661-1458746478-187"/>
    <s v="Spot"/>
    <s v="3639661-1458746478-187"/>
    <n v="0"/>
    <d v="2016-03-31T00:00:00"/>
    <x v="163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9661-1458746478-187] [23/03/2016 at 15:21:00]"/>
  </r>
  <r>
    <s v="3639652-1458746463-119"/>
    <s v="Spot"/>
    <s v="3639652-1458746463-119"/>
    <n v="0"/>
    <d v="2016-03-31T00:00:00"/>
    <x v="164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9652-1458746463-119] [23/03/2016 at 15:21:00]"/>
  </r>
  <r>
    <s v="3639649-1458746460-126"/>
    <s v="Spot"/>
    <s v="3639649-1458746460-126"/>
    <n v="0"/>
    <d v="2016-03-31T00:00:00"/>
    <x v="16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9649-1458746460-126] [23/03/2016 at 15:21:00]"/>
  </r>
  <r>
    <s v="3639646-1458746460-119"/>
    <s v="Spot"/>
    <s v="3639646-1458746460-119"/>
    <n v="0"/>
    <d v="2016-03-31T00:00:00"/>
    <x v="166"/>
    <s v="119"/>
    <s v="SELL"/>
    <n v="9.9756"/>
    <x v="0"/>
    <x v="1"/>
    <n v="249.39"/>
    <s v="Deal"/>
    <m/>
    <s v="Original Amount [EUR 25], Merchant Amount [EUR 25], Customer Amount [NOK 249.39], Status [APPROVED], Operation [DIRECT], UUID [3639646-1458746460-119] [23/03/2016 at 15:21:00]"/>
  </r>
  <r>
    <s v="3639631-1458746446-187"/>
    <s v="Spot"/>
    <s v="3639631-1458746446-187"/>
    <n v="0"/>
    <d v="2016-03-31T00:00:00"/>
    <x v="167"/>
    <s v="187"/>
    <s v="SELL"/>
    <n v="9.9753745805170855"/>
    <x v="0"/>
    <x v="1"/>
    <n v="2110.4899999999998"/>
    <s v="Deal"/>
    <m/>
    <s v="Original Amount [EUR 211.57], Merchant Amount [EUR 211.57], Customer Amount [NOK 2110.49], Status [APPROVED], Operation [DIRECT], UUID [3639631-1458746446-187] [23/03/2016 at 15:20:00]"/>
  </r>
  <r>
    <s v="3639625-1458746441-261"/>
    <s v="Spot"/>
    <s v="3639625-1458746441-261"/>
    <n v="0"/>
    <d v="2016-03-31T00:00:00"/>
    <x v="168"/>
    <s v="261"/>
    <s v="SELL"/>
    <n v="9.9757009345794394"/>
    <x v="0"/>
    <x v="1"/>
    <n v="213.48"/>
    <s v="Deal"/>
    <m/>
    <s v="Original Amount [EUR 21.4], Merchant Amount [EUR 21.4], Customer Amount [NOK 213.48], Status [APPROVED], Operation [DIRECT], UUID [3639625-1458746441-261] [23/03/2016 at 15:20:00]"/>
  </r>
  <r>
    <s v="3639622-1458746437-82"/>
    <s v="Spot"/>
    <s v="3639622-1458746437-82"/>
    <n v="0"/>
    <d v="2016-03-31T00:00:00"/>
    <x v="169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22-1458746437-82] [23/03/2016 at 15:20:00]"/>
  </r>
  <r>
    <s v="3639616-1458746427-82"/>
    <s v="Spot"/>
    <s v="3639616-1458746427-82"/>
    <n v="0"/>
    <d v="2016-03-31T00:00:00"/>
    <x v="170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16-1458746427-82] [23/03/2016 at 15:20:00]"/>
  </r>
  <r>
    <s v="3639643-1458746457-216"/>
    <s v="Spot"/>
    <s v="3639643-1458746457-216"/>
    <n v="0"/>
    <d v="2016-03-31T00:00:00"/>
    <x v="171"/>
    <s v="216"/>
    <s v="SELL"/>
    <n v="3.3921232876712328"/>
    <x v="0"/>
    <x v="0"/>
    <n v="39.619999999999997"/>
    <s v="Deal"/>
    <m/>
    <s v="Original Amount [EUR 11.68], Merchant Amount [EUR 11.68], Customer Amount [TRY 39.62], Status [APPROVED], Operation [3DAUTH], UUID [3639643-1458746457-216] [23/03/2016 at 15:20:00]"/>
  </r>
  <r>
    <s v="3639607-1458746418-224"/>
    <s v="Spot"/>
    <s v="3639607-1458746418-224"/>
    <n v="0"/>
    <d v="2016-03-31T00:00:00"/>
    <x v="172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9607-1458746418-224] [23/03/2016 at 15:20:00]"/>
  </r>
  <r>
    <s v="3639604-1458746415-82"/>
    <s v="Spot"/>
    <s v="3639604-1458746415-82"/>
    <n v="0"/>
    <d v="2016-03-31T00:00:00"/>
    <x v="173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04-1458746415-82] [23/03/2016 at 15:20:00]"/>
  </r>
  <r>
    <s v="3639592-1458746406-101"/>
    <s v="Spot"/>
    <s v="3639592-1458746406-101"/>
    <n v="0"/>
    <d v="2016-03-31T00:00:00"/>
    <x v="174"/>
    <s v="101"/>
    <s v="SELL"/>
    <n v="3.3922789539227898"/>
    <x v="0"/>
    <x v="0"/>
    <n v="27.24"/>
    <s v="Deal"/>
    <m/>
    <s v="Original Amount [EUR 8.03], Merchant Amount [EUR 8.03], Customer Amount [TRY 27.24], Status [WAITING], Operation [3D], UUID [3639592-1458746406-101] [23/03/2016 at 15:20:00]"/>
  </r>
  <r>
    <s v="3639634-1458746447-216"/>
    <s v="Spot"/>
    <s v="3639634-1458746447-216"/>
    <n v="0"/>
    <d v="2016-03-31T00:00:00"/>
    <x v="175"/>
    <s v="216"/>
    <s v="SELL"/>
    <n v="3.3919578622816027"/>
    <x v="0"/>
    <x v="0"/>
    <n v="528.05999999999995"/>
    <s v="Deal"/>
    <m/>
    <s v="Original Amount [EUR 155.68], Merchant Amount [EUR 155.68], Customer Amount [TRY 528.06], Status [APPROVED], Operation [3DAUTH], UUID [3639634-1458746447-216] [23/03/2016 at 15:20:00]"/>
  </r>
  <r>
    <s v="3639610-1458746421-56"/>
    <s v="Spot"/>
    <s v="3639610-1458746421-56"/>
    <n v="0"/>
    <d v="2016-03-31T00:00:00"/>
    <x v="176"/>
    <s v="56"/>
    <s v="SELL"/>
    <n v="3.3922518159806292"/>
    <x v="0"/>
    <x v="0"/>
    <n v="98.07"/>
    <s v="Deal"/>
    <m/>
    <s v="Original Amount [EUR 28.91], Merchant Amount [EUR 28.91], Customer Amount [TRY 98.07], Status [APPROVED], Operation [3DAUTH], UUID [3639610-1458746421-56] [23/03/2016 at 15:20:00]"/>
  </r>
  <r>
    <s v="3639574-1458746393-134"/>
    <s v="Spot"/>
    <s v="3639574-1458746393-134"/>
    <n v="0"/>
    <d v="2016-03-31T00:00:00"/>
    <x v="177"/>
    <s v="134"/>
    <s v="SELL"/>
    <n v="132.99355381165918"/>
    <x v="0"/>
    <x v="3"/>
    <n v="4745.21"/>
    <s v="Deal"/>
    <m/>
    <s v="Original Amount [EUR 35.68], Merchant Amount [EUR 35.68], Customer Amount [JPY 4745.21], Status [APPROVED], Operation [DIRECT], UUID [3639574-1458746393-134] [23/03/2016 at 15:19:00]"/>
  </r>
  <r>
    <s v="3639583-1458746396-101"/>
    <s v="Spot"/>
    <s v="3639583-1458746396-101"/>
    <n v="0"/>
    <d v="2016-03-31T00:00:00"/>
    <x v="178"/>
    <s v="101"/>
    <s v="SELL"/>
    <n v="3.3919484702093401"/>
    <x v="0"/>
    <x v="0"/>
    <n v="526.6"/>
    <s v="Deal"/>
    <m/>
    <s v="Original Amount [EUR 155.25], Merchant Amount [EUR 155.25], Customer Amount [TRY 526.6], Status [APPROVED], Operation [3DAUTH], UUID [3639583-1458746396-101] [23/03/2016 at 15:19:00]"/>
  </r>
  <r>
    <s v="3639586-1458746397-150"/>
    <s v="Spot"/>
    <s v="3639586-1458746397-150"/>
    <n v="0"/>
    <d v="2016-03-31T00:00:00"/>
    <x v="179"/>
    <s v="150"/>
    <s v="SELL"/>
    <n v="3.3922691481746599"/>
    <x v="0"/>
    <x v="0"/>
    <n v="94.78"/>
    <s v="Deal"/>
    <m/>
    <s v="Original Amount [EUR 27.94], Merchant Amount [EUR 27.94], Customer Amount [TRY 94.78], Status [APPROVED], Operation [3DAUTH], UUID [3639586-1458746397-150] [23/03/2016 at 15:19:00]"/>
  </r>
  <r>
    <s v="3639538-1458746353-216"/>
    <s v="Spot"/>
    <s v="3639538-1458746353-216"/>
    <n v="0"/>
    <d v="2016-03-31T00:00:00"/>
    <x v="180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538-1458746353-216] [23/03/2016 at 15:19:00]"/>
  </r>
  <r>
    <s v="3639532-1458746345-171"/>
    <s v="Spot"/>
    <s v="3639532-1458746345-171"/>
    <n v="0"/>
    <d v="2016-03-31T00:00:00"/>
    <x v="181"/>
    <s v="171"/>
    <s v="SELL"/>
    <n v="1.5433186490455213"/>
    <x v="0"/>
    <x v="2"/>
    <n v="21.02"/>
    <s v="Deal"/>
    <m/>
    <s v="Original Amount [EUR 13.62], Merchant Amount [EUR 13.62], Customer Amount [CAD 21.02], Status [APPROVED], Operation [DIRECT], UUID [3639532-1458746345-171] [23/03/2016 at 15:19:00]"/>
  </r>
  <r>
    <s v="3639541-1458746355-203"/>
    <s v="Spot"/>
    <s v="3639541-1458746355-203"/>
    <n v="0"/>
    <d v="2016-03-31T00:00:00"/>
    <x v="182"/>
    <s v="203"/>
    <s v="SELL"/>
    <n v="3.3919354838709679"/>
    <x v="0"/>
    <x v="0"/>
    <n v="525.75"/>
    <s v="Deal"/>
    <m/>
    <s v="Original Amount [EUR 155], Merchant Amount [EUR 155], Customer Amount [TRY 525.75], Status [APPROVED], Operation [3DAUTH], UUID [3639541-1458746355-203] [23/03/2016 at 15:19:00]"/>
  </r>
  <r>
    <s v="3639508-1458746319-199"/>
    <s v="Spot"/>
    <s v="3639508-1458746319-199"/>
    <n v="0"/>
    <d v="2016-03-31T00:00:00"/>
    <x v="183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9508-1458746319-199] [23/03/2016 at 15:18:00]"/>
  </r>
  <r>
    <s v="3639565-1458746381-56"/>
    <s v="Spot"/>
    <s v="3639565-1458746381-56"/>
    <n v="0"/>
    <d v="2016-03-31T00:00:00"/>
    <x v="184"/>
    <s v="56"/>
    <s v="SELL"/>
    <n v="3.3921161825726136"/>
    <x v="0"/>
    <x v="0"/>
    <n v="49.05"/>
    <s v="Deal"/>
    <m/>
    <s v="Original Amount [EUR 14.46], Merchant Amount [EUR 14.46], Customer Amount [TRY 49.05], Status [APPROVED], Operation [3DAUTH], UUID [3639565-1458746381-56] [23/03/2016 at 15:19:00]"/>
  </r>
  <r>
    <s v="3639556-1458746365-126"/>
    <s v="Spot"/>
    <s v="3639556-1458746365-126"/>
    <n v="0"/>
    <d v="2016-03-31T00:00:00"/>
    <x v="185"/>
    <s v="126"/>
    <s v="SELL"/>
    <n v="9.9756097560975618"/>
    <x v="0"/>
    <x v="1"/>
    <n v="204.5"/>
    <s v="Deal"/>
    <m/>
    <s v="Original Amount [EUR 20.5], Merchant Amount [EUR 20.5], Customer Amount [NOK 204.5], Status [APPROVED], Operation [3DAUTH], UUID [3639556-1458746365-126] [23/03/2016 at 15:19:00]"/>
  </r>
  <r>
    <s v="3639484-1458746301-224"/>
    <s v="Spot"/>
    <s v="3639484-1458746301-224"/>
    <n v="0"/>
    <d v="2016-03-31T00:00:00"/>
    <x v="186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9484-1458746301-224] [23/03/2016 at 15:18:00]"/>
  </r>
  <r>
    <s v="3639475-1458746290-216"/>
    <s v="Spot"/>
    <s v="3639475-1458746290-216"/>
    <n v="0"/>
    <d v="2016-03-31T00:00:00"/>
    <x v="187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475-1458746290-216] [23/03/2016 at 15:18:00]"/>
  </r>
  <r>
    <s v="3639499-1458746312-107"/>
    <s v="Spot"/>
    <s v="3639499-1458746312-107"/>
    <n v="0"/>
    <d v="2016-03-31T00:00:00"/>
    <x v="188"/>
    <s v="107"/>
    <s v="SELL"/>
    <n v="3.3919999999999999"/>
    <x v="0"/>
    <x v="0"/>
    <n v="169.6"/>
    <s v="Deal"/>
    <m/>
    <s v="Original Amount [EUR 50], Merchant Amount [EUR 50], Customer Amount [TRY 169.6], Status [APPROVED], Operation [3DAUTH], UUID [3639499-1458746312-107] [23/03/2016 at 15:18:00]"/>
  </r>
  <r>
    <s v="3639460-1458746271-119"/>
    <s v="Spot"/>
    <s v="3639460-1458746271-119"/>
    <n v="0"/>
    <d v="2016-03-31T00:00:00"/>
    <x v="189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60-1458746271-119] [23/03/2016 at 15:17:00]"/>
  </r>
  <r>
    <s v="3639457-1458746270-224"/>
    <s v="Spot"/>
    <s v="3639457-1458746270-224"/>
    <n v="0"/>
    <d v="2016-03-31T00:00:00"/>
    <x v="190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9457-1458746270-224] [23/03/2016 at 15:17:00]"/>
  </r>
  <r>
    <s v="3639451-1458746265-216"/>
    <s v="Spot"/>
    <s v="3639451-1458746265-216"/>
    <n v="0"/>
    <d v="2016-03-31T00:00:00"/>
    <x v="191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451-1458746265-216] [23/03/2016 at 15:17:00]"/>
  </r>
  <r>
    <s v="3639436-1458746249-119"/>
    <s v="Spot"/>
    <s v="3639436-1458746249-119"/>
    <n v="0"/>
    <d v="2016-03-31T00:00:00"/>
    <x v="192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36-1458746249-119] [23/03/2016 at 15:17:00]"/>
  </r>
  <r>
    <s v="3639424-1458746239-119"/>
    <s v="Spot"/>
    <s v="3639424-1458746239-119"/>
    <n v="0"/>
    <d v="2016-03-31T00:00:00"/>
    <x v="193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24-1458746239-119] [23/03/2016 at 15:17:00]"/>
  </r>
  <r>
    <s v="3639466-1458746281-107"/>
    <s v="Spot"/>
    <s v="3639466-1458746281-107"/>
    <n v="0"/>
    <d v="2016-03-31T00:00:00"/>
    <x v="194"/>
    <s v="107"/>
    <s v="SELL"/>
    <n v="3.3921168875297316"/>
    <x v="0"/>
    <x v="0"/>
    <n v="99.83"/>
    <s v="Deal"/>
    <m/>
    <s v="Original Amount [EUR 29.43], Merchant Amount [EUR 29.43], Customer Amount [TRY 99.83], Status [APPROVED], Operation [3DAUTH], UUID [3639466-1458746281-107] [23/03/2016 at 15:18:00]"/>
  </r>
  <r>
    <s v="3639412-1458746227-82"/>
    <s v="Spot"/>
    <s v="3639412-1458746227-82"/>
    <n v="0"/>
    <d v="2016-03-31T00:00:00"/>
    <x v="19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412-1458746227-82] [23/03/2016 at 15:17:00]"/>
  </r>
  <r>
    <s v="3639406-1458746220-224"/>
    <s v="Spot"/>
    <s v="3639406-1458746220-224"/>
    <n v="0"/>
    <d v="2016-03-31T00:00:00"/>
    <x v="196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9406-1458746220-224] [23/03/2016 at 15:17:00]"/>
  </r>
  <r>
    <s v="3639400-1458746218-145"/>
    <s v="Spot"/>
    <s v="3639400-1458746218-145"/>
    <n v="0"/>
    <d v="2016-03-31T00:00:00"/>
    <x v="197"/>
    <s v="145"/>
    <s v="SELL"/>
    <n v="9.9547376274558559"/>
    <x v="0"/>
    <x v="1"/>
    <n v="400.28"/>
    <s v="Deal"/>
    <m/>
    <s v="Original Amount [EUR 40.21], Merchant Amount [EUR 40.21], Customer Amount [NOK 400.28], Status [APPROVED], Operation [DIRECT], UUID [3639400-1458746218-145] [23/03/2016 at 15:16:00]"/>
  </r>
  <r>
    <s v="3639427-1458746240-216"/>
    <s v="Spot"/>
    <s v="3639427-1458746240-216"/>
    <n v="0"/>
    <d v="2016-03-31T00:00:00"/>
    <x v="19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9427-1458746240-216] [23/03/2016 at 15:17:00]"/>
  </r>
  <r>
    <s v="3639442-1458746259-179"/>
    <s v="Spot"/>
    <s v="3639442-1458746259-179"/>
    <n v="0"/>
    <d v="2016-03-31T00:00:00"/>
    <x v="199"/>
    <s v="179"/>
    <s v="SELL"/>
    <n v="3.391943980470256"/>
    <x v="0"/>
    <x v="0"/>
    <n v="1055.98"/>
    <s v="Deal"/>
    <m/>
    <s v="Original Amount [EUR 311.32], Merchant Amount [EUR 311.32], Customer Amount [TRY 1055.98], Status [APPROVED], Operation [3DAUTH], UUID [3639442-1458746259-179] [23/03/2016 at 15:17:00]"/>
  </r>
  <r>
    <s v="3639373-1458746199-82"/>
    <s v="Spot"/>
    <s v="3639373-1458746199-82"/>
    <n v="0"/>
    <d v="2016-03-31T00:00:00"/>
    <x v="20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373-1458746199-82] [23/03/2016 at 15:16:00]"/>
  </r>
  <r>
    <s v="3639367-1458746193-145"/>
    <s v="Spot"/>
    <s v="3639367-1458746193-145"/>
    <n v="0"/>
    <d v="2016-03-31T00:00:00"/>
    <x v="201"/>
    <s v="145"/>
    <s v="SELL"/>
    <n v="1.5442574981711776"/>
    <x v="0"/>
    <x v="2"/>
    <n v="21.11"/>
    <s v="Deal"/>
    <m/>
    <s v="Original Amount [EUR 13.67], Merchant Amount [EUR 13.67], Customer Amount [CAD 21.11], Status [APPROVED], Operation [DIRECT], UUID [3639367-1458746193-145] [23/03/2016 at 15:16:00]"/>
  </r>
  <r>
    <s v="3639418-1458746238-56"/>
    <s v="Spot"/>
    <s v="3639418-1458746238-56"/>
    <n v="0"/>
    <d v="2016-03-31T00:00:00"/>
    <x v="2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9418-1458746238-56] [23/03/2016 at 15:17:00]"/>
  </r>
  <r>
    <s v="3639376-1458746201-101"/>
    <s v="Spot"/>
    <s v="3639376-1458746201-101"/>
    <n v="0"/>
    <d v="2016-03-31T00:00:00"/>
    <x v="203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39376-1458746201-101] [23/03/2016 at 15:16:00]"/>
  </r>
  <r>
    <s v="3639388-1458746215-102"/>
    <s v="Spot"/>
    <s v="3639388-1458746215-102"/>
    <n v="0"/>
    <d v="2016-03-31T00:00:00"/>
    <x v="204"/>
    <s v="102"/>
    <s v="SELL"/>
    <n v="3.3919354838709679"/>
    <x v="0"/>
    <x v="0"/>
    <n v="63.09"/>
    <s v="Deal"/>
    <m/>
    <s v="Original Amount [EUR 18.6], Merchant Amount [EUR 18.6], Customer Amount [TRY 63.09], Status [APPROVED], Operation [3DAUTH], UUID [3639388-1458746215-102] [23/03/2016 at 15:16:00]"/>
  </r>
  <r>
    <s v="3639340-1458746167-187"/>
    <s v="Spot"/>
    <s v="3639340-1458746167-187"/>
    <n v="0"/>
    <d v="2016-03-31T00:00:00"/>
    <x v="205"/>
    <s v="187"/>
    <s v="SELL"/>
    <n v="9.9546313799621924"/>
    <x v="0"/>
    <x v="1"/>
    <n v="315.95999999999998"/>
    <s v="Deal"/>
    <m/>
    <s v="Original Amount [EUR 31.74], Merchant Amount [EUR 31.74], Customer Amount [NOK 315.96], Status [APPROVED], Operation [DIRECT], UUID [3639340-1458746167-187] [23/03/2016 at 15:16:00]"/>
  </r>
  <r>
    <s v="3639382-1458746206-216"/>
    <s v="Spot"/>
    <s v="3639382-1458746206-216"/>
    <n v="0"/>
    <d v="2016-03-31T00:00:00"/>
    <x v="20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9382-1458746206-216] [23/03/2016 at 15:16:00]"/>
  </r>
  <r>
    <s v="3639331-1458746162-82"/>
    <s v="Spot"/>
    <s v="3639331-1458746162-82"/>
    <n v="0"/>
    <d v="2016-03-31T00:00:00"/>
    <x v="207"/>
    <s v="82"/>
    <s v="SELL"/>
    <n v="0.83600142298114555"/>
    <x v="0"/>
    <x v="4"/>
    <n v="23.5"/>
    <s v="Deal"/>
    <m/>
    <s v="Original Amount [GBP 23.5], Merchant Amount [EUR 28.11], Customer Amount [GBP 23.5], Status [APPROVED], Operation [DIRECT], UUID [3639331-1458746162-82] [23/03/2016 at 15:16:00]"/>
  </r>
  <r>
    <s v="3639328-1458746157-119"/>
    <s v="Spot"/>
    <s v="3639328-1458746157-119"/>
    <n v="0"/>
    <d v="2016-03-31T00:00:00"/>
    <x v="208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9328-1458746157-119] [23/03/2016 at 15:15:00]"/>
  </r>
  <r>
    <s v="3639310-1458746145-224"/>
    <s v="Spot"/>
    <s v="3639310-1458746145-224"/>
    <n v="0"/>
    <d v="2016-03-31T00:00:00"/>
    <x v="209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9310-1458746145-224] [23/03/2016 at 15:15:00]"/>
  </r>
  <r>
    <s v="3639322-1458746155-101"/>
    <s v="Spot"/>
    <s v="3639322-1458746155-101"/>
    <n v="0"/>
    <d v="2016-03-31T00:00:00"/>
    <x v="210"/>
    <s v="101"/>
    <s v="SELL"/>
    <n v="3.3928143712574848"/>
    <x v="0"/>
    <x v="0"/>
    <n v="28.33"/>
    <s v="Deal"/>
    <m/>
    <s v="Original Amount [EUR 8.35], Merchant Amount [EUR 8.35], Customer Amount [TRY 28.33], Status [APPROVED], Operation [3DAUTH], UUID [3639322-1458746155-101] [23/03/2016 at 15:15:00]"/>
  </r>
  <r>
    <s v="3639283-1458746123-145"/>
    <s v="Spot"/>
    <s v="3639283-1458746123-145"/>
    <n v="0"/>
    <d v="2016-03-31T00:00:00"/>
    <x v="211"/>
    <s v="145"/>
    <s v="SELL"/>
    <n v="1.5442840421381194"/>
    <x v="0"/>
    <x v="2"/>
    <n v="79.16"/>
    <s v="Deal"/>
    <m/>
    <s v="Original Amount [EUR 51.26], Merchant Amount [EUR 51.26], Customer Amount [CAD 79.16], Status [APPROVED], Operation [DIRECT], UUID [3639283-1458746123-145] [23/03/2016 at 15:15:00]"/>
  </r>
  <r>
    <s v="3639313-1458746148-107"/>
    <s v="Spot"/>
    <s v="3639313-1458746148-107"/>
    <n v="0"/>
    <d v="2016-03-31T00:00:00"/>
    <x v="212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39313-1458746148-107] [23/03/2016 at 15:15:00]"/>
  </r>
  <r>
    <s v="3639265-1458746097-264"/>
    <s v="Spot"/>
    <s v="3639265-1458746097-264"/>
    <n v="0"/>
    <d v="2016-03-31T00:00:00"/>
    <x v="213"/>
    <s v="264"/>
    <s v="SELL"/>
    <n v="80.005785920925746"/>
    <x v="0"/>
    <x v="8"/>
    <n v="2488.98"/>
    <s v="Deal"/>
    <m/>
    <s v="Original Amount [TRY 100], Merchant Amount [EUR 31.11], Customer Amount [RUB 2488.98], Status [WAITING], Operation [3D], UUID [3639265-1458746097-264] [23/03/2016 at 15:14:00]"/>
  </r>
  <r>
    <s v="3639301-1458746133-56"/>
    <s v="Spot"/>
    <s v="3639301-1458746133-56"/>
    <n v="0"/>
    <d v="2016-03-31T00:00:00"/>
    <x v="214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9301-1458746133-56] [23/03/2016 at 15:15:00]"/>
  </r>
  <r>
    <s v="3639259-1458746097-200"/>
    <s v="Spot"/>
    <s v="3639259-1458746097-200"/>
    <n v="0"/>
    <d v="2016-03-31T00:00:00"/>
    <x v="215"/>
    <s v="200"/>
    <s v="SELL"/>
    <n v="9.975363839591223"/>
    <x v="0"/>
    <x v="1"/>
    <n v="4373"/>
    <s v="Deal"/>
    <m/>
    <s v="Original Amount [EUR 438.38], Merchant Amount [EUR 438.38], Customer Amount [NOK 4373], Status [APPROVED], Operation [STORED], UUID [3639259-1458746097-200] [23/03/2016 at 15:14:00]"/>
  </r>
  <r>
    <s v="3639256-1458746096-199"/>
    <s v="Spot"/>
    <s v="3639256-1458746096-199"/>
    <n v="0"/>
    <d v="2016-03-31T00:00:00"/>
    <x v="216"/>
    <s v="199"/>
    <s v="SELL"/>
    <n v="9.9754525928198827"/>
    <x v="0"/>
    <x v="1"/>
    <n v="325.10000000000002"/>
    <s v="Deal"/>
    <m/>
    <s v="Original Amount [EUR 32.59], Merchant Amount [EUR 32.59], Customer Amount [NOK 325.1], Status [APPROVED], Operation [DIRECT], UUID [3639256-1458746096-199] [23/03/2016 at 15:14:00]"/>
  </r>
  <r>
    <s v="3639307-1458746136-56"/>
    <s v="Spot"/>
    <s v="3639307-1458746136-56"/>
    <n v="0"/>
    <d v="2016-03-31T00:00:00"/>
    <x v="217"/>
    <s v="56"/>
    <s v="SELL"/>
    <n v="3.395617070357555"/>
    <x v="0"/>
    <x v="0"/>
    <n v="29.44"/>
    <s v="Deal"/>
    <m/>
    <s v="Original Amount [EUR 8.67], Merchant Amount [EUR 8.67], Customer Amount [TRY 29.44], Status [APPROVED], Operation [3DAUTH], UUID [3639307-1458746136-56] [23/03/2016 at 15:15:00]"/>
  </r>
  <r>
    <s v="3639244-1458746083-216"/>
    <s v="Spot"/>
    <s v="3639244-1458746083-216"/>
    <n v="0"/>
    <d v="2016-03-31T00:00:00"/>
    <x v="218"/>
    <s v="216"/>
    <s v="SELL"/>
    <n v="3.3959839357429722"/>
    <x v="0"/>
    <x v="0"/>
    <n v="42.28"/>
    <s v="Deal"/>
    <m/>
    <s v="Original Amount [EUR 12.45], Merchant Amount [EUR 12.45], Customer Amount [TRY 42.28], Status [WAITING], Operation [3D], UUID [3639244-1458746083-216] [23/03/2016 at 15:14:00]"/>
  </r>
  <r>
    <s v="3639355-1458746180-264"/>
    <s v="Spot"/>
    <s v="3639355-1458746180-264"/>
    <n v="0"/>
    <d v="2016-03-31T00:00:00"/>
    <x v="219"/>
    <s v="264"/>
    <s v="SELL"/>
    <n v="3.3922829581993565"/>
    <x v="0"/>
    <x v="0"/>
    <n v="31.65"/>
    <s v="Deal"/>
    <m/>
    <s v="Original Amount [TRY 30], Merchant Amount [EUR 9.33], Customer Amount [TRY 31.65], Status [APPROVED], Operation [3DAUTH], UUID [3639355-1458746180-264] [23/03/2016 at 15:16:00]"/>
  </r>
  <r>
    <s v="3639229-1458746072-107"/>
    <s v="Spot"/>
    <s v="3639229-1458746072-107"/>
    <n v="0"/>
    <d v="2016-03-31T00:00:00"/>
    <x v="220"/>
    <s v="107"/>
    <s v="SELL"/>
    <n v="3.3953088013772326"/>
    <x v="0"/>
    <x v="0"/>
    <n v="157.78"/>
    <s v="Deal"/>
    <m/>
    <s v="Original Amount [EUR 46.47], Merchant Amount [EUR 46.47], Customer Amount [TRY 157.78], Status [WAITING], Operation [3D], UUID [3639229-1458746072-107] [23/03/2016 at 15:14:00]"/>
  </r>
  <r>
    <s v="3639268-1458746099-101"/>
    <s v="Spot"/>
    <s v="3639268-1458746099-101"/>
    <n v="0"/>
    <d v="2016-03-31T00:00:00"/>
    <x v="221"/>
    <s v="101"/>
    <s v="SELL"/>
    <n v="3.395401106500691"/>
    <x v="0"/>
    <x v="0"/>
    <n v="196.39"/>
    <s v="Deal"/>
    <m/>
    <s v="Original Amount [EUR 57.84], Merchant Amount [EUR 57.84], Customer Amount [TRY 196.39], Status [APPROVED], Operation [3DAUTH], UUID [3639268-1458746099-101] [23/03/2016 at 15:14:00]"/>
  </r>
  <r>
    <s v="3639223-1458746069-261"/>
    <s v="Spot"/>
    <s v="3639223-1458746069-261"/>
    <n v="0"/>
    <d v="2016-03-31T00:00:00"/>
    <x v="222"/>
    <s v="261"/>
    <s v="SELL"/>
    <n v="9.975427350427351"/>
    <x v="0"/>
    <x v="1"/>
    <n v="746.96"/>
    <s v="Deal"/>
    <m/>
    <s v="Original Amount [EUR 74.88], Merchant Amount [EUR 74.88], Customer Amount [NOK 746.96], Status [APPROVED], Operation [DIRECT], UUID [3639223-1458746069-261] [23/03/2016 at 15:14:00]"/>
  </r>
  <r>
    <s v="3639220-1458746067-261"/>
    <s v="Spot"/>
    <s v="3639220-1458746067-261"/>
    <n v="0"/>
    <d v="2016-03-31T00:00:00"/>
    <x v="223"/>
    <s v="261"/>
    <s v="SELL"/>
    <n v="9.9754615564384217"/>
    <x v="0"/>
    <x v="1"/>
    <n v="426.85"/>
    <s v="Deal"/>
    <m/>
    <s v="Original Amount [EUR 42.79], Merchant Amount [EUR 42.79], Customer Amount [NOK 426.85], Status [APPROVED], Operation [DIRECT], UUID [3639220-1458746067-261] [23/03/2016 at 15:14:00]"/>
  </r>
  <r>
    <s v="3639217-1458746061-82"/>
    <s v="Spot"/>
    <s v="3639217-1458746061-82"/>
    <n v="0"/>
    <d v="2016-03-31T00:00:00"/>
    <x v="224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9217-1458746061-82] [23/03/2016 at 15:14:00]"/>
  </r>
  <r>
    <s v="3639199-1458746041-82"/>
    <s v="Spot"/>
    <s v="3639199-1458746041-82"/>
    <n v="0"/>
    <d v="2016-03-31T00:00:00"/>
    <x v="225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9199-1458746041-82] [23/03/2016 at 15:14:00]"/>
  </r>
  <r>
    <s v="3639196-1458746040-119"/>
    <s v="Spot"/>
    <s v="3639196-1458746040-119"/>
    <n v="0"/>
    <d v="2016-03-31T00:00:00"/>
    <x v="226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9196-1458746040-119] [23/03/2016 at 15:14:00]"/>
  </r>
  <r>
    <s v="3639181-1458746028-82"/>
    <s v="Spot"/>
    <s v="3639181-1458746028-82"/>
    <n v="0"/>
    <d v="2016-03-31T00:00:00"/>
    <x v="227"/>
    <s v="82"/>
    <s v="SELL"/>
    <n v="1.1828120255086547"/>
    <x v="0"/>
    <x v="7"/>
    <n v="38.950000000000003"/>
    <s v="Deal"/>
    <m/>
    <s v="Original Amount [USD 38.95], Merchant Amount [EUR 32.93], Customer Amount [USD 38.95], Status [APPROVED], Operation [DIRECT], UUID [3639181-1458746028-82] [23/03/2016 at 15:13:00]"/>
  </r>
  <r>
    <s v="3639208-1458746051-216"/>
    <s v="Spot"/>
    <s v="3639208-1458746051-216"/>
    <n v="0"/>
    <d v="2016-03-31T00:00:00"/>
    <x v="228"/>
    <s v="216"/>
    <s v="SELL"/>
    <n v="3.3958868894601544"/>
    <x v="0"/>
    <x v="0"/>
    <n v="52.84"/>
    <s v="Deal"/>
    <m/>
    <s v="Original Amount [EUR 15.56], Merchant Amount [EUR 15.56], Customer Amount [TRY 52.84], Status [APPROVED], Operation [3DAUTH], UUID [3639208-1458746051-216] [23/03/2016 at 15:14:00]"/>
  </r>
  <r>
    <s v="3639163-1458746003-145"/>
    <s v="Spot"/>
    <s v="3639163-1458746003-145"/>
    <n v="0"/>
    <d v="2016-03-31T00:00:00"/>
    <x v="229"/>
    <s v="145"/>
    <s v="SELL"/>
    <n v="9.9754485363550529"/>
    <x v="0"/>
    <x v="1"/>
    <n v="211.28"/>
    <s v="Deal"/>
    <m/>
    <s v="Original Amount [EUR 21.18], Merchant Amount [EUR 21.18], Customer Amount [NOK 211.28], Status [APPROVED], Operation [DIRECT], UUID [3639163-1458746003-145] [23/03/2016 at 15:13:00]"/>
  </r>
  <r>
    <s v="3639166-1458746010-126"/>
    <s v="Spot"/>
    <s v="3639166-1458746010-126"/>
    <n v="0"/>
    <d v="2016-03-31T00:00:00"/>
    <x v="230"/>
    <s v="126"/>
    <s v="SELL"/>
    <n v="9.9756097560975601"/>
    <x v="0"/>
    <x v="1"/>
    <n v="122.7"/>
    <s v="Deal"/>
    <m/>
    <s v="Original Amount [EUR 12.3], Merchant Amount [EUR 12.3], Customer Amount [NOK 122.7], Status [APPROVED], Operation [3DAUTH], UUID [3639166-1458746010-126] [23/03/2016 at 15:13:00]"/>
  </r>
  <r>
    <s v="3639151-1458745995-82"/>
    <s v="Spot"/>
    <s v="3639151-1458745995-82"/>
    <n v="0"/>
    <d v="2016-03-31T00:00:00"/>
    <x v="231"/>
    <s v="82"/>
    <s v="SELL"/>
    <n v="1.1828593996840442"/>
    <x v="0"/>
    <x v="7"/>
    <n v="29.95"/>
    <s v="Deal"/>
    <m/>
    <s v="Original Amount [USD 29.95], Merchant Amount [EUR 25.32], Customer Amount [USD 29.95], Status [APPROVED], Operation [DIRECT], UUID [3639151-1458745995-82] [23/03/2016 at 15:13:00]"/>
  </r>
  <r>
    <s v="3639145-1458745988-82"/>
    <s v="Spot"/>
    <s v="3639145-1458745988-82"/>
    <n v="0"/>
    <d v="2016-03-31T00:00:00"/>
    <x v="232"/>
    <s v="82"/>
    <s v="SELL"/>
    <n v="1.1827411167512691"/>
    <x v="0"/>
    <x v="7"/>
    <n v="34.950000000000003"/>
    <s v="Deal"/>
    <m/>
    <s v="Original Amount [USD 34.95], Merchant Amount [EUR 29.55], Customer Amount [USD 34.95], Status [APPROVED], Operation [DIRECT], UUID [3639145-1458745988-82] [23/03/2016 at 15:13:00]"/>
  </r>
  <r>
    <s v="3639169-1458746011-216"/>
    <s v="Spot"/>
    <s v="3639169-1458746011-216"/>
    <n v="0"/>
    <d v="2016-03-31T00:00:00"/>
    <x v="233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39169-1458746011-216] [23/03/2016 at 15:13:00]"/>
  </r>
  <r>
    <s v="3639127-1458745979-82"/>
    <s v="Spot"/>
    <s v="3639127-1458745979-82"/>
    <n v="0"/>
    <d v="2016-03-31T00:00:00"/>
    <x v="234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127-1458745979-82] [23/03/2016 at 15:12:00]"/>
  </r>
  <r>
    <s v="3639124-1458745978-126"/>
    <s v="Spot"/>
    <s v="3639124-1458745978-126"/>
    <n v="0"/>
    <d v="2016-03-31T00:00:00"/>
    <x v="23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9124-1458745978-126] [23/03/2016 at 15:12:00]"/>
  </r>
  <r>
    <s v="3639118-1458745977-145"/>
    <s v="Spot"/>
    <s v="3639118-1458745977-145"/>
    <n v="0"/>
    <d v="2016-03-31T00:00:00"/>
    <x v="236"/>
    <s v="145"/>
    <s v="SELL"/>
    <n v="9.9754562617998737"/>
    <x v="0"/>
    <x v="1"/>
    <n v="317.02"/>
    <s v="Deal"/>
    <m/>
    <s v="Original Amount [EUR 31.78], Merchant Amount [EUR 31.78], Customer Amount [NOK 317.02], Status [APPROVED], Operation [DIRECT], UUID [3639118-1458745977-145] [23/03/2016 at 15:12:00]"/>
  </r>
  <r>
    <s v="3639109-1458745965-125"/>
    <s v="Spot"/>
    <s v="3639109-1458745965-125"/>
    <n v="0"/>
    <d v="2016-03-31T00:00:00"/>
    <x v="237"/>
    <s v="125"/>
    <s v="SELL"/>
    <n v="9.9753636363636353"/>
    <x v="0"/>
    <x v="1"/>
    <n v="1097.29"/>
    <s v="Deal"/>
    <m/>
    <s v="Original Amount [EUR 110], Merchant Amount [EUR 110], Customer Amount [NOK 1097.29], Status [APPROVED], Operation [DIRECT], UUID [3639109-1458745965-125] [23/03/2016 at 15:12:00]"/>
  </r>
  <r>
    <s v="3639106-1458745958-119"/>
    <s v="Spot"/>
    <s v="3639106-1458745958-119"/>
    <n v="0"/>
    <d v="2016-03-31T00:00:00"/>
    <x v="238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106-1458745958-119] [23/03/2016 at 15:12:00]"/>
  </r>
  <r>
    <s v="3639097-1458745954-171"/>
    <s v="Spot"/>
    <s v="3639097-1458745954-171"/>
    <n v="0"/>
    <d v="2016-03-31T00:00:00"/>
    <x v="239"/>
    <s v="171"/>
    <s v="SELL"/>
    <n v="9.9754000000000005"/>
    <x v="0"/>
    <x v="1"/>
    <n v="498.77"/>
    <s v="Deal"/>
    <m/>
    <s v="Original Amount [EUR 50], Merchant Amount [EUR 50], Customer Amount [NOK 498.77], Status [APPROVED], Operation [DIRECT], UUID [3639097-1458745954-171] [23/03/2016 at 15:12:00]"/>
  </r>
  <r>
    <s v="3639094-1458745948-199"/>
    <s v="Spot"/>
    <s v="3639094-1458745948-199"/>
    <n v="0"/>
    <d v="2016-03-31T00:00:00"/>
    <x v="240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9094-1458745948-199] [23/03/2016 at 15:12:00]"/>
  </r>
  <r>
    <s v="3639091-1458745947-199"/>
    <s v="Spot"/>
    <s v="3639091-1458745947-199"/>
    <n v="0"/>
    <d v="2016-03-31T00:00:00"/>
    <x v="241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9091-1458745947-199] [23/03/2016 at 15:12:00]"/>
  </r>
  <r>
    <s v="3639085-1458745945-119"/>
    <s v="Spot"/>
    <s v="3639085-1458745945-119"/>
    <n v="0"/>
    <d v="2016-03-31T00:00:00"/>
    <x v="242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085-1458745945-119] [23/03/2016 at 15:12:00]"/>
  </r>
  <r>
    <s v="3639082-1458745945-171"/>
    <s v="Spot"/>
    <s v="3639082-1458745945-171"/>
    <n v="0"/>
    <d v="2016-03-31T00:00:00"/>
    <x v="243"/>
    <s v="171"/>
    <s v="SELL"/>
    <n v="9.9755000000000003"/>
    <x v="0"/>
    <x v="1"/>
    <n v="199.51"/>
    <s v="Deal"/>
    <m/>
    <s v="Original Amount [EUR 20], Merchant Amount [EUR 20], Customer Amount [NOK 199.51], Status [APPROVED], Operation [DIRECT], UUID [3639082-1458745945-171] [23/03/2016 at 15:12:00]"/>
  </r>
  <r>
    <s v="3639079-1458745944-224"/>
    <s v="Spot"/>
    <s v="3639079-1458745944-224"/>
    <n v="0"/>
    <d v="2016-03-31T00:00:00"/>
    <x v="244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9079-1458745944-224] [23/03/2016 at 15:12:00]"/>
  </r>
  <r>
    <s v="3639076-1458745944-216"/>
    <s v="Spot"/>
    <s v="3639076-1458745944-216"/>
    <n v="0"/>
    <d v="2016-03-31T00:00:00"/>
    <x v="245"/>
    <s v="216"/>
    <s v="SELL"/>
    <n v="3.3957759412304864"/>
    <x v="0"/>
    <x v="0"/>
    <n v="36.979999999999997"/>
    <s v="Deal"/>
    <m/>
    <s v="Original Amount [EUR 10.89], Merchant Amount [EUR 10.89], Customer Amount [TRY 36.98], Status [WAITING], Operation [3D], UUID [3639076-1458745944-216] [23/03/2016 at 15:12:00]"/>
  </r>
  <r>
    <s v="3639139-1458745984-56"/>
    <s v="Spot"/>
    <s v="3639139-1458745984-56"/>
    <n v="0"/>
    <d v="2016-03-31T00:00:00"/>
    <x v="246"/>
    <s v="56"/>
    <s v="SELL"/>
    <n v="3.3959955506117909"/>
    <x v="0"/>
    <x v="0"/>
    <n v="30.53"/>
    <s v="Deal"/>
    <m/>
    <s v="Original Amount [EUR 8.99], Merchant Amount [EUR 8.99], Customer Amount [TRY 30.53], Status [APPROVED], Operation [3DAUTH], UUID [3639139-1458745984-56] [23/03/2016 at 15:13:00]"/>
  </r>
  <r>
    <s v="3639055-1458745935-82"/>
    <s v="Spot"/>
    <s v="3639055-1458745935-82"/>
    <n v="0"/>
    <d v="2016-03-31T00:00:00"/>
    <x v="247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9055-1458745935-82] [23/03/2016 at 15:12:00]"/>
  </r>
  <r>
    <s v="3639046-1458745927-224"/>
    <s v="Spot"/>
    <s v="3639046-1458745927-224"/>
    <n v="0"/>
    <d v="2016-03-31T00:00:00"/>
    <x v="248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9046-1458745927-224] [23/03/2016 at 15:12:00]"/>
  </r>
  <r>
    <s v="3639037-1458745926-82"/>
    <s v="Spot"/>
    <s v="3639037-1458745926-82"/>
    <n v="0"/>
    <d v="2016-03-31T00:00:00"/>
    <x v="249"/>
    <s v="82"/>
    <s v="SELL"/>
    <n v="0.83806818181818188"/>
    <x v="0"/>
    <x v="4"/>
    <n v="2.95"/>
    <s v="Deal"/>
    <m/>
    <s v="Original Amount [GBP 2.95], Merchant Amount [EUR 3.52], Customer Amount [GBP 2.95], Status [APPROVED], Operation [DIRECT], UUID [3639037-1458745926-82] [23/03/2016 at 15:12:00]"/>
  </r>
  <r>
    <s v="3639019-1458745916-224"/>
    <s v="Spot"/>
    <s v="3639019-1458745916-224"/>
    <n v="0"/>
    <d v="2016-03-31T00:00:00"/>
    <x v="250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39019-1458745916-224] [23/03/2016 at 15:11:00]"/>
  </r>
  <r>
    <s v="3639088-1458745945-216"/>
    <s v="Spot"/>
    <s v="3639088-1458745945-216"/>
    <n v="0"/>
    <d v="2016-03-31T00:00:00"/>
    <x v="251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9088-1458745945-216] [23/03/2016 at 15:12:00]"/>
  </r>
  <r>
    <s v="3639007-1458745910-82"/>
    <s v="Spot"/>
    <s v="3639007-1458745910-82"/>
    <n v="0"/>
    <d v="2016-03-31T00:00:00"/>
    <x v="25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9007-1458745910-82] [23/03/2016 at 15:11:00]"/>
  </r>
  <r>
    <s v="3639004-1458745910-119"/>
    <s v="Spot"/>
    <s v="3639004-1458745910-119"/>
    <n v="0"/>
    <d v="2016-03-31T00:00:00"/>
    <x v="253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9004-1458745910-119] [23/03/2016 at 15:11:00]"/>
  </r>
  <r>
    <s v="3638995-1458745899-82"/>
    <s v="Spot"/>
    <s v="3638995-1458745899-82"/>
    <n v="0"/>
    <d v="2016-03-31T00:00:00"/>
    <x v="25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95-1458745899-82] [23/03/2016 at 15:11:00]"/>
  </r>
  <r>
    <s v="3639058-1458745936-216"/>
    <s v="Spot"/>
    <s v="3639058-1458745936-216"/>
    <n v="0"/>
    <d v="2016-03-31T00:00:00"/>
    <x v="255"/>
    <s v="216"/>
    <s v="SELL"/>
    <n v="3.3879587349906983"/>
    <x v="0"/>
    <x v="0"/>
    <n v="200.33"/>
    <s v="Deal"/>
    <m/>
    <s v="Original Amount [EUR 59.13], Merchant Amount [EUR 59.13], Customer Amount [TRY 200.33], Status [APPROVED], Operation [3DAUTH], UUID [3639058-1458745936-216] [23/03/2016 at 15:12:00]"/>
  </r>
  <r>
    <s v="3639160-1458746001-216"/>
    <s v="Spot"/>
    <s v="3639160-1458746001-216"/>
    <n v="0"/>
    <d v="2016-03-31T00:00:00"/>
    <x v="256"/>
    <s v="216"/>
    <s v="SELL"/>
    <n v="3.3879966187658495"/>
    <x v="0"/>
    <x v="0"/>
    <n v="40.08"/>
    <s v="Deal"/>
    <m/>
    <s v="Original Amount [EUR 11.83], Merchant Amount [EUR 11.83], Customer Amount [TRY 40.08], Status [APPROVED], Operation [3DAUTH], UUID [3639160-1458746001-216] [23/03/2016 at 15:13:00]"/>
  </r>
  <r>
    <s v="3638980-1458745891-224"/>
    <s v="Spot"/>
    <s v="3638980-1458745891-224"/>
    <n v="0"/>
    <d v="2016-03-31T00:00:00"/>
    <x v="257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38980-1458745891-224] [23/03/2016 at 15:11:00]"/>
  </r>
  <r>
    <s v="3638974-1458745890-82"/>
    <s v="Spot"/>
    <s v="3638974-1458745890-82"/>
    <n v="0"/>
    <d v="2016-03-31T00:00:00"/>
    <x v="25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74-1458745890-82] [23/03/2016 at 15:11:00]"/>
  </r>
  <r>
    <s v="3638971-1458745888-82"/>
    <s v="Spot"/>
    <s v="3638971-1458745888-82"/>
    <n v="0"/>
    <d v="2016-03-31T00:00:00"/>
    <x v="259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71-1458745888-82] [23/03/2016 at 15:11:00]"/>
  </r>
  <r>
    <s v="3638959-1458745879-82"/>
    <s v="Spot"/>
    <s v="3638959-1458745879-82"/>
    <n v="0"/>
    <d v="2016-03-31T00:00:00"/>
    <x v="260"/>
    <s v="82"/>
    <s v="SELL"/>
    <n v="1.1826697892271663"/>
    <x v="0"/>
    <x v="7"/>
    <n v="50.5"/>
    <s v="Deal"/>
    <m/>
    <s v="Original Amount [USD 50.5], Merchant Amount [EUR 42.7], Customer Amount [USD 50.5], Status [APPROVED], Operation [DIRECT], UUID [3638959-1458745879-82] [23/03/2016 at 15:11:00]"/>
  </r>
  <r>
    <s v="3638956-1458745879-216"/>
    <s v="Spot"/>
    <s v="3638956-1458745879-216"/>
    <n v="0"/>
    <d v="2016-03-31T00:00:00"/>
    <x v="261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956-1458745879-216] [23/03/2016 at 15:11:00]"/>
  </r>
  <r>
    <s v="3639040-1458745926-101"/>
    <s v="Spot"/>
    <s v="3639040-1458745926-101"/>
    <n v="0"/>
    <d v="2016-03-31T00:00:00"/>
    <x v="262"/>
    <s v="101"/>
    <s v="SELL"/>
    <n v="3.387826086956522"/>
    <x v="0"/>
    <x v="0"/>
    <n v="525.96"/>
    <s v="Deal"/>
    <m/>
    <s v="Original Amount [EUR 155.25], Merchant Amount [EUR 155.25], Customer Amount [TRY 525.96], Status [APPROVED], Operation [3DAUTH], UUID [3639040-1458745926-101] [23/03/2016 at 15:12:00]"/>
  </r>
  <r>
    <s v="3638950-1458745874-145"/>
    <s v="Spot"/>
    <s v="3638950-1458745874-145"/>
    <n v="0"/>
    <d v="2016-03-31T00:00:00"/>
    <x v="263"/>
    <s v="145"/>
    <s v="SELL"/>
    <n v="1.5513936644963056"/>
    <x v="0"/>
    <x v="2"/>
    <n v="212.06"/>
    <s v="Deal"/>
    <m/>
    <s v="Original Amount [EUR 136.69], Merchant Amount [EUR 136.69], Customer Amount [CAD 212.06], Status [APPROVED], Operation [DIRECT], UUID [3638950-1458745874-145] [23/03/2016 at 15:11:00]"/>
  </r>
  <r>
    <s v="3638947-1458745872-216"/>
    <s v="Spot"/>
    <s v="3638947-1458745872-216"/>
    <n v="0"/>
    <d v="2016-03-31T00:00:00"/>
    <x v="264"/>
    <s v="216"/>
    <s v="SELL"/>
    <n v="3.3879518072289159"/>
    <x v="0"/>
    <x v="0"/>
    <n v="42.18"/>
    <s v="Deal"/>
    <m/>
    <s v="Original Amount [EUR 12.45], Merchant Amount [EUR 12.45], Customer Amount [TRY 42.18], Status [WAITING], Operation [3D], UUID [3638947-1458745872-216] [23/03/2016 at 15:11:00]"/>
  </r>
  <r>
    <s v="3638935-1458745863-261"/>
    <s v="Spot"/>
    <s v="3638935-1458745863-261"/>
    <n v="0"/>
    <d v="2016-03-31T00:00:00"/>
    <x v="265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38935-1458745863-261] [23/03/2016 at 15:11:00]"/>
  </r>
  <r>
    <s v="3638932-1458745862-224"/>
    <s v="Spot"/>
    <s v="3638932-1458745862-224"/>
    <n v="0"/>
    <d v="2016-03-31T00:00:00"/>
    <x v="266"/>
    <s v="224"/>
    <s v="SELL"/>
    <n v="133.03550098798871"/>
    <x v="0"/>
    <x v="3"/>
    <n v="59920.52"/>
    <s v="Deal"/>
    <m/>
    <s v="Original Amount [EUR 450.41], Merchant Amount [EUR 450.41], Customer Amount [JPY 59920.52], Status [APPROVED], Operation [DIRECT], UUID [3638932-1458745862-224] [23/03/2016 at 15:11:00]"/>
  </r>
  <r>
    <s v="3638929-1458745861-119"/>
    <s v="Spot"/>
    <s v="3638929-1458745861-119"/>
    <n v="0"/>
    <d v="2016-03-31T00:00:00"/>
    <x v="267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8929-1458745861-119] [23/03/2016 at 15:11:00]"/>
  </r>
  <r>
    <s v="3638923-1458745857-119"/>
    <s v="Spot"/>
    <s v="3638923-1458745857-119"/>
    <n v="0"/>
    <d v="2016-03-31T00:00:00"/>
    <x v="26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8923-1458745857-119] [23/03/2016 at 15:10:00]"/>
  </r>
  <r>
    <s v="3638920-1458745857-216"/>
    <s v="Spot"/>
    <s v="3638920-1458745857-216"/>
    <n v="0"/>
    <d v="2016-03-31T00:00:00"/>
    <x v="269"/>
    <s v="216"/>
    <s v="SELL"/>
    <n v="3.3879112471308339"/>
    <x v="0"/>
    <x v="0"/>
    <n v="44.28"/>
    <s v="Deal"/>
    <m/>
    <s v="Original Amount [EUR 13.07], Merchant Amount [EUR 13.07], Customer Amount [TRY 44.28], Status [WAITING], Operation [3D], UUID [3638920-1458745857-216] [23/03/2016 at 15:10:00]"/>
  </r>
  <r>
    <s v="3638914-1458745855-216"/>
    <s v="Spot"/>
    <s v="3638914-1458745855-216"/>
    <n v="0"/>
    <d v="2016-03-31T00:00:00"/>
    <x v="270"/>
    <s v="216"/>
    <s v="SELL"/>
    <n v="3.3881748071979434"/>
    <x v="0"/>
    <x v="0"/>
    <n v="52.72"/>
    <s v="Deal"/>
    <m/>
    <s v="Original Amount [EUR 15.56], Merchant Amount [EUR 15.56], Customer Amount [TRY 52.72], Status [WAITING], Operation [3D], UUID [3638914-1458745855-216] [23/03/2016 at 15:10:00]"/>
  </r>
  <r>
    <s v="3639028-1458745918-216"/>
    <s v="Spot"/>
    <s v="3639028-1458745918-216"/>
    <n v="0"/>
    <d v="2016-03-31T00:00:00"/>
    <x v="271"/>
    <s v="216"/>
    <s v="SELL"/>
    <n v="3.387853470437018"/>
    <x v="0"/>
    <x v="0"/>
    <n v="105.43"/>
    <s v="Deal"/>
    <m/>
    <s v="Original Amount [EUR 31.12], Merchant Amount [EUR 31.12], Customer Amount [TRY 105.43], Status [APPROVED], Operation [3DAUTH], UUID [3639028-1458745918-216] [23/03/2016 at 15:11:00]"/>
  </r>
  <r>
    <s v="3638905-1458745845-216"/>
    <s v="Spot"/>
    <s v="3638905-1458745845-216"/>
    <n v="0"/>
    <d v="2016-03-31T00:00:00"/>
    <x v="272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905-1458745845-216] [23/03/2016 at 15:10:00]"/>
  </r>
  <r>
    <s v="3639043-1458745927-203"/>
    <s v="Spot"/>
    <s v="3639043-1458745927-203"/>
    <n v="0"/>
    <d v="2016-03-31T00:00:00"/>
    <x v="273"/>
    <s v="203"/>
    <s v="SELL"/>
    <n v="3.3880645161290324"/>
    <x v="0"/>
    <x v="0"/>
    <n v="105.03"/>
    <s v="Deal"/>
    <m/>
    <s v="Original Amount [EUR 31], Merchant Amount [EUR 31], Customer Amount [TRY 105.03], Status [APPROVED], Operation [3DAUTH], UUID [3639043-1458745927-203] [23/03/2016 at 15:12:00]"/>
  </r>
  <r>
    <s v="3638896-1458745838-82"/>
    <s v="Spot"/>
    <s v="3638896-1458745838-82"/>
    <n v="0"/>
    <d v="2016-03-31T00:00:00"/>
    <x v="27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96-1458745838-82] [23/03/2016 at 15:10:00]"/>
  </r>
  <r>
    <s v="3638962-1458745879-216"/>
    <s v="Spot"/>
    <s v="3638962-1458745879-216"/>
    <n v="0"/>
    <d v="2016-03-31T00:00:00"/>
    <x v="275"/>
    <s v="216"/>
    <s v="SELL"/>
    <n v="3.3884297520661155"/>
    <x v="0"/>
    <x v="0"/>
    <n v="36.9"/>
    <s v="Deal"/>
    <m/>
    <s v="Original Amount [EUR 10.89], Merchant Amount [EUR 10.89], Customer Amount [TRY 36.9], Status [APPROVED], Operation [3DAUTH], UUID [3638962-1458745879-216] [23/03/2016 at 15:11:00]"/>
  </r>
  <r>
    <s v="3638887-1458745833-216"/>
    <s v="Spot"/>
    <s v="3638887-1458745833-216"/>
    <n v="0"/>
    <d v="2016-03-31T00:00:00"/>
    <x v="276"/>
    <s v="216"/>
    <s v="SELL"/>
    <n v="3.3882940756602427"/>
    <x v="0"/>
    <x v="0"/>
    <n v="47.47"/>
    <s v="Deal"/>
    <m/>
    <s v="Original Amount [EUR 14.01], Merchant Amount [EUR 14.01], Customer Amount [TRY 47.47], Status [WAITING], Operation [3D], UUID [3638887-1458745833-216] [23/03/2016 at 15:10:00]"/>
  </r>
  <r>
    <s v="3638884-1458745832-199"/>
    <s v="Spot"/>
    <s v="3638884-1458745832-199"/>
    <n v="0"/>
    <d v="2016-03-31T00:00:00"/>
    <x v="277"/>
    <s v="199"/>
    <s v="SELL"/>
    <n v="9.9665541577170895"/>
    <x v="0"/>
    <x v="1"/>
    <n v="324.81"/>
    <s v="Deal"/>
    <m/>
    <s v="Original Amount [EUR 32.59], Merchant Amount [EUR 32.59], Customer Amount [NOK 324.81], Status [APPROVED], Operation [DIRECT], UUID [3638884-1458745832-199] [23/03/2016 at 15:10:00]"/>
  </r>
  <r>
    <s v="3638878-1458745827-124"/>
    <s v="Spot"/>
    <s v="3638878-1458745827-124"/>
    <n v="0"/>
    <d v="2016-03-31T00:00:00"/>
    <x v="278"/>
    <s v="124"/>
    <s v="SELL"/>
    <n v="9.9664778092540143"/>
    <x v="0"/>
    <x v="1"/>
    <n v="211.09"/>
    <s v="Deal"/>
    <m/>
    <s v="Original Amount [EUR 21.18], Merchant Amount [EUR 21.18], Customer Amount [NOK 211.09], Status [APPROVED], Operation [DIRECT], UUID [3638878-1458745827-124] [23/03/2016 at 15:10:00]"/>
  </r>
  <r>
    <s v="3638875-1458745823-187"/>
    <s v="Spot"/>
    <s v="3638875-1458745823-187"/>
    <n v="0"/>
    <d v="2016-03-31T00:00:00"/>
    <x v="279"/>
    <s v="187"/>
    <s v="SELL"/>
    <n v="9.9663239985820642"/>
    <x v="0"/>
    <x v="1"/>
    <n v="843.45"/>
    <s v="Deal"/>
    <m/>
    <s v="Original Amount [EUR 84.63], Merchant Amount [EUR 84.63], Customer Amount [NOK 843.45], Status [APPROVED], Operation [DIRECT], UUID [3638875-1458745823-187] [23/03/2016 at 15:10:00]"/>
  </r>
  <r>
    <s v="3638872-1458745823-82"/>
    <s v="Spot"/>
    <s v="3638872-1458745823-82"/>
    <n v="0"/>
    <d v="2016-03-31T00:00:00"/>
    <x v="280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38872-1458745823-82] [23/03/2016 at 15:10:00]"/>
  </r>
  <r>
    <s v="3638863-1458745817-216"/>
    <s v="Spot"/>
    <s v="3638863-1458745817-216"/>
    <n v="0"/>
    <d v="2016-03-31T00:00:00"/>
    <x v="281"/>
    <s v="216"/>
    <s v="SELL"/>
    <n v="3.3882433356117567"/>
    <x v="0"/>
    <x v="0"/>
    <n v="49.57"/>
    <s v="Deal"/>
    <m/>
    <s v="Original Amount [EUR 14.63], Merchant Amount [EUR 14.63], Customer Amount [TRY 49.57], Status [WAITING], Operation [3D], UUID [3638863-1458745817-216] [23/03/2016 at 15:10:00]"/>
  </r>
  <r>
    <s v="3638857-1458745814-82"/>
    <s v="Spot"/>
    <s v="3638857-1458745814-82"/>
    <n v="0"/>
    <d v="2016-03-31T00:00:00"/>
    <x v="28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57-1458745814-82] [23/03/2016 at 15:10:00]"/>
  </r>
  <r>
    <s v="3638848-1458745801-82"/>
    <s v="Spot"/>
    <s v="3638848-1458745801-82"/>
    <n v="0"/>
    <d v="2016-03-31T00:00:00"/>
    <x v="28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48-1458745801-82] [23/03/2016 at 15:10:00]"/>
  </r>
  <r>
    <s v="3638845-1458745800-82"/>
    <s v="Spot"/>
    <s v="3638845-1458745800-82"/>
    <n v="0"/>
    <d v="2016-03-31T00:00:00"/>
    <x v="28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45-1458745800-82] [23/03/2016 at 15:10:00]"/>
  </r>
  <r>
    <s v="3638839-1458745794-216"/>
    <s v="Spot"/>
    <s v="3638839-1458745794-216"/>
    <n v="0"/>
    <d v="2016-03-31T00:00:00"/>
    <x v="285"/>
    <s v="216"/>
    <s v="SELL"/>
    <n v="3.3882195448460508"/>
    <x v="0"/>
    <x v="0"/>
    <n v="50.62"/>
    <s v="Deal"/>
    <m/>
    <s v="Original Amount [EUR 14.94], Merchant Amount [EUR 14.94], Customer Amount [TRY 50.62], Status [WAITING], Operation [3D], UUID [3638839-1458745794-216] [23/03/2016 at 15:09:00]"/>
  </r>
  <r>
    <s v="3638833-1458745793-187"/>
    <s v="Spot"/>
    <s v="3638833-1458745793-187"/>
    <n v="0"/>
    <d v="2016-03-31T00:00:00"/>
    <x v="286"/>
    <s v="187"/>
    <s v="SELL"/>
    <n v="9.9663452448477976"/>
    <x v="0"/>
    <x v="1"/>
    <n v="527.12"/>
    <s v="Deal"/>
    <m/>
    <s v="Original Amount [EUR 52.89], Merchant Amount [EUR 52.89], Customer Amount [NOK 527.12], Status [APPROVED], Operation [DIRECT], UUID [3638833-1458745793-187] [23/03/2016 at 15:09:00]"/>
  </r>
  <r>
    <s v="3638917-1458745856-56"/>
    <s v="Spot"/>
    <s v="3638917-1458745856-56"/>
    <n v="0"/>
    <d v="2016-03-31T00:00:00"/>
    <x v="287"/>
    <s v="56"/>
    <s v="SELL"/>
    <n v="3.3886966551326414"/>
    <x v="0"/>
    <x v="0"/>
    <n v="29.38"/>
    <s v="Deal"/>
    <m/>
    <s v="Original Amount [EUR 8.67], Merchant Amount [EUR 8.67], Customer Amount [TRY 29.38], Status [APPROVED], Operation [3DAUTH], UUID [3638917-1458745856-56] [23/03/2016 at 15:10:00]"/>
  </r>
  <r>
    <s v="3638851-1458745805-102"/>
    <s v="Spot"/>
    <s v="3638851-1458745805-102"/>
    <n v="0"/>
    <d v="2016-03-31T00:00:00"/>
    <x v="288"/>
    <s v="102"/>
    <s v="SELL"/>
    <n v="3.3881720430107527"/>
    <x v="0"/>
    <x v="0"/>
    <n v="31.51"/>
    <s v="Deal"/>
    <m/>
    <s v="Original Amount [EUR 9.3], Merchant Amount [EUR 9.3], Customer Amount [TRY 31.51], Status [APPROVED], Operation [3DAUTH], UUID [3638851-1458745805-102] [23/03/2016 at 15:10:00]"/>
  </r>
  <r>
    <s v="3638809-1458745776-216"/>
    <s v="Spot"/>
    <s v="3638809-1458745776-216"/>
    <n v="0"/>
    <d v="2016-03-31T00:00:00"/>
    <x v="289"/>
    <s v="216"/>
    <s v="SELL"/>
    <n v="3.3881334981458591"/>
    <x v="0"/>
    <x v="0"/>
    <n v="54.82"/>
    <s v="Deal"/>
    <m/>
    <s v="Original Amount [EUR 16.18], Merchant Amount [EUR 16.18], Customer Amount [TRY 54.82], Status [WAITING], Operation [3D], UUID [3638809-1458745776-216] [23/03/2016 at 15:09:00]"/>
  </r>
  <r>
    <s v="3638806-1458745770-82"/>
    <s v="Spot"/>
    <s v="3638806-1458745770-82"/>
    <n v="0"/>
    <d v="2016-03-31T00:00:00"/>
    <x v="29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06-1458745770-82] [23/03/2016 at 15:09:00]"/>
  </r>
  <r>
    <s v="3638803-1458745769-199"/>
    <s v="Spot"/>
    <s v="3638803-1458745769-199"/>
    <n v="0"/>
    <d v="2016-03-31T00:00:00"/>
    <x v="291"/>
    <s v="199"/>
    <s v="SELL"/>
    <n v="9.966494845360824"/>
    <x v="0"/>
    <x v="1"/>
    <n v="270.69"/>
    <s v="Deal"/>
    <m/>
    <s v="Original Amount [EUR 27.16], Merchant Amount [EUR 27.16], Customer Amount [NOK 270.69], Status [APPROVED], Operation [DIRECT], UUID [3638803-1458745769-199] [23/03/2016 at 15:09:00]"/>
  </r>
  <r>
    <s v="3638800-1458745769-82"/>
    <s v="Spot"/>
    <s v="3638800-1458745769-82"/>
    <n v="0"/>
    <d v="2016-03-31T00:00:00"/>
    <x v="29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00-1458745769-82] [23/03/2016 at 15:09:00]"/>
  </r>
  <r>
    <s v="3638791-1458745752-82"/>
    <s v="Spot"/>
    <s v="3638791-1458745752-82"/>
    <n v="0"/>
    <d v="2016-03-31T00:00:00"/>
    <x v="293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38791-1458745752-82] [23/03/2016 at 15:09:00]"/>
  </r>
  <r>
    <s v="3638785-1458745750-216"/>
    <s v="Spot"/>
    <s v="3638785-1458745750-216"/>
    <n v="0"/>
    <d v="2016-03-31T00:00:00"/>
    <x v="294"/>
    <s v="216"/>
    <s v="SELL"/>
    <n v="3.3883235136582748"/>
    <x v="0"/>
    <x v="0"/>
    <n v="63.26"/>
    <s v="Deal"/>
    <m/>
    <s v="Original Amount [EUR 18.67], Merchant Amount [EUR 18.67], Customer Amount [TRY 63.26], Status [WAITING], Operation [3D], UUID [3638785-1458745750-216] [23/03/2016 at 15:09:00]"/>
  </r>
  <r>
    <s v="3638842-1458745796-216"/>
    <s v="Spot"/>
    <s v="3638842-1458745796-216"/>
    <n v="0"/>
    <d v="2016-03-31T00:00:00"/>
    <x v="295"/>
    <s v="216"/>
    <s v="SELL"/>
    <n v="3.3878678833054878"/>
    <x v="0"/>
    <x v="0"/>
    <n v="263.61"/>
    <s v="Deal"/>
    <m/>
    <s v="Original Amount [EUR 77.81], Merchant Amount [EUR 77.81], Customer Amount [TRY 263.61], Status [APPROVED], Operation [3DAUTH], UUID [3638842-1458745796-216] [23/03/2016 at 15:09:00]"/>
  </r>
  <r>
    <s v="3638773-1458745740-145"/>
    <s v="Spot"/>
    <s v="3638773-1458745740-145"/>
    <n v="0"/>
    <d v="2016-03-31T00:00:00"/>
    <x v="296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8773-1458745740-145] [23/03/2016 at 15:09:00]"/>
  </r>
  <r>
    <s v="3638764-1458745728-199"/>
    <s v="Spot"/>
    <s v="3638764-1458745728-199"/>
    <n v="0"/>
    <d v="2016-03-31T00:00:00"/>
    <x v="297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8764-1458745728-199] [23/03/2016 at 15:08:00]"/>
  </r>
  <r>
    <s v="3638776-1458745743-203"/>
    <s v="Spot"/>
    <s v="3638776-1458745743-203"/>
    <n v="0"/>
    <d v="2016-03-31T00:00:00"/>
    <x v="298"/>
    <s v="203"/>
    <s v="SELL"/>
    <n v="3.3919354838709679"/>
    <x v="0"/>
    <x v="0"/>
    <n v="525.75"/>
    <s v="Deal"/>
    <m/>
    <s v="Original Amount [EUR 155], Merchant Amount [EUR 155], Customer Amount [TRY 525.75], Status [APPROVED], Operation [3DAUTH], UUID [3638776-1458745743-203] [23/03/2016 at 15:09:00]"/>
  </r>
  <r>
    <s v="3638779-1458745744-216"/>
    <s v="Spot"/>
    <s v="3638779-1458745744-216"/>
    <n v="0"/>
    <d v="2016-03-31T00:00:00"/>
    <x v="299"/>
    <s v="216"/>
    <s v="SELL"/>
    <n v="3.3920308483290489"/>
    <x v="0"/>
    <x v="0"/>
    <n v="105.56"/>
    <s v="Deal"/>
    <m/>
    <s v="Original Amount [EUR 31.12], Merchant Amount [EUR 31.12], Customer Amount [TRY 105.56], Status [APPROVED], Operation [3DAUTH], UUID [3638779-1458745744-216] [23/03/2016 at 15:09:00]"/>
  </r>
  <r>
    <s v="3638743-1458745708-261"/>
    <s v="Spot"/>
    <s v="3638743-1458745708-261"/>
    <n v="0"/>
    <d v="2016-03-31T00:00:00"/>
    <x v="300"/>
    <s v="261"/>
    <s v="SELL"/>
    <n v="9.9505515049541966"/>
    <x v="0"/>
    <x v="1"/>
    <n v="1064.51"/>
    <s v="Deal"/>
    <m/>
    <s v="Original Amount [EUR 106.98], Merchant Amount [EUR 106.98], Customer Amount [NOK 1064.51], Status [APPROVED], Operation [DIRECT], UUID [3638743-1458745708-261] [23/03/2016 at 15:08:00]"/>
  </r>
  <r>
    <s v="3638740-1458745707-82"/>
    <s v="Spot"/>
    <s v="3638740-1458745707-82"/>
    <n v="0"/>
    <d v="2016-03-31T00:00:00"/>
    <x v="301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8740-1458745707-82] [23/03/2016 at 15:08:00]"/>
  </r>
  <r>
    <s v="3638767-1458745738-216"/>
    <s v="Spot"/>
    <s v="3638767-1458745738-216"/>
    <n v="0"/>
    <d v="2016-03-31T00:00:00"/>
    <x v="302"/>
    <s v="216"/>
    <s v="SELL"/>
    <n v="3.3919353111277708"/>
    <x v="0"/>
    <x v="0"/>
    <n v="633.41"/>
    <s v="Deal"/>
    <m/>
    <s v="Original Amount [EUR 186.74], Merchant Amount [EUR 186.74], Customer Amount [TRY 633.41], Status [APPROVED], Operation [3DAUTH], UUID [3638767-1458745738-216] [23/03/2016 at 15:08:00]"/>
  </r>
  <r>
    <s v="3638734-1458745704-124"/>
    <s v="Spot"/>
    <s v="3638734-1458745704-124"/>
    <n v="0"/>
    <d v="2016-03-31T00:00:00"/>
    <x v="303"/>
    <s v="124"/>
    <s v="SELL"/>
    <n v="9.9505667506297222"/>
    <x v="0"/>
    <x v="1"/>
    <n v="316.02999999999997"/>
    <s v="Deal"/>
    <m/>
    <s v="Original Amount [EUR 31.76], Merchant Amount [EUR 31.76], Customer Amount [NOK 316.03], Status [APPROVED], Operation [DIRECT], UUID [3638734-1458745704-124] [23/03/2016 at 15:08:00]"/>
  </r>
  <r>
    <s v="3638728-1458745701-187"/>
    <s v="Spot"/>
    <s v="3638728-1458745701-187"/>
    <n v="0"/>
    <d v="2016-03-31T00:00:00"/>
    <x v="304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8728-1458745701-187] [23/03/2016 at 15:08:00]"/>
  </r>
  <r>
    <s v="3638881-1458745830-101"/>
    <s v="Spot"/>
    <s v="3638881-1458745830-101"/>
    <n v="0"/>
    <d v="2016-03-31T00:00:00"/>
    <x v="305"/>
    <s v="101"/>
    <s v="SELL"/>
    <n v="3.3921161825726136"/>
    <x v="0"/>
    <x v="0"/>
    <n v="49.05"/>
    <s v="Deal"/>
    <m/>
    <s v="Original Amount [EUR 14.46], Merchant Amount [EUR 14.46], Customer Amount [TRY 49.05], Status [APPROVED], Operation [3DAUTH], UUID [3638881-1458745830-101] [23/03/2016 at 15:10:00]"/>
  </r>
  <r>
    <s v="3638713-1458745691-261"/>
    <s v="Spot"/>
    <s v="3638713-1458745691-261"/>
    <n v="0"/>
    <d v="2016-03-31T00:00:00"/>
    <x v="306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38713-1458745691-261] [23/03/2016 at 15:08:00]"/>
  </r>
  <r>
    <s v="3638710-1458745690-82"/>
    <s v="Spot"/>
    <s v="3638710-1458745690-82"/>
    <n v="0"/>
    <d v="2016-03-31T00:00:00"/>
    <x v="307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8710-1458745690-82] [23/03/2016 at 15:08:00]"/>
  </r>
  <r>
    <s v="3638704-1458745689-82"/>
    <s v="Spot"/>
    <s v="3638704-1458745689-82"/>
    <n v="0"/>
    <d v="2016-03-31T00:00:00"/>
    <x v="308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704-1458745689-82] [23/03/2016 at 15:08:00]"/>
  </r>
  <r>
    <s v="3638701-1458745688-82"/>
    <s v="Spot"/>
    <s v="3638701-1458745688-82"/>
    <n v="0"/>
    <d v="2016-03-31T00:00:00"/>
    <x v="309"/>
    <s v="82"/>
    <s v="SELL"/>
    <n v="1.1825284090909092"/>
    <x v="0"/>
    <x v="7"/>
    <n v="49.95"/>
    <s v="Deal"/>
    <m/>
    <s v="Original Amount [USD 49.95], Merchant Amount [EUR 42.24], Customer Amount [USD 49.95], Status [APPROVED], Operation [DIRECT], UUID [3638701-1458745688-82] [23/03/2016 at 15:08:00]"/>
  </r>
  <r>
    <s v="3638680-1458745667-224"/>
    <s v="Spot"/>
    <s v="3638680-1458745667-224"/>
    <n v="0"/>
    <d v="2016-03-31T00:00:00"/>
    <x v="310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8680-1458745667-224] [23/03/2016 at 15:07:00]"/>
  </r>
  <r>
    <s v="3638677-1458745665-82"/>
    <s v="Spot"/>
    <s v="3638677-1458745665-82"/>
    <n v="0"/>
    <d v="2016-03-31T00:00:00"/>
    <x v="311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677-1458745665-82] [23/03/2016 at 15:07:00]"/>
  </r>
  <r>
    <s v="3638674-1458745662-216"/>
    <s v="Spot"/>
    <s v="3638674-1458745662-216"/>
    <n v="0"/>
    <d v="2016-03-31T00:00:00"/>
    <x v="312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8674-1458745662-216] [23/03/2016 at 15:07:00]"/>
  </r>
  <r>
    <s v="3638671-1458745648-119"/>
    <s v="Spot"/>
    <s v="3638671-1458745648-119"/>
    <n v="0"/>
    <d v="2016-03-31T00:00:00"/>
    <x v="313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38671-1458745648-119] [23/03/2016 at 15:07:00]"/>
  </r>
  <r>
    <s v="3638662-1458745632-199"/>
    <s v="Spot"/>
    <s v="3638662-1458745632-199"/>
    <n v="0"/>
    <d v="2016-03-31T00:00:00"/>
    <x v="314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8662-1458745632-199] [23/03/2016 at 15:07:00]"/>
  </r>
  <r>
    <s v="3638659-1458745629-145"/>
    <s v="Spot"/>
    <s v="3638659-1458745629-145"/>
    <n v="0"/>
    <d v="2016-03-31T00:00:00"/>
    <x v="315"/>
    <s v="145"/>
    <s v="SELL"/>
    <n v="9.9507585177816456"/>
    <x v="0"/>
    <x v="1"/>
    <n v="400.12"/>
    <s v="Deal"/>
    <m/>
    <s v="Original Amount [EUR 40.21], Merchant Amount [EUR 40.21], Customer Amount [NOK 400.12], Status [APPROVED], Operation [DIRECT], UUID [3638659-1458745629-145] [23/03/2016 at 15:07:00]"/>
  </r>
  <r>
    <s v="3638653-1458745624-224"/>
    <s v="Spot"/>
    <s v="3638653-1458745624-224"/>
    <n v="0"/>
    <d v="2016-03-31T00:00:00"/>
    <x v="316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8653-1458745624-224] [23/03/2016 at 15:07:00]"/>
  </r>
  <r>
    <s v="3638650-1458745624-187"/>
    <s v="Spot"/>
    <s v="3638650-1458745624-187"/>
    <n v="0"/>
    <d v="2016-03-31T00:00:00"/>
    <x v="317"/>
    <s v="187"/>
    <s v="SELL"/>
    <n v="9.9506666666666668"/>
    <x v="0"/>
    <x v="1"/>
    <n v="298.52"/>
    <s v="Deal"/>
    <m/>
    <s v="Original Amount [EUR 30], Merchant Amount [EUR 30], Customer Amount [NOK 298.52], Status [APPROVED], Operation [DIRECT], UUID [3638650-1458745624-187] [23/03/2016 at 15:07:00]"/>
  </r>
  <r>
    <s v="3638635-1458745612-145"/>
    <s v="Spot"/>
    <s v="3638635-1458745612-145"/>
    <n v="0"/>
    <d v="2016-03-31T00:00:00"/>
    <x v="318"/>
    <s v="145"/>
    <s v="SELL"/>
    <n v="9.9505978602894913"/>
    <x v="0"/>
    <x v="1"/>
    <n v="632.46"/>
    <s v="Deal"/>
    <m/>
    <s v="Original Amount [EUR 63.56], Merchant Amount [EUR 63.56], Customer Amount [NOK 632.46], Status [APPROVED], Operation [DIRECT], UUID [3638635-1458745612-145] [23/03/2016 at 15:06:00]"/>
  </r>
  <r>
    <s v="3638641-1458745614-200"/>
    <s v="Spot"/>
    <s v="3638641-1458745614-200"/>
    <n v="0"/>
    <d v="2016-03-31T00:00:00"/>
    <x v="319"/>
    <s v="200"/>
    <s v="SELL"/>
    <n v="9.9506062767475036"/>
    <x v="0"/>
    <x v="1"/>
    <n v="558.03"/>
    <s v="Deal"/>
    <m/>
    <s v="Original Amount [EUR 56.08], Merchant Amount [EUR 56.08], Customer Amount [NOK 558.03], Status [APPROVED], Operation [3DAUTH], UUID [3638641-1458745614-200] [23/03/2016 at 15:06:00]"/>
  </r>
  <r>
    <s v="3638632-1458745609-102"/>
    <s v="Spot"/>
    <s v="3638632-1458745609-102"/>
    <n v="0"/>
    <d v="2016-03-31T00:00:00"/>
    <x v="320"/>
    <s v="102"/>
    <s v="SELL"/>
    <n v="3.3922580645161289"/>
    <x v="0"/>
    <x v="0"/>
    <n v="52.58"/>
    <s v="Deal"/>
    <m/>
    <s v="Original Amount [EUR 15.5], Merchant Amount [EUR 15.5], Customer Amount [TRY 52.58], Status [APPROVED], Operation [3DAUTH], UUID [3638632-1458745609-102] [23/03/2016 at 15:06:00]"/>
  </r>
  <r>
    <s v="3638602-1458745572-125"/>
    <s v="Spot"/>
    <s v="3638602-1458745572-125"/>
    <n v="0"/>
    <d v="2016-03-31T00:00:00"/>
    <x v="321"/>
    <s v="125"/>
    <s v="SELL"/>
    <n v="9.9505999999999997"/>
    <x v="0"/>
    <x v="1"/>
    <n v="497.53"/>
    <s v="Deal"/>
    <m/>
    <s v="Original Amount [EUR 50], Merchant Amount [EUR 50], Customer Amount [NOK 497.53], Status [APPROVED], Operation [DIRECT], UUID [3638602-1458745572-125] [23/03/2016 at 15:06:00]"/>
  </r>
  <r>
    <s v="3638644-1458745617-216"/>
    <s v="Spot"/>
    <s v="3638644-1458745617-216"/>
    <n v="0"/>
    <d v="2016-03-31T00:00:00"/>
    <x v="322"/>
    <s v="216"/>
    <s v="SELL"/>
    <n v="3.391967871485944"/>
    <x v="0"/>
    <x v="0"/>
    <n v="211.15"/>
    <s v="Deal"/>
    <m/>
    <s v="Original Amount [EUR 62.25], Merchant Amount [EUR 62.25], Customer Amount [TRY 211.15], Status [APPROVED], Operation [3DAUTH], UUID [3638644-1458745617-216] [23/03/2016 at 15:06:00]"/>
  </r>
  <r>
    <s v="3638626-1458745602-107"/>
    <s v="Spot"/>
    <s v="3638626-1458745602-107"/>
    <n v="0"/>
    <d v="2016-03-31T00:00:00"/>
    <x v="323"/>
    <s v="107"/>
    <s v="SELL"/>
    <n v="3.3960113960113962"/>
    <x v="0"/>
    <x v="0"/>
    <n v="35.76"/>
    <s v="Deal"/>
    <m/>
    <s v="Original Amount [EUR 10.53], Merchant Amount [EUR 10.53], Customer Amount [TRY 35.76], Status [APPROVED], Operation [3DAUTH], UUID [3638626-1458745602-107] [23/03/2016 at 15:06:00]"/>
  </r>
  <r>
    <s v="3638590-1458745548-187"/>
    <s v="Spot"/>
    <s v="3638590-1458745548-187"/>
    <n v="0"/>
    <d v="2016-03-31T00:00:00"/>
    <x v="324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38590-1458745548-187] [23/03/2016 at 15:05:00]"/>
  </r>
  <r>
    <s v="3638608-1458745587-56"/>
    <s v="Spot"/>
    <s v="3638608-1458745587-56"/>
    <n v="0"/>
    <d v="2016-03-31T00:00:00"/>
    <x v="325"/>
    <s v="56"/>
    <s v="SELL"/>
    <n v="3.3953633110315855"/>
    <x v="0"/>
    <x v="0"/>
    <n v="218.22"/>
    <s v="Deal"/>
    <m/>
    <s v="Original Amount [EUR 64.27], Merchant Amount [EUR 64.27], Customer Amount [TRY 218.22], Status [APPROVED], Operation [3DAUTH], UUID [3638608-1458745587-56] [23/03/2016 at 15:06:00]"/>
  </r>
  <r>
    <s v="3638584-1458745546-126"/>
    <s v="Spot"/>
    <s v="3638584-1458745546-126"/>
    <n v="0"/>
    <d v="2016-03-31T00:00:00"/>
    <x v="326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8584-1458745546-126] [23/03/2016 at 15:05:00]"/>
  </r>
  <r>
    <s v="3638569-1458745537-145"/>
    <s v="Spot"/>
    <s v="3638569-1458745537-145"/>
    <n v="0"/>
    <d v="2016-03-31T00:00:00"/>
    <x v="327"/>
    <s v="145"/>
    <s v="SELL"/>
    <n v="9.9505978602894913"/>
    <x v="0"/>
    <x v="1"/>
    <n v="316.23"/>
    <s v="Deal"/>
    <m/>
    <s v="Original Amount [EUR 31.78], Merchant Amount [EUR 31.78], Customer Amount [NOK 316.23], Status [APPROVED], Operation [DIRECT], UUID [3638569-1458745537-145] [23/03/2016 at 15:05:00]"/>
  </r>
  <r>
    <s v="3638566-1458745528-119"/>
    <s v="Spot"/>
    <s v="3638566-1458745528-119"/>
    <n v="0"/>
    <d v="2016-03-31T00:00:00"/>
    <x v="32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8566-1458745528-119] [23/03/2016 at 15:05:00]"/>
  </r>
  <r>
    <s v="3638575-1458745541-150"/>
    <s v="Spot"/>
    <s v="3638575-1458745541-150"/>
    <n v="0"/>
    <d v="2016-03-31T00:00:00"/>
    <x v="329"/>
    <s v="150"/>
    <s v="SELL"/>
    <n v="3.3953837895866879"/>
    <x v="0"/>
    <x v="0"/>
    <n v="316.27999999999997"/>
    <s v="Deal"/>
    <m/>
    <s v="Original Amount [EUR 93.15], Merchant Amount [EUR 93.15], Customer Amount [TRY 316.28], Status [APPROVED], Operation [3DAUTH], UUID [3638575-1458745541-150] [23/03/2016 at 15:05:00]"/>
  </r>
  <r>
    <s v="3638557-1458745520-82"/>
    <s v="Spot"/>
    <s v="3638557-1458745520-82"/>
    <n v="0"/>
    <d v="2016-03-31T00:00:00"/>
    <x v="330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557-1458745520-82] [23/03/2016 at 15:05:00]"/>
  </r>
  <r>
    <s v="3638593-1458745550-179"/>
    <s v="Spot"/>
    <s v="3638593-1458745550-179"/>
    <n v="0"/>
    <d v="2016-03-31T00:00:00"/>
    <x v="331"/>
    <s v="179"/>
    <s v="SELL"/>
    <n v="3.3954384837777067"/>
    <x v="0"/>
    <x v="0"/>
    <n v="211.4"/>
    <s v="Deal"/>
    <m/>
    <s v="Original Amount [EUR 62.26], Merchant Amount [EUR 62.26], Customer Amount [TRY 211.4], Status [APPROVED], Operation [3DAUTH], UUID [3638593-1458745550-179] [23/03/2016 at 15:05:00]"/>
  </r>
  <r>
    <s v="3638536-1458745512-261"/>
    <s v="Spot"/>
    <s v="3638536-1458745512-261"/>
    <n v="0"/>
    <d v="2016-03-31T00:00:00"/>
    <x v="332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8536-1458745512-261] [23/03/2016 at 15:05:00]"/>
  </r>
  <r>
    <s v="3638506-1458745486-199"/>
    <s v="Spot"/>
    <s v="3638506-1458745486-199"/>
    <n v="0"/>
    <d v="2016-03-31T00:00:00"/>
    <x v="333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8506-1458745486-199] [23/03/2016 at 15:04:00]"/>
  </r>
  <r>
    <s v="3638503-1458745485-125"/>
    <s v="Spot"/>
    <s v="3638503-1458745485-125"/>
    <n v="0"/>
    <d v="2016-03-31T00:00:00"/>
    <x v="334"/>
    <s v="125"/>
    <s v="SELL"/>
    <n v="9.950615384615384"/>
    <x v="0"/>
    <x v="1"/>
    <n v="1293.58"/>
    <s v="Deal"/>
    <m/>
    <s v="Original Amount [EUR 130], Merchant Amount [EUR 130], Customer Amount [NOK 1293.58], Status [APPROVED], Operation [DIRECT], UUID [3638503-1458745485-125] [23/03/2016 at 15:04:00]"/>
  </r>
  <r>
    <s v="3638527-1458745502-179"/>
    <s v="Spot"/>
    <s v="3638527-1458745502-179"/>
    <n v="0"/>
    <d v="2016-03-31T00:00:00"/>
    <x v="335"/>
    <s v="179"/>
    <s v="SELL"/>
    <n v="3.3953136810279667"/>
    <x v="0"/>
    <x v="0"/>
    <n v="89.84"/>
    <s v="Deal"/>
    <m/>
    <s v="Original Amount [EUR 26.46], Merchant Amount [EUR 26.46], Customer Amount [TRY 89.84], Status [APPROVED], Operation [3DAUTH], UUID [3638527-1458745502-179] [23/03/2016 at 15:05:00]"/>
  </r>
  <r>
    <s v="3638518-1458745495-216"/>
    <s v="Spot"/>
    <s v="3638518-1458745495-216"/>
    <n v="0"/>
    <d v="2016-03-31T00:00:00"/>
    <x v="336"/>
    <s v="216"/>
    <s v="SELL"/>
    <n v="3.3953737417005785"/>
    <x v="0"/>
    <x v="0"/>
    <n v="158.53"/>
    <s v="Deal"/>
    <m/>
    <s v="Original Amount [EUR 46.69], Merchant Amount [EUR 46.69], Customer Amount [TRY 158.53], Status [APPROVED], Operation [3DAUTH], UUID [3638518-1458745495-216] [23/03/2016 at 15:04:00]"/>
  </r>
  <r>
    <s v="3638515-1458745489-216"/>
    <s v="Spot"/>
    <s v="3638515-1458745489-216"/>
    <n v="0"/>
    <d v="2016-03-31T00:00:00"/>
    <x v="337"/>
    <s v="216"/>
    <s v="SELL"/>
    <n v="3.3957621326042378"/>
    <x v="0"/>
    <x v="0"/>
    <n v="49.68"/>
    <s v="Deal"/>
    <m/>
    <s v="Original Amount [EUR 14.63], Merchant Amount [EUR 14.63], Customer Amount [TRY 49.68], Status [APPROVED], Operation [3DAUTH], UUID [3638515-1458745489-216] [23/03/2016 at 15:04:00]"/>
  </r>
  <r>
    <s v="3638524-1458745498-216"/>
    <s v="Spot"/>
    <s v="3638524-1458745498-216"/>
    <n v="0"/>
    <d v="2016-03-31T00:00:00"/>
    <x v="338"/>
    <s v="216"/>
    <s v="SELL"/>
    <n v="3.3954318344039973"/>
    <x v="0"/>
    <x v="0"/>
    <n v="47.57"/>
    <s v="Deal"/>
    <m/>
    <s v="Original Amount [EUR 14.01], Merchant Amount [EUR 14.01], Customer Amount [TRY 47.57], Status [APPROVED], Operation [3DAUTH], UUID [3638524-1458745498-216] [23/03/2016 at 15:04:00]"/>
  </r>
  <r>
    <s v="3638464-1458745430-200"/>
    <s v="Spot"/>
    <s v="3638464-1458745430-200"/>
    <n v="0"/>
    <d v="2016-03-31T00:00:00"/>
    <x v="339"/>
    <s v="200"/>
    <s v="SELL"/>
    <n v="9.9506666666666668"/>
    <x v="0"/>
    <x v="1"/>
    <n v="298.52"/>
    <s v="Deal"/>
    <m/>
    <s v="Original Amount [EUR 30], Merchant Amount [EUR 30], Customer Amount [NOK 298.52], Status [APPROVED], Operation [DIRECT], UUID [3638464-1458745430-200] [23/03/2016 at 15:03:00]"/>
  </r>
  <r>
    <s v="3638461-1458745429-56"/>
    <s v="Spot"/>
    <s v="3638461-1458745429-56"/>
    <n v="0"/>
    <d v="2016-03-31T00:00:00"/>
    <x v="340"/>
    <s v="56"/>
    <s v="SELL"/>
    <n v="3.3960149439601497"/>
    <x v="0"/>
    <x v="0"/>
    <n v="27.27"/>
    <s v="Deal"/>
    <m/>
    <s v="Original Amount [EUR 8.03], Merchant Amount [EUR 8.03], Customer Amount [TRY 27.27], Status [WAITING], Operation [3D], UUID [3638461-1458745429-56] [23/03/2016 at 15:03:00]"/>
  </r>
  <r>
    <s v="3638443-1458745404-216"/>
    <s v="Spot"/>
    <s v="3638443-1458745404-216"/>
    <n v="0"/>
    <d v="2016-03-31T00:00:00"/>
    <x v="341"/>
    <s v="216"/>
    <s v="SELL"/>
    <n v="3.3957759412304864"/>
    <x v="0"/>
    <x v="0"/>
    <n v="36.979999999999997"/>
    <s v="Deal"/>
    <m/>
    <s v="Original Amount [EUR 10.89], Merchant Amount [EUR 10.89], Customer Amount [TRY 36.98], Status [WAITING], Operation [3D], UUID [3638443-1458745404-216] [23/03/2016 at 15:03:00]"/>
  </r>
  <r>
    <s v="3638440-1458745403-224"/>
    <s v="Spot"/>
    <s v="3638440-1458745403-224"/>
    <n v="0"/>
    <d v="2016-03-31T00:00:00"/>
    <x v="342"/>
    <s v="224"/>
    <s v="SELL"/>
    <n v="133.03553506035536"/>
    <x v="0"/>
    <x v="3"/>
    <n v="29426.13"/>
    <s v="Deal"/>
    <m/>
    <s v="Original Amount [EUR 221.19], Merchant Amount [EUR 221.19], Customer Amount [JPY 29426.13], Status [APPROVED], Operation [DIRECT], UUID [3638440-1458745403-224] [23/03/2016 at 15:03:00]"/>
  </r>
  <r>
    <s v="3638431-1458745393-224"/>
    <s v="Spot"/>
    <s v="3638431-1458745393-224"/>
    <n v="0"/>
    <d v="2016-03-31T00:00:00"/>
    <x v="343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38431-1458745393-224] [23/03/2016 at 15:03:00]"/>
  </r>
  <r>
    <s v="3638446-1458745409-216"/>
    <s v="Spot"/>
    <s v="3638446-1458745409-216"/>
    <n v="0"/>
    <d v="2016-03-31T00:00:00"/>
    <x v="344"/>
    <s v="216"/>
    <s v="SELL"/>
    <n v="3.3953413654618476"/>
    <x v="0"/>
    <x v="0"/>
    <n v="211.36"/>
    <s v="Deal"/>
    <m/>
    <s v="Original Amount [EUR 62.25], Merchant Amount [EUR 62.25], Customer Amount [TRY 211.36], Status [APPROVED], Operation [3DAUTH], UUID [3638446-1458745409-216] [23/03/2016 at 15:03:00]"/>
  </r>
  <r>
    <s v="3638425-1458745384-224"/>
    <s v="Spot"/>
    <s v="3638425-1458745384-224"/>
    <n v="0"/>
    <d v="2016-03-31T00:00:00"/>
    <x v="345"/>
    <s v="224"/>
    <s v="SELL"/>
    <n v="133.03618421052633"/>
    <x v="0"/>
    <x v="3"/>
    <n v="1213.29"/>
    <s v="Deal"/>
    <m/>
    <s v="Original Amount [EUR 9.12], Merchant Amount [EUR 9.12], Customer Amount [JPY 1213.29], Status [APPROVED], Operation [DIRECT], UUID [3638425-1458745384-224] [23/03/2016 at 15:03:00]"/>
  </r>
  <r>
    <s v="3638422-1458745381-224"/>
    <s v="Spot"/>
    <s v="3638422-1458745381-224"/>
    <n v="0"/>
    <d v="2016-03-31T00:00:00"/>
    <x v="346"/>
    <s v="224"/>
    <s v="SELL"/>
    <n v="9.9551155115511545"/>
    <x v="0"/>
    <x v="1"/>
    <n v="150.82"/>
    <s v="Deal"/>
    <m/>
    <s v="Original Amount [EUR 15.15], Merchant Amount [EUR 15.15], Customer Amount [NOK 150.82], Status [APPROVED], Operation [DIRECT], UUID [3638422-1458745381-224] [23/03/2016 at 15:03:00]"/>
  </r>
  <r>
    <s v="3638413-1458745373-224"/>
    <s v="Spot"/>
    <s v="3638413-1458745373-224"/>
    <n v="0"/>
    <d v="2016-03-31T00:00:00"/>
    <x v="347"/>
    <s v="224"/>
    <s v="SELL"/>
    <n v="132.99331067002962"/>
    <x v="0"/>
    <x v="3"/>
    <n v="12127.66"/>
    <s v="Deal"/>
    <m/>
    <s v="Original Amount [EUR 91.19], Merchant Amount [EUR 91.19], Customer Amount [JPY 12127.66], Status [APPROVED], Operation [DIRECT], UUID [3638413-1458745373-224] [23/03/2016 at 15:02:00]"/>
  </r>
  <r>
    <s v="3638482-1458745459-216"/>
    <s v="Spot"/>
    <s v="3638482-1458745459-216"/>
    <n v="0"/>
    <d v="2016-03-31T00:00:00"/>
    <x v="348"/>
    <s v="216"/>
    <s v="SELL"/>
    <n v="3.3955655526992286"/>
    <x v="0"/>
    <x v="0"/>
    <n v="105.67"/>
    <s v="Deal"/>
    <m/>
    <s v="Original Amount [EUR 31.12], Merchant Amount [EUR 31.12], Customer Amount [TRY 105.67], Status [APPROVED], Operation [3DAUTH], UUID [3638482-1458745459-216] [23/03/2016 at 15:04:00]"/>
  </r>
  <r>
    <s v="3638407-1458745367-126"/>
    <s v="Spot"/>
    <s v="3638407-1458745367-126"/>
    <n v="0"/>
    <d v="2016-03-31T00:00:00"/>
    <x v="349"/>
    <s v="126"/>
    <s v="SELL"/>
    <n v="9.954675846242111"/>
    <x v="0"/>
    <x v="1"/>
    <n v="173.51"/>
    <s v="Deal"/>
    <m/>
    <s v="Original Amount [EUR 17.43], Merchant Amount [EUR 17.43], Customer Amount [NOK 173.51], Status [APPROVED], Operation [DIRECT], UUID [3638407-1458745367-126] [23/03/2016 at 15:02:00]"/>
  </r>
  <r>
    <s v="3638404-1458745364-211"/>
    <s v="Spot"/>
    <s v="3638404-1458745364-211"/>
    <n v="0"/>
    <d v="2016-03-31T00:00:00"/>
    <x v="350"/>
    <s v="211"/>
    <s v="SELL"/>
    <n v="3.3955857385398982"/>
    <x v="0"/>
    <x v="0"/>
    <n v="100"/>
    <s v="Deal"/>
    <m/>
    <s v="Original Amount [EUR 29.45], Merchant Amount [EUR 29.45], Customer Amount [TRY 100], Status [WAITING], Operation [3D], UUID [3638404-1458745364-211] [23/03/2016 at 15:02:00]"/>
  </r>
  <r>
    <s v="3638401-1458745361-82"/>
    <s v="Spot"/>
    <s v="3638401-1458745361-82"/>
    <n v="0"/>
    <d v="2016-03-31T00:00:00"/>
    <x v="351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401-1458745361-82] [23/03/2016 at 15:02:00]"/>
  </r>
  <r>
    <s v="3638398-1458745353-145"/>
    <s v="Spot"/>
    <s v="3638398-1458745353-145"/>
    <n v="0"/>
    <d v="2016-03-31T00:00:00"/>
    <x v="352"/>
    <s v="145"/>
    <s v="SELL"/>
    <n v="9.9546742209631738"/>
    <x v="0"/>
    <x v="1"/>
    <n v="210.84"/>
    <s v="Deal"/>
    <m/>
    <s v="Original Amount [EUR 21.18], Merchant Amount [EUR 21.18], Customer Amount [NOK 210.84], Status [APPROVED], Operation [DIRECT], UUID [3638398-1458745353-145] [23/03/2016 at 15:02:00]"/>
  </r>
  <r>
    <s v="3638392-1458745350-187"/>
    <s v="Spot"/>
    <s v="3638392-1458745350-187"/>
    <n v="0"/>
    <d v="2016-03-31T00:00:00"/>
    <x v="353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8392-1458745350-187] [23/03/2016 at 15:02:00]"/>
  </r>
  <r>
    <s v="3638416-1458745373-107"/>
    <s v="Spot"/>
    <s v="3638416-1458745373-107"/>
    <n v="0"/>
    <d v="2016-03-31T00:00:00"/>
    <x v="354"/>
    <s v="107"/>
    <s v="SELL"/>
    <n v="3.3961605584642234"/>
    <x v="0"/>
    <x v="0"/>
    <n v="38.92"/>
    <s v="Deal"/>
    <m/>
    <s v="Original Amount [EUR 11.46], Merchant Amount [EUR 11.46], Customer Amount [TRY 38.92], Status [APPROVED], Operation [3DAUTH], UUID [3638416-1458745373-107] [23/03/2016 at 15:02:00]"/>
  </r>
  <r>
    <s v="3638356-1458745323-216"/>
    <s v="Spot"/>
    <s v="3638356-1458745323-216"/>
    <n v="0"/>
    <d v="2016-03-31T00:00:00"/>
    <x v="355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8356-1458745323-216] [23/03/2016 at 15:02:00]"/>
  </r>
  <r>
    <s v="3638353-1458745322-261"/>
    <s v="Spot"/>
    <s v="3638353-1458745322-261"/>
    <n v="0"/>
    <d v="2016-03-31T00:00:00"/>
    <x v="356"/>
    <s v="261"/>
    <s v="SELL"/>
    <n v="9.9549702633814796"/>
    <x v="0"/>
    <x v="1"/>
    <n v="117.17"/>
    <s v="Deal"/>
    <m/>
    <s v="Original Amount [EUR 11.77], Merchant Amount [EUR 11.77], Customer Amount [NOK 117.17], Status [APPROVED], Operation [DIRECT], UUID [3638353-1458745322-261] [23/03/2016 at 15:02:00]"/>
  </r>
  <r>
    <s v="3638344-1458745320-199"/>
    <s v="Spot"/>
    <s v="3638344-1458745320-199"/>
    <n v="0"/>
    <d v="2016-03-31T00:00:00"/>
    <x v="357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38344-1458745320-199] [23/03/2016 at 15:02:00]"/>
  </r>
  <r>
    <s v="3638338-1458745317-187"/>
    <s v="Spot"/>
    <s v="3638338-1458745317-187"/>
    <n v="0"/>
    <d v="2016-03-31T00:00:00"/>
    <x v="358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8338-1458745317-187] [23/03/2016 at 15:01:00]"/>
  </r>
  <r>
    <s v="3638377-1458745343-216"/>
    <s v="Spot"/>
    <s v="3638377-1458745343-216"/>
    <n v="0"/>
    <d v="2016-03-31T00:00:00"/>
    <x v="359"/>
    <s v="216"/>
    <s v="SELL"/>
    <n v="3.3955240416574339"/>
    <x v="0"/>
    <x v="0"/>
    <n v="153.24"/>
    <s v="Deal"/>
    <m/>
    <s v="Original Amount [EUR 45.13], Merchant Amount [EUR 45.13], Customer Amount [TRY 153.24], Status [APPROVED], Operation [3DAUTH], UUID [3638377-1458745343-216] [23/03/2016 at 15:02:00]"/>
  </r>
  <r>
    <s v="3638326-1458745305-199"/>
    <s v="Spot"/>
    <s v="3638326-1458745305-199"/>
    <n v="0"/>
    <d v="2016-03-31T00:00:00"/>
    <x v="360"/>
    <s v="199"/>
    <s v="SELL"/>
    <n v="9.9546709618039575"/>
    <x v="0"/>
    <x v="1"/>
    <n v="432.63"/>
    <s v="Deal"/>
    <m/>
    <s v="Original Amount [EUR 43.46], Merchant Amount [EUR 43.46], Customer Amount [NOK 432.63], Status [APPROVED], Operation [DIRECT], UUID [3638326-1458745305-199] [23/03/2016 at 15:01:00]"/>
  </r>
  <r>
    <s v="3638320-1458745301-145"/>
    <s v="Spot"/>
    <s v="3638320-1458745301-145"/>
    <n v="0"/>
    <d v="2016-03-31T00:00:00"/>
    <x v="361"/>
    <s v="145"/>
    <s v="SELL"/>
    <n v="1.5435809539734962"/>
    <x v="0"/>
    <x v="2"/>
    <n v="369.24"/>
    <s v="Deal"/>
    <m/>
    <s v="Original Amount [EUR 239.21], Merchant Amount [EUR 239.21], Customer Amount [CAD 369.24], Status [APPROVED], Operation [DIRECT], UUID [3638320-1458745301-145] [23/03/2016 at 15:01:00]"/>
  </r>
  <r>
    <s v="3638359-1458745323-56"/>
    <s v="Spot"/>
    <s v="3638359-1458745323-56"/>
    <n v="0"/>
    <d v="2016-03-31T00:00:00"/>
    <x v="362"/>
    <s v="56"/>
    <s v="SELL"/>
    <n v="3.3954486904250754"/>
    <x v="0"/>
    <x v="0"/>
    <n v="158.16"/>
    <s v="Deal"/>
    <m/>
    <s v="Original Amount [EUR 46.58], Merchant Amount [EUR 46.58], Customer Amount [TRY 158.16], Status [APPROVED], Operation [3DAUTH], UUID [3638359-1458745323-56] [23/03/2016 at 15:02:00]"/>
  </r>
  <r>
    <s v="3638305-1458745288-171"/>
    <s v="Spot"/>
    <s v="3638305-1458745288-171"/>
    <n v="0"/>
    <d v="2016-03-31T00:00:00"/>
    <x v="363"/>
    <s v="171"/>
    <s v="SELL"/>
    <n v="1.5440528634361235"/>
    <x v="0"/>
    <x v="2"/>
    <n v="21.03"/>
    <s v="Deal"/>
    <m/>
    <s v="Original Amount [EUR 13.62], Merchant Amount [EUR 13.62], Customer Amount [CAD 21.03], Status [WAITING], Operation [3D], UUID [3638305-1458745288-171] [23/03/2016 at 15:01:00]"/>
  </r>
  <r>
    <s v="3638302-1458745283-187"/>
    <s v="Spot"/>
    <s v="3638302-1458745283-187"/>
    <n v="0"/>
    <d v="2016-03-31T00:00:00"/>
    <x v="364"/>
    <s v="187"/>
    <s v="SELL"/>
    <n v="9.9546242319205938"/>
    <x v="0"/>
    <x v="1"/>
    <n v="1263.6400000000001"/>
    <s v="Deal"/>
    <m/>
    <s v="Original Amount [EUR 126.94], Merchant Amount [EUR 126.94], Customer Amount [NOK 1263.64], Status [APPROVED], Operation [DIRECT], UUID [3638302-1458745283-187] [23/03/2016 at 15:01:00]"/>
  </r>
  <r>
    <s v="3638323-1458745302-145"/>
    <s v="Spot"/>
    <s v="3638323-1458745302-145"/>
    <n v="0"/>
    <d v="2016-03-31T00:00:00"/>
    <x v="365"/>
    <s v="145"/>
    <s v="SELL"/>
    <n v="1.5443902439024391"/>
    <x v="0"/>
    <x v="2"/>
    <n v="15.83"/>
    <s v="Deal"/>
    <m/>
    <s v="Original Amount [EUR 10.25], Merchant Amount [EUR 10.25], Customer Amount [CAD 15.83], Status [APPROVED], Operation [3DAUTH], UUID [3638323-1458745302-145] [23/03/2016 at 15:01:00]"/>
  </r>
  <r>
    <s v="3638296-1458745279-119"/>
    <s v="Spot"/>
    <s v="3638296-1458745279-119"/>
    <n v="0"/>
    <d v="2016-03-31T00:00:00"/>
    <x v="366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38296-1458745279-119] [23/03/2016 at 15:01:00]"/>
  </r>
  <r>
    <s v="3638311-1458745293-216"/>
    <s v="Spot"/>
    <s v="3638311-1458745293-216"/>
    <n v="0"/>
    <d v="2016-03-31T00:00:00"/>
    <x v="367"/>
    <s v="216"/>
    <s v="SELL"/>
    <n v="3.3959839357429722"/>
    <x v="0"/>
    <x v="0"/>
    <n v="42.28"/>
    <s v="Deal"/>
    <m/>
    <s v="Original Amount [EUR 12.45], Merchant Amount [EUR 12.45], Customer Amount [TRY 42.28], Status [APPROVED], Operation [3DAUTH], UUID [3638311-1458745293-216] [23/03/2016 at 15:01:00]"/>
  </r>
  <r>
    <s v="3638290-1458745273-199"/>
    <s v="Spot"/>
    <s v="3638290-1458745273-199"/>
    <n v="0"/>
    <d v="2016-03-31T00:00:00"/>
    <x v="368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8290-1458745273-199] [23/03/2016 at 15:01:00]"/>
  </r>
  <r>
    <s v="3638287-1458745269-82"/>
    <s v="Spot"/>
    <s v="3638287-1458745269-82"/>
    <n v="0"/>
    <d v="2016-03-31T00:00:00"/>
    <x v="369"/>
    <s v="82"/>
    <s v="SELL"/>
    <n v="1.1846117757447805"/>
    <x v="0"/>
    <x v="7"/>
    <n v="50.5"/>
    <s v="Deal"/>
    <m/>
    <s v="Original Amount [USD 50.5], Merchant Amount [EUR 42.63], Customer Amount [USD 50.5], Status [APPROVED], Operation [DIRECT], UUID [3638287-1458745269-82] [23/03/2016 at 15:01:00]"/>
  </r>
  <r>
    <s v="3638362-1458745327-56"/>
    <s v="Spot"/>
    <s v="3638362-1458745327-56"/>
    <n v="0"/>
    <d v="2016-03-31T00:00:00"/>
    <x v="370"/>
    <s v="56"/>
    <s v="SELL"/>
    <n v="3.3953946686028424"/>
    <x v="0"/>
    <x v="0"/>
    <n v="327.35000000000002"/>
    <s v="Deal"/>
    <m/>
    <s v="Original Amount [EUR 96.41], Merchant Amount [EUR 96.41], Customer Amount [TRY 327.35], Status [APPROVED], Operation [3DAUTH], UUID [3638362-1458745327-56] [23/03/2016 at 15:02:00]"/>
  </r>
  <r>
    <s v="3638278-1458745252-187"/>
    <s v="Spot"/>
    <s v="3638278-1458745252-187"/>
    <n v="0"/>
    <d v="2016-03-31T00:00:00"/>
    <x v="371"/>
    <s v="187"/>
    <s v="SELL"/>
    <n v="9.9550827423167849"/>
    <x v="0"/>
    <x v="1"/>
    <n v="126.33"/>
    <s v="Deal"/>
    <m/>
    <s v="Original Amount [EUR 12.69], Merchant Amount [EUR 12.69], Customer Amount [NOK 126.33], Status [APPROVED], Operation [DIRECT], UUID [3638278-1458745252-187] [23/03/2016 at 15:00:00]"/>
  </r>
  <r>
    <s v="3638272-1458745249-216"/>
    <s v="Spot"/>
    <s v="3638272-1458745249-216"/>
    <n v="0"/>
    <d v="2016-03-31T00:00:00"/>
    <x v="372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8272-1458745249-216] [23/03/2016 at 15:00:00]"/>
  </r>
  <r>
    <s v="3638266-1458745240-199"/>
    <s v="Spot"/>
    <s v="3638266-1458745240-199"/>
    <n v="0"/>
    <d v="2016-03-31T00:00:00"/>
    <x v="373"/>
    <s v="199"/>
    <s v="SELL"/>
    <n v="9.9545872967167846"/>
    <x v="0"/>
    <x v="1"/>
    <n v="324.42"/>
    <s v="Deal"/>
    <m/>
    <s v="Original Amount [EUR 32.59], Merchant Amount [EUR 32.59], Customer Amount [NOK 324.42], Status [APPROVED], Operation [DIRECT], UUID [3638266-1458745240-199] [23/03/2016 at 15:00:00]"/>
  </r>
  <r>
    <s v="3638263-1458745234-126"/>
    <s v="Spot"/>
    <s v="3638263-1458745234-126"/>
    <n v="0"/>
    <d v="2016-03-31T00:00:00"/>
    <x v="374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8263-1458745234-126] [23/03/2016 at 15:00:00]"/>
  </r>
  <r>
    <s v="3638251-1458745222-199"/>
    <s v="Spot"/>
    <s v="3638251-1458745222-199"/>
    <n v="0"/>
    <d v="2016-03-31T00:00:00"/>
    <x v="37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8251-1458745222-199] [23/03/2016 at 15:00:00]"/>
  </r>
  <r>
    <s v="3638245-1458745220-224"/>
    <s v="Spot"/>
    <s v="3638245-1458745220-224"/>
    <n v="0"/>
    <d v="2016-03-31T00:00:00"/>
    <x v="376"/>
    <s v="224"/>
    <s v="SELL"/>
    <n v="132.99341816586224"/>
    <x v="0"/>
    <x v="3"/>
    <n v="3030.92"/>
    <s v="Deal"/>
    <m/>
    <s v="Original Amount [EUR 22.79], Merchant Amount [EUR 22.79], Customer Amount [JPY 3030.92], Status [APPROVED], Operation [DIRECT], UUID [3638245-1458745220-224] [23/03/2016 at 15:00:00]"/>
  </r>
  <r>
    <s v="3638275-1458745250-216"/>
    <s v="Spot"/>
    <s v="3638275-1458745250-216"/>
    <n v="0"/>
    <d v="2016-03-31T00:00:00"/>
    <x v="377"/>
    <s v="216"/>
    <s v="SELL"/>
    <n v="3.3953737417005785"/>
    <x v="0"/>
    <x v="0"/>
    <n v="158.53"/>
    <s v="Deal"/>
    <m/>
    <s v="Original Amount [EUR 46.69], Merchant Amount [EUR 46.69], Customer Amount [TRY 158.53], Status [APPROVED], Operation [3DAUTH], UUID [3638275-1458745250-216] [23/03/2016 at 15:00:00]"/>
  </r>
  <r>
    <s v="3638239-1458745213-56"/>
    <s v="Spot"/>
    <s v="3638239-1458745213-56"/>
    <n v="0"/>
    <d v="2016-03-31T00:00:00"/>
    <x v="378"/>
    <s v="56"/>
    <s v="SELL"/>
    <n v="3.3956386292834893"/>
    <x v="0"/>
    <x v="0"/>
    <n v="32.700000000000003"/>
    <s v="Deal"/>
    <m/>
    <s v="Original Amount [EUR 9.63], Merchant Amount [EUR 9.63], Customer Amount [TRY 32.7], Status [WAITING], Operation [3D], UUID [3638239-1458745213-56] [23/03/2016 at 15:00:00]"/>
  </r>
  <r>
    <s v="3638236-1458745211-199"/>
    <s v="Spot"/>
    <s v="3638236-1458745211-199"/>
    <n v="0"/>
    <d v="2016-03-31T00:00:00"/>
    <x v="379"/>
    <s v="199"/>
    <s v="SELL"/>
    <n v="9.9549418604651159"/>
    <x v="0"/>
    <x v="1"/>
    <n v="205.47"/>
    <s v="Deal"/>
    <m/>
    <s v="Original Amount [EUR 20.64], Merchant Amount [EUR 20.64], Customer Amount [NOK 205.47], Status [APPROVED], Operation [DIRECT], UUID [3638236-1458745211-199] [23/03/2016 at 15:00:00]"/>
  </r>
  <r>
    <s v="3638257-1458745226-216"/>
    <s v="Spot"/>
    <s v="3638257-1458745226-216"/>
    <n v="0"/>
    <d v="2016-03-31T00:00:00"/>
    <x v="380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38257-1458745226-216] [23/03/2016 at 15:00:00]"/>
  </r>
  <r>
    <s v="3638233-1458745208-107"/>
    <s v="Spot"/>
    <s v="3638233-1458745208-107"/>
    <n v="0"/>
    <d v="2016-03-31T00:00:00"/>
    <x v="381"/>
    <s v="107"/>
    <s v="SELL"/>
    <n v="3.3878400000000002"/>
    <x v="0"/>
    <x v="0"/>
    <n v="846.96"/>
    <s v="Deal"/>
    <m/>
    <s v="Original Amount [EUR 250], Merchant Amount [EUR 250], Customer Amount [TRY 846.96], Status [APPROVED], Operation [3DAUTH], UUID [3638233-1458745208-107] [23/03/2016 at 15:00:00]"/>
  </r>
  <r>
    <s v="3638248-1458745220-216"/>
    <s v="Spot"/>
    <s v="3638248-1458745220-216"/>
    <n v="0"/>
    <d v="2016-03-31T00:00:00"/>
    <x v="382"/>
    <s v="216"/>
    <s v="SELL"/>
    <n v="3.3879518072289159"/>
    <x v="0"/>
    <x v="0"/>
    <n v="84.36"/>
    <s v="Deal"/>
    <m/>
    <s v="Original Amount [EUR 24.9], Merchant Amount [EUR 24.9], Customer Amount [TRY 84.36], Status [APPROVED], Operation [3DAUTH], UUID [3638248-1458745220-216] [23/03/2016 at 15:00:00]"/>
  </r>
  <r>
    <s v="3638200-1458745178-171"/>
    <s v="Spot"/>
    <s v="3638200-1458745178-171"/>
    <n v="0"/>
    <d v="2016-03-31T00:00:00"/>
    <x v="383"/>
    <s v="171"/>
    <s v="SELL"/>
    <n v="1.5440658049353702"/>
    <x v="0"/>
    <x v="2"/>
    <n v="26.28"/>
    <s v="Deal"/>
    <m/>
    <s v="Original Amount [EUR 17.02], Merchant Amount [EUR 17.02], Customer Amount [CAD 26.28], Status [WAITING], Operation [3D], UUID [3638200-1458745178-171] [23/03/2016 at 14:59:00]"/>
  </r>
  <r>
    <s v="3638194-1458745172-224"/>
    <s v="Spot"/>
    <s v="3638194-1458745172-224"/>
    <n v="0"/>
    <d v="2016-03-31T00:00:00"/>
    <x v="384"/>
    <s v="224"/>
    <s v="SELL"/>
    <n v="133.03801169590645"/>
    <x v="0"/>
    <x v="3"/>
    <n v="1819.96"/>
    <s v="Deal"/>
    <m/>
    <s v="Original Amount [EUR 13.68], Merchant Amount [EUR 13.68], Customer Amount [JPY 1819.96], Status [APPROVED], Operation [DIRECT], UUID [3638194-1458745172-224] [23/03/2016 at 14:59:00]"/>
  </r>
  <r>
    <s v="3638215-1458745188-56"/>
    <s v="Spot"/>
    <s v="3638215-1458745188-56"/>
    <n v="0"/>
    <d v="2016-03-31T00:00:00"/>
    <x v="385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8215-1458745188-56] [23/03/2016 at 14:59:00]"/>
  </r>
  <r>
    <s v="3638260-1458745227-101"/>
    <s v="Spot"/>
    <s v="3638260-1458745227-101"/>
    <n v="0"/>
    <d v="2016-03-31T00:00:00"/>
    <x v="386"/>
    <s v="101"/>
    <s v="SELL"/>
    <n v="3.3880837359098228"/>
    <x v="0"/>
    <x v="0"/>
    <n v="84.16"/>
    <s v="Deal"/>
    <m/>
    <s v="Original Amount [EUR 24.84], Merchant Amount [EUR 24.84], Customer Amount [TRY 84.16], Status [APPROVED], Operation [3DAUTH], UUID [3638260-1458745227-101] [23/03/2016 at 15:00:00]"/>
  </r>
  <r>
    <s v="3638170-1458745145-145"/>
    <s v="Spot"/>
    <s v="3638170-1458745145-145"/>
    <n v="0"/>
    <d v="2016-03-31T00:00:00"/>
    <x v="387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8170-1458745145-145] [23/03/2016 at 14:59:00]"/>
  </r>
  <r>
    <s v="3638161-1458745137-224"/>
    <s v="Spot"/>
    <s v="3638161-1458745137-224"/>
    <n v="0"/>
    <d v="2016-03-31T00:00:00"/>
    <x v="388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38161-1458745137-224] [23/03/2016 at 14:58:00]"/>
  </r>
  <r>
    <s v="3638203-1458745183-179"/>
    <s v="Spot"/>
    <s v="3638203-1458745183-179"/>
    <n v="0"/>
    <d v="2016-03-31T00:00:00"/>
    <x v="389"/>
    <s v="179"/>
    <s v="SELL"/>
    <n v="3.3879371877230553"/>
    <x v="0"/>
    <x v="0"/>
    <n v="94.93"/>
    <s v="Deal"/>
    <m/>
    <s v="Original Amount [EUR 28.02], Merchant Amount [EUR 28.02], Customer Amount [TRY 94.93], Status [APPROVED], Operation [3DAUTH], UUID [3638203-1458745183-179] [23/03/2016 at 14:59:00]"/>
  </r>
  <r>
    <s v="3638146-1458745127-199"/>
    <s v="Spot"/>
    <s v="3638146-1458745127-199"/>
    <n v="0"/>
    <d v="2016-03-31T00:00:00"/>
    <x v="390"/>
    <s v="199"/>
    <s v="SELL"/>
    <n v="9.9506515109509284"/>
    <x v="0"/>
    <x v="1"/>
    <n v="358.92"/>
    <s v="Deal"/>
    <m/>
    <s v="Original Amount [EUR 36.07], Merchant Amount [EUR 36.07], Customer Amount [NOK 358.92], Status [APPROVED], Operation [DIRECT], UUID [3638146-1458745127-199] [23/03/2016 at 14:58:00]"/>
  </r>
  <r>
    <s v="3638140-1458745119-216"/>
    <s v="Spot"/>
    <s v="3638140-1458745119-216"/>
    <n v="0"/>
    <d v="2016-03-31T00:00:00"/>
    <x v="391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140-1458745119-216] [23/03/2016 at 14:58:00]"/>
  </r>
  <r>
    <s v="3638149-1458745129-203"/>
    <s v="Spot"/>
    <s v="3638149-1458745129-203"/>
    <n v="0"/>
    <d v="2016-03-31T00:00:00"/>
    <x v="392"/>
    <s v="203"/>
    <s v="SELL"/>
    <n v="3.3883870967741938"/>
    <x v="0"/>
    <x v="0"/>
    <n v="52.52"/>
    <s v="Deal"/>
    <m/>
    <s v="Original Amount [EUR 15.5], Merchant Amount [EUR 15.5], Customer Amount [TRY 52.52], Status [APPROVED], Operation [3DAUTH], UUID [3638149-1458745129-203] [23/03/2016 at 14:58:00]"/>
  </r>
  <r>
    <s v="3638119-1458745086-216"/>
    <s v="Spot"/>
    <s v="3638119-1458745086-216"/>
    <n v="0"/>
    <d v="2016-03-31T00:00:00"/>
    <x v="393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119-1458745086-216] [23/03/2016 at 14:58:00]"/>
  </r>
  <r>
    <s v="3638131-1458745105-216"/>
    <s v="Spot"/>
    <s v="3638131-1458745105-216"/>
    <n v="0"/>
    <d v="2016-03-31T00:00:00"/>
    <x v="394"/>
    <s v="216"/>
    <s v="SELL"/>
    <n v="3.3878774898265158"/>
    <x v="0"/>
    <x v="0"/>
    <n v="158.18"/>
    <s v="Deal"/>
    <m/>
    <s v="Original Amount [EUR 46.69], Merchant Amount [EUR 46.69], Customer Amount [TRY 158.18], Status [APPROVED], Operation [3DAUTH], UUID [3638131-1458745105-216] [23/03/2016 at 14:58:00]"/>
  </r>
  <r>
    <s v="3638104-1458745081-224"/>
    <s v="Spot"/>
    <s v="3638104-1458745081-224"/>
    <n v="0"/>
    <d v="2016-03-31T00:00:00"/>
    <x v="395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8104-1458745081-224] [23/03/2016 at 14:58:00]"/>
  </r>
  <r>
    <s v="3638101-1458745080-199"/>
    <s v="Spot"/>
    <s v="3638101-1458745080-199"/>
    <n v="0"/>
    <d v="2016-03-31T00:00:00"/>
    <x v="39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8101-1458745080-199] [23/03/2016 at 14:58:00]"/>
  </r>
  <r>
    <s v="3638098-1458745073-199"/>
    <s v="Spot"/>
    <s v="3638098-1458745073-199"/>
    <n v="0"/>
    <d v="2016-03-31T00:00:00"/>
    <x v="397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8098-1458745073-199] [23/03/2016 at 14:57:00]"/>
  </r>
  <r>
    <s v="3638125-1458745098-216"/>
    <s v="Spot"/>
    <s v="3638125-1458745098-216"/>
    <n v="0"/>
    <d v="2016-03-31T00:00:00"/>
    <x v="398"/>
    <s v="216"/>
    <s v="SELL"/>
    <n v="3.387853470437018"/>
    <x v="0"/>
    <x v="0"/>
    <n v="105.43"/>
    <s v="Deal"/>
    <m/>
    <s v="Original Amount [EUR 31.12], Merchant Amount [EUR 31.12], Customer Amount [TRY 105.43], Status [APPROVED], Operation [3DAUTH], UUID [3638125-1458745098-216] [23/03/2016 at 14:58:00]"/>
  </r>
  <r>
    <s v="3638071-1458745056-187"/>
    <s v="Spot"/>
    <s v="3638071-1458745056-187"/>
    <n v="0"/>
    <d v="2016-03-31T00:00:00"/>
    <x v="399"/>
    <s v="187"/>
    <s v="SELL"/>
    <n v="9.9506026943984871"/>
    <x v="0"/>
    <x v="1"/>
    <n v="421.01"/>
    <s v="Deal"/>
    <m/>
    <s v="Original Amount [EUR 42.31], Merchant Amount [EUR 42.31], Customer Amount [NOK 421.01], Status [APPROVED], Operation [DIRECT], UUID [3638071-1458745056-187] [23/03/2016 at 14:57:00]"/>
  </r>
  <r>
    <s v="3638068-1458745053-199"/>
    <s v="Spot"/>
    <s v="3638068-1458745053-199"/>
    <n v="0"/>
    <d v="2016-03-31T00:00:00"/>
    <x v="400"/>
    <s v="199"/>
    <s v="SELL"/>
    <n v="9.9512195121951219"/>
    <x v="0"/>
    <x v="1"/>
    <n v="102"/>
    <s v="Deal"/>
    <m/>
    <s v="Original Amount [EUR 10.25], Merchant Amount [EUR 10.25], Customer Amount [NOK 102], Status [APPROVED], Operation [DIRECT], UUID [3638068-1458745053-199] [23/03/2016 at 14:57:00]"/>
  </r>
  <r>
    <s v="3638083-1458745064-264"/>
    <s v="Spot"/>
    <s v="3638083-1458745064-264"/>
    <n v="0"/>
    <d v="2016-03-31T00:00:00"/>
    <x v="401"/>
    <s v="264"/>
    <s v="SELL"/>
    <n v="3.3915040183696896"/>
    <x v="0"/>
    <x v="0"/>
    <n v="29.54"/>
    <s v="Deal"/>
    <m/>
    <s v="Original Amount [TRY 28], Merchant Amount [EUR 8.71], Customer Amount [TRY 29.54], Status [APPROVED], Operation [3DAUTH], UUID [3638083-1458745064-264] [23/03/2016 at 14:57:00]"/>
  </r>
  <r>
    <s v="3638059-1458745044-224"/>
    <s v="Spot"/>
    <s v="3638059-1458745044-224"/>
    <n v="0"/>
    <d v="2016-03-31T00:00:00"/>
    <x v="402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8059-1458745044-224] [23/03/2016 at 14:57:00]"/>
  </r>
  <r>
    <s v="3638089-1458745065-119"/>
    <s v="Spot"/>
    <s v="3638089-1458745065-119"/>
    <n v="0"/>
    <d v="2016-03-31T00:00:00"/>
    <x v="403"/>
    <s v="119"/>
    <s v="SELL"/>
    <n v="9.950800000000001"/>
    <x v="0"/>
    <x v="1"/>
    <n v="248.77"/>
    <s v="Deal"/>
    <m/>
    <s v="Original Amount [EUR 25], Merchant Amount [EUR 25], Customer Amount [NOK 248.77], Status [APPROVED], Operation [3DAUTH], UUID [3638089-1458745065-119] [23/03/2016 at 14:57:00]"/>
  </r>
  <r>
    <s v="3638047-1458745034-119"/>
    <s v="Spot"/>
    <s v="3638047-1458745034-119"/>
    <n v="0"/>
    <d v="2016-03-31T00:00:00"/>
    <x v="4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8047-1458745034-119] [23/03/2016 at 14:57:00]"/>
  </r>
  <r>
    <s v="3638038-1458745028-216"/>
    <s v="Spot"/>
    <s v="3638038-1458745028-216"/>
    <n v="0"/>
    <d v="2016-03-31T00:00:00"/>
    <x v="405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038-1458745028-216] [23/03/2016 at 14:57:00]"/>
  </r>
  <r>
    <s v="3638056-1458745043-101"/>
    <s v="Spot"/>
    <s v="3638056-1458745043-101"/>
    <n v="0"/>
    <d v="2016-03-31T00:00:00"/>
    <x v="406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8056-1458745043-101] [23/03/2016 at 14:57:00]"/>
  </r>
  <r>
    <s v="3638014-1458745003-107"/>
    <s v="Spot"/>
    <s v="3638014-1458745003-107"/>
    <n v="0"/>
    <d v="2016-03-31T00:00:00"/>
    <x v="407"/>
    <s v="107"/>
    <s v="SELL"/>
    <n v="3.3883763837638372"/>
    <x v="0"/>
    <x v="0"/>
    <n v="36.729999999999997"/>
    <s v="Deal"/>
    <m/>
    <s v="Original Amount [EUR 10.84], Merchant Amount [EUR 10.84], Customer Amount [TRY 36.73], Status [WAITING], Operation [3D], UUID [3638014-1458745003-107] [23/03/2016 at 14:56:00]"/>
  </r>
  <r>
    <s v="3638026-1458745008-56"/>
    <s v="Spot"/>
    <s v="3638026-1458745008-56"/>
    <n v="0"/>
    <d v="2016-03-31T00:00:00"/>
    <x v="408"/>
    <s v="56"/>
    <s v="SELL"/>
    <n v="3.3880180373631092"/>
    <x v="0"/>
    <x v="0"/>
    <n v="157.78"/>
    <s v="Deal"/>
    <m/>
    <s v="Original Amount [EUR 46.57], Merchant Amount [EUR 46.57], Customer Amount [TRY 157.78], Status [APPROVED], Operation [3DAUTH], UUID [3638026-1458745008-56] [23/03/2016 at 14:56:00]"/>
  </r>
  <r>
    <s v="3637993-1458744979-145"/>
    <s v="Spot"/>
    <s v="3637993-1458744979-145"/>
    <n v="0"/>
    <d v="2016-03-31T00:00:00"/>
    <x v="409"/>
    <s v="145"/>
    <s v="SELL"/>
    <n v="1.5513936644963056"/>
    <x v="0"/>
    <x v="2"/>
    <n v="424.12"/>
    <s v="Deal"/>
    <m/>
    <s v="Original Amount [EUR 273.38], Merchant Amount [EUR 273.38], Customer Amount [CAD 424.12], Status [APPROVED], Operation [DIRECT], UUID [3637993-1458744979-145] [23/03/2016 at 14:56:00]"/>
  </r>
  <r>
    <s v="3637987-1458744977-102"/>
    <s v="Spot"/>
    <s v="3637987-1458744977-102"/>
    <n v="0"/>
    <d v="2016-03-31T00:00:00"/>
    <x v="410"/>
    <s v="102"/>
    <s v="SELL"/>
    <n v="3.3881720430107527"/>
    <x v="0"/>
    <x v="0"/>
    <n v="31.51"/>
    <s v="Deal"/>
    <m/>
    <s v="Original Amount [EUR 9.3], Merchant Amount [EUR 9.3], Customer Amount [TRY 31.51], Status [WAITING], Operation [3D], UUID [3637987-1458744977-102] [23/03/2016 at 14:56:00]"/>
  </r>
  <r>
    <s v="3637984-1458744968-224"/>
    <s v="Spot"/>
    <s v="3637984-1458744968-224"/>
    <n v="0"/>
    <d v="2016-03-31T00:00:00"/>
    <x v="411"/>
    <s v="224"/>
    <s v="SELL"/>
    <n v="132.83282141290042"/>
    <x v="0"/>
    <x v="3"/>
    <n v="3027.26"/>
    <s v="Deal"/>
    <m/>
    <s v="Original Amount [EUR 22.79], Merchant Amount [EUR 22.79], Customer Amount [JPY 3027.26], Status [APPROVED], Operation [DIRECT], UUID [3637984-1458744968-224] [23/03/2016 at 14:56:00]"/>
  </r>
  <r>
    <s v="3637972-1458744960-224"/>
    <s v="Spot"/>
    <s v="3637972-1458744960-224"/>
    <n v="0"/>
    <d v="2016-03-31T00:00:00"/>
    <x v="412"/>
    <s v="224"/>
    <s v="SELL"/>
    <n v="132.83241973375098"/>
    <x v="0"/>
    <x v="3"/>
    <n v="1696.27"/>
    <s v="Deal"/>
    <m/>
    <s v="Original Amount [EUR 12.77], Merchant Amount [EUR 12.77], Customer Amount [JPY 1696.27], Status [APPROVED], Operation [DIRECT], UUID [3637972-1458744960-224] [23/03/2016 at 14:56:00]"/>
  </r>
  <r>
    <s v="3637990-1458744979-101"/>
    <s v="Spot"/>
    <s v="3637990-1458744979-101"/>
    <n v="0"/>
    <d v="2016-03-31T00:00:00"/>
    <x v="413"/>
    <s v="101"/>
    <s v="SELL"/>
    <n v="4.3367709815078239"/>
    <x v="0"/>
    <x v="9"/>
    <n v="487.8"/>
    <s v="Deal"/>
    <m/>
    <s v="Original Amount [EUR 112.48], Merchant Amount [EUR 112.48], Customer Amount [AED 487.8], Status [APPROVED], Operation [3DAUTH], UUID [3637990-1458744979-101] [23/03/2016 at 14:56:00]"/>
  </r>
  <r>
    <s v="3638017-1458745006-150"/>
    <s v="Spot"/>
    <s v="3638017-1458745006-150"/>
    <n v="0"/>
    <d v="2016-03-31T00:00:00"/>
    <x v="414"/>
    <s v="150"/>
    <s v="SELL"/>
    <n v="3.3880837359098228"/>
    <x v="0"/>
    <x v="0"/>
    <n v="105.2"/>
    <s v="Deal"/>
    <m/>
    <s v="Original Amount [EUR 31.05], Merchant Amount [EUR 31.05], Customer Amount [TRY 105.2], Status [APPROVED], Operation [3DAUTH], UUID [3638017-1458745006-150] [23/03/2016 at 14:56:00]"/>
  </r>
  <r>
    <s v="3637954-1458744938-224"/>
    <s v="Spot"/>
    <s v="3637954-1458744938-224"/>
    <n v="0"/>
    <d v="2016-03-31T00:00:00"/>
    <x v="415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7954-1458744938-224] [23/03/2016 at 14:55:00]"/>
  </r>
  <r>
    <s v="3637975-1458744965-101"/>
    <s v="Spot"/>
    <s v="3637975-1458744965-101"/>
    <n v="0"/>
    <d v="2016-03-31T00:00:00"/>
    <x v="416"/>
    <s v="101"/>
    <s v="SELL"/>
    <n v="3.3880180373631092"/>
    <x v="0"/>
    <x v="0"/>
    <n v="157.78"/>
    <s v="Deal"/>
    <m/>
    <s v="Original Amount [EUR 46.57], Merchant Amount [EUR 46.57], Customer Amount [TRY 157.78], Status [APPROVED], Operation [3DAUTH], UUID [3637975-1458744965-101] [23/03/2016 at 14:56:00]"/>
  </r>
  <r>
    <s v="3637942-1458744933-199"/>
    <s v="Spot"/>
    <s v="3637942-1458744933-199"/>
    <n v="0"/>
    <d v="2016-03-31T00:00:00"/>
    <x v="417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7942-1458744933-199] [23/03/2016 at 14:55:00]"/>
  </r>
  <r>
    <s v="3637933-1458744922-199"/>
    <s v="Spot"/>
    <s v="3637933-1458744922-199"/>
    <n v="0"/>
    <d v="2016-03-31T00:00:00"/>
    <x v="418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7933-1458744922-199] [23/03/2016 at 14:55:00]"/>
  </r>
  <r>
    <s v="3637936-1458744928-126"/>
    <s v="Spot"/>
    <s v="3637936-1458744928-126"/>
    <n v="0"/>
    <d v="2016-03-31T00:00:00"/>
    <x v="419"/>
    <s v="126"/>
    <s v="SELL"/>
    <n v="9.9546341463414638"/>
    <x v="0"/>
    <x v="1"/>
    <n v="204.07"/>
    <s v="Deal"/>
    <m/>
    <s v="Original Amount [EUR 20.5], Merchant Amount [EUR 20.5], Customer Amount [NOK 204.07], Status [APPROVED], Operation [3DAUTH], UUID [3637936-1458744928-126] [23/03/2016 at 14:55:00]"/>
  </r>
  <r>
    <s v="3637918-1458744908-216"/>
    <s v="Spot"/>
    <s v="3637918-1458744908-216"/>
    <n v="0"/>
    <d v="2016-03-31T00:00:00"/>
    <x v="420"/>
    <s v="216"/>
    <s v="SELL"/>
    <n v="3.3884297520661155"/>
    <x v="0"/>
    <x v="0"/>
    <n v="36.9"/>
    <s v="Deal"/>
    <m/>
    <s v="Original Amount [EUR 10.89], Merchant Amount [EUR 10.89], Customer Amount [TRY 36.9], Status [APPROVED], Operation [3DAUTH], UUID [3637918-1458744908-216] [23/03/2016 at 14:55:00]"/>
  </r>
  <r>
    <s v="3637906-1458744890-200"/>
    <s v="Spot"/>
    <s v="3637906-1458744890-200"/>
    <n v="0"/>
    <d v="2016-03-31T00:00:00"/>
    <x v="421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37906-1458744890-200] [23/03/2016 at 14:54:00]"/>
  </r>
  <r>
    <s v="3637894-1458744884-224"/>
    <s v="Spot"/>
    <s v="3637894-1458744884-224"/>
    <n v="0"/>
    <d v="2016-03-31T00:00:00"/>
    <x v="422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7894-1458744884-224] [23/03/2016 at 14:54:00]"/>
  </r>
  <r>
    <s v="3637885-1458744867-260"/>
    <s v="Spot"/>
    <s v="3637885-1458744867-260"/>
    <n v="0"/>
    <d v="2016-03-31T00:00:00"/>
    <x v="423"/>
    <s v="260"/>
    <s v="SELL"/>
    <n v="7.8639999999999999"/>
    <x v="0"/>
    <x v="10"/>
    <n v="39.32"/>
    <s v="Deal"/>
    <m/>
    <s v="Original Amount [EUR 5], Merchant Amount [EUR 5], Customer Amount [DKK 39.32], Status [APPROVED], Operation [DIRECT], UUID [3637885-1458744867-260] [23/03/2016 at 14:54:00]"/>
  </r>
  <r>
    <s v="3637882-1458744866-224"/>
    <s v="Spot"/>
    <s v="3637882-1458744866-224"/>
    <n v="0"/>
    <d v="2016-03-31T00:00:00"/>
    <x v="424"/>
    <s v="224"/>
    <s v="SELL"/>
    <n v="9.9545629572583749"/>
    <x v="0"/>
    <x v="1"/>
    <n v="258.52"/>
    <s v="Deal"/>
    <m/>
    <s v="Original Amount [EUR 25.97], Merchant Amount [EUR 25.97], Customer Amount [NOK 258.52], Status [APPROVED], Operation [DIRECT], UUID [3637882-1458744866-224] [23/03/2016 at 14:54:00]"/>
  </r>
  <r>
    <s v="3637876-1458744858-126"/>
    <s v="Spot"/>
    <s v="3637876-1458744858-126"/>
    <n v="0"/>
    <d v="2016-03-31T00:00:00"/>
    <x v="425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7876-1458744858-126] [23/03/2016 at 14:54:00]"/>
  </r>
  <r>
    <s v="3637870-1458744856-216"/>
    <s v="Spot"/>
    <s v="3637870-1458744856-216"/>
    <n v="0"/>
    <d v="2016-03-31T00:00:00"/>
    <x v="426"/>
    <s v="216"/>
    <s v="SELL"/>
    <n v="3.3881748071979434"/>
    <x v="0"/>
    <x v="0"/>
    <n v="52.72"/>
    <s v="Deal"/>
    <m/>
    <s v="Original Amount [EUR 15.56], Merchant Amount [EUR 15.56], Customer Amount [TRY 52.72], Status [WAITING], Operation [3D], UUID [3637870-1458744856-216] [23/03/2016 at 14:54:00]"/>
  </r>
  <r>
    <s v="3637864-1458744848-224"/>
    <s v="Spot"/>
    <s v="3637864-1458744848-224"/>
    <n v="0"/>
    <d v="2016-03-31T00:00:00"/>
    <x v="427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7864-1458744848-224] [23/03/2016 at 14:54:00]"/>
  </r>
  <r>
    <s v="3637858-1458744840-261"/>
    <s v="Spot"/>
    <s v="3637858-1458744840-261"/>
    <n v="0"/>
    <d v="2016-03-31T00:00:00"/>
    <x v="428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37858-1458744840-261] [23/03/2016 at 14:54:00]"/>
  </r>
  <r>
    <s v="3637852-1458744838-224"/>
    <s v="Spot"/>
    <s v="3637852-1458744838-224"/>
    <n v="0"/>
    <d v="2016-03-31T00:00:00"/>
    <x v="429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7852-1458744838-224] [23/03/2016 at 14:53:00]"/>
  </r>
  <r>
    <s v="3637891-1458744874-56"/>
    <s v="Spot"/>
    <s v="3637891-1458744874-56"/>
    <n v="0"/>
    <d v="2016-03-31T00:00:00"/>
    <x v="430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891-1458744874-56] [23/03/2016 at 14:54:00]"/>
  </r>
  <r>
    <s v="3637843-1458744832-224"/>
    <s v="Spot"/>
    <s v="3637843-1458744832-224"/>
    <n v="0"/>
    <d v="2016-03-31T00:00:00"/>
    <x v="431"/>
    <s v="224"/>
    <s v="SELL"/>
    <n v="9.9505779490219322"/>
    <x v="0"/>
    <x v="1"/>
    <n v="2685.86"/>
    <s v="Deal"/>
    <m/>
    <s v="Original Amount [EUR 269.92], Merchant Amount [EUR 269.92], Customer Amount [NOK 2685.86], Status [APPROVED], Operation [DIRECT], UUID [3637843-1458744832-224] [23/03/2016 at 14:53:00]"/>
  </r>
  <r>
    <s v="3637831-1458744815-119"/>
    <s v="Spot"/>
    <s v="3637831-1458744815-119"/>
    <n v="0"/>
    <d v="2016-03-31T00:00:00"/>
    <x v="432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7831-1458744815-119] [23/03/2016 at 14:53:00]"/>
  </r>
  <r>
    <s v="3637822-1458744808-119"/>
    <s v="Spot"/>
    <s v="3637822-1458744808-119"/>
    <n v="0"/>
    <d v="2016-03-31T00:00:00"/>
    <x v="433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7822-1458744808-119] [23/03/2016 at 14:53:00]"/>
  </r>
  <r>
    <s v="3637840-1458744830-56"/>
    <s v="Spot"/>
    <s v="3637840-1458744830-56"/>
    <n v="0"/>
    <d v="2016-03-31T00:00:00"/>
    <x v="434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7840-1458744830-56] [23/03/2016 at 14:53:00]"/>
  </r>
  <r>
    <s v="3637810-1458744797-224"/>
    <s v="Spot"/>
    <s v="3637810-1458744797-224"/>
    <n v="0"/>
    <d v="2016-03-31T00:00:00"/>
    <x v="435"/>
    <s v="224"/>
    <s v="SELL"/>
    <n v="132.83282141290042"/>
    <x v="0"/>
    <x v="3"/>
    <n v="3027.26"/>
    <s v="Deal"/>
    <m/>
    <s v="Original Amount [EUR 22.79], Merchant Amount [EUR 22.79], Customer Amount [JPY 3027.26], Status [APPROVED], Operation [DIRECT], UUID [3637810-1458744797-224] [23/03/2016 at 14:53:00]"/>
  </r>
  <r>
    <s v="3637792-1458744779-200"/>
    <s v="Spot"/>
    <s v="3637792-1458744779-200"/>
    <n v="0"/>
    <d v="2016-03-31T00:00:00"/>
    <x v="436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7792-1458744779-200] [23/03/2016 at 14:52:00]"/>
  </r>
  <r>
    <s v="3637786-1458744775-119"/>
    <s v="Spot"/>
    <s v="3637786-1458744775-119"/>
    <n v="0"/>
    <d v="2016-03-31T00:00:00"/>
    <x v="43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7786-1458744775-119] [23/03/2016 at 14:52:00]"/>
  </r>
  <r>
    <s v="3637813-1458744798-107"/>
    <s v="Spot"/>
    <s v="3637813-1458744798-107"/>
    <n v="0"/>
    <d v="2016-03-31T00:00:00"/>
    <x v="438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37813-1458744798-107] [23/03/2016 at 14:53:00]"/>
  </r>
  <r>
    <s v="3637804-1458744789-256"/>
    <s v="Spot"/>
    <s v="3637804-1458744789-256"/>
    <n v="0"/>
    <d v="2016-03-31T00:00:00"/>
    <x v="439"/>
    <s v="256"/>
    <s v="SELL"/>
    <n v="1.0570469798657718"/>
    <x v="0"/>
    <x v="11"/>
    <n v="9.4499999999999993"/>
    <s v="Deal"/>
    <m/>
    <s v="Original Amount [USD 10], Merchant Amount [EUR 8.94], Customer Amount [EUR 9.45], Status [APPROVED], Operation [3DAUTH], UUID [3637804-1458744789-256] [23/03/2016 at 14:53:00]"/>
  </r>
  <r>
    <s v="3637771-1458744752-224"/>
    <s v="Spot"/>
    <s v="3637771-1458744752-224"/>
    <n v="0"/>
    <d v="2016-03-31T00:00:00"/>
    <x v="440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7771-1458744752-224] [23/03/2016 at 14:52:00]"/>
  </r>
  <r>
    <s v="3637762-1458744743-199"/>
    <s v="Spot"/>
    <s v="3637762-1458744743-199"/>
    <n v="0"/>
    <d v="2016-03-31T00:00:00"/>
    <x v="441"/>
    <s v="199"/>
    <s v="SELL"/>
    <n v="9.9509202453987715"/>
    <x v="0"/>
    <x v="1"/>
    <n v="162.19999999999999"/>
    <s v="Deal"/>
    <m/>
    <s v="Original Amount [EUR 16.3], Merchant Amount [EUR 16.3], Customer Amount [NOK 162.2], Status [APPROVED], Operation [DIRECT], UUID [3637762-1458744743-199] [23/03/2016 at 14:52:00]"/>
  </r>
  <r>
    <s v="3637753-1458744741-145"/>
    <s v="Spot"/>
    <s v="3637753-1458744741-145"/>
    <n v="0"/>
    <d v="2016-03-31T00:00:00"/>
    <x v="442"/>
    <s v="145"/>
    <s v="SELL"/>
    <n v="1.5441154952933716"/>
    <x v="0"/>
    <x v="2"/>
    <n v="316.58999999999997"/>
    <s v="Deal"/>
    <m/>
    <s v="Original Amount [EUR 205.03], Merchant Amount [EUR 205.03], Customer Amount [CAD 316.59], Status [APPROVED], Operation [DIRECT], UUID [3637753-1458744741-145] [23/03/2016 at 14:52:00]"/>
  </r>
  <r>
    <s v="3637774-1458744754-124"/>
    <s v="Spot"/>
    <s v="3637774-1458744754-124"/>
    <n v="0"/>
    <d v="2016-03-31T00:00:00"/>
    <x v="443"/>
    <s v="124"/>
    <s v="SELL"/>
    <n v="9.950897072710104"/>
    <x v="0"/>
    <x v="1"/>
    <n v="210.76"/>
    <s v="Deal"/>
    <m/>
    <s v="Original Amount [EUR 21.18], Merchant Amount [EUR 21.18], Customer Amount [NOK 210.76], Status [APPROVED], Operation [3DAUTH], UUID [3637774-1458744754-124] [23/03/2016 at 14:52:00]"/>
  </r>
  <r>
    <s v="3637714-1458744701-261"/>
    <s v="Spot"/>
    <s v="3637714-1458744701-261"/>
    <n v="0"/>
    <d v="2016-03-31T00:00:00"/>
    <x v="444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37714-1458744701-261] [23/03/2016 at 14:51:00]"/>
  </r>
  <r>
    <s v="3637711-1458744701-224"/>
    <s v="Spot"/>
    <s v="3637711-1458744701-224"/>
    <n v="0"/>
    <d v="2016-03-31T00:00:00"/>
    <x v="445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37711-1458744701-224] [23/03/2016 at 14:51:00]"/>
  </r>
  <r>
    <s v="3637705-1458744697-187"/>
    <s v="Spot"/>
    <s v="3637705-1458744697-187"/>
    <n v="0"/>
    <d v="2016-03-31T00:00:00"/>
    <x v="446"/>
    <s v="187"/>
    <s v="SELL"/>
    <n v="9.9505624350127615"/>
    <x v="0"/>
    <x v="1"/>
    <n v="1052.67"/>
    <s v="Deal"/>
    <m/>
    <s v="Original Amount [EUR 105.79], Merchant Amount [EUR 105.79], Customer Amount [NOK 1052.67], Status [APPROVED], Operation [DIRECT], UUID [3637705-1458744697-187] [23/03/2016 at 14:51:00]"/>
  </r>
  <r>
    <s v="3637699-1458744688-261"/>
    <s v="Spot"/>
    <s v="3637699-1458744688-261"/>
    <n v="0"/>
    <d v="2016-03-31T00:00:00"/>
    <x v="447"/>
    <s v="261"/>
    <s v="SELL"/>
    <n v="9.9507788161993762"/>
    <x v="0"/>
    <x v="1"/>
    <n v="159.71"/>
    <s v="Deal"/>
    <m/>
    <s v="Original Amount [EUR 16.05], Merchant Amount [EUR 16.05], Customer Amount [NOK 159.71], Status [APPROVED], Operation [DIRECT], UUID [3637699-1458744688-261] [23/03/2016 at 14:51:00]"/>
  </r>
  <r>
    <s v="3637723-1458744708-56"/>
    <s v="Spot"/>
    <s v="3637723-1458744708-56"/>
    <n v="0"/>
    <d v="2016-03-31T00:00:00"/>
    <x v="448"/>
    <s v="56"/>
    <s v="SELL"/>
    <n v="3.3919344450010738"/>
    <x v="0"/>
    <x v="0"/>
    <n v="947.91"/>
    <s v="Deal"/>
    <m/>
    <s v="Original Amount [EUR 279.46], Merchant Amount [EUR 279.46], Customer Amount [TRY 947.91], Status [APPROVED], Operation [3DAUTH], UUID [3637723-1458744708-56] [23/03/2016 at 14:51:00]"/>
  </r>
  <r>
    <s v="3637717-1458744707-216"/>
    <s v="Spot"/>
    <s v="3637717-1458744707-216"/>
    <n v="0"/>
    <d v="2016-03-31T00:00:00"/>
    <x v="449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717-1458744707-216] [23/03/2016 at 14:51:00]"/>
  </r>
  <r>
    <s v="3637672-1458744674-224"/>
    <s v="Spot"/>
    <s v="3637672-1458744674-224"/>
    <n v="0"/>
    <d v="2016-03-31T00:00:00"/>
    <x v="450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7672-1458744674-224] [23/03/2016 at 14:51:00]"/>
  </r>
  <r>
    <s v="3637690-1458744685-56"/>
    <s v="Spot"/>
    <s v="3637690-1458744685-56"/>
    <n v="0"/>
    <d v="2016-03-31T00:00:00"/>
    <x v="451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690-1458744685-56] [23/03/2016 at 14:51:00]"/>
  </r>
  <r>
    <s v="3637696-1458744686-216"/>
    <s v="Spot"/>
    <s v="3637696-1458744686-216"/>
    <n v="0"/>
    <d v="2016-03-31T00:00:00"/>
    <x v="452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7696-1458744686-216] [23/03/2016 at 14:51:00]"/>
  </r>
  <r>
    <s v="3637645-1458744650-154"/>
    <s v="Spot"/>
    <s v="3637645-1458744650-154"/>
    <n v="0"/>
    <d v="2016-03-31T00:00:00"/>
    <x v="453"/>
    <s v="154"/>
    <s v="SELL"/>
    <n v="0.83339897597479318"/>
    <x v="0"/>
    <x v="4"/>
    <n v="21.16"/>
    <s v="Deal"/>
    <m/>
    <s v="Original Amount [EUR 25.39], Merchant Amount [EUR 25.39], Customer Amount [GBP 21.16], Status [APPROVED], Operation [3DAUTH], UUID [3637645-1458744650-154] [23/03/2016 at 14:50:00]"/>
  </r>
  <r>
    <s v="3637630-1458744632-187"/>
    <s v="Spot"/>
    <s v="3637630-1458744632-187"/>
    <n v="0"/>
    <d v="2016-03-31T00:00:00"/>
    <x v="454"/>
    <s v="187"/>
    <s v="SELL"/>
    <n v="9.9666666666666668"/>
    <x v="0"/>
    <x v="1"/>
    <n v="200.33"/>
    <s v="Deal"/>
    <m/>
    <s v="Original Amount [EUR 20.1], Merchant Amount [EUR 20.1], Customer Amount [NOK 200.33], Status [APPROVED], Operation [DIRECT], UUID [3637630-1458744632-187] [23/03/2016 at 14:50:00]"/>
  </r>
  <r>
    <s v="3637612-1458744622-216"/>
    <s v="Spot"/>
    <s v="3637612-1458744622-216"/>
    <n v="0"/>
    <d v="2016-03-31T00:00:00"/>
    <x v="455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7612-1458744622-216] [23/03/2016 at 14:50:00]"/>
  </r>
  <r>
    <s v="3637639-1458744648-126"/>
    <s v="Spot"/>
    <s v="3637639-1458744648-126"/>
    <n v="0"/>
    <d v="2016-03-31T00:00:00"/>
    <x v="456"/>
    <s v="126"/>
    <s v="SELL"/>
    <n v="9.9663414634146346"/>
    <x v="0"/>
    <x v="1"/>
    <n v="408.62"/>
    <s v="Deal"/>
    <m/>
    <s v="Original Amount [EUR 41], Merchant Amount [EUR 41], Customer Amount [NOK 408.62], Status [APPROVED], Operation [3DAUTH], UUID [3637639-1458744648-126] [23/03/2016 at 14:50:00]"/>
  </r>
  <r>
    <s v="3637594-1458744605-119"/>
    <s v="Spot"/>
    <s v="3637594-1458744605-119"/>
    <n v="0"/>
    <d v="2016-03-31T00:00:00"/>
    <x v="457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7594-1458744605-119] [23/03/2016 at 14:50:00]"/>
  </r>
  <r>
    <s v="3637591-1458744604-199"/>
    <s v="Spot"/>
    <s v="3637591-1458744604-199"/>
    <n v="0"/>
    <d v="2016-03-31T00:00:00"/>
    <x v="458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7591-1458744604-199] [23/03/2016 at 14:50:00]"/>
  </r>
  <r>
    <s v="3637570-1458744592-119"/>
    <s v="Spot"/>
    <s v="3637570-1458744592-119"/>
    <n v="0"/>
    <d v="2016-03-31T00:00:00"/>
    <x v="45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7570-1458744592-119] [23/03/2016 at 14:49:00]"/>
  </r>
  <r>
    <s v="3637561-1458744586-224"/>
    <s v="Spot"/>
    <s v="3637561-1458744586-224"/>
    <n v="0"/>
    <d v="2016-03-31T00:00:00"/>
    <x v="460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7561-1458744586-224] [23/03/2016 at 14:49:00]"/>
  </r>
  <r>
    <s v="3637555-1458744579-224"/>
    <s v="Spot"/>
    <s v="3637555-1458744579-224"/>
    <n v="0"/>
    <d v="2016-03-31T00:00:00"/>
    <x v="461"/>
    <s v="224"/>
    <s v="SELL"/>
    <n v="132.99334746692011"/>
    <x v="0"/>
    <x v="3"/>
    <n v="18192.16"/>
    <s v="Deal"/>
    <m/>
    <s v="Original Amount [EUR 136.79], Merchant Amount [EUR 136.79], Customer Amount [JPY 18192.16], Status [APPROVED], Operation [DIRECT], UUID [3637555-1458744579-224] [23/03/2016 at 14:49:00]"/>
  </r>
  <r>
    <s v="3637585-1458744600-216"/>
    <s v="Spot"/>
    <s v="3637585-1458744600-216"/>
    <n v="0"/>
    <d v="2016-03-31T00:00:00"/>
    <x v="462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7585-1458744600-216] [23/03/2016 at 14:50:00]"/>
  </r>
  <r>
    <s v="3637603-1458744609-126"/>
    <s v="Spot"/>
    <s v="3637603-1458744609-126"/>
    <n v="0"/>
    <d v="2016-03-31T00:00:00"/>
    <x v="463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3DAUTH], UUID [3637603-1458744609-126] [23/03/2016 at 14:50:00]"/>
  </r>
  <r>
    <s v="3637558-1458744582-101"/>
    <s v="Spot"/>
    <s v="3637558-1458744582-101"/>
    <n v="0"/>
    <d v="2016-03-31T00:00:00"/>
    <x v="464"/>
    <s v="101"/>
    <s v="SELL"/>
    <n v="3.387822839954362"/>
    <x v="0"/>
    <x v="0"/>
    <n v="326.62"/>
    <s v="Deal"/>
    <m/>
    <s v="Original Amount [EUR 96.41], Merchant Amount [EUR 96.41], Customer Amount [TRY 326.62], Status [APPROVED], Operation [3DAUTH], UUID [3637558-1458744582-101] [23/03/2016 at 14:49:00]"/>
  </r>
  <r>
    <s v="3637528-1458744544-224"/>
    <s v="Spot"/>
    <s v="3637528-1458744544-224"/>
    <n v="0"/>
    <d v="2016-03-31T00:00:00"/>
    <x v="465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7528-1458744544-224] [23/03/2016 at 14:49:00]"/>
  </r>
  <r>
    <s v="3637573-1458744596-264"/>
    <s v="Spot"/>
    <s v="3637573-1458744596-264"/>
    <n v="0"/>
    <d v="2016-03-31T00:00:00"/>
    <x v="466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37573-1458744596-264] [23/03/2016 at 14:49:00]"/>
  </r>
  <r>
    <s v="3637522-1458744536-224"/>
    <s v="Spot"/>
    <s v="3637522-1458744536-224"/>
    <n v="0"/>
    <d v="2016-03-31T00:00:00"/>
    <x v="467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37522-1458744536-224] [23/03/2016 at 14:48:00]"/>
  </r>
  <r>
    <s v="3637513-1458744526-145"/>
    <s v="Spot"/>
    <s v="3637513-1458744526-145"/>
    <n v="0"/>
    <d v="2016-03-31T00:00:00"/>
    <x v="468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7513-1458744526-145] [23/03/2016 at 14:48:00]"/>
  </r>
  <r>
    <s v="3637519-1458744532-264"/>
    <s v="Spot"/>
    <s v="3637519-1458744532-264"/>
    <n v="0"/>
    <d v="2016-03-31T00:00:00"/>
    <x v="469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37519-1458744532-264] [23/03/2016 at 14:48:00]"/>
  </r>
  <r>
    <s v="3637501-1458744509-126"/>
    <s v="Spot"/>
    <s v="3637501-1458744509-126"/>
    <n v="0"/>
    <d v="2016-03-31T00:00:00"/>
    <x v="470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7501-1458744509-126] [23/03/2016 at 14:48:00]"/>
  </r>
  <r>
    <s v="3637498-1458744507-261"/>
    <s v="Spot"/>
    <s v="3637498-1458744507-261"/>
    <n v="0"/>
    <d v="2016-03-31T00:00:00"/>
    <x v="471"/>
    <s v="261"/>
    <s v="SELL"/>
    <n v="9.966348850252384"/>
    <x v="0"/>
    <x v="1"/>
    <n v="1066.2"/>
    <s v="Deal"/>
    <m/>
    <s v="Original Amount [EUR 106.98], Merchant Amount [EUR 106.98], Customer Amount [NOK 1066.2], Status [APPROVED], Operation [DIRECT], UUID [3637498-1458744507-261] [23/03/2016 at 14:48:00]"/>
  </r>
  <r>
    <s v="3637495-1458744506-199"/>
    <s v="Spot"/>
    <s v="3637495-1458744506-199"/>
    <n v="0"/>
    <d v="2016-03-31T00:00:00"/>
    <x v="472"/>
    <s v="199"/>
    <s v="SELL"/>
    <n v="9.966466234967621"/>
    <x v="0"/>
    <x v="1"/>
    <n v="430.95"/>
    <s v="Deal"/>
    <m/>
    <s v="Original Amount [EUR 43.24], Merchant Amount [EUR 43.24], Customer Amount [NOK 430.95], Status [APPROVED], Operation [DIRECT], UUID [3637495-1458744506-199] [23/03/2016 at 14:48:00]"/>
  </r>
  <r>
    <s v="3637486-1458744502-224"/>
    <s v="Spot"/>
    <s v="3637486-1458744502-224"/>
    <n v="0"/>
    <d v="2016-03-31T00:00:00"/>
    <x v="473"/>
    <s v="224"/>
    <s v="SELL"/>
    <n v="132.99331662489556"/>
    <x v="0"/>
    <x v="3"/>
    <n v="30246.67"/>
    <s v="Deal"/>
    <m/>
    <s v="Original Amount [EUR 227.43], Merchant Amount [EUR 227.43], Customer Amount [JPY 30246.67], Status [APPROVED], Operation [DIRECT], UUID [3637486-1458744502-224] [23/03/2016 at 14:48:00]"/>
  </r>
  <r>
    <s v="3637504-1458744513-264"/>
    <s v="Spot"/>
    <s v="3637504-1458744513-264"/>
    <n v="0"/>
    <d v="2016-03-31T00:00:00"/>
    <x v="474"/>
    <s v="264"/>
    <s v="SELL"/>
    <n v="3.3901028277634961"/>
    <x v="0"/>
    <x v="0"/>
    <n v="158.25"/>
    <s v="Deal"/>
    <m/>
    <s v="Original Amount [TRY 150], Merchant Amount [EUR 46.68], Customer Amount [TRY 158.25], Status [APPROVED], Operation [3DAUTH], UUID [3637504-1458744513-264] [23/03/2016 at 14:48:00]"/>
  </r>
  <r>
    <s v="3637465-1458744486-187"/>
    <s v="Spot"/>
    <s v="3637465-1458744486-187"/>
    <n v="0"/>
    <d v="2016-03-31T00:00:00"/>
    <x v="475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7465-1458744486-187] [23/03/2016 at 14:48:00]"/>
  </r>
  <r>
    <s v="3637462-1458744485-97"/>
    <s v="Spot"/>
    <s v="3637462-1458744485-97"/>
    <n v="0"/>
    <d v="2016-03-31T00:00:00"/>
    <x v="476"/>
    <s v="97"/>
    <s v="SELL"/>
    <n v="9.9664020675650722"/>
    <x v="0"/>
    <x v="1"/>
    <n v="539.88"/>
    <s v="Deal"/>
    <m/>
    <s v="Original Amount [EUR 54.17], Merchant Amount [EUR 54.17], Customer Amount [NOK 539.88], Status [APPROVED], Operation [DIRECT], UUID [3637462-1458744485-97] [23/03/2016 at 14:48:00]"/>
  </r>
  <r>
    <s v="3637456-1458744479-126"/>
    <s v="Spot"/>
    <s v="3637456-1458744479-126"/>
    <n v="0"/>
    <d v="2016-03-31T00:00:00"/>
    <x v="477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7456-1458744479-126] [23/03/2016 at 14:47:00]"/>
  </r>
  <r>
    <s v="3637450-1458744475-119"/>
    <s v="Spot"/>
    <s v="3637450-1458744475-119"/>
    <n v="0"/>
    <d v="2016-03-31T00:00:00"/>
    <x v="47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7450-1458744475-119] [23/03/2016 at 14:47:00]"/>
  </r>
  <r>
    <s v="3637435-1458744465-119"/>
    <s v="Spot"/>
    <s v="3637435-1458744465-119"/>
    <n v="0"/>
    <d v="2016-03-31T00:00:00"/>
    <x v="479"/>
    <s v="119"/>
    <s v="SELL"/>
    <n v="9.9663000000000004"/>
    <x v="0"/>
    <x v="1"/>
    <n v="1993.26"/>
    <s v="Deal"/>
    <m/>
    <s v="Original Amount [EUR 200], Merchant Amount [EUR 200], Customer Amount [NOK 1993.26], Status [APPROVED], Operation [DIRECT], UUID [3637435-1458744465-119] [23/03/2016 at 14:47:00]"/>
  </r>
  <r>
    <s v="3637423-1458744450-145"/>
    <s v="Spot"/>
    <s v="3637423-1458744450-145"/>
    <n v="0"/>
    <d v="2016-03-31T00:00:00"/>
    <x v="480"/>
    <s v="145"/>
    <s v="SELL"/>
    <n v="9.9662868316364364"/>
    <x v="0"/>
    <x v="1"/>
    <n v="1478.1"/>
    <s v="Deal"/>
    <m/>
    <s v="Original Amount [EUR 148.31], Merchant Amount [EUR 148.31], Customer Amount [NOK 1478.1], Status [APPROVED], Operation [DIRECT], UUID [3637423-1458744450-145] [23/03/2016 at 14:47:00]"/>
  </r>
  <r>
    <s v="3637483-1458744501-216"/>
    <s v="Spot"/>
    <s v="3637483-1458744501-216"/>
    <n v="0"/>
    <d v="2016-03-31T00:00:00"/>
    <x v="481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483-1458744501-216] [23/03/2016 at 14:48:00]"/>
  </r>
  <r>
    <s v="3637468-1458744490-102"/>
    <s v="Spot"/>
    <s v="3637468-1458744490-102"/>
    <n v="0"/>
    <d v="2016-03-31T00:00:00"/>
    <x v="482"/>
    <s v="102"/>
    <s v="SELL"/>
    <n v="3.3919354838709679"/>
    <x v="0"/>
    <x v="0"/>
    <n v="42.06"/>
    <s v="Deal"/>
    <m/>
    <s v="Original Amount [EUR 12.4], Merchant Amount [EUR 12.4], Customer Amount [TRY 42.06], Status [APPROVED], Operation [3DAUTH], UUID [3637468-1458744490-102] [23/03/2016 at 14:48:00]"/>
  </r>
  <r>
    <s v="3637453-1458744477-56"/>
    <s v="Spot"/>
    <s v="3637453-1458744477-56"/>
    <n v="0"/>
    <d v="2016-03-31T00:00:00"/>
    <x v="483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7453-1458744477-56] [23/03/2016 at 14:47:00]"/>
  </r>
  <r>
    <s v="3637402-1458744430-224"/>
    <s v="Spot"/>
    <s v="3637402-1458744430-224"/>
    <n v="0"/>
    <d v="2016-03-31T00:00:00"/>
    <x v="484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7402-1458744430-224] [23/03/2016 at 14:47:00]"/>
  </r>
  <r>
    <s v="3637384-1458744417-261"/>
    <s v="Spot"/>
    <s v="3637384-1458744417-261"/>
    <n v="0"/>
    <d v="2016-03-31T00:00:00"/>
    <x v="485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37384-1458744417-261] [23/03/2016 at 14:46:00]"/>
  </r>
  <r>
    <s v="3637408-1458744435-56"/>
    <s v="Spot"/>
    <s v="3637408-1458744435-56"/>
    <n v="0"/>
    <d v="2016-03-31T00:00:00"/>
    <x v="486"/>
    <s v="56"/>
    <s v="SELL"/>
    <n v="3.3926229508196726"/>
    <x v="0"/>
    <x v="0"/>
    <n v="41.39"/>
    <s v="Deal"/>
    <m/>
    <s v="Original Amount [EUR 12.2], Merchant Amount [EUR 12.2], Customer Amount [TRY 41.39], Status [APPROVED], Operation [3DAUTH], UUID [3637408-1458744435-56] [23/03/2016 at 14:47:00]"/>
  </r>
  <r>
    <s v="3637372-1458744398-145"/>
    <s v="Spot"/>
    <s v="3637372-1458744398-145"/>
    <n v="0"/>
    <d v="2016-03-31T00:00:00"/>
    <x v="487"/>
    <s v="145"/>
    <s v="SELL"/>
    <n v="9.9666456891126494"/>
    <x v="0"/>
    <x v="1"/>
    <n v="158.37"/>
    <s v="Deal"/>
    <m/>
    <s v="Original Amount [EUR 15.89], Merchant Amount [EUR 15.89], Customer Amount [NOK 158.37], Status [APPROVED], Operation [DIRECT], UUID [3637372-1458744398-145] [23/03/2016 at 14:46:00]"/>
  </r>
  <r>
    <s v="3637363-1458744390-145"/>
    <s v="Spot"/>
    <s v="3637363-1458744390-145"/>
    <n v="0"/>
    <d v="2016-03-31T00:00:00"/>
    <x v="488"/>
    <s v="145"/>
    <s v="SELL"/>
    <n v="9.9663897280966776"/>
    <x v="0"/>
    <x v="1"/>
    <n v="263.91000000000003"/>
    <s v="Deal"/>
    <m/>
    <s v="Original Amount [EUR 26.48], Merchant Amount [EUR 26.48], Customer Amount [NOK 263.91], Status [APPROVED], Operation [DIRECT], UUID [3637363-1458744390-145] [23/03/2016 at 14:46:00]"/>
  </r>
  <r>
    <s v="3637360-1458744380-216"/>
    <s v="Spot"/>
    <s v="3637360-1458744380-216"/>
    <n v="0"/>
    <d v="2016-03-31T00:00:00"/>
    <x v="489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37360-1458744380-216] [23/03/2016 at 14:46:00]"/>
  </r>
  <r>
    <s v="3637369-1458744397-107"/>
    <s v="Spot"/>
    <s v="3637369-1458744397-107"/>
    <n v="0"/>
    <d v="2016-03-31T00:00:00"/>
    <x v="490"/>
    <s v="107"/>
    <s v="SELL"/>
    <n v="3.3919374506850297"/>
    <x v="0"/>
    <x v="0"/>
    <n v="472.87"/>
    <s v="Deal"/>
    <m/>
    <s v="Original Amount [EUR 139.41], Merchant Amount [EUR 139.41], Customer Amount [TRY 472.87], Status [APPROVED], Operation [3DAUTH], UUID [3637369-1458744397-107] [23/03/2016 at 14:46:00]"/>
  </r>
  <r>
    <s v="3637396-1458744428-107"/>
    <s v="Spot"/>
    <s v="3637396-1458744428-107"/>
    <n v="0"/>
    <d v="2016-03-31T00:00:00"/>
    <x v="491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37396-1458744428-107] [23/03/2016 at 14:47:00]"/>
  </r>
  <r>
    <s v="3637366-1458744392-216"/>
    <s v="Spot"/>
    <s v="3637366-1458744392-216"/>
    <n v="0"/>
    <d v="2016-03-31T00:00:00"/>
    <x v="492"/>
    <s v="216"/>
    <s v="SELL"/>
    <n v="3.391967871485944"/>
    <x v="0"/>
    <x v="0"/>
    <n v="211.15"/>
    <s v="Deal"/>
    <m/>
    <s v="Original Amount [EUR 62.25], Merchant Amount [EUR 62.25], Customer Amount [TRY 211.15], Status [APPROVED], Operation [3DAUTH], UUID [3637366-1458744392-216] [23/03/2016 at 14:46:00]"/>
  </r>
  <r>
    <s v="3637405-1458744434-216"/>
    <s v="Spot"/>
    <s v="3637405-1458744434-216"/>
    <n v="0"/>
    <d v="2016-03-31T00:00:00"/>
    <x v="493"/>
    <s v="216"/>
    <s v="SELL"/>
    <n v="3.3920308483290489"/>
    <x v="0"/>
    <x v="0"/>
    <n v="105.56"/>
    <s v="Deal"/>
    <m/>
    <s v="Original Amount [EUR 31.12], Merchant Amount [EUR 31.12], Customer Amount [TRY 105.56], Status [APPROVED], Operation [3DAUTH], UUID [3637405-1458744434-216] [23/03/2016 at 14:47:00]"/>
  </r>
  <r>
    <s v="3637330-1458744352-101"/>
    <s v="Spot"/>
    <s v="3637330-1458744352-101"/>
    <n v="0"/>
    <d v="2016-03-31T00:00:00"/>
    <x v="494"/>
    <s v="101"/>
    <s v="SELL"/>
    <n v="3.3920079671355663"/>
    <x v="0"/>
    <x v="0"/>
    <n v="272.48"/>
    <s v="Deal"/>
    <m/>
    <s v="Original Amount [EUR 80.33], Merchant Amount [EUR 80.33], Customer Amount [TRY 272.48], Status [WAITING], Operation [3D], UUID [3637330-1458744352-101] [23/03/2016 at 14:45:00]"/>
  </r>
  <r>
    <s v="3637327-1458744350-199"/>
    <s v="Spot"/>
    <s v="3637327-1458744350-199"/>
    <n v="0"/>
    <d v="2016-03-31T00:00:00"/>
    <x v="495"/>
    <s v="199"/>
    <s v="SELL"/>
    <n v="9.9662869635254854"/>
    <x v="0"/>
    <x v="1"/>
    <n v="866.17"/>
    <s v="Deal"/>
    <m/>
    <s v="Original Amount [EUR 86.91], Merchant Amount [EUR 86.91], Customer Amount [NOK 866.17], Status [APPROVED], Operation [DIRECT], UUID [3637327-1458744350-199] [23/03/2016 at 14:45:00]"/>
  </r>
  <r>
    <s v="3637342-1458744362-107"/>
    <s v="Spot"/>
    <s v="3637342-1458744362-107"/>
    <n v="0"/>
    <d v="2016-03-31T00:00:00"/>
    <x v="496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37342-1458744362-107] [23/03/2016 at 14:46:00]"/>
  </r>
  <r>
    <s v="3637318-1458744334-145"/>
    <s v="Spot"/>
    <s v="3637318-1458744334-145"/>
    <n v="0"/>
    <d v="2016-03-31T00:00:00"/>
    <x v="497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7318-1458744334-145] [23/03/2016 at 14:45:00]"/>
  </r>
  <r>
    <s v="3637345-1458744363-216"/>
    <s v="Spot"/>
    <s v="3637345-1458744363-216"/>
    <n v="0"/>
    <d v="2016-03-31T00:00:00"/>
    <x v="498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37345-1458744363-216] [23/03/2016 at 14:46:00]"/>
  </r>
  <r>
    <s v="3637303-1458744322-216"/>
    <s v="Spot"/>
    <s v="3637303-1458744322-216"/>
    <n v="0"/>
    <d v="2016-03-31T00:00:00"/>
    <x v="499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37303-1458744322-216] [23/03/2016 at 14:45:00]"/>
  </r>
  <r>
    <s v="3637300-1458744322-224"/>
    <s v="Spot"/>
    <s v="3637300-1458744322-224"/>
    <n v="0"/>
    <d v="2016-03-31T00:00:00"/>
    <x v="500"/>
    <s v="224"/>
    <s v="SELL"/>
    <n v="132.99331719988453"/>
    <x v="0"/>
    <x v="3"/>
    <n v="59901.52"/>
    <s v="Deal"/>
    <m/>
    <s v="Original Amount [EUR 450.41], Merchant Amount [EUR 450.41], Customer Amount [JPY 59901.52], Status [APPROVED], Operation [DIRECT], UUID [3637300-1458744322-224] [23/03/2016 at 14:45:00]"/>
  </r>
  <r>
    <s v="3637291-1458744321-224"/>
    <s v="Spot"/>
    <s v="3637291-1458744321-224"/>
    <n v="0"/>
    <d v="2016-03-31T00:00:00"/>
    <x v="501"/>
    <s v="224"/>
    <s v="SELL"/>
    <n v="132.99331067002962"/>
    <x v="0"/>
    <x v="3"/>
    <n v="12127.66"/>
    <s v="Deal"/>
    <m/>
    <s v="Original Amount [EUR 91.19], Merchant Amount [EUR 91.19], Customer Amount [JPY 12127.66], Status [APPROVED], Operation [DIRECT], UUID [3637291-1458744321-224] [23/03/2016 at 14:45:00]"/>
  </r>
  <r>
    <s v="3637336-1458744357-56"/>
    <s v="Spot"/>
    <s v="3637336-1458744357-56"/>
    <n v="0"/>
    <d v="2016-03-31T00:00:00"/>
    <x v="5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336-1458744357-56] [23/03/2016 at 14:45:00]"/>
  </r>
  <r>
    <s v="3637324-1458744347-216"/>
    <s v="Spot"/>
    <s v="3637324-1458744347-216"/>
    <n v="0"/>
    <d v="2016-03-31T00:00:00"/>
    <x v="503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37324-1458744347-216] [23/03/2016 at 14:45:00]"/>
  </r>
  <r>
    <s v="3637273-1458744309-224"/>
    <s v="Spot"/>
    <s v="3637273-1458744309-224"/>
    <n v="0"/>
    <d v="2016-03-31T00:00:00"/>
    <x v="504"/>
    <s v="224"/>
    <s v="SELL"/>
    <n v="132.99390615478364"/>
    <x v="0"/>
    <x v="3"/>
    <n v="2182.4299999999998"/>
    <s v="Deal"/>
    <m/>
    <s v="Original Amount [EUR 16.41], Merchant Amount [EUR 16.41], Customer Amount [JPY 2182.43], Status [APPROVED], Operation [DIRECT], UUID [3637273-1458744309-224] [23/03/2016 at 14:45:00]"/>
  </r>
  <r>
    <s v="3637375-1458744400-101"/>
    <s v="Spot"/>
    <s v="3637375-1458744400-101"/>
    <n v="0"/>
    <d v="2016-03-31T00:00:00"/>
    <x v="505"/>
    <s v="101"/>
    <s v="SELL"/>
    <n v="3.3919484702093396"/>
    <x v="0"/>
    <x v="0"/>
    <n v="105.32"/>
    <s v="Deal"/>
    <m/>
    <s v="Original Amount [EUR 31.05], Merchant Amount [EUR 31.05], Customer Amount [TRY 105.32], Status [APPROVED], Operation [3DAUTH], UUID [3637375-1458744400-101] [23/03/2016 at 14:46:00]"/>
  </r>
  <r>
    <s v="3637261-1458744287-224"/>
    <s v="Spot"/>
    <s v="3637261-1458744287-224"/>
    <n v="0"/>
    <d v="2016-03-31T00:00:00"/>
    <x v="506"/>
    <s v="224"/>
    <s v="SELL"/>
    <n v="132.99331719988453"/>
    <x v="0"/>
    <x v="3"/>
    <n v="59901.52"/>
    <s v="Deal"/>
    <m/>
    <s v="Original Amount [EUR 450.41], Merchant Amount [EUR 450.41], Customer Amount [JPY 59901.52], Status [APPROVED], Operation [DIRECT], UUID [3637261-1458744287-224] [23/03/2016 at 14:44:00]"/>
  </r>
  <r>
    <s v="3637282-1458744311-56"/>
    <s v="Spot"/>
    <s v="3637282-1458744311-56"/>
    <n v="0"/>
    <d v="2016-03-31T00:00:00"/>
    <x v="507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7282-1458744311-56] [23/03/2016 at 14:45:00]"/>
  </r>
  <r>
    <s v="3637240-1458744264-145"/>
    <s v="Spot"/>
    <s v="3637240-1458744264-145"/>
    <n v="0"/>
    <d v="2016-03-31T00:00:00"/>
    <x v="508"/>
    <s v="145"/>
    <s v="SELL"/>
    <n v="1.5431665203394789"/>
    <x v="0"/>
    <x v="2"/>
    <n v="105.46"/>
    <s v="Deal"/>
    <m/>
    <s v="Original Amount [EUR 68.34], Merchant Amount [EUR 68.34], Customer Amount [CAD 105.46], Status [APPROVED], Operation [DIRECT], UUID [3637240-1458744264-145] [23/03/2016 at 14:44:00]"/>
  </r>
  <r>
    <s v="3637231-1458744261-216"/>
    <s v="Spot"/>
    <s v="3637231-1458744261-216"/>
    <n v="0"/>
    <d v="2016-03-31T00:00:00"/>
    <x v="509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7231-1458744261-216] [23/03/2016 at 14:44:00]"/>
  </r>
  <r>
    <s v="3637264-1458744289-56"/>
    <s v="Spot"/>
    <s v="3637264-1458744289-56"/>
    <n v="0"/>
    <d v="2016-03-31T00:00:00"/>
    <x v="510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7264-1458744289-56] [23/03/2016 at 14:44:00]"/>
  </r>
  <r>
    <s v="3637234-1458744261-56"/>
    <s v="Spot"/>
    <s v="3637234-1458744261-56"/>
    <n v="0"/>
    <d v="2016-03-31T00:00:00"/>
    <x v="511"/>
    <s v="56"/>
    <s v="SELL"/>
    <n v="3.392116182572614"/>
    <x v="0"/>
    <x v="0"/>
    <n v="130.80000000000001"/>
    <s v="Deal"/>
    <m/>
    <s v="Original Amount [EUR 38.56], Merchant Amount [EUR 38.56], Customer Amount [TRY 130.8], Status [APPROVED], Operation [3DAUTH], UUID [3637234-1458744261-56] [23/03/2016 at 14:44:00]"/>
  </r>
  <r>
    <s v="3637243-1458744266-126"/>
    <s v="Spot"/>
    <s v="3637243-1458744266-126"/>
    <n v="0"/>
    <d v="2016-03-31T00:00:00"/>
    <x v="512"/>
    <s v="126"/>
    <s v="SELL"/>
    <n v="9.9547317073170731"/>
    <x v="0"/>
    <x v="1"/>
    <n v="510.18"/>
    <s v="Deal"/>
    <m/>
    <s v="Original Amount [EUR 51.25], Merchant Amount [EUR 51.25], Customer Amount [NOK 510.18], Status [APPROVED], Operation [3DAUTH], UUID [3637243-1458744266-126] [23/03/2016 at 14:44:00]"/>
  </r>
  <r>
    <s v="3637192-1458744231-261"/>
    <s v="Spot"/>
    <s v="3637192-1458744231-261"/>
    <n v="0"/>
    <d v="2016-03-31T00:00:00"/>
    <x v="513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7192-1458744231-261] [23/03/2016 at 14:43:00]"/>
  </r>
  <r>
    <s v="3637189-1458744229-145"/>
    <s v="Spot"/>
    <s v="3637189-1458744229-145"/>
    <n v="0"/>
    <d v="2016-03-31T00:00:00"/>
    <x v="514"/>
    <s v="145"/>
    <s v="SELL"/>
    <n v="9.954688483322844"/>
    <x v="0"/>
    <x v="1"/>
    <n v="632.72"/>
    <s v="Deal"/>
    <m/>
    <s v="Original Amount [EUR 63.56], Merchant Amount [EUR 63.56], Customer Amount [NOK 632.72], Status [APPROVED], Operation [DIRECT], UUID [3637189-1458744229-145] [23/03/2016 at 14:43:00]"/>
  </r>
  <r>
    <s v="3637186-1458744227-216"/>
    <s v="Spot"/>
    <s v="3637186-1458744227-216"/>
    <n v="0"/>
    <d v="2016-03-31T00:00:00"/>
    <x v="515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7186-1458744227-216] [23/03/2016 at 14:43:00]"/>
  </r>
  <r>
    <s v="3637183-1458744227-261"/>
    <s v="Spot"/>
    <s v="3637183-1458744227-261"/>
    <n v="0"/>
    <d v="2016-03-31T00:00:00"/>
    <x v="516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7183-1458744227-261] [23/03/2016 at 14:43:00]"/>
  </r>
  <r>
    <s v="3637180-1458744225-224"/>
    <s v="Spot"/>
    <s v="3637180-1458744225-224"/>
    <n v="0"/>
    <d v="2016-03-31T00:00:00"/>
    <x v="517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37180-1458744225-224] [23/03/2016 at 14:43:00]"/>
  </r>
  <r>
    <s v="3637177-1458744224-224"/>
    <s v="Spot"/>
    <s v="3637177-1458744224-224"/>
    <n v="0"/>
    <d v="2016-03-31T00:00:00"/>
    <x v="518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37177-1458744224-224] [23/03/2016 at 14:43:00]"/>
  </r>
  <r>
    <s v="3637174-1458744221-261"/>
    <s v="Spot"/>
    <s v="3637174-1458744221-261"/>
    <n v="0"/>
    <d v="2016-03-31T00:00:00"/>
    <x v="519"/>
    <s v="261"/>
    <s v="SELL"/>
    <n v="9.9551401869158873"/>
    <x v="0"/>
    <x v="1"/>
    <n v="159.78"/>
    <s v="Deal"/>
    <m/>
    <s v="Original Amount [EUR 16.05], Merchant Amount [EUR 16.05], Customer Amount [NOK 159.78], Status [APPROVED], Operation [DIRECT], UUID [3637174-1458744221-261] [23/03/2016 at 14:43:00]"/>
  </r>
  <r>
    <s v="3637171-1458744213-224"/>
    <s v="Spot"/>
    <s v="3637171-1458744213-224"/>
    <n v="0"/>
    <d v="2016-03-31T00:00:00"/>
    <x v="520"/>
    <s v="224"/>
    <s v="SELL"/>
    <n v="132.99331103678932"/>
    <x v="0"/>
    <x v="3"/>
    <n v="24256.65"/>
    <s v="Deal"/>
    <m/>
    <s v="Original Amount [EUR 182.39], Merchant Amount [EUR 182.39], Customer Amount [JPY 24256.65], Status [APPROVED], Operation [DIRECT], UUID [3637171-1458744213-224] [23/03/2016 at 14:43:00]"/>
  </r>
  <r>
    <s v="3637210-1458744243-216"/>
    <s v="Spot"/>
    <s v="3637210-1458744243-216"/>
    <n v="0"/>
    <d v="2016-03-31T00:00:00"/>
    <x v="521"/>
    <s v="216"/>
    <s v="SELL"/>
    <n v="3.3925767309064954"/>
    <x v="0"/>
    <x v="0"/>
    <n v="47.53"/>
    <s v="Deal"/>
    <m/>
    <s v="Original Amount [EUR 14.01], Merchant Amount [EUR 14.01], Customer Amount [TRY 47.53], Status [APPROVED], Operation [3DAUTH], UUID [3637210-1458744243-216] [23/03/2016 at 14:44:00]"/>
  </r>
  <r>
    <s v="3637156-1458744207-125"/>
    <s v="Spot"/>
    <s v="3637156-1458744207-125"/>
    <n v="0"/>
    <d v="2016-03-31T00:00:00"/>
    <x v="522"/>
    <s v="125"/>
    <s v="SELL"/>
    <n v="132.99340000000001"/>
    <x v="0"/>
    <x v="3"/>
    <n v="6649.67"/>
    <s v="Deal"/>
    <m/>
    <s v="Original Amount [EUR 50], Merchant Amount [EUR 50], Customer Amount [JPY 6649.67], Status [APPROVED], Operation [DIRECT], UUID [3637156-1458744207-125] [23/03/2016 at 14:43:00]"/>
  </r>
  <r>
    <s v="3637150-1458744203-199"/>
    <s v="Spot"/>
    <s v="3637150-1458744203-199"/>
    <n v="0"/>
    <d v="2016-03-31T00:00:00"/>
    <x v="523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7150-1458744203-199] [23/03/2016 at 14:43:00]"/>
  </r>
  <r>
    <s v="3637147-1458744197-216"/>
    <s v="Spot"/>
    <s v="3637147-1458744197-216"/>
    <n v="0"/>
    <d v="2016-03-31T00:00:00"/>
    <x v="524"/>
    <s v="216"/>
    <s v="SELL"/>
    <n v="3.3919863919863924"/>
    <x v="0"/>
    <x v="0"/>
    <n v="179.47"/>
    <s v="Deal"/>
    <m/>
    <s v="Original Amount [EUR 52.91], Merchant Amount [EUR 52.91], Customer Amount [TRY 179.47], Status [WAITING], Operation [3D], UUID [3637147-1458744197-216] [23/03/2016 at 14:43:00]"/>
  </r>
  <r>
    <s v="3637141-1458744189-224"/>
    <s v="Spot"/>
    <s v="3637141-1458744189-224"/>
    <n v="0"/>
    <d v="2016-03-31T00:00:00"/>
    <x v="525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37141-1458744189-224] [23/03/2016 at 14:43:00]"/>
  </r>
  <r>
    <s v="3637138-1458744183-119"/>
    <s v="Spot"/>
    <s v="3637138-1458744183-119"/>
    <n v="0"/>
    <d v="2016-03-31T00:00:00"/>
    <x v="526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7138-1458744183-119] [23/03/2016 at 14:43:00]"/>
  </r>
  <r>
    <s v="3637162-1458744210-216"/>
    <s v="Spot"/>
    <s v="3637162-1458744210-216"/>
    <n v="0"/>
    <d v="2016-03-31T00:00:00"/>
    <x v="527"/>
    <s v="216"/>
    <s v="SELL"/>
    <n v="3.3919763806877388"/>
    <x v="0"/>
    <x v="0"/>
    <n v="195.31"/>
    <s v="Deal"/>
    <m/>
    <s v="Original Amount [EUR 57.58], Merchant Amount [EUR 57.58], Customer Amount [TRY 195.31], Status [APPROVED], Operation [3DAUTH], UUID [3637162-1458744210-216] [23/03/2016 at 14:43:00]"/>
  </r>
  <r>
    <s v="3637126-1458744170-261"/>
    <s v="Spot"/>
    <s v="3637126-1458744170-261"/>
    <n v="0"/>
    <d v="2016-03-31T00:00:00"/>
    <x v="528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7126-1458744170-261] [23/03/2016 at 14:42:00]"/>
  </r>
  <r>
    <s v="3637123-1458744169-224"/>
    <s v="Spot"/>
    <s v="3637123-1458744169-224"/>
    <n v="0"/>
    <d v="2016-03-31T00:00:00"/>
    <x v="529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7123-1458744169-224] [23/03/2016 at 14:42:00]"/>
  </r>
  <r>
    <s v="3637165-1458744210-216"/>
    <s v="Spot"/>
    <s v="3637165-1458744210-216"/>
    <n v="0"/>
    <d v="2016-03-31T00:00:00"/>
    <x v="53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165-1458744210-216] [23/03/2016 at 14:43:00]"/>
  </r>
  <r>
    <s v="3637144-1458744195-261"/>
    <s v="Spot"/>
    <s v="3637144-1458744195-261"/>
    <n v="0"/>
    <d v="2016-03-31T00:00:00"/>
    <x v="531"/>
    <s v="261"/>
    <s v="SELL"/>
    <n v="9.9545709478407183"/>
    <x v="0"/>
    <x v="1"/>
    <n v="532.47"/>
    <s v="Deal"/>
    <m/>
    <s v="Original Amount [EUR 53.49], Merchant Amount [EUR 53.49], Customer Amount [NOK 532.47], Status [APPROVED], Operation [3DAUTH], UUID [3637144-1458744195-261] [23/03/2016 at 14:43:00]"/>
  </r>
  <r>
    <s v="3637108-1458744148-107"/>
    <s v="Spot"/>
    <s v="3637108-1458744148-107"/>
    <n v="0"/>
    <d v="2016-03-31T00:00:00"/>
    <x v="532"/>
    <s v="107"/>
    <s v="SELL"/>
    <n v="3.3921885087153001"/>
    <x v="0"/>
    <x v="0"/>
    <n v="105.09"/>
    <s v="Deal"/>
    <m/>
    <s v="Original Amount [EUR 30.98], Merchant Amount [EUR 30.98], Customer Amount [TRY 105.09], Status [WAITING], Operation [3D], UUID [3637108-1458744148-107] [23/03/2016 at 14:42:00]"/>
  </r>
  <r>
    <s v="3637105-1458744147-187"/>
    <s v="Spot"/>
    <s v="3637105-1458744147-187"/>
    <n v="0"/>
    <d v="2016-03-31T00:00:00"/>
    <x v="533"/>
    <s v="187"/>
    <s v="SELL"/>
    <n v="9.9546313799621924"/>
    <x v="0"/>
    <x v="1"/>
    <n v="315.95999999999998"/>
    <s v="Deal"/>
    <m/>
    <s v="Original Amount [EUR 31.74], Merchant Amount [EUR 31.74], Customer Amount [NOK 315.96], Status [APPROVED], Operation [DIRECT], UUID [3637105-1458744147-187] [23/03/2016 at 14:42:00]"/>
  </r>
  <r>
    <s v="3637129-1458744172-101"/>
    <s v="Spot"/>
    <s v="3637129-1458744172-101"/>
    <n v="0"/>
    <d v="2016-03-31T00:00:00"/>
    <x v="534"/>
    <s v="101"/>
    <s v="SELL"/>
    <n v="3.3919809593555477"/>
    <x v="0"/>
    <x v="0"/>
    <n v="185.27"/>
    <s v="Deal"/>
    <m/>
    <s v="Original Amount [EUR 54.62], Merchant Amount [EUR 54.62], Customer Amount [TRY 185.27], Status [APPROVED], Operation [3DAUTH], UUID [3637129-1458744172-101] [23/03/2016 at 14:42:00]"/>
  </r>
  <r>
    <s v="3637093-1458744142-216"/>
    <s v="Spot"/>
    <s v="3637093-1458744142-216"/>
    <n v="0"/>
    <d v="2016-03-31T00:00:00"/>
    <x v="535"/>
    <s v="216"/>
    <s v="SELL"/>
    <n v="3.3919863919863924"/>
    <x v="0"/>
    <x v="0"/>
    <n v="179.47"/>
    <s v="Deal"/>
    <m/>
    <s v="Original Amount [EUR 52.91], Merchant Amount [EUR 52.91], Customer Amount [TRY 179.47], Status [WAITING], Operation [3D], UUID [3637093-1458744142-216] [23/03/2016 at 14:42:00]"/>
  </r>
  <r>
    <s v="3637081-1458744128-145"/>
    <s v="Spot"/>
    <s v="3637081-1458744128-145"/>
    <n v="0"/>
    <d v="2016-03-31T00:00:00"/>
    <x v="536"/>
    <s v="145"/>
    <s v="SELL"/>
    <n v="1.5431665203394789"/>
    <x v="0"/>
    <x v="2"/>
    <n v="105.46"/>
    <s v="Deal"/>
    <m/>
    <s v="Original Amount [EUR 68.34], Merchant Amount [EUR 68.34], Customer Amount [CAD 105.46], Status [APPROVED], Operation [DIRECT], UUID [3637081-1458744128-145] [23/03/2016 at 14:42:00]"/>
  </r>
  <r>
    <s v="3637078-1458744120-224"/>
    <s v="Spot"/>
    <s v="3637078-1458744120-224"/>
    <n v="0"/>
    <d v="2016-03-31T00:00:00"/>
    <x v="537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7078-1458744120-224] [23/03/2016 at 14:42:00]"/>
  </r>
  <r>
    <s v="3637075-1458744115-199"/>
    <s v="Spot"/>
    <s v="3637075-1458744115-199"/>
    <n v="0"/>
    <d v="2016-03-31T00:00:00"/>
    <x v="538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7075-1458744115-199] [23/03/2016 at 14:41:00]"/>
  </r>
  <r>
    <s v="3637090-1458744141-56"/>
    <s v="Spot"/>
    <s v="3637090-1458744141-56"/>
    <n v="0"/>
    <d v="2016-03-31T00:00:00"/>
    <x v="539"/>
    <s v="56"/>
    <s v="SELL"/>
    <n v="3.395392698369931"/>
    <x v="0"/>
    <x v="0"/>
    <n v="252.04"/>
    <s v="Deal"/>
    <m/>
    <s v="Original Amount [EUR 74.23], Merchant Amount [EUR 74.23], Customer Amount [TRY 252.04], Status [APPROVED], Operation [3DAUTH], UUID [3637090-1458744141-56] [23/03/2016 at 14:42:00]"/>
  </r>
  <r>
    <s v="3637063-1458744094-200"/>
    <s v="Spot"/>
    <s v="3637063-1458744094-200"/>
    <n v="0"/>
    <d v="2016-03-31T00:00:00"/>
    <x v="540"/>
    <s v="200"/>
    <s v="SELL"/>
    <n v="9.954600000000001"/>
    <x v="0"/>
    <x v="1"/>
    <n v="497.73"/>
    <s v="Deal"/>
    <m/>
    <s v="Original Amount [EUR 50], Merchant Amount [EUR 50], Customer Amount [NOK 497.73], Status [APPROVED], Operation [STORED], UUID [3637063-1458744094-200] [23/03/2016 at 14:41:00]"/>
  </r>
  <r>
    <s v="3637054-1458744087-119"/>
    <s v="Spot"/>
    <s v="3637054-1458744087-119"/>
    <n v="0"/>
    <d v="2016-03-31T00:00:00"/>
    <x v="541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7054-1458744087-119] [23/03/2016 at 14:41:00]"/>
  </r>
  <r>
    <s v="3637051-1458744086-126"/>
    <s v="Spot"/>
    <s v="3637051-1458744086-126"/>
    <n v="0"/>
    <d v="2016-03-31T00:00:00"/>
    <x v="542"/>
    <s v="126"/>
    <s v="SELL"/>
    <n v="9.9546341463414638"/>
    <x v="0"/>
    <x v="1"/>
    <n v="204.07"/>
    <s v="Deal"/>
    <m/>
    <s v="Original Amount [EUR 20.5], Merchant Amount [EUR 20.5], Customer Amount [NOK 204.07], Status [APPROVED], Operation [3DAUTH], UUID [3637051-1458744086-126] [23/03/2016 at 14:41:00]"/>
  </r>
  <r>
    <s v="3637027-1458744063-216"/>
    <s v="Spot"/>
    <s v="3637027-1458744063-216"/>
    <n v="0"/>
    <d v="2016-03-31T00:00:00"/>
    <x v="543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7027-1458744063-216] [23/03/2016 at 14:41:00]"/>
  </r>
  <r>
    <s v="3637024-1458744062-145"/>
    <s v="Spot"/>
    <s v="3637024-1458744062-145"/>
    <n v="0"/>
    <d v="2016-03-31T00:00:00"/>
    <x v="544"/>
    <s v="145"/>
    <s v="SELL"/>
    <n v="1.5513900178832709"/>
    <x v="0"/>
    <x v="2"/>
    <n v="477.13"/>
    <s v="Deal"/>
    <m/>
    <s v="Original Amount [EUR 307.55], Merchant Amount [EUR 307.55], Customer Amount [CAD 477.13], Status [APPROVED], Operation [DIRECT], UUID [3637024-1458744062-145] [23/03/2016 at 14:41:00]"/>
  </r>
  <r>
    <s v="3637015-1458744059-119"/>
    <s v="Spot"/>
    <s v="3637015-1458744059-119"/>
    <n v="0"/>
    <d v="2016-03-31T00:00:00"/>
    <x v="545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7015-1458744059-119] [23/03/2016 at 14:40:00]"/>
  </r>
  <r>
    <s v="3637009-1458744052-126"/>
    <s v="Spot"/>
    <s v="3637009-1458744052-126"/>
    <n v="0"/>
    <d v="2016-03-31T00:00:00"/>
    <x v="546"/>
    <s v="126"/>
    <s v="SELL"/>
    <n v="9.9545756097560982"/>
    <x v="0"/>
    <x v="1"/>
    <n v="5101.72"/>
    <s v="Deal"/>
    <m/>
    <s v="Original Amount [EUR 512.5], Merchant Amount [EUR 512.5], Customer Amount [NOK 5101.72], Status [APPROVED], Operation [DIRECT], UUID [3637009-1458744052-126] [23/03/2016 at 14:40:00]"/>
  </r>
  <r>
    <s v="3637006-1458744051-224"/>
    <s v="Spot"/>
    <s v="3637006-1458744051-224"/>
    <n v="0"/>
    <d v="2016-03-31T00:00:00"/>
    <x v="547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7006-1458744051-224] [23/03/2016 at 14:40:00]"/>
  </r>
  <r>
    <s v="3637000-1458744043-145"/>
    <s v="Spot"/>
    <s v="3637000-1458744043-145"/>
    <n v="0"/>
    <d v="2016-03-31T00:00:00"/>
    <x v="548"/>
    <s v="145"/>
    <s v="SELL"/>
    <n v="9.9547376274558559"/>
    <x v="0"/>
    <x v="1"/>
    <n v="400.28"/>
    <s v="Deal"/>
    <m/>
    <s v="Original Amount [EUR 40.21], Merchant Amount [EUR 40.21], Customer Amount [NOK 400.28], Status [APPROVED], Operation [DIRECT], UUID [3637000-1458744043-145] [23/03/2016 at 14:40:00]"/>
  </r>
  <r>
    <s v="3637045-1458744072-216"/>
    <s v="Spot"/>
    <s v="3637045-1458744072-216"/>
    <n v="0"/>
    <d v="2016-03-31T00:00:00"/>
    <x v="549"/>
    <s v="216"/>
    <s v="SELL"/>
    <n v="3.3953331078796078"/>
    <x v="0"/>
    <x v="0"/>
    <n v="100.4"/>
    <s v="Deal"/>
    <m/>
    <s v="Original Amount [EUR 29.57], Merchant Amount [EUR 29.57], Customer Amount [TRY 100.4], Status [APPROVED], Operation [3DAUTH], UUID [3637045-1458744072-216] [23/03/2016 at 14:41:00]"/>
  </r>
  <r>
    <s v="3637039-1458744071-119"/>
    <s v="Spot"/>
    <s v="3637039-1458744071-119"/>
    <n v="0"/>
    <d v="2016-03-31T00:00:00"/>
    <x v="550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7039-1458744071-119] [23/03/2016 at 14:41:00]"/>
  </r>
  <r>
    <s v="3636982-1458744035-199"/>
    <s v="Spot"/>
    <s v="3636982-1458744035-199"/>
    <n v="0"/>
    <d v="2016-03-31T00:00:00"/>
    <x v="551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6982-1458744035-199] [23/03/2016 at 14:40:00]"/>
  </r>
  <r>
    <s v="3636973-1458744032-224"/>
    <s v="Spot"/>
    <s v="3636973-1458744032-224"/>
    <n v="0"/>
    <d v="2016-03-31T00:00:00"/>
    <x v="552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6973-1458744032-224] [23/03/2016 at 14:40:00]"/>
  </r>
  <r>
    <s v="3637003-1458744047-107"/>
    <s v="Spot"/>
    <s v="3637003-1458744047-107"/>
    <n v="0"/>
    <d v="2016-03-31T00:00:00"/>
    <x v="553"/>
    <s v="107"/>
    <s v="SELL"/>
    <n v="3.3954802259887003"/>
    <x v="0"/>
    <x v="0"/>
    <n v="84.14"/>
    <s v="Deal"/>
    <m/>
    <s v="Original Amount [EUR 24.78], Merchant Amount [EUR 24.78], Customer Amount [TRY 84.14], Status [APPROVED], Operation [3DAUTH], UUID [3637003-1458744047-107] [23/03/2016 at 14:40:00]"/>
  </r>
  <r>
    <s v="3636964-1458744020-199"/>
    <s v="Spot"/>
    <s v="3636964-1458744020-199"/>
    <n v="0"/>
    <d v="2016-03-31T00:00:00"/>
    <x v="554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6964-1458744020-199] [23/03/2016 at 14:40:00]"/>
  </r>
  <r>
    <s v="3636958-1458744018-224"/>
    <s v="Spot"/>
    <s v="3636958-1458744018-224"/>
    <n v="0"/>
    <d v="2016-03-31T00:00:00"/>
    <x v="555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6958-1458744018-224] [23/03/2016 at 14:40:00]"/>
  </r>
  <r>
    <s v="3637036-1458744068-216"/>
    <s v="Spot"/>
    <s v="3637036-1458744068-216"/>
    <n v="0"/>
    <d v="2016-03-31T00:00:00"/>
    <x v="556"/>
    <s v="216"/>
    <s v="SELL"/>
    <n v="3.3955943093162002"/>
    <x v="0"/>
    <x v="0"/>
    <n v="73.989999999999995"/>
    <s v="Deal"/>
    <m/>
    <s v="Original Amount [EUR 21.79], Merchant Amount [EUR 21.79], Customer Amount [TRY 73.99], Status [APPROVED], Operation [3DAUTH], UUID [3637036-1458744068-216] [23/03/2016 at 14:41:00]"/>
  </r>
  <r>
    <s v="3636976-1458744032-56"/>
    <s v="Spot"/>
    <s v="3636976-1458744032-56"/>
    <n v="0"/>
    <d v="2016-03-31T00:00:00"/>
    <x v="557"/>
    <s v="56"/>
    <s v="SELL"/>
    <n v="3.3953188748121108"/>
    <x v="0"/>
    <x v="0"/>
    <n v="158.12"/>
    <s v="Deal"/>
    <m/>
    <s v="Original Amount [EUR 46.57], Merchant Amount [EUR 46.57], Customer Amount [TRY 158.12], Status [APPROVED], Operation [3DAUTH], UUID [3636976-1458744032-56] [23/03/2016 at 14:40:00]"/>
  </r>
  <r>
    <s v="3636952-1458744009-56"/>
    <s v="Spot"/>
    <s v="3636952-1458744009-56"/>
    <n v="0"/>
    <d v="2016-03-31T00:00:00"/>
    <x v="558"/>
    <s v="56"/>
    <s v="SELL"/>
    <n v="3.3953922789539233"/>
    <x v="0"/>
    <x v="0"/>
    <n v="54.53"/>
    <s v="Deal"/>
    <m/>
    <s v="Original Amount [EUR 16.06], Merchant Amount [EUR 16.06], Customer Amount [TRY 54.53], Status [APPROVED], Operation [3DAUTH], UUID [3636952-1458744009-56] [23/03/2016 at 14:40:00]"/>
  </r>
  <r>
    <s v="3636979-1458744034-56"/>
    <s v="Spot"/>
    <s v="3636979-1458744034-56"/>
    <n v="0"/>
    <d v="2016-03-31T00:00:00"/>
    <x v="559"/>
    <s v="56"/>
    <s v="SELL"/>
    <n v="3.3956386292834893"/>
    <x v="0"/>
    <x v="0"/>
    <n v="32.700000000000003"/>
    <s v="Deal"/>
    <m/>
    <s v="Original Amount [EUR 9.63], Merchant Amount [EUR 9.63], Customer Amount [TRY 32.7], Status [APPROVED], Operation [3DAUTH], UUID [3636979-1458744034-56] [23/03/2016 at 14:40:00]"/>
  </r>
  <r>
    <s v="3636913-1458743974-145"/>
    <s v="Spot"/>
    <s v="3636913-1458743974-145"/>
    <n v="0"/>
    <d v="2016-03-31T00:00:00"/>
    <x v="560"/>
    <s v="145"/>
    <s v="SELL"/>
    <n v="1.5515071700321919"/>
    <x v="0"/>
    <x v="2"/>
    <n v="106.03"/>
    <s v="Deal"/>
    <m/>
    <s v="Original Amount [EUR 68.34], Merchant Amount [EUR 68.34], Customer Amount [CAD 106.03], Status [APPROVED], Operation [DIRECT], UUID [3636913-1458743974-145] [23/03/2016 at 14:39:00]"/>
  </r>
  <r>
    <s v="3636898-1458743949-126"/>
    <s v="Spot"/>
    <s v="3636898-1458743949-126"/>
    <n v="0"/>
    <d v="2016-03-31T00:00:00"/>
    <x v="561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6898-1458743949-126] [23/03/2016 at 14:39:00]"/>
  </r>
  <r>
    <s v="3636946-1458744001-216"/>
    <s v="Spot"/>
    <s v="3636946-1458744001-216"/>
    <n v="0"/>
    <d v="2016-03-31T00:00:00"/>
    <x v="562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946-1458744001-216] [23/03/2016 at 14:40:00]"/>
  </r>
  <r>
    <s v="3636886-1458743934-119"/>
    <s v="Spot"/>
    <s v="3636886-1458743934-119"/>
    <n v="0"/>
    <d v="2016-03-31T00:00:00"/>
    <x v="563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6886-1458743934-119] [23/03/2016 at 14:38:00]"/>
  </r>
  <r>
    <s v="3636877-1458743928-119"/>
    <s v="Spot"/>
    <s v="3636877-1458743928-119"/>
    <n v="0"/>
    <d v="2016-03-31T00:00:00"/>
    <x v="56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877-1458743928-119] [23/03/2016 at 14:38:00]"/>
  </r>
  <r>
    <s v="3636943-1458743994-196"/>
    <s v="Spot"/>
    <s v="3636943-1458743994-196"/>
    <n v="0"/>
    <d v="2016-03-31T00:00:00"/>
    <x v="565"/>
    <s v="196"/>
    <s v="SELL"/>
    <n v="9.9507015547971172"/>
    <x v="0"/>
    <x v="1"/>
    <n v="262.39999999999998"/>
    <s v="Deal"/>
    <m/>
    <s v="Original Amount [EUR 26.37], Merchant Amount [EUR 26.37], Customer Amount [NOK 262.4], Status [APPROVED], Operation [3DAUTH], UUID [3636943-1458743994-196] [23/03/2016 at 14:39:00]"/>
  </r>
  <r>
    <s v="3636895-1458743944-101"/>
    <s v="Spot"/>
    <s v="3636895-1458743944-101"/>
    <n v="0"/>
    <d v="2016-03-31T00:00:00"/>
    <x v="566"/>
    <s v="101"/>
    <s v="SELL"/>
    <n v="3.3880239520958084"/>
    <x v="0"/>
    <x v="0"/>
    <n v="28.29"/>
    <s v="Deal"/>
    <m/>
    <s v="Original Amount [EUR 8.35], Merchant Amount [EUR 8.35], Customer Amount [TRY 28.29], Status [APPROVED], Operation [3DAUTH], UUID [3636895-1458743944-101] [23/03/2016 at 14:39:00]"/>
  </r>
  <r>
    <s v="3636868-1458743919-119"/>
    <s v="Spot"/>
    <s v="3636868-1458743919-119"/>
    <n v="0"/>
    <d v="2016-03-31T00:00:00"/>
    <x v="567"/>
    <s v="119"/>
    <s v="SELL"/>
    <n v="9.9505714285714273"/>
    <x v="0"/>
    <x v="1"/>
    <n v="3482.7"/>
    <s v="Deal"/>
    <m/>
    <s v="Original Amount [EUR 350], Merchant Amount [EUR 350], Customer Amount [NOK 3482.7], Status [APPROVED], Operation [DIRECT], UUID [3636868-1458743919-119] [23/03/2016 at 14:38:00]"/>
  </r>
  <r>
    <s v="3636880-1458743932-102"/>
    <s v="Spot"/>
    <s v="3636880-1458743932-102"/>
    <n v="0"/>
    <d v="2016-03-31T00:00:00"/>
    <x v="568"/>
    <s v="102"/>
    <s v="SELL"/>
    <n v="3.3881720430107527"/>
    <x v="0"/>
    <x v="0"/>
    <n v="94.53"/>
    <s v="Deal"/>
    <m/>
    <s v="Original Amount [EUR 27.9], Merchant Amount [EUR 27.9], Customer Amount [TRY 94.53], Status [APPROVED], Operation [3DAUTH], UUID [3636880-1458743932-102] [23/03/2016 at 14:38:00]"/>
  </r>
  <r>
    <s v="3636856-1458743905-224"/>
    <s v="Spot"/>
    <s v="3636856-1458743905-224"/>
    <n v="0"/>
    <d v="2016-03-31T00:00:00"/>
    <x v="569"/>
    <s v="224"/>
    <s v="SELL"/>
    <n v="9.9507822685788803"/>
    <x v="0"/>
    <x v="1"/>
    <n v="305.29000000000002"/>
    <s v="Deal"/>
    <m/>
    <s v="Original Amount [EUR 30.68], Merchant Amount [EUR 30.68], Customer Amount [NOK 305.29], Status [APPROVED], Operation [DIRECT], UUID [3636856-1458743905-224] [23/03/2016 at 14:38:00]"/>
  </r>
  <r>
    <s v="3636853-1458743904-224"/>
    <s v="Spot"/>
    <s v="3636853-1458743904-224"/>
    <n v="0"/>
    <d v="2016-03-31T00:00:00"/>
    <x v="570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6853-1458743904-224] [23/03/2016 at 14:38:00]"/>
  </r>
  <r>
    <s v="3636847-1458743899-216"/>
    <s v="Spot"/>
    <s v="3636847-1458743899-216"/>
    <n v="0"/>
    <d v="2016-03-31T00:00:00"/>
    <x v="571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847-1458743899-216] [23/03/2016 at 14:38:00]"/>
  </r>
  <r>
    <s v="3636835-1458743881-145"/>
    <s v="Spot"/>
    <s v="3636835-1458743881-145"/>
    <n v="0"/>
    <d v="2016-03-31T00:00:00"/>
    <x v="572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6835-1458743881-145] [23/03/2016 at 14:38:00]"/>
  </r>
  <r>
    <s v="3636832-1458743880-261"/>
    <s v="Spot"/>
    <s v="3636832-1458743880-261"/>
    <n v="0"/>
    <d v="2016-03-31T00:00:00"/>
    <x v="573"/>
    <s v="261"/>
    <s v="SELL"/>
    <n v="9.9509345794392523"/>
    <x v="0"/>
    <x v="1"/>
    <n v="212.95"/>
    <s v="Deal"/>
    <m/>
    <s v="Original Amount [EUR 21.4], Merchant Amount [EUR 21.4], Customer Amount [NOK 212.95], Status [APPROVED], Operation [DIRECT], UUID [3636832-1458743880-261] [23/03/2016 at 14:38:00]"/>
  </r>
  <r>
    <s v="3636805-1458743852-216"/>
    <s v="Spot"/>
    <s v="3636805-1458743852-216"/>
    <n v="0"/>
    <d v="2016-03-31T00:00:00"/>
    <x v="574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805-1458743852-216] [23/03/2016 at 14:37:00]"/>
  </r>
  <r>
    <s v="3636799-1458743846-199"/>
    <s v="Spot"/>
    <s v="3636799-1458743846-199"/>
    <n v="0"/>
    <d v="2016-03-31T00:00:00"/>
    <x v="575"/>
    <s v="199"/>
    <s v="SELL"/>
    <n v="9.9509202453987733"/>
    <x v="0"/>
    <x v="1"/>
    <n v="129.76"/>
    <s v="Deal"/>
    <m/>
    <s v="Original Amount [EUR 13.04], Merchant Amount [EUR 13.04], Customer Amount [NOK 129.76], Status [APPROVED], Operation [DIRECT], UUID [3636799-1458743846-199] [23/03/2016 at 14:37:00]"/>
  </r>
  <r>
    <s v="3636796-1458743844-224"/>
    <s v="Spot"/>
    <s v="3636796-1458743844-224"/>
    <n v="0"/>
    <d v="2016-03-31T00:00:00"/>
    <x v="576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6796-1458743844-224] [23/03/2016 at 14:37:00]"/>
  </r>
  <r>
    <s v="3636910-1458743974-216"/>
    <s v="Spot"/>
    <s v="3636910-1458743974-216"/>
    <n v="0"/>
    <d v="2016-03-31T00:00:00"/>
    <x v="577"/>
    <s v="216"/>
    <s v="SELL"/>
    <n v="3.3878316805146071"/>
    <x v="0"/>
    <x v="0"/>
    <n v="126.4"/>
    <s v="Deal"/>
    <m/>
    <s v="Original Amount [EUR 37.31], Merchant Amount [EUR 37.31], Customer Amount [TRY 126.4], Status [APPROVED], Operation [3DAUTH], UUID [3636910-1458743974-216] [23/03/2016 at 14:39:00]"/>
  </r>
  <r>
    <s v="3636784-1458743837-216"/>
    <s v="Spot"/>
    <s v="3636784-1458743837-216"/>
    <n v="0"/>
    <d v="2016-03-31T00:00:00"/>
    <x v="578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784-1458743837-216] [23/03/2016 at 14:37:00]"/>
  </r>
  <r>
    <s v="3636775-1458743813-261"/>
    <s v="Spot"/>
    <s v="3636775-1458743813-261"/>
    <n v="0"/>
    <d v="2016-03-31T00:00:00"/>
    <x v="579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6775-1458743813-261] [23/03/2016 at 14:36:00]"/>
  </r>
  <r>
    <s v="3636772-1458743811-126"/>
    <s v="Spot"/>
    <s v="3636772-1458743811-126"/>
    <n v="0"/>
    <d v="2016-03-31T00:00:00"/>
    <x v="580"/>
    <s v="126"/>
    <s v="SELL"/>
    <n v="9.9505691056910557"/>
    <x v="0"/>
    <x v="1"/>
    <n v="4589.7"/>
    <s v="Deal"/>
    <m/>
    <s v="Original Amount [EUR 461.25], Merchant Amount [EUR 461.25], Customer Amount [NOK 4589.7], Status [APPROVED], Operation [DIRECT], UUID [3636772-1458743811-126] [23/03/2016 at 14:36:00]"/>
  </r>
  <r>
    <s v="3636769-1458743806-224"/>
    <s v="Spot"/>
    <s v="3636769-1458743806-224"/>
    <n v="0"/>
    <d v="2016-03-31T00:00:00"/>
    <x v="581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6769-1458743806-224] [23/03/2016 at 14:36:00]"/>
  </r>
  <r>
    <s v="3636754-1458743800-124"/>
    <s v="Spot"/>
    <s v="3636754-1458743800-124"/>
    <n v="0"/>
    <d v="2016-03-31T00:00:00"/>
    <x v="582"/>
    <s v="124"/>
    <s v="SELL"/>
    <n v="9.9508816120906811"/>
    <x v="0"/>
    <x v="1"/>
    <n v="158.02000000000001"/>
    <s v="Deal"/>
    <m/>
    <s v="Original Amount [EUR 15.88], Merchant Amount [EUR 15.88], Customer Amount [NOK 158.02], Status [APPROVED], Operation [DIRECT], UUID [3636754-1458743800-124] [23/03/2016 at 14:36:00]"/>
  </r>
  <r>
    <s v="3636808-1458743853-216"/>
    <s v="Spot"/>
    <s v="3636808-1458743853-216"/>
    <n v="0"/>
    <d v="2016-03-31T00:00:00"/>
    <x v="583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808-1458743853-216] [23/03/2016 at 14:37:00]"/>
  </r>
  <r>
    <s v="3636739-1458743787-126"/>
    <s v="Spot"/>
    <s v="3636739-1458743787-126"/>
    <n v="0"/>
    <d v="2016-03-31T00:00:00"/>
    <x v="584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6739-1458743787-126] [23/03/2016 at 14:36:00]"/>
  </r>
  <r>
    <s v="3636760-1458743804-216"/>
    <s v="Spot"/>
    <s v="3636760-1458743804-216"/>
    <n v="0"/>
    <d v="2016-03-31T00:00:00"/>
    <x v="585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760-1458743804-216] [23/03/2016 at 14:36:00]"/>
  </r>
  <r>
    <s v="3636763-1458743804-216"/>
    <s v="Spot"/>
    <s v="3636763-1458743804-216"/>
    <n v="0"/>
    <d v="2016-03-31T00:00:00"/>
    <x v="586"/>
    <s v="216"/>
    <s v="SELL"/>
    <n v="3.3879476731717775"/>
    <x v="0"/>
    <x v="0"/>
    <n v="157.97999999999999"/>
    <s v="Deal"/>
    <m/>
    <s v="Original Amount [EUR 46.63], Merchant Amount [EUR 46.63], Customer Amount [TRY 157.98], Status [APPROVED], Operation [3DAUTH], UUID [3636763-1458743804-216] [23/03/2016 at 14:36:00]"/>
  </r>
  <r>
    <s v="3636709-1458743754-119"/>
    <s v="Spot"/>
    <s v="3636709-1458743754-119"/>
    <n v="0"/>
    <d v="2016-03-31T00:00:00"/>
    <x v="587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6709-1458743754-119] [23/03/2016 at 14:35:00]"/>
  </r>
  <r>
    <s v="3636736-1458743785-56"/>
    <s v="Spot"/>
    <s v="3636736-1458743785-56"/>
    <n v="0"/>
    <d v="2016-03-31T00:00:00"/>
    <x v="588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6736-1458743785-56] [23/03/2016 at 14:36:00]"/>
  </r>
  <r>
    <s v="3636694-1458743744-126"/>
    <s v="Spot"/>
    <s v="3636694-1458743744-126"/>
    <n v="0"/>
    <d v="2016-03-31T00:00:00"/>
    <x v="589"/>
    <s v="126"/>
    <s v="SELL"/>
    <n v="9.9505691056910575"/>
    <x v="0"/>
    <x v="1"/>
    <n v="1529.9"/>
    <s v="Deal"/>
    <m/>
    <s v="Original Amount [EUR 153.75], Merchant Amount [EUR 153.75], Customer Amount [NOK 1529.9], Status [APPROVED], Operation [DIRECT], UUID [3636694-1458743744-126] [23/03/2016 at 14:35:00]"/>
  </r>
  <r>
    <s v="3636673-1458743731-187"/>
    <s v="Spot"/>
    <s v="3636673-1458743731-187"/>
    <n v="0"/>
    <d v="2016-03-31T00:00:00"/>
    <x v="590"/>
    <s v="187"/>
    <s v="SELL"/>
    <n v="9.9508506616257097"/>
    <x v="0"/>
    <x v="1"/>
    <n v="105.28"/>
    <s v="Deal"/>
    <m/>
    <s v="Original Amount [EUR 10.58], Merchant Amount [EUR 10.58], Customer Amount [NOK 105.28], Status [APPROVED], Operation [DIRECT], UUID [3636673-1458743731-187] [23/03/2016 at 14:35:00]"/>
  </r>
  <r>
    <s v="3636781-1458743828-101"/>
    <s v="Spot"/>
    <s v="3636781-1458743828-101"/>
    <n v="0"/>
    <d v="2016-03-31T00:00:00"/>
    <x v="591"/>
    <s v="101"/>
    <s v="SELL"/>
    <n v="3.3955938697318011"/>
    <x v="0"/>
    <x v="0"/>
    <n v="70.900000000000006"/>
    <s v="Deal"/>
    <m/>
    <s v="Original Amount [EUR 20.88], Merchant Amount [EUR 20.88], Customer Amount [TRY 70.9], Status [APPROVED], Operation [3DAUTH], UUID [3636781-1458743828-101] [23/03/2016 at 14:37:00]"/>
  </r>
  <r>
    <s v="3636667-1458743729-224"/>
    <s v="Spot"/>
    <s v="3636667-1458743729-224"/>
    <n v="0"/>
    <d v="2016-03-31T00:00:00"/>
    <x v="592"/>
    <s v="224"/>
    <s v="SELL"/>
    <n v="133.03761377344009"/>
    <x v="0"/>
    <x v="3"/>
    <n v="12131.7"/>
    <s v="Deal"/>
    <m/>
    <s v="Original Amount [EUR 91.19], Merchant Amount [EUR 91.19], Customer Amount [JPY 12131.7], Status [APPROVED], Operation [DIRECT], UUID [3636667-1458743729-224] [23/03/2016 at 14:35:00]"/>
  </r>
  <r>
    <s v="3636664-1458743728-224"/>
    <s v="Spot"/>
    <s v="3636664-1458743728-224"/>
    <n v="0"/>
    <d v="2016-03-31T00:00:00"/>
    <x v="593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6664-1458743728-224] [23/03/2016 at 14:35:00]"/>
  </r>
  <r>
    <s v="3636703-1458743752-216"/>
    <s v="Spot"/>
    <s v="3636703-1458743752-216"/>
    <n v="0"/>
    <d v="2016-03-31T00:00:00"/>
    <x v="594"/>
    <s v="216"/>
    <s v="SELL"/>
    <n v="3.3957528957528962"/>
    <x v="0"/>
    <x v="0"/>
    <n v="52.77"/>
    <s v="Deal"/>
    <m/>
    <s v="Original Amount [EUR 15.54], Merchant Amount [EUR 15.54], Customer Amount [TRY 52.77], Status [APPROVED], Operation [3DAUTH], UUID [3636703-1458743752-216] [23/03/2016 at 14:35:00]"/>
  </r>
  <r>
    <s v="3636649-1458743699-124"/>
    <s v="Spot"/>
    <s v="3636649-1458743699-124"/>
    <n v="0"/>
    <d v="2016-03-31T00:00:00"/>
    <x v="595"/>
    <s v="124"/>
    <s v="SELL"/>
    <n v="9.950897072710104"/>
    <x v="0"/>
    <x v="1"/>
    <n v="210.76"/>
    <s v="Deal"/>
    <m/>
    <s v="Original Amount [EUR 21.18], Merchant Amount [EUR 21.18], Customer Amount [NOK 210.76], Status [APPROVED], Operation [DIRECT], UUID [3636649-1458743699-124] [23/03/2016 at 14:34:00]"/>
  </r>
  <r>
    <s v="3636646-1458743696-216"/>
    <s v="Spot"/>
    <s v="3636646-1458743696-216"/>
    <n v="0"/>
    <d v="2016-03-31T00:00:00"/>
    <x v="596"/>
    <s v="216"/>
    <s v="SELL"/>
    <n v="3.3956801470588234"/>
    <x v="0"/>
    <x v="0"/>
    <n v="73.89"/>
    <s v="Deal"/>
    <m/>
    <s v="Original Amount [EUR 21.76], Merchant Amount [EUR 21.76], Customer Amount [TRY 73.89], Status [WAITING], Operation [3D], UUID [3636646-1458743696-216] [23/03/2016 at 14:34:00]"/>
  </r>
  <r>
    <s v="3636676-1458743731-216"/>
    <s v="Spot"/>
    <s v="3636676-1458743731-216"/>
    <n v="0"/>
    <d v="2016-03-31T00:00:00"/>
    <x v="597"/>
    <s v="216"/>
    <s v="SELL"/>
    <n v="3.3957528957528962"/>
    <x v="0"/>
    <x v="0"/>
    <n v="52.77"/>
    <s v="Deal"/>
    <m/>
    <s v="Original Amount [EUR 15.54], Merchant Amount [EUR 15.54], Customer Amount [TRY 52.77], Status [APPROVED], Operation [3DAUTH], UUID [3636676-1458743731-216] [23/03/2016 at 14:35:00]"/>
  </r>
  <r>
    <s v="3636658-1458743715-56"/>
    <s v="Spot"/>
    <s v="3636658-1458743715-56"/>
    <n v="0"/>
    <d v="2016-03-31T00:00:00"/>
    <x v="598"/>
    <s v="56"/>
    <s v="SELL"/>
    <n v="3.3953922789539233"/>
    <x v="0"/>
    <x v="0"/>
    <n v="54.53"/>
    <s v="Deal"/>
    <m/>
    <s v="Original Amount [EUR 16.06], Merchant Amount [EUR 16.06], Customer Amount [TRY 54.53], Status [APPROVED], Operation [3DAUTH], UUID [3636658-1458743715-56] [23/03/2016 at 14:35:00]"/>
  </r>
  <r>
    <s v="3636628-1458743672-145"/>
    <s v="Spot"/>
    <s v="3636628-1458743672-145"/>
    <n v="0"/>
    <d v="2016-03-31T00:00:00"/>
    <x v="599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6628-1458743672-145] [23/03/2016 at 14:34:00]"/>
  </r>
  <r>
    <s v="3636616-1458743660-199"/>
    <s v="Spot"/>
    <s v="3636616-1458743660-199"/>
    <n v="0"/>
    <d v="2016-03-31T00:00:00"/>
    <x v="600"/>
    <s v="199"/>
    <s v="SELL"/>
    <n v="9.9506627393225333"/>
    <x v="0"/>
    <x v="1"/>
    <n v="270.26"/>
    <s v="Deal"/>
    <m/>
    <s v="Original Amount [EUR 27.16], Merchant Amount [EUR 27.16], Customer Amount [NOK 270.26], Status [APPROVED], Operation [DIRECT], UUID [3636616-1458743660-199] [23/03/2016 at 14:34:00]"/>
  </r>
  <r>
    <s v="3636613-1458743656-261"/>
    <s v="Spot"/>
    <s v="3636613-1458743656-261"/>
    <n v="0"/>
    <d v="2016-03-31T00:00:00"/>
    <x v="601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6613-1458743656-261] [23/03/2016 at 14:34:00]"/>
  </r>
  <r>
    <s v="3636610-1458743652-119"/>
    <s v="Spot"/>
    <s v="3636610-1458743652-119"/>
    <n v="0"/>
    <d v="2016-03-31T00:00:00"/>
    <x v="602"/>
    <s v="119"/>
    <s v="SELL"/>
    <n v="9.950566666666667"/>
    <x v="0"/>
    <x v="1"/>
    <n v="2985.17"/>
    <s v="Deal"/>
    <m/>
    <s v="Original Amount [EUR 300], Merchant Amount [EUR 300], Customer Amount [NOK 2985.17], Status [APPROVED], Operation [DIRECT], UUID [3636610-1458743652-119] [23/03/2016 at 14:34:00]"/>
  </r>
  <r>
    <s v="3636640-1458743692-216"/>
    <s v="Spot"/>
    <s v="3636640-1458743692-216"/>
    <n v="0"/>
    <d v="2016-03-31T00:00:00"/>
    <x v="603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640-1458743692-216] [23/03/2016 at 14:34:00]"/>
  </r>
  <r>
    <s v="3636601-1458743650-119"/>
    <s v="Spot"/>
    <s v="3636601-1458743650-119"/>
    <n v="0"/>
    <d v="2016-03-31T00:00:00"/>
    <x v="6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601-1458743650-119] [23/03/2016 at 14:34:00]"/>
  </r>
  <r>
    <s v="3636598-1458743648-200"/>
    <s v="Spot"/>
    <s v="3636598-1458743648-200"/>
    <n v="0"/>
    <d v="2016-03-31T00:00:00"/>
    <x v="605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6598-1458743648-200] [23/03/2016 at 14:34:00]"/>
  </r>
  <r>
    <s v="3636583-1458743641-119"/>
    <s v="Spot"/>
    <s v="3636583-1458743641-119"/>
    <n v="0"/>
    <d v="2016-03-31T00:00:00"/>
    <x v="606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583-1458743641-119] [23/03/2016 at 14:34:00]"/>
  </r>
  <r>
    <s v="3636622-1458743660-216"/>
    <s v="Spot"/>
    <s v="3636622-1458743660-216"/>
    <n v="0"/>
    <d v="2016-03-31T00:00:00"/>
    <x v="607"/>
    <s v="216"/>
    <s v="SELL"/>
    <n v="3.3954276037256563"/>
    <x v="0"/>
    <x v="0"/>
    <n v="40.1"/>
    <s v="Deal"/>
    <m/>
    <s v="Original Amount [EUR 11.81], Merchant Amount [EUR 11.81], Customer Amount [TRY 40.1], Status [APPROVED], Operation [3DAUTH], UUID [3636622-1458743660-216] [23/03/2016 at 14:34:00]"/>
  </r>
  <r>
    <s v="3636538-1458743606-216"/>
    <s v="Spot"/>
    <s v="3636538-1458743606-216"/>
    <n v="0"/>
    <d v="2016-03-31T00:00:00"/>
    <x v="608"/>
    <s v="216"/>
    <s v="SELL"/>
    <n v="3.3961397058823528"/>
    <x v="0"/>
    <x v="0"/>
    <n v="36.950000000000003"/>
    <s v="Deal"/>
    <m/>
    <s v="Original Amount [EUR 10.88], Merchant Amount [EUR 10.88], Customer Amount [TRY 36.95], Status [WAITING], Operation [3D], UUID [3636538-1458743606-216] [23/03/2016 at 14:33:00]"/>
  </r>
  <r>
    <s v="3636535-1458743606-199"/>
    <s v="Spot"/>
    <s v="3636535-1458743606-199"/>
    <n v="0"/>
    <d v="2016-03-31T00:00:00"/>
    <x v="609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6535-1458743606-199] [23/03/2016 at 14:33:00]"/>
  </r>
  <r>
    <s v="3636595-1458743647-216"/>
    <s v="Spot"/>
    <s v="3636595-1458743647-216"/>
    <n v="0"/>
    <d v="2016-03-31T00:00:00"/>
    <x v="610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595-1458743647-216] [23/03/2016 at 14:34:00]"/>
  </r>
  <r>
    <s v="3636589-1458743642-154"/>
    <s v="Spot"/>
    <s v="3636589-1458743642-154"/>
    <n v="0"/>
    <d v="2016-03-31T00:00:00"/>
    <x v="611"/>
    <s v="154"/>
    <s v="SELL"/>
    <n v="9.950897072710104"/>
    <x v="0"/>
    <x v="1"/>
    <n v="210.76"/>
    <s v="Deal"/>
    <m/>
    <s v="Original Amount [EUR 21.18], Merchant Amount [EUR 21.18], Customer Amount [NOK 210.76], Status [APPROVED], Operation [3DAUTH], UUID [3636589-1458743642-154] [23/03/2016 at 14:34:00]"/>
  </r>
  <r>
    <s v="3636571-1458743629-150"/>
    <s v="Spot"/>
    <s v="3636571-1458743629-150"/>
    <n v="0"/>
    <d v="2016-03-31T00:00:00"/>
    <x v="612"/>
    <s v="150"/>
    <s v="SELL"/>
    <n v="3.3956582633053225"/>
    <x v="0"/>
    <x v="0"/>
    <n v="48.49"/>
    <s v="Deal"/>
    <m/>
    <s v="Original Amount [EUR 14.28], Merchant Amount [EUR 14.28], Customer Amount [TRY 48.49], Status [APPROVED], Operation [3DAUTH], UUID [3636571-1458743629-150] [23/03/2016 at 14:33:00]"/>
  </r>
  <r>
    <s v="3636505-1458743575-224"/>
    <s v="Spot"/>
    <s v="3636505-1458743575-224"/>
    <n v="0"/>
    <d v="2016-03-31T00:00:00"/>
    <x v="613"/>
    <s v="224"/>
    <s v="SELL"/>
    <n v="132.83241260506699"/>
    <x v="0"/>
    <x v="3"/>
    <n v="89446.69"/>
    <s v="Deal"/>
    <m/>
    <s v="Original Amount [EUR 673.38], Merchant Amount [EUR 673.38], Customer Amount [JPY 89446.69], Status [APPROVED], Operation [DIRECT], UUID [3636505-1458743575-224] [23/03/2016 at 14:32:00]"/>
  </r>
  <r>
    <s v="3636541-1458743606-101"/>
    <s v="Spot"/>
    <s v="3636541-1458743606-101"/>
    <n v="0"/>
    <d v="2016-03-31T00:00:00"/>
    <x v="614"/>
    <s v="101"/>
    <s v="SELL"/>
    <n v="3.3878284923928077"/>
    <x v="0"/>
    <x v="0"/>
    <n v="244.94"/>
    <s v="Deal"/>
    <m/>
    <s v="Original Amount [EUR 72.3], Merchant Amount [EUR 72.3], Customer Amount [TRY 244.94], Status [APPROVED], Operation [3DAUTH], UUID [3636541-1458743606-101] [23/03/2016 at 14:33:00]"/>
  </r>
  <r>
    <s v="3636487-1458743549-199"/>
    <s v="Spot"/>
    <s v="3636487-1458743549-199"/>
    <n v="0"/>
    <d v="2016-03-31T00:00:00"/>
    <x v="615"/>
    <s v="199"/>
    <s v="SELL"/>
    <n v="9.9756995581737851"/>
    <x v="0"/>
    <x v="1"/>
    <n v="270.94"/>
    <s v="Deal"/>
    <m/>
    <s v="Original Amount [EUR 27.16], Merchant Amount [EUR 27.16], Customer Amount [NOK 270.94], Status [APPROVED], Operation [DIRECT], UUID [3636487-1458743549-199] [23/03/2016 at 14:32:00]"/>
  </r>
  <r>
    <s v="3636484-1458743543-224"/>
    <s v="Spot"/>
    <s v="3636484-1458743543-224"/>
    <n v="0"/>
    <d v="2016-03-31T00:00:00"/>
    <x v="616"/>
    <s v="224"/>
    <s v="SELL"/>
    <n v="132.83241951356672"/>
    <x v="0"/>
    <x v="3"/>
    <n v="18896.740000000002"/>
    <s v="Deal"/>
    <m/>
    <s v="Original Amount [EUR 142.26], Merchant Amount [EUR 142.26], Customer Amount [JPY 18896.74], Status [APPROVED], Operation [DIRECT], UUID [3636484-1458743543-224] [23/03/2016 at 14:32:00]"/>
  </r>
  <r>
    <s v="3636481-1458743539-216"/>
    <s v="Spot"/>
    <s v="3636481-1458743539-216"/>
    <n v="0"/>
    <d v="2016-03-31T00:00:00"/>
    <x v="617"/>
    <s v="216"/>
    <s v="SELL"/>
    <n v="3.3878676470588234"/>
    <x v="0"/>
    <x v="0"/>
    <n v="36.86"/>
    <s v="Deal"/>
    <m/>
    <s v="Original Amount [EUR 10.88], Merchant Amount [EUR 10.88], Customer Amount [TRY 36.86], Status [WAITING], Operation [3D], UUID [3636481-1458743539-216] [23/03/2016 at 14:32:00]"/>
  </r>
  <r>
    <s v="3636499-1458743568-56"/>
    <s v="Spot"/>
    <s v="3636499-1458743568-56"/>
    <n v="0"/>
    <d v="2016-03-31T00:00:00"/>
    <x v="618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6499-1458743568-56] [23/03/2016 at 14:32:00]"/>
  </r>
  <r>
    <s v="3636475-1458743537-199"/>
    <s v="Spot"/>
    <s v="3636475-1458743537-199"/>
    <n v="0"/>
    <d v="2016-03-31T00:00:00"/>
    <x v="619"/>
    <s v="199"/>
    <s v="SELL"/>
    <n v="9.9753566306891077"/>
    <x v="0"/>
    <x v="1"/>
    <n v="5286.54"/>
    <s v="Deal"/>
    <m/>
    <s v="Original Amount [EUR 529.96], Merchant Amount [EUR 529.96], Customer Amount [NOK 5286.54], Status [APPROVED], Operation [DIRECT], UUID [3636475-1458743537-199] [23/03/2016 at 14:32:00]"/>
  </r>
  <r>
    <s v="3636493-1458743561-216"/>
    <s v="Spot"/>
    <s v="3636493-1458743561-216"/>
    <n v="0"/>
    <d v="2016-03-31T00:00:00"/>
    <x v="620"/>
    <s v="216"/>
    <s v="SELL"/>
    <n v="3.388030888030888"/>
    <x v="0"/>
    <x v="0"/>
    <n v="52.65"/>
    <s v="Deal"/>
    <m/>
    <s v="Original Amount [EUR 15.54], Merchant Amount [EUR 15.54], Customer Amount [TRY 52.65], Status [APPROVED], Operation [3DAUTH], UUID [3636493-1458743561-216] [23/03/2016 at 14:32:00]"/>
  </r>
  <r>
    <s v="3636463-1458743519-199"/>
    <s v="Spot"/>
    <s v="3636463-1458743519-199"/>
    <n v="0"/>
    <d v="2016-03-31T00:00:00"/>
    <x v="621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6463-1458743519-199] [23/03/2016 at 14:31:00]"/>
  </r>
  <r>
    <s v="3636457-1458743514-82"/>
    <s v="Spot"/>
    <s v="3636457-1458743514-82"/>
    <n v="0"/>
    <d v="2016-03-31T00:00:00"/>
    <x v="622"/>
    <s v="82"/>
    <s v="SELL"/>
    <n v="1.1852166525063721"/>
    <x v="0"/>
    <x v="7"/>
    <n v="13.95"/>
    <s v="Deal"/>
    <m/>
    <s v="Original Amount [USD 13.95], Merchant Amount [EUR 11.77], Customer Amount [USD 13.95], Status [APPROVED], Operation [STORED], UUID [3636457-1458743514-82] [23/03/2016 at 14:31:00]"/>
  </r>
  <r>
    <s v="3636448-1458743499-224"/>
    <s v="Spot"/>
    <s v="3636448-1458743499-224"/>
    <n v="0"/>
    <d v="2016-03-31T00:00:00"/>
    <x v="623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6448-1458743499-224] [23/03/2016 at 14:31:00]"/>
  </r>
  <r>
    <s v="3636439-1458743495-224"/>
    <s v="Spot"/>
    <s v="3636439-1458743495-224"/>
    <n v="0"/>
    <d v="2016-03-31T00:00:00"/>
    <x v="624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6439-1458743495-224] [23/03/2016 at 14:31:00]"/>
  </r>
  <r>
    <s v="3636433-1458743489-145"/>
    <s v="Spot"/>
    <s v="3636433-1458743489-145"/>
    <n v="0"/>
    <d v="2016-03-31T00:00:00"/>
    <x v="625"/>
    <s v="145"/>
    <s v="SELL"/>
    <n v="9.9753610875106205"/>
    <x v="0"/>
    <x v="1"/>
    <n v="1056.69"/>
    <s v="Deal"/>
    <m/>
    <s v="Original Amount [EUR 105.93], Merchant Amount [EUR 105.93], Customer Amount [NOK 1056.69], Status [APPROVED], Operation [DIRECT], UUID [3636433-1458743489-145] [23/03/2016 at 14:31:00]"/>
  </r>
  <r>
    <s v="3636415-1458743478-261"/>
    <s v="Spot"/>
    <s v="3636415-1458743478-261"/>
    <n v="0"/>
    <d v="2016-03-31T00:00:00"/>
    <x v="626"/>
    <s v="261"/>
    <s v="SELL"/>
    <n v="9.9753817388594577"/>
    <x v="0"/>
    <x v="1"/>
    <n v="320.11"/>
    <s v="Deal"/>
    <m/>
    <s v="Original Amount [EUR 32.09], Merchant Amount [EUR 32.09], Customer Amount [NOK 320.11], Status [APPROVED], Operation [DIRECT], UUID [3636415-1458743478-261] [23/03/2016 at 14:31:00]"/>
  </r>
  <r>
    <s v="3636412-1458743475-224"/>
    <s v="Spot"/>
    <s v="3636412-1458743475-224"/>
    <n v="0"/>
    <d v="2016-03-31T00:00:00"/>
    <x v="627"/>
    <s v="224"/>
    <s v="SELL"/>
    <n v="9.9755079320901761"/>
    <x v="0"/>
    <x v="1"/>
    <n v="358.42"/>
    <s v="Deal"/>
    <m/>
    <s v="Original Amount [EUR 35.93], Merchant Amount [EUR 35.93], Customer Amount [NOK 358.42], Status [APPROVED], Operation [DIRECT], UUID [3636412-1458743475-224] [23/03/2016 at 14:31:00]"/>
  </r>
  <r>
    <s v="3636406-1458743470-224"/>
    <s v="Spot"/>
    <s v="3636406-1458743470-224"/>
    <n v="0"/>
    <d v="2016-03-31T00:00:00"/>
    <x v="628"/>
    <s v="224"/>
    <s v="SELL"/>
    <n v="132.83256010122312"/>
    <x v="0"/>
    <x v="3"/>
    <n v="3149.46"/>
    <s v="Deal"/>
    <m/>
    <s v="Original Amount [EUR 23.71], Merchant Amount [EUR 23.71], Customer Amount [JPY 3149.46], Status [APPROVED], Operation [DIRECT], UUID [3636406-1458743470-224] [23/03/2016 at 14:31:00]"/>
  </r>
  <r>
    <s v="3636403-1458743462-101"/>
    <s v="Spot"/>
    <s v="3636403-1458743462-101"/>
    <n v="0"/>
    <d v="2016-03-31T00:00:00"/>
    <x v="629"/>
    <s v="101"/>
    <s v="SELL"/>
    <n v="3.3885429638854299"/>
    <x v="0"/>
    <x v="0"/>
    <n v="27.21"/>
    <s v="Deal"/>
    <m/>
    <s v="Original Amount [EUR 8.03], Merchant Amount [EUR 8.03], Customer Amount [TRY 27.21], Status [WAITING], Operation [3D], UUID [3636403-1458743462-101] [23/03/2016 at 14:31:00]"/>
  </r>
  <r>
    <s v="3636469-1458743524-101"/>
    <s v="Spot"/>
    <s v="3636469-1458743524-101"/>
    <n v="0"/>
    <d v="2016-03-31T00:00:00"/>
    <x v="630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6469-1458743524-101] [23/03/2016 at 14:32:00]"/>
  </r>
  <r>
    <s v="3636388-1458743450-260"/>
    <s v="Spot"/>
    <s v="3636388-1458743450-260"/>
    <n v="0"/>
    <d v="2016-03-31T00:00:00"/>
    <x v="631"/>
    <s v="260"/>
    <s v="SELL"/>
    <n v="9.7459999999999987"/>
    <x v="0"/>
    <x v="12"/>
    <n v="48.73"/>
    <s v="Deal"/>
    <m/>
    <s v="Original Amount [EUR 5], Merchant Amount [EUR 5], Customer Amount [SEK 48.73], Status [APPROVED], Operation [DIRECT], UUID [3636388-1458743450-260] [23/03/2016 at 14:30:00]"/>
  </r>
  <r>
    <s v="3636421-1458743481-216"/>
    <s v="Spot"/>
    <s v="3636421-1458743481-216"/>
    <n v="0"/>
    <d v="2016-03-31T00:00:00"/>
    <x v="632"/>
    <s v="216"/>
    <s v="SELL"/>
    <n v="3.388030888030888"/>
    <x v="0"/>
    <x v="0"/>
    <n v="52.65"/>
    <s v="Deal"/>
    <m/>
    <s v="Original Amount [EUR 15.54], Merchant Amount [EUR 15.54], Customer Amount [TRY 52.65], Status [APPROVED], Operation [3DAUTH], UUID [3636421-1458743481-216] [23/03/2016 at 14:31:00]"/>
  </r>
  <r>
    <s v="3636340-1458743421-119"/>
    <s v="Spot"/>
    <s v="3636340-1458743421-119"/>
    <n v="0"/>
    <d v="2016-03-31T00:00:00"/>
    <x v="633"/>
    <s v="119"/>
    <s v="SELL"/>
    <n v="9.9753666666666678"/>
    <x v="0"/>
    <x v="1"/>
    <n v="2992.61"/>
    <s v="Deal"/>
    <m/>
    <s v="Original Amount [EUR 300], Merchant Amount [EUR 300], Customer Amount [NOK 2992.61], Status [APPROVED], Operation [DIRECT], UUID [3636340-1458743421-119] [23/03/2016 at 14:30:00]"/>
  </r>
  <r>
    <s v="3636319-1458743396-119"/>
    <s v="Spot"/>
    <s v="3636319-1458743396-119"/>
    <n v="0"/>
    <d v="2016-03-31T00:00:00"/>
    <x v="63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6319-1458743396-119] [23/03/2016 at 14:29:00]"/>
  </r>
  <r>
    <s v="3636292-1458743372-224"/>
    <s v="Spot"/>
    <s v="3636292-1458743372-224"/>
    <n v="0"/>
    <d v="2016-03-31T00:00:00"/>
    <x v="635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36292-1458743372-224] [23/03/2016 at 14:29:00]"/>
  </r>
  <r>
    <s v="3636289-1458743369-199"/>
    <s v="Spot"/>
    <s v="3636289-1458743369-199"/>
    <n v="0"/>
    <d v="2016-03-31T00:00:00"/>
    <x v="636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6289-1458743369-199] [23/03/2016 at 14:29:00]"/>
  </r>
  <r>
    <s v="3636337-1458743419-216"/>
    <s v="Spot"/>
    <s v="3636337-1458743419-216"/>
    <n v="0"/>
    <d v="2016-03-31T00:00:00"/>
    <x v="637"/>
    <s v="216"/>
    <s v="SELL"/>
    <n v="3.397383658588891"/>
    <x v="0"/>
    <x v="0"/>
    <n v="158.41999999999999"/>
    <s v="Deal"/>
    <m/>
    <s v="Original Amount [EUR 46.63], Merchant Amount [EUR 46.63], Customer Amount [TRY 158.42], Status [APPROVED], Operation [3DAUTH], UUID [3636337-1458743419-216] [23/03/2016 at 14:30:00]"/>
  </r>
  <r>
    <s v="3636307-1458743385-107"/>
    <s v="Spot"/>
    <s v="3636307-1458743385-107"/>
    <n v="0"/>
    <d v="2016-03-31T00:00:00"/>
    <x v="638"/>
    <s v="107"/>
    <s v="SELL"/>
    <n v="3.3972399999999996"/>
    <x v="0"/>
    <x v="0"/>
    <n v="849.31"/>
    <s v="Deal"/>
    <m/>
    <s v="Original Amount [EUR 250], Merchant Amount [EUR 250], Customer Amount [TRY 849.31], Status [APPROVED], Operation [3DAUTH], UUID [3636307-1458743385-107] [23/03/2016 at 14:29:00]"/>
  </r>
  <r>
    <s v="3636265-1458743350-126"/>
    <s v="Spot"/>
    <s v="3636265-1458743350-126"/>
    <n v="0"/>
    <d v="2016-03-31T00:00:00"/>
    <x v="639"/>
    <s v="126"/>
    <s v="SELL"/>
    <n v="9.9545756097560982"/>
    <x v="0"/>
    <x v="1"/>
    <n v="5101.72"/>
    <s v="Deal"/>
    <m/>
    <s v="Original Amount [EUR 512.5], Merchant Amount [EUR 512.5], Customer Amount [NOK 5101.72], Status [APPROVED], Operation [DIRECT], UUID [3636265-1458743350-126] [23/03/2016 at 14:29:00]"/>
  </r>
  <r>
    <s v="3636298-1458743379-101"/>
    <s v="Spot"/>
    <s v="3636298-1458743379-101"/>
    <n v="0"/>
    <d v="2016-03-31T00:00:00"/>
    <x v="640"/>
    <s v="101"/>
    <s v="SELL"/>
    <n v="3.3972479601714838"/>
    <x v="0"/>
    <x v="0"/>
    <n v="491.31"/>
    <s v="Deal"/>
    <m/>
    <s v="Original Amount [EUR 144.62], Merchant Amount [EUR 144.62], Customer Amount [TRY 491.31], Status [APPROVED], Operation [3DAUTH], UUID [3636298-1458743379-101] [23/03/2016 at 14:29:00]"/>
  </r>
  <r>
    <s v="3636250-1458743336-199"/>
    <s v="Spot"/>
    <s v="3636250-1458743336-199"/>
    <n v="0"/>
    <d v="2016-03-31T00:00:00"/>
    <x v="641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36250-1458743336-199] [23/03/2016 at 14:28:00]"/>
  </r>
  <r>
    <s v="3636226-1458743316-82"/>
    <s v="Spot"/>
    <s v="3636226-1458743316-82"/>
    <n v="0"/>
    <d v="2016-03-31T00:00:00"/>
    <x v="642"/>
    <s v="82"/>
    <s v="SELL"/>
    <n v="1.1847310126582278"/>
    <x v="0"/>
    <x v="7"/>
    <n v="29.95"/>
    <s v="Deal"/>
    <m/>
    <s v="Original Amount [USD 29.95], Merchant Amount [EUR 25.28], Customer Amount [USD 29.95], Status [APPROVED], Operation [STORED], UUID [3636226-1458743316-82] [23/03/2016 at 14:28:00]"/>
  </r>
  <r>
    <s v="3636220-1458743312-119"/>
    <s v="Spot"/>
    <s v="3636220-1458743312-119"/>
    <n v="0"/>
    <d v="2016-03-31T00:00:00"/>
    <x v="64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6220-1458743312-119] [23/03/2016 at 14:28:00]"/>
  </r>
  <r>
    <s v="3636238-1458743322-216"/>
    <s v="Spot"/>
    <s v="3636238-1458743322-216"/>
    <n v="0"/>
    <d v="2016-03-31T00:00:00"/>
    <x v="644"/>
    <s v="216"/>
    <s v="SELL"/>
    <n v="3.3974530831099194"/>
    <x v="0"/>
    <x v="0"/>
    <n v="50.69"/>
    <s v="Deal"/>
    <m/>
    <s v="Original Amount [EUR 14.92], Merchant Amount [EUR 14.92], Customer Amount [TRY 50.69], Status [APPROVED], Operation [3DAUTH], UUID [3636238-1458743322-216] [23/03/2016 at 14:28:00]"/>
  </r>
  <r>
    <s v="3636184-1458743282-82"/>
    <s v="Spot"/>
    <s v="3636184-1458743282-82"/>
    <n v="0"/>
    <d v="2016-03-31T00:00:00"/>
    <x v="64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6184-1458743282-82] [23/03/2016 at 14:28:00]"/>
  </r>
  <r>
    <s v="3636202-1458743298-216"/>
    <s v="Spot"/>
    <s v="3636202-1458743298-216"/>
    <n v="0"/>
    <d v="2016-03-31T00:00:00"/>
    <x v="646"/>
    <s v="216"/>
    <s v="SELL"/>
    <n v="3.3979678238780697"/>
    <x v="0"/>
    <x v="0"/>
    <n v="40.130000000000003"/>
    <s v="Deal"/>
    <m/>
    <s v="Original Amount [EUR 11.81], Merchant Amount [EUR 11.81], Customer Amount [TRY 40.13], Status [APPROVED], Operation [3DAUTH], UUID [3636202-1458743298-216] [23/03/2016 at 14:28:00]"/>
  </r>
  <r>
    <s v="3636271-1458743361-56"/>
    <s v="Spot"/>
    <s v="3636271-1458743361-56"/>
    <n v="0"/>
    <d v="2016-03-31T00:00:00"/>
    <x v="647"/>
    <s v="56"/>
    <s v="SELL"/>
    <n v="3.3977154724818273"/>
    <x v="0"/>
    <x v="0"/>
    <n v="32.72"/>
    <s v="Deal"/>
    <m/>
    <s v="Original Amount [EUR 9.63], Merchant Amount [EUR 9.63], Customer Amount [TRY 32.72], Status [APPROVED], Operation [3DAUTH], UUID [3636271-1458743361-56] [23/03/2016 at 14:29:00]"/>
  </r>
  <r>
    <s v="3636244-1458743328-216"/>
    <s v="Spot"/>
    <s v="3636244-1458743328-216"/>
    <n v="0"/>
    <d v="2016-03-31T00:00:00"/>
    <x v="648"/>
    <s v="216"/>
    <s v="SELL"/>
    <n v="3.3973684210526311"/>
    <x v="0"/>
    <x v="0"/>
    <n v="116.19"/>
    <s v="Deal"/>
    <m/>
    <s v="Original Amount [EUR 34.2], Merchant Amount [EUR 34.2], Customer Amount [TRY 116.19], Status [APPROVED], Operation [3DAUTH], UUID [3636244-1458743328-216] [23/03/2016 at 14:28:00]"/>
  </r>
  <r>
    <s v="3636154-1458743244-199"/>
    <s v="Spot"/>
    <s v="3636154-1458743244-199"/>
    <n v="0"/>
    <d v="2016-03-31T00:00:00"/>
    <x v="649"/>
    <s v="199"/>
    <s v="SELL"/>
    <n v="9.9551219512195122"/>
    <x v="0"/>
    <x v="1"/>
    <n v="102.04"/>
    <s v="Deal"/>
    <m/>
    <s v="Original Amount [EUR 10.25], Merchant Amount [EUR 10.25], Customer Amount [NOK 102.04], Status [APPROVED], Operation [DIRECT], UUID [3636154-1458743244-199] [23/03/2016 at 14:27:00]"/>
  </r>
  <r>
    <s v="3636145-1458743224-82"/>
    <s v="Spot"/>
    <s v="3636145-1458743224-82"/>
    <n v="0"/>
    <d v="2016-03-31T00:00:00"/>
    <x v="65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6145-1458743224-82] [23/03/2016 at 14:27:00]"/>
  </r>
  <r>
    <s v="3636160-1458743247-216"/>
    <s v="Spot"/>
    <s v="3636160-1458743247-216"/>
    <n v="0"/>
    <d v="2016-03-31T00:00:00"/>
    <x v="651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160-1458743247-216] [23/03/2016 at 14:27:00]"/>
  </r>
  <r>
    <s v="3636166-1458743252-196"/>
    <s v="Spot"/>
    <s v="3636166-1458743252-196"/>
    <n v="0"/>
    <d v="2016-03-31T00:00:00"/>
    <x v="652"/>
    <s v="196"/>
    <s v="SELL"/>
    <n v="9.95056270096463"/>
    <x v="0"/>
    <x v="1"/>
    <n v="495.14"/>
    <s v="Deal"/>
    <m/>
    <s v="Original Amount [EUR 49.76], Merchant Amount [EUR 49.76], Customer Amount [NOK 495.14], Status [APPROVED], Operation [3DAUTH], UUID [3636166-1458743252-196] [23/03/2016 at 14:27:00]"/>
  </r>
  <r>
    <s v="3636127-1458743195-216"/>
    <s v="Spot"/>
    <s v="3636127-1458743195-216"/>
    <n v="0"/>
    <d v="2016-03-31T00:00:00"/>
    <x v="653"/>
    <s v="216"/>
    <s v="SELL"/>
    <n v="3.3961397058823528"/>
    <x v="0"/>
    <x v="0"/>
    <n v="36.950000000000003"/>
    <s v="Deal"/>
    <m/>
    <s v="Original Amount [EUR 10.88], Merchant Amount [EUR 10.88], Customer Amount [TRY 36.95], Status [WAITING], Operation [3D], UUID [3636127-1458743195-216] [23/03/2016 at 14:26:00]"/>
  </r>
  <r>
    <s v="3636124-1458743188-119"/>
    <s v="Spot"/>
    <s v="3636124-1458743188-119"/>
    <n v="0"/>
    <d v="2016-03-31T00:00:00"/>
    <x v="65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124-1458743188-119] [23/03/2016 at 14:26:00]"/>
  </r>
  <r>
    <s v="3636148-1458743229-102"/>
    <s v="Spot"/>
    <s v="3636148-1458743229-102"/>
    <n v="0"/>
    <d v="2016-03-31T00:00:00"/>
    <x v="655"/>
    <s v="102"/>
    <s v="SELL"/>
    <n v="3.395483870967742"/>
    <x v="0"/>
    <x v="0"/>
    <n v="105.26"/>
    <s v="Deal"/>
    <m/>
    <s v="Original Amount [EUR 31], Merchant Amount [EUR 31], Customer Amount [TRY 105.26], Status [APPROVED], Operation [3DAUTH], UUID [3636148-1458743229-102] [23/03/2016 at 14:27:00]"/>
  </r>
  <r>
    <s v="3636121-1458743173-126"/>
    <s v="Spot"/>
    <s v="3636121-1458743173-126"/>
    <n v="0"/>
    <d v="2016-03-31T00:00:00"/>
    <x v="656"/>
    <s v="126"/>
    <s v="SELL"/>
    <n v="9.9507317073170736"/>
    <x v="0"/>
    <x v="1"/>
    <n v="203.99"/>
    <s v="Deal"/>
    <m/>
    <s v="Original Amount [EUR 20.5], Merchant Amount [EUR 20.5], Customer Amount [NOK 203.99], Status [APPROVED], Operation [3DAUTH], UUID [3636121-1458743173-126] [23/03/2016 at 14:26:00]"/>
  </r>
  <r>
    <s v="3636163-1458743251-216"/>
    <s v="Spot"/>
    <s v="3636163-1458743251-216"/>
    <n v="0"/>
    <d v="2016-03-31T00:00:00"/>
    <x v="657"/>
    <s v="216"/>
    <s v="SELL"/>
    <n v="3.3956801470588234"/>
    <x v="0"/>
    <x v="0"/>
    <n v="73.89"/>
    <s v="Deal"/>
    <m/>
    <s v="Original Amount [EUR 21.76], Merchant Amount [EUR 21.76], Customer Amount [TRY 73.89], Status [APPROVED], Operation [3DAUTH], UUID [3636163-1458743251-216] [23/03/2016 at 14:27:00]"/>
  </r>
  <r>
    <s v="3636091-1458743131-224"/>
    <s v="Spot"/>
    <s v="3636091-1458743131-224"/>
    <n v="0"/>
    <d v="2016-03-31T00:00:00"/>
    <x v="658"/>
    <s v="224"/>
    <s v="SELL"/>
    <n v="9.9507085643869377"/>
    <x v="0"/>
    <x v="1"/>
    <n v="161.5"/>
    <s v="Deal"/>
    <m/>
    <s v="Original Amount [EUR 16.23], Merchant Amount [EUR 16.23], Customer Amount [NOK 161.5], Status [APPROVED], Operation [DIRECT], UUID [3636091-1458743131-224] [23/03/2016 at 14:25:00]"/>
  </r>
  <r>
    <s v="3636085-1458743130-145"/>
    <s v="Spot"/>
    <s v="3636085-1458743130-145"/>
    <n v="0"/>
    <d v="2016-03-31T00:00:00"/>
    <x v="659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36085-1458743130-145] [23/03/2016 at 14:25:00]"/>
  </r>
  <r>
    <s v="3636079-1458743126-224"/>
    <s v="Spot"/>
    <s v="3636079-1458743126-224"/>
    <n v="0"/>
    <d v="2016-03-31T00:00:00"/>
    <x v="660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6079-1458743126-224] [23/03/2016 at 14:25:00]"/>
  </r>
  <r>
    <s v="3636076-1458743122-119"/>
    <s v="Spot"/>
    <s v="3636076-1458743122-119"/>
    <n v="0"/>
    <d v="2016-03-31T00:00:00"/>
    <x v="661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6076-1458743122-119] [23/03/2016 at 14:25:00]"/>
  </r>
  <r>
    <s v="3636073-1458743120-261"/>
    <s v="Spot"/>
    <s v="3636073-1458743120-261"/>
    <n v="0"/>
    <d v="2016-03-31T00:00:00"/>
    <x v="662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36073-1458743120-261] [23/03/2016 at 14:25:00]"/>
  </r>
  <r>
    <s v="3636106-1458743154-154"/>
    <s v="Spot"/>
    <s v="3636106-1458743154-154"/>
    <n v="0"/>
    <d v="2016-03-31T00:00:00"/>
    <x v="663"/>
    <s v="154"/>
    <s v="SELL"/>
    <n v="9.950897072710104"/>
    <x v="0"/>
    <x v="1"/>
    <n v="210.76"/>
    <s v="Deal"/>
    <m/>
    <s v="Original Amount [EUR 21.18], Merchant Amount [EUR 21.18], Customer Amount [NOK 210.76], Status [APPROVED], Operation [3DAUTH], UUID [3636106-1458743154-154] [23/03/2016 at 14:25:00]"/>
  </r>
  <r>
    <s v="3636040-1458743090-119"/>
    <s v="Spot"/>
    <s v="3636040-1458743090-119"/>
    <n v="0"/>
    <d v="2016-03-31T00:00:00"/>
    <x v="664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6040-1458743090-119] [23/03/2016 at 14:24:00]"/>
  </r>
  <r>
    <s v="3636037-1458743083-56"/>
    <s v="Spot"/>
    <s v="3636037-1458743083-56"/>
    <n v="0"/>
    <d v="2016-03-31T00:00:00"/>
    <x v="665"/>
    <s v="56"/>
    <s v="SELL"/>
    <n v="3.3953862660944205"/>
    <x v="0"/>
    <x v="0"/>
    <n v="63.29"/>
    <s v="Deal"/>
    <m/>
    <s v="Original Amount [EUR 18.64], Merchant Amount [EUR 18.64], Customer Amount [TRY 63.29], Status [APPROVED], Operation [3DAUTH], UUID [3636037-1458743083-56] [23/03/2016 at 14:24:00]"/>
  </r>
  <r>
    <s v="3636019-1458743066-199"/>
    <s v="Spot"/>
    <s v="3636019-1458743066-199"/>
    <n v="0"/>
    <d v="2016-03-31T00:00:00"/>
    <x v="66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6019-1458743066-199] [23/03/2016 at 14:24:00]"/>
  </r>
  <r>
    <s v="3636034-1458743080-264"/>
    <s v="Spot"/>
    <s v="3636034-1458743080-264"/>
    <n v="0"/>
    <d v="2016-03-31T00:00:00"/>
    <x v="667"/>
    <s v="264"/>
    <s v="SELL"/>
    <n v="3.3988402061855671"/>
    <x v="0"/>
    <x v="0"/>
    <n v="52.75"/>
    <s v="Deal"/>
    <m/>
    <s v="Original Amount [TRY 50], Merchant Amount [EUR 15.52], Customer Amount [TRY 52.75], Status [APPROVED], Operation [3DAUTH], UUID [3636034-1458743080-264] [23/03/2016 at 14:24:00]"/>
  </r>
  <r>
    <s v="3636004-1458743056-56"/>
    <s v="Spot"/>
    <s v="3636004-1458743056-56"/>
    <n v="0"/>
    <d v="2016-03-31T00:00:00"/>
    <x v="668"/>
    <s v="56"/>
    <s v="SELL"/>
    <n v="3.3956386292834893"/>
    <x v="0"/>
    <x v="0"/>
    <n v="32.700000000000003"/>
    <s v="Deal"/>
    <m/>
    <s v="Original Amount [EUR 9.63], Merchant Amount [EUR 9.63], Customer Amount [TRY 32.7], Status [WAITING], Operation [3D], UUID [3636004-1458743056-56] [23/03/2016 at 14:24:00]"/>
  </r>
  <r>
    <s v="3636031-1458743080-216"/>
    <s v="Spot"/>
    <s v="3636031-1458743080-216"/>
    <n v="0"/>
    <d v="2016-03-31T00:00:00"/>
    <x v="669"/>
    <s v="216"/>
    <s v="SELL"/>
    <n v="3.3956256030878094"/>
    <x v="0"/>
    <x v="0"/>
    <n v="105.57"/>
    <s v="Deal"/>
    <m/>
    <s v="Original Amount [EUR 31.09], Merchant Amount [EUR 31.09], Customer Amount [TRY 105.57], Status [APPROVED], Operation [3DAUTH], UUID [3636031-1458743080-216] [23/03/2016 at 14:24:00]"/>
  </r>
  <r>
    <s v="3635992-1458743046-199"/>
    <s v="Spot"/>
    <s v="3635992-1458743046-199"/>
    <n v="0"/>
    <d v="2016-03-31T00:00:00"/>
    <x v="670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5992-1458743046-199] [23/03/2016 at 14:24:00]"/>
  </r>
  <r>
    <s v="3635989-1458743044-224"/>
    <s v="Spot"/>
    <s v="3635989-1458743044-224"/>
    <n v="0"/>
    <d v="2016-03-31T00:00:00"/>
    <x v="671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5989-1458743044-224] [23/03/2016 at 14:24:00]"/>
  </r>
  <r>
    <s v="3635965-1458743028-199"/>
    <s v="Spot"/>
    <s v="3635965-1458743028-199"/>
    <n v="0"/>
    <d v="2016-03-31T00:00:00"/>
    <x v="672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5965-1458743028-199] [23/03/2016 at 14:23:00]"/>
  </r>
  <r>
    <s v="3636007-1458743057-56"/>
    <s v="Spot"/>
    <s v="3636007-1458743057-56"/>
    <n v="0"/>
    <d v="2016-03-31T00:00:00"/>
    <x v="673"/>
    <s v="56"/>
    <s v="SELL"/>
    <n v="3.3920079671355663"/>
    <x v="0"/>
    <x v="0"/>
    <n v="272.48"/>
    <s v="Deal"/>
    <m/>
    <s v="Original Amount [EUR 80.33], Merchant Amount [EUR 80.33], Customer Amount [TRY 272.48], Status [APPROVED], Operation [3DAUTH], UUID [3636007-1458743057-56] [23/03/2016 at 14:24:00]"/>
  </r>
  <r>
    <s v="3635995-1458743052-216"/>
    <s v="Spot"/>
    <s v="3635995-1458743052-216"/>
    <n v="0"/>
    <d v="2016-03-31T00:00:00"/>
    <x v="674"/>
    <s v="216"/>
    <s v="SELL"/>
    <n v="3.3920406435224386"/>
    <x v="0"/>
    <x v="0"/>
    <n v="40.06"/>
    <s v="Deal"/>
    <m/>
    <s v="Original Amount [EUR 11.81], Merchant Amount [EUR 11.81], Customer Amount [TRY 40.06], Status [APPROVED], Operation [3DAUTH], UUID [3635995-1458743052-216] [23/03/2016 at 14:24:00]"/>
  </r>
  <r>
    <s v="3635998-1458743055-107"/>
    <s v="Spot"/>
    <s v="3635998-1458743055-107"/>
    <n v="0"/>
    <d v="2016-03-31T00:00:00"/>
    <x v="675"/>
    <s v="107"/>
    <s v="SELL"/>
    <n v="3.3919708029197082"/>
    <x v="0"/>
    <x v="0"/>
    <n v="418.23"/>
    <s v="Deal"/>
    <m/>
    <s v="Original Amount [EUR 123.3], Merchant Amount [EUR 123.3], Customer Amount [TRY 418.23], Status [APPROVED], Operation [3DAUTH], UUID [3635998-1458743055-107] [23/03/2016 at 14:24:00]"/>
  </r>
  <r>
    <s v="3635986-1458743038-216"/>
    <s v="Spot"/>
    <s v="3635986-1458743038-216"/>
    <n v="0"/>
    <d v="2016-03-31T00:00:00"/>
    <x v="676"/>
    <s v="216"/>
    <s v="SELL"/>
    <n v="3.3920036764705883"/>
    <x v="0"/>
    <x v="0"/>
    <n v="73.81"/>
    <s v="Deal"/>
    <m/>
    <s v="Original Amount [EUR 21.76], Merchant Amount [EUR 21.76], Customer Amount [TRY 73.81], Status [APPROVED], Operation [3DAUTH], UUID [3635986-1458743038-216] [23/03/2016 at 14:23:00]"/>
  </r>
  <r>
    <s v="3635923-1458742996-216"/>
    <s v="Spot"/>
    <s v="3635923-1458742996-216"/>
    <n v="0"/>
    <d v="2016-03-31T00:00:00"/>
    <x v="677"/>
    <s v="216"/>
    <s v="SELL"/>
    <n v="3.3925353925353927"/>
    <x v="0"/>
    <x v="0"/>
    <n v="52.72"/>
    <s v="Deal"/>
    <m/>
    <s v="Original Amount [EUR 15.54], Merchant Amount [EUR 15.54], Customer Amount [TRY 52.72], Status [WAITING], Operation [3D], UUID [3635923-1458742996-216] [23/03/2016 at 14:23:00]"/>
  </r>
  <r>
    <s v="3635917-1458742980-82"/>
    <s v="Spot"/>
    <s v="3635917-1458742980-82"/>
    <n v="0"/>
    <d v="2016-03-31T00:00:00"/>
    <x v="678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5917-1458742980-82] [23/03/2016 at 14:23:00]"/>
  </r>
  <r>
    <s v="3635908-1458742963-264"/>
    <s v="Spot"/>
    <s v="3635908-1458742963-264"/>
    <n v="0"/>
    <d v="2016-03-31T00:00:00"/>
    <x v="679"/>
    <s v="264"/>
    <s v="SELL"/>
    <n v="3.3922829581993574"/>
    <x v="0"/>
    <x v="0"/>
    <n v="10.55"/>
    <s v="Deal"/>
    <m/>
    <s v="Original Amount [TRY 10], Merchant Amount [EUR 3.11], Customer Amount [TRY 10.55], Status [WAITING], Operation [3D], UUID [3635908-1458742963-264] [23/03/2016 at 14:22:00]"/>
  </r>
  <r>
    <s v="3635914-1458742969-216"/>
    <s v="Spot"/>
    <s v="3635914-1458742969-216"/>
    <n v="0"/>
    <d v="2016-03-31T00:00:00"/>
    <x v="680"/>
    <s v="216"/>
    <s v="SELL"/>
    <n v="3.3925353925353927"/>
    <x v="0"/>
    <x v="0"/>
    <n v="52.72"/>
    <s v="Deal"/>
    <m/>
    <s v="Original Amount [EUR 15.54], Merchant Amount [EUR 15.54], Customer Amount [TRY 52.72], Status [APPROVED], Operation [3DAUTH], UUID [3635914-1458742969-216] [23/03/2016 at 14:22:00]"/>
  </r>
  <r>
    <s v="3635872-1458742907-119"/>
    <s v="Spot"/>
    <s v="3635872-1458742907-119"/>
    <n v="0"/>
    <d v="2016-03-31T00:00:00"/>
    <x v="681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5872-1458742907-119] [23/03/2016 at 14:21:00]"/>
  </r>
  <r>
    <s v="3635860-1458742892-187"/>
    <s v="Spot"/>
    <s v="3635860-1458742892-187"/>
    <n v="0"/>
    <d v="2016-03-31T00:00:00"/>
    <x v="682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5860-1458742892-187] [23/03/2016 at 14:21:00]"/>
  </r>
  <r>
    <s v="3635863-1458742895-216"/>
    <s v="Spot"/>
    <s v="3635863-1458742895-216"/>
    <n v="0"/>
    <d v="2016-03-31T00:00:00"/>
    <x v="683"/>
    <s v="216"/>
    <s v="SELL"/>
    <n v="3.3924231593995713"/>
    <x v="0"/>
    <x v="0"/>
    <n v="47.46"/>
    <s v="Deal"/>
    <m/>
    <s v="Original Amount [EUR 13.99], Merchant Amount [EUR 13.99], Customer Amount [TRY 47.46], Status [APPROVED], Operation [3DAUTH], UUID [3635863-1458742895-216] [23/03/2016 at 14:21:00]"/>
  </r>
  <r>
    <s v="3635857-1458742885-56"/>
    <s v="Spot"/>
    <s v="3635857-1458742885-56"/>
    <n v="0"/>
    <d v="2016-03-31T00:00:00"/>
    <x v="684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5857-1458742885-56] [23/03/2016 at 14:21:00]"/>
  </r>
  <r>
    <s v="3635830-1458742853-261"/>
    <s v="Spot"/>
    <s v="3635830-1458742853-261"/>
    <n v="0"/>
    <d v="2016-03-31T00:00:00"/>
    <x v="685"/>
    <s v="261"/>
    <s v="SELL"/>
    <n v="9.9757009345794394"/>
    <x v="0"/>
    <x v="1"/>
    <n v="106.74"/>
    <s v="Deal"/>
    <m/>
    <s v="Original Amount [EUR 10.7], Merchant Amount [EUR 10.7], Customer Amount [NOK 106.74], Status [APPROVED], Operation [DIRECT], UUID [3635830-1458742853-261] [23/03/2016 at 14:20:00]"/>
  </r>
  <r>
    <s v="3635854-1458742883-56"/>
    <s v="Spot"/>
    <s v="3635854-1458742883-56"/>
    <n v="0"/>
    <d v="2016-03-31T00:00:00"/>
    <x v="686"/>
    <s v="56"/>
    <s v="SELL"/>
    <n v="3.3977128335451079"/>
    <x v="0"/>
    <x v="0"/>
    <n v="53.48"/>
    <s v="Deal"/>
    <m/>
    <s v="Original Amount [EUR 15.74], Merchant Amount [EUR 15.74], Customer Amount [TRY 53.48], Status [APPROVED], Operation [3DAUTH], UUID [3635854-1458742883-56] [23/03/2016 at 14:21:00]"/>
  </r>
  <r>
    <s v="3635818-1458742846-261"/>
    <s v="Spot"/>
    <s v="3635818-1458742846-261"/>
    <n v="0"/>
    <d v="2016-03-31T00:00:00"/>
    <x v="687"/>
    <s v="261"/>
    <s v="SELL"/>
    <n v="9.9754159656010479"/>
    <x v="0"/>
    <x v="1"/>
    <n v="1067.17"/>
    <s v="Deal"/>
    <m/>
    <s v="Original Amount [EUR 106.98], Merchant Amount [EUR 106.98], Customer Amount [NOK 1067.17], Status [APPROVED], Operation [DIRECT], UUID [3635818-1458742846-261] [23/03/2016 at 14:20:00]"/>
  </r>
  <r>
    <s v="3635866-1458742899-216"/>
    <s v="Spot"/>
    <s v="3635866-1458742899-216"/>
    <n v="0"/>
    <d v="2016-03-31T00:00:00"/>
    <x v="688"/>
    <s v="216"/>
    <s v="SELL"/>
    <n v="3.3972338372467035"/>
    <x v="0"/>
    <x v="0"/>
    <n v="105.62"/>
    <s v="Deal"/>
    <m/>
    <s v="Original Amount [EUR 31.09], Merchant Amount [EUR 31.09], Customer Amount [TRY 105.62], Status [APPROVED], Operation [3DAUTH], UUID [3635866-1458742899-216] [23/03/2016 at 14:21:00]"/>
  </r>
  <r>
    <s v="3635797-1458742832-216"/>
    <s v="Spot"/>
    <s v="3635797-1458742832-216"/>
    <n v="0"/>
    <d v="2016-03-31T00:00:00"/>
    <x v="689"/>
    <s v="216"/>
    <s v="SELL"/>
    <n v="3.3979099678456595"/>
    <x v="0"/>
    <x v="0"/>
    <n v="42.27"/>
    <s v="Deal"/>
    <m/>
    <s v="Original Amount [EUR 12.44], Merchant Amount [EUR 12.44], Customer Amount [TRY 42.27], Status [WAITING], Operation [3D], UUID [3635797-1458742832-216] [23/03/2016 at 14:20:00]"/>
  </r>
  <r>
    <s v="3635869-1458742905-216"/>
    <s v="Spot"/>
    <s v="3635869-1458742905-216"/>
    <n v="0"/>
    <d v="2016-03-31T00:00:00"/>
    <x v="690"/>
    <s v="216"/>
    <s v="SELL"/>
    <n v="3.3974267333809864"/>
    <x v="0"/>
    <x v="0"/>
    <n v="47.53"/>
    <s v="Deal"/>
    <m/>
    <s v="Original Amount [EUR 13.99], Merchant Amount [EUR 13.99], Customer Amount [TRY 47.53], Status [APPROVED], Operation [3DAUTH], UUID [3635869-1458742905-216] [23/03/2016 at 14:21:00]"/>
  </r>
  <r>
    <s v="3635785-1458742821-119"/>
    <s v="Spot"/>
    <s v="3635785-1458742821-119"/>
    <n v="0"/>
    <d v="2016-03-31T00:00:00"/>
    <x v="691"/>
    <s v="119"/>
    <s v="SELL"/>
    <n v="9.9756"/>
    <x v="0"/>
    <x v="1"/>
    <n v="249.39"/>
    <s v="Deal"/>
    <m/>
    <s v="Original Amount [EUR 25], Merchant Amount [EUR 25], Customer Amount [NOK 249.39], Status [APPROVED], Operation [DIRECT], UUID [3635785-1458742821-119] [23/03/2016 at 14:20:00]"/>
  </r>
  <r>
    <s v="3635836-1458742855-200"/>
    <s v="Spot"/>
    <s v="3635836-1458742855-200"/>
    <n v="0"/>
    <d v="2016-03-31T00:00:00"/>
    <x v="692"/>
    <s v="200"/>
    <s v="SELL"/>
    <n v="9.9753537197626656"/>
    <x v="0"/>
    <x v="1"/>
    <n v="218.56"/>
    <s v="Deal"/>
    <m/>
    <s v="Original Amount [EUR 21.91], Merchant Amount [EUR 21.91], Customer Amount [NOK 218.56], Status [APPROVED], Operation [3DAUTH], UUID [3635836-1458742855-200] [23/03/2016 at 14:20:00]"/>
  </r>
  <r>
    <s v="3635770-1458742803-134"/>
    <s v="Spot"/>
    <s v="3635770-1458742803-134"/>
    <n v="0"/>
    <d v="2016-03-31T00:00:00"/>
    <x v="693"/>
    <s v="134"/>
    <s v="SELL"/>
    <n v="132.99332621462895"/>
    <x v="0"/>
    <x v="3"/>
    <n v="4981.93"/>
    <s v="Deal"/>
    <m/>
    <s v="Original Amount [EUR 37.46], Merchant Amount [EUR 37.46], Customer Amount [JPY 4981.93], Status [APPROVED], Operation [DIRECT], UUID [3635770-1458742803-134] [23/03/2016 at 14:20:00]"/>
  </r>
  <r>
    <s v="3635803-1458742834-216"/>
    <s v="Spot"/>
    <s v="3635803-1458742834-216"/>
    <n v="0"/>
    <d v="2016-03-31T00:00:00"/>
    <x v="694"/>
    <s v="216"/>
    <s v="SELL"/>
    <n v="3.397642015005359"/>
    <x v="0"/>
    <x v="0"/>
    <n v="63.4"/>
    <s v="Deal"/>
    <m/>
    <s v="Original Amount [EUR 18.66], Merchant Amount [EUR 18.66], Customer Amount [TRY 63.4], Status [APPROVED], Operation [3DAUTH], UUID [3635803-1458742834-216] [23/03/2016 at 14:20:00]"/>
  </r>
  <r>
    <s v="3635791-1458742830-261"/>
    <s v="Spot"/>
    <s v="3635791-1458742830-261"/>
    <n v="0"/>
    <d v="2016-03-31T00:00:00"/>
    <x v="695"/>
    <s v="261"/>
    <s v="SELL"/>
    <n v="9.975427350427351"/>
    <x v="0"/>
    <x v="1"/>
    <n v="746.96"/>
    <s v="Deal"/>
    <m/>
    <s v="Original Amount [EUR 74.88], Merchant Amount [EUR 74.88], Customer Amount [NOK 746.96], Status [APPROVED], Operation [3DAUTH], UUID [3635791-1458742830-261] [23/03/2016 at 14:20:00]"/>
  </r>
  <r>
    <s v="3635740-1458742776-119"/>
    <s v="Spot"/>
    <s v="3635740-1458742776-119"/>
    <n v="0"/>
    <d v="2016-03-31T00:00:00"/>
    <x v="696"/>
    <s v="119"/>
    <s v="SELL"/>
    <n v="9.9754000000000005"/>
    <x v="0"/>
    <x v="1"/>
    <n v="1496.31"/>
    <s v="Deal"/>
    <m/>
    <s v="Original Amount [EUR 150], Merchant Amount [EUR 150], Customer Amount [NOK 1496.31], Status [APPROVED], Operation [DIRECT], UUID [3635740-1458742776-119] [23/03/2016 at 14:19:00]"/>
  </r>
  <r>
    <s v="3635848-1458742877-216"/>
    <s v="Spot"/>
    <s v="3635848-1458742877-216"/>
    <n v="0"/>
    <d v="2016-03-31T00:00:00"/>
    <x v="697"/>
    <s v="216"/>
    <s v="SELL"/>
    <n v="3.3976311336717426"/>
    <x v="0"/>
    <x v="0"/>
    <n v="40.159999999999997"/>
    <s v="Deal"/>
    <m/>
    <s v="Original Amount [EUR 11.82], Merchant Amount [EUR 11.82], Customer Amount [TRY 40.16], Status [APPROVED], Operation [3DAUTH], UUID [3635848-1458742877-216] [23/03/2016 at 14:21:00]"/>
  </r>
  <r>
    <s v="3635743-1458742776-102"/>
    <s v="Spot"/>
    <s v="3635743-1458742776-102"/>
    <n v="0"/>
    <d v="2016-03-31T00:00:00"/>
    <x v="698"/>
    <s v="102"/>
    <s v="SELL"/>
    <n v="3.3974193548387093"/>
    <x v="0"/>
    <x v="0"/>
    <n v="105.32"/>
    <s v="Deal"/>
    <m/>
    <s v="Original Amount [EUR 31], Merchant Amount [EUR 31], Customer Amount [TRY 105.32], Status [APPROVED], Operation [3DAUTH], UUID [3635743-1458742776-102] [23/03/2016 at 14:19:00]"/>
  </r>
  <r>
    <s v="3635710-1458742756-224"/>
    <s v="Spot"/>
    <s v="3635710-1458742756-224"/>
    <n v="0"/>
    <d v="2016-03-31T00:00:00"/>
    <x v="699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5710-1458742756-224] [23/03/2016 at 14:19:00]"/>
  </r>
  <r>
    <s v="3635704-1458742751-126"/>
    <s v="Spot"/>
    <s v="3635704-1458742751-126"/>
    <n v="0"/>
    <d v="2016-03-31T00:00:00"/>
    <x v="700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5704-1458742751-126] [23/03/2016 at 14:19:00]"/>
  </r>
  <r>
    <s v="3635701-1458742749-76"/>
    <s v="Spot"/>
    <s v="3635701-1458742749-76"/>
    <n v="0"/>
    <d v="2016-03-31T00:00:00"/>
    <x v="701"/>
    <s v="76"/>
    <s v="BUY"/>
    <n v="0"/>
    <x v="0"/>
    <x v="7"/>
    <n v="0.01"/>
    <s v="Deal"/>
    <m/>
    <s v="Original Amount [USD 0.01], Merchant Amount [EUR 0], Customer Amount [USD 0.01], Status [APPROVED], Operation [REFUND], UUID [3635701-1458742749-76] [23/03/2016 at 14:19:00]"/>
  </r>
  <r>
    <s v="3635695-1458742746-76"/>
    <s v="Spot"/>
    <s v="3635695-1458742746-76"/>
    <n v="0"/>
    <d v="2016-03-31T00:00:00"/>
    <x v="702"/>
    <s v="76"/>
    <s v="SELL"/>
    <n v="0"/>
    <x v="0"/>
    <x v="7"/>
    <n v="0.01"/>
    <s v="Deal"/>
    <m/>
    <s v="Original Amount [USD 0.01], Merchant Amount [EUR 0], Customer Amount [USD 0.01], Status [APPROVED], Operation [STORED], UUID [3635695-1458742746-76] [23/03/2016 at 14:19:00]"/>
  </r>
  <r>
    <s v="3635749-1458742780-216"/>
    <s v="Spot"/>
    <s v="3635749-1458742780-216"/>
    <n v="0"/>
    <d v="2016-03-31T00:00:00"/>
    <x v="703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35749-1458742780-216] [23/03/2016 at 14:19:00]"/>
  </r>
  <r>
    <s v="3635680-1458742726-216"/>
    <s v="Spot"/>
    <s v="3635680-1458742726-216"/>
    <n v="0"/>
    <d v="2016-03-31T00:00:00"/>
    <x v="704"/>
    <s v="216"/>
    <s v="SELL"/>
    <n v="3.3979099678456595"/>
    <x v="0"/>
    <x v="0"/>
    <n v="42.27"/>
    <s v="Deal"/>
    <m/>
    <s v="Original Amount [EUR 12.44], Merchant Amount [EUR 12.44], Customer Amount [TRY 42.27], Status [WAITING], Operation [3D], UUID [3635680-1458742726-216] [23/03/2016 at 14:18:00]"/>
  </r>
  <r>
    <s v="3635668-1458742717-264"/>
    <s v="Spot"/>
    <s v="3635668-1458742717-264"/>
    <n v="0"/>
    <d v="2016-03-31T00:00:00"/>
    <x v="705"/>
    <s v="264"/>
    <s v="SELL"/>
    <n v="1.1832797427652735"/>
    <x v="0"/>
    <x v="7"/>
    <n v="3.68"/>
    <s v="Deal"/>
    <m/>
    <s v="Original Amount [TRY 10], Merchant Amount [EUR 3.11], Customer Amount [USD 3.68], Status [APPROVED], Operation [3DAUTH], UUID [3635668-1458742717-264] [23/03/2016 at 14:18:00]"/>
  </r>
  <r>
    <s v="3635662-1458742712-107"/>
    <s v="Spot"/>
    <s v="3635662-1458742712-107"/>
    <n v="0"/>
    <d v="2016-03-31T00:00:00"/>
    <x v="706"/>
    <s v="107"/>
    <s v="SELL"/>
    <n v="3.3972399999999996"/>
    <x v="0"/>
    <x v="0"/>
    <n v="849.31"/>
    <s v="Deal"/>
    <m/>
    <s v="Original Amount [EUR 250], Merchant Amount [EUR 250], Customer Amount [TRY 849.31], Status [WAITING], Operation [3D], UUID [3635662-1458742712-107] [23/03/2016 at 14:18:00]"/>
  </r>
  <r>
    <s v="3635689-1458742741-101"/>
    <s v="Spot"/>
    <s v="3635689-1458742741-101"/>
    <n v="0"/>
    <d v="2016-03-31T00:00:00"/>
    <x v="707"/>
    <s v="101"/>
    <s v="SELL"/>
    <n v="3.3975515463917523"/>
    <x v="0"/>
    <x v="0"/>
    <n v="52.73"/>
    <s v="Deal"/>
    <m/>
    <s v="Original Amount [EUR 15.52], Merchant Amount [EUR 15.52], Customer Amount [TRY 52.73], Status [APPROVED], Operation [3DAUTH], UUID [3635689-1458742741-101] [23/03/2016 at 14:19:00]"/>
  </r>
  <r>
    <s v="3635650-1458742709-261"/>
    <s v="Spot"/>
    <s v="3635650-1458742709-261"/>
    <n v="0"/>
    <d v="2016-03-31T00:00:00"/>
    <x v="708"/>
    <s v="261"/>
    <s v="SELL"/>
    <n v="9.9757009345794394"/>
    <x v="0"/>
    <x v="1"/>
    <n v="213.48"/>
    <s v="Deal"/>
    <m/>
    <s v="Original Amount [EUR 21.4], Merchant Amount [EUR 21.4], Customer Amount [NOK 213.48], Status [WAITING], Operation [3D], UUID [3635650-1458742709-261] [23/03/2016 at 14:18:00]"/>
  </r>
  <r>
    <s v="3635617-1458742687-126"/>
    <s v="Spot"/>
    <s v="3635617-1458742687-126"/>
    <n v="0"/>
    <d v="2016-03-31T00:00:00"/>
    <x v="709"/>
    <s v="126"/>
    <s v="SELL"/>
    <n v="9.9753658536585377"/>
    <x v="0"/>
    <x v="1"/>
    <n v="4089.9"/>
    <s v="Deal"/>
    <m/>
    <s v="Original Amount [EUR 410], Merchant Amount [EUR 410], Customer Amount [NOK 4089.9], Status [APPROVED], Operation [DIRECT], UUID [3635617-1458742687-126] [23/03/2016 at 14:18:00]"/>
  </r>
  <r>
    <s v="3635677-1458742725-56"/>
    <s v="Spot"/>
    <s v="3635677-1458742725-56"/>
    <n v="0"/>
    <d v="2016-03-31T00:00:00"/>
    <x v="710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5677-1458742725-56] [23/03/2016 at 14:18:00]"/>
  </r>
  <r>
    <s v="3635608-1458742673-111"/>
    <s v="Spot"/>
    <s v="3635608-1458742673-111"/>
    <n v="0"/>
    <d v="2016-03-31T00:00:00"/>
    <x v="711"/>
    <s v="111"/>
    <s v="SELL"/>
    <n v="1.5435000000000001"/>
    <x v="0"/>
    <x v="2"/>
    <n v="30.87"/>
    <s v="Deal"/>
    <m/>
    <s v="Original Amount [EUR 20], Merchant Amount [EUR 20], Customer Amount [CAD 30.87], Status [APPROVED], Operation [3DAUTH], UUID [3635608-1458742673-111] [23/03/2016 at 14:17:00]"/>
  </r>
  <r>
    <s v="3635602-1458742671-216"/>
    <s v="Spot"/>
    <s v="3635602-1458742671-216"/>
    <n v="0"/>
    <d v="2016-03-31T00:00:00"/>
    <x v="712"/>
    <s v="216"/>
    <s v="SELL"/>
    <n v="3.395498392282958"/>
    <x v="0"/>
    <x v="0"/>
    <n v="105.6"/>
    <s v="Deal"/>
    <m/>
    <s v="Original Amount [EUR 31.1], Merchant Amount [EUR 31.1], Customer Amount [TRY 105.6], Status [APPROVED], Operation [3DAUTH], UUID [3635602-1458742671-216] [23/03/2016 at 14:17:00]"/>
  </r>
  <r>
    <s v="3635578-1458742637-119"/>
    <s v="Spot"/>
    <s v="3635578-1458742637-119"/>
    <n v="0"/>
    <d v="2016-03-31T00:00:00"/>
    <x v="713"/>
    <s v="119"/>
    <s v="SELL"/>
    <n v="9.9756"/>
    <x v="0"/>
    <x v="1"/>
    <n v="249.39"/>
    <s v="Deal"/>
    <m/>
    <s v="Original Amount [EUR 25], Merchant Amount [EUR 25], Customer Amount [NOK 249.39], Status [APPROVED], Operation [DIRECT], UUID [3635578-1458742637-119] [23/03/2016 at 14:17:00]"/>
  </r>
  <r>
    <s v="3635569-1458742634-224"/>
    <s v="Spot"/>
    <s v="3635569-1458742634-224"/>
    <n v="0"/>
    <d v="2016-03-31T00:00:00"/>
    <x v="714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5569-1458742634-224] [23/03/2016 at 14:17:00]"/>
  </r>
  <r>
    <s v="3635596-1458742664-154"/>
    <s v="Spot"/>
    <s v="3635596-1458742664-154"/>
    <n v="0"/>
    <d v="2016-03-31T00:00:00"/>
    <x v="715"/>
    <s v="154"/>
    <s v="SELL"/>
    <n v="9.9754485363550529"/>
    <x v="0"/>
    <x v="1"/>
    <n v="211.28"/>
    <s v="Deal"/>
    <m/>
    <s v="Original Amount [EUR 21.18], Merchant Amount [EUR 21.18], Customer Amount [NOK 211.28], Status [APPROVED], Operation [3DAUTH], UUID [3635596-1458742664-154] [23/03/2016 at 14:17:00]"/>
  </r>
  <r>
    <s v="3635557-1458742626-145"/>
    <s v="Spot"/>
    <s v="3635557-1458742626-145"/>
    <n v="0"/>
    <d v="2016-03-31T00:00:00"/>
    <x v="716"/>
    <s v="145"/>
    <s v="SELL"/>
    <n v="9.9753795327617407"/>
    <x v="0"/>
    <x v="1"/>
    <n v="1268.17"/>
    <s v="Deal"/>
    <m/>
    <s v="Original Amount [EUR 127.13], Merchant Amount [EUR 127.13], Customer Amount [NOK 1268.17], Status [APPROVED], Operation [DIRECT], UUID [3635557-1458742626-145] [23/03/2016 at 14:17:00]"/>
  </r>
  <r>
    <s v="3635548-1458742619-224"/>
    <s v="Spot"/>
    <s v="3635548-1458742619-224"/>
    <n v="0"/>
    <d v="2016-03-31T00:00:00"/>
    <x v="717"/>
    <s v="224"/>
    <s v="SELL"/>
    <n v="133.03778184034127"/>
    <x v="0"/>
    <x v="3"/>
    <n v="2183.15"/>
    <s v="Deal"/>
    <m/>
    <s v="Original Amount [EUR 16.41], Merchant Amount [EUR 16.41], Customer Amount [JPY 2183.15], Status [APPROVED], Operation [DIRECT], UUID [3635548-1458742619-224] [23/03/2016 at 14:16:00]"/>
  </r>
  <r>
    <s v="3635530-1458742603-199"/>
    <s v="Spot"/>
    <s v="3635530-1458742603-199"/>
    <n v="0"/>
    <d v="2016-03-31T00:00:00"/>
    <x v="718"/>
    <s v="199"/>
    <s v="SELL"/>
    <n v="9.9754234167893969"/>
    <x v="0"/>
    <x v="1"/>
    <n v="1083.73"/>
    <s v="Deal"/>
    <m/>
    <s v="Original Amount [EUR 108.64], Merchant Amount [EUR 108.64], Customer Amount [NOK 1083.73], Status [APPROVED], Operation [DIRECT], UUID [3635530-1458742603-199] [23/03/2016 at 14:16:00]"/>
  </r>
  <r>
    <s v="3635521-1458742587-119"/>
    <s v="Spot"/>
    <s v="3635521-1458742587-119"/>
    <n v="0"/>
    <d v="2016-03-31T00:00:00"/>
    <x v="719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5521-1458742587-119] [23/03/2016 at 14:16:00]"/>
  </r>
  <r>
    <s v="3635497-1458742567-199"/>
    <s v="Spot"/>
    <s v="3635497-1458742567-199"/>
    <n v="0"/>
    <d v="2016-03-31T00:00:00"/>
    <x v="720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5497-1458742567-199] [23/03/2016 at 14:16:00]"/>
  </r>
  <r>
    <s v="3635494-1458742564-200"/>
    <s v="Spot"/>
    <s v="3635494-1458742564-200"/>
    <n v="0"/>
    <d v="2016-03-31T00:00:00"/>
    <x v="721"/>
    <s v="200"/>
    <s v="SELL"/>
    <n v="9.9753537197626656"/>
    <x v="0"/>
    <x v="1"/>
    <n v="218.56"/>
    <s v="Deal"/>
    <m/>
    <s v="Original Amount [EUR 21.91], Merchant Amount [EUR 21.91], Customer Amount [NOK 218.56], Status [APPROVED], Operation [STORED], UUID [3635494-1458742564-200] [23/03/2016 at 14:16:00]"/>
  </r>
  <r>
    <s v="3635488-1458742562-199"/>
    <s v="Spot"/>
    <s v="3635488-1458742562-199"/>
    <n v="0"/>
    <d v="2016-03-31T00:00:00"/>
    <x v="722"/>
    <s v="199"/>
    <s v="SELL"/>
    <n v="9.9754525928198827"/>
    <x v="0"/>
    <x v="1"/>
    <n v="650.20000000000005"/>
    <s v="Deal"/>
    <m/>
    <s v="Original Amount [EUR 65.18], Merchant Amount [EUR 65.18], Customer Amount [NOK 650.2], Status [APPROVED], Operation [DIRECT], UUID [3635488-1458742562-199] [23/03/2016 at 14:16:00]"/>
  </r>
  <r>
    <s v="3635485-1458742561-82"/>
    <s v="Spot"/>
    <s v="3635485-1458742561-82"/>
    <n v="0"/>
    <d v="2016-03-31T00:00:00"/>
    <x v="72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5485-1458742561-82] [23/03/2016 at 14:16:00]"/>
  </r>
  <r>
    <s v="3635476-1458742547-126"/>
    <s v="Spot"/>
    <s v="3635476-1458742547-126"/>
    <n v="0"/>
    <d v="2016-03-31T00:00:00"/>
    <x v="724"/>
    <s v="126"/>
    <s v="SELL"/>
    <n v="9.9754146341463414"/>
    <x v="0"/>
    <x v="1"/>
    <n v="511.24"/>
    <s v="Deal"/>
    <m/>
    <s v="Original Amount [EUR 51.25], Merchant Amount [EUR 51.25], Customer Amount [NOK 511.24], Status [APPROVED], Operation [DIRECT], UUID [3635476-1458742547-126] [23/03/2016 at 14:15:00]"/>
  </r>
  <r>
    <s v="3635467-1458742538-199"/>
    <s v="Spot"/>
    <s v="3635467-1458742538-199"/>
    <n v="0"/>
    <d v="2016-03-31T00:00:00"/>
    <x v="725"/>
    <s v="199"/>
    <s v="SELL"/>
    <n v="9.9756995581737851"/>
    <x v="0"/>
    <x v="1"/>
    <n v="270.94"/>
    <s v="Deal"/>
    <m/>
    <s v="Original Amount [EUR 27.16], Merchant Amount [EUR 27.16], Customer Amount [NOK 270.94], Status [APPROVED], Operation [DIRECT], UUID [3635467-1458742538-199] [23/03/2016 at 14:15:00]"/>
  </r>
  <r>
    <s v="3635464-1458742538-82"/>
    <s v="Spot"/>
    <s v="3635464-1458742538-82"/>
    <n v="0"/>
    <d v="2016-03-31T00:00:00"/>
    <x v="72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5464-1458742538-82] [23/03/2016 at 14:15:00]"/>
  </r>
  <r>
    <s v="3635458-1458742535-261"/>
    <s v="Spot"/>
    <s v="3635458-1458742535-261"/>
    <n v="0"/>
    <d v="2016-03-31T00:00:00"/>
    <x v="727"/>
    <s v="261"/>
    <s v="SELL"/>
    <n v="9.975509441017012"/>
    <x v="0"/>
    <x v="1"/>
    <n v="533.59"/>
    <s v="Deal"/>
    <m/>
    <s v="Original Amount [EUR 53.49], Merchant Amount [EUR 53.49], Customer Amount [NOK 533.59], Status [APPROVED], Operation [DIRECT], UUID [3635458-1458742535-261] [23/03/2016 at 14:15:00]"/>
  </r>
  <r>
    <s v="3635542-1458742610-216"/>
    <s v="Spot"/>
    <s v="3635542-1458742610-216"/>
    <n v="0"/>
    <d v="2016-03-31T00:00:00"/>
    <x v="728"/>
    <s v="216"/>
    <s v="SELL"/>
    <n v="3.395498392282958"/>
    <x v="0"/>
    <x v="0"/>
    <n v="52.8"/>
    <s v="Deal"/>
    <m/>
    <s v="Original Amount [EUR 15.55], Merchant Amount [EUR 15.55], Customer Amount [TRY 52.8], Status [APPROVED], Operation [3DAUTH], UUID [3635542-1458742610-216] [23/03/2016 at 14:16:00]"/>
  </r>
  <r>
    <s v="3635506-1458742573-107"/>
    <s v="Spot"/>
    <s v="3635506-1458742573-107"/>
    <n v="0"/>
    <d v="2016-03-31T00:00:00"/>
    <x v="729"/>
    <s v="107"/>
    <s v="SELL"/>
    <n v="3.3953200000000003"/>
    <x v="0"/>
    <x v="0"/>
    <n v="848.83"/>
    <s v="Deal"/>
    <m/>
    <s v="Original Amount [EUR 250], Merchant Amount [EUR 250], Customer Amount [TRY 848.83], Status [APPROVED], Operation [3DAUTH], UUID [3635506-1458742573-107] [23/03/2016 at 14:16:00]"/>
  </r>
  <r>
    <s v="3635428-1458742518-82"/>
    <s v="Spot"/>
    <s v="3635428-1458742518-82"/>
    <n v="0"/>
    <d v="2016-03-31T00:00:00"/>
    <x v="730"/>
    <s v="82"/>
    <s v="BUY"/>
    <n v="1.1757857974388823"/>
    <x v="0"/>
    <x v="7"/>
    <n v="50.5"/>
    <s v="Deal"/>
    <m/>
    <s v="Original Amount [USD 50.5], Merchant Amount [EUR 42.95], Customer Amount [USD 50.5], Status [APPROVED], Operation [REFUND], UUID [3635428-1458742518-82] [23/03/2016 at 14:15:00]"/>
  </r>
  <r>
    <s v="3635422-1458742516-126"/>
    <s v="Spot"/>
    <s v="3635422-1458742516-126"/>
    <n v="0"/>
    <d v="2016-03-31T00:00:00"/>
    <x v="731"/>
    <s v="126"/>
    <s v="SELL"/>
    <n v="9.9754146341463414"/>
    <x v="0"/>
    <x v="1"/>
    <n v="1022.48"/>
    <s v="Deal"/>
    <m/>
    <s v="Original Amount [EUR 102.5], Merchant Amount [EUR 102.5], Customer Amount [NOK 1022.48], Status [APPROVED], Operation [DIRECT], UUID [3635422-1458742516-126] [23/03/2016 at 14:15:00]"/>
  </r>
  <r>
    <s v="3635416-1458742514-119"/>
    <s v="Spot"/>
    <s v="3635416-1458742514-119"/>
    <n v="0"/>
    <d v="2016-03-31T00:00:00"/>
    <x v="732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5416-1458742514-119] [23/03/2016 at 14:15:00]"/>
  </r>
  <r>
    <s v="3635410-1458742511-187"/>
    <s v="Spot"/>
    <s v="3635410-1458742511-187"/>
    <n v="0"/>
    <d v="2016-03-31T00:00:00"/>
    <x v="733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5410-1458742511-187] [23/03/2016 at 14:15:00]"/>
  </r>
  <r>
    <s v="3635449-1458742530-101"/>
    <s v="Spot"/>
    <s v="3635449-1458742530-101"/>
    <n v="0"/>
    <d v="2016-03-31T00:00:00"/>
    <x v="734"/>
    <s v="101"/>
    <s v="SELL"/>
    <n v="3.3953633110315855"/>
    <x v="0"/>
    <x v="0"/>
    <n v="218.22"/>
    <s v="Deal"/>
    <m/>
    <s v="Original Amount [EUR 64.27], Merchant Amount [EUR 64.27], Customer Amount [TRY 218.22], Status [APPROVED], Operation [3DAUTH], UUID [3635449-1458742530-101] [23/03/2016 at 14:15:00]"/>
  </r>
  <r>
    <s v="3635452-1458742531-172"/>
    <s v="Spot"/>
    <s v="3635452-1458742531-172"/>
    <n v="0"/>
    <d v="2016-03-31T00:00:00"/>
    <x v="735"/>
    <s v="172"/>
    <s v="SELL"/>
    <n v="9.9756726870622927"/>
    <x v="0"/>
    <x v="1"/>
    <n v="270.64"/>
    <s v="Deal"/>
    <m/>
    <s v="Original Amount [EUR 27.13], Merchant Amount [EUR 27.13], Customer Amount [NOK 270.64], Status [APPROVED], Operation [3DAUTH], UUID [3635452-1458742531-172] [23/03/2016 at 14:15:00]"/>
  </r>
  <r>
    <s v="3635377-1458742489-56"/>
    <s v="Spot"/>
    <s v="3635377-1458742489-56"/>
    <n v="0"/>
    <d v="2016-03-31T00:00:00"/>
    <x v="736"/>
    <s v="56"/>
    <s v="SELL"/>
    <n v="3.3880597014925375"/>
    <x v="0"/>
    <x v="0"/>
    <n v="79.45"/>
    <s v="Deal"/>
    <m/>
    <s v="Original Amount [EUR 23.45], Merchant Amount [EUR 23.45], Customer Amount [TRY 79.45], Status [WAITING], Operation [3D], UUID [3635377-1458742489-56] [23/03/2016 at 14:14:00]"/>
  </r>
  <r>
    <s v="3635371-1458742481-82"/>
    <s v="Spot"/>
    <s v="3635371-1458742481-82"/>
    <n v="0"/>
    <d v="2016-03-31T00:00:00"/>
    <x v="737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5371-1458742481-82] [23/03/2016 at 14:14:00]"/>
  </r>
  <r>
    <s v="3635386-1458742493-101"/>
    <s v="Spot"/>
    <s v="3635386-1458742493-101"/>
    <n v="0"/>
    <d v="2016-03-31T00:00:00"/>
    <x v="738"/>
    <s v="101"/>
    <s v="SELL"/>
    <n v="3.3885429638854299"/>
    <x v="0"/>
    <x v="0"/>
    <n v="27.21"/>
    <s v="Deal"/>
    <m/>
    <s v="Original Amount [EUR 8.03], Merchant Amount [EUR 8.03], Customer Amount [TRY 27.21], Status [APPROVED], Operation [3DAUTH], UUID [3635386-1458742493-101] [23/03/2016 at 14:14:00]"/>
  </r>
  <r>
    <s v="3635344-1458742471-224"/>
    <s v="Spot"/>
    <s v="3635344-1458742471-224"/>
    <n v="0"/>
    <d v="2016-03-31T00:00:00"/>
    <x v="739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5344-1458742471-224] [23/03/2016 at 14:14:00]"/>
  </r>
  <r>
    <s v="3635332-1458742461-224"/>
    <s v="Spot"/>
    <s v="3635332-1458742461-224"/>
    <n v="0"/>
    <d v="2016-03-31T00:00:00"/>
    <x v="740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35332-1458742461-224] [23/03/2016 at 14:14:00]"/>
  </r>
  <r>
    <s v="3635317-1458742446-224"/>
    <s v="Spot"/>
    <s v="3635317-1458742446-224"/>
    <n v="0"/>
    <d v="2016-03-31T00:00:00"/>
    <x v="741"/>
    <s v="224"/>
    <s v="SELL"/>
    <n v="9.9550215650030793"/>
    <x v="0"/>
    <x v="1"/>
    <n v="161.57"/>
    <s v="Deal"/>
    <m/>
    <s v="Original Amount [EUR 16.23], Merchant Amount [EUR 16.23], Customer Amount [NOK 161.57], Status [APPROVED], Operation [DIRECT], UUID [3635317-1458742446-224] [23/03/2016 at 14:14:00]"/>
  </r>
  <r>
    <s v="3635308-1458742437-56"/>
    <s v="Spot"/>
    <s v="3635308-1458742437-56"/>
    <n v="0"/>
    <d v="2016-03-31T00:00:00"/>
    <x v="742"/>
    <s v="56"/>
    <s v="SELL"/>
    <n v="3.3881278538812789"/>
    <x v="0"/>
    <x v="0"/>
    <n v="81.62"/>
    <s v="Deal"/>
    <m/>
    <s v="Original Amount [EUR 24.09], Merchant Amount [EUR 24.09], Customer Amount [TRY 81.62], Status [WAITING], Operation [3D], UUID [3635308-1458742437-56] [23/03/2016 at 14:13:00]"/>
  </r>
  <r>
    <s v="3635302-1458742435-82"/>
    <s v="Spot"/>
    <s v="3635302-1458742435-82"/>
    <n v="0"/>
    <d v="2016-03-31T00:00:00"/>
    <x v="743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5302-1458742435-82] [23/03/2016 at 14:13:00]"/>
  </r>
  <r>
    <s v="3635356-1458742476-107"/>
    <s v="Spot"/>
    <s v="3635356-1458742476-107"/>
    <n v="0"/>
    <d v="2016-03-31T00:00:00"/>
    <x v="744"/>
    <s v="107"/>
    <s v="SELL"/>
    <n v="3.3883196721311477"/>
    <x v="0"/>
    <x v="0"/>
    <n v="66.14"/>
    <s v="Deal"/>
    <m/>
    <s v="Original Amount [EUR 19.52], Merchant Amount [EUR 19.52], Customer Amount [TRY 66.14], Status [APPROVED], Operation [3DAUTH], UUID [3635356-1458742476-107] [23/03/2016 at 14:14:00]"/>
  </r>
  <r>
    <s v="3635311-1458742444-216"/>
    <s v="Spot"/>
    <s v="3635311-1458742444-216"/>
    <n v="0"/>
    <d v="2016-03-31T00:00:00"/>
    <x v="745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5311-1458742444-216] [23/03/2016 at 14:14:00]"/>
  </r>
  <r>
    <s v="3635272-1458742396-82"/>
    <s v="Spot"/>
    <s v="3635272-1458742396-82"/>
    <n v="0"/>
    <d v="2016-03-31T00:00:00"/>
    <x v="746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5272-1458742396-82] [23/03/2016 at 14:13:00]"/>
  </r>
  <r>
    <s v="3635248-1458742379-119"/>
    <s v="Spot"/>
    <s v="3635248-1458742379-119"/>
    <n v="0"/>
    <d v="2016-03-31T00:00:00"/>
    <x v="747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5248-1458742379-119] [23/03/2016 at 14:12:00]"/>
  </r>
  <r>
    <s v="3635245-1458742371-199"/>
    <s v="Spot"/>
    <s v="3635245-1458742371-199"/>
    <n v="0"/>
    <d v="2016-03-31T00:00:00"/>
    <x v="748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5245-1458742371-199] [23/03/2016 at 14:12:00]"/>
  </r>
  <r>
    <s v="3635242-1458742369-224"/>
    <s v="Spot"/>
    <s v="3635242-1458742369-224"/>
    <n v="0"/>
    <d v="2016-03-31T00:00:00"/>
    <x v="749"/>
    <s v="224"/>
    <s v="SELL"/>
    <n v="9.9548913043478269"/>
    <x v="0"/>
    <x v="1"/>
    <n v="183.17"/>
    <s v="Deal"/>
    <m/>
    <s v="Original Amount [EUR 18.4], Merchant Amount [EUR 18.4], Customer Amount [NOK 183.17], Status [APPROVED], Operation [DIRECT], UUID [3635242-1458742369-224] [23/03/2016 at 14:12:00]"/>
  </r>
  <r>
    <s v="3635221-1458742360-82"/>
    <s v="Spot"/>
    <s v="3635221-1458742360-82"/>
    <n v="0"/>
    <d v="2016-03-31T00:00:00"/>
    <x v="750"/>
    <s v="82"/>
    <s v="SELL"/>
    <n v="1.1839863713798977"/>
    <x v="0"/>
    <x v="7"/>
    <n v="6.95"/>
    <s v="Deal"/>
    <m/>
    <s v="Original Amount [USD 6.95], Merchant Amount [EUR 5.87], Customer Amount [USD 6.95], Status [APPROVED], Operation [DIRECT], UUID [3635221-1458742360-82] [23/03/2016 at 14:12:00]"/>
  </r>
  <r>
    <s v="3635263-1458742390-107"/>
    <s v="Spot"/>
    <s v="3635263-1458742390-107"/>
    <n v="0"/>
    <d v="2016-03-31T00:00:00"/>
    <x v="751"/>
    <s v="107"/>
    <s v="SELL"/>
    <n v="3.3882820258192647"/>
    <x v="0"/>
    <x v="0"/>
    <n v="34.119999999999997"/>
    <s v="Deal"/>
    <m/>
    <s v="Original Amount [EUR 10.07], Merchant Amount [EUR 10.07], Customer Amount [TRY 34.12], Status [APPROVED], Operation [3DAUTH], UUID [3635263-1458742390-107] [23/03/2016 at 14:13:00]"/>
  </r>
  <r>
    <s v="3635218-1458742358-216"/>
    <s v="Spot"/>
    <s v="3635218-1458742358-216"/>
    <n v="0"/>
    <d v="2016-03-31T00:00:00"/>
    <x v="752"/>
    <s v="216"/>
    <s v="SELL"/>
    <n v="3.387959866220736"/>
    <x v="0"/>
    <x v="0"/>
    <n v="131.69"/>
    <s v="Deal"/>
    <m/>
    <s v="Original Amount [EUR 38.87], Merchant Amount [EUR 38.87], Customer Amount [TRY 131.69], Status [APPROVED], Operation [3DAUTH], UUID [3635218-1458742358-216] [23/03/2016 at 14:12:00]"/>
  </r>
  <r>
    <s v="3635176-1458742334-224"/>
    <s v="Spot"/>
    <s v="3635176-1458742334-224"/>
    <n v="0"/>
    <d v="2016-03-31T00:00:00"/>
    <x v="753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5176-1458742334-224] [23/03/2016 at 14:12:00]"/>
  </r>
  <r>
    <s v="3635224-1458742361-264"/>
    <s v="Spot"/>
    <s v="3635224-1458742361-264"/>
    <n v="0"/>
    <d v="2016-03-31T00:00:00"/>
    <x v="754"/>
    <s v="264"/>
    <s v="SELL"/>
    <n v="3.3922829581993574"/>
    <x v="0"/>
    <x v="0"/>
    <n v="21.1"/>
    <s v="Deal"/>
    <m/>
    <s v="Original Amount [TRY 20], Merchant Amount [EUR 6.22], Customer Amount [TRY 21.1], Status [APPROVED], Operation [3DAUTH], UUID [3635224-1458742361-264] [23/03/2016 at 14:12:00]"/>
  </r>
  <r>
    <s v="3635338-1458742462-261"/>
    <s v="Spot"/>
    <s v="3635338-1458742462-261"/>
    <n v="0"/>
    <d v="2016-03-31T00:00:00"/>
    <x v="755"/>
    <s v="261"/>
    <s v="SELL"/>
    <n v="9.9551401869158873"/>
    <x v="0"/>
    <x v="1"/>
    <n v="106.52"/>
    <s v="Deal"/>
    <m/>
    <s v="Original Amount [EUR 10.7], Merchant Amount [EUR 10.7], Customer Amount [NOK 106.52], Status [APPROVED], Operation [3DAUTH], UUID [3635338-1458742462-261] [23/03/2016 at 14:14:00]"/>
  </r>
  <r>
    <s v="3635200-1458742346-216"/>
    <s v="Spot"/>
    <s v="3635200-1458742346-216"/>
    <n v="0"/>
    <d v="2016-03-31T00:00:00"/>
    <x v="756"/>
    <s v="216"/>
    <s v="SELL"/>
    <n v="3.3878462913315457"/>
    <x v="0"/>
    <x v="0"/>
    <n v="37.909999999999997"/>
    <s v="Deal"/>
    <m/>
    <s v="Original Amount [EUR 11.19], Merchant Amount [EUR 11.19], Customer Amount [TRY 37.91], Status [APPROVED], Operation [3DAUTH], UUID [3635200-1458742346-216] [23/03/2016 at 14:12:00]"/>
  </r>
  <r>
    <s v="3635158-1458742323-145"/>
    <s v="Spot"/>
    <s v="3635158-1458742323-145"/>
    <n v="0"/>
    <d v="2016-03-31T00:00:00"/>
    <x v="757"/>
    <s v="145"/>
    <s v="SELL"/>
    <n v="9.9546827794561938"/>
    <x v="0"/>
    <x v="1"/>
    <n v="263.60000000000002"/>
    <s v="Deal"/>
    <m/>
    <s v="Original Amount [EUR 26.48], Merchant Amount [EUR 26.48], Customer Amount [NOK 263.6], Status [APPROVED], Operation [DIRECT], UUID [3635158-1458742323-145] [23/03/2016 at 14:12:00]"/>
  </r>
  <r>
    <s v="3635155-1458742321-82"/>
    <s v="Spot"/>
    <s v="3635155-1458742321-82"/>
    <n v="0"/>
    <d v="2016-03-31T00:00:00"/>
    <x v="758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5155-1458742321-82] [23/03/2016 at 14:12:00]"/>
  </r>
  <r>
    <s v="3635152-1458742321-224"/>
    <s v="Spot"/>
    <s v="3635152-1458742321-224"/>
    <n v="0"/>
    <d v="2016-03-31T00:00:00"/>
    <x v="759"/>
    <s v="224"/>
    <s v="SELL"/>
    <n v="132.832430950586"/>
    <x v="0"/>
    <x v="3"/>
    <n v="19381.580000000002"/>
    <s v="Deal"/>
    <m/>
    <s v="Original Amount [EUR 145.91], Merchant Amount [EUR 145.91], Customer Amount [JPY 19381.58], Status [APPROVED], Operation [DIRECT], UUID [3635152-1458742321-224] [23/03/2016 at 14:12:00]"/>
  </r>
  <r>
    <s v="3635137-1458742315-199"/>
    <s v="Spot"/>
    <s v="3635137-1458742315-199"/>
    <n v="0"/>
    <d v="2016-03-31T00:00:00"/>
    <x v="760"/>
    <s v="199"/>
    <s v="SELL"/>
    <n v="9.954635108481261"/>
    <x v="0"/>
    <x v="1"/>
    <n v="605.64"/>
    <s v="Deal"/>
    <m/>
    <s v="Original Amount [EUR 60.84], Merchant Amount [EUR 60.84], Customer Amount [NOK 605.64], Status [APPROVED], Operation [DIRECT], UUID [3635137-1458742315-199] [23/03/2016 at 14:11:00]"/>
  </r>
  <r>
    <s v="3635128-1458742306-203"/>
    <s v="Spot"/>
    <s v="3635128-1458742306-203"/>
    <n v="0"/>
    <d v="2016-03-31T00:00:00"/>
    <x v="761"/>
    <s v="203"/>
    <s v="SELL"/>
    <n v="3.3878709677419354"/>
    <x v="0"/>
    <x v="0"/>
    <n v="262.56"/>
    <s v="Deal"/>
    <m/>
    <s v="Original Amount [EUR 77.5], Merchant Amount [EUR 77.5], Customer Amount [TRY 262.56], Status [APPROVED], Operation [3DAUTH], UUID [3635128-1458742306-203] [23/03/2016 at 14:11:00]"/>
  </r>
  <r>
    <s v="3635113-1458742300-101"/>
    <s v="Spot"/>
    <s v="3635113-1458742300-101"/>
    <n v="0"/>
    <d v="2016-03-31T00:00:00"/>
    <x v="762"/>
    <s v="101"/>
    <s v="SELL"/>
    <n v="3.3878245648157153"/>
    <x v="0"/>
    <x v="0"/>
    <n v="348.37"/>
    <s v="Deal"/>
    <m/>
    <s v="Original Amount [EUR 102.83], Merchant Amount [EUR 102.83], Customer Amount [TRY 348.37], Status [APPROVED], Operation [3DAUTH], UUID [3635113-1458742300-101] [23/03/2016 at 14:11:00]"/>
  </r>
  <r>
    <s v="3635104-1458742291-216"/>
    <s v="Spot"/>
    <s v="3635104-1458742291-216"/>
    <n v="0"/>
    <d v="2016-03-31T00:00:00"/>
    <x v="763"/>
    <s v="216"/>
    <s v="SELL"/>
    <n v="3.3879957127545555"/>
    <x v="0"/>
    <x v="0"/>
    <n v="94.83"/>
    <s v="Deal"/>
    <m/>
    <s v="Original Amount [EUR 27.99], Merchant Amount [EUR 27.99], Customer Amount [TRY 94.83], Status [APPROVED], Operation [3DAUTH], UUID [3635104-1458742291-216] [23/03/2016 at 14:11:00]"/>
  </r>
  <r>
    <s v="3635083-1458742280-203"/>
    <s v="Spot"/>
    <s v="3635083-1458742280-203"/>
    <n v="0"/>
    <d v="2016-03-31T00:00:00"/>
    <x v="764"/>
    <s v="203"/>
    <s v="SELL"/>
    <n v="3.388089330024814"/>
    <x v="0"/>
    <x v="0"/>
    <n v="68.27"/>
    <s v="Deal"/>
    <m/>
    <s v="Original Amount [EUR 20.15], Merchant Amount [EUR 20.15], Customer Amount [TRY 68.27], Status [APPROVED], Operation [3DAUTH], UUID [3635083-1458742280-203] [23/03/2016 at 14:11:00]"/>
  </r>
  <r>
    <s v="3635038-1458742241-126"/>
    <s v="Spot"/>
    <s v="3635038-1458742241-126"/>
    <n v="0"/>
    <d v="2016-03-31T00:00:00"/>
    <x v="765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35038-1458742241-126] [23/03/2016 at 14:10:00]"/>
  </r>
  <r>
    <s v="3635020-1458742234-119"/>
    <s v="Spot"/>
    <s v="3635020-1458742234-119"/>
    <n v="0"/>
    <d v="2016-03-31T00:00:00"/>
    <x v="766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35020-1458742234-119] [23/03/2016 at 14:10:00]"/>
  </r>
  <r>
    <s v="3635011-1458742226-82"/>
    <s v="Spot"/>
    <s v="3635011-1458742226-82"/>
    <n v="0"/>
    <d v="2016-03-31T00:00:00"/>
    <x v="767"/>
    <s v="82"/>
    <s v="SELL"/>
    <n v="1.1831683168316831"/>
    <x v="0"/>
    <x v="7"/>
    <n v="11.95"/>
    <s v="Deal"/>
    <m/>
    <s v="Original Amount [USD 11.95], Merchant Amount [EUR 10.1], Customer Amount [USD 11.95], Status [APPROVED], Operation [DIRECT], UUID [3635011-1458742226-82] [23/03/2016 at 14:10:00]"/>
  </r>
  <r>
    <s v="3635008-1458742223-261"/>
    <s v="Spot"/>
    <s v="3635008-1458742223-261"/>
    <n v="0"/>
    <d v="2016-03-31T00:00:00"/>
    <x v="768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5008-1458742223-261] [23/03/2016 at 14:10:00]"/>
  </r>
  <r>
    <s v="3634999-1458742219-82"/>
    <s v="Spot"/>
    <s v="3634999-1458742219-82"/>
    <n v="0"/>
    <d v="2016-03-31T00:00:00"/>
    <x v="769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99-1458742219-82] [23/03/2016 at 14:10:00]"/>
  </r>
  <r>
    <s v="3635032-1458742237-101"/>
    <s v="Spot"/>
    <s v="3635032-1458742237-101"/>
    <n v="0"/>
    <d v="2016-03-31T00:00:00"/>
    <x v="770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5032-1458742237-101] [23/03/2016 at 14:10:00]"/>
  </r>
  <r>
    <s v="3634981-1458742204-224"/>
    <s v="Spot"/>
    <s v="3634981-1458742204-224"/>
    <n v="0"/>
    <d v="2016-03-31T00:00:00"/>
    <x v="77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4981-1458742204-224] [23/03/2016 at 14:10:00]"/>
  </r>
  <r>
    <s v="3635005-1458742223-216"/>
    <s v="Spot"/>
    <s v="3635005-1458742223-216"/>
    <n v="0"/>
    <d v="2016-03-31T00:00:00"/>
    <x v="772"/>
    <s v="216"/>
    <s v="SELL"/>
    <n v="3.3882636655948555"/>
    <x v="0"/>
    <x v="0"/>
    <n v="42.15"/>
    <s v="Deal"/>
    <m/>
    <s v="Original Amount [EUR 12.44], Merchant Amount [EUR 12.44], Customer Amount [TRY 42.15], Status [APPROVED], Operation [3DAUTH], UUID [3635005-1458742223-216] [23/03/2016 at 14:10:00]"/>
  </r>
  <r>
    <s v="3635014-1458742226-56"/>
    <s v="Spot"/>
    <s v="3635014-1458742226-56"/>
    <n v="0"/>
    <d v="2016-03-31T00:00:00"/>
    <x v="773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5014-1458742226-56] [23/03/2016 at 14:10:00]"/>
  </r>
  <r>
    <s v="3634942-1458742180-82"/>
    <s v="Spot"/>
    <s v="3634942-1458742180-82"/>
    <n v="0"/>
    <d v="2016-03-31T00:00:00"/>
    <x v="774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42-1458742180-82] [23/03/2016 at 14:09:00]"/>
  </r>
  <r>
    <s v="3634984-1458742206-126"/>
    <s v="Spot"/>
    <s v="3634984-1458742206-126"/>
    <n v="0"/>
    <d v="2016-03-31T00:00:00"/>
    <x v="775"/>
    <s v="126"/>
    <s v="SELL"/>
    <n v="9.9547967479674799"/>
    <x v="0"/>
    <x v="1"/>
    <n v="306.11"/>
    <s v="Deal"/>
    <m/>
    <s v="Original Amount [EUR 30.75], Merchant Amount [EUR 30.75], Customer Amount [NOK 306.11], Status [APPROVED], Operation [3DAUTH], UUID [3634984-1458742206-126] [23/03/2016 at 14:10:00]"/>
  </r>
  <r>
    <s v="3634966-1458742196-216"/>
    <s v="Spot"/>
    <s v="3634966-1458742196-216"/>
    <n v="0"/>
    <d v="2016-03-31T00:00:00"/>
    <x v="776"/>
    <s v="216"/>
    <s v="SELL"/>
    <n v="3.3879396984924623"/>
    <x v="0"/>
    <x v="0"/>
    <n v="168.55"/>
    <s v="Deal"/>
    <m/>
    <s v="Original Amount [EUR 49.75], Merchant Amount [EUR 49.75], Customer Amount [TRY 168.55], Status [APPROVED], Operation [3DAUTH], UUID [3634966-1458742196-216] [23/03/2016 at 14:09:00]"/>
  </r>
  <r>
    <s v="3634927-1458742167-199"/>
    <s v="Spot"/>
    <s v="3634927-1458742167-199"/>
    <n v="0"/>
    <d v="2016-03-31T00:00:00"/>
    <x v="777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4927-1458742167-199] [23/03/2016 at 14:09:00]"/>
  </r>
  <r>
    <s v="3634912-1458742162-82"/>
    <s v="Spot"/>
    <s v="3634912-1458742162-82"/>
    <n v="0"/>
    <d v="2016-03-31T00:00:00"/>
    <x v="778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12-1458742162-82] [23/03/2016 at 14:09:00]"/>
  </r>
  <r>
    <s v="3634969-1458742199-56"/>
    <s v="Spot"/>
    <s v="3634969-1458742199-56"/>
    <n v="0"/>
    <d v="2016-03-31T00:00:00"/>
    <x v="779"/>
    <s v="56"/>
    <s v="SELL"/>
    <n v="3.3920079671355663"/>
    <x v="0"/>
    <x v="0"/>
    <n v="272.48"/>
    <s v="Deal"/>
    <m/>
    <s v="Original Amount [EUR 80.33], Merchant Amount [EUR 80.33], Customer Amount [TRY 272.48], Status [APPROVED], Operation [3DAUTH], UUID [3634969-1458742199-56] [23/03/2016 at 14:09:00]"/>
  </r>
  <r>
    <s v="3634915-1458742163-101"/>
    <s v="Spot"/>
    <s v="3634915-1458742163-101"/>
    <n v="0"/>
    <d v="2016-03-31T00:00:00"/>
    <x v="780"/>
    <s v="101"/>
    <s v="SELL"/>
    <n v="3.3922178988326852"/>
    <x v="0"/>
    <x v="0"/>
    <n v="43.59"/>
    <s v="Deal"/>
    <m/>
    <s v="Original Amount [EUR 12.85], Merchant Amount [EUR 12.85], Customer Amount [TRY 43.59], Status [APPROVED], Operation [3DAUTH], UUID [3634915-1458742163-101] [23/03/2016 at 14:09:00]"/>
  </r>
  <r>
    <s v="3634933-1458742173-216"/>
    <s v="Spot"/>
    <s v="3634933-1458742173-216"/>
    <n v="0"/>
    <d v="2016-03-31T00:00:00"/>
    <x v="781"/>
    <s v="216"/>
    <s v="SELL"/>
    <n v="3.391947517365578"/>
    <x v="0"/>
    <x v="0"/>
    <n v="263.69"/>
    <s v="Deal"/>
    <m/>
    <s v="Original Amount [EUR 77.74], Merchant Amount [EUR 77.74], Customer Amount [TRY 263.69], Status [APPROVED], Operation [3DAUTH], UUID [3634933-1458742173-216] [23/03/2016 at 14:09:00]"/>
  </r>
  <r>
    <s v="3634945-1458742181-101"/>
    <s v="Spot"/>
    <s v="3634945-1458742181-101"/>
    <n v="0"/>
    <d v="2016-03-31T00:00:00"/>
    <x v="782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34945-1458742181-101] [23/03/2016 at 14:09:00]"/>
  </r>
  <r>
    <s v="3634879-1458742130-119"/>
    <s v="Spot"/>
    <s v="3634879-1458742130-119"/>
    <n v="0"/>
    <d v="2016-03-31T00:00:00"/>
    <x v="78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4879-1458742130-119] [23/03/2016 at 14:08:00]"/>
  </r>
  <r>
    <s v="3634876-1458742124-200"/>
    <s v="Spot"/>
    <s v="3634876-1458742124-200"/>
    <n v="0"/>
    <d v="2016-03-31T00:00:00"/>
    <x v="784"/>
    <s v="200"/>
    <s v="SELL"/>
    <n v="9.9545592797615434"/>
    <x v="0"/>
    <x v="1"/>
    <n v="1636.43"/>
    <s v="Deal"/>
    <m/>
    <s v="Original Amount [EUR 164.39], Merchant Amount [EUR 164.39], Customer Amount [NOK 1636.43], Status [APPROVED], Operation [STORED], UUID [3634876-1458742124-200] [23/03/2016 at 14:08:00]"/>
  </r>
  <r>
    <s v="3634873-1458742107-261"/>
    <s v="Spot"/>
    <s v="3634873-1458742107-261"/>
    <n v="0"/>
    <d v="2016-03-31T00:00:00"/>
    <x v="785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34873-1458742107-261] [23/03/2016 at 14:08:00]"/>
  </r>
  <r>
    <s v="3634870-1458742105-82"/>
    <s v="Spot"/>
    <s v="3634870-1458742105-82"/>
    <n v="0"/>
    <d v="2016-03-31T00:00:00"/>
    <x v="78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70-1458742105-82] [23/03/2016 at 14:08:00]"/>
  </r>
  <r>
    <s v="3634867-1458742102-261"/>
    <s v="Spot"/>
    <s v="3634867-1458742102-261"/>
    <n v="0"/>
    <d v="2016-03-31T00:00:00"/>
    <x v="787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34867-1458742102-261] [23/03/2016 at 14:08:00]"/>
  </r>
  <r>
    <s v="3634861-1458742099-82"/>
    <s v="Spot"/>
    <s v="3634861-1458742099-82"/>
    <n v="0"/>
    <d v="2016-03-31T00:00:00"/>
    <x v="788"/>
    <s v="82"/>
    <s v="BUY"/>
    <n v="0"/>
    <x v="0"/>
    <x v="7"/>
    <n v="0.01"/>
    <s v="Deal"/>
    <m/>
    <s v="Original Amount [USD 0.01], Merchant Amount [EUR 0], Customer Amount [USD 0.01], Status [APPROVED], Operation [REFUND], UUID [3634861-1458742099-82] [23/03/2016 at 14:08:00]"/>
  </r>
  <r>
    <s v="3634858-1458742098-199"/>
    <s v="Spot"/>
    <s v="3634858-1458742098-199"/>
    <n v="0"/>
    <d v="2016-03-31T00:00:00"/>
    <x v="789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4858-1458742098-199] [23/03/2016 at 14:08:00]"/>
  </r>
  <r>
    <s v="3634909-1458742160-203"/>
    <s v="Spot"/>
    <s v="3634909-1458742160-203"/>
    <n v="0"/>
    <d v="2016-03-31T00:00:00"/>
    <x v="790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34909-1458742160-203] [23/03/2016 at 14:09:00]"/>
  </r>
  <r>
    <s v="3634849-1458742094-82"/>
    <s v="Spot"/>
    <s v="3634849-1458742094-82"/>
    <n v="0"/>
    <d v="2016-03-31T00:00:00"/>
    <x v="791"/>
    <s v="82"/>
    <s v="SELL"/>
    <n v="0"/>
    <x v="0"/>
    <x v="7"/>
    <n v="0.01"/>
    <s v="Deal"/>
    <m/>
    <s v="Original Amount [USD 0.01], Merchant Amount [EUR 0], Customer Amount [USD 0.01], Status [APPROVED], Operation [STORED], UUID [3634849-1458742094-82] [23/03/2016 at 14:08:00]"/>
  </r>
  <r>
    <s v="3634846-1458742094-261"/>
    <s v="Spot"/>
    <s v="3634846-1458742094-261"/>
    <n v="0"/>
    <d v="2016-03-31T00:00:00"/>
    <x v="792"/>
    <s v="261"/>
    <s v="SELL"/>
    <n v="9.954749439042633"/>
    <x v="0"/>
    <x v="1"/>
    <n v="266.19"/>
    <s v="Deal"/>
    <m/>
    <s v="Original Amount [EUR 26.74], Merchant Amount [EUR 26.74], Customer Amount [NOK 266.19], Status [APPROVED], Operation [DIRECT], UUID [3634846-1458742094-261] [23/03/2016 at 14:08:00]"/>
  </r>
  <r>
    <s v="3634843-1458742088-82"/>
    <s v="Spot"/>
    <s v="3634843-1458742088-82"/>
    <n v="0"/>
    <d v="2016-03-31T00:00:00"/>
    <x v="79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43-1458742088-82] [23/03/2016 at 14:08:00]"/>
  </r>
  <r>
    <s v="3634834-1458742078-82"/>
    <s v="Spot"/>
    <s v="3634834-1458742078-82"/>
    <n v="0"/>
    <d v="2016-03-31T00:00:00"/>
    <x v="79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34-1458742078-82] [23/03/2016 at 14:07:00]"/>
  </r>
  <r>
    <s v="3634816-1458742064-261"/>
    <s v="Spot"/>
    <s v="3634816-1458742064-261"/>
    <n v="0"/>
    <d v="2016-03-31T00:00:00"/>
    <x v="795"/>
    <s v="261"/>
    <s v="SELL"/>
    <n v="9.9546623042767006"/>
    <x v="0"/>
    <x v="1"/>
    <n v="851.92"/>
    <s v="Deal"/>
    <m/>
    <s v="Original Amount [EUR 85.58], Merchant Amount [EUR 85.58], Customer Amount [NOK 851.92], Status [WAITING], Operation [3D], UUID [3634816-1458742064-261] [23/03/2016 at 14:07:00]"/>
  </r>
  <r>
    <s v="3634825-1458742074-107"/>
    <s v="Spot"/>
    <s v="3634825-1458742074-107"/>
    <n v="0"/>
    <d v="2016-03-31T00:00:00"/>
    <x v="796"/>
    <s v="107"/>
    <s v="SELL"/>
    <n v="3.3920271142672691"/>
    <x v="0"/>
    <x v="0"/>
    <n v="210.17"/>
    <s v="Deal"/>
    <m/>
    <s v="Original Amount [EUR 61.96], Merchant Amount [EUR 61.96], Customer Amount [TRY 210.17], Status [APPROVED], Operation [3DAUTH], UUID [3634825-1458742074-107] [23/03/2016 at 14:07:00]"/>
  </r>
  <r>
    <s v="3634792-1458742050-82"/>
    <s v="Spot"/>
    <s v="3634792-1458742050-82"/>
    <n v="0"/>
    <d v="2016-03-31T00:00:00"/>
    <x v="79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92-1458742050-82] [23/03/2016 at 14:07:00]"/>
  </r>
  <r>
    <s v="3634786-1458742047-224"/>
    <s v="Spot"/>
    <s v="3634786-1458742047-224"/>
    <n v="0"/>
    <d v="2016-03-31T00:00:00"/>
    <x v="798"/>
    <s v="224"/>
    <s v="SELL"/>
    <n v="133.03783931998905"/>
    <x v="0"/>
    <x v="3"/>
    <n v="4851.8900000000003"/>
    <s v="Deal"/>
    <m/>
    <s v="Original Amount [EUR 36.47], Merchant Amount [EUR 36.47], Customer Amount [JPY 4851.89], Status [APPROVED], Operation [DIRECT], UUID [3634786-1458742047-224] [23/03/2016 at 14:07:00]"/>
  </r>
  <r>
    <s v="3634780-1458742044-261"/>
    <s v="Spot"/>
    <s v="3634780-1458742044-261"/>
    <n v="0"/>
    <d v="2016-03-31T00:00:00"/>
    <x v="799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4780-1458742044-261] [23/03/2016 at 14:07:00]"/>
  </r>
  <r>
    <s v="3634837-1458742085-111"/>
    <s v="Spot"/>
    <s v="3634837-1458742085-111"/>
    <n v="0"/>
    <d v="2016-03-31T00:00:00"/>
    <x v="800"/>
    <s v="111"/>
    <s v="SELL"/>
    <n v="1.5435000000000001"/>
    <x v="0"/>
    <x v="2"/>
    <n v="30.87"/>
    <s v="Deal"/>
    <m/>
    <s v="Original Amount [EUR 20], Merchant Amount [EUR 20], Customer Amount [CAD 30.87], Status [APPROVED], Operation [3DAUTH], UUID [3634837-1458742085-111] [23/03/2016 at 14:08:00]"/>
  </r>
  <r>
    <s v="3634813-1458742062-200"/>
    <s v="Spot"/>
    <s v="3634813-1458742062-200"/>
    <n v="0"/>
    <d v="2016-03-31T00:00:00"/>
    <x v="801"/>
    <s v="200"/>
    <s v="SELL"/>
    <n v="9.9546491468199658"/>
    <x v="0"/>
    <x v="1"/>
    <n v="1090.93"/>
    <s v="Deal"/>
    <m/>
    <s v="Original Amount [EUR 109.59], Merchant Amount [EUR 109.59], Customer Amount [NOK 1090.93], Status [APPROVED], Operation [3DAUTH], UUID [3634813-1458742062-200] [23/03/2016 at 14:07:00]"/>
  </r>
  <r>
    <s v="3634759-1458742019-199"/>
    <s v="Spot"/>
    <s v="3634759-1458742019-199"/>
    <n v="0"/>
    <d v="2016-03-31T00:00:00"/>
    <x v="802"/>
    <s v="199"/>
    <s v="SELL"/>
    <n v="9.9553903345724919"/>
    <x v="0"/>
    <x v="1"/>
    <n v="107.12"/>
    <s v="Deal"/>
    <m/>
    <s v="Original Amount [EUR 10.76], Merchant Amount [EUR 10.76], Customer Amount [NOK 107.12], Status [APPROVED], Operation [DIRECT], UUID [3634759-1458742019-199] [23/03/2016 at 14:06:00]"/>
  </r>
  <r>
    <s v="3634756-1458742017-82"/>
    <s v="Spot"/>
    <s v="3634756-1458742017-82"/>
    <n v="0"/>
    <d v="2016-03-31T00:00:00"/>
    <x v="80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56-1458742017-82] [23/03/2016 at 14:06:00]"/>
  </r>
  <r>
    <s v="3634735-1458742011-224"/>
    <s v="Spot"/>
    <s v="3634735-1458742011-224"/>
    <n v="0"/>
    <d v="2016-03-31T00:00:00"/>
    <x v="804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4735-1458742011-224] [23/03/2016 at 14:06:00]"/>
  </r>
  <r>
    <s v="3634732-1458742007-199"/>
    <s v="Spot"/>
    <s v="3634732-1458742007-199"/>
    <n v="0"/>
    <d v="2016-03-31T00:00:00"/>
    <x v="805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4732-1458742007-199] [23/03/2016 at 14:06:00]"/>
  </r>
  <r>
    <s v="3634729-1458742006-82"/>
    <s v="Spot"/>
    <s v="3634729-1458742006-82"/>
    <n v="0"/>
    <d v="2016-03-31T00:00:00"/>
    <x v="80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29-1458742006-82] [23/03/2016 at 14:06:00]"/>
  </r>
  <r>
    <s v="3634723-1458742003-82"/>
    <s v="Spot"/>
    <s v="3634723-1458742003-82"/>
    <n v="0"/>
    <d v="2016-03-31T00:00:00"/>
    <x v="807"/>
    <s v="82"/>
    <s v="SELL"/>
    <n v="1.1863543788187374"/>
    <x v="0"/>
    <x v="7"/>
    <n v="34.950000000000003"/>
    <s v="Deal"/>
    <m/>
    <s v="Original Amount [USD 34.95], Merchant Amount [EUR 29.46], Customer Amount [USD 34.95], Status [APPROVED], Operation [DIRECT], UUID [3634723-1458742003-82] [23/03/2016 at 14:06:00]"/>
  </r>
  <r>
    <s v="3634714-1458741995-82"/>
    <s v="Spot"/>
    <s v="3634714-1458741995-82"/>
    <n v="0"/>
    <d v="2016-03-31T00:00:00"/>
    <x v="80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14-1458741995-82] [23/03/2016 at 14:06:00]"/>
  </r>
  <r>
    <s v="3634738-1458742012-56"/>
    <s v="Spot"/>
    <s v="3634738-1458742012-56"/>
    <n v="0"/>
    <d v="2016-03-31T00:00:00"/>
    <x v="809"/>
    <s v="56"/>
    <s v="SELL"/>
    <n v="3.3919717871590085"/>
    <x v="0"/>
    <x v="0"/>
    <n v="327.02"/>
    <s v="Deal"/>
    <m/>
    <s v="Original Amount [EUR 96.41], Merchant Amount [EUR 96.41], Customer Amount [TRY 327.02], Status [APPROVED], Operation [3DAUTH], UUID [3634738-1458742012-56] [23/03/2016 at 14:06:00]"/>
  </r>
  <r>
    <s v="3634684-1458741975-82"/>
    <s v="Spot"/>
    <s v="3634684-1458741975-82"/>
    <n v="0"/>
    <d v="2016-03-31T00:00:00"/>
    <x v="81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684-1458741975-82] [23/03/2016 at 14:06:00]"/>
  </r>
  <r>
    <s v="3634681-1458741968-187"/>
    <s v="Spot"/>
    <s v="3634681-1458741968-187"/>
    <n v="0"/>
    <d v="2016-03-31T00:00:00"/>
    <x v="811"/>
    <s v="187"/>
    <s v="SELL"/>
    <n v="9.9546242319205938"/>
    <x v="0"/>
    <x v="1"/>
    <n v="631.82000000000005"/>
    <s v="Deal"/>
    <m/>
    <s v="Original Amount [EUR 63.47], Merchant Amount [EUR 63.47], Customer Amount [NOK 631.82], Status [APPROVED], Operation [DIRECT], UUID [3634681-1458741968-187] [23/03/2016 at 14:06:00]"/>
  </r>
  <r>
    <s v="3634774-1458742034-107"/>
    <s v="Spot"/>
    <s v="3634774-1458742034-107"/>
    <n v="0"/>
    <d v="2016-03-31T00:00:00"/>
    <x v="812"/>
    <s v="107"/>
    <s v="SELL"/>
    <n v="3.387860525182953"/>
    <x v="0"/>
    <x v="0"/>
    <n v="78.7"/>
    <s v="Deal"/>
    <m/>
    <s v="Original Amount [EUR 23.23], Merchant Amount [EUR 23.23], Customer Amount [TRY 78.7], Status [APPROVED], Operation [3DAUTH], UUID [3634774-1458742034-107] [23/03/2016 at 14:07:00]"/>
  </r>
  <r>
    <s v="3634672-1458741960-82"/>
    <s v="Spot"/>
    <s v="3634672-1458741960-82"/>
    <n v="0"/>
    <d v="2016-03-31T00:00:00"/>
    <x v="813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672-1458741960-82] [23/03/2016 at 14:06:00]"/>
  </r>
  <r>
    <s v="3634687-1458741975-107"/>
    <s v="Spot"/>
    <s v="3634687-1458741975-107"/>
    <n v="0"/>
    <d v="2016-03-31T00:00:00"/>
    <x v="814"/>
    <s v="107"/>
    <s v="SELL"/>
    <n v="3.3879922530664941"/>
    <x v="0"/>
    <x v="0"/>
    <n v="104.96"/>
    <s v="Deal"/>
    <m/>
    <s v="Original Amount [EUR 30.98], Merchant Amount [EUR 30.98], Customer Amount [TRY 104.96], Status [APPROVED], Operation [3DAUTH], UUID [3634687-1458741975-107] [23/03/2016 at 14:06:00]"/>
  </r>
  <r>
    <s v="3634639-1458741935-199"/>
    <s v="Spot"/>
    <s v="3634639-1458741935-199"/>
    <n v="0"/>
    <d v="2016-03-31T00:00:00"/>
    <x v="815"/>
    <s v="199"/>
    <s v="SELL"/>
    <n v="9.9665427509293671"/>
    <x v="0"/>
    <x v="1"/>
    <n v="107.24"/>
    <s v="Deal"/>
    <m/>
    <s v="Original Amount [EUR 10.76], Merchant Amount [EUR 10.76], Customer Amount [NOK 107.24], Status [APPROVED], Operation [DIRECT], UUID [3634639-1458741935-199] [23/03/2016 at 14:05:00]"/>
  </r>
  <r>
    <s v="3634624-1458741923-119"/>
    <s v="Spot"/>
    <s v="3634624-1458741923-119"/>
    <n v="0"/>
    <d v="2016-03-31T00:00:00"/>
    <x v="816"/>
    <s v="119"/>
    <s v="SELL"/>
    <n v="9.9663000000000004"/>
    <x v="0"/>
    <x v="1"/>
    <n v="1993.26"/>
    <s v="Deal"/>
    <m/>
    <s v="Original Amount [EUR 200], Merchant Amount [EUR 200], Customer Amount [NOK 1993.26], Status [APPROVED], Operation [DIRECT], UUID [3634624-1458741923-119] [23/03/2016 at 14:05:00]"/>
  </r>
  <r>
    <s v="3634690-1458741977-216"/>
    <s v="Spot"/>
    <s v="3634690-1458741977-216"/>
    <n v="0"/>
    <d v="2016-03-31T00:00:00"/>
    <x v="817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4690-1458741977-216] [23/03/2016 at 14:06:00]"/>
  </r>
  <r>
    <s v="3634606-1458741897-126"/>
    <s v="Spot"/>
    <s v="3634606-1458741897-126"/>
    <n v="0"/>
    <d v="2016-03-31T00:00:00"/>
    <x v="818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DIRECT], UUID [3634606-1458741897-126] [23/03/2016 at 14:04:00]"/>
  </r>
  <r>
    <s v="3634603-1458741889-145"/>
    <s v="Spot"/>
    <s v="3634603-1458741889-145"/>
    <n v="0"/>
    <d v="2016-03-31T00:00:00"/>
    <x v="819"/>
    <s v="145"/>
    <s v="SELL"/>
    <n v="9.9664778092540143"/>
    <x v="0"/>
    <x v="1"/>
    <n v="211.09"/>
    <s v="Deal"/>
    <m/>
    <s v="Original Amount [EUR 21.18], Merchant Amount [EUR 21.18], Customer Amount [NOK 211.09], Status [APPROVED], Operation [DIRECT], UUID [3634603-1458741889-145] [23/03/2016 at 14:04:00]"/>
  </r>
  <r>
    <s v="3634582-1458741868-200"/>
    <s v="Spot"/>
    <s v="3634582-1458741868-200"/>
    <n v="0"/>
    <d v="2016-03-31T00:00:00"/>
    <x v="820"/>
    <s v="200"/>
    <s v="SELL"/>
    <n v="9.9664233576642332"/>
    <x v="0"/>
    <x v="1"/>
    <n v="273.08"/>
    <s v="Deal"/>
    <m/>
    <s v="Original Amount [EUR 27.4], Merchant Amount [EUR 27.4], Customer Amount [NOK 273.08], Status [APPROVED], Operation [STORED], UUID [3634582-1458741868-200] [23/03/2016 at 14:04:00]"/>
  </r>
  <r>
    <s v="3634618-1458741913-126"/>
    <s v="Spot"/>
    <s v="3634618-1458741913-126"/>
    <n v="0"/>
    <d v="2016-03-31T00:00:00"/>
    <x v="821"/>
    <s v="126"/>
    <s v="SELL"/>
    <n v="9.9664390243902439"/>
    <x v="0"/>
    <x v="1"/>
    <n v="510.78"/>
    <s v="Deal"/>
    <m/>
    <s v="Original Amount [EUR 51.25], Merchant Amount [EUR 51.25], Customer Amount [NOK 510.78], Status [APPROVED], Operation [3DAUTH], UUID [3634618-1458741913-126] [23/03/2016 at 14:05:00]"/>
  </r>
  <r>
    <s v="3634576-1458741864-56"/>
    <s v="Spot"/>
    <s v="3634576-1458741864-56"/>
    <n v="0"/>
    <d v="2016-03-31T00:00:00"/>
    <x v="822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4576-1458741864-56] [23/03/2016 at 14:04:00]"/>
  </r>
  <r>
    <s v="3634537-1458741835-199"/>
    <s v="Spot"/>
    <s v="3634537-1458741835-199"/>
    <n v="0"/>
    <d v="2016-03-31T00:00:00"/>
    <x v="823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4537-1458741835-199] [23/03/2016 at 14:03:00]"/>
  </r>
  <r>
    <s v="3634534-1458741834-82"/>
    <s v="Spot"/>
    <s v="3634534-1458741834-82"/>
    <n v="0"/>
    <d v="2016-03-31T00:00:00"/>
    <x v="824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534-1458741834-82] [23/03/2016 at 14:03:00]"/>
  </r>
  <r>
    <s v="3634531-1458741828-199"/>
    <s v="Spot"/>
    <s v="3634531-1458741828-199"/>
    <n v="0"/>
    <d v="2016-03-31T00:00:00"/>
    <x v="825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4531-1458741828-199] [23/03/2016 at 14:03:00]"/>
  </r>
  <r>
    <s v="3634573-1458741863-101"/>
    <s v="Spot"/>
    <s v="3634573-1458741863-101"/>
    <n v="0"/>
    <d v="2016-03-31T00:00:00"/>
    <x v="826"/>
    <s v="101"/>
    <s v="SELL"/>
    <n v="3.3883268482490272"/>
    <x v="0"/>
    <x v="0"/>
    <n v="43.54"/>
    <s v="Deal"/>
    <m/>
    <s v="Original Amount [EUR 12.85], Merchant Amount [EUR 12.85], Customer Amount [TRY 43.54], Status [APPROVED], Operation [3DAUTH], UUID [3634573-1458741863-101] [23/03/2016 at 14:04:00]"/>
  </r>
  <r>
    <s v="3634525-1458741824-119"/>
    <s v="Spot"/>
    <s v="3634525-1458741824-119"/>
    <n v="0"/>
    <d v="2016-03-31T00:00:00"/>
    <x v="827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4525-1458741824-119] [23/03/2016 at 14:03:00]"/>
  </r>
  <r>
    <s v="3634546-1458741842-216"/>
    <s v="Spot"/>
    <s v="3634546-1458741842-216"/>
    <n v="0"/>
    <d v="2016-03-31T00:00:00"/>
    <x v="828"/>
    <s v="216"/>
    <s v="SELL"/>
    <n v="3.3878168747635264"/>
    <x v="0"/>
    <x v="0"/>
    <n v="179.08"/>
    <s v="Deal"/>
    <m/>
    <s v="Original Amount [EUR 52.86], Merchant Amount [EUR 52.86], Customer Amount [TRY 179.08], Status [APPROVED], Operation [3DAUTH], UUID [3634546-1458741842-216] [23/03/2016 at 14:04:00]"/>
  </r>
  <r>
    <s v="3634513-1458741822-224"/>
    <s v="Spot"/>
    <s v="3634513-1458741822-224"/>
    <n v="0"/>
    <d v="2016-03-31T00:00:00"/>
    <x v="829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34513-1458741822-224] [23/03/2016 at 14:03:00]"/>
  </r>
  <r>
    <s v="3634510-1458741817-200"/>
    <s v="Spot"/>
    <s v="3634510-1458741817-200"/>
    <n v="0"/>
    <d v="2016-03-31T00:00:00"/>
    <x v="830"/>
    <s v="200"/>
    <s v="SELL"/>
    <n v="9.9666818804199"/>
    <x v="0"/>
    <x v="1"/>
    <n v="218.37"/>
    <s v="Deal"/>
    <m/>
    <s v="Original Amount [EUR 21.91], Merchant Amount [EUR 21.91], Customer Amount [NOK 218.37], Status [APPROVED], Operation [STORED], UUID [3634510-1458741817-200] [23/03/2016 at 14:03:00]"/>
  </r>
  <r>
    <s v="3634504-1458741809-199"/>
    <s v="Spot"/>
    <s v="3634504-1458741809-199"/>
    <n v="0"/>
    <d v="2016-03-31T00:00:00"/>
    <x v="831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4504-1458741809-199] [23/03/2016 at 14:03:00]"/>
  </r>
  <r>
    <s v="3634486-1458741790-224"/>
    <s v="Spot"/>
    <s v="3634486-1458741790-224"/>
    <n v="0"/>
    <d v="2016-03-31T00:00:00"/>
    <x v="832"/>
    <s v="224"/>
    <s v="SELL"/>
    <n v="132.83243164205294"/>
    <x v="0"/>
    <x v="3"/>
    <n v="9084.41"/>
    <s v="Deal"/>
    <m/>
    <s v="Original Amount [EUR 68.39], Merchant Amount [EUR 68.39], Customer Amount [JPY 9084.41], Status [APPROVED], Operation [DIRECT], UUID [3634486-1458741790-224] [23/03/2016 at 14:03:00]"/>
  </r>
  <r>
    <s v="3634483-1458741783-199"/>
    <s v="Spot"/>
    <s v="3634483-1458741783-199"/>
    <n v="0"/>
    <d v="2016-03-31T00:00:00"/>
    <x v="833"/>
    <s v="199"/>
    <s v="SELL"/>
    <n v="9.9670245398773005"/>
    <x v="0"/>
    <x v="1"/>
    <n v="129.97"/>
    <s v="Deal"/>
    <m/>
    <s v="Original Amount [EUR 13.04], Merchant Amount [EUR 13.04], Customer Amount [NOK 129.97], Status [APPROVED], Operation [DIRECT], UUID [3634483-1458741783-199] [23/03/2016 at 14:03:00]"/>
  </r>
  <r>
    <s v="3634459-1458741752-224"/>
    <s v="Spot"/>
    <s v="3634459-1458741752-224"/>
    <n v="0"/>
    <d v="2016-03-31T00:00:00"/>
    <x v="834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34459-1458741752-224] [23/03/2016 at 14:02:00]"/>
  </r>
  <r>
    <s v="3634555-1458741848-216"/>
    <s v="Spot"/>
    <s v="3634555-1458741848-216"/>
    <n v="0"/>
    <d v="2016-03-31T00:00:00"/>
    <x v="835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34555-1458741848-216] [23/03/2016 at 14:04:00]"/>
  </r>
  <r>
    <s v="3634444-1458741735-125"/>
    <s v="Spot"/>
    <s v="3634444-1458741735-125"/>
    <n v="0"/>
    <d v="2016-03-31T00:00:00"/>
    <x v="836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4444-1458741735-125] [23/03/2016 at 14:02:00]"/>
  </r>
  <r>
    <s v="3634441-1458741734-119"/>
    <s v="Spot"/>
    <s v="3634441-1458741734-119"/>
    <n v="0"/>
    <d v="2016-03-31T00:00:00"/>
    <x v="837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4441-1458741734-119] [23/03/2016 at 14:02:00]"/>
  </r>
  <r>
    <s v="3634432-1458741714-199"/>
    <s v="Spot"/>
    <s v="3634432-1458741714-199"/>
    <n v="0"/>
    <d v="2016-03-31T00:00:00"/>
    <x v="838"/>
    <s v="199"/>
    <s v="SELL"/>
    <n v="9.9506013745704465"/>
    <x v="0"/>
    <x v="1"/>
    <n v="1621.55"/>
    <s v="Deal"/>
    <m/>
    <s v="Original Amount [EUR 162.96], Merchant Amount [EUR 162.96], Customer Amount [NOK 1621.55], Status [APPROVED], Operation [DIRECT], UUID [3634432-1458741714-199] [23/03/2016 at 14:01:00]"/>
  </r>
  <r>
    <s v="3634450-1458741747-224"/>
    <s v="Spot"/>
    <s v="3634450-1458741747-224"/>
    <n v="0"/>
    <d v="2016-03-31T00:00:00"/>
    <x v="839"/>
    <s v="224"/>
    <s v="SELL"/>
    <n v="9.9505675818373813"/>
    <x v="0"/>
    <x v="1"/>
    <n v="1507.71"/>
    <s v="Deal"/>
    <m/>
    <s v="Original Amount [EUR 151.52], Merchant Amount [EUR 151.52], Customer Amount [NOK 1507.71], Status [APPROVED], Operation [3DAUTH], UUID [3634450-1458741747-224] [23/03/2016 at 14:02:00]"/>
  </r>
  <r>
    <s v="3634423-1458741705-199"/>
    <s v="Spot"/>
    <s v="3634423-1458741705-199"/>
    <n v="0"/>
    <d v="2016-03-31T00:00:00"/>
    <x v="840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4423-1458741705-199] [23/03/2016 at 14:01:00]"/>
  </r>
  <r>
    <s v="3634414-1458741684-199"/>
    <s v="Spot"/>
    <s v="3634414-1458741684-199"/>
    <n v="0"/>
    <d v="2016-03-31T00:00:00"/>
    <x v="841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4414-1458741684-199] [23/03/2016 at 14:01:00]"/>
  </r>
  <r>
    <s v="3634387-1458741664-199"/>
    <s v="Spot"/>
    <s v="3634387-1458741664-199"/>
    <n v="0"/>
    <d v="2016-03-31T00:00:00"/>
    <x v="842"/>
    <s v="199"/>
    <s v="SELL"/>
    <n v="9.9509202453987733"/>
    <x v="0"/>
    <x v="1"/>
    <n v="129.76"/>
    <s v="Deal"/>
    <m/>
    <s v="Original Amount [EUR 13.04], Merchant Amount [EUR 13.04], Customer Amount [NOK 129.76], Status [APPROVED], Operation [DIRECT], UUID [3634387-1458741664-199] [23/03/2016 at 14:01:00]"/>
  </r>
  <r>
    <s v="3634384-1458741663-216"/>
    <s v="Spot"/>
    <s v="3634384-1458741663-216"/>
    <n v="0"/>
    <d v="2016-03-31T00:00:00"/>
    <x v="843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4384-1458741663-216] [23/03/2016 at 14:01:00]"/>
  </r>
  <r>
    <s v="3634381-1458741662-145"/>
    <s v="Spot"/>
    <s v="3634381-1458741662-145"/>
    <n v="0"/>
    <d v="2016-03-31T00:00:00"/>
    <x v="844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34381-1458741662-145] [23/03/2016 at 14:01:00]"/>
  </r>
  <r>
    <s v="3634375-1458741655-264"/>
    <s v="Spot"/>
    <s v="3634375-1458741655-264"/>
    <n v="0"/>
    <d v="2016-03-31T00:00:00"/>
    <x v="845"/>
    <s v="264"/>
    <s v="SELL"/>
    <n v="1.1813504823151126"/>
    <x v="0"/>
    <x v="7"/>
    <n v="18.37"/>
    <s v="Deal"/>
    <m/>
    <s v="Original Amount [TRY 50], Merchant Amount [EUR 15.55], Customer Amount [USD 18.37], Status [APPROVED], Operation [3DAUTH], UUID [3634375-1458741655-264] [23/03/2016 at 14:00:00]"/>
  </r>
  <r>
    <s v="3634366-1458741646-224"/>
    <s v="Spot"/>
    <s v="3634366-1458741646-224"/>
    <n v="0"/>
    <d v="2016-03-31T00:00:00"/>
    <x v="846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366-1458741646-224] [23/03/2016 at 14:00:00]"/>
  </r>
  <r>
    <s v="3634390-1458741665-203"/>
    <s v="Spot"/>
    <s v="3634390-1458741665-203"/>
    <n v="0"/>
    <d v="2016-03-31T00:00:00"/>
    <x v="847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34390-1458741665-203] [23/03/2016 at 14:01:00]"/>
  </r>
  <r>
    <s v="3634351-1458741640-200"/>
    <s v="Spot"/>
    <s v="3634351-1458741640-200"/>
    <n v="0"/>
    <d v="2016-03-31T00:00:00"/>
    <x v="848"/>
    <s v="200"/>
    <s v="SELL"/>
    <n v="9.9550000000000001"/>
    <x v="0"/>
    <x v="1"/>
    <n v="19.91"/>
    <s v="Deal"/>
    <m/>
    <s v="Original Amount [EUR 2], Merchant Amount [EUR 2], Customer Amount [NOK 19.91], Status [APPROVED], Operation [STORED], UUID [3634351-1458741640-200] [23/03/2016 at 14:00:00]"/>
  </r>
  <r>
    <s v="3634342-1458741625-199"/>
    <s v="Spot"/>
    <s v="3634342-1458741625-199"/>
    <n v="0"/>
    <d v="2016-03-31T00:00:00"/>
    <x v="849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4342-1458741625-199] [23/03/2016 at 14:00:00]"/>
  </r>
  <r>
    <s v="3634333-1458741613-119"/>
    <s v="Spot"/>
    <s v="3634333-1458741613-119"/>
    <n v="0"/>
    <d v="2016-03-31T00:00:00"/>
    <x v="850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34333-1458741613-119] [23/03/2016 at 14:00:00]"/>
  </r>
  <r>
    <s v="3634330-1458741610-199"/>
    <s v="Spot"/>
    <s v="3634330-1458741610-199"/>
    <n v="0"/>
    <d v="2016-03-31T00:00:00"/>
    <x v="851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4330-1458741610-199] [23/03/2016 at 14:00:00]"/>
  </r>
  <r>
    <s v="3634357-1458741641-216"/>
    <s v="Spot"/>
    <s v="3634357-1458741641-216"/>
    <n v="0"/>
    <d v="2016-03-31T00:00:00"/>
    <x v="852"/>
    <s v="216"/>
    <s v="SELL"/>
    <n v="3.392282958199357"/>
    <x v="0"/>
    <x v="0"/>
    <n v="94.95"/>
    <s v="Deal"/>
    <m/>
    <s v="Original Amount [EUR 27.99], Merchant Amount [EUR 27.99], Customer Amount [TRY 94.95], Status [APPROVED], Operation [3DAUTH], UUID [3634357-1458741641-216] [23/03/2016 at 14:00:00]"/>
  </r>
  <r>
    <s v="3634339-1458741625-56"/>
    <s v="Spot"/>
    <s v="3634339-1458741625-56"/>
    <n v="0"/>
    <d v="2016-03-31T00:00:00"/>
    <x v="853"/>
    <s v="56"/>
    <s v="SELL"/>
    <n v="3.3959074733096086"/>
    <x v="0"/>
    <x v="0"/>
    <n v="38.17"/>
    <s v="Deal"/>
    <m/>
    <s v="Original Amount [EUR 11.24], Merchant Amount [EUR 11.24], Customer Amount [TRY 38.17], Status [APPROVED], Operation [3DAUTH], UUID [3634339-1458741625-56] [23/03/2016 at 14:00:00]"/>
  </r>
  <r>
    <s v="3634306-1458741569-187"/>
    <s v="Spot"/>
    <s v="3634306-1458741569-187"/>
    <n v="0"/>
    <d v="2016-03-31T00:00:00"/>
    <x v="854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4306-1458741569-187] [23/03/2016 at 13:59:00]"/>
  </r>
  <r>
    <s v="3634318-1458741593-216"/>
    <s v="Spot"/>
    <s v="3634318-1458741593-216"/>
    <n v="0"/>
    <d v="2016-03-31T00:00:00"/>
    <x v="855"/>
    <s v="216"/>
    <s v="SELL"/>
    <n v="3.3954983922829585"/>
    <x v="0"/>
    <x v="0"/>
    <n v="95.04"/>
    <s v="Deal"/>
    <m/>
    <s v="Original Amount [EUR 27.99], Merchant Amount [EUR 27.99], Customer Amount [TRY 95.04], Status [APPROVED], Operation [3DAUTH], UUID [3634318-1458741593-216] [23/03/2016 at 13:59:00]"/>
  </r>
  <r>
    <s v="3634291-1458741553-264"/>
    <s v="Spot"/>
    <s v="3634291-1458741553-264"/>
    <n v="0"/>
    <d v="2016-03-31T00:00:00"/>
    <x v="856"/>
    <s v="264"/>
    <s v="SELL"/>
    <n v="1.1805421622200793"/>
    <x v="0"/>
    <x v="7"/>
    <n v="110.18"/>
    <s v="Deal"/>
    <m/>
    <s v="Original Amount [TRY 300], Merchant Amount [EUR 93.33], Customer Amount [USD 110.18], Status [APPROVED], Operation [3DAUTH], UUID [3634291-1458741553-264] [23/03/2016 at 13:59:00]"/>
  </r>
  <r>
    <s v="3634270-1458741527-264"/>
    <s v="Spot"/>
    <s v="3634270-1458741527-264"/>
    <n v="0"/>
    <d v="2016-03-31T00:00:00"/>
    <x v="857"/>
    <s v="264"/>
    <s v="SELL"/>
    <n v="1.1805421622200793"/>
    <x v="0"/>
    <x v="7"/>
    <n v="110.18"/>
    <s v="Deal"/>
    <m/>
    <s v="Original Amount [TRY 300], Merchant Amount [EUR 93.33], Customer Amount [USD 110.18], Status [APPROVED], Operation [3DAUTH], UUID [3634270-1458741527-264] [23/03/2016 at 13:58:00]"/>
  </r>
  <r>
    <s v="3634288-1458741551-101"/>
    <s v="Spot"/>
    <s v="3634288-1458741551-101"/>
    <n v="0"/>
    <d v="2016-03-31T00:00:00"/>
    <x v="858"/>
    <s v="101"/>
    <s v="SELL"/>
    <n v="3.3954280155642027"/>
    <x v="0"/>
    <x v="0"/>
    <n v="69.81"/>
    <s v="Deal"/>
    <m/>
    <s v="Original Amount [EUR 20.56], Merchant Amount [EUR 20.56], Customer Amount [TRY 69.81], Status [APPROVED], Operation [3DAUTH], UUID [3634288-1458741551-101] [23/03/2016 at 13:59:00]"/>
  </r>
  <r>
    <s v="3634261-1458741508-101"/>
    <s v="Spot"/>
    <s v="3634261-1458741508-101"/>
    <n v="0"/>
    <d v="2016-03-31T00:00:00"/>
    <x v="859"/>
    <s v="101"/>
    <s v="SELL"/>
    <n v="3.3953922789539233"/>
    <x v="0"/>
    <x v="0"/>
    <n v="54.53"/>
    <s v="Deal"/>
    <m/>
    <s v="Original Amount [EUR 16.06], Merchant Amount [EUR 16.06], Customer Amount [TRY 54.53], Status [APPROVED], Operation [3DAUTH], UUID [3634261-1458741508-101] [23/03/2016 at 13:58:00]"/>
  </r>
  <r>
    <s v="3634228-1458741462-124"/>
    <s v="Spot"/>
    <s v="3634228-1458741462-124"/>
    <n v="0"/>
    <d v="2016-03-31T00:00:00"/>
    <x v="860"/>
    <s v="124"/>
    <s v="SELL"/>
    <n v="9.950897072710104"/>
    <x v="0"/>
    <x v="1"/>
    <n v="105.38"/>
    <s v="Deal"/>
    <m/>
    <s v="Original Amount [EUR 10.59], Merchant Amount [EUR 10.59], Customer Amount [NOK 105.38], Status [APPROVED], Operation [DIRECT], UUID [3634228-1458741462-124] [23/03/2016 at 13:57:00]"/>
  </r>
  <r>
    <s v="3634252-1458741493-216"/>
    <s v="Spot"/>
    <s v="3634252-1458741493-216"/>
    <n v="0"/>
    <d v="2016-03-31T00:00:00"/>
    <x v="861"/>
    <s v="216"/>
    <s v="SELL"/>
    <n v="3.3953960731211916"/>
    <x v="0"/>
    <x v="0"/>
    <n v="100.3"/>
    <s v="Deal"/>
    <m/>
    <s v="Original Amount [EUR 29.54], Merchant Amount [EUR 29.54], Customer Amount [TRY 100.3], Status [APPROVED], Operation [3DAUTH], UUID [3634252-1458741493-216] [23/03/2016 at 13:58:00]"/>
  </r>
  <r>
    <s v="3634204-1458741424-224"/>
    <s v="Spot"/>
    <s v="3634204-1458741424-224"/>
    <n v="0"/>
    <d v="2016-03-31T00:00:00"/>
    <x v="862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204-1458741424-224] [23/03/2016 at 13:57:00]"/>
  </r>
  <r>
    <s v="3634201-1458741423-200"/>
    <s v="Spot"/>
    <s v="3634201-1458741423-200"/>
    <n v="0"/>
    <d v="2016-03-31T00:00:00"/>
    <x v="863"/>
    <s v="200"/>
    <s v="SELL"/>
    <n v="9.9512499999999999"/>
    <x v="0"/>
    <x v="1"/>
    <n v="79.61"/>
    <s v="Deal"/>
    <m/>
    <s v="Original Amount [EUR 8], Merchant Amount [EUR 8], Customer Amount [NOK 79.61], Status [APPROVED], Operation [STORED], UUID [3634201-1458741423-200] [23/03/2016 at 13:57:00]"/>
  </r>
  <r>
    <s v="3634192-1458741412-224"/>
    <s v="Spot"/>
    <s v="3634192-1458741412-224"/>
    <n v="0"/>
    <d v="2016-03-31T00:00:00"/>
    <x v="864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192-1458741412-224] [23/03/2016 at 13:56:00]"/>
  </r>
  <r>
    <s v="3634186-1458741388-199"/>
    <s v="Spot"/>
    <s v="3634186-1458741388-199"/>
    <n v="0"/>
    <d v="2016-03-31T00:00:00"/>
    <x v="865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4186-1458741388-199] [23/03/2016 at 13:56:00]"/>
  </r>
  <r>
    <s v="3634189-1458741391-56"/>
    <s v="Spot"/>
    <s v="3634189-1458741391-56"/>
    <n v="0"/>
    <d v="2016-03-31T00:00:00"/>
    <x v="866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4189-1458741391-56] [23/03/2016 at 13:56:00]"/>
  </r>
  <r>
    <s v="3634171-1458741364-119"/>
    <s v="Spot"/>
    <s v="3634171-1458741364-119"/>
    <n v="0"/>
    <d v="2016-03-31T00:00:00"/>
    <x v="86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4171-1458741364-119] [23/03/2016 at 13:56:00]"/>
  </r>
  <r>
    <s v="3634168-1458741358-119"/>
    <s v="Spot"/>
    <s v="3634168-1458741358-119"/>
    <n v="0"/>
    <d v="2016-03-31T00:00:00"/>
    <x v="86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4168-1458741358-119] [23/03/2016 at 13:55:00]"/>
  </r>
  <r>
    <s v="3634135-1458741327-126"/>
    <s v="Spot"/>
    <s v="3634135-1458741327-126"/>
    <n v="0"/>
    <d v="2016-03-31T00:00:00"/>
    <x v="869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4135-1458741327-126] [23/03/2016 at 13:55:00]"/>
  </r>
  <r>
    <s v="3634120-1458741315-224"/>
    <s v="Spot"/>
    <s v="3634120-1458741315-224"/>
    <n v="0"/>
    <d v="2016-03-31T00:00:00"/>
    <x v="870"/>
    <s v="224"/>
    <s v="SELL"/>
    <n v="133.03618421052633"/>
    <x v="0"/>
    <x v="3"/>
    <n v="1213.29"/>
    <s v="Deal"/>
    <m/>
    <s v="Original Amount [EUR 9.12], Merchant Amount [EUR 9.12], Customer Amount [JPY 1213.29], Status [APPROVED], Operation [DIRECT], UUID [3634120-1458741315-224] [23/03/2016 at 13:55:00]"/>
  </r>
  <r>
    <s v="3634150-1458741348-216"/>
    <s v="Spot"/>
    <s v="3634150-1458741348-216"/>
    <n v="0"/>
    <d v="2016-03-31T00:00:00"/>
    <x v="871"/>
    <s v="216"/>
    <s v="SELL"/>
    <n v="3.39766081871345"/>
    <x v="0"/>
    <x v="0"/>
    <n v="58.1"/>
    <s v="Deal"/>
    <m/>
    <s v="Original Amount [EUR 17.1], Merchant Amount [EUR 17.1], Customer Amount [TRY 58.1], Status [APPROVED], Operation [3DAUTH], UUID [3634150-1458741348-216] [23/03/2016 at 13:55:00]"/>
  </r>
  <r>
    <s v="3634114-1458741305-224"/>
    <s v="Spot"/>
    <s v="3634114-1458741305-224"/>
    <n v="0"/>
    <d v="2016-03-31T00:00:00"/>
    <x v="872"/>
    <s v="224"/>
    <s v="SELL"/>
    <n v="133.03554190434403"/>
    <x v="0"/>
    <x v="3"/>
    <n v="3031.88"/>
    <s v="Deal"/>
    <m/>
    <s v="Original Amount [EUR 22.79], Merchant Amount [EUR 22.79], Customer Amount [JPY 3031.88], Status [APPROVED], Operation [DIRECT], UUID [3634114-1458741305-224] [23/03/2016 at 13:55:00]"/>
  </r>
  <r>
    <s v="3634141-1458741331-216"/>
    <s v="Spot"/>
    <s v="3634141-1458741331-216"/>
    <n v="0"/>
    <d v="2016-03-31T00:00:00"/>
    <x v="873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34141-1458741331-216] [23/03/2016 at 13:55:00]"/>
  </r>
  <r>
    <s v="3634138-1458741331-101"/>
    <s v="Spot"/>
    <s v="3634138-1458741331-101"/>
    <n v="0"/>
    <d v="2016-03-31T00:00:00"/>
    <x v="874"/>
    <s v="101"/>
    <s v="SELL"/>
    <n v="3.3974403320650293"/>
    <x v="0"/>
    <x v="0"/>
    <n v="98.22"/>
    <s v="Deal"/>
    <m/>
    <s v="Original Amount [EUR 28.91], Merchant Amount [EUR 28.91], Customer Amount [TRY 98.22], Status [APPROVED], Operation [3DAUTH], UUID [3634138-1458741331-101] [23/03/2016 at 13:55:00]"/>
  </r>
  <r>
    <s v="3634099-1458741285-171"/>
    <s v="Spot"/>
    <s v="3634099-1458741285-171"/>
    <n v="0"/>
    <d v="2016-03-31T00:00:00"/>
    <x v="875"/>
    <s v="171"/>
    <s v="SELL"/>
    <n v="9.9510000000000005"/>
    <x v="0"/>
    <x v="1"/>
    <n v="99.51"/>
    <s v="Deal"/>
    <m/>
    <s v="Original Amount [EUR 10], Merchant Amount [EUR 10], Customer Amount [NOK 99.51], Status [APPROVED], Operation [DIRECT], UUID [3634099-1458741285-171] [23/03/2016 at 13:54:00]"/>
  </r>
  <r>
    <s v="3634090-1458741276-261"/>
    <s v="Spot"/>
    <s v="3634090-1458741276-261"/>
    <n v="0"/>
    <d v="2016-03-31T00:00:00"/>
    <x v="876"/>
    <s v="261"/>
    <s v="SELL"/>
    <n v="9.9505595584853594"/>
    <x v="0"/>
    <x v="1"/>
    <n v="5192.6000000000004"/>
    <s v="Deal"/>
    <m/>
    <s v="Original Amount [EUR 521.84], Merchant Amount [EUR 521.84], Customer Amount [NOK 5192.6], Status [APPROVED], Operation [DIRECT], UUID [3634090-1458741276-261] [23/03/2016 at 13:54:00]"/>
  </r>
  <r>
    <s v="3634129-1458741318-101"/>
    <s v="Spot"/>
    <s v="3634129-1458741318-101"/>
    <n v="0"/>
    <d v="2016-03-31T00:00:00"/>
    <x v="877"/>
    <s v="101"/>
    <s v="SELL"/>
    <n v="3.3972363998506161"/>
    <x v="0"/>
    <x v="0"/>
    <n v="272.89999999999998"/>
    <s v="Deal"/>
    <m/>
    <s v="Original Amount [EUR 80.33], Merchant Amount [EUR 80.33], Customer Amount [TRY 272.9], Status [APPROVED], Operation [3DAUTH], UUID [3634129-1458741318-101] [23/03/2016 at 13:55:00]"/>
  </r>
  <r>
    <s v="3634084-1458741272-145"/>
    <s v="Spot"/>
    <s v="3634084-1458741272-145"/>
    <n v="0"/>
    <d v="2016-03-31T00:00:00"/>
    <x v="878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34084-1458741272-145] [23/03/2016 at 13:54:00]"/>
  </r>
  <r>
    <s v="3634075-1458741262-199"/>
    <s v="Spot"/>
    <s v="3634075-1458741262-199"/>
    <n v="0"/>
    <d v="2016-03-31T00:00:00"/>
    <x v="879"/>
    <s v="199"/>
    <s v="SELL"/>
    <n v="9.9509202453987715"/>
    <x v="0"/>
    <x v="1"/>
    <n v="162.19999999999999"/>
    <s v="Deal"/>
    <m/>
    <s v="Original Amount [EUR 16.3], Merchant Amount [EUR 16.3], Customer Amount [NOK 162.2], Status [APPROVED], Operation [DIRECT], UUID [3634075-1458741262-199] [23/03/2016 at 13:54:00]"/>
  </r>
  <r>
    <s v="3634069-1458741251-261"/>
    <s v="Spot"/>
    <s v="3634069-1458741251-261"/>
    <n v="0"/>
    <d v="2016-03-31T00:00:00"/>
    <x v="880"/>
    <s v="261"/>
    <s v="SELL"/>
    <n v="9.9509345794392523"/>
    <x v="0"/>
    <x v="1"/>
    <n v="212.95"/>
    <s v="Deal"/>
    <m/>
    <s v="Original Amount [EUR 21.4], Merchant Amount [EUR 21.4], Customer Amount [NOK 212.95], Status [APPROVED], Operation [DIRECT], UUID [3634069-1458741251-261] [23/03/2016 at 13:54:00]"/>
  </r>
  <r>
    <s v="3634054-1458741234-187"/>
    <s v="Spot"/>
    <s v="3634054-1458741234-187"/>
    <n v="0"/>
    <d v="2016-03-31T00:00:00"/>
    <x v="881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4054-1458741234-187] [23/03/2016 at 13:53:00]"/>
  </r>
  <r>
    <s v="3634051-1458741221-102"/>
    <s v="Spot"/>
    <s v="3634051-1458741221-102"/>
    <n v="0"/>
    <d v="2016-03-31T00:00:00"/>
    <x v="882"/>
    <s v="102"/>
    <s v="SELL"/>
    <n v="3.3919354838709674"/>
    <x v="0"/>
    <x v="0"/>
    <n v="315.45"/>
    <s v="Deal"/>
    <m/>
    <s v="Original Amount [EUR 93], Merchant Amount [EUR 93], Customer Amount [TRY 315.45], Status [APPROVED], Operation [3DAUTH], UUID [3634051-1458741221-102] [23/03/2016 at 13:53:00]"/>
  </r>
  <r>
    <s v="3634018-1458741192-134"/>
    <s v="Spot"/>
    <s v="3634018-1458741192-134"/>
    <n v="0"/>
    <d v="2016-03-31T00:00:00"/>
    <x v="883"/>
    <s v="134"/>
    <s v="SELL"/>
    <n v="132.83258594917785"/>
    <x v="0"/>
    <x v="3"/>
    <n v="7109.2"/>
    <s v="Deal"/>
    <m/>
    <s v="Original Amount [EUR 53.52], Merchant Amount [EUR 53.52], Customer Amount [JPY 7109.2], Status [APPROVED], Operation [STORED], UUID [3634018-1458741192-134] [23/03/2016 at 13:53:00]"/>
  </r>
  <r>
    <s v="3634033-1458741206-216"/>
    <s v="Spot"/>
    <s v="3634033-1458741206-216"/>
    <n v="0"/>
    <d v="2016-03-31T00:00:00"/>
    <x v="884"/>
    <s v="216"/>
    <s v="SELL"/>
    <n v="3.391938250428816"/>
    <x v="0"/>
    <x v="0"/>
    <n v="79.099999999999994"/>
    <s v="Deal"/>
    <m/>
    <s v="Original Amount [EUR 23.32], Merchant Amount [EUR 23.32], Customer Amount [TRY 79.1], Status [APPROVED], Operation [3DAUTH], UUID [3634033-1458741206-216] [23/03/2016 at 13:53:00]"/>
  </r>
  <r>
    <s v="3634036-1458741210-107"/>
    <s v="Spot"/>
    <s v="3634036-1458741210-107"/>
    <n v="0"/>
    <d v="2016-03-31T00:00:00"/>
    <x v="885"/>
    <s v="107"/>
    <s v="SELL"/>
    <n v="3.3919709501714745"/>
    <x v="0"/>
    <x v="0"/>
    <n v="168.14"/>
    <s v="Deal"/>
    <m/>
    <s v="Original Amount [EUR 49.57], Merchant Amount [EUR 49.57], Customer Amount [TRY 168.14], Status [APPROVED], Operation [3DAUTH], UUID [3634036-1458741210-107] [23/03/2016 at 13:53:00]"/>
  </r>
  <r>
    <s v="3634039-1458741215-56"/>
    <s v="Spot"/>
    <s v="3634039-1458741215-56"/>
    <n v="0"/>
    <d v="2016-03-31T00:00:00"/>
    <x v="886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4039-1458741215-56] [23/03/2016 at 13:53:00]"/>
  </r>
  <r>
    <s v="3634000-1458741170-224"/>
    <s v="Spot"/>
    <s v="3634000-1458741170-224"/>
    <n v="0"/>
    <d v="2016-03-31T00:00:00"/>
    <x v="887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4000-1458741170-224] [23/03/2016 at 13:52:00]"/>
  </r>
  <r>
    <s v="3634024-1458741197-216"/>
    <s v="Spot"/>
    <s v="3634024-1458741197-216"/>
    <n v="0"/>
    <d v="2016-03-31T00:00:00"/>
    <x v="888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34024-1458741197-216] [23/03/2016 at 13:53:00]"/>
  </r>
  <r>
    <s v="3633979-1458741150-107"/>
    <s v="Spot"/>
    <s v="3633979-1458741150-107"/>
    <n v="0"/>
    <d v="2016-03-31T00:00:00"/>
    <x v="889"/>
    <s v="107"/>
    <s v="SELL"/>
    <n v="3.3919733161179257"/>
    <x v="0"/>
    <x v="0"/>
    <n v="315.25"/>
    <s v="Deal"/>
    <m/>
    <s v="Original Amount [EUR 92.94], Merchant Amount [EUR 92.94], Customer Amount [TRY 315.25], Status [WAITING], Operation [3D], UUID [3633979-1458741150-107] [23/03/2016 at 13:52:00]"/>
  </r>
  <r>
    <s v="3633973-1458741145-199"/>
    <s v="Spot"/>
    <s v="3633973-1458741145-199"/>
    <n v="0"/>
    <d v="2016-03-31T00:00:00"/>
    <x v="890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33973-1458741145-199] [23/03/2016 at 13:52:00]"/>
  </r>
  <r>
    <s v="3633982-1458741154-56"/>
    <s v="Spot"/>
    <s v="3633982-1458741154-56"/>
    <n v="0"/>
    <d v="2016-03-31T00:00:00"/>
    <x v="891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3982-1458741154-56] [23/03/2016 at 13:52:00]"/>
  </r>
  <r>
    <s v="3633961-1458741134-216"/>
    <s v="Spot"/>
    <s v="3633961-1458741134-216"/>
    <n v="0"/>
    <d v="2016-03-31T00:00:00"/>
    <x v="892"/>
    <s v="216"/>
    <s v="SELL"/>
    <n v="3.3919588414634148"/>
    <x v="0"/>
    <x v="0"/>
    <n v="712.04"/>
    <s v="Deal"/>
    <m/>
    <s v="Original Amount [EUR 209.92], Merchant Amount [EUR 209.92], Customer Amount [TRY 712.04], Status [APPROVED], Operation [3DAUTH], UUID [3633961-1458741134-216] [23/03/2016 at 13:52:00]"/>
  </r>
  <r>
    <s v="3633967-1458741137-56"/>
    <s v="Spot"/>
    <s v="3633967-1458741137-56"/>
    <n v="0"/>
    <d v="2016-03-31T00:00:00"/>
    <x v="893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3967-1458741137-56] [23/03/2016 at 13:52:00]"/>
  </r>
  <r>
    <s v="3633940-1458741089-216"/>
    <s v="Spot"/>
    <s v="3633940-1458741089-216"/>
    <n v="0"/>
    <d v="2016-03-31T00:00:00"/>
    <x v="894"/>
    <s v="216"/>
    <s v="SELL"/>
    <n v="3.3919519576319277"/>
    <x v="0"/>
    <x v="0"/>
    <n v="717.33"/>
    <s v="Deal"/>
    <m/>
    <s v="Original Amount [EUR 211.48], Merchant Amount [EUR 211.48], Customer Amount [TRY 717.33], Status [WAITING], Operation [3D], UUID [3633940-1458741089-216] [23/03/2016 at 13:51:00]"/>
  </r>
  <r>
    <s v="3633937-1458741087-199"/>
    <s v="Spot"/>
    <s v="3633937-1458741087-199"/>
    <n v="0"/>
    <d v="2016-03-31T00:00:00"/>
    <x v="895"/>
    <s v="199"/>
    <s v="SELL"/>
    <n v="9.9551430781129167"/>
    <x v="0"/>
    <x v="1"/>
    <n v="128.72"/>
    <s v="Deal"/>
    <m/>
    <s v="Original Amount [EUR 12.93], Merchant Amount [EUR 12.93], Customer Amount [NOK 128.72], Status [APPROVED], Operation [DIRECT], UUID [3633937-1458741087-199] [23/03/2016 at 13:51:00]"/>
  </r>
  <r>
    <s v="3633931-1458741067-199"/>
    <s v="Spot"/>
    <s v="3633931-1458741067-199"/>
    <n v="0"/>
    <d v="2016-03-31T00:00:00"/>
    <x v="896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3931-1458741067-199] [23/03/2016 at 13:51:00]"/>
  </r>
  <r>
    <s v="3633928-1458741067-216"/>
    <s v="Spot"/>
    <s v="3633928-1458741067-216"/>
    <n v="0"/>
    <d v="2016-03-31T00:00:00"/>
    <x v="897"/>
    <s v="216"/>
    <s v="SELL"/>
    <n v="3.3919614147909969"/>
    <x v="0"/>
    <x v="0"/>
    <n v="738.43"/>
    <s v="Deal"/>
    <m/>
    <s v="Original Amount [EUR 217.7], Merchant Amount [EUR 217.7], Customer Amount [TRY 738.43], Status [WAITING], Operation [3D], UUID [3633928-1458741067-216] [23/03/2016 at 13:51:00]"/>
  </r>
  <r>
    <s v="3633934-1458741074-216"/>
    <s v="Spot"/>
    <s v="3633934-1458741074-216"/>
    <n v="0"/>
    <d v="2016-03-31T00:00:00"/>
    <x v="898"/>
    <s v="216"/>
    <s v="SELL"/>
    <n v="3.3881028938906752"/>
    <x v="0"/>
    <x v="0"/>
    <n v="105.37"/>
    <s v="Deal"/>
    <m/>
    <s v="Original Amount [EUR 31.1], Merchant Amount [EUR 31.1], Customer Amount [TRY 105.37], Status [APPROVED], Operation [3DAUTH], UUID [3633934-1458741074-216] [23/03/2016 at 13:51:00]"/>
  </r>
  <r>
    <s v="3633889-1458741036-126"/>
    <s v="Spot"/>
    <s v="3633889-1458741036-126"/>
    <n v="0"/>
    <d v="2016-03-31T00:00:00"/>
    <x v="899"/>
    <s v="126"/>
    <s v="SELL"/>
    <n v="9.9551365409622896"/>
    <x v="0"/>
    <x v="1"/>
    <n v="153.11000000000001"/>
    <s v="Deal"/>
    <m/>
    <s v="Original Amount [EUR 15.38], Merchant Amount [EUR 15.38], Customer Amount [NOK 153.11], Status [APPROVED], Operation [DIRECT], UUID [3633889-1458741036-126] [23/03/2016 at 13:50:00]"/>
  </r>
  <r>
    <s v="3633895-1458741040-56"/>
    <s v="Spot"/>
    <s v="3633895-1458741040-56"/>
    <n v="0"/>
    <d v="2016-03-31T00:00:00"/>
    <x v="900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3895-1458741040-56] [23/03/2016 at 13:50:00]"/>
  </r>
  <r>
    <s v="3633877-1458741018-119"/>
    <s v="Spot"/>
    <s v="3633877-1458741018-119"/>
    <n v="0"/>
    <d v="2016-03-31T00:00:00"/>
    <x v="901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3877-1458741018-119] [23/03/2016 at 13:50:00]"/>
  </r>
  <r>
    <s v="3633919-1458741054-119"/>
    <s v="Spot"/>
    <s v="3633919-1458741054-119"/>
    <n v="0"/>
    <d v="2016-03-31T00:00:00"/>
    <x v="902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3919-1458741054-119] [23/03/2016 at 13:50:00]"/>
  </r>
  <r>
    <s v="3633913-1458741052-56"/>
    <s v="Spot"/>
    <s v="3633913-1458741052-56"/>
    <n v="0"/>
    <d v="2016-03-31T00:00:00"/>
    <x v="903"/>
    <s v="56"/>
    <s v="SELL"/>
    <n v="3.387920298879203"/>
    <x v="0"/>
    <x v="0"/>
    <n v="54.41"/>
    <s v="Deal"/>
    <m/>
    <s v="Original Amount [EUR 16.06], Merchant Amount [EUR 16.06], Customer Amount [TRY 54.41], Status [APPROVED], Operation [3DAUTH], UUID [3633913-1458741052-56] [23/03/2016 at 13:50:00]"/>
  </r>
  <r>
    <s v="3633853-1458740986-216"/>
    <s v="Spot"/>
    <s v="3633853-1458740986-216"/>
    <n v="0"/>
    <d v="2016-03-31T00:00:00"/>
    <x v="904"/>
    <s v="216"/>
    <s v="SELL"/>
    <n v="3.3881028938906752"/>
    <x v="0"/>
    <x v="0"/>
    <n v="105.37"/>
    <s v="Deal"/>
    <m/>
    <s v="Original Amount [EUR 31.1], Merchant Amount [EUR 31.1], Customer Amount [TRY 105.37], Status [WAITING], Operation [3D], UUID [3633853-1458740986-216] [23/03/2016 at 13:49:00]"/>
  </r>
  <r>
    <s v="3633910-1458741049-216"/>
    <s v="Spot"/>
    <s v="3633910-1458741049-216"/>
    <n v="0"/>
    <d v="2016-03-31T00:00:00"/>
    <x v="905"/>
    <s v="216"/>
    <s v="SELL"/>
    <n v="3.3881028938906752"/>
    <x v="0"/>
    <x v="0"/>
    <n v="105.37"/>
    <s v="Deal"/>
    <m/>
    <s v="Original Amount [EUR 31.1], Merchant Amount [EUR 31.1], Customer Amount [TRY 105.37], Status [APPROVED], Operation [3DAUTH], UUID [3633910-1458741049-216] [23/03/2016 at 13:50:00]"/>
  </r>
  <r>
    <s v="3633886-1458741024-101"/>
    <s v="Spot"/>
    <s v="3633886-1458741024-101"/>
    <n v="0"/>
    <d v="2016-03-31T00:00:00"/>
    <x v="906"/>
    <s v="101"/>
    <s v="SELL"/>
    <n v="3.3885429638854299"/>
    <x v="0"/>
    <x v="0"/>
    <n v="27.21"/>
    <s v="Deal"/>
    <m/>
    <s v="Original Amount [EUR 8.03], Merchant Amount [EUR 8.03], Customer Amount [TRY 27.21], Status [APPROVED], Operation [3DAUTH], UUID [3633886-1458741024-101] [23/03/2016 at 13:50:00]"/>
  </r>
  <r>
    <s v="3633838-1458740957-224"/>
    <s v="Spot"/>
    <s v="3633838-1458740957-224"/>
    <n v="0"/>
    <d v="2016-03-31T00:00:00"/>
    <x v="90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838-1458740957-224] [23/03/2016 at 13:49:00]"/>
  </r>
  <r>
    <s v="3633835-1458740953-224"/>
    <s v="Spot"/>
    <s v="3633835-1458740953-224"/>
    <n v="0"/>
    <d v="2016-03-31T00:00:00"/>
    <x v="908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835-1458740953-224] [23/03/2016 at 13:49:00]"/>
  </r>
  <r>
    <s v="3633850-1458740974-203"/>
    <s v="Spot"/>
    <s v="3633850-1458740974-203"/>
    <n v="0"/>
    <d v="2016-03-31T00:00:00"/>
    <x v="909"/>
    <s v="203"/>
    <s v="SELL"/>
    <n v="3.3879032258064519"/>
    <x v="0"/>
    <x v="0"/>
    <n v="210.05"/>
    <s v="Deal"/>
    <m/>
    <s v="Original Amount [EUR 62], Merchant Amount [EUR 62], Customer Amount [TRY 210.05], Status [APPROVED], Operation [3DAUTH], UUID [3633850-1458740974-203] [23/03/2016 at 13:49:00]"/>
  </r>
  <r>
    <s v="3633820-1458740922-224"/>
    <s v="Spot"/>
    <s v="3633820-1458740922-224"/>
    <n v="0"/>
    <d v="2016-03-31T00:00:00"/>
    <x v="910"/>
    <s v="224"/>
    <s v="SELL"/>
    <n v="132.99334203655354"/>
    <x v="0"/>
    <x v="3"/>
    <n v="10187.290000000001"/>
    <s v="Deal"/>
    <m/>
    <s v="Original Amount [EUR 76.6], Merchant Amount [EUR 76.6], Customer Amount [JPY 10187.29], Status [APPROVED], Operation [DIRECT], UUID [3633820-1458740922-224] [23/03/2016 at 13:48:00]"/>
  </r>
  <r>
    <s v="3633991-1458741160-216"/>
    <s v="Spot"/>
    <s v="3633991-1458741160-216"/>
    <n v="0"/>
    <d v="2016-03-31T00:00:00"/>
    <x v="911"/>
    <s v="216"/>
    <s v="SELL"/>
    <n v="3.3883928571428577"/>
    <x v="0"/>
    <x v="0"/>
    <n v="37.950000000000003"/>
    <s v="Deal"/>
    <m/>
    <s v="Original Amount [EUR 11.2], Merchant Amount [EUR 11.2], Customer Amount [TRY 37.95], Status [APPROVED], Operation [3DAUTH], UUID [3633991-1458741160-216] [23/03/2016 at 13:52:00]"/>
  </r>
  <r>
    <s v="3633916-1458741054-101"/>
    <s v="Spot"/>
    <s v="3633916-1458741054-101"/>
    <n v="0"/>
    <d v="2016-03-31T00:00:00"/>
    <x v="912"/>
    <s v="101"/>
    <s v="SELL"/>
    <n v="3.3879668049792531"/>
    <x v="0"/>
    <x v="0"/>
    <n v="48.99"/>
    <s v="Deal"/>
    <m/>
    <s v="Original Amount [EUR 14.46], Merchant Amount [EUR 14.46], Customer Amount [TRY 48.99], Status [APPROVED], Operation [3DAUTH], UUID [3633916-1458741054-101] [23/03/2016 at 13:50:00]"/>
  </r>
  <r>
    <s v="3633787-1458740876-224"/>
    <s v="Spot"/>
    <s v="3633787-1458740876-224"/>
    <n v="0"/>
    <d v="2016-03-31T00:00:00"/>
    <x v="913"/>
    <s v="224"/>
    <s v="SELL"/>
    <n v="133.03769705277588"/>
    <x v="0"/>
    <x v="3"/>
    <n v="9705.1"/>
    <s v="Deal"/>
    <m/>
    <s v="Original Amount [EUR 72.95], Merchant Amount [EUR 72.95], Customer Amount [JPY 9705.1], Status [APPROVED], Operation [DIRECT], UUID [3633787-1458740876-224] [23/03/2016 at 13:47:00]"/>
  </r>
  <r>
    <s v="3633778-1458740869-187"/>
    <s v="Spot"/>
    <s v="3633778-1458740869-187"/>
    <n v="0"/>
    <d v="2016-03-31T00:00:00"/>
    <x v="914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3778-1458740869-187] [23/03/2016 at 13:47:00]"/>
  </r>
  <r>
    <s v="3633775-1458740869-119"/>
    <s v="Spot"/>
    <s v="3633775-1458740869-119"/>
    <n v="0"/>
    <d v="2016-03-31T00:00:00"/>
    <x v="915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3775-1458740869-119] [23/03/2016 at 13:47:00]"/>
  </r>
  <r>
    <s v="3633769-1458740853-199"/>
    <s v="Spot"/>
    <s v="3633769-1458740853-199"/>
    <n v="0"/>
    <d v="2016-03-31T00:00:00"/>
    <x v="916"/>
    <s v="199"/>
    <s v="SELL"/>
    <n v="9.9754601226993849"/>
    <x v="0"/>
    <x v="1"/>
    <n v="162.6"/>
    <s v="Deal"/>
    <m/>
    <s v="Original Amount [EUR 16.3], Merchant Amount [EUR 16.3], Customer Amount [NOK 162.6], Status [APPROVED], Operation [DIRECT], UUID [3633769-1458740853-199] [23/03/2016 at 13:47:00]"/>
  </r>
  <r>
    <s v="3633760-1458740846-224"/>
    <s v="Spot"/>
    <s v="3633760-1458740846-224"/>
    <n v="0"/>
    <d v="2016-03-31T00:00:00"/>
    <x v="917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3760-1458740846-224] [23/03/2016 at 13:47:00]"/>
  </r>
  <r>
    <s v="3633751-1458740831-119"/>
    <s v="Spot"/>
    <s v="3633751-1458740831-119"/>
    <n v="0"/>
    <d v="2016-03-31T00:00:00"/>
    <x v="918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3751-1458740831-119] [23/03/2016 at 13:47:00]"/>
  </r>
  <r>
    <s v="3633745-1458740819-119"/>
    <s v="Spot"/>
    <s v="3633745-1458740819-119"/>
    <n v="0"/>
    <d v="2016-03-31T00:00:00"/>
    <x v="919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3745-1458740819-119] [23/03/2016 at 13:46:00]"/>
  </r>
  <r>
    <s v="3633739-1458740811-119"/>
    <s v="Spot"/>
    <s v="3633739-1458740811-119"/>
    <n v="0"/>
    <d v="2016-03-31T00:00:00"/>
    <x v="920"/>
    <s v="119"/>
    <s v="SELL"/>
    <n v="9.9753600000000002"/>
    <x v="0"/>
    <x v="1"/>
    <n v="2493.84"/>
    <s v="Deal"/>
    <m/>
    <s v="Original Amount [EUR 250], Merchant Amount [EUR 250], Customer Amount [NOK 2493.84], Status [APPROVED], Operation [DIRECT], UUID [3633739-1458740811-119] [23/03/2016 at 13:46:00]"/>
  </r>
  <r>
    <s v="3633736-1458740810-261"/>
    <s v="Spot"/>
    <s v="3633736-1458740810-261"/>
    <n v="0"/>
    <d v="2016-03-31T00:00:00"/>
    <x v="921"/>
    <s v="261"/>
    <s v="SELL"/>
    <n v="9.9757009345794394"/>
    <x v="0"/>
    <x v="1"/>
    <n v="213.48"/>
    <s v="Deal"/>
    <m/>
    <s v="Original Amount [EUR 21.4], Merchant Amount [EUR 21.4], Customer Amount [NOK 213.48], Status [APPROVED], Operation [DIRECT], UUID [3633736-1458740810-261] [23/03/2016 at 13:46:00]"/>
  </r>
  <r>
    <s v="3633718-1458740797-200"/>
    <s v="Spot"/>
    <s v="3633718-1458740797-200"/>
    <n v="0"/>
    <d v="2016-03-31T00:00:00"/>
    <x v="922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33718-1458740797-200] [23/03/2016 at 13:46:00]"/>
  </r>
  <r>
    <s v="3633748-1458740820-203"/>
    <s v="Spot"/>
    <s v="3633748-1458740820-203"/>
    <n v="0"/>
    <d v="2016-03-31T00:00:00"/>
    <x v="923"/>
    <s v="203"/>
    <s v="SELL"/>
    <n v="3.3954301075268813"/>
    <x v="0"/>
    <x v="0"/>
    <n v="126.31"/>
    <s v="Deal"/>
    <m/>
    <s v="Original Amount [EUR 37.2], Merchant Amount [EUR 37.2], Customer Amount [TRY 126.31], Status [APPROVED], Operation [3DAUTH], UUID [3633748-1458740820-203] [23/03/2016 at 13:47:00]"/>
  </r>
  <r>
    <s v="3633706-1458740792-187"/>
    <s v="Spot"/>
    <s v="3633706-1458740792-187"/>
    <n v="0"/>
    <d v="2016-03-31T00:00:00"/>
    <x v="924"/>
    <s v="187"/>
    <s v="SELL"/>
    <n v="9.9754206844394027"/>
    <x v="0"/>
    <x v="1"/>
    <n v="527.6"/>
    <s v="Deal"/>
    <m/>
    <s v="Original Amount [EUR 52.89], Merchant Amount [EUR 52.89], Customer Amount [NOK 527.6], Status [APPROVED], Operation [DIRECT], UUID [3633706-1458740792-187] [23/03/2016 at 13:46:00]"/>
  </r>
  <r>
    <s v="3633700-1458740788-261"/>
    <s v="Spot"/>
    <s v="3633700-1458740788-261"/>
    <n v="0"/>
    <d v="2016-03-31T00:00:00"/>
    <x v="925"/>
    <s v="261"/>
    <s v="SELL"/>
    <n v="9.9753620411180162"/>
    <x v="0"/>
    <x v="1"/>
    <n v="3643.9"/>
    <s v="Deal"/>
    <m/>
    <s v="Original Amount [EUR 365.29], Merchant Amount [EUR 365.29], Customer Amount [NOK 3643.9], Status [APPROVED], Operation [DIRECT], UUID [3633700-1458740788-261] [23/03/2016 at 13:46:00]"/>
  </r>
  <r>
    <s v="3633691-1458740777-187"/>
    <s v="Spot"/>
    <s v="3633691-1458740777-187"/>
    <n v="0"/>
    <d v="2016-03-31T00:00:00"/>
    <x v="926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33691-1458740777-187] [23/03/2016 at 13:46:00]"/>
  </r>
  <r>
    <s v="3633685-1458740777-224"/>
    <s v="Spot"/>
    <s v="3633685-1458740777-224"/>
    <n v="0"/>
    <d v="2016-03-31T00:00:00"/>
    <x v="927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3685-1458740777-224] [23/03/2016 at 13:46:00]"/>
  </r>
  <r>
    <s v="3633742-1458740818-203"/>
    <s v="Spot"/>
    <s v="3633742-1458740818-203"/>
    <n v="0"/>
    <d v="2016-03-31T00:00:00"/>
    <x v="928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3742-1458740818-203] [23/03/2016 at 13:46:00]"/>
  </r>
  <r>
    <s v="3633721-1458740798-107"/>
    <s v="Spot"/>
    <s v="3633721-1458740798-107"/>
    <n v="0"/>
    <d v="2016-03-31T00:00:00"/>
    <x v="929"/>
    <s v="107"/>
    <s v="SELL"/>
    <n v="3.3957298907646476"/>
    <x v="0"/>
    <x v="0"/>
    <n v="68.39"/>
    <s v="Deal"/>
    <m/>
    <s v="Original Amount [EUR 20.14], Merchant Amount [EUR 20.14], Customer Amount [TRY 68.39], Status [APPROVED], Operation [3DAUTH], UUID [3633721-1458740798-107] [23/03/2016 at 13:46:00]"/>
  </r>
  <r>
    <s v="3633670-1458740764-124"/>
    <s v="Spot"/>
    <s v="3633670-1458740764-124"/>
    <n v="0"/>
    <d v="2016-03-31T00:00:00"/>
    <x v="930"/>
    <s v="124"/>
    <s v="SELL"/>
    <n v="9.9754184600669547"/>
    <x v="0"/>
    <x v="1"/>
    <n v="1042.93"/>
    <s v="Deal"/>
    <m/>
    <s v="Original Amount [EUR 104.55], Merchant Amount [EUR 104.55], Customer Amount [NOK 1042.93], Status [APPROVED], Operation [3DAUTH], UUID [3633670-1458740764-124] [23/03/2016 at 13:46:00]"/>
  </r>
  <r>
    <s v="3633715-1458740794-119"/>
    <s v="Spot"/>
    <s v="3633715-1458740794-119"/>
    <n v="0"/>
    <d v="2016-03-31T00:00:00"/>
    <x v="931"/>
    <s v="119"/>
    <s v="SELL"/>
    <n v="9.9754000000000005"/>
    <x v="0"/>
    <x v="1"/>
    <n v="498.77"/>
    <s v="Deal"/>
    <m/>
    <s v="Original Amount [EUR 50], Merchant Amount [EUR 50], Customer Amount [NOK 498.77], Status [APPROVED], Operation [3DAUTH], UUID [3633715-1458740794-119] [23/03/2016 at 13:46:00]"/>
  </r>
  <r>
    <s v="3633628-1458740706-264"/>
    <s v="Spot"/>
    <s v="3633628-1458740706-264"/>
    <n v="0"/>
    <d v="2016-03-31T00:00:00"/>
    <x v="932"/>
    <s v="264"/>
    <s v="SELL"/>
    <n v="1.1808054841473865"/>
    <x v="0"/>
    <x v="7"/>
    <n v="110.24"/>
    <s v="Deal"/>
    <m/>
    <s v="Original Amount [TRY 300], Merchant Amount [EUR 93.36], Customer Amount [USD 110.24], Status [APPROVED], Operation [3DAUTH], UUID [3633628-1458740706-264] [23/03/2016 at 13:45:00]"/>
  </r>
  <r>
    <s v="3633667-1458740763-196"/>
    <s v="Spot"/>
    <s v="3633667-1458740763-196"/>
    <n v="0"/>
    <d v="2016-03-31T00:00:00"/>
    <x v="933"/>
    <s v="196"/>
    <s v="SELL"/>
    <n v="9.9507702612190219"/>
    <x v="0"/>
    <x v="1"/>
    <n v="297.13"/>
    <s v="Deal"/>
    <m/>
    <s v="Original Amount [EUR 29.86], Merchant Amount [EUR 29.86], Customer Amount [NOK 297.13], Status [APPROVED], Operation [3DAUTH], UUID [3633667-1458740763-196] [23/03/2016 at 13:46:00]"/>
  </r>
  <r>
    <s v="3633613-1458740687-125"/>
    <s v="Spot"/>
    <s v="3633613-1458740687-125"/>
    <n v="0"/>
    <d v="2016-03-31T00:00:00"/>
    <x v="934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3613-1458740687-125] [23/03/2016 at 13:44:00]"/>
  </r>
  <r>
    <s v="3633637-1458740714-216"/>
    <s v="Spot"/>
    <s v="3633637-1458740714-216"/>
    <n v="0"/>
    <d v="2016-03-31T00:00:00"/>
    <x v="935"/>
    <s v="216"/>
    <s v="SELL"/>
    <n v="3.3974276527331186"/>
    <x v="0"/>
    <x v="0"/>
    <n v="105.66"/>
    <s v="Deal"/>
    <m/>
    <s v="Original Amount [EUR 31.1], Merchant Amount [EUR 31.1], Customer Amount [TRY 105.66], Status [APPROVED], Operation [3DAUTH], UUID [3633637-1458740714-216] [23/03/2016 at 13:45:00]"/>
  </r>
  <r>
    <s v="3633601-1458740679-224"/>
    <s v="Spot"/>
    <s v="3633601-1458740679-224"/>
    <n v="0"/>
    <d v="2016-03-31T00:00:00"/>
    <x v="936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601-1458740679-224] [23/03/2016 at 13:44:00]"/>
  </r>
  <r>
    <s v="3633655-1458740736-200"/>
    <s v="Spot"/>
    <s v="3633655-1458740736-200"/>
    <n v="0"/>
    <d v="2016-03-31T00:00:00"/>
    <x v="937"/>
    <s v="200"/>
    <s v="SELL"/>
    <n v="9.9506341819509085"/>
    <x v="0"/>
    <x v="1"/>
    <n v="1090.49"/>
    <s v="Deal"/>
    <m/>
    <s v="Original Amount [EUR 109.59], Merchant Amount [EUR 109.59], Customer Amount [NOK 1090.49], Status [APPROVED], Operation [3DAUTH], UUID [3633655-1458740736-200] [23/03/2016 at 13:45:00]"/>
  </r>
  <r>
    <s v="3633604-1458740682-264"/>
    <s v="Spot"/>
    <s v="3633604-1458740682-264"/>
    <n v="0"/>
    <d v="2016-03-31T00:00:00"/>
    <x v="938"/>
    <s v="264"/>
    <s v="SELL"/>
    <n v="1.1808054841473865"/>
    <x v="0"/>
    <x v="7"/>
    <n v="110.24"/>
    <s v="Deal"/>
    <m/>
    <s v="Original Amount [TRY 300], Merchant Amount [EUR 93.36], Customer Amount [USD 110.24], Status [APPROVED], Operation [3DAUTH], UUID [3633604-1458740682-264] [23/03/2016 at 13:44:00]"/>
  </r>
  <r>
    <s v="3633631-1458740711-216"/>
    <s v="Spot"/>
    <s v="3633631-1458740711-216"/>
    <n v="0"/>
    <d v="2016-03-31T00:00:00"/>
    <x v="939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33631-1458740711-216] [23/03/2016 at 13:45:00]"/>
  </r>
  <r>
    <s v="3633586-1458740670-224"/>
    <s v="Spot"/>
    <s v="3633586-1458740670-224"/>
    <n v="0"/>
    <d v="2016-03-31T00:00:00"/>
    <x v="940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3586-1458740670-224] [23/03/2016 at 13:44:00]"/>
  </r>
  <r>
    <s v="3633577-1458740661-199"/>
    <s v="Spot"/>
    <s v="3633577-1458740661-199"/>
    <n v="0"/>
    <d v="2016-03-31T00:00:00"/>
    <x v="941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3577-1458740661-199] [23/03/2016 at 13:44:00]"/>
  </r>
  <r>
    <s v="3633571-1458740657-264"/>
    <s v="Spot"/>
    <s v="3633571-1458740657-264"/>
    <n v="0"/>
    <d v="2016-03-31T00:00:00"/>
    <x v="942"/>
    <s v="264"/>
    <s v="SELL"/>
    <n v="1.1812921890067503"/>
    <x v="0"/>
    <x v="7"/>
    <n v="36.75"/>
    <s v="Deal"/>
    <m/>
    <s v="Original Amount [TRY 100], Merchant Amount [EUR 31.11], Customer Amount [USD 36.75], Status [APPROVED], Operation [3DAUTH], UUID [3633571-1458740657-264] [23/03/2016 at 13:44:00]"/>
  </r>
  <r>
    <s v="3633562-1458740645-199"/>
    <s v="Spot"/>
    <s v="3633562-1458740645-199"/>
    <n v="0"/>
    <d v="2016-03-31T00:00:00"/>
    <x v="943"/>
    <s v="199"/>
    <s v="SELL"/>
    <n v="9.9505620400571466"/>
    <x v="0"/>
    <x v="1"/>
    <n v="3691.36"/>
    <s v="Deal"/>
    <m/>
    <s v="Original Amount [EUR 370.97], Merchant Amount [EUR 370.97], Customer Amount [NOK 3691.36], Status [APPROVED], Operation [DIRECT], UUID [3633562-1458740645-199] [23/03/2016 at 13:44:00]"/>
  </r>
  <r>
    <s v="3633544-1458740601-224"/>
    <s v="Spot"/>
    <s v="3633544-1458740601-224"/>
    <n v="0"/>
    <d v="2016-03-31T00:00:00"/>
    <x v="944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3544-1458740601-224] [23/03/2016 at 13:43:00]"/>
  </r>
  <r>
    <s v="3633520-1458740583-171"/>
    <s v="Spot"/>
    <s v="3633520-1458740583-171"/>
    <n v="0"/>
    <d v="2016-03-31T00:00:00"/>
    <x v="945"/>
    <s v="171"/>
    <s v="SELL"/>
    <n v="9.9510000000000005"/>
    <x v="0"/>
    <x v="1"/>
    <n v="99.51"/>
    <s v="Deal"/>
    <m/>
    <s v="Original Amount [EUR 10], Merchant Amount [EUR 10], Customer Amount [NOK 99.51], Status [APPROVED], Operation [DIRECT], UUID [3633520-1458740583-171] [23/03/2016 at 13:43:00]"/>
  </r>
  <r>
    <s v="3633517-1458740581-224"/>
    <s v="Spot"/>
    <s v="3633517-1458740581-224"/>
    <n v="0"/>
    <d v="2016-03-31T00:00:00"/>
    <x v="946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3517-1458740581-224] [23/03/2016 at 13:43:00]"/>
  </r>
  <r>
    <s v="3633547-1458740614-216"/>
    <s v="Spot"/>
    <s v="3633547-1458740614-216"/>
    <n v="0"/>
    <d v="2016-03-31T00:00:00"/>
    <x v="947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33547-1458740614-216] [23/03/2016 at 13:43:00]"/>
  </r>
  <r>
    <s v="3633502-1458740569-187"/>
    <s v="Spot"/>
    <s v="3633502-1458740569-187"/>
    <n v="0"/>
    <d v="2016-03-31T00:00:00"/>
    <x v="948"/>
    <s v="187"/>
    <s v="SELL"/>
    <n v="9.9508506616257097"/>
    <x v="0"/>
    <x v="1"/>
    <n v="105.28"/>
    <s v="Deal"/>
    <m/>
    <s v="Original Amount [EUR 10.58], Merchant Amount [EUR 10.58], Customer Amount [NOK 105.28], Status [APPROVED], Operation [DIRECT], UUID [3633502-1458740569-187] [23/03/2016 at 13:42:00]"/>
  </r>
  <r>
    <s v="3633526-1458740586-216"/>
    <s v="Spot"/>
    <s v="3633526-1458740586-216"/>
    <n v="0"/>
    <d v="2016-03-31T00:00:00"/>
    <x v="949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33526-1458740586-216] [23/03/2016 at 13:43:00]"/>
  </r>
  <r>
    <s v="3633490-1458740554-145"/>
    <s v="Spot"/>
    <s v="3633490-1458740554-145"/>
    <n v="0"/>
    <d v="2016-03-31T00:00:00"/>
    <x v="950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33490-1458740554-145] [23/03/2016 at 13:42:00]"/>
  </r>
  <r>
    <s v="3633523-1458740585-216"/>
    <s v="Spot"/>
    <s v="3633523-1458740585-216"/>
    <n v="0"/>
    <d v="2016-03-31T00:00:00"/>
    <x v="951"/>
    <s v="216"/>
    <s v="SELL"/>
    <n v="3.3973280554181096"/>
    <x v="0"/>
    <x v="0"/>
    <n v="68.66"/>
    <s v="Deal"/>
    <m/>
    <s v="Original Amount [EUR 20.21], Merchant Amount [EUR 20.21], Customer Amount [TRY 68.66], Status [APPROVED], Operation [3DAUTH], UUID [3633523-1458740585-216] [23/03/2016 at 13:43:00]"/>
  </r>
  <r>
    <s v="3633478-1458740540-216"/>
    <s v="Spot"/>
    <s v="3633478-1458740540-216"/>
    <n v="0"/>
    <d v="2016-03-31T00:00:00"/>
    <x v="952"/>
    <s v="216"/>
    <s v="SELL"/>
    <n v="3.3974276527331186"/>
    <x v="0"/>
    <x v="0"/>
    <n v="105.66"/>
    <s v="Deal"/>
    <m/>
    <s v="Original Amount [EUR 31.1], Merchant Amount [EUR 31.1], Customer Amount [TRY 105.66], Status [WAITING], Operation [3D], UUID [3633478-1458740540-216] [23/03/2016 at 13:42:00]"/>
  </r>
  <r>
    <s v="3633496-1458740559-196"/>
    <s v="Spot"/>
    <s v="3633496-1458740559-196"/>
    <n v="0"/>
    <d v="2016-03-31T00:00:00"/>
    <x v="953"/>
    <s v="196"/>
    <s v="SELL"/>
    <n v="9.9505945402780096"/>
    <x v="0"/>
    <x v="1"/>
    <n v="594.15"/>
    <s v="Deal"/>
    <m/>
    <s v="Original Amount [EUR 59.71], Merchant Amount [EUR 59.71], Customer Amount [NOK 594.15], Status [APPROVED], Operation [3DAUTH], UUID [3633496-1458740559-196] [23/03/2016 at 13:42:00]"/>
  </r>
  <r>
    <s v="3633457-1458740526-224"/>
    <s v="Spot"/>
    <s v="3633457-1458740526-224"/>
    <n v="0"/>
    <d v="2016-03-31T00:00:00"/>
    <x v="954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33457-1458740526-224] [23/03/2016 at 13:42:00]"/>
  </r>
  <r>
    <s v="3633454-1458740526-238"/>
    <s v="Spot"/>
    <s v="3633454-1458740526-238"/>
    <n v="0"/>
    <d v="2016-03-31T00:00:00"/>
    <x v="95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33454-1458740526-238] [23/03/2016 at 13:42:00]"/>
  </r>
  <r>
    <s v="3633433-1458740510-216"/>
    <s v="Spot"/>
    <s v="3633433-1458740510-216"/>
    <n v="0"/>
    <d v="2016-03-31T00:00:00"/>
    <x v="956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433-1458740510-216] [23/03/2016 at 13:41:00]"/>
  </r>
  <r>
    <s v="3633427-1458740497-101"/>
    <s v="Spot"/>
    <s v="3633427-1458740497-101"/>
    <n v="0"/>
    <d v="2016-03-31T00:00:00"/>
    <x v="957"/>
    <s v="101"/>
    <s v="SELL"/>
    <n v="3.3919402520616151"/>
    <x v="0"/>
    <x v="0"/>
    <n v="218"/>
    <s v="Deal"/>
    <m/>
    <s v="Original Amount [EUR 64.27], Merchant Amount [EUR 64.27], Customer Amount [TRY 218], Status [WAITING], Operation [3D], UUID [3633427-1458740497-101] [23/03/2016 at 13:41:00]"/>
  </r>
  <r>
    <s v="3633421-1458740494-199"/>
    <s v="Spot"/>
    <s v="3633421-1458740494-199"/>
    <n v="0"/>
    <d v="2016-03-31T00:00:00"/>
    <x v="958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3421-1458740494-199] [23/03/2016 at 13:41:00]"/>
  </r>
  <r>
    <s v="3633430-1458740508-172"/>
    <s v="Spot"/>
    <s v="3633430-1458740508-172"/>
    <n v="0"/>
    <d v="2016-03-31T00:00:00"/>
    <x v="959"/>
    <s v="172"/>
    <s v="SELL"/>
    <n v="9.9754838709677411"/>
    <x v="0"/>
    <x v="1"/>
    <n v="541.16999999999996"/>
    <s v="Deal"/>
    <m/>
    <s v="Original Amount [EUR 54.25], Merchant Amount [EUR 54.25], Customer Amount [NOK 541.17], Status [APPROVED], Operation [3DAUTH], UUID [3633430-1458740508-172] [23/03/2016 at 13:41:00]"/>
  </r>
  <r>
    <s v="3633409-1458740480-216"/>
    <s v="Spot"/>
    <s v="3633409-1458740480-216"/>
    <n v="0"/>
    <d v="2016-03-31T00:00:00"/>
    <x v="960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409-1458740480-216] [23/03/2016 at 13:41:00]"/>
  </r>
  <r>
    <s v="3633412-1458740482-264"/>
    <s v="Spot"/>
    <s v="3633412-1458740482-264"/>
    <n v="0"/>
    <d v="2016-03-31T00:00:00"/>
    <x v="961"/>
    <s v="264"/>
    <s v="SELL"/>
    <n v="1.1832797427652735"/>
    <x v="0"/>
    <x v="7"/>
    <n v="3.68"/>
    <s v="Deal"/>
    <m/>
    <s v="Original Amount [TRY 10], Merchant Amount [EUR 3.11], Customer Amount [USD 3.68], Status [APPROVED], Operation [3DAUTH], UUID [3633412-1458740482-264] [23/03/2016 at 13:41:00]"/>
  </r>
  <r>
    <s v="3633400-1458740475-200"/>
    <s v="Spot"/>
    <s v="3633400-1458740475-200"/>
    <n v="0"/>
    <d v="2016-03-31T00:00:00"/>
    <x v="962"/>
    <s v="200"/>
    <s v="SELL"/>
    <n v="9.9753649635036492"/>
    <x v="0"/>
    <x v="1"/>
    <n v="327.99"/>
    <s v="Deal"/>
    <m/>
    <s v="Original Amount [EUR 32.88], Merchant Amount [EUR 32.88], Customer Amount [NOK 327.99], Status [APPROVED], Operation [STORED], UUID [3633400-1458740475-200] [23/03/2016 at 13:41:00]"/>
  </r>
  <r>
    <s v="3633385-1458740462-216"/>
    <s v="Spot"/>
    <s v="3633385-1458740462-216"/>
    <n v="0"/>
    <d v="2016-03-31T00:00:00"/>
    <x v="963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385-1458740462-216] [23/03/2016 at 13:41:00]"/>
  </r>
  <r>
    <s v="3633379-1458740458-119"/>
    <s v="Spot"/>
    <s v="3633379-1458740458-119"/>
    <n v="0"/>
    <d v="2016-03-31T00:00:00"/>
    <x v="964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3379-1458740458-119] [23/03/2016 at 13:40:00]"/>
  </r>
  <r>
    <s v="3633370-1458740444-216"/>
    <s v="Spot"/>
    <s v="3633370-1458740444-216"/>
    <n v="0"/>
    <d v="2016-03-31T00:00:00"/>
    <x v="965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370-1458740444-216] [23/03/2016 at 13:40:00]"/>
  </r>
  <r>
    <s v="3633388-1458740465-56"/>
    <s v="Spot"/>
    <s v="3633388-1458740465-56"/>
    <n v="0"/>
    <d v="2016-03-31T00:00:00"/>
    <x v="966"/>
    <s v="56"/>
    <s v="SELL"/>
    <n v="3.3919778699861691"/>
    <x v="0"/>
    <x v="0"/>
    <n v="245.24"/>
    <s v="Deal"/>
    <m/>
    <s v="Original Amount [EUR 72.3], Merchant Amount [EUR 72.3], Customer Amount [TRY 245.24], Status [APPROVED], Operation [3DAUTH], UUID [3633388-1458740465-56] [23/03/2016 at 13:41:00]"/>
  </r>
  <r>
    <s v="3633349-1458740428-199"/>
    <s v="Spot"/>
    <s v="3633349-1458740428-199"/>
    <n v="0"/>
    <d v="2016-03-31T00:00:00"/>
    <x v="967"/>
    <s v="199"/>
    <s v="SELL"/>
    <n v="9.9759110562075346"/>
    <x v="0"/>
    <x v="1"/>
    <n v="161.51"/>
    <s v="Deal"/>
    <m/>
    <s v="Original Amount [EUR 16.19], Merchant Amount [EUR 16.19], Customer Amount [NOK 161.51], Status [APPROVED], Operation [DIRECT], UUID [3633349-1458740428-199] [23/03/2016 at 13:40:00]"/>
  </r>
  <r>
    <s v="3633391-1458740467-216"/>
    <s v="Spot"/>
    <s v="3633391-1458740467-216"/>
    <n v="0"/>
    <d v="2016-03-31T00:00:00"/>
    <x v="968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33391-1458740467-216] [23/03/2016 at 13:41:00]"/>
  </r>
  <r>
    <s v="3633343-1458740420-124"/>
    <s v="Spot"/>
    <s v="3633343-1458740420-124"/>
    <n v="0"/>
    <d v="2016-03-31T00:00:00"/>
    <x v="969"/>
    <s v="124"/>
    <s v="SELL"/>
    <n v="9.9754485363550529"/>
    <x v="0"/>
    <x v="1"/>
    <n v="105.64"/>
    <s v="Deal"/>
    <m/>
    <s v="Original Amount [EUR 10.59], Merchant Amount [EUR 10.59], Customer Amount [NOK 105.64], Status [APPROVED], Operation [DIRECT], UUID [3633343-1458740420-124] [23/03/2016 at 13:40:00]"/>
  </r>
  <r>
    <s v="3633319-1458740405-126"/>
    <s v="Spot"/>
    <s v="3633319-1458740405-126"/>
    <n v="0"/>
    <d v="2016-03-31T00:00:00"/>
    <x v="970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3319-1458740405-126] [23/03/2016 at 13:40:00]"/>
  </r>
  <r>
    <s v="3633397-1458740472-107"/>
    <s v="Spot"/>
    <s v="3633397-1458740472-107"/>
    <n v="0"/>
    <d v="2016-03-31T00:00:00"/>
    <x v="971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33397-1458740472-107] [23/03/2016 at 13:41:00]"/>
  </r>
  <r>
    <s v="3633307-1458740386-203"/>
    <s v="Spot"/>
    <s v="3633307-1458740386-203"/>
    <n v="0"/>
    <d v="2016-03-31T00:00:00"/>
    <x v="972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33307-1458740386-203] [23/03/2016 at 13:39:00]"/>
  </r>
  <r>
    <s v="3633292-1458740362-224"/>
    <s v="Spot"/>
    <s v="3633292-1458740362-224"/>
    <n v="0"/>
    <d v="2016-03-31T00:00:00"/>
    <x v="973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3292-1458740362-224] [23/03/2016 at 13:39:00]"/>
  </r>
  <r>
    <s v="3633277-1458740346-224"/>
    <s v="Spot"/>
    <s v="3633277-1458740346-224"/>
    <n v="0"/>
    <d v="2016-03-31T00:00:00"/>
    <x v="974"/>
    <s v="224"/>
    <s v="SELL"/>
    <n v="133.03764429086098"/>
    <x v="0"/>
    <x v="3"/>
    <n v="36188.9"/>
    <s v="Deal"/>
    <m/>
    <s v="Original Amount [EUR 272.02], Merchant Amount [EUR 272.02], Customer Amount [JPY 36188.9], Status [APPROVED], Operation [DIRECT], UUID [3633277-1458740346-224] [23/03/2016 at 13:39:00]"/>
  </r>
  <r>
    <s v="3633256-1458740319-238"/>
    <s v="Spot"/>
    <s v="3633256-1458740319-238"/>
    <n v="0"/>
    <d v="2016-03-31T00:00:00"/>
    <x v="975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33256-1458740319-238] [23/03/2016 at 13:38:00]"/>
  </r>
  <r>
    <s v="3633253-1458740313-224"/>
    <s v="Spot"/>
    <s v="3633253-1458740313-224"/>
    <n v="0"/>
    <d v="2016-03-31T00:00:00"/>
    <x v="976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3253-1458740313-224] [23/03/2016 at 13:38:00]"/>
  </r>
  <r>
    <s v="3633244-1458740300-224"/>
    <s v="Spot"/>
    <s v="3633244-1458740300-224"/>
    <n v="0"/>
    <d v="2016-03-31T00:00:00"/>
    <x v="97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3244-1458740300-224] [23/03/2016 at 13:38:00]"/>
  </r>
  <r>
    <s v="3633295-1458740364-101"/>
    <s v="Spot"/>
    <s v="3633295-1458740364-101"/>
    <n v="0"/>
    <d v="2016-03-31T00:00:00"/>
    <x v="978"/>
    <s v="101"/>
    <s v="SELL"/>
    <n v="3.3972363998506161"/>
    <x v="0"/>
    <x v="0"/>
    <n v="272.89999999999998"/>
    <s v="Deal"/>
    <m/>
    <s v="Original Amount [EUR 80.33], Merchant Amount [EUR 80.33], Customer Amount [TRY 272.9], Status [APPROVED], Operation [3DAUTH], UUID [3633295-1458740364-101] [23/03/2016 at 13:39:00]"/>
  </r>
  <r>
    <s v="3633229-1458740284-199"/>
    <s v="Spot"/>
    <s v="3633229-1458740284-199"/>
    <n v="0"/>
    <d v="2016-03-31T00:00:00"/>
    <x v="979"/>
    <s v="199"/>
    <s v="SELL"/>
    <n v="9.9758364312267656"/>
    <x v="0"/>
    <x v="1"/>
    <n v="107.34"/>
    <s v="Deal"/>
    <m/>
    <s v="Original Amount [EUR 10.76], Merchant Amount [EUR 10.76], Customer Amount [NOK 107.34], Status [APPROVED], Operation [DIRECT], UUID [3633229-1458740284-199] [23/03/2016 at 13:38:00]"/>
  </r>
  <r>
    <s v="3633217-1458740266-101"/>
    <s v="Spot"/>
    <s v="3633217-1458740266-101"/>
    <n v="0"/>
    <d v="2016-03-31T00:00:00"/>
    <x v="980"/>
    <s v="101"/>
    <s v="SELL"/>
    <n v="3.397230434106115"/>
    <x v="0"/>
    <x v="0"/>
    <n v="218.34"/>
    <s v="Deal"/>
    <m/>
    <s v="Original Amount [EUR 64.27], Merchant Amount [EUR 64.27], Customer Amount [TRY 218.34], Status [WAITING], Operation [3D], UUID [3633217-1458740266-101] [23/03/2016 at 13:37:00]"/>
  </r>
  <r>
    <s v="3633226-1458740283-216"/>
    <s v="Spot"/>
    <s v="3633226-1458740283-216"/>
    <n v="0"/>
    <d v="2016-03-31T00:00:00"/>
    <x v="981"/>
    <s v="216"/>
    <s v="SELL"/>
    <n v="3.3973349485160509"/>
    <x v="0"/>
    <x v="0"/>
    <n v="56.09"/>
    <s v="Deal"/>
    <m/>
    <s v="Original Amount [EUR 16.51], Merchant Amount [EUR 16.51], Customer Amount [TRY 56.09], Status [APPROVED], Operation [3DAUTH], UUID [3633226-1458740283-216] [23/03/2016 at 13:38:00]"/>
  </r>
  <r>
    <s v="3633196-1458740241-224"/>
    <s v="Spot"/>
    <s v="3633196-1458740241-224"/>
    <n v="0"/>
    <d v="2016-03-31T00:00:00"/>
    <x v="982"/>
    <s v="224"/>
    <s v="SELL"/>
    <n v="133.03767286599907"/>
    <x v="0"/>
    <x v="3"/>
    <n v="2789.8"/>
    <s v="Deal"/>
    <m/>
    <s v="Original Amount [EUR 20.97], Merchant Amount [EUR 20.97], Customer Amount [JPY 2789.8], Status [APPROVED], Operation [DIRECT], UUID [3633196-1458740241-224] [23/03/2016 at 13:37:00]"/>
  </r>
  <r>
    <s v="3633211-1458740262-56"/>
    <s v="Spot"/>
    <s v="3633211-1458740262-56"/>
    <n v="0"/>
    <d v="2016-03-31T00:00:00"/>
    <x v="983"/>
    <s v="56"/>
    <s v="SELL"/>
    <n v="3.3974478680361031"/>
    <x v="0"/>
    <x v="0"/>
    <n v="109.16"/>
    <s v="Deal"/>
    <m/>
    <s v="Original Amount [EUR 32.13], Merchant Amount [EUR 32.13], Customer Amount [TRY 109.16], Status [APPROVED], Operation [3DAUTH], UUID [3633211-1458740262-56] [23/03/2016 at 13:37:00]"/>
  </r>
  <r>
    <s v="3633181-1458740226-224"/>
    <s v="Spot"/>
    <s v="3633181-1458740226-224"/>
    <n v="0"/>
    <d v="2016-03-31T00:00:00"/>
    <x v="984"/>
    <s v="224"/>
    <s v="SELL"/>
    <n v="9.9754204398447612"/>
    <x v="0"/>
    <x v="1"/>
    <n v="539.77"/>
    <s v="Deal"/>
    <m/>
    <s v="Original Amount [EUR 54.11], Merchant Amount [EUR 54.11], Customer Amount [NOK 539.77], Status [APPROVED], Operation [DIRECT], UUID [3633181-1458740226-224] [23/03/2016 at 13:37:00]"/>
  </r>
  <r>
    <s v="3633175-1458740217-126"/>
    <s v="Spot"/>
    <s v="3633175-1458740217-126"/>
    <n v="0"/>
    <d v="2016-03-31T00:00:00"/>
    <x v="98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3175-1458740217-126] [23/03/2016 at 13:36:00]"/>
  </r>
  <r>
    <s v="3633178-1458740223-145"/>
    <s v="Spot"/>
    <s v="3633178-1458740223-145"/>
    <n v="0"/>
    <d v="2016-03-31T00:00:00"/>
    <x v="986"/>
    <s v="145"/>
    <s v="SELL"/>
    <n v="1.5515222482435598"/>
    <x v="0"/>
    <x v="2"/>
    <n v="26.5"/>
    <s v="Deal"/>
    <m/>
    <s v="Original Amount [EUR 17.08], Merchant Amount [EUR 17.08], Customer Amount [CAD 26.5], Status [APPROVED], Operation [3DAUTH], UUID [3633178-1458740223-145] [23/03/2016 at 13:37:00]"/>
  </r>
  <r>
    <s v="3633163-1458740212-224"/>
    <s v="Spot"/>
    <s v="3633163-1458740212-224"/>
    <n v="0"/>
    <d v="2016-03-31T00:00:00"/>
    <x v="987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3163-1458740212-224] [23/03/2016 at 13:36:00]"/>
  </r>
  <r>
    <s v="3633157-1458740209-187"/>
    <s v="Spot"/>
    <s v="3633157-1458740209-187"/>
    <n v="0"/>
    <d v="2016-03-31T00:00:00"/>
    <x v="988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33157-1458740209-187] [23/03/2016 at 13:36:00]"/>
  </r>
  <r>
    <s v="3633205-1458740255-216"/>
    <s v="Spot"/>
    <s v="3633205-1458740255-216"/>
    <n v="0"/>
    <d v="2016-03-31T00:00:00"/>
    <x v="989"/>
    <s v="216"/>
    <s v="SELL"/>
    <n v="3.3975387907972174"/>
    <x v="0"/>
    <x v="0"/>
    <n v="63.5"/>
    <s v="Deal"/>
    <m/>
    <s v="Original Amount [EUR 18.69], Merchant Amount [EUR 18.69], Customer Amount [TRY 63.5], Status [APPROVED], Operation [3DAUTH], UUID [3633205-1458740255-216] [23/03/2016 at 13:37:00]"/>
  </r>
  <r>
    <s v="3633136-1458740162-145"/>
    <s v="Spot"/>
    <s v="3633136-1458740162-145"/>
    <n v="0"/>
    <d v="2016-03-31T00:00:00"/>
    <x v="990"/>
    <s v="145"/>
    <s v="SELL"/>
    <n v="1.5515727871250915"/>
    <x v="0"/>
    <x v="2"/>
    <n v="21.21"/>
    <s v="Deal"/>
    <m/>
    <s v="Original Amount [EUR 13.67], Merchant Amount [EUR 13.67], Customer Amount [CAD 21.21], Status [WAITING], Operation [3D], UUID [3633136-1458740162-145] [23/03/2016 at 13:36:00]"/>
  </r>
  <r>
    <s v="3633124-1458740145-199"/>
    <s v="Spot"/>
    <s v="3633124-1458740145-199"/>
    <n v="0"/>
    <d v="2016-03-31T00:00:00"/>
    <x v="991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3124-1458740145-199] [23/03/2016 at 13:35:00]"/>
  </r>
  <r>
    <s v="3633121-1458740145-241"/>
    <s v="Spot"/>
    <s v="3633121-1458740145-241"/>
    <n v="0"/>
    <d v="2016-03-31T00:00:00"/>
    <x v="992"/>
    <s v="241"/>
    <s v="SELL"/>
    <n v="9.9754285714285711"/>
    <x v="0"/>
    <x v="1"/>
    <n v="349.14"/>
    <s v="Deal"/>
    <m/>
    <s v="Original Amount [EUR 35], Merchant Amount [EUR 35], Customer Amount [NOK 349.14], Status [APPROVED], Operation [DIRECT], UUID [3633121-1458740145-241] [23/03/2016 at 13:35:00]"/>
  </r>
  <r>
    <s v="3633118-1458740138-82"/>
    <s v="Spot"/>
    <s v="3633118-1458740138-82"/>
    <n v="0"/>
    <d v="2016-03-31T00:00:00"/>
    <x v="993"/>
    <s v="82"/>
    <s v="SELL"/>
    <n v="0.83806818181818188"/>
    <x v="0"/>
    <x v="4"/>
    <n v="2.95"/>
    <s v="Deal"/>
    <m/>
    <s v="Original Amount [GBP 2.95], Merchant Amount [EUR 3.52], Customer Amount [GBP 2.95], Status [APPROVED], Operation [DIRECT], UUID [3633118-1458740138-82] [23/03/2016 at 13:35:00]"/>
  </r>
  <r>
    <s v="3633109-1458740127-126"/>
    <s v="Spot"/>
    <s v="3633109-1458740127-126"/>
    <n v="0"/>
    <d v="2016-03-31T00:00:00"/>
    <x v="994"/>
    <s v="126"/>
    <s v="SELL"/>
    <n v="9.9754146341463414"/>
    <x v="0"/>
    <x v="1"/>
    <n v="1022.48"/>
    <s v="Deal"/>
    <m/>
    <s v="Original Amount [EUR 102.5], Merchant Amount [EUR 102.5], Customer Amount [NOK 1022.48], Status [APPROVED], Operation [DIRECT], UUID [3633109-1458740127-126] [23/03/2016 at 13:35:00]"/>
  </r>
  <r>
    <s v="3633103-1458740119-199"/>
    <s v="Spot"/>
    <s v="3633103-1458740119-199"/>
    <n v="0"/>
    <d v="2016-03-31T00:00:00"/>
    <x v="995"/>
    <s v="199"/>
    <s v="SELL"/>
    <n v="9.9754525928198827"/>
    <x v="0"/>
    <x v="1"/>
    <n v="650.20000000000005"/>
    <s v="Deal"/>
    <m/>
    <s v="Original Amount [EUR 65.18], Merchant Amount [EUR 65.18], Customer Amount [NOK 650.2], Status [APPROVED], Operation [DIRECT], UUID [3633103-1458740119-199] [23/03/2016 at 13:35:00]"/>
  </r>
  <r>
    <s v="3633094-1458740115-199"/>
    <s v="Spot"/>
    <s v="3633094-1458740115-199"/>
    <n v="0"/>
    <d v="2016-03-31T00:00:00"/>
    <x v="996"/>
    <s v="199"/>
    <s v="SELL"/>
    <n v="9.9758364312267656"/>
    <x v="0"/>
    <x v="1"/>
    <n v="107.34"/>
    <s v="Deal"/>
    <m/>
    <s v="Original Amount [EUR 10.76], Merchant Amount [EUR 10.76], Customer Amount [NOK 107.34], Status [APPROVED], Operation [DIRECT], UUID [3633094-1458740115-199] [23/03/2016 at 13:35:00]"/>
  </r>
  <r>
    <s v="3633130-1458740154-203"/>
    <s v="Spot"/>
    <s v="3633130-1458740154-203"/>
    <n v="0"/>
    <d v="2016-03-31T00:00:00"/>
    <x v="997"/>
    <s v="203"/>
    <s v="SELL"/>
    <n v="3.3879569892473116"/>
    <x v="0"/>
    <x v="0"/>
    <n v="157.54"/>
    <s v="Deal"/>
    <m/>
    <s v="Original Amount [EUR 46.5], Merchant Amount [EUR 46.5], Customer Amount [TRY 157.54], Status [APPROVED], Operation [3DAUTH], UUID [3633130-1458740154-203] [23/03/2016 at 13:35:00]"/>
  </r>
  <r>
    <s v="3633082-1458740100-238"/>
    <s v="Spot"/>
    <s v="3633082-1458740100-238"/>
    <n v="0"/>
    <d v="2016-03-31T00:00:00"/>
    <x v="99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33082-1458740100-238] [23/03/2016 at 13:35:00]"/>
  </r>
  <r>
    <s v="3633106-1458740125-203"/>
    <s v="Spot"/>
    <s v="3633106-1458740125-203"/>
    <n v="0"/>
    <d v="2016-03-31T00:00:00"/>
    <x v="999"/>
    <s v="203"/>
    <s v="SELL"/>
    <n v="3.3878557874762807"/>
    <x v="0"/>
    <x v="0"/>
    <n v="89.27"/>
    <s v="Deal"/>
    <m/>
    <s v="Original Amount [EUR 26.35], Merchant Amount [EUR 26.35], Customer Amount [TRY 89.27], Status [APPROVED], Operation [3DAUTH], UUID [3633106-1458740125-203] [23/03/2016 at 13:35:00]"/>
  </r>
  <r>
    <s v="3633097-1458740118-216"/>
    <s v="Spot"/>
    <s v="3633097-1458740118-216"/>
    <n v="0"/>
    <d v="2016-03-31T00:00:00"/>
    <x v="1000"/>
    <s v="216"/>
    <s v="SELL"/>
    <n v="3.387836970474968"/>
    <x v="0"/>
    <x v="0"/>
    <n v="211.13"/>
    <s v="Deal"/>
    <m/>
    <s v="Original Amount [EUR 62.32], Merchant Amount [EUR 62.32], Customer Amount [TRY 211.13], Status [APPROVED], Operation [3DAUTH], UUID [3633097-1458740118-216] [23/03/2016 at 13:35:00]"/>
  </r>
  <r>
    <s v="3633061-1458740087-224"/>
    <s v="Spot"/>
    <s v="3633061-1458740087-224"/>
    <n v="0"/>
    <d v="2016-03-31T00:00:00"/>
    <x v="100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3061-1458740087-224] [23/03/2016 at 13:34:00]"/>
  </r>
  <r>
    <s v="3633058-1458740083-199"/>
    <s v="Spot"/>
    <s v="3633058-1458740083-199"/>
    <n v="0"/>
    <d v="2016-03-31T00:00:00"/>
    <x v="1002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3058-1458740083-199] [23/03/2016 at 13:34:00]"/>
  </r>
  <r>
    <s v="3633115-1458740134-196"/>
    <s v="Spot"/>
    <s v="3633115-1458740134-196"/>
    <n v="0"/>
    <d v="2016-03-31T00:00:00"/>
    <x v="1003"/>
    <s v="196"/>
    <s v="SELL"/>
    <n v="9.9755525787006025"/>
    <x v="0"/>
    <x v="1"/>
    <n v="297.87"/>
    <s v="Deal"/>
    <m/>
    <s v="Original Amount [EUR 29.86], Merchant Amount [EUR 29.86], Customer Amount [NOK 297.87], Status [APPROVED], Operation [3DAUTH], UUID [3633115-1458740134-196] [23/03/2016 at 13:35:00]"/>
  </r>
  <r>
    <s v="3633040-1458740077-224"/>
    <s v="Spot"/>
    <s v="3633040-1458740077-224"/>
    <n v="0"/>
    <d v="2016-03-31T00:00:00"/>
    <x v="1004"/>
    <s v="224"/>
    <s v="SELL"/>
    <n v="9.9754227108934685"/>
    <x v="0"/>
    <x v="1"/>
    <n v="1079.6400000000001"/>
    <s v="Deal"/>
    <m/>
    <s v="Original Amount [EUR 108.23], Merchant Amount [EUR 108.23], Customer Amount [NOK 1079.64], Status [APPROVED], Operation [DIRECT], UUID [3633040-1458740077-224] [23/03/2016 at 13:34:00]"/>
  </r>
  <r>
    <s v="3633034-1458740073-224"/>
    <s v="Spot"/>
    <s v="3633034-1458740073-224"/>
    <n v="0"/>
    <d v="2016-03-31T00:00:00"/>
    <x v="1005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3034-1458740073-224] [23/03/2016 at 13:34:00]"/>
  </r>
  <r>
    <s v="3633031-1458740072-171"/>
    <s v="Spot"/>
    <s v="3633031-1458740072-171"/>
    <n v="0"/>
    <d v="2016-03-31T00:00:00"/>
    <x v="1006"/>
    <s v="171"/>
    <s v="SELL"/>
    <n v="9.9760000000000009"/>
    <x v="0"/>
    <x v="1"/>
    <n v="99.76"/>
    <s v="Deal"/>
    <m/>
    <s v="Original Amount [EUR 10], Merchant Amount [EUR 10], Customer Amount [NOK 99.76], Status [APPROVED], Operation [DIRECT], UUID [3633031-1458740072-171] [23/03/2016 at 13:34:00]"/>
  </r>
  <r>
    <s v="3633067-1458740091-216"/>
    <s v="Spot"/>
    <s v="3633067-1458740091-216"/>
    <n v="0"/>
    <d v="2016-03-31T00:00:00"/>
    <x v="1007"/>
    <s v="216"/>
    <s v="SELL"/>
    <n v="3.3884430176565004"/>
    <x v="0"/>
    <x v="0"/>
    <n v="42.22"/>
    <s v="Deal"/>
    <m/>
    <s v="Original Amount [EUR 12.46], Merchant Amount [EUR 12.46], Customer Amount [TRY 42.22], Status [APPROVED], Operation [3DAUTH], UUID [3633067-1458740091-216] [23/03/2016 at 13:34:00]"/>
  </r>
  <r>
    <s v="3633064-1458740088-56"/>
    <s v="Spot"/>
    <s v="3633064-1458740088-56"/>
    <n v="0"/>
    <d v="2016-03-31T00:00:00"/>
    <x v="1008"/>
    <s v="56"/>
    <s v="SELL"/>
    <n v="3.3879668049792531"/>
    <x v="0"/>
    <x v="0"/>
    <n v="48.99"/>
    <s v="Deal"/>
    <m/>
    <s v="Original Amount [EUR 14.46], Merchant Amount [EUR 14.46], Customer Amount [TRY 48.99], Status [APPROVED], Operation [3DAUTH], UUID [3633064-1458740088-56] [23/03/2016 at 13:34:00]"/>
  </r>
  <r>
    <s v="3633142-1458740165-101"/>
    <s v="Spot"/>
    <s v="3633142-1458740165-101"/>
    <n v="0"/>
    <d v="2016-03-31T00:00:00"/>
    <x v="1009"/>
    <s v="101"/>
    <s v="SELL"/>
    <n v="3.3885819521178635"/>
    <x v="0"/>
    <x v="0"/>
    <n v="36.799999999999997"/>
    <s v="Deal"/>
    <m/>
    <s v="Original Amount [EUR 10.86], Merchant Amount [EUR 10.86], Customer Amount [TRY 36.8], Status [APPROVED], Operation [3DAUTH], UUID [3633142-1458740165-101] [23/03/2016 at 13:36:00]"/>
  </r>
  <r>
    <s v="3632995-1458740015-224"/>
    <s v="Spot"/>
    <s v="3632995-1458740015-224"/>
    <n v="0"/>
    <d v="2016-03-31T00:00:00"/>
    <x v="1010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2995-1458740015-224] [23/03/2016 at 13:33:00]"/>
  </r>
  <r>
    <s v="3633019-1458740065-56"/>
    <s v="Spot"/>
    <s v="3633019-1458740065-56"/>
    <n v="0"/>
    <d v="2016-03-31T00:00:00"/>
    <x v="1011"/>
    <s v="56"/>
    <s v="SELL"/>
    <n v="3.3881010031131096"/>
    <x v="0"/>
    <x v="0"/>
    <n v="97.95"/>
    <s v="Deal"/>
    <m/>
    <s v="Original Amount [EUR 28.91], Merchant Amount [EUR 28.91], Customer Amount [TRY 97.95], Status [APPROVED], Operation [3DAUTH], UUID [3633019-1458740065-56] [23/03/2016 at 13:34:00]"/>
  </r>
  <r>
    <s v="3632953-1458739981-199"/>
    <s v="Spot"/>
    <s v="3632953-1458739981-199"/>
    <n v="0"/>
    <d v="2016-03-31T00:00:00"/>
    <x v="1012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2953-1458739981-199] [23/03/2016 at 13:33:00]"/>
  </r>
  <r>
    <s v="3632950-1458739981-199"/>
    <s v="Spot"/>
    <s v="3632950-1458739981-199"/>
    <n v="0"/>
    <d v="2016-03-31T00:00:00"/>
    <x v="1013"/>
    <s v="199"/>
    <s v="SELL"/>
    <n v="9.9753927344133526"/>
    <x v="0"/>
    <x v="1"/>
    <n v="1625.59"/>
    <s v="Deal"/>
    <m/>
    <s v="Original Amount [EUR 162.96], Merchant Amount [EUR 162.96], Customer Amount [NOK 1625.59], Status [APPROVED], Operation [DIRECT], UUID [3632950-1458739981-199] [23/03/2016 at 13:33:00]"/>
  </r>
  <r>
    <s v="3632932-1458739960-238"/>
    <s v="Spot"/>
    <s v="3632932-1458739960-238"/>
    <n v="0"/>
    <d v="2016-03-31T00:00:00"/>
    <x v="1014"/>
    <s v="238"/>
    <s v="SELL"/>
    <n v="1.5588235294117647"/>
    <x v="0"/>
    <x v="5"/>
    <n v="2.12"/>
    <s v="Deal"/>
    <m/>
    <s v="Original Amount [EUR 1.36], Merchant Amount [EUR 1.36], Customer Amount [AUD 2.12], Status [APPROVED], Operation [DIRECT], UUID [3632932-1458739960-238] [23/03/2016 at 13:32:00]"/>
  </r>
  <r>
    <s v="3632926-1458739957-119"/>
    <s v="Spot"/>
    <s v="3632926-1458739957-119"/>
    <n v="0"/>
    <d v="2016-03-31T00:00:00"/>
    <x v="1015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2926-1458739957-119] [23/03/2016 at 13:32:00]"/>
  </r>
  <r>
    <s v="3632923-1458739957-107"/>
    <s v="Spot"/>
    <s v="3632923-1458739957-107"/>
    <n v="0"/>
    <d v="2016-03-31T00:00:00"/>
    <x v="1016"/>
    <s v="107"/>
    <s v="SELL"/>
    <n v="3.3879922530664941"/>
    <x v="0"/>
    <x v="0"/>
    <n v="52.48"/>
    <s v="Deal"/>
    <m/>
    <s v="Original Amount [EUR 15.49], Merchant Amount [EUR 15.49], Customer Amount [TRY 52.48], Status [WAITING], Operation [3D], UUID [3632923-1458739957-107] [23/03/2016 at 13:32:00]"/>
  </r>
  <r>
    <s v="3632920-1458739954-199"/>
    <s v="Spot"/>
    <s v="3632920-1458739954-199"/>
    <n v="0"/>
    <d v="2016-03-31T00:00:00"/>
    <x v="1017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2920-1458739954-199] [23/03/2016 at 13:32:00]"/>
  </r>
  <r>
    <s v="3632947-1458739980-216"/>
    <s v="Spot"/>
    <s v="3632947-1458739980-216"/>
    <n v="0"/>
    <d v="2016-03-31T00:00:00"/>
    <x v="1018"/>
    <s v="216"/>
    <s v="SELL"/>
    <n v="3.3879974326059048"/>
    <x v="0"/>
    <x v="0"/>
    <n v="105.57"/>
    <s v="Deal"/>
    <m/>
    <s v="Original Amount [EUR 31.16], Merchant Amount [EUR 31.16], Customer Amount [TRY 105.57], Status [APPROVED], Operation [3DAUTH], UUID [3632947-1458739980-216] [23/03/2016 at 13:33:00]"/>
  </r>
  <r>
    <s v="3632902-1458739928-171"/>
    <s v="Spot"/>
    <s v="3632902-1458739928-171"/>
    <n v="0"/>
    <d v="2016-03-31T00:00:00"/>
    <x v="1019"/>
    <s v="171"/>
    <s v="SELL"/>
    <n v="9.9754000000000005"/>
    <x v="0"/>
    <x v="1"/>
    <n v="997.54"/>
    <s v="Deal"/>
    <m/>
    <s v="Original Amount [EUR 100], Merchant Amount [EUR 100], Customer Amount [NOK 997.54], Status [APPROVED], Operation [DIRECT], UUID [3632902-1458739928-171] [23/03/2016 at 13:32:00]"/>
  </r>
  <r>
    <s v="3632935-1458739964-216"/>
    <s v="Spot"/>
    <s v="3632935-1458739964-216"/>
    <n v="0"/>
    <d v="2016-03-31T00:00:00"/>
    <x v="1020"/>
    <s v="216"/>
    <s v="SELL"/>
    <n v="3.3878904578519466"/>
    <x v="0"/>
    <x v="0"/>
    <n v="158.35"/>
    <s v="Deal"/>
    <m/>
    <s v="Original Amount [EUR 46.74], Merchant Amount [EUR 46.74], Customer Amount [TRY 158.35], Status [APPROVED], Operation [3DAUTH], UUID [3632935-1458739964-216] [23/03/2016 at 13:32:00]"/>
  </r>
  <r>
    <s v="3632893-1458739920-119"/>
    <s v="Spot"/>
    <s v="3632893-1458739920-119"/>
    <n v="0"/>
    <d v="2016-03-31T00:00:00"/>
    <x v="1021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2893-1458739920-119] [23/03/2016 at 13:32:00]"/>
  </r>
  <r>
    <s v="3632887-1458739914-126"/>
    <s v="Spot"/>
    <s v="3632887-1458739914-126"/>
    <n v="0"/>
    <d v="2016-03-31T00:00:00"/>
    <x v="1022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2887-1458739914-126] [23/03/2016 at 13:31:00]"/>
  </r>
  <r>
    <s v="3632878-1458739909-224"/>
    <s v="Spot"/>
    <s v="3632878-1458739909-224"/>
    <n v="0"/>
    <d v="2016-03-31T00:00:00"/>
    <x v="1023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32878-1458739909-224] [23/03/2016 at 13:31:00]"/>
  </r>
  <r>
    <s v="3632854-1458739895-187"/>
    <s v="Spot"/>
    <s v="3632854-1458739895-187"/>
    <n v="0"/>
    <d v="2016-03-31T00:00:00"/>
    <x v="1024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2854-1458739895-187] [23/03/2016 at 13:31:00]"/>
  </r>
  <r>
    <s v="3632911-1458739935-264"/>
    <s v="Spot"/>
    <s v="3632911-1458739935-264"/>
    <n v="0"/>
    <d v="2016-03-31T00:00:00"/>
    <x v="1025"/>
    <s v="264"/>
    <s v="SELL"/>
    <n v="3.3911845730027546"/>
    <x v="0"/>
    <x v="0"/>
    <n v="36.93"/>
    <s v="Deal"/>
    <m/>
    <s v="Original Amount [TRY 35], Merchant Amount [EUR 10.89], Customer Amount [TRY 36.93], Status [APPROVED], Operation [3DAUTH], UUID [3632911-1458739935-264] [23/03/2016 at 13:32:00]"/>
  </r>
  <r>
    <s v="3632875-1458739905-216"/>
    <s v="Spot"/>
    <s v="3632875-1458739905-216"/>
    <n v="0"/>
    <d v="2016-03-31T00:00:00"/>
    <x v="1026"/>
    <s v="216"/>
    <s v="SELL"/>
    <n v="3.3883183568677793"/>
    <x v="0"/>
    <x v="0"/>
    <n v="52.79"/>
    <s v="Deal"/>
    <m/>
    <s v="Original Amount [EUR 15.58], Merchant Amount [EUR 15.58], Customer Amount [TRY 52.79], Status [APPROVED], Operation [3DAUTH], UUID [3632875-1458739905-216] [23/03/2016 at 13:31:00]"/>
  </r>
  <r>
    <s v="3632890-1458739918-101"/>
    <s v="Spot"/>
    <s v="3632890-1458739918-101"/>
    <n v="0"/>
    <d v="2016-03-31T00:00:00"/>
    <x v="1027"/>
    <s v="101"/>
    <s v="SELL"/>
    <n v="3.3879668049792526"/>
    <x v="0"/>
    <x v="0"/>
    <n v="130.63999999999999"/>
    <s v="Deal"/>
    <m/>
    <s v="Original Amount [EUR 38.56], Merchant Amount [EUR 38.56], Customer Amount [TRY 130.64], Status [APPROVED], Operation [3DAUTH], UUID [3632890-1458739918-101] [23/03/2016 at 13:31:00]"/>
  </r>
  <r>
    <s v="3632842-1458739885-216"/>
    <s v="Spot"/>
    <s v="3632842-1458739885-216"/>
    <n v="0"/>
    <d v="2016-03-31T00:00:00"/>
    <x v="1028"/>
    <s v="216"/>
    <s v="SELL"/>
    <n v="3.388634280476627"/>
    <x v="0"/>
    <x v="0"/>
    <n v="36.97"/>
    <s v="Deal"/>
    <m/>
    <s v="Original Amount [EUR 10.91], Merchant Amount [EUR 10.91], Customer Amount [TRY 36.97], Status [APPROVED], Operation [3DAUTH], UUID [3632842-1458739885-216] [23/03/2016 at 13:31:00]"/>
  </r>
  <r>
    <s v="3632785-1458739858-161"/>
    <s v="Spot"/>
    <s v="3632785-1458739858-161"/>
    <n v="0"/>
    <d v="2016-03-31T00:00:00"/>
    <x v="1029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32785-1458739858-161] [23/03/2016 at 13:30:00]"/>
  </r>
  <r>
    <s v="3632788-1458739859-199"/>
    <s v="Spot"/>
    <s v="3632788-1458739859-199"/>
    <n v="0"/>
    <d v="2016-03-31T00:00:00"/>
    <x v="1030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2788-1458739859-199] [23/03/2016 at 13:30:00]"/>
  </r>
  <r>
    <s v="3632773-1458739854-203"/>
    <s v="Spot"/>
    <s v="3632773-1458739854-203"/>
    <n v="0"/>
    <d v="2016-03-31T00:00:00"/>
    <x v="1031"/>
    <s v="203"/>
    <s v="SELL"/>
    <n v="3.3880645161290324"/>
    <x v="0"/>
    <x v="0"/>
    <n v="105.03"/>
    <s v="Deal"/>
    <m/>
    <s v="Original Amount [EUR 31], Merchant Amount [EUR 31], Customer Amount [TRY 105.03], Status [WAITING], Operation [3D], UUID [3632773-1458739854-203] [23/03/2016 at 13:30:00]"/>
  </r>
  <r>
    <s v="3632770-1458739852-161"/>
    <s v="Spot"/>
    <s v="3632770-1458739852-161"/>
    <n v="0"/>
    <d v="2016-03-31T00:00:00"/>
    <x v="1032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32770-1458739852-161] [23/03/2016 at 13:30:00]"/>
  </r>
  <r>
    <s v="3632794-1458739864-216"/>
    <s v="Spot"/>
    <s v="3632794-1458739864-216"/>
    <n v="0"/>
    <d v="2016-03-31T00:00:00"/>
    <x v="1033"/>
    <s v="216"/>
    <s v="SELL"/>
    <n v="3.3883183568677793"/>
    <x v="0"/>
    <x v="0"/>
    <n v="52.79"/>
    <s v="Deal"/>
    <m/>
    <s v="Original Amount [EUR 15.58], Merchant Amount [EUR 15.58], Customer Amount [TRY 52.79], Status [APPROVED], Operation [3DAUTH], UUID [3632794-1458739864-216] [23/03/2016 at 13:31:00]"/>
  </r>
  <r>
    <s v="3632734-1458739830-264"/>
    <s v="Spot"/>
    <s v="3632734-1458739830-264"/>
    <n v="0"/>
    <d v="2016-03-31T00:00:00"/>
    <x v="1034"/>
    <s v="264"/>
    <s v="SELL"/>
    <n v="1.1795118818240204"/>
    <x v="0"/>
    <x v="7"/>
    <n v="36.729999999999997"/>
    <s v="Deal"/>
    <m/>
    <s v="Original Amount [TRY 100], Merchant Amount [EUR 31.14], Customer Amount [USD 36.73], Status [APPROVED], Operation [3DAUTH], UUID [3632734-1458739830-264] [23/03/2016 at 13:30:00]"/>
  </r>
  <r>
    <s v="3632719-1458739820-200"/>
    <s v="Spot"/>
    <s v="3632719-1458739820-200"/>
    <n v="0"/>
    <d v="2016-03-31T00:00:00"/>
    <x v="1035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32719-1458739820-200] [23/03/2016 at 13:30:00]"/>
  </r>
  <r>
    <s v="3632761-1458739849-216"/>
    <s v="Spot"/>
    <s v="3632761-1458739849-216"/>
    <n v="0"/>
    <d v="2016-03-31T00:00:00"/>
    <x v="1036"/>
    <s v="216"/>
    <s v="SELL"/>
    <n v="3.388634280476627"/>
    <x v="0"/>
    <x v="0"/>
    <n v="36.97"/>
    <s v="Deal"/>
    <m/>
    <s v="Original Amount [EUR 10.91], Merchant Amount [EUR 10.91], Customer Amount [TRY 36.97], Status [APPROVED], Operation [3DAUTH], UUID [3632761-1458739849-216] [23/03/2016 at 13:30:00]"/>
  </r>
  <r>
    <s v="3632707-1458739811-196"/>
    <s v="Spot"/>
    <s v="3632707-1458739811-196"/>
    <n v="0"/>
    <d v="2016-03-31T00:00:00"/>
    <x v="1037"/>
    <s v="196"/>
    <s v="SELL"/>
    <n v="9.9755525787006025"/>
    <x v="0"/>
    <x v="1"/>
    <n v="297.87"/>
    <s v="Deal"/>
    <m/>
    <s v="Original Amount [EUR 29.86], Merchant Amount [EUR 29.86], Customer Amount [NOK 297.87], Status [WAITING], Operation [3D], UUID [3632707-1458739811-196] [23/03/2016 at 13:30:00]"/>
  </r>
  <r>
    <s v="3632692-1458739800-126"/>
    <s v="Spot"/>
    <s v="3632692-1458739800-126"/>
    <n v="0"/>
    <d v="2016-03-31T00:00:00"/>
    <x v="1038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32692-1458739800-126] [23/03/2016 at 13:30:00]"/>
  </r>
  <r>
    <s v="3632695-1458739802-264"/>
    <s v="Spot"/>
    <s v="3632695-1458739802-264"/>
    <n v="0"/>
    <d v="2016-03-31T00:00:00"/>
    <x v="1039"/>
    <s v="264"/>
    <s v="SELL"/>
    <n v="1.1782273603082851"/>
    <x v="0"/>
    <x v="7"/>
    <n v="36.69"/>
    <s v="Deal"/>
    <m/>
    <s v="Original Amount [TRY 100], Merchant Amount [EUR 31.14], Customer Amount [USD 36.69], Status [APPROVED], Operation [3DAUTH], UUID [3632695-1458739802-264] [23/03/2016 at 13:30:00]"/>
  </r>
  <r>
    <s v="3632683-1458739789-224"/>
    <s v="Spot"/>
    <s v="3632683-1458739789-224"/>
    <n v="0"/>
    <d v="2016-03-31T00:00:00"/>
    <x v="1040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32683-1458739789-224] [23/03/2016 at 13:29:00]"/>
  </r>
  <r>
    <s v="3632677-1458739787-224"/>
    <s v="Spot"/>
    <s v="3632677-1458739787-224"/>
    <n v="0"/>
    <d v="2016-03-31T00:00:00"/>
    <x v="104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2677-1458739787-224] [23/03/2016 at 13:29:00]"/>
  </r>
  <r>
    <s v="3632662-1458739776-224"/>
    <s v="Spot"/>
    <s v="3632662-1458739776-224"/>
    <n v="0"/>
    <d v="2016-03-31T00:00:00"/>
    <x v="1042"/>
    <s v="224"/>
    <s v="SELL"/>
    <n v="9.9546042500769953"/>
    <x v="0"/>
    <x v="1"/>
    <n v="1616.13"/>
    <s v="Deal"/>
    <m/>
    <s v="Original Amount [EUR 162.35], Merchant Amount [EUR 162.35], Customer Amount [NOK 1616.13], Status [APPROVED], Operation [DIRECT], UUID [3632662-1458739776-224] [23/03/2016 at 13:29:00]"/>
  </r>
  <r>
    <s v="3632653-1458739772-76"/>
    <s v="Spot"/>
    <s v="3632653-1458739772-76"/>
    <n v="0"/>
    <d v="2016-03-31T00:00:00"/>
    <x v="1043"/>
    <s v="76"/>
    <s v="BUY"/>
    <n v="0"/>
    <x v="0"/>
    <x v="7"/>
    <n v="0.01"/>
    <s v="Deal"/>
    <m/>
    <s v="Original Amount [USD 0.01], Merchant Amount [EUR 0], Customer Amount [USD 0.01], Status [APPROVED], Operation [REFUND], UUID [3632653-1458739772-76] [23/03/2016 at 13:29:00]"/>
  </r>
  <r>
    <s v="3632830-1458739879-216"/>
    <s v="Spot"/>
    <s v="3632830-1458739879-216"/>
    <n v="0"/>
    <d v="2016-03-31T00:00:00"/>
    <x v="1044"/>
    <s v="216"/>
    <s v="SELL"/>
    <n v="3.3975240715268225"/>
    <x v="0"/>
    <x v="0"/>
    <n v="74.099999999999994"/>
    <s v="Deal"/>
    <m/>
    <s v="Original Amount [EUR 21.81], Merchant Amount [EUR 21.81], Customer Amount [TRY 74.1], Status [APPROVED], Operation [3DAUTH], UUID [3632830-1458739879-216] [23/03/2016 at 13:31:00]"/>
  </r>
  <r>
    <s v="3632647-1458739768-76"/>
    <s v="Spot"/>
    <s v="3632647-1458739768-76"/>
    <n v="0"/>
    <d v="2016-03-31T00:00:00"/>
    <x v="1045"/>
    <s v="76"/>
    <s v="SELL"/>
    <n v="0"/>
    <x v="0"/>
    <x v="7"/>
    <n v="0.01"/>
    <s v="Deal"/>
    <m/>
    <s v="Original Amount [USD 0.01], Merchant Amount [EUR 0], Customer Amount [USD 0.01], Status [APPROVED], Operation [STORED], UUID [3632647-1458739768-76] [23/03/2016 at 13:29:00]"/>
  </r>
  <r>
    <s v="3632644-1458739768-199"/>
    <s v="Spot"/>
    <s v="3632644-1458739768-199"/>
    <n v="0"/>
    <d v="2016-03-31T00:00:00"/>
    <x v="1046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32644-1458739768-199] [23/03/2016 at 13:29:00]"/>
  </r>
  <r>
    <s v="3632728-1458739825-216"/>
    <s v="Spot"/>
    <s v="3632728-1458739825-216"/>
    <n v="0"/>
    <d v="2016-03-31T00:00:00"/>
    <x v="1047"/>
    <s v="216"/>
    <s v="SELL"/>
    <n v="3.3975044563279861"/>
    <x v="0"/>
    <x v="0"/>
    <n v="57.18"/>
    <s v="Deal"/>
    <m/>
    <s v="Original Amount [EUR 16.83], Merchant Amount [EUR 16.83], Customer Amount [TRY 57.18], Status [APPROVED], Operation [3DAUTH], UUID [3632728-1458739825-216] [23/03/2016 at 13:30:00]"/>
  </r>
  <r>
    <s v="3632635-1458739758-224"/>
    <s v="Spot"/>
    <s v="3632635-1458739758-224"/>
    <n v="0"/>
    <d v="2016-03-31T00:00:00"/>
    <x v="1048"/>
    <s v="224"/>
    <s v="SELL"/>
    <n v="9.9547239547239545"/>
    <x v="0"/>
    <x v="1"/>
    <n v="430.94"/>
    <s v="Deal"/>
    <m/>
    <s v="Original Amount [EUR 43.29], Merchant Amount [EUR 43.29], Customer Amount [NOK 430.94], Status [APPROVED], Operation [DIRECT], UUID [3632635-1458739758-224] [23/03/2016 at 13:29:00]"/>
  </r>
  <r>
    <s v="3632632-1458739757-216"/>
    <s v="Spot"/>
    <s v="3632632-1458739757-216"/>
    <n v="0"/>
    <d v="2016-03-31T00:00:00"/>
    <x v="1049"/>
    <s v="216"/>
    <s v="SELL"/>
    <n v="3.3973042362002568"/>
    <x v="0"/>
    <x v="0"/>
    <n v="105.86"/>
    <s v="Deal"/>
    <m/>
    <s v="Original Amount [EUR 31.16], Merchant Amount [EUR 31.16], Customer Amount [TRY 105.86], Status [WAITING], Operation [3D], UUID [3632632-1458739757-216] [23/03/2016 at 13:29:00]"/>
  </r>
  <r>
    <s v="3632626-1458739754-126"/>
    <s v="Spot"/>
    <s v="3632626-1458739754-126"/>
    <n v="0"/>
    <d v="2016-03-31T00:00:00"/>
    <x v="1050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32626-1458739754-126] [23/03/2016 at 13:29:00]"/>
  </r>
  <r>
    <s v="3632668-1458739778-107"/>
    <s v="Spot"/>
    <s v="3632668-1458739778-107"/>
    <n v="0"/>
    <d v="2016-03-31T00:00:00"/>
    <x v="1051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32668-1458739778-107] [23/03/2016 at 13:29:00]"/>
  </r>
  <r>
    <s v="3632659-1458739773-216"/>
    <s v="Spot"/>
    <s v="3632659-1458739773-216"/>
    <n v="0"/>
    <d v="2016-03-31T00:00:00"/>
    <x v="105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2659-1458739773-216] [23/03/2016 at 13:29:00]"/>
  </r>
  <r>
    <s v="3632602-1458739741-124"/>
    <s v="Spot"/>
    <s v="3632602-1458739741-124"/>
    <n v="0"/>
    <d v="2016-03-31T00:00:00"/>
    <x v="1053"/>
    <s v="124"/>
    <s v="SELL"/>
    <n v="9.9546570942754578"/>
    <x v="0"/>
    <x v="1"/>
    <n v="526.9"/>
    <s v="Deal"/>
    <m/>
    <s v="Original Amount [EUR 52.93], Merchant Amount [EUR 52.93], Customer Amount [NOK 526.9], Status [APPROVED], Operation [DIRECT], UUID [3632602-1458739741-124] [23/03/2016 at 13:29:00]"/>
  </r>
  <r>
    <s v="3632584-1458739723-200"/>
    <s v="Spot"/>
    <s v="3632584-1458739723-200"/>
    <n v="0"/>
    <d v="2016-03-31T00:00:00"/>
    <x v="1054"/>
    <s v="200"/>
    <s v="SELL"/>
    <n v="9.954582319545823"/>
    <x v="0"/>
    <x v="1"/>
    <n v="981.92"/>
    <s v="Deal"/>
    <m/>
    <s v="Original Amount [EUR 98.64], Merchant Amount [EUR 98.64], Customer Amount [NOK 981.92], Status [APPROVED], Operation [STORED], UUID [3632584-1458739723-200] [23/03/2016 at 13:28:00]"/>
  </r>
  <r>
    <s v="3632623-1458739750-56"/>
    <s v="Spot"/>
    <s v="3632623-1458739750-56"/>
    <n v="0"/>
    <d v="2016-03-31T00:00:00"/>
    <x v="1055"/>
    <s v="56"/>
    <s v="SELL"/>
    <n v="3.3975100044464206"/>
    <x v="0"/>
    <x v="0"/>
    <n v="76.41"/>
    <s v="Deal"/>
    <m/>
    <s v="Original Amount [EUR 22.49], Merchant Amount [EUR 22.49], Customer Amount [TRY 76.41], Status [APPROVED], Operation [3DAUTH], UUID [3632623-1458739750-56] [23/03/2016 at 13:29:00]"/>
  </r>
  <r>
    <s v="3632608-1458739747-216"/>
    <s v="Spot"/>
    <s v="3632608-1458739747-216"/>
    <n v="0"/>
    <d v="2016-03-31T00:00:00"/>
    <x v="1056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32608-1458739747-216] [23/03/2016 at 13:29:00]"/>
  </r>
  <r>
    <s v="3632554-1458739697-126"/>
    <s v="Spot"/>
    <s v="3632554-1458739697-126"/>
    <n v="0"/>
    <d v="2016-03-31T00:00:00"/>
    <x v="1057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2554-1458739697-126] [23/03/2016 at 13:28:00]"/>
  </r>
  <r>
    <s v="3632581-1458739715-56"/>
    <s v="Spot"/>
    <s v="3632581-1458739715-56"/>
    <n v="0"/>
    <d v="2016-03-31T00:00:00"/>
    <x v="1058"/>
    <s v="56"/>
    <s v="SELL"/>
    <n v="3.3977353149327669"/>
    <x v="0"/>
    <x v="0"/>
    <n v="48.01"/>
    <s v="Deal"/>
    <m/>
    <s v="Original Amount [EUR 14.13], Merchant Amount [EUR 14.13], Customer Amount [TRY 48.01], Status [APPROVED], Operation [3DAUTH], UUID [3632581-1458739715-56] [23/03/2016 at 13:28:00]"/>
  </r>
  <r>
    <s v="3632539-1458739685-126"/>
    <s v="Spot"/>
    <s v="3632539-1458739685-126"/>
    <n v="0"/>
    <d v="2016-03-31T00:00:00"/>
    <x v="1059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2539-1458739685-126] [23/03/2016 at 13:28:00]"/>
  </r>
  <r>
    <s v="3632569-1458739705-216"/>
    <s v="Spot"/>
    <s v="3632569-1458739705-216"/>
    <n v="0"/>
    <d v="2016-03-31T00:00:00"/>
    <x v="1060"/>
    <s v="216"/>
    <s v="SELL"/>
    <n v="3.3972895863052783"/>
    <x v="0"/>
    <x v="0"/>
    <n v="47.63"/>
    <s v="Deal"/>
    <m/>
    <s v="Original Amount [EUR 14.02], Merchant Amount [EUR 14.02], Customer Amount [TRY 47.63], Status [APPROVED], Operation [3DAUTH], UUID [3632569-1458739705-216] [23/03/2016 at 13:28:00]"/>
  </r>
  <r>
    <s v="3632566-1458739704-216"/>
    <s v="Spot"/>
    <s v="3632566-1458739704-216"/>
    <n v="0"/>
    <d v="2016-03-31T00:00:00"/>
    <x v="1061"/>
    <s v="216"/>
    <s v="SELL"/>
    <n v="3.3972895863052783"/>
    <x v="0"/>
    <x v="0"/>
    <n v="47.63"/>
    <s v="Deal"/>
    <m/>
    <s v="Original Amount [EUR 14.02], Merchant Amount [EUR 14.02], Customer Amount [TRY 47.63], Status [APPROVED], Operation [3DAUTH], UUID [3632566-1458739704-216] [23/03/2016 at 13:28:00]"/>
  </r>
  <r>
    <s v="3632509-1458739649-119"/>
    <s v="Spot"/>
    <s v="3632509-1458739649-119"/>
    <n v="0"/>
    <d v="2016-03-31T00:00:00"/>
    <x v="1062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2509-1458739649-119] [23/03/2016 at 13:27:00]"/>
  </r>
  <r>
    <s v="3632578-1458739708-56"/>
    <s v="Spot"/>
    <s v="3632578-1458739708-56"/>
    <n v="0"/>
    <d v="2016-03-31T00:00:00"/>
    <x v="1063"/>
    <s v="56"/>
    <s v="SELL"/>
    <n v="3.397230434106115"/>
    <x v="0"/>
    <x v="0"/>
    <n v="218.34"/>
    <s v="Deal"/>
    <m/>
    <s v="Original Amount [EUR 64.27], Merchant Amount [EUR 64.27], Customer Amount [TRY 218.34], Status [APPROVED], Operation [3DAUTH], UUID [3632578-1458739708-56] [23/03/2016 at 13:28:00]"/>
  </r>
  <r>
    <s v="3632506-1458739649-264"/>
    <s v="Spot"/>
    <s v="3632506-1458739649-264"/>
    <n v="0"/>
    <d v="2016-03-31T00:00:00"/>
    <x v="1064"/>
    <s v="264"/>
    <s v="SELL"/>
    <n v="1.180064308681672"/>
    <x v="0"/>
    <x v="7"/>
    <n v="3.67"/>
    <s v="Deal"/>
    <m/>
    <s v="Original Amount [TRY 10], Merchant Amount [EUR 3.11], Customer Amount [USD 3.67], Status [APPROVED], Operation [3DAUTH], UUID [3632506-1458739649-264] [23/03/2016 at 13:27:00]"/>
  </r>
  <r>
    <s v="3632476-1458739635-126"/>
    <s v="Spot"/>
    <s v="3632476-1458739635-126"/>
    <n v="0"/>
    <d v="2016-03-31T00:00:00"/>
    <x v="1065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32476-1458739635-126] [23/03/2016 at 13:27:00]"/>
  </r>
  <r>
    <s v="3632473-1458739633-56"/>
    <s v="Spot"/>
    <s v="3632473-1458739633-56"/>
    <n v="0"/>
    <d v="2016-03-31T00:00:00"/>
    <x v="1066"/>
    <s v="56"/>
    <s v="SELL"/>
    <n v="3.3954212047121577"/>
    <x v="0"/>
    <x v="0"/>
    <n v="152.76"/>
    <s v="Deal"/>
    <m/>
    <s v="Original Amount [EUR 44.99], Merchant Amount [EUR 44.99], Customer Amount [TRY 152.76], Status [APPROVED], Operation [3DAUTH], UUID [3632473-1458739633-56] [23/03/2016 at 13:27:00]"/>
  </r>
  <r>
    <s v="3632452-1458739600-196"/>
    <s v="Spot"/>
    <s v="3632452-1458739600-196"/>
    <n v="0"/>
    <d v="2016-03-31T00:00:00"/>
    <x v="1067"/>
    <s v="196"/>
    <s v="SELL"/>
    <n v="9.9665103817816494"/>
    <x v="0"/>
    <x v="1"/>
    <n v="297.60000000000002"/>
    <s v="Deal"/>
    <m/>
    <s v="Original Amount [EUR 29.86], Merchant Amount [EUR 29.86], Customer Amount [NOK 297.6], Status [WAITING], Operation [3D], UUID [3632452-1458739600-196] [23/03/2016 at 13:26:00]"/>
  </r>
  <r>
    <s v="3632443-1458739597-224"/>
    <s v="Spot"/>
    <s v="3632443-1458739597-224"/>
    <n v="0"/>
    <d v="2016-03-31T00:00:00"/>
    <x v="1068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32443-1458739597-224] [23/03/2016 at 13:26:00]"/>
  </r>
  <r>
    <s v="3632428-1458739578-261"/>
    <s v="Spot"/>
    <s v="3632428-1458739578-261"/>
    <n v="0"/>
    <d v="2016-03-31T00:00:00"/>
    <x v="1069"/>
    <s v="261"/>
    <s v="SELL"/>
    <n v="9.966273833477052"/>
    <x v="0"/>
    <x v="1"/>
    <n v="3120.54"/>
    <s v="Deal"/>
    <m/>
    <s v="Original Amount [EUR 313.11], Merchant Amount [EUR 313.11], Customer Amount [NOK 3120.54], Status [APPROVED], Operation [DIRECT], UUID [3632428-1458739578-261] [23/03/2016 at 13:26:00]"/>
  </r>
  <r>
    <s v="3632416-1458739563-200"/>
    <s v="Spot"/>
    <s v="3632416-1458739563-200"/>
    <n v="0"/>
    <d v="2016-03-31T00:00:00"/>
    <x v="1070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32416-1458739563-200] [23/03/2016 at 13:26:00]"/>
  </r>
  <r>
    <s v="3632398-1458739550-125"/>
    <s v="Spot"/>
    <s v="3632398-1458739550-125"/>
    <n v="0"/>
    <d v="2016-03-31T00:00:00"/>
    <x v="1071"/>
    <s v="125"/>
    <s v="SELL"/>
    <n v="9.9664000000000001"/>
    <x v="0"/>
    <x v="1"/>
    <n v="498.32"/>
    <s v="Deal"/>
    <m/>
    <s v="Original Amount [EUR 50], Merchant Amount [EUR 50], Customer Amount [NOK 498.32], Status [APPROVED], Operation [DIRECT], UUID [3632398-1458739550-125] [23/03/2016 at 13:25:00]"/>
  </r>
  <r>
    <s v="3632386-1458739531-171"/>
    <s v="Spot"/>
    <s v="3632386-1458739531-171"/>
    <n v="0"/>
    <d v="2016-03-31T00:00:00"/>
    <x v="1072"/>
    <s v="171"/>
    <s v="SELL"/>
    <n v="1.5442976015663241"/>
    <x v="0"/>
    <x v="2"/>
    <n v="31.55"/>
    <s v="Deal"/>
    <m/>
    <s v="Original Amount [EUR 20.43], Merchant Amount [EUR 20.43], Customer Amount [CAD 31.55], Status [APPROVED], Operation [DIRECT], UUID [3632386-1458739531-171] [23/03/2016 at 13:25:00]"/>
  </r>
  <r>
    <s v="3632410-1458739556-216"/>
    <s v="Spot"/>
    <s v="3632410-1458739556-216"/>
    <n v="0"/>
    <d v="2016-03-31T00:00:00"/>
    <x v="1073"/>
    <s v="216"/>
    <s v="SELL"/>
    <n v="3.3958630527817406"/>
    <x v="0"/>
    <x v="0"/>
    <n v="47.61"/>
    <s v="Deal"/>
    <m/>
    <s v="Original Amount [EUR 14.02], Merchant Amount [EUR 14.02], Customer Amount [TRY 47.61], Status [APPROVED], Operation [3DAUTH], UUID [3632410-1458739556-216] [23/03/2016 at 13:25:00]"/>
  </r>
  <r>
    <s v="3632359-1458739494-224"/>
    <s v="Spot"/>
    <s v="3632359-1458739494-224"/>
    <n v="0"/>
    <d v="2016-03-31T00:00:00"/>
    <x v="1074"/>
    <s v="224"/>
    <s v="SELL"/>
    <n v="132.83244182936613"/>
    <x v="0"/>
    <x v="3"/>
    <n v="9933.2099999999991"/>
    <s v="Deal"/>
    <m/>
    <s v="Original Amount [EUR 74.78], Merchant Amount [EUR 74.78], Customer Amount [JPY 9933.21], Status [APPROVED], Operation [DIRECT], UUID [3632359-1458739494-224] [23/03/2016 at 13:24:00]"/>
  </r>
  <r>
    <s v="3632365-1458739510-264"/>
    <s v="Spot"/>
    <s v="3632365-1458739510-264"/>
    <n v="0"/>
    <d v="2016-03-31T00:00:00"/>
    <x v="1075"/>
    <s v="264"/>
    <s v="SELL"/>
    <n v="3.3988402061855671"/>
    <x v="0"/>
    <x v="0"/>
    <n v="52.75"/>
    <s v="Deal"/>
    <m/>
    <s v="Original Amount [TRY 50], Merchant Amount [EUR 15.52], Customer Amount [TRY 52.75], Status [APPROVED], Operation [3DAUTH], UUID [3632365-1458739510-264] [23/03/2016 at 13:25:00]"/>
  </r>
  <r>
    <s v="3632353-1458739488-241"/>
    <s v="Spot"/>
    <s v="3632353-1458739488-241"/>
    <n v="0"/>
    <d v="2016-03-31T00:00:00"/>
    <x v="1076"/>
    <s v="241"/>
    <s v="SELL"/>
    <n v="0.83327775925308434"/>
    <x v="0"/>
    <x v="4"/>
    <n v="24.99"/>
    <s v="Deal"/>
    <m/>
    <s v="Original Amount [EUR 29.99], Merchant Amount [EUR 29.99], Customer Amount [GBP 24.99], Status [APPROVED], Operation [DIRECT], UUID [3632353-1458739488-241] [23/03/2016 at 13:24:00]"/>
  </r>
  <r>
    <s v="3632377-1458739529-216"/>
    <s v="Spot"/>
    <s v="3632377-1458739529-216"/>
    <n v="0"/>
    <d v="2016-03-31T00:00:00"/>
    <x v="1077"/>
    <s v="216"/>
    <s v="SELL"/>
    <n v="3.3955603102433805"/>
    <x v="0"/>
    <x v="0"/>
    <n v="126.96"/>
    <s v="Deal"/>
    <m/>
    <s v="Original Amount [EUR 37.39], Merchant Amount [EUR 37.39], Customer Amount [TRY 126.96], Status [APPROVED], Operation [3DAUTH], UUID [3632377-1458739529-216] [23/03/2016 at 13:25:00]"/>
  </r>
  <r>
    <s v="3632329-1458739468-145"/>
    <s v="Spot"/>
    <s v="3632329-1458739468-145"/>
    <n v="0"/>
    <d v="2016-03-31T00:00:00"/>
    <x v="1078"/>
    <s v="145"/>
    <s v="SELL"/>
    <n v="1.5441908106526192"/>
    <x v="0"/>
    <x v="2"/>
    <n v="105.53"/>
    <s v="Deal"/>
    <m/>
    <s v="Original Amount [EUR 68.34], Merchant Amount [EUR 68.34], Customer Amount [CAD 105.53], Status [WAITING], Operation [3D], UUID [3632329-1458739468-145] [23/03/2016 at 13:24:00]"/>
  </r>
  <r>
    <s v="3632323-1458739465-264"/>
    <s v="Spot"/>
    <s v="3632323-1458739465-264"/>
    <n v="0"/>
    <d v="2016-03-31T00:00:00"/>
    <x v="1079"/>
    <s v="264"/>
    <s v="SELL"/>
    <n v="1.183311855670103"/>
    <x v="0"/>
    <x v="7"/>
    <n v="36.729999999999997"/>
    <s v="Deal"/>
    <m/>
    <s v="Original Amount [TRY 100], Merchant Amount [EUR 31.04], Customer Amount [USD 36.73], Status [APPROVED], Operation [3DAUTH], UUID [3632323-1458739465-264] [23/03/2016 at 13:24:00]"/>
  </r>
  <r>
    <s v="3632308-1458739452-224"/>
    <s v="Spot"/>
    <s v="3632308-1458739452-224"/>
    <n v="0"/>
    <d v="2016-03-31T00:00:00"/>
    <x v="1080"/>
    <s v="224"/>
    <s v="SELL"/>
    <n v="9.9663648124191457"/>
    <x v="0"/>
    <x v="1"/>
    <n v="539.28"/>
    <s v="Deal"/>
    <m/>
    <s v="Original Amount [EUR 54.11], Merchant Amount [EUR 54.11], Customer Amount [NOK 539.28], Status [APPROVED], Operation [DIRECT], UUID [3632308-1458739452-224] [23/03/2016 at 13:24:00]"/>
  </r>
  <r>
    <s v="3632305-1458739447-216"/>
    <s v="Spot"/>
    <s v="3632305-1458739447-216"/>
    <n v="0"/>
    <d v="2016-03-31T00:00:00"/>
    <x v="1081"/>
    <s v="216"/>
    <s v="SELL"/>
    <n v="3.3955603102433805"/>
    <x v="0"/>
    <x v="0"/>
    <n v="126.96"/>
    <s v="Deal"/>
    <m/>
    <s v="Original Amount [EUR 37.39], Merchant Amount [EUR 37.39], Customer Amount [TRY 126.96], Status [WAITING], Operation [3D], UUID [3632305-1458739447-216] [23/03/2016 at 13:24:00]"/>
  </r>
  <r>
    <s v="3632332-1458739470-56"/>
    <s v="Spot"/>
    <s v="3632332-1458739470-56"/>
    <n v="0"/>
    <d v="2016-03-31T00:00:00"/>
    <x v="1082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2332-1458739470-56] [23/03/2016 at 13:24:00]"/>
  </r>
  <r>
    <s v="3632296-1458739427-126"/>
    <s v="Spot"/>
    <s v="3632296-1458739427-126"/>
    <n v="0"/>
    <d v="2016-03-31T00:00:00"/>
    <x v="1083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2296-1458739427-126] [23/03/2016 at 13:23:00]"/>
  </r>
  <r>
    <s v="3632335-1458739476-124"/>
    <s v="Spot"/>
    <s v="3632335-1458739476-124"/>
    <n v="0"/>
    <d v="2016-03-31T00:00:00"/>
    <x v="1084"/>
    <s v="124"/>
    <s v="SELL"/>
    <n v="9.9663414634146328"/>
    <x v="0"/>
    <x v="1"/>
    <n v="1225.8599999999999"/>
    <s v="Deal"/>
    <m/>
    <s v="Original Amount [EUR 123], Merchant Amount [EUR 123], Customer Amount [NOK 1225.86], Status [APPROVED], Operation [3DAUTH], UUID [3632335-1458739476-124] [23/03/2016 at 13:24:00]"/>
  </r>
  <r>
    <s v="3632272-1458739413-126"/>
    <s v="Spot"/>
    <s v="3632272-1458739413-126"/>
    <n v="0"/>
    <d v="2016-03-31T00:00:00"/>
    <x v="1085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2272-1458739413-126] [23/03/2016 at 13:23:00]"/>
  </r>
  <r>
    <s v="3632266-1458739412-82"/>
    <s v="Spot"/>
    <s v="3632266-1458739412-82"/>
    <n v="0"/>
    <d v="2016-03-31T00:00:00"/>
    <x v="1086"/>
    <s v="82"/>
    <s v="SELL"/>
    <n v="0.83634175691937418"/>
    <x v="0"/>
    <x v="4"/>
    <n v="6.95"/>
    <s v="Deal"/>
    <m/>
    <s v="Original Amount [GBP 6.95], Merchant Amount [EUR 8.31], Customer Amount [GBP 6.95], Status [APPROVED], Operation [STORED], UUID [3632266-1458739412-82] [23/03/2016 at 13:23:00]"/>
  </r>
  <r>
    <s v="3632269-1458739412-56"/>
    <s v="Spot"/>
    <s v="3632269-1458739412-56"/>
    <n v="0"/>
    <d v="2016-03-31T00:00:00"/>
    <x v="1087"/>
    <s v="56"/>
    <s v="SELL"/>
    <n v="3.3960149439601497"/>
    <x v="0"/>
    <x v="0"/>
    <n v="27.27"/>
    <s v="Deal"/>
    <m/>
    <s v="Original Amount [EUR 8.03], Merchant Amount [EUR 8.03], Customer Amount [TRY 27.27], Status [WAITING], Operation [3D], UUID [3632269-1458739412-56] [23/03/2016 at 13:23:00]"/>
  </r>
  <r>
    <s v="3632287-1458739421-101"/>
    <s v="Spot"/>
    <s v="3632287-1458739421-101"/>
    <n v="0"/>
    <d v="2016-03-31T00:00:00"/>
    <x v="1088"/>
    <s v="101"/>
    <s v="SELL"/>
    <n v="3.3953307392996113"/>
    <x v="0"/>
    <x v="0"/>
    <n v="43.63"/>
    <s v="Deal"/>
    <m/>
    <s v="Original Amount [EUR 12.85], Merchant Amount [EUR 12.85], Customer Amount [TRY 43.63], Status [APPROVED], Operation [3DAUTH], UUID [3632287-1458739421-101] [23/03/2016 at 13:23:00]"/>
  </r>
  <r>
    <s v="3632248-1458739398-200"/>
    <s v="Spot"/>
    <s v="3632248-1458739398-200"/>
    <n v="0"/>
    <d v="2016-03-31T00:00:00"/>
    <x v="1089"/>
    <s v="200"/>
    <s v="SELL"/>
    <n v="9.9663712200208554"/>
    <x v="0"/>
    <x v="1"/>
    <n v="382.31"/>
    <s v="Deal"/>
    <m/>
    <s v="Original Amount [EUR 38.36], Merchant Amount [EUR 38.36], Customer Amount [NOK 382.31], Status [APPROVED], Operation [STORED], UUID [3632248-1458739398-200] [23/03/2016 at 13:23:00]"/>
  </r>
  <r>
    <s v="3632284-1458739418-179"/>
    <s v="Spot"/>
    <s v="3632284-1458739418-179"/>
    <n v="0"/>
    <d v="2016-03-31T00:00:00"/>
    <x v="1090"/>
    <s v="179"/>
    <s v="SELL"/>
    <n v="3.3953136810279667"/>
    <x v="0"/>
    <x v="0"/>
    <n v="89.84"/>
    <s v="Deal"/>
    <m/>
    <s v="Original Amount [EUR 26.46], Merchant Amount [EUR 26.46], Customer Amount [TRY 89.84], Status [APPROVED], Operation [3DAUTH], UUID [3632284-1458739418-179] [23/03/2016 at 13:23:00]"/>
  </r>
  <r>
    <s v="3632230-1458739390-224"/>
    <s v="Spot"/>
    <s v="3632230-1458739390-224"/>
    <n v="0"/>
    <d v="2016-03-31T00:00:00"/>
    <x v="1091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2230-1458739390-224] [23/03/2016 at 13:23:00]"/>
  </r>
  <r>
    <s v="3632224-1458739386-119"/>
    <s v="Spot"/>
    <s v="3632224-1458739386-119"/>
    <n v="0"/>
    <d v="2016-03-31T00:00:00"/>
    <x v="1092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2224-1458739386-119] [23/03/2016 at 13:23:00]"/>
  </r>
  <r>
    <s v="3632263-1458739405-124"/>
    <s v="Spot"/>
    <s v="3632263-1458739405-124"/>
    <n v="0"/>
    <d v="2016-03-31T00:00:00"/>
    <x v="1093"/>
    <s v="124"/>
    <s v="SELL"/>
    <n v="9.9662971175166302"/>
    <x v="0"/>
    <x v="1"/>
    <n v="1123.7"/>
    <s v="Deal"/>
    <m/>
    <s v="Original Amount [EUR 112.75], Merchant Amount [EUR 112.75], Customer Amount [NOK 1123.7], Status [APPROVED], Operation [3DAUTH], UUID [3632263-1458739405-124] [23/03/2016 at 13:23:00]"/>
  </r>
  <r>
    <s v="3632209-1458739376-264"/>
    <s v="Spot"/>
    <s v="3632209-1458739376-264"/>
    <n v="0"/>
    <d v="2016-03-31T00:00:00"/>
    <x v="1094"/>
    <s v="264"/>
    <s v="SELL"/>
    <n v="1.178770351328192"/>
    <x v="0"/>
    <x v="7"/>
    <n v="110.05"/>
    <s v="Deal"/>
    <m/>
    <s v="Original Amount [TRY 300], Merchant Amount [EUR 93.36], Customer Amount [USD 110.05], Status [APPROVED], Operation [3DAUTH], UUID [3632209-1458739376-264] [23/03/2016 at 13:22:00]"/>
  </r>
  <r>
    <s v="3632200-1458739368-82"/>
    <s v="Spot"/>
    <s v="3632200-1458739368-82"/>
    <n v="0"/>
    <d v="2016-03-31T00:00:00"/>
    <x v="109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2200-1458739368-82] [23/03/2016 at 13:22:00]"/>
  </r>
  <r>
    <s v="3632257-1458739401-216"/>
    <s v="Spot"/>
    <s v="3632257-1458739401-216"/>
    <n v="0"/>
    <d v="2016-03-31T00:00:00"/>
    <x v="1096"/>
    <s v="216"/>
    <s v="SELL"/>
    <n v="1.9052753176742394"/>
    <x v="0"/>
    <x v="13"/>
    <n v="49.48"/>
    <s v="Deal"/>
    <m/>
    <s v="Original Amount [EUR 25.97], Merchant Amount [EUR 25.97], Customer Amount [AZN 49.48], Status [APPROVED], Operation [3DAUTH], UUID [3632257-1458739401-216] [23/03/2016 at 13:23:00]"/>
  </r>
  <r>
    <s v="3632203-1458739371-172"/>
    <s v="Spot"/>
    <s v="3632203-1458739371-172"/>
    <n v="0"/>
    <d v="2016-03-31T00:00:00"/>
    <x v="1097"/>
    <s v="172"/>
    <s v="SELL"/>
    <n v="9.9668304668304657"/>
    <x v="0"/>
    <x v="1"/>
    <n v="162.26"/>
    <s v="Deal"/>
    <m/>
    <s v="Original Amount [EUR 16.28], Merchant Amount [EUR 16.28], Customer Amount [NOK 162.26], Status [APPROVED], Operation [3DAUTH], UUID [3632203-1458739371-172] [23/03/2016 at 13:22:00]"/>
  </r>
  <r>
    <s v="3632173-1458739343-261"/>
    <s v="Spot"/>
    <s v="3632173-1458739343-261"/>
    <n v="0"/>
    <d v="2016-03-31T00:00:00"/>
    <x v="1098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2173-1458739343-261] [23/03/2016 at 13:22:00]"/>
  </r>
  <r>
    <s v="3632170-1458739340-145"/>
    <s v="Spot"/>
    <s v="3632170-1458739340-145"/>
    <n v="0"/>
    <d v="2016-03-31T00:00:00"/>
    <x v="1099"/>
    <s v="145"/>
    <s v="SELL"/>
    <n v="9.9669811320754729"/>
    <x v="0"/>
    <x v="1"/>
    <n v="105.65"/>
    <s v="Deal"/>
    <m/>
    <s v="Original Amount [EUR 10.6], Merchant Amount [EUR 10.6], Customer Amount [NOK 105.65], Status [APPROVED], Operation [DIRECT], UUID [3632170-1458739340-145] [23/03/2016 at 13:22:00]"/>
  </r>
  <r>
    <s v="3632161-1458739337-261"/>
    <s v="Spot"/>
    <s v="3632161-1458739337-261"/>
    <n v="0"/>
    <d v="2016-03-31T00:00:00"/>
    <x v="1100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32161-1458739337-261] [23/03/2016 at 13:22:00]"/>
  </r>
  <r>
    <s v="3632188-1458739357-101"/>
    <s v="Spot"/>
    <s v="3632188-1458739357-101"/>
    <n v="0"/>
    <d v="2016-03-31T00:00:00"/>
    <x v="1101"/>
    <s v="101"/>
    <s v="SELL"/>
    <n v="3.395369102452384"/>
    <x v="0"/>
    <x v="0"/>
    <n v="272.75"/>
    <s v="Deal"/>
    <m/>
    <s v="Original Amount [EUR 80.33], Merchant Amount [EUR 80.33], Customer Amount [TRY 272.75], Status [APPROVED], Operation [3DAUTH], UUID [3632188-1458739357-101] [23/03/2016 at 13:22:00]"/>
  </r>
  <r>
    <s v="3632137-1458739326-119"/>
    <s v="Spot"/>
    <s v="3632137-1458739326-119"/>
    <n v="0"/>
    <d v="2016-03-31T00:00:00"/>
    <x v="1102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2137-1458739326-119] [23/03/2016 at 13:22:00]"/>
  </r>
  <r>
    <s v="3632134-1458739325-134"/>
    <s v="Spot"/>
    <s v="3632134-1458739325-134"/>
    <n v="0"/>
    <d v="2016-03-31T00:00:00"/>
    <x v="1103"/>
    <s v="134"/>
    <s v="SELL"/>
    <n v="132.83251121076233"/>
    <x v="0"/>
    <x v="3"/>
    <n v="5924.33"/>
    <s v="Deal"/>
    <m/>
    <s v="Original Amount [EUR 44.6], Merchant Amount [EUR 44.6], Customer Amount [JPY 5924.33], Status [APPROVED], Operation [STORED], UUID [3632134-1458739325-134] [23/03/2016 at 13:22:00]"/>
  </r>
  <r>
    <s v="3632131-1458739320-199"/>
    <s v="Spot"/>
    <s v="3632131-1458739320-199"/>
    <n v="0"/>
    <d v="2016-03-31T00:00:00"/>
    <x v="1104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2131-1458739320-199] [23/03/2016 at 13:22:00]"/>
  </r>
  <r>
    <s v="3632122-1458739306-82"/>
    <s v="Spot"/>
    <s v="3632122-1458739306-82"/>
    <n v="0"/>
    <d v="2016-03-31T00:00:00"/>
    <x v="110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2122-1458739306-82] [23/03/2016 at 13:21:00]"/>
  </r>
  <r>
    <s v="3632191-1458739358-203"/>
    <s v="Spot"/>
    <s v="3632191-1458739358-203"/>
    <n v="0"/>
    <d v="2016-03-31T00:00:00"/>
    <x v="1106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2191-1458739358-203] [23/03/2016 at 13:22:00]"/>
  </r>
  <r>
    <s v="3632110-1458739296-119"/>
    <s v="Spot"/>
    <s v="3632110-1458739296-119"/>
    <n v="0"/>
    <d v="2016-03-31T00:00:00"/>
    <x v="1107"/>
    <s v="119"/>
    <s v="SELL"/>
    <n v="9.9663000000000004"/>
    <x v="0"/>
    <x v="1"/>
    <n v="996.63"/>
    <s v="Deal"/>
    <m/>
    <s v="Original Amount [EUR 100], Merchant Amount [EUR 100], Customer Amount [NOK 996.63], Status [APPROVED], Operation [DIRECT], UUID [3632110-1458739296-119] [23/03/2016 at 13:21:00]"/>
  </r>
  <r>
    <s v="3632074-1458739251-199"/>
    <s v="Spot"/>
    <s v="3632074-1458739251-199"/>
    <n v="0"/>
    <d v="2016-03-31T00:00:00"/>
    <x v="110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2074-1458739251-199] [23/03/2016 at 13:20:00]"/>
  </r>
  <r>
    <s v="3632065-1458739244-125"/>
    <s v="Spot"/>
    <s v="3632065-1458739244-125"/>
    <n v="0"/>
    <d v="2016-03-31T00:00:00"/>
    <x v="1109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2065-1458739244-125] [23/03/2016 at 13:20:00]"/>
  </r>
  <r>
    <s v="3632056-1458739229-224"/>
    <s v="Spot"/>
    <s v="3632056-1458739229-224"/>
    <n v="0"/>
    <d v="2016-03-31T00:00:00"/>
    <x v="1110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32056-1458739229-224] [23/03/2016 at 13:20:00]"/>
  </r>
  <r>
    <s v="3632068-1458739248-216"/>
    <s v="Spot"/>
    <s v="3632068-1458739248-216"/>
    <n v="0"/>
    <d v="2016-03-31T00:00:00"/>
    <x v="1111"/>
    <s v="216"/>
    <s v="SELL"/>
    <n v="3.3953786906290113"/>
    <x v="0"/>
    <x v="0"/>
    <n v="52.9"/>
    <s v="Deal"/>
    <m/>
    <s v="Original Amount [EUR 15.58], Merchant Amount [EUR 15.58], Customer Amount [TRY 52.9], Status [APPROVED], Operation [3DAUTH], UUID [3632068-1458739248-216] [23/03/2016 at 13:20:00]"/>
  </r>
  <r>
    <s v="3632047-1458739220-145"/>
    <s v="Spot"/>
    <s v="3632047-1458739220-145"/>
    <n v="0"/>
    <d v="2016-03-31T00:00:00"/>
    <x v="1112"/>
    <s v="145"/>
    <s v="SELL"/>
    <n v="9.9669811320754729"/>
    <x v="0"/>
    <x v="1"/>
    <n v="105.65"/>
    <s v="Deal"/>
    <m/>
    <s v="Original Amount [EUR 10.6], Merchant Amount [EUR 10.6], Customer Amount [NOK 105.65], Status [APPROVED], Operation [DIRECT], UUID [3632047-1458739220-145] [23/03/2016 at 13:20:00]"/>
  </r>
  <r>
    <s v="3632044-1458739220-224"/>
    <s v="Spot"/>
    <s v="3632044-1458739220-224"/>
    <n v="0"/>
    <d v="2016-03-31T00:00:00"/>
    <x v="1113"/>
    <s v="224"/>
    <s v="SELL"/>
    <n v="132.99401794616153"/>
    <x v="0"/>
    <x v="3"/>
    <n v="1333.93"/>
    <s v="Deal"/>
    <m/>
    <s v="Original Amount [EUR 10.03], Merchant Amount [EUR 10.03], Customer Amount [JPY 1333.93], Status [APPROVED], Operation [DIRECT], UUID [3632044-1458739220-224] [23/03/2016 at 13:20:00]"/>
  </r>
  <r>
    <s v="3632035-1458739216-261"/>
    <s v="Spot"/>
    <s v="3632035-1458739216-261"/>
    <n v="0"/>
    <d v="2016-03-31T00:00:00"/>
    <x v="1114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2035-1458739216-261] [23/03/2016 at 13:20:00]"/>
  </r>
  <r>
    <s v="3632077-1458739252-203"/>
    <s v="Spot"/>
    <s v="3632077-1458739252-203"/>
    <n v="0"/>
    <d v="2016-03-31T00:00:00"/>
    <x v="1115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2077-1458739252-203] [23/03/2016 at 13:20:00]"/>
  </r>
  <r>
    <s v="3632053-1458739224-101"/>
    <s v="Spot"/>
    <s v="3632053-1458739224-101"/>
    <n v="0"/>
    <d v="2016-03-31T00:00:00"/>
    <x v="1116"/>
    <s v="101"/>
    <s v="SELL"/>
    <n v="3.3953633110315855"/>
    <x v="0"/>
    <x v="0"/>
    <n v="218.22"/>
    <s v="Deal"/>
    <m/>
    <s v="Original Amount [EUR 64.27], Merchant Amount [EUR 64.27], Customer Amount [TRY 218.22], Status [APPROVED], Operation [3DAUTH], UUID [3632053-1458739224-101] [23/03/2016 at 13:20:00]"/>
  </r>
  <r>
    <s v="3632032-1458739211-160"/>
    <s v="Spot"/>
    <s v="3632032-1458739211-160"/>
    <n v="0"/>
    <d v="2016-03-31T00:00:00"/>
    <x v="1117"/>
    <s v="160"/>
    <s v="SELL"/>
    <n v="3.3953638119768188"/>
    <x v="0"/>
    <x v="0"/>
    <n v="105.46"/>
    <s v="Deal"/>
    <m/>
    <s v="Original Amount [EUR 31.06], Merchant Amount [EUR 31.06], Customer Amount [TRY 105.46], Status [APPROVED], Operation [3DAUTH], UUID [3632032-1458739211-160] [23/03/2016 at 13:20:00]"/>
  </r>
  <r>
    <s v="3632008-1458739185-199"/>
    <s v="Spot"/>
    <s v="3632008-1458739185-199"/>
    <n v="0"/>
    <d v="2016-03-31T00:00:00"/>
    <x v="1118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2008-1458739185-199] [23/03/2016 at 13:19:00]"/>
  </r>
  <r>
    <s v="3631987-1458739162-216"/>
    <s v="Spot"/>
    <s v="3631987-1458739162-216"/>
    <n v="0"/>
    <d v="2016-03-31T00:00:00"/>
    <x v="1119"/>
    <s v="216"/>
    <s v="SELL"/>
    <n v="3.3954457985888391"/>
    <x v="0"/>
    <x v="0"/>
    <n v="105.87"/>
    <s v="Deal"/>
    <m/>
    <s v="Original Amount [EUR 31.18], Merchant Amount [EUR 31.18], Customer Amount [TRY 105.87], Status [WAITING], Operation [3D], UUID [3631987-1458739162-216] [23/03/2016 at 13:19:00]"/>
  </r>
  <r>
    <s v="3632005-1458739184-56"/>
    <s v="Spot"/>
    <s v="3632005-1458739184-56"/>
    <n v="0"/>
    <d v="2016-03-31T00:00:00"/>
    <x v="1120"/>
    <s v="56"/>
    <s v="SELL"/>
    <n v="3.3956185567010309"/>
    <x v="0"/>
    <x v="0"/>
    <n v="79.05"/>
    <s v="Deal"/>
    <m/>
    <s v="Original Amount [EUR 23.28], Merchant Amount [EUR 23.28], Customer Amount [TRY 79.05], Status [APPROVED], Operation [3DAUTH], UUID [3632005-1458739184-56] [23/03/2016 at 13:19:00]"/>
  </r>
  <r>
    <s v="3631978-1458739154-199"/>
    <s v="Spot"/>
    <s v="3631978-1458739154-199"/>
    <n v="0"/>
    <d v="2016-03-31T00:00:00"/>
    <x v="1121"/>
    <s v="199"/>
    <s v="SELL"/>
    <n v="9.966400736422214"/>
    <x v="0"/>
    <x v="1"/>
    <n v="649.61"/>
    <s v="Deal"/>
    <m/>
    <s v="Original Amount [EUR 65.18], Merchant Amount [EUR 65.18], Customer Amount [NOK 649.61], Status [APPROVED], Operation [DIRECT], UUID [3631978-1458739154-199] [23/03/2016 at 13:19:00]"/>
  </r>
  <r>
    <s v="3631999-1458739181-107"/>
    <s v="Spot"/>
    <s v="3631999-1458739181-107"/>
    <n v="0"/>
    <d v="2016-03-31T00:00:00"/>
    <x v="1122"/>
    <s v="107"/>
    <s v="SELL"/>
    <n v="3.3954163976759197"/>
    <x v="0"/>
    <x v="0"/>
    <n v="210.38"/>
    <s v="Deal"/>
    <m/>
    <s v="Original Amount [EUR 61.96], Merchant Amount [EUR 61.96], Customer Amount [TRY 210.38], Status [APPROVED], Operation [3DAUTH], UUID [3631999-1458739181-107] [23/03/2016 at 13:19:00]"/>
  </r>
  <r>
    <s v="3632083-1458739255-154"/>
    <s v="Spot"/>
    <s v="3632083-1458739255-154"/>
    <n v="0"/>
    <d v="2016-03-31T00:00:00"/>
    <x v="1123"/>
    <s v="154"/>
    <s v="SELL"/>
    <n v="9.9664778092540143"/>
    <x v="0"/>
    <x v="1"/>
    <n v="211.09"/>
    <s v="Deal"/>
    <m/>
    <s v="Original Amount [EUR 21.18], Merchant Amount [EUR 21.18], Customer Amount [NOK 211.09], Status [APPROVED], Operation [3DAUTH], UUID [3632083-1458739255-154] [23/03/2016 at 13:20:00]"/>
  </r>
  <r>
    <s v="3631960-1458739138-101"/>
    <s v="Spot"/>
    <s v="3631960-1458739138-101"/>
    <n v="0"/>
    <d v="2016-03-31T00:00:00"/>
    <x v="1124"/>
    <s v="101"/>
    <s v="SELL"/>
    <n v="3.3953633110315855"/>
    <x v="0"/>
    <x v="0"/>
    <n v="218.22"/>
    <s v="Deal"/>
    <m/>
    <s v="Original Amount [EUR 64.27], Merchant Amount [EUR 64.27], Customer Amount [TRY 218.22], Status [WAITING], Operation [3D], UUID [3631960-1458739138-101] [23/03/2016 at 13:18:00]"/>
  </r>
  <r>
    <s v="3631957-1458739138-216"/>
    <s v="Spot"/>
    <s v="3631957-1458739138-216"/>
    <n v="0"/>
    <d v="2016-03-31T00:00:00"/>
    <x v="1125"/>
    <s v="216"/>
    <s v="SELL"/>
    <n v="3.3957665169980755"/>
    <x v="0"/>
    <x v="0"/>
    <n v="52.94"/>
    <s v="Deal"/>
    <m/>
    <s v="Original Amount [EUR 15.59], Merchant Amount [EUR 15.59], Customer Amount [TRY 52.94], Status [WAITING], Operation [3D], UUID [3631957-1458739138-216] [23/03/2016 at 13:18:00]"/>
  </r>
  <r>
    <s v="3631981-1458739157-216"/>
    <s v="Spot"/>
    <s v="3631981-1458739157-216"/>
    <n v="0"/>
    <d v="2016-03-31T00:00:00"/>
    <x v="1126"/>
    <s v="216"/>
    <s v="SELL"/>
    <n v="3.3959670027497704"/>
    <x v="0"/>
    <x v="0"/>
    <n v="37.049999999999997"/>
    <s v="Deal"/>
    <m/>
    <s v="Original Amount [EUR 10.91], Merchant Amount [EUR 10.91], Customer Amount [TRY 37.05], Status [APPROVED], Operation [3DAUTH], UUID [3631981-1458739157-216] [23/03/2016 at 13:19:00]"/>
  </r>
  <r>
    <s v="3631948-1458739132-107"/>
    <s v="Spot"/>
    <s v="3631948-1458739132-107"/>
    <n v="0"/>
    <d v="2016-03-31T00:00:00"/>
    <x v="1127"/>
    <s v="107"/>
    <s v="SELL"/>
    <n v="3.3954163976759197"/>
    <x v="0"/>
    <x v="0"/>
    <n v="210.38"/>
    <s v="Deal"/>
    <m/>
    <s v="Original Amount [EUR 61.96], Merchant Amount [EUR 61.96], Customer Amount [TRY 210.38], Status [WAITING], Operation [3D], UUID [3631948-1458739132-107] [23/03/2016 at 13:18:00]"/>
  </r>
  <r>
    <s v="3632002-1458739184-203"/>
    <s v="Spot"/>
    <s v="3632002-1458739184-203"/>
    <n v="0"/>
    <d v="2016-03-31T00:00:00"/>
    <x v="1128"/>
    <s v="203"/>
    <s v="SELL"/>
    <n v="3.3953716690042079"/>
    <x v="0"/>
    <x v="0"/>
    <n v="242.09"/>
    <s v="Deal"/>
    <m/>
    <s v="Original Amount [EUR 71.3], Merchant Amount [EUR 71.3], Customer Amount [TRY 242.09], Status [APPROVED], Operation [3DAUTH], UUID [3632002-1458739184-203] [23/03/2016 at 13:19:00]"/>
  </r>
  <r>
    <s v="3631942-1458739121-264"/>
    <s v="Spot"/>
    <s v="3631942-1458739121-264"/>
    <n v="0"/>
    <d v="2016-03-31T00:00:00"/>
    <x v="1129"/>
    <s v="264"/>
    <s v="SELL"/>
    <n v="1.1838709677419355"/>
    <x v="0"/>
    <x v="7"/>
    <n v="3.67"/>
    <s v="Deal"/>
    <m/>
    <s v="Original Amount [TRY 10], Merchant Amount [EUR 3.1], Customer Amount [USD 3.67], Status [APPROVED], Operation [3DAUTH], UUID [3631942-1458739121-264] [23/03/2016 at 13:18:00]"/>
  </r>
  <r>
    <s v="3631951-1458739135-203"/>
    <s v="Spot"/>
    <s v="3631951-1458739135-203"/>
    <n v="0"/>
    <d v="2016-03-31T00:00:00"/>
    <x v="1130"/>
    <s v="203"/>
    <s v="SELL"/>
    <n v="3.395354838709677"/>
    <x v="0"/>
    <x v="0"/>
    <n v="526.28"/>
    <s v="Deal"/>
    <m/>
    <s v="Original Amount [EUR 155], Merchant Amount [EUR 155], Customer Amount [TRY 526.28], Status [APPROVED], Operation [3DAUTH], UUID [3631951-1458739135-203] [23/03/2016 at 13:18:00]"/>
  </r>
  <r>
    <s v="3631918-1458739099-82"/>
    <s v="Spot"/>
    <s v="3631918-1458739099-82"/>
    <n v="0"/>
    <d v="2016-03-31T00:00:00"/>
    <x v="1131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1918-1458739099-82] [23/03/2016 at 13:18:00]"/>
  </r>
  <r>
    <s v="3631915-1458739097-200"/>
    <s v="Spot"/>
    <s v="3631915-1458739097-200"/>
    <n v="0"/>
    <d v="2016-03-31T00:00:00"/>
    <x v="1132"/>
    <s v="200"/>
    <s v="SELL"/>
    <n v="9.9662761414650163"/>
    <x v="0"/>
    <x v="1"/>
    <n v="2730.66"/>
    <s v="Deal"/>
    <m/>
    <s v="Original Amount [EUR 273.99], Merchant Amount [EUR 273.99], Customer Amount [NOK 2730.66], Status [APPROVED], Operation [STORED], UUID [3631915-1458739097-200] [23/03/2016 at 13:18:00]"/>
  </r>
  <r>
    <s v="3631933-1458739120-216"/>
    <s v="Spot"/>
    <s v="3631933-1458739120-216"/>
    <n v="0"/>
    <d v="2016-03-31T00:00:00"/>
    <x v="1133"/>
    <s v="216"/>
    <s v="SELL"/>
    <n v="3.3954881917518502"/>
    <x v="0"/>
    <x v="0"/>
    <n v="96.33"/>
    <s v="Deal"/>
    <m/>
    <s v="Original Amount [EUR 28.37], Merchant Amount [EUR 28.37], Customer Amount [TRY 96.33], Status [APPROVED], Operation [3DAUTH], UUID [3631933-1458739120-216] [23/03/2016 at 13:18:00]"/>
  </r>
  <r>
    <s v="3631990-1458739163-216"/>
    <s v="Spot"/>
    <s v="3631990-1458739163-216"/>
    <n v="0"/>
    <d v="2016-03-31T00:00:00"/>
    <x v="1134"/>
    <s v="216"/>
    <s v="SELL"/>
    <n v="3.3959670027497704"/>
    <x v="0"/>
    <x v="0"/>
    <n v="37.049999999999997"/>
    <s v="Deal"/>
    <m/>
    <s v="Original Amount [EUR 10.91], Merchant Amount [EUR 10.91], Customer Amount [TRY 37.05], Status [APPROVED], Operation [3DAUTH], UUID [3631990-1458739163-216] [23/03/2016 at 13:19:00]"/>
  </r>
  <r>
    <s v="3631891-1458739084-224"/>
    <s v="Spot"/>
    <s v="3631891-1458739084-224"/>
    <n v="0"/>
    <d v="2016-03-31T00:00:00"/>
    <x v="1135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1891-1458739084-224] [23/03/2016 at 13:18:00]"/>
  </r>
  <r>
    <s v="3631936-1458739120-203"/>
    <s v="Spot"/>
    <s v="3631936-1458739120-203"/>
    <n v="0"/>
    <d v="2016-03-31T00:00:00"/>
    <x v="1136"/>
    <s v="203"/>
    <s v="SELL"/>
    <n v="3.395483870967742"/>
    <x v="0"/>
    <x v="0"/>
    <n v="52.63"/>
    <s v="Deal"/>
    <m/>
    <s v="Original Amount [EUR 15.5], Merchant Amount [EUR 15.5], Customer Amount [TRY 52.63], Status [APPROVED], Operation [3DAUTH], UUID [3631936-1458739120-203] [23/03/2016 at 13:18:00]"/>
  </r>
  <r>
    <s v="3631858-1458739060-199"/>
    <s v="Spot"/>
    <s v="3631858-1458739060-199"/>
    <n v="0"/>
    <d v="2016-03-31T00:00:00"/>
    <x v="1137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1858-1458739060-199] [23/03/2016 at 13:17:00]"/>
  </r>
  <r>
    <s v="3631855-1458739048-145"/>
    <s v="Spot"/>
    <s v="3631855-1458739048-145"/>
    <n v="0"/>
    <d v="2016-03-31T00:00:00"/>
    <x v="1138"/>
    <s v="145"/>
    <s v="SELL"/>
    <n v="9.9754485363550529"/>
    <x v="0"/>
    <x v="1"/>
    <n v="211.28"/>
    <s v="Deal"/>
    <m/>
    <s v="Original Amount [EUR 21.18], Merchant Amount [EUR 21.18], Customer Amount [NOK 211.28], Status [APPROVED], Operation [DIRECT], UUID [3631855-1458739048-145] [23/03/2016 at 13:17:00]"/>
  </r>
  <r>
    <s v="3631849-1458739045-200"/>
    <s v="Spot"/>
    <s v="3631849-1458739045-200"/>
    <n v="0"/>
    <d v="2016-03-31T00:00:00"/>
    <x v="1139"/>
    <s v="200"/>
    <s v="SELL"/>
    <n v="9.9753634649309575"/>
    <x v="0"/>
    <x v="1"/>
    <n v="1639.85"/>
    <s v="Deal"/>
    <m/>
    <s v="Original Amount [EUR 164.39], Merchant Amount [EUR 164.39], Customer Amount [NOK 1639.85], Status [APPROVED], Operation [STORED], UUID [3631849-1458739045-200] [23/03/2016 at 13:17:00]"/>
  </r>
  <r>
    <s v="3631840-1458739036-261"/>
    <s v="Spot"/>
    <s v="3631840-1458739036-261"/>
    <n v="0"/>
    <d v="2016-03-31T00:00:00"/>
    <x v="1140"/>
    <s v="261"/>
    <s v="SELL"/>
    <n v="9.9753817388594577"/>
    <x v="0"/>
    <x v="1"/>
    <n v="320.11"/>
    <s v="Deal"/>
    <m/>
    <s v="Original Amount [EUR 32.09], Merchant Amount [EUR 32.09], Customer Amount [NOK 320.11], Status [APPROVED], Operation [DIRECT], UUID [3631840-1458739036-261] [23/03/2016 at 13:17:00]"/>
  </r>
  <r>
    <s v="3631807-1458739003-119"/>
    <s v="Spot"/>
    <s v="3631807-1458739003-119"/>
    <n v="0"/>
    <d v="2016-03-31T00:00:00"/>
    <x v="1141"/>
    <s v="119"/>
    <s v="SELL"/>
    <n v="9.9756"/>
    <x v="0"/>
    <x v="1"/>
    <n v="249.39"/>
    <s v="Deal"/>
    <m/>
    <s v="Original Amount [EUR 25], Merchant Amount [EUR 25], Customer Amount [NOK 249.39], Status [APPROVED], Operation [DIRECT], UUID [3631807-1458739003-119] [23/03/2016 at 13:16:00]"/>
  </r>
  <r>
    <s v="3631798-1458738994-145"/>
    <s v="Spot"/>
    <s v="3631798-1458738994-145"/>
    <n v="0"/>
    <d v="2016-03-31T00:00:00"/>
    <x v="1142"/>
    <s v="145"/>
    <s v="SELL"/>
    <n v="9.975471698113207"/>
    <x v="0"/>
    <x v="1"/>
    <n v="105.74"/>
    <s v="Deal"/>
    <m/>
    <s v="Original Amount [EUR 10.6], Merchant Amount [EUR 10.6], Customer Amount [NOK 105.74], Status [APPROVED], Operation [DIRECT], UUID [3631798-1458738994-145] [23/03/2016 at 13:16:00]"/>
  </r>
  <r>
    <s v="3631828-1458739022-56"/>
    <s v="Spot"/>
    <s v="3631828-1458739022-56"/>
    <n v="0"/>
    <d v="2016-03-31T00:00:00"/>
    <x v="1143"/>
    <s v="56"/>
    <s v="SELL"/>
    <n v="3.3922518159806292"/>
    <x v="0"/>
    <x v="0"/>
    <n v="98.07"/>
    <s v="Deal"/>
    <m/>
    <s v="Original Amount [EUR 28.91], Merchant Amount [EUR 28.91], Customer Amount [TRY 98.07], Status [APPROVED], Operation [3DAUTH], UUID [3631828-1458739022-56] [23/03/2016 at 13:17:00]"/>
  </r>
  <r>
    <s v="3631777-1458738976-125"/>
    <s v="Spot"/>
    <s v="3631777-1458738976-125"/>
    <n v="0"/>
    <d v="2016-03-31T00:00:00"/>
    <x v="1144"/>
    <s v="125"/>
    <s v="SELL"/>
    <n v="9.9754000000000005"/>
    <x v="0"/>
    <x v="1"/>
    <n v="498.77"/>
    <s v="Deal"/>
    <m/>
    <s v="Original Amount [EUR 50], Merchant Amount [EUR 50], Customer Amount [NOK 498.77], Status [APPROVED], Operation [DIRECT], UUID [3631777-1458738976-125] [23/03/2016 at 13:16:00]"/>
  </r>
  <r>
    <s v="3631801-1458738995-56"/>
    <s v="Spot"/>
    <s v="3631801-1458738995-56"/>
    <n v="0"/>
    <d v="2016-03-31T00:00:00"/>
    <x v="1145"/>
    <s v="56"/>
    <s v="SELL"/>
    <n v="3.3920515574650909"/>
    <x v="0"/>
    <x v="0"/>
    <n v="31.58"/>
    <s v="Deal"/>
    <m/>
    <s v="Original Amount [EUR 9.31], Merchant Amount [EUR 9.31], Customer Amount [TRY 31.58], Status [APPROVED], Operation [3DAUTH], UUID [3631801-1458738995-56] [23/03/2016 at 13:16:00]"/>
  </r>
  <r>
    <s v="3631834-1458739027-101"/>
    <s v="Spot"/>
    <s v="3631834-1458739027-101"/>
    <n v="0"/>
    <d v="2016-03-31T00:00:00"/>
    <x v="1146"/>
    <s v="101"/>
    <s v="SELL"/>
    <n v="3.3919717871590085"/>
    <x v="0"/>
    <x v="0"/>
    <n v="327.02"/>
    <s v="Deal"/>
    <m/>
    <s v="Original Amount [EUR 96.41], Merchant Amount [EUR 96.41], Customer Amount [TRY 327.02], Status [APPROVED], Operation [3DAUTH], UUID [3631834-1458739027-101] [23/03/2016 at 13:17:00]"/>
  </r>
  <r>
    <s v="3631789-1458738983-216"/>
    <s v="Spot"/>
    <s v="3631789-1458738983-216"/>
    <n v="0"/>
    <d v="2016-03-31T00:00:00"/>
    <x v="1147"/>
    <s v="216"/>
    <s v="SELL"/>
    <n v="3.3922386144964718"/>
    <x v="0"/>
    <x v="0"/>
    <n v="105.77"/>
    <s v="Deal"/>
    <m/>
    <s v="Original Amount [EUR 31.18], Merchant Amount [EUR 31.18], Customer Amount [TRY 105.77], Status [APPROVED], Operation [3DAUTH], UUID [3631789-1458738983-216] [23/03/2016 at 13:16:00]"/>
  </r>
  <r>
    <s v="3631750-1458738952-224"/>
    <s v="Spot"/>
    <s v="3631750-1458738952-224"/>
    <n v="0"/>
    <d v="2016-03-31T00:00:00"/>
    <x v="1148"/>
    <s v="224"/>
    <s v="SELL"/>
    <n v="132.99334116725421"/>
    <x v="0"/>
    <x v="3"/>
    <n v="3395.32"/>
    <s v="Deal"/>
    <m/>
    <s v="Original Amount [EUR 25.53], Merchant Amount [EUR 25.53], Customer Amount [JPY 3395.32], Status [APPROVED], Operation [DIRECT], UUID [3631750-1458738952-224] [23/03/2016 at 13:15:00]"/>
  </r>
  <r>
    <s v="3631747-1458738941-224"/>
    <s v="Spot"/>
    <s v="3631747-1458738941-224"/>
    <n v="0"/>
    <d v="2016-03-31T00:00:00"/>
    <x v="1149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1747-1458738941-224] [23/03/2016 at 13:15:00]"/>
  </r>
  <r>
    <s v="3631768-1458738964-216"/>
    <s v="Spot"/>
    <s v="3631768-1458738964-216"/>
    <n v="0"/>
    <d v="2016-03-31T00:00:00"/>
    <x v="1150"/>
    <s v="216"/>
    <s v="SELL"/>
    <n v="3.3925593329057087"/>
    <x v="0"/>
    <x v="0"/>
    <n v="52.89"/>
    <s v="Deal"/>
    <m/>
    <s v="Original Amount [EUR 15.59], Merchant Amount [EUR 15.59], Customer Amount [TRY 52.89], Status [APPROVED], Operation [3DAUTH], UUID [3631768-1458738964-216] [23/03/2016 at 13:16:00]"/>
  </r>
  <r>
    <s v="3631762-1458738962-56"/>
    <s v="Spot"/>
    <s v="3631762-1458738962-56"/>
    <n v="0"/>
    <d v="2016-03-31T00:00:00"/>
    <x v="1151"/>
    <s v="56"/>
    <s v="SELL"/>
    <n v="3.3923487544483986"/>
    <x v="0"/>
    <x v="0"/>
    <n v="38.130000000000003"/>
    <s v="Deal"/>
    <m/>
    <s v="Original Amount [EUR 11.24], Merchant Amount [EUR 11.24], Customer Amount [TRY 38.13], Status [APPROVED], Operation [3DAUTH], UUID [3631762-1458738962-56] [23/03/2016 at 13:16:00]"/>
  </r>
  <r>
    <s v="3631738-1458738934-199"/>
    <s v="Spot"/>
    <s v="3631738-1458738934-199"/>
    <n v="0"/>
    <d v="2016-03-31T00:00:00"/>
    <x v="1152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1738-1458738934-199] [23/03/2016 at 13:15:00]"/>
  </r>
  <r>
    <s v="3631735-1458738929-199"/>
    <s v="Spot"/>
    <s v="3631735-1458738929-199"/>
    <n v="0"/>
    <d v="2016-03-31T00:00:00"/>
    <x v="1153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1735-1458738929-199] [23/03/2016 at 13:15:00]"/>
  </r>
  <r>
    <s v="3631702-1458738900-119"/>
    <s v="Spot"/>
    <s v="3631702-1458738900-119"/>
    <n v="0"/>
    <d v="2016-03-31T00:00:00"/>
    <x v="115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1702-1458738900-119] [23/03/2016 at 13:15:00]"/>
  </r>
  <r>
    <s v="3631732-1458738927-196"/>
    <s v="Spot"/>
    <s v="3631732-1458738927-196"/>
    <n v="0"/>
    <d v="2016-03-31T00:00:00"/>
    <x v="1155"/>
    <s v="196"/>
    <s v="SELL"/>
    <n v="9.9548192771084327"/>
    <x v="0"/>
    <x v="1"/>
    <n v="99.15"/>
    <s v="Deal"/>
    <m/>
    <s v="Original Amount [EUR 9.96], Merchant Amount [EUR 9.96], Customer Amount [NOK 99.15], Status [APPROVED], Operation [3DAUTH], UUID [3631732-1458738927-196] [23/03/2016 at 13:15:00]"/>
  </r>
  <r>
    <s v="3631684-1458738895-200"/>
    <s v="Spot"/>
    <s v="3631684-1458738895-200"/>
    <n v="0"/>
    <d v="2016-03-31T00:00:00"/>
    <x v="1156"/>
    <s v="200"/>
    <s v="SELL"/>
    <n v="9.9545893719806759"/>
    <x v="0"/>
    <x v="1"/>
    <n v="927.27"/>
    <s v="Deal"/>
    <m/>
    <s v="Original Amount [EUR 93.15], Merchant Amount [EUR 93.15], Customer Amount [NOK 927.27], Status [APPROVED], Operation [STORED], UUID [3631684-1458738895-200] [23/03/2016 at 13:14:00]"/>
  </r>
  <r>
    <s v="3631729-1458738924-216"/>
    <s v="Spot"/>
    <s v="3631729-1458738924-216"/>
    <n v="0"/>
    <d v="2016-03-31T00:00:00"/>
    <x v="1157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1729-1458738924-216] [23/03/2016 at 13:15:00]"/>
  </r>
  <r>
    <s v="3631663-1458738879-216"/>
    <s v="Spot"/>
    <s v="3631663-1458738879-216"/>
    <n v="0"/>
    <d v="2016-03-31T00:00:00"/>
    <x v="1158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663-1458738879-216] [23/03/2016 at 13:14:00]"/>
  </r>
  <r>
    <s v="3631714-1458738911-216"/>
    <s v="Spot"/>
    <s v="3631714-1458738911-216"/>
    <n v="0"/>
    <d v="2016-03-31T00:00:00"/>
    <x v="1159"/>
    <s v="216"/>
    <s v="SELL"/>
    <n v="3.3973627940128299"/>
    <x v="0"/>
    <x v="0"/>
    <n v="95.33"/>
    <s v="Deal"/>
    <m/>
    <s v="Original Amount [EUR 28.06], Merchant Amount [EUR 28.06], Customer Amount [TRY 95.33], Status [APPROVED], Operation [3DAUTH], UUID [3631714-1458738911-216] [23/03/2016 at 13:15:00]"/>
  </r>
  <r>
    <s v="3631648-1458738868-145"/>
    <s v="Spot"/>
    <s v="3631648-1458738868-145"/>
    <n v="0"/>
    <d v="2016-03-31T00:00:00"/>
    <x v="1160"/>
    <s v="145"/>
    <s v="SELL"/>
    <n v="1.544107785161251"/>
    <x v="0"/>
    <x v="2"/>
    <n v="253.28"/>
    <s v="Deal"/>
    <m/>
    <s v="Original Amount [EUR 164.03], Merchant Amount [EUR 164.03], Customer Amount [CAD 253.28], Status [WAITING], Operation [3D], UUID [3631648-1458738868-145] [23/03/2016 at 13:14:00]"/>
  </r>
  <r>
    <s v="3631717-1458738911-216"/>
    <s v="Spot"/>
    <s v="3631717-1458738911-216"/>
    <n v="0"/>
    <d v="2016-03-31T00:00:00"/>
    <x v="1161"/>
    <s v="216"/>
    <s v="SELL"/>
    <n v="3.3976908274534958"/>
    <x v="0"/>
    <x v="0"/>
    <n v="52.97"/>
    <s v="Deal"/>
    <m/>
    <s v="Original Amount [EUR 15.59], Merchant Amount [EUR 15.59], Customer Amount [TRY 52.97], Status [APPROVED], Operation [3DAUTH], UUID [3631717-1458738911-216] [23/03/2016 at 13:15:00]"/>
  </r>
  <r>
    <s v="3631681-1458738895-216"/>
    <s v="Spot"/>
    <s v="3631681-1458738895-216"/>
    <n v="0"/>
    <d v="2016-03-31T00:00:00"/>
    <x v="1162"/>
    <s v="216"/>
    <s v="SELL"/>
    <n v="3.3977546110665595"/>
    <x v="0"/>
    <x v="0"/>
    <n v="42.37"/>
    <s v="Deal"/>
    <m/>
    <s v="Original Amount [EUR 12.47], Merchant Amount [EUR 12.47], Customer Amount [TRY 42.37], Status [APPROVED], Operation [3DAUTH], UUID [3631681-1458738895-216] [23/03/2016 at 13:14:00]"/>
  </r>
  <r>
    <s v="3631630-1458738857-224"/>
    <s v="Spot"/>
    <s v="3631630-1458738857-224"/>
    <n v="0"/>
    <d v="2016-03-31T00:00:00"/>
    <x v="1163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31630-1458738857-224] [23/03/2016 at 13:14:00]"/>
  </r>
  <r>
    <s v="3631627-1458738856-82"/>
    <s v="Spot"/>
    <s v="3631627-1458738856-82"/>
    <n v="0"/>
    <d v="2016-03-31T00:00:00"/>
    <x v="1164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1627-1458738856-82] [23/03/2016 at 13:14:00]"/>
  </r>
  <r>
    <s v="3631615-1458738844-119"/>
    <s v="Spot"/>
    <s v="3631615-1458738844-119"/>
    <n v="0"/>
    <d v="2016-03-31T00:00:00"/>
    <x v="1165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1615-1458738844-119] [23/03/2016 at 13:14:00]"/>
  </r>
  <r>
    <s v="3631639-1458738865-216"/>
    <s v="Spot"/>
    <s v="3631639-1458738865-216"/>
    <n v="0"/>
    <d v="2016-03-31T00:00:00"/>
    <x v="1166"/>
    <s v="216"/>
    <s v="SELL"/>
    <n v="3.3973059653624116"/>
    <x v="0"/>
    <x v="0"/>
    <n v="264.82"/>
    <s v="Deal"/>
    <m/>
    <s v="Original Amount [EUR 77.95], Merchant Amount [EUR 77.95], Customer Amount [TRY 264.82], Status [APPROVED], Operation [3DAUTH], UUID [3631639-1458738865-216] [23/03/2016 at 13:14:00]"/>
  </r>
  <r>
    <s v="3631612-1458738842-216"/>
    <s v="Spot"/>
    <s v="3631612-1458738842-216"/>
    <n v="0"/>
    <d v="2016-03-31T00:00:00"/>
    <x v="1167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612-1458738842-216] [23/03/2016 at 13:14:00]"/>
  </r>
  <r>
    <s v="3631594-1458738807-241"/>
    <s v="Spot"/>
    <s v="3631594-1458738807-241"/>
    <n v="0"/>
    <d v="2016-03-31T00:00:00"/>
    <x v="1168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31594-1458738807-241] [23/03/2016 at 13:13:00]"/>
  </r>
  <r>
    <s v="3631591-1458738807-199"/>
    <s v="Spot"/>
    <s v="3631591-1458738807-199"/>
    <n v="0"/>
    <d v="2016-03-31T00:00:00"/>
    <x v="1169"/>
    <s v="199"/>
    <s v="SELL"/>
    <n v="9.9545872967167846"/>
    <x v="0"/>
    <x v="1"/>
    <n v="324.42"/>
    <s v="Deal"/>
    <m/>
    <s v="Original Amount [EUR 32.59], Merchant Amount [EUR 32.59], Customer Amount [NOK 324.42], Status [APPROVED], Operation [DIRECT], UUID [3631591-1458738807-199] [23/03/2016 at 13:13:00]"/>
  </r>
  <r>
    <s v="3631600-1458738819-107"/>
    <s v="Spot"/>
    <s v="3631600-1458738819-107"/>
    <n v="0"/>
    <d v="2016-03-31T00:00:00"/>
    <x v="1170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31600-1458738819-107] [23/03/2016 at 13:13:00]"/>
  </r>
  <r>
    <s v="3631585-1458738796-171"/>
    <s v="Spot"/>
    <s v="3631585-1458738796-171"/>
    <n v="0"/>
    <d v="2016-03-31T00:00:00"/>
    <x v="1171"/>
    <s v="171"/>
    <s v="SELL"/>
    <n v="9.9550000000000001"/>
    <x v="0"/>
    <x v="1"/>
    <n v="99.55"/>
    <s v="Deal"/>
    <m/>
    <s v="Original Amount [EUR 10], Merchant Amount [EUR 10], Customer Amount [NOK 99.55], Status [APPROVED], Operation [DIRECT], UUID [3631585-1458738796-171] [23/03/2016 at 13:13:00]"/>
  </r>
  <r>
    <s v="3631582-1458738794-224"/>
    <s v="Spot"/>
    <s v="3631582-1458738794-224"/>
    <n v="0"/>
    <d v="2016-03-31T00:00:00"/>
    <x v="1172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1582-1458738794-224] [23/03/2016 at 13:13:00]"/>
  </r>
  <r>
    <s v="3631564-1458738786-200"/>
    <s v="Spot"/>
    <s v="3631564-1458738786-200"/>
    <n v="0"/>
    <d v="2016-03-31T00:00:00"/>
    <x v="1173"/>
    <s v="200"/>
    <s v="SELL"/>
    <n v="9.9546173500425841"/>
    <x v="0"/>
    <x v="1"/>
    <n v="818.17"/>
    <s v="Deal"/>
    <m/>
    <s v="Original Amount [EUR 82.19], Merchant Amount [EUR 82.19], Customer Amount [NOK 818.17], Status [APPROVED], Operation [STORED], UUID [3631564-1458738786-200] [23/03/2016 at 13:13:00]"/>
  </r>
  <r>
    <s v="3631549-1458738779-261"/>
    <s v="Spot"/>
    <s v="3631549-1458738779-261"/>
    <n v="0"/>
    <d v="2016-03-31T00:00:00"/>
    <x v="1174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31549-1458738779-261] [23/03/2016 at 13:12:00]"/>
  </r>
  <r>
    <s v="3631543-1458738772-216"/>
    <s v="Spot"/>
    <s v="3631543-1458738772-216"/>
    <n v="0"/>
    <d v="2016-03-31T00:00:00"/>
    <x v="1175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543-1458738772-216] [23/03/2016 at 13:12:00]"/>
  </r>
  <r>
    <s v="3631537-1458738771-216"/>
    <s v="Spot"/>
    <s v="3631537-1458738771-216"/>
    <n v="0"/>
    <d v="2016-03-31T00:00:00"/>
    <x v="1176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537-1458738771-216] [23/03/2016 at 13:12:00]"/>
  </r>
  <r>
    <s v="3631531-1458738769-261"/>
    <s v="Spot"/>
    <s v="3631531-1458738769-261"/>
    <n v="0"/>
    <d v="2016-03-31T00:00:00"/>
    <x v="1177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31531-1458738769-261] [23/03/2016 at 13:12:00]"/>
  </r>
  <r>
    <s v="3631528-1458738763-199"/>
    <s v="Spot"/>
    <s v="3631528-1458738763-199"/>
    <n v="0"/>
    <d v="2016-03-31T00:00:00"/>
    <x v="1178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1528-1458738763-199] [23/03/2016 at 13:12:00]"/>
  </r>
  <r>
    <s v="3631573-1458738791-216"/>
    <s v="Spot"/>
    <s v="3631573-1458738791-216"/>
    <n v="0"/>
    <d v="2016-03-31T00:00:00"/>
    <x v="1179"/>
    <s v="216"/>
    <s v="SELL"/>
    <n v="3.3977546110665595"/>
    <x v="0"/>
    <x v="0"/>
    <n v="42.37"/>
    <s v="Deal"/>
    <m/>
    <s v="Original Amount [EUR 12.47], Merchant Amount [EUR 12.47], Customer Amount [TRY 42.37], Status [APPROVED], Operation [3DAUTH], UUID [3631573-1458738791-216] [23/03/2016 at 13:13:00]"/>
  </r>
  <r>
    <s v="3631519-1458738750-224"/>
    <s v="Spot"/>
    <s v="3631519-1458738750-224"/>
    <n v="0"/>
    <d v="2016-03-31T00:00:00"/>
    <x v="1180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31519-1458738750-224] [23/03/2016 at 13:12:00]"/>
  </r>
  <r>
    <s v="3631513-1458738749-224"/>
    <s v="Spot"/>
    <s v="3631513-1458738749-224"/>
    <n v="0"/>
    <d v="2016-03-31T00:00:00"/>
    <x v="1181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1513-1458738749-224] [23/03/2016 at 13:12:00]"/>
  </r>
  <r>
    <s v="3631540-1458738772-216"/>
    <s v="Spot"/>
    <s v="3631540-1458738772-216"/>
    <n v="0"/>
    <d v="2016-03-31T00:00:00"/>
    <x v="118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540-1458738772-216] [23/03/2016 at 13:12:00]"/>
  </r>
  <r>
    <s v="3631555-1458738781-203"/>
    <s v="Spot"/>
    <s v="3631555-1458738781-203"/>
    <n v="0"/>
    <d v="2016-03-31T00:00:00"/>
    <x v="1183"/>
    <s v="203"/>
    <s v="SELL"/>
    <n v="3.3972580645161288"/>
    <x v="0"/>
    <x v="0"/>
    <n v="210.63"/>
    <s v="Deal"/>
    <m/>
    <s v="Original Amount [EUR 62], Merchant Amount [EUR 62], Customer Amount [TRY 210.63], Status [APPROVED], Operation [3DAUTH], UUID [3631555-1458738781-203] [23/03/2016 at 13:13:00]"/>
  </r>
  <r>
    <s v="3631462-1458738717-199"/>
    <s v="Spot"/>
    <s v="3631462-1458738717-199"/>
    <n v="0"/>
    <d v="2016-03-31T00:00:00"/>
    <x v="1184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1462-1458738717-199] [23/03/2016 at 13:11:00]"/>
  </r>
  <r>
    <s v="3631489-1458738736-56"/>
    <s v="Spot"/>
    <s v="3631489-1458738736-56"/>
    <n v="0"/>
    <d v="2016-03-31T00:00:00"/>
    <x v="1185"/>
    <s v="56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31489-1458738736-56] [23/03/2016 at 13:12:00]"/>
  </r>
  <r>
    <s v="3631486-1458738736-216"/>
    <s v="Spot"/>
    <s v="3631486-1458738736-216"/>
    <n v="0"/>
    <d v="2016-03-31T00:00:00"/>
    <x v="1186"/>
    <s v="216"/>
    <s v="SELL"/>
    <n v="3.3880692751763952"/>
    <x v="0"/>
    <x v="0"/>
    <n v="52.82"/>
    <s v="Deal"/>
    <m/>
    <s v="Original Amount [EUR 15.59], Merchant Amount [EUR 15.59], Customer Amount [TRY 52.82], Status [APPROVED], Operation [3DAUTH], UUID [3631486-1458738736-216] [23/03/2016 at 13:12:00]"/>
  </r>
  <r>
    <s v="3631447-1458738709-199"/>
    <s v="Spot"/>
    <s v="3631447-1458738709-199"/>
    <n v="0"/>
    <d v="2016-03-31T00:00:00"/>
    <x v="1187"/>
    <s v="199"/>
    <s v="SELL"/>
    <n v="9.9754525928198827"/>
    <x v="0"/>
    <x v="1"/>
    <n v="325.10000000000002"/>
    <s v="Deal"/>
    <m/>
    <s v="Original Amount [EUR 32.59], Merchant Amount [EUR 32.59], Customer Amount [NOK 325.1], Status [APPROVED], Operation [DIRECT], UUID [3631447-1458738709-199] [23/03/2016 at 13:11:00]"/>
  </r>
  <r>
    <s v="3631510-1458738747-107"/>
    <s v="Spot"/>
    <s v="3631510-1458738747-107"/>
    <n v="0"/>
    <d v="2016-03-31T00:00:00"/>
    <x v="1188"/>
    <s v="107"/>
    <s v="SELL"/>
    <n v="3.3879922530664941"/>
    <x v="0"/>
    <x v="0"/>
    <n v="104.96"/>
    <s v="Deal"/>
    <m/>
    <s v="Original Amount [EUR 30.98], Merchant Amount [EUR 30.98], Customer Amount [TRY 104.96], Status [APPROVED], Operation [3DAUTH], UUID [3631510-1458738747-107] [23/03/2016 at 13:12:00]"/>
  </r>
  <r>
    <s v="3631504-1458738741-203"/>
    <s v="Spot"/>
    <s v="3631504-1458738741-203"/>
    <n v="0"/>
    <d v="2016-03-31T00:00:00"/>
    <x v="1189"/>
    <s v="203"/>
    <s v="SELL"/>
    <n v="3.3878299120234603"/>
    <x v="0"/>
    <x v="0"/>
    <n v="231.05"/>
    <s v="Deal"/>
    <m/>
    <s v="Original Amount [EUR 68.2], Merchant Amount [EUR 68.2], Customer Amount [TRY 231.05], Status [APPROVED], Operation [3DAUTH], UUID [3631504-1458738741-203] [23/03/2016 at 13:12:00]"/>
  </r>
  <r>
    <s v="3631432-1458738698-216"/>
    <s v="Spot"/>
    <s v="3631432-1458738698-216"/>
    <n v="0"/>
    <d v="2016-03-31T00:00:00"/>
    <x v="1190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432-1458738698-216] [23/03/2016 at 13:11:00]"/>
  </r>
  <r>
    <s v="3631516-1458738750-56"/>
    <s v="Spot"/>
    <s v="3631516-1458738750-56"/>
    <n v="0"/>
    <d v="2016-03-31T00:00:00"/>
    <x v="1191"/>
    <s v="56"/>
    <s v="SELL"/>
    <n v="3.387920298879203"/>
    <x v="0"/>
    <x v="0"/>
    <n v="54.41"/>
    <s v="Deal"/>
    <m/>
    <s v="Original Amount [EUR 16.06], Merchant Amount [EUR 16.06], Customer Amount [TRY 54.41], Status [APPROVED], Operation [3DAUTH], UUID [3631516-1458738750-56] [23/03/2016 at 13:12:00]"/>
  </r>
  <r>
    <s v="3631417-1458738685-187"/>
    <s v="Spot"/>
    <s v="3631417-1458738685-187"/>
    <n v="0"/>
    <d v="2016-03-31T00:00:00"/>
    <x v="1192"/>
    <s v="187"/>
    <s v="SELL"/>
    <n v="9.9753812009370773"/>
    <x v="0"/>
    <x v="1"/>
    <n v="2427.11"/>
    <s v="Deal"/>
    <m/>
    <s v="Original Amount [EUR 243.31], Merchant Amount [EUR 243.31], Customer Amount [NOK 2427.11], Status [APPROVED], Operation [DIRECT], UUID [3631417-1458738685-187] [23/03/2016 at 13:11:00]"/>
  </r>
  <r>
    <s v="3631414-1458738682-216"/>
    <s v="Spot"/>
    <s v="3631414-1458738682-216"/>
    <n v="0"/>
    <d v="2016-03-31T00:00:00"/>
    <x v="1193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414-1458738682-216] [23/03/2016 at 13:11:00]"/>
  </r>
  <r>
    <s v="3631468-1458738726-216"/>
    <s v="Spot"/>
    <s v="3631468-1458738726-216"/>
    <n v="0"/>
    <d v="2016-03-31T00:00:00"/>
    <x v="1194"/>
    <s v="216"/>
    <s v="SELL"/>
    <n v="3.3880692751763952"/>
    <x v="0"/>
    <x v="0"/>
    <n v="52.82"/>
    <s v="Deal"/>
    <m/>
    <s v="Original Amount [EUR 15.59], Merchant Amount [EUR 15.59], Customer Amount [TRY 52.82], Status [APPROVED], Operation [3DAUTH], UUID [3631468-1458738726-216] [23/03/2016 at 13:12:00]"/>
  </r>
  <r>
    <s v="3631387-1458738647-261"/>
    <s v="Spot"/>
    <s v="3631387-1458738647-261"/>
    <n v="0"/>
    <d v="2016-03-31T00:00:00"/>
    <x v="1195"/>
    <s v="261"/>
    <s v="SELL"/>
    <n v="9.9753610875106205"/>
    <x v="0"/>
    <x v="1"/>
    <n v="117.41"/>
    <s v="Deal"/>
    <m/>
    <s v="Original Amount [EUR 11.77], Merchant Amount [EUR 11.77], Customer Amount [NOK 117.41], Status [APPROVED], Operation [DIRECT], UUID [3631387-1458738647-261] [23/03/2016 at 13:10:00]"/>
  </r>
  <r>
    <s v="3631408-1458738670-216"/>
    <s v="Spot"/>
    <s v="3631408-1458738670-216"/>
    <n v="0"/>
    <d v="2016-03-31T00:00:00"/>
    <x v="1196"/>
    <s v="216"/>
    <s v="SELL"/>
    <n v="3.3878554629035702"/>
    <x v="0"/>
    <x v="0"/>
    <n v="316.89999999999998"/>
    <s v="Deal"/>
    <m/>
    <s v="Original Amount [EUR 93.54], Merchant Amount [EUR 93.54], Customer Amount [TRY 316.9], Status [APPROVED], Operation [3DAUTH], UUID [3631408-1458738670-216] [23/03/2016 at 13:11:00]"/>
  </r>
  <r>
    <s v="3631381-1458738640-82"/>
    <s v="Spot"/>
    <s v="3631381-1458738640-82"/>
    <n v="0"/>
    <d v="2016-03-31T00:00:00"/>
    <x v="119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1381-1458738640-82] [23/03/2016 at 13:10:00]"/>
  </r>
  <r>
    <s v="3631375-1458738634-119"/>
    <s v="Spot"/>
    <s v="3631375-1458738634-119"/>
    <n v="0"/>
    <d v="2016-03-31T00:00:00"/>
    <x v="1198"/>
    <s v="119"/>
    <s v="SELL"/>
    <n v="9.9756"/>
    <x v="0"/>
    <x v="1"/>
    <n v="249.39"/>
    <s v="Deal"/>
    <m/>
    <s v="Original Amount [EUR 25], Merchant Amount [EUR 25], Customer Amount [NOK 249.39], Status [APPROVED], Operation [DIRECT], UUID [3631375-1458738634-119] [23/03/2016 at 13:10:00]"/>
  </r>
  <r>
    <s v="3631402-1458738661-107"/>
    <s v="Spot"/>
    <s v="3631402-1458738661-107"/>
    <n v="0"/>
    <d v="2016-03-31T00:00:00"/>
    <x v="1199"/>
    <s v="107"/>
    <s v="SELL"/>
    <n v="3.3879922530664941"/>
    <x v="0"/>
    <x v="0"/>
    <n v="52.48"/>
    <s v="Deal"/>
    <m/>
    <s v="Original Amount [EUR 15.49], Merchant Amount [EUR 15.49], Customer Amount [TRY 52.48], Status [APPROVED], Operation [3DAUTH], UUID [3631402-1458738661-107] [23/03/2016 at 13:11:00]"/>
  </r>
  <r>
    <s v="3631378-1458738639-203"/>
    <s v="Spot"/>
    <s v="3631378-1458738639-203"/>
    <n v="0"/>
    <d v="2016-03-31T00:00:00"/>
    <x v="1200"/>
    <s v="203"/>
    <s v="SELL"/>
    <n v="3.3878709677419354"/>
    <x v="0"/>
    <x v="0"/>
    <n v="525.12"/>
    <s v="Deal"/>
    <m/>
    <s v="Original Amount [EUR 155], Merchant Amount [EUR 155], Customer Amount [TRY 525.12], Status [APPROVED], Operation [3DAUTH], UUID [3631378-1458738639-203] [23/03/2016 at 13:10:00]"/>
  </r>
  <r>
    <s v="3631372-1458738625-145"/>
    <s v="Spot"/>
    <s v="3631372-1458738625-145"/>
    <n v="0"/>
    <d v="2016-03-31T00:00:00"/>
    <x v="1201"/>
    <s v="145"/>
    <s v="SELL"/>
    <n v="1.5436055019022532"/>
    <x v="0"/>
    <x v="2"/>
    <n v="105.49"/>
    <s v="Deal"/>
    <m/>
    <s v="Original Amount [EUR 68.34], Merchant Amount [EUR 68.34], Customer Amount [CAD 105.49], Status [APPROVED], Operation [3DAUTH], UUID [3631372-1458738625-145] [23/03/2016 at 13:10:00]"/>
  </r>
  <r>
    <s v="3631348-1458738608-99"/>
    <s v="Spot"/>
    <s v="3631348-1458738608-99"/>
    <n v="0"/>
    <d v="2016-03-31T00:00:00"/>
    <x v="1202"/>
    <s v="99"/>
    <s v="SELL"/>
    <n v="9.9754000000000005"/>
    <x v="0"/>
    <x v="1"/>
    <n v="997.54"/>
    <s v="Deal"/>
    <m/>
    <s v="Original Amount [EUR 100], Merchant Amount [EUR 100], Customer Amount [NOK 997.54], Status [APPROVED], Operation [DIRECT], UUID [3631348-1458738608-99] [23/03/2016 at 13:10:00]"/>
  </r>
  <r>
    <s v="3631366-1458738618-212"/>
    <s v="Spot"/>
    <s v="3631366-1458738618-212"/>
    <n v="0"/>
    <d v="2016-03-31T00:00:00"/>
    <x v="1203"/>
    <s v="212"/>
    <s v="SELL"/>
    <n v="0.83299999999999996"/>
    <x v="0"/>
    <x v="4"/>
    <n v="16.66"/>
    <s v="Deal"/>
    <m/>
    <s v="Original Amount [EUR 20], Merchant Amount [EUR 20], Customer Amount [GBP 16.66], Status [APPROVED], Operation [3DAUTH], UUID [3631366-1458738618-212] [23/03/2016 at 13:10:00]"/>
  </r>
  <r>
    <s v="3631339-1458738603-224"/>
    <s v="Spot"/>
    <s v="3631339-1458738603-224"/>
    <n v="0"/>
    <d v="2016-03-31T00:00:00"/>
    <x v="1204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1339-1458738603-224] [23/03/2016 at 13:10:00]"/>
  </r>
  <r>
    <s v="3631345-1458738607-107"/>
    <s v="Spot"/>
    <s v="3631345-1458738607-107"/>
    <n v="0"/>
    <d v="2016-03-31T00:00:00"/>
    <x v="1205"/>
    <s v="107"/>
    <s v="SELL"/>
    <n v="3.3879922530664941"/>
    <x v="0"/>
    <x v="0"/>
    <n v="52.48"/>
    <s v="Deal"/>
    <m/>
    <s v="Original Amount [EUR 15.49], Merchant Amount [EUR 15.49], Customer Amount [TRY 52.48], Status [APPROVED], Operation [3DAUTH], UUID [3631345-1458738607-107] [23/03/2016 at 13:10:00]"/>
  </r>
  <r>
    <s v="3631315-1458738562-145"/>
    <s v="Spot"/>
    <s v="3631315-1458738562-145"/>
    <n v="0"/>
    <d v="2016-03-31T00:00:00"/>
    <x v="1206"/>
    <s v="145"/>
    <s v="SELL"/>
    <n v="9.9755691282620749"/>
    <x v="0"/>
    <x v="1"/>
    <n v="179.66"/>
    <s v="Deal"/>
    <m/>
    <s v="Original Amount [EUR 18.01], Merchant Amount [EUR 18.01], Customer Amount [NOK 179.66], Status [APPROVED], Operation [DIRECT], UUID [3631315-1458738562-145] [23/03/2016 at 13:09:00]"/>
  </r>
  <r>
    <s v="3631309-1458738550-216"/>
    <s v="Spot"/>
    <s v="3631309-1458738550-216"/>
    <n v="0"/>
    <d v="2016-03-31T00:00:00"/>
    <x v="1207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309-1458738550-216] [23/03/2016 at 13:09:00]"/>
  </r>
  <r>
    <s v="3631333-1458738585-216"/>
    <s v="Spot"/>
    <s v="3631333-1458738585-216"/>
    <n v="0"/>
    <d v="2016-03-31T00:00:00"/>
    <x v="1208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1333-1458738585-216] [23/03/2016 at 13:09:00]"/>
  </r>
  <r>
    <s v="3631282-1458738532-224"/>
    <s v="Spot"/>
    <s v="3631282-1458738532-224"/>
    <n v="0"/>
    <d v="2016-03-31T00:00:00"/>
    <x v="1209"/>
    <s v="224"/>
    <s v="SELL"/>
    <n v="133.03788634097708"/>
    <x v="0"/>
    <x v="3"/>
    <n v="4003.11"/>
    <s v="Deal"/>
    <m/>
    <s v="Original Amount [EUR 30.09], Merchant Amount [EUR 30.09], Customer Amount [JPY 4003.11], Status [APPROVED], Operation [DIRECT], UUID [3631282-1458738532-224] [23/03/2016 at 13:08:00]"/>
  </r>
  <r>
    <s v="3631279-1458738531-119"/>
    <s v="Spot"/>
    <s v="3631279-1458738531-119"/>
    <n v="0"/>
    <d v="2016-03-31T00:00:00"/>
    <x v="1210"/>
    <s v="119"/>
    <s v="SELL"/>
    <n v="9.954600000000001"/>
    <x v="0"/>
    <x v="1"/>
    <n v="1493.19"/>
    <s v="Deal"/>
    <m/>
    <s v="Original Amount [EUR 150], Merchant Amount [EUR 150], Customer Amount [NOK 1493.19], Status [APPROVED], Operation [DIRECT], UUID [3631279-1458738531-119] [23/03/2016 at 13:08:00]"/>
  </r>
  <r>
    <s v="3631273-1458738529-199"/>
    <s v="Spot"/>
    <s v="3631273-1458738529-199"/>
    <n v="0"/>
    <d v="2016-03-31T00:00:00"/>
    <x v="1211"/>
    <s v="199"/>
    <s v="SELL"/>
    <n v="9.954590083456063"/>
    <x v="0"/>
    <x v="1"/>
    <n v="1622.2"/>
    <s v="Deal"/>
    <m/>
    <s v="Original Amount [EUR 162.96], Merchant Amount [EUR 162.96], Customer Amount [NOK 1622.2], Status [APPROVED], Operation [DIRECT], UUID [3631273-1458738529-199] [23/03/2016 at 13:08:00]"/>
  </r>
  <r>
    <s v="3631267-1458738525-82"/>
    <s v="Spot"/>
    <s v="3631267-1458738525-82"/>
    <n v="0"/>
    <d v="2016-03-31T00:00:00"/>
    <x v="1212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1267-1458738525-82] [23/03/2016 at 13:08:00]"/>
  </r>
  <r>
    <s v="3631324-1458738571-56"/>
    <s v="Spot"/>
    <s v="3631324-1458738571-56"/>
    <n v="0"/>
    <d v="2016-03-31T00:00:00"/>
    <x v="1213"/>
    <s v="56"/>
    <s v="SELL"/>
    <n v="3.397230434106115"/>
    <x v="0"/>
    <x v="0"/>
    <n v="436.68"/>
    <s v="Deal"/>
    <m/>
    <s v="Original Amount [EUR 128.54], Merchant Amount [EUR 128.54], Customer Amount [TRY 436.68], Status [APPROVED], Operation [3DAUTH], UUID [3631324-1458738571-56] [23/03/2016 at 13:09:00]"/>
  </r>
  <r>
    <s v="3631285-1458738533-216"/>
    <s v="Spot"/>
    <s v="3631285-1458738533-216"/>
    <n v="0"/>
    <d v="2016-03-31T00:00:00"/>
    <x v="1214"/>
    <s v="216"/>
    <s v="SELL"/>
    <n v="3.3976179569399911"/>
    <x v="0"/>
    <x v="0"/>
    <n v="74.17"/>
    <s v="Deal"/>
    <m/>
    <s v="Original Amount [EUR 21.83], Merchant Amount [EUR 21.83], Customer Amount [TRY 74.17], Status [APPROVED], Operation [3DAUTH], UUID [3631285-1458738533-216] [23/03/2016 at 13:08:00]"/>
  </r>
  <r>
    <s v="3631249-1458738504-199"/>
    <s v="Spot"/>
    <s v="3631249-1458738504-199"/>
    <n v="0"/>
    <d v="2016-03-31T00:00:00"/>
    <x v="1215"/>
    <s v="199"/>
    <s v="SELL"/>
    <n v="9.9547606522882681"/>
    <x v="0"/>
    <x v="1"/>
    <n v="378.48"/>
    <s v="Deal"/>
    <m/>
    <s v="Original Amount [EUR 38.02], Merchant Amount [EUR 38.02], Customer Amount [NOK 378.48], Status [APPROVED], Operation [DIRECT], UUID [3631249-1458738504-199] [23/03/2016 at 13:08:00]"/>
  </r>
  <r>
    <s v="3631276-1458738530-216"/>
    <s v="Spot"/>
    <s v="3631276-1458738530-216"/>
    <n v="0"/>
    <d v="2016-03-31T00:00:00"/>
    <x v="1216"/>
    <s v="216"/>
    <s v="SELL"/>
    <n v="3.3972632029078462"/>
    <x v="0"/>
    <x v="0"/>
    <n v="317.77999999999997"/>
    <s v="Deal"/>
    <m/>
    <s v="Original Amount [EUR 93.54], Merchant Amount [EUR 93.54], Customer Amount [TRY 317.78], Status [APPROVED], Operation [3DAUTH], UUID [3631276-1458738530-216] [23/03/2016 at 13:08:00]"/>
  </r>
  <r>
    <s v="3631258-1458738515-136"/>
    <s v="Spot"/>
    <s v="3631258-1458738515-136"/>
    <n v="0"/>
    <d v="2016-03-31T00:00:00"/>
    <x v="1217"/>
    <s v="136"/>
    <s v="SELL"/>
    <n v="3.3974193548387093"/>
    <x v="0"/>
    <x v="0"/>
    <n v="52.66"/>
    <s v="Deal"/>
    <m/>
    <s v="Original Amount [EUR 15.5], Merchant Amount [EUR 15.5], Customer Amount [TRY 52.66], Status [APPROVED], Operation [3DAUTH], UUID [3631258-1458738515-136] [23/03/2016 at 13:08:00]"/>
  </r>
  <r>
    <s v="3631210-1458738468-224"/>
    <s v="Spot"/>
    <s v="3631210-1458738468-224"/>
    <n v="0"/>
    <d v="2016-03-31T00:00:00"/>
    <x v="1218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1210-1458738468-224] [23/03/2016 at 13:07:00]"/>
  </r>
  <r>
    <s v="3631207-1458738464-82"/>
    <s v="Spot"/>
    <s v="3631207-1458738464-82"/>
    <n v="0"/>
    <d v="2016-03-31T00:00:00"/>
    <x v="1219"/>
    <s v="82"/>
    <s v="SELL"/>
    <n v="1.1848341232227488"/>
    <x v="0"/>
    <x v="7"/>
    <n v="17.5"/>
    <s v="Deal"/>
    <m/>
    <s v="Original Amount [USD 17.5], Merchant Amount [EUR 14.77], Customer Amount [USD 17.5], Status [APPROVED], Operation [DIRECT], UUID [3631207-1458738464-82] [23/03/2016 at 13:07:00]"/>
  </r>
  <r>
    <s v="3631204-1458738462-200"/>
    <s v="Spot"/>
    <s v="3631204-1458738462-200"/>
    <n v="0"/>
    <d v="2016-03-31T00:00:00"/>
    <x v="1220"/>
    <s v="200"/>
    <s v="SELL"/>
    <n v="9.9550000000000001"/>
    <x v="0"/>
    <x v="1"/>
    <n v="199.1"/>
    <s v="Deal"/>
    <m/>
    <s v="Original Amount [EUR 20], Merchant Amount [EUR 20], Customer Amount [NOK 199.1], Status [APPROVED], Operation [STORED], UUID [3631204-1458738462-200] [23/03/2016 at 13:07:00]"/>
  </r>
  <r>
    <s v="3631198-1458738455-82"/>
    <s v="Spot"/>
    <s v="3631198-1458738455-82"/>
    <n v="0"/>
    <d v="2016-03-31T00:00:00"/>
    <x v="1221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1198-1458738455-82] [23/03/2016 at 13:07:00]"/>
  </r>
  <r>
    <s v="3631240-1458738489-216"/>
    <s v="Spot"/>
    <s v="3631240-1458738489-216"/>
    <n v="0"/>
    <d v="2016-03-31T00:00:00"/>
    <x v="1222"/>
    <s v="216"/>
    <s v="SELL"/>
    <n v="3.3976908274534958"/>
    <x v="0"/>
    <x v="0"/>
    <n v="52.97"/>
    <s v="Deal"/>
    <m/>
    <s v="Original Amount [EUR 15.59], Merchant Amount [EUR 15.59], Customer Amount [TRY 52.97], Status [APPROVED], Operation [3DAUTH], UUID [3631240-1458738489-216] [23/03/2016 at 13:08:00]"/>
  </r>
  <r>
    <s v="3631222-1458738480-264"/>
    <s v="Spot"/>
    <s v="3631222-1458738480-264"/>
    <n v="0"/>
    <d v="2016-03-31T00:00:00"/>
    <x v="1223"/>
    <s v="264"/>
    <s v="SELL"/>
    <n v="3.3937621832358675"/>
    <x v="0"/>
    <x v="0"/>
    <n v="34.82"/>
    <s v="Deal"/>
    <m/>
    <s v="Original Amount [TRY 33], Merchant Amount [EUR 10.26], Customer Amount [TRY 34.82], Status [APPROVED], Operation [3DAUTH], UUID [3631222-1458738480-264] [23/03/2016 at 13:08:00]"/>
  </r>
  <r>
    <s v="3631174-1458738431-95"/>
    <s v="Spot"/>
    <s v="3631174-1458738431-95"/>
    <n v="0"/>
    <d v="2016-03-31T00:00:00"/>
    <x v="1224"/>
    <s v="95"/>
    <s v="SELL"/>
    <n v="1.4941690962099126"/>
    <x v="0"/>
    <x v="2"/>
    <n v="10.25"/>
    <s v="Deal"/>
    <m/>
    <s v="Original Amount [CAD 10.25], Merchant Amount [EUR 6.86], Customer Amount [CAD 10.25], Status [APPROVED], Operation [DIRECT], UUID [3631174-1458738431-95] [23/03/2016 at 13:07:00]"/>
  </r>
  <r>
    <s v="3631171-1458738430-264"/>
    <s v="Spot"/>
    <s v="3631171-1458738430-264"/>
    <n v="0"/>
    <d v="2016-03-31T00:00:00"/>
    <x v="1223"/>
    <s v="264"/>
    <s v="SELL"/>
    <n v="3.3937621832358675"/>
    <x v="0"/>
    <x v="0"/>
    <n v="34.82"/>
    <s v="Deal"/>
    <m/>
    <s v="Original Amount [TRY 33], Merchant Amount [EUR 10.26], Customer Amount [TRY 34.82], Status [WAITING], Operation [3D], UUID [3631171-1458738430-264] [23/03/2016 at 13:07:00]"/>
  </r>
  <r>
    <s v="3631165-1458738421-119"/>
    <s v="Spot"/>
    <s v="3631165-1458738421-119"/>
    <n v="0"/>
    <d v="2016-03-31T00:00:00"/>
    <x v="1225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1165-1458738421-119] [23/03/2016 at 13:07:00]"/>
  </r>
  <r>
    <s v="3631195-1458738454-216"/>
    <s v="Spot"/>
    <s v="3631195-1458738454-216"/>
    <n v="0"/>
    <d v="2016-03-31T00:00:00"/>
    <x v="1226"/>
    <s v="216"/>
    <s v="SELL"/>
    <n v="3.3973701090442594"/>
    <x v="0"/>
    <x v="0"/>
    <n v="105.93"/>
    <s v="Deal"/>
    <m/>
    <s v="Original Amount [EUR 31.18], Merchant Amount [EUR 31.18], Customer Amount [TRY 105.93], Status [APPROVED], Operation [3DAUTH], UUID [3631195-1458738454-216] [23/03/2016 at 13:07:00]"/>
  </r>
  <r>
    <s v="3631150-1458738389-224"/>
    <s v="Spot"/>
    <s v="3631150-1458738389-224"/>
    <n v="0"/>
    <d v="2016-03-31T00:00:00"/>
    <x v="1227"/>
    <s v="224"/>
    <s v="SELL"/>
    <n v="133.03767255837957"/>
    <x v="0"/>
    <x v="3"/>
    <n v="10311.75"/>
    <s v="Deal"/>
    <m/>
    <s v="Original Amount [EUR 77.51], Merchant Amount [EUR 77.51], Customer Amount [JPY 10311.75], Status [APPROVED], Operation [DIRECT], UUID [3631150-1458738389-224] [23/03/2016 at 13:06:00]"/>
  </r>
  <r>
    <s v="3631144-1458738383-200"/>
    <s v="Spot"/>
    <s v="3631144-1458738383-200"/>
    <n v="0"/>
    <d v="2016-03-31T00:00:00"/>
    <x v="1228"/>
    <s v="200"/>
    <s v="SELL"/>
    <n v="9.9546491468199658"/>
    <x v="0"/>
    <x v="1"/>
    <n v="1090.93"/>
    <s v="Deal"/>
    <m/>
    <s v="Original Amount [EUR 109.59], Merchant Amount [EUR 109.59], Customer Amount [NOK 1090.93], Status [APPROVED], Operation [STORED], UUID [3631144-1458738383-200] [23/03/2016 at 13:06:00]"/>
  </r>
  <r>
    <s v="3631156-1458738402-216"/>
    <s v="Spot"/>
    <s v="3631156-1458738402-216"/>
    <n v="0"/>
    <d v="2016-03-31T00:00:00"/>
    <x v="1229"/>
    <s v="216"/>
    <s v="SELL"/>
    <n v="3.3976676384839655"/>
    <x v="0"/>
    <x v="0"/>
    <n v="58.27"/>
    <s v="Deal"/>
    <m/>
    <s v="Original Amount [EUR 17.15], Merchant Amount [EUR 17.15], Customer Amount [TRY 58.27], Status [APPROVED], Operation [3DAUTH], UUID [3631156-1458738402-216] [23/03/2016 at 13:06:00]"/>
  </r>
  <r>
    <s v="3631120-1458738362-82"/>
    <s v="Spot"/>
    <s v="3631120-1458738362-82"/>
    <n v="0"/>
    <d v="2016-03-31T00:00:00"/>
    <x v="1230"/>
    <s v="82"/>
    <s v="SELL"/>
    <n v="1.1840120663650078"/>
    <x v="0"/>
    <x v="7"/>
    <n v="54.95"/>
    <s v="Deal"/>
    <m/>
    <s v="Original Amount [USD 54.95], Merchant Amount [EUR 46.41], Customer Amount [USD 54.95], Status [APPROVED], Operation [DIRECT], UUID [3631120-1458738362-82] [23/03/2016 at 13:06:00]"/>
  </r>
  <r>
    <s v="3631114-1458738351-145"/>
    <s v="Spot"/>
    <s v="3631114-1458738351-145"/>
    <n v="0"/>
    <d v="2016-03-31T00:00:00"/>
    <x v="1231"/>
    <s v="145"/>
    <s v="SELL"/>
    <n v="1.5436200694994817"/>
    <x v="0"/>
    <x v="2"/>
    <n v="253.2"/>
    <s v="Deal"/>
    <m/>
    <s v="Original Amount [EUR 164.03], Merchant Amount [EUR 164.03], Customer Amount [CAD 253.2], Status [WAITING], Operation [3D], UUID [3631114-1458738351-145] [23/03/2016 at 13:05:00]"/>
  </r>
  <r>
    <s v="3631111-1458738346-199"/>
    <s v="Spot"/>
    <s v="3631111-1458738346-199"/>
    <n v="0"/>
    <d v="2016-03-31T00:00:00"/>
    <x v="1232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1111-1458738346-199] [23/03/2016 at 13:05:00]"/>
  </r>
  <r>
    <s v="3631108-1458738345-224"/>
    <s v="Spot"/>
    <s v="3631108-1458738345-224"/>
    <n v="0"/>
    <d v="2016-03-31T00:00:00"/>
    <x v="1233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1108-1458738345-224] [23/03/2016 at 13:05:00]"/>
  </r>
  <r>
    <s v="3631093-1458738335-224"/>
    <s v="Spot"/>
    <s v="3631093-1458738335-224"/>
    <n v="0"/>
    <d v="2016-03-31T00:00:00"/>
    <x v="1234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31093-1458738335-224] [23/03/2016 at 13:05:00]"/>
  </r>
  <r>
    <s v="3631090-1458738335-187"/>
    <s v="Spot"/>
    <s v="3631090-1458738335-187"/>
    <n v="0"/>
    <d v="2016-03-31T00:00:00"/>
    <x v="1235"/>
    <s v="187"/>
    <s v="SELL"/>
    <n v="9.9506302521008401"/>
    <x v="0"/>
    <x v="1"/>
    <n v="473.65"/>
    <s v="Deal"/>
    <m/>
    <s v="Original Amount [EUR 47.6], Merchant Amount [EUR 47.6], Customer Amount [NOK 473.65], Status [APPROVED], Operation [DIRECT], UUID [3631090-1458738335-187] [23/03/2016 at 13:05:00]"/>
  </r>
  <r>
    <s v="3631087-1458738324-126"/>
    <s v="Spot"/>
    <s v="3631087-1458738324-126"/>
    <n v="0"/>
    <d v="2016-03-31T00:00:00"/>
    <x v="1236"/>
    <s v="126"/>
    <s v="SELL"/>
    <n v="9.9512195121951219"/>
    <x v="0"/>
    <x v="1"/>
    <n v="122.4"/>
    <s v="Deal"/>
    <m/>
    <s v="Original Amount [EUR 12.3], Merchant Amount [EUR 12.3], Customer Amount [NOK 122.4], Status [APPROVED], Operation [DIRECT], UUID [3631087-1458738324-126] [23/03/2016 at 13:05:00]"/>
  </r>
  <r>
    <s v="3631084-1458738321-224"/>
    <s v="Spot"/>
    <s v="3631084-1458738321-224"/>
    <n v="0"/>
    <d v="2016-03-31T00:00:00"/>
    <x v="123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1084-1458738321-224] [23/03/2016 at 13:05:00]"/>
  </r>
  <r>
    <s v="3631081-1458738318-224"/>
    <s v="Spot"/>
    <s v="3631081-1458738318-224"/>
    <n v="0"/>
    <d v="2016-03-31T00:00:00"/>
    <x v="1238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1081-1458738318-224] [23/03/2016 at 13:05:00]"/>
  </r>
  <r>
    <s v="3631075-1458738308-82"/>
    <s v="Spot"/>
    <s v="3631075-1458738308-82"/>
    <n v="0"/>
    <d v="2016-03-31T00:00:00"/>
    <x v="1239"/>
    <s v="82"/>
    <s v="SELL"/>
    <n v="1.1838681699913269"/>
    <x v="0"/>
    <x v="7"/>
    <n v="40.950000000000003"/>
    <s v="Deal"/>
    <m/>
    <s v="Original Amount [USD 40.95], Merchant Amount [EUR 34.59], Customer Amount [USD 40.95], Status [APPROVED], Operation [DIRECT], UUID [3631075-1458738308-82] [23/03/2016 at 13:05:00]"/>
  </r>
  <r>
    <s v="3631078-1458738309-216"/>
    <s v="Spot"/>
    <s v="3631078-1458738309-216"/>
    <n v="0"/>
    <d v="2016-03-31T00:00:00"/>
    <x v="1240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078-1458738309-216] [23/03/2016 at 13:05:00]"/>
  </r>
  <r>
    <s v="3631099-1458738342-196"/>
    <s v="Spot"/>
    <s v="3631099-1458738342-196"/>
    <n v="0"/>
    <d v="2016-03-31T00:00:00"/>
    <x v="1241"/>
    <s v="196"/>
    <s v="SELL"/>
    <n v="9.95056270096463"/>
    <x v="0"/>
    <x v="1"/>
    <n v="495.14"/>
    <s v="Deal"/>
    <m/>
    <s v="Original Amount [EUR 49.76], Merchant Amount [EUR 49.76], Customer Amount [NOK 495.14], Status [APPROVED], Operation [3DAUTH], UUID [3631099-1458738342-196] [23/03/2016 at 13:05:00]"/>
  </r>
  <r>
    <s v="3631036-1458738243-119"/>
    <s v="Spot"/>
    <s v="3631036-1458738243-119"/>
    <n v="0"/>
    <d v="2016-03-31T00:00:00"/>
    <x v="1242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1036-1458738243-119] [23/03/2016 at 13:04:00]"/>
  </r>
  <r>
    <s v="3631045-1458738259-216"/>
    <s v="Spot"/>
    <s v="3631045-1458738259-216"/>
    <n v="0"/>
    <d v="2016-03-31T00:00:00"/>
    <x v="1243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045-1458738259-216] [23/03/2016 at 13:04:00]"/>
  </r>
  <r>
    <s v="3631021-1458738231-203"/>
    <s v="Spot"/>
    <s v="3631021-1458738231-203"/>
    <n v="0"/>
    <d v="2016-03-31T00:00:00"/>
    <x v="1244"/>
    <s v="203"/>
    <s v="SELL"/>
    <n v="3.3973118279569894"/>
    <x v="0"/>
    <x v="0"/>
    <n v="189.57"/>
    <s v="Deal"/>
    <m/>
    <s v="Original Amount [EUR 55.8], Merchant Amount [EUR 55.8], Customer Amount [TRY 189.57], Status [APPROVED], Operation [3DAUTH], UUID [3631021-1458738231-203] [23/03/2016 at 13:03:00]"/>
  </r>
  <r>
    <s v="3631027-1458738237-216"/>
    <s v="Spot"/>
    <s v="3631027-1458738237-216"/>
    <n v="0"/>
    <d v="2016-03-31T00:00:00"/>
    <x v="1245"/>
    <s v="216"/>
    <s v="SELL"/>
    <n v="3.3973701090442594"/>
    <x v="0"/>
    <x v="0"/>
    <n v="105.93"/>
    <s v="Deal"/>
    <m/>
    <s v="Original Amount [EUR 31.18], Merchant Amount [EUR 31.18], Customer Amount [TRY 105.93], Status [APPROVED], Operation [3DAUTH], UUID [3631027-1458738237-216] [23/03/2016 at 13:03:00]"/>
  </r>
  <r>
    <s v="3630997-1458738196-119"/>
    <s v="Spot"/>
    <s v="3630997-1458738196-119"/>
    <n v="0"/>
    <d v="2016-03-31T00:00:00"/>
    <x v="1246"/>
    <s v="119"/>
    <s v="SELL"/>
    <n v="9.9505999999999997"/>
    <x v="0"/>
    <x v="1"/>
    <n v="1492.59"/>
    <s v="Deal"/>
    <m/>
    <s v="Original Amount [EUR 150], Merchant Amount [EUR 150], Customer Amount [NOK 1492.59], Status [APPROVED], Operation [DIRECT], UUID [3630997-1458738196-119] [23/03/2016 at 13:03:00]"/>
  </r>
  <r>
    <s v="3630991-1458738179-187"/>
    <s v="Spot"/>
    <s v="3630991-1458738179-187"/>
    <n v="0"/>
    <d v="2016-03-31T00:00:00"/>
    <x v="1247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0991-1458738179-187] [23/03/2016 at 13:02:00]"/>
  </r>
  <r>
    <s v="3630979-1458738171-199"/>
    <s v="Spot"/>
    <s v="3630979-1458738171-199"/>
    <n v="0"/>
    <d v="2016-03-31T00:00:00"/>
    <x v="1248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979-1458738171-199] [23/03/2016 at 13:02:00]"/>
  </r>
  <r>
    <s v="3631012-1458738215-119"/>
    <s v="Spot"/>
    <s v="3631012-1458738215-119"/>
    <n v="0"/>
    <d v="2016-03-31T00:00:00"/>
    <x v="1249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31012-1458738215-119] [23/03/2016 at 13:03:00]"/>
  </r>
  <r>
    <s v="3630967-1458738162-82"/>
    <s v="Spot"/>
    <s v="3630967-1458738162-82"/>
    <n v="0"/>
    <d v="2016-03-31T00:00:00"/>
    <x v="1250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0967-1458738162-82] [23/03/2016 at 13:02:00]"/>
  </r>
  <r>
    <s v="3630964-1458738159-199"/>
    <s v="Spot"/>
    <s v="3630964-1458738159-199"/>
    <n v="0"/>
    <d v="2016-03-31T00:00:00"/>
    <x v="1251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964-1458738159-199] [23/03/2016 at 13:02:00]"/>
  </r>
  <r>
    <s v="3630955-1458738155-171"/>
    <s v="Spot"/>
    <s v="3630955-1458738155-171"/>
    <n v="0"/>
    <d v="2016-03-31T00:00:00"/>
    <x v="1252"/>
    <s v="171"/>
    <s v="SELL"/>
    <n v="9.9664999999999999"/>
    <x v="0"/>
    <x v="1"/>
    <n v="199.33"/>
    <s v="Deal"/>
    <m/>
    <s v="Original Amount [EUR 20], Merchant Amount [EUR 20], Customer Amount [NOK 199.33], Status [APPROVED], Operation [DIRECT], UUID [3630955-1458738155-171] [23/03/2016 at 13:02:00]"/>
  </r>
  <r>
    <s v="3630952-1458738153-119"/>
    <s v="Spot"/>
    <s v="3630952-1458738153-119"/>
    <n v="0"/>
    <d v="2016-03-31T00:00:00"/>
    <x v="1253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0952-1458738153-119] [23/03/2016 at 13:02:00]"/>
  </r>
  <r>
    <s v="3630976-1458738167-203"/>
    <s v="Spot"/>
    <s v="3630976-1458738167-203"/>
    <n v="0"/>
    <d v="2016-03-31T00:00:00"/>
    <x v="1254"/>
    <s v="203"/>
    <s v="SELL"/>
    <n v="3.3972580645161288"/>
    <x v="0"/>
    <x v="0"/>
    <n v="210.63"/>
    <s v="Deal"/>
    <m/>
    <s v="Original Amount [EUR 62], Merchant Amount [EUR 62], Customer Amount [TRY 210.63], Status [APPROVED], Operation [3DAUTH], UUID [3630976-1458738167-203] [23/03/2016 at 13:02:00]"/>
  </r>
  <r>
    <s v="3630934-1458738143-224"/>
    <s v="Spot"/>
    <s v="3630934-1458738143-224"/>
    <n v="0"/>
    <d v="2016-03-31T00:00:00"/>
    <x v="1255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30934-1458738143-224] [23/03/2016 at 13:02:00]"/>
  </r>
  <r>
    <s v="3630925-1458738126-224"/>
    <s v="Spot"/>
    <s v="3630925-1458738126-224"/>
    <n v="0"/>
    <d v="2016-03-31T00:00:00"/>
    <x v="1256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925-1458738126-224] [23/03/2016 at 13:02:00]"/>
  </r>
  <r>
    <s v="3630982-1458738174-216"/>
    <s v="Spot"/>
    <s v="3630982-1458738174-216"/>
    <n v="0"/>
    <d v="2016-03-31T00:00:00"/>
    <x v="1257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0982-1458738174-216] [23/03/2016 at 13:02:00]"/>
  </r>
  <r>
    <s v="3630907-1458738098-261"/>
    <s v="Spot"/>
    <s v="3630907-1458738098-261"/>
    <n v="0"/>
    <d v="2016-03-31T00:00:00"/>
    <x v="1258"/>
    <s v="261"/>
    <s v="SELL"/>
    <n v="9.9663551401869164"/>
    <x v="0"/>
    <x v="1"/>
    <n v="159.96"/>
    <s v="Deal"/>
    <m/>
    <s v="Original Amount [EUR 16.05], Merchant Amount [EUR 16.05], Customer Amount [NOK 159.96], Status [APPROVED], Operation [DIRECT], UUID [3630907-1458738098-261] [23/03/2016 at 13:01:00]"/>
  </r>
  <r>
    <s v="3630904-1458738095-224"/>
    <s v="Spot"/>
    <s v="3630904-1458738095-224"/>
    <n v="0"/>
    <d v="2016-03-31T00:00:00"/>
    <x v="1259"/>
    <s v="224"/>
    <s v="SELL"/>
    <n v="9.966728280961183"/>
    <x v="0"/>
    <x v="1"/>
    <n v="215.68"/>
    <s v="Deal"/>
    <m/>
    <s v="Original Amount [EUR 21.64], Merchant Amount [EUR 21.64], Customer Amount [NOK 215.68], Status [APPROVED], Operation [DIRECT], UUID [3630904-1458738095-224] [23/03/2016 at 13:01:00]"/>
  </r>
  <r>
    <s v="3630901-1458738094-199"/>
    <s v="Spot"/>
    <s v="3630901-1458738094-199"/>
    <n v="0"/>
    <d v="2016-03-31T00:00:00"/>
    <x v="1260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901-1458738094-199] [23/03/2016 at 13:01:00]"/>
  </r>
  <r>
    <s v="3630895-1458738088-199"/>
    <s v="Spot"/>
    <s v="3630895-1458738088-199"/>
    <n v="0"/>
    <d v="2016-03-31T00:00:00"/>
    <x v="1261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30895-1458738088-199] [23/03/2016 at 13:01:00]"/>
  </r>
  <r>
    <s v="3630892-1458738084-145"/>
    <s v="Spot"/>
    <s v="3630892-1458738084-145"/>
    <n v="0"/>
    <d v="2016-03-31T00:00:00"/>
    <x v="1262"/>
    <s v="145"/>
    <s v="SELL"/>
    <n v="9.9663960732490082"/>
    <x v="0"/>
    <x v="1"/>
    <n v="527.91999999999996"/>
    <s v="Deal"/>
    <m/>
    <s v="Original Amount [EUR 52.97], Merchant Amount [EUR 52.97], Customer Amount [NOK 527.92], Status [APPROVED], Operation [DIRECT], UUID [3630892-1458738084-145] [23/03/2016 at 13:01:00]"/>
  </r>
  <r>
    <s v="3630889-1458738084-82"/>
    <s v="Spot"/>
    <s v="3630889-1458738084-82"/>
    <n v="0"/>
    <d v="2016-03-31T00:00:00"/>
    <x v="1263"/>
    <s v="82"/>
    <s v="SELL"/>
    <n v="1.1847457627118645"/>
    <x v="0"/>
    <x v="7"/>
    <n v="34.950000000000003"/>
    <s v="Deal"/>
    <m/>
    <s v="Original Amount [USD 34.95], Merchant Amount [EUR 29.5], Customer Amount [USD 34.95], Status [APPROVED], Operation [DIRECT], UUID [3630889-1458738084-82] [23/03/2016 at 13:01:00]"/>
  </r>
  <r>
    <s v="3630886-1458738072-224"/>
    <s v="Spot"/>
    <s v="3630886-1458738072-224"/>
    <n v="0"/>
    <d v="2016-03-31T00:00:00"/>
    <x v="1264"/>
    <s v="224"/>
    <s v="SELL"/>
    <n v="9.966728280961183"/>
    <x v="0"/>
    <x v="1"/>
    <n v="215.68"/>
    <s v="Deal"/>
    <m/>
    <s v="Original Amount [EUR 21.64], Merchant Amount [EUR 21.64], Customer Amount [NOK 215.68], Status [APPROVED], Operation [DIRECT], UUID [3630886-1458738072-224] [23/03/2016 at 13:01:00]"/>
  </r>
  <r>
    <s v="3630883-1458738070-224"/>
    <s v="Spot"/>
    <s v="3630883-1458738070-224"/>
    <n v="0"/>
    <d v="2016-03-31T00:00:00"/>
    <x v="1265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883-1458738070-224] [23/03/2016 at 13:01:00]"/>
  </r>
  <r>
    <s v="3630880-1458738070-261"/>
    <s v="Spot"/>
    <s v="3630880-1458738070-261"/>
    <n v="0"/>
    <d v="2016-03-31T00:00:00"/>
    <x v="1266"/>
    <s v="261"/>
    <s v="SELL"/>
    <n v="9.9663446556559663"/>
    <x v="0"/>
    <x v="1"/>
    <n v="319.82"/>
    <s v="Deal"/>
    <m/>
    <s v="Original Amount [EUR 32.09], Merchant Amount [EUR 32.09], Customer Amount [NOK 319.82], Status [APPROVED], Operation [DIRECT], UUID [3630880-1458738070-261] [23/03/2016 at 13:01:00]"/>
  </r>
  <r>
    <s v="3630871-1458738057-203"/>
    <s v="Spot"/>
    <s v="3630871-1458738057-203"/>
    <n v="0"/>
    <d v="2016-03-31T00:00:00"/>
    <x v="1267"/>
    <s v="203"/>
    <s v="SELL"/>
    <n v="3.3974193548387093"/>
    <x v="0"/>
    <x v="0"/>
    <n v="105.32"/>
    <s v="Deal"/>
    <m/>
    <s v="Original Amount [EUR 31], Merchant Amount [EUR 31], Customer Amount [TRY 105.32], Status [WAITING], Operation [3D], UUID [3630871-1458738057-203] [23/03/2016 at 13:00:00]"/>
  </r>
  <r>
    <s v="3630847-1458738031-145"/>
    <s v="Spot"/>
    <s v="3630847-1458738031-145"/>
    <n v="0"/>
    <d v="2016-03-31T00:00:00"/>
    <x v="1268"/>
    <s v="145"/>
    <s v="SELL"/>
    <n v="1.5436200694994817"/>
    <x v="0"/>
    <x v="2"/>
    <n v="253.2"/>
    <s v="Deal"/>
    <m/>
    <s v="Original Amount [EUR 164.03], Merchant Amount [EUR 164.03], Customer Amount [CAD 253.2], Status [WAITING], Operation [3D], UUID [3630847-1458738031-145] [23/03/2016 at 13:00:00]"/>
  </r>
  <r>
    <s v="3630841-1458738028-199"/>
    <s v="Spot"/>
    <s v="3630841-1458738028-199"/>
    <n v="0"/>
    <d v="2016-03-31T00:00:00"/>
    <x v="1269"/>
    <s v="199"/>
    <s v="SELL"/>
    <n v="9.9663107511045652"/>
    <x v="0"/>
    <x v="1"/>
    <n v="1624.11"/>
    <s v="Deal"/>
    <m/>
    <s v="Original Amount [EUR 162.96], Merchant Amount [EUR 162.96], Customer Amount [NOK 1624.11], Status [APPROVED], Operation [DIRECT], UUID [3630841-1458738028-199] [23/03/2016 at 13:00:00]"/>
  </r>
  <r>
    <s v="3630838-1458738028-187"/>
    <s v="Spot"/>
    <s v="3630838-1458738028-187"/>
    <n v="0"/>
    <d v="2016-03-31T00:00:00"/>
    <x v="1270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30838-1458738028-187] [23/03/2016 at 13:00:00]"/>
  </r>
  <r>
    <s v="3630835-1458738025-200"/>
    <s v="Spot"/>
    <s v="3630835-1458738025-200"/>
    <n v="0"/>
    <d v="2016-03-31T00:00:00"/>
    <x v="1271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30835-1458738025-200] [23/03/2016 at 13:00:00]"/>
  </r>
  <r>
    <s v="3630832-1458738022-145"/>
    <s v="Spot"/>
    <s v="3630832-1458738022-145"/>
    <n v="0"/>
    <d v="2016-03-31T00:00:00"/>
    <x v="1272"/>
    <s v="145"/>
    <s v="SELL"/>
    <n v="1.5436055019022532"/>
    <x v="0"/>
    <x v="2"/>
    <n v="105.49"/>
    <s v="Deal"/>
    <m/>
    <s v="Original Amount [EUR 68.34], Merchant Amount [EUR 68.34], Customer Amount [CAD 105.49], Status [APPROVED], Operation [DIRECT], UUID [3630832-1458738022-145] [23/03/2016 at 13:00:00]"/>
  </r>
  <r>
    <s v="3630865-1458738053-119"/>
    <s v="Spot"/>
    <s v="3630865-1458738053-119"/>
    <n v="0"/>
    <d v="2016-03-31T00:00:00"/>
    <x v="1273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30865-1458738053-119] [23/03/2016 at 13:00:00]"/>
  </r>
  <r>
    <s v="3630826-1458738017-200"/>
    <s v="Spot"/>
    <s v="3630826-1458738017-200"/>
    <n v="0"/>
    <d v="2016-03-31T00:00:00"/>
    <x v="1274"/>
    <s v="200"/>
    <s v="SELL"/>
    <n v="9.9663290446208599"/>
    <x v="0"/>
    <x v="1"/>
    <n v="1092.21"/>
    <s v="Deal"/>
    <m/>
    <s v="Original Amount [EUR 109.59], Merchant Amount [EUR 109.59], Customer Amount [NOK 1092.21], Status [APPROVED], Operation [STORED], UUID [3630826-1458738017-200] [23/03/2016 at 13:00:00]"/>
  </r>
  <r>
    <s v="3630811-1458738002-199"/>
    <s v="Spot"/>
    <s v="3630811-1458738002-199"/>
    <n v="0"/>
    <d v="2016-03-31T00:00:00"/>
    <x v="1275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811-1458738002-199] [23/03/2016 at 13:00:00]"/>
  </r>
  <r>
    <s v="3630799-1458737982-224"/>
    <s v="Spot"/>
    <s v="3630799-1458737982-224"/>
    <n v="0"/>
    <d v="2016-03-31T00:00:00"/>
    <x v="1276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0799-1458737982-224] [23/03/2016 at 12:59:00]"/>
  </r>
  <r>
    <s v="3630946-1458738150-56"/>
    <s v="Spot"/>
    <s v="3630946-1458738150-56"/>
    <n v="0"/>
    <d v="2016-03-31T00:00:00"/>
    <x v="1277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0946-1458738150-56] [23/03/2016 at 13:02:00]"/>
  </r>
  <r>
    <s v="3630790-1458737979-119"/>
    <s v="Spot"/>
    <s v="3630790-1458737979-119"/>
    <n v="0"/>
    <d v="2016-03-31T00:00:00"/>
    <x v="1278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0790-1458737979-119] [23/03/2016 at 12:59:00]"/>
  </r>
  <r>
    <s v="3630778-1458737968-187"/>
    <s v="Spot"/>
    <s v="3630778-1458737968-187"/>
    <n v="0"/>
    <d v="2016-03-31T00:00:00"/>
    <x v="1279"/>
    <s v="187"/>
    <s v="SELL"/>
    <n v="9.9506853631637"/>
    <x v="0"/>
    <x v="1"/>
    <n v="631.57000000000005"/>
    <s v="Deal"/>
    <m/>
    <s v="Original Amount [EUR 63.47], Merchant Amount [EUR 63.47], Customer Amount [NOK 631.57], Status [APPROVED], Operation [DIRECT], UUID [3630778-1458737968-187] [23/03/2016 at 12:59:00]"/>
  </r>
  <r>
    <s v="3630772-1458737964-224"/>
    <s v="Spot"/>
    <s v="3630772-1458737964-224"/>
    <n v="0"/>
    <d v="2016-03-31T00:00:00"/>
    <x v="1280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30772-1458737964-224] [23/03/2016 at 12:59:00]"/>
  </r>
  <r>
    <s v="3630787-1458737978-150"/>
    <s v="Spot"/>
    <s v="3630787-1458737978-150"/>
    <n v="0"/>
    <d v="2016-03-31T00:00:00"/>
    <x v="1281"/>
    <s v="150"/>
    <s v="SELL"/>
    <n v="3.3880837359098228"/>
    <x v="0"/>
    <x v="0"/>
    <n v="42.08"/>
    <s v="Deal"/>
    <m/>
    <s v="Original Amount [EUR 12.42], Merchant Amount [EUR 12.42], Customer Amount [TRY 42.08], Status [APPROVED], Operation [3DAUTH], UUID [3630787-1458737978-150] [23/03/2016 at 12:59:00]"/>
  </r>
  <r>
    <s v="3630751-1458737956-224"/>
    <s v="Spot"/>
    <s v="3630751-1458737956-224"/>
    <n v="0"/>
    <d v="2016-03-31T00:00:00"/>
    <x v="1282"/>
    <s v="224"/>
    <s v="SELL"/>
    <n v="132.83260233918131"/>
    <x v="0"/>
    <x v="3"/>
    <n v="1817.15"/>
    <s v="Deal"/>
    <m/>
    <s v="Original Amount [EUR 13.68], Merchant Amount [EUR 13.68], Customer Amount [JPY 1817.15], Status [APPROVED], Operation [DIRECT], UUID [3630751-1458737956-224] [23/03/2016 at 12:59:00]"/>
  </r>
  <r>
    <s v="3630745-1458737953-216"/>
    <s v="Spot"/>
    <s v="3630745-1458737953-216"/>
    <n v="0"/>
    <d v="2016-03-31T00:00:00"/>
    <x v="1283"/>
    <s v="216"/>
    <s v="SELL"/>
    <n v="3.3883183568677793"/>
    <x v="0"/>
    <x v="0"/>
    <n v="52.79"/>
    <s v="Deal"/>
    <m/>
    <s v="Original Amount [EUR 15.58], Merchant Amount [EUR 15.58], Customer Amount [TRY 52.79], Status [WAITING], Operation [3D], UUID [3630745-1458737953-216] [23/03/2016 at 12:59:00]"/>
  </r>
  <r>
    <s v="3630766-1458737964-264"/>
    <s v="Spot"/>
    <s v="3630766-1458737964-264"/>
    <n v="0"/>
    <d v="2016-03-31T00:00:00"/>
    <x v="1284"/>
    <s v="264"/>
    <s v="SELL"/>
    <n v="3.3878666666666666"/>
    <x v="0"/>
    <x v="0"/>
    <n v="508.18"/>
    <s v="Deal"/>
    <m/>
    <s v="Original Amount [EUR 150], Merchant Amount [EUR 150], Customer Amount [TRY 508.18], Status [APPROVED], Operation [3DAUTH], UUID [3630766-1458737964-264] [23/03/2016 at 12:59:00]"/>
  </r>
  <r>
    <s v="3630724-1458737938-107"/>
    <s v="Spot"/>
    <s v="3630724-1458737938-107"/>
    <n v="0"/>
    <d v="2016-03-31T00:00:00"/>
    <x v="1285"/>
    <s v="107"/>
    <s v="SELL"/>
    <n v="3.3879922530664941"/>
    <x v="0"/>
    <x v="0"/>
    <n v="52.48"/>
    <s v="Deal"/>
    <m/>
    <s v="Original Amount [EUR 15.49], Merchant Amount [EUR 15.49], Customer Amount [TRY 52.48], Status [WAITING], Operation [3D], UUID [3630724-1458737938-107] [23/03/2016 at 12:58:00]"/>
  </r>
  <r>
    <s v="3630760-1458737962-203"/>
    <s v="Spot"/>
    <s v="3630760-1458737962-203"/>
    <n v="0"/>
    <d v="2016-03-31T00:00:00"/>
    <x v="1286"/>
    <s v="203"/>
    <s v="SELL"/>
    <n v="3.3880645161290324"/>
    <x v="0"/>
    <x v="0"/>
    <n v="105.03"/>
    <s v="Deal"/>
    <m/>
    <s v="Original Amount [EUR 31], Merchant Amount [EUR 31], Customer Amount [TRY 105.03], Status [APPROVED], Operation [3DAUTH], UUID [3630760-1458737962-203] [23/03/2016 at 12:59:00]"/>
  </r>
  <r>
    <s v="3630775-1458737966-101"/>
    <s v="Spot"/>
    <s v="3630775-1458737966-101"/>
    <n v="0"/>
    <d v="2016-03-31T00:00:00"/>
    <x v="1287"/>
    <s v="101"/>
    <s v="SELL"/>
    <n v="3.3879377431906614"/>
    <x v="0"/>
    <x v="0"/>
    <n v="87.07"/>
    <s v="Deal"/>
    <m/>
    <s v="Original Amount [EUR 25.7], Merchant Amount [EUR 25.7], Customer Amount [TRY 87.07], Status [APPROVED], Operation [3DAUTH], UUID [3630775-1458737966-101] [23/03/2016 at 12:59:00]"/>
  </r>
  <r>
    <s v="3630709-1458737923-224"/>
    <s v="Spot"/>
    <s v="3630709-1458737923-224"/>
    <n v="0"/>
    <d v="2016-03-31T00:00:00"/>
    <x v="1288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709-1458737923-224] [23/03/2016 at 12:58:00]"/>
  </r>
  <r>
    <s v="3630700-1458737909-224"/>
    <s v="Spot"/>
    <s v="3630700-1458737909-224"/>
    <n v="0"/>
    <d v="2016-03-31T00:00:00"/>
    <x v="1289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0700-1458737909-224] [23/03/2016 at 12:58:00]"/>
  </r>
  <r>
    <s v="3630697-1458737907-216"/>
    <s v="Spot"/>
    <s v="3630697-1458737907-216"/>
    <n v="0"/>
    <d v="2016-03-31T00:00:00"/>
    <x v="1290"/>
    <s v="216"/>
    <s v="SELL"/>
    <n v="3.3883183568677793"/>
    <x v="0"/>
    <x v="0"/>
    <n v="52.79"/>
    <s v="Deal"/>
    <m/>
    <s v="Original Amount [EUR 15.58], Merchant Amount [EUR 15.58], Customer Amount [TRY 52.79], Status [WAITING], Operation [3D], UUID [3630697-1458737907-216] [23/03/2016 at 12:58:00]"/>
  </r>
  <r>
    <s v="3630703-1458737917-145"/>
    <s v="Spot"/>
    <s v="3630703-1458737917-145"/>
    <n v="0"/>
    <d v="2016-03-31T00:00:00"/>
    <x v="1291"/>
    <s v="145"/>
    <s v="SELL"/>
    <n v="1.5431496830814235"/>
    <x v="0"/>
    <x v="2"/>
    <n v="31.65"/>
    <s v="Deal"/>
    <m/>
    <s v="Original Amount [EUR 20.51], Merchant Amount [EUR 20.51], Customer Amount [CAD 31.65], Status [APPROVED], Operation [3DAUTH], UUID [3630703-1458737917-145] [23/03/2016 at 12:58:00]"/>
  </r>
  <r>
    <s v="3630712-1458737927-216"/>
    <s v="Spot"/>
    <s v="3630712-1458737927-216"/>
    <n v="0"/>
    <d v="2016-03-31T00:00:00"/>
    <x v="1292"/>
    <s v="216"/>
    <s v="SELL"/>
    <n v="3.3883959044368601"/>
    <x v="0"/>
    <x v="0"/>
    <n v="49.64"/>
    <s v="Deal"/>
    <m/>
    <s v="Original Amount [EUR 14.65], Merchant Amount [EUR 14.65], Customer Amount [TRY 49.64], Status [APPROVED], Operation [3DAUTH], UUID [3630712-1458737927-216] [23/03/2016 at 12:58:00]"/>
  </r>
  <r>
    <s v="3630676-1458737892-199"/>
    <s v="Spot"/>
    <s v="3630676-1458737892-199"/>
    <n v="0"/>
    <d v="2016-03-31T00:00:00"/>
    <x v="1293"/>
    <s v="199"/>
    <s v="SELL"/>
    <n v="9.9505524053929104"/>
    <x v="0"/>
    <x v="1"/>
    <n v="10546.69"/>
    <s v="Deal"/>
    <m/>
    <s v="Original Amount [EUR 1059.91], Merchant Amount [EUR 1059.91], Customer Amount [NOK 10546.69], Status [APPROVED], Operation [DIRECT], UUID [3630676-1458737892-199] [23/03/2016 at 12:58:00]"/>
  </r>
  <r>
    <s v="3630673-1458737892-200"/>
    <s v="Spot"/>
    <s v="3630673-1458737892-200"/>
    <n v="0"/>
    <d v="2016-03-31T00:00:00"/>
    <x v="1294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0673-1458737892-200] [23/03/2016 at 12:58:00]"/>
  </r>
  <r>
    <s v="3630667-1458737875-199"/>
    <s v="Spot"/>
    <s v="3630667-1458737875-199"/>
    <n v="0"/>
    <d v="2016-03-31T00:00:00"/>
    <x v="1295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0667-1458737875-199] [23/03/2016 at 12:57:00]"/>
  </r>
  <r>
    <s v="3630658-1458737867-199"/>
    <s v="Spot"/>
    <s v="3630658-1458737867-199"/>
    <n v="0"/>
    <d v="2016-03-31T00:00:00"/>
    <x v="1296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0658-1458737867-199] [23/03/2016 at 12:57:00]"/>
  </r>
  <r>
    <s v="3630652-1458737864-119"/>
    <s v="Spot"/>
    <s v="3630652-1458737864-119"/>
    <n v="0"/>
    <d v="2016-03-31T00:00:00"/>
    <x v="129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0652-1458737864-119] [23/03/2016 at 12:57:00]"/>
  </r>
  <r>
    <s v="3630646-1458737857-119"/>
    <s v="Spot"/>
    <s v="3630646-1458737857-119"/>
    <n v="0"/>
    <d v="2016-03-31T00:00:00"/>
    <x v="1298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0646-1458737857-119] [23/03/2016 at 12:57:00]"/>
  </r>
  <r>
    <s v="3630670-1458737878-216"/>
    <s v="Spot"/>
    <s v="3630670-1458737878-216"/>
    <n v="0"/>
    <d v="2016-03-31T00:00:00"/>
    <x v="1299"/>
    <s v="216"/>
    <s v="SELL"/>
    <n v="3.3878787878787877"/>
    <x v="0"/>
    <x v="0"/>
    <n v="190.06"/>
    <s v="Deal"/>
    <m/>
    <s v="Original Amount [EUR 56.1], Merchant Amount [EUR 56.1], Customer Amount [TRY 190.06], Status [APPROVED], Operation [3DAUTH], UUID [3630670-1458737878-216] [23/03/2016 at 12:57:00]"/>
  </r>
  <r>
    <s v="3630688-1458737902-119"/>
    <s v="Spot"/>
    <s v="3630688-1458737902-119"/>
    <n v="0"/>
    <d v="2016-03-31T00:00:00"/>
    <x v="1300"/>
    <s v="119"/>
    <s v="SELL"/>
    <n v="9.9510000000000005"/>
    <x v="0"/>
    <x v="1"/>
    <n v="99.51"/>
    <s v="Deal"/>
    <m/>
    <s v="Original Amount [EUR 10], Merchant Amount [EUR 10], Customer Amount [NOK 99.51], Status [APPROVED], Operation [3DAUTH], UUID [3630688-1458737902-119] [23/03/2016 at 12:58:00]"/>
  </r>
  <r>
    <s v="3630631-1458737840-119"/>
    <s v="Spot"/>
    <s v="3630631-1458737840-119"/>
    <n v="0"/>
    <d v="2016-03-31T00:00:00"/>
    <x v="1301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0631-1458737840-119] [23/03/2016 at 12:57:00]"/>
  </r>
  <r>
    <s v="3630619-1458737813-126"/>
    <s v="Spot"/>
    <s v="3630619-1458737813-126"/>
    <n v="0"/>
    <d v="2016-03-31T00:00:00"/>
    <x v="1302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0619-1458737813-126] [23/03/2016 at 12:56:00]"/>
  </r>
  <r>
    <s v="3630616-1458737809-187"/>
    <s v="Spot"/>
    <s v="3630616-1458737809-187"/>
    <n v="0"/>
    <d v="2016-03-31T00:00:00"/>
    <x v="1303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30616-1458737809-187] [23/03/2016 at 12:56:00]"/>
  </r>
  <r>
    <s v="3630604-1458737801-187"/>
    <s v="Spot"/>
    <s v="3630604-1458737801-187"/>
    <n v="0"/>
    <d v="2016-03-31T00:00:00"/>
    <x v="1304"/>
    <s v="187"/>
    <s v="SELL"/>
    <n v="9.9664444444444449"/>
    <x v="0"/>
    <x v="1"/>
    <n v="448.49"/>
    <s v="Deal"/>
    <m/>
    <s v="Original Amount [EUR 45], Merchant Amount [EUR 45], Customer Amount [NOK 448.49], Status [APPROVED], Operation [DIRECT], UUID [3630604-1458737801-187] [23/03/2016 at 12:56:00]"/>
  </r>
  <r>
    <s v="3630601-1458737801-126"/>
    <s v="Spot"/>
    <s v="3630601-1458737801-126"/>
    <n v="0"/>
    <d v="2016-03-31T00:00:00"/>
    <x v="1305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0601-1458737801-126] [23/03/2016 at 12:56:00]"/>
  </r>
  <r>
    <s v="3630598-1458737799-216"/>
    <s v="Spot"/>
    <s v="3630598-1458737799-216"/>
    <n v="0"/>
    <d v="2016-03-31T00:00:00"/>
    <x v="1306"/>
    <s v="216"/>
    <s v="SELL"/>
    <n v="3.3966623876765083"/>
    <x v="0"/>
    <x v="0"/>
    <n v="52.92"/>
    <s v="Deal"/>
    <m/>
    <s v="Original Amount [EUR 15.58], Merchant Amount [EUR 15.58], Customer Amount [TRY 52.92], Status [WAITING], Operation [3D], UUID [3630598-1458737799-216] [23/03/2016 at 12:56:00]"/>
  </r>
  <r>
    <s v="3630595-1458737795-224"/>
    <s v="Spot"/>
    <s v="3630595-1458737795-224"/>
    <n v="0"/>
    <d v="2016-03-31T00:00:00"/>
    <x v="1307"/>
    <s v="224"/>
    <s v="SELL"/>
    <n v="133.03764963903865"/>
    <x v="0"/>
    <x v="3"/>
    <n v="14558.31"/>
    <s v="Deal"/>
    <m/>
    <s v="Original Amount [EUR 109.43], Merchant Amount [EUR 109.43], Customer Amount [JPY 14558.31], Status [APPROVED], Operation [DIRECT], UUID [3630595-1458737795-224] [23/03/2016 at 12:56:00]"/>
  </r>
  <r>
    <s v="3630592-1458737795-187"/>
    <s v="Spot"/>
    <s v="3630592-1458737795-187"/>
    <n v="0"/>
    <d v="2016-03-31T00:00:00"/>
    <x v="1308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0592-1458737795-187] [23/03/2016 at 12:56:00]"/>
  </r>
  <r>
    <s v="3630625-1458737822-216"/>
    <s v="Spot"/>
    <s v="3630625-1458737822-216"/>
    <n v="0"/>
    <d v="2016-03-31T00:00:00"/>
    <x v="1309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625-1458737822-216] [23/03/2016 at 12:57:00]"/>
  </r>
  <r>
    <s v="3630583-1458737789-199"/>
    <s v="Spot"/>
    <s v="3630583-1458737789-199"/>
    <n v="0"/>
    <d v="2016-03-31T00:00:00"/>
    <x v="1310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583-1458737789-199] [23/03/2016 at 12:56:00]"/>
  </r>
  <r>
    <s v="3630610-1458737804-216"/>
    <s v="Spot"/>
    <s v="3630610-1458737804-216"/>
    <n v="0"/>
    <d v="2016-03-31T00:00:00"/>
    <x v="1311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610-1458737804-216] [23/03/2016 at 12:56:00]"/>
  </r>
  <r>
    <s v="3630568-1458737768-224"/>
    <s v="Spot"/>
    <s v="3630568-1458737768-224"/>
    <n v="0"/>
    <d v="2016-03-31T00:00:00"/>
    <x v="1312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0568-1458737768-224] [23/03/2016 at 12:56:00]"/>
  </r>
  <r>
    <s v="3630553-1458737743-199"/>
    <s v="Spot"/>
    <s v="3630553-1458737743-199"/>
    <n v="0"/>
    <d v="2016-03-31T00:00:00"/>
    <x v="1313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553-1458737743-199] [23/03/2016 at 12:55:00]"/>
  </r>
  <r>
    <s v="3630562-1458737764-107"/>
    <s v="Spot"/>
    <s v="3630562-1458737764-107"/>
    <n v="0"/>
    <d v="2016-03-31T00:00:00"/>
    <x v="1314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30562-1458737764-107] [23/03/2016 at 12:56:00]"/>
  </r>
  <r>
    <s v="3630574-1458737779-203"/>
    <s v="Spot"/>
    <s v="3630574-1458737779-203"/>
    <n v="0"/>
    <d v="2016-03-31T00:00:00"/>
    <x v="1315"/>
    <s v="203"/>
    <s v="SELL"/>
    <n v="3.3967741935483868"/>
    <x v="0"/>
    <x v="0"/>
    <n v="73.709999999999994"/>
    <s v="Deal"/>
    <m/>
    <s v="Original Amount [EUR 21.7], Merchant Amount [EUR 21.7], Customer Amount [TRY 73.71], Status [APPROVED], Operation [3DAUTH], UUID [3630574-1458737779-203] [23/03/2016 at 12:56:00]"/>
  </r>
  <r>
    <s v="3630529-1458737709-216"/>
    <s v="Spot"/>
    <s v="3630529-1458737709-216"/>
    <n v="0"/>
    <d v="2016-03-31T00:00:00"/>
    <x v="1316"/>
    <s v="216"/>
    <s v="SELL"/>
    <n v="3.3965775401069518"/>
    <x v="0"/>
    <x v="0"/>
    <n v="158.79"/>
    <s v="Deal"/>
    <m/>
    <s v="Original Amount [EUR 46.75], Merchant Amount [EUR 46.75], Customer Amount [TRY 158.79], Status [WAITING], Operation [3D], UUID [3630529-1458737709-216] [23/03/2016 at 12:55:00]"/>
  </r>
  <r>
    <s v="3630523-1458737683-172"/>
    <s v="Spot"/>
    <s v="3630523-1458737683-172"/>
    <n v="0"/>
    <d v="2016-03-31T00:00:00"/>
    <x v="1317"/>
    <s v="172"/>
    <s v="SELL"/>
    <n v="9.9664577957980089"/>
    <x v="0"/>
    <x v="1"/>
    <n v="270.39"/>
    <s v="Deal"/>
    <m/>
    <s v="Original Amount [EUR 27.13], Merchant Amount [EUR 27.13], Customer Amount [NOK 270.39], Status [APPROVED], Operation [3DAUTH], UUID [3630523-1458737683-172] [23/03/2016 at 12:54:00]"/>
  </r>
  <r>
    <s v="3630520-1458737675-145"/>
    <s v="Spot"/>
    <s v="3630520-1458737675-145"/>
    <n v="0"/>
    <d v="2016-03-31T00:00:00"/>
    <x v="1318"/>
    <s v="145"/>
    <s v="SELL"/>
    <n v="1.5441248171623598"/>
    <x v="0"/>
    <x v="2"/>
    <n v="31.67"/>
    <s v="Deal"/>
    <m/>
    <s v="Original Amount [EUR 20.51], Merchant Amount [EUR 20.51], Customer Amount [CAD 31.67], Status [APPROVED], Operation [3DAUTH], UUID [3630520-1458737675-145] [23/03/2016 at 12:54:00]"/>
  </r>
  <r>
    <s v="3630496-1458737653-224"/>
    <s v="Spot"/>
    <s v="3630496-1458737653-224"/>
    <n v="0"/>
    <d v="2016-03-31T00:00:00"/>
    <x v="1319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0496-1458737653-224] [23/03/2016 at 12:54:00]"/>
  </r>
  <r>
    <s v="3630493-1458737645-224"/>
    <s v="Spot"/>
    <s v="3630493-1458737645-224"/>
    <n v="0"/>
    <d v="2016-03-31T00:00:00"/>
    <x v="1320"/>
    <s v="224"/>
    <s v="SELL"/>
    <n v="133.03771929824563"/>
    <x v="0"/>
    <x v="3"/>
    <n v="6066.52"/>
    <s v="Deal"/>
    <m/>
    <s v="Original Amount [EUR 45.6], Merchant Amount [EUR 45.6], Customer Amount [JPY 6066.52], Status [APPROVED], Operation [DIRECT], UUID [3630493-1458737645-224] [23/03/2016 at 12:54:00]"/>
  </r>
  <r>
    <s v="3630541-1458737730-200"/>
    <s v="Spot"/>
    <s v="3630541-1458737730-200"/>
    <n v="0"/>
    <d v="2016-03-31T00:00:00"/>
    <x v="1321"/>
    <s v="200"/>
    <s v="SELL"/>
    <n v="9.9548151528982203"/>
    <x v="0"/>
    <x v="1"/>
    <n v="218.11"/>
    <s v="Deal"/>
    <m/>
    <s v="Original Amount [EUR 21.91], Merchant Amount [EUR 21.91], Customer Amount [NOK 218.11], Status [APPROVED], Operation [3DAUTH], UUID [3630541-1458737730-200] [23/03/2016 at 12:55:00]"/>
  </r>
  <r>
    <s v="3630484-1458737640-199"/>
    <s v="Spot"/>
    <s v="3630484-1458737640-199"/>
    <n v="0"/>
    <d v="2016-03-31T00:00:00"/>
    <x v="1322"/>
    <s v="199"/>
    <s v="SELL"/>
    <n v="9.9546709618039575"/>
    <x v="0"/>
    <x v="1"/>
    <n v="432.63"/>
    <s v="Deal"/>
    <m/>
    <s v="Original Amount [EUR 43.46], Merchant Amount [EUR 43.46], Customer Amount [NOK 432.63], Status [APPROVED], Operation [DIRECT], UUID [3630484-1458737640-199] [23/03/2016 at 12:54:00]"/>
  </r>
  <r>
    <s v="3630502-1458737657-101"/>
    <s v="Spot"/>
    <s v="3630502-1458737657-101"/>
    <n v="0"/>
    <d v="2016-03-31T00:00:00"/>
    <x v="1323"/>
    <s v="101"/>
    <s v="SELL"/>
    <n v="3.3966038406827881"/>
    <x v="0"/>
    <x v="0"/>
    <n v="382.05"/>
    <s v="Deal"/>
    <m/>
    <s v="Original Amount [EUR 112.48], Merchant Amount [EUR 112.48], Customer Amount [TRY 382.05], Status [APPROVED], Operation [3DAUTH], UUID [3630502-1458737657-101] [23/03/2016 at 12:54:00]"/>
  </r>
  <r>
    <s v="3630514-1458737663-101"/>
    <s v="Spot"/>
    <s v="3630514-1458737663-101"/>
    <n v="0"/>
    <d v="2016-03-31T00:00:00"/>
    <x v="1324"/>
    <s v="101"/>
    <s v="SELL"/>
    <n v="3.396613967384539"/>
    <x v="0"/>
    <x v="0"/>
    <n v="272.85000000000002"/>
    <s v="Deal"/>
    <m/>
    <s v="Original Amount [EUR 80.33], Merchant Amount [EUR 80.33], Customer Amount [TRY 272.85], Status [APPROVED], Operation [3DAUTH], UUID [3630514-1458737663-101] [23/03/2016 at 12:54:00]"/>
  </r>
  <r>
    <s v="3630490-1458737642-216"/>
    <s v="Spot"/>
    <s v="3630490-1458737642-216"/>
    <n v="0"/>
    <d v="2016-03-31T00:00:00"/>
    <x v="1325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490-1458737642-216] [23/03/2016 at 12:54:00]"/>
  </r>
  <r>
    <s v="3630463-1458737607-126"/>
    <s v="Spot"/>
    <s v="3630463-1458737607-126"/>
    <n v="0"/>
    <d v="2016-03-31T00:00:00"/>
    <x v="132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30463-1458737607-126] [23/03/2016 at 12:53:00]"/>
  </r>
  <r>
    <s v="3630454-1458737597-264"/>
    <s v="Spot"/>
    <s v="3630454-1458737597-264"/>
    <n v="0"/>
    <d v="2016-03-31T00:00:00"/>
    <x v="1327"/>
    <s v="264"/>
    <s v="SELL"/>
    <n v="3.403225806451613"/>
    <x v="0"/>
    <x v="0"/>
    <n v="21.1"/>
    <s v="Deal"/>
    <m/>
    <s v="Original Amount [TRY 20], Merchant Amount [EUR 6.2], Customer Amount [TRY 21.1], Status [WAITING], Operation [3D], UUID [3630454-1458737597-264] [23/03/2016 at 12:53:00]"/>
  </r>
  <r>
    <s v="3630442-1458737588-56"/>
    <s v="Spot"/>
    <s v="3630442-1458737588-56"/>
    <n v="0"/>
    <d v="2016-03-31T00:00:00"/>
    <x v="1328"/>
    <s v="56"/>
    <s v="SELL"/>
    <n v="3.3967485299204427"/>
    <x v="0"/>
    <x v="0"/>
    <n v="98.2"/>
    <s v="Deal"/>
    <m/>
    <s v="Original Amount [EUR 28.91], Merchant Amount [EUR 28.91], Customer Amount [TRY 98.2], Status [WAITING], Operation [3D], UUID [3630442-1458737588-56] [23/03/2016 at 12:53:00]"/>
  </r>
  <r>
    <s v="3630472-1458737614-216"/>
    <s v="Spot"/>
    <s v="3630472-1458737614-216"/>
    <n v="0"/>
    <d v="2016-03-31T00:00:00"/>
    <x v="1329"/>
    <s v="216"/>
    <s v="SELL"/>
    <n v="3.3968835930339139"/>
    <x v="0"/>
    <x v="0"/>
    <n v="37.06"/>
    <s v="Deal"/>
    <m/>
    <s v="Original Amount [EUR 10.91], Merchant Amount [EUR 10.91], Customer Amount [TRY 37.06], Status [APPROVED], Operation [3DAUTH], UUID [3630472-1458737614-216] [23/03/2016 at 12:53:00]"/>
  </r>
  <r>
    <s v="3630436-1458737579-224"/>
    <s v="Spot"/>
    <s v="3630436-1458737579-224"/>
    <n v="0"/>
    <d v="2016-03-31T00:00:00"/>
    <x v="1330"/>
    <s v="224"/>
    <s v="SELL"/>
    <n v="9.9547239547239545"/>
    <x v="0"/>
    <x v="1"/>
    <n v="430.94"/>
    <s v="Deal"/>
    <m/>
    <s v="Original Amount [EUR 43.29], Merchant Amount [EUR 43.29], Customer Amount [NOK 430.94], Status [APPROVED], Operation [DIRECT], UUID [3630436-1458737579-224] [23/03/2016 at 12:52:00]"/>
  </r>
  <r>
    <s v="3630427-1458737575-199"/>
    <s v="Spot"/>
    <s v="3630427-1458737575-199"/>
    <n v="0"/>
    <d v="2016-03-31T00:00:00"/>
    <x v="1331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0427-1458737575-199] [23/03/2016 at 12:52:00]"/>
  </r>
  <r>
    <s v="3630460-1458737601-56"/>
    <s v="Spot"/>
    <s v="3630460-1458737601-56"/>
    <n v="0"/>
    <d v="2016-03-31T00:00:00"/>
    <x v="1332"/>
    <s v="56"/>
    <s v="SELL"/>
    <n v="3.3968253968253967"/>
    <x v="0"/>
    <x v="0"/>
    <n v="109.14"/>
    <s v="Deal"/>
    <m/>
    <s v="Original Amount [EUR 32.13], Merchant Amount [EUR 32.13], Customer Amount [TRY 109.14], Status [APPROVED], Operation [3DAUTH], UUID [3630460-1458737601-56] [23/03/2016 at 12:53:00]"/>
  </r>
  <r>
    <s v="3630415-1458737563-241"/>
    <s v="Spot"/>
    <s v="3630415-1458737563-241"/>
    <n v="0"/>
    <d v="2016-03-31T00:00:00"/>
    <x v="1333"/>
    <s v="241"/>
    <s v="SELL"/>
    <n v="9.9545714285714286"/>
    <x v="0"/>
    <x v="1"/>
    <n v="348.41"/>
    <s v="Deal"/>
    <m/>
    <s v="Original Amount [EUR 35], Merchant Amount [EUR 35], Customer Amount [NOK 348.41], Status [APPROVED], Operation [DIRECT], UUID [3630415-1458737563-241] [23/03/2016 at 12:52:00]"/>
  </r>
  <r>
    <s v="3630409-1458737558-187"/>
    <s v="Spot"/>
    <s v="3630409-1458737558-187"/>
    <n v="0"/>
    <d v="2016-03-31T00:00:00"/>
    <x v="1334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0409-1458737558-187] [23/03/2016 at 12:52:00]"/>
  </r>
  <r>
    <s v="3630394-1458737549-261"/>
    <s v="Spot"/>
    <s v="3630394-1458737549-261"/>
    <n v="0"/>
    <d v="2016-03-31T00:00:00"/>
    <x v="1335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0394-1458737549-261] [23/03/2016 at 12:52:00]"/>
  </r>
  <r>
    <s v="3630421-1458737574-107"/>
    <s v="Spot"/>
    <s v="3630421-1458737574-107"/>
    <n v="0"/>
    <d v="2016-03-31T00:00:00"/>
    <x v="1336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30421-1458737574-107] [23/03/2016 at 12:52:00]"/>
  </r>
  <r>
    <s v="3630376-1458737526-119"/>
    <s v="Spot"/>
    <s v="3630376-1458737526-119"/>
    <n v="0"/>
    <d v="2016-03-31T00:00:00"/>
    <x v="1337"/>
    <s v="119"/>
    <s v="SELL"/>
    <n v="9.954600000000001"/>
    <x v="0"/>
    <x v="1"/>
    <n v="1493.19"/>
    <s v="Deal"/>
    <m/>
    <s v="Original Amount [EUR 150], Merchant Amount [EUR 150], Customer Amount [NOK 1493.19], Status [APPROVED], Operation [DIRECT], UUID [3630376-1458737526-119] [23/03/2016 at 12:52:00]"/>
  </r>
  <r>
    <s v="3630400-1458737552-119"/>
    <s v="Spot"/>
    <s v="3630400-1458737552-119"/>
    <n v="0"/>
    <d v="2016-03-31T00:00:00"/>
    <x v="1338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0400-1458737552-119] [23/03/2016 at 12:52:00]"/>
  </r>
  <r>
    <s v="3630397-1458737549-216"/>
    <s v="Spot"/>
    <s v="3630397-1458737549-216"/>
    <n v="0"/>
    <d v="2016-03-31T00:00:00"/>
    <x v="1339"/>
    <s v="216"/>
    <s v="SELL"/>
    <n v="3.3968835930339139"/>
    <x v="0"/>
    <x v="0"/>
    <n v="37.06"/>
    <s v="Deal"/>
    <m/>
    <s v="Original Amount [EUR 10.91], Merchant Amount [EUR 10.91], Customer Amount [TRY 37.06], Status [APPROVED], Operation [3DAUTH], UUID [3630397-1458737549-216] [23/03/2016 at 12:52:00]"/>
  </r>
  <r>
    <s v="3630343-1458737464-125"/>
    <s v="Spot"/>
    <s v="3630343-1458737464-125"/>
    <n v="0"/>
    <d v="2016-03-31T00:00:00"/>
    <x v="1340"/>
    <s v="125"/>
    <s v="SELL"/>
    <n v="1.5558666666666667"/>
    <x v="0"/>
    <x v="5"/>
    <n v="233.38"/>
    <s v="Deal"/>
    <m/>
    <s v="Original Amount [EUR 150], Merchant Amount [EUR 150], Customer Amount [AUD 233.38], Status [APPROVED], Operation [DIRECT], UUID [3630343-1458737464-125] [23/03/2016 at 12:51:00]"/>
  </r>
  <r>
    <s v="3630349-1458737485-107"/>
    <s v="Spot"/>
    <s v="3630349-1458737485-107"/>
    <n v="0"/>
    <d v="2016-03-31T00:00:00"/>
    <x v="1341"/>
    <s v="107"/>
    <s v="SELL"/>
    <n v="3.3919909265398709"/>
    <x v="0"/>
    <x v="0"/>
    <n v="388.79"/>
    <s v="Deal"/>
    <m/>
    <s v="Original Amount [EUR 114.62], Merchant Amount [EUR 114.62], Customer Amount [TRY 388.79], Status [APPROVED], Operation [3DAUTH], UUID [3630349-1458737485-107] [23/03/2016 at 12:51:00]"/>
  </r>
  <r>
    <s v="3630337-1458737455-56"/>
    <s v="Spot"/>
    <s v="3630337-1458737455-56"/>
    <n v="0"/>
    <d v="2016-03-31T00:00:00"/>
    <x v="1342"/>
    <s v="56"/>
    <s v="SELL"/>
    <n v="3.3922018348623855"/>
    <x v="0"/>
    <x v="0"/>
    <n v="103.53"/>
    <s v="Deal"/>
    <m/>
    <s v="Original Amount [EUR 30.52], Merchant Amount [EUR 30.52], Customer Amount [TRY 103.53], Status [WAITING], Operation [3D], UUID [3630337-1458737455-56] [23/03/2016 at 12:50:00]"/>
  </r>
  <r>
    <s v="3630364-1458737515-56"/>
    <s v="Spot"/>
    <s v="3630364-1458737515-56"/>
    <n v="0"/>
    <d v="2016-03-31T00:00:00"/>
    <x v="1343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0364-1458737515-56] [23/03/2016 at 12:51:00]"/>
  </r>
  <r>
    <s v="3630325-1458737431-199"/>
    <s v="Spot"/>
    <s v="3630325-1458737431-199"/>
    <n v="0"/>
    <d v="2016-03-31T00:00:00"/>
    <x v="1344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0325-1458737431-199] [23/03/2016 at 12:50:00]"/>
  </r>
  <r>
    <s v="3630355-1458737509-216"/>
    <s v="Spot"/>
    <s v="3630355-1458737509-216"/>
    <n v="0"/>
    <d v="2016-03-31T00:00:00"/>
    <x v="1345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30355-1458737509-216] [23/03/2016 at 12:51:00]"/>
  </r>
  <r>
    <s v="3630319-1458737428-216"/>
    <s v="Spot"/>
    <s v="3630319-1458737428-216"/>
    <n v="0"/>
    <d v="2016-03-31T00:00:00"/>
    <x v="1346"/>
    <s v="216"/>
    <s v="SELL"/>
    <n v="3.3923006416131987"/>
    <x v="0"/>
    <x v="0"/>
    <n v="37.01"/>
    <s v="Deal"/>
    <m/>
    <s v="Original Amount [EUR 10.91], Merchant Amount [EUR 10.91], Customer Amount [TRY 37.01], Status [WAITING], Operation [3D], UUID [3630319-1458737428-216] [23/03/2016 at 12:50:00]"/>
  </r>
  <r>
    <s v="3630301-1458737404-216"/>
    <s v="Spot"/>
    <s v="3630301-1458737404-216"/>
    <n v="0"/>
    <d v="2016-03-31T00:00:00"/>
    <x v="1347"/>
    <s v="216"/>
    <s v="SELL"/>
    <n v="3.3923006416131987"/>
    <x v="0"/>
    <x v="0"/>
    <n v="37.01"/>
    <s v="Deal"/>
    <m/>
    <s v="Original Amount [EUR 10.91], Merchant Amount [EUR 10.91], Customer Amount [TRY 37.01], Status [WAITING], Operation [3D], UUID [3630301-1458737404-216] [23/03/2016 at 12:50:00]"/>
  </r>
  <r>
    <s v="3630313-1458737420-101"/>
    <s v="Spot"/>
    <s v="3630313-1458737420-101"/>
    <n v="0"/>
    <d v="2016-03-31T00:00:00"/>
    <x v="1348"/>
    <s v="101"/>
    <s v="SELL"/>
    <n v="3.3919564306661081"/>
    <x v="0"/>
    <x v="0"/>
    <n v="809.66"/>
    <s v="Deal"/>
    <m/>
    <s v="Original Amount [EUR 238.7], Merchant Amount [EUR 238.7], Customer Amount [TRY 809.66], Status [APPROVED], Operation [3DAUTH], UUID [3630313-1458737420-101] [23/03/2016 at 12:50:00]"/>
  </r>
  <r>
    <s v="3630289-1458737390-187"/>
    <s v="Spot"/>
    <s v="3630289-1458737390-187"/>
    <n v="0"/>
    <d v="2016-03-31T00:00:00"/>
    <x v="1349"/>
    <s v="187"/>
    <s v="SELL"/>
    <n v="9.9663473657675823"/>
    <x v="0"/>
    <x v="1"/>
    <n v="790.73"/>
    <s v="Deal"/>
    <m/>
    <s v="Original Amount [EUR 79.34], Merchant Amount [EUR 79.34], Customer Amount [NOK 790.73], Status [APPROVED], Operation [DIRECT], UUID [3630289-1458737390-187] [23/03/2016 at 12:49:00]"/>
  </r>
  <r>
    <s v="3630286-1458737389-126"/>
    <s v="Spot"/>
    <s v="3630286-1458737389-126"/>
    <n v="0"/>
    <d v="2016-03-31T00:00:00"/>
    <x v="1350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0286-1458737389-126] [23/03/2016 at 12:49:00]"/>
  </r>
  <r>
    <s v="3630283-1458737388-224"/>
    <s v="Spot"/>
    <s v="3630283-1458737388-224"/>
    <n v="0"/>
    <d v="2016-03-31T00:00:00"/>
    <x v="1351"/>
    <s v="224"/>
    <s v="SELL"/>
    <n v="133.03777723616867"/>
    <x v="0"/>
    <x v="3"/>
    <n v="5458.54"/>
    <s v="Deal"/>
    <m/>
    <s v="Original Amount [EUR 41.03], Merchant Amount [EUR 41.03], Customer Amount [JPY 5458.54], Status [APPROVED], Operation [DIRECT], UUID [3630283-1458737388-224] [23/03/2016 at 12:49:00]"/>
  </r>
  <r>
    <s v="3630280-1458737382-187"/>
    <s v="Spot"/>
    <s v="3630280-1458737382-187"/>
    <n v="0"/>
    <d v="2016-03-31T00:00:00"/>
    <x v="1352"/>
    <s v="187"/>
    <s v="SELL"/>
    <n v="9.966284345853289"/>
    <x v="0"/>
    <x v="1"/>
    <n v="3162.9"/>
    <s v="Deal"/>
    <m/>
    <s v="Original Amount [EUR 317.36], Merchant Amount [EUR 317.36], Customer Amount [NOK 3162.9], Status [APPROVED], Operation [DIRECT], UUID [3630280-1458737382-187] [23/03/2016 at 12:49:00]"/>
  </r>
  <r>
    <s v="3630310-1458737420-203"/>
    <s v="Spot"/>
    <s v="3630310-1458737420-203"/>
    <n v="0"/>
    <d v="2016-03-31T00:00:00"/>
    <x v="1353"/>
    <s v="203"/>
    <s v="SELL"/>
    <n v="3.3919354838709679"/>
    <x v="0"/>
    <x v="0"/>
    <n v="105.15"/>
    <s v="Deal"/>
    <m/>
    <s v="Original Amount [EUR 31], Merchant Amount [EUR 31], Customer Amount [TRY 105.15], Status [APPROVED], Operation [3DAUTH], UUID [3630310-1458737420-203] [23/03/2016 at 12:50:00]"/>
  </r>
  <r>
    <s v="3630268-1458737372-199"/>
    <s v="Spot"/>
    <s v="3630268-1458737372-199"/>
    <n v="0"/>
    <d v="2016-03-31T00:00:00"/>
    <x v="1354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268-1458737372-199] [23/03/2016 at 12:49:00]"/>
  </r>
  <r>
    <s v="3630298-1458737401-216"/>
    <s v="Spot"/>
    <s v="3630298-1458737401-216"/>
    <n v="0"/>
    <d v="2016-03-31T00:00:00"/>
    <x v="1355"/>
    <s v="216"/>
    <s v="SELL"/>
    <n v="3.3920436316971445"/>
    <x v="0"/>
    <x v="0"/>
    <n v="105.73"/>
    <s v="Deal"/>
    <m/>
    <s v="Original Amount [EUR 31.17], Merchant Amount [EUR 31.17], Customer Amount [TRY 105.73], Status [APPROVED], Operation [3DAUTH], UUID [3630298-1458737401-216] [23/03/2016 at 12:50:00]"/>
  </r>
  <r>
    <s v="3630262-1458737369-224"/>
    <s v="Spot"/>
    <s v="3630262-1458737369-224"/>
    <n v="0"/>
    <d v="2016-03-31T00:00:00"/>
    <x v="1356"/>
    <s v="224"/>
    <s v="SELL"/>
    <n v="9.9662739662739668"/>
    <x v="0"/>
    <x v="1"/>
    <n v="431.44"/>
    <s v="Deal"/>
    <m/>
    <s v="Original Amount [EUR 43.29], Merchant Amount [EUR 43.29], Customer Amount [NOK 431.44], Status [APPROVED], Operation [DIRECT], UUID [3630262-1458737369-224] [23/03/2016 at 12:49:00]"/>
  </r>
  <r>
    <s v="3630253-1458737364-199"/>
    <s v="Spot"/>
    <s v="3630253-1458737364-199"/>
    <n v="0"/>
    <d v="2016-03-31T00:00:00"/>
    <x v="1357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0253-1458737364-199] [23/03/2016 at 12:49:00]"/>
  </r>
  <r>
    <s v="3630274-1458737379-107"/>
    <s v="Spot"/>
    <s v="3630274-1458737379-107"/>
    <n v="0"/>
    <d v="2016-03-31T00:00:00"/>
    <x v="1358"/>
    <s v="107"/>
    <s v="SELL"/>
    <n v="3.3923959827833574"/>
    <x v="0"/>
    <x v="0"/>
    <n v="47.29"/>
    <s v="Deal"/>
    <m/>
    <s v="Original Amount [EUR 13.94], Merchant Amount [EUR 13.94], Customer Amount [TRY 47.29], Status [APPROVED], Operation [3DAUTH], UUID [3630274-1458737379-107] [23/03/2016 at 12:49:00]"/>
  </r>
  <r>
    <s v="3630229-1458737325-119"/>
    <s v="Spot"/>
    <s v="3630229-1458737325-119"/>
    <n v="0"/>
    <d v="2016-03-31T00:00:00"/>
    <x v="135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0229-1458737325-119] [23/03/2016 at 12:48:00]"/>
  </r>
  <r>
    <s v="3630235-1458737331-107"/>
    <s v="Spot"/>
    <s v="3630235-1458737331-107"/>
    <n v="0"/>
    <d v="2016-03-31T00:00:00"/>
    <x v="1360"/>
    <s v="107"/>
    <s v="SELL"/>
    <n v="3.3923959827833574"/>
    <x v="0"/>
    <x v="0"/>
    <n v="47.29"/>
    <s v="Deal"/>
    <m/>
    <s v="Original Amount [EUR 13.94], Merchant Amount [EUR 13.94], Customer Amount [TRY 47.29], Status [APPROVED], Operation [3DAUTH], UUID [3630235-1458737331-107] [23/03/2016 at 12:48:00]"/>
  </r>
  <r>
    <s v="3630238-1458737338-56"/>
    <s v="Spot"/>
    <s v="3630238-1458737338-56"/>
    <n v="0"/>
    <d v="2016-03-31T00:00:00"/>
    <x v="1361"/>
    <s v="56"/>
    <s v="SELL"/>
    <n v="3.3919717871590085"/>
    <x v="0"/>
    <x v="0"/>
    <n v="327.02"/>
    <s v="Deal"/>
    <m/>
    <s v="Original Amount [EUR 96.41], Merchant Amount [EUR 96.41], Customer Amount [TRY 327.02], Status [APPROVED], Operation [3DAUTH], UUID [3630238-1458737338-56] [23/03/2016 at 12:48:00]"/>
  </r>
  <r>
    <s v="3630202-1458737285-119"/>
    <s v="Spot"/>
    <s v="3630202-1458737285-119"/>
    <n v="0"/>
    <d v="2016-03-31T00:00:00"/>
    <x v="1362"/>
    <s v="119"/>
    <s v="SELL"/>
    <n v="9.966333333333333"/>
    <x v="0"/>
    <x v="1"/>
    <n v="1494.95"/>
    <s v="Deal"/>
    <m/>
    <s v="Original Amount [EUR 150], Merchant Amount [EUR 150], Customer Amount [NOK 1494.95], Status [APPROVED], Operation [DIRECT], UUID [3630202-1458737285-119] [23/03/2016 at 12:48:00]"/>
  </r>
  <r>
    <s v="3630241-1458737351-107"/>
    <s v="Spot"/>
    <s v="3630241-1458737351-107"/>
    <n v="0"/>
    <d v="2016-03-31T00:00:00"/>
    <x v="1363"/>
    <s v="107"/>
    <s v="SELL"/>
    <n v="3.396634615384615"/>
    <x v="0"/>
    <x v="0"/>
    <n v="98.91"/>
    <s v="Deal"/>
    <m/>
    <s v="Original Amount [EUR 29.12], Merchant Amount [EUR 29.12], Customer Amount [TRY 98.91], Status [APPROVED], Operation [3DAUTH], UUID [3630241-1458737351-107] [23/03/2016 at 12:49:00]"/>
  </r>
  <r>
    <s v="3630187-1458737263-200"/>
    <s v="Spot"/>
    <s v="3630187-1458737263-200"/>
    <n v="0"/>
    <d v="2016-03-31T00:00:00"/>
    <x v="1364"/>
    <s v="200"/>
    <s v="SELL"/>
    <n v="9.9662996532635812"/>
    <x v="0"/>
    <x v="1"/>
    <n v="1638.36"/>
    <s v="Deal"/>
    <m/>
    <s v="Original Amount [EUR 164.39], Merchant Amount [EUR 164.39], Customer Amount [NOK 1638.36], Status [APPROVED], Operation [STORED], UUID [3630187-1458737263-200] [23/03/2016 at 12:47:00]"/>
  </r>
  <r>
    <s v="3630181-1458737258-261"/>
    <s v="Spot"/>
    <s v="3630181-1458737258-261"/>
    <n v="0"/>
    <d v="2016-03-31T00:00:00"/>
    <x v="1365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0181-1458737258-261] [23/03/2016 at 12:47:00]"/>
  </r>
  <r>
    <s v="3630166-1458737226-224"/>
    <s v="Spot"/>
    <s v="3630166-1458737226-224"/>
    <n v="0"/>
    <d v="2016-03-31T00:00:00"/>
    <x v="1366"/>
    <s v="224"/>
    <s v="SELL"/>
    <n v="9.9664998074701572"/>
    <x v="0"/>
    <x v="1"/>
    <n v="258.83"/>
    <s v="Deal"/>
    <m/>
    <s v="Original Amount [EUR 25.97], Merchant Amount [EUR 25.97], Customer Amount [NOK 258.83], Status [APPROVED], Operation [DIRECT], UUID [3630166-1458737226-224] [23/03/2016 at 12:47:00]"/>
  </r>
  <r>
    <s v="3630163-1458737226-224"/>
    <s v="Spot"/>
    <s v="3630163-1458737226-224"/>
    <n v="0"/>
    <d v="2016-03-31T00:00:00"/>
    <x v="1367"/>
    <s v="224"/>
    <s v="SELL"/>
    <n v="133.03550376970529"/>
    <x v="0"/>
    <x v="3"/>
    <n v="9704.94"/>
    <s v="Deal"/>
    <m/>
    <s v="Original Amount [EUR 72.95], Merchant Amount [EUR 72.95], Customer Amount [JPY 9704.94], Status [APPROVED], Operation [DIRECT], UUID [3630163-1458737226-224] [23/03/2016 at 12:47:00]"/>
  </r>
  <r>
    <s v="3630151-1458737220-224"/>
    <s v="Spot"/>
    <s v="3630151-1458737220-224"/>
    <n v="0"/>
    <d v="2016-03-31T00:00:00"/>
    <x v="1368"/>
    <s v="224"/>
    <s v="SELL"/>
    <n v="9.9662691652470183"/>
    <x v="0"/>
    <x v="1"/>
    <n v="3217.61"/>
    <s v="Deal"/>
    <m/>
    <s v="Original Amount [EUR 322.85], Merchant Amount [EUR 322.85], Customer Amount [NOK 3217.61], Status [APPROVED], Operation [DIRECT], UUID [3630151-1458737220-224] [23/03/2016 at 12:47:00]"/>
  </r>
  <r>
    <s v="3630145-1458737211-199"/>
    <s v="Spot"/>
    <s v="3630145-1458737211-199"/>
    <n v="0"/>
    <d v="2016-03-31T00:00:00"/>
    <x v="1369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30145-1458737211-199] [23/03/2016 at 12:46:00]"/>
  </r>
  <r>
    <s v="3630142-1458737210-224"/>
    <s v="Spot"/>
    <s v="3630142-1458737210-224"/>
    <n v="0"/>
    <d v="2016-03-31T00:00:00"/>
    <x v="1370"/>
    <s v="224"/>
    <s v="SELL"/>
    <n v="133.03552631578947"/>
    <x v="0"/>
    <x v="3"/>
    <n v="6066.42"/>
    <s v="Deal"/>
    <m/>
    <s v="Original Amount [EUR 45.6], Merchant Amount [EUR 45.6], Customer Amount [JPY 6066.42], Status [APPROVED], Operation [DIRECT], UUID [3630142-1458737210-224] [23/03/2016 at 12:46:00]"/>
  </r>
  <r>
    <s v="3630193-1458737268-216"/>
    <s v="Spot"/>
    <s v="3630193-1458737268-216"/>
    <n v="0"/>
    <d v="2016-03-31T00:00:00"/>
    <x v="1371"/>
    <s v="216"/>
    <s v="SELL"/>
    <n v="3.3966247433264889"/>
    <x v="0"/>
    <x v="0"/>
    <n v="529.33000000000004"/>
    <s v="Deal"/>
    <m/>
    <s v="Original Amount [EUR 155.84], Merchant Amount [EUR 155.84], Customer Amount [TRY 529.33], Status [APPROVED], Operation [3DAUTH], UUID [3630193-1458737268-216] [23/03/2016 at 12:47:00]"/>
  </r>
  <r>
    <s v="3630121-1458737193-199"/>
    <s v="Spot"/>
    <s v="3630121-1458737193-199"/>
    <n v="0"/>
    <d v="2016-03-31T00:00:00"/>
    <x v="1372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0121-1458737193-199] [23/03/2016 at 12:46:00]"/>
  </r>
  <r>
    <s v="3630118-1458737192-216"/>
    <s v="Spot"/>
    <s v="3630118-1458737192-216"/>
    <n v="0"/>
    <d v="2016-03-31T00:00:00"/>
    <x v="1373"/>
    <s v="216"/>
    <s v="SELL"/>
    <n v="3.3968559512351617"/>
    <x v="0"/>
    <x v="0"/>
    <n v="105.88"/>
    <s v="Deal"/>
    <m/>
    <s v="Original Amount [EUR 31.17], Merchant Amount [EUR 31.17], Customer Amount [TRY 105.88], Status [WAITING], Operation [3D], UUID [3630118-1458737192-216] [23/03/2016 at 12:46:00]"/>
  </r>
  <r>
    <s v="3630109-1458737188-216"/>
    <s v="Spot"/>
    <s v="3630109-1458737188-216"/>
    <n v="0"/>
    <d v="2016-03-31T00:00:00"/>
    <x v="1374"/>
    <s v="216"/>
    <s v="SELL"/>
    <n v="3.3970064148253742"/>
    <x v="0"/>
    <x v="0"/>
    <n v="47.66"/>
    <s v="Deal"/>
    <m/>
    <s v="Original Amount [EUR 14.03], Merchant Amount [EUR 14.03], Customer Amount [TRY 47.66], Status [APPROVED], Operation [3DAUTH], UUID [3630109-1458737188-216] [23/03/2016 at 12:46:00]"/>
  </r>
  <r>
    <s v="3630061-1458737153-224"/>
    <s v="Spot"/>
    <s v="3630061-1458737153-224"/>
    <n v="0"/>
    <d v="2016-03-31T00:00:00"/>
    <x v="1375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30061-1458737153-224] [23/03/2016 at 12:45:00]"/>
  </r>
  <r>
    <s v="3630058-1458737153-119"/>
    <s v="Spot"/>
    <s v="3630058-1458737153-119"/>
    <n v="0"/>
    <d v="2016-03-31T00:00:00"/>
    <x v="1376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0058-1458737153-119] [23/03/2016 at 12:45:00]"/>
  </r>
  <r>
    <s v="3630052-1458737147-261"/>
    <s v="Spot"/>
    <s v="3630052-1458737147-261"/>
    <n v="0"/>
    <d v="2016-03-31T00:00:00"/>
    <x v="1377"/>
    <s v="261"/>
    <s v="SELL"/>
    <n v="9.9663551401869164"/>
    <x v="0"/>
    <x v="1"/>
    <n v="106.64"/>
    <s v="Deal"/>
    <m/>
    <s v="Original Amount [EUR 10.7], Merchant Amount [EUR 10.7], Customer Amount [NOK 106.64], Status [WAITING], Operation [3D], UUID [3630052-1458737147-261] [23/03/2016 at 12:45:00]"/>
  </r>
  <r>
    <s v="3630049-1458737141-224"/>
    <s v="Spot"/>
    <s v="3630049-1458737141-224"/>
    <n v="0"/>
    <d v="2016-03-31T00:00:00"/>
    <x v="1378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0049-1458737141-224] [23/03/2016 at 12:45:00]"/>
  </r>
  <r>
    <s v="3630046-1458737140-200"/>
    <s v="Spot"/>
    <s v="3630046-1458737140-200"/>
    <n v="0"/>
    <d v="2016-03-31T00:00:00"/>
    <x v="1379"/>
    <s v="200"/>
    <s v="SELL"/>
    <n v="9.9666818804199"/>
    <x v="0"/>
    <x v="1"/>
    <n v="218.37"/>
    <s v="Deal"/>
    <m/>
    <s v="Original Amount [EUR 21.91], Merchant Amount [EUR 21.91], Customer Amount [NOK 218.37], Status [APPROVED], Operation [STORED], UUID [3630046-1458737140-200] [23/03/2016 at 12:45:00]"/>
  </r>
  <r>
    <s v="3630043-1458737139-200"/>
    <s v="Spot"/>
    <s v="3630043-1458737139-200"/>
    <n v="0"/>
    <d v="2016-03-31T00:00:00"/>
    <x v="1380"/>
    <s v="200"/>
    <s v="SELL"/>
    <n v="9.9665450121654491"/>
    <x v="0"/>
    <x v="1"/>
    <n v="327.7"/>
    <s v="Deal"/>
    <m/>
    <s v="Original Amount [EUR 32.88], Merchant Amount [EUR 32.88], Customer Amount [NOK 327.7], Status [APPROVED], Operation [STORED], UUID [3630043-1458737139-200] [23/03/2016 at 12:45:00]"/>
  </r>
  <r>
    <s v="3630085-1458737167-56"/>
    <s v="Spot"/>
    <s v="3630085-1458737167-56"/>
    <n v="0"/>
    <d v="2016-03-31T00:00:00"/>
    <x v="1381"/>
    <s v="56"/>
    <s v="SELL"/>
    <n v="3.3967239967239968"/>
    <x v="0"/>
    <x v="0"/>
    <n v="207.37"/>
    <s v="Deal"/>
    <m/>
    <s v="Original Amount [EUR 61.05], Merchant Amount [EUR 61.05], Customer Amount [TRY 207.37], Status [APPROVED], Operation [3DAUTH], UUID [3630085-1458737167-56] [23/03/2016 at 12:46:00]"/>
  </r>
  <r>
    <s v="3630010-1458737104-224"/>
    <s v="Spot"/>
    <s v="3630010-1458737104-224"/>
    <n v="0"/>
    <d v="2016-03-31T00:00:00"/>
    <x v="1382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0010-1458737104-224] [23/03/2016 at 12:45:00]"/>
  </r>
  <r>
    <s v="3629995-1458737082-124"/>
    <s v="Spot"/>
    <s v="3629995-1458737082-124"/>
    <n v="0"/>
    <d v="2016-03-31T00:00:00"/>
    <x v="1383"/>
    <s v="124"/>
    <s v="SELL"/>
    <n v="9.9546742209631738"/>
    <x v="0"/>
    <x v="1"/>
    <n v="210.84"/>
    <s v="Deal"/>
    <m/>
    <s v="Original Amount [EUR 21.18], Merchant Amount [EUR 21.18], Customer Amount [NOK 210.84], Status [APPROVED], Operation [DIRECT], UUID [3629995-1458737082-124] [23/03/2016 at 12:44:00]"/>
  </r>
  <r>
    <s v="3629989-1458737076-200"/>
    <s v="Spot"/>
    <s v="3629989-1458737076-200"/>
    <n v="0"/>
    <d v="2016-03-31T00:00:00"/>
    <x v="1384"/>
    <s v="200"/>
    <s v="SELL"/>
    <n v="9.956666666666667"/>
    <x v="0"/>
    <x v="1"/>
    <n v="29.87"/>
    <s v="Deal"/>
    <m/>
    <s v="Original Amount [EUR 3], Merchant Amount [EUR 3], Customer Amount [NOK 29.87], Status [APPROVED], Operation [STORED], UUID [3629989-1458737076-200] [23/03/2016 at 12:44:00]"/>
  </r>
  <r>
    <s v="3629986-1458737072-125"/>
    <s v="Spot"/>
    <s v="3629986-1458737072-125"/>
    <n v="0"/>
    <d v="2016-03-31T00:00:00"/>
    <x v="1385"/>
    <s v="125"/>
    <s v="SELL"/>
    <n v="1.5508000000000002"/>
    <x v="0"/>
    <x v="5"/>
    <n v="77.540000000000006"/>
    <s v="Deal"/>
    <m/>
    <s v="Original Amount [EUR 50], Merchant Amount [EUR 50], Customer Amount [AUD 77.54], Status [APPROVED], Operation [DIRECT], UUID [3629986-1458737072-125] [23/03/2016 at 12:44:00]"/>
  </r>
  <r>
    <s v="3629977-1458737068-119"/>
    <s v="Spot"/>
    <s v="3629977-1458737068-119"/>
    <n v="0"/>
    <d v="2016-03-31T00:00:00"/>
    <x v="1386"/>
    <s v="119"/>
    <s v="SELL"/>
    <n v="9.954559999999999"/>
    <x v="0"/>
    <x v="1"/>
    <n v="2488.64"/>
    <s v="Deal"/>
    <m/>
    <s v="Original Amount [EUR 250], Merchant Amount [EUR 250], Customer Amount [NOK 2488.64], Status [APPROVED], Operation [DIRECT], UUID [3629977-1458737068-119] [23/03/2016 at 12:44:00]"/>
  </r>
  <r>
    <s v="3630019-1458737111-216"/>
    <s v="Spot"/>
    <s v="3630019-1458737111-216"/>
    <n v="0"/>
    <d v="2016-03-31T00:00:00"/>
    <x v="1387"/>
    <s v="216"/>
    <s v="SELL"/>
    <n v="3.3920436316971445"/>
    <x v="0"/>
    <x v="0"/>
    <n v="211.46"/>
    <s v="Deal"/>
    <m/>
    <s v="Original Amount [EUR 62.34], Merchant Amount [EUR 62.34], Customer Amount [TRY 211.46], Status [APPROVED], Operation [3DAUTH], UUID [3630019-1458737111-216] [23/03/2016 at 12:45:00]"/>
  </r>
  <r>
    <s v="3629965-1458737050-119"/>
    <s v="Spot"/>
    <s v="3629965-1458737050-119"/>
    <n v="0"/>
    <d v="2016-03-31T00:00:00"/>
    <x v="1388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965-1458737050-119] [23/03/2016 at 12:44:00]"/>
  </r>
  <r>
    <s v="3629959-1458737042-200"/>
    <s v="Spot"/>
    <s v="3629959-1458737042-200"/>
    <n v="0"/>
    <d v="2016-03-31T00:00:00"/>
    <x v="1389"/>
    <s v="200"/>
    <s v="SELL"/>
    <n v="9.9545592797615434"/>
    <x v="0"/>
    <x v="1"/>
    <n v="1636.43"/>
    <s v="Deal"/>
    <m/>
    <s v="Original Amount [EUR 164.39], Merchant Amount [EUR 164.39], Customer Amount [NOK 1636.43], Status [APPROVED], Operation [STORED], UUID [3629959-1458737042-200] [23/03/2016 at 12:44:00]"/>
  </r>
  <r>
    <s v="3629953-1458737027-199"/>
    <s v="Spot"/>
    <s v="3629953-1458737027-199"/>
    <n v="0"/>
    <d v="2016-03-31T00:00:00"/>
    <x v="1390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9953-1458737027-199] [23/03/2016 at 12:43:00]"/>
  </r>
  <r>
    <s v="3629950-1458737020-224"/>
    <s v="Spot"/>
    <s v="3629950-1458737020-224"/>
    <n v="0"/>
    <d v="2016-03-31T00:00:00"/>
    <x v="1391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9950-1458737020-224] [23/03/2016 at 12:43:00]"/>
  </r>
  <r>
    <s v="3629944-1458737019-119"/>
    <s v="Spot"/>
    <s v="3629944-1458737019-119"/>
    <n v="0"/>
    <d v="2016-03-31T00:00:00"/>
    <x v="1392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944-1458737019-119] [23/03/2016 at 12:43:00]"/>
  </r>
  <r>
    <s v="3629941-1458737016-199"/>
    <s v="Spot"/>
    <s v="3629941-1458737016-199"/>
    <n v="0"/>
    <d v="2016-03-31T00:00:00"/>
    <x v="1393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9941-1458737016-199] [23/03/2016 at 12:43:00]"/>
  </r>
  <r>
    <s v="3629935-1458737009-224"/>
    <s v="Spot"/>
    <s v="3629935-1458737009-224"/>
    <n v="0"/>
    <d v="2016-03-31T00:00:00"/>
    <x v="1394"/>
    <s v="224"/>
    <s v="SELL"/>
    <n v="133.03552891293225"/>
    <x v="0"/>
    <x v="3"/>
    <n v="18197.93"/>
    <s v="Deal"/>
    <m/>
    <s v="Original Amount [EUR 136.79], Merchant Amount [EUR 136.79], Customer Amount [JPY 18197.93], Status [APPROVED], Operation [DIRECT], UUID [3629935-1458737009-224] [23/03/2016 at 12:43:00]"/>
  </r>
  <r>
    <s v="3629929-1458736994-224"/>
    <s v="Spot"/>
    <s v="3629929-1458736994-224"/>
    <n v="0"/>
    <d v="2016-03-31T00:00:00"/>
    <x v="1395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9929-1458736994-224] [23/03/2016 at 12:43:00]"/>
  </r>
  <r>
    <s v="3629947-1458737019-216"/>
    <s v="Spot"/>
    <s v="3629947-1458737019-216"/>
    <n v="0"/>
    <d v="2016-03-31T00:00:00"/>
    <x v="1396"/>
    <s v="216"/>
    <s v="SELL"/>
    <n v="3.3921411387329585"/>
    <x v="0"/>
    <x v="0"/>
    <n v="42.3"/>
    <s v="Deal"/>
    <m/>
    <s v="Original Amount [EUR 12.47], Merchant Amount [EUR 12.47], Customer Amount [TRY 42.3], Status [APPROVED], Operation [3DAUTH], UUID [3629947-1458737019-216] [23/03/2016 at 12:43:00]"/>
  </r>
  <r>
    <s v="3629905-1458736959-224"/>
    <s v="Spot"/>
    <s v="3629905-1458736959-224"/>
    <n v="0"/>
    <d v="2016-03-31T00:00:00"/>
    <x v="1397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9905-1458736959-224] [23/03/2016 at 12:42:00]"/>
  </r>
  <r>
    <s v="3629923-1458736990-119"/>
    <s v="Spot"/>
    <s v="3629923-1458736990-119"/>
    <n v="0"/>
    <d v="2016-03-31T00:00:00"/>
    <x v="1398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29923-1458736990-119] [23/03/2016 at 12:43:00]"/>
  </r>
  <r>
    <s v="3629896-1458736934-224"/>
    <s v="Spot"/>
    <s v="3629896-1458736934-224"/>
    <n v="0"/>
    <d v="2016-03-31T00:00:00"/>
    <x v="1399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9896-1458736934-224] [23/03/2016 at 12:42:00]"/>
  </r>
  <r>
    <s v="3629899-1458736939-101"/>
    <s v="Spot"/>
    <s v="3629899-1458736939-101"/>
    <n v="0"/>
    <d v="2016-03-31T00:00:00"/>
    <x v="1400"/>
    <s v="101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29899-1458736939-101] [23/03/2016 at 12:42:00]"/>
  </r>
  <r>
    <s v="3629893-1458736933-216"/>
    <s v="Spot"/>
    <s v="3629893-1458736933-216"/>
    <n v="0"/>
    <d v="2016-03-31T00:00:00"/>
    <x v="1401"/>
    <s v="216"/>
    <s v="SELL"/>
    <n v="3.3878336755646821"/>
    <x v="0"/>
    <x v="0"/>
    <n v="527.96"/>
    <s v="Deal"/>
    <m/>
    <s v="Original Amount [EUR 155.84], Merchant Amount [EUR 155.84], Customer Amount [TRY 527.96], Status [APPROVED], Operation [3DAUTH], UUID [3629893-1458736933-216] [23/03/2016 at 12:42:00]"/>
  </r>
  <r>
    <s v="3629887-1458736928-216"/>
    <s v="Spot"/>
    <s v="3629887-1458736928-216"/>
    <n v="0"/>
    <d v="2016-03-31T00:00:00"/>
    <x v="1402"/>
    <s v="216"/>
    <s v="SELL"/>
    <n v="3.388235294117647"/>
    <x v="0"/>
    <x v="0"/>
    <n v="63.36"/>
    <s v="Deal"/>
    <m/>
    <s v="Original Amount [EUR 18.7], Merchant Amount [EUR 18.7], Customer Amount [TRY 63.36], Status [APPROVED], Operation [3DAUTH], UUID [3629887-1458736928-216] [23/03/2016 at 12:42:00]"/>
  </r>
  <r>
    <s v="3629875-1458736916-203"/>
    <s v="Spot"/>
    <s v="3629875-1458736916-203"/>
    <n v="0"/>
    <d v="2016-03-31T00:00:00"/>
    <x v="1403"/>
    <s v="203"/>
    <s v="SELL"/>
    <n v="3.3879531829860121"/>
    <x v="0"/>
    <x v="0"/>
    <n v="237.36"/>
    <s v="Deal"/>
    <m/>
    <s v="Original Amount [EUR 70.06], Merchant Amount [EUR 70.06], Customer Amount [TRY 237.36], Status [APPROVED], Operation [3DAUTH], UUID [3629875-1458736916-203] [23/03/2016 at 12:41:00]"/>
  </r>
  <r>
    <s v="3629833-1458736863-119"/>
    <s v="Spot"/>
    <s v="3629833-1458736863-119"/>
    <n v="0"/>
    <d v="2016-03-31T00:00:00"/>
    <x v="14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9833-1458736863-119] [23/03/2016 at 12:41:00]"/>
  </r>
  <r>
    <s v="3629830-1458736862-261"/>
    <s v="Spot"/>
    <s v="3629830-1458736862-261"/>
    <n v="0"/>
    <d v="2016-03-31T00:00:00"/>
    <x v="1405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29830-1458736862-261] [23/03/2016 at 12:41:00]"/>
  </r>
  <r>
    <s v="3629824-1458736856-199"/>
    <s v="Spot"/>
    <s v="3629824-1458736856-199"/>
    <n v="0"/>
    <d v="2016-03-31T00:00:00"/>
    <x v="140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29824-1458736856-199] [23/03/2016 at 12:40:00]"/>
  </r>
  <r>
    <s v="3629812-1458736847-56"/>
    <s v="Spot"/>
    <s v="3629812-1458736847-56"/>
    <n v="0"/>
    <d v="2016-03-31T00:00:00"/>
    <x v="1407"/>
    <s v="56"/>
    <s v="SELL"/>
    <n v="3.3879423328964617"/>
    <x v="0"/>
    <x v="0"/>
    <n v="103.4"/>
    <s v="Deal"/>
    <m/>
    <s v="Original Amount [EUR 30.52], Merchant Amount [EUR 30.52], Customer Amount [TRY 103.4], Status [WAITING], Operation [3D], UUID [3629812-1458736847-56] [23/03/2016 at 12:40:00]"/>
  </r>
  <r>
    <s v="3629806-1458736844-216"/>
    <s v="Spot"/>
    <s v="3629806-1458736844-216"/>
    <n v="0"/>
    <d v="2016-03-31T00:00:00"/>
    <x v="1408"/>
    <s v="216"/>
    <s v="SELL"/>
    <n v="3.3881064162754302"/>
    <x v="0"/>
    <x v="0"/>
    <n v="86.6"/>
    <s v="Deal"/>
    <m/>
    <s v="Original Amount [EUR 25.56], Merchant Amount [EUR 25.56], Customer Amount [TRY 86.6], Status [APPROVED], Operation [3DAUTH], UUID [3629806-1458736844-216] [23/03/2016 at 12:40:00]"/>
  </r>
  <r>
    <s v="3629791-1458736821-145"/>
    <s v="Spot"/>
    <s v="3629791-1458736821-145"/>
    <n v="0"/>
    <d v="2016-03-31T00:00:00"/>
    <x v="1409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29791-1458736821-145] [23/03/2016 at 12:40:00]"/>
  </r>
  <r>
    <s v="3629767-1458736778-224"/>
    <s v="Spot"/>
    <s v="3629767-1458736778-224"/>
    <n v="0"/>
    <d v="2016-03-31T00:00:00"/>
    <x v="1410"/>
    <s v="224"/>
    <s v="SELL"/>
    <n v="9.9506335797254479"/>
    <x v="0"/>
    <x v="1"/>
    <n v="376.93"/>
    <s v="Deal"/>
    <m/>
    <s v="Original Amount [EUR 37.88], Merchant Amount [EUR 37.88], Customer Amount [NOK 376.93], Status [APPROVED], Operation [DIRECT], UUID [3629767-1458736778-224] [23/03/2016 at 12:39:00]"/>
  </r>
  <r>
    <s v="3629764-1458736776-224"/>
    <s v="Spot"/>
    <s v="3629764-1458736776-224"/>
    <n v="0"/>
    <d v="2016-03-31T00:00:00"/>
    <x v="1411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29764-1458736776-224] [23/03/2016 at 12:39:00]"/>
  </r>
  <r>
    <s v="3629755-1458736761-56"/>
    <s v="Spot"/>
    <s v="3629755-1458736761-56"/>
    <n v="0"/>
    <d v="2016-03-31T00:00:00"/>
    <x v="1412"/>
    <s v="56"/>
    <s v="SELL"/>
    <n v="3.387920298879203"/>
    <x v="0"/>
    <x v="0"/>
    <n v="54.41"/>
    <s v="Deal"/>
    <m/>
    <s v="Original Amount [EUR 16.06], Merchant Amount [EUR 16.06], Customer Amount [TRY 54.41], Status [WAITING], Operation [3D], UUID [3629755-1458736761-56] [23/03/2016 at 12:39:00]"/>
  </r>
  <r>
    <s v="3629746-1458736728-224"/>
    <s v="Spot"/>
    <s v="3629746-1458736728-224"/>
    <n v="0"/>
    <d v="2016-03-31T00:00:00"/>
    <x v="1413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746-1458736728-224] [23/03/2016 at 12:38:00]"/>
  </r>
  <r>
    <s v="3629776-1458736792-216"/>
    <s v="Spot"/>
    <s v="3629776-1458736792-216"/>
    <n v="0"/>
    <d v="2016-03-31T00:00:00"/>
    <x v="1414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29776-1458736792-216] [23/03/2016 at 12:39:00]"/>
  </r>
  <r>
    <s v="3629740-1458736704-238"/>
    <s v="Spot"/>
    <s v="3629740-1458736704-238"/>
    <n v="0"/>
    <d v="2016-03-31T00:00:00"/>
    <x v="141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9740-1458736704-238] [23/03/2016 at 12:38:00]"/>
  </r>
  <r>
    <s v="3629737-1458736701-261"/>
    <s v="Spot"/>
    <s v="3629737-1458736701-261"/>
    <n v="0"/>
    <d v="2016-03-31T00:00:00"/>
    <x v="1416"/>
    <s v="261"/>
    <s v="SELL"/>
    <n v="9.9545709478407183"/>
    <x v="0"/>
    <x v="1"/>
    <n v="1064.94"/>
    <s v="Deal"/>
    <m/>
    <s v="Original Amount [EUR 106.98], Merchant Amount [EUR 106.98], Customer Amount [NOK 1064.94], Status [APPROVED], Operation [DIRECT], UUID [3629737-1458736701-261] [23/03/2016 at 12:38:00]"/>
  </r>
  <r>
    <s v="3629731-1458736697-119"/>
    <s v="Spot"/>
    <s v="3629731-1458736697-119"/>
    <n v="0"/>
    <d v="2016-03-31T00:00:00"/>
    <x v="1417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9731-1458736697-119] [23/03/2016 at 12:38:00]"/>
  </r>
  <r>
    <s v="3629719-1458736689-145"/>
    <s v="Spot"/>
    <s v="3629719-1458736689-145"/>
    <n v="0"/>
    <d v="2016-03-31T00:00:00"/>
    <x v="1418"/>
    <s v="145"/>
    <s v="SELL"/>
    <n v="9.954688483322844"/>
    <x v="0"/>
    <x v="1"/>
    <n v="632.72"/>
    <s v="Deal"/>
    <m/>
    <s v="Original Amount [EUR 63.56], Merchant Amount [EUR 63.56], Customer Amount [NOK 632.72], Status [APPROVED], Operation [DIRECT], UUID [3629719-1458736689-145] [23/03/2016 at 12:38:00]"/>
  </r>
  <r>
    <s v="3629710-1458736679-200"/>
    <s v="Spot"/>
    <s v="3629710-1458736679-200"/>
    <n v="0"/>
    <d v="2016-03-31T00:00:00"/>
    <x v="141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9710-1458736679-200] [23/03/2016 at 12:37:00]"/>
  </r>
  <r>
    <s v="3629698-1458736668-224"/>
    <s v="Spot"/>
    <s v="3629698-1458736668-224"/>
    <n v="0"/>
    <d v="2016-03-31T00:00:00"/>
    <x v="1420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29698-1458736668-224] [23/03/2016 at 12:37:00]"/>
  </r>
  <r>
    <s v="3629728-1458736694-216"/>
    <s v="Spot"/>
    <s v="3629728-1458736694-216"/>
    <n v="0"/>
    <d v="2016-03-31T00:00:00"/>
    <x v="1421"/>
    <s v="216"/>
    <s v="SELL"/>
    <n v="3.3923006416131987"/>
    <x v="0"/>
    <x v="0"/>
    <n v="37.01"/>
    <s v="Deal"/>
    <m/>
    <s v="Original Amount [EUR 10.91], Merchant Amount [EUR 10.91], Customer Amount [TRY 37.01], Status [APPROVED], Operation [3DAUTH], UUID [3629728-1458736694-216] [23/03/2016 at 12:38:00]"/>
  </r>
  <r>
    <s v="3629692-1458736666-203"/>
    <s v="Spot"/>
    <s v="3629692-1458736666-203"/>
    <n v="0"/>
    <d v="2016-03-31T00:00:00"/>
    <x v="1422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29692-1458736666-203] [23/03/2016 at 12:37:00]"/>
  </r>
  <r>
    <s v="3629686-1458736653-224"/>
    <s v="Spot"/>
    <s v="3629686-1458736653-224"/>
    <n v="0"/>
    <d v="2016-03-31T00:00:00"/>
    <x v="1423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29686-1458736653-224] [23/03/2016 at 12:37:00]"/>
  </r>
  <r>
    <s v="3629704-1458736673-216"/>
    <s v="Spot"/>
    <s v="3629704-1458736673-216"/>
    <n v="0"/>
    <d v="2016-03-31T00:00:00"/>
    <x v="1424"/>
    <s v="216"/>
    <s v="SELL"/>
    <n v="3.3920608108108108"/>
    <x v="0"/>
    <x v="0"/>
    <n v="200.81"/>
    <s v="Deal"/>
    <m/>
    <s v="Original Amount [EUR 59.2], Merchant Amount [EUR 59.2], Customer Amount [TRY 200.81], Status [APPROVED], Operation [3DAUTH], UUID [3629704-1458736673-216] [23/03/2016 at 12:37:00]"/>
  </r>
  <r>
    <s v="3629689-1458736666-119"/>
    <s v="Spot"/>
    <s v="3629689-1458736666-119"/>
    <n v="0"/>
    <d v="2016-03-31T00:00:00"/>
    <x v="1425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29689-1458736666-119] [23/03/2016 at 12:37:00]"/>
  </r>
  <r>
    <s v="3629659-1458736613-216"/>
    <s v="Spot"/>
    <s v="3629659-1458736613-216"/>
    <n v="0"/>
    <d v="2016-03-31T00:00:00"/>
    <x v="1426"/>
    <s v="216"/>
    <s v="SELL"/>
    <n v="3.3920608108108108"/>
    <x v="0"/>
    <x v="0"/>
    <n v="200.81"/>
    <s v="Deal"/>
    <m/>
    <s v="Original Amount [EUR 59.2], Merchant Amount [EUR 59.2], Customer Amount [TRY 200.81], Status [WAITING], Operation [3D], UUID [3629659-1458736613-216] [23/03/2016 at 12:36:00]"/>
  </r>
  <r>
    <s v="3629656-1458736612-261"/>
    <s v="Spot"/>
    <s v="3629656-1458736612-261"/>
    <n v="0"/>
    <d v="2016-03-31T00:00:00"/>
    <x v="1427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29656-1458736612-261] [23/03/2016 at 12:36:00]"/>
  </r>
  <r>
    <s v="3629650-1458736603-187"/>
    <s v="Spot"/>
    <s v="3629650-1458736603-187"/>
    <n v="0"/>
    <d v="2016-03-31T00:00:00"/>
    <x v="1428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29650-1458736603-187] [23/03/2016 at 12:36:00]"/>
  </r>
  <r>
    <s v="3629632-1458736583-119"/>
    <s v="Spot"/>
    <s v="3629632-1458736583-119"/>
    <n v="0"/>
    <d v="2016-03-31T00:00:00"/>
    <x v="1429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9632-1458736583-119] [23/03/2016 at 12:36:00]"/>
  </r>
  <r>
    <s v="3629647-1458736601-264"/>
    <s v="Spot"/>
    <s v="3629647-1458736601-264"/>
    <n v="0"/>
    <d v="2016-03-31T00:00:00"/>
    <x v="1430"/>
    <s v="264"/>
    <s v="SELL"/>
    <n v="3.3922829581993565"/>
    <x v="0"/>
    <x v="0"/>
    <n v="31.65"/>
    <s v="Deal"/>
    <m/>
    <s v="Original Amount [TRY 30], Merchant Amount [EUR 9.33], Customer Amount [TRY 31.65], Status [APPROVED], Operation [3DAUTH], UUID [3629647-1458736601-264] [23/03/2016 at 12:36:00]"/>
  </r>
  <r>
    <s v="3629653-1458736612-61"/>
    <s v="Spot"/>
    <s v="3629653-1458736612-61"/>
    <n v="0"/>
    <d v="2016-03-31T00:00:00"/>
    <x v="1431"/>
    <s v="61"/>
    <s v="SELL"/>
    <n v="9.954600000000001"/>
    <x v="0"/>
    <x v="1"/>
    <n v="995.46"/>
    <s v="Deal"/>
    <m/>
    <s v="Original Amount [EUR 100], Merchant Amount [EUR 100], Customer Amount [NOK 995.46], Status [APPROVED], Operation [3DAUTH], UUID [3629653-1458736612-61] [23/03/2016 at 12:36:00]"/>
  </r>
  <r>
    <s v="3629620-1458736574-224"/>
    <s v="Spot"/>
    <s v="3629620-1458736574-224"/>
    <n v="0"/>
    <d v="2016-03-31T00:00:00"/>
    <x v="1432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620-1458736574-224] [23/03/2016 at 12:36:00]"/>
  </r>
  <r>
    <s v="3629617-1458736573-119"/>
    <s v="Spot"/>
    <s v="3629617-1458736573-119"/>
    <n v="0"/>
    <d v="2016-03-31T00:00:00"/>
    <x v="143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617-1458736573-119] [23/03/2016 at 12:36:00]"/>
  </r>
  <r>
    <s v="3629614-1458736568-224"/>
    <s v="Spot"/>
    <s v="3629614-1458736568-224"/>
    <n v="0"/>
    <d v="2016-03-31T00:00:00"/>
    <x v="1434"/>
    <s v="224"/>
    <s v="SELL"/>
    <n v="133.03763795453546"/>
    <x v="0"/>
    <x v="3"/>
    <n v="30256.75"/>
    <s v="Deal"/>
    <m/>
    <s v="Original Amount [EUR 227.43], Merchant Amount [EUR 227.43], Customer Amount [JPY 30256.75], Status [APPROVED], Operation [DIRECT], UUID [3629614-1458736568-224] [23/03/2016 at 12:36:00]"/>
  </r>
  <r>
    <s v="3629611-1458736565-261"/>
    <s v="Spot"/>
    <s v="3629611-1458736565-261"/>
    <n v="0"/>
    <d v="2016-03-31T00:00:00"/>
    <x v="1435"/>
    <s v="261"/>
    <s v="SELL"/>
    <n v="9.9545846507617135"/>
    <x v="0"/>
    <x v="1"/>
    <n v="3116.88"/>
    <s v="Deal"/>
    <m/>
    <s v="Original Amount [EUR 313.11], Merchant Amount [EUR 313.11], Customer Amount [NOK 3116.88], Status [APPROVED], Operation [DIRECT], UUID [3629611-1458736565-261] [23/03/2016 at 12:36:00]"/>
  </r>
  <r>
    <s v="3629638-1458736588-56"/>
    <s v="Spot"/>
    <s v="3629638-1458736588-56"/>
    <n v="0"/>
    <d v="2016-03-31T00:00:00"/>
    <x v="1436"/>
    <s v="56"/>
    <s v="SELL"/>
    <n v="3.392010832769127"/>
    <x v="0"/>
    <x v="0"/>
    <n v="50.1"/>
    <s v="Deal"/>
    <m/>
    <s v="Original Amount [EUR 14.77], Merchant Amount [EUR 14.77], Customer Amount [TRY 50.1], Status [APPROVED], Operation [3DAUTH], UUID [3629638-1458736588-56] [23/03/2016 at 12:36:00]"/>
  </r>
  <r>
    <s v="3629602-1458736550-199"/>
    <s v="Spot"/>
    <s v="3629602-1458736550-199"/>
    <n v="0"/>
    <d v="2016-03-31T00:00:00"/>
    <x v="1437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29602-1458736550-199] [23/03/2016 at 12:35:00]"/>
  </r>
  <r>
    <s v="3629599-1458736537-212"/>
    <s v="Spot"/>
    <s v="3629599-1458736537-212"/>
    <n v="0"/>
    <d v="2016-03-31T00:00:00"/>
    <x v="1438"/>
    <s v="212"/>
    <s v="SELL"/>
    <n v="0.83333333333333337"/>
    <x v="0"/>
    <x v="4"/>
    <n v="10"/>
    <s v="Deal"/>
    <m/>
    <s v="Original Amount [EUR 12], Merchant Amount [EUR 12], Customer Amount [GBP 10], Status [APPROVED], Operation [3DAUTH], UUID [3629599-1458736537-212] [23/03/2016 at 12:35:00]"/>
  </r>
  <r>
    <s v="3629590-1458736530-196"/>
    <s v="Spot"/>
    <s v="3629590-1458736530-196"/>
    <n v="0"/>
    <d v="2016-03-31T00:00:00"/>
    <x v="1439"/>
    <s v="196"/>
    <s v="SELL"/>
    <n v="9.975903614457831"/>
    <x v="0"/>
    <x v="1"/>
    <n v="99.36"/>
    <s v="Deal"/>
    <m/>
    <s v="Original Amount [EUR 9.96], Merchant Amount [EUR 9.96], Customer Amount [NOK 99.36], Status [APPROVED], Operation [3DAUTH], UUID [3629590-1458736530-196] [23/03/2016 at 12:35:00]"/>
  </r>
  <r>
    <s v="3629575-1458736478-261"/>
    <s v="Spot"/>
    <s v="3629575-1458736478-261"/>
    <n v="0"/>
    <d v="2016-03-31T00:00:00"/>
    <x v="1440"/>
    <s v="261"/>
    <s v="SELL"/>
    <n v="9.9753692278930632"/>
    <x v="0"/>
    <x v="1"/>
    <n v="2134.33"/>
    <s v="Deal"/>
    <m/>
    <s v="Original Amount [EUR 213.96], Merchant Amount [EUR 213.96], Customer Amount [NOK 2134.33], Status [APPROVED], Operation [DIRECT], UUID [3629575-1458736478-261] [23/03/2016 at 12:34:00]"/>
  </r>
  <r>
    <s v="3629569-1458736473-224"/>
    <s v="Spot"/>
    <s v="3629569-1458736473-224"/>
    <n v="0"/>
    <d v="2016-03-31T00:00:00"/>
    <x v="1441"/>
    <s v="224"/>
    <s v="SELL"/>
    <n v="9.9754227108934685"/>
    <x v="0"/>
    <x v="1"/>
    <n v="1079.6400000000001"/>
    <s v="Deal"/>
    <m/>
    <s v="Original Amount [EUR 108.23], Merchant Amount [EUR 108.23], Customer Amount [NOK 1079.64], Status [APPROVED], Operation [DIRECT], UUID [3629569-1458736473-224] [23/03/2016 at 12:34:00]"/>
  </r>
  <r>
    <s v="3629557-1458736464-224"/>
    <s v="Spot"/>
    <s v="3629557-1458736464-224"/>
    <n v="0"/>
    <d v="2016-03-31T00:00:00"/>
    <x v="1442"/>
    <s v="224"/>
    <s v="SELL"/>
    <n v="9.9754204398447612"/>
    <x v="0"/>
    <x v="1"/>
    <n v="539.77"/>
    <s v="Deal"/>
    <m/>
    <s v="Original Amount [EUR 54.11], Merchant Amount [EUR 54.11], Customer Amount [NOK 539.77], Status [APPROVED], Operation [DIRECT], UUID [3629557-1458736464-224] [23/03/2016 at 12:34:00]"/>
  </r>
  <r>
    <s v="3629554-1458736462-261"/>
    <s v="Spot"/>
    <s v="3629554-1458736462-261"/>
    <n v="0"/>
    <d v="2016-03-31T00:00:00"/>
    <x v="1443"/>
    <s v="261"/>
    <s v="SELL"/>
    <n v="9.9753692278930632"/>
    <x v="0"/>
    <x v="1"/>
    <n v="2134.33"/>
    <s v="Deal"/>
    <m/>
    <s v="Original Amount [EUR 213.96], Merchant Amount [EUR 213.96], Customer Amount [NOK 2134.33], Status [APPROVED], Operation [DIRECT], UUID [3629554-1458736462-261] [23/03/2016 at 12:34:00]"/>
  </r>
  <r>
    <s v="3629566-1458736472-264"/>
    <s v="Spot"/>
    <s v="3629566-1458736472-264"/>
    <n v="0"/>
    <d v="2016-03-31T00:00:00"/>
    <x v="1444"/>
    <s v="264"/>
    <s v="SELL"/>
    <n v="3.3938527519656896"/>
    <x v="0"/>
    <x v="0"/>
    <n v="47.48"/>
    <s v="Deal"/>
    <m/>
    <s v="Original Amount [TRY 45], Merchant Amount [EUR 13.99], Customer Amount [TRY 47.48], Status [APPROVED], Operation [3DAUTH], UUID [3629566-1458736472-264] [23/03/2016 at 12:34:00]"/>
  </r>
  <r>
    <s v="3629563-1458736467-216"/>
    <s v="Spot"/>
    <s v="3629563-1458736467-216"/>
    <n v="0"/>
    <d v="2016-03-31T00:00:00"/>
    <x v="1445"/>
    <s v="216"/>
    <s v="SELL"/>
    <n v="3.3880716769189623"/>
    <x v="0"/>
    <x v="0"/>
    <n v="126.68"/>
    <s v="Deal"/>
    <m/>
    <s v="Original Amount [EUR 37.39], Merchant Amount [EUR 37.39], Customer Amount [TRY 126.68], Status [APPROVED], Operation [3DAUTH], UUID [3629563-1458736467-216] [23/03/2016 at 12:34:00]"/>
  </r>
  <r>
    <s v="3629500-1458736413-200"/>
    <s v="Spot"/>
    <s v="3629500-1458736413-200"/>
    <n v="0"/>
    <d v="2016-03-31T00:00:00"/>
    <x v="1446"/>
    <s v="200"/>
    <s v="SELL"/>
    <n v="9.9753649635036492"/>
    <x v="0"/>
    <x v="1"/>
    <n v="327.99"/>
    <s v="Deal"/>
    <m/>
    <s v="Original Amount [EUR 32.88], Merchant Amount [EUR 32.88], Customer Amount [NOK 327.99], Status [APPROVED], Operation [STORED], UUID [3629500-1458736413-200] [23/03/2016 at 12:33:00]"/>
  </r>
  <r>
    <s v="3629479-1458736398-119"/>
    <s v="Spot"/>
    <s v="3629479-1458736398-119"/>
    <n v="0"/>
    <d v="2016-03-31T00:00:00"/>
    <x v="1447"/>
    <s v="119"/>
    <s v="SELL"/>
    <n v="9.9756"/>
    <x v="0"/>
    <x v="1"/>
    <n v="249.39"/>
    <s v="Deal"/>
    <m/>
    <s v="Original Amount [EUR 25], Merchant Amount [EUR 25], Customer Amount [NOK 249.39], Status [APPROVED], Operation [DIRECT], UUID [3629479-1458736398-119] [23/03/2016 at 12:33:00]"/>
  </r>
  <r>
    <s v="3629476-1458736397-200"/>
    <s v="Spot"/>
    <s v="3629476-1458736397-200"/>
    <n v="0"/>
    <d v="2016-03-31T00:00:00"/>
    <x v="1448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29476-1458736397-200] [23/03/2016 at 12:33:00]"/>
  </r>
  <r>
    <s v="3629491-1458736404-216"/>
    <s v="Spot"/>
    <s v="3629491-1458736404-216"/>
    <n v="0"/>
    <d v="2016-03-31T00:00:00"/>
    <x v="1449"/>
    <s v="216"/>
    <s v="SELL"/>
    <n v="3.3885516045099742"/>
    <x v="0"/>
    <x v="0"/>
    <n v="39.07"/>
    <s v="Deal"/>
    <m/>
    <s v="Original Amount [EUR 11.53], Merchant Amount [EUR 11.53], Customer Amount [TRY 39.07], Status [APPROVED], Operation [3DAUTH], UUID [3629491-1458736404-216] [23/03/2016 at 12:33:00]"/>
  </r>
  <r>
    <s v="3629515-1458736422-56"/>
    <s v="Spot"/>
    <s v="3629515-1458736422-56"/>
    <n v="0"/>
    <d v="2016-03-31T00:00:00"/>
    <x v="1450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29515-1458736422-56] [23/03/2016 at 12:33:00]"/>
  </r>
  <r>
    <s v="3629443-1458736365-199"/>
    <s v="Spot"/>
    <s v="3629443-1458736365-199"/>
    <n v="0"/>
    <d v="2016-03-31T00:00:00"/>
    <x v="1451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9443-1458736365-199] [23/03/2016 at 12:32:00]"/>
  </r>
  <r>
    <s v="3629440-1458736364-224"/>
    <s v="Spot"/>
    <s v="3629440-1458736364-224"/>
    <n v="0"/>
    <d v="2016-03-31T00:00:00"/>
    <x v="1452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9440-1458736364-224] [23/03/2016 at 12:32:00]"/>
  </r>
  <r>
    <s v="3629470-1458736387-160"/>
    <s v="Spot"/>
    <s v="3629470-1458736387-160"/>
    <n v="0"/>
    <d v="2016-03-31T00:00:00"/>
    <x v="1453"/>
    <s v="160"/>
    <s v="SELL"/>
    <n v="3.3920369177935177"/>
    <x v="0"/>
    <x v="0"/>
    <n v="316.07"/>
    <s v="Deal"/>
    <m/>
    <s v="Original Amount [EUR 93.18], Merchant Amount [EUR 93.18], Customer Amount [TRY 316.07], Status [APPROVED], Operation [3DAUTH], UUID [3629470-1458736387-160] [23/03/2016 at 12:33:00]"/>
  </r>
  <r>
    <s v="3629431-1458736354-161"/>
    <s v="Spot"/>
    <s v="3629431-1458736354-161"/>
    <n v="0"/>
    <d v="2016-03-31T00:00:00"/>
    <x v="1454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431-1458736354-161] [23/03/2016 at 12:32:00]"/>
  </r>
  <r>
    <s v="3629425-1458736351-224"/>
    <s v="Spot"/>
    <s v="3629425-1458736351-224"/>
    <n v="0"/>
    <d v="2016-03-31T00:00:00"/>
    <x v="1455"/>
    <s v="224"/>
    <s v="SELL"/>
    <n v="133.03579676674363"/>
    <x v="0"/>
    <x v="3"/>
    <n v="2304.1799999999998"/>
    <s v="Deal"/>
    <m/>
    <s v="Original Amount [EUR 17.32], Merchant Amount [EUR 17.32], Customer Amount [JPY 2304.18], Status [APPROVED], Operation [DIRECT], UUID [3629425-1458736351-224] [23/03/2016 at 12:32:00]"/>
  </r>
  <r>
    <s v="3629413-1458736345-200"/>
    <s v="Spot"/>
    <s v="3629413-1458736345-200"/>
    <n v="0"/>
    <d v="2016-03-31T00:00:00"/>
    <x v="1456"/>
    <s v="200"/>
    <s v="SELL"/>
    <n v="9.9550000000000001"/>
    <x v="0"/>
    <x v="1"/>
    <n v="39.82"/>
    <s v="Deal"/>
    <m/>
    <s v="Original Amount [EUR 4], Merchant Amount [EUR 4], Customer Amount [NOK 39.82], Status [APPROVED], Operation [STORED], UUID [3629413-1458736345-200] [23/03/2016 at 12:32:00]"/>
  </r>
  <r>
    <s v="3629428-1458736352-126"/>
    <s v="Spot"/>
    <s v="3629428-1458736352-126"/>
    <n v="0"/>
    <d v="2016-03-31T00:00:00"/>
    <x v="1457"/>
    <s v="126"/>
    <s v="SELL"/>
    <n v="9.9546341463414638"/>
    <x v="0"/>
    <x v="1"/>
    <n v="1020.35"/>
    <s v="Deal"/>
    <m/>
    <s v="Original Amount [EUR 102.5], Merchant Amount [EUR 102.5], Customer Amount [NOK 1020.35], Status [APPROVED], Operation [3DAUTH], UUID [3629428-1458736352-126] [23/03/2016 at 12:32:00]"/>
  </r>
  <r>
    <s v="3629392-1458736328-161"/>
    <s v="Spot"/>
    <s v="3629392-1458736328-161"/>
    <n v="0"/>
    <d v="2016-03-31T00:00:00"/>
    <x v="1458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9392-1458736328-161] [23/03/2016 at 12:32:00]"/>
  </r>
  <r>
    <s v="3629401-1458736335-212"/>
    <s v="Spot"/>
    <s v="3629401-1458736335-212"/>
    <n v="0"/>
    <d v="2016-03-31T00:00:00"/>
    <x v="1459"/>
    <s v="212"/>
    <s v="SELL"/>
    <n v="0.83399999999999996"/>
    <x v="0"/>
    <x v="4"/>
    <n v="8.34"/>
    <s v="Deal"/>
    <m/>
    <s v="Original Amount [EUR 10], Merchant Amount [EUR 10], Customer Amount [GBP 8.34], Status [APPROVED], Operation [3DAUTH], UUID [3629401-1458736335-212] [23/03/2016 at 12:32:00]"/>
  </r>
  <r>
    <s v="3629461-1458736381-56"/>
    <s v="Spot"/>
    <s v="3629461-1458736381-56"/>
    <n v="0"/>
    <d v="2016-03-31T00:00:00"/>
    <x v="1460"/>
    <s v="56"/>
    <s v="SELL"/>
    <n v="3.3925233644859811"/>
    <x v="0"/>
    <x v="0"/>
    <n v="32.67"/>
    <s v="Deal"/>
    <m/>
    <s v="Original Amount [EUR 9.63], Merchant Amount [EUR 9.63], Customer Amount [TRY 32.67], Status [APPROVED], Operation [3DAUTH], UUID [3629461-1458736381-56] [23/03/2016 at 12:33:00]"/>
  </r>
  <r>
    <s v="3629365-1458736310-111"/>
    <s v="Spot"/>
    <s v="3629365-1458736310-111"/>
    <n v="0"/>
    <d v="2016-03-31T00:00:00"/>
    <x v="1461"/>
    <s v="111"/>
    <s v="SELL"/>
    <n v="1.5462415077799694"/>
    <x v="0"/>
    <x v="2"/>
    <n v="141.11000000000001"/>
    <s v="Deal"/>
    <m/>
    <s v="Original Amount [EUR 91.26], Merchant Amount [EUR 91.26], Customer Amount [CAD 141.11], Status [APPROVED], Operation [DIRECT], UUID [3629365-1458736310-111] [23/03/2016 at 12:31:00]"/>
  </r>
  <r>
    <s v="3629344-1458736288-161"/>
    <s v="Spot"/>
    <s v="3629344-1458736288-161"/>
    <n v="0"/>
    <d v="2016-03-31T00:00:00"/>
    <x v="1462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344-1458736288-161] [23/03/2016 at 12:31:00]"/>
  </r>
  <r>
    <s v="3629353-1458736301-216"/>
    <s v="Spot"/>
    <s v="3629353-1458736301-216"/>
    <n v="0"/>
    <d v="2016-03-31T00:00:00"/>
    <x v="1463"/>
    <s v="216"/>
    <s v="SELL"/>
    <n v="3.3920089858793321"/>
    <x v="0"/>
    <x v="0"/>
    <n v="211.39"/>
    <s v="Deal"/>
    <m/>
    <s v="Original Amount [EUR 62.32], Merchant Amount [EUR 62.32], Customer Amount [TRY 211.39], Status [APPROVED], Operation [3DAUTH], UUID [3629353-1458736301-216] [23/03/2016 at 12:31:00]"/>
  </r>
  <r>
    <s v="3629359-1458736305-216"/>
    <s v="Spot"/>
    <s v="3629359-1458736305-216"/>
    <n v="0"/>
    <d v="2016-03-31T00:00:00"/>
    <x v="1464"/>
    <s v="216"/>
    <s v="SELL"/>
    <n v="3.3921694480102698"/>
    <x v="0"/>
    <x v="0"/>
    <n v="105.7"/>
    <s v="Deal"/>
    <m/>
    <s v="Original Amount [EUR 31.16], Merchant Amount [EUR 31.16], Customer Amount [TRY 105.7], Status [APPROVED], Operation [3DAUTH], UUID [3629359-1458736305-216] [23/03/2016 at 12:31:00]"/>
  </r>
  <r>
    <s v="3629374-1458736316-216"/>
    <s v="Spot"/>
    <s v="3629374-1458736316-216"/>
    <n v="0"/>
    <d v="2016-03-31T00:00:00"/>
    <x v="1465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29374-1458736316-216] [23/03/2016 at 12:31:00]"/>
  </r>
  <r>
    <s v="3629335-1458736278-154"/>
    <s v="Spot"/>
    <s v="3629335-1458736278-154"/>
    <n v="0"/>
    <d v="2016-03-31T00:00:00"/>
    <x v="1466"/>
    <s v="154"/>
    <s v="SELL"/>
    <n v="9.9546742209631738"/>
    <x v="0"/>
    <x v="1"/>
    <n v="210.84"/>
    <s v="Deal"/>
    <m/>
    <s v="Original Amount [EUR 21.18], Merchant Amount [EUR 21.18], Customer Amount [NOK 210.84], Status [APPROVED], Operation [3DAUTH], UUID [3629335-1458736278-154] [23/03/2016 at 12:31:00]"/>
  </r>
  <r>
    <s v="3629290-1458736249-161"/>
    <s v="Spot"/>
    <s v="3629290-1458736249-161"/>
    <n v="0"/>
    <d v="2016-03-31T00:00:00"/>
    <x v="1467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290-1458736249-161] [23/03/2016 at 12:30:00]"/>
  </r>
  <r>
    <s v="3629272-1458736239-161"/>
    <s v="Spot"/>
    <s v="3629272-1458736239-161"/>
    <n v="0"/>
    <d v="2016-03-31T00:00:00"/>
    <x v="1468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272-1458736239-161] [23/03/2016 at 12:30:00]"/>
  </r>
  <r>
    <s v="3629254-1458736229-199"/>
    <s v="Spot"/>
    <s v="3629254-1458736229-199"/>
    <n v="0"/>
    <d v="2016-03-31T00:00:00"/>
    <x v="1469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9254-1458736229-199] [23/03/2016 at 12:30:00]"/>
  </r>
  <r>
    <s v="3629245-1458736221-224"/>
    <s v="Spot"/>
    <s v="3629245-1458736221-224"/>
    <n v="0"/>
    <d v="2016-03-31T00:00:00"/>
    <x v="1470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245-1458736221-224] [23/03/2016 at 12:30:00]"/>
  </r>
  <r>
    <s v="3629308-1458736262-102"/>
    <s v="Spot"/>
    <s v="3629308-1458736262-102"/>
    <n v="0"/>
    <d v="2016-03-31T00:00:00"/>
    <x v="1471"/>
    <s v="102"/>
    <s v="SELL"/>
    <n v="3.3925875085792723"/>
    <x v="0"/>
    <x v="0"/>
    <n v="49.43"/>
    <s v="Deal"/>
    <m/>
    <s v="Original Amount [EUR 14.57], Merchant Amount [EUR 14.57], Customer Amount [TRY 49.43], Status [APPROVED], Operation [3DAUTH], UUID [3629308-1458736262-102] [23/03/2016 at 12:31:00]"/>
  </r>
  <r>
    <s v="3629260-1458736231-216"/>
    <s v="Spot"/>
    <s v="3629260-1458736231-216"/>
    <n v="0"/>
    <d v="2016-03-31T00:00:00"/>
    <x v="147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260-1458736231-216] [23/03/2016 at 12:30:00]"/>
  </r>
  <r>
    <s v="3629212-1458736192-200"/>
    <s v="Spot"/>
    <s v="3629212-1458736192-200"/>
    <n v="0"/>
    <d v="2016-03-31T00:00:00"/>
    <x v="1473"/>
    <s v="200"/>
    <s v="SELL"/>
    <n v="9.9665450121654491"/>
    <x v="0"/>
    <x v="1"/>
    <n v="327.7"/>
    <s v="Deal"/>
    <m/>
    <s v="Original Amount [EUR 32.88], Merchant Amount [EUR 32.88], Customer Amount [NOK 327.7], Status [APPROVED], Operation [DIRECT], UUID [3629212-1458736192-200] [23/03/2016 at 12:29:00]"/>
  </r>
  <r>
    <s v="3629209-1458736189-56"/>
    <s v="Spot"/>
    <s v="3629209-1458736189-56"/>
    <n v="0"/>
    <d v="2016-03-31T00:00:00"/>
    <x v="1474"/>
    <s v="56"/>
    <s v="SELL"/>
    <n v="3.3974272173324307"/>
    <x v="0"/>
    <x v="0"/>
    <n v="50.18"/>
    <s v="Deal"/>
    <m/>
    <s v="Original Amount [EUR 14.77], Merchant Amount [EUR 14.77], Customer Amount [TRY 50.18], Status [APPROVED], Operation [3DAUTH], UUID [3629209-1458736189-56] [23/03/2016 at 12:29:00]"/>
  </r>
  <r>
    <s v="3629197-1458736143-119"/>
    <s v="Spot"/>
    <s v="3629197-1458736143-119"/>
    <n v="0"/>
    <d v="2016-03-31T00:00:00"/>
    <x v="1475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9197-1458736143-119] [23/03/2016 at 12:29:00]"/>
  </r>
  <r>
    <s v="3629182-1458736119-203"/>
    <s v="Spot"/>
    <s v="3629182-1458736119-203"/>
    <n v="0"/>
    <d v="2016-03-31T00:00:00"/>
    <x v="1476"/>
    <s v="203"/>
    <s v="SELL"/>
    <n v="3.3974193548387093"/>
    <x v="0"/>
    <x v="0"/>
    <n v="105.32"/>
    <s v="Deal"/>
    <m/>
    <s v="Original Amount [EUR 31], Merchant Amount [EUR 31], Customer Amount [TRY 105.32], Status [WAITING], Operation [3D], UUID [3629182-1458736119-203] [23/03/2016 at 12:28:00]"/>
  </r>
  <r>
    <s v="3629200-1458736156-216"/>
    <s v="Spot"/>
    <s v="3629200-1458736156-216"/>
    <n v="0"/>
    <d v="2016-03-31T00:00:00"/>
    <x v="1477"/>
    <s v="216"/>
    <s v="SELL"/>
    <n v="3.3972268583900376"/>
    <x v="0"/>
    <x v="0"/>
    <n v="264.61"/>
    <s v="Deal"/>
    <m/>
    <s v="Original Amount [EUR 77.89], Merchant Amount [EUR 77.89], Customer Amount [TRY 264.61], Status [APPROVED], Operation [3DAUTH], UUID [3629200-1458736156-216] [23/03/2016 at 12:29:00]"/>
  </r>
  <r>
    <s v="3629161-1458736094-101"/>
    <s v="Spot"/>
    <s v="3629161-1458736094-101"/>
    <n v="0"/>
    <d v="2016-03-31T00:00:00"/>
    <x v="1478"/>
    <s v="101"/>
    <s v="SELL"/>
    <n v="3.397261694844933"/>
    <x v="0"/>
    <x v="0"/>
    <n v="327.52999999999997"/>
    <s v="Deal"/>
    <m/>
    <s v="Original Amount [EUR 96.41], Merchant Amount [EUR 96.41], Customer Amount [TRY 327.53], Status [WAITING], Operation [3D], UUID [3629161-1458736094-101] [23/03/2016 at 12:28:00]"/>
  </r>
  <r>
    <s v="3629173-1458736110-216"/>
    <s v="Spot"/>
    <s v="3629173-1458736110-216"/>
    <n v="0"/>
    <d v="2016-03-31T00:00:00"/>
    <x v="1479"/>
    <s v="216"/>
    <s v="SELL"/>
    <n v="3.3972268583900376"/>
    <x v="0"/>
    <x v="0"/>
    <n v="264.61"/>
    <s v="Deal"/>
    <m/>
    <s v="Original Amount [EUR 77.89], Merchant Amount [EUR 77.89], Customer Amount [TRY 264.61], Status [APPROVED], Operation [3DAUTH], UUID [3629173-1458736110-216] [23/03/2016 at 12:28:00]"/>
  </r>
  <r>
    <s v="3629176-1458736118-216"/>
    <s v="Spot"/>
    <s v="3629176-1458736118-216"/>
    <n v="0"/>
    <d v="2016-03-31T00:00:00"/>
    <x v="1480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176-1458736118-216] [23/03/2016 at 12:28:00]"/>
  </r>
  <r>
    <s v="3629158-1458736091-212"/>
    <s v="Spot"/>
    <s v="3629158-1458736091-212"/>
    <n v="0"/>
    <d v="2016-03-31T00:00:00"/>
    <x v="1481"/>
    <s v="212"/>
    <s v="SELL"/>
    <n v="0.83350000000000013"/>
    <x v="0"/>
    <x v="4"/>
    <n v="16.670000000000002"/>
    <s v="Deal"/>
    <m/>
    <s v="Original Amount [EUR 20], Merchant Amount [EUR 20], Customer Amount [GBP 16.67], Status [APPROVED], Operation [3DAUTH], UUID [3629158-1458736091-212] [23/03/2016 at 12:28:00]"/>
  </r>
  <r>
    <s v="3629164-1458736103-216"/>
    <s v="Spot"/>
    <s v="3629164-1458736103-216"/>
    <n v="0"/>
    <d v="2016-03-31T00:00:00"/>
    <x v="148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164-1458736103-216] [23/03/2016 at 12:28:00]"/>
  </r>
  <r>
    <s v="3629134-1458736062-82"/>
    <s v="Spot"/>
    <s v="3629134-1458736062-82"/>
    <n v="0"/>
    <d v="2016-03-31T00:00:00"/>
    <x v="1483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9134-1458736062-82] [23/03/2016 at 12:27:00]"/>
  </r>
  <r>
    <s v="3629131-1458736057-145"/>
    <s v="Spot"/>
    <s v="3629131-1458736057-145"/>
    <n v="0"/>
    <d v="2016-03-31T00:00:00"/>
    <x v="1484"/>
    <s v="145"/>
    <s v="SELL"/>
    <n v="9.9663310258023916"/>
    <x v="0"/>
    <x v="1"/>
    <n v="633.46"/>
    <s v="Deal"/>
    <m/>
    <s v="Original Amount [EUR 63.56], Merchant Amount [EUR 63.56], Customer Amount [NOK 633.46], Status [APPROVED], Operation [DIRECT], UUID [3629131-1458736057-145] [23/03/2016 at 12:27:00]"/>
  </r>
  <r>
    <s v="3629128-1458736056-200"/>
    <s v="Spot"/>
    <s v="3629128-1458736056-200"/>
    <n v="0"/>
    <d v="2016-03-31T00:00:00"/>
    <x v="1485"/>
    <s v="200"/>
    <s v="SELL"/>
    <n v="9.9662864963503655"/>
    <x v="0"/>
    <x v="1"/>
    <n v="2184.61"/>
    <s v="Deal"/>
    <m/>
    <s v="Original Amount [EUR 219.2], Merchant Amount [EUR 219.2], Customer Amount [NOK 2184.61], Status [APPROVED], Operation [STORED], UUID [3629128-1458736056-200] [23/03/2016 at 12:27:00]"/>
  </r>
  <r>
    <s v="3629110-1458736040-119"/>
    <s v="Spot"/>
    <s v="3629110-1458736040-119"/>
    <n v="0"/>
    <d v="2016-03-31T00:00:00"/>
    <x v="1486"/>
    <s v="119"/>
    <s v="SELL"/>
    <n v="9.9670000000000005"/>
    <x v="0"/>
    <x v="1"/>
    <n v="99.67"/>
    <s v="Deal"/>
    <m/>
    <s v="Original Amount [EUR 10], Merchant Amount [EUR 10], Customer Amount [NOK 99.67], Status [APPROVED], Operation [DIRECT], UUID [3629110-1458736040-119] [23/03/2016 at 12:27:00]"/>
  </r>
  <r>
    <s v="3629122-1458736053-216"/>
    <s v="Spot"/>
    <s v="3629122-1458736053-216"/>
    <n v="0"/>
    <d v="2016-03-31T00:00:00"/>
    <x v="1487"/>
    <s v="216"/>
    <s v="SELL"/>
    <n v="3.397265549778548"/>
    <x v="0"/>
    <x v="0"/>
    <n v="529.26"/>
    <s v="Deal"/>
    <m/>
    <s v="Original Amount [EUR 155.79], Merchant Amount [EUR 155.79], Customer Amount [TRY 529.26], Status [APPROVED], Operation [3DAUTH], UUID [3629122-1458736053-216] [23/03/2016 at 12:27:00]"/>
  </r>
  <r>
    <s v="3629095-1458736017-199"/>
    <s v="Spot"/>
    <s v="3629095-1458736017-199"/>
    <n v="0"/>
    <d v="2016-03-31T00:00:00"/>
    <x v="148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29095-1458736017-199] [23/03/2016 at 12:26:00]"/>
  </r>
  <r>
    <s v="3629089-1458736001-261"/>
    <s v="Spot"/>
    <s v="3629089-1458736001-261"/>
    <n v="0"/>
    <d v="2016-03-31T00:00:00"/>
    <x v="1489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29089-1458736001-261] [23/03/2016 at 12:26:00]"/>
  </r>
  <r>
    <s v="3629077-1458735981-82"/>
    <s v="Spot"/>
    <s v="3629077-1458735981-82"/>
    <n v="0"/>
    <d v="2016-03-31T00:00:00"/>
    <x v="149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9077-1458735981-82] [23/03/2016 at 12:26:00]"/>
  </r>
  <r>
    <s v="3629074-1458735981-82"/>
    <s v="Spot"/>
    <s v="3629074-1458735981-82"/>
    <n v="0"/>
    <d v="2016-03-31T00:00:00"/>
    <x v="1491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9074-1458735981-82] [23/03/2016 at 12:26:00]"/>
  </r>
  <r>
    <s v="3629086-1458735995-216"/>
    <s v="Spot"/>
    <s v="3629086-1458735995-216"/>
    <n v="0"/>
    <d v="2016-03-31T00:00:00"/>
    <x v="1492"/>
    <s v="216"/>
    <s v="SELL"/>
    <n v="3.3973162193698947"/>
    <x v="0"/>
    <x v="0"/>
    <n v="58.23"/>
    <s v="Deal"/>
    <m/>
    <s v="Original Amount [EUR 17.14], Merchant Amount [EUR 17.14], Customer Amount [TRY 58.23], Status [APPROVED], Operation [3DAUTH], UUID [3629086-1458735995-216] [23/03/2016 at 12:26:00]"/>
  </r>
  <r>
    <s v="3629062-1458735960-216"/>
    <s v="Spot"/>
    <s v="3629062-1458735960-216"/>
    <n v="0"/>
    <d v="2016-03-31T00:00:00"/>
    <x v="1493"/>
    <s v="216"/>
    <s v="SELL"/>
    <n v="3.3978001833180569"/>
    <x v="0"/>
    <x v="0"/>
    <n v="37.07"/>
    <s v="Deal"/>
    <m/>
    <s v="Original Amount [EUR 10.91], Merchant Amount [EUR 10.91], Customer Amount [TRY 37.07], Status [WAITING], Operation [3D], UUID [3629062-1458735960-216] [23/03/2016 at 12:26:00]"/>
  </r>
  <r>
    <s v="3629059-1458735957-224"/>
    <s v="Spot"/>
    <s v="3629059-1458735957-224"/>
    <n v="0"/>
    <d v="2016-03-31T00:00:00"/>
    <x v="1494"/>
    <s v="224"/>
    <s v="SELL"/>
    <n v="133.03564247852313"/>
    <x v="0"/>
    <x v="3"/>
    <n v="7278.38"/>
    <s v="Deal"/>
    <m/>
    <s v="Original Amount [EUR 54.71], Merchant Amount [EUR 54.71], Customer Amount [JPY 7278.38], Status [APPROVED], Operation [DIRECT], UUID [3629059-1458735957-224] [23/03/2016 at 12:25:00]"/>
  </r>
  <r>
    <s v="3629050-1458735939-145"/>
    <s v="Spot"/>
    <s v="3629050-1458735939-145"/>
    <n v="0"/>
    <d v="2016-03-31T00:00:00"/>
    <x v="1495"/>
    <s v="145"/>
    <s v="SELL"/>
    <n v="9.9664936290703157"/>
    <x v="0"/>
    <x v="1"/>
    <n v="422.38"/>
    <s v="Deal"/>
    <m/>
    <s v="Original Amount [EUR 42.38], Merchant Amount [EUR 42.38], Customer Amount [NOK 422.38], Status [APPROVED], Operation [DIRECT], UUID [3629050-1458735939-145] [23/03/2016 at 12:25:00]"/>
  </r>
  <r>
    <s v="3629065-1458735971-203"/>
    <s v="Spot"/>
    <s v="3629065-1458735971-203"/>
    <n v="0"/>
    <d v="2016-03-31T00:00:00"/>
    <x v="1496"/>
    <s v="203"/>
    <s v="SELL"/>
    <n v="3.3976539589442813"/>
    <x v="0"/>
    <x v="0"/>
    <n v="57.93"/>
    <s v="Deal"/>
    <m/>
    <s v="Original Amount [EUR 17.05], Merchant Amount [EUR 17.05], Customer Amount [TRY 57.93], Status [APPROVED], Operation [3DAUTH], UUID [3629065-1458735971-203] [23/03/2016 at 12:26:00]"/>
  </r>
  <r>
    <s v="3629038-1458735921-119"/>
    <s v="Spot"/>
    <s v="3629038-1458735921-119"/>
    <n v="0"/>
    <d v="2016-03-31T00:00:00"/>
    <x v="1497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9038-1458735921-119] [23/03/2016 at 12:25:00]"/>
  </r>
  <r>
    <s v="3629032-1458735912-119"/>
    <s v="Spot"/>
    <s v="3629032-1458735912-119"/>
    <n v="0"/>
    <d v="2016-03-31T00:00:00"/>
    <x v="149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9032-1458735912-119] [23/03/2016 at 12:25:00]"/>
  </r>
  <r>
    <s v="3629029-1458735907-145"/>
    <s v="Spot"/>
    <s v="3629029-1458735907-145"/>
    <n v="0"/>
    <d v="2016-03-31T00:00:00"/>
    <x v="1499"/>
    <s v="145"/>
    <s v="SELL"/>
    <n v="9.9663336741917732"/>
    <x v="0"/>
    <x v="1"/>
    <n v="1267.02"/>
    <s v="Deal"/>
    <m/>
    <s v="Original Amount [EUR 127.13], Merchant Amount [EUR 127.13], Customer Amount [NOK 1267.02], Status [APPROVED], Operation [DIRECT], UUID [3629029-1458735907-145] [23/03/2016 at 12:25:00]"/>
  </r>
  <r>
    <s v="3629047-1458735933-216"/>
    <s v="Spot"/>
    <s v="3629047-1458735933-216"/>
    <n v="0"/>
    <d v="2016-03-31T00:00:00"/>
    <x v="1500"/>
    <s v="216"/>
    <s v="SELL"/>
    <n v="3.3972712680577843"/>
    <x v="0"/>
    <x v="0"/>
    <n v="42.33"/>
    <s v="Deal"/>
    <m/>
    <s v="Original Amount [EUR 12.46], Merchant Amount [EUR 12.46], Customer Amount [TRY 42.33], Status [APPROVED], Operation [3DAUTH], UUID [3629047-1458735933-216] [23/03/2016 at 12:25:00]"/>
  </r>
  <r>
    <s v="3629014-1458735901-224"/>
    <s v="Spot"/>
    <s v="3629014-1458735901-224"/>
    <n v="0"/>
    <d v="2016-03-31T00:00:00"/>
    <x v="1501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29014-1458735901-224] [23/03/2016 at 12:25:00]"/>
  </r>
  <r>
    <s v="3629008-1458735900-107"/>
    <s v="Spot"/>
    <s v="3629008-1458735900-107"/>
    <n v="0"/>
    <d v="2016-03-31T00:00:00"/>
    <x v="1502"/>
    <s v="107"/>
    <s v="SELL"/>
    <n v="3.3974792499231476"/>
    <x v="0"/>
    <x v="0"/>
    <n v="110.52"/>
    <s v="Deal"/>
    <m/>
    <s v="Original Amount [EUR 32.53], Merchant Amount [EUR 32.53], Customer Amount [TRY 110.52], Status [APPROVED], Operation [3DAUTH], UUID [3629008-1458735900-107] [23/03/2016 at 12:25:00]"/>
  </r>
  <r>
    <s v="3628996-1458735866-241"/>
    <s v="Spot"/>
    <s v="3628996-1458735866-241"/>
    <n v="0"/>
    <d v="2016-03-31T00:00:00"/>
    <x v="1503"/>
    <s v="241"/>
    <s v="SELL"/>
    <n v="9.7350940376150472"/>
    <x v="0"/>
    <x v="12"/>
    <n v="243.28"/>
    <s v="Deal"/>
    <m/>
    <s v="Original Amount [EUR 24.99], Merchant Amount [EUR 24.99], Customer Amount [SEK 243.28], Status [APPROVED], Operation [DIRECT], UUID [3628996-1458735866-241] [23/03/2016 at 12:24:00]"/>
  </r>
  <r>
    <s v="3628987-1458735862-224"/>
    <s v="Spot"/>
    <s v="3628987-1458735862-224"/>
    <n v="0"/>
    <d v="2016-03-31T00:00:00"/>
    <x v="1504"/>
    <s v="224"/>
    <s v="SELL"/>
    <n v="133.03550913838123"/>
    <x v="0"/>
    <x v="3"/>
    <n v="5095.26"/>
    <s v="Deal"/>
    <m/>
    <s v="Original Amount [EUR 38.3], Merchant Amount [EUR 38.3], Customer Amount [JPY 5095.26], Status [APPROVED], Operation [DIRECT], UUID [3628987-1458735862-224] [23/03/2016 at 12:24:00]"/>
  </r>
  <r>
    <s v="3628984-1458735861-238"/>
    <s v="Spot"/>
    <s v="3628984-1458735861-238"/>
    <n v="0"/>
    <d v="2016-03-31T00:00:00"/>
    <x v="150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984-1458735861-238] [23/03/2016 at 12:24:00]"/>
  </r>
  <r>
    <s v="3628981-1458735861-199"/>
    <s v="Spot"/>
    <s v="3628981-1458735861-199"/>
    <n v="0"/>
    <d v="2016-03-31T00:00:00"/>
    <x v="1506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28981-1458735861-199] [23/03/2016 at 12:24:00]"/>
  </r>
  <r>
    <s v="3628975-1458735855-200"/>
    <s v="Spot"/>
    <s v="3628975-1458735855-200"/>
    <n v="0"/>
    <d v="2016-03-31T00:00:00"/>
    <x v="1507"/>
    <s v="200"/>
    <s v="SELL"/>
    <n v="9.966562639322337"/>
    <x v="0"/>
    <x v="1"/>
    <n v="223.55"/>
    <s v="Deal"/>
    <m/>
    <s v="Original Amount [EUR 22.43], Merchant Amount [EUR 22.43], Customer Amount [NOK 223.55], Status [APPROVED], Operation [STORED], UUID [3628975-1458735855-200] [23/03/2016 at 12:24:00]"/>
  </r>
  <r>
    <s v="3628972-1458735849-200"/>
    <s v="Spot"/>
    <s v="3628972-1458735849-200"/>
    <n v="0"/>
    <d v="2016-03-31T00:00:00"/>
    <x v="1508"/>
    <s v="200"/>
    <s v="SELL"/>
    <n v="9.9663290446208599"/>
    <x v="0"/>
    <x v="1"/>
    <n v="1092.21"/>
    <s v="Deal"/>
    <m/>
    <s v="Original Amount [EUR 109.59], Merchant Amount [EUR 109.59], Customer Amount [NOK 1092.21], Status [APPROVED], Operation [STORED], UUID [3628972-1458735849-200] [23/03/2016 at 12:24:00]"/>
  </r>
  <r>
    <s v="3628969-1458735847-200"/>
    <s v="Spot"/>
    <s v="3628969-1458735847-200"/>
    <n v="0"/>
    <d v="2016-03-31T00:00:00"/>
    <x v="1509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28969-1458735847-200] [23/03/2016 at 12:24:00]"/>
  </r>
  <r>
    <s v="3628957-1458735827-171"/>
    <s v="Spot"/>
    <s v="3628957-1458735827-171"/>
    <n v="0"/>
    <d v="2016-03-31T00:00:00"/>
    <x v="1510"/>
    <s v="171"/>
    <s v="SELL"/>
    <n v="1.5438081253059226"/>
    <x v="0"/>
    <x v="2"/>
    <n v="31.54"/>
    <s v="Deal"/>
    <m/>
    <s v="Original Amount [EUR 20.43], Merchant Amount [EUR 20.43], Customer Amount [CAD 31.54], Status [APPROVED], Operation [DIRECT], UUID [3628957-1458735827-171] [23/03/2016 at 12:23:00]"/>
  </r>
  <r>
    <s v="3628978-1458735855-216"/>
    <s v="Spot"/>
    <s v="3628978-1458735855-216"/>
    <n v="0"/>
    <d v="2016-03-31T00:00:00"/>
    <x v="1511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8978-1458735855-216] [23/03/2016 at 12:24:00]"/>
  </r>
  <r>
    <s v="3628948-1458735806-199"/>
    <s v="Spot"/>
    <s v="3628948-1458735806-199"/>
    <n v="0"/>
    <d v="2016-03-31T00:00:00"/>
    <x v="1512"/>
    <s v="199"/>
    <s v="SELL"/>
    <n v="9.9415532425940754"/>
    <x v="0"/>
    <x v="1"/>
    <n v="124.17"/>
    <s v="Deal"/>
    <m/>
    <s v="Original Amount [EUR 12.49], Merchant Amount [EUR 12.49], Customer Amount [NOK 124.17], Status [APPROVED], Operation [DIRECT], UUID [3628948-1458735806-199] [23/03/2016 at 12:23:00]"/>
  </r>
  <r>
    <s v="3628945-1458735805-199"/>
    <s v="Spot"/>
    <s v="3628945-1458735805-199"/>
    <n v="0"/>
    <d v="2016-03-31T00:00:00"/>
    <x v="1513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8945-1458735805-199] [23/03/2016 at 12:23:00]"/>
  </r>
  <r>
    <s v="3628942-1458735804-126"/>
    <s v="Spot"/>
    <s v="3628942-1458735804-126"/>
    <n v="0"/>
    <d v="2016-03-31T00:00:00"/>
    <x v="1514"/>
    <s v="126"/>
    <s v="SELL"/>
    <n v="9.9411382113821141"/>
    <x v="0"/>
    <x v="1"/>
    <n v="611.38"/>
    <s v="Deal"/>
    <m/>
    <s v="Original Amount [EUR 61.5], Merchant Amount [EUR 61.5], Customer Amount [NOK 611.38], Status [APPROVED], Operation [DIRECT], UUID [3628942-1458735804-126] [23/03/2016 at 12:23:00]"/>
  </r>
  <r>
    <s v="3628936-1458735797-199"/>
    <s v="Spot"/>
    <s v="3628936-1458735797-199"/>
    <n v="0"/>
    <d v="2016-03-31T00:00:00"/>
    <x v="1515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8936-1458735797-199] [23/03/2016 at 12:23:00]"/>
  </r>
  <r>
    <s v="3628930-1458735792-126"/>
    <s v="Spot"/>
    <s v="3628930-1458735792-126"/>
    <n v="0"/>
    <d v="2016-03-31T00:00:00"/>
    <x v="1516"/>
    <s v="126"/>
    <s v="SELL"/>
    <n v="9.9414634146341463"/>
    <x v="0"/>
    <x v="1"/>
    <n v="203.8"/>
    <s v="Deal"/>
    <m/>
    <s v="Original Amount [EUR 20.5], Merchant Amount [EUR 20.5], Customer Amount [NOK 203.8], Status [WAITING], Operation [3D], UUID [3628930-1458735792-126] [23/03/2016 at 12:23:00]"/>
  </r>
  <r>
    <s v="3628927-1458735791-145"/>
    <s v="Spot"/>
    <s v="3628927-1458735791-145"/>
    <n v="0"/>
    <d v="2016-03-31T00:00:00"/>
    <x v="1517"/>
    <s v="145"/>
    <s v="SELL"/>
    <n v="1.5436055019022532"/>
    <x v="0"/>
    <x v="2"/>
    <n v="105.49"/>
    <s v="Deal"/>
    <m/>
    <s v="Original Amount [EUR 68.34], Merchant Amount [EUR 68.34], Customer Amount [CAD 105.49], Status [APPROVED], Operation [DIRECT], UUID [3628927-1458735791-145] [23/03/2016 at 12:23:00]"/>
  </r>
  <r>
    <s v="3628906-1458735762-199"/>
    <s v="Spot"/>
    <s v="3628906-1458735762-199"/>
    <n v="0"/>
    <d v="2016-03-31T00:00:00"/>
    <x v="1518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8906-1458735762-199] [23/03/2016 at 12:22:00]"/>
  </r>
  <r>
    <s v="3628921-1458735788-216"/>
    <s v="Spot"/>
    <s v="3628921-1458735788-216"/>
    <n v="0"/>
    <d v="2016-03-31T00:00:00"/>
    <x v="1519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28921-1458735788-216] [23/03/2016 at 12:23:00]"/>
  </r>
  <r>
    <s v="3628879-1458735731-224"/>
    <s v="Spot"/>
    <s v="3628879-1458735731-224"/>
    <n v="0"/>
    <d v="2016-03-31T00:00:00"/>
    <x v="1520"/>
    <s v="224"/>
    <s v="SELL"/>
    <n v="132.83272394881172"/>
    <x v="0"/>
    <x v="3"/>
    <n v="1453.19"/>
    <s v="Deal"/>
    <m/>
    <s v="Original Amount [EUR 10.94], Merchant Amount [EUR 10.94], Customer Amount [JPY 1453.19], Status [APPROVED], Operation [DIRECT], UUID [3628879-1458735731-224] [23/03/2016 at 12:22:00]"/>
  </r>
  <r>
    <s v="3628897-1458735743-216"/>
    <s v="Spot"/>
    <s v="3628897-1458735743-216"/>
    <n v="0"/>
    <d v="2016-03-31T00:00:00"/>
    <x v="1521"/>
    <s v="216"/>
    <s v="SELL"/>
    <n v="3.3975308641975306"/>
    <x v="0"/>
    <x v="0"/>
    <n v="68.8"/>
    <s v="Deal"/>
    <m/>
    <s v="Original Amount [EUR 20.25], Merchant Amount [EUR 20.25], Customer Amount [TRY 68.8], Status [APPROVED], Operation [3DAUTH], UUID [3628897-1458735743-216] [23/03/2016 at 12:22:00]"/>
  </r>
  <r>
    <s v="3628873-1458735724-212"/>
    <s v="Spot"/>
    <s v="3628873-1458735724-212"/>
    <n v="0"/>
    <d v="2016-03-31T00:00:00"/>
    <x v="1522"/>
    <s v="212"/>
    <s v="SELL"/>
    <n v="0.83350000000000013"/>
    <x v="0"/>
    <x v="4"/>
    <n v="16.670000000000002"/>
    <s v="Deal"/>
    <m/>
    <s v="Original Amount [EUR 20], Merchant Amount [EUR 20], Customer Amount [GBP 16.67], Status [APPROVED], Operation [3DAUTH], UUID [3628873-1458735724-212] [23/03/2016 at 12:22:00]"/>
  </r>
  <r>
    <s v="3628855-1458735713-224"/>
    <s v="Spot"/>
    <s v="3628855-1458735713-224"/>
    <n v="0"/>
    <d v="2016-03-31T00:00:00"/>
    <x v="1523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8855-1458735713-224] [23/03/2016 at 12:21:00]"/>
  </r>
  <r>
    <s v="3628849-1458735712-107"/>
    <s v="Spot"/>
    <s v="3628849-1458735712-107"/>
    <n v="0"/>
    <d v="2016-03-31T00:00:00"/>
    <x v="1524"/>
    <s v="107"/>
    <s v="SELL"/>
    <n v="3.3972455347536048"/>
    <x v="0"/>
    <x v="0"/>
    <n v="315.74"/>
    <s v="Deal"/>
    <m/>
    <s v="Original Amount [EUR 92.94], Merchant Amount [EUR 92.94], Customer Amount [TRY 315.74], Status [WAITING], Operation [3D], UUID [3628849-1458735712-107] [23/03/2016 at 12:21:00]"/>
  </r>
  <r>
    <s v="3628846-1458735697-200"/>
    <s v="Spot"/>
    <s v="3628846-1458735697-200"/>
    <n v="0"/>
    <d v="2016-03-31T00:00:00"/>
    <x v="1525"/>
    <s v="200"/>
    <s v="SELL"/>
    <n v="9.9411442649876811"/>
    <x v="0"/>
    <x v="1"/>
    <n v="1089.45"/>
    <s v="Deal"/>
    <m/>
    <s v="Original Amount [EUR 109.59], Merchant Amount [EUR 109.59], Customer Amount [NOK 1089.45], Status [APPROVED], Operation [STORED], UUID [3628846-1458735697-200] [23/03/2016 at 12:21:00]"/>
  </r>
  <r>
    <s v="3628843-1458735697-200"/>
    <s v="Spot"/>
    <s v="3628843-1458735697-200"/>
    <n v="0"/>
    <d v="2016-03-31T00:00:00"/>
    <x v="1526"/>
    <s v="200"/>
    <s v="SELL"/>
    <n v="9.941058394160585"/>
    <x v="0"/>
    <x v="1"/>
    <n v="544.77"/>
    <s v="Deal"/>
    <m/>
    <s v="Original Amount [EUR 54.8], Merchant Amount [EUR 54.8], Customer Amount [NOK 544.77], Status [APPROVED], Operation [STORED], UUID [3628843-1458735697-200] [23/03/2016 at 12:21:00]"/>
  </r>
  <r>
    <s v="3628831-1458735687-224"/>
    <s v="Spot"/>
    <s v="3628831-1458735687-224"/>
    <n v="0"/>
    <d v="2016-03-31T00:00:00"/>
    <x v="1527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28831-1458735687-224] [23/03/2016 at 12:21:00]"/>
  </r>
  <r>
    <s v="3628822-1458735672-200"/>
    <s v="Spot"/>
    <s v="3628822-1458735672-200"/>
    <n v="0"/>
    <d v="2016-03-31T00:00:00"/>
    <x v="1528"/>
    <s v="200"/>
    <s v="SELL"/>
    <n v="9.941058394160585"/>
    <x v="0"/>
    <x v="1"/>
    <n v="2179.08"/>
    <s v="Deal"/>
    <m/>
    <s v="Original Amount [EUR 219.2], Merchant Amount [EUR 219.2], Customer Amount [NOK 2179.08], Status [APPROVED], Operation [STORED], UUID [3628822-1458735672-200] [23/03/2016 at 12:21:00]"/>
  </r>
  <r>
    <s v="3628819-1458735671-124"/>
    <s v="Spot"/>
    <s v="3628819-1458735671-124"/>
    <n v="0"/>
    <d v="2016-03-31T00:00:00"/>
    <x v="1529"/>
    <s v="124"/>
    <s v="SELL"/>
    <n v="9.9414357682619645"/>
    <x v="0"/>
    <x v="1"/>
    <n v="157.87"/>
    <s v="Deal"/>
    <m/>
    <s v="Original Amount [EUR 15.88], Merchant Amount [EUR 15.88], Customer Amount [NOK 157.87], Status [APPROVED], Operation [DIRECT], UUID [3628819-1458735671-124] [23/03/2016 at 12:21:00]"/>
  </r>
  <r>
    <s v="3628834-1458735688-216"/>
    <s v="Spot"/>
    <s v="3628834-1458735688-216"/>
    <n v="0"/>
    <d v="2016-03-31T00:00:00"/>
    <x v="1530"/>
    <s v="216"/>
    <s v="SELL"/>
    <n v="3.3971836819217232"/>
    <x v="0"/>
    <x v="0"/>
    <n v="164.05"/>
    <s v="Deal"/>
    <m/>
    <s v="Original Amount [EUR 48.29], Merchant Amount [EUR 48.29], Customer Amount [TRY 164.05], Status [APPROVED], Operation [3DAUTH], UUID [3628834-1458735688-216] [23/03/2016 at 12:21:00]"/>
  </r>
  <r>
    <s v="3628786-1458735638-119"/>
    <s v="Spot"/>
    <s v="3628786-1458735638-119"/>
    <n v="0"/>
    <d v="2016-03-31T00:00:00"/>
    <x v="1531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8786-1458735638-119] [23/03/2016 at 12:20:00]"/>
  </r>
  <r>
    <s v="3628816-1458735670-216"/>
    <s v="Spot"/>
    <s v="3628816-1458735670-216"/>
    <n v="0"/>
    <d v="2016-03-31T00:00:00"/>
    <x v="1532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28816-1458735670-216] [23/03/2016 at 12:21:00]"/>
  </r>
  <r>
    <s v="3628801-1458735664-216"/>
    <s v="Spot"/>
    <s v="3628801-1458735664-216"/>
    <n v="0"/>
    <d v="2016-03-31T00:00:00"/>
    <x v="1533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8801-1458735664-216] [23/03/2016 at 12:21:00]"/>
  </r>
  <r>
    <s v="3628771-1458735628-125"/>
    <s v="Spot"/>
    <s v="3628771-1458735628-125"/>
    <n v="0"/>
    <d v="2016-03-31T00:00:00"/>
    <x v="1534"/>
    <s v="125"/>
    <s v="SELL"/>
    <n v="132.83246153846156"/>
    <x v="0"/>
    <x v="3"/>
    <n v="17268.22"/>
    <s v="Deal"/>
    <m/>
    <s v="Original Amount [EUR 130], Merchant Amount [EUR 130], Customer Amount [JPY 17268.22], Status [APPROVED], Operation [DIRECT], UUID [3628771-1458735628-125] [23/03/2016 at 12:20:00]"/>
  </r>
  <r>
    <s v="3628807-1458735665-203"/>
    <s v="Spot"/>
    <s v="3628807-1458735665-203"/>
    <n v="0"/>
    <d v="2016-03-31T00:00:00"/>
    <x v="1535"/>
    <s v="203"/>
    <s v="SELL"/>
    <n v="3.3970967741935483"/>
    <x v="0"/>
    <x v="0"/>
    <n v="105.31"/>
    <s v="Deal"/>
    <m/>
    <s v="Original Amount [EUR 31], Merchant Amount [EUR 31], Customer Amount [TRY 105.31], Status [APPROVED], Operation [3DAUTH], UUID [3628807-1458735665-203] [23/03/2016 at 12:21:00]"/>
  </r>
  <r>
    <s v="3628762-1458735620-82"/>
    <s v="Spot"/>
    <s v="3628762-1458735620-82"/>
    <n v="0"/>
    <d v="2016-03-31T00:00:00"/>
    <x v="1536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8762-1458735620-82] [23/03/2016 at 12:20:00]"/>
  </r>
  <r>
    <s v="3628810-1458735665-107"/>
    <s v="Spot"/>
    <s v="3628810-1458735665-107"/>
    <n v="0"/>
    <d v="2016-03-31T00:00:00"/>
    <x v="1537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8810-1458735665-107] [23/03/2016 at 12:21:00]"/>
  </r>
  <r>
    <s v="3628747-1458735616-82"/>
    <s v="Spot"/>
    <s v="3628747-1458735616-82"/>
    <n v="0"/>
    <d v="2016-03-31T00:00:00"/>
    <x v="1538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8747-1458735616-82] [23/03/2016 at 12:20:00]"/>
  </r>
  <r>
    <s v="3628777-1458735631-56"/>
    <s v="Spot"/>
    <s v="3628777-1458735631-56"/>
    <n v="0"/>
    <d v="2016-03-31T00:00:00"/>
    <x v="1539"/>
    <s v="56"/>
    <s v="SELL"/>
    <n v="3.3975"/>
    <x v="0"/>
    <x v="0"/>
    <n v="27.18"/>
    <s v="Deal"/>
    <m/>
    <s v="Original Amount [EUR 8], Merchant Amount [EUR 8], Customer Amount [TRY 27.18], Status [APPROVED], Operation [3DAUTH], UUID [3628777-1458735631-56] [23/03/2016 at 12:20:00]"/>
  </r>
  <r>
    <s v="3628729-1458735588-199"/>
    <s v="Spot"/>
    <s v="3628729-1458735588-199"/>
    <n v="0"/>
    <d v="2016-03-31T00:00:00"/>
    <x v="1540"/>
    <s v="199"/>
    <s v="SELL"/>
    <n v="9.9410862227677192"/>
    <x v="0"/>
    <x v="1"/>
    <n v="323.98"/>
    <s v="Deal"/>
    <m/>
    <s v="Original Amount [EUR 32.59], Merchant Amount [EUR 32.59], Customer Amount [NOK 323.98], Status [APPROVED], Operation [DIRECT], UUID [3628729-1458735588-199] [23/03/2016 at 12:19:00]"/>
  </r>
  <r>
    <s v="3628744-1458735608-56"/>
    <s v="Spot"/>
    <s v="3628744-1458735608-56"/>
    <n v="0"/>
    <d v="2016-03-31T00:00:00"/>
    <x v="1541"/>
    <s v="56"/>
    <s v="SELL"/>
    <n v="3.3975"/>
    <x v="0"/>
    <x v="0"/>
    <n v="27.18"/>
    <s v="Deal"/>
    <m/>
    <s v="Original Amount [EUR 8], Merchant Amount [EUR 8], Customer Amount [TRY 27.18], Status [APPROVED], Operation [3DAUTH], UUID [3628744-1458735608-56] [23/03/2016 at 12:20:00]"/>
  </r>
  <r>
    <s v="3628711-1458735573-199"/>
    <s v="Spot"/>
    <s v="3628711-1458735573-199"/>
    <n v="0"/>
    <d v="2016-03-31T00:00:00"/>
    <x v="1542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8711-1458735573-199] [23/03/2016 at 12:19:00]"/>
  </r>
  <r>
    <s v="3628732-1458735594-216"/>
    <s v="Spot"/>
    <s v="3628732-1458735594-216"/>
    <n v="0"/>
    <d v="2016-03-31T00:00:00"/>
    <x v="1543"/>
    <s v="216"/>
    <s v="SELL"/>
    <n v="3.3973436635307137"/>
    <x v="0"/>
    <x v="0"/>
    <n v="61.39"/>
    <s v="Deal"/>
    <m/>
    <s v="Original Amount [EUR 18.07], Merchant Amount [EUR 18.07], Customer Amount [TRY 61.39], Status [APPROVED], Operation [3DAUTH], UUID [3628732-1458735594-216] [23/03/2016 at 12:19:00]"/>
  </r>
  <r>
    <s v="3628687-1458735552-238"/>
    <s v="Spot"/>
    <s v="3628687-1458735552-238"/>
    <n v="0"/>
    <d v="2016-03-31T00:00:00"/>
    <x v="1544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687-1458735552-238] [23/03/2016 at 12:19:00]"/>
  </r>
  <r>
    <s v="3628678-1458735543-224"/>
    <s v="Spot"/>
    <s v="3628678-1458735543-224"/>
    <n v="0"/>
    <d v="2016-03-31T00:00:00"/>
    <x v="1545"/>
    <s v="224"/>
    <s v="SELL"/>
    <n v="132.8324562477053"/>
    <x v="0"/>
    <x v="3"/>
    <n v="10853.74"/>
    <s v="Deal"/>
    <m/>
    <s v="Original Amount [EUR 81.71], Merchant Amount [EUR 81.71], Customer Amount [JPY 10853.74], Status [APPROVED], Operation [DIRECT], UUID [3628678-1458735543-224] [23/03/2016 at 12:19:00]"/>
  </r>
  <r>
    <s v="3628696-1458735561-101"/>
    <s v="Spot"/>
    <s v="3628696-1458735561-101"/>
    <n v="0"/>
    <d v="2016-03-31T00:00:00"/>
    <x v="1546"/>
    <s v="101"/>
    <s v="SELL"/>
    <n v="3.3971843987999075"/>
    <x v="0"/>
    <x v="0"/>
    <n v="147.19999999999999"/>
    <s v="Deal"/>
    <m/>
    <s v="Original Amount [EUR 43.33], Merchant Amount [EUR 43.33], Customer Amount [TRY 147.2], Status [APPROVED], Operation [3DAUTH], UUID [3628696-1458735561-101] [23/03/2016 at 12:19:00]"/>
  </r>
  <r>
    <s v="3628693-1458735559-150"/>
    <s v="Spot"/>
    <s v="3628693-1458735559-150"/>
    <n v="0"/>
    <d v="2016-03-31T00:00:00"/>
    <x v="1547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8693-1458735559-150] [23/03/2016 at 12:19:00]"/>
  </r>
  <r>
    <s v="3628717-1458735574-203"/>
    <s v="Spot"/>
    <s v="3628717-1458735574-203"/>
    <n v="0"/>
    <d v="2016-03-31T00:00:00"/>
    <x v="1548"/>
    <s v="203"/>
    <s v="SELL"/>
    <n v="3.3972043010752686"/>
    <x v="0"/>
    <x v="0"/>
    <n v="157.97"/>
    <s v="Deal"/>
    <m/>
    <s v="Original Amount [EUR 46.5], Merchant Amount [EUR 46.5], Customer Amount [TRY 157.97], Status [APPROVED], Operation [3DAUTH], UUID [3628717-1458735574-203] [23/03/2016 at 12:19:00]"/>
  </r>
  <r>
    <s v="3628660-1458735515-126"/>
    <s v="Spot"/>
    <s v="3628660-1458735515-126"/>
    <n v="0"/>
    <d v="2016-03-31T00:00:00"/>
    <x v="1549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8660-1458735515-126] [23/03/2016 at 12:18:00]"/>
  </r>
  <r>
    <s v="3628657-1458735515-224"/>
    <s v="Spot"/>
    <s v="3628657-1458735515-224"/>
    <n v="0"/>
    <d v="2016-03-31T00:00:00"/>
    <x v="1550"/>
    <s v="224"/>
    <s v="SELL"/>
    <n v="132.83257174191189"/>
    <x v="0"/>
    <x v="3"/>
    <n v="7267.27"/>
    <s v="Deal"/>
    <m/>
    <s v="Original Amount [EUR 54.71], Merchant Amount [EUR 54.71], Customer Amount [JPY 7267.27], Status [APPROVED], Operation [DIRECT], UUID [3628657-1458735515-224] [23/03/2016 at 12:18:00]"/>
  </r>
  <r>
    <s v="3628645-1458735493-216"/>
    <s v="Spot"/>
    <s v="3628645-1458735493-216"/>
    <n v="0"/>
    <d v="2016-03-31T00:00:00"/>
    <x v="1551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8645-1458735493-216] [23/03/2016 at 12:18:00]"/>
  </r>
  <r>
    <s v="3628654-1458735503-61"/>
    <s v="Spot"/>
    <s v="3628654-1458735503-61"/>
    <n v="0"/>
    <d v="2016-03-31T00:00:00"/>
    <x v="1552"/>
    <s v="61"/>
    <s v="SELL"/>
    <n v="9.9415000000000013"/>
    <x v="0"/>
    <x v="1"/>
    <n v="198.83"/>
    <s v="Deal"/>
    <m/>
    <s v="Original Amount [EUR 20], Merchant Amount [EUR 20], Customer Amount [NOK 198.83], Status [APPROVED], Operation [3DAUTH], UUID [3628654-1458735503-61] [23/03/2016 at 12:18:00]"/>
  </r>
  <r>
    <s v="3628648-1458735496-216"/>
    <s v="Spot"/>
    <s v="3628648-1458735496-216"/>
    <n v="0"/>
    <d v="2016-03-31T00:00:00"/>
    <x v="1553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648-1458735496-216] [23/03/2016 at 12:18:00]"/>
  </r>
  <r>
    <s v="3628627-1458735457-126"/>
    <s v="Spot"/>
    <s v="3628627-1458735457-126"/>
    <n v="0"/>
    <d v="2016-03-31T00:00:00"/>
    <x v="1554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8627-1458735457-126] [23/03/2016 at 12:17:00]"/>
  </r>
  <r>
    <s v="3628609-1458735441-119"/>
    <s v="Spot"/>
    <s v="3628609-1458735441-119"/>
    <n v="0"/>
    <d v="2016-03-31T00:00:00"/>
    <x v="1555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8609-1458735441-119] [23/03/2016 at 12:17:00]"/>
  </r>
  <r>
    <s v="3628597-1458735435-119"/>
    <s v="Spot"/>
    <s v="3628597-1458735435-119"/>
    <n v="0"/>
    <d v="2016-03-31T00:00:00"/>
    <x v="155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8597-1458735435-119] [23/03/2016 at 12:17:00]"/>
  </r>
  <r>
    <s v="3628594-1458735432-145"/>
    <s v="Spot"/>
    <s v="3628594-1458735432-145"/>
    <n v="0"/>
    <d v="2016-03-31T00:00:00"/>
    <x v="1557"/>
    <s v="145"/>
    <s v="SELL"/>
    <n v="9.9411209439528019"/>
    <x v="0"/>
    <x v="1"/>
    <n v="842.51"/>
    <s v="Deal"/>
    <m/>
    <s v="Original Amount [EUR 84.75], Merchant Amount [EUR 84.75], Customer Amount [NOK 842.51], Status [APPROVED], Operation [DIRECT], UUID [3628594-1458735432-145] [23/03/2016 at 12:17:00]"/>
  </r>
  <r>
    <s v="3628588-1458735422-82"/>
    <s v="Spot"/>
    <s v="3628588-1458735422-82"/>
    <n v="0"/>
    <d v="2016-03-31T00:00:00"/>
    <x v="1558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588-1458735422-82] [23/03/2016 at 12:17:00]"/>
  </r>
  <r>
    <s v="3628585-1458735422-171"/>
    <s v="Spot"/>
    <s v="3628585-1458735422-171"/>
    <n v="0"/>
    <d v="2016-03-31T00:00:00"/>
    <x v="1559"/>
    <s v="171"/>
    <s v="SELL"/>
    <n v="9.9412000000000003"/>
    <x v="0"/>
    <x v="1"/>
    <n v="497.06"/>
    <s v="Deal"/>
    <m/>
    <s v="Original Amount [EUR 50], Merchant Amount [EUR 50], Customer Amount [NOK 497.06], Status [APPROVED], Operation [DIRECT], UUID [3628585-1458735422-171] [23/03/2016 at 12:17:00]"/>
  </r>
  <r>
    <s v="3628621-1458735453-102"/>
    <s v="Spot"/>
    <s v="3628621-1458735453-102"/>
    <n v="0"/>
    <d v="2016-03-31T00:00:00"/>
    <x v="1560"/>
    <s v="102"/>
    <s v="SELL"/>
    <n v="3.3974193548387093"/>
    <x v="0"/>
    <x v="0"/>
    <n v="78.989999999999995"/>
    <s v="Deal"/>
    <m/>
    <s v="Original Amount [EUR 23.25], Merchant Amount [EUR 23.25], Customer Amount [TRY 78.99], Status [APPROVED], Operation [3DAUTH], UUID [3628621-1458735453-102] [23/03/2016 at 12:17:00]"/>
  </r>
  <r>
    <s v="3628573-1458735409-200"/>
    <s v="Spot"/>
    <s v="3628573-1458735409-200"/>
    <n v="0"/>
    <d v="2016-03-31T00:00:00"/>
    <x v="1561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8573-1458735409-200] [23/03/2016 at 12:16:00]"/>
  </r>
  <r>
    <s v="3628555-1458735375-187"/>
    <s v="Spot"/>
    <s v="3628555-1458735375-187"/>
    <n v="0"/>
    <d v="2016-03-31T00:00:00"/>
    <x v="1562"/>
    <s v="187"/>
    <s v="SELL"/>
    <n v="9.9410745233968818"/>
    <x v="0"/>
    <x v="1"/>
    <n v="1261.92"/>
    <s v="Deal"/>
    <m/>
    <s v="Original Amount [EUR 126.94], Merchant Amount [EUR 126.94], Customer Amount [NOK 1261.92], Status [APPROVED], Operation [DIRECT], UUID [3628555-1458735375-187] [23/03/2016 at 12:16:00]"/>
  </r>
  <r>
    <s v="3628552-1458735368-132"/>
    <s v="Spot"/>
    <s v="3628552-1458735368-132"/>
    <n v="0"/>
    <d v="2016-03-31T00:00:00"/>
    <x v="1563"/>
    <s v="132"/>
    <s v="SELL"/>
    <n v="9.7348749999999988"/>
    <x v="0"/>
    <x v="12"/>
    <n v="778.79"/>
    <s v="Deal"/>
    <m/>
    <s v="Original Amount [EUR 80], Merchant Amount [EUR 80], Customer Amount [SEK 778.79], Status [APPROVED], Operation [3DAUTH], UUID [3628552-1458735368-132] [23/03/2016 at 12:16:00]"/>
  </r>
  <r>
    <s v="3628537-1458735351-82"/>
    <s v="Spot"/>
    <s v="3628537-1458735351-82"/>
    <n v="0"/>
    <d v="2016-03-31T00:00:00"/>
    <x v="1564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8537-1458735351-82] [23/03/2016 at 12:15:00]"/>
  </r>
  <r>
    <s v="3628636-1458735469-102"/>
    <s v="Spot"/>
    <s v="3628636-1458735469-102"/>
    <n v="0"/>
    <d v="2016-03-31T00:00:00"/>
    <x v="1565"/>
    <s v="102"/>
    <s v="SELL"/>
    <n v="3.3975806451612902"/>
    <x v="0"/>
    <x v="0"/>
    <n v="42.13"/>
    <s v="Deal"/>
    <m/>
    <s v="Original Amount [EUR 12.4], Merchant Amount [EUR 12.4], Customer Amount [TRY 42.13], Status [APPROVED], Operation [3DAUTH], UUID [3628636-1458735469-102] [23/03/2016 at 12:17:00]"/>
  </r>
  <r>
    <s v="3628561-1458735382-119"/>
    <s v="Spot"/>
    <s v="3628561-1458735382-119"/>
    <n v="0"/>
    <d v="2016-03-31T00:00:00"/>
    <x v="1566"/>
    <s v="119"/>
    <s v="SELL"/>
    <n v="9.9412000000000003"/>
    <x v="0"/>
    <x v="1"/>
    <n v="497.06"/>
    <s v="Deal"/>
    <m/>
    <s v="Original Amount [EUR 50], Merchant Amount [EUR 50], Customer Amount [NOK 497.06], Status [APPROVED], Operation [3DAUTH], UUID [3628561-1458735382-119] [23/03/2016 at 12:16:00]"/>
  </r>
  <r>
    <s v="3628606-1458735440-56"/>
    <s v="Spot"/>
    <s v="3628606-1458735440-56"/>
    <n v="0"/>
    <d v="2016-03-31T00:00:00"/>
    <x v="1567"/>
    <s v="56"/>
    <s v="SELL"/>
    <n v="3.3970169961845298"/>
    <x v="0"/>
    <x v="0"/>
    <n v="489.68"/>
    <s v="Deal"/>
    <m/>
    <s v="Original Amount [EUR 144.15], Merchant Amount [EUR 144.15], Customer Amount [TRY 489.68], Status [APPROVED], Operation [3DAUTH], UUID [3628606-1458735440-56] [23/03/2016 at 12:17:00]"/>
  </r>
  <r>
    <s v="3628504-1458735318-200"/>
    <s v="Spot"/>
    <s v="3628504-1458735318-200"/>
    <n v="0"/>
    <d v="2016-03-31T00:00:00"/>
    <x v="1568"/>
    <s v="200"/>
    <s v="SELL"/>
    <n v="9.941058394160585"/>
    <x v="0"/>
    <x v="1"/>
    <n v="2179.08"/>
    <s v="Deal"/>
    <m/>
    <s v="Original Amount [EUR 219.2], Merchant Amount [EUR 219.2], Customer Amount [NOK 2179.08], Status [APPROVED], Operation [STORED], UUID [3628504-1458735318-200] [23/03/2016 at 12:15:00]"/>
  </r>
  <r>
    <s v="3628498-1458735317-126"/>
    <s v="Spot"/>
    <s v="3628498-1458735317-126"/>
    <n v="0"/>
    <d v="2016-03-31T00:00:00"/>
    <x v="1569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8498-1458735317-126] [23/03/2016 at 12:15:00]"/>
  </r>
  <r>
    <s v="3628492-1458735313-187"/>
    <s v="Spot"/>
    <s v="3628492-1458735313-187"/>
    <n v="0"/>
    <d v="2016-03-31T00:00:00"/>
    <x v="1570"/>
    <s v="187"/>
    <s v="SELL"/>
    <n v="9.9410897266230567"/>
    <x v="0"/>
    <x v="1"/>
    <n v="2629.12"/>
    <s v="Deal"/>
    <m/>
    <s v="Original Amount [EUR 264.47], Merchant Amount [EUR 264.47], Customer Amount [NOK 2629.12], Status [APPROVED], Operation [DIRECT], UUID [3628492-1458735313-187] [23/03/2016 at 12:15:00]"/>
  </r>
  <r>
    <s v="3628489-1458735312-224"/>
    <s v="Spot"/>
    <s v="3628489-1458735312-224"/>
    <n v="0"/>
    <d v="2016-03-31T00:00:00"/>
    <x v="1571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28489-1458735312-224] [23/03/2016 at 12:15:00]"/>
  </r>
  <r>
    <s v="3628519-1458735333-203"/>
    <s v="Spot"/>
    <s v="3628519-1458735333-203"/>
    <n v="0"/>
    <d v="2016-03-31T00:00:00"/>
    <x v="1572"/>
    <s v="203"/>
    <s v="SELL"/>
    <n v="3.3972043010752686"/>
    <x v="0"/>
    <x v="0"/>
    <n v="157.97"/>
    <s v="Deal"/>
    <m/>
    <s v="Original Amount [EUR 46.5], Merchant Amount [EUR 46.5], Customer Amount [TRY 157.97], Status [APPROVED], Operation [3DAUTH], UUID [3628519-1458735333-203] [23/03/2016 at 12:15:00]"/>
  </r>
  <r>
    <s v="3628483-1458735309-261"/>
    <s v="Spot"/>
    <s v="3628483-1458735309-261"/>
    <n v="0"/>
    <d v="2016-03-31T00:00:00"/>
    <x v="1573"/>
    <s v="261"/>
    <s v="SELL"/>
    <n v="9.9410637502336865"/>
    <x v="0"/>
    <x v="1"/>
    <n v="2126.9899999999998"/>
    <s v="Deal"/>
    <m/>
    <s v="Original Amount [EUR 213.96], Merchant Amount [EUR 213.96], Customer Amount [NOK 2126.99], Status [APPROVED], Operation [DIRECT], UUID [3628483-1458735309-261] [23/03/2016 at 12:15:00]"/>
  </r>
  <r>
    <s v="3628525-1458735335-216"/>
    <s v="Spot"/>
    <s v="3628525-1458735335-216"/>
    <n v="0"/>
    <d v="2016-03-31T00:00:00"/>
    <x v="1574"/>
    <s v="216"/>
    <s v="SELL"/>
    <n v="3.397110754414125"/>
    <x v="0"/>
    <x v="0"/>
    <n v="105.82"/>
    <s v="Deal"/>
    <m/>
    <s v="Original Amount [EUR 31.15], Merchant Amount [EUR 31.15], Customer Amount [TRY 105.82], Status [APPROVED], Operation [3DAUTH], UUID [3628525-1458735335-216] [23/03/2016 at 12:15:00]"/>
  </r>
  <r>
    <s v="3628531-1458735344-216"/>
    <s v="Spot"/>
    <s v="3628531-1458735344-216"/>
    <n v="0"/>
    <d v="2016-03-31T00:00:00"/>
    <x v="1575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531-1458735344-216] [23/03/2016 at 12:15:00]"/>
  </r>
  <r>
    <s v="3628468-1458735294-199"/>
    <s v="Spot"/>
    <s v="3628468-1458735294-199"/>
    <n v="0"/>
    <d v="2016-03-31T00:00:00"/>
    <x v="1576"/>
    <s v="199"/>
    <s v="SELL"/>
    <n v="9.95456217980772"/>
    <x v="0"/>
    <x v="1"/>
    <n v="10550.94"/>
    <s v="Deal"/>
    <m/>
    <s v="Original Amount [EUR 1059.91], Merchant Amount [EUR 1059.91], Customer Amount [NOK 10550.94], Status [APPROVED], Operation [DIRECT], UUID [3628468-1458735294-199] [23/03/2016 at 12:14:00]"/>
  </r>
  <r>
    <s v="3628501-1458735318-124"/>
    <s v="Spot"/>
    <s v="3628501-1458735318-124"/>
    <n v="0"/>
    <d v="2016-03-31T00:00:00"/>
    <x v="1577"/>
    <s v="124"/>
    <s v="SELL"/>
    <n v="9.9546341463414638"/>
    <x v="0"/>
    <x v="1"/>
    <n v="1224.42"/>
    <s v="Deal"/>
    <m/>
    <s v="Original Amount [EUR 123], Merchant Amount [EUR 123], Customer Amount [NOK 1224.42], Status [APPROVED], Operation [3DAUTH], UUID [3628501-1458735318-124] [23/03/2016 at 12:15:00]"/>
  </r>
  <r>
    <s v="3628507-1458735320-56"/>
    <s v="Spot"/>
    <s v="3628507-1458735320-56"/>
    <n v="0"/>
    <d v="2016-03-31T00:00:00"/>
    <x v="1578"/>
    <s v="56"/>
    <s v="SELL"/>
    <n v="3.3966593818295348"/>
    <x v="0"/>
    <x v="0"/>
    <n v="217.59"/>
    <s v="Deal"/>
    <m/>
    <s v="Original Amount [EUR 64.06], Merchant Amount [EUR 64.06], Customer Amount [TRY 217.59], Status [APPROVED], Operation [3DAUTH], UUID [3628507-1458735320-56] [23/03/2016 at 12:15:00]"/>
  </r>
  <r>
    <s v="3628435-1458735264-119"/>
    <s v="Spot"/>
    <s v="3628435-1458735264-119"/>
    <n v="0"/>
    <d v="2016-03-31T00:00:00"/>
    <x v="1579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8435-1458735264-119] [23/03/2016 at 12:14:00]"/>
  </r>
  <r>
    <s v="3628429-1458735262-216"/>
    <s v="Spot"/>
    <s v="3628429-1458735262-216"/>
    <n v="0"/>
    <d v="2016-03-31T00:00:00"/>
    <x v="1580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8429-1458735262-216] [23/03/2016 at 12:14:00]"/>
  </r>
  <r>
    <s v="3628450-1458735282-56"/>
    <s v="Spot"/>
    <s v="3628450-1458735282-56"/>
    <n v="0"/>
    <d v="2016-03-31T00:00:00"/>
    <x v="1581"/>
    <s v="56"/>
    <s v="SELL"/>
    <n v="3.3975"/>
    <x v="0"/>
    <x v="0"/>
    <n v="27.18"/>
    <s v="Deal"/>
    <m/>
    <s v="Original Amount [EUR 8], Merchant Amount [EUR 8], Customer Amount [TRY 27.18], Status [APPROVED], Operation [3DAUTH], UUID [3628450-1458735282-56] [23/03/2016 at 12:14:00]"/>
  </r>
  <r>
    <s v="3628453-1458735282-264"/>
    <s v="Spot"/>
    <s v="3628453-1458735282-264"/>
    <n v="0"/>
    <d v="2016-03-31T00:00:00"/>
    <x v="1582"/>
    <s v="264"/>
    <s v="SELL"/>
    <n v="3.3922829581993574"/>
    <x v="0"/>
    <x v="0"/>
    <n v="21.1"/>
    <s v="Deal"/>
    <m/>
    <s v="Original Amount [TRY 20], Merchant Amount [EUR 6.22], Customer Amount [TRY 21.1], Status [APPROVED], Operation [3DAUTH], UUID [3628453-1458735282-264] [23/03/2016 at 12:14:00]"/>
  </r>
  <r>
    <s v="3628402-1458735236-199"/>
    <s v="Spot"/>
    <s v="3628402-1458735236-199"/>
    <n v="0"/>
    <d v="2016-03-31T00:00:00"/>
    <x v="1583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8402-1458735236-199] [23/03/2016 at 12:13:00]"/>
  </r>
  <r>
    <s v="3628384-1458735221-119"/>
    <s v="Spot"/>
    <s v="3628384-1458735221-119"/>
    <n v="0"/>
    <d v="2016-03-31T00:00:00"/>
    <x v="1584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8384-1458735221-119] [23/03/2016 at 12:13:00]"/>
  </r>
  <r>
    <s v="3628372-1458735204-82"/>
    <s v="Spot"/>
    <s v="3628372-1458735204-82"/>
    <n v="0"/>
    <d v="2016-03-31T00:00:00"/>
    <x v="158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372-1458735204-82] [23/03/2016 at 12:13:00]"/>
  </r>
  <r>
    <s v="3628366-1458735195-224"/>
    <s v="Spot"/>
    <s v="3628366-1458735195-224"/>
    <n v="0"/>
    <d v="2016-03-31T00:00:00"/>
    <x v="1586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8366-1458735195-224] [23/03/2016 at 12:13:00]"/>
  </r>
  <r>
    <s v="3628444-1458735274-216"/>
    <s v="Spot"/>
    <s v="3628444-1458735274-216"/>
    <n v="0"/>
    <d v="2016-03-31T00:00:00"/>
    <x v="1587"/>
    <s v="216"/>
    <s v="SELL"/>
    <n v="3.396576319543509"/>
    <x v="0"/>
    <x v="0"/>
    <n v="47.62"/>
    <s v="Deal"/>
    <m/>
    <s v="Original Amount [EUR 14.02], Merchant Amount [EUR 14.02], Customer Amount [TRY 47.62], Status [APPROVED], Operation [3DAUTH], UUID [3628444-1458735274-216] [23/03/2016 at 12:14:00]"/>
  </r>
  <r>
    <s v="3628354-1458735176-224"/>
    <s v="Spot"/>
    <s v="3628354-1458735176-224"/>
    <n v="0"/>
    <d v="2016-03-31T00:00:00"/>
    <x v="1588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28354-1458735176-224] [23/03/2016 at 12:12:00]"/>
  </r>
  <r>
    <s v="3628381-1458735217-216"/>
    <s v="Spot"/>
    <s v="3628381-1458735217-216"/>
    <n v="0"/>
    <d v="2016-03-31T00:00:00"/>
    <x v="1589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381-1458735217-216] [23/03/2016 at 12:13:00]"/>
  </r>
  <r>
    <s v="3628348-1458735175-82"/>
    <s v="Spot"/>
    <s v="3628348-1458735175-82"/>
    <n v="0"/>
    <d v="2016-03-31T00:00:00"/>
    <x v="1590"/>
    <s v="82"/>
    <s v="SELL"/>
    <n v="1.1863543788187374"/>
    <x v="0"/>
    <x v="7"/>
    <n v="34.950000000000003"/>
    <s v="Deal"/>
    <m/>
    <s v="Original Amount [USD 34.95], Merchant Amount [EUR 29.46], Customer Amount [USD 34.95], Status [APPROVED], Operation [DIRECT], UUID [3628348-1458735175-82] [23/03/2016 at 12:12:00]"/>
  </r>
  <r>
    <s v="3628375-1458735206-216"/>
    <s v="Spot"/>
    <s v="3628375-1458735206-216"/>
    <n v="0"/>
    <d v="2016-03-31T00:00:00"/>
    <x v="1591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375-1458735206-216] [23/03/2016 at 12:13:00]"/>
  </r>
  <r>
    <s v="3628336-1458735164-145"/>
    <s v="Spot"/>
    <s v="3628336-1458735164-145"/>
    <n v="0"/>
    <d v="2016-03-31T00:00:00"/>
    <x v="1592"/>
    <s v="145"/>
    <s v="SELL"/>
    <n v="9.9546742209631738"/>
    <x v="0"/>
    <x v="1"/>
    <n v="210.84"/>
    <s v="Deal"/>
    <m/>
    <s v="Original Amount [EUR 21.18], Merchant Amount [EUR 21.18], Customer Amount [NOK 210.84], Status [APPROVED], Operation [DIRECT], UUID [3628336-1458735164-145] [23/03/2016 at 12:12:00]"/>
  </r>
  <r>
    <s v="3628330-1458735159-119"/>
    <s v="Spot"/>
    <s v="3628330-1458735159-119"/>
    <n v="0"/>
    <d v="2016-03-31T00:00:00"/>
    <x v="1593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8330-1458735159-119] [23/03/2016 at 12:12:00]"/>
  </r>
  <r>
    <s v="3628324-1458735159-199"/>
    <s v="Spot"/>
    <s v="3628324-1458735159-199"/>
    <n v="0"/>
    <d v="2016-03-31T00:00:00"/>
    <x v="1594"/>
    <s v="199"/>
    <s v="SELL"/>
    <n v="9.95457474226804"/>
    <x v="0"/>
    <x v="1"/>
    <n v="2162.9299999999998"/>
    <s v="Deal"/>
    <m/>
    <s v="Original Amount [EUR 217.28], Merchant Amount [EUR 217.28], Customer Amount [NOK 2162.93], Status [APPROVED], Operation [DIRECT], UUID [3628324-1458735159-199] [23/03/2016 at 12:12:00]"/>
  </r>
  <r>
    <s v="3628369-1458735196-216"/>
    <s v="Spot"/>
    <s v="3628369-1458735196-216"/>
    <n v="0"/>
    <d v="2016-03-31T00:00:00"/>
    <x v="1595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369-1458735196-216] [23/03/2016 at 12:13:00]"/>
  </r>
  <r>
    <s v="3628315-1458735143-145"/>
    <s v="Spot"/>
    <s v="3628315-1458735143-145"/>
    <n v="0"/>
    <d v="2016-03-31T00:00:00"/>
    <x v="1596"/>
    <s v="145"/>
    <s v="SELL"/>
    <n v="9.9546956111373284"/>
    <x v="0"/>
    <x v="1"/>
    <n v="421.88"/>
    <s v="Deal"/>
    <m/>
    <s v="Original Amount [EUR 42.38], Merchant Amount [EUR 42.38], Customer Amount [NOK 421.88], Status [APPROVED], Operation [DIRECT], UUID [3628315-1458735143-145] [23/03/2016 at 12:12:00]"/>
  </r>
  <r>
    <s v="3628306-1458735136-119"/>
    <s v="Spot"/>
    <s v="3628306-1458735136-119"/>
    <n v="0"/>
    <d v="2016-03-31T00:00:00"/>
    <x v="1597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8306-1458735136-119] [23/03/2016 at 12:12:00]"/>
  </r>
  <r>
    <s v="3628303-1458735136-126"/>
    <s v="Spot"/>
    <s v="3628303-1458735136-126"/>
    <n v="0"/>
    <d v="2016-03-31T00:00:00"/>
    <x v="1598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28303-1458735136-126] [23/03/2016 at 12:12:00]"/>
  </r>
  <r>
    <s v="3628294-1458735132-200"/>
    <s v="Spot"/>
    <s v="3628294-1458735132-200"/>
    <n v="0"/>
    <d v="2016-03-31T00:00:00"/>
    <x v="159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8294-1458735132-200] [23/03/2016 at 12:12:00]"/>
  </r>
  <r>
    <s v="3628288-1458735130-126"/>
    <s v="Spot"/>
    <s v="3628288-1458735130-126"/>
    <n v="0"/>
    <d v="2016-03-31T00:00:00"/>
    <x v="1600"/>
    <s v="126"/>
    <s v="SELL"/>
    <n v="9.9547317073170731"/>
    <x v="0"/>
    <x v="1"/>
    <n v="510.18"/>
    <s v="Deal"/>
    <m/>
    <s v="Original Amount [EUR 51.25], Merchant Amount [EUR 51.25], Customer Amount [NOK 510.18], Status [APPROVED], Operation [DIRECT], UUID [3628288-1458735130-126] [23/03/2016 at 12:12:00]"/>
  </r>
  <r>
    <s v="3628276-1458735126-102"/>
    <s v="Spot"/>
    <s v="3628276-1458735126-102"/>
    <n v="0"/>
    <d v="2016-03-31T00:00:00"/>
    <x v="1601"/>
    <s v="102"/>
    <s v="SELL"/>
    <n v="3.3967741935483868"/>
    <x v="0"/>
    <x v="0"/>
    <n v="105.3"/>
    <s v="Deal"/>
    <m/>
    <s v="Original Amount [EUR 31], Merchant Amount [EUR 31], Customer Amount [TRY 105.3], Status [WAITING], Operation [3D], UUID [3628276-1458735126-102] [23/03/2016 at 12:12:00]"/>
  </r>
  <r>
    <s v="3628321-1458735149-216"/>
    <s v="Spot"/>
    <s v="3628321-1458735149-216"/>
    <n v="0"/>
    <d v="2016-03-31T00:00:00"/>
    <x v="1602"/>
    <s v="216"/>
    <s v="SELL"/>
    <n v="3.3966292134831466"/>
    <x v="0"/>
    <x v="0"/>
    <n v="211.61"/>
    <s v="Deal"/>
    <m/>
    <s v="Original Amount [EUR 62.3], Merchant Amount [EUR 62.3], Customer Amount [TRY 211.61], Status [APPROVED], Operation [3DAUTH], UUID [3628321-1458735149-216] [23/03/2016 at 12:12:00]"/>
  </r>
  <r>
    <s v="3628285-1458735130-145"/>
    <s v="Spot"/>
    <s v="3628285-1458735130-145"/>
    <n v="0"/>
    <d v="2016-03-31T00:00:00"/>
    <x v="1603"/>
    <s v="145"/>
    <s v="SELL"/>
    <n v="1.5446123842028276"/>
    <x v="0"/>
    <x v="2"/>
    <n v="31.68"/>
    <s v="Deal"/>
    <m/>
    <s v="Original Amount [EUR 20.51], Merchant Amount [EUR 20.51], Customer Amount [CAD 31.68], Status [APPROVED], Operation [3DAUTH], UUID [3628285-1458735130-145] [23/03/2016 at 12:12:00]"/>
  </r>
  <r>
    <s v="3628297-1458735134-56"/>
    <s v="Spot"/>
    <s v="3628297-1458735134-56"/>
    <n v="0"/>
    <d v="2016-03-31T00:00:00"/>
    <x v="1604"/>
    <s v="56"/>
    <s v="SELL"/>
    <n v="3.3966213734851265"/>
    <x v="0"/>
    <x v="0"/>
    <n v="92.49"/>
    <s v="Deal"/>
    <m/>
    <s v="Original Amount [EUR 27.23], Merchant Amount [EUR 27.23], Customer Amount [TRY 92.49], Status [APPROVED], Operation [3DAUTH], UUID [3628297-1458735134-56] [23/03/2016 at 12:12:00]"/>
  </r>
  <r>
    <s v="3628378-1458735213-107"/>
    <s v="Spot"/>
    <s v="3628378-1458735213-107"/>
    <n v="0"/>
    <d v="2016-03-31T00:00:00"/>
    <x v="1605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8378-1458735213-107] [23/03/2016 at 12:13:00]"/>
  </r>
  <r>
    <s v="3628240-1458735094-119"/>
    <s v="Spot"/>
    <s v="3628240-1458735094-119"/>
    <n v="0"/>
    <d v="2016-03-31T00:00:00"/>
    <x v="1606"/>
    <s v="119"/>
    <s v="SELL"/>
    <n v="9.9390000000000001"/>
    <x v="0"/>
    <x v="1"/>
    <n v="496.95"/>
    <s v="Deal"/>
    <m/>
    <s v="Original Amount [EUR 50], Merchant Amount [EUR 50], Customer Amount [NOK 496.95], Status [APPROVED], Operation [DIRECT], UUID [3628240-1458735094-119] [23/03/2016 at 12:11:00]"/>
  </r>
  <r>
    <s v="3628387-1458735225-216"/>
    <s v="Spot"/>
    <s v="3628387-1458735225-216"/>
    <n v="0"/>
    <d v="2016-03-31T00:00:00"/>
    <x v="1607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387-1458735225-216] [23/03/2016 at 12:13:00]"/>
  </r>
  <r>
    <s v="3628234-1458735089-224"/>
    <s v="Spot"/>
    <s v="3628234-1458735089-224"/>
    <n v="0"/>
    <d v="2016-03-31T00:00:00"/>
    <x v="1608"/>
    <s v="224"/>
    <s v="SELL"/>
    <n v="132.77704678362574"/>
    <x v="0"/>
    <x v="3"/>
    <n v="1816.39"/>
    <s v="Deal"/>
    <m/>
    <s v="Original Amount [EUR 13.68], Merchant Amount [EUR 13.68], Customer Amount [JPY 1816.39], Status [APPROVED], Operation [DIRECT], UUID [3628234-1458735089-224] [23/03/2016 at 12:11:00]"/>
  </r>
  <r>
    <s v="3628213-1458735064-224"/>
    <s v="Spot"/>
    <s v="3628213-1458735064-224"/>
    <n v="0"/>
    <d v="2016-03-31T00:00:00"/>
    <x v="1609"/>
    <s v="224"/>
    <s v="SELL"/>
    <n v="9.9388770433546547"/>
    <x v="0"/>
    <x v="1"/>
    <n v="139.84"/>
    <s v="Deal"/>
    <m/>
    <s v="Original Amount [EUR 14.07], Merchant Amount [EUR 14.07], Customer Amount [NOK 139.84], Status [APPROVED], Operation [DIRECT], UUID [3628213-1458735064-224] [23/03/2016 at 12:11:00]"/>
  </r>
  <r>
    <s v="3628219-1458735073-216"/>
    <s v="Spot"/>
    <s v="3628219-1458735073-216"/>
    <n v="0"/>
    <d v="2016-03-31T00:00:00"/>
    <x v="1610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219-1458735073-216] [23/03/2016 at 12:11:00]"/>
  </r>
  <r>
    <s v="3628192-1458735043-216"/>
    <s v="Spot"/>
    <s v="3628192-1458735043-216"/>
    <n v="0"/>
    <d v="2016-03-31T00:00:00"/>
    <x v="1611"/>
    <s v="216"/>
    <s v="SELL"/>
    <n v="3.3964686998394864"/>
    <x v="0"/>
    <x v="0"/>
    <n v="211.6"/>
    <s v="Deal"/>
    <m/>
    <s v="Original Amount [EUR 62.3], Merchant Amount [EUR 62.3], Customer Amount [TRY 211.6], Status [WAITING], Operation [3D], UUID [3628192-1458735043-216] [23/03/2016 at 12:10:00]"/>
  </r>
  <r>
    <s v="3628249-1458735101-124"/>
    <s v="Spot"/>
    <s v="3628249-1458735101-124"/>
    <n v="0"/>
    <d v="2016-03-31T00:00:00"/>
    <x v="1612"/>
    <s v="124"/>
    <s v="SELL"/>
    <n v="9.9390934844192635"/>
    <x v="0"/>
    <x v="1"/>
    <n v="210.51"/>
    <s v="Deal"/>
    <m/>
    <s v="Original Amount [EUR 21.18], Merchant Amount [EUR 21.18], Customer Amount [NOK 210.51], Status [APPROVED], Operation [3DAUTH], UUID [3628249-1458735101-124] [23/03/2016 at 12:11:00]"/>
  </r>
  <r>
    <s v="3628168-1458735028-200"/>
    <s v="Spot"/>
    <s v="3628168-1458735028-200"/>
    <n v="0"/>
    <d v="2016-03-31T00:00:00"/>
    <x v="1613"/>
    <s v="200"/>
    <s v="SELL"/>
    <n v="9.9388686131386859"/>
    <x v="0"/>
    <x v="1"/>
    <n v="544.65"/>
    <s v="Deal"/>
    <m/>
    <s v="Original Amount [EUR 54.8], Merchant Amount [EUR 54.8], Customer Amount [NOK 544.65], Status [APPROVED], Operation [STORED], UUID [3628168-1458735028-200] [23/03/2016 at 12:10:00]"/>
  </r>
  <r>
    <s v="3628207-1458735057-216"/>
    <s v="Spot"/>
    <s v="3628207-1458735057-216"/>
    <n v="0"/>
    <d v="2016-03-31T00:00:00"/>
    <x v="1614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207-1458735057-216] [23/03/2016 at 12:10:00]"/>
  </r>
  <r>
    <s v="3628159-1458735022-199"/>
    <s v="Spot"/>
    <s v="3628159-1458735022-199"/>
    <n v="0"/>
    <d v="2016-03-31T00:00:00"/>
    <x v="1615"/>
    <s v="199"/>
    <s v="SELL"/>
    <n v="9.9396628216503995"/>
    <x v="0"/>
    <x v="1"/>
    <n v="112.02"/>
    <s v="Deal"/>
    <m/>
    <s v="Original Amount [EUR 11.27], Merchant Amount [EUR 11.27], Customer Amount [NOK 112.02], Status [APPROVED], Operation [DIRECT], UUID [3628159-1458735022-199] [23/03/2016 at 12:10:00]"/>
  </r>
  <r>
    <s v="3628198-1458735052-107"/>
    <s v="Spot"/>
    <s v="3628198-1458735052-107"/>
    <n v="0"/>
    <d v="2016-03-31T00:00:00"/>
    <x v="1616"/>
    <s v="107"/>
    <s v="SELL"/>
    <n v="3.3965461588121366"/>
    <x v="0"/>
    <x v="0"/>
    <n v="210.45"/>
    <s v="Deal"/>
    <m/>
    <s v="Original Amount [EUR 61.96], Merchant Amount [EUR 61.96], Customer Amount [TRY 210.45], Status [APPROVED], Operation [3DAUTH], UUID [3628198-1458735052-107] [23/03/2016 at 12:10:00]"/>
  </r>
  <r>
    <s v="3628174-1458735033-126"/>
    <s v="Spot"/>
    <s v="3628174-1458735033-126"/>
    <n v="0"/>
    <d v="2016-03-31T00:00:00"/>
    <x v="1617"/>
    <s v="126"/>
    <s v="SELL"/>
    <n v="9.9397163120567384"/>
    <x v="0"/>
    <x v="1"/>
    <n v="112.12"/>
    <s v="Deal"/>
    <m/>
    <s v="Original Amount [EUR 11.28], Merchant Amount [EUR 11.28], Customer Amount [NOK 112.12], Status [APPROVED], Operation [3DAUTH], UUID [3628174-1458735033-126] [23/03/2016 at 12:10:00]"/>
  </r>
  <r>
    <s v="3628129-1458734983-216"/>
    <s v="Spot"/>
    <s v="3628129-1458734983-216"/>
    <n v="0"/>
    <d v="2016-03-31T00:00:00"/>
    <x v="1618"/>
    <s v="216"/>
    <s v="SELL"/>
    <n v="3.3964686998394864"/>
    <x v="0"/>
    <x v="0"/>
    <n v="211.6"/>
    <s v="Deal"/>
    <m/>
    <s v="Original Amount [EUR 62.3], Merchant Amount [EUR 62.3], Customer Amount [TRY 211.6], Status [WAITING], Operation [3D], UUID [3628129-1458734983-216] [23/03/2016 at 12:09:00]"/>
  </r>
  <r>
    <s v="3628126-1458734976-200"/>
    <s v="Spot"/>
    <s v="3628126-1458734976-200"/>
    <n v="0"/>
    <d v="2016-03-31T00:00:00"/>
    <x v="1619"/>
    <s v="200"/>
    <s v="SELL"/>
    <n v="9.9388663819847434"/>
    <x v="0"/>
    <x v="1"/>
    <n v="2723.15"/>
    <s v="Deal"/>
    <m/>
    <s v="Original Amount [EUR 273.99], Merchant Amount [EUR 273.99], Customer Amount [NOK 2723.15], Status [APPROVED], Operation [STORED], UUID [3628126-1458734976-200] [23/03/2016 at 12:09:00]"/>
  </r>
  <r>
    <s v="3628114-1458734964-82"/>
    <s v="Spot"/>
    <s v="3628114-1458734964-82"/>
    <n v="0"/>
    <d v="2016-03-31T00:00:00"/>
    <x v="1620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114-1458734964-82] [23/03/2016 at 12:09:00]"/>
  </r>
  <r>
    <s v="3628135-1458734994-56"/>
    <s v="Spot"/>
    <s v="3628135-1458734994-56"/>
    <n v="0"/>
    <d v="2016-03-31T00:00:00"/>
    <x v="1621"/>
    <s v="56"/>
    <s v="SELL"/>
    <n v="3.3964881855625406"/>
    <x v="0"/>
    <x v="0"/>
    <n v="156.68"/>
    <s v="Deal"/>
    <m/>
    <s v="Original Amount [EUR 46.13], Merchant Amount [EUR 46.13], Customer Amount [TRY 156.68], Status [APPROVED], Operation [3DAUTH], UUID [3628135-1458734994-56] [23/03/2016 at 12:09:00]"/>
  </r>
  <r>
    <s v="3628189-1458735043-216"/>
    <s v="Spot"/>
    <s v="3628189-1458735043-216"/>
    <n v="0"/>
    <d v="2016-03-31T00:00:00"/>
    <x v="1622"/>
    <s v="216"/>
    <s v="SELL"/>
    <n v="3.3924213230571612"/>
    <x v="0"/>
    <x v="0"/>
    <n v="52.82"/>
    <s v="Deal"/>
    <m/>
    <s v="Original Amount [EUR 15.57], Merchant Amount [EUR 15.57], Customer Amount [TRY 52.82], Status [APPROVED], Operation [3DAUTH], UUID [3628189-1458735043-216] [23/03/2016 at 12:10:00]"/>
  </r>
  <r>
    <s v="3628096-1458734931-203"/>
    <s v="Spot"/>
    <s v="3628096-1458734931-203"/>
    <n v="0"/>
    <d v="2016-03-31T00:00:00"/>
    <x v="1623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28096-1458734931-203] [23/03/2016 at 12:08:00]"/>
  </r>
  <r>
    <s v="3628102-1458734939-216"/>
    <s v="Spot"/>
    <s v="3628102-1458734939-216"/>
    <n v="0"/>
    <d v="2016-03-31T00:00:00"/>
    <x v="1624"/>
    <s v="216"/>
    <s v="SELL"/>
    <n v="3.3920208152645275"/>
    <x v="0"/>
    <x v="0"/>
    <n v="39.11"/>
    <s v="Deal"/>
    <m/>
    <s v="Original Amount [EUR 11.53], Merchant Amount [EUR 11.53], Customer Amount [TRY 39.11], Status [APPROVED], Operation [3DAUTH], UUID [3628102-1458734939-216] [23/03/2016 at 12:08:00]"/>
  </r>
  <r>
    <s v="3628081-1458734906-224"/>
    <s v="Spot"/>
    <s v="3628081-1458734906-224"/>
    <n v="0"/>
    <d v="2016-03-31T00:00:00"/>
    <x v="1625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28081-1458734906-224] [23/03/2016 at 12:08:00]"/>
  </r>
  <r>
    <s v="3628072-1458734902-224"/>
    <s v="Spot"/>
    <s v="3628072-1458734902-224"/>
    <n v="0"/>
    <d v="2016-03-31T00:00:00"/>
    <x v="1626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28072-1458734902-224] [23/03/2016 at 12:08:00]"/>
  </r>
  <r>
    <s v="3628069-1458734899-224"/>
    <s v="Spot"/>
    <s v="3628069-1458734899-224"/>
    <n v="0"/>
    <d v="2016-03-31T00:00:00"/>
    <x v="162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28069-1458734899-224] [23/03/2016 at 12:08:00]"/>
  </r>
  <r>
    <s v="3628060-1458734890-199"/>
    <s v="Spot"/>
    <s v="3628060-1458734890-199"/>
    <n v="0"/>
    <d v="2016-03-31T00:00:00"/>
    <x v="1628"/>
    <s v="199"/>
    <s v="SELL"/>
    <n v="9.9663530374309666"/>
    <x v="0"/>
    <x v="1"/>
    <n v="974.51"/>
    <s v="Deal"/>
    <m/>
    <s v="Original Amount [EUR 97.78], Merchant Amount [EUR 97.78], Customer Amount [NOK 974.51], Status [APPROVED], Operation [DIRECT], UUID [3628060-1458734890-199] [23/03/2016 at 12:08:00]"/>
  </r>
  <r>
    <s v="3628057-1458734887-187"/>
    <s v="Spot"/>
    <s v="3628057-1458734887-187"/>
    <n v="0"/>
    <d v="2016-03-31T00:00:00"/>
    <x v="1629"/>
    <s v="187"/>
    <s v="SELL"/>
    <n v="9.9663053524913856"/>
    <x v="0"/>
    <x v="1"/>
    <n v="2372.1799999999998"/>
    <s v="Deal"/>
    <m/>
    <s v="Original Amount [EUR 238.02], Merchant Amount [EUR 238.02], Customer Amount [NOK 2372.18], Status [APPROVED], Operation [DIRECT], UUID [3628057-1458734887-187] [23/03/2016 at 12:08:00]"/>
  </r>
  <r>
    <s v="3628090-1458734923-126"/>
    <s v="Spot"/>
    <s v="3628090-1458734923-126"/>
    <n v="0"/>
    <d v="2016-03-31T00:00:00"/>
    <x v="1630"/>
    <s v="126"/>
    <s v="SELL"/>
    <n v="9.9663182346109185"/>
    <x v="0"/>
    <x v="1"/>
    <n v="429.05"/>
    <s v="Deal"/>
    <m/>
    <s v="Original Amount [EUR 43.05], Merchant Amount [EUR 43.05], Customer Amount [NOK 429.05], Status [APPROVED], Operation [3DAUTH], UUID [3628090-1458734923-126] [23/03/2016 at 12:08:00]"/>
  </r>
  <r>
    <s v="3628048-1458734881-119"/>
    <s v="Spot"/>
    <s v="3628048-1458734881-119"/>
    <n v="0"/>
    <d v="2016-03-31T00:00:00"/>
    <x v="1631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8048-1458734881-119] [23/03/2016 at 12:08:00]"/>
  </r>
  <r>
    <s v="3628039-1458734874-171"/>
    <s v="Spot"/>
    <s v="3628039-1458734874-171"/>
    <n v="0"/>
    <d v="2016-03-31T00:00:00"/>
    <x v="1632"/>
    <s v="171"/>
    <s v="SELL"/>
    <n v="9.9664999999999999"/>
    <x v="0"/>
    <x v="1"/>
    <n v="199.33"/>
    <s v="Deal"/>
    <m/>
    <s v="Original Amount [EUR 20], Merchant Amount [EUR 20], Customer Amount [NOK 199.33], Status [APPROVED], Operation [DIRECT], UUID [3628039-1458734874-171] [23/03/2016 at 12:07:00]"/>
  </r>
  <r>
    <s v="3628033-1458734868-200"/>
    <s v="Spot"/>
    <s v="3628033-1458734868-200"/>
    <n v="0"/>
    <d v="2016-03-31T00:00:00"/>
    <x v="1633"/>
    <s v="200"/>
    <s v="SELL"/>
    <n v="9.9666666666666668"/>
    <x v="0"/>
    <x v="1"/>
    <n v="59.8"/>
    <s v="Deal"/>
    <m/>
    <s v="Original Amount [EUR 6], Merchant Amount [EUR 6], Customer Amount [NOK 59.8], Status [APPROVED], Operation [STORED], UUID [3628033-1458734868-200] [23/03/2016 at 12:07:00]"/>
  </r>
  <r>
    <s v="3628066-1458734897-216"/>
    <s v="Spot"/>
    <s v="3628066-1458734897-216"/>
    <n v="0"/>
    <d v="2016-03-31T00:00:00"/>
    <x v="1634"/>
    <s v="216"/>
    <s v="SELL"/>
    <n v="3.3919743178170143"/>
    <x v="0"/>
    <x v="0"/>
    <n v="105.66"/>
    <s v="Deal"/>
    <m/>
    <s v="Original Amount [EUR 31.15], Merchant Amount [EUR 31.15], Customer Amount [TRY 105.66], Status [APPROVED], Operation [3DAUTH], UUID [3628066-1458734897-216] [23/03/2016 at 12:08:00]"/>
  </r>
  <r>
    <s v="3628012-1458734854-238"/>
    <s v="Spot"/>
    <s v="3628012-1458734854-238"/>
    <n v="0"/>
    <d v="2016-03-31T00:00:00"/>
    <x v="163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012-1458734854-238] [23/03/2016 at 12:07:00]"/>
  </r>
  <r>
    <s v="3628000-1458734845-261"/>
    <s v="Spot"/>
    <s v="3628000-1458734845-261"/>
    <n v="0"/>
    <d v="2016-03-31T00:00:00"/>
    <x v="1636"/>
    <s v="261"/>
    <s v="SELL"/>
    <n v="9.9663472774012618"/>
    <x v="0"/>
    <x v="1"/>
    <n v="426.46"/>
    <s v="Deal"/>
    <m/>
    <s v="Original Amount [EUR 42.79], Merchant Amount [EUR 42.79], Customer Amount [NOK 426.46], Status [APPROVED], Operation [DIRECT], UUID [3628000-1458734845-261] [23/03/2016 at 12:07:00]"/>
  </r>
  <r>
    <s v="3628036-1458734871-216"/>
    <s v="Spot"/>
    <s v="3628036-1458734871-216"/>
    <n v="0"/>
    <d v="2016-03-31T00:00:00"/>
    <x v="1637"/>
    <s v="216"/>
    <s v="SELL"/>
    <n v="3.3926605504587153"/>
    <x v="0"/>
    <x v="0"/>
    <n v="36.979999999999997"/>
    <s v="Deal"/>
    <m/>
    <s v="Original Amount [EUR 10.9], Merchant Amount [EUR 10.9], Customer Amount [TRY 36.98], Status [APPROVED], Operation [3DAUTH], UUID [3628036-1458734871-216] [23/03/2016 at 12:07:00]"/>
  </r>
  <r>
    <s v="3628003-1458734850-216"/>
    <s v="Spot"/>
    <s v="3628003-1458734850-216"/>
    <n v="0"/>
    <d v="2016-03-31T00:00:00"/>
    <x v="1638"/>
    <s v="216"/>
    <s v="SELL"/>
    <n v="3.3919352767432898"/>
    <x v="0"/>
    <x v="0"/>
    <n v="528.26"/>
    <s v="Deal"/>
    <m/>
    <s v="Original Amount [EUR 155.74], Merchant Amount [EUR 155.74], Customer Amount [TRY 528.26], Status [APPROVED], Operation [3DAUTH], UUID [3628003-1458734850-216] [23/03/2016 at 12:07:00]"/>
  </r>
  <r>
    <s v="3627967-1458734810-119"/>
    <s v="Spot"/>
    <s v="3627967-1458734810-119"/>
    <n v="0"/>
    <d v="2016-03-31T00:00:00"/>
    <x v="163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7967-1458734810-119] [23/03/2016 at 12:06:00]"/>
  </r>
  <r>
    <s v="3627940-1458734789-107"/>
    <s v="Spot"/>
    <s v="3627940-1458734789-107"/>
    <n v="0"/>
    <d v="2016-03-31T00:00:00"/>
    <x v="1640"/>
    <s v="107"/>
    <s v="SELL"/>
    <n v="3.3920271142672691"/>
    <x v="0"/>
    <x v="0"/>
    <n v="210.17"/>
    <s v="Deal"/>
    <m/>
    <s v="Original Amount [EUR 61.96], Merchant Amount [EUR 61.96], Customer Amount [TRY 210.17], Status [WAITING], Operation [3D], UUID [3627940-1458734789-107] [23/03/2016 at 12:06:00]"/>
  </r>
  <r>
    <s v="3627928-1458734779-260"/>
    <s v="Spot"/>
    <s v="3627928-1458734779-260"/>
    <n v="0"/>
    <d v="2016-03-31T00:00:00"/>
    <x v="1641"/>
    <s v="260"/>
    <s v="SELL"/>
    <n v="9.7379999999999995"/>
    <x v="0"/>
    <x v="12"/>
    <n v="48.69"/>
    <s v="Deal"/>
    <m/>
    <s v="Original Amount [EUR 5], Merchant Amount [EUR 5], Customer Amount [SEK 48.69], Status [APPROVED], Operation [DIRECT], UUID [3627928-1458734779-260] [23/03/2016 at 12:06:00]"/>
  </r>
  <r>
    <s v="3627988-1458734827-203"/>
    <s v="Spot"/>
    <s v="3627988-1458734827-203"/>
    <n v="0"/>
    <d v="2016-03-31T00:00:00"/>
    <x v="1642"/>
    <s v="203"/>
    <s v="SELL"/>
    <n v="3.3919354838709679"/>
    <x v="0"/>
    <x v="0"/>
    <n v="105.15"/>
    <s v="Deal"/>
    <m/>
    <s v="Original Amount [EUR 31], Merchant Amount [EUR 31], Customer Amount [TRY 105.15], Status [APPROVED], Operation [3DAUTH], UUID [3627988-1458734827-203] [23/03/2016 at 12:07:00]"/>
  </r>
  <r>
    <s v="3627916-1458734773-224"/>
    <s v="Spot"/>
    <s v="3627916-1458734773-224"/>
    <n v="0"/>
    <d v="2016-03-31T00:00:00"/>
    <x v="1643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27916-1458734773-224] [23/03/2016 at 12:06:00]"/>
  </r>
  <r>
    <s v="3627901-1458734762-145"/>
    <s v="Spot"/>
    <s v="3627901-1458734762-145"/>
    <n v="0"/>
    <d v="2016-03-31T00:00:00"/>
    <x v="1644"/>
    <s v="145"/>
    <s v="SELL"/>
    <n v="1.5434146341463415"/>
    <x v="0"/>
    <x v="2"/>
    <n v="15.82"/>
    <s v="Deal"/>
    <m/>
    <s v="Original Amount [EUR 10.25], Merchant Amount [EUR 10.25], Customer Amount [CAD 15.82], Status [APPROVED], Operation [DIRECT], UUID [3627901-1458734762-145] [23/03/2016 at 12:06:00]"/>
  </r>
  <r>
    <s v="3627934-1458734783-56"/>
    <s v="Spot"/>
    <s v="3627934-1458734783-56"/>
    <n v="0"/>
    <d v="2016-03-31T00:00:00"/>
    <x v="1645"/>
    <s v="56"/>
    <s v="SELL"/>
    <n v="3.3966213734851265"/>
    <x v="0"/>
    <x v="0"/>
    <n v="92.49"/>
    <s v="Deal"/>
    <m/>
    <s v="Original Amount [EUR 27.23], Merchant Amount [EUR 27.23], Customer Amount [TRY 92.49], Status [APPROVED], Operation [3DAUTH], UUID [3627934-1458734783-56] [23/03/2016 at 12:06:00]"/>
  </r>
  <r>
    <s v="3627892-1458734760-224"/>
    <s v="Spot"/>
    <s v="3627892-1458734760-224"/>
    <n v="0"/>
    <d v="2016-03-31T00:00:00"/>
    <x v="1646"/>
    <s v="224"/>
    <s v="SELL"/>
    <n v="133.03581871345031"/>
    <x v="0"/>
    <x v="3"/>
    <n v="1819.93"/>
    <s v="Deal"/>
    <m/>
    <s v="Original Amount [EUR 13.68], Merchant Amount [EUR 13.68], Customer Amount [JPY 1819.93], Status [APPROVED], Operation [DIRECT], UUID [3627892-1458734760-224] [23/03/2016 at 12:06:00]"/>
  </r>
  <r>
    <s v="3627946-1458734792-216"/>
    <s v="Spot"/>
    <s v="3627946-1458734792-216"/>
    <n v="0"/>
    <d v="2016-03-31T00:00:00"/>
    <x v="1647"/>
    <s v="216"/>
    <s v="SELL"/>
    <n v="3.396576319543509"/>
    <x v="0"/>
    <x v="0"/>
    <n v="47.62"/>
    <s v="Deal"/>
    <m/>
    <s v="Original Amount [EUR 14.02], Merchant Amount [EUR 14.02], Customer Amount [TRY 47.62], Status [APPROVED], Operation [3DAUTH], UUID [3627946-1458734792-216] [23/03/2016 at 12:06:00]"/>
  </r>
  <r>
    <s v="3627883-1458734753-224"/>
    <s v="Spot"/>
    <s v="3627883-1458734753-224"/>
    <n v="0"/>
    <d v="2016-03-31T00:00:00"/>
    <x v="1648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27883-1458734753-224] [23/03/2016 at 12:05:00]"/>
  </r>
  <r>
    <s v="3627880-1458734752-199"/>
    <s v="Spot"/>
    <s v="3627880-1458734752-199"/>
    <n v="0"/>
    <d v="2016-03-31T00:00:00"/>
    <x v="1649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27880-1458734752-199] [23/03/2016 at 12:05:00]"/>
  </r>
  <r>
    <s v="3627904-1458734764-132"/>
    <s v="Spot"/>
    <s v="3627904-1458734764-132"/>
    <n v="0"/>
    <d v="2016-03-31T00:00:00"/>
    <x v="1650"/>
    <s v="132"/>
    <s v="SELL"/>
    <n v="9.7372499999999995"/>
    <x v="0"/>
    <x v="12"/>
    <n v="778.98"/>
    <s v="Deal"/>
    <m/>
    <s v="Original Amount [EUR 80], Merchant Amount [EUR 80], Customer Amount [SEK 778.98], Status [APPROVED], Operation [3DAUTH], UUID [3627904-1458734764-132] [23/03/2016 at 12:06:00]"/>
  </r>
  <r>
    <s v="3627913-1458734772-216"/>
    <s v="Spot"/>
    <s v="3627913-1458734772-216"/>
    <n v="0"/>
    <d v="2016-03-31T00:00:00"/>
    <x v="1651"/>
    <s v="216"/>
    <s v="SELL"/>
    <n v="3.3965757089352597"/>
    <x v="0"/>
    <x v="0"/>
    <n v="317.41000000000003"/>
    <s v="Deal"/>
    <m/>
    <s v="Original Amount [EUR 93.45], Merchant Amount [EUR 93.45], Customer Amount [TRY 317.41], Status [APPROVED], Operation [3DAUTH], UUID [3627913-1458734772-216] [23/03/2016 at 12:06:00]"/>
  </r>
  <r>
    <s v="3627910-1458734770-196"/>
    <s v="Spot"/>
    <s v="3627910-1458734770-196"/>
    <n v="0"/>
    <d v="2016-03-31T00:00:00"/>
    <x v="1652"/>
    <s v="196"/>
    <s v="SELL"/>
    <n v="9.9668674698795172"/>
    <x v="0"/>
    <x v="1"/>
    <n v="99.27"/>
    <s v="Deal"/>
    <m/>
    <s v="Original Amount [EUR 9.96], Merchant Amount [EUR 9.96], Customer Amount [NOK 99.27], Status [APPROVED], Operation [3DAUTH], UUID [3627910-1458734770-196] [23/03/2016 at 12:06:00]"/>
  </r>
  <r>
    <s v="3627907-1458734765-107"/>
    <s v="Spot"/>
    <s v="3627907-1458734765-107"/>
    <n v="0"/>
    <d v="2016-03-31T00:00:00"/>
    <x v="1653"/>
    <s v="107"/>
    <s v="SELL"/>
    <n v="3.3966212944531127"/>
    <x v="0"/>
    <x v="0"/>
    <n v="631.33000000000004"/>
    <s v="Deal"/>
    <m/>
    <s v="Original Amount [EUR 185.87], Merchant Amount [EUR 185.87], Customer Amount [TRY 631.33], Status [APPROVED], Operation [3DAUTH], UUID [3627907-1458734765-107] [23/03/2016 at 12:06:00]"/>
  </r>
  <r>
    <s v="3627886-1458734756-203"/>
    <s v="Spot"/>
    <s v="3627886-1458734756-203"/>
    <n v="0"/>
    <d v="2016-03-31T00:00:00"/>
    <x v="1654"/>
    <s v="203"/>
    <s v="SELL"/>
    <n v="3.3967741935483868"/>
    <x v="0"/>
    <x v="0"/>
    <n v="126.36"/>
    <s v="Deal"/>
    <m/>
    <s v="Original Amount [EUR 37.2], Merchant Amount [EUR 37.2], Customer Amount [TRY 126.36], Status [APPROVED], Operation [3DAUTH], UUID [3627886-1458734756-203] [23/03/2016 at 12:05:00]"/>
  </r>
  <r>
    <s v="3627847-1458734724-199"/>
    <s v="Spot"/>
    <s v="3627847-1458734724-199"/>
    <n v="0"/>
    <d v="2016-03-31T00:00:00"/>
    <x v="1655"/>
    <s v="199"/>
    <s v="SELL"/>
    <n v="9.9664058904739985"/>
    <x v="0"/>
    <x v="1"/>
    <n v="433.14"/>
    <s v="Deal"/>
    <m/>
    <s v="Original Amount [EUR 43.46], Merchant Amount [EUR 43.46], Customer Amount [NOK 433.14], Status [APPROVED], Operation [DIRECT], UUID [3627847-1458734724-199] [23/03/2016 at 12:05:00]"/>
  </r>
  <r>
    <s v="3627850-1458734734-101"/>
    <s v="Spot"/>
    <s v="3627850-1458734734-101"/>
    <n v="0"/>
    <d v="2016-03-31T00:00:00"/>
    <x v="1656"/>
    <s v="101"/>
    <s v="SELL"/>
    <n v="3.3966593818295348"/>
    <x v="0"/>
    <x v="0"/>
    <n v="217.59"/>
    <s v="Deal"/>
    <m/>
    <s v="Original Amount [EUR 64.06], Merchant Amount [EUR 64.06], Customer Amount [TRY 217.59], Status [APPROVED], Operation [3DAUTH], UUID [3627850-1458734734-101] [23/03/2016 at 12:05:00]"/>
  </r>
  <r>
    <s v="3627838-1458734710-56"/>
    <s v="Spot"/>
    <s v="3627838-1458734710-56"/>
    <n v="0"/>
    <d v="2016-03-31T00:00:00"/>
    <x v="1657"/>
    <s v="56"/>
    <s v="SELL"/>
    <n v="3.3967657013915002"/>
    <x v="0"/>
    <x v="0"/>
    <n v="90.32"/>
    <s v="Deal"/>
    <m/>
    <s v="Original Amount [EUR 26.59], Merchant Amount [EUR 26.59], Customer Amount [TRY 90.32], Status [WAITING], Operation [3D], UUID [3627838-1458734710-56] [23/03/2016 at 12:05:00]"/>
  </r>
  <r>
    <s v="3627829-1458734694-224"/>
    <s v="Spot"/>
    <s v="3627829-1458734694-224"/>
    <n v="0"/>
    <d v="2016-03-31T00:00:00"/>
    <x v="1658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7829-1458734694-224] [23/03/2016 at 12:04:00]"/>
  </r>
  <r>
    <s v="3627823-1458734691-200"/>
    <s v="Spot"/>
    <s v="3627823-1458734691-200"/>
    <n v="0"/>
    <d v="2016-03-31T00:00:00"/>
    <x v="1659"/>
    <s v="200"/>
    <s v="SELL"/>
    <n v="9.9663422546634237"/>
    <x v="0"/>
    <x v="1"/>
    <n v="983.08"/>
    <s v="Deal"/>
    <m/>
    <s v="Original Amount [EUR 98.64], Merchant Amount [EUR 98.64], Customer Amount [NOK 983.08], Status [APPROVED], Operation [STORED], UUID [3627823-1458734691-200] [23/03/2016 at 12:04:00]"/>
  </r>
  <r>
    <s v="3627811-1458734671-199"/>
    <s v="Spot"/>
    <s v="3627811-1458734671-199"/>
    <n v="0"/>
    <d v="2016-03-31T00:00:00"/>
    <x v="1660"/>
    <s v="199"/>
    <s v="SELL"/>
    <n v="9.9665505226480846"/>
    <x v="0"/>
    <x v="1"/>
    <n v="143.02000000000001"/>
    <s v="Deal"/>
    <m/>
    <s v="Original Amount [EUR 14.35], Merchant Amount [EUR 14.35], Customer Amount [NOK 143.02], Status [APPROVED], Operation [DIRECT], UUID [3627811-1458734671-199] [23/03/2016 at 12:04:00]"/>
  </r>
  <r>
    <s v="3627796-1458734651-199"/>
    <s v="Spot"/>
    <s v="3627796-1458734651-199"/>
    <n v="0"/>
    <d v="2016-03-31T00:00:00"/>
    <x v="1661"/>
    <s v="199"/>
    <s v="SELL"/>
    <n v="9.9666812801402909"/>
    <x v="0"/>
    <x v="1"/>
    <n v="227.34"/>
    <s v="Deal"/>
    <m/>
    <s v="Original Amount [EUR 22.81], Merchant Amount [EUR 22.81], Customer Amount [NOK 227.34], Status [APPROVED], Operation [DIRECT], UUID [3627796-1458734651-199] [23/03/2016 at 12:04:00]"/>
  </r>
  <r>
    <s v="3627799-1458734660-132"/>
    <s v="Spot"/>
    <s v="3627799-1458734660-132"/>
    <n v="0"/>
    <d v="2016-03-31T00:00:00"/>
    <x v="1662"/>
    <s v="132"/>
    <s v="SELL"/>
    <n v="9.7372499999999995"/>
    <x v="0"/>
    <x v="12"/>
    <n v="778.98"/>
    <s v="Deal"/>
    <m/>
    <s v="Original Amount [EUR 80], Merchant Amount [EUR 80], Customer Amount [SEK 778.98], Status [APPROVED], Operation [3DAUTH], UUID [3627799-1458734660-132] [23/03/2016 at 12:04:00]"/>
  </r>
  <r>
    <s v="3627784-1458734638-261"/>
    <s v="Spot"/>
    <s v="3627784-1458734638-261"/>
    <n v="0"/>
    <d v="2016-03-31T00:00:00"/>
    <x v="1663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27784-1458734638-261] [23/03/2016 at 12:03:00]"/>
  </r>
  <r>
    <s v="3627775-1458734626-203"/>
    <s v="Spot"/>
    <s v="3627775-1458734626-203"/>
    <n v="0"/>
    <d v="2016-03-31T00:00:00"/>
    <x v="1664"/>
    <s v="203"/>
    <s v="SELL"/>
    <n v="3.3967741935483868"/>
    <x v="0"/>
    <x v="0"/>
    <n v="105.3"/>
    <s v="Deal"/>
    <m/>
    <s v="Original Amount [EUR 31], Merchant Amount [EUR 31], Customer Amount [TRY 105.3], Status [WAITING], Operation [3D], UUID [3627775-1458734626-203] [23/03/2016 at 12:03:00]"/>
  </r>
  <r>
    <s v="3627793-1458734651-101"/>
    <s v="Spot"/>
    <s v="3627793-1458734651-101"/>
    <n v="0"/>
    <d v="2016-03-31T00:00:00"/>
    <x v="1665"/>
    <s v="101"/>
    <s v="SELL"/>
    <n v="3.3966593818295348"/>
    <x v="0"/>
    <x v="0"/>
    <n v="217.59"/>
    <s v="Deal"/>
    <m/>
    <s v="Original Amount [EUR 64.06], Merchant Amount [EUR 64.06], Customer Amount [TRY 217.59], Status [APPROVED], Operation [3DAUTH], UUID [3627793-1458734651-101] [23/03/2016 at 12:04:00]"/>
  </r>
  <r>
    <s v="3627805-1458734662-203"/>
    <s v="Spot"/>
    <s v="3627805-1458734662-203"/>
    <n v="0"/>
    <d v="2016-03-31T00:00:00"/>
    <x v="1666"/>
    <s v="203"/>
    <s v="SELL"/>
    <n v="3.3967741935483868"/>
    <x v="0"/>
    <x v="0"/>
    <n v="52.65"/>
    <s v="Deal"/>
    <m/>
    <s v="Original Amount [EUR 15.5], Merchant Amount [EUR 15.5], Customer Amount [TRY 52.65], Status [APPROVED], Operation [3DAUTH], UUID [3627805-1458734662-203] [23/03/2016 at 12:04:00]"/>
  </r>
  <r>
    <s v="3627751-1458734611-260"/>
    <s v="Spot"/>
    <s v="3627751-1458734611-260"/>
    <n v="0"/>
    <d v="2016-03-31T00:00:00"/>
    <x v="1667"/>
    <s v="260"/>
    <s v="SELL"/>
    <n v="9.7379999999999995"/>
    <x v="0"/>
    <x v="12"/>
    <n v="48.69"/>
    <s v="Deal"/>
    <m/>
    <s v="Original Amount [EUR 5], Merchant Amount [EUR 5], Customer Amount [SEK 48.69], Status [APPROVED], Operation [DIRECT], UUID [3627751-1458734611-260] [23/03/2016 at 12:03:00]"/>
  </r>
  <r>
    <s v="3627745-1458734608-187"/>
    <s v="Spot"/>
    <s v="3627745-1458734608-187"/>
    <n v="0"/>
    <d v="2016-03-31T00:00:00"/>
    <x v="1668"/>
    <s v="187"/>
    <s v="SELL"/>
    <n v="9.9664461247637046"/>
    <x v="0"/>
    <x v="1"/>
    <n v="210.89"/>
    <s v="Deal"/>
    <m/>
    <s v="Original Amount [EUR 21.16], Merchant Amount [EUR 21.16], Customer Amount [NOK 210.89], Status [APPROVED], Operation [DIRECT], UUID [3627745-1458734608-187] [23/03/2016 at 12:03:00]"/>
  </r>
  <r>
    <s v="3627778-1458734631-216"/>
    <s v="Spot"/>
    <s v="3627778-1458734631-216"/>
    <n v="0"/>
    <d v="2016-03-31T00:00:00"/>
    <x v="1669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7778-1458734631-216] [23/03/2016 at 12:03:00]"/>
  </r>
  <r>
    <s v="3627769-1458734622-56"/>
    <s v="Spot"/>
    <s v="3627769-1458734622-56"/>
    <n v="0"/>
    <d v="2016-03-31T00:00:00"/>
    <x v="1670"/>
    <s v="56"/>
    <s v="SELL"/>
    <n v="3.3966271080574639"/>
    <x v="0"/>
    <x v="0"/>
    <n v="54.38"/>
    <s v="Deal"/>
    <m/>
    <s v="Original Amount [EUR 16.01], Merchant Amount [EUR 16.01], Customer Amount [TRY 54.38], Status [APPROVED], Operation [3DAUTH], UUID [3627769-1458734622-56] [23/03/2016 at 12:03:00]"/>
  </r>
  <r>
    <s v="3627721-1458734589-238"/>
    <s v="Spot"/>
    <s v="3627721-1458734589-238"/>
    <n v="0"/>
    <d v="2016-03-31T00:00:00"/>
    <x v="1671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7721-1458734589-238] [23/03/2016 at 12:03:00]"/>
  </r>
  <r>
    <s v="3627712-1458734575-261"/>
    <s v="Spot"/>
    <s v="3627712-1458734575-261"/>
    <n v="0"/>
    <d v="2016-03-31T00:00:00"/>
    <x v="1672"/>
    <s v="261"/>
    <s v="SELL"/>
    <n v="9.9406542056074763"/>
    <x v="0"/>
    <x v="1"/>
    <n v="212.73"/>
    <s v="Deal"/>
    <m/>
    <s v="Original Amount [EUR 21.4], Merchant Amount [EUR 21.4], Customer Amount [NOK 212.73], Status [APPROVED], Operation [DIRECT], UUID [3627712-1458734575-261] [23/03/2016 at 12:02:00]"/>
  </r>
  <r>
    <s v="3627706-1458734566-119"/>
    <s v="Spot"/>
    <s v="3627706-1458734566-119"/>
    <n v="0"/>
    <d v="2016-03-31T00:00:00"/>
    <x v="1673"/>
    <s v="119"/>
    <s v="SELL"/>
    <n v="9.9404000000000003"/>
    <x v="0"/>
    <x v="1"/>
    <n v="248.51"/>
    <s v="Deal"/>
    <m/>
    <s v="Original Amount [EUR 25], Merchant Amount [EUR 25], Customer Amount [NOK 248.51], Status [APPROVED], Operation [DIRECT], UUID [3627706-1458734566-119] [23/03/2016 at 12:02:00]"/>
  </r>
  <r>
    <s v="3627700-1458734554-199"/>
    <s v="Spot"/>
    <s v="3627700-1458734554-199"/>
    <n v="0"/>
    <d v="2016-03-31T00:00:00"/>
    <x v="1674"/>
    <s v="199"/>
    <s v="SELL"/>
    <n v="9.940322965081636"/>
    <x v="0"/>
    <x v="1"/>
    <n v="10009.11"/>
    <s v="Deal"/>
    <m/>
    <s v="Original Amount [EUR 1006.92], Merchant Amount [EUR 1006.92], Customer Amount [NOK 10009.11], Status [APPROVED], Operation [DIRECT], UUID [3627700-1458734554-199] [23/03/2016 at 12:02:00]"/>
  </r>
  <r>
    <s v="3627748-1458734609-216"/>
    <s v="Spot"/>
    <s v="3627748-1458734609-216"/>
    <n v="0"/>
    <d v="2016-03-31T00:00:00"/>
    <x v="1675"/>
    <s v="216"/>
    <s v="SELL"/>
    <n v="3.3964686998394864"/>
    <x v="0"/>
    <x v="0"/>
    <n v="105.8"/>
    <s v="Deal"/>
    <m/>
    <s v="Original Amount [EUR 31.15], Merchant Amount [EUR 31.15], Customer Amount [TRY 105.8], Status [APPROVED], Operation [3DAUTH], UUID [3627748-1458734609-216] [23/03/2016 at 12:03:00]"/>
  </r>
  <r>
    <s v="3627673-1458734510-241"/>
    <s v="Spot"/>
    <s v="3627673-1458734510-241"/>
    <n v="0"/>
    <d v="2016-03-31T00:00:00"/>
    <x v="1676"/>
    <s v="241"/>
    <s v="SELL"/>
    <n v="0.83227742580860298"/>
    <x v="0"/>
    <x v="4"/>
    <n v="24.96"/>
    <s v="Deal"/>
    <m/>
    <s v="Original Amount [EUR 29.99], Merchant Amount [EUR 29.99], Customer Amount [GBP 24.96], Status [APPROVED], Operation [DIRECT], UUID [3627673-1458734510-241] [23/03/2016 at 12:01:00]"/>
  </r>
  <r>
    <s v="3627667-1458734504-199"/>
    <s v="Spot"/>
    <s v="3627667-1458734504-199"/>
    <n v="0"/>
    <d v="2016-03-31T00:00:00"/>
    <x v="1677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7667-1458734504-199] [23/03/2016 at 12:01:00]"/>
  </r>
  <r>
    <s v="3627682-1458734529-101"/>
    <s v="Spot"/>
    <s v="3627682-1458734529-101"/>
    <n v="0"/>
    <d v="2016-03-31T00:00:00"/>
    <x v="1678"/>
    <s v="101"/>
    <s v="SELL"/>
    <n v="3.3966354491848771"/>
    <x v="0"/>
    <x v="0"/>
    <n v="195.85"/>
    <s v="Deal"/>
    <m/>
    <s v="Original Amount [EUR 57.66], Merchant Amount [EUR 57.66], Customer Amount [TRY 195.85], Status [APPROVED], Operation [3DAUTH], UUID [3627682-1458734529-101] [23/03/2016 at 12:02:00]"/>
  </r>
  <r>
    <s v="3627655-1458734486-200"/>
    <s v="Spot"/>
    <s v="3627655-1458734486-200"/>
    <n v="0"/>
    <d v="2016-03-31T00:00:00"/>
    <x v="1679"/>
    <s v="200"/>
    <s v="SELL"/>
    <n v="9.940389294403893"/>
    <x v="0"/>
    <x v="1"/>
    <n v="980.52"/>
    <s v="Deal"/>
    <m/>
    <s v="Original Amount [EUR 98.64], Merchant Amount [EUR 98.64], Customer Amount [NOK 980.52], Status [APPROVED], Operation [STORED], UUID [3627655-1458734486-200] [23/03/2016 at 12:01:00]"/>
  </r>
  <r>
    <s v="3627652-1458734485-216"/>
    <s v="Spot"/>
    <s v="3627652-1458734485-216"/>
    <n v="0"/>
    <d v="2016-03-31T00:00:00"/>
    <x v="1680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7652-1458734485-216] [23/03/2016 at 12:01:00]"/>
  </r>
  <r>
    <s v="3627649-1458734485-224"/>
    <s v="Spot"/>
    <s v="3627649-1458734485-224"/>
    <n v="0"/>
    <d v="2016-03-31T00:00:00"/>
    <x v="1681"/>
    <s v="224"/>
    <s v="SELL"/>
    <n v="132.77705888803598"/>
    <x v="0"/>
    <x v="3"/>
    <n v="12107.94"/>
    <s v="Deal"/>
    <m/>
    <s v="Original Amount [EUR 91.19], Merchant Amount [EUR 91.19], Customer Amount [JPY 12107.94], Status [APPROVED], Operation [DIRECT], UUID [3627649-1458734485-224] [23/03/2016 at 12:01:00]"/>
  </r>
  <r>
    <s v="3627637-1458734467-212"/>
    <s v="Spot"/>
    <s v="3627637-1458734467-212"/>
    <n v="0"/>
    <d v="2016-03-31T00:00:00"/>
    <x v="1682"/>
    <s v="212"/>
    <s v="SELL"/>
    <n v="0.83249999999999991"/>
    <x v="0"/>
    <x v="4"/>
    <n v="16.649999999999999"/>
    <s v="Deal"/>
    <m/>
    <s v="Original Amount [EUR 20], Merchant Amount [EUR 20], Customer Amount [GBP 16.65], Status [APPROVED], Operation [3DAUTH], UUID [3627637-1458734467-212] [23/03/2016 at 12:01:00]"/>
  </r>
  <r>
    <s v="3627625-1458734450-171"/>
    <s v="Spot"/>
    <s v="3627625-1458734450-171"/>
    <n v="0"/>
    <d v="2016-03-31T00:00:00"/>
    <x v="1683"/>
    <s v="171"/>
    <s v="SELL"/>
    <n v="9.9404000000000003"/>
    <x v="0"/>
    <x v="1"/>
    <n v="497.02"/>
    <s v="Deal"/>
    <m/>
    <s v="Original Amount [EUR 50], Merchant Amount [EUR 50], Customer Amount [NOK 497.02], Status [APPROVED], Operation [DIRECT], UUID [3627625-1458734450-171] [23/03/2016 at 12:00:00]"/>
  </r>
  <r>
    <s v="3627622-1458734449-199"/>
    <s v="Spot"/>
    <s v="3627622-1458734449-199"/>
    <n v="0"/>
    <d v="2016-03-31T00:00:00"/>
    <x v="1684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7622-1458734449-199] [23/03/2016 at 12:00:00]"/>
  </r>
  <r>
    <s v="3627619-1458734441-224"/>
    <s v="Spot"/>
    <s v="3627619-1458734441-224"/>
    <n v="0"/>
    <d v="2016-03-31T00:00:00"/>
    <x v="1685"/>
    <s v="224"/>
    <s v="SELL"/>
    <n v="132.77704678362574"/>
    <x v="0"/>
    <x v="3"/>
    <n v="3632.78"/>
    <s v="Deal"/>
    <m/>
    <s v="Original Amount [EUR 27.36], Merchant Amount [EUR 27.36], Customer Amount [JPY 3632.78], Status [APPROVED], Operation [DIRECT], UUID [3627619-1458734441-224] [23/03/2016 at 12:00:00]"/>
  </r>
  <r>
    <s v="3627610-1458734434-238"/>
    <s v="Spot"/>
    <s v="3627610-1458734434-238"/>
    <n v="0"/>
    <d v="2016-03-31T00:00:00"/>
    <x v="1686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27610-1458734434-238] [23/03/2016 at 12:00:00]"/>
  </r>
  <r>
    <s v="3627601-1458734431-224"/>
    <s v="Spot"/>
    <s v="3627601-1458734431-224"/>
    <n v="0"/>
    <d v="2016-03-31T00:00:00"/>
    <x v="1687"/>
    <s v="224"/>
    <s v="SELL"/>
    <n v="9.9403881700554528"/>
    <x v="0"/>
    <x v="1"/>
    <n v="215.11"/>
    <s v="Deal"/>
    <m/>
    <s v="Original Amount [EUR 21.64], Merchant Amount [EUR 21.64], Customer Amount [NOK 215.11], Status [APPROVED], Operation [DIRECT], UUID [3627601-1458734431-224] [23/03/2016 at 12:00:00]"/>
  </r>
  <r>
    <s v="3627574-1458734403-199"/>
    <s v="Spot"/>
    <s v="3627574-1458734403-199"/>
    <n v="0"/>
    <d v="2016-03-31T00:00:00"/>
    <x v="1688"/>
    <s v="199"/>
    <s v="SELL"/>
    <n v="9.94031911629334"/>
    <x v="0"/>
    <x v="1"/>
    <n v="647.91"/>
    <s v="Deal"/>
    <m/>
    <s v="Original Amount [EUR 65.18], Merchant Amount [EUR 65.18], Customer Amount [NOK 647.91], Status [APPROVED], Operation [DIRECT], UUID [3627574-1458734403-199] [23/03/2016 at 12:00:00]"/>
  </r>
  <r>
    <s v="3627562-1458734389-224"/>
    <s v="Spot"/>
    <s v="3627562-1458734389-224"/>
    <n v="0"/>
    <d v="2016-03-31T00:00:00"/>
    <x v="1689"/>
    <s v="224"/>
    <s v="SELL"/>
    <n v="9.9506335797254479"/>
    <x v="0"/>
    <x v="1"/>
    <n v="753.86"/>
    <s v="Deal"/>
    <m/>
    <s v="Original Amount [EUR 75.76], Merchant Amount [EUR 75.76], Customer Amount [NOK 753.86], Status [APPROVED], Operation [DIRECT], UUID [3627562-1458734389-224] [23/03/2016 at 11:59:00]"/>
  </r>
  <r>
    <s v="3627598-1458734429-154"/>
    <s v="Spot"/>
    <s v="3627598-1458734429-154"/>
    <n v="0"/>
    <d v="2016-03-31T00:00:00"/>
    <x v="1690"/>
    <s v="154"/>
    <s v="SELL"/>
    <n v="9.9505667506297222"/>
    <x v="0"/>
    <x v="1"/>
    <n v="316.02999999999997"/>
    <s v="Deal"/>
    <m/>
    <s v="Original Amount [EUR 31.76], Merchant Amount [EUR 31.76], Customer Amount [NOK 316.03], Status [APPROVED], Operation [3DAUTH], UUID [3627598-1458734429-154] [23/03/2016 at 12:00:00]"/>
  </r>
  <r>
    <s v="3627535-1458734355-224"/>
    <s v="Spot"/>
    <s v="3627535-1458734355-224"/>
    <n v="0"/>
    <d v="2016-03-31T00:00:00"/>
    <x v="1691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7535-1458734355-224] [23/03/2016 at 11:59:00]"/>
  </r>
  <r>
    <s v="3627517-1458734331-224"/>
    <s v="Spot"/>
    <s v="3627517-1458734331-224"/>
    <n v="0"/>
    <d v="2016-03-31T00:00:00"/>
    <x v="1692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517-1458734331-224] [23/03/2016 at 11:58:00]"/>
  </r>
  <r>
    <s v="3627511-1458734321-119"/>
    <s v="Spot"/>
    <s v="3627511-1458734321-119"/>
    <n v="0"/>
    <d v="2016-03-31T00:00:00"/>
    <x v="1693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7511-1458734321-119] [23/03/2016 at 11:58:00]"/>
  </r>
  <r>
    <s v="3627532-1458734351-56"/>
    <s v="Spot"/>
    <s v="3627532-1458734351-56"/>
    <n v="0"/>
    <d v="2016-03-31T00:00:00"/>
    <x v="1694"/>
    <s v="56"/>
    <s v="SELL"/>
    <n v="3.3969669937555751"/>
    <x v="0"/>
    <x v="0"/>
    <n v="38.08"/>
    <s v="Deal"/>
    <m/>
    <s v="Original Amount [EUR 11.21], Merchant Amount [EUR 11.21], Customer Amount [TRY 38.08], Status [APPROVED], Operation [3DAUTH], UUID [3627532-1458734351-56] [23/03/2016 at 11:59:00]"/>
  </r>
  <r>
    <s v="3627505-1458734308-187"/>
    <s v="Spot"/>
    <s v="3627505-1458734308-187"/>
    <n v="0"/>
    <d v="2016-03-31T00:00:00"/>
    <x v="1695"/>
    <s v="187"/>
    <s v="SELL"/>
    <n v="9.9505804060952094"/>
    <x v="0"/>
    <x v="1"/>
    <n v="2631.63"/>
    <s v="Deal"/>
    <m/>
    <s v="Original Amount [EUR 264.47], Merchant Amount [EUR 264.47], Customer Amount [NOK 2631.63], Status [APPROVED], Operation [DIRECT], UUID [3627505-1458734308-187] [23/03/2016 at 11:58:00]"/>
  </r>
  <r>
    <s v="3627523-1458734334-56"/>
    <s v="Spot"/>
    <s v="3627523-1458734334-56"/>
    <n v="0"/>
    <d v="2016-03-31T00:00:00"/>
    <x v="1696"/>
    <s v="56"/>
    <s v="SELL"/>
    <n v="3.3969555035128804"/>
    <x v="0"/>
    <x v="0"/>
    <n v="87.03"/>
    <s v="Deal"/>
    <m/>
    <s v="Original Amount [EUR 25.62], Merchant Amount [EUR 25.62], Customer Amount [TRY 87.03], Status [APPROVED], Operation [3DAUTH], UUID [3627523-1458734334-56] [23/03/2016 at 11:58:00]"/>
  </r>
  <r>
    <s v="3627496-1458734300-200"/>
    <s v="Spot"/>
    <s v="3627496-1458734300-200"/>
    <n v="0"/>
    <d v="2016-03-31T00:00:00"/>
    <x v="1697"/>
    <s v="200"/>
    <s v="SELL"/>
    <n v="9.9506341819509085"/>
    <x v="0"/>
    <x v="1"/>
    <n v="1090.49"/>
    <s v="Deal"/>
    <m/>
    <s v="Original Amount [EUR 109.59], Merchant Amount [EUR 109.59], Customer Amount [NOK 1090.49], Status [APPROVED], Operation [STORED], UUID [3627496-1458734300-200] [23/03/2016 at 11:58:00]"/>
  </r>
  <r>
    <s v="3627490-1458734296-224"/>
    <s v="Spot"/>
    <s v="3627490-1458734296-224"/>
    <n v="0"/>
    <d v="2016-03-31T00:00:00"/>
    <x v="1698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490-1458734296-224] [23/03/2016 at 11:58:00]"/>
  </r>
  <r>
    <s v="3627544-1458734371-216"/>
    <s v="Spot"/>
    <s v="3627544-1458734371-216"/>
    <n v="0"/>
    <d v="2016-03-31T00:00:00"/>
    <x v="1699"/>
    <s v="216"/>
    <s v="SELL"/>
    <n v="3.3968593861527485"/>
    <x v="0"/>
    <x v="0"/>
    <n v="47.59"/>
    <s v="Deal"/>
    <m/>
    <s v="Original Amount [EUR 14.01], Merchant Amount [EUR 14.01], Customer Amount [TRY 47.59], Status [APPROVED], Operation [3DAUTH], UUID [3627544-1458734371-216] [23/03/2016 at 11:59:00]"/>
  </r>
  <r>
    <s v="3627499-1458734302-179"/>
    <s v="Spot"/>
    <s v="3627499-1458734302-179"/>
    <n v="0"/>
    <d v="2016-03-31T00:00:00"/>
    <x v="1700"/>
    <s v="179"/>
    <s v="SELL"/>
    <n v="3.3967234179248313"/>
    <x v="0"/>
    <x v="0"/>
    <n v="105.74"/>
    <s v="Deal"/>
    <m/>
    <s v="Original Amount [EUR 31.13], Merchant Amount [EUR 31.13], Customer Amount [TRY 105.74], Status [APPROVED], Operation [3DAUTH], UUID [3627499-1458734302-179] [23/03/2016 at 11:58:00]"/>
  </r>
  <r>
    <s v="3627460-1458734253-199"/>
    <s v="Spot"/>
    <s v="3627460-1458734253-199"/>
    <n v="0"/>
    <d v="2016-03-31T00:00:00"/>
    <x v="1701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27460-1458734253-199] [23/03/2016 at 11:57:00]"/>
  </r>
  <r>
    <s v="3627484-1458734289-56"/>
    <s v="Spot"/>
    <s v="3627484-1458734289-56"/>
    <n v="0"/>
    <d v="2016-03-31T00:00:00"/>
    <x v="1702"/>
    <s v="56"/>
    <s v="SELL"/>
    <n v="3.3975"/>
    <x v="0"/>
    <x v="0"/>
    <n v="27.18"/>
    <s v="Deal"/>
    <m/>
    <s v="Original Amount [EUR 8], Merchant Amount [EUR 8], Customer Amount [TRY 27.18], Status [APPROVED], Operation [3DAUTH], UUID [3627484-1458734289-56] [23/03/2016 at 11:58:00]"/>
  </r>
  <r>
    <s v="3627442-1458734241-224"/>
    <s v="Spot"/>
    <s v="3627442-1458734241-224"/>
    <n v="0"/>
    <d v="2016-03-31T00:00:00"/>
    <x v="1703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27442-1458734241-224] [23/03/2016 at 11:57:00]"/>
  </r>
  <r>
    <s v="3627439-1458734240-56"/>
    <s v="Spot"/>
    <s v="3627439-1458734240-56"/>
    <n v="0"/>
    <d v="2016-03-31T00:00:00"/>
    <x v="1704"/>
    <s v="56"/>
    <s v="SELL"/>
    <n v="3.3968784838350055"/>
    <x v="0"/>
    <x v="0"/>
    <n v="91.41"/>
    <s v="Deal"/>
    <m/>
    <s v="Original Amount [EUR 26.91], Merchant Amount [EUR 26.91], Customer Amount [TRY 91.41], Status [WAITING], Operation [3D], UUID [3627439-1458734240-56] [23/03/2016 at 11:57:00]"/>
  </r>
  <r>
    <s v="3627475-1458734262-126"/>
    <s v="Spot"/>
    <s v="3627475-1458734262-126"/>
    <n v="0"/>
    <d v="2016-03-31T00:00:00"/>
    <x v="1705"/>
    <s v="126"/>
    <s v="SELL"/>
    <n v="9.9507317073170736"/>
    <x v="0"/>
    <x v="1"/>
    <n v="203.99"/>
    <s v="Deal"/>
    <m/>
    <s v="Original Amount [EUR 20.5], Merchant Amount [EUR 20.5], Customer Amount [NOK 203.99], Status [APPROVED], Operation [3DAUTH], UUID [3627475-1458734262-126] [23/03/2016 at 11:57:00]"/>
  </r>
  <r>
    <s v="3627466-1458734257-216"/>
    <s v="Spot"/>
    <s v="3627466-1458734257-216"/>
    <n v="0"/>
    <d v="2016-03-31T00:00:00"/>
    <x v="1706"/>
    <s v="216"/>
    <s v="SELL"/>
    <n v="3.3965949245101186"/>
    <x v="0"/>
    <x v="0"/>
    <n v="528.67999999999995"/>
    <s v="Deal"/>
    <m/>
    <s v="Original Amount [EUR 155.65], Merchant Amount [EUR 155.65], Customer Amount [TRY 528.68], Status [APPROVED], Operation [3DAUTH], UUID [3627466-1458734257-216] [23/03/2016 at 11:57:00]"/>
  </r>
  <r>
    <s v="3627451-1458734251-107"/>
    <s v="Spot"/>
    <s v="3627451-1458734251-107"/>
    <n v="0"/>
    <d v="2016-03-31T00:00:00"/>
    <x v="1707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7451-1458734251-107] [23/03/2016 at 11:57:00]"/>
  </r>
  <r>
    <s v="3627403-1458734193-119"/>
    <s v="Spot"/>
    <s v="3627403-1458734193-119"/>
    <n v="0"/>
    <d v="2016-03-31T00:00:00"/>
    <x v="1708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27403-1458734193-119] [23/03/2016 at 11:56:00]"/>
  </r>
  <r>
    <s v="3627373-1458734164-126"/>
    <s v="Spot"/>
    <s v="3627373-1458734164-126"/>
    <n v="0"/>
    <d v="2016-03-31T00:00:00"/>
    <x v="1709"/>
    <s v="126"/>
    <s v="SELL"/>
    <n v="9.9505851755526642"/>
    <x v="0"/>
    <x v="1"/>
    <n v="153.04"/>
    <s v="Deal"/>
    <m/>
    <s v="Original Amount [EUR 15.38], Merchant Amount [EUR 15.38], Customer Amount [NOK 153.04], Status [APPROVED], Operation [DIRECT], UUID [3627373-1458734164-126] [23/03/2016 at 11:56:00]"/>
  </r>
  <r>
    <s v="3627400-1458734190-216"/>
    <s v="Spot"/>
    <s v="3627400-1458734190-216"/>
    <n v="0"/>
    <d v="2016-03-31T00:00:00"/>
    <x v="1710"/>
    <s v="216"/>
    <s v="SELL"/>
    <n v="3.3970021413276226"/>
    <x v="0"/>
    <x v="0"/>
    <n v="79.319999999999993"/>
    <s v="Deal"/>
    <m/>
    <s v="Original Amount [EUR 23.35], Merchant Amount [EUR 23.35], Customer Amount [TRY 79.32], Status [APPROVED], Operation [3DAUTH], UUID [3627400-1458734190-216] [23/03/2016 at 11:56:00]"/>
  </r>
  <r>
    <s v="3627382-1458734175-216"/>
    <s v="Spot"/>
    <s v="3627382-1458734175-216"/>
    <n v="0"/>
    <d v="2016-03-31T00:00:00"/>
    <x v="1711"/>
    <s v="216"/>
    <s v="SELL"/>
    <n v="3.3970446514616124"/>
    <x v="0"/>
    <x v="0"/>
    <n v="528.75"/>
    <s v="Deal"/>
    <m/>
    <s v="Original Amount [EUR 155.65], Merchant Amount [EUR 155.65], Customer Amount [TRY 528.75], Status [APPROVED], Operation [3DAUTH], UUID [3627382-1458734175-216] [23/03/2016 at 11:56:00]"/>
  </r>
  <r>
    <s v="3627397-1458734189-203"/>
    <s v="Spot"/>
    <s v="3627397-1458734189-203"/>
    <n v="0"/>
    <d v="2016-03-31T00:00:00"/>
    <x v="1712"/>
    <s v="203"/>
    <s v="SELL"/>
    <n v="79.92"/>
    <x v="0"/>
    <x v="8"/>
    <n v="1238.76"/>
    <s v="Deal"/>
    <m/>
    <s v="Original Amount [EUR 15.5], Merchant Amount [EUR 15.5], Customer Amount [RUB 1238.76], Status [APPROVED], Operation [3DAUTH], UUID [3627397-1458734189-203] [23/03/2016 at 11:56:00]"/>
  </r>
  <r>
    <s v="3627388-1458734179-216"/>
    <s v="Spot"/>
    <s v="3627388-1458734179-216"/>
    <n v="0"/>
    <d v="2016-03-31T00:00:00"/>
    <x v="1713"/>
    <s v="216"/>
    <s v="SELL"/>
    <n v="3.3972067039106149"/>
    <x v="0"/>
    <x v="0"/>
    <n v="121.62"/>
    <s v="Deal"/>
    <m/>
    <s v="Original Amount [EUR 35.8], Merchant Amount [EUR 35.8], Customer Amount [TRY 121.62], Status [APPROVED], Operation [3DAUTH], UUID [3627388-1458734179-216] [23/03/2016 at 11:56:00]"/>
  </r>
  <r>
    <s v="3627394-1458734183-56"/>
    <s v="Spot"/>
    <s v="3627394-1458734183-56"/>
    <n v="0"/>
    <d v="2016-03-31T00:00:00"/>
    <x v="1714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7394-1458734183-56] [23/03/2016 at 11:56:00]"/>
  </r>
  <r>
    <s v="3627364-1458734155-56"/>
    <s v="Spot"/>
    <s v="3627364-1458734155-56"/>
    <n v="0"/>
    <d v="2016-03-31T00:00:00"/>
    <x v="1715"/>
    <s v="56"/>
    <s v="SELL"/>
    <n v="3.397113917025115"/>
    <x v="0"/>
    <x v="0"/>
    <n v="244.83"/>
    <s v="Deal"/>
    <m/>
    <s v="Original Amount [EUR 72.07], Merchant Amount [EUR 72.07], Customer Amount [TRY 244.83], Status [APPROVED], Operation [3DAUTH], UUID [3627364-1458734155-56] [23/03/2016 at 11:55:00]"/>
  </r>
  <r>
    <s v="3627349-1458734133-224"/>
    <s v="Spot"/>
    <s v="3627349-1458734133-224"/>
    <n v="0"/>
    <d v="2016-03-31T00:00:00"/>
    <x v="1716"/>
    <s v="224"/>
    <s v="SELL"/>
    <n v="133.03558052434457"/>
    <x v="0"/>
    <x v="3"/>
    <n v="4972.87"/>
    <s v="Deal"/>
    <m/>
    <s v="Original Amount [EUR 37.38], Merchant Amount [EUR 37.38], Customer Amount [JPY 4972.87], Status [APPROVED], Operation [DIRECT], UUID [3627349-1458734133-224] [23/03/2016 at 11:55:00]"/>
  </r>
  <r>
    <s v="3627340-1458734109-101"/>
    <s v="Spot"/>
    <s v="3627340-1458734109-101"/>
    <n v="0"/>
    <d v="2016-03-31T00:00:00"/>
    <x v="1717"/>
    <s v="101"/>
    <s v="SELL"/>
    <n v="3.3970863683662853"/>
    <x v="0"/>
    <x v="0"/>
    <n v="326.45999999999998"/>
    <s v="Deal"/>
    <m/>
    <s v="Original Amount [EUR 96.1], Merchant Amount [EUR 96.1], Customer Amount [TRY 326.46], Status [APPROVED], Operation [3DAUTH], UUID [3627340-1458734109-101] [23/03/2016 at 11:55:00]"/>
  </r>
  <r>
    <s v="3627334-1458734088-216"/>
    <s v="Spot"/>
    <s v="3627334-1458734088-216"/>
    <n v="0"/>
    <d v="2016-03-31T00:00:00"/>
    <x v="1718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7334-1458734088-216] [23/03/2016 at 11:54:00]"/>
  </r>
  <r>
    <s v="3627331-1458734087-56"/>
    <s v="Spot"/>
    <s v="3627331-1458734087-56"/>
    <n v="0"/>
    <d v="2016-03-31T00:00:00"/>
    <x v="1719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7331-1458734087-56] [23/03/2016 at 11:54:00]"/>
  </r>
  <r>
    <s v="3627304-1458734050-224"/>
    <s v="Spot"/>
    <s v="3627304-1458734050-224"/>
    <n v="0"/>
    <d v="2016-03-31T00:00:00"/>
    <x v="1720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27304-1458734050-224] [23/03/2016 at 11:54:00]"/>
  </r>
  <r>
    <s v="3627298-1458734043-145"/>
    <s v="Spot"/>
    <s v="3627298-1458734043-145"/>
    <n v="0"/>
    <d v="2016-03-31T00:00:00"/>
    <x v="1721"/>
    <s v="145"/>
    <s v="SELL"/>
    <n v="9.9506599622878689"/>
    <x v="0"/>
    <x v="1"/>
    <n v="633.26"/>
    <s v="Deal"/>
    <m/>
    <s v="Original Amount [EUR 63.64], Merchant Amount [EUR 63.64], Customer Amount [NOK 633.26], Status [APPROVED], Operation [DIRECT], UUID [3627298-1458734043-145] [23/03/2016 at 11:54:00]"/>
  </r>
  <r>
    <s v="3627292-1458734042-203"/>
    <s v="Spot"/>
    <s v="3627292-1458734042-203"/>
    <n v="0"/>
    <d v="2016-03-31T00:00:00"/>
    <x v="1722"/>
    <s v="203"/>
    <s v="SELL"/>
    <n v="3.3970967741935483"/>
    <x v="0"/>
    <x v="0"/>
    <n v="105.31"/>
    <s v="Deal"/>
    <m/>
    <s v="Original Amount [EUR 31], Merchant Amount [EUR 31], Customer Amount [TRY 105.31], Status [APPROVED], Operation [3DAUTH], UUID [3627292-1458734042-203] [23/03/2016 at 11:54:00]"/>
  </r>
  <r>
    <s v="3627262-1458734014-238"/>
    <s v="Spot"/>
    <s v="3627262-1458734014-238"/>
    <n v="0"/>
    <d v="2016-03-31T00:00:00"/>
    <x v="1723"/>
    <s v="238"/>
    <s v="SELL"/>
    <n v="1.5514705882352939"/>
    <x v="0"/>
    <x v="5"/>
    <n v="2.11"/>
    <s v="Deal"/>
    <m/>
    <s v="Original Amount [EUR 1.36], Merchant Amount [EUR 1.36], Customer Amount [AUD 2.11], Status [APPROVED], Operation [DIRECT], UUID [3627262-1458734014-238] [23/03/2016 at 11:53:00]"/>
  </r>
  <r>
    <s v="3627256-1458734009-119"/>
    <s v="Spot"/>
    <s v="3627256-1458734009-119"/>
    <n v="0"/>
    <d v="2016-03-31T00:00:00"/>
    <x v="1724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7256-1458734009-119] [23/03/2016 at 11:53:00]"/>
  </r>
  <r>
    <s v="3627247-1458734004-224"/>
    <s v="Spot"/>
    <s v="3627247-1458734004-224"/>
    <n v="0"/>
    <d v="2016-03-31T00:00:00"/>
    <x v="1725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27247-1458734004-224] [23/03/2016 at 11:53:00]"/>
  </r>
  <r>
    <s v="3627241-1458733998-119"/>
    <s v="Spot"/>
    <s v="3627241-1458733998-119"/>
    <n v="0"/>
    <d v="2016-03-31T00:00:00"/>
    <x v="1726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7241-1458733998-119] [23/03/2016 at 11:53:00]"/>
  </r>
  <r>
    <s v="3627235-1458733977-199"/>
    <s v="Spot"/>
    <s v="3627235-1458733977-199"/>
    <n v="0"/>
    <d v="2016-03-31T00:00:00"/>
    <x v="1727"/>
    <s v="199"/>
    <s v="SELL"/>
    <n v="9.9505983430500144"/>
    <x v="0"/>
    <x v="1"/>
    <n v="648.58000000000004"/>
    <s v="Deal"/>
    <m/>
    <s v="Original Amount [EUR 65.18], Merchant Amount [EUR 65.18], Customer Amount [NOK 648.58], Status [APPROVED], Operation [DIRECT], UUID [3627235-1458733977-199] [23/03/2016 at 11:52:00]"/>
  </r>
  <r>
    <s v="3627238-1458733997-216"/>
    <s v="Spot"/>
    <s v="3627238-1458733997-216"/>
    <n v="0"/>
    <d v="2016-03-31T00:00:00"/>
    <x v="1728"/>
    <s v="216"/>
    <s v="SELL"/>
    <n v="3.3975594091201025"/>
    <x v="0"/>
    <x v="0"/>
    <n v="52.9"/>
    <s v="Deal"/>
    <m/>
    <s v="Original Amount [EUR 15.57], Merchant Amount [EUR 15.57], Customer Amount [TRY 52.9], Status [APPROVED], Operation [3DAUTH], UUID [3627238-1458733997-216] [23/03/2016 at 11:53:00]"/>
  </r>
  <r>
    <s v="3627223-1458733964-187"/>
    <s v="Spot"/>
    <s v="3627223-1458733964-187"/>
    <n v="0"/>
    <d v="2016-03-31T00:00:00"/>
    <x v="1729"/>
    <s v="187"/>
    <s v="SELL"/>
    <n v="9.9508506616257097"/>
    <x v="0"/>
    <x v="1"/>
    <n v="210.56"/>
    <s v="Deal"/>
    <m/>
    <s v="Original Amount [EUR 21.16], Merchant Amount [EUR 21.16], Customer Amount [NOK 210.56], Status [APPROVED], Operation [DIRECT], UUID [3627223-1458733964-187] [23/03/2016 at 11:52:00]"/>
  </r>
  <r>
    <s v="3627220-1458733956-224"/>
    <s v="Spot"/>
    <s v="3627220-1458733956-224"/>
    <n v="0"/>
    <d v="2016-03-31T00:00:00"/>
    <x v="1730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220-1458733956-224] [23/03/2016 at 11:52:00]"/>
  </r>
  <r>
    <s v="3627205-1458733922-224"/>
    <s v="Spot"/>
    <s v="3627205-1458733922-224"/>
    <n v="0"/>
    <d v="2016-03-31T00:00:00"/>
    <x v="1731"/>
    <s v="224"/>
    <s v="SELL"/>
    <n v="133.03595368677634"/>
    <x v="0"/>
    <x v="3"/>
    <n v="2183.12"/>
    <s v="Deal"/>
    <m/>
    <s v="Original Amount [EUR 16.41], Merchant Amount [EUR 16.41], Customer Amount [JPY 2183.12], Status [APPROVED], Operation [DIRECT], UUID [3627205-1458733922-224] [23/03/2016 at 11:52:00]"/>
  </r>
  <r>
    <s v="3627211-1458733942-216"/>
    <s v="Spot"/>
    <s v="3627211-1458733942-216"/>
    <n v="0"/>
    <d v="2016-03-31T00:00:00"/>
    <x v="1732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7211-1458733942-216] [23/03/2016 at 11:52:00]"/>
  </r>
  <r>
    <s v="3627199-1458733918-200"/>
    <s v="Spot"/>
    <s v="3627199-1458733918-200"/>
    <n v="0"/>
    <d v="2016-03-31T00:00:00"/>
    <x v="1733"/>
    <s v="200"/>
    <s v="SELL"/>
    <n v="9.9507299270072984"/>
    <x v="0"/>
    <x v="1"/>
    <n v="545.29999999999995"/>
    <s v="Deal"/>
    <m/>
    <s v="Original Amount [EUR 54.8], Merchant Amount [EUR 54.8], Customer Amount [NOK 545.3], Status [APPROVED], Operation [STORED], UUID [3627199-1458733918-200] [23/03/2016 at 11:51:00]"/>
  </r>
  <r>
    <s v="3627196-1458733914-145"/>
    <s v="Spot"/>
    <s v="3627196-1458733914-145"/>
    <n v="0"/>
    <d v="2016-03-31T00:00:00"/>
    <x v="1734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7196-1458733914-145] [23/03/2016 at 11:51:00]"/>
  </r>
  <r>
    <s v="3627217-1458733943-136"/>
    <s v="Spot"/>
    <s v="3627217-1458733943-136"/>
    <n v="0"/>
    <d v="2016-03-31T00:00:00"/>
    <x v="1735"/>
    <s v="136"/>
    <s v="SELL"/>
    <n v="3.3970967741935483"/>
    <x v="0"/>
    <x v="0"/>
    <n v="105.31"/>
    <s v="Deal"/>
    <m/>
    <s v="Original Amount [EUR 31], Merchant Amount [EUR 31], Customer Amount [TRY 105.31], Status [APPROVED], Operation [3DAUTH], UUID [3627217-1458733943-136] [23/03/2016 at 11:52:00]"/>
  </r>
  <r>
    <s v="3627184-1458733900-199"/>
    <s v="Spot"/>
    <s v="3627184-1458733900-199"/>
    <n v="0"/>
    <d v="2016-03-31T00:00:00"/>
    <x v="1736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27184-1458733900-199] [23/03/2016 at 11:51:00]"/>
  </r>
  <r>
    <s v="3627181-1458733898-224"/>
    <s v="Spot"/>
    <s v="3627181-1458733898-224"/>
    <n v="0"/>
    <d v="2016-03-31T00:00:00"/>
    <x v="1737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181-1458733898-224] [23/03/2016 at 11:51:00]"/>
  </r>
  <r>
    <s v="3627193-1458733914-264"/>
    <s v="Spot"/>
    <s v="3627193-1458733914-264"/>
    <n v="0"/>
    <d v="2016-03-31T00:00:00"/>
    <x v="1738"/>
    <s v="264"/>
    <s v="SELL"/>
    <n v="3.3897216274089939"/>
    <x v="0"/>
    <x v="0"/>
    <n v="15.83"/>
    <s v="Deal"/>
    <m/>
    <s v="Original Amount [TRY 15], Merchant Amount [EUR 4.67], Customer Amount [TRY 15.83], Status [APPROVED], Operation [3DAUTH], UUID [3627193-1458733914-264] [23/03/2016 at 11:51:00]"/>
  </r>
  <r>
    <s v="3627175-1458733893-224"/>
    <s v="Spot"/>
    <s v="3627175-1458733893-224"/>
    <n v="0"/>
    <d v="2016-03-31T00:00:00"/>
    <x v="1739"/>
    <s v="224"/>
    <s v="SELL"/>
    <n v="9.9505697566984921"/>
    <x v="0"/>
    <x v="1"/>
    <n v="646.19000000000005"/>
    <s v="Deal"/>
    <m/>
    <s v="Original Amount [EUR 64.94], Merchant Amount [EUR 64.94], Customer Amount [NOK 646.19], Status [APPROVED], Operation [DIRECT], UUID [3627175-1458733893-224] [23/03/2016 at 11:51:00]"/>
  </r>
  <r>
    <s v="3627169-1458733878-224"/>
    <s v="Spot"/>
    <s v="3627169-1458733878-224"/>
    <n v="0"/>
    <d v="2016-03-31T00:00:00"/>
    <x v="1740"/>
    <s v="224"/>
    <s v="SELL"/>
    <n v="9.9505697566984921"/>
    <x v="0"/>
    <x v="1"/>
    <n v="1292.3800000000001"/>
    <s v="Deal"/>
    <m/>
    <s v="Original Amount [EUR 129.88], Merchant Amount [EUR 129.88], Customer Amount [NOK 1292.38], Status [APPROVED], Operation [DIRECT], UUID [3627169-1458733878-224] [23/03/2016 at 11:51:00]"/>
  </r>
  <r>
    <s v="3627160-1458733867-216"/>
    <s v="Spot"/>
    <s v="3627160-1458733867-216"/>
    <n v="0"/>
    <d v="2016-03-31T00:00:00"/>
    <x v="1741"/>
    <s v="216"/>
    <s v="SELL"/>
    <n v="3.3975731620271237"/>
    <x v="0"/>
    <x v="0"/>
    <n v="47.6"/>
    <s v="Deal"/>
    <m/>
    <s v="Original Amount [EUR 14.01], Merchant Amount [EUR 14.01], Customer Amount [TRY 47.6], Status [WAITING], Operation [3D], UUID [3627160-1458733867-216] [23/03/2016 at 11:51:00]"/>
  </r>
  <r>
    <s v="3627166-1458733875-119"/>
    <s v="Spot"/>
    <s v="3627166-1458733875-119"/>
    <n v="0"/>
    <d v="2016-03-31T00:00:00"/>
    <x v="1742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27166-1458733875-119] [23/03/2016 at 11:51:00]"/>
  </r>
  <r>
    <s v="3627130-1458733836-224"/>
    <s v="Spot"/>
    <s v="3627130-1458733836-224"/>
    <n v="0"/>
    <d v="2016-03-31T00:00:00"/>
    <x v="1743"/>
    <s v="224"/>
    <s v="SELL"/>
    <n v="133.03790726817041"/>
    <x v="0"/>
    <x v="3"/>
    <n v="4246.57"/>
    <s v="Deal"/>
    <m/>
    <s v="Original Amount [EUR 31.92], Merchant Amount [EUR 31.92], Customer Amount [JPY 4246.57], Status [APPROVED], Operation [DIRECT], UUID [3627130-1458733836-224] [23/03/2016 at 11:50:00]"/>
  </r>
  <r>
    <s v="3627253-1458734007-216"/>
    <s v="Spot"/>
    <s v="3627253-1458734007-216"/>
    <n v="0"/>
    <d v="2016-03-31T00:00:00"/>
    <x v="1744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7253-1458734007-216] [23/03/2016 at 11:53:00]"/>
  </r>
  <r>
    <s v="3627118-1458733829-199"/>
    <s v="Spot"/>
    <s v="3627118-1458733829-199"/>
    <n v="0"/>
    <d v="2016-03-31T00:00:00"/>
    <x v="174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7118-1458733829-199] [23/03/2016 at 11:50:00]"/>
  </r>
  <r>
    <s v="3627106-1458733806-199"/>
    <s v="Spot"/>
    <s v="3627106-1458733806-199"/>
    <n v="0"/>
    <d v="2016-03-31T00:00:00"/>
    <x v="1746"/>
    <s v="199"/>
    <s v="SELL"/>
    <n v="9.9549418604651159"/>
    <x v="0"/>
    <x v="1"/>
    <n v="205.47"/>
    <s v="Deal"/>
    <m/>
    <s v="Original Amount [EUR 20.64], Merchant Amount [EUR 20.64], Customer Amount [NOK 205.47], Status [APPROVED], Operation [DIRECT], UUID [3627106-1458733806-199] [23/03/2016 at 11:50:00]"/>
  </r>
  <r>
    <s v="3627103-1458733802-200"/>
    <s v="Spot"/>
    <s v="3627103-1458733802-200"/>
    <n v="0"/>
    <d v="2016-03-31T00:00:00"/>
    <x v="1747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7103-1458733802-200] [23/03/2016 at 11:50:00]"/>
  </r>
  <r>
    <s v="3627094-1458733797-224"/>
    <s v="Spot"/>
    <s v="3627094-1458733797-224"/>
    <n v="0"/>
    <d v="2016-03-31T00:00:00"/>
    <x v="1748"/>
    <s v="224"/>
    <s v="SELL"/>
    <n v="133.03764895094673"/>
    <x v="0"/>
    <x v="3"/>
    <n v="18198.22"/>
    <s v="Deal"/>
    <m/>
    <s v="Original Amount [EUR 136.79], Merchant Amount [EUR 136.79], Customer Amount [JPY 18198.22], Status [APPROVED], Operation [DIRECT], UUID [3627094-1458733797-224] [23/03/2016 at 11:49:00]"/>
  </r>
  <r>
    <s v="3627088-1458733792-145"/>
    <s v="Spot"/>
    <s v="3627088-1458733792-145"/>
    <n v="0"/>
    <d v="2016-03-31T00:00:00"/>
    <x v="1749"/>
    <s v="145"/>
    <s v="SELL"/>
    <n v="9.9545918768167159"/>
    <x v="0"/>
    <x v="1"/>
    <n v="1267.1199999999999"/>
    <s v="Deal"/>
    <m/>
    <s v="Original Amount [EUR 127.29], Merchant Amount [EUR 127.29], Customer Amount [NOK 1267.12], Status [APPROVED], Operation [DIRECT], UUID [3627088-1458733792-145] [23/03/2016 at 11:49:00]"/>
  </r>
  <r>
    <s v="3627085-1458733784-200"/>
    <s v="Spot"/>
    <s v="3627085-1458733784-200"/>
    <n v="0"/>
    <d v="2016-03-31T00:00:00"/>
    <x v="1750"/>
    <s v="200"/>
    <s v="SELL"/>
    <n v="9.9548151528982203"/>
    <x v="0"/>
    <x v="1"/>
    <n v="218.11"/>
    <s v="Deal"/>
    <m/>
    <s v="Original Amount [EUR 21.91], Merchant Amount [EUR 21.91], Customer Amount [NOK 218.11], Status [APPROVED], Operation [STORED], UUID [3627085-1458733784-200] [23/03/2016 at 11:49:00]"/>
  </r>
  <r>
    <s v="3627151-1458733851-216"/>
    <s v="Spot"/>
    <s v="3627151-1458733851-216"/>
    <n v="0"/>
    <d v="2016-03-31T00:00:00"/>
    <x v="1751"/>
    <s v="216"/>
    <s v="SELL"/>
    <n v="3.3965738758029977"/>
    <x v="0"/>
    <x v="0"/>
    <n v="79.31"/>
    <s v="Deal"/>
    <m/>
    <s v="Original Amount [EUR 23.35], Merchant Amount [EUR 23.35], Customer Amount [TRY 79.31], Status [APPROVED], Operation [3DAUTH], UUID [3627151-1458733851-216] [23/03/2016 at 11:50:00]"/>
  </r>
  <r>
    <s v="3627145-1458733845-102"/>
    <s v="Spot"/>
    <s v="3627145-1458733845-102"/>
    <n v="0"/>
    <d v="2016-03-31T00:00:00"/>
    <x v="1752"/>
    <s v="102"/>
    <s v="SELL"/>
    <n v="3.3972350230414747"/>
    <x v="0"/>
    <x v="0"/>
    <n v="36.86"/>
    <s v="Deal"/>
    <m/>
    <s v="Original Amount [EUR 10.85], Merchant Amount [EUR 10.85], Customer Amount [TRY 36.86], Status [APPROVED], Operation [3DAUTH], UUID [3627145-1458733845-102] [23/03/2016 at 11:50:00]"/>
  </r>
  <r>
    <s v="3627073-1458733768-56"/>
    <s v="Spot"/>
    <s v="3627073-1458733768-56"/>
    <n v="0"/>
    <d v="2016-03-31T00:00:00"/>
    <x v="1753"/>
    <s v="56"/>
    <s v="SELL"/>
    <n v="3.3969335604770019"/>
    <x v="0"/>
    <x v="0"/>
    <n v="59.82"/>
    <s v="Deal"/>
    <m/>
    <s v="Original Amount [EUR 17.61], Merchant Amount [EUR 17.61], Customer Amount [TRY 59.82], Status [WAITING], Operation [3D], UUID [3627073-1458733768-56] [23/03/2016 at 11:49:00]"/>
  </r>
  <r>
    <s v="3627070-1458733761-107"/>
    <s v="Spot"/>
    <s v="3627070-1458733761-107"/>
    <n v="0"/>
    <d v="2016-03-31T00:00:00"/>
    <x v="1754"/>
    <s v="107"/>
    <s v="SELL"/>
    <n v="3.396707553260168"/>
    <x v="0"/>
    <x v="0"/>
    <n v="105.23"/>
    <s v="Deal"/>
    <m/>
    <s v="Original Amount [EUR 30.98], Merchant Amount [EUR 30.98], Customer Amount [TRY 105.23], Status [WAITING], Operation [3D], UUID [3627070-1458733761-107] [23/03/2016 at 11:49:00]"/>
  </r>
  <r>
    <s v="3627052-1458733730-119"/>
    <s v="Spot"/>
    <s v="3627052-1458733730-119"/>
    <n v="0"/>
    <d v="2016-03-31T00:00:00"/>
    <x v="1755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7052-1458733730-119] [23/03/2016 at 11:48:00]"/>
  </r>
  <r>
    <s v="3627049-1458733726-101"/>
    <s v="Spot"/>
    <s v="3627049-1458733726-101"/>
    <n v="0"/>
    <d v="2016-03-31T00:00:00"/>
    <x v="1756"/>
    <s v="101"/>
    <s v="SELL"/>
    <n v="3.3975"/>
    <x v="0"/>
    <x v="0"/>
    <n v="27.18"/>
    <s v="Deal"/>
    <m/>
    <s v="Original Amount [EUR 8], Merchant Amount [EUR 8], Customer Amount [TRY 27.18], Status [APPROVED], Operation [3DAUTH], UUID [3627049-1458733726-101] [23/03/2016 at 11:48:00]"/>
  </r>
  <r>
    <s v="3627046-1458733718-216"/>
    <s v="Spot"/>
    <s v="3627046-1458733718-216"/>
    <n v="0"/>
    <d v="2016-03-31T00:00:00"/>
    <x v="1757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7046-1458733718-216] [23/03/2016 at 11:48:00]"/>
  </r>
  <r>
    <s v="3627025-1458733644-199"/>
    <s v="Spot"/>
    <s v="3627025-1458733644-199"/>
    <n v="0"/>
    <d v="2016-03-31T00:00:00"/>
    <x v="1758"/>
    <s v="199"/>
    <s v="SELL"/>
    <n v="9.96676891615542"/>
    <x v="0"/>
    <x v="1"/>
    <n v="194.95"/>
    <s v="Deal"/>
    <m/>
    <s v="Original Amount [EUR 19.56], Merchant Amount [EUR 19.56], Customer Amount [NOK 194.95], Status [APPROVED], Operation [DIRECT], UUID [3627025-1458733644-199] [23/03/2016 at 11:47:00]"/>
  </r>
  <r>
    <s v="3627016-1458733633-56"/>
    <s v="Spot"/>
    <s v="3627016-1458733633-56"/>
    <n v="0"/>
    <d v="2016-03-31T00:00:00"/>
    <x v="1759"/>
    <s v="56"/>
    <s v="SELL"/>
    <n v="3.3972517176764518"/>
    <x v="0"/>
    <x v="0"/>
    <n v="54.39"/>
    <s v="Deal"/>
    <m/>
    <s v="Original Amount [EUR 16.01], Merchant Amount [EUR 16.01], Customer Amount [TRY 54.39], Status [WAITING], Operation [3D], UUID [3627016-1458733633-56] [23/03/2016 at 11:47:00]"/>
  </r>
  <r>
    <s v="3626995-1458733599-199"/>
    <s v="Spot"/>
    <s v="3626995-1458733599-199"/>
    <n v="0"/>
    <d v="2016-03-31T00:00:00"/>
    <x v="1760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26995-1458733599-199] [23/03/2016 at 11:46:00]"/>
  </r>
  <r>
    <s v="3627034-1458733660-119"/>
    <s v="Spot"/>
    <s v="3627034-1458733660-119"/>
    <n v="0"/>
    <d v="2016-03-31T00:00:00"/>
    <x v="1761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27034-1458733660-119] [23/03/2016 at 11:47:00]"/>
  </r>
  <r>
    <s v="3626998-1458733607-145"/>
    <s v="Spot"/>
    <s v="3626998-1458733607-145"/>
    <n v="0"/>
    <d v="2016-03-31T00:00:00"/>
    <x v="1762"/>
    <s v="145"/>
    <s v="SELL"/>
    <n v="1.5435897435897434"/>
    <x v="0"/>
    <x v="2"/>
    <n v="210.7"/>
    <s v="Deal"/>
    <m/>
    <s v="Original Amount [EUR 136.5], Merchant Amount [EUR 136.5], Customer Amount [CAD 210.7], Status [APPROVED], Operation [3DAUTH], UUID [3626998-1458733607-145] [23/03/2016 at 11:46:00]"/>
  </r>
  <r>
    <s v="3626986-1458733586-107"/>
    <s v="Spot"/>
    <s v="3626986-1458733586-107"/>
    <n v="0"/>
    <d v="2016-03-31T00:00:00"/>
    <x v="1763"/>
    <s v="107"/>
    <s v="SELL"/>
    <n v="3.3970588235294117"/>
    <x v="0"/>
    <x v="0"/>
    <n v="94.71"/>
    <s v="Deal"/>
    <m/>
    <s v="Original Amount [EUR 27.88], Merchant Amount [EUR 27.88], Customer Amount [TRY 94.71], Status [APPROVED], Operation [3DAUTH], UUID [3626986-1458733586-107] [23/03/2016 at 11:46:00]"/>
  </r>
  <r>
    <s v="3626962-1458733556-126"/>
    <s v="Spot"/>
    <s v="3626962-1458733556-126"/>
    <n v="0"/>
    <d v="2016-03-31T00:00:00"/>
    <x v="1764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26962-1458733556-126] [23/03/2016 at 11:45:00]"/>
  </r>
  <r>
    <s v="3626947-1458733547-199"/>
    <s v="Spot"/>
    <s v="3626947-1458733547-199"/>
    <n v="0"/>
    <d v="2016-03-31T00:00:00"/>
    <x v="1765"/>
    <s v="199"/>
    <s v="SELL"/>
    <n v="9.9665541577170895"/>
    <x v="0"/>
    <x v="1"/>
    <n v="324.81"/>
    <s v="Deal"/>
    <m/>
    <s v="Original Amount [EUR 32.59], Merchant Amount [EUR 32.59], Customer Amount [NOK 324.81], Status [APPROVED], Operation [DIRECT], UUID [3626947-1458733547-199] [23/03/2016 at 11:45:00]"/>
  </r>
  <r>
    <s v="3626941-1458733538-199"/>
    <s v="Spot"/>
    <s v="3626941-1458733538-199"/>
    <n v="0"/>
    <d v="2016-03-31T00:00:00"/>
    <x v="1766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26941-1458733538-199] [23/03/2016 at 11:45:00]"/>
  </r>
  <r>
    <s v="3626989-1458733586-56"/>
    <s v="Spot"/>
    <s v="3626989-1458733586-56"/>
    <n v="0"/>
    <d v="2016-03-31T00:00:00"/>
    <x v="1767"/>
    <s v="56"/>
    <s v="SELL"/>
    <n v="3.3972222222222221"/>
    <x v="0"/>
    <x v="0"/>
    <n v="48.92"/>
    <s v="Deal"/>
    <m/>
    <s v="Original Amount [EUR 14.4], Merchant Amount [EUR 14.4], Customer Amount [TRY 48.92], Status [APPROVED], Operation [3DAUTH], UUID [3626989-1458733586-56] [23/03/2016 at 11:46:00]"/>
  </r>
  <r>
    <s v="3626911-1458733494-119"/>
    <s v="Spot"/>
    <s v="3626911-1458733494-119"/>
    <n v="0"/>
    <d v="2016-03-31T00:00:00"/>
    <x v="176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6911-1458733494-119] [23/03/2016 at 11:44:00]"/>
  </r>
  <r>
    <s v="3626908-1458733494-187"/>
    <s v="Spot"/>
    <s v="3626908-1458733494-187"/>
    <n v="0"/>
    <d v="2016-03-31T00:00:00"/>
    <x v="1769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26908-1458733494-187] [23/03/2016 at 11:44:00]"/>
  </r>
  <r>
    <s v="3626902-1458733490-56"/>
    <s v="Spot"/>
    <s v="3626902-1458733490-56"/>
    <n v="0"/>
    <d v="2016-03-31T00:00:00"/>
    <x v="1770"/>
    <s v="56"/>
    <s v="SELL"/>
    <n v="3.3972517176764518"/>
    <x v="0"/>
    <x v="0"/>
    <n v="54.39"/>
    <s v="Deal"/>
    <m/>
    <s v="Original Amount [EUR 16.01], Merchant Amount [EUR 16.01], Customer Amount [TRY 54.39], Status [WAITING], Operation [3D], UUID [3626902-1458733490-56] [23/03/2016 at 11:44:00]"/>
  </r>
  <r>
    <s v="3626974-1458733574-101"/>
    <s v="Spot"/>
    <s v="3626974-1458733574-101"/>
    <n v="0"/>
    <d v="2016-03-31T00:00:00"/>
    <x v="1771"/>
    <s v="101"/>
    <s v="SELL"/>
    <n v="3.3975"/>
    <x v="0"/>
    <x v="0"/>
    <n v="27.18"/>
    <s v="Deal"/>
    <m/>
    <s v="Original Amount [EUR 8], Merchant Amount [EUR 8], Customer Amount [TRY 27.18], Status [APPROVED], Operation [3DAUTH], UUID [3626974-1458733574-101] [23/03/2016 at 11:46:00]"/>
  </r>
  <r>
    <s v="3626893-1458733485-124"/>
    <s v="Spot"/>
    <s v="3626893-1458733485-124"/>
    <n v="0"/>
    <d v="2016-03-31T00:00:00"/>
    <x v="1772"/>
    <s v="124"/>
    <s v="SELL"/>
    <n v="9.9665236051502148"/>
    <x v="0"/>
    <x v="1"/>
    <n v="116.11"/>
    <s v="Deal"/>
    <m/>
    <s v="Original Amount [EUR 11.65], Merchant Amount [EUR 11.65], Customer Amount [NOK 116.11], Status [APPROVED], Operation [DIRECT], UUID [3626893-1458733485-124] [23/03/2016 at 11:44:00]"/>
  </r>
  <r>
    <s v="3626884-1458733470-256"/>
    <s v="Spot"/>
    <s v="3626884-1458733470-256"/>
    <n v="0"/>
    <d v="2016-03-31T00:00:00"/>
    <x v="1773"/>
    <s v="256"/>
    <s v="SELL"/>
    <n v="3.3907455012853469"/>
    <x v="0"/>
    <x v="0"/>
    <n v="26.38"/>
    <s v="Deal"/>
    <m/>
    <s v="Original Amount [TRY 25], Merchant Amount [EUR 7.78], Customer Amount [TRY 26.38], Status [WAITING], Operation [3D], UUID [3626884-1458733470-256] [23/03/2016 at 11:44:00]"/>
  </r>
  <r>
    <s v="3626905-1458733492-203"/>
    <s v="Spot"/>
    <s v="3626905-1458733492-203"/>
    <n v="0"/>
    <d v="2016-03-31T00:00:00"/>
    <x v="1774"/>
    <s v="203"/>
    <s v="SELL"/>
    <n v="3.3972903225806452"/>
    <x v="0"/>
    <x v="0"/>
    <n v="263.29000000000002"/>
    <s v="Deal"/>
    <m/>
    <s v="Original Amount [EUR 77.5], Merchant Amount [EUR 77.5], Customer Amount [TRY 263.29], Status [APPROVED], Operation [3DAUTH], UUID [3626905-1458733492-203] [23/03/2016 at 11:44:00]"/>
  </r>
  <r>
    <s v="3626875-1458733464-125"/>
    <s v="Spot"/>
    <s v="3626875-1458733464-125"/>
    <n v="0"/>
    <d v="2016-03-31T00:00:00"/>
    <x v="1775"/>
    <s v="125"/>
    <s v="SELL"/>
    <n v="132.83241428571429"/>
    <x v="0"/>
    <x v="3"/>
    <n v="92982.69"/>
    <s v="Deal"/>
    <m/>
    <s v="Original Amount [EUR 700], Merchant Amount [EUR 700], Customer Amount [JPY 92982.69], Status [APPROVED], Operation [DIRECT], UUID [3626875-1458733464-125] [23/03/2016 at 11:44:00]"/>
  </r>
  <r>
    <s v="3626863-1458733415-187"/>
    <s v="Spot"/>
    <s v="3626863-1458733415-187"/>
    <n v="0"/>
    <d v="2016-03-31T00:00:00"/>
    <x v="1776"/>
    <s v="187"/>
    <s v="SELL"/>
    <n v="9.9663473657675823"/>
    <x v="0"/>
    <x v="1"/>
    <n v="790.73"/>
    <s v="Deal"/>
    <m/>
    <s v="Original Amount [EUR 79.34], Merchant Amount [EUR 79.34], Customer Amount [NOK 790.73], Status [APPROVED], Operation [DIRECT], UUID [3626863-1458733415-187] [23/03/2016 at 11:43:00]"/>
  </r>
  <r>
    <s v="3626860-1458733415-238"/>
    <s v="Spot"/>
    <s v="3626860-1458733415-238"/>
    <n v="0"/>
    <d v="2016-03-31T00:00:00"/>
    <x v="177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6860-1458733415-238] [23/03/2016 at 11:43:00]"/>
  </r>
  <r>
    <s v="3626857-1458733406-126"/>
    <s v="Spot"/>
    <s v="3626857-1458733406-126"/>
    <n v="0"/>
    <d v="2016-03-31T00:00:00"/>
    <x v="1778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DIRECT], UUID [3626857-1458733406-126] [23/03/2016 at 11:43:00]"/>
  </r>
  <r>
    <s v="3626842-1458733377-119"/>
    <s v="Spot"/>
    <s v="3626842-1458733377-119"/>
    <n v="0"/>
    <d v="2016-03-31T00:00:00"/>
    <x v="1779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6842-1458733377-119] [23/03/2016 at 11:42:00]"/>
  </r>
  <r>
    <s v="3626839-1458733376-224"/>
    <s v="Spot"/>
    <s v="3626839-1458733376-224"/>
    <n v="0"/>
    <d v="2016-03-31T00:00:00"/>
    <x v="1780"/>
    <s v="224"/>
    <s v="SELL"/>
    <n v="9.9662770822746811"/>
    <x v="0"/>
    <x v="1"/>
    <n v="2157.4"/>
    <s v="Deal"/>
    <m/>
    <s v="Original Amount [EUR 216.47], Merchant Amount [EUR 216.47], Customer Amount [NOK 2157.4], Status [APPROVED], Operation [DIRECT], UUID [3626839-1458733376-224] [23/03/2016 at 11:42:00]"/>
  </r>
  <r>
    <s v="3626815-1458733360-199"/>
    <s v="Spot"/>
    <s v="3626815-1458733360-199"/>
    <n v="0"/>
    <d v="2016-03-31T00:00:00"/>
    <x v="1781"/>
    <s v="199"/>
    <s v="SELL"/>
    <n v="9.9663379355687063"/>
    <x v="0"/>
    <x v="1"/>
    <n v="757.94"/>
    <s v="Deal"/>
    <m/>
    <s v="Original Amount [EUR 76.05], Merchant Amount [EUR 76.05], Customer Amount [NOK 757.94], Status [APPROVED], Operation [DIRECT], UUID [3626815-1458733360-199] [23/03/2016 at 11:42:00]"/>
  </r>
  <r>
    <s v="3626845-1458733378-56"/>
    <s v="Spot"/>
    <s v="3626845-1458733378-56"/>
    <n v="0"/>
    <d v="2016-03-31T00:00:00"/>
    <x v="1782"/>
    <s v="56"/>
    <s v="SELL"/>
    <n v="3.397278911564626"/>
    <x v="0"/>
    <x v="0"/>
    <n v="99.88"/>
    <s v="Deal"/>
    <m/>
    <s v="Original Amount [EUR 29.4], Merchant Amount [EUR 29.4], Customer Amount [TRY 99.88], Status [APPROVED], Operation [3DAUTH], UUID [3626845-1458733378-56] [23/03/2016 at 11:42:00]"/>
  </r>
  <r>
    <s v="3626803-1458733341-224"/>
    <s v="Spot"/>
    <s v="3626803-1458733341-224"/>
    <n v="0"/>
    <d v="2016-03-31T00:00:00"/>
    <x v="1783"/>
    <s v="224"/>
    <s v="SELL"/>
    <n v="9.9662863070539416"/>
    <x v="0"/>
    <x v="1"/>
    <n v="2690.1"/>
    <s v="Deal"/>
    <m/>
    <s v="Original Amount [EUR 269.92], Merchant Amount [EUR 269.92], Customer Amount [NOK 2690.1], Status [APPROVED], Operation [DIRECT], UUID [3626803-1458733341-224] [23/03/2016 at 11:42:00]"/>
  </r>
  <r>
    <s v="3626827-1458733364-107"/>
    <s v="Spot"/>
    <s v="3626827-1458733364-107"/>
    <n v="0"/>
    <d v="2016-03-31T00:00:00"/>
    <x v="1784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26827-1458733364-107] [23/03/2016 at 11:42:00]"/>
  </r>
  <r>
    <s v="3626836-1458733370-216"/>
    <s v="Spot"/>
    <s v="3626836-1458733370-216"/>
    <n v="0"/>
    <d v="2016-03-31T00:00:00"/>
    <x v="1785"/>
    <s v="216"/>
    <s v="SELL"/>
    <n v="3.3973658849983943"/>
    <x v="0"/>
    <x v="0"/>
    <n v="105.76"/>
    <s v="Deal"/>
    <m/>
    <s v="Original Amount [EUR 31.13], Merchant Amount [EUR 31.13], Customer Amount [TRY 105.76], Status [APPROVED], Operation [3DAUTH], UUID [3626836-1458733370-216] [23/03/2016 at 11:42:00]"/>
  </r>
  <r>
    <s v="3626788-1458733327-126"/>
    <s v="Spot"/>
    <s v="3626788-1458733327-126"/>
    <n v="0"/>
    <d v="2016-03-31T00:00:00"/>
    <x v="1786"/>
    <s v="126"/>
    <s v="SELL"/>
    <n v="9.9663414634146346"/>
    <x v="0"/>
    <x v="1"/>
    <n v="408.62"/>
    <s v="Deal"/>
    <m/>
    <s v="Original Amount [EUR 41], Merchant Amount [EUR 41], Customer Amount [NOK 408.62], Status [APPROVED], Operation [DIRECT], UUID [3626788-1458733327-126] [23/03/2016 at 11:42:00]"/>
  </r>
  <r>
    <s v="3626821-1458733362-264"/>
    <s v="Spot"/>
    <s v="3626821-1458733362-264"/>
    <n v="0"/>
    <d v="2016-03-31T00:00:00"/>
    <x v="1787"/>
    <s v="264"/>
    <s v="SELL"/>
    <n v="3.3879254977520872"/>
    <x v="0"/>
    <x v="0"/>
    <n v="52.75"/>
    <s v="Deal"/>
    <m/>
    <s v="Original Amount [TRY 50], Merchant Amount [EUR 15.57], Customer Amount [TRY 52.75], Status [APPROVED], Operation [3DAUTH], UUID [3626821-1458733362-264] [23/03/2016 at 11:42:00]"/>
  </r>
  <r>
    <s v="3626758-1458733277-261"/>
    <s v="Spot"/>
    <s v="3626758-1458733277-261"/>
    <n v="0"/>
    <d v="2016-03-31T00:00:00"/>
    <x v="1788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26758-1458733277-261] [23/03/2016 at 11:41:00]"/>
  </r>
  <r>
    <s v="3626752-1458733268-134"/>
    <s v="Spot"/>
    <s v="3626752-1458733268-134"/>
    <n v="0"/>
    <d v="2016-03-31T00:00:00"/>
    <x v="1789"/>
    <s v="134"/>
    <s v="BUY"/>
    <n v="133.86895526857157"/>
    <x v="0"/>
    <x v="3"/>
    <n v="241423.29"/>
    <s v="Deal"/>
    <m/>
    <s v="Original Amount [EUR 1803.43], Merchant Amount [EUR 1803.43], Customer Amount [JPY 241423.29], Status [APPROVED], Operation [REFUND], UUID [3626752-1458733268-134] [23/03/2016 at 11:41:00]"/>
  </r>
  <r>
    <s v="3626749-1458733262-134"/>
    <s v="Spot"/>
    <s v="3626749-1458733262-134"/>
    <n v="0"/>
    <d v="2016-03-31T00:00:00"/>
    <x v="1790"/>
    <s v="134"/>
    <s v="BUY"/>
    <n v="133.96738150115243"/>
    <x v="0"/>
    <x v="3"/>
    <n v="320846.52"/>
    <s v="Deal"/>
    <m/>
    <s v="Original Amount [EUR 2394.96], Merchant Amount [EUR 2394.96], Customer Amount [JPY 320846.52], Status [APPROVED], Operation [REFUND], UUID [3626749-1458733262-134] [23/03/2016 at 11:41:00]"/>
  </r>
  <r>
    <s v="3626743-1458733254-224"/>
    <s v="Spot"/>
    <s v="3626743-1458733254-224"/>
    <n v="0"/>
    <d v="2016-03-31T00:00:00"/>
    <x v="1791"/>
    <s v="224"/>
    <s v="SELL"/>
    <n v="9.9546247818499118"/>
    <x v="0"/>
    <x v="1"/>
    <n v="969.68"/>
    <s v="Deal"/>
    <m/>
    <s v="Original Amount [EUR 97.41], Merchant Amount [EUR 97.41], Customer Amount [NOK 969.68], Status [APPROVED], Operation [DIRECT], UUID [3626743-1458733254-224] [23/03/2016 at 11:40:00]"/>
  </r>
  <r>
    <s v="3626737-1458733238-224"/>
    <s v="Spot"/>
    <s v="3626737-1458733238-224"/>
    <n v="0"/>
    <d v="2016-03-31T00:00:00"/>
    <x v="1792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6737-1458733238-224] [23/03/2016 at 11:40:00]"/>
  </r>
  <r>
    <s v="3626734-1458733225-216"/>
    <s v="Spot"/>
    <s v="3626734-1458733225-216"/>
    <n v="0"/>
    <d v="2016-03-31T00:00:00"/>
    <x v="1793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734-1458733225-216] [23/03/2016 at 11:40:00]"/>
  </r>
  <r>
    <s v="3626746-1458733256-216"/>
    <s v="Spot"/>
    <s v="3626746-1458733256-216"/>
    <n v="0"/>
    <d v="2016-03-31T00:00:00"/>
    <x v="1794"/>
    <s v="216"/>
    <s v="SELL"/>
    <n v="3.3976240391334729"/>
    <x v="0"/>
    <x v="0"/>
    <n v="48.62"/>
    <s v="Deal"/>
    <m/>
    <s v="Original Amount [EUR 14.31], Merchant Amount [EUR 14.31], Customer Amount [TRY 48.62], Status [APPROVED], Operation [3DAUTH], UUID [3626746-1458733256-216] [23/03/2016 at 11:40:00]"/>
  </r>
  <r>
    <s v="3626728-1458733214-101"/>
    <s v="Spot"/>
    <s v="3626728-1458733214-101"/>
    <n v="0"/>
    <d v="2016-03-31T00:00:00"/>
    <x v="1795"/>
    <s v="101"/>
    <s v="SELL"/>
    <n v="3.3972424557752343"/>
    <x v="0"/>
    <x v="0"/>
    <n v="261.18"/>
    <s v="Deal"/>
    <m/>
    <s v="Original Amount [EUR 76.88], Merchant Amount [EUR 76.88], Customer Amount [TRY 261.18], Status [APPROVED], Operation [3DAUTH], UUID [3626728-1458733214-101] [23/03/2016 at 11:40:00]"/>
  </r>
  <r>
    <s v="3626707-1458733174-126"/>
    <s v="Spot"/>
    <s v="3626707-1458733174-126"/>
    <n v="0"/>
    <d v="2016-03-31T00:00:00"/>
    <x v="1796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26707-1458733174-126] [23/03/2016 at 11:39:00]"/>
  </r>
  <r>
    <s v="3626701-1458733165-199"/>
    <s v="Spot"/>
    <s v="3626701-1458733165-199"/>
    <n v="0"/>
    <d v="2016-03-31T00:00:00"/>
    <x v="1797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6701-1458733165-199] [23/03/2016 at 11:39:00]"/>
  </r>
  <r>
    <s v="3626719-1458733198-216"/>
    <s v="Spot"/>
    <s v="3626719-1458733198-216"/>
    <n v="0"/>
    <d v="2016-03-31T00:00:00"/>
    <x v="179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6719-1458733198-216] [23/03/2016 at 11:39:00]"/>
  </r>
  <r>
    <s v="3626668-1458733108-101"/>
    <s v="Spot"/>
    <s v="3626668-1458733108-101"/>
    <n v="0"/>
    <d v="2016-03-31T00:00:00"/>
    <x v="1799"/>
    <s v="101"/>
    <s v="SELL"/>
    <n v="3.391983016983017"/>
    <x v="0"/>
    <x v="0"/>
    <n v="271.63"/>
    <s v="Deal"/>
    <m/>
    <s v="Original Amount [EUR 80.08], Merchant Amount [EUR 80.08], Customer Amount [TRY 271.63], Status [WAITING], Operation [3D], UUID [3626668-1458733108-101] [23/03/2016 at 11:38:00]"/>
  </r>
  <r>
    <s v="3626653-1458733092-125"/>
    <s v="Spot"/>
    <s v="3626653-1458733092-125"/>
    <n v="0"/>
    <d v="2016-03-31T00:00:00"/>
    <x v="1800"/>
    <s v="125"/>
    <s v="SELL"/>
    <n v="9.9411000000000005"/>
    <x v="0"/>
    <x v="1"/>
    <n v="994.11"/>
    <s v="Deal"/>
    <m/>
    <s v="Original Amount [EUR 100], Merchant Amount [EUR 100], Customer Amount [NOK 994.11], Status [APPROVED], Operation [DIRECT], UUID [3626653-1458733092-125] [23/03/2016 at 11:38:00]"/>
  </r>
  <r>
    <s v="3626713-1458733184-101"/>
    <s v="Spot"/>
    <s v="3626713-1458733184-101"/>
    <n v="0"/>
    <d v="2016-03-31T00:00:00"/>
    <x v="1801"/>
    <s v="101"/>
    <s v="SELL"/>
    <n v="3.3919474116680361"/>
    <x v="0"/>
    <x v="0"/>
    <n v="41.28"/>
    <s v="Deal"/>
    <m/>
    <s v="Original Amount [EUR 12.17], Merchant Amount [EUR 12.17], Customer Amount [TRY 41.28], Status [APPROVED], Operation [3DAUTH], UUID [3626713-1458733184-101] [23/03/2016 at 11:39:00]"/>
  </r>
  <r>
    <s v="3626641-1458733087-145"/>
    <s v="Spot"/>
    <s v="3626641-1458733087-145"/>
    <n v="0"/>
    <d v="2016-03-31T00:00:00"/>
    <x v="1802"/>
    <s v="145"/>
    <s v="SELL"/>
    <n v="1.543150183150183"/>
    <x v="0"/>
    <x v="2"/>
    <n v="210.64"/>
    <s v="Deal"/>
    <m/>
    <s v="Original Amount [EUR 136.5], Merchant Amount [EUR 136.5], Customer Amount [CAD 210.64], Status [WAITING], Operation [3D], UUID [3626641-1458733087-145] [23/03/2016 at 11:38:00]"/>
  </r>
  <r>
    <s v="3626638-1458733087-216"/>
    <s v="Spot"/>
    <s v="3626638-1458733087-216"/>
    <n v="0"/>
    <d v="2016-03-31T00:00:00"/>
    <x v="1803"/>
    <s v="216"/>
    <s v="SELL"/>
    <n v="3.3919614147909964"/>
    <x v="0"/>
    <x v="0"/>
    <n v="105.49"/>
    <s v="Deal"/>
    <m/>
    <s v="Original Amount [EUR 31.1], Merchant Amount [EUR 31.1], Customer Amount [TRY 105.49], Status [WAITING], Operation [3D], UUID [3626638-1458733087-216] [23/03/2016 at 11:38:00]"/>
  </r>
  <r>
    <s v="3626674-1458733110-56"/>
    <s v="Spot"/>
    <s v="3626674-1458733110-56"/>
    <n v="0"/>
    <d v="2016-03-31T00:00:00"/>
    <x v="1804"/>
    <s v="56"/>
    <s v="SELL"/>
    <n v="3.3930288461538463"/>
    <x v="0"/>
    <x v="0"/>
    <n v="28.23"/>
    <s v="Deal"/>
    <m/>
    <s v="Original Amount [EUR 8.32], Merchant Amount [EUR 8.32], Customer Amount [TRY 28.23], Status [APPROVED], Operation [3DAUTH], UUID [3626674-1458733110-56] [23/03/2016 at 11:38:00]"/>
  </r>
  <r>
    <s v="3626665-1458733105-124"/>
    <s v="Spot"/>
    <s v="3626665-1458733105-124"/>
    <n v="0"/>
    <d v="2016-03-31T00:00:00"/>
    <x v="1805"/>
    <s v="124"/>
    <s v="SELL"/>
    <n v="9.9410731707317073"/>
    <x v="0"/>
    <x v="1"/>
    <n v="1018.96"/>
    <s v="Deal"/>
    <m/>
    <s v="Original Amount [EUR 102.5], Merchant Amount [EUR 102.5], Customer Amount [NOK 1018.96], Status [APPROVED], Operation [3DAUTH], UUID [3626665-1458733105-124] [23/03/2016 at 11:38:00]"/>
  </r>
  <r>
    <s v="3626623-1458733072-199"/>
    <s v="Spot"/>
    <s v="3626623-1458733072-199"/>
    <n v="0"/>
    <d v="2016-03-31T00:00:00"/>
    <x v="1806"/>
    <s v="199"/>
    <s v="SELL"/>
    <n v="9.9410636223543101"/>
    <x v="0"/>
    <x v="1"/>
    <n v="3160.96"/>
    <s v="Deal"/>
    <m/>
    <s v="Original Amount [EUR 317.97], Merchant Amount [EUR 317.97], Customer Amount [NOK 3160.96], Status [APPROVED], Operation [DIRECT], UUID [3626623-1458733072-199] [23/03/2016 at 11:37:00]"/>
  </r>
  <r>
    <s v="3626680-1458733116-56"/>
    <s v="Spot"/>
    <s v="3626680-1458733116-56"/>
    <n v="0"/>
    <d v="2016-03-31T00:00:00"/>
    <x v="1807"/>
    <s v="56"/>
    <s v="SELL"/>
    <n v="3.3919793014230266"/>
    <x v="0"/>
    <x v="0"/>
    <n v="26.22"/>
    <s v="Deal"/>
    <m/>
    <s v="Original Amount [EUR 7.73], Merchant Amount [EUR 7.73], Customer Amount [TRY 26.22], Status [APPROVED], Operation [3DAUTH], UUID [3626680-1458733116-56] [23/03/2016 at 11:38:00]"/>
  </r>
  <r>
    <s v="3626629-1458733079-56"/>
    <s v="Spot"/>
    <s v="3626629-1458733079-56"/>
    <n v="0"/>
    <d v="2016-03-31T00:00:00"/>
    <x v="1808"/>
    <s v="56"/>
    <s v="SELL"/>
    <n v="3.3920169472627943"/>
    <x v="0"/>
    <x v="0"/>
    <n v="304.23"/>
    <s v="Deal"/>
    <m/>
    <s v="Original Amount [EUR 89.69], Merchant Amount [EUR 89.69], Customer Amount [TRY 304.23], Status [APPROVED], Operation [3DAUTH], UUID [3626629-1458733079-56] [23/03/2016 at 11:37:00]"/>
  </r>
  <r>
    <s v="3626605-1458733055-224"/>
    <s v="Spot"/>
    <s v="3626605-1458733055-224"/>
    <n v="0"/>
    <d v="2016-03-31T00:00:00"/>
    <x v="1809"/>
    <s v="224"/>
    <s v="SELL"/>
    <n v="133.03581871345031"/>
    <x v="0"/>
    <x v="3"/>
    <n v="1819.93"/>
    <s v="Deal"/>
    <m/>
    <s v="Original Amount [EUR 13.68], Merchant Amount [EUR 13.68], Customer Amount [JPY 1819.93], Status [APPROVED], Operation [DIRECT], UUID [3626605-1458733055-224] [23/03/2016 at 11:37:00]"/>
  </r>
  <r>
    <s v="3626656-1458733096-216"/>
    <s v="Spot"/>
    <s v="3626656-1458733096-216"/>
    <n v="0"/>
    <d v="2016-03-31T00:00:00"/>
    <x v="1810"/>
    <s v="216"/>
    <s v="SELL"/>
    <n v="3.3921428571428573"/>
    <x v="0"/>
    <x v="0"/>
    <n v="47.49"/>
    <s v="Deal"/>
    <m/>
    <s v="Original Amount [EUR 14], Merchant Amount [EUR 14], Customer Amount [TRY 47.49], Status [APPROVED], Operation [3DAUTH], UUID [3626656-1458733096-216] [23/03/2016 at 11:38:00]"/>
  </r>
  <r>
    <s v="3626662-1458733104-107"/>
    <s v="Spot"/>
    <s v="3626662-1458733104-107"/>
    <n v="0"/>
    <d v="2016-03-31T00:00:00"/>
    <x v="1811"/>
    <s v="107"/>
    <s v="SELL"/>
    <n v="3.3921168875297316"/>
    <x v="0"/>
    <x v="0"/>
    <n v="99.83"/>
    <s v="Deal"/>
    <m/>
    <s v="Original Amount [EUR 29.43], Merchant Amount [EUR 29.43], Customer Amount [TRY 99.83], Status [APPROVED], Operation [3DAUTH], UUID [3626662-1458733104-107] [23/03/2016 at 11:38:00]"/>
  </r>
  <r>
    <s v="3626596-1458733050-261"/>
    <s v="Spot"/>
    <s v="3626596-1458733050-261"/>
    <n v="0"/>
    <d v="2016-03-31T00:00:00"/>
    <x v="1812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6596-1458733050-261] [23/03/2016 at 11:37:00]"/>
  </r>
  <r>
    <s v="3626608-1458733056-56"/>
    <s v="Spot"/>
    <s v="3626608-1458733056-56"/>
    <n v="0"/>
    <d v="2016-03-31T00:00:00"/>
    <x v="1813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6608-1458733056-56] [23/03/2016 at 11:37:00]"/>
  </r>
  <r>
    <s v="3626566-1458733023-101"/>
    <s v="Spot"/>
    <s v="3626566-1458733023-101"/>
    <n v="0"/>
    <d v="2016-03-31T00:00:00"/>
    <x v="1814"/>
    <s v="101"/>
    <s v="SELL"/>
    <n v="3.3919474116680361"/>
    <x v="0"/>
    <x v="0"/>
    <n v="41.28"/>
    <s v="Deal"/>
    <m/>
    <s v="Original Amount [EUR 12.17], Merchant Amount [EUR 12.17], Customer Amount [TRY 41.28], Status [WAITING], Operation [3D], UUID [3626566-1458733023-101] [23/03/2016 at 11:37:00]"/>
  </r>
  <r>
    <s v="3626563-1458733021-119"/>
    <s v="Spot"/>
    <s v="3626563-1458733021-119"/>
    <n v="0"/>
    <d v="2016-03-31T00:00:00"/>
    <x v="1815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6563-1458733021-119] [23/03/2016 at 11:37:00]"/>
  </r>
  <r>
    <s v="3626560-1458733020-119"/>
    <s v="Spot"/>
    <s v="3626560-1458733020-119"/>
    <n v="0"/>
    <d v="2016-03-31T00:00:00"/>
    <x v="181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560-1458733020-119] [23/03/2016 at 11:37:00]"/>
  </r>
  <r>
    <s v="3626578-1458733033-216"/>
    <s v="Spot"/>
    <s v="3626578-1458733033-216"/>
    <n v="0"/>
    <d v="2016-03-31T00:00:00"/>
    <x v="1817"/>
    <s v="216"/>
    <s v="SELL"/>
    <n v="3.3922087745839633"/>
    <x v="0"/>
    <x v="0"/>
    <n v="89.69"/>
    <s v="Deal"/>
    <m/>
    <s v="Original Amount [EUR 26.44], Merchant Amount [EUR 26.44], Customer Amount [TRY 89.69], Status [APPROVED], Operation [3DAUTH], UUID [3626578-1458733033-216] [23/03/2016 at 11:37:00]"/>
  </r>
  <r>
    <s v="3626581-1458733035-107"/>
    <s v="Spot"/>
    <s v="3626581-1458733035-107"/>
    <n v="0"/>
    <d v="2016-03-31T00:00:00"/>
    <x v="1818"/>
    <s v="107"/>
    <s v="SELL"/>
    <n v="3.3922807017543861"/>
    <x v="0"/>
    <x v="0"/>
    <n v="48.34"/>
    <s v="Deal"/>
    <m/>
    <s v="Original Amount [EUR 14.25], Merchant Amount [EUR 14.25], Customer Amount [TRY 48.34], Status [APPROVED], Operation [3DAUTH], UUID [3626581-1458733035-107] [23/03/2016 at 11:37:00]"/>
  </r>
  <r>
    <s v="3626587-1458733040-216"/>
    <s v="Spot"/>
    <s v="3626587-1458733040-216"/>
    <n v="0"/>
    <d v="2016-03-31T00:00:00"/>
    <x v="1819"/>
    <s v="216"/>
    <s v="SELL"/>
    <n v="3.3920591544767724"/>
    <x v="0"/>
    <x v="0"/>
    <n v="211.02"/>
    <s v="Deal"/>
    <m/>
    <s v="Original Amount [EUR 62.21], Merchant Amount [EUR 62.21], Customer Amount [TRY 211.02], Status [APPROVED], Operation [3DAUTH], UUID [3626587-1458733040-216] [23/03/2016 at 11:37:00]"/>
  </r>
  <r>
    <s v="3626575-1458733031-102"/>
    <s v="Spot"/>
    <s v="3626575-1458733031-102"/>
    <n v="0"/>
    <d v="2016-03-31T00:00:00"/>
    <x v="1820"/>
    <s v="102"/>
    <s v="SELL"/>
    <n v="3.3924731182795695"/>
    <x v="0"/>
    <x v="0"/>
    <n v="31.55"/>
    <s v="Deal"/>
    <m/>
    <s v="Original Amount [EUR 9.3], Merchant Amount [EUR 9.3], Customer Amount [TRY 31.55], Status [APPROVED], Operation [3DAUTH], UUID [3626575-1458733031-102] [23/03/2016 at 11:37:00]"/>
  </r>
  <r>
    <s v="3626539-1458733004-261"/>
    <s v="Spot"/>
    <s v="3626539-1458733004-261"/>
    <n v="0"/>
    <d v="2016-03-31T00:00:00"/>
    <x v="1821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6539-1458733004-261] [23/03/2016 at 11:36:00]"/>
  </r>
  <r>
    <s v="3626533-1458732990-179"/>
    <s v="Spot"/>
    <s v="3626533-1458732990-179"/>
    <n v="0"/>
    <d v="2016-03-31T00:00:00"/>
    <x v="1822"/>
    <s v="179"/>
    <s v="SELL"/>
    <n v="3.3920540997464075"/>
    <x v="0"/>
    <x v="0"/>
    <n v="200.64"/>
    <s v="Deal"/>
    <m/>
    <s v="Original Amount [EUR 59.15], Merchant Amount [EUR 59.15], Customer Amount [TRY 200.64], Status [APPROVED], Operation [3DAUTH], UUID [3626533-1458732990-179] [23/03/2016 at 11:36:00]"/>
  </r>
  <r>
    <s v="3626518-1458732955-119"/>
    <s v="Spot"/>
    <s v="3626518-1458732955-119"/>
    <n v="0"/>
    <d v="2016-03-31T00:00:00"/>
    <x v="1823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6518-1458732955-119] [23/03/2016 at 11:35:00]"/>
  </r>
  <r>
    <s v="3626530-1458732978-216"/>
    <s v="Spot"/>
    <s v="3626530-1458732978-216"/>
    <n v="0"/>
    <d v="2016-03-31T00:00:00"/>
    <x v="1824"/>
    <s v="216"/>
    <s v="SELL"/>
    <n v="3.3971428571428572"/>
    <x v="0"/>
    <x v="0"/>
    <n v="47.56"/>
    <s v="Deal"/>
    <m/>
    <s v="Original Amount [EUR 14], Merchant Amount [EUR 14], Customer Amount [TRY 47.56], Status [APPROVED], Operation [3DAUTH], UUID [3626530-1458732978-216] [23/03/2016 at 11:36:00]"/>
  </r>
  <r>
    <s v="3626509-1458732943-224"/>
    <s v="Spot"/>
    <s v="3626509-1458732943-224"/>
    <n v="0"/>
    <d v="2016-03-31T00:00:00"/>
    <x v="1825"/>
    <s v="224"/>
    <s v="SELL"/>
    <n v="132.83248800548319"/>
    <x v="0"/>
    <x v="3"/>
    <n v="9690.1299999999992"/>
    <s v="Deal"/>
    <m/>
    <s v="Original Amount [EUR 72.95], Merchant Amount [EUR 72.95], Customer Amount [JPY 9690.13], Status [APPROVED], Operation [DIRECT], UUID [3626509-1458732943-224] [23/03/2016 at 11:35:00]"/>
  </r>
  <r>
    <s v="3626506-1458732937-261"/>
    <s v="Spot"/>
    <s v="3626506-1458732937-261"/>
    <n v="0"/>
    <d v="2016-03-31T00:00:00"/>
    <x v="1826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26506-1458732937-261] [23/03/2016 at 11:35:00]"/>
  </r>
  <r>
    <s v="3626527-1458732977-160"/>
    <s v="Spot"/>
    <s v="3626527-1458732977-160"/>
    <n v="0"/>
    <d v="2016-03-31T00:00:00"/>
    <x v="1827"/>
    <s v="160"/>
    <s v="SELL"/>
    <n v="3.3966516419832584"/>
    <x v="0"/>
    <x v="0"/>
    <n v="105.5"/>
    <s v="Deal"/>
    <m/>
    <s v="Original Amount [EUR 31.06], Merchant Amount [EUR 31.06], Customer Amount [TRY 105.5], Status [APPROVED], Operation [3DAUTH], UUID [3626527-1458732977-160] [23/03/2016 at 11:36:00]"/>
  </r>
  <r>
    <s v="3626500-1458732928-199"/>
    <s v="Spot"/>
    <s v="3626500-1458732928-199"/>
    <n v="0"/>
    <d v="2016-03-31T00:00:00"/>
    <x v="1828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26500-1458732928-199] [23/03/2016 at 11:35:00]"/>
  </r>
  <r>
    <s v="3626521-1458732961-216"/>
    <s v="Spot"/>
    <s v="3626521-1458732961-216"/>
    <n v="0"/>
    <d v="2016-03-31T00:00:00"/>
    <x v="1829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6521-1458732961-216] [23/03/2016 at 11:36:00]"/>
  </r>
  <r>
    <s v="3626515-1458732952-56"/>
    <s v="Spot"/>
    <s v="3626515-1458732952-56"/>
    <n v="0"/>
    <d v="2016-03-31T00:00:00"/>
    <x v="1830"/>
    <s v="56"/>
    <s v="SELL"/>
    <n v="3.3966271080574639"/>
    <x v="0"/>
    <x v="0"/>
    <n v="54.38"/>
    <s v="Deal"/>
    <m/>
    <s v="Original Amount [EUR 16.01], Merchant Amount [EUR 16.01], Customer Amount [TRY 54.38], Status [APPROVED], Operation [3DAUTH], UUID [3626515-1458732952-56] [23/03/2016 at 11:35:00]"/>
  </r>
  <r>
    <s v="3626485-1458732913-224"/>
    <s v="Spot"/>
    <s v="3626485-1458732913-224"/>
    <n v="0"/>
    <d v="2016-03-31T00:00:00"/>
    <x v="1831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26485-1458732913-224] [23/03/2016 at 11:35:00]"/>
  </r>
  <r>
    <s v="3626491-1458732918-216"/>
    <s v="Spot"/>
    <s v="3626491-1458732918-216"/>
    <n v="0"/>
    <d v="2016-03-31T00:00:00"/>
    <x v="1832"/>
    <s v="216"/>
    <s v="SELL"/>
    <n v="3.3966995285040724"/>
    <x v="0"/>
    <x v="0"/>
    <n v="158.49"/>
    <s v="Deal"/>
    <m/>
    <s v="Original Amount [EUR 46.66], Merchant Amount [EUR 46.66], Customer Amount [TRY 158.49], Status [APPROVED], Operation [3DAUTH], UUID [3626491-1458732918-216] [23/03/2016 at 11:35:00]"/>
  </r>
  <r>
    <s v="3626452-1458732846-224"/>
    <s v="Spot"/>
    <s v="3626452-1458732846-224"/>
    <n v="0"/>
    <d v="2016-03-31T00:00:00"/>
    <x v="1833"/>
    <s v="224"/>
    <s v="SELL"/>
    <n v="9.9662929840030223"/>
    <x v="0"/>
    <x v="1"/>
    <n v="3956.12"/>
    <s v="Deal"/>
    <m/>
    <s v="Original Amount [EUR 396.95], Merchant Amount [EUR 396.95], Customer Amount [NOK 3956.12], Status [APPROVED], Operation [DIRECT], UUID [3626452-1458732846-224] [23/03/2016 at 11:34:00]"/>
  </r>
  <r>
    <s v="3626449-1458732843-224"/>
    <s v="Spot"/>
    <s v="3626449-1458732843-224"/>
    <n v="0"/>
    <d v="2016-03-31T00:00:00"/>
    <x v="1834"/>
    <s v="224"/>
    <s v="SELL"/>
    <n v="9.9663043478260871"/>
    <x v="0"/>
    <x v="1"/>
    <n v="183.38"/>
    <s v="Deal"/>
    <m/>
    <s v="Original Amount [EUR 18.4], Merchant Amount [EUR 18.4], Customer Amount [NOK 183.38], Status [APPROVED], Operation [DIRECT], UUID [3626449-1458732843-224] [23/03/2016 at 11:34:00]"/>
  </r>
  <r>
    <s v="3626464-1458732861-107"/>
    <s v="Spot"/>
    <s v="3626464-1458732861-107"/>
    <n v="0"/>
    <d v="2016-03-31T00:00:00"/>
    <x v="1835"/>
    <s v="107"/>
    <s v="SELL"/>
    <n v="3.3968253968253967"/>
    <x v="0"/>
    <x v="0"/>
    <n v="126.26"/>
    <s v="Deal"/>
    <m/>
    <s v="Original Amount [EUR 37.17], Merchant Amount [EUR 37.17], Customer Amount [TRY 126.26], Status [APPROVED], Operation [3DAUTH], UUID [3626464-1458732861-107] [23/03/2016 at 11:34:00]"/>
  </r>
  <r>
    <s v="3626431-1458732815-241"/>
    <s v="Spot"/>
    <s v="3626431-1458732815-241"/>
    <n v="0"/>
    <d v="2016-03-31T00:00:00"/>
    <x v="1836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26431-1458732815-241] [23/03/2016 at 11:33:00]"/>
  </r>
  <r>
    <s v="3626473-1458732882-216"/>
    <s v="Spot"/>
    <s v="3626473-1458732882-216"/>
    <n v="0"/>
    <d v="2016-03-31T00:00:00"/>
    <x v="1837"/>
    <s v="216"/>
    <s v="SELL"/>
    <n v="3.3971428571428572"/>
    <x v="0"/>
    <x v="0"/>
    <n v="47.56"/>
    <s v="Deal"/>
    <m/>
    <s v="Original Amount [EUR 14], Merchant Amount [EUR 14], Customer Amount [TRY 47.56], Status [APPROVED], Operation [3DAUTH], UUID [3626473-1458732882-216] [23/03/2016 at 11:34:00]"/>
  </r>
  <r>
    <s v="3626458-1458732853-264"/>
    <s v="Spot"/>
    <s v="3626458-1458732853-264"/>
    <n v="0"/>
    <d v="2016-03-31T00:00:00"/>
    <x v="1838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26458-1458732853-264] [23/03/2016 at 11:34:00]"/>
  </r>
  <r>
    <s v="3626446-1458732840-216"/>
    <s v="Spot"/>
    <s v="3626446-1458732840-216"/>
    <n v="0"/>
    <d v="2016-03-31T00:00:00"/>
    <x v="1839"/>
    <s v="216"/>
    <s v="SELL"/>
    <n v="3.3969816272965883"/>
    <x v="0"/>
    <x v="0"/>
    <n v="51.77"/>
    <s v="Deal"/>
    <m/>
    <s v="Original Amount [EUR 15.24], Merchant Amount [EUR 15.24], Customer Amount [TRY 51.77], Status [APPROVED], Operation [3DAUTH], UUID [3626446-1458732840-216] [23/03/2016 at 11:34:00]"/>
  </r>
  <r>
    <s v="3626437-1458732826-107"/>
    <s v="Spot"/>
    <s v="3626437-1458732826-107"/>
    <n v="0"/>
    <d v="2016-03-31T00:00:00"/>
    <x v="1840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6437-1458732826-107] [23/03/2016 at 11:33:00]"/>
  </r>
  <r>
    <s v="3626407-1458732793-126"/>
    <s v="Spot"/>
    <s v="3626407-1458732793-126"/>
    <n v="0"/>
    <d v="2016-03-31T00:00:00"/>
    <x v="1841"/>
    <s v="126"/>
    <s v="SELL"/>
    <n v="9.9663111342351733"/>
    <x v="0"/>
    <x v="1"/>
    <n v="766.21"/>
    <s v="Deal"/>
    <m/>
    <s v="Original Amount [EUR 76.88], Merchant Amount [EUR 76.88], Customer Amount [NOK 766.21], Status [APPROVED], Operation [DIRECT], UUID [3626407-1458732793-126] [23/03/2016 at 11:33:00]"/>
  </r>
  <r>
    <s v="3626398-1458732780-224"/>
    <s v="Spot"/>
    <s v="3626398-1458732780-224"/>
    <n v="0"/>
    <d v="2016-03-31T00:00:00"/>
    <x v="1842"/>
    <s v="224"/>
    <s v="SELL"/>
    <n v="133.03764429086098"/>
    <x v="0"/>
    <x v="3"/>
    <n v="36188.9"/>
    <s v="Deal"/>
    <m/>
    <s v="Original Amount [EUR 272.02], Merchant Amount [EUR 272.02], Customer Amount [JPY 36188.9], Status [APPROVED], Operation [DIRECT], UUID [3626398-1458732780-224] [23/03/2016 at 11:33:00]"/>
  </r>
  <r>
    <s v="3626404-1458732791-216"/>
    <s v="Spot"/>
    <s v="3626404-1458732791-216"/>
    <n v="0"/>
    <d v="2016-03-31T00:00:00"/>
    <x v="1843"/>
    <s v="216"/>
    <s v="SELL"/>
    <n v="3.397106109324759"/>
    <x v="0"/>
    <x v="0"/>
    <n v="63.39"/>
    <s v="Deal"/>
    <m/>
    <s v="Original Amount [EUR 18.66], Merchant Amount [EUR 18.66], Customer Amount [TRY 63.39], Status [APPROVED], Operation [3DAUTH], UUID [3626404-1458732791-216] [23/03/2016 at 11:33:00]"/>
  </r>
  <r>
    <s v="3626377-1458732761-261"/>
    <s v="Spot"/>
    <s v="3626377-1458732761-261"/>
    <n v="0"/>
    <d v="2016-03-31T00:00:00"/>
    <x v="1844"/>
    <s v="261"/>
    <s v="SELL"/>
    <n v="9.9417685118619694"/>
    <x v="0"/>
    <x v="1"/>
    <n v="138.29"/>
    <s v="Deal"/>
    <m/>
    <s v="Original Amount [EUR 13.91], Merchant Amount [EUR 13.91], Customer Amount [NOK 138.29], Status [APPROVED], Operation [DIRECT], UUID [3626377-1458732761-261] [23/03/2016 at 11:32:00]"/>
  </r>
  <r>
    <s v="3626440-1458732826-119"/>
    <s v="Spot"/>
    <s v="3626440-1458732826-119"/>
    <n v="0"/>
    <d v="2016-03-31T00:00:00"/>
    <x v="1845"/>
    <s v="119"/>
    <s v="SELL"/>
    <n v="9.9412000000000003"/>
    <x v="0"/>
    <x v="1"/>
    <n v="497.06"/>
    <s v="Deal"/>
    <m/>
    <s v="Original Amount [EUR 50], Merchant Amount [EUR 50], Customer Amount [NOK 497.06], Status [APPROVED], Operation [3DAUTH], UUID [3626440-1458732826-119] [23/03/2016 at 11:33:00]"/>
  </r>
  <r>
    <s v="3626416-1458732799-216"/>
    <s v="Spot"/>
    <s v="3626416-1458732799-216"/>
    <n v="0"/>
    <d v="2016-03-31T00:00:00"/>
    <x v="1846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6416-1458732799-216] [23/03/2016 at 11:33:00]"/>
  </r>
  <r>
    <s v="3626353-1458732746-241"/>
    <s v="Spot"/>
    <s v="3626353-1458732746-241"/>
    <n v="0"/>
    <d v="2016-03-31T00:00:00"/>
    <x v="1847"/>
    <s v="241"/>
    <s v="SELL"/>
    <n v="0.83320830207551888"/>
    <x v="0"/>
    <x v="4"/>
    <n v="66.64"/>
    <s v="Deal"/>
    <m/>
    <s v="Original Amount [EUR 79.98], Merchant Amount [EUR 79.98], Customer Amount [GBP 66.64], Status [APPROVED], Operation [DIRECT], UUID [3626353-1458732746-241] [23/03/2016 at 11:32:00]"/>
  </r>
  <r>
    <s v="3626356-1458732748-216"/>
    <s v="Spot"/>
    <s v="3626356-1458732748-216"/>
    <n v="0"/>
    <d v="2016-03-31T00:00:00"/>
    <x v="1848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26356-1458732748-216] [23/03/2016 at 11:32:00]"/>
  </r>
  <r>
    <s v="3626323-1458732726-119"/>
    <s v="Spot"/>
    <s v="3626323-1458732726-119"/>
    <n v="0"/>
    <d v="2016-03-31T00:00:00"/>
    <x v="184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323-1458732726-119] [23/03/2016 at 11:32:00]"/>
  </r>
  <r>
    <s v="3626386-1458732764-216"/>
    <s v="Spot"/>
    <s v="3626386-1458732764-216"/>
    <n v="0"/>
    <d v="2016-03-31T00:00:00"/>
    <x v="1850"/>
    <s v="216"/>
    <s v="SELL"/>
    <n v="3.3970422761613892"/>
    <x v="0"/>
    <x v="0"/>
    <n v="211.33"/>
    <s v="Deal"/>
    <m/>
    <s v="Original Amount [EUR 62.21], Merchant Amount [EUR 62.21], Customer Amount [TRY 211.33], Status [APPROVED], Operation [3DAUTH], UUID [3626386-1458732764-216] [23/03/2016 at 11:32:00]"/>
  </r>
  <r>
    <s v="3626317-1458732724-224"/>
    <s v="Spot"/>
    <s v="3626317-1458732724-224"/>
    <n v="0"/>
    <d v="2016-03-31T00:00:00"/>
    <x v="1851"/>
    <s v="224"/>
    <s v="SELL"/>
    <n v="133.03788634097708"/>
    <x v="0"/>
    <x v="3"/>
    <n v="4003.11"/>
    <s v="Deal"/>
    <m/>
    <s v="Original Amount [EUR 30.09], Merchant Amount [EUR 30.09], Customer Amount [JPY 4003.11], Status [APPROVED], Operation [DIRECT], UUID [3626317-1458732724-224] [23/03/2016 at 11:32:00]"/>
  </r>
  <r>
    <s v="3626305-1458732719-126"/>
    <s v="Spot"/>
    <s v="3626305-1458732719-126"/>
    <n v="0"/>
    <d v="2016-03-31T00:00:00"/>
    <x v="1852"/>
    <s v="126"/>
    <s v="SELL"/>
    <n v="9.9410731707317073"/>
    <x v="0"/>
    <x v="1"/>
    <n v="509.48"/>
    <s v="Deal"/>
    <m/>
    <s v="Original Amount [EUR 51.25], Merchant Amount [EUR 51.25], Customer Amount [NOK 509.48], Status [APPROVED], Operation [DIRECT], UUID [3626305-1458732719-126] [23/03/2016 at 11:31:00]"/>
  </r>
  <r>
    <s v="3626299-1458732717-200"/>
    <s v="Spot"/>
    <s v="3626299-1458732717-200"/>
    <n v="0"/>
    <d v="2016-03-31T00:00:00"/>
    <x v="1853"/>
    <s v="200"/>
    <s v="SELL"/>
    <n v="9.941058394160585"/>
    <x v="0"/>
    <x v="1"/>
    <n v="544.77"/>
    <s v="Deal"/>
    <m/>
    <s v="Original Amount [EUR 54.8], Merchant Amount [EUR 54.8], Customer Amount [NOK 544.77], Status [APPROVED], Operation [DIRECT], UUID [3626299-1458732717-200] [23/03/2016 at 11:31:00]"/>
  </r>
  <r>
    <s v="3626296-1458732715-224"/>
    <s v="Spot"/>
    <s v="3626296-1458732715-224"/>
    <n v="0"/>
    <d v="2016-03-31T00:00:00"/>
    <x v="1854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6296-1458732715-224] [23/03/2016 at 11:31:00]"/>
  </r>
  <r>
    <s v="3626290-1458732713-261"/>
    <s v="Spot"/>
    <s v="3626290-1458732713-261"/>
    <n v="0"/>
    <d v="2016-03-31T00:00:00"/>
    <x v="1855"/>
    <s v="261"/>
    <s v="SELL"/>
    <n v="9.9411031473979428"/>
    <x v="0"/>
    <x v="1"/>
    <n v="319.01"/>
    <s v="Deal"/>
    <m/>
    <s v="Original Amount [EUR 32.09], Merchant Amount [EUR 32.09], Customer Amount [NOK 319.01], Status [APPROVED], Operation [DIRECT], UUID [3626290-1458732713-261] [23/03/2016 at 11:31:00]"/>
  </r>
  <r>
    <s v="3626335-1458732734-216"/>
    <s v="Spot"/>
    <s v="3626335-1458732734-216"/>
    <n v="0"/>
    <d v="2016-03-31T00:00:00"/>
    <x v="1856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335-1458732734-216] [23/03/2016 at 11:32:00]"/>
  </r>
  <r>
    <s v="3626392-1458732769-126"/>
    <s v="Spot"/>
    <s v="3626392-1458732769-126"/>
    <n v="0"/>
    <d v="2016-03-31T00:00:00"/>
    <x v="1857"/>
    <s v="126"/>
    <s v="SELL"/>
    <n v="9.9410731707317073"/>
    <x v="0"/>
    <x v="1"/>
    <n v="509.48"/>
    <s v="Deal"/>
    <m/>
    <s v="Original Amount [EUR 51.25], Merchant Amount [EUR 51.25], Customer Amount [NOK 509.48], Status [APPROVED], Operation [3DAUTH], UUID [3626392-1458732769-126] [23/03/2016 at 11:32:00]"/>
  </r>
  <r>
    <s v="3626248-1458732689-161"/>
    <s v="Spot"/>
    <s v="3626248-1458732689-161"/>
    <n v="0"/>
    <d v="2016-03-31T00:00:00"/>
    <x v="1858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6248-1458732689-161] [23/03/2016 at 11:31:00]"/>
  </r>
  <r>
    <s v="3626311-1458732722-216"/>
    <s v="Spot"/>
    <s v="3626311-1458732722-216"/>
    <n v="0"/>
    <d v="2016-03-31T00:00:00"/>
    <x v="185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311-1458732722-216] [23/03/2016 at 11:32:00]"/>
  </r>
  <r>
    <s v="3626278-1458732705-101"/>
    <s v="Spot"/>
    <s v="3626278-1458732705-101"/>
    <n v="0"/>
    <d v="2016-03-31T00:00:00"/>
    <x v="1860"/>
    <s v="101"/>
    <s v="SELL"/>
    <n v="3.397106109324759"/>
    <x v="0"/>
    <x v="0"/>
    <n v="253.56"/>
    <s v="Deal"/>
    <m/>
    <s v="Original Amount [EUR 74.64], Merchant Amount [EUR 74.64], Customer Amount [TRY 253.56], Status [APPROVED], Operation [3DAUTH], UUID [3626278-1458732705-101] [23/03/2016 at 11:31:00]"/>
  </r>
  <r>
    <s v="3626221-1458732666-161"/>
    <s v="Spot"/>
    <s v="3626221-1458732666-161"/>
    <n v="0"/>
    <d v="2016-03-31T00:00:00"/>
    <x v="1861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6221-1458732666-161] [23/03/2016 at 11:31:00]"/>
  </r>
  <r>
    <s v="3626203-1458732654-199"/>
    <s v="Spot"/>
    <s v="3626203-1458732654-199"/>
    <n v="0"/>
    <d v="2016-03-31T00:00:00"/>
    <x v="1862"/>
    <s v="199"/>
    <s v="SELL"/>
    <n v="9.9410862227677192"/>
    <x v="0"/>
    <x v="1"/>
    <n v="647.96"/>
    <s v="Deal"/>
    <m/>
    <s v="Original Amount [EUR 65.18], Merchant Amount [EUR 65.18], Customer Amount [NOK 647.96], Status [APPROVED], Operation [DIRECT], UUID [3626203-1458732654-199] [23/03/2016 at 11:30:00]"/>
  </r>
  <r>
    <s v="3626188-1458732646-107"/>
    <s v="Spot"/>
    <s v="3626188-1458732646-107"/>
    <n v="0"/>
    <d v="2016-03-31T00:00:00"/>
    <x v="1863"/>
    <s v="107"/>
    <s v="SELL"/>
    <n v="3.3970303421562296"/>
    <x v="0"/>
    <x v="0"/>
    <n v="105.24"/>
    <s v="Deal"/>
    <m/>
    <s v="Original Amount [EUR 30.98], Merchant Amount [EUR 30.98], Customer Amount [TRY 105.24], Status [WAITING], Operation [3D], UUID [3626188-1458732646-107] [23/03/2016 at 11:30:00]"/>
  </r>
  <r>
    <s v="3626227-1458732671-56"/>
    <s v="Spot"/>
    <s v="3626227-1458732671-56"/>
    <n v="0"/>
    <d v="2016-03-31T00:00:00"/>
    <x v="1864"/>
    <s v="56"/>
    <s v="SELL"/>
    <n v="3.3975"/>
    <x v="0"/>
    <x v="0"/>
    <n v="27.18"/>
    <s v="Deal"/>
    <m/>
    <s v="Original Amount [EUR 8], Merchant Amount [EUR 8], Customer Amount [TRY 27.18], Status [APPROVED], Operation [3DAUTH], UUID [3626227-1458732671-56] [23/03/2016 at 11:31:00]"/>
  </r>
  <r>
    <s v="3626218-1458732663-196"/>
    <s v="Spot"/>
    <s v="3626218-1458732663-196"/>
    <n v="0"/>
    <d v="2016-03-31T00:00:00"/>
    <x v="1865"/>
    <s v="196"/>
    <s v="SELL"/>
    <n v="1.7610619469026547"/>
    <x v="0"/>
    <x v="6"/>
    <n v="23.88"/>
    <s v="Deal"/>
    <m/>
    <s v="Original Amount [EUR 13.56], Merchant Amount [EUR 13.56], Customer Amount [NZD 23.88], Status [APPROVED], Operation [3DAUTH], UUID [3626218-1458732663-196] [23/03/2016 at 11:31:00]"/>
  </r>
  <r>
    <s v="3626200-1458732652-216"/>
    <s v="Spot"/>
    <s v="3626200-1458732652-216"/>
    <n v="0"/>
    <d v="2016-03-31T00:00:00"/>
    <x v="1866"/>
    <s v="216"/>
    <s v="SELL"/>
    <n v="3.397106109324759"/>
    <x v="0"/>
    <x v="0"/>
    <n v="105.65"/>
    <s v="Deal"/>
    <m/>
    <s v="Original Amount [EUR 31.1], Merchant Amount [EUR 31.1], Customer Amount [TRY 105.65], Status [APPROVED], Operation [3DAUTH], UUID [3626200-1458732652-216] [23/03/2016 at 11:30:00]"/>
  </r>
  <r>
    <s v="3626158-1458732615-261"/>
    <s v="Spot"/>
    <s v="3626158-1458732615-261"/>
    <n v="0"/>
    <d v="2016-03-31T00:00:00"/>
    <x v="1867"/>
    <s v="261"/>
    <s v="SELL"/>
    <n v="9.9411104879416712"/>
    <x v="0"/>
    <x v="1"/>
    <n v="1063.5"/>
    <s v="Deal"/>
    <m/>
    <s v="Original Amount [EUR 106.98], Merchant Amount [EUR 106.98], Customer Amount [NOK 1063.5], Status [APPROVED], Operation [DIRECT], UUID [3626158-1458732615-261] [23/03/2016 at 11:30:00]"/>
  </r>
  <r>
    <s v="3626176-1458732635-56"/>
    <s v="Spot"/>
    <s v="3626176-1458732635-56"/>
    <n v="0"/>
    <d v="2016-03-31T00:00:00"/>
    <x v="1868"/>
    <s v="56"/>
    <s v="SELL"/>
    <n v="3.3969991889699918"/>
    <x v="0"/>
    <x v="0"/>
    <n v="83.77"/>
    <s v="Deal"/>
    <m/>
    <s v="Original Amount [EUR 24.66], Merchant Amount [EUR 24.66], Customer Amount [TRY 83.77], Status [APPROVED], Operation [3DAUTH], UUID [3626176-1458732635-56] [23/03/2016 at 11:30:00]"/>
  </r>
  <r>
    <s v="3626137-1458732598-119"/>
    <s v="Spot"/>
    <s v="3626137-1458732598-119"/>
    <n v="0"/>
    <d v="2016-03-31T00:00:00"/>
    <x v="186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137-1458732598-119] [23/03/2016 at 11:29:00]"/>
  </r>
  <r>
    <s v="3626155-1458732615-216"/>
    <s v="Spot"/>
    <s v="3626155-1458732615-216"/>
    <n v="0"/>
    <d v="2016-03-31T00:00:00"/>
    <x v="1870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6155-1458732615-216] [23/03/2016 at 11:30:00]"/>
  </r>
  <r>
    <s v="3626128-1458732585-261"/>
    <s v="Spot"/>
    <s v="3626128-1458732585-261"/>
    <n v="0"/>
    <d v="2016-03-31T00:00:00"/>
    <x v="1871"/>
    <s v="261"/>
    <s v="SELL"/>
    <n v="9.9411214953271045"/>
    <x v="0"/>
    <x v="1"/>
    <n v="212.74"/>
    <s v="Deal"/>
    <m/>
    <s v="Original Amount [EUR 21.4], Merchant Amount [EUR 21.4], Customer Amount [NOK 212.74], Status [APPROVED], Operation [DIRECT], UUID [3626128-1458732585-261] [23/03/2016 at 11:29:00]"/>
  </r>
  <r>
    <s v="3626119-1458732582-224"/>
    <s v="Spot"/>
    <s v="3626119-1458732582-224"/>
    <n v="0"/>
    <d v="2016-03-31T00:00:00"/>
    <x v="1872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6119-1458732582-224] [23/03/2016 at 11:29:00]"/>
  </r>
  <r>
    <s v="3626116-1458732579-107"/>
    <s v="Spot"/>
    <s v="3626116-1458732579-107"/>
    <n v="0"/>
    <d v="2016-03-31T00:00:00"/>
    <x v="1873"/>
    <s v="107"/>
    <s v="SELL"/>
    <n v="3.39719298245614"/>
    <x v="0"/>
    <x v="0"/>
    <n v="48.41"/>
    <s v="Deal"/>
    <m/>
    <s v="Original Amount [EUR 14.25], Merchant Amount [EUR 14.25], Customer Amount [TRY 48.41], Status [WAITING], Operation [3D], UUID [3626116-1458732579-107] [23/03/2016 at 11:29:00]"/>
  </r>
  <r>
    <s v="3626134-1458732592-196"/>
    <s v="Spot"/>
    <s v="3626134-1458732592-196"/>
    <n v="0"/>
    <d v="2016-03-31T00:00:00"/>
    <x v="1874"/>
    <s v="196"/>
    <s v="SELL"/>
    <n v="9.9417670682730908"/>
    <x v="0"/>
    <x v="1"/>
    <n v="99.02"/>
    <s v="Deal"/>
    <m/>
    <s v="Original Amount [EUR 9.96], Merchant Amount [EUR 9.96], Customer Amount [NOK 99.02], Status [APPROVED], Operation [3DAUTH], UUID [3626134-1458732592-196] [23/03/2016 at 11:29:00]"/>
  </r>
  <r>
    <s v="3626146-1458732604-56"/>
    <s v="Spot"/>
    <s v="3626146-1458732604-56"/>
    <n v="0"/>
    <d v="2016-03-31T00:00:00"/>
    <x v="1875"/>
    <s v="56"/>
    <s v="SELL"/>
    <n v="3.3978365384615383"/>
    <x v="0"/>
    <x v="0"/>
    <n v="28.27"/>
    <s v="Deal"/>
    <m/>
    <s v="Original Amount [EUR 8.32], Merchant Amount [EUR 8.32], Customer Amount [TRY 28.27], Status [APPROVED], Operation [3DAUTH], UUID [3626146-1458732604-56] [23/03/2016 at 11:30:00]"/>
  </r>
  <r>
    <s v="3626095-1458732556-171"/>
    <s v="Spot"/>
    <s v="3626095-1458732556-171"/>
    <n v="0"/>
    <d v="2016-03-31T00:00:00"/>
    <x v="1876"/>
    <s v="171"/>
    <s v="SELL"/>
    <n v="9.9413333333333345"/>
    <x v="0"/>
    <x v="1"/>
    <n v="298.24"/>
    <s v="Deal"/>
    <m/>
    <s v="Original Amount [EUR 30], Merchant Amount [EUR 30], Customer Amount [NOK 298.24], Status [APPROVED], Operation [DIRECT], UUID [3626095-1458732556-171] [23/03/2016 at 11:29:00]"/>
  </r>
  <r>
    <s v="3626092-1458732554-224"/>
    <s v="Spot"/>
    <s v="3626092-1458732554-224"/>
    <n v="0"/>
    <d v="2016-03-31T00:00:00"/>
    <x v="187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26092-1458732554-224] [23/03/2016 at 11:29:00]"/>
  </r>
  <r>
    <s v="3626083-1458732533-126"/>
    <s v="Spot"/>
    <s v="3626083-1458732533-126"/>
    <n v="0"/>
    <d v="2016-03-31T00:00:00"/>
    <x v="1878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6083-1458732533-126] [23/03/2016 at 11:28:00]"/>
  </r>
  <r>
    <s v="3626125-1458732584-216"/>
    <s v="Spot"/>
    <s v="3626125-1458732584-216"/>
    <n v="0"/>
    <d v="2016-03-31T00:00:00"/>
    <x v="187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125-1458732584-216] [23/03/2016 at 11:29:00]"/>
  </r>
  <r>
    <s v="3626077-1458732531-101"/>
    <s v="Spot"/>
    <s v="3626077-1458732531-101"/>
    <n v="0"/>
    <d v="2016-03-31T00:00:00"/>
    <x v="1880"/>
    <s v="101"/>
    <s v="SELL"/>
    <n v="3.3970745629682479"/>
    <x v="0"/>
    <x v="0"/>
    <n v="380.88"/>
    <s v="Deal"/>
    <m/>
    <s v="Original Amount [EUR 112.12], Merchant Amount [EUR 112.12], Customer Amount [TRY 380.88], Status [APPROVED], Operation [3DAUTH], UUID [3626077-1458732531-101] [23/03/2016 at 11:28:00]"/>
  </r>
  <r>
    <s v="3626047-1458732502-216"/>
    <s v="Spot"/>
    <s v="3626047-1458732502-216"/>
    <n v="0"/>
    <d v="2016-03-31T00:00:00"/>
    <x v="1881"/>
    <s v="216"/>
    <s v="SELL"/>
    <n v="3.397128161165881"/>
    <x v="0"/>
    <x v="0"/>
    <n v="158.51"/>
    <s v="Deal"/>
    <m/>
    <s v="Original Amount [EUR 46.66], Merchant Amount [EUR 46.66], Customer Amount [TRY 158.51], Status [WAITING], Operation [3D], UUID [3626047-1458732502-216] [23/03/2016 at 11:28:00]"/>
  </r>
  <r>
    <s v="3626044-1458732482-119"/>
    <s v="Spot"/>
    <s v="3626044-1458732482-119"/>
    <n v="0"/>
    <d v="2016-03-31T00:00:00"/>
    <x v="1882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6044-1458732482-119] [23/03/2016 at 11:28:00]"/>
  </r>
  <r>
    <s v="3626053-1458732509-102"/>
    <s v="Spot"/>
    <s v="3626053-1458732509-102"/>
    <n v="0"/>
    <d v="2016-03-31T00:00:00"/>
    <x v="1883"/>
    <s v="102"/>
    <s v="SELL"/>
    <n v="3.3971326164874553"/>
    <x v="0"/>
    <x v="0"/>
    <n v="47.39"/>
    <s v="Deal"/>
    <m/>
    <s v="Original Amount [EUR 13.95], Merchant Amount [EUR 13.95], Customer Amount [TRY 47.39], Status [APPROVED], Operation [3DAUTH], UUID [3626053-1458732509-102] [23/03/2016 at 11:28:00]"/>
  </r>
  <r>
    <s v="3626026-1458732464-200"/>
    <s v="Spot"/>
    <s v="3626026-1458732464-200"/>
    <n v="0"/>
    <d v="2016-03-31T00:00:00"/>
    <x v="1884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6026-1458732464-200] [23/03/2016 at 11:27:00]"/>
  </r>
  <r>
    <s v="3626014-1458732441-134"/>
    <s v="Spot"/>
    <s v="3626014-1458732441-134"/>
    <n v="0"/>
    <d v="2016-03-31T00:00:00"/>
    <x v="1885"/>
    <s v="134"/>
    <s v="BUY"/>
    <n v="133.25335830508337"/>
    <x v="0"/>
    <x v="3"/>
    <n v="325861.76000000001"/>
    <s v="Deal"/>
    <m/>
    <s v="Original Amount [EUR 2445.43], Merchant Amount [EUR 2445.43], Customer Amount [JPY 325861.76], Status [APPROVED], Operation [REFUND], UUID [3626014-1458732441-134] [23/03/2016 at 11:27:00]"/>
  </r>
  <r>
    <s v="3626023-1458732462-216"/>
    <s v="Spot"/>
    <s v="3626023-1458732462-216"/>
    <n v="0"/>
    <d v="2016-03-31T00:00:00"/>
    <x v="1886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6023-1458732462-216] [23/03/2016 at 11:27:00]"/>
  </r>
  <r>
    <s v="3626002-1458732421-171"/>
    <s v="Spot"/>
    <s v="3626002-1458732421-171"/>
    <n v="0"/>
    <d v="2016-03-31T00:00:00"/>
    <x v="1887"/>
    <s v="171"/>
    <s v="SELL"/>
    <n v="9.9420000000000002"/>
    <x v="0"/>
    <x v="1"/>
    <n v="99.42"/>
    <s v="Deal"/>
    <m/>
    <s v="Original Amount [EUR 10], Merchant Amount [EUR 10], Customer Amount [NOK 99.42], Status [APPROVED], Operation [DIRECT], UUID [3626002-1458732421-171] [23/03/2016 at 11:27:00]"/>
  </r>
  <r>
    <s v="3625993-1458732411-134"/>
    <s v="Spot"/>
    <s v="3625993-1458732411-134"/>
    <n v="0"/>
    <d v="2016-03-31T00:00:00"/>
    <x v="1888"/>
    <s v="134"/>
    <s v="BUY"/>
    <n v="132.05320315928037"/>
    <x v="0"/>
    <x v="3"/>
    <n v="12037.97"/>
    <s v="Deal"/>
    <m/>
    <s v="Original Amount [EUR 91.16], Merchant Amount [EUR 91.16], Customer Amount [JPY 12037.97], Status [APPROVED], Operation [REFUND], UUID [3625993-1458732411-134] [23/03/2016 at 11:26:00]"/>
  </r>
  <r>
    <s v="3626017-1458732443-56"/>
    <s v="Spot"/>
    <s v="3626017-1458732443-56"/>
    <n v="0"/>
    <d v="2016-03-31T00:00:00"/>
    <x v="1889"/>
    <s v="56"/>
    <s v="SELL"/>
    <n v="3.3979166666666667"/>
    <x v="0"/>
    <x v="0"/>
    <n v="32.619999999999997"/>
    <s v="Deal"/>
    <m/>
    <s v="Original Amount [EUR 9.6], Merchant Amount [EUR 9.6], Customer Amount [TRY 32.62], Status [APPROVED], Operation [3DAUTH], UUID [3626017-1458732443-56] [23/03/2016 at 11:27:00]"/>
  </r>
  <r>
    <s v="3625984-1458732405-134"/>
    <s v="Spot"/>
    <s v="3625984-1458732405-134"/>
    <n v="0"/>
    <d v="2016-03-31T00:00:00"/>
    <x v="1890"/>
    <s v="134"/>
    <s v="BUY"/>
    <n v="132.0532043265539"/>
    <x v="0"/>
    <x v="3"/>
    <n v="60188.53"/>
    <s v="Deal"/>
    <m/>
    <s v="Original Amount [EUR 455.79], Merchant Amount [EUR 455.79], Customer Amount [JPY 60188.53], Status [APPROVED], Operation [REFUND], UUID [3625984-1458732405-134] [23/03/2016 at 11:26:00]"/>
  </r>
  <r>
    <s v="3626005-1458732423-150"/>
    <s v="Spot"/>
    <s v="3626005-1458732423-150"/>
    <n v="0"/>
    <d v="2016-03-31T00:00:00"/>
    <x v="1891"/>
    <s v="150"/>
    <s v="SELL"/>
    <n v="3.3970876505180621"/>
    <x v="0"/>
    <x v="0"/>
    <n v="121.31"/>
    <s v="Deal"/>
    <m/>
    <s v="Original Amount [EUR 35.71], Merchant Amount [EUR 35.71], Customer Amount [TRY 121.31], Status [APPROVED], Operation [3DAUTH], UUID [3626005-1458732423-150] [23/03/2016 at 11:27:00]"/>
  </r>
  <r>
    <s v="3625978-1458732402-224"/>
    <s v="Spot"/>
    <s v="3625978-1458732402-224"/>
    <n v="0"/>
    <d v="2016-03-31T00:00:00"/>
    <x v="189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978-1458732402-224] [23/03/2016 at 11:26:00]"/>
  </r>
  <r>
    <s v="3625972-1458732400-134"/>
    <s v="Spot"/>
    <s v="3625972-1458732400-134"/>
    <n v="0"/>
    <d v="2016-03-31T00:00:00"/>
    <x v="1893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72-1458732400-134] [23/03/2016 at 11:26:00]"/>
  </r>
  <r>
    <s v="3626032-1458732470-101"/>
    <s v="Spot"/>
    <s v="3626032-1458732470-101"/>
    <n v="0"/>
    <d v="2016-03-31T00:00:00"/>
    <x v="1894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6032-1458732470-101] [23/03/2016 at 11:27:00]"/>
  </r>
  <r>
    <s v="3625963-1458732395-134"/>
    <s v="Spot"/>
    <s v="3625963-1458732395-134"/>
    <n v="0"/>
    <d v="2016-03-31T00:00:00"/>
    <x v="1895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63-1458732395-134] [23/03/2016 at 11:26:00]"/>
  </r>
  <r>
    <s v="3625957-1458732390-134"/>
    <s v="Spot"/>
    <s v="3625957-1458732390-134"/>
    <n v="0"/>
    <d v="2016-03-31T00:00:00"/>
    <x v="1896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57-1458732390-134] [23/03/2016 at 11:26:00]"/>
  </r>
  <r>
    <s v="3625948-1458732385-134"/>
    <s v="Spot"/>
    <s v="3625948-1458732385-134"/>
    <n v="0"/>
    <d v="2016-03-31T00:00:00"/>
    <x v="1897"/>
    <s v="134"/>
    <s v="BUY"/>
    <n v="131.2209006231991"/>
    <x v="0"/>
    <x v="3"/>
    <n v="78328.38"/>
    <s v="Deal"/>
    <m/>
    <s v="Original Amount [EUR 596.92], Merchant Amount [EUR 596.92], Customer Amount [JPY 78328.38], Status [APPROVED], Operation [REFUND], UUID [3625948-1458732385-134] [23/03/2016 at 11:26:00]"/>
  </r>
  <r>
    <s v="3625975-1458732402-107"/>
    <s v="Spot"/>
    <s v="3625975-1458732402-107"/>
    <n v="0"/>
    <d v="2016-03-31T00:00:00"/>
    <x v="1898"/>
    <s v="107"/>
    <s v="SELL"/>
    <n v="3.3979107312440648"/>
    <x v="0"/>
    <x v="0"/>
    <n v="35.78"/>
    <s v="Deal"/>
    <m/>
    <s v="Original Amount [EUR 10.53], Merchant Amount [EUR 10.53], Customer Amount [TRY 35.78], Status [APPROVED], Operation [3DAUTH], UUID [3625975-1458732402-107] [23/03/2016 at 11:26:00]"/>
  </r>
  <r>
    <s v="3625966-1458732397-264"/>
    <s v="Spot"/>
    <s v="3625966-1458732397-264"/>
    <n v="0"/>
    <d v="2016-03-31T00:00:00"/>
    <x v="1899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5966-1458732397-264] [23/03/2016 at 11:26:00]"/>
  </r>
  <r>
    <s v="3625996-1458732412-224"/>
    <s v="Spot"/>
    <s v="3625996-1458732412-224"/>
    <n v="0"/>
    <d v="2016-03-31T00:00:00"/>
    <x v="1900"/>
    <s v="224"/>
    <s v="SELL"/>
    <n v="9.941869417924238"/>
    <x v="0"/>
    <x v="1"/>
    <n v="1291.25"/>
    <s v="Deal"/>
    <m/>
    <s v="Original Amount [EUR 129.88], Merchant Amount [EUR 129.88], Customer Amount [NOK 1291.25], Status [APPROVED], Operation [3DAUTH], UUID [3625996-1458732412-224] [23/03/2016 at 11:26:00]"/>
  </r>
  <r>
    <s v="3625951-1458732387-216"/>
    <s v="Spot"/>
    <s v="3625951-1458732387-216"/>
    <n v="0"/>
    <d v="2016-03-31T00:00:00"/>
    <x v="1901"/>
    <s v="216"/>
    <s v="SELL"/>
    <n v="3.397106109324759"/>
    <x v="0"/>
    <x v="0"/>
    <n v="105.65"/>
    <s v="Deal"/>
    <m/>
    <s v="Original Amount [EUR 31.1], Merchant Amount [EUR 31.1], Customer Amount [TRY 105.65], Status [APPROVED], Operation [3DAUTH], UUID [3625951-1458732387-216] [23/03/2016 at 11:26:00]"/>
  </r>
  <r>
    <s v="3625918-1458732348-145"/>
    <s v="Spot"/>
    <s v="3625918-1458732348-145"/>
    <n v="0"/>
    <d v="2016-03-31T00:00:00"/>
    <x v="1902"/>
    <s v="145"/>
    <s v="SELL"/>
    <n v="9.9418031462126919"/>
    <x v="0"/>
    <x v="1"/>
    <n v="7381.59"/>
    <s v="Deal"/>
    <m/>
    <s v="Original Amount [EUR 742.48], Merchant Amount [EUR 742.48], Customer Amount [NOK 7381.59], Status [APPROVED], Operation [DIRECT], UUID [3625918-1458732348-145] [23/03/2016 at 11:25:00]"/>
  </r>
  <r>
    <s v="3625909-1458732336-224"/>
    <s v="Spot"/>
    <s v="3625909-1458732336-224"/>
    <n v="0"/>
    <d v="2016-03-31T00:00:00"/>
    <x v="1903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5909-1458732336-224] [23/03/2016 at 11:25:00]"/>
  </r>
  <r>
    <s v="3625906-1458732336-134"/>
    <s v="Spot"/>
    <s v="3625906-1458732336-134"/>
    <n v="0"/>
    <d v="2016-03-31T00:00:00"/>
    <x v="1904"/>
    <s v="134"/>
    <s v="BUY"/>
    <n v="132.05319335658965"/>
    <x v="0"/>
    <x v="3"/>
    <n v="120377.05"/>
    <s v="Deal"/>
    <m/>
    <s v="Original Amount [EUR 911.58], Merchant Amount [EUR 911.58], Customer Amount [JPY 120377.05], Status [APPROVED], Operation [REFUND], UUID [3625906-1458732336-134] [23/03/2016 at 11:25:00]"/>
  </r>
  <r>
    <s v="3625897-1458732330-134"/>
    <s v="Spot"/>
    <s v="3625897-1458732330-134"/>
    <n v="0"/>
    <d v="2016-03-31T00:00:00"/>
    <x v="1905"/>
    <s v="134"/>
    <s v="BUY"/>
    <n v="132.05320315928037"/>
    <x v="0"/>
    <x v="3"/>
    <n v="24075.94"/>
    <s v="Deal"/>
    <m/>
    <s v="Original Amount [EUR 182.32], Merchant Amount [EUR 182.32], Customer Amount [JPY 24075.94], Status [APPROVED], Operation [REFUND], UUID [3625897-1458732330-134] [23/03/2016 at 11:25:00]"/>
  </r>
  <r>
    <s v="3625891-1458732326-199"/>
    <s v="Spot"/>
    <s v="3625891-1458732326-199"/>
    <n v="0"/>
    <d v="2016-03-31T00:00:00"/>
    <x v="1906"/>
    <s v="199"/>
    <s v="SELL"/>
    <n v="9.9421487603305785"/>
    <x v="0"/>
    <x v="1"/>
    <n v="264.66000000000003"/>
    <s v="Deal"/>
    <m/>
    <s v="Original Amount [EUR 26.62], Merchant Amount [EUR 26.62], Customer Amount [NOK 264.66], Status [APPROVED], Operation [DIRECT], UUID [3625891-1458732326-199] [23/03/2016 at 11:25:00]"/>
  </r>
  <r>
    <s v="3625888-1458732325-134"/>
    <s v="Spot"/>
    <s v="3625888-1458732325-134"/>
    <n v="0"/>
    <d v="2016-03-31T00:00:00"/>
    <x v="1907"/>
    <s v="134"/>
    <s v="BUY"/>
    <n v="132.21566476524794"/>
    <x v="0"/>
    <x v="3"/>
    <n v="48211.12"/>
    <s v="Deal"/>
    <m/>
    <s v="Original Amount [EUR 364.64], Merchant Amount [EUR 364.64], Customer Amount [JPY 48211.12], Status [APPROVED], Operation [REFUND], UUID [3625888-1458732325-134] [23/03/2016 at 11:25:00]"/>
  </r>
  <r>
    <s v="3625885-1458732316-134"/>
    <s v="Spot"/>
    <s v="3625885-1458732316-134"/>
    <n v="0"/>
    <d v="2016-03-31T00:00:00"/>
    <x v="1908"/>
    <s v="134"/>
    <s v="BUY"/>
    <n v="132.21566949691743"/>
    <x v="0"/>
    <x v="3"/>
    <n v="120525.16"/>
    <s v="Deal"/>
    <m/>
    <s v="Original Amount [EUR 911.58], Merchant Amount [EUR 911.58], Customer Amount [JPY 120525.16], Status [APPROVED], Operation [REFUND], UUID [3625885-1458732316-134] [23/03/2016 at 11:25:00]"/>
  </r>
  <r>
    <s v="3625882-1458732311-134"/>
    <s v="Spot"/>
    <s v="3625882-1458732311-134"/>
    <n v="0"/>
    <d v="2016-03-31T00:00:00"/>
    <x v="1909"/>
    <s v="134"/>
    <s v="BUY"/>
    <n v="130.69340006731301"/>
    <x v="0"/>
    <x v="3"/>
    <n v="120377.77"/>
    <s v="Deal"/>
    <m/>
    <s v="Original Amount [EUR 921.07], Merchant Amount [EUR 921.07], Customer Amount [JPY 120377.77], Status [APPROVED], Operation [REFUND], UUID [3625882-1458732311-134] [23/03/2016 at 11:25:00]"/>
  </r>
  <r>
    <s v="3625927-1458732361-216"/>
    <s v="Spot"/>
    <s v="3625927-1458732361-216"/>
    <n v="0"/>
    <d v="2016-03-31T00:00:00"/>
    <x v="1910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927-1458732361-216] [23/03/2016 at 11:26:00]"/>
  </r>
  <r>
    <s v="3625876-1458732304-134"/>
    <s v="Spot"/>
    <s v="3625876-1458732304-134"/>
    <n v="0"/>
    <d v="2016-03-31T00:00:00"/>
    <x v="1911"/>
    <s v="134"/>
    <s v="BUY"/>
    <n v="130.69341705269255"/>
    <x v="0"/>
    <x v="3"/>
    <n v="72226.41"/>
    <s v="Deal"/>
    <m/>
    <s v="Original Amount [EUR 552.64], Merchant Amount [EUR 552.64], Customer Amount [JPY 72226.41], Status [APPROVED], Operation [REFUND], UUID [3625876-1458732304-134] [23/03/2016 at 11:25:00]"/>
  </r>
  <r>
    <s v="3625870-1458732296-216"/>
    <s v="Spot"/>
    <s v="3625870-1458732296-216"/>
    <n v="0"/>
    <d v="2016-03-31T00:00:00"/>
    <x v="1912"/>
    <s v="216"/>
    <s v="SELL"/>
    <n v="3.3971428571428572"/>
    <x v="0"/>
    <x v="0"/>
    <n v="47.56"/>
    <s v="Deal"/>
    <m/>
    <s v="Original Amount [EUR 14], Merchant Amount [EUR 14], Customer Amount [TRY 47.56], Status [WAITING], Operation [3D], UUID [3625870-1458732296-216] [23/03/2016 at 11:24:00]"/>
  </r>
  <r>
    <s v="3625912-1458732340-107"/>
    <s v="Spot"/>
    <s v="3625912-1458732340-107"/>
    <n v="0"/>
    <d v="2016-03-31T00:00:00"/>
    <x v="1913"/>
    <s v="107"/>
    <s v="SELL"/>
    <n v="3.3974175035868006"/>
    <x v="0"/>
    <x v="0"/>
    <n v="47.36"/>
    <s v="Deal"/>
    <m/>
    <s v="Original Amount [EUR 13.94], Merchant Amount [EUR 13.94], Customer Amount [TRY 47.36], Status [APPROVED], Operation [3DAUTH], UUID [3625912-1458732340-107] [23/03/2016 at 11:25:00]"/>
  </r>
  <r>
    <s v="3625855-1458732281-224"/>
    <s v="Spot"/>
    <s v="3625855-1458732281-224"/>
    <n v="0"/>
    <d v="2016-03-31T00:00:00"/>
    <x v="1914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855-1458732281-224] [23/03/2016 at 11:24:00]"/>
  </r>
  <r>
    <s v="3625852-1458732275-238"/>
    <s v="Spot"/>
    <s v="3625852-1458732275-238"/>
    <n v="0"/>
    <d v="2016-03-31T00:00:00"/>
    <x v="191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852-1458732275-238] [23/03/2016 at 11:24:00]"/>
  </r>
  <r>
    <s v="3625843-1458732268-241"/>
    <s v="Spot"/>
    <s v="3625843-1458732268-241"/>
    <n v="0"/>
    <d v="2016-03-31T00:00:00"/>
    <x v="1916"/>
    <s v="241"/>
    <s v="SELL"/>
    <n v="0.83327775925308434"/>
    <x v="0"/>
    <x v="4"/>
    <n v="24.99"/>
    <s v="Deal"/>
    <m/>
    <s v="Original Amount [EUR 29.99], Merchant Amount [EUR 29.99], Customer Amount [GBP 24.99], Status [APPROVED], Operation [DIRECT], UUID [3625843-1458732268-241] [23/03/2016 at 11:24:00]"/>
  </r>
  <r>
    <s v="3625864-1458732291-216"/>
    <s v="Spot"/>
    <s v="3625864-1458732291-216"/>
    <n v="0"/>
    <d v="2016-03-31T00:00:00"/>
    <x v="1917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864-1458732291-216] [23/03/2016 at 11:24:00]"/>
  </r>
  <r>
    <s v="3625846-1458732268-216"/>
    <s v="Spot"/>
    <s v="3625846-1458732268-216"/>
    <n v="0"/>
    <d v="2016-03-31T00:00:00"/>
    <x v="1918"/>
    <s v="216"/>
    <s v="SELL"/>
    <n v="3.397092084006462"/>
    <x v="0"/>
    <x v="0"/>
    <n v="210.28"/>
    <s v="Deal"/>
    <m/>
    <s v="Original Amount [EUR 61.9], Merchant Amount [EUR 61.9], Customer Amount [TRY 210.28], Status [APPROVED], Operation [3DAUTH], UUID [3625846-1458732268-216] [23/03/2016 at 11:24:00]"/>
  </r>
  <r>
    <s v="3625861-1458732286-216"/>
    <s v="Spot"/>
    <s v="3625861-1458732286-216"/>
    <n v="0"/>
    <d v="2016-03-31T00:00:00"/>
    <x v="1919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861-1458732286-216] [23/03/2016 at 11:24:00]"/>
  </r>
  <r>
    <s v="3625837-1458732259-216"/>
    <s v="Spot"/>
    <s v="3625837-1458732259-216"/>
    <n v="0"/>
    <d v="2016-03-31T00:00:00"/>
    <x v="1920"/>
    <s v="216"/>
    <s v="SELL"/>
    <n v="3.3972927241962774"/>
    <x v="0"/>
    <x v="0"/>
    <n v="100.39"/>
    <s v="Deal"/>
    <m/>
    <s v="Original Amount [EUR 29.55], Merchant Amount [EUR 29.55], Customer Amount [TRY 100.39], Status [APPROVED], Operation [3DAUTH], UUID [3625837-1458732259-216] [23/03/2016 at 11:24:00]"/>
  </r>
  <r>
    <s v="3625804-1458732214-82"/>
    <s v="Spot"/>
    <s v="3625804-1458732214-82"/>
    <n v="0"/>
    <d v="2016-03-31T00:00:00"/>
    <x v="1921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5804-1458732214-82] [23/03/2016 at 11:23:00]"/>
  </r>
  <r>
    <s v="3625795-1458732202-126"/>
    <s v="Spot"/>
    <s v="3625795-1458732202-126"/>
    <n v="0"/>
    <d v="2016-03-31T00:00:00"/>
    <x v="1922"/>
    <s v="126"/>
    <s v="SELL"/>
    <n v="9.9422764227642269"/>
    <x v="0"/>
    <x v="1"/>
    <n v="122.29"/>
    <s v="Deal"/>
    <m/>
    <s v="Original Amount [EUR 12.3], Merchant Amount [EUR 12.3], Customer Amount [NOK 122.29], Status [APPROVED], Operation [DIRECT], UUID [3625795-1458732202-126] [23/03/2016 at 11:23:00]"/>
  </r>
  <r>
    <s v="3625789-1458732201-82"/>
    <s v="Spot"/>
    <s v="3625789-1458732201-82"/>
    <n v="0"/>
    <d v="2016-03-31T00:00:00"/>
    <x v="192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5789-1458732201-82] [23/03/2016 at 11:23:00]"/>
  </r>
  <r>
    <s v="3625777-1458732192-171"/>
    <s v="Spot"/>
    <s v="3625777-1458732192-171"/>
    <n v="0"/>
    <d v="2016-03-31T00:00:00"/>
    <x v="1924"/>
    <s v="171"/>
    <s v="SELL"/>
    <n v="9.9420000000000002"/>
    <x v="0"/>
    <x v="1"/>
    <n v="198.84"/>
    <s v="Deal"/>
    <m/>
    <s v="Original Amount [EUR 20], Merchant Amount [EUR 20], Customer Amount [NOK 198.84], Status [APPROVED], Operation [DIRECT], UUID [3625777-1458732192-171] [23/03/2016 at 11:23:00]"/>
  </r>
  <r>
    <s v="3625807-1458732226-216"/>
    <s v="Spot"/>
    <s v="3625807-1458732226-216"/>
    <n v="0"/>
    <d v="2016-03-31T00:00:00"/>
    <x v="1925"/>
    <s v="216"/>
    <s v="SELL"/>
    <n v="3.3972927241962774"/>
    <x v="0"/>
    <x v="0"/>
    <n v="100.39"/>
    <s v="Deal"/>
    <m/>
    <s v="Original Amount [EUR 29.55], Merchant Amount [EUR 29.55], Customer Amount [TRY 100.39], Status [APPROVED], Operation [3DAUTH], UUID [3625807-1458732226-216] [23/03/2016 at 11:23:00]"/>
  </r>
  <r>
    <s v="3625798-1458732211-216"/>
    <s v="Spot"/>
    <s v="3625798-1458732211-216"/>
    <n v="0"/>
    <d v="2016-03-31T00:00:00"/>
    <x v="1926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98-1458732211-216] [23/03/2016 at 11:23:00]"/>
  </r>
  <r>
    <s v="3625783-1458732198-216"/>
    <s v="Spot"/>
    <s v="3625783-1458732198-216"/>
    <n v="0"/>
    <d v="2016-03-31T00:00:00"/>
    <x v="1927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83-1458732198-216] [23/03/2016 at 11:23:00]"/>
  </r>
  <r>
    <s v="3625750-1458732159-224"/>
    <s v="Spot"/>
    <s v="3625750-1458732159-224"/>
    <n v="0"/>
    <d v="2016-03-31T00:00:00"/>
    <x v="1928"/>
    <s v="224"/>
    <s v="SELL"/>
    <n v="133.03769705277588"/>
    <x v="0"/>
    <x v="3"/>
    <n v="9705.1"/>
    <s v="Deal"/>
    <m/>
    <s v="Original Amount [EUR 72.95], Merchant Amount [EUR 72.95], Customer Amount [JPY 9705.1], Status [APPROVED], Operation [DIRECT], UUID [3625750-1458732159-224] [23/03/2016 at 11:22:00]"/>
  </r>
  <r>
    <s v="3625747-1458732154-216"/>
    <s v="Spot"/>
    <s v="3625747-1458732154-216"/>
    <n v="0"/>
    <d v="2016-03-31T00:00:00"/>
    <x v="1929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5747-1458732154-216] [23/03/2016 at 11:22:00]"/>
  </r>
  <r>
    <s v="3625744-1458732154-216"/>
    <s v="Spot"/>
    <s v="3625744-1458732154-216"/>
    <n v="0"/>
    <d v="2016-03-31T00:00:00"/>
    <x v="1930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5744-1458732154-216] [23/03/2016 at 11:22:00]"/>
  </r>
  <r>
    <s v="3625738-1458732146-126"/>
    <s v="Spot"/>
    <s v="3625738-1458732146-126"/>
    <n v="0"/>
    <d v="2016-03-31T00:00:00"/>
    <x v="1931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5738-1458732146-126] [23/03/2016 at 11:22:00]"/>
  </r>
  <r>
    <s v="3625729-1458732138-101"/>
    <s v="Spot"/>
    <s v="3625729-1458732138-101"/>
    <n v="0"/>
    <d v="2016-03-31T00:00:00"/>
    <x v="1932"/>
    <s v="101"/>
    <s v="SELL"/>
    <n v="3.3971276927880112"/>
    <x v="0"/>
    <x v="0"/>
    <n v="217.62"/>
    <s v="Deal"/>
    <m/>
    <s v="Original Amount [EUR 64.06], Merchant Amount [EUR 64.06], Customer Amount [TRY 217.62], Status [WAITING], Operation [3D], UUID [3625729-1458732138-101] [23/03/2016 at 11:22:00]"/>
  </r>
  <r>
    <s v="3625765-1458732189-216"/>
    <s v="Spot"/>
    <s v="3625765-1458732189-216"/>
    <n v="0"/>
    <d v="2016-03-31T00:00:00"/>
    <x v="1933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65-1458732189-216] [23/03/2016 at 11:23:00]"/>
  </r>
  <r>
    <s v="3625780-1458732193-216"/>
    <s v="Spot"/>
    <s v="3625780-1458732193-216"/>
    <n v="0"/>
    <d v="2016-03-31T00:00:00"/>
    <x v="1934"/>
    <s v="216"/>
    <s v="SELL"/>
    <n v="3.3971578160059837"/>
    <x v="0"/>
    <x v="0"/>
    <n v="45.42"/>
    <s v="Deal"/>
    <m/>
    <s v="Original Amount [EUR 13.37], Merchant Amount [EUR 13.37], Customer Amount [TRY 45.42], Status [APPROVED], Operation [3DAUTH], UUID [3625780-1458732193-216] [23/03/2016 at 11:23:00]"/>
  </r>
  <r>
    <s v="3625741-1458732150-216"/>
    <s v="Spot"/>
    <s v="3625741-1458732150-216"/>
    <n v="0"/>
    <d v="2016-03-31T00:00:00"/>
    <x v="1935"/>
    <s v="216"/>
    <s v="SELL"/>
    <n v="3.397106109324759"/>
    <x v="0"/>
    <x v="0"/>
    <n v="126.78"/>
    <s v="Deal"/>
    <m/>
    <s v="Original Amount [EUR 37.32], Merchant Amount [EUR 37.32], Customer Amount [TRY 126.78], Status [APPROVED], Operation [3DAUTH], UUID [3625741-1458732150-216] [23/03/2016 at 11:22:00]"/>
  </r>
  <r>
    <s v="3625774-1458732191-56"/>
    <s v="Spot"/>
    <s v="3625774-1458732191-56"/>
    <n v="0"/>
    <d v="2016-03-31T00:00:00"/>
    <x v="1936"/>
    <s v="56"/>
    <s v="SELL"/>
    <n v="3.3976293103448278"/>
    <x v="0"/>
    <x v="0"/>
    <n v="31.53"/>
    <s v="Deal"/>
    <m/>
    <s v="Original Amount [EUR 9.28], Merchant Amount [EUR 9.28], Customer Amount [TRY 31.53], Status [APPROVED], Operation [3DAUTH], UUID [3625774-1458732191-56] [23/03/2016 at 11:23:00]"/>
  </r>
  <r>
    <s v="3625705-1458732090-199"/>
    <s v="Spot"/>
    <s v="3625705-1458732090-199"/>
    <n v="0"/>
    <d v="2016-03-31T00:00:00"/>
    <x v="1937"/>
    <s v="199"/>
    <s v="SELL"/>
    <n v="9.9419889502762437"/>
    <x v="0"/>
    <x v="1"/>
    <n v="107.97"/>
    <s v="Deal"/>
    <m/>
    <s v="Original Amount [EUR 10.86], Merchant Amount [EUR 10.86], Customer Amount [NOK 107.97], Status [APPROVED], Operation [DIRECT], UUID [3625705-1458732090-199] [23/03/2016 at 11:21:00]"/>
  </r>
  <r>
    <s v="3625735-1458732145-216"/>
    <s v="Spot"/>
    <s v="3625735-1458732145-216"/>
    <n v="0"/>
    <d v="2016-03-31T00:00:00"/>
    <x v="1938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35-1458732145-216] [23/03/2016 at 11:22:00]"/>
  </r>
  <r>
    <s v="3625693-1458732069-200"/>
    <s v="Spot"/>
    <s v="3625693-1458732069-200"/>
    <n v="0"/>
    <d v="2016-03-31T00:00:00"/>
    <x v="1939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5693-1458732069-200] [23/03/2016 at 11:21:00]"/>
  </r>
  <r>
    <s v="3625702-1458732087-264"/>
    <s v="Spot"/>
    <s v="3625702-1458732087-264"/>
    <n v="0"/>
    <d v="2016-03-31T00:00:00"/>
    <x v="1940"/>
    <s v="264"/>
    <s v="SELL"/>
    <n v="3.3907254361799812"/>
    <x v="0"/>
    <x v="0"/>
    <n v="73.849999999999994"/>
    <s v="Deal"/>
    <m/>
    <s v="Original Amount [TRY 70], Merchant Amount [EUR 21.78], Customer Amount [TRY 73.85], Status [APPROVED], Operation [3DAUTH], UUID [3625702-1458732087-264] [23/03/2016 at 11:21:00]"/>
  </r>
  <r>
    <s v="3625708-1458732099-126"/>
    <s v="Spot"/>
    <s v="3625708-1458732099-126"/>
    <n v="0"/>
    <d v="2016-03-31T00:00:00"/>
    <x v="1941"/>
    <s v="126"/>
    <s v="SELL"/>
    <n v="9.9414824447334205"/>
    <x v="0"/>
    <x v="1"/>
    <n v="152.9"/>
    <s v="Deal"/>
    <m/>
    <s v="Original Amount [EUR 15.38], Merchant Amount [EUR 15.38], Customer Amount [NOK 152.9], Status [APPROVED], Operation [3DAUTH], UUID [3625708-1458732099-126] [23/03/2016 at 11:21:00]"/>
  </r>
  <r>
    <s v="3625672-1458732044-56"/>
    <s v="Spot"/>
    <s v="3625672-1458732044-56"/>
    <n v="0"/>
    <d v="2016-03-31T00:00:00"/>
    <x v="1942"/>
    <s v="56"/>
    <s v="SELL"/>
    <n v="3.3976992604765819"/>
    <x v="0"/>
    <x v="0"/>
    <n v="41.35"/>
    <s v="Deal"/>
    <m/>
    <s v="Original Amount [EUR 12.17], Merchant Amount [EUR 12.17], Customer Amount [TRY 41.35], Status [WAITING], Operation [3D], UUID [3625672-1458732044-56] [23/03/2016 at 11:20:00]"/>
  </r>
  <r>
    <s v="3625669-1458732030-224"/>
    <s v="Spot"/>
    <s v="3625669-1458732030-224"/>
    <n v="0"/>
    <d v="2016-03-31T00:00:00"/>
    <x v="1943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25669-1458732030-224] [23/03/2016 at 11:20:00]"/>
  </r>
  <r>
    <s v="3625663-1458732018-187"/>
    <s v="Spot"/>
    <s v="3625663-1458732018-187"/>
    <n v="0"/>
    <d v="2016-03-31T00:00:00"/>
    <x v="1944"/>
    <s v="187"/>
    <s v="SELL"/>
    <n v="9.9412248253185371"/>
    <x v="0"/>
    <x v="1"/>
    <n v="241.87"/>
    <s v="Deal"/>
    <m/>
    <s v="Original Amount [EUR 24.33], Merchant Amount [EUR 24.33], Customer Amount [NOK 241.87], Status [APPROVED], Operation [DIRECT], UUID [3625663-1458732018-187] [23/03/2016 at 11:20:00]"/>
  </r>
  <r>
    <s v="3625657-1458732014-224"/>
    <s v="Spot"/>
    <s v="3625657-1458732014-224"/>
    <n v="0"/>
    <d v="2016-03-31T00:00:00"/>
    <x v="1945"/>
    <s v="224"/>
    <s v="SELL"/>
    <n v="9.941329856584094"/>
    <x v="0"/>
    <x v="1"/>
    <n v="305"/>
    <s v="Deal"/>
    <m/>
    <s v="Original Amount [EUR 30.68], Merchant Amount [EUR 30.68], Customer Amount [NOK 305], Status [APPROVED], Operation [DIRECT], UUID [3625657-1458732014-224] [23/03/2016 at 11:20:00]"/>
  </r>
  <r>
    <s v="3625648-1458732000-171"/>
    <s v="Spot"/>
    <s v="3625648-1458732000-171"/>
    <n v="0"/>
    <d v="2016-03-31T00:00:00"/>
    <x v="1946"/>
    <s v="171"/>
    <s v="SELL"/>
    <n v="9.9415000000000013"/>
    <x v="0"/>
    <x v="1"/>
    <n v="198.83"/>
    <s v="Deal"/>
    <m/>
    <s v="Original Amount [EUR 20], Merchant Amount [EUR 20], Customer Amount [NOK 198.83], Status [APPROVED], Operation [DIRECT], UUID [3625648-1458732000-171] [23/03/2016 at 11:20:00]"/>
  </r>
  <r>
    <s v="3625645-1458731996-224"/>
    <s v="Spot"/>
    <s v="3625645-1458731996-224"/>
    <n v="0"/>
    <d v="2016-03-31T00:00:00"/>
    <x v="1947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25645-1458731996-224] [23/03/2016 at 11:19:00]"/>
  </r>
  <r>
    <s v="3625666-1458732024-216"/>
    <s v="Spot"/>
    <s v="3625666-1458732024-216"/>
    <n v="0"/>
    <d v="2016-03-31T00:00:00"/>
    <x v="1948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666-1458732024-216] [23/03/2016 at 11:20:00]"/>
  </r>
  <r>
    <s v="3625639-1458731979-200"/>
    <s v="Spot"/>
    <s v="3625639-1458731979-200"/>
    <n v="0"/>
    <d v="2016-03-31T00:00:00"/>
    <x v="1949"/>
    <s v="200"/>
    <s v="SELL"/>
    <n v="9.9413333333333345"/>
    <x v="0"/>
    <x v="1"/>
    <n v="298.24"/>
    <s v="Deal"/>
    <m/>
    <s v="Original Amount [EUR 30], Merchant Amount [EUR 30], Customer Amount [NOK 298.24], Status [APPROVED], Operation [STORED], UUID [3625639-1458731979-200] [23/03/2016 at 11:19:00]"/>
  </r>
  <r>
    <s v="3625654-1458732012-56"/>
    <s v="Spot"/>
    <s v="3625654-1458732012-56"/>
    <n v="0"/>
    <d v="2016-03-31T00:00:00"/>
    <x v="1950"/>
    <s v="56"/>
    <s v="SELL"/>
    <n v="3.3975"/>
    <x v="0"/>
    <x v="0"/>
    <n v="27.18"/>
    <s v="Deal"/>
    <m/>
    <s v="Original Amount [EUR 8], Merchant Amount [EUR 8], Customer Amount [TRY 27.18], Status [APPROVED], Operation [3DAUTH], UUID [3625654-1458732012-56] [23/03/2016 at 11:20:00]"/>
  </r>
  <r>
    <s v="3625633-1458731977-264"/>
    <s v="Spot"/>
    <s v="3625633-1458731977-264"/>
    <n v="0"/>
    <d v="2016-03-31T00:00:00"/>
    <x v="1951"/>
    <s v="264"/>
    <s v="SELL"/>
    <n v="4.2282958199356919"/>
    <x v="0"/>
    <x v="14"/>
    <n v="13.15"/>
    <s v="Deal"/>
    <m/>
    <s v="Original Amount [TRY 10], Merchant Amount [EUR 3.11], Customer Amount [BRL 13.15], Status [WAITING], Operation [3D], UUID [3625633-1458731977-264] [23/03/2016 at 11:19:00]"/>
  </r>
  <r>
    <s v="3625627-1458731969-224"/>
    <s v="Spot"/>
    <s v="3625627-1458731969-224"/>
    <n v="0"/>
    <d v="2016-03-31T00:00:00"/>
    <x v="1952"/>
    <s v="224"/>
    <s v="SELL"/>
    <n v="132.9933093154915"/>
    <x v="0"/>
    <x v="3"/>
    <n v="36176.839999999997"/>
    <s v="Deal"/>
    <m/>
    <s v="Original Amount [EUR 272.02], Merchant Amount [EUR 272.02], Customer Amount [JPY 36176.84], Status [APPROVED], Operation [DIRECT], UUID [3625627-1458731969-224] [23/03/2016 at 11:19:00]"/>
  </r>
  <r>
    <s v="3625624-1458731969-171"/>
    <s v="Spot"/>
    <s v="3625624-1458731969-171"/>
    <n v="0"/>
    <d v="2016-03-31T00:00:00"/>
    <x v="1953"/>
    <s v="171"/>
    <s v="SELL"/>
    <n v="9.9410833333333333"/>
    <x v="0"/>
    <x v="1"/>
    <n v="1192.93"/>
    <s v="Deal"/>
    <m/>
    <s v="Original Amount [EUR 120], Merchant Amount [EUR 120], Customer Amount [NOK 1192.93], Status [APPROVED], Operation [DIRECT], UUID [3625624-1458731969-171] [23/03/2016 at 11:19:00]"/>
  </r>
  <r>
    <s v="3625618-1458731958-119"/>
    <s v="Spot"/>
    <s v="3625618-1458731958-119"/>
    <n v="0"/>
    <d v="2016-03-31T00:00:00"/>
    <x v="1954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5618-1458731958-119] [23/03/2016 at 11:19:00]"/>
  </r>
  <r>
    <s v="3625615-1458731953-156"/>
    <s v="Spot"/>
    <s v="3625615-1458731953-156"/>
    <n v="0"/>
    <d v="2016-03-31T00:00:00"/>
    <x v="1955"/>
    <s v="156"/>
    <s v="SELL"/>
    <n v="132.99330038440419"/>
    <x v="0"/>
    <x v="3"/>
    <n v="24218.080000000002"/>
    <s v="Deal"/>
    <m/>
    <s v="Original Amount [EUR 182.1], Merchant Amount [EUR 182.1], Customer Amount [JPY 24218.08], Status [APPROVED], Operation [DIRECT], UUID [3625615-1458731953-156] [23/03/2016 at 11:19:00]"/>
  </r>
  <r>
    <s v="3625630-1458731973-56"/>
    <s v="Spot"/>
    <s v="3625630-1458731973-56"/>
    <n v="0"/>
    <d v="2016-03-31T00:00:00"/>
    <x v="1956"/>
    <s v="56"/>
    <s v="SELL"/>
    <n v="3.3972222222222221"/>
    <x v="0"/>
    <x v="0"/>
    <n v="48.92"/>
    <s v="Deal"/>
    <m/>
    <s v="Original Amount [EUR 14.4], Merchant Amount [EUR 14.4], Customer Amount [TRY 48.92], Status [APPROVED], Operation [3DAUTH], UUID [3625630-1458731973-56] [23/03/2016 at 11:19:00]"/>
  </r>
  <r>
    <s v="3625600-1458731942-264"/>
    <s v="Spot"/>
    <s v="3625600-1458731942-264"/>
    <n v="0"/>
    <d v="2016-03-31T00:00:00"/>
    <x v="1957"/>
    <s v="264"/>
    <s v="SELL"/>
    <n v="4.2243717462561863"/>
    <x v="0"/>
    <x v="14"/>
    <n v="657.27"/>
    <s v="Deal"/>
    <m/>
    <s v="Original Amount [TRY 500], Merchant Amount [EUR 155.59], Customer Amount [BRL 657.27], Status [WAITING], Operation [3D], UUID [3625600-1458731942-264] [23/03/2016 at 11:19:00]"/>
  </r>
  <r>
    <s v="3625591-1458731919-119"/>
    <s v="Spot"/>
    <s v="3625591-1458731919-119"/>
    <n v="0"/>
    <d v="2016-03-31T00:00:00"/>
    <x v="1958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5591-1458731919-119] [23/03/2016 at 11:18:00]"/>
  </r>
  <r>
    <s v="3625612-1458731952-126"/>
    <s v="Spot"/>
    <s v="3625612-1458731952-126"/>
    <n v="0"/>
    <d v="2016-03-31T00:00:00"/>
    <x v="1959"/>
    <s v="126"/>
    <s v="SELL"/>
    <n v="9.9410731707317073"/>
    <x v="0"/>
    <x v="1"/>
    <n v="3056.88"/>
    <s v="Deal"/>
    <m/>
    <s v="Original Amount [EUR 307.5], Merchant Amount [EUR 307.5], Customer Amount [NOK 3056.88], Status [APPROVED], Operation [3DAUTH], UUID [3625612-1458731952-126] [23/03/2016 at 11:19:00]"/>
  </r>
  <r>
    <s v="3625576-1458731911-261"/>
    <s v="Spot"/>
    <s v="3625576-1458731911-261"/>
    <n v="0"/>
    <d v="2016-03-31T00:00:00"/>
    <x v="1960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5576-1458731911-261] [23/03/2016 at 11:18:00]"/>
  </r>
  <r>
    <s v="3625603-1458731942-216"/>
    <s v="Spot"/>
    <s v="3625603-1458731942-216"/>
    <n v="0"/>
    <d v="2016-03-31T00:00:00"/>
    <x v="1961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5603-1458731942-216] [23/03/2016 at 11:19:00]"/>
  </r>
  <r>
    <s v="3625570-1458731894-187"/>
    <s v="Spot"/>
    <s v="3625570-1458731894-187"/>
    <n v="0"/>
    <d v="2016-03-31T00:00:00"/>
    <x v="1962"/>
    <s v="187"/>
    <s v="SELL"/>
    <n v="9.9413988657844996"/>
    <x v="0"/>
    <x v="1"/>
    <n v="262.95"/>
    <s v="Deal"/>
    <m/>
    <s v="Original Amount [EUR 26.45], Merchant Amount [EUR 26.45], Customer Amount [NOK 262.95], Status [APPROVED], Operation [DIRECT], UUID [3625570-1458731894-187] [23/03/2016 at 11:18:00]"/>
  </r>
  <r>
    <s v="3625588-1458731915-216"/>
    <s v="Spot"/>
    <s v="3625588-1458731915-216"/>
    <n v="0"/>
    <d v="2016-03-31T00:00:00"/>
    <x v="1963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88-1458731915-216] [23/03/2016 at 11:18:00]"/>
  </r>
  <r>
    <s v="3625567-1458731892-264"/>
    <s v="Spot"/>
    <s v="3625567-1458731892-264"/>
    <n v="0"/>
    <d v="2016-03-31T00:00:00"/>
    <x v="1964"/>
    <s v="264"/>
    <s v="SELL"/>
    <n v="1.1827354260089686"/>
    <x v="0"/>
    <x v="7"/>
    <n v="10.55"/>
    <s v="Deal"/>
    <m/>
    <s v="Original Amount [USD 10], Merchant Amount [EUR 8.92], Customer Amount [USD 10.55], Status [APPROVED], Operation [3DAUTH], UUID [3625567-1458731892-264] [23/03/2016 at 11:18:00]"/>
  </r>
  <r>
    <s v="3625552-1458731870-82"/>
    <s v="Spot"/>
    <s v="3625552-1458731870-82"/>
    <n v="0"/>
    <d v="2016-03-31T00:00:00"/>
    <x v="1965"/>
    <s v="82"/>
    <s v="BUY"/>
    <n v="1"/>
    <x v="0"/>
    <x v="4"/>
    <n v="0.01"/>
    <s v="Deal"/>
    <m/>
    <s v="Original Amount [GBP 0.01], Merchant Amount [EUR 0.01], Customer Amount [GBP 0.01], Status [APPROVED], Operation [REFUND], UUID [3625552-1458731870-82] [23/03/2016 at 11:17:00]"/>
  </r>
  <r>
    <s v="3625549-1458731866-82"/>
    <s v="Spot"/>
    <s v="3625549-1458731866-82"/>
    <n v="0"/>
    <d v="2016-03-31T00:00:00"/>
    <x v="1966"/>
    <s v="82"/>
    <s v="SELL"/>
    <n v="1"/>
    <x v="0"/>
    <x v="4"/>
    <n v="0.01"/>
    <s v="Deal"/>
    <m/>
    <s v="Original Amount [GBP 0.01], Merchant Amount [EUR 0.01], Customer Amount [GBP 0.01], Status [APPROVED], Operation [STORED], UUID [3625549-1458731866-82] [23/03/2016 at 11:17:00]"/>
  </r>
  <r>
    <s v="3625522-1458731833-261"/>
    <s v="Spot"/>
    <s v="3625522-1458731833-261"/>
    <n v="0"/>
    <d v="2016-03-31T00:00:00"/>
    <x v="1967"/>
    <s v="261"/>
    <s v="SELL"/>
    <n v="9.9418582912693942"/>
    <x v="0"/>
    <x v="1"/>
    <n v="1063.58"/>
    <s v="Deal"/>
    <m/>
    <s v="Original Amount [EUR 106.98], Merchant Amount [EUR 106.98], Customer Amount [NOK 1063.58], Status [APPROVED], Operation [DIRECT], UUID [3625522-1458731833-261] [23/03/2016 at 11:17:00]"/>
  </r>
  <r>
    <s v="3625555-1458731871-216"/>
    <s v="Spot"/>
    <s v="3625555-1458731871-216"/>
    <n v="0"/>
    <d v="2016-03-31T00:00:00"/>
    <x v="1968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555-1458731871-216] [23/03/2016 at 11:17:00]"/>
  </r>
  <r>
    <s v="3625558-1458731877-216"/>
    <s v="Spot"/>
    <s v="3625558-1458731877-216"/>
    <n v="0"/>
    <d v="2016-03-31T00:00:00"/>
    <x v="1969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558-1458731877-216] [23/03/2016 at 11:17:00]"/>
  </r>
  <r>
    <s v="3625546-1458731863-107"/>
    <s v="Spot"/>
    <s v="3625546-1458731863-107"/>
    <n v="0"/>
    <d v="2016-03-31T00:00:00"/>
    <x v="1970"/>
    <s v="107"/>
    <s v="SELL"/>
    <n v="3.3969185619955975"/>
    <x v="0"/>
    <x v="0"/>
    <n v="46.3"/>
    <s v="Deal"/>
    <m/>
    <s v="Original Amount [EUR 13.63], Merchant Amount [EUR 13.63], Customer Amount [TRY 46.3], Status [APPROVED], Operation [3DAUTH], UUID [3625546-1458731863-107] [23/03/2016 at 11:17:00]"/>
  </r>
  <r>
    <s v="3625594-1458731938-216"/>
    <s v="Spot"/>
    <s v="3625594-1458731938-216"/>
    <n v="0"/>
    <d v="2016-03-31T00:00:00"/>
    <x v="1971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94-1458731938-216] [23/03/2016 at 11:18:00]"/>
  </r>
  <r>
    <s v="3625525-1458731847-216"/>
    <s v="Spot"/>
    <s v="3625525-1458731847-216"/>
    <n v="0"/>
    <d v="2016-03-31T00:00:00"/>
    <x v="1972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25-1458731847-216] [23/03/2016 at 11:17:00]"/>
  </r>
  <r>
    <s v="3625531-1458731848-216"/>
    <s v="Spot"/>
    <s v="3625531-1458731848-216"/>
    <n v="0"/>
    <d v="2016-03-31T00:00:00"/>
    <x v="1973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531-1458731848-216] [23/03/2016 at 11:17:00]"/>
  </r>
  <r>
    <s v="3625480-1458731809-187"/>
    <s v="Spot"/>
    <s v="3625480-1458731809-187"/>
    <n v="0"/>
    <d v="2016-03-31T00:00:00"/>
    <x v="1974"/>
    <s v="187"/>
    <s v="SELL"/>
    <n v="9.9423440453686194"/>
    <x v="0"/>
    <x v="1"/>
    <n v="105.19"/>
    <s v="Deal"/>
    <m/>
    <s v="Original Amount [EUR 10.58], Merchant Amount [EUR 10.58], Customer Amount [NOK 105.19], Status [APPROVED], Operation [DIRECT], UUID [3625480-1458731809-187] [23/03/2016 at 11:16:00]"/>
  </r>
  <r>
    <s v="3625513-1458731825-107"/>
    <s v="Spot"/>
    <s v="3625513-1458731825-107"/>
    <n v="0"/>
    <d v="2016-03-31T00:00:00"/>
    <x v="1975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5513-1458731825-107] [23/03/2016 at 11:17:00]"/>
  </r>
  <r>
    <s v="3625510-1458731824-216"/>
    <s v="Spot"/>
    <s v="3625510-1458731824-216"/>
    <n v="0"/>
    <d v="2016-03-31T00:00:00"/>
    <x v="1976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510-1458731824-216] [23/03/2016 at 11:17:00]"/>
  </r>
  <r>
    <s v="3625537-1458731851-107"/>
    <s v="Spot"/>
    <s v="3625537-1458731851-107"/>
    <n v="0"/>
    <d v="2016-03-31T00:00:00"/>
    <x v="1977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5537-1458731851-107] [23/03/2016 at 11:17:00]"/>
  </r>
  <r>
    <s v="3625462-1458731787-199"/>
    <s v="Spot"/>
    <s v="3625462-1458731787-199"/>
    <n v="0"/>
    <d v="2016-03-31T00:00:00"/>
    <x v="1978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5462-1458731787-199] [23/03/2016 at 11:16:00]"/>
  </r>
  <r>
    <s v="3625456-1458731778-224"/>
    <s v="Spot"/>
    <s v="3625456-1458731778-224"/>
    <n v="0"/>
    <d v="2016-03-31T00:00:00"/>
    <x v="1979"/>
    <s v="224"/>
    <s v="SELL"/>
    <n v="9.9422365988909434"/>
    <x v="0"/>
    <x v="1"/>
    <n v="215.15"/>
    <s v="Deal"/>
    <m/>
    <s v="Original Amount [EUR 21.64], Merchant Amount [EUR 21.64], Customer Amount [NOK 215.15], Status [APPROVED], Operation [DIRECT], UUID [3625456-1458731778-224] [23/03/2016 at 11:16:00]"/>
  </r>
  <r>
    <s v="3625450-1458731774-224"/>
    <s v="Spot"/>
    <s v="3625450-1458731774-224"/>
    <n v="0"/>
    <d v="2016-03-31T00:00:00"/>
    <x v="1980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450-1458731774-224] [23/03/2016 at 11:16:00]"/>
  </r>
  <r>
    <s v="3625447-1458731766-216"/>
    <s v="Spot"/>
    <s v="3625447-1458731766-216"/>
    <n v="0"/>
    <d v="2016-03-31T00:00:00"/>
    <x v="1981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447-1458731766-216] [23/03/2016 at 11:16:00]"/>
  </r>
  <r>
    <s v="3625492-1458731813-119"/>
    <s v="Spot"/>
    <s v="3625492-1458731813-119"/>
    <n v="0"/>
    <d v="2016-03-31T00:00:00"/>
    <x v="1982"/>
    <s v="119"/>
    <s v="SELL"/>
    <n v="9.9417999999999989"/>
    <x v="0"/>
    <x v="1"/>
    <n v="497.09"/>
    <s v="Deal"/>
    <m/>
    <s v="Original Amount [EUR 50], Merchant Amount [EUR 50], Customer Amount [NOK 497.09], Status [APPROVED], Operation [3DAUTH], UUID [3625492-1458731813-119] [23/03/2016 at 11:16:00]"/>
  </r>
  <r>
    <s v="3625435-1458731747-82"/>
    <s v="Spot"/>
    <s v="3625435-1458731747-82"/>
    <n v="0"/>
    <d v="2016-03-31T00:00:00"/>
    <x v="1983"/>
    <s v="82"/>
    <s v="SELL"/>
    <n v="1.1870503597122302"/>
    <x v="0"/>
    <x v="7"/>
    <n v="16.5"/>
    <s v="Deal"/>
    <m/>
    <s v="Original Amount [USD 16.5], Merchant Amount [EUR 13.9], Customer Amount [USD 16.5], Status [APPROVED], Operation [DIRECT], UUID [3625435-1458731747-82] [23/03/2016 at 11:15:00]"/>
  </r>
  <r>
    <s v="3625453-1458731778-216"/>
    <s v="Spot"/>
    <s v="3625453-1458731778-216"/>
    <n v="0"/>
    <d v="2016-03-31T00:00:00"/>
    <x v="1984"/>
    <s v="216"/>
    <s v="SELL"/>
    <n v="3.3966127130453425"/>
    <x v="0"/>
    <x v="0"/>
    <n v="316.87"/>
    <s v="Deal"/>
    <m/>
    <s v="Original Amount [EUR 93.29], Merchant Amount [EUR 93.29], Customer Amount [TRY 316.87], Status [APPROVED], Operation [3DAUTH], UUID [3625453-1458731778-216] [23/03/2016 at 11:16:00]"/>
  </r>
  <r>
    <s v="3625474-1458731798-124"/>
    <s v="Spot"/>
    <s v="3625474-1458731798-124"/>
    <n v="0"/>
    <d v="2016-03-31T00:00:00"/>
    <x v="1985"/>
    <s v="124"/>
    <s v="SELL"/>
    <n v="9.942439024390243"/>
    <x v="0"/>
    <x v="1"/>
    <n v="101.91"/>
    <s v="Deal"/>
    <m/>
    <s v="Original Amount [EUR 10.25], Merchant Amount [EUR 10.25], Customer Amount [NOK 101.91], Status [APPROVED], Operation [3DAUTH], UUID [3625474-1458731798-124] [23/03/2016 at 11:16:00]"/>
  </r>
  <r>
    <s v="3625423-1458731736-82"/>
    <s v="Spot"/>
    <s v="3625423-1458731736-82"/>
    <n v="0"/>
    <d v="2016-03-31T00:00:00"/>
    <x v="1986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5423-1458731736-82] [23/03/2016 at 11:15:00]"/>
  </r>
  <r>
    <s v="3625396-1458731690-199"/>
    <s v="Spot"/>
    <s v="3625396-1458731690-199"/>
    <n v="0"/>
    <d v="2016-03-31T00:00:00"/>
    <x v="1987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5396-1458731690-199] [23/03/2016 at 11:14:00]"/>
  </r>
  <r>
    <s v="3625405-1458731707-56"/>
    <s v="Spot"/>
    <s v="3625405-1458731707-56"/>
    <n v="0"/>
    <d v="2016-03-31T00:00:00"/>
    <x v="1988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5405-1458731707-56] [23/03/2016 at 11:15:00]"/>
  </r>
  <r>
    <s v="3625387-1458731679-264"/>
    <s v="Spot"/>
    <s v="3625387-1458731679-264"/>
    <n v="0"/>
    <d v="2016-03-31T00:00:00"/>
    <x v="1989"/>
    <s v="264"/>
    <s v="SELL"/>
    <n v="1.1827057182705718"/>
    <x v="0"/>
    <x v="7"/>
    <n v="110.24"/>
    <s v="Deal"/>
    <m/>
    <s v="Original Amount [TRY 300], Merchant Amount [EUR 93.21], Customer Amount [USD 110.24], Status [WAITING], Operation [3D], UUID [3625387-1458731679-264] [23/03/2016 at 11:14:00]"/>
  </r>
  <r>
    <s v="3625381-1458731672-82"/>
    <s v="Spot"/>
    <s v="3625381-1458731672-82"/>
    <n v="0"/>
    <d v="2016-03-31T00:00:00"/>
    <x v="1990"/>
    <s v="82"/>
    <s v="SELL"/>
    <n v="1.1870503597122302"/>
    <x v="0"/>
    <x v="7"/>
    <n v="16.5"/>
    <s v="Deal"/>
    <m/>
    <s v="Original Amount [USD 16.5], Merchant Amount [EUR 13.9], Customer Amount [USD 16.5], Status [APPROVED], Operation [DIRECT], UUID [3625381-1458731672-82] [23/03/2016 at 11:14:00]"/>
  </r>
  <r>
    <s v="3625444-1458731762-101"/>
    <s v="Spot"/>
    <s v="3625444-1458731762-101"/>
    <n v="0"/>
    <d v="2016-03-31T00:00:00"/>
    <x v="1991"/>
    <s v="101"/>
    <s v="SELL"/>
    <n v="3.3920308483290484"/>
    <x v="0"/>
    <x v="0"/>
    <n v="184.73"/>
    <s v="Deal"/>
    <m/>
    <s v="Original Amount [EUR 54.46], Merchant Amount [EUR 54.46], Customer Amount [TRY 184.73], Status [APPROVED], Operation [3DAUTH], UUID [3625444-1458731762-101] [23/03/2016 at 11:16:00]"/>
  </r>
  <r>
    <s v="3625399-1458731694-264"/>
    <s v="Spot"/>
    <s v="3625399-1458731694-264"/>
    <n v="0"/>
    <d v="2016-03-31T00:00:00"/>
    <x v="1992"/>
    <s v="264"/>
    <s v="SELL"/>
    <n v="3.3959227467811157"/>
    <x v="0"/>
    <x v="0"/>
    <n v="31.65"/>
    <s v="Deal"/>
    <m/>
    <s v="Original Amount [TRY 30], Merchant Amount [EUR 9.32], Customer Amount [TRY 31.65], Status [APPROVED], Operation [3DAUTH], UUID [3625399-1458731694-264] [23/03/2016 at 11:14:00]"/>
  </r>
  <r>
    <s v="3625369-1458731657-119"/>
    <s v="Spot"/>
    <s v="3625369-1458731657-119"/>
    <n v="0"/>
    <d v="2016-03-31T00:00:00"/>
    <x v="1993"/>
    <s v="119"/>
    <s v="SELL"/>
    <n v="9.9417999999999989"/>
    <x v="0"/>
    <x v="1"/>
    <n v="497.09"/>
    <s v="Deal"/>
    <m/>
    <s v="Original Amount [EUR 50], Merchant Amount [EUR 50], Customer Amount [NOK 497.09], Status [APPROVED], Operation [DIRECT], UUID [3625369-1458731657-119] [23/03/2016 at 11:14:00]"/>
  </r>
  <r>
    <s v="3625393-1458731689-119"/>
    <s v="Spot"/>
    <s v="3625393-1458731689-119"/>
    <n v="0"/>
    <d v="2016-03-31T00:00:00"/>
    <x v="1994"/>
    <s v="119"/>
    <s v="SELL"/>
    <n v="9.9420000000000002"/>
    <x v="0"/>
    <x v="1"/>
    <n v="248.55"/>
    <s v="Deal"/>
    <m/>
    <s v="Original Amount [EUR 25], Merchant Amount [EUR 25], Customer Amount [NOK 248.55], Status [APPROVED], Operation [3DAUTH], UUID [3625393-1458731689-119] [23/03/2016 at 11:14:00]"/>
  </r>
  <r>
    <s v="3625360-1458731638-199"/>
    <s v="Spot"/>
    <s v="3625360-1458731638-199"/>
    <n v="0"/>
    <d v="2016-03-31T00:00:00"/>
    <x v="1995"/>
    <s v="199"/>
    <s v="SELL"/>
    <n v="9.9418262150220897"/>
    <x v="0"/>
    <x v="1"/>
    <n v="270.02"/>
    <s v="Deal"/>
    <m/>
    <s v="Original Amount [EUR 27.16], Merchant Amount [EUR 27.16], Customer Amount [NOK 270.02], Status [APPROVED], Operation [DIRECT], UUID [3625360-1458731638-199] [23/03/2016 at 11:13:00]"/>
  </r>
  <r>
    <s v="3625357-1458731630-82"/>
    <s v="Spot"/>
    <s v="3625357-1458731630-82"/>
    <n v="0"/>
    <d v="2016-03-31T00:00:00"/>
    <x v="1996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5357-1458731630-82] [23/03/2016 at 11:13:00]"/>
  </r>
  <r>
    <s v="3625354-1458731620-216"/>
    <s v="Spot"/>
    <s v="3625354-1458731620-216"/>
    <n v="0"/>
    <d v="2016-03-31T00:00:00"/>
    <x v="1997"/>
    <s v="216"/>
    <s v="SELL"/>
    <n v="3.3924632352941173"/>
    <x v="0"/>
    <x v="0"/>
    <n v="36.909999999999997"/>
    <s v="Deal"/>
    <m/>
    <s v="Original Amount [EUR 10.88], Merchant Amount [EUR 10.88], Customer Amount [TRY 36.91], Status [WAITING], Operation [3D], UUID [3625354-1458731620-216] [23/03/2016 at 11:13:00]"/>
  </r>
  <r>
    <s v="3625351-1458731619-224"/>
    <s v="Spot"/>
    <s v="3625351-1458731619-224"/>
    <n v="0"/>
    <d v="2016-03-31T00:00:00"/>
    <x v="1998"/>
    <s v="224"/>
    <s v="SELL"/>
    <n v="9.9426987060998151"/>
    <x v="0"/>
    <x v="1"/>
    <n v="107.58"/>
    <s v="Deal"/>
    <m/>
    <s v="Original Amount [EUR 10.82], Merchant Amount [EUR 10.82], Customer Amount [NOK 107.58], Status [APPROVED], Operation [DIRECT], UUID [3625351-1458731619-224] [23/03/2016 at 11:13:00]"/>
  </r>
  <r>
    <s v="3625342-1458731605-82"/>
    <s v="Spot"/>
    <s v="3625342-1458731605-82"/>
    <n v="0"/>
    <d v="2016-03-31T00:00:00"/>
    <x v="1999"/>
    <s v="82"/>
    <s v="SELL"/>
    <n v="1.1870814430762584"/>
    <x v="0"/>
    <x v="7"/>
    <n v="54.95"/>
    <s v="Deal"/>
    <m/>
    <s v="Original Amount [USD 54.95], Merchant Amount [EUR 46.29], Customer Amount [USD 54.95], Status [APPROVED], Operation [DIRECT], UUID [3625342-1458731605-82] [23/03/2016 at 11:13:00]"/>
  </r>
  <r>
    <s v="3625336-1458731602-224"/>
    <s v="Spot"/>
    <s v="3625336-1458731602-224"/>
    <n v="0"/>
    <d v="2016-03-31T00:00:00"/>
    <x v="2000"/>
    <s v="224"/>
    <s v="SELL"/>
    <n v="9.9422187981510017"/>
    <x v="0"/>
    <x v="1"/>
    <n v="129.05000000000001"/>
    <s v="Deal"/>
    <m/>
    <s v="Original Amount [EUR 12.98], Merchant Amount [EUR 12.98], Customer Amount [NOK 129.05], Status [APPROVED], Operation [DIRECT], UUID [3625336-1458731602-224] [23/03/2016 at 11:13:00]"/>
  </r>
  <r>
    <s v="3625333-1458731596-82"/>
    <s v="Spot"/>
    <s v="3625333-1458731596-82"/>
    <n v="0"/>
    <d v="2016-03-31T00:00:00"/>
    <x v="2001"/>
    <s v="82"/>
    <s v="SELL"/>
    <n v="1.187018701870187"/>
    <x v="0"/>
    <x v="7"/>
    <n v="53.95"/>
    <s v="Deal"/>
    <m/>
    <s v="Original Amount [USD 53.95], Merchant Amount [EUR 45.45], Customer Amount [USD 53.95], Status [APPROVED], Operation [DIRECT], UUID [3625333-1458731596-82] [23/03/2016 at 11:13:00]"/>
  </r>
  <r>
    <s v="3625321-1458731592-107"/>
    <s v="Spot"/>
    <s v="3625321-1458731592-107"/>
    <n v="0"/>
    <d v="2016-03-31T00:00:00"/>
    <x v="2002"/>
    <s v="107"/>
    <s v="SELL"/>
    <n v="3.3923959827833574"/>
    <x v="0"/>
    <x v="0"/>
    <n v="47.29"/>
    <s v="Deal"/>
    <m/>
    <s v="Original Amount [EUR 13.94], Merchant Amount [EUR 13.94], Customer Amount [TRY 47.29], Status [WAITING], Operation [3D], UUID [3625321-1458731592-107] [23/03/2016 at 11:13:00]"/>
  </r>
  <r>
    <s v="3625363-1458731642-107"/>
    <s v="Spot"/>
    <s v="3625363-1458731642-107"/>
    <n v="0"/>
    <d v="2016-03-31T00:00:00"/>
    <x v="2003"/>
    <s v="107"/>
    <s v="SELL"/>
    <n v="3.3919733161179257"/>
    <x v="0"/>
    <x v="0"/>
    <n v="315.25"/>
    <s v="Deal"/>
    <m/>
    <s v="Original Amount [EUR 92.94], Merchant Amount [EUR 92.94], Customer Amount [TRY 315.25], Status [APPROVED], Operation [3DAUTH], UUID [3625363-1458731642-107] [23/03/2016 at 11:14:00]"/>
  </r>
  <r>
    <s v="3625348-1458731616-216"/>
    <s v="Spot"/>
    <s v="3625348-1458731616-216"/>
    <n v="0"/>
    <d v="2016-03-31T00:00:00"/>
    <x v="2004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5348-1458731616-216] [23/03/2016 at 11:13:00]"/>
  </r>
  <r>
    <s v="3625330-1458731594-150"/>
    <s v="Spot"/>
    <s v="3625330-1458731594-150"/>
    <n v="0"/>
    <d v="2016-03-31T00:00:00"/>
    <x v="2005"/>
    <s v="150"/>
    <s v="SELL"/>
    <n v="3.392396907216495"/>
    <x v="0"/>
    <x v="0"/>
    <n v="52.65"/>
    <s v="Deal"/>
    <m/>
    <s v="Original Amount [EUR 15.52], Merchant Amount [EUR 15.52], Customer Amount [TRY 52.65], Status [APPROVED], Operation [3DAUTH], UUID [3625330-1458731594-150] [23/03/2016 at 11:13:00]"/>
  </r>
  <r>
    <s v="3625297-1458731570-200"/>
    <s v="Spot"/>
    <s v="3625297-1458731570-200"/>
    <n v="0"/>
    <d v="2016-03-31T00:00:00"/>
    <x v="2006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5297-1458731570-200] [23/03/2016 at 11:12:00]"/>
  </r>
  <r>
    <s v="3625285-1458731566-82"/>
    <s v="Spot"/>
    <s v="3625285-1458731566-82"/>
    <n v="0"/>
    <d v="2016-03-31T00:00:00"/>
    <x v="200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5285-1458731566-82] [23/03/2016 at 11:12:00]"/>
  </r>
  <r>
    <s v="3625318-1458731591-216"/>
    <s v="Spot"/>
    <s v="3625318-1458731591-216"/>
    <n v="0"/>
    <d v="2016-03-31T00:00:00"/>
    <x v="2008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25318-1458731591-216] [23/03/2016 at 11:13:00]"/>
  </r>
  <r>
    <s v="3625270-1458731554-216"/>
    <s v="Spot"/>
    <s v="3625270-1458731554-216"/>
    <n v="0"/>
    <d v="2016-03-31T00:00:00"/>
    <x v="2009"/>
    <s v="216"/>
    <s v="SELL"/>
    <n v="3.3924231593995713"/>
    <x v="0"/>
    <x v="0"/>
    <n v="47.46"/>
    <s v="Deal"/>
    <m/>
    <s v="Original Amount [EUR 13.99], Merchant Amount [EUR 13.99], Customer Amount [TRY 47.46], Status [WAITING], Operation [3D], UUID [3625270-1458731554-216] [23/03/2016 at 11:12:00]"/>
  </r>
  <r>
    <s v="3625264-1458731551-82"/>
    <s v="Spot"/>
    <s v="3625264-1458731551-82"/>
    <n v="0"/>
    <d v="2016-03-31T00:00:00"/>
    <x v="201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5264-1458731551-82] [23/03/2016 at 11:12:00]"/>
  </r>
  <r>
    <s v="3625258-1458731550-224"/>
    <s v="Spot"/>
    <s v="3625258-1458731550-224"/>
    <n v="0"/>
    <d v="2016-03-31T00:00:00"/>
    <x v="2011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25258-1458731550-224] [23/03/2016 at 11:12:00]"/>
  </r>
  <r>
    <s v="3625252-1458731538-224"/>
    <s v="Spot"/>
    <s v="3625252-1458731538-224"/>
    <n v="0"/>
    <d v="2016-03-31T00:00:00"/>
    <x v="2012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5252-1458731538-224] [23/03/2016 at 11:12:00]"/>
  </r>
  <r>
    <s v="3625312-1458731584-216"/>
    <s v="Spot"/>
    <s v="3625312-1458731584-216"/>
    <n v="0"/>
    <d v="2016-03-31T00:00:00"/>
    <x v="2013"/>
    <s v="216"/>
    <s v="SELL"/>
    <n v="3.3919536944404745"/>
    <x v="0"/>
    <x v="0"/>
    <n v="949.34"/>
    <s v="Deal"/>
    <m/>
    <s v="Original Amount [EUR 279.88], Merchant Amount [EUR 279.88], Customer Amount [TRY 949.34], Status [APPROVED], Operation [3DAUTH], UUID [3625312-1458731584-216] [23/03/2016 at 11:13:00]"/>
  </r>
  <r>
    <s v="3625240-1458731531-216"/>
    <s v="Spot"/>
    <s v="3625240-1458731531-216"/>
    <n v="0"/>
    <d v="2016-03-31T00:00:00"/>
    <x v="2014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240-1458731531-216] [23/03/2016 at 11:12:00]"/>
  </r>
  <r>
    <s v="3625234-1458731521-216"/>
    <s v="Spot"/>
    <s v="3625234-1458731521-216"/>
    <n v="0"/>
    <d v="2016-03-31T00:00:00"/>
    <x v="2015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234-1458731521-216] [23/03/2016 at 11:12:00]"/>
  </r>
  <r>
    <s v="3625222-1458731511-124"/>
    <s v="Spot"/>
    <s v="3625222-1458731511-124"/>
    <n v="0"/>
    <d v="2016-03-31T00:00:00"/>
    <x v="2016"/>
    <s v="124"/>
    <s v="SELL"/>
    <n v="9.9545644599303138"/>
    <x v="0"/>
    <x v="1"/>
    <n v="1428.48"/>
    <s v="Deal"/>
    <m/>
    <s v="Original Amount [EUR 143.5], Merchant Amount [EUR 143.5], Customer Amount [NOK 1428.48], Status [APPROVED], Operation [3DAUTH], UUID [3625222-1458731511-124] [23/03/2016 at 11:11:00]"/>
  </r>
  <r>
    <s v="3625195-1458731480-224"/>
    <s v="Spot"/>
    <s v="3625195-1458731480-224"/>
    <n v="0"/>
    <d v="2016-03-31T00:00:00"/>
    <x v="2017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25195-1458731480-224] [23/03/2016 at 11:11:00]"/>
  </r>
  <r>
    <s v="3625192-1458731477-238"/>
    <s v="Spot"/>
    <s v="3625192-1458731477-238"/>
    <n v="0"/>
    <d v="2016-03-31T00:00:00"/>
    <x v="201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192-1458731477-238] [23/03/2016 at 11:11:00]"/>
  </r>
  <r>
    <s v="3625180-1458731471-125"/>
    <s v="Spot"/>
    <s v="3625180-1458731471-125"/>
    <n v="0"/>
    <d v="2016-03-31T00:00:00"/>
    <x v="2019"/>
    <s v="125"/>
    <s v="SELL"/>
    <n v="132.99329999999998"/>
    <x v="0"/>
    <x v="3"/>
    <n v="66496.649999999994"/>
    <s v="Deal"/>
    <m/>
    <s v="Original Amount [EUR 500], Merchant Amount [EUR 500], Customer Amount [JPY 66496.65], Status [APPROVED], Operation [DIRECT], UUID [3625180-1458731471-125] [23/03/2016 at 11:11:00]"/>
  </r>
  <r>
    <s v="3625177-1458731464-199"/>
    <s v="Spot"/>
    <s v="3625177-1458731464-199"/>
    <n v="0"/>
    <d v="2016-03-31T00:00:00"/>
    <x v="2020"/>
    <s v="199"/>
    <s v="SELL"/>
    <n v="9.9545724465558187"/>
    <x v="0"/>
    <x v="1"/>
    <n v="335.27"/>
    <s v="Deal"/>
    <m/>
    <s v="Original Amount [EUR 33.68], Merchant Amount [EUR 33.68], Customer Amount [NOK 335.27], Status [APPROVED], Operation [DIRECT], UUID [3625177-1458731464-199] [23/03/2016 at 11:11:00]"/>
  </r>
  <r>
    <s v="3625162-1458731450-125"/>
    <s v="Spot"/>
    <s v="3625162-1458731450-125"/>
    <n v="0"/>
    <d v="2016-03-31T00:00:00"/>
    <x v="2021"/>
    <s v="125"/>
    <s v="SELL"/>
    <n v="132.99329999999998"/>
    <x v="0"/>
    <x v="3"/>
    <n v="66496.649999999994"/>
    <s v="Deal"/>
    <m/>
    <s v="Original Amount [EUR 500], Merchant Amount [EUR 500], Customer Amount [JPY 66496.65], Status [APPROVED], Operation [DIRECT], UUID [3625162-1458731450-125] [23/03/2016 at 11:10:00]"/>
  </r>
  <r>
    <s v="3625159-1458731449-216"/>
    <s v="Spot"/>
    <s v="3625159-1458731449-216"/>
    <n v="0"/>
    <d v="2016-03-31T00:00:00"/>
    <x v="2022"/>
    <s v="216"/>
    <s v="SELL"/>
    <n v="3.3969252271139063"/>
    <x v="0"/>
    <x v="0"/>
    <n v="48.61"/>
    <s v="Deal"/>
    <m/>
    <s v="Original Amount [EUR 14.31], Merchant Amount [EUR 14.31], Customer Amount [TRY 48.61], Status [WAITING], Operation [3D], UUID [3625159-1458731449-216] [23/03/2016 at 11:10:00]"/>
  </r>
  <r>
    <s v="3625171-1458731463-216"/>
    <s v="Spot"/>
    <s v="3625171-1458731463-216"/>
    <n v="0"/>
    <d v="2016-03-31T00:00:00"/>
    <x v="2023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171-1458731463-216] [23/03/2016 at 11:11:00]"/>
  </r>
  <r>
    <s v="3625150-1458731427-119"/>
    <s v="Spot"/>
    <s v="3625150-1458731427-119"/>
    <n v="0"/>
    <d v="2016-03-31T00:00:00"/>
    <x v="202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5150-1458731427-119] [23/03/2016 at 11:10:00]"/>
  </r>
  <r>
    <s v="3625147-1458731420-238"/>
    <s v="Spot"/>
    <s v="3625147-1458731420-238"/>
    <n v="0"/>
    <d v="2016-03-31T00:00:00"/>
    <x v="202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147-1458731420-238] [23/03/2016 at 11:10:00]"/>
  </r>
  <r>
    <s v="3625144-1458731416-56"/>
    <s v="Spot"/>
    <s v="3625144-1458731416-56"/>
    <n v="0"/>
    <d v="2016-03-31T00:00:00"/>
    <x v="2026"/>
    <s v="56"/>
    <s v="SELL"/>
    <n v="3.3966701352757549"/>
    <x v="0"/>
    <x v="0"/>
    <n v="326.42"/>
    <s v="Deal"/>
    <m/>
    <s v="Original Amount [EUR 96.1], Merchant Amount [EUR 96.1], Customer Amount [TRY 326.42], Status [WAITING], Operation [3D], UUID [3625144-1458731416-56] [23/03/2016 at 11:10:00]"/>
  </r>
  <r>
    <s v="3625156-1458731436-107"/>
    <s v="Spot"/>
    <s v="3625156-1458731436-107"/>
    <n v="0"/>
    <d v="2016-03-31T00:00:00"/>
    <x v="2027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5156-1458731436-107] [23/03/2016 at 11:10:00]"/>
  </r>
  <r>
    <s v="3625129-1458731396-224"/>
    <s v="Spot"/>
    <s v="3625129-1458731396-224"/>
    <n v="0"/>
    <d v="2016-03-31T00:00:00"/>
    <x v="2028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5129-1458731396-224] [23/03/2016 at 11:09:00]"/>
  </r>
  <r>
    <s v="3625141-1458731415-150"/>
    <s v="Spot"/>
    <s v="3625141-1458731415-150"/>
    <n v="0"/>
    <d v="2016-03-31T00:00:00"/>
    <x v="2029"/>
    <s v="150"/>
    <s v="SELL"/>
    <n v="3.3965953531170925"/>
    <x v="0"/>
    <x v="0"/>
    <n v="295.3"/>
    <s v="Deal"/>
    <m/>
    <s v="Original Amount [EUR 86.94], Merchant Amount [EUR 86.94], Customer Amount [TRY 295.3], Status [APPROVED], Operation [3DAUTH], UUID [3625141-1458731415-150] [23/03/2016 at 11:10:00]"/>
  </r>
  <r>
    <s v="3625132-1458731404-101"/>
    <s v="Spot"/>
    <s v="3625132-1458731404-101"/>
    <n v="0"/>
    <d v="2016-03-31T00:00:00"/>
    <x v="2030"/>
    <s v="101"/>
    <s v="SELL"/>
    <n v="3.3966701352757549"/>
    <x v="0"/>
    <x v="0"/>
    <n v="326.42"/>
    <s v="Deal"/>
    <m/>
    <s v="Original Amount [EUR 96.1], Merchant Amount [EUR 96.1], Customer Amount [TRY 326.42], Status [APPROVED], Operation [3DAUTH], UUID [3625132-1458731404-101] [23/03/2016 at 11:10:00]"/>
  </r>
  <r>
    <s v="3625114-1458731376-224"/>
    <s v="Spot"/>
    <s v="3625114-1458731376-224"/>
    <n v="0"/>
    <d v="2016-03-31T00:00:00"/>
    <x v="2031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5114-1458731376-224] [23/03/2016 at 11:09:00]"/>
  </r>
  <r>
    <s v="3625108-1458731357-187"/>
    <s v="Spot"/>
    <s v="3625108-1458731357-187"/>
    <n v="0"/>
    <d v="2016-03-31T00:00:00"/>
    <x v="2032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5108-1458731357-187] [23/03/2016 at 11:09:00]"/>
  </r>
  <r>
    <s v="3625090-1458731343-224"/>
    <s v="Spot"/>
    <s v="3625090-1458731343-224"/>
    <n v="0"/>
    <d v="2016-03-31T00:00:00"/>
    <x v="2033"/>
    <s v="224"/>
    <s v="SELL"/>
    <n v="9.9545808208519748"/>
    <x v="0"/>
    <x v="1"/>
    <n v="2047.06"/>
    <s v="Deal"/>
    <m/>
    <s v="Original Amount [EUR 205.64], Merchant Amount [EUR 205.64], Customer Amount [NOK 2047.06], Status [APPROVED], Operation [DIRECT], UUID [3625090-1458731343-224] [23/03/2016 at 11:09:00]"/>
  </r>
  <r>
    <s v="3625105-1458731352-107"/>
    <s v="Spot"/>
    <s v="3625105-1458731352-107"/>
    <n v="0"/>
    <d v="2016-03-31T00:00:00"/>
    <x v="2034"/>
    <s v="107"/>
    <s v="SELL"/>
    <n v="3.3958333333333335"/>
    <x v="0"/>
    <x v="0"/>
    <n v="40.75"/>
    <s v="Deal"/>
    <m/>
    <s v="Original Amount [EUR 12], Merchant Amount [EUR 12], Customer Amount [TRY 40.75], Status [APPROVED], Operation [3DAUTH], UUID [3625105-1458731352-107] [23/03/2016 at 11:09:00]"/>
  </r>
  <r>
    <s v="3625093-1458731343-216"/>
    <s v="Spot"/>
    <s v="3625093-1458731343-216"/>
    <n v="0"/>
    <d v="2016-03-31T00:00:00"/>
    <x v="2035"/>
    <s v="216"/>
    <s v="SELL"/>
    <n v="3.3958199356913181"/>
    <x v="0"/>
    <x v="0"/>
    <n v="105.61"/>
    <s v="Deal"/>
    <m/>
    <s v="Original Amount [EUR 31.1], Merchant Amount [EUR 31.1], Customer Amount [TRY 105.61], Status [APPROVED], Operation [3DAUTH], UUID [3625093-1458731343-216] [23/03/2016 at 11:09:00]"/>
  </r>
  <r>
    <s v="3625066-1458731308-126"/>
    <s v="Spot"/>
    <s v="3625066-1458731308-126"/>
    <n v="0"/>
    <d v="2016-03-31T00:00:00"/>
    <x v="2036"/>
    <s v="126"/>
    <s v="SELL"/>
    <n v="9.9403902439024385"/>
    <x v="0"/>
    <x v="1"/>
    <n v="1018.89"/>
    <s v="Deal"/>
    <m/>
    <s v="Original Amount [EUR 102.5], Merchant Amount [EUR 102.5], Customer Amount [NOK 1018.89], Status [APPROVED], Operation [DIRECT], UUID [3625066-1458731308-126] [23/03/2016 at 11:08:00]"/>
  </r>
  <r>
    <s v="3625084-1458731327-216"/>
    <s v="Spot"/>
    <s v="3625084-1458731327-216"/>
    <n v="0"/>
    <d v="2016-03-31T00:00:00"/>
    <x v="2037"/>
    <s v="216"/>
    <s v="SELL"/>
    <n v="3.3958472873409247"/>
    <x v="0"/>
    <x v="0"/>
    <n v="50.7"/>
    <s v="Deal"/>
    <m/>
    <s v="Original Amount [EUR 14.93], Merchant Amount [EUR 14.93], Customer Amount [TRY 50.7], Status [APPROVED], Operation [3DAUTH], UUID [3625084-1458731327-216] [23/03/2016 at 11:08:00]"/>
  </r>
  <r>
    <s v="3625075-1458731317-216"/>
    <s v="Spot"/>
    <s v="3625075-1458731317-216"/>
    <n v="0"/>
    <d v="2016-03-31T00:00:00"/>
    <x v="2038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25075-1458731317-216] [23/03/2016 at 11:08:00]"/>
  </r>
  <r>
    <s v="3625036-1458731267-199"/>
    <s v="Spot"/>
    <s v="3625036-1458731267-199"/>
    <n v="0"/>
    <d v="2016-03-31T00:00:00"/>
    <x v="2039"/>
    <s v="199"/>
    <s v="SELL"/>
    <n v="9.9404049700874371"/>
    <x v="0"/>
    <x v="1"/>
    <n v="432.01"/>
    <s v="Deal"/>
    <m/>
    <s v="Original Amount [EUR 43.46], Merchant Amount [EUR 43.46], Customer Amount [NOK 432.01], Status [APPROVED], Operation [DIRECT], UUID [3625036-1458731267-199] [23/03/2016 at 11:07:00]"/>
  </r>
  <r>
    <s v="3625033-1458731265-241"/>
    <s v="Spot"/>
    <s v="3625033-1458731265-241"/>
    <n v="0"/>
    <d v="2016-03-31T00:00:00"/>
    <x v="2040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25033-1458731265-241] [23/03/2016 at 11:07:00]"/>
  </r>
  <r>
    <s v="3625024-1458731258-199"/>
    <s v="Spot"/>
    <s v="3625024-1458731258-199"/>
    <n v="0"/>
    <d v="2016-03-31T00:00:00"/>
    <x v="2041"/>
    <s v="199"/>
    <s v="SELL"/>
    <n v="9.9404049700874371"/>
    <x v="0"/>
    <x v="1"/>
    <n v="432.01"/>
    <s v="Deal"/>
    <m/>
    <s v="Original Amount [EUR 43.46], Merchant Amount [EUR 43.46], Customer Amount [NOK 432.01], Status [APPROVED], Operation [DIRECT], UUID [3625024-1458731258-199] [23/03/2016 at 11:07:00]"/>
  </r>
  <r>
    <s v="3625054-1458731289-119"/>
    <s v="Spot"/>
    <s v="3625054-1458731289-119"/>
    <n v="0"/>
    <d v="2016-03-31T00:00:00"/>
    <x v="2042"/>
    <s v="119"/>
    <s v="SELL"/>
    <n v="9.9404000000000003"/>
    <x v="0"/>
    <x v="1"/>
    <n v="497.02"/>
    <s v="Deal"/>
    <m/>
    <s v="Original Amount [EUR 50], Merchant Amount [EUR 50], Customer Amount [NOK 497.02], Status [APPROVED], Operation [3DAUTH], UUID [3625054-1458731289-119] [23/03/2016 at 11:08:00]"/>
  </r>
  <r>
    <s v="3625006-1458731239-199"/>
    <s v="Spot"/>
    <s v="3625006-1458731239-199"/>
    <n v="0"/>
    <d v="2016-03-31T00:00:00"/>
    <x v="2043"/>
    <s v="199"/>
    <s v="SELL"/>
    <n v="9.9403534609720179"/>
    <x v="0"/>
    <x v="1"/>
    <n v="539.96"/>
    <s v="Deal"/>
    <m/>
    <s v="Original Amount [EUR 54.32], Merchant Amount [EUR 54.32], Customer Amount [NOK 539.96], Status [APPROVED], Operation [DIRECT], UUID [3625006-1458731239-199] [23/03/2016 at 11:07:00]"/>
  </r>
  <r>
    <s v="3625000-1458731234-125"/>
    <s v="Spot"/>
    <s v="3625000-1458731234-125"/>
    <n v="0"/>
    <d v="2016-03-31T00:00:00"/>
    <x v="2044"/>
    <s v="125"/>
    <s v="SELL"/>
    <n v="132.79339999999999"/>
    <x v="0"/>
    <x v="3"/>
    <n v="13279.34"/>
    <s v="Deal"/>
    <m/>
    <s v="Original Amount [EUR 100], Merchant Amount [EUR 100], Customer Amount [JPY 13279.34], Status [APPROVED], Operation [DIRECT], UUID [3625000-1458731234-125] [23/03/2016 at 11:07:00]"/>
  </r>
  <r>
    <s v="3624991-1458731226-82"/>
    <s v="Spot"/>
    <s v="3624991-1458731226-82"/>
    <n v="0"/>
    <d v="2016-03-31T00:00:00"/>
    <x v="204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991-1458731226-82] [23/03/2016 at 11:07:00]"/>
  </r>
  <r>
    <s v="3624985-1458731222-224"/>
    <s v="Spot"/>
    <s v="3624985-1458731222-224"/>
    <n v="0"/>
    <d v="2016-03-31T00:00:00"/>
    <x v="2046"/>
    <s v="224"/>
    <s v="SELL"/>
    <n v="9.9404065291037877"/>
    <x v="0"/>
    <x v="1"/>
    <n v="645.53"/>
    <s v="Deal"/>
    <m/>
    <s v="Original Amount [EUR 64.94], Merchant Amount [EUR 64.94], Customer Amount [NOK 645.53], Status [APPROVED], Operation [DIRECT], UUID [3624985-1458731222-224] [23/03/2016 at 11:07:00]"/>
  </r>
  <r>
    <s v="3625027-1458731259-216"/>
    <s v="Spot"/>
    <s v="3625027-1458731259-216"/>
    <n v="0"/>
    <d v="2016-03-31T00:00:00"/>
    <x v="2047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25027-1458731259-216] [23/03/2016 at 11:07:00]"/>
  </r>
  <r>
    <s v="3624961-1458731209-224"/>
    <s v="Spot"/>
    <s v="3624961-1458731209-224"/>
    <n v="0"/>
    <d v="2016-03-31T00:00:00"/>
    <x v="2048"/>
    <s v="224"/>
    <s v="SELL"/>
    <n v="9.9403295349553442"/>
    <x v="0"/>
    <x v="1"/>
    <n v="1291.05"/>
    <s v="Deal"/>
    <m/>
    <s v="Original Amount [EUR 129.88], Merchant Amount [EUR 129.88], Customer Amount [NOK 1291.05], Status [APPROVED], Operation [DIRECT], UUID [3624961-1458731209-224] [23/03/2016 at 11:06:00]"/>
  </r>
  <r>
    <s v="3624958-1458731205-200"/>
    <s v="Spot"/>
    <s v="3624958-1458731205-200"/>
    <n v="0"/>
    <d v="2016-03-31T00:00:00"/>
    <x v="2049"/>
    <s v="200"/>
    <s v="SELL"/>
    <n v="9.9406663623916032"/>
    <x v="0"/>
    <x v="1"/>
    <n v="217.8"/>
    <s v="Deal"/>
    <m/>
    <s v="Original Amount [EUR 21.91], Merchant Amount [EUR 21.91], Customer Amount [NOK 217.8], Status [APPROVED], Operation [STORED], UUID [3624958-1458731205-200] [23/03/2016 at 11:06:00]"/>
  </r>
  <r>
    <s v="3624994-1458731232-196"/>
    <s v="Spot"/>
    <s v="3624994-1458731232-196"/>
    <n v="0"/>
    <d v="2016-03-31T00:00:00"/>
    <x v="2050"/>
    <s v="196"/>
    <s v="SELL"/>
    <n v="9.940514469453376"/>
    <x v="0"/>
    <x v="1"/>
    <n v="494.64"/>
    <s v="Deal"/>
    <m/>
    <s v="Original Amount [EUR 49.76], Merchant Amount [EUR 49.76], Customer Amount [NOK 494.64], Status [APPROVED], Operation [3DAUTH], UUID [3624994-1458731232-196] [23/03/2016 at 11:07:00]"/>
  </r>
  <r>
    <s v="3624976-1458731218-101"/>
    <s v="Spot"/>
    <s v="3624976-1458731218-101"/>
    <n v="0"/>
    <d v="2016-03-31T00:00:00"/>
    <x v="2051"/>
    <s v="101"/>
    <s v="SELL"/>
    <n v="3.3955191309829789"/>
    <x v="0"/>
    <x v="0"/>
    <n v="700.19"/>
    <s v="Deal"/>
    <m/>
    <s v="Original Amount [EUR 206.21], Merchant Amount [EUR 206.21], Customer Amount [TRY 700.19], Status [APPROVED], Operation [3DAUTH], UUID [3624976-1458731218-101] [23/03/2016 at 11:06:00]"/>
  </r>
  <r>
    <s v="3624934-1458731177-119"/>
    <s v="Spot"/>
    <s v="3624934-1458731177-119"/>
    <n v="0"/>
    <d v="2016-03-31T00:00:00"/>
    <x v="2052"/>
    <s v="119"/>
    <s v="SELL"/>
    <n v="9.9404000000000003"/>
    <x v="0"/>
    <x v="1"/>
    <n v="497.02"/>
    <s v="Deal"/>
    <m/>
    <s v="Original Amount [EUR 50], Merchant Amount [EUR 50], Customer Amount [NOK 497.02], Status [APPROVED], Operation [DIRECT], UUID [3624934-1458731177-119] [23/03/2016 at 11:06:00]"/>
  </r>
  <r>
    <s v="3624919-1458731168-224"/>
    <s v="Spot"/>
    <s v="3624919-1458731168-224"/>
    <n v="0"/>
    <d v="2016-03-31T00:00:00"/>
    <x v="2053"/>
    <s v="224"/>
    <s v="SELL"/>
    <n v="9.9404065291037877"/>
    <x v="0"/>
    <x v="1"/>
    <n v="645.53"/>
    <s v="Deal"/>
    <m/>
    <s v="Original Amount [EUR 64.94], Merchant Amount [EUR 64.94], Customer Amount [NOK 645.53], Status [APPROVED], Operation [DIRECT], UUID [3624919-1458731168-224] [23/03/2016 at 11:06:00]"/>
  </r>
  <r>
    <s v="3624937-1458731186-216"/>
    <s v="Spot"/>
    <s v="3624937-1458731186-216"/>
    <n v="0"/>
    <d v="2016-03-31T00:00:00"/>
    <x v="2054"/>
    <s v="216"/>
    <s v="SELL"/>
    <n v="3.3959390862944163"/>
    <x v="0"/>
    <x v="0"/>
    <n v="40.14"/>
    <s v="Deal"/>
    <m/>
    <s v="Original Amount [EUR 11.82], Merchant Amount [EUR 11.82], Customer Amount [TRY 40.14], Status [APPROVED], Operation [3DAUTH], UUID [3624937-1458731186-216] [23/03/2016 at 11:06:00]"/>
  </r>
  <r>
    <s v="3624955-1458731205-61"/>
    <s v="Spot"/>
    <s v="3624955-1458731205-61"/>
    <n v="0"/>
    <d v="2016-03-31T00:00:00"/>
    <x v="2055"/>
    <s v="61"/>
    <s v="SELL"/>
    <n v="9.940363636363637"/>
    <x v="0"/>
    <x v="1"/>
    <n v="1093.44"/>
    <s v="Deal"/>
    <m/>
    <s v="Original Amount [EUR 110], Merchant Amount [EUR 110], Customer Amount [NOK 1093.44], Status [APPROVED], Operation [3DAUTH], UUID [3624955-1458731205-61] [23/03/2016 at 11:06:00]"/>
  </r>
  <r>
    <s v="3624901-1458731156-124"/>
    <s v="Spot"/>
    <s v="3624901-1458731156-124"/>
    <n v="0"/>
    <d v="2016-03-31T00:00:00"/>
    <x v="2056"/>
    <s v="124"/>
    <s v="SELL"/>
    <n v="9.9414542020774324"/>
    <x v="0"/>
    <x v="1"/>
    <n v="105.28"/>
    <s v="Deal"/>
    <m/>
    <s v="Original Amount [EUR 10.59], Merchant Amount [EUR 10.59], Customer Amount [NOK 105.28], Status [APPROVED], Operation [DIRECT], UUID [3624901-1458731156-124] [23/03/2016 at 11:05:00]"/>
  </r>
  <r>
    <s v="3624931-1458731177-216"/>
    <s v="Spot"/>
    <s v="3624931-1458731177-216"/>
    <n v="0"/>
    <d v="2016-03-31T00:00:00"/>
    <x v="2057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24931-1458731177-216] [23/03/2016 at 11:06:00]"/>
  </r>
  <r>
    <s v="3624928-1458731175-107"/>
    <s v="Spot"/>
    <s v="3624928-1458731175-107"/>
    <n v="0"/>
    <d v="2016-03-31T00:00:00"/>
    <x v="2058"/>
    <s v="107"/>
    <s v="SELL"/>
    <n v="3.3972455347536048"/>
    <x v="0"/>
    <x v="0"/>
    <n v="157.87"/>
    <s v="Deal"/>
    <m/>
    <s v="Original Amount [EUR 46.47], Merchant Amount [EUR 46.47], Customer Amount [TRY 157.87], Status [APPROVED], Operation [3DAUTH], UUID [3624928-1458731175-107] [23/03/2016 at 11:06:00]"/>
  </r>
  <r>
    <s v="3624907-1458731160-107"/>
    <s v="Spot"/>
    <s v="3624907-1458731160-107"/>
    <n v="0"/>
    <d v="2016-03-31T00:00:00"/>
    <x v="2059"/>
    <s v="107"/>
    <s v="SELL"/>
    <n v="3.3979999999999997"/>
    <x v="0"/>
    <x v="0"/>
    <n v="33.979999999999997"/>
    <s v="Deal"/>
    <m/>
    <s v="Original Amount [EUR 10], Merchant Amount [EUR 10], Customer Amount [TRY 33.98], Status [APPROVED], Operation [3DAUTH], UUID [3624907-1458731160-107] [23/03/2016 at 11:06:00]"/>
  </r>
  <r>
    <s v="3624877-1458731137-238"/>
    <s v="Spot"/>
    <s v="3624877-1458731137-238"/>
    <n v="0"/>
    <d v="2016-03-31T00:00:00"/>
    <x v="2060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877-1458731137-238] [23/03/2016 at 11:05:00]"/>
  </r>
  <r>
    <s v="3624925-1458731172-107"/>
    <s v="Spot"/>
    <s v="3624925-1458731172-107"/>
    <n v="0"/>
    <d v="2016-03-31T00:00:00"/>
    <x v="2061"/>
    <s v="107"/>
    <s v="SELL"/>
    <n v="3.3972455347536048"/>
    <x v="0"/>
    <x v="0"/>
    <n v="473.61"/>
    <s v="Deal"/>
    <m/>
    <s v="Original Amount [EUR 139.41], Merchant Amount [EUR 139.41], Customer Amount [TRY 473.61], Status [APPROVED], Operation [3DAUTH], UUID [3624925-1458731172-107] [23/03/2016 at 11:06:00]"/>
  </r>
  <r>
    <s v="3624847-1458731121-224"/>
    <s v="Spot"/>
    <s v="3624847-1458731121-224"/>
    <n v="0"/>
    <d v="2016-03-31T00:00:00"/>
    <x v="2062"/>
    <s v="224"/>
    <s v="SELL"/>
    <n v="9.9410790070344746"/>
    <x v="0"/>
    <x v="1"/>
    <n v="3419.93"/>
    <s v="Deal"/>
    <m/>
    <s v="Original Amount [EUR 344.02], Merchant Amount [EUR 344.02], Customer Amount [NOK 3419.93], Status [APPROVED], Operation [DIRECT], UUID [3624847-1458731121-224] [23/03/2016 at 11:05:00]"/>
  </r>
  <r>
    <s v="3624880-1458731137-56"/>
    <s v="Spot"/>
    <s v="3624880-1458731137-56"/>
    <n v="0"/>
    <d v="2016-03-31T00:00:00"/>
    <x v="2063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4880-1458731137-56] [23/03/2016 at 11:05:00]"/>
  </r>
  <r>
    <s v="3624838-1458731115-82"/>
    <s v="Spot"/>
    <s v="3624838-1458731115-82"/>
    <n v="0"/>
    <d v="2016-03-31T00:00:00"/>
    <x v="2064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838-1458731115-82] [23/03/2016 at 11:05:00]"/>
  </r>
  <r>
    <s v="3624871-1458731133-216"/>
    <s v="Spot"/>
    <s v="3624871-1458731133-216"/>
    <n v="0"/>
    <d v="2016-03-31T00:00:00"/>
    <x v="2065"/>
    <s v="216"/>
    <s v="SELL"/>
    <n v="3.3979779411764701"/>
    <x v="0"/>
    <x v="0"/>
    <n v="36.97"/>
    <s v="Deal"/>
    <m/>
    <s v="Original Amount [EUR 10.88], Merchant Amount [EUR 10.88], Customer Amount [TRY 36.97], Status [APPROVED], Operation [3DAUTH], UUID [3624871-1458731133-216] [23/03/2016 at 11:05:00]"/>
  </r>
  <r>
    <s v="3624856-1458731124-216"/>
    <s v="Spot"/>
    <s v="3624856-1458731124-216"/>
    <n v="0"/>
    <d v="2016-03-31T00:00:00"/>
    <x v="2066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4856-1458731124-216] [23/03/2016 at 11:05:00]"/>
  </r>
  <r>
    <s v="3624865-1458731129-56"/>
    <s v="Spot"/>
    <s v="3624865-1458731129-56"/>
    <n v="0"/>
    <d v="2016-03-31T00:00:00"/>
    <x v="2067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4865-1458731129-56] [23/03/2016 at 11:05:00]"/>
  </r>
  <r>
    <s v="3624793-1458731066-199"/>
    <s v="Spot"/>
    <s v="3624793-1458731066-199"/>
    <n v="0"/>
    <d v="2016-03-31T00:00:00"/>
    <x v="2068"/>
    <s v="199"/>
    <s v="SELL"/>
    <n v="9.9410898935768728"/>
    <x v="0"/>
    <x v="1"/>
    <n v="2634.19"/>
    <s v="Deal"/>
    <m/>
    <s v="Original Amount [EUR 264.98], Merchant Amount [EUR 264.98], Customer Amount [NOK 2634.19], Status [APPROVED], Operation [DIRECT], UUID [3624793-1458731066-199] [23/03/2016 at 11:04:00]"/>
  </r>
  <r>
    <s v="3624811-1458731079-264"/>
    <s v="Spot"/>
    <s v="3624811-1458731079-264"/>
    <n v="0"/>
    <d v="2016-03-31T00:00:00"/>
    <x v="2069"/>
    <s v="264"/>
    <s v="SELL"/>
    <n v="1.183311855670103"/>
    <x v="0"/>
    <x v="7"/>
    <n v="36.729999999999997"/>
    <s v="Deal"/>
    <m/>
    <s v="Original Amount [TRY 100], Merchant Amount [EUR 31.04], Customer Amount [USD 36.73], Status [APPROVED], Operation [3DAUTH], UUID [3624811-1458731079-264] [23/03/2016 at 11:04:00]"/>
  </r>
  <r>
    <s v="3624805-1458731074-56"/>
    <s v="Spot"/>
    <s v="3624805-1458731074-56"/>
    <n v="0"/>
    <d v="2016-03-31T00:00:00"/>
    <x v="2070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4805-1458731074-56] [23/03/2016 at 11:04:00]"/>
  </r>
  <r>
    <s v="3624781-1458731051-261"/>
    <s v="Spot"/>
    <s v="3624781-1458731051-261"/>
    <n v="0"/>
    <d v="2016-03-31T00:00:00"/>
    <x v="2071"/>
    <s v="261"/>
    <s v="SELL"/>
    <n v="9.9411214953271045"/>
    <x v="0"/>
    <x v="1"/>
    <n v="106.37"/>
    <s v="Deal"/>
    <m/>
    <s v="Original Amount [EUR 10.7], Merchant Amount [EUR 10.7], Customer Amount [NOK 106.37], Status [APPROVED], Operation [DIRECT], UUID [3624781-1458731051-261] [23/03/2016 at 11:04:00]"/>
  </r>
  <r>
    <s v="3624778-1458731050-261"/>
    <s v="Spot"/>
    <s v="3624778-1458731050-261"/>
    <n v="0"/>
    <d v="2016-03-31T00:00:00"/>
    <x v="2072"/>
    <s v="261"/>
    <s v="SELL"/>
    <n v="9.9414330218068532"/>
    <x v="0"/>
    <x v="1"/>
    <n v="159.56"/>
    <s v="Deal"/>
    <m/>
    <s v="Original Amount [EUR 16.05], Merchant Amount [EUR 16.05], Customer Amount [NOK 159.56], Status [APPROVED], Operation [DIRECT], UUID [3624778-1458731050-261] [23/03/2016 at 11:04:00]"/>
  </r>
  <r>
    <s v="3624775-1458731049-224"/>
    <s v="Spot"/>
    <s v="3624775-1458731049-224"/>
    <n v="0"/>
    <d v="2016-03-31T00:00:00"/>
    <x v="2073"/>
    <s v="224"/>
    <s v="SELL"/>
    <n v="132.88274889969219"/>
    <x v="0"/>
    <x v="3"/>
    <n v="46194.03"/>
    <s v="Deal"/>
    <m/>
    <s v="Original Amount [EUR 347.63], Merchant Amount [EUR 347.63], Customer Amount [JPY 46194.03], Status [APPROVED], Operation [DIRECT], UUID [3624775-1458731049-224] [23/03/2016 at 11:04:00]"/>
  </r>
  <r>
    <s v="3624760-1458731012-224"/>
    <s v="Spot"/>
    <s v="3624760-1458731012-224"/>
    <n v="0"/>
    <d v="2016-03-31T00:00:00"/>
    <x v="2074"/>
    <s v="224"/>
    <s v="SELL"/>
    <n v="9.9412308260949906"/>
    <x v="0"/>
    <x v="1"/>
    <n v="537.91999999999996"/>
    <s v="Deal"/>
    <m/>
    <s v="Original Amount [EUR 54.11], Merchant Amount [EUR 54.11], Customer Amount [NOK 537.92], Status [APPROVED], Operation [DIRECT], UUID [3624760-1458731012-224] [23/03/2016 at 11:03:00]"/>
  </r>
  <r>
    <s v="3624754-1458731006-199"/>
    <s v="Spot"/>
    <s v="3624754-1458731006-199"/>
    <n v="0"/>
    <d v="2016-03-31T00:00:00"/>
    <x v="2075"/>
    <s v="199"/>
    <s v="SELL"/>
    <n v="9.9410636223543101"/>
    <x v="0"/>
    <x v="1"/>
    <n v="3160.96"/>
    <s v="Deal"/>
    <m/>
    <s v="Original Amount [EUR 317.97], Merchant Amount [EUR 317.97], Customer Amount [NOK 3160.96], Status [APPROVED], Operation [DIRECT], UUID [3624754-1458731006-199] [23/03/2016 at 11:03:00]"/>
  </r>
  <r>
    <s v="3624715-1458730975-56"/>
    <s v="Spot"/>
    <s v="3624715-1458730975-56"/>
    <n v="0"/>
    <d v="2016-03-31T00:00:00"/>
    <x v="2076"/>
    <s v="56"/>
    <s v="SELL"/>
    <n v="3.3961910708710583"/>
    <x v="0"/>
    <x v="0"/>
    <n v="108.78"/>
    <s v="Deal"/>
    <m/>
    <s v="Original Amount [EUR 32.03], Merchant Amount [EUR 32.03], Customer Amount [TRY 108.78], Status [WAITING], Operation [3D], UUID [3624715-1458730975-56] [23/03/2016 at 11:02:00]"/>
  </r>
  <r>
    <s v="3624706-1458730968-200"/>
    <s v="Spot"/>
    <s v="3624706-1458730968-200"/>
    <n v="0"/>
    <d v="2016-03-31T00:00:00"/>
    <x v="2077"/>
    <s v="200"/>
    <s v="SELL"/>
    <n v="9.9679715302491108"/>
    <x v="0"/>
    <x v="1"/>
    <n v="1092.3900000000001"/>
    <s v="Deal"/>
    <m/>
    <s v="Original Amount [EUR 109.59], Merchant Amount [EUR 109.59], Customer Amount [NOK 1092.39], Status [APPROVED], Operation [STORED], UUID [3624706-1458730968-200] [23/03/2016 at 11:02:00]"/>
  </r>
  <r>
    <s v="3624745-1458730995-216"/>
    <s v="Spot"/>
    <s v="3624745-1458730995-216"/>
    <n v="0"/>
    <d v="2016-03-31T00:00:00"/>
    <x v="2078"/>
    <s v="216"/>
    <s v="SELL"/>
    <n v="3.3961772371850567"/>
    <x v="0"/>
    <x v="0"/>
    <n v="39.090000000000003"/>
    <s v="Deal"/>
    <m/>
    <s v="Original Amount [EUR 11.51], Merchant Amount [EUR 11.51], Customer Amount [TRY 39.09], Status [APPROVED], Operation [3DAUTH], UUID [3624745-1458730995-216] [23/03/2016 at 11:03:00]"/>
  </r>
  <r>
    <s v="3624712-1458730974-124"/>
    <s v="Spot"/>
    <s v="3624712-1458730974-124"/>
    <n v="0"/>
    <d v="2016-03-31T00:00:00"/>
    <x v="2079"/>
    <s v="124"/>
    <s v="SELL"/>
    <n v="9.9683663833805483"/>
    <x v="0"/>
    <x v="1"/>
    <n v="211.13"/>
    <s v="Deal"/>
    <m/>
    <s v="Original Amount [EUR 21.18], Merchant Amount [EUR 21.18], Customer Amount [NOK 211.13], Status [APPROVED], Operation [3DAUTH], UUID [3624712-1458730974-124] [23/03/2016 at 11:02:00]"/>
  </r>
  <r>
    <s v="3624703-1458730967-101"/>
    <s v="Spot"/>
    <s v="3624703-1458730967-101"/>
    <n v="0"/>
    <d v="2016-03-31T00:00:00"/>
    <x v="2080"/>
    <s v="101"/>
    <s v="SELL"/>
    <n v="3.3960474059131314"/>
    <x v="0"/>
    <x v="0"/>
    <n v="1077.43"/>
    <s v="Deal"/>
    <m/>
    <s v="Original Amount [EUR 317.26], Merchant Amount [EUR 317.26], Customer Amount [TRY 1077.43], Status [APPROVED], Operation [3DAUTH], UUID [3624703-1458730967-101] [23/03/2016 at 11:02:00]"/>
  </r>
  <r>
    <s v="3624742-1458730995-56"/>
    <s v="Spot"/>
    <s v="3624742-1458730995-56"/>
    <n v="0"/>
    <d v="2016-03-31T00:00:00"/>
    <x v="2081"/>
    <s v="56"/>
    <s v="SELL"/>
    <n v="3.3963657013060762"/>
    <x v="0"/>
    <x v="0"/>
    <n v="59.81"/>
    <s v="Deal"/>
    <m/>
    <s v="Original Amount [EUR 17.61], Merchant Amount [EUR 17.61], Customer Amount [TRY 59.81], Status [APPROVED], Operation [3DAUTH], UUID [3624742-1458730995-56] [23/03/2016 at 11:03:00]"/>
  </r>
  <r>
    <s v="3624664-1458730926-82"/>
    <s v="Spot"/>
    <s v="3624664-1458730926-82"/>
    <n v="0"/>
    <d v="2016-03-31T00:00:00"/>
    <x v="2082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664-1458730926-82] [23/03/2016 at 11:02:00]"/>
  </r>
  <r>
    <s v="3624661-1458730914-199"/>
    <s v="Spot"/>
    <s v="3624661-1458730914-199"/>
    <n v="0"/>
    <d v="2016-03-31T00:00:00"/>
    <x v="2083"/>
    <s v="199"/>
    <s v="SELL"/>
    <n v="9.9679675994108994"/>
    <x v="0"/>
    <x v="1"/>
    <n v="541.46"/>
    <s v="Deal"/>
    <m/>
    <s v="Original Amount [EUR 54.32], Merchant Amount [EUR 54.32], Customer Amount [NOK 541.46], Status [APPROVED], Operation [DIRECT], UUID [3624661-1458730914-199] [23/03/2016 at 11:01:00]"/>
  </r>
  <r>
    <s v="3624697-1458730966-119"/>
    <s v="Spot"/>
    <s v="3624697-1458730966-119"/>
    <n v="0"/>
    <d v="2016-03-31T00:00:00"/>
    <x v="2084"/>
    <s v="119"/>
    <s v="SELL"/>
    <n v="9.968"/>
    <x v="0"/>
    <x v="1"/>
    <n v="498.4"/>
    <s v="Deal"/>
    <m/>
    <s v="Original Amount [EUR 50], Merchant Amount [EUR 50], Customer Amount [NOK 498.4], Status [APPROVED], Operation [3DAUTH], UUID [3624697-1458730966-119] [23/03/2016 at 11:02:00]"/>
  </r>
  <r>
    <s v="3624646-1458730904-187"/>
    <s v="Spot"/>
    <s v="3624646-1458730904-187"/>
    <n v="0"/>
    <d v="2016-03-31T00:00:00"/>
    <x v="2085"/>
    <s v="187"/>
    <s v="SELL"/>
    <n v="9.9680468897712231"/>
    <x v="0"/>
    <x v="1"/>
    <n v="527.21"/>
    <s v="Deal"/>
    <m/>
    <s v="Original Amount [EUR 52.89], Merchant Amount [EUR 52.89], Customer Amount [NOK 527.21], Status [APPROVED], Operation [DIRECT], UUID [3624646-1458730904-187] [23/03/2016 at 11:01:00]"/>
  </r>
  <r>
    <s v="3624640-1458730890-224"/>
    <s v="Spot"/>
    <s v="3624640-1458730890-224"/>
    <n v="0"/>
    <d v="2016-03-31T00:00:00"/>
    <x v="2086"/>
    <s v="224"/>
    <s v="SELL"/>
    <n v="9.9681146025878"/>
    <x v="0"/>
    <x v="1"/>
    <n v="215.71"/>
    <s v="Deal"/>
    <m/>
    <s v="Original Amount [EUR 21.64], Merchant Amount [EUR 21.64], Customer Amount [NOK 215.71], Status [APPROVED], Operation [DIRECT], UUID [3624640-1458730890-224] [23/03/2016 at 11:01:00]"/>
  </r>
  <r>
    <s v="3624649-1458730904-264"/>
    <s v="Spot"/>
    <s v="3624649-1458730904-264"/>
    <n v="0"/>
    <d v="2016-03-31T00:00:00"/>
    <x v="2087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4649-1458730904-264] [23/03/2016 at 11:01:00]"/>
  </r>
  <r>
    <s v="3624634-1458730872-107"/>
    <s v="Spot"/>
    <s v="3624634-1458730872-107"/>
    <n v="0"/>
    <d v="2016-03-31T00:00:00"/>
    <x v="2088"/>
    <s v="107"/>
    <s v="SELL"/>
    <n v="3.3969610636277308"/>
    <x v="0"/>
    <x v="0"/>
    <n v="35.770000000000003"/>
    <s v="Deal"/>
    <m/>
    <s v="Original Amount [EUR 10.53], Merchant Amount [EUR 10.53], Customer Amount [TRY 35.77], Status [APPROVED], Operation [3DAUTH], UUID [3624634-1458730872-107] [23/03/2016 at 11:01:00]"/>
  </r>
  <r>
    <s v="3624628-1458730868-56"/>
    <s v="Spot"/>
    <s v="3624628-1458730868-56"/>
    <n v="0"/>
    <d v="2016-03-31T00:00:00"/>
    <x v="2089"/>
    <s v="56"/>
    <s v="SELL"/>
    <n v="3.3962508080155138"/>
    <x v="0"/>
    <x v="0"/>
    <n v="52.54"/>
    <s v="Deal"/>
    <m/>
    <s v="Original Amount [EUR 15.47], Merchant Amount [EUR 15.47], Customer Amount [TRY 52.54], Status [APPROVED], Operation [3DAUTH], UUID [3624628-1458730868-56] [23/03/2016 at 11:01:00]"/>
  </r>
  <r>
    <s v="3624616-1458730852-107"/>
    <s v="Spot"/>
    <s v="3624616-1458730852-107"/>
    <n v="0"/>
    <d v="2016-03-31T00:00:00"/>
    <x v="2090"/>
    <s v="107"/>
    <s v="SELL"/>
    <n v="3.3962818003913893"/>
    <x v="0"/>
    <x v="0"/>
    <n v="34.71"/>
    <s v="Deal"/>
    <m/>
    <s v="Original Amount [EUR 10.22], Merchant Amount [EUR 10.22], Customer Amount [TRY 34.71], Status [APPROVED], Operation [3DAUTH], UUID [3624616-1458730852-107] [23/03/2016 at 11:00:00]"/>
  </r>
  <r>
    <s v="3624565-1458730799-224"/>
    <s v="Spot"/>
    <s v="3624565-1458730799-224"/>
    <n v="0"/>
    <d v="2016-03-31T00:00:00"/>
    <x v="2091"/>
    <s v="224"/>
    <s v="SELL"/>
    <n v="9.9426987060998151"/>
    <x v="0"/>
    <x v="1"/>
    <n v="107.58"/>
    <s v="Deal"/>
    <m/>
    <s v="Original Amount [EUR 10.82], Merchant Amount [EUR 10.82], Customer Amount [NOK 107.58], Status [APPROVED], Operation [DIRECT], UUID [3624565-1458730799-224] [23/03/2016 at 10:59:00]"/>
  </r>
  <r>
    <s v="3624559-1458730791-200"/>
    <s v="Spot"/>
    <s v="3624559-1458730791-200"/>
    <n v="0"/>
    <d v="2016-03-31T00:00:00"/>
    <x v="2092"/>
    <s v="200"/>
    <s v="SELL"/>
    <n v="9.9419708029197089"/>
    <x v="0"/>
    <x v="1"/>
    <n v="544.82000000000005"/>
    <s v="Deal"/>
    <m/>
    <s v="Original Amount [EUR 54.8], Merchant Amount [EUR 54.8], Customer Amount [NOK 544.82], Status [APPROVED], Operation [STORED], UUID [3624559-1458730791-200] [23/03/2016 at 10:59:00]"/>
  </r>
  <r>
    <s v="3624595-1458730829-216"/>
    <s v="Spot"/>
    <s v="3624595-1458730829-216"/>
    <n v="0"/>
    <d v="2016-03-31T00:00:00"/>
    <x v="2093"/>
    <s v="216"/>
    <s v="SELL"/>
    <n v="3.3970446514616128"/>
    <x v="0"/>
    <x v="0"/>
    <n v="105.75"/>
    <s v="Deal"/>
    <m/>
    <s v="Original Amount [EUR 31.13], Merchant Amount [EUR 31.13], Customer Amount [TRY 105.75], Status [APPROVED], Operation [3DAUTH], UUID [3624595-1458730829-216] [23/03/2016 at 11:00:00]"/>
  </r>
  <r>
    <s v="3624577-1458730805-119"/>
    <s v="Spot"/>
    <s v="3624577-1458730805-119"/>
    <n v="0"/>
    <d v="2016-03-31T00:00:00"/>
    <x v="2094"/>
    <s v="119"/>
    <s v="SELL"/>
    <n v="9.9420000000000002"/>
    <x v="0"/>
    <x v="1"/>
    <n v="248.55"/>
    <s v="Deal"/>
    <m/>
    <s v="Original Amount [EUR 25], Merchant Amount [EUR 25], Customer Amount [NOK 248.55], Status [APPROVED], Operation [3DAUTH], UUID [3624577-1458730805-119] [23/03/2016 at 11:00:00]"/>
  </r>
  <r>
    <s v="3624538-1458730763-187"/>
    <s v="Spot"/>
    <s v="3624538-1458730763-187"/>
    <n v="0"/>
    <d v="2016-03-31T00:00:00"/>
    <x v="2095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4538-1458730763-187] [23/03/2016 at 10:59:00]"/>
  </r>
  <r>
    <s v="3624535-1458730761-224"/>
    <s v="Spot"/>
    <s v="3624535-1458730761-224"/>
    <n v="0"/>
    <d v="2016-03-31T00:00:00"/>
    <x v="2096"/>
    <s v="224"/>
    <s v="SELL"/>
    <n v="132.99331103678932"/>
    <x v="0"/>
    <x v="3"/>
    <n v="24256.65"/>
    <s v="Deal"/>
    <m/>
    <s v="Original Amount [EUR 182.39], Merchant Amount [EUR 182.39], Customer Amount [JPY 24256.65], Status [APPROVED], Operation [DIRECT], UUID [3624535-1458730761-224] [23/03/2016 at 10:59:00]"/>
  </r>
  <r>
    <s v="3624532-1458730760-124"/>
    <s v="Spot"/>
    <s v="3624532-1458730760-124"/>
    <n v="0"/>
    <d v="2016-03-31T00:00:00"/>
    <x v="2097"/>
    <s v="124"/>
    <s v="SELL"/>
    <n v="9.9420654911838788"/>
    <x v="0"/>
    <x v="1"/>
    <n v="157.88"/>
    <s v="Deal"/>
    <m/>
    <s v="Original Amount [EUR 15.88], Merchant Amount [EUR 15.88], Customer Amount [NOK 157.88], Status [APPROVED], Operation [DIRECT], UUID [3624532-1458730760-124] [23/03/2016 at 10:59:00]"/>
  </r>
  <r>
    <s v="3624574-1458730803-56"/>
    <s v="Spot"/>
    <s v="3624574-1458730803-56"/>
    <n v="0"/>
    <d v="2016-03-31T00:00:00"/>
    <x v="2098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4574-1458730803-56] [23/03/2016 at 11:00:00]"/>
  </r>
  <r>
    <s v="3624523-1458730755-119"/>
    <s v="Spot"/>
    <s v="3624523-1458730755-119"/>
    <n v="0"/>
    <d v="2016-03-31T00:00:00"/>
    <x v="2099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4523-1458730755-119] [23/03/2016 at 10:59:00]"/>
  </r>
  <r>
    <s v="3624556-1458730787-216"/>
    <s v="Spot"/>
    <s v="3624556-1458730787-216"/>
    <n v="0"/>
    <d v="2016-03-31T00:00:00"/>
    <x v="2100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556-1458730787-216] [23/03/2016 at 10:59:00]"/>
  </r>
  <r>
    <s v="3624508-1458730744-224"/>
    <s v="Spot"/>
    <s v="3624508-1458730744-224"/>
    <n v="0"/>
    <d v="2016-03-31T00:00:00"/>
    <x v="210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4508-1458730744-224] [23/03/2016 at 10:59:00]"/>
  </r>
  <r>
    <s v="3624505-1458730744-224"/>
    <s v="Spot"/>
    <s v="3624505-1458730744-224"/>
    <n v="0"/>
    <d v="2016-03-31T00:00:00"/>
    <x v="2102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4505-1458730744-224] [23/03/2016 at 10:59:00]"/>
  </r>
  <r>
    <s v="3624544-1458730774-216"/>
    <s v="Spot"/>
    <s v="3624544-1458730774-216"/>
    <n v="0"/>
    <d v="2016-03-31T00:00:00"/>
    <x v="2103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544-1458730774-216] [23/03/2016 at 10:59:00]"/>
  </r>
  <r>
    <s v="3624478-1458730714-101"/>
    <s v="Spot"/>
    <s v="3624478-1458730714-101"/>
    <n v="0"/>
    <d v="2016-03-31T00:00:00"/>
    <x v="2104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78-1458730714-101] [23/03/2016 at 10:58:00]"/>
  </r>
  <r>
    <s v="3624475-1458730711-261"/>
    <s v="Spot"/>
    <s v="3624475-1458730711-261"/>
    <n v="0"/>
    <d v="2016-03-31T00:00:00"/>
    <x v="2105"/>
    <s v="261"/>
    <s v="SELL"/>
    <n v="9.9424040066777959"/>
    <x v="0"/>
    <x v="1"/>
    <n v="119.11"/>
    <s v="Deal"/>
    <m/>
    <s v="Original Amount [EUR 11.98], Merchant Amount [EUR 11.98], Customer Amount [NOK 119.11], Status [APPROVED], Operation [DIRECT], UUID [3624475-1458730711-261] [23/03/2016 at 10:58:00]"/>
  </r>
  <r>
    <s v="3624493-1458730735-56"/>
    <s v="Spot"/>
    <s v="3624493-1458730735-56"/>
    <n v="0"/>
    <d v="2016-03-31T00:00:00"/>
    <x v="2106"/>
    <s v="56"/>
    <s v="SELL"/>
    <n v="3.3975"/>
    <x v="0"/>
    <x v="0"/>
    <n v="27.18"/>
    <s v="Deal"/>
    <m/>
    <s v="Original Amount [EUR 8], Merchant Amount [EUR 8], Customer Amount [TRY 27.18], Status [APPROVED], Operation [3DAUTH], UUID [3624493-1458730735-56] [23/03/2016 at 10:58:00]"/>
  </r>
  <r>
    <s v="3624499-1458730738-56"/>
    <s v="Spot"/>
    <s v="3624499-1458730738-56"/>
    <n v="0"/>
    <d v="2016-03-31T00:00:00"/>
    <x v="2107"/>
    <s v="56"/>
    <s v="SELL"/>
    <n v="3.3975"/>
    <x v="0"/>
    <x v="0"/>
    <n v="27.18"/>
    <s v="Deal"/>
    <m/>
    <s v="Original Amount [EUR 8], Merchant Amount [EUR 8], Customer Amount [TRY 27.18], Status [APPROVED], Operation [3DAUTH], UUID [3624499-1458730738-56] [23/03/2016 at 10:58:00]"/>
  </r>
  <r>
    <s v="3624442-1458730675-101"/>
    <s v="Spot"/>
    <s v="3624442-1458730675-101"/>
    <n v="0"/>
    <d v="2016-03-31T00:00:00"/>
    <x v="2108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42-1458730675-101] [23/03/2016 at 10:57:00]"/>
  </r>
  <r>
    <s v="3624457-1458730702-216"/>
    <s v="Spot"/>
    <s v="3624457-1458730702-216"/>
    <n v="0"/>
    <d v="2016-03-31T00:00:00"/>
    <x v="210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4457-1458730702-216] [23/03/2016 at 10:58:00]"/>
  </r>
  <r>
    <s v="3624436-1458730671-145"/>
    <s v="Spot"/>
    <s v="3624436-1458730671-145"/>
    <n v="0"/>
    <d v="2016-03-31T00:00:00"/>
    <x v="2110"/>
    <s v="145"/>
    <s v="SELL"/>
    <n v="9.9418604651162799"/>
    <x v="0"/>
    <x v="1"/>
    <n v="316.35000000000002"/>
    <s v="Deal"/>
    <m/>
    <s v="Original Amount [EUR 31.82], Merchant Amount [EUR 31.82], Customer Amount [NOK 316.35], Status [APPROVED], Operation [DIRECT], UUID [3624436-1458730671-145] [23/03/2016 at 10:57:00]"/>
  </r>
  <r>
    <s v="3624430-1458730661-264"/>
    <s v="Spot"/>
    <s v="3624430-1458730661-264"/>
    <n v="0"/>
    <d v="2016-03-31T00:00:00"/>
    <x v="2111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4430-1458730661-264] [23/03/2016 at 10:57:00]"/>
  </r>
  <r>
    <s v="3624403-1458730628-101"/>
    <s v="Spot"/>
    <s v="3624403-1458730628-101"/>
    <n v="0"/>
    <d v="2016-03-31T00:00:00"/>
    <x v="2112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03-1458730628-101] [23/03/2016 at 10:57:00]"/>
  </r>
  <r>
    <s v="3624400-1458730626-216"/>
    <s v="Spot"/>
    <s v="3624400-1458730626-216"/>
    <n v="0"/>
    <d v="2016-03-31T00:00:00"/>
    <x v="2113"/>
    <s v="216"/>
    <s v="SELL"/>
    <n v="3.3975903614457832"/>
    <x v="0"/>
    <x v="0"/>
    <n v="42.3"/>
    <s v="Deal"/>
    <m/>
    <s v="Original Amount [EUR 12.45], Merchant Amount [EUR 12.45], Customer Amount [TRY 42.3], Status [WAITING], Operation [3D], UUID [3624400-1458730626-216] [23/03/2016 at 10:57:00]"/>
  </r>
  <r>
    <s v="3624445-1458730677-261"/>
    <s v="Spot"/>
    <s v="3624445-1458730677-261"/>
    <n v="0"/>
    <d v="2016-03-31T00:00:00"/>
    <x v="2114"/>
    <s v="261"/>
    <s v="SELL"/>
    <n v="9.9420560747663558"/>
    <x v="0"/>
    <x v="1"/>
    <n v="212.76"/>
    <s v="Deal"/>
    <m/>
    <s v="Original Amount [EUR 21.4], Merchant Amount [EUR 21.4], Customer Amount [NOK 212.76], Status [APPROVED], Operation [3DAUTH], UUID [3624445-1458730677-261] [23/03/2016 at 10:57:00]"/>
  </r>
  <r>
    <s v="3624388-1458730617-216"/>
    <s v="Spot"/>
    <s v="3624388-1458730617-216"/>
    <n v="0"/>
    <d v="2016-03-31T00:00:00"/>
    <x v="2115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388-1458730617-216] [23/03/2016 at 10:56:00]"/>
  </r>
  <r>
    <s v="3624367-1458730582-101"/>
    <s v="Spot"/>
    <s v="3624367-1458730582-101"/>
    <n v="0"/>
    <d v="2016-03-31T00:00:00"/>
    <x v="2116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367-1458730582-101] [23/03/2016 at 10:56:00]"/>
  </r>
  <r>
    <s v="3624349-1458730550-224"/>
    <s v="Spot"/>
    <s v="3624349-1458730550-224"/>
    <n v="0"/>
    <d v="2016-03-31T00:00:00"/>
    <x v="2117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4349-1458730550-224] [23/03/2016 at 10:55:00]"/>
  </r>
  <r>
    <s v="3624340-1458730539-124"/>
    <s v="Spot"/>
    <s v="3624340-1458730539-124"/>
    <n v="0"/>
    <d v="2016-03-31T00:00:00"/>
    <x v="2118"/>
    <s v="124"/>
    <s v="SELL"/>
    <n v="9.9551534225019669"/>
    <x v="0"/>
    <x v="1"/>
    <n v="126.53"/>
    <s v="Deal"/>
    <m/>
    <s v="Original Amount [EUR 12.71], Merchant Amount [EUR 12.71], Customer Amount [NOK 126.53], Status [APPROVED], Operation [DIRECT], UUID [3624340-1458730539-124] [23/03/2016 at 10:55:00]"/>
  </r>
  <r>
    <s v="3624358-1458730569-107"/>
    <s v="Spot"/>
    <s v="3624358-1458730569-107"/>
    <n v="0"/>
    <d v="2016-03-31T00:00:00"/>
    <x v="2119"/>
    <s v="107"/>
    <s v="SELL"/>
    <n v="3.3973544973544971"/>
    <x v="0"/>
    <x v="0"/>
    <n v="64.209999999999994"/>
    <s v="Deal"/>
    <m/>
    <s v="Original Amount [EUR 18.9], Merchant Amount [EUR 18.9], Customer Amount [TRY 64.21], Status [APPROVED], Operation [3DAUTH], UUID [3624358-1458730569-107] [23/03/2016 at 10:56:00]"/>
  </r>
  <r>
    <s v="3624328-1458730531-101"/>
    <s v="Spot"/>
    <s v="3624328-1458730531-101"/>
    <n v="0"/>
    <d v="2016-03-31T00:00:00"/>
    <x v="2120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328-1458730531-101] [23/03/2016 at 10:55:00]"/>
  </r>
  <r>
    <s v="3624313-1458730491-216"/>
    <s v="Spot"/>
    <s v="3624313-1458730491-216"/>
    <n v="0"/>
    <d v="2016-03-31T00:00:00"/>
    <x v="2121"/>
    <s v="216"/>
    <s v="SELL"/>
    <n v="3.3971722365038564"/>
    <x v="0"/>
    <x v="0"/>
    <n v="79.290000000000006"/>
    <s v="Deal"/>
    <m/>
    <s v="Original Amount [EUR 23.34], Merchant Amount [EUR 23.34], Customer Amount [TRY 79.29], Status [WAITING], Operation [3D], UUID [3624313-1458730491-216] [23/03/2016 at 10:54:00]"/>
  </r>
  <r>
    <s v="3624325-1458730514-107"/>
    <s v="Spot"/>
    <s v="3624325-1458730514-107"/>
    <n v="0"/>
    <d v="2016-03-31T00:00:00"/>
    <x v="2122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4325-1458730514-107] [23/03/2016 at 10:55:00]"/>
  </r>
  <r>
    <s v="3624301-1458730481-224"/>
    <s v="Spot"/>
    <s v="3624301-1458730481-224"/>
    <n v="0"/>
    <d v="2016-03-31T00:00:00"/>
    <x v="2123"/>
    <s v="224"/>
    <s v="SELL"/>
    <n v="132.88304093567251"/>
    <x v="0"/>
    <x v="3"/>
    <n v="1817.84"/>
    <s v="Deal"/>
    <m/>
    <s v="Original Amount [EUR 13.68], Merchant Amount [EUR 13.68], Customer Amount [JPY 1817.84], Status [APPROVED], Operation [DIRECT], UUID [3624301-1458730481-224] [23/03/2016 at 10:54:00]"/>
  </r>
  <r>
    <s v="3624292-1458730467-125"/>
    <s v="Spot"/>
    <s v="3624292-1458730467-125"/>
    <n v="0"/>
    <d v="2016-03-31T00:00:00"/>
    <x v="2124"/>
    <s v="125"/>
    <s v="SELL"/>
    <n v="132.88273999999998"/>
    <x v="0"/>
    <x v="3"/>
    <n v="66441.37"/>
    <s v="Deal"/>
    <m/>
    <s v="Original Amount [EUR 500], Merchant Amount [EUR 500], Customer Amount [JPY 66441.37], Status [APPROVED], Operation [DIRECT], UUID [3624292-1458730467-125] [23/03/2016 at 10:54:00]"/>
  </r>
  <r>
    <s v="3624307-1458730486-150"/>
    <s v="Spot"/>
    <s v="3624307-1458730486-150"/>
    <n v="0"/>
    <d v="2016-03-31T00:00:00"/>
    <x v="2125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4307-1458730486-150] [23/03/2016 at 10:54:00]"/>
  </r>
  <r>
    <s v="3624259-1458730446-145"/>
    <s v="Spot"/>
    <s v="3624259-1458730446-145"/>
    <n v="0"/>
    <d v="2016-03-31T00:00:00"/>
    <x v="2126"/>
    <s v="145"/>
    <s v="SELL"/>
    <n v="9.9547596606974569"/>
    <x v="0"/>
    <x v="1"/>
    <n v="105.62"/>
    <s v="Deal"/>
    <m/>
    <s v="Original Amount [EUR 10.61], Merchant Amount [EUR 10.61], Customer Amount [NOK 105.62], Status [APPROVED], Operation [DIRECT], UUID [3624259-1458730446-145] [23/03/2016 at 10:54:00]"/>
  </r>
  <r>
    <s v="3624253-1458730444-187"/>
    <s v="Spot"/>
    <s v="3624253-1458730444-187"/>
    <n v="0"/>
    <d v="2016-03-31T00:00:00"/>
    <x v="2127"/>
    <s v="187"/>
    <s v="SELL"/>
    <n v="9.9546206570550702"/>
    <x v="0"/>
    <x v="1"/>
    <n v="421.18"/>
    <s v="Deal"/>
    <m/>
    <s v="Original Amount [EUR 42.31], Merchant Amount [EUR 42.31], Customer Amount [NOK 421.18], Status [APPROVED], Operation [DIRECT], UUID [3624253-1458730444-187] [23/03/2016 at 10:54:00]"/>
  </r>
  <r>
    <s v="3624262-1458730447-145"/>
    <s v="Spot"/>
    <s v="3624262-1458730447-145"/>
    <n v="0"/>
    <d v="2016-03-31T00:00:00"/>
    <x v="2128"/>
    <s v="145"/>
    <s v="SELL"/>
    <n v="1.543150183150183"/>
    <x v="0"/>
    <x v="2"/>
    <n v="210.64"/>
    <s v="Deal"/>
    <m/>
    <s v="Original Amount [EUR 136.5], Merchant Amount [EUR 136.5], Customer Amount [CAD 210.64], Status [APPROVED], Operation [3DAUTH], UUID [3624262-1458730447-145] [23/03/2016 at 10:54:00]"/>
  </r>
  <r>
    <s v="3624289-1458730467-261"/>
    <s v="Spot"/>
    <s v="3624289-1458730467-261"/>
    <n v="0"/>
    <d v="2016-03-31T00:00:00"/>
    <x v="2129"/>
    <s v="261"/>
    <s v="SELL"/>
    <n v="9.9545709478407183"/>
    <x v="0"/>
    <x v="1"/>
    <n v="1064.94"/>
    <s v="Deal"/>
    <m/>
    <s v="Original Amount [EUR 106.98], Merchant Amount [EUR 106.98], Customer Amount [NOK 1064.94], Status [APPROVED], Operation [3DAUTH], UUID [3624289-1458730467-261] [23/03/2016 at 10:54:00]"/>
  </r>
  <r>
    <s v="3624238-1458730431-56"/>
    <s v="Spot"/>
    <s v="3624238-1458730431-56"/>
    <n v="0"/>
    <d v="2016-03-31T00:00:00"/>
    <x v="2130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4238-1458730431-56] [23/03/2016 at 10:53:00]"/>
  </r>
  <r>
    <s v="3624202-1458730406-187"/>
    <s v="Spot"/>
    <s v="3624202-1458730406-187"/>
    <n v="0"/>
    <d v="2016-03-31T00:00:00"/>
    <x v="2131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4202-1458730406-187] [23/03/2016 at 10:53:00]"/>
  </r>
  <r>
    <s v="3624199-1458730404-216"/>
    <s v="Spot"/>
    <s v="3624199-1458730404-216"/>
    <n v="0"/>
    <d v="2016-03-31T00:00:00"/>
    <x v="2132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4199-1458730404-216] [23/03/2016 at 10:53:00]"/>
  </r>
  <r>
    <s v="3624250-1458730438-216"/>
    <s v="Spot"/>
    <s v="3624250-1458730438-216"/>
    <n v="0"/>
    <d v="2016-03-31T00:00:00"/>
    <x v="2133"/>
    <s v="216"/>
    <s v="SELL"/>
    <n v="3.3974295600593178"/>
    <x v="0"/>
    <x v="0"/>
    <n v="68.73"/>
    <s v="Deal"/>
    <m/>
    <s v="Original Amount [EUR 20.23], Merchant Amount [EUR 20.23], Customer Amount [TRY 68.73], Status [APPROVED], Operation [3DAUTH], UUID [3624250-1458730438-216] [23/03/2016 at 10:53:00]"/>
  </r>
  <r>
    <s v="3624184-1458730397-160"/>
    <s v="Spot"/>
    <s v="3624184-1458730397-160"/>
    <n v="0"/>
    <d v="2016-03-31T00:00:00"/>
    <x v="2134"/>
    <s v="160"/>
    <s v="SELL"/>
    <n v="3.3969957081545061"/>
    <x v="0"/>
    <x v="0"/>
    <n v="63.32"/>
    <s v="Deal"/>
    <m/>
    <s v="Original Amount [EUR 18.64], Merchant Amount [EUR 18.64], Customer Amount [TRY 63.32], Status [APPROVED], Operation [3DAUTH], UUID [3624184-1458730397-160] [23/03/2016 at 10:53:00]"/>
  </r>
  <r>
    <s v="3624172-1458730380-107"/>
    <s v="Spot"/>
    <s v="3624172-1458730380-107"/>
    <n v="0"/>
    <d v="2016-03-31T00:00:00"/>
    <x v="2135"/>
    <s v="107"/>
    <s v="SELL"/>
    <n v="3.3973004694835685"/>
    <x v="0"/>
    <x v="0"/>
    <n v="57.89"/>
    <s v="Deal"/>
    <m/>
    <s v="Original Amount [EUR 17.04], Merchant Amount [EUR 17.04], Customer Amount [TRY 57.89], Status [WAITING], Operation [3D], UUID [3624172-1458730380-107] [23/03/2016 at 10:53:00]"/>
  </r>
  <r>
    <s v="3624166-1458730375-107"/>
    <s v="Spot"/>
    <s v="3624166-1458730375-107"/>
    <n v="0"/>
    <d v="2016-03-31T00:00:00"/>
    <x v="2136"/>
    <s v="107"/>
    <s v="SELL"/>
    <n v="3.3970303421562296"/>
    <x v="0"/>
    <x v="0"/>
    <n v="210.48"/>
    <s v="Deal"/>
    <m/>
    <s v="Original Amount [EUR 61.96], Merchant Amount [EUR 61.96], Customer Amount [TRY 210.48], Status [WAITING], Operation [3D], UUID [3624166-1458730375-107] [23/03/2016 at 10:52:00]"/>
  </r>
  <r>
    <s v="3624178-1458730394-216"/>
    <s v="Spot"/>
    <s v="3624178-1458730394-216"/>
    <n v="0"/>
    <d v="2016-03-31T00:00:00"/>
    <x v="2137"/>
    <s v="216"/>
    <s v="SELL"/>
    <n v="3.3972033257747545"/>
    <x v="0"/>
    <x v="0"/>
    <n v="89.89"/>
    <s v="Deal"/>
    <m/>
    <s v="Original Amount [EUR 26.46], Merchant Amount [EUR 26.46], Customer Amount [TRY 89.89], Status [APPROVED], Operation [3DAUTH], UUID [3624178-1458730394-216] [23/03/2016 at 10:53:00]"/>
  </r>
  <r>
    <s v="3624148-1458730351-224"/>
    <s v="Spot"/>
    <s v="3624148-1458730351-224"/>
    <n v="0"/>
    <d v="2016-03-31T00:00:00"/>
    <x v="2138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4148-1458730351-224] [23/03/2016 at 10:52:00]"/>
  </r>
  <r>
    <s v="3624142-1458730350-238"/>
    <s v="Spot"/>
    <s v="3624142-1458730350-238"/>
    <n v="0"/>
    <d v="2016-03-31T00:00:00"/>
    <x v="2139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142-1458730350-238] [23/03/2016 at 10:52:00]"/>
  </r>
  <r>
    <s v="3624133-1458730339-224"/>
    <s v="Spot"/>
    <s v="3624133-1458730339-224"/>
    <n v="0"/>
    <d v="2016-03-31T00:00:00"/>
    <x v="2140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24133-1458730339-224] [23/03/2016 at 10:52:00]"/>
  </r>
  <r>
    <s v="3624169-1458730375-179"/>
    <s v="Spot"/>
    <s v="3624169-1458730375-179"/>
    <n v="0"/>
    <d v="2016-03-31T00:00:00"/>
    <x v="2141"/>
    <s v="179"/>
    <s v="SELL"/>
    <n v="3.3970446514616128"/>
    <x v="0"/>
    <x v="0"/>
    <n v="105.75"/>
    <s v="Deal"/>
    <m/>
    <s v="Original Amount [EUR 31.13], Merchant Amount [EUR 31.13], Customer Amount [TRY 105.75], Status [APPROVED], Operation [3DAUTH], UUID [3624169-1458730375-179] [23/03/2016 at 10:52:00]"/>
  </r>
  <r>
    <s v="3624121-1458730330-124"/>
    <s v="Spot"/>
    <s v="3624121-1458730330-124"/>
    <n v="0"/>
    <d v="2016-03-31T00:00:00"/>
    <x v="2142"/>
    <s v="124"/>
    <s v="SELL"/>
    <n v="9.9547908232118765"/>
    <x v="0"/>
    <x v="1"/>
    <n v="147.53"/>
    <s v="Deal"/>
    <m/>
    <s v="Original Amount [EUR 14.82], Merchant Amount [EUR 14.82], Customer Amount [NOK 147.53], Status [APPROVED], Operation [DIRECT], UUID [3624121-1458730330-124] [23/03/2016 at 10:52:00]"/>
  </r>
  <r>
    <s v="3624151-1458730357-216"/>
    <s v="Spot"/>
    <s v="3624151-1458730357-216"/>
    <n v="0"/>
    <d v="2016-03-31T00:00:00"/>
    <x v="2143"/>
    <s v="216"/>
    <s v="SELL"/>
    <n v="3.397129186602871"/>
    <x v="0"/>
    <x v="0"/>
    <n v="49.7"/>
    <s v="Deal"/>
    <m/>
    <s v="Original Amount [EUR 14.63], Merchant Amount [EUR 14.63], Customer Amount [TRY 49.7], Status [APPROVED], Operation [3DAUTH], UUID [3624151-1458730357-216] [23/03/2016 at 10:52:00]"/>
  </r>
  <r>
    <s v="3624112-1458730325-224"/>
    <s v="Spot"/>
    <s v="3624112-1458730325-224"/>
    <n v="0"/>
    <d v="2016-03-31T00:00:00"/>
    <x v="2144"/>
    <s v="224"/>
    <s v="SELL"/>
    <n v="9.9553158705701073"/>
    <x v="0"/>
    <x v="1"/>
    <n v="129.22"/>
    <s v="Deal"/>
    <m/>
    <s v="Original Amount [EUR 12.98], Merchant Amount [EUR 12.98], Customer Amount [NOK 129.22], Status [APPROVED], Operation [DIRECT], UUID [3624112-1458730325-224] [23/03/2016 at 10:52:00]"/>
  </r>
  <r>
    <s v="3624145-1458730351-107"/>
    <s v="Spot"/>
    <s v="3624145-1458730351-107"/>
    <n v="0"/>
    <d v="2016-03-31T00:00:00"/>
    <x v="2145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4145-1458730351-107] [23/03/2016 at 10:52:00]"/>
  </r>
  <r>
    <s v="3624085-1458730302-224"/>
    <s v="Spot"/>
    <s v="3624085-1458730302-224"/>
    <n v="0"/>
    <d v="2016-03-31T00:00:00"/>
    <x v="2146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24085-1458730302-224] [23/03/2016 at 10:51:00]"/>
  </r>
  <r>
    <s v="3624061-1458730277-238"/>
    <s v="Spot"/>
    <s v="3624061-1458730277-238"/>
    <n v="0"/>
    <d v="2016-03-31T00:00:00"/>
    <x v="214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061-1458730277-238] [23/03/2016 at 10:51:00]"/>
  </r>
  <r>
    <s v="3624100-1458730310-119"/>
    <s v="Spot"/>
    <s v="3624100-1458730310-119"/>
    <n v="0"/>
    <d v="2016-03-31T00:00:00"/>
    <x v="2148"/>
    <s v="119"/>
    <s v="SELL"/>
    <n v="9.954600000000001"/>
    <x v="0"/>
    <x v="1"/>
    <n v="995.46"/>
    <s v="Deal"/>
    <m/>
    <s v="Original Amount [EUR 100], Merchant Amount [EUR 100], Customer Amount [NOK 995.46], Status [APPROVED], Operation [3DAUTH], UUID [3624100-1458730310-119] [23/03/2016 at 10:51:00]"/>
  </r>
  <r>
    <s v="3624055-1458730275-224"/>
    <s v="Spot"/>
    <s v="3624055-1458730275-224"/>
    <n v="0"/>
    <d v="2016-03-31T00:00:00"/>
    <x v="2149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4055-1458730275-224] [23/03/2016 at 10:51:00]"/>
  </r>
  <r>
    <s v="3624067-1458730285-264"/>
    <s v="Spot"/>
    <s v="3624067-1458730285-264"/>
    <n v="0"/>
    <d v="2016-03-31T00:00:00"/>
    <x v="2150"/>
    <s v="264"/>
    <s v="SELL"/>
    <n v="3.3984593837535018"/>
    <x v="0"/>
    <x v="0"/>
    <n v="48.53"/>
    <s v="Deal"/>
    <m/>
    <s v="Original Amount [TRY 46], Merchant Amount [EUR 14.28], Customer Amount [TRY 48.53], Status [APPROVED], Operation [3DAUTH], UUID [3624067-1458730285-264] [23/03/2016 at 10:51:00]"/>
  </r>
  <r>
    <s v="3624088-1458730304-101"/>
    <s v="Spot"/>
    <s v="3624088-1458730304-101"/>
    <n v="0"/>
    <d v="2016-03-31T00:00:00"/>
    <x v="2151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4088-1458730304-101] [23/03/2016 at 10:51:00]"/>
  </r>
  <r>
    <s v="3624043-1458730261-224"/>
    <s v="Spot"/>
    <s v="3624043-1458730261-224"/>
    <n v="0"/>
    <d v="2016-03-31T00:00:00"/>
    <x v="2152"/>
    <s v="224"/>
    <s v="SELL"/>
    <n v="132.88273788468339"/>
    <x v="0"/>
    <x v="3"/>
    <n v="7513.19"/>
    <s v="Deal"/>
    <m/>
    <s v="Original Amount [EUR 56.54], Merchant Amount [EUR 56.54], Customer Amount [JPY 7513.19], Status [APPROVED], Operation [DIRECT], UUID [3624043-1458730261-224] [23/03/2016 at 10:51:00]"/>
  </r>
  <r>
    <s v="3624070-1458730285-101"/>
    <s v="Spot"/>
    <s v="3624070-1458730285-101"/>
    <n v="0"/>
    <d v="2016-03-31T00:00:00"/>
    <x v="2153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4070-1458730285-101] [23/03/2016 at 10:51:00]"/>
  </r>
  <r>
    <s v="3624031-1458730250-261"/>
    <s v="Spot"/>
    <s v="3624031-1458730250-261"/>
    <n v="0"/>
    <d v="2016-03-31T00:00:00"/>
    <x v="2154"/>
    <s v="261"/>
    <s v="SELL"/>
    <n v="9.9420560747663558"/>
    <x v="0"/>
    <x v="1"/>
    <n v="212.76"/>
    <s v="Deal"/>
    <m/>
    <s v="Original Amount [EUR 21.4], Merchant Amount [EUR 21.4], Customer Amount [NOK 212.76], Status [APPROVED], Operation [DIRECT], UUID [3624031-1458730250-261] [23/03/2016 at 10:50:00]"/>
  </r>
  <r>
    <s v="3624064-1458730283-216"/>
    <s v="Spot"/>
    <s v="3624064-1458730283-216"/>
    <n v="0"/>
    <d v="2016-03-31T00:00:00"/>
    <x v="2155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4064-1458730283-216] [23/03/2016 at 10:51:00]"/>
  </r>
  <r>
    <s v="3624025-1458730248-224"/>
    <s v="Spot"/>
    <s v="3624025-1458730248-224"/>
    <n v="0"/>
    <d v="2016-03-31T00:00:00"/>
    <x v="2156"/>
    <s v="224"/>
    <s v="SELL"/>
    <n v="9.9419127713671021"/>
    <x v="0"/>
    <x v="1"/>
    <n v="508.33"/>
    <s v="Deal"/>
    <m/>
    <s v="Original Amount [EUR 51.13], Merchant Amount [EUR 51.13], Customer Amount [NOK 508.33], Status [APPROVED], Operation [DIRECT], UUID [3624025-1458730248-224] [23/03/2016 at 10:50:00]"/>
  </r>
  <r>
    <s v="3624019-1458730239-187"/>
    <s v="Spot"/>
    <s v="3624019-1458730239-187"/>
    <n v="0"/>
    <d v="2016-03-31T00:00:00"/>
    <x v="2157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4019-1458730239-187] [23/03/2016 at 10:50:00]"/>
  </r>
  <r>
    <s v="3624094-1458730308-101"/>
    <s v="Spot"/>
    <s v="3624094-1458730308-101"/>
    <n v="0"/>
    <d v="2016-03-31T00:00:00"/>
    <x v="2158"/>
    <s v="101"/>
    <s v="SELL"/>
    <n v="3.3971539456662354"/>
    <x v="0"/>
    <x v="0"/>
    <n v="26.26"/>
    <s v="Deal"/>
    <m/>
    <s v="Original Amount [EUR 7.73], Merchant Amount [EUR 7.73], Customer Amount [TRY 26.26], Status [APPROVED], Operation [3DAUTH], UUID [3624094-1458730308-101] [23/03/2016 at 10:51:00]"/>
  </r>
  <r>
    <s v="3624040-1458730260-216"/>
    <s v="Spot"/>
    <s v="3624040-1458730260-216"/>
    <n v="0"/>
    <d v="2016-03-31T00:00:00"/>
    <x v="2159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4040-1458730260-216] [23/03/2016 at 10:51:00]"/>
  </r>
  <r>
    <s v="3624010-1458730228-56"/>
    <s v="Spot"/>
    <s v="3624010-1458730228-56"/>
    <n v="0"/>
    <d v="2016-03-31T00:00:00"/>
    <x v="2160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4010-1458730228-56] [23/03/2016 at 10:50:00]"/>
  </r>
  <r>
    <s v="3624001-1458730217-216"/>
    <s v="Spot"/>
    <s v="3624001-1458730217-216"/>
    <n v="0"/>
    <d v="2016-03-31T00:00:00"/>
    <x v="2161"/>
    <s v="216"/>
    <s v="SELL"/>
    <n v="3.3970883534136549"/>
    <x v="0"/>
    <x v="0"/>
    <n v="338.35"/>
    <s v="Deal"/>
    <m/>
    <s v="Original Amount [EUR 99.6], Merchant Amount [EUR 99.6], Customer Amount [TRY 338.35], Status [APPROVED], Operation [3DAUTH], UUID [3624001-1458730217-216] [23/03/2016 at 10:50:00]"/>
  </r>
  <r>
    <s v="3623941-1458730152-126"/>
    <s v="Spot"/>
    <s v="3623941-1458730152-126"/>
    <n v="0"/>
    <d v="2016-03-31T00:00:00"/>
    <x v="2162"/>
    <s v="126"/>
    <s v="SELL"/>
    <n v="9.9420054200542012"/>
    <x v="0"/>
    <x v="1"/>
    <n v="183.43"/>
    <s v="Deal"/>
    <m/>
    <s v="Original Amount [EUR 18.45], Merchant Amount [EUR 18.45], Customer Amount [NOK 183.43], Status [APPROVED], Operation [3DAUTH], UUID [3623941-1458730152-126] [23/03/2016 at 10:49:00]"/>
  </r>
  <r>
    <s v="3623911-1458730106-224"/>
    <s v="Spot"/>
    <s v="3623911-1458730106-224"/>
    <n v="0"/>
    <d v="2016-03-31T00:00:00"/>
    <x v="2163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3911-1458730106-224] [23/03/2016 at 10:48:00]"/>
  </r>
  <r>
    <s v="3623917-1458730111-216"/>
    <s v="Spot"/>
    <s v="3623917-1458730111-216"/>
    <n v="0"/>
    <d v="2016-03-31T00:00:00"/>
    <x v="2164"/>
    <s v="216"/>
    <s v="SELL"/>
    <n v="3.3922261484098941"/>
    <x v="0"/>
    <x v="0"/>
    <n v="105.6"/>
    <s v="Deal"/>
    <m/>
    <s v="Original Amount [EUR 31.13], Merchant Amount [EUR 31.13], Customer Amount [TRY 105.6], Status [APPROVED], Operation [3DAUTH], UUID [3623917-1458730111-216] [23/03/2016 at 10:48:00]"/>
  </r>
  <r>
    <s v="3623872-1458730071-119"/>
    <s v="Spot"/>
    <s v="3623872-1458730071-119"/>
    <n v="0"/>
    <d v="2016-03-31T00:00:00"/>
    <x v="2165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872-1458730071-119] [23/03/2016 at 10:47:00]"/>
  </r>
  <r>
    <s v="3623902-1458730095-216"/>
    <s v="Spot"/>
    <s v="3623902-1458730095-216"/>
    <n v="0"/>
    <d v="2016-03-31T00:00:00"/>
    <x v="216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3902-1458730095-216] [23/03/2016 at 10:48:00]"/>
  </r>
  <r>
    <s v="3623851-1458730052-126"/>
    <s v="Spot"/>
    <s v="3623851-1458730052-126"/>
    <n v="0"/>
    <d v="2016-03-31T00:00:00"/>
    <x v="2167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3851-1458730052-126] [23/03/2016 at 10:47:00]"/>
  </r>
  <r>
    <s v="3623845-1458730049-125"/>
    <s v="Spot"/>
    <s v="3623845-1458730049-125"/>
    <n v="0"/>
    <d v="2016-03-31T00:00:00"/>
    <x v="2168"/>
    <s v="125"/>
    <s v="SELL"/>
    <n v="132.9933"/>
    <x v="0"/>
    <x v="3"/>
    <n v="26598.66"/>
    <s v="Deal"/>
    <m/>
    <s v="Original Amount [EUR 200], Merchant Amount [EUR 200], Customer Amount [JPY 26598.66], Status [APPROVED], Operation [DIRECT], UUID [3623845-1458730049-125] [23/03/2016 at 10:47:00]"/>
  </r>
  <r>
    <s v="3623866-1458730066-56"/>
    <s v="Spot"/>
    <s v="3623866-1458730066-56"/>
    <n v="0"/>
    <d v="2016-03-31T00:00:00"/>
    <x v="2169"/>
    <s v="56"/>
    <s v="SELL"/>
    <n v="3.3919875130072845"/>
    <x v="0"/>
    <x v="0"/>
    <n v="325.97000000000003"/>
    <s v="Deal"/>
    <m/>
    <s v="Original Amount [EUR 96.1], Merchant Amount [EUR 96.1], Customer Amount [TRY 325.97], Status [APPROVED], Operation [3DAUTH], UUID [3623866-1458730066-56] [23/03/2016 at 10:47:00]"/>
  </r>
  <r>
    <s v="3623833-1458730040-187"/>
    <s v="Spot"/>
    <s v="3623833-1458730040-187"/>
    <n v="0"/>
    <d v="2016-03-31T00:00:00"/>
    <x v="2170"/>
    <s v="187"/>
    <s v="SELL"/>
    <n v="9.9410838059231246"/>
    <x v="0"/>
    <x v="1"/>
    <n v="315.52999999999997"/>
    <s v="Deal"/>
    <m/>
    <s v="Original Amount [EUR 31.74], Merchant Amount [EUR 31.74], Customer Amount [NOK 315.53], Status [APPROVED], Operation [DIRECT], UUID [3623833-1458730040-187] [23/03/2016 at 10:47:00]"/>
  </r>
  <r>
    <s v="3623848-1458730049-56"/>
    <s v="Spot"/>
    <s v="3623848-1458730049-56"/>
    <n v="0"/>
    <d v="2016-03-31T00:00:00"/>
    <x v="2171"/>
    <s v="56"/>
    <s v="SELL"/>
    <n v="3.3919650291423813"/>
    <x v="0"/>
    <x v="0"/>
    <n v="162.94999999999999"/>
    <s v="Deal"/>
    <m/>
    <s v="Original Amount [EUR 48.04], Merchant Amount [EUR 48.04], Customer Amount [TRY 162.95], Status [APPROVED], Operation [3DAUTH], UUID [3623848-1458730049-56] [23/03/2016 at 10:47:00]"/>
  </r>
  <r>
    <s v="3623797-1458729999-145"/>
    <s v="Spot"/>
    <s v="3623797-1458729999-145"/>
    <n v="0"/>
    <d v="2016-03-31T00:00:00"/>
    <x v="2172"/>
    <s v="145"/>
    <s v="SELL"/>
    <n v="9.9412319296040224"/>
    <x v="0"/>
    <x v="1"/>
    <n v="316.33"/>
    <s v="Deal"/>
    <m/>
    <s v="Original Amount [EUR 31.82], Merchant Amount [EUR 31.82], Customer Amount [NOK 316.33], Status [APPROVED], Operation [DIRECT], UUID [3623797-1458729999-145] [23/03/2016 at 10:46:00]"/>
  </r>
  <r>
    <s v="3623794-1458729996-216"/>
    <s v="Spot"/>
    <s v="3623794-1458729996-216"/>
    <n v="0"/>
    <d v="2016-03-31T00:00:00"/>
    <x v="2173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794-1458729996-216] [23/03/2016 at 10:46:00]"/>
  </r>
  <r>
    <s v="3623824-1458730034-216"/>
    <s v="Spot"/>
    <s v="3623824-1458730034-216"/>
    <n v="0"/>
    <d v="2016-03-31T00:00:00"/>
    <x v="2174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23824-1458730034-216] [23/03/2016 at 10:47:00]"/>
  </r>
  <r>
    <s v="3623818-1458730016-216"/>
    <s v="Spot"/>
    <s v="3623818-1458730016-216"/>
    <n v="0"/>
    <d v="2016-03-31T00:00:00"/>
    <x v="2175"/>
    <s v="216"/>
    <s v="SELL"/>
    <n v="3.3919678714859436"/>
    <x v="0"/>
    <x v="0"/>
    <n v="42.23"/>
    <s v="Deal"/>
    <m/>
    <s v="Original Amount [EUR 12.45], Merchant Amount [EUR 12.45], Customer Amount [TRY 42.23], Status [APPROVED], Operation [3DAUTH], UUID [3623818-1458730016-216] [23/03/2016 at 10:46:00]"/>
  </r>
  <r>
    <s v="3623854-1458730056-56"/>
    <s v="Spot"/>
    <s v="3623854-1458730056-56"/>
    <n v="0"/>
    <d v="2016-03-31T00:00:00"/>
    <x v="2176"/>
    <s v="56"/>
    <s v="SELL"/>
    <n v="3.3928571428571423"/>
    <x v="0"/>
    <x v="0"/>
    <n v="30.4"/>
    <s v="Deal"/>
    <m/>
    <s v="Original Amount [EUR 8.96], Merchant Amount [EUR 8.96], Customer Amount [TRY 30.4], Status [APPROVED], Operation [3DAUTH], UUID [3623854-1458730056-56] [23/03/2016 at 10:47:00]"/>
  </r>
  <r>
    <s v="3623773-1458729956-216"/>
    <s v="Spot"/>
    <s v="3623773-1458729956-216"/>
    <n v="0"/>
    <d v="2016-03-31T00:00:00"/>
    <x v="2177"/>
    <s v="216"/>
    <s v="SELL"/>
    <n v="3.3920308483290489"/>
    <x v="0"/>
    <x v="0"/>
    <n v="79.17"/>
    <s v="Deal"/>
    <m/>
    <s v="Original Amount [EUR 23.34], Merchant Amount [EUR 23.34], Customer Amount [TRY 79.17], Status [WAITING], Operation [3D], UUID [3623773-1458729956-216] [23/03/2016 at 10:45:00]"/>
  </r>
  <r>
    <s v="3623758-1458729940-261"/>
    <s v="Spot"/>
    <s v="3623758-1458729940-261"/>
    <n v="0"/>
    <d v="2016-03-31T00:00:00"/>
    <x v="2178"/>
    <s v="261"/>
    <s v="SELL"/>
    <n v="9.9411214953271045"/>
    <x v="0"/>
    <x v="1"/>
    <n v="106.37"/>
    <s v="Deal"/>
    <m/>
    <s v="Original Amount [EUR 10.7], Merchant Amount [EUR 10.7], Customer Amount [NOK 106.37], Status [APPROVED], Operation [DIRECT], UUID [3623758-1458729940-261] [23/03/2016 at 10:45:00]"/>
  </r>
  <r>
    <s v="3623815-1458730011-56"/>
    <s v="Spot"/>
    <s v="3623815-1458730011-56"/>
    <n v="0"/>
    <d v="2016-03-31T00:00:00"/>
    <x v="2179"/>
    <s v="56"/>
    <s v="SELL"/>
    <n v="3.3927083333333337"/>
    <x v="0"/>
    <x v="0"/>
    <n v="32.57"/>
    <s v="Deal"/>
    <m/>
    <s v="Original Amount [EUR 9.6], Merchant Amount [EUR 9.6], Customer Amount [TRY 32.57], Status [APPROVED], Operation [3DAUTH], UUID [3623815-1458730011-56] [23/03/2016 at 10:46:00]"/>
  </r>
  <r>
    <s v="3623761-1458729941-203"/>
    <s v="Spot"/>
    <s v="3623761-1458729941-203"/>
    <n v="0"/>
    <d v="2016-03-31T00:00:00"/>
    <x v="2180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23761-1458729941-203] [23/03/2016 at 10:45:00]"/>
  </r>
  <r>
    <s v="3623743-1458729921-119"/>
    <s v="Spot"/>
    <s v="3623743-1458729921-119"/>
    <n v="0"/>
    <d v="2016-03-31T00:00:00"/>
    <x v="2181"/>
    <s v="119"/>
    <s v="SELL"/>
    <n v="9.9410666666666678"/>
    <x v="0"/>
    <x v="1"/>
    <n v="2982.32"/>
    <s v="Deal"/>
    <m/>
    <s v="Original Amount [EUR 300], Merchant Amount [EUR 300], Customer Amount [NOK 2982.32], Status [APPROVED], Operation [DIRECT], UUID [3623743-1458729921-119] [23/03/2016 at 10:45:00]"/>
  </r>
  <r>
    <s v="3623740-1458729921-187"/>
    <s v="Spot"/>
    <s v="3623740-1458729921-187"/>
    <n v="0"/>
    <d v="2016-03-31T00:00:00"/>
    <x v="2182"/>
    <s v="187"/>
    <s v="SELL"/>
    <n v="9.9413988657844996"/>
    <x v="0"/>
    <x v="1"/>
    <n v="210.36"/>
    <s v="Deal"/>
    <m/>
    <s v="Original Amount [EUR 21.16], Merchant Amount [EUR 21.16], Customer Amount [NOK 210.36], Status [APPROVED], Operation [DIRECT], UUID [3623740-1458729921-187] [23/03/2016 at 10:45:00]"/>
  </r>
  <r>
    <s v="3623734-1458729912-187"/>
    <s v="Spot"/>
    <s v="3623734-1458729912-187"/>
    <n v="0"/>
    <d v="2016-03-31T00:00:00"/>
    <x v="2183"/>
    <s v="187"/>
    <s v="SELL"/>
    <n v="9.9411987143127245"/>
    <x v="0"/>
    <x v="1"/>
    <n v="525.79"/>
    <s v="Deal"/>
    <m/>
    <s v="Original Amount [EUR 52.89], Merchant Amount [EUR 52.89], Customer Amount [NOK 525.79], Status [APPROVED], Operation [DIRECT], UUID [3623734-1458729912-187] [23/03/2016 at 10:45:00]"/>
  </r>
  <r>
    <s v="3623731-1458729909-261"/>
    <s v="Spot"/>
    <s v="3623731-1458729909-261"/>
    <n v="0"/>
    <d v="2016-03-31T00:00:00"/>
    <x v="2184"/>
    <s v="261"/>
    <s v="SELL"/>
    <n v="9.9411214953271045"/>
    <x v="0"/>
    <x v="1"/>
    <n v="212.74"/>
    <s v="Deal"/>
    <m/>
    <s v="Original Amount [EUR 21.4], Merchant Amount [EUR 21.4], Customer Amount [NOK 212.74], Status [APPROVED], Operation [DIRECT], UUID [3623731-1458729909-261] [23/03/2016 at 10:45:00]"/>
  </r>
  <r>
    <s v="3623770-1458729944-56"/>
    <s v="Spot"/>
    <s v="3623770-1458729944-56"/>
    <n v="0"/>
    <d v="2016-03-31T00:00:00"/>
    <x v="2185"/>
    <s v="56"/>
    <s v="SELL"/>
    <n v="3.392030156165859"/>
    <x v="0"/>
    <x v="0"/>
    <n v="62.99"/>
    <s v="Deal"/>
    <m/>
    <s v="Original Amount [EUR 18.57], Merchant Amount [EUR 18.57], Customer Amount [TRY 62.99], Status [APPROVED], Operation [3DAUTH], UUID [3623770-1458729944-56] [23/03/2016 at 10:45:00]"/>
  </r>
  <r>
    <s v="3623752-1458729932-107"/>
    <s v="Spot"/>
    <s v="3623752-1458729932-107"/>
    <n v="0"/>
    <d v="2016-03-31T00:00:00"/>
    <x v="2186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3752-1458729932-107] [23/03/2016 at 10:45:00]"/>
  </r>
  <r>
    <s v="3623716-1458729889-101"/>
    <s v="Spot"/>
    <s v="3623716-1458729889-101"/>
    <n v="0"/>
    <d v="2016-03-31T00:00:00"/>
    <x v="2187"/>
    <s v="101"/>
    <s v="SELL"/>
    <n v="3.3971722365038559"/>
    <x v="0"/>
    <x v="0"/>
    <n v="185.01"/>
    <s v="Deal"/>
    <m/>
    <s v="Original Amount [EUR 54.46], Merchant Amount [EUR 54.46], Customer Amount [TRY 185.01], Status [WAITING], Operation [3D], UUID [3623716-1458729889-101] [23/03/2016 at 10:44:00]"/>
  </r>
  <r>
    <s v="3623695-1458729862-238"/>
    <s v="Spot"/>
    <s v="3623695-1458729862-238"/>
    <n v="0"/>
    <d v="2016-03-31T00:00:00"/>
    <x v="218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3695-1458729862-238] [23/03/2016 at 10:44:00]"/>
  </r>
  <r>
    <s v="3623710-1458729885-216"/>
    <s v="Spot"/>
    <s v="3623710-1458729885-216"/>
    <n v="0"/>
    <d v="2016-03-31T00:00:00"/>
    <x v="2189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3710-1458729885-216] [23/03/2016 at 10:44:00]"/>
  </r>
  <r>
    <s v="3623701-1458729873-56"/>
    <s v="Spot"/>
    <s v="3623701-1458729873-56"/>
    <n v="0"/>
    <d v="2016-03-31T00:00:00"/>
    <x v="2190"/>
    <s v="56"/>
    <s v="SELL"/>
    <n v="3.3975"/>
    <x v="0"/>
    <x v="0"/>
    <n v="27.18"/>
    <s v="Deal"/>
    <m/>
    <s v="Original Amount [EUR 8], Merchant Amount [EUR 8], Customer Amount [TRY 27.18], Status [APPROVED], Operation [3DAUTH], UUID [3623701-1458729873-56] [23/03/2016 at 10:44:00]"/>
  </r>
  <r>
    <s v="3623677-1458729841-200"/>
    <s v="Spot"/>
    <s v="3623677-1458729841-200"/>
    <n v="0"/>
    <d v="2016-03-31T00:00:00"/>
    <x v="2191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3677-1458729841-200] [23/03/2016 at 10:44:00]"/>
  </r>
  <r>
    <s v="3623671-1458729838-224"/>
    <s v="Spot"/>
    <s v="3623671-1458729838-224"/>
    <n v="0"/>
    <d v="2016-03-31T00:00:00"/>
    <x v="219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3671-1458729838-224] [23/03/2016 at 10:43:00]"/>
  </r>
  <r>
    <s v="3623662-1458729825-224"/>
    <s v="Spot"/>
    <s v="3623662-1458729825-224"/>
    <n v="0"/>
    <d v="2016-03-31T00:00:00"/>
    <x v="2193"/>
    <s v="224"/>
    <s v="SELL"/>
    <n v="132.83242479805739"/>
    <x v="0"/>
    <x v="3"/>
    <n v="53608.51"/>
    <s v="Deal"/>
    <m/>
    <s v="Original Amount [EUR 403.58], Merchant Amount [EUR 403.58], Customer Amount [JPY 53608.51], Status [APPROVED], Operation [DIRECT], UUID [3623662-1458729825-224] [23/03/2016 at 10:43:00]"/>
  </r>
  <r>
    <s v="3623665-1458729828-216"/>
    <s v="Spot"/>
    <s v="3623665-1458729828-216"/>
    <n v="0"/>
    <d v="2016-03-31T00:00:00"/>
    <x v="2194"/>
    <s v="216"/>
    <s v="SELL"/>
    <n v="3.3971084337349398"/>
    <x v="0"/>
    <x v="0"/>
    <n v="211.47"/>
    <s v="Deal"/>
    <m/>
    <s v="Original Amount [EUR 62.25], Merchant Amount [EUR 62.25], Customer Amount [TRY 211.47], Status [APPROVED], Operation [3DAUTH], UUID [3623665-1458729828-216] [23/03/2016 at 10:43:00]"/>
  </r>
  <r>
    <s v="3623659-1458729825-216"/>
    <s v="Spot"/>
    <s v="3623659-1458729825-216"/>
    <n v="0"/>
    <d v="2016-03-31T00:00:00"/>
    <x v="2195"/>
    <s v="216"/>
    <s v="SELL"/>
    <n v="3.3970075270791265"/>
    <x v="0"/>
    <x v="0"/>
    <n v="1110.21"/>
    <s v="Deal"/>
    <m/>
    <s v="Original Amount [EUR 326.82], Merchant Amount [EUR 326.82], Customer Amount [TRY 1110.21], Status [APPROVED], Operation [3DAUTH], UUID [3623659-1458729825-216] [23/03/2016 at 10:43:00]"/>
  </r>
  <r>
    <s v="3623632-1458729796-224"/>
    <s v="Spot"/>
    <s v="3623632-1458729796-224"/>
    <n v="0"/>
    <d v="2016-03-31T00:00:00"/>
    <x v="2196"/>
    <s v="224"/>
    <s v="SELL"/>
    <n v="9.9419127713671021"/>
    <x v="0"/>
    <x v="1"/>
    <n v="508.33"/>
    <s v="Deal"/>
    <m/>
    <s v="Original Amount [EUR 51.13], Merchant Amount [EUR 51.13], Customer Amount [NOK 508.33], Status [APPROVED], Operation [DIRECT], UUID [3623632-1458729796-224] [23/03/2016 at 10:43:00]"/>
  </r>
  <r>
    <s v="3623629-1458729790-224"/>
    <s v="Spot"/>
    <s v="3623629-1458729790-224"/>
    <n v="0"/>
    <d v="2016-03-31T00:00:00"/>
    <x v="2197"/>
    <s v="224"/>
    <s v="SELL"/>
    <n v="9.9419700609868791"/>
    <x v="0"/>
    <x v="1"/>
    <n v="537.96"/>
    <s v="Deal"/>
    <m/>
    <s v="Original Amount [EUR 54.11], Merchant Amount [EUR 54.11], Customer Amount [NOK 537.96], Status [APPROVED], Operation [DIRECT], UUID [3623629-1458729790-224] [23/03/2016 at 10:43:00]"/>
  </r>
  <r>
    <s v="3623635-1458729798-101"/>
    <s v="Spot"/>
    <s v="3623635-1458729798-101"/>
    <n v="0"/>
    <d v="2016-03-31T00:00:00"/>
    <x v="2198"/>
    <s v="101"/>
    <s v="SELL"/>
    <n v="3.3975"/>
    <x v="0"/>
    <x v="0"/>
    <n v="27.18"/>
    <s v="Deal"/>
    <m/>
    <s v="Original Amount [EUR 8], Merchant Amount [EUR 8], Customer Amount [TRY 27.18], Status [APPROVED], Operation [3DAUTH], UUID [3623635-1458729798-101] [23/03/2016 at 10:43:00]"/>
  </r>
  <r>
    <s v="3623653-1458729819-216"/>
    <s v="Spot"/>
    <s v="3623653-1458729819-216"/>
    <n v="0"/>
    <d v="2016-03-31T00:00:00"/>
    <x v="2199"/>
    <s v="216"/>
    <s v="SELL"/>
    <n v="3.3970548862115124"/>
    <x v="0"/>
    <x v="0"/>
    <n v="253.76"/>
    <s v="Deal"/>
    <m/>
    <s v="Original Amount [EUR 74.7], Merchant Amount [EUR 74.7], Customer Amount [TRY 253.76], Status [APPROVED], Operation [3DAUTH], UUID [3623653-1458729819-216] [23/03/2016 at 10:43:00]"/>
  </r>
  <r>
    <s v="3623962-1458730187-216"/>
    <s v="Spot"/>
    <s v="3623962-1458730187-216"/>
    <n v="0"/>
    <d v="2016-03-31T00:00:00"/>
    <x v="2200"/>
    <s v="216"/>
    <s v="SELL"/>
    <n v="3.3970871707003645"/>
    <x v="0"/>
    <x v="0"/>
    <n v="317.22000000000003"/>
    <s v="Deal"/>
    <m/>
    <s v="Original Amount [EUR 93.38], Merchant Amount [EUR 93.38], Customer Amount [TRY 317.22], Status [APPROVED], Operation [3DAUTH], UUID [3623962-1458730187-216] [23/03/2016 at 10:49:00]"/>
  </r>
  <r>
    <s v="3623590-1458729739-199"/>
    <s v="Spot"/>
    <s v="3623590-1458729739-199"/>
    <n v="0"/>
    <d v="2016-03-31T00:00:00"/>
    <x v="2201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3590-1458729739-199] [23/03/2016 at 10:42:00]"/>
  </r>
  <r>
    <s v="3623587-1458729737-187"/>
    <s v="Spot"/>
    <s v="3623587-1458729737-187"/>
    <n v="0"/>
    <d v="2016-03-31T00:00:00"/>
    <x v="2202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3587-1458729737-187] [23/03/2016 at 10:42:00]"/>
  </r>
  <r>
    <s v="3623584-1458729728-56"/>
    <s v="Spot"/>
    <s v="3623584-1458729728-56"/>
    <n v="0"/>
    <d v="2016-03-31T00:00:00"/>
    <x v="2203"/>
    <s v="56"/>
    <s v="SELL"/>
    <n v="3.3975"/>
    <x v="0"/>
    <x v="0"/>
    <n v="27.18"/>
    <s v="Deal"/>
    <m/>
    <s v="Original Amount [EUR 8], Merchant Amount [EUR 8], Customer Amount [TRY 27.18], Status [WAITING], Operation [3D], UUID [3623584-1458729728-56] [23/03/2016 at 10:42:00]"/>
  </r>
  <r>
    <s v="3623611-1458729766-203"/>
    <s v="Spot"/>
    <s v="3623611-1458729766-203"/>
    <n v="0"/>
    <d v="2016-03-31T00:00:00"/>
    <x v="2204"/>
    <s v="203"/>
    <s v="SELL"/>
    <n v="3.3920430107526878"/>
    <x v="0"/>
    <x v="0"/>
    <n v="157.72999999999999"/>
    <s v="Deal"/>
    <m/>
    <s v="Original Amount [EUR 46.5], Merchant Amount [EUR 46.5], Customer Amount [TRY 157.73], Status [APPROVED], Operation [3DAUTH], UUID [3623611-1458729766-203] [23/03/2016 at 10:42:00]"/>
  </r>
  <r>
    <s v="3623569-1458729708-126"/>
    <s v="Spot"/>
    <s v="3623569-1458729708-126"/>
    <n v="0"/>
    <d v="2016-03-31T00:00:00"/>
    <x v="2205"/>
    <s v="126"/>
    <s v="SELL"/>
    <n v="9.9547317073170731"/>
    <x v="0"/>
    <x v="1"/>
    <n v="510.18"/>
    <s v="Deal"/>
    <m/>
    <s v="Original Amount [EUR 51.25], Merchant Amount [EUR 51.25], Customer Amount [NOK 510.18], Status [APPROVED], Operation [DIRECT], UUID [3623569-1458729708-126] [23/03/2016 at 10:41:00]"/>
  </r>
  <r>
    <s v="3623566-1458729706-124"/>
    <s v="Spot"/>
    <s v="3623566-1458729706-124"/>
    <n v="0"/>
    <d v="2016-03-31T00:00:00"/>
    <x v="2206"/>
    <s v="124"/>
    <s v="SELL"/>
    <n v="9.9545626298885317"/>
    <x v="0"/>
    <x v="1"/>
    <n v="1053.79"/>
    <s v="Deal"/>
    <m/>
    <s v="Original Amount [EUR 105.86], Merchant Amount [EUR 105.86], Customer Amount [NOK 1053.79], Status [APPROVED], Operation [DIRECT], UUID [3623566-1458729706-124] [23/03/2016 at 10:41:00]"/>
  </r>
  <r>
    <s v="3623560-1458729702-238"/>
    <s v="Spot"/>
    <s v="3623560-1458729702-238"/>
    <n v="0"/>
    <d v="2016-03-31T00:00:00"/>
    <x v="220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3560-1458729702-238] [23/03/2016 at 10:41:00]"/>
  </r>
  <r>
    <s v="3623551-1458729697-224"/>
    <s v="Spot"/>
    <s v="3623551-1458729697-224"/>
    <n v="0"/>
    <d v="2016-03-31T00:00:00"/>
    <x v="2208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23551-1458729697-224] [23/03/2016 at 10:41:00]"/>
  </r>
  <r>
    <s v="3623545-1458729693-56"/>
    <s v="Spot"/>
    <s v="3623545-1458729693-56"/>
    <n v="0"/>
    <d v="2016-03-31T00:00:00"/>
    <x v="2209"/>
    <s v="56"/>
    <s v="SELL"/>
    <n v="3.3925000000000001"/>
    <x v="0"/>
    <x v="0"/>
    <n v="27.14"/>
    <s v="Deal"/>
    <m/>
    <s v="Original Amount [EUR 8], Merchant Amount [EUR 8], Customer Amount [TRY 27.14], Status [WAITING], Operation [3D], UUID [3623545-1458729693-56] [23/03/2016 at 10:41:00]"/>
  </r>
  <r>
    <s v="3623536-1458729676-199"/>
    <s v="Spot"/>
    <s v="3623536-1458729676-199"/>
    <n v="0"/>
    <d v="2016-03-31T00:00:00"/>
    <x v="2210"/>
    <s v="199"/>
    <s v="SELL"/>
    <n v="9.9545626084987546"/>
    <x v="0"/>
    <x v="1"/>
    <n v="2637.76"/>
    <s v="Deal"/>
    <m/>
    <s v="Original Amount [EUR 264.98], Merchant Amount [EUR 264.98], Customer Amount [NOK 2637.76], Status [APPROVED], Operation [DIRECT], UUID [3623536-1458729676-199] [23/03/2016 at 10:41:00]"/>
  </r>
  <r>
    <s v="3623542-1458729689-102"/>
    <s v="Spot"/>
    <s v="3623542-1458729689-102"/>
    <n v="0"/>
    <d v="2016-03-31T00:00:00"/>
    <x v="2211"/>
    <s v="102"/>
    <s v="SELL"/>
    <n v="3.3924731182795695"/>
    <x v="0"/>
    <x v="0"/>
    <n v="31.55"/>
    <s v="Deal"/>
    <m/>
    <s v="Original Amount [EUR 9.3], Merchant Amount [EUR 9.3], Customer Amount [TRY 31.55], Status [APPROVED], Operation [3DAUTH], UUID [3623542-1458729689-102] [23/03/2016 at 10:41:00]"/>
  </r>
  <r>
    <s v="3623503-1458729638-216"/>
    <s v="Spot"/>
    <s v="3623503-1458729638-216"/>
    <n v="0"/>
    <d v="2016-03-31T00:00:00"/>
    <x v="2212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503-1458729638-216] [23/03/2016 at 10:40:00]"/>
  </r>
  <r>
    <s v="3623500-1458729634-216"/>
    <s v="Spot"/>
    <s v="3623500-1458729634-216"/>
    <n v="0"/>
    <d v="2016-03-31T00:00:00"/>
    <x v="2213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500-1458729634-216] [23/03/2016 at 10:40:00]"/>
  </r>
  <r>
    <s v="3623524-1458729660-124"/>
    <s v="Spot"/>
    <s v="3623524-1458729660-124"/>
    <n v="0"/>
    <d v="2016-03-31T00:00:00"/>
    <x v="2214"/>
    <s v="124"/>
    <s v="SELL"/>
    <n v="9.9546341463414638"/>
    <x v="0"/>
    <x v="1"/>
    <n v="1020.35"/>
    <s v="Deal"/>
    <m/>
    <s v="Original Amount [EUR 102.5], Merchant Amount [EUR 102.5], Customer Amount [NOK 1020.35], Status [APPROVED], Operation [3DAUTH], UUID [3623524-1458729660-124] [23/03/2016 at 10:41:00]"/>
  </r>
  <r>
    <s v="3623485-1458729601-216"/>
    <s v="Spot"/>
    <s v="3623485-1458729601-216"/>
    <n v="0"/>
    <d v="2016-03-31T00:00:00"/>
    <x v="2215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485-1458729601-216] [23/03/2016 at 10:40:00]"/>
  </r>
  <r>
    <s v="3623479-1458729595-145"/>
    <s v="Spot"/>
    <s v="3623479-1458729595-145"/>
    <n v="0"/>
    <d v="2016-03-31T00:00:00"/>
    <x v="2216"/>
    <s v="145"/>
    <s v="SELL"/>
    <n v="9.9547596606974569"/>
    <x v="0"/>
    <x v="1"/>
    <n v="105.62"/>
    <s v="Deal"/>
    <m/>
    <s v="Original Amount [EUR 10.61], Merchant Amount [EUR 10.61], Customer Amount [NOK 105.62], Status [APPROVED], Operation [DIRECT], UUID [3623479-1458729595-145] [23/03/2016 at 10:39:00]"/>
  </r>
  <r>
    <s v="3623470-1458729589-187"/>
    <s v="Spot"/>
    <s v="3623470-1458729589-187"/>
    <n v="0"/>
    <d v="2016-03-31T00:00:00"/>
    <x v="2217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3470-1458729589-187] [23/03/2016 at 10:39:00]"/>
  </r>
  <r>
    <s v="3623467-1458729584-200"/>
    <s v="Spot"/>
    <s v="3623467-1458729584-200"/>
    <n v="0"/>
    <d v="2016-03-31T00:00:00"/>
    <x v="2218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3467-1458729584-200] [23/03/2016 at 10:39:00]"/>
  </r>
  <r>
    <s v="3623497-1458729630-101"/>
    <s v="Spot"/>
    <s v="3623497-1458729630-101"/>
    <n v="0"/>
    <d v="2016-03-31T00:00:00"/>
    <x v="2219"/>
    <s v="101"/>
    <s v="SELL"/>
    <n v="3.3919652551574373"/>
    <x v="0"/>
    <x v="0"/>
    <n v="249.92"/>
    <s v="Deal"/>
    <m/>
    <s v="Original Amount [EUR 73.68], Merchant Amount [EUR 73.68], Customer Amount [TRY 249.92], Status [APPROVED], Operation [3DAUTH], UUID [3623497-1458729630-101] [23/03/2016 at 10:40:00]"/>
  </r>
  <r>
    <s v="3623473-1458729591-216"/>
    <s v="Spot"/>
    <s v="3623473-1458729591-216"/>
    <n v="0"/>
    <d v="2016-03-31T00:00:00"/>
    <x v="222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3473-1458729591-216] [23/03/2016 at 10:39:00]"/>
  </r>
  <r>
    <s v="3623434-1458729540-119"/>
    <s v="Spot"/>
    <s v="3623434-1458729540-119"/>
    <n v="0"/>
    <d v="2016-03-31T00:00:00"/>
    <x v="2221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3434-1458729540-119] [23/03/2016 at 10:39:00]"/>
  </r>
  <r>
    <s v="3623461-1458729576-216"/>
    <s v="Spot"/>
    <s v="3623461-1458729576-216"/>
    <n v="0"/>
    <d v="2016-03-31T00:00:00"/>
    <x v="2222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461-1458729576-216] [23/03/2016 at 10:39:00]"/>
  </r>
  <r>
    <s v="3623449-1458729554-216"/>
    <s v="Spot"/>
    <s v="3623449-1458729554-216"/>
    <n v="0"/>
    <d v="2016-03-31T00:00:00"/>
    <x v="2223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3449-1458729554-216] [23/03/2016 at 10:39:00]"/>
  </r>
  <r>
    <s v="3623419-1458729512-196"/>
    <s v="Spot"/>
    <s v="3623419-1458729512-196"/>
    <n v="0"/>
    <d v="2016-03-31T00:00:00"/>
    <x v="2224"/>
    <s v="196"/>
    <s v="SELL"/>
    <n v="9.9412355600200915"/>
    <x v="0"/>
    <x v="1"/>
    <n v="197.93"/>
    <s v="Deal"/>
    <m/>
    <s v="Original Amount [EUR 19.91], Merchant Amount [EUR 19.91], Customer Amount [NOK 197.93], Status [APPROVED], Operation [3DAUTH], UUID [3623419-1458729512-196] [23/03/2016 at 10:38:00]"/>
  </r>
  <r>
    <s v="3623398-1458729478-224"/>
    <s v="Spot"/>
    <s v="3623398-1458729478-224"/>
    <n v="0"/>
    <d v="2016-03-31T00:00:00"/>
    <x v="2225"/>
    <s v="224"/>
    <s v="SELL"/>
    <n v="9.9411304517895562"/>
    <x v="0"/>
    <x v="1"/>
    <n v="508.29"/>
    <s v="Deal"/>
    <m/>
    <s v="Original Amount [EUR 51.13], Merchant Amount [EUR 51.13], Customer Amount [NOK 508.29], Status [APPROVED], Operation [DIRECT], UUID [3623398-1458729478-224] [23/03/2016 at 10:37:00]"/>
  </r>
  <r>
    <s v="3623395-1458729477-102"/>
    <s v="Spot"/>
    <s v="3623395-1458729477-102"/>
    <n v="0"/>
    <d v="2016-03-31T00:00:00"/>
    <x v="2226"/>
    <s v="102"/>
    <s v="SELL"/>
    <n v="3.3973249409913451"/>
    <x v="0"/>
    <x v="0"/>
    <n v="43.18"/>
    <s v="Deal"/>
    <m/>
    <s v="Original Amount [EUR 12.71], Merchant Amount [EUR 12.71], Customer Amount [TRY 43.18], Status [WAITING], Operation [3D], UUID [3623395-1458729477-102] [23/03/2016 at 10:37:00]"/>
  </r>
  <r>
    <s v="3623392-1458729473-145"/>
    <s v="Spot"/>
    <s v="3623392-1458729473-145"/>
    <n v="0"/>
    <d v="2016-03-31T00:00:00"/>
    <x v="2227"/>
    <s v="145"/>
    <s v="SELL"/>
    <n v="9.9412319296040224"/>
    <x v="0"/>
    <x v="1"/>
    <n v="316.33"/>
    <s v="Deal"/>
    <m/>
    <s v="Original Amount [EUR 31.82], Merchant Amount [EUR 31.82], Customer Amount [NOK 316.33], Status [APPROVED], Operation [DIRECT], UUID [3623392-1458729473-145] [23/03/2016 at 10:37:00]"/>
  </r>
  <r>
    <s v="3623389-1458729472-126"/>
    <s v="Spot"/>
    <s v="3623389-1458729472-126"/>
    <n v="0"/>
    <d v="2016-03-31T00:00:00"/>
    <x v="2228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3389-1458729472-126] [23/03/2016 at 10:37:00]"/>
  </r>
  <r>
    <s v="3623386-1458729462-119"/>
    <s v="Spot"/>
    <s v="3623386-1458729462-119"/>
    <n v="0"/>
    <d v="2016-03-31T00:00:00"/>
    <x v="2229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386-1458729462-119] [23/03/2016 at 10:37:00]"/>
  </r>
  <r>
    <s v="3623365-1458729441-224"/>
    <s v="Spot"/>
    <s v="3623365-1458729441-224"/>
    <n v="0"/>
    <d v="2016-03-31T00:00:00"/>
    <x v="2230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3365-1458729441-224] [23/03/2016 at 10:37:00]"/>
  </r>
  <r>
    <s v="3623359-1458729437-216"/>
    <s v="Spot"/>
    <s v="3623359-1458729437-216"/>
    <n v="0"/>
    <d v="2016-03-31T00:00:00"/>
    <x v="2231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3359-1458729437-216] [23/03/2016 at 10:37:00]"/>
  </r>
  <r>
    <s v="3623383-1458729453-101"/>
    <s v="Spot"/>
    <s v="3623383-1458729453-101"/>
    <n v="0"/>
    <d v="2016-03-31T00:00:00"/>
    <x v="2232"/>
    <s v="101"/>
    <s v="SELL"/>
    <n v="3.3978590544157004"/>
    <x v="0"/>
    <x v="0"/>
    <n v="38.090000000000003"/>
    <s v="Deal"/>
    <m/>
    <s v="Original Amount [EUR 11.21], Merchant Amount [EUR 11.21], Customer Amount [TRY 38.09], Status [APPROVED], Operation [3DAUTH], UUID [3623383-1458729453-101] [23/03/2016 at 10:37:00]"/>
  </r>
  <r>
    <s v="3623452-1458729556-216"/>
    <s v="Spot"/>
    <s v="3623452-1458729556-216"/>
    <n v="0"/>
    <d v="2016-03-31T00:00:00"/>
    <x v="2233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3452-1458729556-216] [23/03/2016 at 10:39:00]"/>
  </r>
  <r>
    <s v="3623344-1458729413-224"/>
    <s v="Spot"/>
    <s v="3623344-1458729413-224"/>
    <n v="0"/>
    <d v="2016-03-31T00:00:00"/>
    <x v="2234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3344-1458729413-224] [23/03/2016 at 10:36:00]"/>
  </r>
  <r>
    <s v="3623335-1458729363-187"/>
    <s v="Spot"/>
    <s v="3623335-1458729363-187"/>
    <n v="0"/>
    <d v="2016-03-31T00:00:00"/>
    <x v="2235"/>
    <s v="187"/>
    <s v="SELL"/>
    <n v="9.9413988657844996"/>
    <x v="0"/>
    <x v="1"/>
    <n v="105.18"/>
    <s v="Deal"/>
    <m/>
    <s v="Original Amount [EUR 10.58], Merchant Amount [EUR 10.58], Customer Amount [NOK 105.18], Status [APPROVED], Operation [DIRECT], UUID [3623335-1458729363-187] [23/03/2016 at 10:36:00]"/>
  </r>
  <r>
    <s v="3623332-1458729362-200"/>
    <s v="Spot"/>
    <s v="3623332-1458729362-200"/>
    <n v="0"/>
    <d v="2016-03-31T00:00:00"/>
    <x v="2236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3332-1458729362-200] [23/03/2016 at 10:36:00]"/>
  </r>
  <r>
    <s v="3623329-1458729357-224"/>
    <s v="Spot"/>
    <s v="3623329-1458729357-224"/>
    <n v="0"/>
    <d v="2016-03-31T00:00:00"/>
    <x v="2237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3329-1458729357-224] [23/03/2016 at 10:35:00]"/>
  </r>
  <r>
    <s v="3623317-1458729336-134"/>
    <s v="Spot"/>
    <s v="3623317-1458729336-134"/>
    <n v="0"/>
    <d v="2016-03-31T00:00:00"/>
    <x v="2238"/>
    <s v="134"/>
    <s v="SELL"/>
    <n v="132.99396551724138"/>
    <x v="0"/>
    <x v="3"/>
    <n v="1542.73"/>
    <s v="Deal"/>
    <m/>
    <s v="Original Amount [EUR 11.6], Merchant Amount [EUR 11.6], Customer Amount [JPY 1542.73], Status [APPROVED], Operation [DIRECT], UUID [3623317-1458729336-134] [23/03/2016 at 10:35:00]"/>
  </r>
  <r>
    <s v="3623314-1458729335-216"/>
    <s v="Spot"/>
    <s v="3623314-1458729335-216"/>
    <n v="0"/>
    <d v="2016-03-31T00:00:00"/>
    <x v="2239"/>
    <s v="216"/>
    <s v="SELL"/>
    <n v="3.3973483326637206"/>
    <x v="0"/>
    <x v="0"/>
    <n v="84.56"/>
    <s v="Deal"/>
    <m/>
    <s v="Original Amount [EUR 24.89], Merchant Amount [EUR 24.89], Customer Amount [TRY 84.56], Status [WAITING], Operation [3D], UUID [3623314-1458729335-216] [23/03/2016 at 10:35:00]"/>
  </r>
  <r>
    <s v="3623320-1458729339-216"/>
    <s v="Spot"/>
    <s v="3623320-1458729339-216"/>
    <n v="0"/>
    <d v="2016-03-31T00:00:00"/>
    <x v="2240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23320-1458729339-216] [23/03/2016 at 10:35:00]"/>
  </r>
  <r>
    <s v="3623293-1458729292-241"/>
    <s v="Spot"/>
    <s v="3623293-1458729292-241"/>
    <n v="0"/>
    <d v="2016-03-31T00:00:00"/>
    <x v="2241"/>
    <s v="241"/>
    <s v="SELL"/>
    <n v="9.9412353088272063"/>
    <x v="0"/>
    <x v="1"/>
    <n v="397.55"/>
    <s v="Deal"/>
    <m/>
    <s v="Original Amount [EUR 39.99], Merchant Amount [EUR 39.99], Customer Amount [NOK 397.55], Status [APPROVED], Operation [DIRECT], UUID [3623293-1458729292-241] [23/03/2016 at 10:34:00]"/>
  </r>
  <r>
    <s v="3623290-1458729286-199"/>
    <s v="Spot"/>
    <s v="3623290-1458729286-199"/>
    <n v="0"/>
    <d v="2016-03-31T00:00:00"/>
    <x v="2242"/>
    <s v="199"/>
    <s v="SELL"/>
    <n v="9.9410836401893725"/>
    <x v="0"/>
    <x v="1"/>
    <n v="377.96"/>
    <s v="Deal"/>
    <m/>
    <s v="Original Amount [EUR 38.02], Merchant Amount [EUR 38.02], Customer Amount [NOK 377.96], Status [APPROVED], Operation [DIRECT], UUID [3623290-1458729286-199] [23/03/2016 at 10:34:00]"/>
  </r>
  <r>
    <s v="3623284-1458729283-119"/>
    <s v="Spot"/>
    <s v="3623284-1458729283-119"/>
    <n v="0"/>
    <d v="2016-03-31T00:00:00"/>
    <x v="2243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284-1458729283-119] [23/03/2016 at 10:34:00]"/>
  </r>
  <r>
    <s v="3623272-1458729266-224"/>
    <s v="Spot"/>
    <s v="3623272-1458729266-224"/>
    <n v="0"/>
    <d v="2016-03-31T00:00:00"/>
    <x v="2244"/>
    <s v="224"/>
    <s v="SELL"/>
    <n v="132.99333670715251"/>
    <x v="0"/>
    <x v="3"/>
    <n v="15767.69"/>
    <s v="Deal"/>
    <m/>
    <s v="Original Amount [EUR 118.56], Merchant Amount [EUR 118.56], Customer Amount [JPY 15767.69], Status [APPROVED], Operation [DIRECT], UUID [3623272-1458729266-224] [23/03/2016 at 10:34:00]"/>
  </r>
  <r>
    <s v="3623269-1458729264-126"/>
    <s v="Spot"/>
    <s v="3623269-1458729264-126"/>
    <n v="0"/>
    <d v="2016-03-31T00:00:00"/>
    <x v="2245"/>
    <s v="126"/>
    <s v="SELL"/>
    <n v="9.9410731707317073"/>
    <x v="0"/>
    <x v="1"/>
    <n v="1018.96"/>
    <s v="Deal"/>
    <m/>
    <s v="Original Amount [EUR 102.5], Merchant Amount [EUR 102.5], Customer Amount [NOK 1018.96], Status [APPROVED], Operation [DIRECT], UUID [3623269-1458729264-126] [23/03/2016 at 10:34:00]"/>
  </r>
  <r>
    <s v="3623266-1458729263-154"/>
    <s v="Spot"/>
    <s v="3623266-1458729263-154"/>
    <n v="0"/>
    <d v="2016-03-31T00:00:00"/>
    <x v="2246"/>
    <s v="154"/>
    <s v="SELL"/>
    <n v="9.9415000000000013"/>
    <x v="0"/>
    <x v="1"/>
    <n v="198.83"/>
    <s v="Deal"/>
    <m/>
    <s v="Original Amount [EUR 20], Merchant Amount [EUR 20], Customer Amount [NOK 198.83], Status [WAITING], Operation [3D], UUID [3623266-1458729263-154] [23/03/2016 at 10:34:00]"/>
  </r>
  <r>
    <s v="3623251-1458729246-187"/>
    <s v="Spot"/>
    <s v="3623251-1458729246-187"/>
    <n v="0"/>
    <d v="2016-03-31T00:00:00"/>
    <x v="2247"/>
    <s v="187"/>
    <s v="SELL"/>
    <n v="9.9411987143127245"/>
    <x v="0"/>
    <x v="1"/>
    <n v="525.79"/>
    <s v="Deal"/>
    <m/>
    <s v="Original Amount [EUR 52.89], Merchant Amount [EUR 52.89], Customer Amount [NOK 525.79], Status [APPROVED], Operation [DIRECT], UUID [3623251-1458729246-187] [23/03/2016 at 10:34:00]"/>
  </r>
  <r>
    <s v="3623248-1458729242-134"/>
    <s v="Spot"/>
    <s v="3623248-1458729242-134"/>
    <n v="0"/>
    <d v="2016-03-31T00:00:00"/>
    <x v="2248"/>
    <s v="134"/>
    <s v="SELL"/>
    <n v="132.99331778634854"/>
    <x v="0"/>
    <x v="3"/>
    <n v="59309.7"/>
    <s v="Deal"/>
    <m/>
    <s v="Original Amount [EUR 445.96], Merchant Amount [EUR 445.96], Customer Amount [JPY 59309.7], Status [APPROVED], Operation [STORED], UUID [3623248-1458729242-134] [23/03/2016 at 10:34:00]"/>
  </r>
  <r>
    <s v="3623245-1458729241-171"/>
    <s v="Spot"/>
    <s v="3623245-1458729241-171"/>
    <n v="0"/>
    <d v="2016-03-31T00:00:00"/>
    <x v="2249"/>
    <s v="171"/>
    <s v="SELL"/>
    <n v="9.9410833333333333"/>
    <x v="0"/>
    <x v="1"/>
    <n v="1192.93"/>
    <s v="Deal"/>
    <m/>
    <s v="Original Amount [EUR 120], Merchant Amount [EUR 120], Customer Amount [NOK 1192.93], Status [APPROVED], Operation [DIRECT], UUID [3623245-1458729241-171] [23/03/2016 at 10:34:00]"/>
  </r>
  <r>
    <s v="3623239-1458729221-101"/>
    <s v="Spot"/>
    <s v="3623239-1458729221-101"/>
    <n v="0"/>
    <d v="2016-03-31T00:00:00"/>
    <x v="2250"/>
    <s v="101"/>
    <s v="SELL"/>
    <n v="3.3975"/>
    <x v="0"/>
    <x v="0"/>
    <n v="27.18"/>
    <s v="Deal"/>
    <m/>
    <s v="Original Amount [EUR 8], Merchant Amount [EUR 8], Customer Amount [TRY 27.18], Status [WAITING], Operation [3D], UUID [3623239-1458729221-101] [23/03/2016 at 10:33:00]"/>
  </r>
  <r>
    <s v="3623308-1458729313-56"/>
    <s v="Spot"/>
    <s v="3623308-1458729313-56"/>
    <n v="0"/>
    <d v="2016-03-31T00:00:00"/>
    <x v="2251"/>
    <s v="56"/>
    <s v="SELL"/>
    <n v="3.3977055449330789"/>
    <x v="0"/>
    <x v="0"/>
    <n v="53.31"/>
    <s v="Deal"/>
    <m/>
    <s v="Original Amount [EUR 15.69], Merchant Amount [EUR 15.69], Customer Amount [TRY 53.31], Status [APPROVED], Operation [3DAUTH], UUID [3623308-1458729313-56] [23/03/2016 at 10:35:00]"/>
  </r>
  <r>
    <s v="3623233-1458729216-126"/>
    <s v="Spot"/>
    <s v="3623233-1458729216-126"/>
    <n v="0"/>
    <d v="2016-03-31T00:00:00"/>
    <x v="2252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3233-1458729216-126] [23/03/2016 at 10:33:00]"/>
  </r>
  <r>
    <s v="3623242-1458729232-124"/>
    <s v="Spot"/>
    <s v="3623242-1458729232-124"/>
    <n v="0"/>
    <d v="2016-03-31T00:00:00"/>
    <x v="2253"/>
    <s v="124"/>
    <s v="SELL"/>
    <n v="9.9411086474501094"/>
    <x v="0"/>
    <x v="1"/>
    <n v="1120.8599999999999"/>
    <s v="Deal"/>
    <m/>
    <s v="Original Amount [EUR 112.75], Merchant Amount [EUR 112.75], Customer Amount [NOK 1120.86], Status [APPROVED], Operation [3DAUTH], UUID [3623242-1458729232-124] [23/03/2016 at 10:33:00]"/>
  </r>
  <r>
    <s v="3623221-1458729203-224"/>
    <s v="Spot"/>
    <s v="3623221-1458729203-224"/>
    <n v="0"/>
    <d v="2016-03-31T00:00:00"/>
    <x v="2254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3221-1458729203-224] [23/03/2016 at 10:33:00]"/>
  </r>
  <r>
    <s v="3623227-1458729206-107"/>
    <s v="Spot"/>
    <s v="3623227-1458729206-107"/>
    <n v="0"/>
    <d v="2016-03-31T00:00:00"/>
    <x v="2255"/>
    <s v="107"/>
    <s v="SELL"/>
    <n v="3.3979999999999997"/>
    <x v="0"/>
    <x v="0"/>
    <n v="33.979999999999997"/>
    <s v="Deal"/>
    <m/>
    <s v="Original Amount [EUR 10], Merchant Amount [EUR 10], Customer Amount [TRY 33.98], Status [APPROVED], Operation [3DAUTH], UUID [3623227-1458729206-107] [23/03/2016 at 10:33:00]"/>
  </r>
  <r>
    <s v="3623206-1458729178-119"/>
    <s v="Spot"/>
    <s v="3623206-1458729178-119"/>
    <n v="0"/>
    <d v="2016-03-31T00:00:00"/>
    <x v="2256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3206-1458729178-119] [23/03/2016 at 10:32:00]"/>
  </r>
  <r>
    <s v="3623200-1458729173-101"/>
    <s v="Spot"/>
    <s v="3623200-1458729173-101"/>
    <n v="0"/>
    <d v="2016-03-31T00:00:00"/>
    <x v="2257"/>
    <s v="101"/>
    <s v="SELL"/>
    <n v="3.3966271080574639"/>
    <x v="0"/>
    <x v="0"/>
    <n v="54.38"/>
    <s v="Deal"/>
    <m/>
    <s v="Original Amount [EUR 16.01], Merchant Amount [EUR 16.01], Customer Amount [TRY 54.38], Status [APPROVED], Operation [3DAUTH], UUID [3623200-1458729173-101] [23/03/2016 at 10:32:00]"/>
  </r>
  <r>
    <s v="3623173-1458729126-101"/>
    <s v="Spot"/>
    <s v="3623173-1458729126-101"/>
    <n v="0"/>
    <d v="2016-03-31T00:00:00"/>
    <x v="2258"/>
    <s v="101"/>
    <s v="SELL"/>
    <n v="3.3975"/>
    <x v="0"/>
    <x v="0"/>
    <n v="27.18"/>
    <s v="Deal"/>
    <m/>
    <s v="Original Amount [EUR 8], Merchant Amount [EUR 8], Customer Amount [TRY 27.18], Status [WAITING], Operation [3D], UUID [3623173-1458729126-101] [23/03/2016 at 10:32:00]"/>
  </r>
  <r>
    <s v="3623170-1458729121-161"/>
    <s v="Spot"/>
    <s v="3623170-1458729121-161"/>
    <n v="0"/>
    <d v="2016-03-31T00:00:00"/>
    <x v="2259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3170-1458729121-161] [23/03/2016 at 10:32:00]"/>
  </r>
  <r>
    <s v="3623143-1458729091-161"/>
    <s v="Spot"/>
    <s v="3623143-1458729091-161"/>
    <n v="0"/>
    <d v="2016-03-31T00:00:00"/>
    <x v="2260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3143-1458729091-161] [23/03/2016 at 10:31:00]"/>
  </r>
  <r>
    <s v="3623134-1458729082-199"/>
    <s v="Spot"/>
    <s v="3623134-1458729082-199"/>
    <n v="0"/>
    <d v="2016-03-31T00:00:00"/>
    <x v="2261"/>
    <s v="199"/>
    <s v="SELL"/>
    <n v="9.9506013745704465"/>
    <x v="0"/>
    <x v="1"/>
    <n v="1621.55"/>
    <s v="Deal"/>
    <m/>
    <s v="Original Amount [EUR 162.96], Merchant Amount [EUR 162.96], Customer Amount [NOK 1621.55], Status [APPROVED], Operation [DIRECT], UUID [3623134-1458729082-199] [23/03/2016 at 10:31:00]"/>
  </r>
  <r>
    <s v="3623131-1458729080-101"/>
    <s v="Spot"/>
    <s v="3623131-1458729080-101"/>
    <n v="0"/>
    <d v="2016-03-31T00:00:00"/>
    <x v="2262"/>
    <s v="101"/>
    <s v="SELL"/>
    <n v="3.3966271080574639"/>
    <x v="0"/>
    <x v="0"/>
    <n v="54.38"/>
    <s v="Deal"/>
    <m/>
    <s v="Original Amount [EUR 16.01], Merchant Amount [EUR 16.01], Customer Amount [TRY 54.38], Status [WAITING], Operation [3D], UUID [3623131-1458729080-101] [23/03/2016 at 10:31:00]"/>
  </r>
  <r>
    <s v="3623164-1458729117-203"/>
    <s v="Spot"/>
    <s v="3623164-1458729117-203"/>
    <n v="0"/>
    <d v="2016-03-31T00:00:00"/>
    <x v="2263"/>
    <s v="203"/>
    <s v="SELL"/>
    <n v="3.3965804613151245"/>
    <x v="0"/>
    <x v="0"/>
    <n v="631.73"/>
    <s v="Deal"/>
    <m/>
    <s v="Original Amount [EUR 185.99], Merchant Amount [EUR 185.99], Customer Amount [TRY 631.73], Status [APPROVED], Operation [3DAUTH], UUID [3623164-1458729117-203] [23/03/2016 at 10:31:00]"/>
  </r>
  <r>
    <s v="3623119-1458729071-101"/>
    <s v="Spot"/>
    <s v="3623119-1458729071-101"/>
    <n v="0"/>
    <d v="2016-03-31T00:00:00"/>
    <x v="2264"/>
    <s v="101"/>
    <s v="SELL"/>
    <n v="3.3975"/>
    <x v="0"/>
    <x v="0"/>
    <n v="27.18"/>
    <s v="Deal"/>
    <m/>
    <s v="Original Amount [EUR 8], Merchant Amount [EUR 8], Customer Amount [TRY 27.18], Status [WAITING], Operation [3D], UUID [3623119-1458729071-101] [23/03/2016 at 10:31:00]"/>
  </r>
  <r>
    <s v="3623107-1458729061-236"/>
    <s v="Spot"/>
    <s v="3623107-1458729061-236"/>
    <n v="0"/>
    <d v="2016-03-31T00:00:00"/>
    <x v="2265"/>
    <s v="236"/>
    <s v="BUY"/>
    <n v="0.81600000000000006"/>
    <x v="0"/>
    <x v="4"/>
    <n v="1.02"/>
    <s v="Deal"/>
    <m/>
    <s v="Original Amount [EUR 1.25], Merchant Amount [EUR 1.25], Customer Amount [GBP 1.02], Status [APPROVED], Operation [REFUND], UUID [3623107-1458729061-236] [23/03/2016 at 10:31:00]"/>
  </r>
  <r>
    <s v="3623098-1458729053-126"/>
    <s v="Spot"/>
    <s v="3623098-1458729053-126"/>
    <n v="0"/>
    <d v="2016-03-31T00:00:00"/>
    <x v="2266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3098-1458729053-126] [23/03/2016 at 10:30:00]"/>
  </r>
  <r>
    <s v="3623095-1458729052-161"/>
    <s v="Spot"/>
    <s v="3623095-1458729052-161"/>
    <n v="0"/>
    <d v="2016-03-31T00:00:00"/>
    <x v="2267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23095-1458729052-161] [23/03/2016 at 10:30:00]"/>
  </r>
  <r>
    <s v="3623086-1458729046-236"/>
    <s v="Spot"/>
    <s v="3623086-1458729046-236"/>
    <n v="0"/>
    <d v="2016-03-31T00:00:00"/>
    <x v="2268"/>
    <s v="236"/>
    <s v="BUY"/>
    <n v="0.83183413777972792"/>
    <x v="0"/>
    <x v="4"/>
    <n v="75.83"/>
    <s v="Deal"/>
    <m/>
    <s v="Original Amount [EUR 91.16], Merchant Amount [EUR 91.16], Customer Amount [GBP 75.83], Status [APPROVED], Operation [REFUND], UUID [3623086-1458729046-236] [23/03/2016 at 10:30:00]"/>
  </r>
  <r>
    <s v="3623077-1458729032-161"/>
    <s v="Spot"/>
    <s v="3623077-1458729032-161"/>
    <n v="0"/>
    <d v="2016-03-31T00:00:00"/>
    <x v="2269"/>
    <s v="161"/>
    <s v="SELL"/>
    <n v="1.5560128029263831"/>
    <x v="0"/>
    <x v="5"/>
    <n v="34.03"/>
    <s v="Deal"/>
    <m/>
    <s v="Original Amount [EUR 21.87], Merchant Amount [EUR 21.87], Customer Amount [AUD 34.03], Status [APPROVED], Operation [STORED], UUID [3623077-1458729032-161] [23/03/2016 at 10:30:00]"/>
  </r>
  <r>
    <s v="3623071-1458729027-56"/>
    <s v="Spot"/>
    <s v="3623071-1458729027-56"/>
    <n v="0"/>
    <d v="2016-03-31T00:00:00"/>
    <x v="2270"/>
    <s v="56"/>
    <s v="BUY"/>
    <n v="3.4097744360902253"/>
    <x v="0"/>
    <x v="0"/>
    <n v="27.21"/>
    <s v="Deal"/>
    <m/>
    <s v="Original Amount [EUR 7.98], Merchant Amount [EUR 7.98], Customer Amount [TRY 27.21], Status [APPROVED], Operation [REFUND], UUID [3623071-1458729027-56] [23/03/2016 at 10:30:00]"/>
  </r>
  <r>
    <s v="3623053-1458729015-187"/>
    <s v="Spot"/>
    <s v="3623053-1458729015-187"/>
    <n v="0"/>
    <d v="2016-03-31T00:00:00"/>
    <x v="2271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23053-1458729015-187] [23/03/2016 at 10:30:00]"/>
  </r>
  <r>
    <s v="3623038-1458729001-224"/>
    <s v="Spot"/>
    <s v="3623038-1458729001-224"/>
    <n v="0"/>
    <d v="2016-03-31T00:00:00"/>
    <x v="2272"/>
    <s v="224"/>
    <s v="SELL"/>
    <n v="132.88304093567251"/>
    <x v="0"/>
    <x v="3"/>
    <n v="3635.68"/>
    <s v="Deal"/>
    <m/>
    <s v="Original Amount [EUR 27.36], Merchant Amount [EUR 27.36], Customer Amount [JPY 3635.68], Status [APPROVED], Operation [DIRECT], UUID [3623038-1458729001-224] [23/03/2016 at 10:30:00]"/>
  </r>
  <r>
    <s v="3623065-1458729024-145"/>
    <s v="Spot"/>
    <s v="3623065-1458729024-145"/>
    <n v="0"/>
    <d v="2016-03-31T00:00:00"/>
    <x v="2273"/>
    <s v="145"/>
    <s v="SELL"/>
    <n v="1.5462111000410244"/>
    <x v="0"/>
    <x v="2"/>
    <n v="263.83"/>
    <s v="Deal"/>
    <m/>
    <s v="Original Amount [EUR 170.63], Merchant Amount [EUR 170.63], Customer Amount [CAD 263.83], Status [APPROVED], Operation [3DAUTH], UUID [3623065-1458729024-145] [23/03/2016 at 10:30:00]"/>
  </r>
  <r>
    <s v="3623101-1458729056-216"/>
    <s v="Spot"/>
    <s v="3623101-1458729056-216"/>
    <n v="0"/>
    <d v="2016-03-31T00:00:00"/>
    <x v="2274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101-1458729056-216] [23/03/2016 at 10:30:00]"/>
  </r>
  <r>
    <s v="3623059-1458729018-216"/>
    <s v="Spot"/>
    <s v="3623059-1458729018-216"/>
    <n v="0"/>
    <d v="2016-03-31T00:00:00"/>
    <x v="2275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059-1458729018-216] [23/03/2016 at 10:30:00]"/>
  </r>
  <r>
    <s v="3623023-1458728980-224"/>
    <s v="Spot"/>
    <s v="3623023-1458728980-224"/>
    <n v="0"/>
    <d v="2016-03-31T00:00:00"/>
    <x v="2276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3023-1458728980-224] [23/03/2016 at 10:29:00]"/>
  </r>
  <r>
    <s v="3623020-1458728980-101"/>
    <s v="Spot"/>
    <s v="3623020-1458728980-101"/>
    <n v="0"/>
    <d v="2016-03-31T00:00:00"/>
    <x v="2277"/>
    <s v="101"/>
    <s v="SELL"/>
    <n v="3.3972517176764518"/>
    <x v="0"/>
    <x v="0"/>
    <n v="54.39"/>
    <s v="Deal"/>
    <m/>
    <s v="Original Amount [EUR 16.01], Merchant Amount [EUR 16.01], Customer Amount [TRY 54.39], Status [WAITING], Operation [3D], UUID [3623020-1458728980-101] [23/03/2016 at 10:29:00]"/>
  </r>
  <r>
    <s v="3623017-1458728974-56"/>
    <s v="Spot"/>
    <s v="3623017-1458728974-56"/>
    <n v="0"/>
    <d v="2016-03-31T00:00:00"/>
    <x v="2278"/>
    <s v="56"/>
    <s v="SELL"/>
    <n v="3.3975"/>
    <x v="0"/>
    <x v="0"/>
    <n v="27.18"/>
    <s v="Deal"/>
    <m/>
    <s v="Original Amount [EUR 8], Merchant Amount [EUR 8], Customer Amount [TRY 27.18], Status [APPROVED], Operation [3DAUTH], UUID [3623017-1458728974-56] [23/03/2016 at 10:29:00]"/>
  </r>
  <r>
    <s v="3623014-1458728957-107"/>
    <s v="Spot"/>
    <s v="3623014-1458728957-107"/>
    <n v="0"/>
    <d v="2016-03-31T00:00:00"/>
    <x v="2279"/>
    <s v="107"/>
    <s v="SELL"/>
    <n v="3.3972602739726026"/>
    <x v="0"/>
    <x v="0"/>
    <n v="34.72"/>
    <s v="Deal"/>
    <m/>
    <s v="Original Amount [EUR 10.22], Merchant Amount [EUR 10.22], Customer Amount [TRY 34.72], Status [APPROVED], Operation [3DAUTH], UUID [3623014-1458728957-107] [23/03/2016 at 10:29:00]"/>
  </r>
  <r>
    <s v="3622984-1458728911-224"/>
    <s v="Spot"/>
    <s v="3622984-1458728911-224"/>
    <n v="0"/>
    <d v="2016-03-31T00:00:00"/>
    <x v="2280"/>
    <s v="224"/>
    <s v="SELL"/>
    <n v="132.88277223379757"/>
    <x v="0"/>
    <x v="3"/>
    <n v="12117.58"/>
    <s v="Deal"/>
    <m/>
    <s v="Original Amount [EUR 91.19], Merchant Amount [EUR 91.19], Customer Amount [JPY 12117.58], Status [APPROVED], Operation [DIRECT], UUID [3622984-1458728911-224] [23/03/2016 at 10:28:00]"/>
  </r>
  <r>
    <s v="3622999-1458728939-126"/>
    <s v="Spot"/>
    <s v="3622999-1458728939-126"/>
    <n v="0"/>
    <d v="2016-03-31T00:00:00"/>
    <x v="2281"/>
    <s v="126"/>
    <s v="SELL"/>
    <n v="9.9551219512195122"/>
    <x v="0"/>
    <x v="1"/>
    <n v="102.04"/>
    <s v="Deal"/>
    <m/>
    <s v="Original Amount [EUR 10.25], Merchant Amount [EUR 10.25], Customer Amount [NOK 102.04], Status [APPROVED], Operation [3DAUTH], UUID [3622999-1458728939-126] [23/03/2016 at 10:28:00]"/>
  </r>
  <r>
    <s v="3622978-1458728902-126"/>
    <s v="Spot"/>
    <s v="3622978-1458728902-126"/>
    <n v="0"/>
    <d v="2016-03-31T00:00:00"/>
    <x v="2282"/>
    <s v="126"/>
    <s v="SELL"/>
    <n v="9.9545853658536583"/>
    <x v="0"/>
    <x v="1"/>
    <n v="2040.69"/>
    <s v="Deal"/>
    <m/>
    <s v="Original Amount [EUR 205], Merchant Amount [EUR 205], Customer Amount [NOK 2040.69], Status [APPROVED], Operation [DIRECT], UUID [3622978-1458728902-126] [23/03/2016 at 10:28:00]"/>
  </r>
  <r>
    <s v="3622969-1458728895-187"/>
    <s v="Spot"/>
    <s v="3622969-1458728895-187"/>
    <n v="0"/>
    <d v="2016-03-31T00:00:00"/>
    <x v="2283"/>
    <s v="187"/>
    <s v="SELL"/>
    <n v="9.9545686574783065"/>
    <x v="0"/>
    <x v="1"/>
    <n v="5265.27"/>
    <s v="Deal"/>
    <m/>
    <s v="Original Amount [EUR 528.93], Merchant Amount [EUR 528.93], Customer Amount [NOK 5265.27], Status [APPROVED], Operation [DIRECT], UUID [3622969-1458728895-187] [23/03/2016 at 10:28:00]"/>
  </r>
  <r>
    <s v="3622990-1458728927-162"/>
    <s v="Spot"/>
    <s v="3622990-1458728927-162"/>
    <n v="0"/>
    <d v="2016-03-31T00:00:00"/>
    <x v="2284"/>
    <s v="162"/>
    <s v="SELL"/>
    <n v="3.3974193548387093"/>
    <x v="0"/>
    <x v="0"/>
    <n v="105.32"/>
    <s v="Deal"/>
    <m/>
    <s v="Original Amount [EUR 31], Merchant Amount [EUR 31], Customer Amount [TRY 105.32], Status [APPROVED], Operation [3DAUTH], UUID [3622990-1458728927-162] [23/03/2016 at 10:28:00]"/>
  </r>
  <r>
    <s v="3622960-1458728876-224"/>
    <s v="Spot"/>
    <s v="3622960-1458728876-224"/>
    <n v="0"/>
    <d v="2016-03-31T00:00:00"/>
    <x v="2285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2960-1458728876-224] [23/03/2016 at 10:27:00]"/>
  </r>
  <r>
    <s v="3622972-1458728898-107"/>
    <s v="Spot"/>
    <s v="3622972-1458728898-107"/>
    <n v="0"/>
    <d v="2016-03-31T00:00:00"/>
    <x v="2286"/>
    <s v="107"/>
    <s v="SELL"/>
    <n v="3.397353131052292"/>
    <x v="0"/>
    <x v="0"/>
    <n v="210.5"/>
    <s v="Deal"/>
    <m/>
    <s v="Original Amount [EUR 61.96], Merchant Amount [EUR 61.96], Customer Amount [TRY 210.5], Status [APPROVED], Operation [3DAUTH], UUID [3622972-1458728898-107] [23/03/2016 at 10:28:00]"/>
  </r>
  <r>
    <s v="3622948-1458728864-101"/>
    <s v="Spot"/>
    <s v="3622948-1458728864-101"/>
    <n v="0"/>
    <d v="2016-03-31T00:00:00"/>
    <x v="2287"/>
    <s v="101"/>
    <s v="SELL"/>
    <n v="3.3972517176764518"/>
    <x v="0"/>
    <x v="0"/>
    <n v="54.39"/>
    <s v="Deal"/>
    <m/>
    <s v="Original Amount [EUR 16.01], Merchant Amount [EUR 16.01], Customer Amount [TRY 54.39], Status [WAITING], Operation [3D], UUID [3622948-1458728864-101] [23/03/2016 at 10:27:00]"/>
  </r>
  <r>
    <s v="3622945-1458728864-200"/>
    <s v="Spot"/>
    <s v="3622945-1458728864-200"/>
    <n v="0"/>
    <d v="2016-03-31T00:00:00"/>
    <x v="2288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2945-1458728864-200] [23/03/2016 at 10:27:00]"/>
  </r>
  <r>
    <s v="3622933-1458728821-119"/>
    <s v="Spot"/>
    <s v="3622933-1458728821-119"/>
    <n v="0"/>
    <d v="2016-03-31T00:00:00"/>
    <x v="2289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2933-1458728821-119] [23/03/2016 at 10:27:00]"/>
  </r>
  <r>
    <s v="3622927-1458728815-119"/>
    <s v="Spot"/>
    <s v="3622927-1458728815-119"/>
    <n v="0"/>
    <d v="2016-03-31T00:00:00"/>
    <x v="2290"/>
    <s v="119"/>
    <s v="SELL"/>
    <n v="9.9418000000000006"/>
    <x v="0"/>
    <x v="1"/>
    <n v="2982.54"/>
    <s v="Deal"/>
    <m/>
    <s v="Original Amount [EUR 300], Merchant Amount [EUR 300], Customer Amount [NOK 2982.54], Status [APPROVED], Operation [DIRECT], UUID [3622927-1458728815-119] [23/03/2016 at 10:26:00]"/>
  </r>
  <r>
    <s v="3622942-1458728856-126"/>
    <s v="Spot"/>
    <s v="3622942-1458728856-126"/>
    <n v="0"/>
    <d v="2016-03-31T00:00:00"/>
    <x v="2291"/>
    <s v="126"/>
    <s v="SELL"/>
    <n v="9.9418536585365853"/>
    <x v="0"/>
    <x v="1"/>
    <n v="509.52"/>
    <s v="Deal"/>
    <m/>
    <s v="Original Amount [EUR 51.25], Merchant Amount [EUR 51.25], Customer Amount [NOK 509.52], Status [APPROVED], Operation [3DAUTH], UUID [3622942-1458728856-126] [23/03/2016 at 10:27:00]"/>
  </r>
  <r>
    <s v="3622915-1458728787-238"/>
    <s v="Spot"/>
    <s v="3622915-1458728787-238"/>
    <n v="0"/>
    <d v="2016-03-31T00:00:00"/>
    <x v="2292"/>
    <s v="238"/>
    <s v="SELL"/>
    <n v="9.9433962264150928"/>
    <x v="0"/>
    <x v="1"/>
    <n v="21.08"/>
    <s v="Deal"/>
    <m/>
    <s v="Original Amount [EUR 2.12], Merchant Amount [EUR 2.12], Customer Amount [NOK 21.08], Status [APPROVED], Operation [DIRECT], UUID [3622915-1458728787-238] [23/03/2016 at 10:26:00]"/>
  </r>
  <r>
    <s v="3622900-1458728773-261"/>
    <s v="Spot"/>
    <s v="3622900-1458728773-261"/>
    <n v="0"/>
    <d v="2016-03-31T00:00:00"/>
    <x v="2293"/>
    <s v="261"/>
    <s v="SELL"/>
    <n v="9.9420380180741663"/>
    <x v="0"/>
    <x v="1"/>
    <n v="319.04000000000002"/>
    <s v="Deal"/>
    <m/>
    <s v="Original Amount [EUR 32.09], Merchant Amount [EUR 32.09], Customer Amount [NOK 319.04], Status [APPROVED], Operation [DIRECT], UUID [3622900-1458728773-261] [23/03/2016 at 10:26:00]"/>
  </r>
  <r>
    <s v="3622894-1458728771-238"/>
    <s v="Spot"/>
    <s v="3622894-1458728771-238"/>
    <n v="0"/>
    <d v="2016-03-31T00:00:00"/>
    <x v="2294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894-1458728771-238] [23/03/2016 at 10:26:00]"/>
  </r>
  <r>
    <s v="3622912-1458728787-102"/>
    <s v="Spot"/>
    <s v="3622912-1458728787-102"/>
    <n v="0"/>
    <d v="2016-03-31T00:00:00"/>
    <x v="2295"/>
    <s v="102"/>
    <s v="SELL"/>
    <n v="3.3970357454228419"/>
    <x v="0"/>
    <x v="0"/>
    <n v="194.82"/>
    <s v="Deal"/>
    <m/>
    <s v="Original Amount [EUR 57.35], Merchant Amount [EUR 57.35], Customer Amount [TRY 194.82], Status [APPROVED], Operation [3DAUTH], UUID [3622912-1458728787-102] [23/03/2016 at 10:26:00]"/>
  </r>
  <r>
    <s v="3622909-1458728780-124"/>
    <s v="Spot"/>
    <s v="3622909-1458728780-124"/>
    <n v="0"/>
    <d v="2016-03-31T00:00:00"/>
    <x v="2296"/>
    <s v="124"/>
    <s v="SELL"/>
    <n v="9.9419512195121946"/>
    <x v="0"/>
    <x v="1"/>
    <n v="407.62"/>
    <s v="Deal"/>
    <m/>
    <s v="Original Amount [EUR 41], Merchant Amount [EUR 41], Customer Amount [NOK 407.62], Status [APPROVED], Operation [3DAUTH], UUID [3622909-1458728780-124] [23/03/2016 at 10:26:00]"/>
  </r>
  <r>
    <s v="3622873-1458728733-216"/>
    <s v="Spot"/>
    <s v="3622873-1458728733-216"/>
    <n v="0"/>
    <d v="2016-03-31T00:00:00"/>
    <x v="2297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2873-1458728733-216] [23/03/2016 at 10:25:00]"/>
  </r>
  <r>
    <s v="3622861-1458728709-187"/>
    <s v="Spot"/>
    <s v="3622861-1458728709-187"/>
    <n v="0"/>
    <d v="2016-03-31T00:00:00"/>
    <x v="2298"/>
    <s v="187"/>
    <s v="SELL"/>
    <n v="9.9424398625429546"/>
    <x v="0"/>
    <x v="1"/>
    <n v="115.73"/>
    <s v="Deal"/>
    <m/>
    <s v="Original Amount [EUR 11.64], Merchant Amount [EUR 11.64], Customer Amount [NOK 115.73], Status [APPROVED], Operation [DIRECT], UUID [3622861-1458728709-187] [23/03/2016 at 10:25:00]"/>
  </r>
  <r>
    <s v="3622882-1458728754-101"/>
    <s v="Spot"/>
    <s v="3622882-1458728754-101"/>
    <n v="0"/>
    <d v="2016-03-31T00:00:00"/>
    <x v="2299"/>
    <s v="101"/>
    <s v="SELL"/>
    <n v="3.3970190922190198"/>
    <x v="0"/>
    <x v="0"/>
    <n v="754.41"/>
    <s v="Deal"/>
    <m/>
    <s v="Original Amount [EUR 222.08], Merchant Amount [EUR 222.08], Customer Amount [TRY 754.41], Status [APPROVED], Operation [3DAUTH], UUID [3622882-1458728754-101] [23/03/2016 at 10:25:00]"/>
  </r>
  <r>
    <s v="3622876-1458728745-216"/>
    <s v="Spot"/>
    <s v="3622876-1458728745-216"/>
    <n v="0"/>
    <d v="2016-03-31T00:00:00"/>
    <x v="2300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2876-1458728745-216] [23/03/2016 at 10:25:00]"/>
  </r>
  <r>
    <s v="3622852-1458728696-126"/>
    <s v="Spot"/>
    <s v="3622852-1458728696-126"/>
    <n v="0"/>
    <d v="2016-03-31T00:00:00"/>
    <x v="2301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2852-1458728696-126] [23/03/2016 at 10:24:00]"/>
  </r>
  <r>
    <s v="3622849-1458728694-187"/>
    <s v="Spot"/>
    <s v="3622849-1458728694-187"/>
    <n v="0"/>
    <d v="2016-03-31T00:00:00"/>
    <x v="2302"/>
    <s v="187"/>
    <s v="SELL"/>
    <n v="9.9418070444104156"/>
    <x v="0"/>
    <x v="1"/>
    <n v="5258.52"/>
    <s v="Deal"/>
    <m/>
    <s v="Original Amount [EUR 528.93], Merchant Amount [EUR 528.93], Customer Amount [NOK 5258.52], Status [APPROVED], Operation [DIRECT], UUID [3622849-1458728694-187] [23/03/2016 at 10:24:00]"/>
  </r>
  <r>
    <s v="3622834-1458728679-125"/>
    <s v="Spot"/>
    <s v="3622834-1458728679-125"/>
    <n v="0"/>
    <d v="2016-03-31T00:00:00"/>
    <x v="2303"/>
    <s v="125"/>
    <s v="SELL"/>
    <n v="9.9420000000000002"/>
    <x v="0"/>
    <x v="1"/>
    <n v="149.13"/>
    <s v="Deal"/>
    <m/>
    <s v="Original Amount [EUR 15], Merchant Amount [EUR 15], Customer Amount [NOK 149.13], Status [APPROVED], Operation [DIRECT], UUID [3622834-1458728679-125] [23/03/2016 at 10:24:00]"/>
  </r>
  <r>
    <s v="3622825-1458728668-126"/>
    <s v="Spot"/>
    <s v="3622825-1458728668-126"/>
    <n v="0"/>
    <d v="2016-03-31T00:00:00"/>
    <x v="2304"/>
    <s v="126"/>
    <s v="SELL"/>
    <n v="9.9418536585365853"/>
    <x v="0"/>
    <x v="1"/>
    <n v="509.52"/>
    <s v="Deal"/>
    <m/>
    <s v="Original Amount [EUR 51.25], Merchant Amount [EUR 51.25], Customer Amount [NOK 509.52], Status [APPROVED], Operation [DIRECT], UUID [3622825-1458728668-126] [23/03/2016 at 10:24:00]"/>
  </r>
  <r>
    <s v="3622846-1458728692-56"/>
    <s v="Spot"/>
    <s v="3622846-1458728692-56"/>
    <n v="0"/>
    <d v="2016-03-31T00:00:00"/>
    <x v="2305"/>
    <s v="56"/>
    <s v="SELL"/>
    <n v="3.3975"/>
    <x v="0"/>
    <x v="0"/>
    <n v="27.18"/>
    <s v="Deal"/>
    <m/>
    <s v="Original Amount [EUR 8], Merchant Amount [EUR 8], Customer Amount [TRY 27.18], Status [APPROVED], Operation [3DAUTH], UUID [3622846-1458728692-56] [23/03/2016 at 10:24:00]"/>
  </r>
  <r>
    <s v="3622837-1458728680-107"/>
    <s v="Spot"/>
    <s v="3622837-1458728680-107"/>
    <n v="0"/>
    <d v="2016-03-31T00:00:00"/>
    <x v="2306"/>
    <s v="107"/>
    <s v="SELL"/>
    <n v="3.3970588235294117"/>
    <x v="0"/>
    <x v="0"/>
    <n v="189.42"/>
    <s v="Deal"/>
    <m/>
    <s v="Original Amount [EUR 55.76], Merchant Amount [EUR 55.76], Customer Amount [TRY 189.42], Status [APPROVED], Operation [3DAUTH], UUID [3622837-1458728680-107] [23/03/2016 at 10:24:00]"/>
  </r>
  <r>
    <s v="3622810-1458728645-238"/>
    <s v="Spot"/>
    <s v="3622810-1458728645-238"/>
    <n v="0"/>
    <d v="2016-03-31T00:00:00"/>
    <x v="230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810-1458728645-238] [23/03/2016 at 10:24:00]"/>
  </r>
  <r>
    <s v="3622801-1458728615-216"/>
    <s v="Spot"/>
    <s v="3622801-1458728615-216"/>
    <n v="0"/>
    <d v="2016-03-31T00:00:00"/>
    <x v="2308"/>
    <s v="216"/>
    <s v="SELL"/>
    <n v="3.3920534910633924"/>
    <x v="0"/>
    <x v="0"/>
    <n v="263.8"/>
    <s v="Deal"/>
    <m/>
    <s v="Original Amount [EUR 77.77], Merchant Amount [EUR 77.77], Customer Amount [TRY 263.8], Status [WAITING], Operation [3D], UUID [3622801-1458728615-216] [23/03/2016 at 10:23:00]"/>
  </r>
  <r>
    <s v="3622831-1458728679-101"/>
    <s v="Spot"/>
    <s v="3622831-1458728679-101"/>
    <n v="0"/>
    <d v="2016-03-31T00:00:00"/>
    <x v="2309"/>
    <s v="101"/>
    <s v="SELL"/>
    <n v="3.3921323758975959"/>
    <x v="0"/>
    <x v="0"/>
    <n v="108.65"/>
    <s v="Deal"/>
    <m/>
    <s v="Original Amount [EUR 32.03], Merchant Amount [EUR 32.03], Customer Amount [TRY 108.65], Status [APPROVED], Operation [3DAUTH], UUID [3622831-1458728679-101] [23/03/2016 at 10:24:00]"/>
  </r>
  <r>
    <s v="3622804-1458728636-56"/>
    <s v="Spot"/>
    <s v="3622804-1458728636-56"/>
    <n v="0"/>
    <d v="2016-03-31T00:00:00"/>
    <x v="2310"/>
    <s v="56"/>
    <s v="SELL"/>
    <n v="3.3923611111111107"/>
    <x v="0"/>
    <x v="0"/>
    <n v="29.31"/>
    <s v="Deal"/>
    <m/>
    <s v="Original Amount [EUR 8.64], Merchant Amount [EUR 8.64], Customer Amount [TRY 29.31], Status [APPROVED], Operation [3DAUTH], UUID [3622804-1458728636-56] [23/03/2016 at 10:23:00]"/>
  </r>
  <r>
    <s v="3622792-1458728610-126"/>
    <s v="Spot"/>
    <s v="3622792-1458728610-126"/>
    <n v="0"/>
    <d v="2016-03-31T00:00:00"/>
    <x v="2311"/>
    <s v="126"/>
    <s v="SELL"/>
    <n v="9.9410731707317073"/>
    <x v="0"/>
    <x v="1"/>
    <n v="509.48"/>
    <s v="Deal"/>
    <m/>
    <s v="Original Amount [EUR 51.25], Merchant Amount [EUR 51.25], Customer Amount [NOK 509.48], Status [APPROVED], Operation [DIRECT], UUID [3622792-1458728610-126] [23/03/2016 at 10:23:00]"/>
  </r>
  <r>
    <s v="3622789-1458728604-199"/>
    <s v="Spot"/>
    <s v="3622789-1458728604-199"/>
    <n v="0"/>
    <d v="2016-03-31T00:00:00"/>
    <x v="2312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2789-1458728604-199] [23/03/2016 at 10:23:00]"/>
  </r>
  <r>
    <s v="3622786-1458728600-200"/>
    <s v="Spot"/>
    <s v="3622786-1458728600-200"/>
    <n v="0"/>
    <d v="2016-03-31T00:00:00"/>
    <x v="2313"/>
    <s v="200"/>
    <s v="SELL"/>
    <n v="9.941058394160585"/>
    <x v="0"/>
    <x v="1"/>
    <n v="544.77"/>
    <s v="Deal"/>
    <m/>
    <s v="Original Amount [EUR 54.8], Merchant Amount [EUR 54.8], Customer Amount [NOK 544.77], Status [APPROVED], Operation [STORED], UUID [3622786-1458728600-200] [23/03/2016 at 10:23:00]"/>
  </r>
  <r>
    <s v="3622783-1458728595-126"/>
    <s v="Spot"/>
    <s v="3622783-1458728595-126"/>
    <n v="0"/>
    <d v="2016-03-31T00:00:00"/>
    <x v="2314"/>
    <s v="126"/>
    <s v="SELL"/>
    <n v="9.9414824447334205"/>
    <x v="0"/>
    <x v="1"/>
    <n v="152.9"/>
    <s v="Deal"/>
    <m/>
    <s v="Original Amount [EUR 15.38], Merchant Amount [EUR 15.38], Customer Amount [NOK 152.9], Status [APPROVED], Operation [DIRECT], UUID [3622783-1458728595-126] [23/03/2016 at 10:23:00]"/>
  </r>
  <r>
    <s v="3622807-1458728638-216"/>
    <s v="Spot"/>
    <s v="3622807-1458728638-216"/>
    <n v="0"/>
    <d v="2016-03-31T00:00:00"/>
    <x v="2315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2807-1458728638-216] [23/03/2016 at 10:23:00]"/>
  </r>
  <r>
    <s v="3622771-1458728557-119"/>
    <s v="Spot"/>
    <s v="3622771-1458728557-119"/>
    <n v="0"/>
    <d v="2016-03-31T00:00:00"/>
    <x v="2316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2771-1458728557-119] [23/03/2016 at 10:22:00]"/>
  </r>
  <r>
    <s v="3622768-1458728545-126"/>
    <s v="Spot"/>
    <s v="3622768-1458728545-126"/>
    <n v="0"/>
    <d v="2016-03-31T00:00:00"/>
    <x v="2317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2768-1458728545-126] [23/03/2016 at 10:22:00]"/>
  </r>
  <r>
    <s v="3622765-1458728540-224"/>
    <s v="Spot"/>
    <s v="3622765-1458728540-224"/>
    <n v="0"/>
    <d v="2016-03-31T00:00:00"/>
    <x v="2318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2765-1458728540-224] [23/03/2016 at 10:22:00]"/>
  </r>
  <r>
    <s v="3622777-1458728559-216"/>
    <s v="Spot"/>
    <s v="3622777-1458728559-216"/>
    <n v="0"/>
    <d v="2016-03-31T00:00:00"/>
    <x v="2319"/>
    <s v="216"/>
    <s v="SELL"/>
    <n v="3.392156862745098"/>
    <x v="0"/>
    <x v="0"/>
    <n v="105.53"/>
    <s v="Deal"/>
    <m/>
    <s v="Original Amount [EUR 31.11], Merchant Amount [EUR 31.11], Customer Amount [TRY 105.53], Status [APPROVED], Operation [3DAUTH], UUID [3622777-1458728559-216] [23/03/2016 at 10:22:00]"/>
  </r>
  <r>
    <s v="3622759-1458728532-126"/>
    <s v="Spot"/>
    <s v="3622759-1458728532-126"/>
    <n v="0"/>
    <d v="2016-03-31T00:00:00"/>
    <x v="2320"/>
    <s v="126"/>
    <s v="SELL"/>
    <n v="9.9410731707317073"/>
    <x v="0"/>
    <x v="1"/>
    <n v="3056.88"/>
    <s v="Deal"/>
    <m/>
    <s v="Original Amount [EUR 307.5], Merchant Amount [EUR 307.5], Customer Amount [NOK 3056.88], Status [APPROVED], Operation [DIRECT], UUID [3622759-1458728532-126] [23/03/2016 at 10:22:00]"/>
  </r>
  <r>
    <s v="3622756-1458728525-224"/>
    <s v="Spot"/>
    <s v="3622756-1458728525-224"/>
    <n v="0"/>
    <d v="2016-03-31T00:00:00"/>
    <x v="2321"/>
    <s v="224"/>
    <s v="SELL"/>
    <n v="9.9411259131929537"/>
    <x v="0"/>
    <x v="1"/>
    <n v="925.32"/>
    <s v="Deal"/>
    <m/>
    <s v="Original Amount [EUR 93.08], Merchant Amount [EUR 93.08], Customer Amount [NOK 925.32], Status [APPROVED], Operation [DIRECT], UUID [3622756-1458728525-224] [23/03/2016 at 10:22:00]"/>
  </r>
  <r>
    <s v="3622750-1458728512-119"/>
    <s v="Spot"/>
    <s v="3622750-1458728512-119"/>
    <n v="0"/>
    <d v="2016-03-31T00:00:00"/>
    <x v="2322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2750-1458728512-119] [23/03/2016 at 10:21:00]"/>
  </r>
  <r>
    <s v="3622747-1458728501-224"/>
    <s v="Spot"/>
    <s v="3622747-1458728501-224"/>
    <n v="0"/>
    <d v="2016-03-31T00:00:00"/>
    <x v="2323"/>
    <s v="224"/>
    <s v="SELL"/>
    <n v="9.9410949410949421"/>
    <x v="0"/>
    <x v="1"/>
    <n v="430.35"/>
    <s v="Deal"/>
    <m/>
    <s v="Original Amount [EUR 43.29], Merchant Amount [EUR 43.29], Customer Amount [NOK 430.35], Status [APPROVED], Operation [DIRECT], UUID [3622747-1458728501-224] [23/03/2016 at 10:21:00]"/>
  </r>
  <r>
    <s v="3622738-1458728483-199"/>
    <s v="Spot"/>
    <s v="3622738-1458728483-199"/>
    <n v="0"/>
    <d v="2016-03-31T00:00:00"/>
    <x v="2324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2738-1458728483-199] [23/03/2016 at 10:21:00]"/>
  </r>
  <r>
    <s v="3622735-1458728482-82"/>
    <s v="Spot"/>
    <s v="3622735-1458728482-82"/>
    <n v="0"/>
    <d v="2016-03-31T00:00:00"/>
    <x v="2325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735-1458728482-82] [23/03/2016 at 10:21:00]"/>
  </r>
  <r>
    <s v="3622729-1458728470-200"/>
    <s v="Spot"/>
    <s v="3622729-1458728470-200"/>
    <n v="0"/>
    <d v="2016-03-31T00:00:00"/>
    <x v="2326"/>
    <s v="200"/>
    <s v="SELL"/>
    <n v="9.9413017031630169"/>
    <x v="0"/>
    <x v="1"/>
    <n v="326.87"/>
    <s v="Deal"/>
    <m/>
    <s v="Original Amount [EUR 32.88], Merchant Amount [EUR 32.88], Customer Amount [NOK 326.87], Status [APPROVED], Operation [STORED], UUID [3622729-1458728470-200] [23/03/2016 at 10:21:00]"/>
  </r>
  <r>
    <s v="3622723-1458728454-216"/>
    <s v="Spot"/>
    <s v="3622723-1458728454-216"/>
    <n v="0"/>
    <d v="2016-03-31T00:00:00"/>
    <x v="2327"/>
    <s v="216"/>
    <s v="SELL"/>
    <n v="3.3973483326637206"/>
    <x v="0"/>
    <x v="0"/>
    <n v="84.56"/>
    <s v="Deal"/>
    <m/>
    <s v="Original Amount [EUR 24.89], Merchant Amount [EUR 24.89], Customer Amount [TRY 84.56], Status [WAITING], Operation [3D], UUID [3622723-1458728454-216] [23/03/2016 at 10:20:00]"/>
  </r>
  <r>
    <s v="3622717-1458728451-119"/>
    <s v="Spot"/>
    <s v="3622717-1458728451-119"/>
    <n v="0"/>
    <d v="2016-03-31T00:00:00"/>
    <x v="2328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2717-1458728451-119] [23/03/2016 at 10:20:00]"/>
  </r>
  <r>
    <s v="3622732-1458728482-119"/>
    <s v="Spot"/>
    <s v="3622732-1458728482-119"/>
    <n v="0"/>
    <d v="2016-03-31T00:00:00"/>
    <x v="2329"/>
    <s v="119"/>
    <s v="SELL"/>
    <n v="9.9505999999999997"/>
    <x v="0"/>
    <x v="1"/>
    <n v="497.53"/>
    <s v="Deal"/>
    <m/>
    <s v="Original Amount [EUR 50], Merchant Amount [EUR 50], Customer Amount [NOK 497.53], Status [APPROVED], Operation [3DAUTH], UUID [3622732-1458728482-119] [23/03/2016 at 10:21:00]"/>
  </r>
  <r>
    <s v="3622702-1458728434-187"/>
    <s v="Spot"/>
    <s v="3622702-1458728434-187"/>
    <n v="0"/>
    <d v="2016-03-31T00:00:00"/>
    <x v="2330"/>
    <s v="187"/>
    <s v="SELL"/>
    <n v="9.9505605656703153"/>
    <x v="0"/>
    <x v="1"/>
    <n v="5263.15"/>
    <s v="Deal"/>
    <m/>
    <s v="Original Amount [EUR 528.93], Merchant Amount [EUR 528.93], Customer Amount [NOK 5263.15], Status [APPROVED], Operation [DIRECT], UUID [3622702-1458728434-187] [23/03/2016 at 10:20:00]"/>
  </r>
  <r>
    <s v="3622699-1458728433-82"/>
    <s v="Spot"/>
    <s v="3622699-1458728433-82"/>
    <n v="0"/>
    <d v="2016-03-31T00:00:00"/>
    <x v="2331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699-1458728433-82] [23/03/2016 at 10:20:00]"/>
  </r>
  <r>
    <s v="3622705-1458728443-56"/>
    <s v="Spot"/>
    <s v="3622705-1458728443-56"/>
    <n v="0"/>
    <d v="2016-03-31T00:00:00"/>
    <x v="2332"/>
    <s v="56"/>
    <s v="SELL"/>
    <n v="3.3971539456662354"/>
    <x v="0"/>
    <x v="0"/>
    <n v="26.26"/>
    <s v="Deal"/>
    <m/>
    <s v="Original Amount [EUR 7.73], Merchant Amount [EUR 7.73], Customer Amount [TRY 26.26], Status [APPROVED], Operation [3DAUTH], UUID [3622705-1458728443-56] [23/03/2016 at 10:20:00]"/>
  </r>
  <r>
    <s v="3622687-1458728401-224"/>
    <s v="Spot"/>
    <s v="3622687-1458728401-224"/>
    <n v="0"/>
    <d v="2016-03-31T00:00:00"/>
    <x v="2333"/>
    <s v="224"/>
    <s v="SELL"/>
    <n v="132.83276216586702"/>
    <x v="0"/>
    <x v="3"/>
    <n v="1938.03"/>
    <s v="Deal"/>
    <m/>
    <s v="Original Amount [EUR 14.59], Merchant Amount [EUR 14.59], Customer Amount [JPY 1938.03], Status [APPROVED], Operation [DIRECT], UUID [3622687-1458728401-224] [23/03/2016 at 10:20:00]"/>
  </r>
  <r>
    <s v="3622684-1458728393-224"/>
    <s v="Spot"/>
    <s v="3622684-1458728393-224"/>
    <n v="0"/>
    <d v="2016-03-31T00:00:00"/>
    <x v="2334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22684-1458728393-224] [23/03/2016 at 10:19:00]"/>
  </r>
  <r>
    <s v="3622681-1458728387-261"/>
    <s v="Spot"/>
    <s v="3622681-1458728387-261"/>
    <n v="0"/>
    <d v="2016-03-31T00:00:00"/>
    <x v="2335"/>
    <s v="261"/>
    <s v="SELL"/>
    <n v="9.9507788161993762"/>
    <x v="0"/>
    <x v="1"/>
    <n v="159.71"/>
    <s v="Deal"/>
    <m/>
    <s v="Original Amount [EUR 16.05], Merchant Amount [EUR 16.05], Customer Amount [NOK 159.71], Status [APPROVED], Operation [DIRECT], UUID [3622681-1458728387-261] [23/03/2016 at 10:19:00]"/>
  </r>
  <r>
    <s v="3623254-1458729246-102"/>
    <s v="Spot"/>
    <s v="3623254-1458729246-102"/>
    <n v="0"/>
    <d v="2016-03-31T00:00:00"/>
    <x v="2336"/>
    <s v="102"/>
    <s v="SELL"/>
    <n v="3.3978494623655915"/>
    <x v="0"/>
    <x v="0"/>
    <n v="31.6"/>
    <s v="Deal"/>
    <m/>
    <s v="Original Amount [EUR 9.3], Merchant Amount [EUR 9.3], Customer Amount [TRY 31.6], Status [APPROVED], Operation [3DAUTH], UUID [3623254-1458729246-102] [23/03/2016 at 10:34:00]"/>
  </r>
  <r>
    <s v="3622672-1458728368-224"/>
    <s v="Spot"/>
    <s v="3622672-1458728368-224"/>
    <n v="0"/>
    <d v="2016-03-31T00:00:00"/>
    <x v="2337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22672-1458728368-224] [23/03/2016 at 10:19:00]"/>
  </r>
  <r>
    <s v="3622660-1458728357-56"/>
    <s v="Spot"/>
    <s v="3622660-1458728357-56"/>
    <n v="0"/>
    <d v="2016-03-31T00:00:00"/>
    <x v="2338"/>
    <s v="56"/>
    <s v="SELL"/>
    <n v="3.3975"/>
    <x v="0"/>
    <x v="0"/>
    <n v="27.18"/>
    <s v="Deal"/>
    <m/>
    <s v="Original Amount [EUR 8], Merchant Amount [EUR 8], Customer Amount [TRY 27.18], Status [APPROVED], Operation [3DAUTH], UUID [3622660-1458728357-56] [23/03/2016 at 10:19:00]"/>
  </r>
  <r>
    <s v="3622651-1458728328-216"/>
    <s v="Spot"/>
    <s v="3622651-1458728328-216"/>
    <n v="0"/>
    <d v="2016-03-31T00:00:00"/>
    <x v="2339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2651-1458728328-216] [23/03/2016 at 10:18:00]"/>
  </r>
  <r>
    <s v="3622648-1458728327-102"/>
    <s v="Spot"/>
    <s v="3622648-1458728327-102"/>
    <n v="0"/>
    <d v="2016-03-31T00:00:00"/>
    <x v="2340"/>
    <s v="102"/>
    <s v="SELL"/>
    <n v="3.3978494623655915"/>
    <x v="0"/>
    <x v="0"/>
    <n v="31.6"/>
    <s v="Deal"/>
    <m/>
    <s v="Original Amount [EUR 9.3], Merchant Amount [EUR 9.3], Customer Amount [TRY 31.6], Status [WAITING], Operation [3D], UUID [3622648-1458728327-102] [23/03/2016 at 10:18:00]"/>
  </r>
  <r>
    <s v="3622645-1458728325-145"/>
    <s v="Spot"/>
    <s v="3622645-1458728325-145"/>
    <n v="0"/>
    <d v="2016-03-31T00:00:00"/>
    <x v="2341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2645-1458728325-145] [23/03/2016 at 10:18:00]"/>
  </r>
  <r>
    <s v="3622642-1458728325-224"/>
    <s v="Spot"/>
    <s v="3622642-1458728325-224"/>
    <n v="0"/>
    <d v="2016-03-31T00:00:00"/>
    <x v="2342"/>
    <s v="224"/>
    <s v="SELL"/>
    <n v="9.9505697566984921"/>
    <x v="0"/>
    <x v="1"/>
    <n v="646.19000000000005"/>
    <s v="Deal"/>
    <m/>
    <s v="Original Amount [EUR 64.94], Merchant Amount [EUR 64.94], Customer Amount [NOK 646.19], Status [APPROVED], Operation [DIRECT], UUID [3622642-1458728325-224] [23/03/2016 at 10:18:00]"/>
  </r>
  <r>
    <s v="3622639-1458728312-200"/>
    <s v="Spot"/>
    <s v="3622639-1458728312-200"/>
    <n v="0"/>
    <d v="2016-03-31T00:00:00"/>
    <x v="2343"/>
    <s v="200"/>
    <s v="SELL"/>
    <n v="9.9505999999999997"/>
    <x v="0"/>
    <x v="1"/>
    <n v="497.53"/>
    <s v="Deal"/>
    <m/>
    <s v="Original Amount [EUR 50], Merchant Amount [EUR 50], Customer Amount [NOK 497.53], Status [APPROVED], Operation [STORED], UUID [3622639-1458728312-200] [23/03/2016 at 10:18:00]"/>
  </r>
  <r>
    <s v="3622627-1458728293-224"/>
    <s v="Spot"/>
    <s v="3622627-1458728293-224"/>
    <n v="0"/>
    <d v="2016-03-31T00:00:00"/>
    <x v="2344"/>
    <s v="224"/>
    <s v="SELL"/>
    <n v="9.9506210861307878"/>
    <x v="0"/>
    <x v="1"/>
    <n v="969.29"/>
    <s v="Deal"/>
    <m/>
    <s v="Original Amount [EUR 97.41], Merchant Amount [EUR 97.41], Customer Amount [NOK 969.29], Status [APPROVED], Operation [DIRECT], UUID [3622627-1458728293-224] [23/03/2016 at 10:18:00]"/>
  </r>
  <r>
    <s v="3622630-1458728303-56"/>
    <s v="Spot"/>
    <s v="3622630-1458728303-56"/>
    <n v="0"/>
    <d v="2016-03-31T00:00:00"/>
    <x v="2345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2630-1458728303-56] [23/03/2016 at 10:18:00]"/>
  </r>
  <r>
    <s v="3622618-1458728275-199"/>
    <s v="Spot"/>
    <s v="3622618-1458728275-199"/>
    <n v="0"/>
    <d v="2016-03-31T00:00:00"/>
    <x v="234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22618-1458728275-199] [23/03/2016 at 10:17:00]"/>
  </r>
  <r>
    <s v="3622609-1458728267-119"/>
    <s v="Spot"/>
    <s v="3622609-1458728267-119"/>
    <n v="0"/>
    <d v="2016-03-31T00:00:00"/>
    <x v="2347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22609-1458728267-119] [23/03/2016 at 10:17:00]"/>
  </r>
  <r>
    <s v="3622606-1458728261-126"/>
    <s v="Spot"/>
    <s v="3622606-1458728261-126"/>
    <n v="0"/>
    <d v="2016-03-31T00:00:00"/>
    <x v="2348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2606-1458728261-126] [23/03/2016 at 10:17:00]"/>
  </r>
  <r>
    <s v="3622585-1458728246-82"/>
    <s v="Spot"/>
    <s v="3622585-1458728246-82"/>
    <n v="0"/>
    <d v="2016-03-31T00:00:00"/>
    <x v="2349"/>
    <s v="82"/>
    <s v="SELL"/>
    <n v="0.8362068965517242"/>
    <x v="0"/>
    <x v="4"/>
    <n v="1.94"/>
    <s v="Deal"/>
    <m/>
    <s v="Original Amount [GBP 1.94], Merchant Amount [EUR 2.32], Customer Amount [GBP 1.94], Status [APPROVED], Operation [DIRECT], UUID [3622585-1458728246-82] [23/03/2016 at 10:17:00]"/>
  </r>
  <r>
    <s v="3622582-1458728242-119"/>
    <s v="Spot"/>
    <s v="3622582-1458728242-119"/>
    <n v="0"/>
    <d v="2016-03-31T00:00:00"/>
    <x v="2350"/>
    <s v="119"/>
    <s v="SELL"/>
    <n v="9.9505999999999997"/>
    <x v="0"/>
    <x v="1"/>
    <n v="1492.59"/>
    <s v="Deal"/>
    <m/>
    <s v="Original Amount [EUR 150], Merchant Amount [EUR 150], Customer Amount [NOK 1492.59], Status [APPROVED], Operation [DIRECT], UUID [3622582-1458728242-119] [23/03/2016 at 10:17:00]"/>
  </r>
  <r>
    <s v="3622591-1458728250-107"/>
    <s v="Spot"/>
    <s v="3622591-1458728250-107"/>
    <n v="0"/>
    <d v="2016-03-31T00:00:00"/>
    <x v="2351"/>
    <s v="107"/>
    <s v="SELL"/>
    <n v="3.397371472748357"/>
    <x v="0"/>
    <x v="0"/>
    <n v="87.89"/>
    <s v="Deal"/>
    <m/>
    <s v="Original Amount [EUR 25.87], Merchant Amount [EUR 25.87], Customer Amount [TRY 87.89], Status [APPROVED], Operation [3DAUTH], UUID [3622591-1458728250-107] [23/03/2016 at 10:17:00]"/>
  </r>
  <r>
    <s v="3622573-1458728228-238"/>
    <s v="Spot"/>
    <s v="3622573-1458728228-238"/>
    <n v="0"/>
    <d v="2016-03-31T00:00:00"/>
    <x v="2352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573-1458728228-238] [23/03/2016 at 10:17:00]"/>
  </r>
  <r>
    <s v="3622600-1458728257-203"/>
    <s v="Spot"/>
    <s v="3622600-1458728257-203"/>
    <n v="0"/>
    <d v="2016-03-31T00:00:00"/>
    <x v="2353"/>
    <s v="203"/>
    <s v="SELL"/>
    <n v="3.3974193548387093"/>
    <x v="0"/>
    <x v="0"/>
    <n v="52.66"/>
    <s v="Deal"/>
    <m/>
    <s v="Original Amount [EUR 15.5], Merchant Amount [EUR 15.5], Customer Amount [TRY 52.66], Status [APPROVED], Operation [3DAUTH], UUID [3622600-1458728257-203] [23/03/2016 at 10:17:00]"/>
  </r>
  <r>
    <s v="3622567-1458728226-126"/>
    <s v="Spot"/>
    <s v="3622567-1458728226-126"/>
    <n v="0"/>
    <d v="2016-03-31T00:00:00"/>
    <x v="2354"/>
    <s v="126"/>
    <s v="SELL"/>
    <n v="9.9505691056910575"/>
    <x v="0"/>
    <x v="1"/>
    <n v="305.98"/>
    <s v="Deal"/>
    <m/>
    <s v="Original Amount [EUR 30.75], Merchant Amount [EUR 30.75], Customer Amount [NOK 305.98], Status [APPROVED], Operation [DIRECT], UUID [3622567-1458728226-126] [23/03/2016 at 10:17:00]"/>
  </r>
  <r>
    <s v="3622564-1458728215-82"/>
    <s v="Spot"/>
    <s v="3622564-1458728215-82"/>
    <n v="0"/>
    <d v="2016-03-31T00:00:00"/>
    <x v="2355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22564-1458728215-82] [23/03/2016 at 10:16:00]"/>
  </r>
  <r>
    <s v="3622555-1458728199-119"/>
    <s v="Spot"/>
    <s v="3622555-1458728199-119"/>
    <n v="0"/>
    <d v="2016-03-31T00:00:00"/>
    <x v="2356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2555-1458728199-119] [23/03/2016 at 10:16:00]"/>
  </r>
  <r>
    <s v="3622549-1458728181-145"/>
    <s v="Spot"/>
    <s v="3622549-1458728181-145"/>
    <n v="0"/>
    <d v="2016-03-31T00:00:00"/>
    <x v="2357"/>
    <s v="145"/>
    <s v="SELL"/>
    <n v="9.9509665252239508"/>
    <x v="0"/>
    <x v="1"/>
    <n v="211.06"/>
    <s v="Deal"/>
    <m/>
    <s v="Original Amount [EUR 21.21], Merchant Amount [EUR 21.21], Customer Amount [NOK 211.06], Status [APPROVED], Operation [DIRECT], UUID [3622549-1458728181-145] [23/03/2016 at 10:16:00]"/>
  </r>
  <r>
    <s v="3622546-1458728173-216"/>
    <s v="Spot"/>
    <s v="3622546-1458728173-216"/>
    <n v="0"/>
    <d v="2016-03-31T00:00:00"/>
    <x v="2358"/>
    <s v="216"/>
    <s v="SELL"/>
    <n v="3.3973097112860891"/>
    <x v="0"/>
    <x v="0"/>
    <n v="103.55"/>
    <s v="Deal"/>
    <m/>
    <s v="Original Amount [EUR 30.48], Merchant Amount [EUR 30.48], Customer Amount [TRY 103.55], Status [WAITING], Operation [3D], UUID [3622546-1458728173-216] [23/03/2016 at 10:16:00]"/>
  </r>
  <r>
    <s v="3622540-1458728165-224"/>
    <s v="Spot"/>
    <s v="3622540-1458728165-224"/>
    <n v="0"/>
    <d v="2016-03-31T00:00:00"/>
    <x v="2359"/>
    <s v="224"/>
    <s v="SELL"/>
    <n v="9.9507085643869377"/>
    <x v="0"/>
    <x v="1"/>
    <n v="161.5"/>
    <s v="Deal"/>
    <m/>
    <s v="Original Amount [EUR 16.23], Merchant Amount [EUR 16.23], Customer Amount [NOK 161.5], Status [APPROVED], Operation [DIRECT], UUID [3622540-1458728165-224] [23/03/2016 at 10:16:00]"/>
  </r>
  <r>
    <s v="3622552-1458728193-216"/>
    <s v="Spot"/>
    <s v="3622552-1458728193-216"/>
    <n v="0"/>
    <d v="2016-03-31T00:00:00"/>
    <x v="2360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2552-1458728193-216] [23/03/2016 at 10:16:00]"/>
  </r>
  <r>
    <s v="3622519-1458728133-216"/>
    <s v="Spot"/>
    <s v="3622519-1458728133-216"/>
    <n v="0"/>
    <d v="2016-03-31T00:00:00"/>
    <x v="2361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2519-1458728133-216] [23/03/2016 at 10:15:00]"/>
  </r>
  <r>
    <s v="3622513-1458728128-224"/>
    <s v="Spot"/>
    <s v="3622513-1458728128-224"/>
    <n v="0"/>
    <d v="2016-03-31T00:00:00"/>
    <x v="2362"/>
    <s v="224"/>
    <s v="SELL"/>
    <n v="132.99332906881111"/>
    <x v="0"/>
    <x v="3"/>
    <n v="14553.46"/>
    <s v="Deal"/>
    <m/>
    <s v="Original Amount [EUR 109.43], Merchant Amount [EUR 109.43], Customer Amount [JPY 14553.46], Status [APPROVED], Operation [DIRECT], UUID [3622513-1458728128-224] [23/03/2016 at 10:15:00]"/>
  </r>
  <r>
    <s v="3622528-1458728148-56"/>
    <s v="Spot"/>
    <s v="3622528-1458728148-56"/>
    <n v="0"/>
    <d v="2016-03-31T00:00:00"/>
    <x v="2363"/>
    <s v="56"/>
    <s v="SELL"/>
    <n v="3.3975"/>
    <x v="0"/>
    <x v="0"/>
    <n v="27.18"/>
    <s v="Deal"/>
    <m/>
    <s v="Original Amount [EUR 8], Merchant Amount [EUR 8], Customer Amount [TRY 27.18], Status [APPROVED], Operation [3DAUTH], UUID [3622528-1458728148-56] [23/03/2016 at 10:15:00]"/>
  </r>
  <r>
    <s v="3622486-1458728113-187"/>
    <s v="Spot"/>
    <s v="3622486-1458728113-187"/>
    <n v="0"/>
    <d v="2016-03-31T00:00:00"/>
    <x v="2364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22486-1458728113-187] [23/03/2016 at 10:15:00]"/>
  </r>
  <r>
    <s v="3622504-1458728123-216"/>
    <s v="Spot"/>
    <s v="3622504-1458728123-216"/>
    <n v="0"/>
    <d v="2016-03-31T00:00:00"/>
    <x v="2365"/>
    <s v="216"/>
    <s v="SELL"/>
    <n v="3.3919845692241752"/>
    <x v="0"/>
    <x v="0"/>
    <n v="158.27000000000001"/>
    <s v="Deal"/>
    <m/>
    <s v="Original Amount [EUR 46.66], Merchant Amount [EUR 46.66], Customer Amount [TRY 158.27], Status [APPROVED], Operation [3DAUTH], UUID [3622504-1458728123-216] [23/03/2016 at 10:15:00]"/>
  </r>
  <r>
    <s v="3622522-1458728134-150"/>
    <s v="Spot"/>
    <s v="3622522-1458728134-150"/>
    <n v="0"/>
    <d v="2016-03-31T00:00:00"/>
    <x v="2366"/>
    <s v="150"/>
    <s v="SELL"/>
    <n v="3.3923778851315087"/>
    <x v="0"/>
    <x v="0"/>
    <n v="63.2"/>
    <s v="Deal"/>
    <m/>
    <s v="Original Amount [EUR 18.63], Merchant Amount [EUR 18.63], Customer Amount [TRY 63.2], Status [APPROVED], Operation [3DAUTH], UUID [3622522-1458728134-150] [23/03/2016 at 10:15:00]"/>
  </r>
  <r>
    <s v="3622525-1458728135-216"/>
    <s v="Spot"/>
    <s v="3622525-1458728135-216"/>
    <n v="0"/>
    <d v="2016-03-31T00:00:00"/>
    <x v="2367"/>
    <s v="216"/>
    <s v="SELL"/>
    <n v="3.391938250428816"/>
    <x v="0"/>
    <x v="0"/>
    <n v="39.549999999999997"/>
    <s v="Deal"/>
    <m/>
    <s v="Original Amount [EUR 11.66], Merchant Amount [EUR 11.66], Customer Amount [TRY 39.55], Status [APPROVED], Operation [3DAUTH], UUID [3622525-1458728135-216] [23/03/2016 at 10:15:00]"/>
  </r>
  <r>
    <s v="3622456-1458728081-224"/>
    <s v="Spot"/>
    <s v="3622456-1458728081-224"/>
    <n v="0"/>
    <d v="2016-03-31T00:00:00"/>
    <x v="2368"/>
    <s v="224"/>
    <s v="SELL"/>
    <n v="9.942018942018942"/>
    <x v="0"/>
    <x v="1"/>
    <n v="430.39"/>
    <s v="Deal"/>
    <m/>
    <s v="Original Amount [EUR 43.29], Merchant Amount [EUR 43.29], Customer Amount [NOK 430.39], Status [APPROVED], Operation [DIRECT], UUID [3622456-1458728081-224] [23/03/2016 at 10:14:00]"/>
  </r>
  <r>
    <s v="3622438-1458728051-216"/>
    <s v="Spot"/>
    <s v="3622438-1458728051-216"/>
    <n v="0"/>
    <d v="2016-03-31T00:00:00"/>
    <x v="2369"/>
    <s v="216"/>
    <s v="SELL"/>
    <n v="3.3922829581993565"/>
    <x v="0"/>
    <x v="0"/>
    <n v="52.75"/>
    <s v="Deal"/>
    <m/>
    <s v="Original Amount [EUR 15.55], Merchant Amount [EUR 15.55], Customer Amount [TRY 52.75], Status [WAITING], Operation [3D], UUID [3622438-1458728051-216] [23/03/2016 at 10:14:00]"/>
  </r>
  <r>
    <s v="3622435-1458728048-200"/>
    <s v="Spot"/>
    <s v="3622435-1458728048-200"/>
    <n v="0"/>
    <d v="2016-03-31T00:00:00"/>
    <x v="2370"/>
    <s v="200"/>
    <s v="SELL"/>
    <n v="9.9417999999999989"/>
    <x v="0"/>
    <x v="1"/>
    <n v="994.18"/>
    <s v="Deal"/>
    <m/>
    <s v="Original Amount [EUR 100], Merchant Amount [EUR 100], Customer Amount [NOK 994.18], Status [APPROVED], Operation [STORED], UUID [3622435-1458728048-200] [23/03/2016 at 10:14:00]"/>
  </r>
  <r>
    <s v="3622423-1458728037-199"/>
    <s v="Spot"/>
    <s v="3622423-1458728037-199"/>
    <n v="0"/>
    <d v="2016-03-31T00:00:00"/>
    <x v="2371"/>
    <s v="199"/>
    <s v="SELL"/>
    <n v="9.9423312883435582"/>
    <x v="0"/>
    <x v="1"/>
    <n v="162.06"/>
    <s v="Deal"/>
    <m/>
    <s v="Original Amount [EUR 16.3], Merchant Amount [EUR 16.3], Customer Amount [NOK 162.06], Status [APPROVED], Operation [DIRECT], UUID [3622423-1458728037-199] [23/03/2016 at 10:13:00]"/>
  </r>
  <r>
    <s v="3622453-1458728080-216"/>
    <s v="Spot"/>
    <s v="3622453-1458728080-216"/>
    <n v="0"/>
    <d v="2016-03-31T00:00:00"/>
    <x v="2372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453-1458728080-216] [23/03/2016 at 10:14:00]"/>
  </r>
  <r>
    <s v="3622417-1458728024-119"/>
    <s v="Spot"/>
    <s v="3622417-1458728024-119"/>
    <n v="0"/>
    <d v="2016-03-31T00:00:00"/>
    <x v="2373"/>
    <s v="119"/>
    <s v="SELL"/>
    <n v="9.9417999999999989"/>
    <x v="0"/>
    <x v="1"/>
    <n v="994.18"/>
    <s v="Deal"/>
    <m/>
    <s v="Original Amount [EUR 100], Merchant Amount [EUR 100], Customer Amount [NOK 994.18], Status [APPROVED], Operation [DIRECT], UUID [3622417-1458728024-119] [23/03/2016 at 10:13:00]"/>
  </r>
  <r>
    <s v="3622444-1458728054-216"/>
    <s v="Spot"/>
    <s v="3622444-1458728054-216"/>
    <n v="0"/>
    <d v="2016-03-31T00:00:00"/>
    <x v="2374"/>
    <s v="216"/>
    <s v="SELL"/>
    <n v="3.3921859545004951"/>
    <x v="0"/>
    <x v="0"/>
    <n v="68.59"/>
    <s v="Deal"/>
    <m/>
    <s v="Original Amount [EUR 20.22], Merchant Amount [EUR 20.22], Customer Amount [TRY 68.59], Status [APPROVED], Operation [3DAUTH], UUID [3622444-1458728054-216] [23/03/2016 at 10:14:00]"/>
  </r>
  <r>
    <s v="3622432-1458728047-216"/>
    <s v="Spot"/>
    <s v="3622432-1458728047-216"/>
    <n v="0"/>
    <d v="2016-03-31T00:00:00"/>
    <x v="2375"/>
    <s v="216"/>
    <s v="SELL"/>
    <n v="3.391933330036105"/>
    <x v="0"/>
    <x v="0"/>
    <n v="1371.63"/>
    <s v="Deal"/>
    <m/>
    <s v="Original Amount [EUR 404.38], Merchant Amount [EUR 404.38], Customer Amount [TRY 1371.63], Status [APPROVED], Operation [3DAUTH], UUID [3622432-1458728047-216] [23/03/2016 at 10:14:00]"/>
  </r>
  <r>
    <s v="3622447-1458728059-101"/>
    <s v="Spot"/>
    <s v="3622447-1458728059-101"/>
    <n v="0"/>
    <d v="2016-03-31T00:00:00"/>
    <x v="2376"/>
    <s v="101"/>
    <s v="SELL"/>
    <n v="3.3923723335488036"/>
    <x v="0"/>
    <x v="0"/>
    <n v="52.48"/>
    <s v="Deal"/>
    <m/>
    <s v="Original Amount [EUR 15.47], Merchant Amount [EUR 15.47], Customer Amount [TRY 52.48], Status [APPROVED], Operation [3DAUTH], UUID [3622447-1458728059-101] [23/03/2016 at 10:14:00]"/>
  </r>
  <r>
    <s v="3622375-1458727987-82"/>
    <s v="Spot"/>
    <s v="3622375-1458727987-82"/>
    <n v="0"/>
    <d v="2016-03-31T00:00:00"/>
    <x v="237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375-1458727987-82] [23/03/2016 at 10:13:00]"/>
  </r>
  <r>
    <s v="3622408-1458728019-216"/>
    <s v="Spot"/>
    <s v="3622408-1458728019-216"/>
    <n v="0"/>
    <d v="2016-03-31T00:00:00"/>
    <x v="237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408-1458728019-216] [23/03/2016 at 10:13:00]"/>
  </r>
  <r>
    <s v="3622411-1458728022-203"/>
    <s v="Spot"/>
    <s v="3622411-1458728022-203"/>
    <n v="0"/>
    <d v="2016-03-31T00:00:00"/>
    <x v="2379"/>
    <s v="203"/>
    <s v="SELL"/>
    <n v="3.3922580645161293"/>
    <x v="0"/>
    <x v="0"/>
    <n v="78.87"/>
    <s v="Deal"/>
    <m/>
    <s v="Original Amount [EUR 23.25], Merchant Amount [EUR 23.25], Customer Amount [TRY 78.87], Status [APPROVED], Operation [3DAUTH], UUID [3622411-1458728022-203] [23/03/2016 at 10:13:00]"/>
  </r>
  <r>
    <s v="3622357-1458727972-119"/>
    <s v="Spot"/>
    <s v="3622357-1458727972-119"/>
    <n v="0"/>
    <d v="2016-03-31T00:00:00"/>
    <x v="2380"/>
    <s v="119"/>
    <s v="SELL"/>
    <n v="9.9418000000000006"/>
    <x v="0"/>
    <x v="1"/>
    <n v="1491.27"/>
    <s v="Deal"/>
    <m/>
    <s v="Original Amount [EUR 150], Merchant Amount [EUR 150], Customer Amount [NOK 1491.27], Status [APPROVED], Operation [DIRECT], UUID [3622357-1458727972-119] [23/03/2016 at 10:12:00]"/>
  </r>
  <r>
    <s v="3622390-1458728002-56"/>
    <s v="Spot"/>
    <s v="3622390-1458728002-56"/>
    <n v="0"/>
    <d v="2016-03-31T00:00:00"/>
    <x v="2381"/>
    <s v="56"/>
    <s v="SELL"/>
    <n v="3.3921323758975959"/>
    <x v="0"/>
    <x v="0"/>
    <n v="108.65"/>
    <s v="Deal"/>
    <m/>
    <s v="Original Amount [EUR 32.03], Merchant Amount [EUR 32.03], Customer Amount [TRY 108.65], Status [APPROVED], Operation [3DAUTH], UUID [3622390-1458728002-56] [23/03/2016 at 10:13:00]"/>
  </r>
  <r>
    <s v="3622336-1458727955-82"/>
    <s v="Spot"/>
    <s v="3622336-1458727955-82"/>
    <n v="0"/>
    <d v="2016-03-31T00:00:00"/>
    <x v="238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336-1458727955-82] [23/03/2016 at 10:12:00]"/>
  </r>
  <r>
    <s v="3622342-1458727967-264"/>
    <s v="Spot"/>
    <s v="3622342-1458727967-264"/>
    <n v="0"/>
    <d v="2016-03-31T00:00:00"/>
    <x v="2383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2342-1458727967-264] [23/03/2016 at 10:12:00]"/>
  </r>
  <r>
    <s v="3622345-1458727968-216"/>
    <s v="Spot"/>
    <s v="3622345-1458727968-216"/>
    <n v="0"/>
    <d v="2016-03-31T00:00:00"/>
    <x v="2384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345-1458727968-216] [23/03/2016 at 10:12:00]"/>
  </r>
  <r>
    <s v="3622327-1458727945-187"/>
    <s v="Spot"/>
    <s v="3622327-1458727945-187"/>
    <n v="0"/>
    <d v="2016-03-31T00:00:00"/>
    <x v="2385"/>
    <s v="187"/>
    <s v="SELL"/>
    <n v="9.9418622971482584"/>
    <x v="0"/>
    <x v="1"/>
    <n v="631.01"/>
    <s v="Deal"/>
    <m/>
    <s v="Original Amount [EUR 63.47], Merchant Amount [EUR 63.47], Customer Amount [NOK 631.01], Status [APPROVED], Operation [DIRECT], UUID [3622327-1458727945-187] [23/03/2016 at 10:12:00]"/>
  </r>
  <r>
    <s v="3622384-1458727996-101"/>
    <s v="Spot"/>
    <s v="3622384-1458727996-101"/>
    <n v="0"/>
    <d v="2016-03-31T00:00:00"/>
    <x v="2386"/>
    <s v="101"/>
    <s v="SELL"/>
    <n v="3.3921323758975959"/>
    <x v="0"/>
    <x v="0"/>
    <n v="108.65"/>
    <s v="Deal"/>
    <m/>
    <s v="Original Amount [EUR 32.03], Merchant Amount [EUR 32.03], Customer Amount [TRY 108.65], Status [APPROVED], Operation [3DAUTH], UUID [3622384-1458727996-101] [23/03/2016 at 10:13:00]"/>
  </r>
  <r>
    <s v="3622348-1458727968-216"/>
    <s v="Spot"/>
    <s v="3622348-1458727968-216"/>
    <n v="0"/>
    <d v="2016-03-31T00:00:00"/>
    <x v="2387"/>
    <s v="216"/>
    <s v="SELL"/>
    <n v="3.3921859545004951"/>
    <x v="0"/>
    <x v="0"/>
    <n v="68.59"/>
    <s v="Deal"/>
    <m/>
    <s v="Original Amount [EUR 20.22], Merchant Amount [EUR 20.22], Customer Amount [TRY 68.59], Status [APPROVED], Operation [3DAUTH], UUID [3622348-1458727968-216] [23/03/2016 at 10:12:00]"/>
  </r>
  <r>
    <s v="3622309-1458727927-82"/>
    <s v="Spot"/>
    <s v="3622309-1458727927-82"/>
    <n v="0"/>
    <d v="2016-03-31T00:00:00"/>
    <x v="2388"/>
    <s v="82"/>
    <s v="SELL"/>
    <n v="0.83539603960396036"/>
    <x v="0"/>
    <x v="4"/>
    <n v="13.5"/>
    <s v="Deal"/>
    <m/>
    <s v="Original Amount [GBP 13.5], Merchant Amount [EUR 16.16], Customer Amount [GBP 13.5], Status [APPROVED], Operation [DIRECT], UUID [3622309-1458727927-82] [23/03/2016 at 10:12:00]"/>
  </r>
  <r>
    <s v="3622297-1458727923-216"/>
    <s v="Spot"/>
    <s v="3622297-1458727923-216"/>
    <n v="0"/>
    <d v="2016-03-31T00:00:00"/>
    <x v="2389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2297-1458727923-216] [23/03/2016 at 10:12:00]"/>
  </r>
  <r>
    <s v="3622318-1458727938-101"/>
    <s v="Spot"/>
    <s v="3622318-1458727938-101"/>
    <n v="0"/>
    <d v="2016-03-31T00:00:00"/>
    <x v="2390"/>
    <s v="101"/>
    <s v="SELL"/>
    <n v="3.3970657093803656"/>
    <x v="0"/>
    <x v="0"/>
    <n v="435.3"/>
    <s v="Deal"/>
    <m/>
    <s v="Original Amount [EUR 128.14], Merchant Amount [EUR 128.14], Customer Amount [TRY 435.3], Status [APPROVED], Operation [3DAUTH], UUID [3622318-1458727938-101] [23/03/2016 at 10:12:00]"/>
  </r>
  <r>
    <s v="3622273-1458727903-199"/>
    <s v="Spot"/>
    <s v="3622273-1458727903-199"/>
    <n v="0"/>
    <d v="2016-03-31T00:00:00"/>
    <x v="2391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22273-1458727903-199] [23/03/2016 at 10:11:00]"/>
  </r>
  <r>
    <s v="3622315-1458727931-216"/>
    <s v="Spot"/>
    <s v="3622315-1458727931-216"/>
    <n v="0"/>
    <d v="2016-03-31T00:00:00"/>
    <x v="2392"/>
    <s v="216"/>
    <s v="SELL"/>
    <n v="3.397128161165881"/>
    <x v="0"/>
    <x v="0"/>
    <n v="158.51"/>
    <s v="Deal"/>
    <m/>
    <s v="Original Amount [EUR 46.66], Merchant Amount [EUR 46.66], Customer Amount [TRY 158.51], Status [APPROVED], Operation [3DAUTH], UUID [3622315-1458727931-216] [23/03/2016 at 10:12:00]"/>
  </r>
  <r>
    <s v="3622255-1458727886-224"/>
    <s v="Spot"/>
    <s v="3622255-1458727886-224"/>
    <n v="0"/>
    <d v="2016-03-31T00:00:00"/>
    <x v="2393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2255-1458727886-224] [23/03/2016 at 10:11:00]"/>
  </r>
  <r>
    <s v="3622279-1458727906-151"/>
    <s v="Spot"/>
    <s v="3622279-1458727906-151"/>
    <n v="0"/>
    <d v="2016-03-31T00:00:00"/>
    <x v="2394"/>
    <s v="151"/>
    <s v="SELL"/>
    <n v="3.3970694791079623"/>
    <x v="0"/>
    <x v="0"/>
    <n v="421.95"/>
    <s v="Deal"/>
    <m/>
    <s v="Original Amount [EUR 124.21], Merchant Amount [EUR 124.21], Customer Amount [TRY 421.95], Status [APPROVED], Operation [3DAUTH], UUID [3622279-1458727906-151] [23/03/2016 at 10:11:00]"/>
  </r>
  <r>
    <s v="3622246-1458727876-224"/>
    <s v="Spot"/>
    <s v="3622246-1458727876-224"/>
    <n v="0"/>
    <d v="2016-03-31T00:00:00"/>
    <x v="2395"/>
    <s v="224"/>
    <s v="SELL"/>
    <n v="9.9545609416137513"/>
    <x v="0"/>
    <x v="1"/>
    <n v="3213.83"/>
    <s v="Deal"/>
    <m/>
    <s v="Original Amount [EUR 322.85], Merchant Amount [EUR 322.85], Customer Amount [NOK 3213.83], Status [APPROVED], Operation [DIRECT], UUID [3622246-1458727876-224] [23/03/2016 at 10:11:00]"/>
  </r>
  <r>
    <s v="3622243-1458727870-126"/>
    <s v="Spot"/>
    <s v="3622243-1458727870-126"/>
    <n v="0"/>
    <d v="2016-03-31T00:00:00"/>
    <x v="239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2243-1458727870-126] [23/03/2016 at 10:11:00]"/>
  </r>
  <r>
    <s v="3622240-1458727870-216"/>
    <s v="Spot"/>
    <s v="3622240-1458727870-216"/>
    <n v="0"/>
    <d v="2016-03-31T00:00:00"/>
    <x v="2397"/>
    <s v="216"/>
    <s v="SELL"/>
    <n v="3.3972999035679847"/>
    <x v="0"/>
    <x v="0"/>
    <n v="105.69"/>
    <s v="Deal"/>
    <m/>
    <s v="Original Amount [EUR 31.11], Merchant Amount [EUR 31.11], Customer Amount [TRY 105.69], Status [WAITING], Operation [3D], UUID [3622240-1458727870-216] [23/03/2016 at 10:11:00]"/>
  </r>
  <r>
    <s v="3622237-1458727865-126"/>
    <s v="Spot"/>
    <s v="3622237-1458727865-126"/>
    <n v="0"/>
    <d v="2016-03-31T00:00:00"/>
    <x v="2398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22237-1458727865-126] [23/03/2016 at 10:11:00]"/>
  </r>
  <r>
    <s v="3622231-1458727856-126"/>
    <s v="Spot"/>
    <s v="3622231-1458727856-126"/>
    <n v="0"/>
    <d v="2016-03-31T00:00:00"/>
    <x v="2399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2231-1458727856-126] [23/03/2016 at 10:10:00]"/>
  </r>
  <r>
    <s v="3622225-1458727853-224"/>
    <s v="Spot"/>
    <s v="3622225-1458727853-224"/>
    <n v="0"/>
    <d v="2016-03-31T00:00:00"/>
    <x v="2400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2225-1458727853-224] [23/03/2016 at 10:10:00]"/>
  </r>
  <r>
    <s v="3622222-1458727849-224"/>
    <s v="Spot"/>
    <s v="3622222-1458727849-224"/>
    <n v="0"/>
    <d v="2016-03-31T00:00:00"/>
    <x v="2401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22222-1458727849-224] [23/03/2016 at 10:10:00]"/>
  </r>
  <r>
    <s v="3622261-1458727891-216"/>
    <s v="Spot"/>
    <s v="3622261-1458727891-216"/>
    <n v="0"/>
    <d v="2016-03-31T00:00:00"/>
    <x v="2402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2261-1458727891-216] [23/03/2016 at 10:11:00]"/>
  </r>
  <r>
    <s v="3622204-1458727824-82"/>
    <s v="Spot"/>
    <s v="3622204-1458727824-82"/>
    <n v="0"/>
    <d v="2016-03-31T00:00:00"/>
    <x v="2403"/>
    <s v="82"/>
    <s v="SELL"/>
    <n v="1.1866125760649089"/>
    <x v="0"/>
    <x v="7"/>
    <n v="40.950000000000003"/>
    <s v="Deal"/>
    <m/>
    <s v="Original Amount [USD 40.95], Merchant Amount [EUR 34.51], Customer Amount [USD 40.95], Status [APPROVED], Operation [DIRECT], UUID [3622204-1458727824-82] [23/03/2016 at 10:10:00]"/>
  </r>
  <r>
    <s v="3622201-1458727819-224"/>
    <s v="Spot"/>
    <s v="3622201-1458727819-224"/>
    <n v="0"/>
    <d v="2016-03-31T00:00:00"/>
    <x v="2404"/>
    <s v="224"/>
    <s v="SELL"/>
    <n v="132.882796435915"/>
    <x v="0"/>
    <x v="3"/>
    <n v="9693.7999999999993"/>
    <s v="Deal"/>
    <m/>
    <s v="Original Amount [EUR 72.95], Merchant Amount [EUR 72.95], Customer Amount [JPY 9693.8], Status [APPROVED], Operation [DIRECT], UUID [3622201-1458727819-224] [23/03/2016 at 10:10:00]"/>
  </r>
  <r>
    <s v="3622195-1458727817-126"/>
    <s v="Spot"/>
    <s v="3622195-1458727817-126"/>
    <n v="0"/>
    <d v="2016-03-31T00:00:00"/>
    <x v="2405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22195-1458727817-126] [23/03/2016 at 10:10:00]"/>
  </r>
  <r>
    <s v="3622186-1458727810-216"/>
    <s v="Spot"/>
    <s v="3622186-1458727810-216"/>
    <n v="0"/>
    <d v="2016-03-31T00:00:00"/>
    <x v="2406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2186-1458727810-216] [23/03/2016 at 10:10:00]"/>
  </r>
  <r>
    <s v="3622177-1458727789-261"/>
    <s v="Spot"/>
    <s v="3622177-1458727789-261"/>
    <n v="0"/>
    <d v="2016-03-31T00:00:00"/>
    <x v="2407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22177-1458727789-261] [23/03/2016 at 10:09:00]"/>
  </r>
  <r>
    <s v="3622168-1458727767-200"/>
    <s v="Spot"/>
    <s v="3622168-1458727767-200"/>
    <n v="0"/>
    <d v="2016-03-31T00:00:00"/>
    <x v="2408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2168-1458727767-200] [23/03/2016 at 10:09:00]"/>
  </r>
  <r>
    <s v="3622174-1458727784-216"/>
    <s v="Spot"/>
    <s v="3622174-1458727784-216"/>
    <n v="0"/>
    <d v="2016-03-31T00:00:00"/>
    <x v="2409"/>
    <s v="216"/>
    <s v="SELL"/>
    <n v="3.397068278256397"/>
    <x v="0"/>
    <x v="0"/>
    <n v="264.19"/>
    <s v="Deal"/>
    <m/>
    <s v="Original Amount [EUR 77.77], Merchant Amount [EUR 77.77], Customer Amount [TRY 264.19], Status [APPROVED], Operation [3DAUTH], UUID [3622174-1458727784-216] [23/03/2016 at 10:09:00]"/>
  </r>
  <r>
    <s v="3622162-1458727765-224"/>
    <s v="Spot"/>
    <s v="3622162-1458727765-224"/>
    <n v="0"/>
    <d v="2016-03-31T00:00:00"/>
    <x v="2410"/>
    <s v="224"/>
    <s v="SELL"/>
    <n v="132.88301462317207"/>
    <x v="0"/>
    <x v="3"/>
    <n v="4725.32"/>
    <s v="Deal"/>
    <m/>
    <s v="Original Amount [EUR 35.56], Merchant Amount [EUR 35.56], Customer Amount [JPY 4725.32], Status [APPROVED], Operation [DIRECT], UUID [3622162-1458727765-224] [23/03/2016 at 10:09:00]"/>
  </r>
  <r>
    <s v="3622198-1458727819-102"/>
    <s v="Spot"/>
    <s v="3622198-1458727819-102"/>
    <n v="0"/>
    <d v="2016-03-31T00:00:00"/>
    <x v="2411"/>
    <s v="102"/>
    <s v="SELL"/>
    <n v="3.3970967741935483"/>
    <x v="0"/>
    <x v="0"/>
    <n v="105.31"/>
    <s v="Deal"/>
    <m/>
    <s v="Original Amount [EUR 31], Merchant Amount [EUR 31], Customer Amount [TRY 105.31], Status [APPROVED], Operation [3DAUTH], UUID [3622198-1458727819-102] [23/03/2016 at 10:10:00]"/>
  </r>
  <r>
    <s v="3622144-1458727744-238"/>
    <s v="Spot"/>
    <s v="3622144-1458727744-238"/>
    <n v="0"/>
    <d v="2016-03-31T00:00:00"/>
    <x v="2412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144-1458727744-238] [23/03/2016 at 10:09:00]"/>
  </r>
  <r>
    <s v="3622135-1458727735-224"/>
    <s v="Spot"/>
    <s v="3622135-1458727735-224"/>
    <n v="0"/>
    <d v="2016-03-31T00:00:00"/>
    <x v="2413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22135-1458727735-224] [23/03/2016 at 10:08:00]"/>
  </r>
  <r>
    <s v="3622129-1458727723-224"/>
    <s v="Spot"/>
    <s v="3622129-1458727723-224"/>
    <n v="0"/>
    <d v="2016-03-31T00:00:00"/>
    <x v="2414"/>
    <s v="224"/>
    <s v="SELL"/>
    <n v="9.9418478260869563"/>
    <x v="0"/>
    <x v="1"/>
    <n v="914.65"/>
    <s v="Deal"/>
    <m/>
    <s v="Original Amount [EUR 92], Merchant Amount [EUR 92], Customer Amount [NOK 914.65], Status [APPROVED], Operation [DIRECT], UUID [3622129-1458727723-224] [23/03/2016 at 10:08:00]"/>
  </r>
  <r>
    <s v="3622120-1458727716-187"/>
    <s v="Spot"/>
    <s v="3622120-1458727716-187"/>
    <n v="0"/>
    <d v="2016-03-31T00:00:00"/>
    <x v="2415"/>
    <s v="187"/>
    <s v="SELL"/>
    <n v="9.9423440453686194"/>
    <x v="0"/>
    <x v="1"/>
    <n v="105.19"/>
    <s v="Deal"/>
    <m/>
    <s v="Original Amount [EUR 10.58], Merchant Amount [EUR 10.58], Customer Amount [NOK 105.19], Status [APPROVED], Operation [DIRECT], UUID [3622120-1458727716-187] [23/03/2016 at 10:08:00]"/>
  </r>
  <r>
    <s v="3622114-1458727709-119"/>
    <s v="Spot"/>
    <s v="3622114-1458727709-119"/>
    <n v="0"/>
    <d v="2016-03-31T00:00:00"/>
    <x v="2416"/>
    <s v="119"/>
    <s v="SELL"/>
    <n v="9.9418000000000006"/>
    <x v="0"/>
    <x v="1"/>
    <n v="1491.27"/>
    <s v="Deal"/>
    <m/>
    <s v="Original Amount [EUR 150], Merchant Amount [EUR 150], Customer Amount [NOK 1491.27], Status [APPROVED], Operation [DIRECT], UUID [3622114-1458727709-119] [23/03/2016 at 10:08:00]"/>
  </r>
  <r>
    <s v="3622111-1458727702-134"/>
    <s v="Spot"/>
    <s v="3622111-1458727702-134"/>
    <n v="0"/>
    <d v="2016-03-31T00:00:00"/>
    <x v="2417"/>
    <s v="134"/>
    <s v="SELL"/>
    <n v="132.8324289173917"/>
    <x v="0"/>
    <x v="3"/>
    <n v="59237.95"/>
    <s v="Deal"/>
    <m/>
    <s v="Original Amount [EUR 445.96], Merchant Amount [EUR 445.96], Customer Amount [JPY 59237.95], Status [APPROVED], Operation [STORED], UUID [3622111-1458727702-134] [23/03/2016 at 10:08:00]"/>
  </r>
  <r>
    <s v="3622102-1458727698-82"/>
    <s v="Spot"/>
    <s v="3622102-1458727698-82"/>
    <n v="0"/>
    <d v="2016-03-31T00:00:00"/>
    <x v="241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102-1458727698-82] [23/03/2016 at 10:08:00]"/>
  </r>
  <r>
    <s v="3622099-1458727692-261"/>
    <s v="Spot"/>
    <s v="3622099-1458727692-261"/>
    <n v="0"/>
    <d v="2016-03-31T00:00:00"/>
    <x v="2419"/>
    <s v="261"/>
    <s v="SELL"/>
    <n v="9.9418582912693942"/>
    <x v="0"/>
    <x v="1"/>
    <n v="531.79"/>
    <s v="Deal"/>
    <m/>
    <s v="Original Amount [EUR 53.49], Merchant Amount [EUR 53.49], Customer Amount [NOK 531.79], Status [APPROVED], Operation [DIRECT], UUID [3622099-1458727692-261] [23/03/2016 at 10:08:00]"/>
  </r>
  <r>
    <s v="3622081-1458727678-82"/>
    <s v="Spot"/>
    <s v="3622081-1458727678-82"/>
    <n v="0"/>
    <d v="2016-03-31T00:00:00"/>
    <x v="242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081-1458727678-82] [23/03/2016 at 10:07:00]"/>
  </r>
  <r>
    <s v="3622078-1458727673-216"/>
    <s v="Spot"/>
    <s v="3622078-1458727673-216"/>
    <n v="0"/>
    <d v="2016-03-31T00:00:00"/>
    <x v="2421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2078-1458727673-216] [23/03/2016 at 10:07:00]"/>
  </r>
  <r>
    <s v="3622075-1458727669-82"/>
    <s v="Spot"/>
    <s v="3622075-1458727669-82"/>
    <n v="0"/>
    <d v="2016-03-31T00:00:00"/>
    <x v="2422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STORED], UUID [3622075-1458727669-82] [23/03/2016 at 10:07:00]"/>
  </r>
  <r>
    <s v="3622108-1458727701-216"/>
    <s v="Spot"/>
    <s v="3622108-1458727701-216"/>
    <n v="0"/>
    <d v="2016-03-31T00:00:00"/>
    <x v="2423"/>
    <s v="216"/>
    <s v="SELL"/>
    <n v="3.3919845692241752"/>
    <x v="0"/>
    <x v="0"/>
    <n v="474.81"/>
    <s v="Deal"/>
    <m/>
    <s v="Original Amount [EUR 139.98], Merchant Amount [EUR 139.98], Customer Amount [TRY 474.81], Status [APPROVED], Operation [3DAUTH], UUID [3622108-1458727701-216] [23/03/2016 at 10:08:00]"/>
  </r>
  <r>
    <s v="3622084-1458727681-56"/>
    <s v="Spot"/>
    <s v="3622084-1458727681-56"/>
    <n v="0"/>
    <d v="2016-03-31T00:00:00"/>
    <x v="2424"/>
    <s v="56"/>
    <s v="SELL"/>
    <n v="3.3919793014230266"/>
    <x v="0"/>
    <x v="0"/>
    <n v="26.22"/>
    <s v="Deal"/>
    <m/>
    <s v="Original Amount [EUR 7.73], Merchant Amount [EUR 7.73], Customer Amount [TRY 26.22], Status [APPROVED], Operation [3DAUTH], UUID [3622084-1458727681-56] [23/03/2016 at 10:08:00]"/>
  </r>
  <r>
    <s v="3622087-1458727681-56"/>
    <s v="Spot"/>
    <s v="3622087-1458727681-56"/>
    <n v="0"/>
    <d v="2016-03-31T00:00:00"/>
    <x v="2425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2087-1458727681-56] [23/03/2016 at 10:08:00]"/>
  </r>
  <r>
    <s v="3622117-1458727711-216"/>
    <s v="Spot"/>
    <s v="3622117-1458727711-216"/>
    <n v="0"/>
    <d v="2016-03-31T00:00:00"/>
    <x v="2426"/>
    <s v="216"/>
    <s v="SELL"/>
    <n v="3.3922829581993565"/>
    <x v="0"/>
    <x v="0"/>
    <n v="73.849999999999994"/>
    <s v="Deal"/>
    <m/>
    <s v="Original Amount [EUR 21.77], Merchant Amount [EUR 21.77], Customer Amount [TRY 73.85], Status [APPROVED], Operation [3DAUTH], UUID [3622117-1458727711-216] [23/03/2016 at 10:08:00]"/>
  </r>
  <r>
    <s v="3622048-1458727622-82"/>
    <s v="Spot"/>
    <s v="3622048-1458727622-82"/>
    <n v="0"/>
    <d v="2016-03-31T00:00:00"/>
    <x v="242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048-1458727622-82] [23/03/2016 at 10:07:00]"/>
  </r>
  <r>
    <s v="3622045-1458727620-82"/>
    <s v="Spot"/>
    <s v="3622045-1458727620-82"/>
    <n v="0"/>
    <d v="2016-03-31T00:00:00"/>
    <x v="2428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045-1458727620-82] [23/03/2016 at 10:07:00]"/>
  </r>
  <r>
    <s v="3622039-1458727620-119"/>
    <s v="Spot"/>
    <s v="3622039-1458727620-119"/>
    <n v="0"/>
    <d v="2016-03-31T00:00:00"/>
    <x v="2429"/>
    <s v="119"/>
    <s v="SELL"/>
    <n v="9.9417999999999989"/>
    <x v="0"/>
    <x v="1"/>
    <n v="1988.36"/>
    <s v="Deal"/>
    <m/>
    <s v="Original Amount [EUR 200], Merchant Amount [EUR 200], Customer Amount [NOK 1988.36], Status [APPROVED], Operation [DIRECT], UUID [3622039-1458727620-119] [23/03/2016 at 10:07:00]"/>
  </r>
  <r>
    <s v="3622027-1458727603-216"/>
    <s v="Spot"/>
    <s v="3622027-1458727603-216"/>
    <n v="0"/>
    <d v="2016-03-31T00:00:00"/>
    <x v="2430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2027-1458727603-216] [23/03/2016 at 10:06:00]"/>
  </r>
  <r>
    <s v="3622018-1458727594-125"/>
    <s v="Spot"/>
    <s v="3622018-1458727594-125"/>
    <n v="0"/>
    <d v="2016-03-31T00:00:00"/>
    <x v="2431"/>
    <s v="125"/>
    <s v="SELL"/>
    <n v="132.832425"/>
    <x v="0"/>
    <x v="3"/>
    <n v="53132.97"/>
    <s v="Deal"/>
    <m/>
    <s v="Original Amount [EUR 400], Merchant Amount [EUR 400], Customer Amount [JPY 53132.97], Status [APPROVED], Operation [DIRECT], UUID [3622018-1458727594-125] [23/03/2016 at 10:06:00]"/>
  </r>
  <r>
    <s v="3622012-1458727585-126"/>
    <s v="Spot"/>
    <s v="3622012-1458727585-126"/>
    <n v="0"/>
    <d v="2016-03-31T00:00:00"/>
    <x v="2432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2012-1458727585-126] [23/03/2016 at 10:06:00]"/>
  </r>
  <r>
    <s v="3622036-1458727609-216"/>
    <s v="Spot"/>
    <s v="3622036-1458727609-216"/>
    <n v="0"/>
    <d v="2016-03-31T00:00:00"/>
    <x v="2433"/>
    <s v="216"/>
    <s v="SELL"/>
    <n v="3.3920591544767724"/>
    <x v="0"/>
    <x v="0"/>
    <n v="211.02"/>
    <s v="Deal"/>
    <m/>
    <s v="Original Amount [EUR 62.21], Merchant Amount [EUR 62.21], Customer Amount [TRY 211.02], Status [APPROVED], Operation [3DAUTH], UUID [3622036-1458727609-216] [23/03/2016 at 10:06:00]"/>
  </r>
  <r>
    <s v="3621988-1458727572-82"/>
    <s v="Spot"/>
    <s v="3621988-1458727572-82"/>
    <n v="0"/>
    <d v="2016-03-31T00:00:00"/>
    <x v="2434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21988-1458727572-82] [23/03/2016 at 10:06:00]"/>
  </r>
  <r>
    <s v="3621982-1458727558-199"/>
    <s v="Spot"/>
    <s v="3621982-1458727558-199"/>
    <n v="0"/>
    <d v="2016-03-31T00:00:00"/>
    <x v="2435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982-1458727558-199] [23/03/2016 at 10:05:00]"/>
  </r>
  <r>
    <s v="3621979-1458727557-216"/>
    <s v="Spot"/>
    <s v="3621979-1458727557-216"/>
    <n v="0"/>
    <d v="2016-03-31T00:00:00"/>
    <x v="2436"/>
    <s v="216"/>
    <s v="SELL"/>
    <n v="3.3927019982623805"/>
    <x v="0"/>
    <x v="0"/>
    <n v="39.049999999999997"/>
    <s v="Deal"/>
    <m/>
    <s v="Original Amount [EUR 11.51], Merchant Amount [EUR 11.51], Customer Amount [TRY 39.05], Status [WAITING], Operation [3D], UUID [3621979-1458727557-216] [23/03/2016 at 10:05:00]"/>
  </r>
  <r>
    <s v="3621976-1458727551-224"/>
    <s v="Spot"/>
    <s v="3621976-1458727551-224"/>
    <n v="0"/>
    <d v="2016-03-31T00:00:00"/>
    <x v="2437"/>
    <s v="224"/>
    <s v="SELL"/>
    <n v="9.9414483821263477"/>
    <x v="0"/>
    <x v="1"/>
    <n v="129.04"/>
    <s v="Deal"/>
    <m/>
    <s v="Original Amount [EUR 12.98], Merchant Amount [EUR 12.98], Customer Amount [NOK 129.04], Status [APPROVED], Operation [DIRECT], UUID [3621976-1458727551-224] [23/03/2016 at 10:05:00]"/>
  </r>
  <r>
    <s v="3621973-1458727544-187"/>
    <s v="Spot"/>
    <s v="3621973-1458727544-187"/>
    <n v="0"/>
    <d v="2016-03-31T00:00:00"/>
    <x v="2438"/>
    <s v="187"/>
    <s v="SELL"/>
    <n v="9.9413988657844996"/>
    <x v="0"/>
    <x v="1"/>
    <n v="210.36"/>
    <s v="Deal"/>
    <m/>
    <s v="Original Amount [EUR 21.16], Merchant Amount [EUR 21.16], Customer Amount [NOK 210.36], Status [APPROVED], Operation [DIRECT], UUID [3621973-1458727544-187] [23/03/2016 at 10:05:00]"/>
  </r>
  <r>
    <s v="3621964-1458727529-82"/>
    <s v="Spot"/>
    <s v="3621964-1458727529-82"/>
    <n v="0"/>
    <d v="2016-03-31T00:00:00"/>
    <x v="2439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964-1458727529-82] [23/03/2016 at 10:05:00]"/>
  </r>
  <r>
    <s v="3621961-1458727527-119"/>
    <s v="Spot"/>
    <s v="3621961-1458727527-119"/>
    <n v="0"/>
    <d v="2016-03-31T00:00:00"/>
    <x v="2440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961-1458727527-119] [23/03/2016 at 10:05:00]"/>
  </r>
  <r>
    <s v="3621958-1458727525-216"/>
    <s v="Spot"/>
    <s v="3621958-1458727525-216"/>
    <n v="0"/>
    <d v="2016-03-31T00:00:00"/>
    <x v="2441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958-1458727525-216] [23/03/2016 at 10:05:00]"/>
  </r>
  <r>
    <s v="3621955-1458727521-224"/>
    <s v="Spot"/>
    <s v="3621955-1458727521-224"/>
    <n v="0"/>
    <d v="2016-03-31T00:00:00"/>
    <x v="2442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21955-1458727521-224] [23/03/2016 at 10:05:00]"/>
  </r>
  <r>
    <s v="3621952-1458727519-200"/>
    <s v="Spot"/>
    <s v="3621952-1458727519-200"/>
    <n v="0"/>
    <d v="2016-03-31T00:00:00"/>
    <x v="2443"/>
    <s v="200"/>
    <s v="SELL"/>
    <n v="9.9411442649876811"/>
    <x v="0"/>
    <x v="1"/>
    <n v="1089.45"/>
    <s v="Deal"/>
    <m/>
    <s v="Original Amount [EUR 109.59], Merchant Amount [EUR 109.59], Customer Amount [NOK 1089.45], Status [APPROVED], Operation [STORED], UUID [3621952-1458727519-200] [23/03/2016 at 10:05:00]"/>
  </r>
  <r>
    <s v="3621970-1458727543-216"/>
    <s v="Spot"/>
    <s v="3621970-1458727543-216"/>
    <n v="0"/>
    <d v="2016-03-31T00:00:00"/>
    <x v="2444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1970-1458727543-216] [23/03/2016 at 10:05:00]"/>
  </r>
  <r>
    <s v="3622009-1458727582-56"/>
    <s v="Spot"/>
    <s v="3622009-1458727582-56"/>
    <n v="0"/>
    <d v="2016-03-31T00:00:00"/>
    <x v="2445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2009-1458727582-56] [23/03/2016 at 10:06:00]"/>
  </r>
  <r>
    <s v="3621937-1458727510-82"/>
    <s v="Spot"/>
    <s v="3621937-1458727510-82"/>
    <n v="0"/>
    <d v="2016-03-31T00:00:00"/>
    <x v="2446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937-1458727510-82] [23/03/2016 at 10:05:00]"/>
  </r>
  <r>
    <s v="3621919-1458727474-119"/>
    <s v="Spot"/>
    <s v="3621919-1458727474-119"/>
    <n v="0"/>
    <d v="2016-03-31T00:00:00"/>
    <x v="2447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919-1458727474-119] [23/03/2016 at 10:04:00]"/>
  </r>
  <r>
    <s v="3621910-1458727467-119"/>
    <s v="Spot"/>
    <s v="3621910-1458727467-119"/>
    <n v="0"/>
    <d v="2016-03-31T00:00:00"/>
    <x v="2448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910-1458727467-119] [23/03/2016 at 10:04:00]"/>
  </r>
  <r>
    <s v="3621904-1458727466-216"/>
    <s v="Spot"/>
    <s v="3621904-1458727466-216"/>
    <n v="0"/>
    <d v="2016-03-31T00:00:00"/>
    <x v="2449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904-1458727466-216] [23/03/2016 at 10:04:00]"/>
  </r>
  <r>
    <s v="3621898-1458727460-224"/>
    <s v="Spot"/>
    <s v="3621898-1458727460-224"/>
    <n v="0"/>
    <d v="2016-03-31T00:00:00"/>
    <x v="2450"/>
    <s v="224"/>
    <s v="SELL"/>
    <n v="9.9413639260675595"/>
    <x v="0"/>
    <x v="1"/>
    <n v="155.97999999999999"/>
    <s v="Deal"/>
    <m/>
    <s v="Original Amount [EUR 15.69], Merchant Amount [EUR 15.69], Customer Amount [NOK 155.98], Status [APPROVED], Operation [DIRECT], UUID [3621898-1458727460-224] [23/03/2016 at 10:04:00]"/>
  </r>
  <r>
    <s v="3621892-1458727447-126"/>
    <s v="Spot"/>
    <s v="3621892-1458727447-126"/>
    <n v="0"/>
    <d v="2016-03-31T00:00:00"/>
    <x v="2451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1892-1458727447-126] [23/03/2016 at 10:04:00]"/>
  </r>
  <r>
    <s v="3621889-1458727447-224"/>
    <s v="Spot"/>
    <s v="3621889-1458727447-224"/>
    <n v="0"/>
    <d v="2016-03-31T00:00:00"/>
    <x v="2452"/>
    <s v="224"/>
    <s v="SELL"/>
    <n v="9.9413123844731981"/>
    <x v="0"/>
    <x v="1"/>
    <n v="215.13"/>
    <s v="Deal"/>
    <m/>
    <s v="Original Amount [EUR 21.64], Merchant Amount [EUR 21.64], Customer Amount [NOK 215.13], Status [APPROVED], Operation [DIRECT], UUID [3621889-1458727447-224] [23/03/2016 at 10:04:00]"/>
  </r>
  <r>
    <s v="3621913-1458727469-216"/>
    <s v="Spot"/>
    <s v="3621913-1458727469-216"/>
    <n v="0"/>
    <d v="2016-03-31T00:00:00"/>
    <x v="2453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1913-1458727469-216] [23/03/2016 at 10:04:00]"/>
  </r>
  <r>
    <s v="3621901-1458727463-56"/>
    <s v="Spot"/>
    <s v="3621901-1458727463-56"/>
    <n v="0"/>
    <d v="2016-03-31T00:00:00"/>
    <x v="2454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1901-1458727463-56] [23/03/2016 at 10:04:00]"/>
  </r>
  <r>
    <s v="3621877-1458727434-82"/>
    <s v="Spot"/>
    <s v="3621877-1458727434-82"/>
    <n v="0"/>
    <d v="2016-03-31T00:00:00"/>
    <x v="245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877-1458727434-82] [23/03/2016 at 10:03:00]"/>
  </r>
  <r>
    <s v="3621871-1458727423-216"/>
    <s v="Spot"/>
    <s v="3621871-1458727423-216"/>
    <n v="0"/>
    <d v="2016-03-31T00:00:00"/>
    <x v="2456"/>
    <s v="216"/>
    <s v="SELL"/>
    <n v="3.3921428571428573"/>
    <x v="0"/>
    <x v="0"/>
    <n v="47.49"/>
    <s v="Deal"/>
    <m/>
    <s v="Original Amount [EUR 14], Merchant Amount [EUR 14], Customer Amount [TRY 47.49], Status [APPROVED], Operation [3DAUTH], UUID [3621871-1458727423-216] [23/03/2016 at 10:03:00]"/>
  </r>
  <r>
    <s v="3621859-1458727398-216"/>
    <s v="Spot"/>
    <s v="3621859-1458727398-216"/>
    <n v="0"/>
    <d v="2016-03-31T00:00:00"/>
    <x v="2457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859-1458727398-216] [23/03/2016 at 10:03:00]"/>
  </r>
  <r>
    <s v="3621856-1458727395-199"/>
    <s v="Spot"/>
    <s v="3621856-1458727395-199"/>
    <n v="0"/>
    <d v="2016-03-31T00:00:00"/>
    <x v="2458"/>
    <s v="199"/>
    <s v="SELL"/>
    <n v="9.9413881748071997"/>
    <x v="0"/>
    <x v="1"/>
    <n v="193.36"/>
    <s v="Deal"/>
    <m/>
    <s v="Original Amount [EUR 19.45], Merchant Amount [EUR 19.45], Customer Amount [NOK 193.36], Status [APPROVED], Operation [DIRECT], UUID [3621856-1458727395-199] [23/03/2016 at 10:03:00]"/>
  </r>
  <r>
    <s v="3621835-1458727369-224"/>
    <s v="Spot"/>
    <s v="3621835-1458727369-224"/>
    <n v="0"/>
    <d v="2016-03-31T00:00:00"/>
    <x v="2459"/>
    <s v="224"/>
    <s v="SELL"/>
    <n v="9.9414664202094887"/>
    <x v="0"/>
    <x v="1"/>
    <n v="161.35"/>
    <s v="Deal"/>
    <m/>
    <s v="Original Amount [EUR 16.23], Merchant Amount [EUR 16.23], Customer Amount [NOK 161.35], Status [APPROVED], Operation [DIRECT], UUID [3621835-1458727369-224] [23/03/2016 at 10:02:00]"/>
  </r>
  <r>
    <s v="3621832-1458727366-200"/>
    <s v="Spot"/>
    <s v="3621832-1458727366-200"/>
    <n v="0"/>
    <d v="2016-03-31T00:00:00"/>
    <x v="2460"/>
    <s v="200"/>
    <s v="SELL"/>
    <n v="9.9410925518635214"/>
    <x v="0"/>
    <x v="1"/>
    <n v="1672.39"/>
    <s v="Deal"/>
    <m/>
    <s v="Original Amount [EUR 168.23], Merchant Amount [EUR 168.23], Customer Amount [NOK 1672.39], Status [APPROVED], Operation [STORED], UUID [3621832-1458727366-200] [23/03/2016 at 10:02:00]"/>
  </r>
  <r>
    <s v="3621829-1458727366-107"/>
    <s v="Spot"/>
    <s v="3621829-1458727366-107"/>
    <n v="0"/>
    <d v="2016-03-31T00:00:00"/>
    <x v="2461"/>
    <s v="107"/>
    <s v="SELL"/>
    <n v="3.3972602739726026"/>
    <x v="0"/>
    <x v="0"/>
    <n v="34.72"/>
    <s v="Deal"/>
    <m/>
    <s v="Original Amount [EUR 10.22], Merchant Amount [EUR 10.22], Customer Amount [TRY 34.72], Status [WAITING], Operation [3D], UUID [3621829-1458727366-107] [23/03/2016 at 10:02:00]"/>
  </r>
  <r>
    <s v="3621826-1458727365-119"/>
    <s v="Spot"/>
    <s v="3621826-1458727365-119"/>
    <n v="0"/>
    <d v="2016-03-31T00:00:00"/>
    <x v="2462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826-1458727365-119] [23/03/2016 at 10:02:00]"/>
  </r>
  <r>
    <s v="3621823-1458727362-199"/>
    <s v="Spot"/>
    <s v="3621823-1458727362-199"/>
    <n v="0"/>
    <d v="2016-03-31T00:00:00"/>
    <x v="2463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823-1458727362-199] [23/03/2016 at 10:02:00]"/>
  </r>
  <r>
    <s v="3621820-1458727358-82"/>
    <s v="Spot"/>
    <s v="3621820-1458727358-82"/>
    <n v="0"/>
    <d v="2016-03-31T00:00:00"/>
    <x v="2464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820-1458727358-82] [23/03/2016 at 10:02:00]"/>
  </r>
  <r>
    <s v="3621811-1458727343-124"/>
    <s v="Spot"/>
    <s v="3621811-1458727343-124"/>
    <n v="0"/>
    <d v="2016-03-31T00:00:00"/>
    <x v="2465"/>
    <s v="124"/>
    <s v="SELL"/>
    <n v="9.9411147265666013"/>
    <x v="0"/>
    <x v="1"/>
    <n v="947.09"/>
    <s v="Deal"/>
    <m/>
    <s v="Original Amount [EUR 95.27], Merchant Amount [EUR 95.27], Customer Amount [NOK 947.09], Status [APPROVED], Operation [DIRECT], UUID [3621811-1458727343-124] [23/03/2016 at 10:02:00]"/>
  </r>
  <r>
    <s v="3621805-1458727340-145"/>
    <s v="Spot"/>
    <s v="3621805-1458727340-145"/>
    <n v="0"/>
    <d v="2016-03-31T00:00:00"/>
    <x v="2466"/>
    <s v="145"/>
    <s v="SELL"/>
    <n v="1.546875"/>
    <x v="0"/>
    <x v="2"/>
    <n v="15.84"/>
    <s v="Deal"/>
    <m/>
    <s v="Original Amount [EUR 10.24], Merchant Amount [EUR 10.24], Customer Amount [CAD 15.84], Status [APPROVED], Operation [DIRECT], UUID [3621805-1458727340-145] [23/03/2016 at 10:02:00]"/>
  </r>
  <r>
    <s v="3621802-1458727336-224"/>
    <s v="Spot"/>
    <s v="3621802-1458727336-224"/>
    <n v="0"/>
    <d v="2016-03-31T00:00:00"/>
    <x v="2467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1802-1458727336-224] [23/03/2016 at 10:02:00]"/>
  </r>
  <r>
    <s v="3621799-1458727336-82"/>
    <s v="Spot"/>
    <s v="3621799-1458727336-82"/>
    <n v="0"/>
    <d v="2016-03-31T00:00:00"/>
    <x v="2468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799-1458727336-82] [23/03/2016 at 10:02:00]"/>
  </r>
  <r>
    <s v="3621796-1458727332-224"/>
    <s v="Spot"/>
    <s v="3621796-1458727332-224"/>
    <n v="0"/>
    <d v="2016-03-31T00:00:00"/>
    <x v="2469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1796-1458727332-224] [23/03/2016 at 10:02:00]"/>
  </r>
  <r>
    <s v="3621814-1458727347-216"/>
    <s v="Spot"/>
    <s v="3621814-1458727347-216"/>
    <n v="0"/>
    <d v="2016-03-31T00:00:00"/>
    <x v="2470"/>
    <s v="216"/>
    <s v="SELL"/>
    <n v="3.3970567223889128"/>
    <x v="0"/>
    <x v="0"/>
    <n v="237.76"/>
    <s v="Deal"/>
    <m/>
    <s v="Original Amount [EUR 69.99], Merchant Amount [EUR 69.99], Customer Amount [TRY 237.76], Status [APPROVED], Operation [3DAUTH], UUID [3621814-1458727347-216] [23/03/2016 at 10:02:00]"/>
  </r>
  <r>
    <s v="3621790-1458727323-119"/>
    <s v="Spot"/>
    <s v="3621790-1458727323-119"/>
    <n v="0"/>
    <d v="2016-03-31T00:00:00"/>
    <x v="2471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790-1458727323-119] [23/03/2016 at 10:02:00]"/>
  </r>
  <r>
    <s v="3621850-1458727385-107"/>
    <s v="Spot"/>
    <s v="3621850-1458727385-107"/>
    <n v="0"/>
    <d v="2016-03-31T00:00:00"/>
    <x v="2472"/>
    <s v="107"/>
    <s v="SELL"/>
    <n v="3.3972194637537241"/>
    <x v="0"/>
    <x v="0"/>
    <n v="68.42"/>
    <s v="Deal"/>
    <m/>
    <s v="Original Amount [EUR 20.14], Merchant Amount [EUR 20.14], Customer Amount [TRY 68.42], Status [APPROVED], Operation [3DAUTH], UUID [3621850-1458727385-107] [23/03/2016 at 10:03:00]"/>
  </r>
  <r>
    <s v="3621778-1458727312-224"/>
    <s v="Spot"/>
    <s v="3621778-1458727312-224"/>
    <n v="0"/>
    <d v="2016-03-31T00:00:00"/>
    <x v="2473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778-1458727312-224] [23/03/2016 at 10:01:00]"/>
  </r>
  <r>
    <s v="3621763-1458727257-216"/>
    <s v="Spot"/>
    <s v="3621763-1458727257-216"/>
    <n v="0"/>
    <d v="2016-03-31T00:00:00"/>
    <x v="2474"/>
    <s v="216"/>
    <s v="SELL"/>
    <n v="3.3970149253731345"/>
    <x v="0"/>
    <x v="0"/>
    <n v="147.94"/>
    <s v="Deal"/>
    <m/>
    <s v="Original Amount [EUR 43.55], Merchant Amount [EUR 43.55], Customer Amount [TRY 147.94], Status [APPROVED], Operation [3DAUTH], UUID [3621763-1458727257-216] [23/03/2016 at 10:00:00]"/>
  </r>
  <r>
    <s v="3621748-1458727225-119"/>
    <s v="Spot"/>
    <s v="3621748-1458727225-119"/>
    <n v="0"/>
    <d v="2016-03-31T00:00:00"/>
    <x v="2475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748-1458727225-119] [23/03/2016 at 10:00:00]"/>
  </r>
  <r>
    <s v="3621733-1458727185-224"/>
    <s v="Spot"/>
    <s v="3621733-1458727185-224"/>
    <n v="0"/>
    <d v="2016-03-31T00:00:00"/>
    <x v="2476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1733-1458727185-224] [23/03/2016 at 09:59:00]"/>
  </r>
  <r>
    <s v="3621754-1458727228-216"/>
    <s v="Spot"/>
    <s v="3621754-1458727228-216"/>
    <n v="0"/>
    <d v="2016-03-31T00:00:00"/>
    <x v="2477"/>
    <s v="216"/>
    <s v="SELL"/>
    <n v="3.3978149100257067"/>
    <x v="0"/>
    <x v="0"/>
    <n v="52.87"/>
    <s v="Deal"/>
    <m/>
    <s v="Original Amount [EUR 15.56], Merchant Amount [EUR 15.56], Customer Amount [TRY 52.87], Status [APPROVED], Operation [3DAUTH], UUID [3621754-1458727228-216] [23/03/2016 at 10:00:00]"/>
  </r>
  <r>
    <s v="3621727-1458727181-126"/>
    <s v="Spot"/>
    <s v="3621727-1458727181-126"/>
    <n v="0"/>
    <d v="2016-03-31T00:00:00"/>
    <x v="2478"/>
    <s v="126"/>
    <s v="SELL"/>
    <n v="9.9410731707317073"/>
    <x v="0"/>
    <x v="1"/>
    <n v="1018.96"/>
    <s v="Deal"/>
    <m/>
    <s v="Original Amount [EUR 102.5], Merchant Amount [EUR 102.5], Customer Amount [NOK 1018.96], Status [WAITING], Operation [3D], UUID [3621727-1458727181-126] [23/03/2016 at 09:59:00]"/>
  </r>
  <r>
    <s v="3621724-1458727175-119"/>
    <s v="Spot"/>
    <s v="3621724-1458727175-119"/>
    <n v="0"/>
    <d v="2016-03-31T00:00:00"/>
    <x v="247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724-1458727175-119] [23/03/2016 at 09:59:00]"/>
  </r>
  <r>
    <s v="3621742-1458727201-126"/>
    <s v="Spot"/>
    <s v="3621742-1458727201-126"/>
    <n v="0"/>
    <d v="2016-03-31T00:00:00"/>
    <x v="2480"/>
    <s v="126"/>
    <s v="SELL"/>
    <n v="9.9414634146341463"/>
    <x v="0"/>
    <x v="1"/>
    <n v="203.8"/>
    <s v="Deal"/>
    <m/>
    <s v="Original Amount [EUR 20.5], Merchant Amount [EUR 20.5], Customer Amount [NOK 203.8], Status [APPROVED], Operation [3DAUTH], UUID [3621742-1458727201-126] [23/03/2016 at 10:00:00]"/>
  </r>
  <r>
    <s v="3621721-1458727174-216"/>
    <s v="Spot"/>
    <s v="3621721-1458727174-216"/>
    <n v="0"/>
    <d v="2016-03-31T00:00:00"/>
    <x v="2481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1721-1458727174-216] [23/03/2016 at 09:59:00]"/>
  </r>
  <r>
    <s v="3621709-1458727138-224"/>
    <s v="Spot"/>
    <s v="3621709-1458727138-224"/>
    <n v="0"/>
    <d v="2016-03-31T00:00:00"/>
    <x v="2482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709-1458727138-224] [23/03/2016 at 09:58:00]"/>
  </r>
  <r>
    <s v="3621706-1458727138-224"/>
    <s v="Spot"/>
    <s v="3621706-1458727138-224"/>
    <n v="0"/>
    <d v="2016-03-31T00:00:00"/>
    <x v="2483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1706-1458727138-224] [23/03/2016 at 09:58:00]"/>
  </r>
  <r>
    <s v="3621745-1458727203-126"/>
    <s v="Spot"/>
    <s v="3621745-1458727203-126"/>
    <n v="0"/>
    <d v="2016-03-31T00:00:00"/>
    <x v="2484"/>
    <s v="126"/>
    <s v="SELL"/>
    <n v="9.9410846664065549"/>
    <x v="0"/>
    <x v="1"/>
    <n v="254.79"/>
    <s v="Deal"/>
    <m/>
    <s v="Original Amount [EUR 25.63], Merchant Amount [EUR 25.63], Customer Amount [NOK 254.79], Status [APPROVED], Operation [3DAUTH], UUID [3621745-1458727203-126] [23/03/2016 at 10:00:00]"/>
  </r>
  <r>
    <s v="3621715-1458727168-101"/>
    <s v="Spot"/>
    <s v="3621715-1458727168-101"/>
    <n v="0"/>
    <d v="2016-03-31T00:00:00"/>
    <x v="2485"/>
    <s v="101"/>
    <s v="SELL"/>
    <n v="3.3973558575100995"/>
    <x v="0"/>
    <x v="0"/>
    <n v="92.51"/>
    <s v="Deal"/>
    <m/>
    <s v="Original Amount [EUR 27.23], Merchant Amount [EUR 27.23], Customer Amount [TRY 92.51], Status [APPROVED], Operation [3DAUTH], UUID [3621715-1458727168-101] [23/03/2016 at 09:59:00]"/>
  </r>
  <r>
    <s v="3621691-1458727103-119"/>
    <s v="Spot"/>
    <s v="3621691-1458727103-119"/>
    <n v="0"/>
    <d v="2016-03-31T00:00:00"/>
    <x v="248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691-1458727103-119] [23/03/2016 at 09:58:00]"/>
  </r>
  <r>
    <s v="3621682-1458727091-126"/>
    <s v="Spot"/>
    <s v="3621682-1458727091-126"/>
    <n v="0"/>
    <d v="2016-03-31T00:00:00"/>
    <x v="2487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1682-1458727091-126] [23/03/2016 at 09:58:00]"/>
  </r>
  <r>
    <s v="3621700-1458727127-56"/>
    <s v="Spot"/>
    <s v="3621700-1458727127-56"/>
    <n v="0"/>
    <d v="2016-03-31T00:00:00"/>
    <x v="2488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1700-1458727127-56] [23/03/2016 at 09:58:00]"/>
  </r>
  <r>
    <s v="3621676-1458727082-126"/>
    <s v="Spot"/>
    <s v="3621676-1458727082-126"/>
    <n v="0"/>
    <d v="2016-03-31T00:00:00"/>
    <x v="2489"/>
    <s v="126"/>
    <s v="SELL"/>
    <n v="9.9410846664065549"/>
    <x v="0"/>
    <x v="1"/>
    <n v="254.79"/>
    <s v="Deal"/>
    <m/>
    <s v="Original Amount [EUR 25.63], Merchant Amount [EUR 25.63], Customer Amount [NOK 254.79], Status [APPROVED], Operation [DIRECT], UUID [3621676-1458727082-126] [23/03/2016 at 09:58:00]"/>
  </r>
  <r>
    <s v="3621685-1458727096-216"/>
    <s v="Spot"/>
    <s v="3621685-1458727096-216"/>
    <n v="0"/>
    <d v="2016-03-31T00:00:00"/>
    <x v="2490"/>
    <s v="216"/>
    <s v="SELL"/>
    <n v="3.3978571428571427"/>
    <x v="0"/>
    <x v="0"/>
    <n v="47.57"/>
    <s v="Deal"/>
    <m/>
    <s v="Original Amount [EUR 14], Merchant Amount [EUR 14], Customer Amount [TRY 47.57], Status [APPROVED], Operation [3DAUTH], UUID [3621685-1458727096-216] [23/03/2016 at 09:58:00]"/>
  </r>
  <r>
    <s v="3621688-1458727098-101"/>
    <s v="Spot"/>
    <s v="3621688-1458727098-101"/>
    <n v="0"/>
    <d v="2016-03-31T00:00:00"/>
    <x v="2491"/>
    <s v="101"/>
    <s v="SELL"/>
    <n v="3.3974280465401105"/>
    <x v="0"/>
    <x v="0"/>
    <n v="55.48"/>
    <s v="Deal"/>
    <m/>
    <s v="Original Amount [EUR 16.33], Merchant Amount [EUR 16.33], Customer Amount [TRY 55.48], Status [APPROVED], Operation [3DAUTH], UUID [3621688-1458727098-101] [23/03/2016 at 09:58:00]"/>
  </r>
  <r>
    <s v="3621655-1458727039-107"/>
    <s v="Spot"/>
    <s v="3621655-1458727039-107"/>
    <n v="0"/>
    <d v="2016-03-31T00:00:00"/>
    <x v="2492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1655-1458727039-107] [23/03/2016 at 09:57:00]"/>
  </r>
  <r>
    <s v="3621643-1458727017-126"/>
    <s v="Spot"/>
    <s v="3621643-1458727017-126"/>
    <n v="0"/>
    <d v="2016-03-31T00:00:00"/>
    <x v="2493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643-1458727017-126] [23/03/2016 at 09:56:00]"/>
  </r>
  <r>
    <s v="3621640-1458727016-224"/>
    <s v="Spot"/>
    <s v="3621640-1458727016-224"/>
    <n v="0"/>
    <d v="2016-03-31T00:00:00"/>
    <x v="2494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1640-1458727016-224] [23/03/2016 at 09:56:00]"/>
  </r>
  <r>
    <s v="3621625-1458726984-119"/>
    <s v="Spot"/>
    <s v="3621625-1458726984-119"/>
    <n v="0"/>
    <d v="2016-03-31T00:00:00"/>
    <x v="2495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1625-1458726984-119] [23/03/2016 at 09:56:00]"/>
  </r>
  <r>
    <s v="3621601-1458726931-187"/>
    <s v="Spot"/>
    <s v="3621601-1458726931-187"/>
    <n v="0"/>
    <d v="2016-03-31T00:00:00"/>
    <x v="2496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21601-1458726931-187] [23/03/2016 at 09:55:00]"/>
  </r>
  <r>
    <s v="3621613-1458726957-216"/>
    <s v="Spot"/>
    <s v="3621613-1458726957-216"/>
    <n v="0"/>
    <d v="2016-03-31T00:00:00"/>
    <x v="2497"/>
    <s v="216"/>
    <s v="SELL"/>
    <n v="3.3970753655793029"/>
    <x v="0"/>
    <x v="0"/>
    <n v="211.4"/>
    <s v="Deal"/>
    <m/>
    <s v="Original Amount [EUR 62.23], Merchant Amount [EUR 62.23], Customer Amount [TRY 211.4], Status [APPROVED], Operation [3DAUTH], UUID [3621613-1458726957-216] [23/03/2016 at 09:55:00]"/>
  </r>
  <r>
    <s v="3621610-1458726947-264"/>
    <s v="Spot"/>
    <s v="3621610-1458726947-264"/>
    <n v="0"/>
    <d v="2016-03-31T00:00:00"/>
    <x v="2498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1610-1458726947-264] [23/03/2016 at 09:55:00]"/>
  </r>
  <r>
    <s v="3621589-1458726916-199"/>
    <s v="Spot"/>
    <s v="3621589-1458726916-199"/>
    <n v="0"/>
    <d v="2016-03-31T00:00:00"/>
    <x v="2499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21589-1458726916-199] [23/03/2016 at 09:55:00]"/>
  </r>
  <r>
    <s v="3621583-1458726903-125"/>
    <s v="Spot"/>
    <s v="3621583-1458726903-125"/>
    <n v="0"/>
    <d v="2016-03-31T00:00:00"/>
    <x v="2500"/>
    <s v="125"/>
    <s v="SELL"/>
    <n v="9.9550000000000001"/>
    <x v="0"/>
    <x v="1"/>
    <n v="99.55"/>
    <s v="Deal"/>
    <m/>
    <s v="Original Amount [EUR 10], Merchant Amount [EUR 10], Customer Amount [NOK 99.55], Status [APPROVED], Operation [DIRECT], UUID [3621583-1458726903-125] [23/03/2016 at 09:55:00]"/>
  </r>
  <r>
    <s v="3621580-1458726903-224"/>
    <s v="Spot"/>
    <s v="3621580-1458726903-224"/>
    <n v="0"/>
    <d v="2016-03-31T00:00:00"/>
    <x v="2501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1580-1458726903-224] [23/03/2016 at 09:55:00]"/>
  </r>
  <r>
    <s v="3621574-1458726896-216"/>
    <s v="Spot"/>
    <s v="3621574-1458726896-216"/>
    <n v="0"/>
    <d v="2016-03-31T00:00:00"/>
    <x v="2502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574-1458726896-216] [23/03/2016 at 09:54:00]"/>
  </r>
  <r>
    <s v="3621592-1458726925-56"/>
    <s v="Spot"/>
    <s v="3621592-1458726925-56"/>
    <n v="0"/>
    <d v="2016-03-31T00:00:00"/>
    <x v="2503"/>
    <s v="56"/>
    <s v="SELL"/>
    <n v="3.3975"/>
    <x v="0"/>
    <x v="0"/>
    <n v="27.18"/>
    <s v="Deal"/>
    <m/>
    <s v="Original Amount [EUR 8], Merchant Amount [EUR 8], Customer Amount [TRY 27.18], Status [APPROVED], Operation [3DAUTH], UUID [3621592-1458726925-56] [23/03/2016 at 09:55:00]"/>
  </r>
  <r>
    <s v="3621556-1458726880-107"/>
    <s v="Spot"/>
    <s v="3621556-1458726880-107"/>
    <n v="0"/>
    <d v="2016-03-31T00:00:00"/>
    <x v="2504"/>
    <s v="107"/>
    <s v="SELL"/>
    <n v="3.3976014760147599"/>
    <x v="0"/>
    <x v="0"/>
    <n v="36.83"/>
    <s v="Deal"/>
    <m/>
    <s v="Original Amount [EUR 10.84], Merchant Amount [EUR 10.84], Customer Amount [TRY 36.83], Status [WAITING], Operation [3D], UUID [3621556-1458726880-107] [23/03/2016 at 09:54:00]"/>
  </r>
  <r>
    <s v="3621553-1458726879-126"/>
    <s v="Spot"/>
    <s v="3621553-1458726879-126"/>
    <n v="0"/>
    <d v="2016-03-31T00:00:00"/>
    <x v="2505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553-1458726879-126] [23/03/2016 at 09:54:00]"/>
  </r>
  <r>
    <s v="3621547-1458726877-187"/>
    <s v="Spot"/>
    <s v="3621547-1458726877-187"/>
    <n v="0"/>
    <d v="2016-03-31T00:00:00"/>
    <x v="2506"/>
    <s v="187"/>
    <s v="SELL"/>
    <n v="9.9546313799621924"/>
    <x v="0"/>
    <x v="1"/>
    <n v="210.64"/>
    <s v="Deal"/>
    <m/>
    <s v="Original Amount [EUR 21.16], Merchant Amount [EUR 21.16], Customer Amount [NOK 210.64], Status [APPROVED], Operation [DIRECT], UUID [3621547-1458726877-187] [23/03/2016 at 09:54:00]"/>
  </r>
  <r>
    <s v="3621529-1458726856-260"/>
    <s v="Spot"/>
    <s v="3621529-1458726856-260"/>
    <n v="0"/>
    <d v="2016-03-31T00:00:00"/>
    <x v="2507"/>
    <s v="260"/>
    <s v="SELL"/>
    <n v="9.7360000000000007"/>
    <x v="0"/>
    <x v="12"/>
    <n v="48.68"/>
    <s v="Deal"/>
    <m/>
    <s v="Original Amount [EUR 5], Merchant Amount [EUR 5], Customer Amount [SEK 48.68], Status [APPROVED], Operation [DIRECT], UUID [3621529-1458726856-260] [23/03/2016 at 09:54:00]"/>
  </r>
  <r>
    <s v="3621517-1458726845-119"/>
    <s v="Spot"/>
    <s v="3621517-1458726845-119"/>
    <n v="0"/>
    <d v="2016-03-31T00:00:00"/>
    <x v="2508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1517-1458726845-119] [23/03/2016 at 09:54:00]"/>
  </r>
  <r>
    <s v="3621514-1458726844-216"/>
    <s v="Spot"/>
    <s v="3621514-1458726844-216"/>
    <n v="0"/>
    <d v="2016-03-31T00:00:00"/>
    <x v="250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514-1458726844-216] [23/03/2016 at 09:54:00]"/>
  </r>
  <r>
    <s v="3621559-1458726881-216"/>
    <s v="Spot"/>
    <s v="3621559-1458726881-216"/>
    <n v="0"/>
    <d v="2016-03-31T00:00:00"/>
    <x v="2510"/>
    <s v="216"/>
    <s v="SELL"/>
    <n v="3.3970172280791981"/>
    <x v="0"/>
    <x v="0"/>
    <n v="264.22000000000003"/>
    <s v="Deal"/>
    <m/>
    <s v="Original Amount [EUR 77.78], Merchant Amount [EUR 77.78], Customer Amount [TRY 264.22], Status [APPROVED], Operation [3DAUTH], UUID [3621559-1458726881-216] [23/03/2016 at 09:54:00]"/>
  </r>
  <r>
    <s v="3621523-1458726850-216"/>
    <s v="Spot"/>
    <s v="3621523-1458726850-216"/>
    <n v="0"/>
    <d v="2016-03-31T00:00:00"/>
    <x v="2511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1523-1458726850-216] [23/03/2016 at 09:54:00]"/>
  </r>
  <r>
    <s v="3621487-1458726805-224"/>
    <s v="Spot"/>
    <s v="3621487-1458726805-224"/>
    <n v="0"/>
    <d v="2016-03-31T00:00:00"/>
    <x v="2512"/>
    <s v="224"/>
    <s v="SELL"/>
    <n v="9.9547482472912687"/>
    <x v="0"/>
    <x v="1"/>
    <n v="156.19"/>
    <s v="Deal"/>
    <m/>
    <s v="Original Amount [EUR 15.69], Merchant Amount [EUR 15.69], Customer Amount [NOK 156.19], Status [APPROVED], Operation [DIRECT], UUID [3621487-1458726805-224] [23/03/2016 at 09:53:00]"/>
  </r>
  <r>
    <s v="3621466-1458726785-56"/>
    <s v="Spot"/>
    <s v="3621466-1458726785-56"/>
    <n v="0"/>
    <d v="2016-03-31T00:00:00"/>
    <x v="2513"/>
    <s v="56"/>
    <s v="SELL"/>
    <n v="3.3978365384615383"/>
    <x v="0"/>
    <x v="0"/>
    <n v="28.27"/>
    <s v="Deal"/>
    <m/>
    <s v="Original Amount [EUR 8.32], Merchant Amount [EUR 8.32], Customer Amount [TRY 28.27], Status [WAITING], Operation [3D], UUID [3621466-1458726785-56] [23/03/2016 at 09:53:00]"/>
  </r>
  <r>
    <s v="3621484-1458726796-216"/>
    <s v="Spot"/>
    <s v="3621484-1458726796-216"/>
    <n v="0"/>
    <d v="2016-03-31T00:00:00"/>
    <x v="2514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1484-1458726796-216] [23/03/2016 at 09:53:00]"/>
  </r>
  <r>
    <s v="3621445-1458726768-216"/>
    <s v="Spot"/>
    <s v="3621445-1458726768-216"/>
    <n v="0"/>
    <d v="2016-03-31T00:00:00"/>
    <x v="2515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1445-1458726768-216] [23/03/2016 at 09:52:00]"/>
  </r>
  <r>
    <s v="3621475-1458726792-101"/>
    <s v="Spot"/>
    <s v="3621475-1458726792-101"/>
    <n v="0"/>
    <d v="2016-03-31T00:00:00"/>
    <x v="2516"/>
    <s v="101"/>
    <s v="SELL"/>
    <n v="3.3970262055368434"/>
    <x v="0"/>
    <x v="0"/>
    <n v="413.52"/>
    <s v="Deal"/>
    <m/>
    <s v="Original Amount [EUR 121.73], Merchant Amount [EUR 121.73], Customer Amount [TRY 413.52], Status [APPROVED], Operation [3DAUTH], UUID [3621475-1458726792-101] [23/03/2016 at 09:53:00]"/>
  </r>
  <r>
    <s v="3621436-1458726756-224"/>
    <s v="Spot"/>
    <s v="3621436-1458726756-224"/>
    <n v="0"/>
    <d v="2016-03-31T00:00:00"/>
    <x v="2517"/>
    <s v="224"/>
    <s v="SELL"/>
    <n v="9.9545734524176162"/>
    <x v="0"/>
    <x v="1"/>
    <n v="1939.35"/>
    <s v="Deal"/>
    <m/>
    <s v="Original Amount [EUR 194.82], Merchant Amount [EUR 194.82], Customer Amount [NOK 1939.35], Status [APPROVED], Operation [DIRECT], UUID [3621436-1458726756-224] [23/03/2016 at 09:52:00]"/>
  </r>
  <r>
    <s v="3621430-1458726750-119"/>
    <s v="Spot"/>
    <s v="3621430-1458726750-119"/>
    <n v="0"/>
    <d v="2016-03-31T00:00:00"/>
    <x v="2518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21430-1458726750-119] [23/03/2016 at 09:52:00]"/>
  </r>
  <r>
    <s v="3621427-1458726749-216"/>
    <s v="Spot"/>
    <s v="3621427-1458726749-216"/>
    <n v="0"/>
    <d v="2016-03-31T00:00:00"/>
    <x v="251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427-1458726749-216] [23/03/2016 at 09:52:00]"/>
  </r>
  <r>
    <s v="3621424-1458726749-101"/>
    <s v="Spot"/>
    <s v="3621424-1458726749-101"/>
    <n v="0"/>
    <d v="2016-03-31T00:00:00"/>
    <x v="2520"/>
    <s v="101"/>
    <s v="SELL"/>
    <n v="3.3975"/>
    <x v="0"/>
    <x v="0"/>
    <n v="27.18"/>
    <s v="Deal"/>
    <m/>
    <s v="Original Amount [EUR 8], Merchant Amount [EUR 8], Customer Amount [TRY 27.18], Status [WAITING], Operation [3D], UUID [3621424-1458726749-101] [23/03/2016 at 09:52:00]"/>
  </r>
  <r>
    <s v="3621415-1458726744-126"/>
    <s v="Spot"/>
    <s v="3621415-1458726744-126"/>
    <n v="0"/>
    <d v="2016-03-31T00:00:00"/>
    <x v="2521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415-1458726744-126] [23/03/2016 at 09:52:00]"/>
  </r>
  <r>
    <s v="3621409-1458726738-199"/>
    <s v="Spot"/>
    <s v="3621409-1458726738-199"/>
    <n v="0"/>
    <d v="2016-03-31T00:00:00"/>
    <x v="2522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1409-1458726738-199] [23/03/2016 at 09:52:00]"/>
  </r>
  <r>
    <s v="3621406-1458726733-119"/>
    <s v="Spot"/>
    <s v="3621406-1458726733-119"/>
    <n v="0"/>
    <d v="2016-03-31T00:00:00"/>
    <x v="2523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1406-1458726733-119] [23/03/2016 at 09:52:00]"/>
  </r>
  <r>
    <s v="3621457-1458726774-107"/>
    <s v="Spot"/>
    <s v="3621457-1458726774-107"/>
    <n v="0"/>
    <d v="2016-03-31T00:00:00"/>
    <x v="2524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1457-1458726774-107] [23/03/2016 at 09:52:00]"/>
  </r>
  <r>
    <s v="3621400-1458726726-199"/>
    <s v="Spot"/>
    <s v="3621400-1458726726-199"/>
    <n v="0"/>
    <d v="2016-03-31T00:00:00"/>
    <x v="252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1400-1458726726-199] [23/03/2016 at 09:52:00]"/>
  </r>
  <r>
    <s v="3621397-1458726721-126"/>
    <s v="Spot"/>
    <s v="3621397-1458726721-126"/>
    <n v="0"/>
    <d v="2016-03-31T00:00:00"/>
    <x v="252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397-1458726721-126] [23/03/2016 at 09:52:00]"/>
  </r>
  <r>
    <s v="3621388-1458726711-200"/>
    <s v="Spot"/>
    <s v="3621388-1458726711-200"/>
    <n v="0"/>
    <d v="2016-03-31T00:00:00"/>
    <x v="2527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1388-1458726711-200] [23/03/2016 at 09:51:00]"/>
  </r>
  <r>
    <s v="3621385-1458726706-200"/>
    <s v="Spot"/>
    <s v="3621385-1458726706-200"/>
    <n v="0"/>
    <d v="2016-03-31T00:00:00"/>
    <x v="2528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1385-1458726706-200] [23/03/2016 at 09:51:00]"/>
  </r>
  <r>
    <s v="3621379-1458726684-101"/>
    <s v="Spot"/>
    <s v="3621379-1458726684-101"/>
    <n v="0"/>
    <d v="2016-03-31T00:00:00"/>
    <x v="2529"/>
    <s v="101"/>
    <s v="SELL"/>
    <n v="3.3970657093803656"/>
    <x v="0"/>
    <x v="0"/>
    <n v="435.3"/>
    <s v="Deal"/>
    <m/>
    <s v="Original Amount [EUR 128.14], Merchant Amount [EUR 128.14], Customer Amount [TRY 435.3], Status [WAITING], Operation [3D], UUID [3621379-1458726684-101] [23/03/2016 at 09:51:00]"/>
  </r>
  <r>
    <s v="3621361-1458726665-238"/>
    <s v="Spot"/>
    <s v="3621361-1458726665-238"/>
    <n v="0"/>
    <d v="2016-03-31T00:00:00"/>
    <x v="2530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1361-1458726665-238] [23/03/2016 at 09:51:00]"/>
  </r>
  <r>
    <s v="3621358-1458726664-119"/>
    <s v="Spot"/>
    <s v="3621358-1458726664-119"/>
    <n v="0"/>
    <d v="2016-03-31T00:00:00"/>
    <x v="2531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1358-1458726664-119] [23/03/2016 at 09:51:00]"/>
  </r>
  <r>
    <s v="3621349-1458726647-56"/>
    <s v="Spot"/>
    <s v="3621349-1458726647-56"/>
    <n v="0"/>
    <d v="2016-03-31T00:00:00"/>
    <x v="2532"/>
    <s v="56"/>
    <s v="SELL"/>
    <n v="3.3978365384615383"/>
    <x v="0"/>
    <x v="0"/>
    <n v="28.27"/>
    <s v="Deal"/>
    <m/>
    <s v="Original Amount [EUR 8.32], Merchant Amount [EUR 8.32], Customer Amount [TRY 28.27], Status [WAITING], Operation [3D], UUID [3621349-1458726647-56] [23/03/2016 at 09:50:00]"/>
  </r>
  <r>
    <s v="3621346-1458726641-126"/>
    <s v="Spot"/>
    <s v="3621346-1458726641-126"/>
    <n v="0"/>
    <d v="2016-03-31T00:00:00"/>
    <x v="2533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1346-1458726641-126] [23/03/2016 at 09:50:00]"/>
  </r>
  <r>
    <s v="3621364-1458726676-56"/>
    <s v="Spot"/>
    <s v="3621364-1458726676-56"/>
    <n v="0"/>
    <d v="2016-03-31T00:00:00"/>
    <x v="2534"/>
    <s v="56"/>
    <s v="SELL"/>
    <n v="3.3981481481481479"/>
    <x v="0"/>
    <x v="0"/>
    <n v="29.36"/>
    <s v="Deal"/>
    <m/>
    <s v="Original Amount [EUR 8.64], Merchant Amount [EUR 8.64], Customer Amount [TRY 29.36], Status [APPROVED], Operation [3DAUTH], UUID [3621364-1458726676-56] [23/03/2016 at 09:51:00]"/>
  </r>
  <r>
    <s v="3621340-1458726632-238"/>
    <s v="Spot"/>
    <s v="3621340-1458726632-238"/>
    <n v="0"/>
    <d v="2016-03-31T00:00:00"/>
    <x v="2535"/>
    <s v="238"/>
    <s v="SELL"/>
    <n v="1.5514705882352939"/>
    <x v="0"/>
    <x v="5"/>
    <n v="2.11"/>
    <s v="Deal"/>
    <m/>
    <s v="Original Amount [EUR 1.36], Merchant Amount [EUR 1.36], Customer Amount [AUD 2.11], Status [APPROVED], Operation [DIRECT], UUID [3621340-1458726632-238] [23/03/2016 at 09:50:00]"/>
  </r>
  <r>
    <s v="3621337-1458726631-224"/>
    <s v="Spot"/>
    <s v="3621337-1458726631-224"/>
    <n v="0"/>
    <d v="2016-03-31T00:00:00"/>
    <x v="2536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1337-1458726631-224] [23/03/2016 at 09:50:00]"/>
  </r>
  <r>
    <s v="3621331-1458726610-119"/>
    <s v="Spot"/>
    <s v="3621331-1458726610-119"/>
    <n v="0"/>
    <d v="2016-03-31T00:00:00"/>
    <x v="2537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1331-1458726610-119] [23/03/2016 at 09:50:00]"/>
  </r>
  <r>
    <s v="3621328-1458726610-224"/>
    <s v="Spot"/>
    <s v="3621328-1458726610-224"/>
    <n v="0"/>
    <d v="2016-03-31T00:00:00"/>
    <x v="2538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1328-1458726610-224] [23/03/2016 at 09:50:00]"/>
  </r>
  <r>
    <s v="3621322-1458726607-119"/>
    <s v="Spot"/>
    <s v="3621322-1458726607-119"/>
    <n v="0"/>
    <d v="2016-03-31T00:00:00"/>
    <x v="253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322-1458726607-119] [23/03/2016 at 09:50:00]"/>
  </r>
  <r>
    <s v="3621304-1458726567-119"/>
    <s v="Spot"/>
    <s v="3621304-1458726567-119"/>
    <n v="0"/>
    <d v="2016-03-31T00:00:00"/>
    <x v="2540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1304-1458726567-119] [23/03/2016 at 09:49:00]"/>
  </r>
  <r>
    <s v="3621301-1458726565-216"/>
    <s v="Spot"/>
    <s v="3621301-1458726565-216"/>
    <n v="0"/>
    <d v="2016-03-31T00:00:00"/>
    <x v="2541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301-1458726565-216] [23/03/2016 at 09:49:00]"/>
  </r>
  <r>
    <s v="3621292-1458726557-224"/>
    <s v="Spot"/>
    <s v="3621292-1458726557-224"/>
    <n v="0"/>
    <d v="2016-03-31T00:00:00"/>
    <x v="2542"/>
    <s v="224"/>
    <s v="SELL"/>
    <n v="132.88274939293325"/>
    <x v="0"/>
    <x v="3"/>
    <n v="53628.82"/>
    <s v="Deal"/>
    <m/>
    <s v="Original Amount [EUR 403.58], Merchant Amount [EUR 403.58], Customer Amount [JPY 53628.82], Status [APPROVED], Operation [DIRECT], UUID [3621292-1458726557-224] [23/03/2016 at 09:49:00]"/>
  </r>
  <r>
    <s v="3621274-1458726523-199"/>
    <s v="Spot"/>
    <s v="3621274-1458726523-199"/>
    <n v="0"/>
    <d v="2016-03-31T00:00:00"/>
    <x v="2543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274-1458726523-199] [23/03/2016 at 09:48:00]"/>
  </r>
  <r>
    <s v="3621283-1458726543-107"/>
    <s v="Spot"/>
    <s v="3621283-1458726543-107"/>
    <n v="0"/>
    <d v="2016-03-31T00:00:00"/>
    <x v="2544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1283-1458726543-107] [23/03/2016 at 09:49:00]"/>
  </r>
  <r>
    <s v="3621262-1458726509-224"/>
    <s v="Spot"/>
    <s v="3621262-1458726509-224"/>
    <n v="0"/>
    <d v="2016-03-31T00:00:00"/>
    <x v="2545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262-1458726509-224] [23/03/2016 at 09:48:00]"/>
  </r>
  <r>
    <s v="3621256-1458726504-199"/>
    <s v="Spot"/>
    <s v="3621256-1458726504-199"/>
    <n v="0"/>
    <d v="2016-03-31T00:00:00"/>
    <x v="2546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1256-1458726504-199] [23/03/2016 at 09:48:00]"/>
  </r>
  <r>
    <s v="3621268-1458726521-216"/>
    <s v="Spot"/>
    <s v="3621268-1458726521-216"/>
    <n v="0"/>
    <d v="2016-03-31T00:00:00"/>
    <x v="2547"/>
    <s v="216"/>
    <s v="SELL"/>
    <n v="3.3971583220568338"/>
    <x v="0"/>
    <x v="0"/>
    <n v="100.42"/>
    <s v="Deal"/>
    <m/>
    <s v="Original Amount [EUR 29.56], Merchant Amount [EUR 29.56], Customer Amount [TRY 100.42], Status [APPROVED], Operation [3DAUTH], UUID [3621268-1458726521-216] [23/03/2016 at 09:48:00]"/>
  </r>
  <r>
    <s v="3621286-1458726544-107"/>
    <s v="Spot"/>
    <s v="3621286-1458726544-107"/>
    <n v="0"/>
    <d v="2016-03-31T00:00:00"/>
    <x v="2548"/>
    <s v="107"/>
    <s v="SELL"/>
    <n v="3.39703034215623"/>
    <x v="0"/>
    <x v="0"/>
    <n v="315.72000000000003"/>
    <s v="Deal"/>
    <m/>
    <s v="Original Amount [EUR 92.94], Merchant Amount [EUR 92.94], Customer Amount [TRY 315.72], Status [APPROVED], Operation [3DAUTH], UUID [3621286-1458726544-107] [23/03/2016 at 09:49:00]"/>
  </r>
  <r>
    <s v="3621214-1458726447-216"/>
    <s v="Spot"/>
    <s v="3621214-1458726447-216"/>
    <n v="0"/>
    <d v="2016-03-31T00:00:00"/>
    <x v="254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214-1458726447-216] [23/03/2016 at 09:47:00]"/>
  </r>
  <r>
    <s v="3621211-1458726443-200"/>
    <s v="Spot"/>
    <s v="3621211-1458726443-200"/>
    <n v="0"/>
    <d v="2016-03-31T00:00:00"/>
    <x v="2550"/>
    <s v="200"/>
    <s v="SELL"/>
    <n v="9.9411227749885889"/>
    <x v="0"/>
    <x v="1"/>
    <n v="217.81"/>
    <s v="Deal"/>
    <m/>
    <s v="Original Amount [EUR 21.91], Merchant Amount [EUR 21.91], Customer Amount [NOK 217.81], Status [APPROVED], Operation [STORED], UUID [3621211-1458726443-200] [23/03/2016 at 09:47:00]"/>
  </r>
  <r>
    <s v="3621208-1458726443-224"/>
    <s v="Spot"/>
    <s v="3621208-1458726443-224"/>
    <n v="0"/>
    <d v="2016-03-31T00:00:00"/>
    <x v="2551"/>
    <s v="224"/>
    <s v="SELL"/>
    <n v="9.9410949410949421"/>
    <x v="0"/>
    <x v="1"/>
    <n v="430.35"/>
    <s v="Deal"/>
    <m/>
    <s v="Original Amount [EUR 43.29], Merchant Amount [EUR 43.29], Customer Amount [NOK 430.35], Status [APPROVED], Operation [DIRECT], UUID [3621208-1458726443-224] [23/03/2016 at 09:47:00]"/>
  </r>
  <r>
    <s v="3621226-1458726462-203"/>
    <s v="Spot"/>
    <s v="3621226-1458726462-203"/>
    <n v="0"/>
    <d v="2016-03-31T00:00:00"/>
    <x v="2552"/>
    <s v="203"/>
    <s v="SELL"/>
    <n v="3.3974193548387093"/>
    <x v="0"/>
    <x v="0"/>
    <n v="52.66"/>
    <s v="Deal"/>
    <m/>
    <s v="Original Amount [EUR 15.5], Merchant Amount [EUR 15.5], Customer Amount [TRY 52.66], Status [APPROVED], Operation [3DAUTH], UUID [3621226-1458726462-203] [23/03/2016 at 09:47:00]"/>
  </r>
  <r>
    <s v="3621205-1458726442-56"/>
    <s v="Spot"/>
    <s v="3621205-1458726442-56"/>
    <n v="0"/>
    <d v="2016-03-31T00:00:00"/>
    <x v="2553"/>
    <s v="56"/>
    <s v="SELL"/>
    <n v="3.3971276927880112"/>
    <x v="0"/>
    <x v="0"/>
    <n v="217.62"/>
    <s v="Deal"/>
    <m/>
    <s v="Original Amount [EUR 64.06], Merchant Amount [EUR 64.06], Customer Amount [TRY 217.62], Status [APPROVED], Operation [3DAUTH], UUID [3621205-1458726442-56] [23/03/2016 at 09:47:00]"/>
  </r>
  <r>
    <s v="3621172-1458726403-224"/>
    <s v="Spot"/>
    <s v="3621172-1458726403-224"/>
    <n v="0"/>
    <d v="2016-03-31T00:00:00"/>
    <x v="2554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172-1458726403-224] [23/03/2016 at 09:46:00]"/>
  </r>
  <r>
    <s v="3621163-1458726389-107"/>
    <s v="Spot"/>
    <s v="3621163-1458726389-107"/>
    <n v="0"/>
    <d v="2016-03-31T00:00:00"/>
    <x v="2555"/>
    <s v="107"/>
    <s v="SELL"/>
    <n v="3.3970303421562296"/>
    <x v="0"/>
    <x v="0"/>
    <n v="105.24"/>
    <s v="Deal"/>
    <m/>
    <s v="Original Amount [EUR 30.98], Merchant Amount [EUR 30.98], Customer Amount [TRY 105.24], Status [WAITING], Operation [3D], UUID [3621163-1458726389-107] [23/03/2016 at 09:46:00]"/>
  </r>
  <r>
    <s v="3621160-1458726383-216"/>
    <s v="Spot"/>
    <s v="3621160-1458726383-216"/>
    <n v="0"/>
    <d v="2016-03-31T00:00:00"/>
    <x v="2556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1160-1458726383-216] [23/03/2016 at 09:46:00]"/>
  </r>
  <r>
    <s v="3621157-1458726374-200"/>
    <s v="Spot"/>
    <s v="3621157-1458726374-200"/>
    <n v="0"/>
    <d v="2016-03-31T00:00:00"/>
    <x v="2557"/>
    <s v="200"/>
    <s v="SELL"/>
    <n v="9.9413017031630169"/>
    <x v="0"/>
    <x v="1"/>
    <n v="326.87"/>
    <s v="Deal"/>
    <m/>
    <s v="Original Amount [EUR 32.88], Merchant Amount [EUR 32.88], Customer Amount [NOK 326.87], Status [APPROVED], Operation [STORED], UUID [3621157-1458726374-200] [23/03/2016 at 09:46:00]"/>
  </r>
  <r>
    <s v="3621154-1458726369-216"/>
    <s v="Spot"/>
    <s v="3621154-1458726369-216"/>
    <n v="0"/>
    <d v="2016-03-31T00:00:00"/>
    <x v="2558"/>
    <s v="216"/>
    <s v="SELL"/>
    <n v="3.3971361776738749"/>
    <x v="0"/>
    <x v="0"/>
    <n v="116.25"/>
    <s v="Deal"/>
    <m/>
    <s v="Original Amount [EUR 34.22], Merchant Amount [EUR 34.22], Customer Amount [TRY 116.25], Status [WAITING], Operation [3D], UUID [3621154-1458726369-216] [23/03/2016 at 09:46:00]"/>
  </r>
  <r>
    <s v="3621151-1458726365-200"/>
    <s v="Spot"/>
    <s v="3621151-1458726365-200"/>
    <n v="0"/>
    <d v="2016-03-31T00:00:00"/>
    <x v="2559"/>
    <s v="200"/>
    <s v="SELL"/>
    <n v="9.9413333333333345"/>
    <x v="0"/>
    <x v="1"/>
    <n v="298.24"/>
    <s v="Deal"/>
    <m/>
    <s v="Original Amount [EUR 30], Merchant Amount [EUR 30], Customer Amount [NOK 298.24], Status [APPROVED], Operation [STORED], UUID [3621151-1458726365-200] [23/03/2016 at 09:46:00]"/>
  </r>
  <r>
    <s v="3621142-1458726355-187"/>
    <s v="Spot"/>
    <s v="3621142-1458726355-187"/>
    <n v="0"/>
    <d v="2016-03-31T00:00:00"/>
    <x v="2560"/>
    <s v="187"/>
    <s v="SELL"/>
    <n v="9.9410838059231246"/>
    <x v="0"/>
    <x v="1"/>
    <n v="315.52999999999997"/>
    <s v="Deal"/>
    <m/>
    <s v="Original Amount [EUR 31.74], Merchant Amount [EUR 31.74], Customer Amount [NOK 315.53], Status [APPROVED], Operation [DIRECT], UUID [3621142-1458726355-187] [23/03/2016 at 09:45:00]"/>
  </r>
  <r>
    <s v="3621133-1458726353-216"/>
    <s v="Spot"/>
    <s v="3621133-1458726353-216"/>
    <n v="0"/>
    <d v="2016-03-31T00:00:00"/>
    <x v="2561"/>
    <s v="216"/>
    <s v="SELL"/>
    <n v="3.3971361776738749"/>
    <x v="0"/>
    <x v="0"/>
    <n v="116.25"/>
    <s v="Deal"/>
    <m/>
    <s v="Original Amount [EUR 34.22], Merchant Amount [EUR 34.22], Customer Amount [TRY 116.25], Status [WAITING], Operation [3D], UUID [3621133-1458726353-216] [23/03/2016 at 09:45:00]"/>
  </r>
  <r>
    <s v="3621112-1458726339-224"/>
    <s v="Spot"/>
    <s v="3621112-1458726339-224"/>
    <n v="0"/>
    <d v="2016-03-31T00:00:00"/>
    <x v="2562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112-1458726339-224] [23/03/2016 at 09:45:00]"/>
  </r>
  <r>
    <s v="3621106-1458726335-107"/>
    <s v="Spot"/>
    <s v="3621106-1458726335-107"/>
    <n v="0"/>
    <d v="2016-03-31T00:00:00"/>
    <x v="2563"/>
    <s v="107"/>
    <s v="SELL"/>
    <n v="3.3970486511413425"/>
    <x v="0"/>
    <x v="0"/>
    <n v="147.33000000000001"/>
    <s v="Deal"/>
    <m/>
    <s v="Original Amount [EUR 43.37], Merchant Amount [EUR 43.37], Customer Amount [TRY 147.33], Status [APPROVED], Operation [3DAUTH], UUID [3621106-1458726335-107] [23/03/2016 at 09:45:00]"/>
  </r>
  <r>
    <s v="3621127-1458726349-107"/>
    <s v="Spot"/>
    <s v="3621127-1458726349-107"/>
    <n v="0"/>
    <d v="2016-03-31T00:00:00"/>
    <x v="2564"/>
    <s v="107"/>
    <s v="SELL"/>
    <n v="3.3974181650530193"/>
    <x v="0"/>
    <x v="0"/>
    <n v="73.69"/>
    <s v="Deal"/>
    <m/>
    <s v="Original Amount [EUR 21.69], Merchant Amount [EUR 21.69], Customer Amount [TRY 73.69], Status [APPROVED], Operation [3DAUTH], UUID [3621127-1458726349-107] [23/03/2016 at 09:45:00]"/>
  </r>
  <r>
    <s v="3621094-1458726312-224"/>
    <s v="Spot"/>
    <s v="3621094-1458726312-224"/>
    <n v="0"/>
    <d v="2016-03-31T00:00:00"/>
    <x v="2565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094-1458726312-224] [23/03/2016 at 09:45:00]"/>
  </r>
  <r>
    <s v="3621088-1458726309-199"/>
    <s v="Spot"/>
    <s v="3621088-1458726309-199"/>
    <n v="0"/>
    <d v="2016-03-31T00:00:00"/>
    <x v="2566"/>
    <s v="199"/>
    <s v="SELL"/>
    <n v="9.9410862227677192"/>
    <x v="0"/>
    <x v="1"/>
    <n v="323.98"/>
    <s v="Deal"/>
    <m/>
    <s v="Original Amount [EUR 32.59], Merchant Amount [EUR 32.59], Customer Amount [NOK 323.98], Status [APPROVED], Operation [DIRECT], UUID [3621088-1458726309-199] [23/03/2016 at 09:45:00]"/>
  </r>
  <r>
    <s v="3621115-1458726340-124"/>
    <s v="Spot"/>
    <s v="3621115-1458726340-124"/>
    <n v="0"/>
    <d v="2016-03-31T00:00:00"/>
    <x v="2567"/>
    <s v="124"/>
    <s v="SELL"/>
    <n v="9.9411764705882337"/>
    <x v="0"/>
    <x v="1"/>
    <n v="346.45"/>
    <s v="Deal"/>
    <m/>
    <s v="Original Amount [EUR 34.85], Merchant Amount [EUR 34.85], Customer Amount [NOK 346.45], Status [APPROVED], Operation [3DAUTH], UUID [3621115-1458726340-124] [23/03/2016 at 09:45:00]"/>
  </r>
  <r>
    <s v="3621076-1458726300-199"/>
    <s v="Spot"/>
    <s v="3621076-1458726300-199"/>
    <n v="0"/>
    <d v="2016-03-31T00:00:00"/>
    <x v="2568"/>
    <s v="199"/>
    <s v="SELL"/>
    <n v="9.9679675994108994"/>
    <x v="0"/>
    <x v="1"/>
    <n v="541.46"/>
    <s v="Deal"/>
    <m/>
    <s v="Original Amount [EUR 54.32], Merchant Amount [EUR 54.32], Customer Amount [NOK 541.46], Status [APPROVED], Operation [DIRECT], UUID [3621076-1458726300-199] [23/03/2016 at 09:45:00]"/>
  </r>
  <r>
    <s v="3621121-1458726345-264"/>
    <s v="Spot"/>
    <s v="3621121-1458726345-264"/>
    <n v="0"/>
    <d v="2016-03-31T00:00:00"/>
    <x v="2569"/>
    <s v="264"/>
    <s v="SELL"/>
    <n v="80.141430412371136"/>
    <x v="0"/>
    <x v="8"/>
    <n v="2487.59"/>
    <s v="Deal"/>
    <m/>
    <s v="Original Amount [TRY 100], Merchant Amount [EUR 31.04], Customer Amount [RUB 2487.59], Status [APPROVED], Operation [3DAUTH], UUID [3621121-1458726345-264] [23/03/2016 at 09:45:00]"/>
  </r>
  <r>
    <s v="3621082-1458726301-124"/>
    <s v="Spot"/>
    <s v="3621082-1458726301-124"/>
    <n v="0"/>
    <d v="2016-03-31T00:00:00"/>
    <x v="2570"/>
    <s v="124"/>
    <s v="SELL"/>
    <n v="9.968030018761727"/>
    <x v="0"/>
    <x v="1"/>
    <n v="1328.24"/>
    <s v="Deal"/>
    <m/>
    <s v="Original Amount [EUR 133.25], Merchant Amount [EUR 133.25], Customer Amount [NOK 1328.24], Status [APPROVED], Operation [3DAUTH], UUID [3621082-1458726301-124] [23/03/2016 at 09:45:00]"/>
  </r>
  <r>
    <s v="3621058-1458726264-216"/>
    <s v="Spot"/>
    <s v="3621058-1458726264-216"/>
    <n v="0"/>
    <d v="2016-03-31T00:00:00"/>
    <x v="2571"/>
    <s v="216"/>
    <s v="SELL"/>
    <n v="3.3958868894601544"/>
    <x v="0"/>
    <x v="0"/>
    <n v="52.84"/>
    <s v="Deal"/>
    <m/>
    <s v="Original Amount [EUR 15.56], Merchant Amount [EUR 15.56], Customer Amount [TRY 52.84], Status [WAITING], Operation [3D], UUID [3621058-1458726264-216] [23/03/2016 at 09:44:00]"/>
  </r>
  <r>
    <s v="3621067-1458726280-216"/>
    <s v="Spot"/>
    <s v="3621067-1458726280-216"/>
    <n v="0"/>
    <d v="2016-03-31T00:00:00"/>
    <x v="2572"/>
    <s v="216"/>
    <s v="SELL"/>
    <n v="3.3958868894601544"/>
    <x v="0"/>
    <x v="0"/>
    <n v="52.84"/>
    <s v="Deal"/>
    <m/>
    <s v="Original Amount [EUR 15.56], Merchant Amount [EUR 15.56], Customer Amount [TRY 52.84], Status [APPROVED], Operation [3DAUTH], UUID [3621067-1458726280-216] [23/03/2016 at 09:44:00]"/>
  </r>
  <r>
    <s v="3621064-1458726277-107"/>
    <s v="Spot"/>
    <s v="3621064-1458726277-107"/>
    <n v="0"/>
    <d v="2016-03-31T00:00:00"/>
    <x v="2573"/>
    <s v="107"/>
    <s v="SELL"/>
    <n v="3.3957391865719821"/>
    <x v="0"/>
    <x v="0"/>
    <n v="52.6"/>
    <s v="Deal"/>
    <m/>
    <s v="Original Amount [EUR 15.49], Merchant Amount [EUR 15.49], Customer Amount [TRY 52.6], Status [APPROVED], Operation [3DAUTH], UUID [3621064-1458726277-107] [23/03/2016 at 09:44:00]"/>
  </r>
  <r>
    <s v="3621049-1458726255-224"/>
    <s v="Spot"/>
    <s v="3621049-1458726255-224"/>
    <n v="0"/>
    <d v="2016-03-31T00:00:00"/>
    <x v="2574"/>
    <s v="224"/>
    <s v="SELL"/>
    <n v="9.9679905157083564"/>
    <x v="0"/>
    <x v="1"/>
    <n v="2690.56"/>
    <s v="Deal"/>
    <m/>
    <s v="Original Amount [EUR 269.92], Merchant Amount [EUR 269.92], Customer Amount [NOK 2690.56], Status [APPROVED], Operation [DIRECT], UUID [3621049-1458726255-224] [23/03/2016 at 09:44:00]"/>
  </r>
  <r>
    <s v="3621040-1458726249-82"/>
    <s v="Spot"/>
    <s v="3621040-1458726249-82"/>
    <n v="0"/>
    <d v="2016-03-31T00:00:00"/>
    <x v="2575"/>
    <s v="82"/>
    <s v="SELL"/>
    <n v="0"/>
    <x v="0"/>
    <x v="7"/>
    <n v="0.01"/>
    <s v="Deal"/>
    <m/>
    <s v="Original Amount [USD 0.01], Merchant Amount [EUR 0], Customer Amount [USD 0.01], Status [APPROVED], Operation [STORED], UUID [3621040-1458726249-82] [23/03/2016 at 09:44:00]"/>
  </r>
  <r>
    <s v="3621037-1458726243-187"/>
    <s v="Spot"/>
    <s v="3621037-1458726243-187"/>
    <n v="0"/>
    <d v="2016-03-31T00:00:00"/>
    <x v="2576"/>
    <s v="187"/>
    <s v="SELL"/>
    <n v="9.9688090737240067"/>
    <x v="0"/>
    <x v="1"/>
    <n v="105.47"/>
    <s v="Deal"/>
    <m/>
    <s v="Original Amount [EUR 10.58], Merchant Amount [EUR 10.58], Customer Amount [NOK 105.47], Status [APPROVED], Operation [DIRECT], UUID [3621037-1458726243-187] [23/03/2016 at 09:44:00]"/>
  </r>
  <r>
    <s v="3621028-1458726224-224"/>
    <s v="Spot"/>
    <s v="3621028-1458726224-224"/>
    <n v="0"/>
    <d v="2016-03-31T00:00:00"/>
    <x v="2577"/>
    <s v="224"/>
    <s v="SELL"/>
    <n v="132.96697413403857"/>
    <x v="0"/>
    <x v="3"/>
    <n v="20613.87"/>
    <s v="Deal"/>
    <m/>
    <s v="Original Amount [EUR 155.03], Merchant Amount [EUR 155.03], Customer Amount [JPY 20613.87], Status [APPROVED], Operation [DIRECT], UUID [3621028-1458726224-224] [23/03/2016 at 09:43:00]"/>
  </r>
  <r>
    <s v="3621001-1458726200-224"/>
    <s v="Spot"/>
    <s v="3621001-1458726200-224"/>
    <n v="0"/>
    <d v="2016-03-31T00:00:00"/>
    <x v="2578"/>
    <s v="224"/>
    <s v="SELL"/>
    <n v="9.9680280909258911"/>
    <x v="0"/>
    <x v="1"/>
    <n v="539.37"/>
    <s v="Deal"/>
    <m/>
    <s v="Original Amount [EUR 54.11], Merchant Amount [EUR 54.11], Customer Amount [NOK 539.37], Status [APPROVED], Operation [DIRECT], UUID [3621001-1458726200-224] [23/03/2016 at 09:43:00]"/>
  </r>
  <r>
    <s v="3620989-1458726184-216"/>
    <s v="Spot"/>
    <s v="3620989-1458726184-216"/>
    <n v="0"/>
    <d v="2016-03-31T00:00:00"/>
    <x v="2579"/>
    <s v="216"/>
    <s v="SELL"/>
    <n v="3.396032831737346"/>
    <x v="0"/>
    <x v="0"/>
    <n v="49.65"/>
    <s v="Deal"/>
    <m/>
    <s v="Original Amount [EUR 14.62], Merchant Amount [EUR 14.62], Customer Amount [TRY 49.65], Status [WAITING], Operation [3D], UUID [3620989-1458726184-216] [23/03/2016 at 09:43:00]"/>
  </r>
  <r>
    <s v="3620983-1458726173-216"/>
    <s v="Spot"/>
    <s v="3620983-1458726173-216"/>
    <n v="0"/>
    <d v="2016-03-31T00:00:00"/>
    <x v="2580"/>
    <s v="216"/>
    <s v="SELL"/>
    <n v="3.3958868894601544"/>
    <x v="0"/>
    <x v="0"/>
    <n v="52.84"/>
    <s v="Deal"/>
    <m/>
    <s v="Original Amount [EUR 15.56], Merchant Amount [EUR 15.56], Customer Amount [TRY 52.84], Status [WAITING], Operation [3D], UUID [3620983-1458726173-216] [23/03/2016 at 09:42:00]"/>
  </r>
  <r>
    <s v="3621004-1458726201-216"/>
    <s v="Spot"/>
    <s v="3621004-1458726201-216"/>
    <n v="0"/>
    <d v="2016-03-31T00:00:00"/>
    <x v="2581"/>
    <s v="216"/>
    <s v="SELL"/>
    <n v="3.3955323423061468"/>
    <x v="0"/>
    <x v="0"/>
    <n v="2112.87"/>
    <s v="Deal"/>
    <m/>
    <s v="Original Amount [EUR 622.25], Merchant Amount [EUR 622.25], Customer Amount [TRY 2112.87], Status [APPROVED], Operation [3DAUTH], UUID [3621004-1458726201-216] [23/03/2016 at 09:43:00]"/>
  </r>
  <r>
    <s v="3620977-1458726162-171"/>
    <s v="Spot"/>
    <s v="3620977-1458726162-171"/>
    <n v="0"/>
    <d v="2016-03-31T00:00:00"/>
    <x v="2582"/>
    <s v="171"/>
    <s v="SELL"/>
    <n v="9.968"/>
    <x v="0"/>
    <x v="1"/>
    <n v="398.72"/>
    <s v="Deal"/>
    <m/>
    <s v="Original Amount [EUR 40], Merchant Amount [EUR 40], Customer Amount [NOK 398.72], Status [APPROVED], Operation [DIRECT], UUID [3620977-1458726162-171] [23/03/2016 at 09:42:00]"/>
  </r>
  <r>
    <s v="3620974-1458726148-224"/>
    <s v="Spot"/>
    <s v="3620974-1458726148-224"/>
    <n v="0"/>
    <d v="2016-03-31T00:00:00"/>
    <x v="2583"/>
    <s v="224"/>
    <s v="SELL"/>
    <n v="9.9679704342469986"/>
    <x v="0"/>
    <x v="1"/>
    <n v="323.66000000000003"/>
    <s v="Deal"/>
    <m/>
    <s v="Original Amount [EUR 32.47], Merchant Amount [EUR 32.47], Customer Amount [NOK 323.66], Status [APPROVED], Operation [DIRECT], UUID [3620974-1458726148-224] [23/03/2016 at 09:42:00]"/>
  </r>
  <r>
    <s v="3620968-1458726122-119"/>
    <s v="Spot"/>
    <s v="3620968-1458726122-119"/>
    <n v="0"/>
    <d v="2016-03-31T00:00:00"/>
    <x v="2584"/>
    <s v="119"/>
    <s v="SELL"/>
    <n v="9.968"/>
    <x v="0"/>
    <x v="1"/>
    <n v="498.4"/>
    <s v="Deal"/>
    <m/>
    <s v="Original Amount [EUR 50], Merchant Amount [EUR 50], Customer Amount [NOK 498.4], Status [APPROVED], Operation [DIRECT], UUID [3620968-1458726122-119] [23/03/2016 at 09:42:00]"/>
  </r>
  <r>
    <s v="3621013-1458726211-216"/>
    <s v="Spot"/>
    <s v="3621013-1458726211-216"/>
    <n v="0"/>
    <d v="2016-03-31T00:00:00"/>
    <x v="2585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21013-1458726211-216] [23/03/2016 at 09:43:00]"/>
  </r>
  <r>
    <s v="3620962-1458726109-119"/>
    <s v="Spot"/>
    <s v="3620962-1458726109-119"/>
    <n v="0"/>
    <d v="2016-03-31T00:00:00"/>
    <x v="2586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0962-1458726109-119] [23/03/2016 at 09:41:00]"/>
  </r>
  <r>
    <s v="3620959-1458726109-216"/>
    <s v="Spot"/>
    <s v="3620959-1458726109-216"/>
    <n v="0"/>
    <d v="2016-03-31T00:00:00"/>
    <x v="2587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959-1458726109-216] [23/03/2016 at 09:41:00]"/>
  </r>
  <r>
    <s v="3620971-1458726129-56"/>
    <s v="Spot"/>
    <s v="3620971-1458726129-56"/>
    <n v="0"/>
    <d v="2016-03-31T00:00:00"/>
    <x v="2588"/>
    <s v="56"/>
    <s v="SELL"/>
    <n v="3.3969555035128804"/>
    <x v="0"/>
    <x v="0"/>
    <n v="87.03"/>
    <s v="Deal"/>
    <m/>
    <s v="Original Amount [EUR 25.62], Merchant Amount [EUR 25.62], Customer Amount [TRY 87.03], Status [APPROVED], Operation [3DAUTH], UUID [3620971-1458726129-56] [23/03/2016 at 09:42:00]"/>
  </r>
  <r>
    <s v="3620926-1458726060-216"/>
    <s v="Spot"/>
    <s v="3620926-1458726060-216"/>
    <n v="0"/>
    <d v="2016-03-31T00:00:00"/>
    <x v="258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926-1458726060-216] [23/03/2016 at 09:41:00]"/>
  </r>
  <r>
    <s v="3620953-1458726095-216"/>
    <s v="Spot"/>
    <s v="3620953-1458726095-216"/>
    <n v="0"/>
    <d v="2016-03-31T00:00:00"/>
    <x v="2590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0953-1458726095-216] [23/03/2016 at 09:41:00]"/>
  </r>
  <r>
    <s v="3620917-1458726045-224"/>
    <s v="Spot"/>
    <s v="3620917-1458726045-224"/>
    <n v="0"/>
    <d v="2016-03-31T00:00:00"/>
    <x v="259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0917-1458726045-224] [23/03/2016 at 09:40:00]"/>
  </r>
  <r>
    <s v="3620905-1458726026-224"/>
    <s v="Spot"/>
    <s v="3620905-1458726026-224"/>
    <n v="0"/>
    <d v="2016-03-31T00:00:00"/>
    <x v="2592"/>
    <s v="224"/>
    <s v="SELL"/>
    <n v="9.9548983364140469"/>
    <x v="0"/>
    <x v="1"/>
    <n v="269.27999999999997"/>
    <s v="Deal"/>
    <m/>
    <s v="Original Amount [EUR 27.05], Merchant Amount [EUR 27.05], Customer Amount [NOK 269.28], Status [APPROVED], Operation [DIRECT], UUID [3620905-1458726026-224] [23/03/2016 at 09:40:00]"/>
  </r>
  <r>
    <s v="3620902-1458726026-224"/>
    <s v="Spot"/>
    <s v="3620902-1458726026-224"/>
    <n v="0"/>
    <d v="2016-03-31T00:00:00"/>
    <x v="2593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0902-1458726026-224] [23/03/2016 at 09:40:00]"/>
  </r>
  <r>
    <s v="3620899-1458726026-224"/>
    <s v="Spot"/>
    <s v="3620899-1458726026-224"/>
    <n v="0"/>
    <d v="2016-03-31T00:00:00"/>
    <x v="2594"/>
    <s v="224"/>
    <s v="SELL"/>
    <n v="9.9545791345583865"/>
    <x v="0"/>
    <x v="1"/>
    <n v="2686.94"/>
    <s v="Deal"/>
    <m/>
    <s v="Original Amount [EUR 269.92], Merchant Amount [EUR 269.92], Customer Amount [NOK 2686.94], Status [APPROVED], Operation [DIRECT], UUID [3620899-1458726026-224] [23/03/2016 at 09:40:00]"/>
  </r>
  <r>
    <s v="3620893-1458726009-126"/>
    <s v="Spot"/>
    <s v="3620893-1458726009-126"/>
    <n v="0"/>
    <d v="2016-03-31T00:00:00"/>
    <x v="2595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0893-1458726009-126] [23/03/2016 at 09:40:00]"/>
  </r>
  <r>
    <s v="3620908-1458726038-216"/>
    <s v="Spot"/>
    <s v="3620908-1458726038-216"/>
    <n v="0"/>
    <d v="2016-03-31T00:00:00"/>
    <x v="2596"/>
    <s v="216"/>
    <s v="SELL"/>
    <n v="3.3968200270635993"/>
    <x v="0"/>
    <x v="0"/>
    <n v="100.41"/>
    <s v="Deal"/>
    <m/>
    <s v="Original Amount [EUR 29.56], Merchant Amount [EUR 29.56], Customer Amount [TRY 100.41], Status [APPROVED], Operation [3DAUTH], UUID [3620908-1458726038-216] [23/03/2016 at 09:40:00]"/>
  </r>
  <r>
    <s v="3620884-1458726004-216"/>
    <s v="Spot"/>
    <s v="3620884-1458726004-216"/>
    <n v="0"/>
    <d v="2016-03-31T00:00:00"/>
    <x v="2597"/>
    <s v="216"/>
    <s v="SELL"/>
    <n v="3.3966009711511003"/>
    <x v="0"/>
    <x v="0"/>
    <n v="237.83"/>
    <s v="Deal"/>
    <m/>
    <s v="Original Amount [EUR 70.02], Merchant Amount [EUR 70.02], Customer Amount [TRY 237.83], Status [APPROVED], Operation [3DAUTH], UUID [3620884-1458726004-216] [23/03/2016 at 09:40:00]"/>
  </r>
  <r>
    <s v="3620872-1458725972-216"/>
    <s v="Spot"/>
    <s v="3620872-1458725972-216"/>
    <n v="0"/>
    <d v="2016-03-31T00:00:00"/>
    <x v="2598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872-1458725972-216] [23/03/2016 at 09:39:00]"/>
  </r>
  <r>
    <s v="3620863-1458725943-224"/>
    <s v="Spot"/>
    <s v="3620863-1458725943-224"/>
    <n v="0"/>
    <d v="2016-03-31T00:00:00"/>
    <x v="2599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0863-1458725943-224] [23/03/2016 at 09:39:00]"/>
  </r>
  <r>
    <s v="3620854-1458725930-216"/>
    <s v="Spot"/>
    <s v="3620854-1458725930-216"/>
    <n v="0"/>
    <d v="2016-03-31T00:00:00"/>
    <x v="2600"/>
    <s v="216"/>
    <s v="SELL"/>
    <n v="3.3923444976076556"/>
    <x v="0"/>
    <x v="0"/>
    <n v="49.63"/>
    <s v="Deal"/>
    <m/>
    <s v="Original Amount [EUR 14.63], Merchant Amount [EUR 14.63], Customer Amount [TRY 49.63], Status [WAITING], Operation [3D], UUID [3620854-1458725930-216] [23/03/2016 at 09:38:00]"/>
  </r>
  <r>
    <s v="3620851-1458725927-119"/>
    <s v="Spot"/>
    <s v="3620851-1458725927-119"/>
    <n v="0"/>
    <d v="2016-03-31T00:00:00"/>
    <x v="2601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851-1458725927-119] [23/03/2016 at 09:38:00]"/>
  </r>
  <r>
    <s v="3620848-1458725926-224"/>
    <s v="Spot"/>
    <s v="3620848-1458725926-224"/>
    <n v="0"/>
    <d v="2016-03-31T00:00:00"/>
    <x v="2602"/>
    <s v="224"/>
    <s v="SELL"/>
    <n v="9.9418950826403876"/>
    <x v="0"/>
    <x v="1"/>
    <n v="968.44"/>
    <s v="Deal"/>
    <m/>
    <s v="Original Amount [EUR 97.41], Merchant Amount [EUR 97.41], Customer Amount [NOK 968.44], Status [APPROVED], Operation [DIRECT], UUID [3620848-1458725926-224] [23/03/2016 at 09:38:00]"/>
  </r>
  <r>
    <s v="3620842-1458725918-200"/>
    <s v="Spot"/>
    <s v="3620842-1458725918-200"/>
    <n v="0"/>
    <d v="2016-03-31T00:00:00"/>
    <x v="2603"/>
    <s v="200"/>
    <s v="SELL"/>
    <n v="9.9419708029197089"/>
    <x v="0"/>
    <x v="1"/>
    <n v="544.82000000000005"/>
    <s v="Deal"/>
    <m/>
    <s v="Original Amount [EUR 54.8], Merchant Amount [EUR 54.8], Customer Amount [NOK 544.82], Status [APPROVED], Operation [STORED], UUID [3620842-1458725918-200] [23/03/2016 at 09:38:00]"/>
  </r>
  <r>
    <s v="3620839-1458725916-216"/>
    <s v="Spot"/>
    <s v="3620839-1458725916-216"/>
    <n v="0"/>
    <d v="2016-03-31T00:00:00"/>
    <x v="2604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20839-1458725916-216] [23/03/2016 at 09:38:00]"/>
  </r>
  <r>
    <s v="3620845-1458725923-216"/>
    <s v="Spot"/>
    <s v="3620845-1458725923-216"/>
    <n v="0"/>
    <d v="2016-03-31T00:00:00"/>
    <x v="2605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0845-1458725923-216] [23/03/2016 at 09:38:00]"/>
  </r>
  <r>
    <s v="3620827-1458725892-216"/>
    <s v="Spot"/>
    <s v="3620827-1458725892-216"/>
    <n v="0"/>
    <d v="2016-03-31T00:00:00"/>
    <x v="2606"/>
    <s v="216"/>
    <s v="SELL"/>
    <n v="3.3923444976076556"/>
    <x v="0"/>
    <x v="0"/>
    <n v="49.63"/>
    <s v="Deal"/>
    <m/>
    <s v="Original Amount [EUR 14.63], Merchant Amount [EUR 14.63], Customer Amount [TRY 49.63], Status [WAITING], Operation [3D], UUID [3620827-1458725892-216] [23/03/2016 at 09:38:00]"/>
  </r>
  <r>
    <s v="3620815-1458725880-224"/>
    <s v="Spot"/>
    <s v="3620815-1458725880-224"/>
    <n v="0"/>
    <d v="2016-03-31T00:00:00"/>
    <x v="2607"/>
    <s v="224"/>
    <s v="SELL"/>
    <n v="132.97225572979494"/>
    <x v="0"/>
    <x v="3"/>
    <n v="12125.74"/>
    <s v="Deal"/>
    <m/>
    <s v="Original Amount [EUR 91.19], Merchant Amount [EUR 91.19], Customer Amount [JPY 12125.74], Status [APPROVED], Operation [DIRECT], UUID [3620815-1458725880-224] [23/03/2016 at 09:38:00]"/>
  </r>
  <r>
    <s v="3620809-1458725868-126"/>
    <s v="Spot"/>
    <s v="3620809-1458725868-126"/>
    <n v="0"/>
    <d v="2016-03-31T00:00:00"/>
    <x v="2608"/>
    <s v="126"/>
    <s v="SELL"/>
    <n v="9.9419512195121946"/>
    <x v="0"/>
    <x v="1"/>
    <n v="407.62"/>
    <s v="Deal"/>
    <m/>
    <s v="Original Amount [EUR 41], Merchant Amount [EUR 41], Customer Amount [NOK 407.62], Status [APPROVED], Operation [DIRECT], UUID [3620809-1458725868-126] [23/03/2016 at 09:37:00]"/>
  </r>
  <r>
    <s v="3620818-1458725883-216"/>
    <s v="Spot"/>
    <s v="3620818-1458725883-216"/>
    <n v="0"/>
    <d v="2016-03-31T00:00:00"/>
    <x v="2609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20818-1458725883-216] [23/03/2016 at 09:38:00]"/>
  </r>
  <r>
    <s v="3620824-1458725887-216"/>
    <s v="Spot"/>
    <s v="3620824-1458725887-216"/>
    <n v="0"/>
    <d v="2016-03-31T00:00:00"/>
    <x v="261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0824-1458725887-216] [23/03/2016 at 09:38:00]"/>
  </r>
  <r>
    <s v="3620791-1458725838-261"/>
    <s v="Spot"/>
    <s v="3620791-1458725838-261"/>
    <n v="0"/>
    <d v="2016-03-31T00:00:00"/>
    <x v="2611"/>
    <s v="261"/>
    <s v="SELL"/>
    <n v="9.9420560747663558"/>
    <x v="0"/>
    <x v="1"/>
    <n v="106.38"/>
    <s v="Deal"/>
    <m/>
    <s v="Original Amount [EUR 10.7], Merchant Amount [EUR 10.7], Customer Amount [NOK 106.38], Status [APPROVED], Operation [DIRECT], UUID [3620791-1458725838-261] [23/03/2016 at 09:37:00]"/>
  </r>
  <r>
    <s v="3620788-1458725837-224"/>
    <s v="Spot"/>
    <s v="3620788-1458725837-224"/>
    <n v="0"/>
    <d v="2016-03-31T00:00:00"/>
    <x v="261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0788-1458725837-224] [23/03/2016 at 09:37:00]"/>
  </r>
  <r>
    <s v="3620785-1458725834-200"/>
    <s v="Spot"/>
    <s v="3620785-1458725834-200"/>
    <n v="0"/>
    <d v="2016-03-31T00:00:00"/>
    <x v="2613"/>
    <s v="200"/>
    <s v="SELL"/>
    <n v="9.9419099756690983"/>
    <x v="0"/>
    <x v="1"/>
    <n v="326.89"/>
    <s v="Deal"/>
    <m/>
    <s v="Original Amount [EUR 32.88], Merchant Amount [EUR 32.88], Customer Amount [NOK 326.89], Status [APPROVED], Operation [STORED], UUID [3620785-1458725834-200] [23/03/2016 at 09:37:00]"/>
  </r>
  <r>
    <s v="3620797-1458725848-101"/>
    <s v="Spot"/>
    <s v="3620797-1458725848-101"/>
    <n v="0"/>
    <d v="2016-03-31T00:00:00"/>
    <x v="2614"/>
    <s v="101"/>
    <s v="SELL"/>
    <n v="3.3922315308453919"/>
    <x v="0"/>
    <x v="0"/>
    <n v="44.54"/>
    <s v="Deal"/>
    <m/>
    <s v="Original Amount [EUR 13.13], Merchant Amount [EUR 13.13], Customer Amount [TRY 44.54], Status [APPROVED], Operation [3DAUTH], UUID [3620797-1458725848-101] [23/03/2016 at 09:37:00]"/>
  </r>
  <r>
    <s v="3620773-1458725812-119"/>
    <s v="Spot"/>
    <s v="3620773-1458725812-119"/>
    <n v="0"/>
    <d v="2016-03-31T00:00:00"/>
    <x v="2615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773-1458725812-119] [23/03/2016 at 09:36:00]"/>
  </r>
  <r>
    <s v="3620770-1458725810-119"/>
    <s v="Spot"/>
    <s v="3620770-1458725810-119"/>
    <n v="0"/>
    <d v="2016-03-31T00:00:00"/>
    <x v="2616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770-1458725810-119] [23/03/2016 at 09:36:00]"/>
  </r>
  <r>
    <s v="3620779-1458725827-107"/>
    <s v="Spot"/>
    <s v="3620779-1458725827-107"/>
    <n v="0"/>
    <d v="2016-03-31T00:00:00"/>
    <x v="2617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779-1458725827-107] [23/03/2016 at 09:37:00]"/>
  </r>
  <r>
    <s v="3620761-1458725766-124"/>
    <s v="Spot"/>
    <s v="3620761-1458725766-124"/>
    <n v="0"/>
    <d v="2016-03-31T00:00:00"/>
    <x v="2618"/>
    <s v="124"/>
    <s v="SELL"/>
    <n v="9.9423984891407002"/>
    <x v="0"/>
    <x v="1"/>
    <n v="105.29"/>
    <s v="Deal"/>
    <m/>
    <s v="Original Amount [EUR 10.59], Merchant Amount [EUR 10.59], Customer Amount [NOK 105.29], Status [APPROVED], Operation [DIRECT], UUID [3620761-1458725766-124] [23/03/2016 at 09:36:00]"/>
  </r>
  <r>
    <s v="3620758-1458725749-216"/>
    <s v="Spot"/>
    <s v="3620758-1458725749-216"/>
    <n v="0"/>
    <d v="2016-03-31T00:00:00"/>
    <x v="261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758-1458725749-216] [23/03/2016 at 09:35:00]"/>
  </r>
  <r>
    <s v="3620743-1458725726-224"/>
    <s v="Spot"/>
    <s v="3620743-1458725726-224"/>
    <n v="0"/>
    <d v="2016-03-31T00:00:00"/>
    <x v="2620"/>
    <s v="224"/>
    <s v="SELL"/>
    <n v="9.9419700609868791"/>
    <x v="0"/>
    <x v="1"/>
    <n v="537.96"/>
    <s v="Deal"/>
    <m/>
    <s v="Original Amount [EUR 54.11], Merchant Amount [EUR 54.11], Customer Amount [NOK 537.96], Status [APPROVED], Operation [DIRECT], UUID [3620743-1458725726-224] [23/03/2016 at 09:35:00]"/>
  </r>
  <r>
    <s v="3620740-1458725714-261"/>
    <s v="Spot"/>
    <s v="3620740-1458725714-261"/>
    <n v="0"/>
    <d v="2016-03-31T00:00:00"/>
    <x v="2621"/>
    <s v="261"/>
    <s v="SELL"/>
    <n v="9.9420560747663558"/>
    <x v="0"/>
    <x v="1"/>
    <n v="106.38"/>
    <s v="Deal"/>
    <m/>
    <s v="Original Amount [EUR 10.7], Merchant Amount [EUR 10.7], Customer Amount [NOK 106.38], Status [APPROVED], Operation [DIRECT], UUID [3620740-1458725714-261] [23/03/2016 at 09:35:00]"/>
  </r>
  <r>
    <s v="3620746-1458725727-124"/>
    <s v="Spot"/>
    <s v="3620746-1458725727-124"/>
    <n v="0"/>
    <d v="2016-03-31T00:00:00"/>
    <x v="2622"/>
    <s v="124"/>
    <s v="SELL"/>
    <n v="9.9419068736141902"/>
    <x v="0"/>
    <x v="1"/>
    <n v="672.57"/>
    <s v="Deal"/>
    <m/>
    <s v="Original Amount [EUR 67.65], Merchant Amount [EUR 67.65], Customer Amount [NOK 672.57], Status [APPROVED], Operation [3DAUTH], UUID [3620746-1458725727-124] [23/03/2016 at 09:35:00]"/>
  </r>
  <r>
    <s v="3620725-1458725670-224"/>
    <s v="Spot"/>
    <s v="3620725-1458725670-224"/>
    <n v="0"/>
    <d v="2016-03-31T00:00:00"/>
    <x v="2623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0725-1458725670-224] [23/03/2016 at 09:34:00]"/>
  </r>
  <r>
    <s v="3620722-1458725666-216"/>
    <s v="Spot"/>
    <s v="3620722-1458725666-216"/>
    <n v="0"/>
    <d v="2016-03-31T00:00:00"/>
    <x v="2624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722-1458725666-216] [23/03/2016 at 09:34:00]"/>
  </r>
  <r>
    <s v="3620719-1458725662-119"/>
    <s v="Spot"/>
    <s v="3620719-1458725662-119"/>
    <n v="0"/>
    <d v="2016-03-31T00:00:00"/>
    <x v="2625"/>
    <s v="119"/>
    <s v="SELL"/>
    <n v="9.9417999999999989"/>
    <x v="0"/>
    <x v="1"/>
    <n v="2485.4499999999998"/>
    <s v="Deal"/>
    <m/>
    <s v="Original Amount [EUR 250], Merchant Amount [EUR 250], Customer Amount [NOK 2485.45], Status [APPROVED], Operation [3DAUTH], UUID [3620719-1458725662-119] [23/03/2016 at 09:34:00]"/>
  </r>
  <r>
    <s v="3620707-1458725640-224"/>
    <s v="Spot"/>
    <s v="3620707-1458725640-224"/>
    <n v="0"/>
    <d v="2016-03-31T00:00:00"/>
    <x v="2626"/>
    <s v="224"/>
    <s v="SELL"/>
    <n v="9.941869417924238"/>
    <x v="0"/>
    <x v="1"/>
    <n v="1291.25"/>
    <s v="Deal"/>
    <m/>
    <s v="Original Amount [EUR 129.88], Merchant Amount [EUR 129.88], Customer Amount [NOK 1291.25], Status [APPROVED], Operation [DIRECT], UUID [3620707-1458725640-224] [23/03/2016 at 09:34:00]"/>
  </r>
  <r>
    <s v="3620704-1458725640-56"/>
    <s v="Spot"/>
    <s v="3620704-1458725640-56"/>
    <n v="0"/>
    <d v="2016-03-31T00:00:00"/>
    <x v="2627"/>
    <s v="56"/>
    <s v="SELL"/>
    <n v="3.3971539456662354"/>
    <x v="0"/>
    <x v="0"/>
    <n v="26.26"/>
    <s v="Deal"/>
    <m/>
    <s v="Original Amount [EUR 7.73], Merchant Amount [EUR 7.73], Customer Amount [TRY 26.26], Status [APPROVED], Operation [3DAUTH], UUID [3620704-1458725640-56] [23/03/2016 at 09:34:00]"/>
  </r>
  <r>
    <s v="3620701-1458725630-150"/>
    <s v="Spot"/>
    <s v="3620701-1458725630-150"/>
    <n v="0"/>
    <d v="2016-03-31T00:00:00"/>
    <x v="2628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0701-1458725630-150] [23/03/2016 at 09:33:00]"/>
  </r>
  <r>
    <s v="3620686-1458725602-261"/>
    <s v="Spot"/>
    <s v="3620686-1458725602-261"/>
    <n v="0"/>
    <d v="2016-03-31T00:00:00"/>
    <x v="2629"/>
    <s v="261"/>
    <s v="SELL"/>
    <n v="9.9420560747663558"/>
    <x v="0"/>
    <x v="1"/>
    <n v="212.76"/>
    <s v="Deal"/>
    <m/>
    <s v="Original Amount [EUR 21.4], Merchant Amount [EUR 21.4], Customer Amount [NOK 212.76], Status [APPROVED], Operation [DIRECT], UUID [3620686-1458725602-261] [23/03/2016 at 09:33:00]"/>
  </r>
  <r>
    <s v="3620674-1458725569-161"/>
    <s v="Spot"/>
    <s v="3620674-1458725569-161"/>
    <n v="0"/>
    <d v="2016-03-31T00:00:00"/>
    <x v="2630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0674-1458725569-161] [23/03/2016 at 09:32:00]"/>
  </r>
  <r>
    <s v="3620662-1458725563-224"/>
    <s v="Spot"/>
    <s v="3620662-1458725563-224"/>
    <n v="0"/>
    <d v="2016-03-31T00:00:00"/>
    <x v="2631"/>
    <s v="224"/>
    <s v="SELL"/>
    <n v="9.941056609365738"/>
    <x v="0"/>
    <x v="1"/>
    <n v="2683.29"/>
    <s v="Deal"/>
    <m/>
    <s v="Original Amount [EUR 269.92], Merchant Amount [EUR 269.92], Customer Amount [NOK 2683.29], Status [APPROVED], Operation [DIRECT], UUID [3620662-1458725563-224] [23/03/2016 at 09:32:00]"/>
  </r>
  <r>
    <s v="3620671-1458725568-107"/>
    <s v="Spot"/>
    <s v="3620671-1458725568-107"/>
    <n v="0"/>
    <d v="2016-03-31T00:00:00"/>
    <x v="2632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671-1458725568-107] [23/03/2016 at 09:32:00]"/>
  </r>
  <r>
    <s v="3620677-1458725569-107"/>
    <s v="Spot"/>
    <s v="3620677-1458725569-107"/>
    <n v="0"/>
    <d v="2016-03-31T00:00:00"/>
    <x v="2633"/>
    <s v="107"/>
    <s v="SELL"/>
    <n v="3.3923679060665362"/>
    <x v="0"/>
    <x v="0"/>
    <n v="34.67"/>
    <s v="Deal"/>
    <m/>
    <s v="Original Amount [EUR 10.22], Merchant Amount [EUR 10.22], Customer Amount [TRY 34.67], Status [APPROVED], Operation [3DAUTH], UUID [3620677-1458725569-107] [23/03/2016 at 09:32:00]"/>
  </r>
  <r>
    <s v="3620605-1458725525-241"/>
    <s v="Spot"/>
    <s v="3620605-1458725525-241"/>
    <n v="0"/>
    <d v="2016-03-31T00:00:00"/>
    <x v="2634"/>
    <s v="241"/>
    <s v="SELL"/>
    <n v="0.83294431477159059"/>
    <x v="0"/>
    <x v="4"/>
    <n v="24.98"/>
    <s v="Deal"/>
    <m/>
    <s v="Original Amount [EUR 29.99], Merchant Amount [EUR 29.99], Customer Amount [GBP 24.98], Status [APPROVED], Operation [DIRECT], UUID [3620605-1458725525-241] [23/03/2016 at 09:32:00]"/>
  </r>
  <r>
    <s v="3620590-1458725518-199"/>
    <s v="Spot"/>
    <s v="3620590-1458725518-199"/>
    <n v="0"/>
    <d v="2016-03-31T00:00:00"/>
    <x v="2635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0590-1458725518-199] [23/03/2016 at 09:31:00]"/>
  </r>
  <r>
    <s v="3620581-1458725509-224"/>
    <s v="Spot"/>
    <s v="3620581-1458725509-224"/>
    <n v="0"/>
    <d v="2016-03-31T00:00:00"/>
    <x v="2636"/>
    <s v="224"/>
    <s v="SELL"/>
    <n v="9.9410738117236424"/>
    <x v="0"/>
    <x v="1"/>
    <n v="968.36"/>
    <s v="Deal"/>
    <m/>
    <s v="Original Amount [EUR 97.41], Merchant Amount [EUR 97.41], Customer Amount [NOK 968.36], Status [APPROVED], Operation [DIRECT], UUID [3620581-1458725509-224] [23/03/2016 at 09:31:00]"/>
  </r>
  <r>
    <s v="3620578-1458725508-82"/>
    <s v="Spot"/>
    <s v="3620578-1458725508-82"/>
    <n v="0"/>
    <d v="2016-03-31T00:00:00"/>
    <x v="2637"/>
    <s v="82"/>
    <s v="SELL"/>
    <n v="0.84033613445378152"/>
    <x v="0"/>
    <x v="4"/>
    <n v="1"/>
    <s v="Deal"/>
    <m/>
    <s v="Original Amount [GBP 1], Merchant Amount [EUR 1.19], Customer Amount [GBP 1], Status [APPROVED], Operation [STORED], UUID [3620578-1458725508-82] [23/03/2016 at 09:31:00]"/>
  </r>
  <r>
    <s v="3620575-1458725508-161"/>
    <s v="Spot"/>
    <s v="3620575-1458725508-161"/>
    <n v="0"/>
    <d v="2016-03-31T00:00:00"/>
    <x v="2638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0575-1458725508-161] [23/03/2016 at 09:31:00]"/>
  </r>
  <r>
    <s v="3620566-1458725500-126"/>
    <s v="Spot"/>
    <s v="3620566-1458725500-126"/>
    <n v="0"/>
    <d v="2016-03-31T00:00:00"/>
    <x v="2639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0566-1458725500-126] [23/03/2016 at 09:31:00]"/>
  </r>
  <r>
    <s v="3620560-1458725498-216"/>
    <s v="Spot"/>
    <s v="3620560-1458725498-216"/>
    <n v="0"/>
    <d v="2016-03-31T00:00:00"/>
    <x v="2640"/>
    <s v="216"/>
    <s v="SELL"/>
    <n v="3.3920308483290489"/>
    <x v="0"/>
    <x v="0"/>
    <n v="158.34"/>
    <s v="Deal"/>
    <m/>
    <s v="Original Amount [EUR 46.68], Merchant Amount [EUR 46.68], Customer Amount [TRY 158.34], Status [APPROVED], Operation [3DAUTH], UUID [3620560-1458725498-216] [23/03/2016 at 09:31:00]"/>
  </r>
  <r>
    <s v="3620515-1458725455-187"/>
    <s v="Spot"/>
    <s v="3620515-1458725455-187"/>
    <n v="0"/>
    <d v="2016-03-31T00:00:00"/>
    <x v="2641"/>
    <s v="187"/>
    <s v="SELL"/>
    <n v="9.9410697067664913"/>
    <x v="0"/>
    <x v="1"/>
    <n v="5258.13"/>
    <s v="Deal"/>
    <m/>
    <s v="Original Amount [EUR 528.93], Merchant Amount [EUR 528.93], Customer Amount [NOK 5258.13], Status [APPROVED], Operation [DIRECT], UUID [3620515-1458725455-187] [23/03/2016 at 09:30:00]"/>
  </r>
  <r>
    <s v="3620512-1458725454-161"/>
    <s v="Spot"/>
    <s v="3620512-1458725454-161"/>
    <n v="0"/>
    <d v="2016-03-31T00:00:00"/>
    <x v="2642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512-1458725454-161] [23/03/2016 at 09:30:00]"/>
  </r>
  <r>
    <s v="3620536-1458725480-264"/>
    <s v="Spot"/>
    <s v="3620536-1458725480-264"/>
    <n v="0"/>
    <d v="2016-03-31T00:00:00"/>
    <x v="2643"/>
    <s v="264"/>
    <s v="SELL"/>
    <n v="3.3977401129943505"/>
    <x v="0"/>
    <x v="0"/>
    <n v="60.14"/>
    <s v="Deal"/>
    <m/>
    <s v="Original Amount [TRY 57], Merchant Amount [EUR 17.7], Customer Amount [TRY 60.14], Status [APPROVED], Operation [3DAUTH], UUID [3620536-1458725480-264] [23/03/2016 at 09:31:00]"/>
  </r>
  <r>
    <s v="3620500-1458725443-161"/>
    <s v="Spot"/>
    <s v="3620500-1458725443-161"/>
    <n v="0"/>
    <d v="2016-03-31T00:00:00"/>
    <x v="2644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500-1458725443-161] [23/03/2016 at 09:30:00]"/>
  </r>
  <r>
    <s v="3620479-1458725412-119"/>
    <s v="Spot"/>
    <s v="3620479-1458725412-119"/>
    <n v="0"/>
    <d v="2016-03-31T00:00:00"/>
    <x v="2645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0479-1458725412-119] [23/03/2016 at 09:30:00]"/>
  </r>
  <r>
    <s v="3620476-1458725411-161"/>
    <s v="Spot"/>
    <s v="3620476-1458725411-161"/>
    <n v="0"/>
    <d v="2016-03-31T00:00:00"/>
    <x v="2646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476-1458725411-161] [23/03/2016 at 09:30:00]"/>
  </r>
  <r>
    <s v="3620452-1458725390-145"/>
    <s v="Spot"/>
    <s v="3620452-1458725390-145"/>
    <n v="0"/>
    <d v="2016-03-31T00:00:00"/>
    <x v="2647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0452-1458725390-145] [23/03/2016 at 09:29:00]"/>
  </r>
  <r>
    <s v="3620443-1458725375-126"/>
    <s v="Spot"/>
    <s v="3620443-1458725375-126"/>
    <n v="0"/>
    <d v="2016-03-31T00:00:00"/>
    <x v="2648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0443-1458725375-126] [23/03/2016 at 09:29:00]"/>
  </r>
  <r>
    <s v="3620467-1458725397-119"/>
    <s v="Spot"/>
    <s v="3620467-1458725397-119"/>
    <n v="0"/>
    <d v="2016-03-31T00:00:00"/>
    <x v="2649"/>
    <s v="119"/>
    <s v="SELL"/>
    <n v="9.950800000000001"/>
    <x v="0"/>
    <x v="1"/>
    <n v="248.77"/>
    <s v="Deal"/>
    <m/>
    <s v="Original Amount [EUR 25], Merchant Amount [EUR 25], Customer Amount [NOK 248.77], Status [APPROVED], Operation [3DAUTH], UUID [3620467-1458725397-119] [23/03/2016 at 09:29:00]"/>
  </r>
  <r>
    <s v="3620458-1458725392-216"/>
    <s v="Spot"/>
    <s v="3620458-1458725392-216"/>
    <n v="0"/>
    <d v="2016-03-31T00:00:00"/>
    <x v="2650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458-1458725392-216] [23/03/2016 at 09:29:00]"/>
  </r>
  <r>
    <s v="3620449-1458725378-216"/>
    <s v="Spot"/>
    <s v="3620449-1458725378-216"/>
    <n v="0"/>
    <d v="2016-03-31T00:00:00"/>
    <x v="2651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449-1458725378-216] [23/03/2016 at 09:29:00]"/>
  </r>
  <r>
    <s v="3620446-1458725376-216"/>
    <s v="Spot"/>
    <s v="3620446-1458725376-216"/>
    <n v="0"/>
    <d v="2016-03-31T00:00:00"/>
    <x v="2652"/>
    <s v="216"/>
    <s v="SELL"/>
    <n v="3.3974471830985915"/>
    <x v="0"/>
    <x v="0"/>
    <n v="77.19"/>
    <s v="Deal"/>
    <m/>
    <s v="Original Amount [EUR 22.72], Merchant Amount [EUR 22.72], Customer Amount [TRY 77.19], Status [APPROVED], Operation [3DAUTH], UUID [3620446-1458725376-216] [23/03/2016 at 09:29:00]"/>
  </r>
  <r>
    <s v="3620416-1458725335-107"/>
    <s v="Spot"/>
    <s v="3620416-1458725335-107"/>
    <n v="0"/>
    <d v="2016-03-31T00:00:00"/>
    <x v="2653"/>
    <s v="107"/>
    <s v="SELL"/>
    <n v="3.3976377952755907"/>
    <x v="0"/>
    <x v="0"/>
    <n v="43.15"/>
    <s v="Deal"/>
    <m/>
    <s v="Original Amount [EUR 12.7], Merchant Amount [EUR 12.7], Customer Amount [TRY 43.15], Status [APPROVED], Operation [3DAUTH], UUID [3620416-1458725335-107] [23/03/2016 at 09:28:00]"/>
  </r>
  <r>
    <s v="3620404-1458725322-216"/>
    <s v="Spot"/>
    <s v="3620404-1458725322-216"/>
    <n v="0"/>
    <d v="2016-03-31T00:00:00"/>
    <x v="2654"/>
    <s v="216"/>
    <s v="SELL"/>
    <n v="3.3972299168975066"/>
    <x v="0"/>
    <x v="0"/>
    <n v="61.32"/>
    <s v="Deal"/>
    <m/>
    <s v="Original Amount [EUR 18.05], Merchant Amount [EUR 18.05], Customer Amount [TRY 61.32], Status [APPROVED], Operation [3DAUTH], UUID [3620404-1458725322-216] [23/03/2016 at 09:28:00]"/>
  </r>
  <r>
    <s v="3620374-1458725268-261"/>
    <s v="Spot"/>
    <s v="3620374-1458725268-261"/>
    <n v="0"/>
    <d v="2016-03-31T00:00:00"/>
    <x v="2655"/>
    <s v="261"/>
    <s v="SELL"/>
    <n v="9.95067497403946"/>
    <x v="0"/>
    <x v="1"/>
    <n v="191.65"/>
    <s v="Deal"/>
    <m/>
    <s v="Original Amount [EUR 19.26], Merchant Amount [EUR 19.26], Customer Amount [NOK 191.65], Status [APPROVED], Operation [DIRECT], UUID [3620374-1458725268-261] [23/03/2016 at 09:27:00]"/>
  </r>
  <r>
    <s v="3620398-1458725303-203"/>
    <s v="Spot"/>
    <s v="3620398-1458725303-203"/>
    <n v="0"/>
    <d v="2016-03-31T00:00:00"/>
    <x v="2656"/>
    <s v="203"/>
    <s v="SELL"/>
    <n v="3.3974193548387093"/>
    <x v="0"/>
    <x v="0"/>
    <n v="157.97999999999999"/>
    <s v="Deal"/>
    <m/>
    <s v="Original Amount [EUR 46.5], Merchant Amount [EUR 46.5], Customer Amount [TRY 157.98], Status [APPROVED], Operation [3DAUTH], UUID [3620398-1458725303-203] [23/03/2016 at 09:28:00]"/>
  </r>
  <r>
    <s v="3620362-1458725256-107"/>
    <s v="Spot"/>
    <s v="3620362-1458725256-107"/>
    <n v="0"/>
    <d v="2016-03-31T00:00:00"/>
    <x v="2657"/>
    <s v="107"/>
    <s v="SELL"/>
    <n v="3.3976014760147599"/>
    <x v="0"/>
    <x v="0"/>
    <n v="36.83"/>
    <s v="Deal"/>
    <m/>
    <s v="Original Amount [EUR 10.84], Merchant Amount [EUR 10.84], Customer Amount [TRY 36.83], Status [WAITING], Operation [3D], UUID [3620362-1458725256-107] [23/03/2016 at 09:27:00]"/>
  </r>
  <r>
    <s v="3620383-1458725285-124"/>
    <s v="Spot"/>
    <s v="3620383-1458725285-124"/>
    <n v="0"/>
    <d v="2016-03-31T00:00:00"/>
    <x v="2658"/>
    <s v="124"/>
    <s v="SELL"/>
    <n v="9.950897072710104"/>
    <x v="0"/>
    <x v="1"/>
    <n v="210.76"/>
    <s v="Deal"/>
    <m/>
    <s v="Original Amount [EUR 21.18], Merchant Amount [EUR 21.18], Customer Amount [NOK 210.76], Status [APPROVED], Operation [3DAUTH], UUID [3620383-1458725285-124] [23/03/2016 at 09:28:00]"/>
  </r>
  <r>
    <s v="3620368-1458725264-216"/>
    <s v="Spot"/>
    <s v="3620368-1458725264-216"/>
    <n v="0"/>
    <d v="2016-03-31T00:00:00"/>
    <x v="265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368-1458725264-216] [23/03/2016 at 09:27:00]"/>
  </r>
  <r>
    <s v="3620350-1458725241-119"/>
    <s v="Spot"/>
    <s v="3620350-1458725241-119"/>
    <n v="0"/>
    <d v="2016-03-31T00:00:00"/>
    <x v="2660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20350-1458725241-119] [23/03/2016 at 09:27:00]"/>
  </r>
  <r>
    <s v="3620347-1458725235-187"/>
    <s v="Spot"/>
    <s v="3620347-1458725235-187"/>
    <n v="0"/>
    <d v="2016-03-31T00:00:00"/>
    <x v="2661"/>
    <s v="187"/>
    <s v="SELL"/>
    <n v="9.9505605656703153"/>
    <x v="0"/>
    <x v="1"/>
    <n v="5263.15"/>
    <s v="Deal"/>
    <m/>
    <s v="Original Amount [EUR 528.93], Merchant Amount [EUR 528.93], Customer Amount [NOK 5263.15], Status [APPROVED], Operation [DIRECT], UUID [3620347-1458725235-187] [23/03/2016 at 09:27:00]"/>
  </r>
  <r>
    <s v="3620329-1458725185-134"/>
    <s v="Spot"/>
    <s v="3620329-1458725185-134"/>
    <n v="0"/>
    <d v="2016-03-31T00:00:00"/>
    <x v="2662"/>
    <s v="134"/>
    <s v="SELL"/>
    <n v="132.8329596412556"/>
    <x v="0"/>
    <x v="3"/>
    <n v="1184.8699999999999"/>
    <s v="Deal"/>
    <m/>
    <s v="Original Amount [EUR 8.92], Merchant Amount [EUR 8.92], Customer Amount [JPY 1184.87], Status [APPROVED], Operation [STORED], UUID [3620329-1458725185-134] [23/03/2016 at 09:26:00]"/>
  </r>
  <r>
    <s v="3620335-1458725211-107"/>
    <s v="Spot"/>
    <s v="3620335-1458725211-107"/>
    <n v="0"/>
    <d v="2016-03-31T00:00:00"/>
    <x v="2663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335-1458725211-107] [23/03/2016 at 09:26:00]"/>
  </r>
  <r>
    <s v="3620332-1458725192-126"/>
    <s v="Spot"/>
    <s v="3620332-1458725192-126"/>
    <n v="0"/>
    <d v="2016-03-31T00:00:00"/>
    <x v="2664"/>
    <s v="126"/>
    <s v="SELL"/>
    <n v="9.9410731707317073"/>
    <x v="0"/>
    <x v="1"/>
    <n v="1018.96"/>
    <s v="Deal"/>
    <m/>
    <s v="Original Amount [EUR 102.5], Merchant Amount [EUR 102.5], Customer Amount [NOK 1018.96], Status [APPROVED], Operation [3DAUTH], UUID [3620332-1458725192-126] [23/03/2016 at 09:26:00]"/>
  </r>
  <r>
    <s v="3620311-1458725128-126"/>
    <s v="Spot"/>
    <s v="3620311-1458725128-126"/>
    <n v="0"/>
    <d v="2016-03-31T00:00:00"/>
    <x v="2665"/>
    <s v="126"/>
    <s v="SELL"/>
    <n v="9.9410846664065549"/>
    <x v="0"/>
    <x v="1"/>
    <n v="254.79"/>
    <s v="Deal"/>
    <m/>
    <s v="Original Amount [EUR 25.63], Merchant Amount [EUR 25.63], Customer Amount [NOK 254.79], Status [APPROVED], Operation [DIRECT], UUID [3620311-1458725128-126] [23/03/2016 at 09:25:00]"/>
  </r>
  <r>
    <s v="3620305-1458725116-199"/>
    <s v="Spot"/>
    <s v="3620305-1458725116-199"/>
    <n v="0"/>
    <d v="2016-03-31T00:00:00"/>
    <x v="2666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0305-1458725116-199] [23/03/2016 at 09:25:00]"/>
  </r>
  <r>
    <s v="3620299-1458725099-82"/>
    <s v="Spot"/>
    <s v="3620299-1458725099-82"/>
    <n v="0"/>
    <d v="2016-03-31T00:00:00"/>
    <x v="266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0299-1458725099-82] [23/03/2016 at 09:24:00]"/>
  </r>
  <r>
    <s v="3620293-1458725093-126"/>
    <s v="Spot"/>
    <s v="3620293-1458725093-126"/>
    <n v="0"/>
    <d v="2016-03-31T00:00:00"/>
    <x v="2668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0293-1458725093-126] [23/03/2016 at 09:24:00]"/>
  </r>
  <r>
    <s v="3620308-1458725119-216"/>
    <s v="Spot"/>
    <s v="3620308-1458725119-216"/>
    <n v="0"/>
    <d v="2016-03-31T00:00:00"/>
    <x v="2669"/>
    <s v="216"/>
    <s v="SELL"/>
    <n v="3.3920308483290489"/>
    <x v="0"/>
    <x v="0"/>
    <n v="79.17"/>
    <s v="Deal"/>
    <m/>
    <s v="Original Amount [EUR 23.34], Merchant Amount [EUR 23.34], Customer Amount [TRY 79.17], Status [APPROVED], Operation [3DAUTH], UUID [3620308-1458725119-216] [23/03/2016 at 09:25:00]"/>
  </r>
  <r>
    <s v="3620278-1458725084-224"/>
    <s v="Spot"/>
    <s v="3620278-1458725084-224"/>
    <n v="0"/>
    <d v="2016-03-31T00:00:00"/>
    <x v="2670"/>
    <s v="224"/>
    <s v="SELL"/>
    <n v="132.83242785226537"/>
    <x v="0"/>
    <x v="3"/>
    <n v="26650.17"/>
    <s v="Deal"/>
    <m/>
    <s v="Original Amount [EUR 200.63], Merchant Amount [EUR 200.63], Customer Amount [JPY 26650.17], Status [APPROVED], Operation [DIRECT], UUID [3620278-1458725084-224] [23/03/2016 at 09:24:00]"/>
  </r>
  <r>
    <s v="3620272-1458725073-126"/>
    <s v="Spot"/>
    <s v="3620272-1458725073-126"/>
    <n v="0"/>
    <d v="2016-03-31T00:00:00"/>
    <x v="2671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0272-1458725073-126] [23/03/2016 at 09:24:00]"/>
  </r>
  <r>
    <s v="3620263-1458725059-224"/>
    <s v="Spot"/>
    <s v="3620263-1458725059-224"/>
    <n v="0"/>
    <d v="2016-03-31T00:00:00"/>
    <x v="2672"/>
    <s v="224"/>
    <s v="SELL"/>
    <n v="9.9417744916820698"/>
    <x v="0"/>
    <x v="1"/>
    <n v="107.57"/>
    <s v="Deal"/>
    <m/>
    <s v="Original Amount [EUR 10.82], Merchant Amount [EUR 10.82], Customer Amount [NOK 107.57], Status [APPROVED], Operation [DIRECT], UUID [3620263-1458725059-224] [23/03/2016 at 09:24:00]"/>
  </r>
  <r>
    <s v="3620248-1458725033-126"/>
    <s v="Spot"/>
    <s v="3620248-1458725033-126"/>
    <n v="0"/>
    <d v="2016-03-31T00:00:00"/>
    <x v="2673"/>
    <s v="126"/>
    <s v="SELL"/>
    <n v="9.9546341463414638"/>
    <x v="0"/>
    <x v="1"/>
    <n v="408.14"/>
    <s v="Deal"/>
    <m/>
    <s v="Original Amount [EUR 41], Merchant Amount [EUR 41], Customer Amount [NOK 408.14], Status [APPROVED], Operation [DIRECT], UUID [3620248-1458725033-126] [23/03/2016 at 09:23:00]"/>
  </r>
  <r>
    <s v="3620245-1458725030-224"/>
    <s v="Spot"/>
    <s v="3620245-1458725030-224"/>
    <n v="0"/>
    <d v="2016-03-31T00:00:00"/>
    <x v="2674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0245-1458725030-224] [23/03/2016 at 09:23:00]"/>
  </r>
  <r>
    <s v="3620242-1458725027-224"/>
    <s v="Spot"/>
    <s v="3620242-1458725027-224"/>
    <n v="0"/>
    <d v="2016-03-31T00:00:00"/>
    <x v="2675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0242-1458725027-224] [23/03/2016 at 09:23:00]"/>
  </r>
  <r>
    <s v="3620275-1458725079-160"/>
    <s v="Spot"/>
    <s v="3620275-1458725079-160"/>
    <n v="0"/>
    <d v="2016-03-31T00:00:00"/>
    <x v="2676"/>
    <s v="160"/>
    <s v="SELL"/>
    <n v="3.3966516419832584"/>
    <x v="0"/>
    <x v="0"/>
    <n v="105.5"/>
    <s v="Deal"/>
    <m/>
    <s v="Original Amount [EUR 31.06], Merchant Amount [EUR 31.06], Customer Amount [TRY 105.5], Status [APPROVED], Operation [3DAUTH], UUID [3620275-1458725079-160] [23/03/2016 at 09:24:00]"/>
  </r>
  <r>
    <s v="3620266-1458725071-216"/>
    <s v="Spot"/>
    <s v="3620266-1458725071-216"/>
    <n v="0"/>
    <d v="2016-03-31T00:00:00"/>
    <x v="2677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0266-1458725071-216] [23/03/2016 at 09:24:00]"/>
  </r>
  <r>
    <s v="3620215-1458724998-224"/>
    <s v="Spot"/>
    <s v="3620215-1458724998-224"/>
    <n v="0"/>
    <d v="2016-03-31T00:00:00"/>
    <x v="2678"/>
    <s v="224"/>
    <s v="SELL"/>
    <n v="9.9546084546084543"/>
    <x v="0"/>
    <x v="1"/>
    <n v="861.87"/>
    <s v="Deal"/>
    <m/>
    <s v="Original Amount [EUR 86.58], Merchant Amount [EUR 86.58], Customer Amount [NOK 861.87], Status [APPROVED], Operation [DIRECT], UUID [3620215-1458724998-224] [23/03/2016 at 09:23:00]"/>
  </r>
  <r>
    <s v="3620209-1458724992-119"/>
    <s v="Spot"/>
    <s v="3620209-1458724992-119"/>
    <n v="0"/>
    <d v="2016-03-31T00:00:00"/>
    <x v="2679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0209-1458724992-119] [23/03/2016 at 09:23:00]"/>
  </r>
  <r>
    <s v="3620206-1458724986-224"/>
    <s v="Spot"/>
    <s v="3620206-1458724986-224"/>
    <n v="0"/>
    <d v="2016-03-31T00:00:00"/>
    <x v="2680"/>
    <s v="224"/>
    <s v="SELL"/>
    <n v="132.8828947368421"/>
    <x v="0"/>
    <x v="3"/>
    <n v="6059.46"/>
    <s v="Deal"/>
    <m/>
    <s v="Original Amount [EUR 45.6], Merchant Amount [EUR 45.6], Customer Amount [JPY 6059.46], Status [APPROVED], Operation [DIRECT], UUID [3620206-1458724986-224] [23/03/2016 at 09:23:00]"/>
  </r>
  <r>
    <s v="3620200-1458724967-224"/>
    <s v="Spot"/>
    <s v="3620200-1458724967-224"/>
    <n v="0"/>
    <d v="2016-03-31T00:00:00"/>
    <x v="2681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0200-1458724967-224] [23/03/2016 at 09:22:00]"/>
  </r>
  <r>
    <s v="3620197-1458724965-224"/>
    <s v="Spot"/>
    <s v="3620197-1458724965-224"/>
    <n v="0"/>
    <d v="2016-03-31T00:00:00"/>
    <x v="2682"/>
    <s v="224"/>
    <s v="SELL"/>
    <n v="9.9548983364140469"/>
    <x v="0"/>
    <x v="1"/>
    <n v="269.27999999999997"/>
    <s v="Deal"/>
    <m/>
    <s v="Original Amount [EUR 27.05], Merchant Amount [EUR 27.05], Customer Amount [NOK 269.28], Status [APPROVED], Operation [DIRECT], UUID [3620197-1458724965-224] [23/03/2016 at 09:22:00]"/>
  </r>
  <r>
    <s v="3620194-1458724951-125"/>
    <s v="Spot"/>
    <s v="3620194-1458724951-125"/>
    <n v="0"/>
    <d v="2016-03-31T00:00:00"/>
    <x v="2683"/>
    <s v="125"/>
    <s v="SELL"/>
    <n v="9.954559999999999"/>
    <x v="0"/>
    <x v="1"/>
    <n v="9954.56"/>
    <s v="Deal"/>
    <m/>
    <s v="Original Amount [EUR 1000], Merchant Amount [EUR 1000], Customer Amount [NOK 9954.56], Status [APPROVED], Operation [DIRECT], UUID [3620194-1458724951-125] [23/03/2016 at 09:22:00]"/>
  </r>
  <r>
    <s v="3620182-1458724937-261"/>
    <s v="Spot"/>
    <s v="3620182-1458724937-261"/>
    <n v="0"/>
    <d v="2016-03-31T00:00:00"/>
    <x v="2684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20182-1458724937-261] [23/03/2016 at 09:22:00]"/>
  </r>
  <r>
    <s v="3620176-1458724918-200"/>
    <s v="Spot"/>
    <s v="3620176-1458724918-200"/>
    <n v="0"/>
    <d v="2016-03-31T00:00:00"/>
    <x v="2685"/>
    <s v="200"/>
    <s v="SELL"/>
    <n v="9.954600000000001"/>
    <x v="0"/>
    <x v="1"/>
    <n v="497.73"/>
    <s v="Deal"/>
    <m/>
    <s v="Original Amount [EUR 50], Merchant Amount [EUR 50], Customer Amount [NOK 497.73], Status [APPROVED], Operation [STORED], UUID [3620176-1458724918-200] [23/03/2016 at 09:21:00]"/>
  </r>
  <r>
    <s v="3620167-1458724903-264"/>
    <s v="Spot"/>
    <s v="3620167-1458724903-264"/>
    <n v="0"/>
    <d v="2016-03-31T00:00:00"/>
    <x v="2686"/>
    <s v="264"/>
    <s v="SELL"/>
    <n v="3.3913043478260874"/>
    <x v="0"/>
    <x v="0"/>
    <n v="17.940000000000001"/>
    <s v="Deal"/>
    <m/>
    <s v="Original Amount [TRY 17], Merchant Amount [EUR 5.29], Customer Amount [TRY 17.94], Status [APPROVED], Operation [3DAUTH], UUID [3620167-1458724903-264] [23/03/2016 at 09:21:00]"/>
  </r>
  <r>
    <s v="3620155-1458724867-134"/>
    <s v="Spot"/>
    <s v="3620155-1458724867-134"/>
    <n v="0"/>
    <d v="2016-03-31T00:00:00"/>
    <x v="2687"/>
    <s v="134"/>
    <s v="SELL"/>
    <n v="132.88295964125561"/>
    <x v="0"/>
    <x v="3"/>
    <n v="5926.58"/>
    <s v="Deal"/>
    <m/>
    <s v="Original Amount [EUR 44.6], Merchant Amount [EUR 44.6], Customer Amount [JPY 5926.58], Status [APPROVED], Operation [STORED], UUID [3620155-1458724867-134] [23/03/2016 at 09:21:00]"/>
  </r>
  <r>
    <s v="3620146-1458724860-126"/>
    <s v="Spot"/>
    <s v="3620146-1458724860-126"/>
    <n v="0"/>
    <d v="2016-03-31T00:00:00"/>
    <x v="2688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0146-1458724860-126] [23/03/2016 at 09:21:00]"/>
  </r>
  <r>
    <s v="3620137-1458724850-224"/>
    <s v="Spot"/>
    <s v="3620137-1458724850-224"/>
    <n v="0"/>
    <d v="2016-03-31T00:00:00"/>
    <x v="2689"/>
    <s v="224"/>
    <s v="SELL"/>
    <n v="9.9412308260949906"/>
    <x v="0"/>
    <x v="1"/>
    <n v="537.91999999999996"/>
    <s v="Deal"/>
    <m/>
    <s v="Original Amount [EUR 54.11], Merchant Amount [EUR 54.11], Customer Amount [NOK 537.92], Status [APPROVED], Operation [DIRECT], UUID [3620137-1458724850-224] [23/03/2016 at 09:20:00]"/>
  </r>
  <r>
    <s v="3620134-1458724847-187"/>
    <s v="Spot"/>
    <s v="3620134-1458724847-187"/>
    <n v="0"/>
    <d v="2016-03-31T00:00:00"/>
    <x v="2690"/>
    <s v="187"/>
    <s v="SELL"/>
    <n v="9.9410697067664913"/>
    <x v="0"/>
    <x v="1"/>
    <n v="5258.13"/>
    <s v="Deal"/>
    <m/>
    <s v="Original Amount [EUR 528.93], Merchant Amount [EUR 528.93], Customer Amount [NOK 5258.13], Status [APPROVED], Operation [DIRECT], UUID [3620134-1458724847-187] [23/03/2016 at 09:20:00]"/>
  </r>
  <r>
    <s v="3620158-1458724883-216"/>
    <s v="Spot"/>
    <s v="3620158-1458724883-216"/>
    <n v="0"/>
    <d v="2016-03-31T00:00:00"/>
    <x v="2691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158-1458724883-216] [23/03/2016 at 09:21:00]"/>
  </r>
  <r>
    <s v="3620152-1458724866-101"/>
    <s v="Spot"/>
    <s v="3620152-1458724866-101"/>
    <n v="0"/>
    <d v="2016-03-31T00:00:00"/>
    <x v="2692"/>
    <s v="101"/>
    <s v="SELL"/>
    <n v="3.3973526473526476"/>
    <x v="0"/>
    <x v="0"/>
    <n v="136.03"/>
    <s v="Deal"/>
    <m/>
    <s v="Original Amount [EUR 40.04], Merchant Amount [EUR 40.04], Customer Amount [TRY 136.03], Status [APPROVED], Operation [3DAUTH], UUID [3620152-1458724866-101] [23/03/2016 at 09:21:00]"/>
  </r>
  <r>
    <s v="3620170-1458724906-107"/>
    <s v="Spot"/>
    <s v="3620170-1458724906-107"/>
    <n v="0"/>
    <d v="2016-03-31T00:00:00"/>
    <x v="2693"/>
    <s v="107"/>
    <s v="SELL"/>
    <n v="3.3978947368421055"/>
    <x v="0"/>
    <x v="0"/>
    <n v="48.42"/>
    <s v="Deal"/>
    <m/>
    <s v="Original Amount [EUR 14.25], Merchant Amount [EUR 14.25], Customer Amount [TRY 48.42], Status [APPROVED], Operation [3DAUTH], UUID [3620170-1458724906-107] [23/03/2016 at 09:21:00]"/>
  </r>
  <r>
    <s v="3620104-1458724795-264"/>
    <s v="Spot"/>
    <s v="3620104-1458724795-264"/>
    <n v="0"/>
    <d v="2016-03-31T00:00:00"/>
    <x v="2694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0104-1458724795-264] [23/03/2016 at 09:19:00]"/>
  </r>
  <r>
    <s v="3620083-1458724759-216"/>
    <s v="Spot"/>
    <s v="3620083-1458724759-216"/>
    <n v="0"/>
    <d v="2016-03-31T00:00:00"/>
    <x v="2695"/>
    <s v="216"/>
    <s v="SELL"/>
    <n v="3.3973658849983943"/>
    <x v="0"/>
    <x v="0"/>
    <n v="211.52"/>
    <s v="Deal"/>
    <m/>
    <s v="Original Amount [EUR 62.26], Merchant Amount [EUR 62.26], Customer Amount [TRY 211.52], Status [APPROVED], Operation [3DAUTH], UUID [3620083-1458724759-216] [23/03/2016 at 09:19:00]"/>
  </r>
  <r>
    <s v="3620053-1458724693-216"/>
    <s v="Spot"/>
    <s v="3620053-1458724693-216"/>
    <n v="0"/>
    <d v="2016-03-31T00:00:00"/>
    <x v="2696"/>
    <s v="216"/>
    <s v="SELL"/>
    <n v="3.3973658849983943"/>
    <x v="0"/>
    <x v="0"/>
    <n v="105.76"/>
    <s v="Deal"/>
    <m/>
    <s v="Original Amount [EUR 31.13], Merchant Amount [EUR 31.13], Customer Amount [TRY 105.76], Status [WAITING], Operation [3D], UUID [3620053-1458724693-216] [23/03/2016 at 09:18:00]"/>
  </r>
  <r>
    <s v="3620050-1458724690-199"/>
    <s v="Spot"/>
    <s v="3620050-1458724690-199"/>
    <n v="0"/>
    <d v="2016-03-31T00:00:00"/>
    <x v="2697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0050-1458724690-199] [23/03/2016 at 09:18:00]"/>
  </r>
  <r>
    <s v="3620047-1458724677-261"/>
    <s v="Spot"/>
    <s v="3620047-1458724677-261"/>
    <n v="0"/>
    <d v="2016-03-31T00:00:00"/>
    <x v="2698"/>
    <s v="261"/>
    <s v="SELL"/>
    <n v="9.9418582912693942"/>
    <x v="0"/>
    <x v="1"/>
    <n v="1063.58"/>
    <s v="Deal"/>
    <m/>
    <s v="Original Amount [EUR 106.98], Merchant Amount [EUR 106.98], Customer Amount [NOK 1063.58], Status [APPROVED], Operation [DIRECT], UUID [3620047-1458724677-261] [23/03/2016 at 09:17:00]"/>
  </r>
  <r>
    <s v="3620059-1458724700-216"/>
    <s v="Spot"/>
    <s v="3620059-1458724700-216"/>
    <n v="0"/>
    <d v="2016-03-31T00:00:00"/>
    <x v="269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059-1458724700-216] [23/03/2016 at 09:18:00]"/>
  </r>
  <r>
    <s v="3620035-1458724642-224"/>
    <s v="Spot"/>
    <s v="3620035-1458724642-224"/>
    <n v="0"/>
    <d v="2016-03-31T00:00:00"/>
    <x v="2700"/>
    <s v="224"/>
    <s v="SELL"/>
    <n v="132.94590643274856"/>
    <x v="0"/>
    <x v="3"/>
    <n v="1818.7"/>
    <s v="Deal"/>
    <m/>
    <s v="Original Amount [EUR 13.68], Merchant Amount [EUR 13.68], Customer Amount [JPY 1818.7], Status [APPROVED], Operation [DIRECT], UUID [3620035-1458724642-224] [23/03/2016 at 09:17:00]"/>
  </r>
  <r>
    <s v="3620032-1458724642-199"/>
    <s v="Spot"/>
    <s v="3620032-1458724642-199"/>
    <n v="0"/>
    <d v="2016-03-31T00:00:00"/>
    <x v="2701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0032-1458724642-199] [23/03/2016 at 09:17:00]"/>
  </r>
  <r>
    <s v="3620023-1458724622-134"/>
    <s v="Spot"/>
    <s v="3620023-1458724622-134"/>
    <n v="0"/>
    <d v="2016-03-31T00:00:00"/>
    <x v="2702"/>
    <s v="134"/>
    <s v="SELL"/>
    <n v="132.9461883408072"/>
    <x v="0"/>
    <x v="3"/>
    <n v="1185.8800000000001"/>
    <s v="Deal"/>
    <m/>
    <s v="Original Amount [EUR 8.92], Merchant Amount [EUR 8.92], Customer Amount [JPY 1185.88], Status [APPROVED], Operation [STORED], UUID [3620023-1458724622-134] [23/03/2016 at 09:17:00]"/>
  </r>
  <r>
    <s v="3620017-1458724614-260"/>
    <s v="Spot"/>
    <s v="3620017-1458724614-260"/>
    <n v="0"/>
    <d v="2016-03-31T00:00:00"/>
    <x v="2703"/>
    <s v="260"/>
    <s v="SELL"/>
    <n v="9.7480000000000011"/>
    <x v="0"/>
    <x v="12"/>
    <n v="48.74"/>
    <s v="Deal"/>
    <m/>
    <s v="Original Amount [EUR 5], Merchant Amount [EUR 5], Customer Amount [SEK 48.74], Status [APPROVED], Operation [DIRECT], UUID [3620017-1458724614-260] [23/03/2016 at 09:16:00]"/>
  </r>
  <r>
    <s v="3620020-1458724618-216"/>
    <s v="Spot"/>
    <s v="3620020-1458724618-216"/>
    <n v="0"/>
    <d v="2016-03-31T00:00:00"/>
    <x v="2704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0020-1458724618-216] [23/03/2016 at 09:16:00]"/>
  </r>
  <r>
    <s v="3620008-1458724580-238"/>
    <s v="Spot"/>
    <s v="3620008-1458724580-238"/>
    <n v="0"/>
    <d v="2016-03-31T00:00:00"/>
    <x v="270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0008-1458724580-238] [23/03/2016 at 09:16:00]"/>
  </r>
  <r>
    <s v="3619999-1458724563-261"/>
    <s v="Spot"/>
    <s v="3619999-1458724563-261"/>
    <n v="0"/>
    <d v="2016-03-31T00:00:00"/>
    <x v="2706"/>
    <s v="261"/>
    <s v="SELL"/>
    <n v="9.9420380180741663"/>
    <x v="0"/>
    <x v="1"/>
    <n v="319.04000000000002"/>
    <s v="Deal"/>
    <m/>
    <s v="Original Amount [EUR 32.09], Merchant Amount [EUR 32.09], Customer Amount [NOK 319.04], Status [APPROVED], Operation [DIRECT], UUID [3619999-1458724563-261] [23/03/2016 at 09:16:00]"/>
  </r>
  <r>
    <s v="3619996-1458724562-125"/>
    <s v="Spot"/>
    <s v="3619996-1458724562-125"/>
    <n v="0"/>
    <d v="2016-03-31T00:00:00"/>
    <x v="2707"/>
    <s v="125"/>
    <s v="SELL"/>
    <n v="9.9420000000000002"/>
    <x v="0"/>
    <x v="1"/>
    <n v="99.42"/>
    <s v="Deal"/>
    <m/>
    <s v="Original Amount [EUR 10], Merchant Amount [EUR 10], Customer Amount [NOK 99.42], Status [APPROVED], Operation [DIRECT], UUID [3619996-1458724562-125] [23/03/2016 at 09:16:00]"/>
  </r>
  <r>
    <s v="3619978-1458724547-145"/>
    <s v="Spot"/>
    <s v="3619978-1458724547-145"/>
    <n v="0"/>
    <d v="2016-03-31T00:00:00"/>
    <x v="2708"/>
    <s v="145"/>
    <s v="SELL"/>
    <n v="1.544921875"/>
    <x v="0"/>
    <x v="2"/>
    <n v="15.82"/>
    <s v="Deal"/>
    <m/>
    <s v="Original Amount [EUR 10.24], Merchant Amount [EUR 10.24], Customer Amount [CAD 15.82], Status [APPROVED], Operation [DIRECT], UUID [3619978-1458724547-145] [23/03/2016 at 09:15:00]"/>
  </r>
  <r>
    <s v="3619984-1458724551-56"/>
    <s v="Spot"/>
    <s v="3619984-1458724551-56"/>
    <n v="0"/>
    <d v="2016-03-31T00:00:00"/>
    <x v="2709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19984-1458724551-56] [23/03/2016 at 09:15:00]"/>
  </r>
  <r>
    <s v="3619945-1458724517-216"/>
    <s v="Spot"/>
    <s v="3619945-1458724517-216"/>
    <n v="0"/>
    <d v="2016-03-31T00:00:00"/>
    <x v="2710"/>
    <s v="216"/>
    <s v="SELL"/>
    <n v="3.3970446514616128"/>
    <x v="0"/>
    <x v="0"/>
    <n v="105.75"/>
    <s v="Deal"/>
    <m/>
    <s v="Original Amount [EUR 31.13], Merchant Amount [EUR 31.13], Customer Amount [TRY 105.75], Status [WAITING], Operation [3D], UUID [3619945-1458724517-216] [23/03/2016 at 09:15:00]"/>
  </r>
  <r>
    <s v="3619927-1458724505-171"/>
    <s v="Spot"/>
    <s v="3619927-1458724505-171"/>
    <n v="0"/>
    <d v="2016-03-31T00:00:00"/>
    <x v="2711"/>
    <s v="171"/>
    <s v="SELL"/>
    <n v="1.5441860465116277"/>
    <x v="0"/>
    <x v="2"/>
    <n v="126.16"/>
    <s v="Deal"/>
    <m/>
    <s v="Original Amount [EUR 81.7], Merchant Amount [EUR 81.7], Customer Amount [CAD 126.16], Status [APPROVED], Operation [DIRECT], UUID [3619927-1458724505-171] [23/03/2016 at 09:15:00]"/>
  </r>
  <r>
    <s v="3619924-1458724502-119"/>
    <s v="Spot"/>
    <s v="3619924-1458724502-119"/>
    <n v="0"/>
    <d v="2016-03-31T00:00:00"/>
    <x v="2712"/>
    <s v="119"/>
    <s v="SELL"/>
    <n v="9.9417999999999989"/>
    <x v="0"/>
    <x v="1"/>
    <n v="2485.4499999999998"/>
    <s v="Deal"/>
    <m/>
    <s v="Original Amount [EUR 250], Merchant Amount [EUR 250], Customer Amount [NOK 2485.45], Status [APPROVED], Operation [DIRECT], UUID [3619924-1458724502-119] [23/03/2016 at 09:15:00]"/>
  </r>
  <r>
    <s v="3619918-1458724500-119"/>
    <s v="Spot"/>
    <s v="3619918-1458724500-119"/>
    <n v="0"/>
    <d v="2016-03-31T00:00:00"/>
    <x v="2713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19918-1458724500-119] [23/03/2016 at 09:15:00]"/>
  </r>
  <r>
    <s v="3619915-1458724499-224"/>
    <s v="Spot"/>
    <s v="3619915-1458724499-224"/>
    <n v="0"/>
    <d v="2016-03-31T00:00:00"/>
    <x v="2714"/>
    <s v="224"/>
    <s v="SELL"/>
    <n v="132.97230600493558"/>
    <x v="0"/>
    <x v="3"/>
    <n v="4849.5"/>
    <s v="Deal"/>
    <m/>
    <s v="Original Amount [EUR 36.47], Merchant Amount [EUR 36.47], Customer Amount [JPY 4849.5], Status [APPROVED], Operation [DIRECT], UUID [3619915-1458724499-224] [23/03/2016 at 09:14:00]"/>
  </r>
  <r>
    <s v="3619894-1458724480-126"/>
    <s v="Spot"/>
    <s v="3619894-1458724480-126"/>
    <n v="0"/>
    <d v="2016-03-31T00:00:00"/>
    <x v="2715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19894-1458724480-126] [23/03/2016 at 09:14:00]"/>
  </r>
  <r>
    <s v="3619882-1458724467-260"/>
    <s v="Spot"/>
    <s v="3619882-1458724467-260"/>
    <n v="0"/>
    <d v="2016-03-31T00:00:00"/>
    <x v="2716"/>
    <s v="260"/>
    <s v="SELL"/>
    <n v="9.734"/>
    <x v="0"/>
    <x v="12"/>
    <n v="48.67"/>
    <s v="Deal"/>
    <m/>
    <s v="Original Amount [EUR 5], Merchant Amount [EUR 5], Customer Amount [SEK 48.67], Status [APPROVED], Operation [DIRECT], UUID [3619882-1458724467-260] [23/03/2016 at 09:14:00]"/>
  </r>
  <r>
    <s v="3619846-1458724446-199"/>
    <s v="Spot"/>
    <s v="3619846-1458724446-199"/>
    <n v="0"/>
    <d v="2016-03-31T00:00:00"/>
    <x v="2717"/>
    <s v="199"/>
    <s v="SELL"/>
    <n v="9.9545919410922483"/>
    <x v="0"/>
    <x v="1"/>
    <n v="973.36"/>
    <s v="Deal"/>
    <m/>
    <s v="Original Amount [EUR 97.78], Merchant Amount [EUR 97.78], Customer Amount [NOK 973.36], Status [APPROVED], Operation [DIRECT], UUID [3619846-1458724446-199] [23/03/2016 at 09:14:00]"/>
  </r>
  <r>
    <s v="3619843-1458724444-126"/>
    <s v="Spot"/>
    <s v="3619843-1458724444-126"/>
    <n v="0"/>
    <d v="2016-03-31T00:00:00"/>
    <x v="2718"/>
    <s v="126"/>
    <s v="SELL"/>
    <n v="9.9551365409622896"/>
    <x v="0"/>
    <x v="1"/>
    <n v="153.11000000000001"/>
    <s v="Deal"/>
    <m/>
    <s v="Original Amount [EUR 15.38], Merchant Amount [EUR 15.38], Customer Amount [NOK 153.11], Status [APPROVED], Operation [DIRECT], UUID [3619843-1458724444-126] [23/03/2016 at 09:14:00]"/>
  </r>
  <r>
    <s v="3619831-1458724437-200"/>
    <s v="Spot"/>
    <s v="3619831-1458724437-200"/>
    <n v="0"/>
    <d v="2016-03-31T00:00:00"/>
    <x v="271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19831-1458724437-200] [23/03/2016 at 09:13:00]"/>
  </r>
  <r>
    <m/>
    <m/>
    <m/>
    <m/>
    <m/>
    <x v="2720"/>
    <m/>
    <m/>
    <m/>
    <x v="1"/>
    <x v="15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B20" firstHeaderRow="1" firstDataRow="1" firstDataCol="2"/>
  <pivotFields count="1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17">
        <item x="9"/>
        <item x="5"/>
        <item x="13"/>
        <item x="14"/>
        <item x="2"/>
        <item x="10"/>
        <item x="11"/>
        <item x="4"/>
        <item x="3"/>
        <item x="1"/>
        <item x="6"/>
        <item x="8"/>
        <item x="12"/>
        <item x="0"/>
        <item x="7"/>
        <item x="15"/>
        <item t="default"/>
      </items>
    </pivotField>
    <pivotField showAll="0"/>
    <pivotField showAll="0"/>
    <pivotField showAll="0"/>
    <pivotField showAll="0"/>
  </pivotFields>
  <rowFields count="2">
    <field x="9"/>
    <field x="10"/>
  </rowFields>
  <rowItems count="17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>
      <x v="1"/>
      <x v="15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\ldn-srv-cent01\bkg\std\systems\bkg-prd\sys-2\data\dealImportStaging" TargetMode="External"/><Relationship Id="rId1" Type="http://schemas.openxmlformats.org/officeDocument/2006/relationships/hyperlink" Target="\ldn-srv-cent01\bkg\std\systems\bkg-prd\sys-2\data\deal_import2_in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83"/>
  <sheetViews>
    <sheetView workbookViewId="0">
      <selection activeCell="B2" sqref="B2"/>
    </sheetView>
  </sheetViews>
  <sheetFormatPr defaultColWidth="8.85546875" defaultRowHeight="15" x14ac:dyDescent="0.25"/>
  <cols>
    <col min="1" max="1" width="14" customWidth="1"/>
    <col min="2" max="2" width="97" bestFit="1" customWidth="1"/>
  </cols>
  <sheetData>
    <row r="1" spans="1:2" x14ac:dyDescent="0.25">
      <c r="A1" s="1" t="s">
        <v>0</v>
      </c>
      <c r="B1" s="6" t="s">
        <v>3675</v>
      </c>
    </row>
    <row r="2" spans="1:2" x14ac:dyDescent="0.25">
      <c r="A2" s="22" t="s">
        <v>100</v>
      </c>
      <c r="B2" s="6" t="s">
        <v>113</v>
      </c>
    </row>
    <row r="3" spans="1:2" x14ac:dyDescent="0.25">
      <c r="A3" s="13"/>
      <c r="B3" s="14"/>
    </row>
    <row r="4" spans="1:2" x14ac:dyDescent="0.25">
      <c r="A4" s="14"/>
      <c r="B4" s="14"/>
    </row>
    <row r="5" spans="1:2" x14ac:dyDescent="0.25">
      <c r="A5" s="14"/>
      <c r="B5" s="14"/>
    </row>
    <row r="6" spans="1:2" x14ac:dyDescent="0.25">
      <c r="A6" s="14"/>
      <c r="B6" s="14"/>
    </row>
    <row r="7" spans="1:2" x14ac:dyDescent="0.25">
      <c r="A7" s="14"/>
      <c r="B7" s="14"/>
    </row>
    <row r="8" spans="1:2" x14ac:dyDescent="0.25">
      <c r="A8" s="14"/>
      <c r="B8" s="14"/>
    </row>
    <row r="9" spans="1:2" x14ac:dyDescent="0.25">
      <c r="A9" s="14"/>
      <c r="B9" s="14"/>
    </row>
    <row r="10" spans="1:2" x14ac:dyDescent="0.25">
      <c r="A10" s="13"/>
      <c r="B10" s="14"/>
    </row>
    <row r="11" spans="1:2" x14ac:dyDescent="0.25">
      <c r="A11" s="14"/>
      <c r="B11" s="14"/>
    </row>
    <row r="12" spans="1:2" x14ac:dyDescent="0.25">
      <c r="A12" s="14"/>
      <c r="B12" s="14"/>
    </row>
    <row r="13" spans="1:2" x14ac:dyDescent="0.25">
      <c r="A13" s="14"/>
      <c r="B13" s="14"/>
    </row>
    <row r="14" spans="1:2" x14ac:dyDescent="0.25">
      <c r="A14" s="14"/>
      <c r="B14" s="14"/>
    </row>
    <row r="15" spans="1:2" x14ac:dyDescent="0.25">
      <c r="A15" s="14"/>
      <c r="B15" s="14"/>
    </row>
    <row r="16" spans="1:2" x14ac:dyDescent="0.25">
      <c r="A16" s="14"/>
      <c r="B16" s="14"/>
    </row>
    <row r="17" spans="1:2" x14ac:dyDescent="0.25">
      <c r="A17" s="14"/>
      <c r="B17" s="14"/>
    </row>
    <row r="18" spans="1:2" x14ac:dyDescent="0.25">
      <c r="A18" s="13"/>
      <c r="B18" s="13"/>
    </row>
    <row r="19" spans="1:2" x14ac:dyDescent="0.25">
      <c r="A19" s="14"/>
      <c r="B19" s="14"/>
    </row>
    <row r="20" spans="1:2" x14ac:dyDescent="0.25">
      <c r="A20" s="14"/>
      <c r="B20" s="14"/>
    </row>
    <row r="21" spans="1:2" x14ac:dyDescent="0.25">
      <c r="A21" s="14"/>
      <c r="B21" s="14"/>
    </row>
    <row r="22" spans="1:2" x14ac:dyDescent="0.25">
      <c r="A22" s="14"/>
      <c r="B22" s="14"/>
    </row>
    <row r="23" spans="1:2" x14ac:dyDescent="0.25">
      <c r="A23" s="14"/>
      <c r="B23" s="14"/>
    </row>
    <row r="24" spans="1:2" x14ac:dyDescent="0.25">
      <c r="A24" s="14"/>
      <c r="B24" s="14"/>
    </row>
    <row r="25" spans="1:2" x14ac:dyDescent="0.25">
      <c r="A25" s="14"/>
      <c r="B25" s="14"/>
    </row>
    <row r="26" spans="1:2" x14ac:dyDescent="0.25">
      <c r="A26" s="14"/>
      <c r="B26" s="14"/>
    </row>
    <row r="27" spans="1:2" x14ac:dyDescent="0.25">
      <c r="A27" s="14"/>
      <c r="B27" s="14"/>
    </row>
    <row r="28" spans="1:2" x14ac:dyDescent="0.25">
      <c r="A28" s="14"/>
      <c r="B28" s="14"/>
    </row>
    <row r="29" spans="1:2" x14ac:dyDescent="0.25">
      <c r="A29" s="14"/>
      <c r="B29" s="14"/>
    </row>
    <row r="30" spans="1:2" x14ac:dyDescent="0.25">
      <c r="A30" s="14"/>
      <c r="B30" s="14"/>
    </row>
    <row r="31" spans="1:2" x14ac:dyDescent="0.25">
      <c r="A31" s="14"/>
      <c r="B31" s="14"/>
    </row>
    <row r="32" spans="1:2" x14ac:dyDescent="0.25">
      <c r="A32" s="14"/>
      <c r="B32" s="14"/>
    </row>
    <row r="33" spans="1:2" x14ac:dyDescent="0.25">
      <c r="A33" s="14"/>
      <c r="B33" s="14"/>
    </row>
    <row r="34" spans="1:2" x14ac:dyDescent="0.25">
      <c r="A34" s="14"/>
      <c r="B34" s="14"/>
    </row>
    <row r="35" spans="1:2" x14ac:dyDescent="0.25">
      <c r="A35" s="14"/>
      <c r="B35" s="14"/>
    </row>
    <row r="36" spans="1:2" x14ac:dyDescent="0.25">
      <c r="A36" s="14"/>
      <c r="B36" s="14"/>
    </row>
    <row r="37" spans="1:2" x14ac:dyDescent="0.25">
      <c r="A37" s="14"/>
      <c r="B37" s="14"/>
    </row>
    <row r="38" spans="1:2" x14ac:dyDescent="0.25">
      <c r="A38" s="14"/>
      <c r="B38" s="14"/>
    </row>
    <row r="39" spans="1:2" x14ac:dyDescent="0.25">
      <c r="A39" s="14"/>
      <c r="B39" s="14"/>
    </row>
    <row r="40" spans="1:2" x14ac:dyDescent="0.25">
      <c r="A40" s="14"/>
      <c r="B40" s="14"/>
    </row>
    <row r="41" spans="1:2" x14ac:dyDescent="0.25">
      <c r="A41" s="14"/>
      <c r="B41" s="14"/>
    </row>
    <row r="42" spans="1:2" x14ac:dyDescent="0.25">
      <c r="A42" s="14"/>
      <c r="B42" s="14"/>
    </row>
    <row r="43" spans="1:2" x14ac:dyDescent="0.25">
      <c r="A43" s="14"/>
      <c r="B43" s="14"/>
    </row>
    <row r="44" spans="1:2" x14ac:dyDescent="0.25">
      <c r="A44" s="14"/>
      <c r="B44" s="14"/>
    </row>
    <row r="45" spans="1:2" x14ac:dyDescent="0.25">
      <c r="A45" s="14"/>
      <c r="B45" s="14"/>
    </row>
    <row r="46" spans="1:2" x14ac:dyDescent="0.25">
      <c r="A46" s="14"/>
      <c r="B46" s="14"/>
    </row>
    <row r="47" spans="1:2" x14ac:dyDescent="0.25">
      <c r="A47" s="14"/>
      <c r="B47" s="14"/>
    </row>
    <row r="48" spans="1:2" x14ac:dyDescent="0.25">
      <c r="A48" s="14"/>
      <c r="B48" s="14"/>
    </row>
    <row r="49" spans="1:2" x14ac:dyDescent="0.25">
      <c r="A49" s="14"/>
      <c r="B49" s="14"/>
    </row>
    <row r="50" spans="1:2" x14ac:dyDescent="0.25">
      <c r="A50" s="14"/>
      <c r="B50" s="14"/>
    </row>
    <row r="51" spans="1:2" x14ac:dyDescent="0.25">
      <c r="A51" s="14"/>
      <c r="B51" s="14"/>
    </row>
    <row r="52" spans="1:2" x14ac:dyDescent="0.25">
      <c r="A52" s="14"/>
      <c r="B52" s="14"/>
    </row>
    <row r="53" spans="1:2" x14ac:dyDescent="0.25">
      <c r="A53" s="14"/>
      <c r="B53" s="14"/>
    </row>
    <row r="54" spans="1:2" x14ac:dyDescent="0.25">
      <c r="A54" s="14"/>
      <c r="B54" s="14"/>
    </row>
    <row r="55" spans="1:2" x14ac:dyDescent="0.25">
      <c r="A55" s="14"/>
      <c r="B55" s="14"/>
    </row>
    <row r="56" spans="1:2" x14ac:dyDescent="0.25">
      <c r="A56" s="14"/>
      <c r="B56" s="14"/>
    </row>
    <row r="57" spans="1:2" x14ac:dyDescent="0.25">
      <c r="A57" s="14"/>
      <c r="B57" s="14"/>
    </row>
    <row r="58" spans="1:2" x14ac:dyDescent="0.25">
      <c r="A58" s="14"/>
      <c r="B58" s="14"/>
    </row>
    <row r="59" spans="1:2" x14ac:dyDescent="0.25">
      <c r="A59" s="14"/>
      <c r="B59" s="14"/>
    </row>
    <row r="60" spans="1:2" x14ac:dyDescent="0.25">
      <c r="A60" s="14"/>
      <c r="B60" s="14"/>
    </row>
    <row r="61" spans="1:2" x14ac:dyDescent="0.25">
      <c r="A61" s="14"/>
      <c r="B61" s="14"/>
    </row>
    <row r="62" spans="1:2" x14ac:dyDescent="0.25">
      <c r="A62" s="13"/>
      <c r="B62" s="14"/>
    </row>
    <row r="63" spans="1:2" x14ac:dyDescent="0.25">
      <c r="A63" s="14"/>
      <c r="B63" s="14"/>
    </row>
    <row r="64" spans="1:2" x14ac:dyDescent="0.25">
      <c r="A64" s="14"/>
      <c r="B64" s="14"/>
    </row>
    <row r="65" spans="1:2" x14ac:dyDescent="0.25">
      <c r="A65" s="14"/>
      <c r="B65" s="14"/>
    </row>
    <row r="66" spans="1:2" x14ac:dyDescent="0.25">
      <c r="A66" s="14"/>
      <c r="B66" s="14"/>
    </row>
    <row r="67" spans="1:2" x14ac:dyDescent="0.25">
      <c r="A67" s="14"/>
      <c r="B67" s="14"/>
    </row>
    <row r="68" spans="1:2" x14ac:dyDescent="0.25">
      <c r="A68" s="13"/>
      <c r="B68" s="13"/>
    </row>
    <row r="69" spans="1:2" x14ac:dyDescent="0.25">
      <c r="A69" s="14"/>
      <c r="B69" s="14"/>
    </row>
    <row r="70" spans="1:2" x14ac:dyDescent="0.25">
      <c r="A70" s="14"/>
      <c r="B70" s="14"/>
    </row>
    <row r="71" spans="1:2" x14ac:dyDescent="0.25">
      <c r="A71" s="14"/>
      <c r="B71" s="14"/>
    </row>
    <row r="72" spans="1:2" x14ac:dyDescent="0.25">
      <c r="A72" s="12"/>
      <c r="B72" s="12"/>
    </row>
    <row r="73" spans="1:2" x14ac:dyDescent="0.25">
      <c r="A73" s="12"/>
      <c r="B73" s="12"/>
    </row>
    <row r="74" spans="1:2" x14ac:dyDescent="0.25">
      <c r="A74" s="12"/>
      <c r="B74" s="12"/>
    </row>
    <row r="75" spans="1:2" x14ac:dyDescent="0.25">
      <c r="A75" s="12"/>
      <c r="B75" s="12"/>
    </row>
    <row r="76" spans="1:2" x14ac:dyDescent="0.25">
      <c r="A76" s="12"/>
      <c r="B76" s="12"/>
    </row>
    <row r="77" spans="1:2" x14ac:dyDescent="0.25">
      <c r="A77" s="12"/>
      <c r="B77" s="12"/>
    </row>
    <row r="78" spans="1:2" x14ac:dyDescent="0.25">
      <c r="A78" s="12"/>
      <c r="B78" s="12"/>
    </row>
    <row r="79" spans="1:2" x14ac:dyDescent="0.25">
      <c r="A79" s="12"/>
      <c r="B79" s="12"/>
    </row>
    <row r="80" spans="1:2" x14ac:dyDescent="0.25">
      <c r="A80" s="12"/>
      <c r="B80" s="12"/>
    </row>
    <row r="81" spans="1:2" x14ac:dyDescent="0.25">
      <c r="A81" s="12"/>
      <c r="B81" s="12"/>
    </row>
    <row r="82" spans="1:2" x14ac:dyDescent="0.25">
      <c r="A82" s="12"/>
      <c r="B82" s="12"/>
    </row>
    <row r="83" spans="1:2" x14ac:dyDescent="0.25">
      <c r="A83" s="12"/>
      <c r="B83" s="12"/>
    </row>
  </sheetData>
  <phoneticPr fontId="3" type="noConversion"/>
  <hyperlinks>
    <hyperlink ref="B2" r:id="rId1" display="\\ldn-srv-cent01\bkg\std\systems\bkg-prd\sys-2\data\deal_import2_in\"/>
    <hyperlink ref="B1" r:id="rId2" display="\\ldn-srv-cent01\bkg\std\systems\bkg-prd\sys-2\data\dealImportStaging\"/>
  </hyperlinks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O11"/>
  <sheetViews>
    <sheetView tabSelected="1" topLeftCell="G1" workbookViewId="0">
      <pane ySplit="1" topLeftCell="A2" activePane="bottomLeft" state="frozen"/>
      <selection pane="bottomLeft" activeCell="J2" sqref="J2"/>
    </sheetView>
  </sheetViews>
  <sheetFormatPr defaultColWidth="16" defaultRowHeight="15" x14ac:dyDescent="0.25"/>
  <cols>
    <col min="1" max="1" width="22.85546875" style="8" bestFit="1" customWidth="1"/>
    <col min="2" max="2" width="16" style="8"/>
    <col min="3" max="3" width="22.85546875" style="8" bestFit="1" customWidth="1"/>
    <col min="4" max="5" width="16" style="8"/>
    <col min="6" max="6" width="28.7109375" style="8" bestFit="1" customWidth="1"/>
    <col min="7" max="16384" width="16" style="8"/>
  </cols>
  <sheetData>
    <row r="1" spans="1:15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54</v>
      </c>
      <c r="L1" s="9" t="s">
        <v>24</v>
      </c>
      <c r="M1" s="9" t="s">
        <v>3</v>
      </c>
      <c r="N1" s="9" t="s">
        <v>26</v>
      </c>
      <c r="O1" s="9" t="s">
        <v>39</v>
      </c>
    </row>
    <row r="2" spans="1:15" x14ac:dyDescent="0.25">
      <c r="A2" t="s">
        <v>72</v>
      </c>
      <c r="B2" t="s">
        <v>53</v>
      </c>
      <c r="C2" t="s">
        <v>72</v>
      </c>
      <c r="D2">
        <v>1</v>
      </c>
      <c r="E2" s="15">
        <f ca="1">TODAY()</f>
        <v>43286</v>
      </c>
      <c r="F2" s="4">
        <v>30102373</v>
      </c>
      <c r="G2" t="s">
        <v>73</v>
      </c>
      <c r="H2" t="s">
        <v>101</v>
      </c>
      <c r="I2" s="16">
        <v>3.3881725211204983</v>
      </c>
      <c r="J2" t="e">
        <f>#REF!</f>
        <v>#REF!</v>
      </c>
      <c r="K2" t="e">
        <f>#REF!</f>
        <v>#REF!</v>
      </c>
      <c r="L2">
        <v>76000.2</v>
      </c>
      <c r="M2" t="s">
        <v>59</v>
      </c>
      <c r="N2" s="15"/>
      <c r="O2"/>
    </row>
    <row r="3" spans="1:15" x14ac:dyDescent="0.25">
      <c r="A3" t="s">
        <v>74</v>
      </c>
      <c r="B3" t="s">
        <v>53</v>
      </c>
      <c r="C3" t="s">
        <v>74</v>
      </c>
      <c r="D3">
        <v>1</v>
      </c>
      <c r="E3" s="15">
        <f t="shared" ref="E3:E11" ca="1" si="0">TODAY()</f>
        <v>43286</v>
      </c>
      <c r="F3" s="4" t="s">
        <v>60</v>
      </c>
      <c r="G3" t="s">
        <v>75</v>
      </c>
      <c r="H3" t="s">
        <v>101</v>
      </c>
      <c r="I3" s="16">
        <v>9.9505876068376082</v>
      </c>
      <c r="J3" t="e">
        <f>#REF!</f>
        <v>#REF!</v>
      </c>
      <c r="K3" t="e">
        <f>#REF!</f>
        <v>#REF!</v>
      </c>
      <c r="L3">
        <v>745000.1</v>
      </c>
      <c r="M3" t="s">
        <v>59</v>
      </c>
      <c r="N3" s="15"/>
      <c r="O3"/>
    </row>
    <row r="4" spans="1:15" x14ac:dyDescent="0.25">
      <c r="A4" t="s">
        <v>76</v>
      </c>
      <c r="B4" t="s">
        <v>53</v>
      </c>
      <c r="C4" t="s">
        <v>76</v>
      </c>
      <c r="D4">
        <v>1</v>
      </c>
      <c r="E4" s="15">
        <f t="shared" ca="1" si="0"/>
        <v>43286</v>
      </c>
      <c r="F4" s="4" t="s">
        <v>62</v>
      </c>
      <c r="G4" t="s">
        <v>77</v>
      </c>
      <c r="H4" t="s">
        <v>101</v>
      </c>
      <c r="I4" s="16">
        <v>1.554744525547445</v>
      </c>
      <c r="J4" t="e">
        <f>#REF!</f>
        <v>#REF!</v>
      </c>
      <c r="K4" t="e">
        <f>#REF!</f>
        <v>#REF!</v>
      </c>
      <c r="L4">
        <v>2000.13</v>
      </c>
      <c r="M4" t="s">
        <v>59</v>
      </c>
      <c r="N4" s="15"/>
      <c r="O4"/>
    </row>
    <row r="5" spans="1:15" x14ac:dyDescent="0.25">
      <c r="A5" t="s">
        <v>78</v>
      </c>
      <c r="B5" t="s">
        <v>53</v>
      </c>
      <c r="C5" t="s">
        <v>78</v>
      </c>
      <c r="D5">
        <v>1</v>
      </c>
      <c r="E5" s="15">
        <f t="shared" ca="1" si="0"/>
        <v>43286</v>
      </c>
      <c r="F5" s="4" t="s">
        <v>64</v>
      </c>
      <c r="G5" t="s">
        <v>79</v>
      </c>
      <c r="H5" t="s">
        <v>101</v>
      </c>
      <c r="I5" s="16">
        <v>3.3884297520661155</v>
      </c>
      <c r="J5" t="e">
        <f>#REF!</f>
        <v>#REF!</v>
      </c>
      <c r="K5" t="e">
        <f>#REF!</f>
        <v>#REF!</v>
      </c>
      <c r="L5">
        <v>36000.9</v>
      </c>
      <c r="M5" t="s">
        <v>59</v>
      </c>
      <c r="N5" s="15"/>
      <c r="O5"/>
    </row>
    <row r="6" spans="1:15" x14ac:dyDescent="0.25">
      <c r="A6" t="s">
        <v>80</v>
      </c>
      <c r="B6" t="s">
        <v>53</v>
      </c>
      <c r="C6" t="s">
        <v>80</v>
      </c>
      <c r="D6">
        <v>1</v>
      </c>
      <c r="E6" s="15">
        <f t="shared" ca="1" si="0"/>
        <v>43286</v>
      </c>
      <c r="F6" s="4" t="s">
        <v>65</v>
      </c>
      <c r="G6" t="s">
        <v>81</v>
      </c>
      <c r="H6" t="s">
        <v>101</v>
      </c>
      <c r="I6" s="16">
        <v>1.5513950073421439</v>
      </c>
      <c r="J6" t="e">
        <f>#REF!</f>
        <v>#REF!</v>
      </c>
      <c r="K6" t="e">
        <f>#REF!</f>
        <v>#REF!</v>
      </c>
      <c r="L6">
        <v>21000.13</v>
      </c>
      <c r="M6" t="s">
        <v>59</v>
      </c>
      <c r="N6" s="15"/>
      <c r="O6"/>
    </row>
    <row r="7" spans="1:15" x14ac:dyDescent="0.25">
      <c r="A7" t="s">
        <v>82</v>
      </c>
      <c r="B7" t="s">
        <v>53</v>
      </c>
      <c r="C7" t="s">
        <v>82</v>
      </c>
      <c r="D7">
        <v>1</v>
      </c>
      <c r="E7" s="15">
        <f t="shared" ca="1" si="0"/>
        <v>43286</v>
      </c>
      <c r="F7" s="4" t="s">
        <v>66</v>
      </c>
      <c r="G7" t="s">
        <v>83</v>
      </c>
      <c r="H7" t="s">
        <v>101</v>
      </c>
      <c r="I7" s="16">
        <v>9.9505853658536587</v>
      </c>
      <c r="J7" t="e">
        <f>#REF!</f>
        <v>#REF!</v>
      </c>
      <c r="K7" t="e">
        <f>#REF!</f>
        <v>#REF!</v>
      </c>
      <c r="L7">
        <v>2039000.87</v>
      </c>
      <c r="M7" t="s">
        <v>59</v>
      </c>
      <c r="N7" s="15"/>
      <c r="O7"/>
    </row>
    <row r="8" spans="1:15" x14ac:dyDescent="0.25">
      <c r="A8" t="s">
        <v>84</v>
      </c>
      <c r="B8" t="s">
        <v>53</v>
      </c>
      <c r="C8" t="s">
        <v>84</v>
      </c>
      <c r="D8">
        <v>1</v>
      </c>
      <c r="E8" s="15">
        <f t="shared" ca="1" si="0"/>
        <v>43286</v>
      </c>
      <c r="F8" s="4" t="s">
        <v>67</v>
      </c>
      <c r="G8" t="s">
        <v>85</v>
      </c>
      <c r="H8" t="s">
        <v>101</v>
      </c>
      <c r="I8" s="16">
        <v>9.9506666666666668</v>
      </c>
      <c r="J8" t="e">
        <f>#REF!</f>
        <v>#REF!</v>
      </c>
      <c r="K8" t="e">
        <f>#REF!</f>
        <v>#REF!</v>
      </c>
      <c r="L8">
        <v>298000.52</v>
      </c>
      <c r="M8" t="s">
        <v>59</v>
      </c>
      <c r="N8" s="15"/>
      <c r="O8"/>
    </row>
    <row r="9" spans="1:15" x14ac:dyDescent="0.25">
      <c r="A9" t="s">
        <v>86</v>
      </c>
      <c r="B9" t="s">
        <v>53</v>
      </c>
      <c r="C9" t="s">
        <v>86</v>
      </c>
      <c r="D9">
        <v>1</v>
      </c>
      <c r="E9" s="15">
        <f t="shared" ca="1" si="0"/>
        <v>43286</v>
      </c>
      <c r="F9" s="4" t="s">
        <v>68</v>
      </c>
      <c r="G9" t="s">
        <v>87</v>
      </c>
      <c r="H9" t="s">
        <v>101</v>
      </c>
      <c r="I9" s="16">
        <v>3.388029589778077</v>
      </c>
      <c r="J9" t="e">
        <f>#REF!</f>
        <v>#REF!</v>
      </c>
      <c r="K9" t="e">
        <f>#REF!</f>
        <v>#REF!</v>
      </c>
      <c r="L9">
        <v>50000.38</v>
      </c>
      <c r="M9" t="s">
        <v>59</v>
      </c>
      <c r="N9" s="15"/>
      <c r="O9"/>
    </row>
    <row r="10" spans="1:15" x14ac:dyDescent="0.25">
      <c r="A10" t="s">
        <v>88</v>
      </c>
      <c r="B10" t="s">
        <v>53</v>
      </c>
      <c r="C10" t="s">
        <v>88</v>
      </c>
      <c r="D10">
        <v>1</v>
      </c>
      <c r="E10" s="15">
        <f t="shared" ca="1" si="0"/>
        <v>43286</v>
      </c>
      <c r="F10" s="4" t="s">
        <v>69</v>
      </c>
      <c r="G10" t="s">
        <v>89</v>
      </c>
      <c r="H10" t="s">
        <v>101</v>
      </c>
      <c r="I10" s="16">
        <v>3.3879032258064514</v>
      </c>
      <c r="J10" t="e">
        <f>#REF!</f>
        <v>#REF!</v>
      </c>
      <c r="K10" t="e">
        <f>#REF!</f>
        <v>#REF!</v>
      </c>
      <c r="L10">
        <v>42000.01</v>
      </c>
      <c r="M10" t="s">
        <v>59</v>
      </c>
      <c r="N10" s="15"/>
      <c r="O10"/>
    </row>
    <row r="11" spans="1:15" x14ac:dyDescent="0.25">
      <c r="A11" t="s">
        <v>90</v>
      </c>
      <c r="B11" t="s">
        <v>53</v>
      </c>
      <c r="C11" t="s">
        <v>90</v>
      </c>
      <c r="D11">
        <v>1</v>
      </c>
      <c r="E11" s="15">
        <f t="shared" ca="1" si="0"/>
        <v>43286</v>
      </c>
      <c r="F11" s="4" t="s">
        <v>70</v>
      </c>
      <c r="G11" t="s">
        <v>91</v>
      </c>
      <c r="H11" t="s">
        <v>101</v>
      </c>
      <c r="I11" s="16">
        <v>9.9505545286506472</v>
      </c>
      <c r="J11" t="e">
        <f>#REF!</f>
        <v>#REF!</v>
      </c>
      <c r="K11" t="e">
        <f>#REF!</f>
        <v>#REF!</v>
      </c>
      <c r="L11">
        <v>215000.33</v>
      </c>
      <c r="M11" t="s">
        <v>59</v>
      </c>
      <c r="N11" s="15"/>
      <c r="O11"/>
    </row>
  </sheetData>
  <autoFilter ref="A1:O11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B20"/>
  <sheetViews>
    <sheetView workbookViewId="0">
      <selection activeCell="A3" sqref="A3:B18"/>
    </sheetView>
  </sheetViews>
  <sheetFormatPr defaultColWidth="8.85546875" defaultRowHeight="15" x14ac:dyDescent="0.25"/>
  <cols>
    <col min="1" max="1" width="13.140625" bestFit="1" customWidth="1"/>
    <col min="2" max="2" width="17.85546875" bestFit="1" customWidth="1"/>
    <col min="3" max="3" width="5" customWidth="1"/>
    <col min="4" max="4" width="4.7109375" customWidth="1"/>
    <col min="5" max="5" width="4.140625" customWidth="1"/>
    <col min="6" max="6" width="4.7109375" customWidth="1"/>
    <col min="7" max="8" width="4.42578125" customWidth="1"/>
    <col min="9" max="9" width="4.7109375" customWidth="1"/>
    <col min="10" max="10" width="4" customWidth="1"/>
    <col min="11" max="11" width="5" customWidth="1"/>
    <col min="12" max="13" width="4.7109375" customWidth="1"/>
    <col min="14" max="14" width="4.140625" customWidth="1"/>
    <col min="15" max="15" width="4.28515625" customWidth="1"/>
    <col min="16" max="16" width="4.7109375" customWidth="1"/>
    <col min="17" max="17" width="7.28515625" customWidth="1"/>
    <col min="18" max="18" width="11.28515625" bestFit="1" customWidth="1"/>
  </cols>
  <sheetData>
    <row r="3" spans="1:2" x14ac:dyDescent="0.25">
      <c r="A3" s="17" t="s">
        <v>102</v>
      </c>
      <c r="B3" s="17" t="s">
        <v>54</v>
      </c>
    </row>
    <row r="4" spans="1:2" x14ac:dyDescent="0.25">
      <c r="A4" s="18" t="s">
        <v>57</v>
      </c>
      <c r="B4" s="18" t="s">
        <v>96</v>
      </c>
    </row>
    <row r="5" spans="1:2" x14ac:dyDescent="0.25">
      <c r="A5" s="18" t="s">
        <v>57</v>
      </c>
      <c r="B5" s="18" t="s">
        <v>92</v>
      </c>
    </row>
    <row r="6" spans="1:2" x14ac:dyDescent="0.25">
      <c r="A6" s="18" t="s">
        <v>57</v>
      </c>
      <c r="B6" s="18" t="s">
        <v>99</v>
      </c>
    </row>
    <row r="7" spans="1:2" x14ac:dyDescent="0.25">
      <c r="A7" s="18" t="s">
        <v>57</v>
      </c>
      <c r="B7" s="18" t="s">
        <v>95</v>
      </c>
    </row>
    <row r="8" spans="1:2" x14ac:dyDescent="0.25">
      <c r="A8" s="18" t="s">
        <v>57</v>
      </c>
      <c r="B8" s="18" t="s">
        <v>63</v>
      </c>
    </row>
    <row r="9" spans="1:2" x14ac:dyDescent="0.25">
      <c r="A9" s="18" t="s">
        <v>57</v>
      </c>
      <c r="B9" s="18" t="s">
        <v>97</v>
      </c>
    </row>
    <row r="10" spans="1:2" x14ac:dyDescent="0.25">
      <c r="A10" s="18" t="s">
        <v>57</v>
      </c>
      <c r="B10" s="18" t="s">
        <v>57</v>
      </c>
    </row>
    <row r="11" spans="1:2" x14ac:dyDescent="0.25">
      <c r="A11" s="18" t="s">
        <v>57</v>
      </c>
      <c r="B11" s="18" t="s">
        <v>55</v>
      </c>
    </row>
    <row r="12" spans="1:2" x14ac:dyDescent="0.25">
      <c r="A12" s="18" t="s">
        <v>57</v>
      </c>
      <c r="B12" s="18" t="s">
        <v>71</v>
      </c>
    </row>
    <row r="13" spans="1:2" x14ac:dyDescent="0.25">
      <c r="A13" s="18" t="s">
        <v>57</v>
      </c>
      <c r="B13" s="18" t="s">
        <v>61</v>
      </c>
    </row>
    <row r="14" spans="1:2" x14ac:dyDescent="0.25">
      <c r="A14" s="18" t="s">
        <v>57</v>
      </c>
      <c r="B14" s="18" t="s">
        <v>93</v>
      </c>
    </row>
    <row r="15" spans="1:2" x14ac:dyDescent="0.25">
      <c r="A15" s="18" t="s">
        <v>57</v>
      </c>
      <c r="B15" s="18" t="s">
        <v>94</v>
      </c>
    </row>
    <row r="16" spans="1:2" x14ac:dyDescent="0.25">
      <c r="A16" s="18" t="s">
        <v>57</v>
      </c>
      <c r="B16" s="18" t="s">
        <v>98</v>
      </c>
    </row>
    <row r="17" spans="1:2" x14ac:dyDescent="0.25">
      <c r="A17" s="18" t="s">
        <v>57</v>
      </c>
      <c r="B17" s="18" t="s">
        <v>58</v>
      </c>
    </row>
    <row r="18" spans="1:2" x14ac:dyDescent="0.25">
      <c r="A18" s="18" t="s">
        <v>57</v>
      </c>
      <c r="B18" s="18" t="s">
        <v>56</v>
      </c>
    </row>
    <row r="19" spans="1:2" x14ac:dyDescent="0.25">
      <c r="A19" s="18" t="s">
        <v>103</v>
      </c>
      <c r="B19" s="18" t="s">
        <v>103</v>
      </c>
    </row>
    <row r="20" spans="1:2" x14ac:dyDescent="0.25">
      <c r="A20" s="18" t="s">
        <v>104</v>
      </c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U241"/>
  <sheetViews>
    <sheetView topLeftCell="I1" workbookViewId="0">
      <selection activeCell="I13" sqref="I13"/>
    </sheetView>
  </sheetViews>
  <sheetFormatPr defaultColWidth="16" defaultRowHeight="15" x14ac:dyDescent="0.25"/>
  <cols>
    <col min="1" max="4" width="16" style="8"/>
    <col min="5" max="5" width="16" style="20"/>
    <col min="6" max="6" width="30.140625" style="8" bestFit="1" customWidth="1"/>
    <col min="7" max="12" width="16" style="8"/>
    <col min="13" max="13" width="16" style="20"/>
    <col min="14" max="18" width="16" style="8"/>
    <col min="19" max="19" width="78.42578125" style="8" customWidth="1"/>
    <col min="20" max="20" width="61" style="8" bestFit="1" customWidth="1"/>
    <col min="21" max="21" width="21" style="8" bestFit="1" customWidth="1"/>
    <col min="22" max="16384" width="16" style="8"/>
  </cols>
  <sheetData>
    <row r="1" spans="1:21" x14ac:dyDescent="0.25">
      <c r="A1" s="9" t="s">
        <v>10</v>
      </c>
      <c r="B1" s="9" t="s">
        <v>6</v>
      </c>
      <c r="C1" s="9" t="s">
        <v>11</v>
      </c>
      <c r="D1" s="9" t="s">
        <v>12</v>
      </c>
      <c r="E1" s="23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24</v>
      </c>
      <c r="L1" s="9" t="s">
        <v>3</v>
      </c>
      <c r="M1" s="23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39</v>
      </c>
      <c r="T1" s="19" t="s">
        <v>330</v>
      </c>
      <c r="U1" s="21" t="s">
        <v>331</v>
      </c>
    </row>
    <row r="2" spans="1:21" x14ac:dyDescent="0.25">
      <c r="A2" s="8">
        <v>4</v>
      </c>
      <c r="B2" s="5" t="s">
        <v>107</v>
      </c>
      <c r="C2" s="5">
        <v>4</v>
      </c>
      <c r="D2" s="5">
        <v>1</v>
      </c>
      <c r="E2" s="24">
        <v>43238</v>
      </c>
      <c r="F2" t="s">
        <v>3676</v>
      </c>
      <c r="G2" s="8" t="s">
        <v>130</v>
      </c>
      <c r="H2" s="8" t="s">
        <v>49</v>
      </c>
      <c r="I2" s="8">
        <v>0</v>
      </c>
      <c r="J2" s="8" t="s">
        <v>55</v>
      </c>
      <c r="K2" s="8">
        <v>0</v>
      </c>
      <c r="L2" s="8" t="s">
        <v>3677</v>
      </c>
      <c r="M2" s="20">
        <v>43102</v>
      </c>
      <c r="O2" s="8" t="s">
        <v>105</v>
      </c>
      <c r="P2" s="8" t="s">
        <v>8</v>
      </c>
      <c r="R2" s="8">
        <v>0</v>
      </c>
      <c r="S2" s="8" t="s">
        <v>3678</v>
      </c>
      <c r="T2" t="s">
        <v>3679</v>
      </c>
      <c r="U2" s="8" t="s">
        <v>3676</v>
      </c>
    </row>
    <row r="3" spans="1:21" x14ac:dyDescent="0.25">
      <c r="A3" s="8">
        <v>5</v>
      </c>
      <c r="B3" s="5" t="s">
        <v>107</v>
      </c>
      <c r="C3" s="5">
        <v>5</v>
      </c>
      <c r="D3" s="5">
        <v>1</v>
      </c>
      <c r="E3" s="24">
        <v>43238</v>
      </c>
      <c r="F3" t="s">
        <v>3680</v>
      </c>
      <c r="G3" s="8" t="s">
        <v>127</v>
      </c>
      <c r="H3" s="8" t="s">
        <v>49</v>
      </c>
      <c r="I3" s="8">
        <v>0</v>
      </c>
      <c r="J3" s="8" t="s">
        <v>55</v>
      </c>
      <c r="K3" s="8">
        <v>0</v>
      </c>
      <c r="L3" s="8" t="s">
        <v>137</v>
      </c>
      <c r="M3" s="20">
        <v>43102</v>
      </c>
      <c r="O3" s="8" t="s">
        <v>105</v>
      </c>
      <c r="P3" s="8" t="s">
        <v>8</v>
      </c>
      <c r="R3" s="8">
        <v>0</v>
      </c>
      <c r="S3" s="8" t="s">
        <v>3681</v>
      </c>
      <c r="T3" t="s">
        <v>3682</v>
      </c>
      <c r="U3" s="8" t="s">
        <v>3680</v>
      </c>
    </row>
    <row r="4" spans="1:21" x14ac:dyDescent="0.25">
      <c r="A4" s="8">
        <v>6</v>
      </c>
      <c r="B4" s="5" t="s">
        <v>107</v>
      </c>
      <c r="C4" s="5">
        <v>6</v>
      </c>
      <c r="D4" s="5">
        <v>1</v>
      </c>
      <c r="E4" s="24">
        <v>43238</v>
      </c>
      <c r="F4" t="s">
        <v>3683</v>
      </c>
      <c r="G4" s="8" t="s">
        <v>127</v>
      </c>
      <c r="H4" s="8" t="s">
        <v>49</v>
      </c>
      <c r="I4" s="8">
        <v>0</v>
      </c>
      <c r="J4" s="8" t="s">
        <v>55</v>
      </c>
      <c r="K4" s="8">
        <v>0</v>
      </c>
      <c r="L4" s="8" t="s">
        <v>142</v>
      </c>
      <c r="M4" s="20">
        <v>43102</v>
      </c>
      <c r="O4" s="8" t="s">
        <v>105</v>
      </c>
      <c r="P4" s="8" t="s">
        <v>8</v>
      </c>
      <c r="R4" s="8">
        <v>0</v>
      </c>
      <c r="S4" s="8" t="s">
        <v>3684</v>
      </c>
      <c r="T4" t="s">
        <v>3685</v>
      </c>
      <c r="U4" s="8" t="s">
        <v>3683</v>
      </c>
    </row>
    <row r="5" spans="1:21" x14ac:dyDescent="0.25">
      <c r="A5" s="8">
        <v>7</v>
      </c>
      <c r="B5" s="5" t="s">
        <v>107</v>
      </c>
      <c r="C5" s="5">
        <v>7</v>
      </c>
      <c r="D5" s="5">
        <v>1</v>
      </c>
      <c r="E5" s="24">
        <v>43238</v>
      </c>
      <c r="F5" t="s">
        <v>3686</v>
      </c>
      <c r="G5" s="8" t="s">
        <v>127</v>
      </c>
      <c r="H5" s="8" t="s">
        <v>49</v>
      </c>
      <c r="I5" s="8">
        <v>0</v>
      </c>
      <c r="J5" s="8" t="s">
        <v>55</v>
      </c>
      <c r="K5" s="8">
        <v>0</v>
      </c>
      <c r="L5" s="8" t="s">
        <v>3687</v>
      </c>
      <c r="M5" s="20">
        <v>43102</v>
      </c>
      <c r="O5" s="8" t="s">
        <v>105</v>
      </c>
      <c r="P5" s="8" t="s">
        <v>8</v>
      </c>
      <c r="R5" s="8">
        <v>0</v>
      </c>
      <c r="S5" s="8" t="s">
        <v>3688</v>
      </c>
      <c r="T5" t="s">
        <v>3689</v>
      </c>
      <c r="U5" s="8" t="s">
        <v>3686</v>
      </c>
    </row>
    <row r="6" spans="1:21" x14ac:dyDescent="0.25">
      <c r="A6" s="8">
        <v>8</v>
      </c>
      <c r="B6" s="5" t="s">
        <v>107</v>
      </c>
      <c r="C6" s="5">
        <v>8</v>
      </c>
      <c r="D6" s="5">
        <v>1</v>
      </c>
      <c r="E6" s="24">
        <v>43238</v>
      </c>
      <c r="F6" s="5" t="s">
        <v>3690</v>
      </c>
      <c r="G6" s="8" t="s">
        <v>3691</v>
      </c>
      <c r="H6" s="8" t="s">
        <v>49</v>
      </c>
      <c r="I6" s="8">
        <v>0</v>
      </c>
      <c r="J6" s="8" t="s">
        <v>55</v>
      </c>
      <c r="K6" s="8">
        <v>0</v>
      </c>
      <c r="L6" s="8" t="s">
        <v>3692</v>
      </c>
      <c r="M6" s="20">
        <v>43102</v>
      </c>
      <c r="O6" s="8" t="s">
        <v>105</v>
      </c>
      <c r="P6" s="8" t="s">
        <v>8</v>
      </c>
      <c r="R6" s="8">
        <v>0</v>
      </c>
      <c r="S6" s="8" t="s">
        <v>3693</v>
      </c>
      <c r="T6" t="s">
        <v>3694</v>
      </c>
      <c r="U6" s="8" t="s">
        <v>3690</v>
      </c>
    </row>
    <row r="7" spans="1:21" x14ac:dyDescent="0.25">
      <c r="A7" s="8">
        <v>9</v>
      </c>
      <c r="B7" s="5" t="s">
        <v>107</v>
      </c>
      <c r="C7" s="5">
        <v>9</v>
      </c>
      <c r="D7" s="5">
        <v>1</v>
      </c>
      <c r="E7" s="24">
        <v>43238</v>
      </c>
      <c r="F7" s="5" t="s">
        <v>3695</v>
      </c>
      <c r="G7" s="8" t="s">
        <v>3691</v>
      </c>
      <c r="H7" s="8" t="s">
        <v>49</v>
      </c>
      <c r="I7" s="8">
        <v>0</v>
      </c>
      <c r="J7" s="8" t="s">
        <v>55</v>
      </c>
      <c r="K7" s="8">
        <v>0</v>
      </c>
      <c r="L7" s="8" t="s">
        <v>3692</v>
      </c>
      <c r="M7" s="20">
        <v>43102</v>
      </c>
      <c r="O7" s="8" t="s">
        <v>105</v>
      </c>
      <c r="P7" s="8" t="s">
        <v>8</v>
      </c>
      <c r="R7" s="8">
        <v>0</v>
      </c>
      <c r="S7" s="8" t="s">
        <v>3696</v>
      </c>
      <c r="T7" t="s">
        <v>3697</v>
      </c>
      <c r="U7" s="8" t="s">
        <v>3695</v>
      </c>
    </row>
    <row r="8" spans="1:21" x14ac:dyDescent="0.25">
      <c r="A8" s="8">
        <v>10</v>
      </c>
      <c r="B8" s="5" t="s">
        <v>107</v>
      </c>
      <c r="C8" s="5">
        <v>10</v>
      </c>
      <c r="D8" s="5">
        <v>1</v>
      </c>
      <c r="E8" s="24">
        <v>43238</v>
      </c>
      <c r="F8" s="5" t="s">
        <v>3698</v>
      </c>
      <c r="G8" s="8" t="s">
        <v>3699</v>
      </c>
      <c r="H8" s="8" t="s">
        <v>49</v>
      </c>
      <c r="I8" s="8">
        <v>0</v>
      </c>
      <c r="J8" s="8" t="s">
        <v>55</v>
      </c>
      <c r="K8" s="8">
        <v>0</v>
      </c>
      <c r="L8" s="8" t="s">
        <v>3700</v>
      </c>
      <c r="M8" s="20">
        <v>43102</v>
      </c>
      <c r="O8" s="8" t="s">
        <v>105</v>
      </c>
      <c r="P8" s="8" t="s">
        <v>8</v>
      </c>
      <c r="R8" s="8">
        <v>0</v>
      </c>
      <c r="S8" s="8" t="s">
        <v>3701</v>
      </c>
      <c r="T8" t="s">
        <v>3702</v>
      </c>
      <c r="U8" s="8" t="s">
        <v>3698</v>
      </c>
    </row>
    <row r="9" spans="1:21" x14ac:dyDescent="0.25">
      <c r="A9" s="8">
        <v>11</v>
      </c>
      <c r="B9" s="5" t="s">
        <v>107</v>
      </c>
      <c r="C9" s="5">
        <v>11</v>
      </c>
      <c r="D9" s="5">
        <v>1</v>
      </c>
      <c r="E9" s="24">
        <v>43238</v>
      </c>
      <c r="F9" s="5" t="s">
        <v>3703</v>
      </c>
      <c r="G9" s="8" t="s">
        <v>3704</v>
      </c>
      <c r="H9" s="8" t="s">
        <v>49</v>
      </c>
      <c r="I9" s="8">
        <v>0</v>
      </c>
      <c r="J9" s="8" t="s">
        <v>55</v>
      </c>
      <c r="K9" s="8">
        <v>0</v>
      </c>
      <c r="L9" s="8" t="s">
        <v>3705</v>
      </c>
      <c r="M9" s="20">
        <v>43102</v>
      </c>
      <c r="O9" s="8" t="s">
        <v>105</v>
      </c>
      <c r="P9" s="8" t="s">
        <v>8</v>
      </c>
      <c r="R9" s="8">
        <v>0</v>
      </c>
      <c r="S9" s="8" t="s">
        <v>3706</v>
      </c>
      <c r="T9" t="s">
        <v>3707</v>
      </c>
      <c r="U9" s="8" t="s">
        <v>3703</v>
      </c>
    </row>
    <row r="10" spans="1:21" x14ac:dyDescent="0.25">
      <c r="A10" s="8">
        <v>12</v>
      </c>
      <c r="B10" s="5" t="s">
        <v>107</v>
      </c>
      <c r="C10" s="5">
        <v>12</v>
      </c>
      <c r="D10" s="5">
        <v>1</v>
      </c>
      <c r="E10" s="24">
        <v>43238</v>
      </c>
      <c r="F10" s="5" t="s">
        <v>3708</v>
      </c>
      <c r="G10" s="8" t="s">
        <v>3704</v>
      </c>
      <c r="H10" s="8" t="s">
        <v>49</v>
      </c>
      <c r="I10" s="8">
        <v>0</v>
      </c>
      <c r="J10" s="8" t="s">
        <v>55</v>
      </c>
      <c r="K10" s="8">
        <v>0</v>
      </c>
      <c r="L10" s="8" t="s">
        <v>3705</v>
      </c>
      <c r="M10" s="20">
        <v>43102</v>
      </c>
      <c r="O10" s="8" t="s">
        <v>105</v>
      </c>
      <c r="P10" s="8" t="s">
        <v>8</v>
      </c>
      <c r="R10" s="8">
        <v>0</v>
      </c>
      <c r="S10" s="8" t="s">
        <v>3709</v>
      </c>
      <c r="T10" t="s">
        <v>3710</v>
      </c>
      <c r="U10" s="8" t="s">
        <v>3708</v>
      </c>
    </row>
    <row r="11" spans="1:21" x14ac:dyDescent="0.25">
      <c r="A11" s="8">
        <v>13</v>
      </c>
      <c r="B11" s="5" t="s">
        <v>107</v>
      </c>
      <c r="C11" s="5">
        <v>13</v>
      </c>
      <c r="D11" s="5">
        <v>1</v>
      </c>
      <c r="E11" s="24">
        <v>43238</v>
      </c>
      <c r="F11" s="5" t="s">
        <v>3711</v>
      </c>
      <c r="G11" s="8" t="s">
        <v>3712</v>
      </c>
      <c r="H11" s="8" t="s">
        <v>49</v>
      </c>
      <c r="I11" s="8">
        <v>0</v>
      </c>
      <c r="J11" s="8" t="s">
        <v>55</v>
      </c>
      <c r="K11" s="8">
        <v>0</v>
      </c>
      <c r="L11" s="8" t="s">
        <v>131</v>
      </c>
      <c r="M11" s="20">
        <v>43102</v>
      </c>
      <c r="O11" s="8" t="s">
        <v>105</v>
      </c>
      <c r="P11" s="8" t="s">
        <v>8</v>
      </c>
      <c r="R11" s="8">
        <v>0</v>
      </c>
      <c r="S11" s="8" t="s">
        <v>3713</v>
      </c>
      <c r="T11" t="s">
        <v>3714</v>
      </c>
      <c r="U11" s="8" t="s">
        <v>3711</v>
      </c>
    </row>
    <row r="12" spans="1:21" x14ac:dyDescent="0.25">
      <c r="A12" s="8">
        <v>14</v>
      </c>
      <c r="B12" s="5" t="s">
        <v>107</v>
      </c>
      <c r="C12" s="5">
        <v>14</v>
      </c>
      <c r="D12" s="5">
        <v>1</v>
      </c>
      <c r="E12" s="24">
        <v>43238</v>
      </c>
      <c r="F12" s="5" t="s">
        <v>3715</v>
      </c>
      <c r="G12" s="8" t="s">
        <v>3712</v>
      </c>
      <c r="H12" s="8" t="s">
        <v>49</v>
      </c>
      <c r="I12" s="8">
        <v>0</v>
      </c>
      <c r="J12" s="8" t="s">
        <v>55</v>
      </c>
      <c r="K12" s="8">
        <v>0</v>
      </c>
      <c r="L12" s="8" t="s">
        <v>131</v>
      </c>
      <c r="M12" s="20">
        <v>43102</v>
      </c>
      <c r="O12" s="8" t="s">
        <v>105</v>
      </c>
      <c r="P12" s="8" t="s">
        <v>8</v>
      </c>
      <c r="R12" s="8">
        <v>0</v>
      </c>
      <c r="S12" s="8" t="s">
        <v>3716</v>
      </c>
      <c r="T12" t="s">
        <v>3717</v>
      </c>
      <c r="U12" s="8" t="s">
        <v>3715</v>
      </c>
    </row>
    <row r="13" spans="1:21" x14ac:dyDescent="0.25">
      <c r="A13" s="8">
        <v>15</v>
      </c>
      <c r="B13" s="5" t="s">
        <v>107</v>
      </c>
      <c r="C13" s="5">
        <v>15</v>
      </c>
      <c r="D13" s="5">
        <v>1</v>
      </c>
      <c r="E13" s="24">
        <v>43238</v>
      </c>
      <c r="F13" s="5" t="s">
        <v>3718</v>
      </c>
      <c r="G13" s="8" t="s">
        <v>3719</v>
      </c>
      <c r="H13" s="8" t="s">
        <v>49</v>
      </c>
      <c r="I13" s="8">
        <v>0</v>
      </c>
      <c r="J13" s="8" t="s">
        <v>55</v>
      </c>
      <c r="K13" s="8">
        <v>0</v>
      </c>
      <c r="L13" s="8" t="s">
        <v>3720</v>
      </c>
      <c r="M13" s="20">
        <v>43102</v>
      </c>
      <c r="O13" s="8" t="s">
        <v>105</v>
      </c>
      <c r="P13" s="8" t="s">
        <v>8</v>
      </c>
      <c r="R13" s="8">
        <v>0</v>
      </c>
      <c r="S13" s="8" t="s">
        <v>3721</v>
      </c>
      <c r="T13" t="s">
        <v>3722</v>
      </c>
      <c r="U13" s="8" t="s">
        <v>3718</v>
      </c>
    </row>
    <row r="14" spans="1:21" x14ac:dyDescent="0.25">
      <c r="B14" s="5"/>
      <c r="C14" s="5"/>
      <c r="D14" s="5"/>
      <c r="E14" s="24"/>
      <c r="F14" s="5"/>
      <c r="T14"/>
    </row>
    <row r="15" spans="1:21" x14ac:dyDescent="0.25">
      <c r="B15" s="5"/>
      <c r="C15" s="5"/>
      <c r="D15" s="5"/>
      <c r="E15" s="24"/>
      <c r="F15" s="5"/>
      <c r="T15"/>
    </row>
    <row r="16" spans="1:21" x14ac:dyDescent="0.25">
      <c r="B16" s="5"/>
      <c r="C16" s="5"/>
      <c r="D16" s="5"/>
      <c r="E16" s="24"/>
      <c r="F16" s="5"/>
      <c r="T16"/>
    </row>
    <row r="17" spans="2:20" x14ac:dyDescent="0.25">
      <c r="B17" s="5"/>
      <c r="C17" s="5"/>
      <c r="D17" s="5"/>
      <c r="E17" s="24"/>
      <c r="F17" s="5"/>
      <c r="T17"/>
    </row>
    <row r="18" spans="2:20" x14ac:dyDescent="0.25">
      <c r="B18" s="5"/>
      <c r="C18" s="5"/>
      <c r="D18" s="5"/>
      <c r="E18" s="24"/>
      <c r="F18" s="5"/>
      <c r="T18"/>
    </row>
    <row r="19" spans="2:20" x14ac:dyDescent="0.25">
      <c r="B19" s="5"/>
      <c r="C19" s="5"/>
      <c r="D19" s="5"/>
      <c r="E19" s="24"/>
      <c r="F19" s="5"/>
      <c r="T19"/>
    </row>
    <row r="20" spans="2:20" x14ac:dyDescent="0.25">
      <c r="B20" s="5"/>
      <c r="C20" s="5"/>
      <c r="D20" s="5"/>
      <c r="E20" s="24"/>
      <c r="F20" s="5"/>
      <c r="T20"/>
    </row>
    <row r="21" spans="2:20" x14ac:dyDescent="0.25">
      <c r="B21" s="5"/>
      <c r="C21" s="5"/>
      <c r="D21" s="5"/>
      <c r="E21" s="24"/>
      <c r="F21" s="5"/>
      <c r="T21"/>
    </row>
    <row r="22" spans="2:20" x14ac:dyDescent="0.25">
      <c r="B22" s="5"/>
      <c r="C22" s="5"/>
      <c r="D22" s="5"/>
      <c r="E22" s="24"/>
      <c r="F22" s="5"/>
      <c r="T22"/>
    </row>
    <row r="23" spans="2:20" x14ac:dyDescent="0.25">
      <c r="B23" s="5"/>
      <c r="C23" s="5"/>
      <c r="D23" s="5"/>
      <c r="E23" s="24"/>
      <c r="F23" s="5"/>
      <c r="T23"/>
    </row>
    <row r="24" spans="2:20" x14ac:dyDescent="0.25">
      <c r="B24" s="5"/>
      <c r="C24" s="5"/>
      <c r="D24" s="5"/>
      <c r="E24" s="24"/>
      <c r="F24" s="5"/>
      <c r="T24"/>
    </row>
    <row r="25" spans="2:20" x14ac:dyDescent="0.25">
      <c r="B25" s="5"/>
      <c r="C25" s="5"/>
      <c r="D25" s="5"/>
      <c r="E25" s="24"/>
      <c r="F25" s="5"/>
      <c r="T25"/>
    </row>
    <row r="26" spans="2:20" x14ac:dyDescent="0.25">
      <c r="B26" s="5"/>
      <c r="C26" s="5"/>
      <c r="D26" s="5"/>
      <c r="E26" s="24"/>
      <c r="F26" s="5"/>
      <c r="T26"/>
    </row>
    <row r="27" spans="2:20" x14ac:dyDescent="0.25">
      <c r="B27" s="5"/>
      <c r="C27" s="5"/>
      <c r="D27" s="5"/>
      <c r="E27" s="24"/>
      <c r="F27" s="5"/>
      <c r="T27"/>
    </row>
    <row r="28" spans="2:20" x14ac:dyDescent="0.25">
      <c r="B28" s="5"/>
      <c r="C28" s="5"/>
      <c r="D28" s="5"/>
      <c r="E28" s="24"/>
      <c r="F28" s="5"/>
      <c r="T28"/>
    </row>
    <row r="29" spans="2:20" x14ac:dyDescent="0.25">
      <c r="B29" s="5"/>
      <c r="C29" s="5"/>
      <c r="D29" s="5"/>
      <c r="E29" s="24"/>
      <c r="F29" s="5"/>
      <c r="T29"/>
    </row>
    <row r="30" spans="2:20" x14ac:dyDescent="0.25">
      <c r="B30" s="5"/>
      <c r="C30" s="5"/>
      <c r="D30" s="5"/>
      <c r="E30" s="24"/>
      <c r="F30" s="5"/>
      <c r="T30"/>
    </row>
    <row r="31" spans="2:20" x14ac:dyDescent="0.25">
      <c r="B31" s="5"/>
      <c r="C31" s="5"/>
      <c r="D31" s="5"/>
      <c r="E31" s="24"/>
      <c r="F31" s="5"/>
      <c r="T31"/>
    </row>
    <row r="32" spans="2:20" x14ac:dyDescent="0.25">
      <c r="B32" s="5"/>
      <c r="C32" s="5"/>
      <c r="D32" s="5"/>
      <c r="E32" s="24"/>
      <c r="F32" s="5"/>
      <c r="T32"/>
    </row>
    <row r="33" spans="2:20" x14ac:dyDescent="0.25">
      <c r="B33" s="5"/>
      <c r="C33" s="5"/>
      <c r="D33" s="5"/>
      <c r="E33" s="24"/>
      <c r="F33" s="5"/>
      <c r="T33"/>
    </row>
    <row r="34" spans="2:20" x14ac:dyDescent="0.25">
      <c r="B34" s="5"/>
      <c r="C34" s="5"/>
      <c r="D34" s="5"/>
      <c r="E34" s="24"/>
      <c r="F34" s="5"/>
      <c r="T34"/>
    </row>
    <row r="35" spans="2:20" x14ac:dyDescent="0.25">
      <c r="B35" s="5"/>
      <c r="C35" s="5"/>
      <c r="D35" s="5"/>
      <c r="E35" s="24"/>
      <c r="F35" s="5"/>
      <c r="T35"/>
    </row>
    <row r="36" spans="2:20" x14ac:dyDescent="0.25">
      <c r="B36" s="5"/>
      <c r="C36" s="5"/>
      <c r="D36" s="5"/>
      <c r="E36" s="24"/>
      <c r="F36" s="5"/>
      <c r="T36"/>
    </row>
    <row r="37" spans="2:20" x14ac:dyDescent="0.25">
      <c r="B37" s="5"/>
      <c r="C37" s="5"/>
      <c r="D37" s="5"/>
      <c r="E37" s="24"/>
      <c r="F37" s="5"/>
      <c r="T37"/>
    </row>
    <row r="38" spans="2:20" x14ac:dyDescent="0.25">
      <c r="B38" s="5"/>
      <c r="C38" s="5"/>
      <c r="D38" s="5"/>
      <c r="E38" s="24"/>
      <c r="F38" s="5"/>
      <c r="T38"/>
    </row>
    <row r="39" spans="2:20" x14ac:dyDescent="0.25">
      <c r="B39" s="5"/>
      <c r="C39" s="5"/>
      <c r="D39" s="5"/>
      <c r="E39" s="24"/>
      <c r="F39" s="5"/>
      <c r="T39"/>
    </row>
    <row r="40" spans="2:20" x14ac:dyDescent="0.25">
      <c r="B40" s="5"/>
      <c r="C40" s="5"/>
      <c r="D40" s="5"/>
      <c r="E40" s="24"/>
      <c r="F40" s="5"/>
      <c r="T40"/>
    </row>
    <row r="41" spans="2:20" x14ac:dyDescent="0.25">
      <c r="B41" s="5"/>
      <c r="C41" s="5"/>
      <c r="D41" s="5"/>
      <c r="E41" s="24"/>
      <c r="F41" s="5"/>
      <c r="T41"/>
    </row>
    <row r="42" spans="2:20" x14ac:dyDescent="0.25">
      <c r="B42" s="5"/>
      <c r="C42" s="5"/>
      <c r="D42" s="5"/>
      <c r="E42" s="24"/>
      <c r="F42" s="5"/>
      <c r="T42"/>
    </row>
    <row r="43" spans="2:20" x14ac:dyDescent="0.25">
      <c r="B43" s="5"/>
      <c r="C43" s="5"/>
      <c r="D43" s="5"/>
      <c r="E43" s="24"/>
      <c r="F43" s="5"/>
      <c r="T43"/>
    </row>
    <row r="44" spans="2:20" x14ac:dyDescent="0.25">
      <c r="B44" s="5"/>
      <c r="C44" s="5"/>
      <c r="D44" s="5"/>
      <c r="E44" s="24"/>
      <c r="F44" s="5"/>
      <c r="T44"/>
    </row>
    <row r="45" spans="2:20" x14ac:dyDescent="0.25">
      <c r="B45" s="5"/>
      <c r="C45" s="5"/>
      <c r="D45" s="5"/>
      <c r="E45" s="24"/>
      <c r="F45" s="5"/>
      <c r="T45"/>
    </row>
    <row r="46" spans="2:20" x14ac:dyDescent="0.25">
      <c r="B46" s="5"/>
      <c r="C46" s="5"/>
      <c r="D46" s="5"/>
      <c r="E46" s="24"/>
      <c r="F46" s="5"/>
      <c r="T46"/>
    </row>
    <row r="47" spans="2:20" x14ac:dyDescent="0.25">
      <c r="B47" s="5"/>
      <c r="C47" s="5"/>
      <c r="D47" s="5"/>
      <c r="E47" s="24"/>
      <c r="F47" s="5"/>
      <c r="T47"/>
    </row>
    <row r="48" spans="2:20" x14ac:dyDescent="0.25">
      <c r="B48" s="5"/>
      <c r="C48" s="5"/>
      <c r="D48" s="5"/>
      <c r="E48" s="24"/>
      <c r="F48" s="5"/>
      <c r="T48"/>
    </row>
    <row r="49" spans="2:20" x14ac:dyDescent="0.25">
      <c r="B49" s="5"/>
      <c r="C49" s="5"/>
      <c r="D49" s="5"/>
      <c r="E49" s="24"/>
      <c r="F49" s="5"/>
      <c r="T49"/>
    </row>
    <row r="50" spans="2:20" x14ac:dyDescent="0.25">
      <c r="B50" s="5"/>
      <c r="C50" s="5"/>
      <c r="D50" s="5"/>
      <c r="E50" s="24"/>
      <c r="F50" s="5"/>
      <c r="T50"/>
    </row>
    <row r="51" spans="2:20" x14ac:dyDescent="0.25">
      <c r="B51" s="5"/>
      <c r="C51" s="5"/>
      <c r="D51" s="5"/>
      <c r="E51" s="24"/>
      <c r="F51" s="5"/>
      <c r="T51"/>
    </row>
    <row r="52" spans="2:20" x14ac:dyDescent="0.25">
      <c r="B52" s="5"/>
      <c r="C52" s="5"/>
      <c r="D52" s="5"/>
      <c r="E52" s="24"/>
      <c r="F52" s="5"/>
      <c r="T52"/>
    </row>
    <row r="53" spans="2:20" x14ac:dyDescent="0.25">
      <c r="B53" s="5"/>
      <c r="C53" s="5"/>
      <c r="D53" s="5"/>
      <c r="E53" s="24"/>
      <c r="F53" s="5"/>
      <c r="T53"/>
    </row>
    <row r="54" spans="2:20" x14ac:dyDescent="0.25">
      <c r="B54" s="5"/>
      <c r="C54" s="5"/>
      <c r="D54" s="5"/>
      <c r="E54" s="24"/>
      <c r="F54" s="5"/>
      <c r="T54"/>
    </row>
    <row r="55" spans="2:20" x14ac:dyDescent="0.25">
      <c r="B55" s="5"/>
      <c r="C55" s="5"/>
      <c r="D55" s="5"/>
      <c r="E55" s="24"/>
      <c r="F55" s="5"/>
      <c r="T55"/>
    </row>
    <row r="56" spans="2:20" x14ac:dyDescent="0.25">
      <c r="B56" s="5"/>
      <c r="C56" s="5"/>
      <c r="D56" s="5"/>
      <c r="E56" s="24"/>
      <c r="F56" s="5"/>
      <c r="T56"/>
    </row>
    <row r="57" spans="2:20" x14ac:dyDescent="0.25">
      <c r="B57" s="5"/>
      <c r="C57" s="5"/>
      <c r="D57" s="5"/>
      <c r="E57" s="24"/>
      <c r="F57" s="5"/>
      <c r="T57"/>
    </row>
    <row r="58" spans="2:20" x14ac:dyDescent="0.25">
      <c r="B58" s="5"/>
      <c r="C58" s="5"/>
      <c r="D58" s="5"/>
      <c r="E58" s="24"/>
      <c r="F58" s="5"/>
      <c r="T58"/>
    </row>
    <row r="59" spans="2:20" x14ac:dyDescent="0.25">
      <c r="B59" s="5"/>
      <c r="C59" s="5"/>
      <c r="D59" s="5"/>
      <c r="E59" s="24"/>
      <c r="F59" s="5"/>
      <c r="T59"/>
    </row>
    <row r="60" spans="2:20" x14ac:dyDescent="0.25">
      <c r="B60" s="5"/>
      <c r="C60" s="5"/>
      <c r="D60" s="5"/>
      <c r="E60" s="24"/>
      <c r="F60" s="5"/>
      <c r="T60"/>
    </row>
    <row r="61" spans="2:20" x14ac:dyDescent="0.25">
      <c r="B61" s="5"/>
      <c r="C61" s="5"/>
      <c r="D61" s="5"/>
      <c r="E61" s="24"/>
      <c r="F61" s="5"/>
      <c r="T61"/>
    </row>
    <row r="62" spans="2:20" x14ac:dyDescent="0.25">
      <c r="B62" s="5"/>
      <c r="C62" s="5"/>
      <c r="D62" s="5"/>
      <c r="E62" s="24"/>
      <c r="F62" s="5"/>
      <c r="T62"/>
    </row>
    <row r="63" spans="2:20" x14ac:dyDescent="0.25">
      <c r="B63" s="5"/>
      <c r="C63" s="5"/>
      <c r="D63" s="5"/>
      <c r="E63" s="24"/>
      <c r="F63" s="5"/>
      <c r="T63"/>
    </row>
    <row r="64" spans="2:20" x14ac:dyDescent="0.25">
      <c r="B64" s="5"/>
      <c r="C64" s="5"/>
      <c r="D64" s="5"/>
      <c r="E64" s="24"/>
      <c r="F64" s="5"/>
      <c r="T64"/>
    </row>
    <row r="65" spans="2:20" x14ac:dyDescent="0.25">
      <c r="B65" s="5"/>
      <c r="C65" s="5"/>
      <c r="D65" s="5"/>
      <c r="E65" s="24"/>
      <c r="F65" s="5"/>
      <c r="T65"/>
    </row>
    <row r="66" spans="2:20" x14ac:dyDescent="0.25">
      <c r="B66" s="5"/>
      <c r="C66" s="5"/>
      <c r="D66" s="5"/>
      <c r="E66" s="24"/>
      <c r="F66" s="5"/>
      <c r="T66"/>
    </row>
    <row r="67" spans="2:20" x14ac:dyDescent="0.25">
      <c r="B67" s="5"/>
      <c r="C67" s="5"/>
      <c r="D67" s="5"/>
      <c r="E67" s="24"/>
      <c r="F67" s="5"/>
      <c r="T67"/>
    </row>
    <row r="68" spans="2:20" x14ac:dyDescent="0.25">
      <c r="B68" s="5"/>
      <c r="C68" s="5"/>
      <c r="D68" s="5"/>
      <c r="E68" s="24"/>
      <c r="F68" s="5"/>
      <c r="T68"/>
    </row>
    <row r="69" spans="2:20" x14ac:dyDescent="0.25">
      <c r="B69" s="5"/>
      <c r="C69" s="5"/>
      <c r="D69" s="5"/>
      <c r="E69" s="24"/>
      <c r="F69" s="5"/>
      <c r="T69"/>
    </row>
    <row r="70" spans="2:20" x14ac:dyDescent="0.25">
      <c r="B70" s="5"/>
      <c r="C70" s="5"/>
      <c r="D70" s="5"/>
      <c r="E70" s="24"/>
      <c r="F70" s="5"/>
      <c r="T70"/>
    </row>
    <row r="71" spans="2:20" x14ac:dyDescent="0.25">
      <c r="B71" s="5"/>
      <c r="C71" s="5"/>
      <c r="D71" s="5"/>
      <c r="E71" s="24"/>
      <c r="F71" s="5"/>
      <c r="T71"/>
    </row>
    <row r="72" spans="2:20" x14ac:dyDescent="0.25">
      <c r="B72" s="5"/>
      <c r="C72" s="5"/>
      <c r="D72" s="5"/>
      <c r="E72" s="24"/>
      <c r="F72" s="5"/>
      <c r="T72"/>
    </row>
    <row r="73" spans="2:20" x14ac:dyDescent="0.25">
      <c r="B73" s="5"/>
      <c r="C73" s="5"/>
      <c r="D73" s="5"/>
      <c r="E73" s="24"/>
      <c r="F73" s="5"/>
      <c r="T73"/>
    </row>
    <row r="74" spans="2:20" x14ac:dyDescent="0.25">
      <c r="B74" s="5"/>
      <c r="C74" s="5"/>
      <c r="D74" s="5"/>
      <c r="E74" s="24"/>
      <c r="F74" s="5"/>
      <c r="T74"/>
    </row>
    <row r="75" spans="2:20" x14ac:dyDescent="0.25">
      <c r="B75" s="5"/>
      <c r="C75" s="5"/>
      <c r="D75" s="5"/>
      <c r="E75" s="24"/>
      <c r="F75" s="5"/>
    </row>
    <row r="76" spans="2:20" x14ac:dyDescent="0.25">
      <c r="B76" s="5"/>
      <c r="C76" s="5"/>
      <c r="D76" s="5"/>
      <c r="E76" s="24"/>
      <c r="F76" s="5"/>
    </row>
    <row r="77" spans="2:20" x14ac:dyDescent="0.25">
      <c r="B77" s="5"/>
      <c r="C77" s="5"/>
      <c r="D77" s="5"/>
      <c r="E77" s="24"/>
      <c r="F77" s="5"/>
    </row>
    <row r="78" spans="2:20" x14ac:dyDescent="0.25">
      <c r="B78" s="5"/>
      <c r="C78" s="5"/>
      <c r="D78" s="5"/>
      <c r="E78" s="24"/>
      <c r="F78" s="5"/>
    </row>
    <row r="79" spans="2:20" x14ac:dyDescent="0.25">
      <c r="B79" s="5"/>
      <c r="C79" s="5"/>
      <c r="D79" s="5"/>
      <c r="E79" s="24"/>
      <c r="F79" s="5"/>
    </row>
    <row r="80" spans="2:20" x14ac:dyDescent="0.25">
      <c r="B80" s="5"/>
      <c r="C80" s="5"/>
      <c r="D80" s="5"/>
      <c r="E80" s="24"/>
      <c r="F80" s="5"/>
    </row>
    <row r="81" spans="2:6" x14ac:dyDescent="0.25">
      <c r="B81" s="5"/>
      <c r="C81" s="5"/>
      <c r="D81" s="5"/>
      <c r="E81" s="24"/>
      <c r="F81" s="5"/>
    </row>
    <row r="82" spans="2:6" x14ac:dyDescent="0.25">
      <c r="B82" s="5"/>
      <c r="C82" s="5"/>
      <c r="D82" s="5"/>
      <c r="E82" s="24"/>
      <c r="F82" s="5"/>
    </row>
    <row r="83" spans="2:6" x14ac:dyDescent="0.25">
      <c r="B83" s="5"/>
      <c r="C83" s="5"/>
      <c r="D83" s="5"/>
      <c r="E83" s="24"/>
      <c r="F83" s="5"/>
    </row>
    <row r="84" spans="2:6" x14ac:dyDescent="0.25">
      <c r="B84" s="5"/>
      <c r="C84" s="5"/>
      <c r="D84" s="5"/>
      <c r="E84" s="24"/>
      <c r="F84" s="5"/>
    </row>
    <row r="85" spans="2:6" x14ac:dyDescent="0.25">
      <c r="B85" s="5"/>
      <c r="C85" s="5"/>
      <c r="D85" s="5"/>
      <c r="E85" s="24"/>
      <c r="F85" s="5"/>
    </row>
    <row r="86" spans="2:6" x14ac:dyDescent="0.25">
      <c r="B86" s="5"/>
      <c r="C86" s="5"/>
      <c r="D86" s="5"/>
      <c r="E86" s="24"/>
      <c r="F86" s="5"/>
    </row>
    <row r="87" spans="2:6" x14ac:dyDescent="0.25">
      <c r="B87" s="5"/>
      <c r="C87" s="5"/>
      <c r="D87" s="5"/>
      <c r="E87" s="24"/>
      <c r="F87" s="5"/>
    </row>
    <row r="88" spans="2:6" x14ac:dyDescent="0.25">
      <c r="B88" s="5"/>
      <c r="C88" s="5"/>
      <c r="D88" s="5"/>
      <c r="E88" s="24"/>
      <c r="F88" s="5"/>
    </row>
    <row r="89" spans="2:6" x14ac:dyDescent="0.25">
      <c r="B89" s="5"/>
      <c r="C89" s="5"/>
      <c r="D89" s="5"/>
      <c r="E89" s="24"/>
      <c r="F89" s="5"/>
    </row>
    <row r="90" spans="2:6" x14ac:dyDescent="0.25">
      <c r="B90" s="5"/>
      <c r="C90" s="5"/>
      <c r="D90" s="5"/>
      <c r="E90" s="24"/>
      <c r="F90" s="5"/>
    </row>
    <row r="91" spans="2:6" x14ac:dyDescent="0.25">
      <c r="B91" s="5"/>
      <c r="C91" s="5"/>
      <c r="D91" s="5"/>
      <c r="E91" s="24"/>
      <c r="F91" s="5"/>
    </row>
    <row r="92" spans="2:6" x14ac:dyDescent="0.25">
      <c r="B92" s="5"/>
      <c r="C92" s="5"/>
      <c r="D92" s="5"/>
      <c r="E92" s="24"/>
      <c r="F92" s="5"/>
    </row>
    <row r="93" spans="2:6" x14ac:dyDescent="0.25">
      <c r="B93" s="5"/>
      <c r="C93" s="5"/>
      <c r="D93" s="5"/>
      <c r="E93" s="24"/>
      <c r="F93" s="5"/>
    </row>
    <row r="94" spans="2:6" x14ac:dyDescent="0.25">
      <c r="B94" s="5"/>
      <c r="C94" s="5"/>
      <c r="D94" s="5"/>
      <c r="E94" s="24"/>
      <c r="F94" s="5"/>
    </row>
    <row r="95" spans="2:6" x14ac:dyDescent="0.25">
      <c r="B95" s="5"/>
      <c r="C95" s="5"/>
      <c r="D95" s="5"/>
      <c r="E95" s="24"/>
      <c r="F95" s="5"/>
    </row>
    <row r="96" spans="2:6" x14ac:dyDescent="0.25">
      <c r="B96" s="5"/>
      <c r="C96" s="5"/>
      <c r="D96" s="5"/>
      <c r="E96" s="24"/>
      <c r="F96" s="5"/>
    </row>
    <row r="97" spans="2:6" x14ac:dyDescent="0.25">
      <c r="B97" s="5"/>
      <c r="C97" s="5"/>
      <c r="D97" s="5"/>
      <c r="E97" s="24"/>
      <c r="F97" s="5"/>
    </row>
    <row r="98" spans="2:6" x14ac:dyDescent="0.25">
      <c r="B98" s="5"/>
      <c r="C98" s="5"/>
      <c r="D98" s="5"/>
      <c r="E98" s="24"/>
      <c r="F98" s="5"/>
    </row>
    <row r="99" spans="2:6" x14ac:dyDescent="0.25">
      <c r="B99" s="5"/>
      <c r="C99" s="5"/>
      <c r="D99" s="5"/>
      <c r="E99" s="24"/>
      <c r="F99" s="5"/>
    </row>
    <row r="100" spans="2:6" x14ac:dyDescent="0.25">
      <c r="B100" s="5"/>
      <c r="C100" s="5"/>
      <c r="D100" s="5"/>
      <c r="E100" s="24"/>
      <c r="F100" s="5"/>
    </row>
    <row r="101" spans="2:6" x14ac:dyDescent="0.25">
      <c r="B101" s="5"/>
      <c r="C101" s="5"/>
      <c r="D101" s="5"/>
      <c r="E101" s="24"/>
      <c r="F101" s="5"/>
    </row>
    <row r="102" spans="2:6" x14ac:dyDescent="0.25">
      <c r="B102" s="5"/>
      <c r="C102" s="5"/>
      <c r="D102" s="5"/>
      <c r="E102" s="24"/>
      <c r="F102" s="5"/>
    </row>
    <row r="103" spans="2:6" x14ac:dyDescent="0.25">
      <c r="B103" s="5"/>
      <c r="C103" s="5"/>
      <c r="D103" s="5"/>
      <c r="E103" s="24"/>
      <c r="F103" s="5"/>
    </row>
    <row r="104" spans="2:6" x14ac:dyDescent="0.25">
      <c r="B104" s="5"/>
      <c r="C104" s="5"/>
      <c r="D104" s="5"/>
      <c r="E104" s="24"/>
      <c r="F104" s="5"/>
    </row>
    <row r="105" spans="2:6" x14ac:dyDescent="0.25">
      <c r="B105" s="5"/>
      <c r="C105" s="5"/>
      <c r="D105" s="5"/>
      <c r="E105" s="24"/>
      <c r="F105" s="5"/>
    </row>
    <row r="106" spans="2:6" x14ac:dyDescent="0.25">
      <c r="B106" s="5"/>
      <c r="C106" s="5"/>
      <c r="D106" s="5"/>
      <c r="E106" s="24"/>
      <c r="F106" s="5"/>
    </row>
    <row r="107" spans="2:6" x14ac:dyDescent="0.25">
      <c r="B107" s="5"/>
      <c r="C107" s="5"/>
      <c r="D107" s="5"/>
      <c r="E107" s="24"/>
      <c r="F107" s="5"/>
    </row>
    <row r="108" spans="2:6" x14ac:dyDescent="0.25">
      <c r="B108" s="5"/>
      <c r="C108" s="5"/>
      <c r="D108" s="5"/>
      <c r="E108" s="24"/>
      <c r="F108" s="5"/>
    </row>
    <row r="109" spans="2:6" x14ac:dyDescent="0.25">
      <c r="B109" s="5"/>
      <c r="C109" s="5"/>
      <c r="D109" s="5"/>
      <c r="E109" s="24"/>
      <c r="F109" s="5"/>
    </row>
    <row r="110" spans="2:6" x14ac:dyDescent="0.25">
      <c r="B110" s="5"/>
      <c r="C110" s="5"/>
      <c r="D110" s="5"/>
      <c r="E110" s="24"/>
      <c r="F110" s="5"/>
    </row>
    <row r="111" spans="2:6" x14ac:dyDescent="0.25">
      <c r="B111" s="5"/>
      <c r="C111" s="5"/>
      <c r="D111" s="5"/>
      <c r="E111" s="24"/>
      <c r="F111" s="5"/>
    </row>
    <row r="112" spans="2:6" x14ac:dyDescent="0.25">
      <c r="B112" s="5"/>
      <c r="C112" s="5"/>
      <c r="D112" s="5"/>
      <c r="E112" s="24"/>
      <c r="F112" s="5"/>
    </row>
    <row r="113" spans="2:6" x14ac:dyDescent="0.25">
      <c r="B113" s="5"/>
      <c r="C113" s="5"/>
      <c r="D113" s="5"/>
      <c r="E113" s="24"/>
      <c r="F113" s="5"/>
    </row>
    <row r="114" spans="2:6" x14ac:dyDescent="0.25">
      <c r="B114" s="5"/>
      <c r="C114" s="5"/>
      <c r="D114" s="5"/>
      <c r="E114" s="24"/>
      <c r="F114" s="5"/>
    </row>
    <row r="115" spans="2:6" x14ac:dyDescent="0.25">
      <c r="B115" s="5"/>
      <c r="C115" s="5"/>
      <c r="D115" s="5"/>
      <c r="E115" s="24"/>
      <c r="F115" s="5"/>
    </row>
    <row r="116" spans="2:6" x14ac:dyDescent="0.25">
      <c r="B116" s="5"/>
      <c r="C116" s="5"/>
      <c r="D116" s="5"/>
      <c r="E116" s="24"/>
      <c r="F116" s="5"/>
    </row>
    <row r="117" spans="2:6" x14ac:dyDescent="0.25">
      <c r="B117" s="5"/>
      <c r="C117" s="5"/>
      <c r="D117" s="5"/>
      <c r="E117" s="24"/>
      <c r="F117" s="5"/>
    </row>
    <row r="118" spans="2:6" x14ac:dyDescent="0.25">
      <c r="B118" s="5"/>
      <c r="C118" s="5"/>
      <c r="D118" s="5"/>
      <c r="E118" s="24"/>
      <c r="F118" s="5"/>
    </row>
    <row r="119" spans="2:6" x14ac:dyDescent="0.25">
      <c r="B119" s="5"/>
      <c r="C119" s="5"/>
      <c r="D119" s="5"/>
      <c r="E119" s="24"/>
      <c r="F119" s="5"/>
    </row>
    <row r="120" spans="2:6" x14ac:dyDescent="0.25">
      <c r="B120" s="5"/>
      <c r="C120" s="5"/>
      <c r="D120" s="5"/>
      <c r="E120" s="24"/>
      <c r="F120" s="5"/>
    </row>
    <row r="121" spans="2:6" x14ac:dyDescent="0.25">
      <c r="B121" s="5"/>
      <c r="C121" s="5"/>
      <c r="D121" s="5"/>
      <c r="E121" s="24"/>
      <c r="F121" s="5"/>
    </row>
    <row r="122" spans="2:6" x14ac:dyDescent="0.25">
      <c r="B122" s="5"/>
      <c r="C122" s="5"/>
      <c r="D122" s="5"/>
      <c r="E122" s="24"/>
      <c r="F122" s="5"/>
    </row>
    <row r="123" spans="2:6" x14ac:dyDescent="0.25">
      <c r="B123" s="5"/>
      <c r="C123" s="5"/>
      <c r="D123" s="5"/>
      <c r="E123" s="24"/>
      <c r="F123" s="5"/>
    </row>
    <row r="124" spans="2:6" x14ac:dyDescent="0.25">
      <c r="B124" s="5"/>
      <c r="C124" s="5"/>
      <c r="D124" s="5"/>
      <c r="E124" s="24"/>
      <c r="F124" s="5"/>
    </row>
    <row r="125" spans="2:6" x14ac:dyDescent="0.25">
      <c r="B125" s="5"/>
      <c r="C125" s="5"/>
      <c r="D125" s="5"/>
      <c r="E125" s="24"/>
      <c r="F125" s="5"/>
    </row>
    <row r="126" spans="2:6" x14ac:dyDescent="0.25">
      <c r="B126" s="5"/>
      <c r="C126" s="5"/>
      <c r="D126" s="5"/>
      <c r="E126" s="24"/>
      <c r="F126" s="5"/>
    </row>
    <row r="127" spans="2:6" x14ac:dyDescent="0.25">
      <c r="B127" s="5"/>
      <c r="C127" s="5"/>
      <c r="D127" s="5"/>
      <c r="E127" s="24"/>
      <c r="F127" s="5"/>
    </row>
    <row r="128" spans="2:6" x14ac:dyDescent="0.25">
      <c r="B128" s="5"/>
      <c r="C128" s="5"/>
      <c r="D128" s="5"/>
      <c r="E128" s="24"/>
      <c r="F128" s="5"/>
    </row>
    <row r="129" spans="2:6" x14ac:dyDescent="0.25">
      <c r="B129" s="5"/>
      <c r="C129" s="5"/>
      <c r="D129" s="5"/>
      <c r="E129" s="24"/>
      <c r="F129" s="5"/>
    </row>
    <row r="130" spans="2:6" x14ac:dyDescent="0.25">
      <c r="B130" s="5"/>
      <c r="C130" s="5"/>
      <c r="D130" s="5"/>
      <c r="E130" s="24"/>
      <c r="F130" s="5"/>
    </row>
    <row r="131" spans="2:6" x14ac:dyDescent="0.25">
      <c r="B131" s="5"/>
      <c r="C131" s="5"/>
      <c r="D131" s="5"/>
      <c r="E131" s="24"/>
      <c r="F131" s="5"/>
    </row>
    <row r="132" spans="2:6" x14ac:dyDescent="0.25">
      <c r="B132" s="5"/>
      <c r="C132" s="5"/>
      <c r="D132" s="5"/>
      <c r="E132" s="24"/>
      <c r="F132" s="5"/>
    </row>
    <row r="133" spans="2:6" x14ac:dyDescent="0.25">
      <c r="B133" s="5"/>
      <c r="C133" s="5"/>
      <c r="D133" s="5"/>
      <c r="E133" s="24"/>
      <c r="F133" s="5"/>
    </row>
    <row r="134" spans="2:6" x14ac:dyDescent="0.25">
      <c r="B134" s="5"/>
      <c r="C134" s="5"/>
      <c r="D134" s="5"/>
      <c r="E134" s="24"/>
      <c r="F134" s="5"/>
    </row>
    <row r="135" spans="2:6" x14ac:dyDescent="0.25">
      <c r="B135" s="5"/>
      <c r="C135" s="5"/>
      <c r="D135" s="5"/>
      <c r="E135" s="24"/>
      <c r="F135" s="5"/>
    </row>
    <row r="136" spans="2:6" x14ac:dyDescent="0.25">
      <c r="B136" s="5"/>
      <c r="C136" s="5"/>
      <c r="D136" s="5"/>
      <c r="E136" s="24"/>
      <c r="F136" s="5"/>
    </row>
    <row r="137" spans="2:6" x14ac:dyDescent="0.25">
      <c r="B137" s="5"/>
      <c r="C137" s="5"/>
      <c r="D137" s="5"/>
      <c r="E137" s="24"/>
      <c r="F137" s="5"/>
    </row>
    <row r="138" spans="2:6" x14ac:dyDescent="0.25">
      <c r="B138" s="5"/>
      <c r="C138" s="5"/>
      <c r="D138" s="5"/>
      <c r="E138" s="24"/>
      <c r="F138" s="5"/>
    </row>
    <row r="139" spans="2:6" x14ac:dyDescent="0.25">
      <c r="B139" s="5"/>
      <c r="C139" s="5"/>
      <c r="D139" s="5"/>
      <c r="E139" s="24"/>
      <c r="F139" s="5"/>
    </row>
    <row r="140" spans="2:6" x14ac:dyDescent="0.25">
      <c r="B140" s="5"/>
      <c r="C140" s="5"/>
      <c r="D140" s="5"/>
      <c r="E140" s="24"/>
      <c r="F140" s="5"/>
    </row>
    <row r="141" spans="2:6" x14ac:dyDescent="0.25">
      <c r="B141" s="5"/>
      <c r="C141" s="5"/>
      <c r="D141" s="5"/>
      <c r="E141" s="24"/>
      <c r="F141" s="5"/>
    </row>
    <row r="142" spans="2:6" x14ac:dyDescent="0.25">
      <c r="B142" s="5"/>
      <c r="C142" s="5"/>
      <c r="D142" s="5"/>
      <c r="E142" s="24"/>
      <c r="F142" s="5"/>
    </row>
    <row r="143" spans="2:6" x14ac:dyDescent="0.25">
      <c r="B143" s="5"/>
      <c r="C143" s="5"/>
      <c r="D143" s="5"/>
      <c r="E143" s="24"/>
      <c r="F143" s="5"/>
    </row>
    <row r="144" spans="2:6" x14ac:dyDescent="0.25">
      <c r="B144" s="5"/>
      <c r="C144" s="5"/>
      <c r="D144" s="5"/>
      <c r="E144" s="24"/>
      <c r="F144" s="5"/>
    </row>
    <row r="145" spans="2:6" x14ac:dyDescent="0.25">
      <c r="B145" s="5"/>
      <c r="C145" s="5"/>
      <c r="D145" s="5"/>
      <c r="E145" s="24"/>
      <c r="F145" s="5"/>
    </row>
    <row r="146" spans="2:6" x14ac:dyDescent="0.25">
      <c r="B146" s="5"/>
      <c r="C146" s="5"/>
      <c r="D146" s="5"/>
      <c r="E146" s="24"/>
      <c r="F146" s="5"/>
    </row>
    <row r="147" spans="2:6" x14ac:dyDescent="0.25">
      <c r="B147" s="5"/>
      <c r="C147" s="5"/>
      <c r="D147" s="5"/>
      <c r="E147" s="24"/>
      <c r="F147" s="5"/>
    </row>
    <row r="148" spans="2:6" x14ac:dyDescent="0.25">
      <c r="B148" s="5"/>
      <c r="C148" s="5"/>
      <c r="D148" s="5"/>
      <c r="E148" s="24"/>
      <c r="F148" s="5"/>
    </row>
    <row r="149" spans="2:6" x14ac:dyDescent="0.25">
      <c r="B149" s="5"/>
      <c r="C149" s="5"/>
      <c r="D149" s="5"/>
      <c r="E149" s="24"/>
      <c r="F149" s="5"/>
    </row>
    <row r="150" spans="2:6" x14ac:dyDescent="0.25">
      <c r="B150" s="5"/>
      <c r="C150" s="5"/>
      <c r="D150" s="5"/>
      <c r="E150" s="24"/>
      <c r="F150" s="5"/>
    </row>
    <row r="151" spans="2:6" x14ac:dyDescent="0.25">
      <c r="B151" s="5"/>
      <c r="C151" s="5"/>
      <c r="D151" s="5"/>
      <c r="E151" s="24"/>
      <c r="F151" s="5"/>
    </row>
    <row r="152" spans="2:6" x14ac:dyDescent="0.25">
      <c r="B152" s="5"/>
      <c r="C152" s="5"/>
      <c r="D152" s="5"/>
      <c r="E152" s="24"/>
      <c r="F152" s="5"/>
    </row>
    <row r="153" spans="2:6" x14ac:dyDescent="0.25">
      <c r="B153" s="5"/>
      <c r="C153" s="5"/>
      <c r="D153" s="5"/>
      <c r="E153" s="24"/>
      <c r="F153" s="5"/>
    </row>
    <row r="154" spans="2:6" x14ac:dyDescent="0.25">
      <c r="B154" s="5"/>
      <c r="C154" s="5"/>
      <c r="D154" s="5"/>
      <c r="E154" s="24"/>
      <c r="F154" s="5"/>
    </row>
    <row r="155" spans="2:6" x14ac:dyDescent="0.25">
      <c r="B155" s="5"/>
      <c r="C155" s="5"/>
      <c r="D155" s="5"/>
      <c r="E155" s="24"/>
      <c r="F155" s="5"/>
    </row>
    <row r="156" spans="2:6" x14ac:dyDescent="0.25">
      <c r="B156" s="5"/>
      <c r="C156" s="5"/>
      <c r="D156" s="5"/>
      <c r="E156" s="24"/>
      <c r="F156" s="5"/>
    </row>
    <row r="157" spans="2:6" x14ac:dyDescent="0.25">
      <c r="B157" s="5"/>
      <c r="C157" s="5"/>
      <c r="D157" s="5"/>
      <c r="E157" s="24"/>
      <c r="F157" s="5"/>
    </row>
    <row r="158" spans="2:6" x14ac:dyDescent="0.25">
      <c r="B158" s="5"/>
      <c r="C158" s="5"/>
      <c r="D158" s="5"/>
      <c r="E158" s="24"/>
      <c r="F158" s="5"/>
    </row>
    <row r="159" spans="2:6" x14ac:dyDescent="0.25">
      <c r="B159" s="5"/>
      <c r="C159" s="5"/>
      <c r="D159" s="5"/>
      <c r="E159" s="24"/>
      <c r="F159" s="5"/>
    </row>
    <row r="160" spans="2:6" x14ac:dyDescent="0.25">
      <c r="B160" s="5"/>
      <c r="C160" s="5"/>
      <c r="D160" s="5"/>
      <c r="E160" s="24"/>
      <c r="F160" s="5"/>
    </row>
    <row r="161" spans="2:6" x14ac:dyDescent="0.25">
      <c r="B161" s="5"/>
      <c r="C161" s="5"/>
      <c r="D161" s="5"/>
      <c r="E161" s="24"/>
      <c r="F161" s="5"/>
    </row>
    <row r="162" spans="2:6" x14ac:dyDescent="0.25">
      <c r="B162" s="5"/>
      <c r="C162" s="5"/>
      <c r="D162" s="5"/>
      <c r="E162" s="24"/>
      <c r="F162" s="5"/>
    </row>
    <row r="163" spans="2:6" x14ac:dyDescent="0.25">
      <c r="B163" s="5"/>
      <c r="C163" s="5"/>
      <c r="D163" s="5"/>
      <c r="E163" s="24"/>
      <c r="F163" s="5"/>
    </row>
    <row r="164" spans="2:6" x14ac:dyDescent="0.25">
      <c r="B164" s="5"/>
      <c r="C164" s="5"/>
      <c r="D164" s="5"/>
      <c r="E164" s="24"/>
      <c r="F164" s="5"/>
    </row>
    <row r="165" spans="2:6" x14ac:dyDescent="0.25">
      <c r="B165" s="5"/>
      <c r="C165" s="5"/>
      <c r="D165" s="5"/>
      <c r="E165" s="24"/>
      <c r="F165" s="5"/>
    </row>
    <row r="166" spans="2:6" x14ac:dyDescent="0.25">
      <c r="B166" s="5"/>
      <c r="C166" s="5"/>
      <c r="D166" s="5"/>
      <c r="E166" s="24"/>
      <c r="F166" s="5"/>
    </row>
    <row r="167" spans="2:6" x14ac:dyDescent="0.25">
      <c r="B167" s="5"/>
      <c r="C167" s="5"/>
      <c r="D167" s="5"/>
      <c r="E167" s="24"/>
      <c r="F167" s="5"/>
    </row>
    <row r="168" spans="2:6" x14ac:dyDescent="0.25">
      <c r="B168" s="5"/>
      <c r="C168" s="5"/>
      <c r="D168" s="5"/>
      <c r="E168" s="24"/>
      <c r="F168" s="5"/>
    </row>
    <row r="169" spans="2:6" x14ac:dyDescent="0.25">
      <c r="B169" s="5"/>
      <c r="C169" s="5"/>
      <c r="D169" s="5"/>
      <c r="E169" s="24"/>
      <c r="F169" s="5"/>
    </row>
    <row r="170" spans="2:6" x14ac:dyDescent="0.25">
      <c r="B170" s="5"/>
      <c r="C170" s="5"/>
      <c r="D170" s="5"/>
      <c r="E170" s="24"/>
      <c r="F170" s="5"/>
    </row>
    <row r="171" spans="2:6" x14ac:dyDescent="0.25">
      <c r="B171" s="5"/>
      <c r="C171" s="5"/>
      <c r="D171" s="5"/>
      <c r="E171" s="24"/>
      <c r="F171" s="5"/>
    </row>
    <row r="172" spans="2:6" x14ac:dyDescent="0.25">
      <c r="B172" s="5"/>
      <c r="C172" s="5"/>
      <c r="D172" s="5"/>
      <c r="E172" s="24"/>
      <c r="F172" s="5"/>
    </row>
    <row r="173" spans="2:6" x14ac:dyDescent="0.25">
      <c r="B173" s="5"/>
      <c r="C173" s="5"/>
      <c r="D173" s="5"/>
      <c r="E173" s="24"/>
      <c r="F173" s="5"/>
    </row>
    <row r="174" spans="2:6" x14ac:dyDescent="0.25">
      <c r="B174" s="5"/>
      <c r="C174" s="5"/>
      <c r="D174" s="5"/>
      <c r="E174" s="24"/>
      <c r="F174" s="5"/>
    </row>
    <row r="175" spans="2:6" x14ac:dyDescent="0.25">
      <c r="B175" s="5"/>
      <c r="C175" s="5"/>
      <c r="D175" s="5"/>
      <c r="E175" s="24"/>
      <c r="F175" s="5"/>
    </row>
    <row r="176" spans="2:6" x14ac:dyDescent="0.25">
      <c r="B176" s="5"/>
      <c r="C176" s="5"/>
      <c r="D176" s="5"/>
      <c r="E176" s="24"/>
      <c r="F176" s="5"/>
    </row>
    <row r="177" spans="2:6" x14ac:dyDescent="0.25">
      <c r="B177" s="5"/>
      <c r="C177" s="5"/>
      <c r="D177" s="5"/>
      <c r="E177" s="24"/>
      <c r="F177" s="5"/>
    </row>
    <row r="178" spans="2:6" x14ac:dyDescent="0.25">
      <c r="B178" s="5"/>
      <c r="C178" s="5"/>
      <c r="D178" s="5"/>
      <c r="E178" s="24"/>
      <c r="F178" s="5"/>
    </row>
    <row r="179" spans="2:6" x14ac:dyDescent="0.25">
      <c r="B179" s="5"/>
      <c r="C179" s="5"/>
      <c r="D179" s="5"/>
      <c r="E179" s="24"/>
      <c r="F179" s="5"/>
    </row>
    <row r="180" spans="2:6" x14ac:dyDescent="0.25">
      <c r="B180" s="5"/>
      <c r="C180" s="5"/>
      <c r="D180" s="5"/>
      <c r="E180" s="24"/>
      <c r="F180" s="5"/>
    </row>
    <row r="181" spans="2:6" x14ac:dyDescent="0.25">
      <c r="B181" s="5"/>
      <c r="C181" s="5"/>
      <c r="D181" s="5"/>
      <c r="E181" s="24"/>
      <c r="F181" s="5"/>
    </row>
    <row r="182" spans="2:6" x14ac:dyDescent="0.25">
      <c r="B182" s="5"/>
      <c r="C182" s="5"/>
      <c r="D182" s="5"/>
      <c r="E182" s="24"/>
      <c r="F182" s="5"/>
    </row>
    <row r="183" spans="2:6" x14ac:dyDescent="0.25">
      <c r="B183" s="5"/>
      <c r="C183" s="5"/>
      <c r="D183" s="5"/>
      <c r="E183" s="24"/>
      <c r="F183" s="5"/>
    </row>
    <row r="184" spans="2:6" x14ac:dyDescent="0.25">
      <c r="B184" s="5"/>
      <c r="C184" s="5"/>
      <c r="D184" s="5"/>
      <c r="E184" s="24"/>
      <c r="F184" s="5"/>
    </row>
    <row r="185" spans="2:6" x14ac:dyDescent="0.25">
      <c r="B185" s="5"/>
      <c r="C185" s="5"/>
      <c r="D185" s="5"/>
      <c r="E185" s="24"/>
      <c r="F185" s="5"/>
    </row>
    <row r="186" spans="2:6" x14ac:dyDescent="0.25">
      <c r="B186" s="5"/>
      <c r="C186" s="5"/>
      <c r="D186" s="5"/>
      <c r="E186" s="24"/>
      <c r="F186" s="5"/>
    </row>
    <row r="187" spans="2:6" x14ac:dyDescent="0.25">
      <c r="B187" s="5"/>
      <c r="C187" s="5"/>
      <c r="D187" s="5"/>
      <c r="E187" s="24"/>
      <c r="F187" s="5"/>
    </row>
    <row r="188" spans="2:6" x14ac:dyDescent="0.25">
      <c r="B188" s="5"/>
      <c r="C188" s="5"/>
      <c r="D188" s="5"/>
      <c r="E188" s="24"/>
      <c r="F188" s="5"/>
    </row>
    <row r="189" spans="2:6" x14ac:dyDescent="0.25">
      <c r="B189" s="5"/>
      <c r="C189" s="5"/>
      <c r="D189" s="5"/>
      <c r="E189" s="24"/>
      <c r="F189" s="5"/>
    </row>
    <row r="190" spans="2:6" x14ac:dyDescent="0.25">
      <c r="B190" s="5"/>
      <c r="C190" s="5"/>
      <c r="D190" s="5"/>
      <c r="E190" s="24"/>
      <c r="F190" s="5"/>
    </row>
    <row r="191" spans="2:6" x14ac:dyDescent="0.25">
      <c r="B191" s="5"/>
      <c r="C191" s="5"/>
      <c r="D191" s="5"/>
      <c r="E191" s="24"/>
      <c r="F191" s="5"/>
    </row>
    <row r="192" spans="2:6" x14ac:dyDescent="0.25">
      <c r="B192" s="5"/>
      <c r="C192" s="5"/>
      <c r="D192" s="5"/>
      <c r="E192" s="24"/>
      <c r="F192" s="5"/>
    </row>
    <row r="193" spans="2:6" x14ac:dyDescent="0.25">
      <c r="B193" s="5"/>
      <c r="C193" s="5"/>
      <c r="D193" s="5"/>
      <c r="E193" s="24"/>
      <c r="F193" s="5"/>
    </row>
    <row r="194" spans="2:6" x14ac:dyDescent="0.25">
      <c r="B194" s="5"/>
      <c r="C194" s="5"/>
      <c r="D194" s="5"/>
      <c r="E194" s="24"/>
      <c r="F194" s="5"/>
    </row>
    <row r="195" spans="2:6" x14ac:dyDescent="0.25">
      <c r="B195" s="5"/>
      <c r="C195" s="5"/>
      <c r="D195" s="5"/>
      <c r="E195" s="24"/>
      <c r="F195" s="5"/>
    </row>
    <row r="196" spans="2:6" x14ac:dyDescent="0.25">
      <c r="B196" s="5"/>
      <c r="C196" s="5"/>
      <c r="D196" s="5"/>
      <c r="E196" s="24"/>
      <c r="F196" s="5"/>
    </row>
    <row r="197" spans="2:6" x14ac:dyDescent="0.25">
      <c r="B197" s="5"/>
      <c r="C197" s="5"/>
      <c r="D197" s="5"/>
      <c r="E197" s="24"/>
      <c r="F197" s="5"/>
    </row>
    <row r="198" spans="2:6" x14ac:dyDescent="0.25">
      <c r="B198" s="5"/>
      <c r="C198" s="5"/>
      <c r="D198" s="5"/>
      <c r="E198" s="24"/>
      <c r="F198" s="5"/>
    </row>
    <row r="199" spans="2:6" x14ac:dyDescent="0.25">
      <c r="B199" s="5"/>
      <c r="C199" s="5"/>
      <c r="D199" s="5"/>
      <c r="E199" s="24"/>
      <c r="F199" s="5"/>
    </row>
    <row r="200" spans="2:6" x14ac:dyDescent="0.25">
      <c r="B200" s="5"/>
      <c r="C200" s="5"/>
      <c r="D200" s="5"/>
      <c r="E200" s="24"/>
      <c r="F200" s="5"/>
    </row>
    <row r="201" spans="2:6" x14ac:dyDescent="0.25">
      <c r="B201" s="5"/>
      <c r="C201" s="5"/>
      <c r="D201" s="5"/>
      <c r="E201" s="24"/>
      <c r="F201" s="5"/>
    </row>
    <row r="202" spans="2:6" x14ac:dyDescent="0.25">
      <c r="B202" s="5"/>
      <c r="C202" s="5"/>
      <c r="D202" s="5"/>
      <c r="E202" s="24"/>
      <c r="F202" s="5"/>
    </row>
    <row r="203" spans="2:6" x14ac:dyDescent="0.25">
      <c r="B203" s="5"/>
      <c r="C203" s="5"/>
      <c r="D203" s="5"/>
      <c r="E203" s="24"/>
      <c r="F203" s="5"/>
    </row>
    <row r="204" spans="2:6" x14ac:dyDescent="0.25">
      <c r="B204" s="5"/>
      <c r="C204" s="5"/>
      <c r="D204" s="5"/>
      <c r="E204" s="24"/>
      <c r="F204" s="5"/>
    </row>
    <row r="205" spans="2:6" x14ac:dyDescent="0.25">
      <c r="B205" s="5"/>
      <c r="C205" s="5"/>
      <c r="D205" s="5"/>
      <c r="E205" s="24"/>
      <c r="F205" s="5"/>
    </row>
    <row r="206" spans="2:6" x14ac:dyDescent="0.25">
      <c r="B206" s="5"/>
      <c r="C206" s="5"/>
      <c r="D206" s="5"/>
      <c r="E206" s="24"/>
      <c r="F206" s="5"/>
    </row>
    <row r="207" spans="2:6" x14ac:dyDescent="0.25">
      <c r="B207" s="5"/>
      <c r="C207" s="5"/>
      <c r="D207" s="5"/>
      <c r="E207" s="24"/>
      <c r="F207" s="5"/>
    </row>
    <row r="208" spans="2:6" x14ac:dyDescent="0.25">
      <c r="B208" s="5"/>
      <c r="C208" s="5"/>
      <c r="D208" s="5"/>
      <c r="E208" s="24"/>
      <c r="F208" s="5"/>
    </row>
    <row r="209" spans="2:6" x14ac:dyDescent="0.25">
      <c r="B209" s="5"/>
      <c r="C209" s="5"/>
      <c r="D209" s="5"/>
      <c r="E209" s="24"/>
      <c r="F209" s="5"/>
    </row>
    <row r="210" spans="2:6" x14ac:dyDescent="0.25">
      <c r="B210" s="5"/>
      <c r="C210" s="5"/>
      <c r="D210" s="5"/>
      <c r="E210" s="24"/>
      <c r="F210" s="5"/>
    </row>
    <row r="211" spans="2:6" x14ac:dyDescent="0.25">
      <c r="B211" s="5"/>
      <c r="C211" s="5"/>
      <c r="D211" s="5"/>
      <c r="E211" s="24"/>
      <c r="F211" s="5"/>
    </row>
    <row r="212" spans="2:6" x14ac:dyDescent="0.25">
      <c r="B212" s="5"/>
      <c r="C212" s="5"/>
      <c r="D212" s="5"/>
      <c r="E212" s="24"/>
      <c r="F212" s="5"/>
    </row>
    <row r="213" spans="2:6" x14ac:dyDescent="0.25">
      <c r="B213" s="5"/>
      <c r="C213" s="5"/>
      <c r="D213" s="5"/>
      <c r="E213" s="24"/>
      <c r="F213" s="5"/>
    </row>
    <row r="214" spans="2:6" x14ac:dyDescent="0.25">
      <c r="B214" s="5"/>
      <c r="C214" s="5"/>
      <c r="D214" s="5"/>
      <c r="E214" s="24"/>
      <c r="F214" s="5"/>
    </row>
    <row r="215" spans="2:6" x14ac:dyDescent="0.25">
      <c r="B215" s="5"/>
      <c r="C215" s="5"/>
      <c r="D215" s="5"/>
      <c r="E215" s="24"/>
      <c r="F215" s="5"/>
    </row>
    <row r="216" spans="2:6" x14ac:dyDescent="0.25">
      <c r="B216" s="5"/>
      <c r="C216" s="5"/>
      <c r="D216" s="5"/>
      <c r="E216" s="24"/>
      <c r="F216" s="5"/>
    </row>
    <row r="217" spans="2:6" x14ac:dyDescent="0.25">
      <c r="B217" s="5"/>
      <c r="C217" s="5"/>
      <c r="D217" s="5"/>
      <c r="E217" s="24"/>
      <c r="F217" s="5"/>
    </row>
    <row r="218" spans="2:6" x14ac:dyDescent="0.25">
      <c r="B218" s="5"/>
      <c r="C218" s="5"/>
      <c r="D218" s="5"/>
      <c r="E218" s="24"/>
      <c r="F218" s="5"/>
    </row>
    <row r="219" spans="2:6" x14ac:dyDescent="0.25">
      <c r="B219" s="5"/>
      <c r="C219" s="5"/>
      <c r="D219" s="5"/>
      <c r="E219" s="24"/>
      <c r="F219" s="5"/>
    </row>
    <row r="220" spans="2:6" x14ac:dyDescent="0.25">
      <c r="B220" s="5"/>
      <c r="C220" s="5"/>
      <c r="D220" s="5"/>
      <c r="E220" s="24"/>
      <c r="F220" s="5"/>
    </row>
    <row r="221" spans="2:6" x14ac:dyDescent="0.25">
      <c r="B221" s="5"/>
      <c r="C221" s="5"/>
      <c r="D221" s="5"/>
      <c r="E221" s="24"/>
      <c r="F221" s="5"/>
    </row>
    <row r="222" spans="2:6" x14ac:dyDescent="0.25">
      <c r="B222" s="5"/>
      <c r="C222" s="5"/>
      <c r="D222" s="5"/>
      <c r="E222" s="24"/>
      <c r="F222" s="5"/>
    </row>
    <row r="223" spans="2:6" x14ac:dyDescent="0.25">
      <c r="B223" s="5"/>
      <c r="C223" s="5"/>
      <c r="D223" s="5"/>
      <c r="E223" s="24"/>
      <c r="F223" s="5"/>
    </row>
    <row r="224" spans="2:6" x14ac:dyDescent="0.25">
      <c r="B224" s="5"/>
      <c r="C224" s="5"/>
      <c r="D224" s="5"/>
      <c r="E224" s="24"/>
      <c r="F224" s="5"/>
    </row>
    <row r="225" spans="2:6" x14ac:dyDescent="0.25">
      <c r="B225" s="5"/>
      <c r="C225" s="5"/>
      <c r="D225" s="5"/>
      <c r="E225" s="24"/>
      <c r="F225" s="5"/>
    </row>
    <row r="226" spans="2:6" x14ac:dyDescent="0.25">
      <c r="B226" s="5"/>
      <c r="C226" s="5"/>
      <c r="D226" s="5"/>
      <c r="E226" s="24"/>
      <c r="F226" s="5"/>
    </row>
    <row r="227" spans="2:6" x14ac:dyDescent="0.25">
      <c r="B227" s="5"/>
      <c r="C227" s="5"/>
      <c r="D227" s="5"/>
      <c r="E227" s="24"/>
      <c r="F227" s="5"/>
    </row>
    <row r="228" spans="2:6" x14ac:dyDescent="0.25">
      <c r="B228" s="5"/>
      <c r="C228" s="5"/>
      <c r="D228" s="5"/>
      <c r="E228" s="24"/>
      <c r="F228" s="5"/>
    </row>
    <row r="229" spans="2:6" x14ac:dyDescent="0.25">
      <c r="B229" s="5"/>
      <c r="C229" s="5"/>
      <c r="D229" s="5"/>
      <c r="E229" s="24"/>
      <c r="F229" s="5"/>
    </row>
    <row r="230" spans="2:6" x14ac:dyDescent="0.25">
      <c r="B230" s="5"/>
      <c r="C230" s="5"/>
      <c r="D230" s="5"/>
      <c r="E230" s="24"/>
      <c r="F230" s="5"/>
    </row>
    <row r="231" spans="2:6" x14ac:dyDescent="0.25">
      <c r="B231" s="5"/>
      <c r="C231" s="5"/>
      <c r="D231" s="5"/>
      <c r="E231" s="24"/>
      <c r="F231" s="5"/>
    </row>
    <row r="232" spans="2:6" x14ac:dyDescent="0.25">
      <c r="B232" s="5"/>
      <c r="C232" s="5"/>
      <c r="D232" s="5"/>
      <c r="E232" s="24"/>
      <c r="F232" s="5"/>
    </row>
    <row r="233" spans="2:6" x14ac:dyDescent="0.25">
      <c r="B233" s="5"/>
      <c r="C233" s="5"/>
      <c r="D233" s="5"/>
      <c r="E233" s="24"/>
      <c r="F233" s="5"/>
    </row>
    <row r="234" spans="2:6" x14ac:dyDescent="0.25">
      <c r="B234" s="5"/>
      <c r="C234" s="5"/>
      <c r="D234" s="5"/>
      <c r="E234" s="24"/>
      <c r="F234" s="5"/>
    </row>
    <row r="235" spans="2:6" x14ac:dyDescent="0.25">
      <c r="B235" s="5"/>
      <c r="C235" s="5"/>
      <c r="D235" s="5"/>
      <c r="E235" s="24"/>
      <c r="F235" s="5"/>
    </row>
    <row r="236" spans="2:6" x14ac:dyDescent="0.25">
      <c r="B236" s="5"/>
      <c r="C236" s="5"/>
      <c r="D236" s="5"/>
      <c r="E236" s="25"/>
      <c r="F236" s="5"/>
    </row>
    <row r="237" spans="2:6" x14ac:dyDescent="0.25">
      <c r="B237" s="5"/>
      <c r="C237" s="5"/>
      <c r="D237" s="5"/>
      <c r="E237" s="25"/>
      <c r="F237" s="5"/>
    </row>
    <row r="238" spans="2:6" x14ac:dyDescent="0.25">
      <c r="B238" s="5"/>
      <c r="C238" s="5"/>
      <c r="D238" s="5"/>
      <c r="E238" s="25"/>
      <c r="F238" s="5"/>
    </row>
    <row r="239" spans="2:6" x14ac:dyDescent="0.25">
      <c r="B239" s="5"/>
      <c r="C239" s="5"/>
      <c r="D239" s="5"/>
      <c r="E239" s="25"/>
      <c r="F239" s="5"/>
    </row>
    <row r="240" spans="2:6" x14ac:dyDescent="0.25">
      <c r="B240" s="5"/>
      <c r="C240" s="5"/>
      <c r="D240" s="5"/>
      <c r="E240" s="25"/>
      <c r="F240" s="5"/>
    </row>
    <row r="241" spans="2:6" x14ac:dyDescent="0.25">
      <c r="B241" s="5"/>
      <c r="C241" s="5"/>
      <c r="D241" s="5"/>
      <c r="E241" s="25"/>
      <c r="F241" s="5"/>
    </row>
  </sheetData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K10960"/>
  <sheetViews>
    <sheetView workbookViewId="0">
      <selection activeCell="J2" sqref="J2"/>
    </sheetView>
  </sheetViews>
  <sheetFormatPr defaultColWidth="16" defaultRowHeight="15" x14ac:dyDescent="0.25"/>
  <cols>
    <col min="1" max="1" width="21.140625" style="26" bestFit="1" customWidth="1"/>
    <col min="2" max="2" width="20" style="26" bestFit="1" customWidth="1"/>
    <col min="3" max="3" width="8.85546875" style="26" customWidth="1"/>
    <col min="4" max="4" width="10.5703125" style="27" customWidth="1"/>
    <col min="5" max="5" width="8.85546875" style="26"/>
    <col min="6" max="6" width="57.7109375" style="26" bestFit="1" customWidth="1"/>
    <col min="7" max="7" width="9.28515625" style="26" customWidth="1"/>
    <col min="8" max="8" width="19.85546875" style="26" customWidth="1"/>
    <col min="9" max="9" width="8.85546875" style="26" customWidth="1"/>
    <col min="10" max="10" width="8.85546875" style="26"/>
    <col min="11" max="16384" width="16" style="8"/>
  </cols>
  <sheetData>
    <row r="1" spans="1:11" s="28" customFormat="1" ht="14.25" customHeight="1" x14ac:dyDescent="0.25">
      <c r="A1" s="29" t="s">
        <v>108</v>
      </c>
      <c r="B1" s="29" t="s">
        <v>6</v>
      </c>
      <c r="C1" s="29" t="s">
        <v>12</v>
      </c>
      <c r="D1" s="32" t="s">
        <v>26</v>
      </c>
      <c r="E1" s="30" t="s">
        <v>109</v>
      </c>
      <c r="F1" s="29" t="s">
        <v>39</v>
      </c>
      <c r="G1" s="29" t="s">
        <v>32</v>
      </c>
      <c r="H1" s="29" t="s">
        <v>14</v>
      </c>
      <c r="I1" s="29" t="s">
        <v>110</v>
      </c>
      <c r="J1" s="31" t="s">
        <v>152</v>
      </c>
      <c r="K1" s="28" t="s">
        <v>3</v>
      </c>
    </row>
    <row r="2" spans="1:11" x14ac:dyDescent="0.25">
      <c r="A2" s="26" t="s">
        <v>124</v>
      </c>
      <c r="B2" s="26" t="s">
        <v>111</v>
      </c>
      <c r="C2" s="26">
        <v>0</v>
      </c>
      <c r="D2" s="27">
        <v>43255</v>
      </c>
      <c r="E2" s="26">
        <v>397.14</v>
      </c>
      <c r="F2" s="26" t="s">
        <v>345</v>
      </c>
      <c r="G2" s="26" t="s">
        <v>8</v>
      </c>
      <c r="H2" s="26" t="s">
        <v>346</v>
      </c>
      <c r="I2" s="26" t="s">
        <v>106</v>
      </c>
      <c r="J2" s="26">
        <v>0</v>
      </c>
      <c r="K2" s="8" t="str">
        <f>LEFT(A2,FIND("/",A2)-1)</f>
        <v>ADJUSTMENT</v>
      </c>
    </row>
    <row r="3" spans="1:11" x14ac:dyDescent="0.25">
      <c r="A3" s="26" t="s">
        <v>112</v>
      </c>
      <c r="B3" s="26" t="s">
        <v>111</v>
      </c>
      <c r="C3" s="26">
        <v>0</v>
      </c>
      <c r="D3" s="27">
        <v>43301</v>
      </c>
      <c r="E3" s="26">
        <v>1509.13</v>
      </c>
      <c r="F3" s="26" t="s">
        <v>347</v>
      </c>
      <c r="G3" s="26" t="s">
        <v>8</v>
      </c>
      <c r="H3" s="26" t="s">
        <v>348</v>
      </c>
      <c r="I3" s="26" t="s">
        <v>106</v>
      </c>
      <c r="J3" s="26">
        <v>0</v>
      </c>
      <c r="K3" s="8" t="str">
        <f t="shared" ref="K3:K66" si="0">LEFT(A3,FIND("/",A3)-1)</f>
        <v>ADJUSTMENT</v>
      </c>
    </row>
    <row r="4" spans="1:11" x14ac:dyDescent="0.25">
      <c r="A4" s="26" t="s">
        <v>124</v>
      </c>
      <c r="B4" s="26" t="s">
        <v>111</v>
      </c>
      <c r="C4" s="26">
        <v>0</v>
      </c>
      <c r="D4" s="27">
        <v>43314</v>
      </c>
      <c r="E4" s="26">
        <v>1906.27</v>
      </c>
      <c r="F4" s="26" t="s">
        <v>349</v>
      </c>
      <c r="G4" s="26" t="s">
        <v>8</v>
      </c>
      <c r="H4" s="26" t="s">
        <v>350</v>
      </c>
      <c r="I4" s="26" t="s">
        <v>106</v>
      </c>
      <c r="J4" s="26">
        <v>0</v>
      </c>
      <c r="K4" s="8" t="str">
        <f t="shared" si="0"/>
        <v>ADJUSTMENT</v>
      </c>
    </row>
    <row r="5" spans="1:11" x14ac:dyDescent="0.25">
      <c r="A5" s="26" t="s">
        <v>112</v>
      </c>
      <c r="B5" s="26" t="s">
        <v>111</v>
      </c>
      <c r="C5" s="26">
        <v>0</v>
      </c>
      <c r="D5" s="27">
        <v>43318</v>
      </c>
      <c r="E5" s="26">
        <v>794.28</v>
      </c>
      <c r="F5" s="26" t="s">
        <v>351</v>
      </c>
      <c r="G5" s="26" t="s">
        <v>8</v>
      </c>
      <c r="H5" s="26" t="s">
        <v>352</v>
      </c>
      <c r="I5" s="26" t="s">
        <v>106</v>
      </c>
      <c r="J5" s="26">
        <v>0</v>
      </c>
      <c r="K5" s="8" t="str">
        <f t="shared" si="0"/>
        <v>ADJUSTMENT</v>
      </c>
    </row>
    <row r="6" spans="1:11" x14ac:dyDescent="0.25">
      <c r="A6" s="26" t="s">
        <v>112</v>
      </c>
      <c r="B6" s="26" t="s">
        <v>111</v>
      </c>
      <c r="C6" s="26">
        <v>0</v>
      </c>
      <c r="D6" s="27">
        <v>43321</v>
      </c>
      <c r="E6" s="26">
        <v>7942.81</v>
      </c>
      <c r="F6" s="26" t="s">
        <v>353</v>
      </c>
      <c r="G6" s="26" t="s">
        <v>8</v>
      </c>
      <c r="H6" s="26" t="s">
        <v>354</v>
      </c>
      <c r="I6" s="26" t="s">
        <v>106</v>
      </c>
      <c r="J6" s="26">
        <v>0</v>
      </c>
      <c r="K6" s="8" t="str">
        <f t="shared" si="0"/>
        <v>ADJUSTMENT</v>
      </c>
    </row>
    <row r="7" spans="1:11" x14ac:dyDescent="0.25">
      <c r="A7" s="26" t="s">
        <v>124</v>
      </c>
      <c r="B7" s="26" t="s">
        <v>111</v>
      </c>
      <c r="C7" s="26">
        <v>0</v>
      </c>
      <c r="D7" s="27">
        <v>43321</v>
      </c>
      <c r="E7" s="26">
        <v>1667.99</v>
      </c>
      <c r="F7" s="26" t="s">
        <v>355</v>
      </c>
      <c r="G7" s="26" t="s">
        <v>8</v>
      </c>
      <c r="H7" s="26" t="s">
        <v>356</v>
      </c>
      <c r="I7" s="26" t="s">
        <v>106</v>
      </c>
      <c r="J7" s="26">
        <v>0</v>
      </c>
      <c r="K7" s="8" t="str">
        <f t="shared" si="0"/>
        <v>ADJUSTMENT</v>
      </c>
    </row>
    <row r="8" spans="1:11" x14ac:dyDescent="0.25">
      <c r="A8" s="26" t="s">
        <v>112</v>
      </c>
      <c r="B8" s="26" t="s">
        <v>111</v>
      </c>
      <c r="C8" s="26">
        <v>0</v>
      </c>
      <c r="D8" s="27">
        <v>43343</v>
      </c>
      <c r="E8" s="26">
        <v>-11914.22</v>
      </c>
      <c r="F8" s="26" t="s">
        <v>357</v>
      </c>
      <c r="G8" s="26" t="s">
        <v>8</v>
      </c>
      <c r="H8" s="26" t="s">
        <v>358</v>
      </c>
      <c r="I8" s="26" t="s">
        <v>106</v>
      </c>
      <c r="J8" s="26">
        <v>0</v>
      </c>
      <c r="K8" s="8" t="str">
        <f t="shared" si="0"/>
        <v>ADJUSTMENT</v>
      </c>
    </row>
    <row r="9" spans="1:11" x14ac:dyDescent="0.25">
      <c r="A9" s="26" t="s">
        <v>329</v>
      </c>
      <c r="B9" s="26" t="s">
        <v>111</v>
      </c>
      <c r="C9" s="26">
        <v>0</v>
      </c>
      <c r="D9" s="27">
        <v>43244</v>
      </c>
      <c r="E9" s="26">
        <v>39714.06</v>
      </c>
      <c r="F9" s="26" t="s">
        <v>359</v>
      </c>
      <c r="G9" s="26" t="s">
        <v>8</v>
      </c>
      <c r="H9" s="26" t="s">
        <v>360</v>
      </c>
      <c r="I9" s="26" t="s">
        <v>106</v>
      </c>
      <c r="J9" s="26">
        <v>0</v>
      </c>
      <c r="K9" s="8" t="str">
        <f t="shared" si="0"/>
        <v>ALLIANCEAN</v>
      </c>
    </row>
    <row r="10" spans="1:11" x14ac:dyDescent="0.25">
      <c r="A10" s="26" t="s">
        <v>329</v>
      </c>
      <c r="B10" s="26" t="s">
        <v>111</v>
      </c>
      <c r="C10" s="26">
        <v>0</v>
      </c>
      <c r="D10" s="27">
        <v>43245</v>
      </c>
      <c r="E10" s="26">
        <v>27799.84</v>
      </c>
      <c r="F10" s="26" t="s">
        <v>361</v>
      </c>
      <c r="G10" s="26" t="s">
        <v>8</v>
      </c>
      <c r="H10" s="26" t="s">
        <v>362</v>
      </c>
      <c r="I10" s="26" t="s">
        <v>106</v>
      </c>
      <c r="J10" s="26">
        <v>0</v>
      </c>
      <c r="K10" s="8" t="str">
        <f t="shared" si="0"/>
        <v>ALLIANCEAN</v>
      </c>
    </row>
    <row r="11" spans="1:11" x14ac:dyDescent="0.25">
      <c r="A11" s="26" t="s">
        <v>329</v>
      </c>
      <c r="B11" s="26" t="s">
        <v>111</v>
      </c>
      <c r="C11" s="26">
        <v>0</v>
      </c>
      <c r="D11" s="27">
        <v>43245</v>
      </c>
      <c r="E11" s="26">
        <v>27799.84</v>
      </c>
      <c r="F11" s="26" t="s">
        <v>363</v>
      </c>
      <c r="G11" s="26" t="s">
        <v>8</v>
      </c>
      <c r="H11" s="26" t="s">
        <v>364</v>
      </c>
      <c r="I11" s="26" t="s">
        <v>106</v>
      </c>
      <c r="J11" s="26">
        <v>0</v>
      </c>
      <c r="K11" s="8" t="str">
        <f t="shared" si="0"/>
        <v>ALLIANCEAN</v>
      </c>
    </row>
    <row r="12" spans="1:11" x14ac:dyDescent="0.25">
      <c r="A12" s="26" t="s">
        <v>329</v>
      </c>
      <c r="B12" s="26" t="s">
        <v>111</v>
      </c>
      <c r="C12" s="26">
        <v>0</v>
      </c>
      <c r="D12" s="27">
        <v>43245</v>
      </c>
      <c r="E12" s="26">
        <v>52422.559999999998</v>
      </c>
      <c r="F12" s="26" t="s">
        <v>365</v>
      </c>
      <c r="G12" s="26" t="s">
        <v>8</v>
      </c>
      <c r="H12" s="26" t="s">
        <v>366</v>
      </c>
      <c r="I12" s="26" t="s">
        <v>106</v>
      </c>
      <c r="J12" s="26">
        <v>0</v>
      </c>
      <c r="K12" s="8" t="str">
        <f t="shared" si="0"/>
        <v>ALLIANCEAN</v>
      </c>
    </row>
    <row r="13" spans="1:11" x14ac:dyDescent="0.25">
      <c r="A13" s="26" t="s">
        <v>329</v>
      </c>
      <c r="B13" s="26" t="s">
        <v>111</v>
      </c>
      <c r="C13" s="26">
        <v>0</v>
      </c>
      <c r="D13" s="27">
        <v>43248</v>
      </c>
      <c r="E13" s="26">
        <v>39714.06</v>
      </c>
      <c r="F13" s="26" t="s">
        <v>367</v>
      </c>
      <c r="G13" s="26" t="s">
        <v>8</v>
      </c>
      <c r="H13" s="26" t="s">
        <v>368</v>
      </c>
      <c r="I13" s="26" t="s">
        <v>106</v>
      </c>
      <c r="J13" s="26">
        <v>0</v>
      </c>
      <c r="K13" s="8" t="str">
        <f t="shared" si="0"/>
        <v>ALLIANCEAN</v>
      </c>
    </row>
    <row r="14" spans="1:11" x14ac:dyDescent="0.25">
      <c r="A14" s="26" t="s">
        <v>329</v>
      </c>
      <c r="B14" s="26" t="s">
        <v>111</v>
      </c>
      <c r="C14" s="26">
        <v>0</v>
      </c>
      <c r="D14" s="27">
        <v>43251</v>
      </c>
      <c r="E14" s="26">
        <v>31771.25</v>
      </c>
      <c r="F14" s="26" t="s">
        <v>369</v>
      </c>
      <c r="G14" s="26" t="s">
        <v>8</v>
      </c>
      <c r="H14" s="26" t="s">
        <v>370</v>
      </c>
      <c r="I14" s="26" t="s">
        <v>106</v>
      </c>
      <c r="J14" s="26">
        <v>0</v>
      </c>
      <c r="K14" s="8" t="str">
        <f t="shared" si="0"/>
        <v>ALLIANCEAN</v>
      </c>
    </row>
    <row r="15" spans="1:11" x14ac:dyDescent="0.25">
      <c r="A15" s="26" t="s">
        <v>329</v>
      </c>
      <c r="B15" s="26" t="s">
        <v>111</v>
      </c>
      <c r="C15" s="26">
        <v>0</v>
      </c>
      <c r="D15" s="27">
        <v>43252</v>
      </c>
      <c r="E15" s="26">
        <v>39714.06</v>
      </c>
      <c r="F15" s="26" t="s">
        <v>371</v>
      </c>
      <c r="G15" s="26" t="s">
        <v>8</v>
      </c>
      <c r="H15" s="26" t="s">
        <v>372</v>
      </c>
      <c r="I15" s="26" t="s">
        <v>106</v>
      </c>
      <c r="J15" s="26">
        <v>0</v>
      </c>
      <c r="K15" s="8" t="str">
        <f t="shared" si="0"/>
        <v>ALLIANCEAN</v>
      </c>
    </row>
    <row r="16" spans="1:11" x14ac:dyDescent="0.25">
      <c r="A16" s="26" t="s">
        <v>329</v>
      </c>
      <c r="B16" s="26" t="s">
        <v>111</v>
      </c>
      <c r="C16" s="26">
        <v>0</v>
      </c>
      <c r="D16" s="27">
        <v>43252</v>
      </c>
      <c r="E16" s="26">
        <v>39714.06</v>
      </c>
      <c r="F16" s="26" t="s">
        <v>373</v>
      </c>
      <c r="G16" s="26" t="s">
        <v>8</v>
      </c>
      <c r="H16" s="26" t="s">
        <v>374</v>
      </c>
      <c r="I16" s="26" t="s">
        <v>106</v>
      </c>
      <c r="J16" s="26">
        <v>0</v>
      </c>
      <c r="K16" s="8" t="str">
        <f t="shared" si="0"/>
        <v>ALLIANCEAN</v>
      </c>
    </row>
    <row r="17" spans="1:11" x14ac:dyDescent="0.25">
      <c r="A17" s="26" t="s">
        <v>329</v>
      </c>
      <c r="B17" s="26" t="s">
        <v>111</v>
      </c>
      <c r="C17" s="26">
        <v>0</v>
      </c>
      <c r="D17" s="27">
        <v>43252</v>
      </c>
      <c r="E17" s="26">
        <v>87370.93</v>
      </c>
      <c r="F17" s="26" t="s">
        <v>375</v>
      </c>
      <c r="G17" s="26" t="s">
        <v>8</v>
      </c>
      <c r="H17" s="26" t="s">
        <v>376</v>
      </c>
      <c r="I17" s="26" t="s">
        <v>106</v>
      </c>
      <c r="J17" s="26">
        <v>0</v>
      </c>
      <c r="K17" s="8" t="str">
        <f t="shared" si="0"/>
        <v>ALLIANCEAN</v>
      </c>
    </row>
    <row r="18" spans="1:11" x14ac:dyDescent="0.25">
      <c r="A18" s="26" t="s">
        <v>329</v>
      </c>
      <c r="B18" s="26" t="s">
        <v>111</v>
      </c>
      <c r="C18" s="26">
        <v>0</v>
      </c>
      <c r="D18" s="27">
        <v>43255</v>
      </c>
      <c r="E18" s="26">
        <v>87370.93</v>
      </c>
      <c r="F18" s="26" t="s">
        <v>377</v>
      </c>
      <c r="G18" s="26" t="s">
        <v>8</v>
      </c>
      <c r="H18" s="26" t="s">
        <v>378</v>
      </c>
      <c r="I18" s="26" t="s">
        <v>106</v>
      </c>
      <c r="J18" s="26">
        <v>0</v>
      </c>
      <c r="K18" s="8" t="str">
        <f t="shared" si="0"/>
        <v>ALLIANCEAN</v>
      </c>
    </row>
    <row r="19" spans="1:11" x14ac:dyDescent="0.25">
      <c r="A19" s="26" t="s">
        <v>329</v>
      </c>
      <c r="B19" s="26" t="s">
        <v>111</v>
      </c>
      <c r="C19" s="26">
        <v>0</v>
      </c>
      <c r="D19" s="27">
        <v>43258</v>
      </c>
      <c r="E19" s="26">
        <v>79428.12</v>
      </c>
      <c r="F19" s="26" t="s">
        <v>379</v>
      </c>
      <c r="G19" s="26" t="s">
        <v>8</v>
      </c>
      <c r="H19" s="26" t="s">
        <v>380</v>
      </c>
      <c r="I19" s="26" t="s">
        <v>106</v>
      </c>
      <c r="J19" s="26">
        <v>0</v>
      </c>
      <c r="K19" s="8" t="str">
        <f t="shared" si="0"/>
        <v>ALLIANCEAN</v>
      </c>
    </row>
    <row r="20" spans="1:11" x14ac:dyDescent="0.25">
      <c r="A20" s="26" t="s">
        <v>329</v>
      </c>
      <c r="B20" s="26" t="s">
        <v>111</v>
      </c>
      <c r="C20" s="26">
        <v>0</v>
      </c>
      <c r="D20" s="27">
        <v>43259</v>
      </c>
      <c r="E20" s="26">
        <v>99285.15</v>
      </c>
      <c r="F20" s="26" t="s">
        <v>381</v>
      </c>
      <c r="G20" s="26" t="s">
        <v>8</v>
      </c>
      <c r="H20" s="26" t="s">
        <v>382</v>
      </c>
      <c r="I20" s="26" t="s">
        <v>106</v>
      </c>
      <c r="J20" s="26">
        <v>0</v>
      </c>
      <c r="K20" s="8" t="str">
        <f t="shared" si="0"/>
        <v>ALLIANCEAN</v>
      </c>
    </row>
    <row r="21" spans="1:11" x14ac:dyDescent="0.25">
      <c r="A21" s="26" t="s">
        <v>329</v>
      </c>
      <c r="B21" s="26" t="s">
        <v>111</v>
      </c>
      <c r="C21" s="26">
        <v>0</v>
      </c>
      <c r="D21" s="27">
        <v>43259</v>
      </c>
      <c r="E21" s="26">
        <v>95313.74</v>
      </c>
      <c r="F21" s="26" t="s">
        <v>383</v>
      </c>
      <c r="G21" s="26" t="s">
        <v>8</v>
      </c>
      <c r="H21" s="26" t="s">
        <v>384</v>
      </c>
      <c r="I21" s="26" t="s">
        <v>106</v>
      </c>
      <c r="J21" s="26">
        <v>0</v>
      </c>
      <c r="K21" s="8" t="str">
        <f t="shared" si="0"/>
        <v>ALLIANCEAN</v>
      </c>
    </row>
    <row r="22" spans="1:11" x14ac:dyDescent="0.25">
      <c r="A22" s="26" t="s">
        <v>329</v>
      </c>
      <c r="B22" s="26" t="s">
        <v>111</v>
      </c>
      <c r="C22" s="26">
        <v>0</v>
      </c>
      <c r="D22" s="27">
        <v>43259</v>
      </c>
      <c r="E22" s="26">
        <v>138999.21</v>
      </c>
      <c r="F22" s="26" t="s">
        <v>385</v>
      </c>
      <c r="G22" s="26" t="s">
        <v>8</v>
      </c>
      <c r="H22" s="26" t="s">
        <v>386</v>
      </c>
      <c r="I22" s="26" t="s">
        <v>106</v>
      </c>
      <c r="J22" s="26">
        <v>0</v>
      </c>
      <c r="K22" s="8" t="str">
        <f t="shared" si="0"/>
        <v>ALLIANCEAN</v>
      </c>
    </row>
    <row r="23" spans="1:11" x14ac:dyDescent="0.25">
      <c r="A23" s="26" t="s">
        <v>329</v>
      </c>
      <c r="B23" s="26" t="s">
        <v>111</v>
      </c>
      <c r="C23" s="26">
        <v>0</v>
      </c>
      <c r="D23" s="27">
        <v>43262</v>
      </c>
      <c r="E23" s="26">
        <v>119142.18</v>
      </c>
      <c r="F23" s="26" t="s">
        <v>387</v>
      </c>
      <c r="G23" s="26" t="s">
        <v>8</v>
      </c>
      <c r="H23" s="26" t="s">
        <v>388</v>
      </c>
      <c r="I23" s="26" t="s">
        <v>106</v>
      </c>
      <c r="J23" s="26">
        <v>0</v>
      </c>
      <c r="K23" s="8" t="str">
        <f t="shared" si="0"/>
        <v>ALLIANCEAN</v>
      </c>
    </row>
    <row r="24" spans="1:11" x14ac:dyDescent="0.25">
      <c r="A24" s="26" t="s">
        <v>329</v>
      </c>
      <c r="B24" s="26" t="s">
        <v>111</v>
      </c>
      <c r="C24" s="26">
        <v>0</v>
      </c>
      <c r="D24" s="27">
        <v>43265</v>
      </c>
      <c r="E24" s="26">
        <v>63542.49</v>
      </c>
      <c r="F24" s="26" t="s">
        <v>389</v>
      </c>
      <c r="G24" s="26" t="s">
        <v>8</v>
      </c>
      <c r="H24" s="26" t="s">
        <v>390</v>
      </c>
      <c r="I24" s="26" t="s">
        <v>106</v>
      </c>
      <c r="J24" s="26">
        <v>0</v>
      </c>
      <c r="K24" s="8" t="str">
        <f t="shared" si="0"/>
        <v>ALLIANCEAN</v>
      </c>
    </row>
    <row r="25" spans="1:11" x14ac:dyDescent="0.25">
      <c r="A25" s="26" t="s">
        <v>329</v>
      </c>
      <c r="B25" s="26" t="s">
        <v>111</v>
      </c>
      <c r="C25" s="26">
        <v>0</v>
      </c>
      <c r="D25" s="27">
        <v>43266</v>
      </c>
      <c r="E25" s="26">
        <v>158856.24</v>
      </c>
      <c r="F25" s="26" t="s">
        <v>391</v>
      </c>
      <c r="G25" s="26" t="s">
        <v>8</v>
      </c>
      <c r="H25" s="26" t="s">
        <v>392</v>
      </c>
      <c r="I25" s="26" t="s">
        <v>106</v>
      </c>
      <c r="J25" s="26">
        <v>0</v>
      </c>
      <c r="K25" s="8" t="str">
        <f t="shared" si="0"/>
        <v>ALLIANCEAN</v>
      </c>
    </row>
    <row r="26" spans="1:11" x14ac:dyDescent="0.25">
      <c r="A26" s="26" t="s">
        <v>329</v>
      </c>
      <c r="B26" s="26" t="s">
        <v>111</v>
      </c>
      <c r="C26" s="26">
        <v>0</v>
      </c>
      <c r="D26" s="27">
        <v>43266</v>
      </c>
      <c r="E26" s="26">
        <v>317712.46999999997</v>
      </c>
      <c r="F26" s="26" t="s">
        <v>393</v>
      </c>
      <c r="G26" s="26" t="s">
        <v>8</v>
      </c>
      <c r="H26" s="26" t="s">
        <v>394</v>
      </c>
      <c r="I26" s="26" t="s">
        <v>106</v>
      </c>
      <c r="J26" s="26">
        <v>0</v>
      </c>
      <c r="K26" s="8" t="str">
        <f t="shared" si="0"/>
        <v>ALLIANCEAN</v>
      </c>
    </row>
    <row r="27" spans="1:11" x14ac:dyDescent="0.25">
      <c r="A27" s="26" t="s">
        <v>329</v>
      </c>
      <c r="B27" s="26" t="s">
        <v>111</v>
      </c>
      <c r="C27" s="26">
        <v>0</v>
      </c>
      <c r="D27" s="27">
        <v>43266</v>
      </c>
      <c r="E27" s="26">
        <v>381254.96</v>
      </c>
      <c r="F27" s="26" t="s">
        <v>395</v>
      </c>
      <c r="G27" s="26" t="s">
        <v>8</v>
      </c>
      <c r="H27" s="26" t="s">
        <v>396</v>
      </c>
      <c r="I27" s="26" t="s">
        <v>106</v>
      </c>
      <c r="J27" s="26">
        <v>0</v>
      </c>
      <c r="K27" s="8" t="str">
        <f t="shared" si="0"/>
        <v>ALLIANCEAN</v>
      </c>
    </row>
    <row r="28" spans="1:11" x14ac:dyDescent="0.25">
      <c r="A28" s="26" t="s">
        <v>329</v>
      </c>
      <c r="B28" s="26" t="s">
        <v>111</v>
      </c>
      <c r="C28" s="26">
        <v>0</v>
      </c>
      <c r="D28" s="27">
        <v>43269</v>
      </c>
      <c r="E28" s="26">
        <v>397140.59</v>
      </c>
      <c r="F28" s="26" t="s">
        <v>397</v>
      </c>
      <c r="G28" s="26" t="s">
        <v>8</v>
      </c>
      <c r="H28" s="26" t="s">
        <v>398</v>
      </c>
      <c r="I28" s="26" t="s">
        <v>106</v>
      </c>
      <c r="J28" s="26">
        <v>0</v>
      </c>
      <c r="K28" s="8" t="str">
        <f t="shared" si="0"/>
        <v>ALLIANCEAN</v>
      </c>
    </row>
    <row r="29" spans="1:11" x14ac:dyDescent="0.25">
      <c r="A29" s="26" t="s">
        <v>329</v>
      </c>
      <c r="B29" s="26" t="s">
        <v>111</v>
      </c>
      <c r="C29" s="26">
        <v>0</v>
      </c>
      <c r="D29" s="27">
        <v>43272</v>
      </c>
      <c r="E29" s="26">
        <v>218427.32</v>
      </c>
      <c r="F29" s="26" t="s">
        <v>399</v>
      </c>
      <c r="G29" s="26" t="s">
        <v>8</v>
      </c>
      <c r="H29" s="26" t="s">
        <v>400</v>
      </c>
      <c r="I29" s="26" t="s">
        <v>106</v>
      </c>
      <c r="J29" s="26">
        <v>0</v>
      </c>
      <c r="K29" s="8" t="str">
        <f t="shared" si="0"/>
        <v>ALLIANCEAN</v>
      </c>
    </row>
    <row r="30" spans="1:11" x14ac:dyDescent="0.25">
      <c r="A30" s="26" t="s">
        <v>329</v>
      </c>
      <c r="B30" s="26" t="s">
        <v>111</v>
      </c>
      <c r="C30" s="26">
        <v>0</v>
      </c>
      <c r="D30" s="27">
        <v>43273</v>
      </c>
      <c r="E30" s="26">
        <v>456711.67999999999</v>
      </c>
      <c r="F30" s="26" t="s">
        <v>401</v>
      </c>
      <c r="G30" s="26" t="s">
        <v>8</v>
      </c>
      <c r="H30" s="26" t="s">
        <v>402</v>
      </c>
      <c r="I30" s="26" t="s">
        <v>106</v>
      </c>
      <c r="J30" s="26">
        <v>0</v>
      </c>
      <c r="K30" s="8" t="str">
        <f t="shared" si="0"/>
        <v>ALLIANCEAN</v>
      </c>
    </row>
    <row r="31" spans="1:11" x14ac:dyDescent="0.25">
      <c r="A31" s="26" t="s">
        <v>329</v>
      </c>
      <c r="B31" s="26" t="s">
        <v>111</v>
      </c>
      <c r="C31" s="26">
        <v>0</v>
      </c>
      <c r="D31" s="27">
        <v>43273</v>
      </c>
      <c r="E31" s="26">
        <v>119142.18</v>
      </c>
      <c r="F31" s="26" t="s">
        <v>403</v>
      </c>
      <c r="G31" s="26" t="s">
        <v>8</v>
      </c>
      <c r="H31" s="26" t="s">
        <v>404</v>
      </c>
      <c r="I31" s="26" t="s">
        <v>106</v>
      </c>
      <c r="J31" s="26">
        <v>0</v>
      </c>
      <c r="K31" s="8" t="str">
        <f t="shared" si="0"/>
        <v>ALLIANCEAN</v>
      </c>
    </row>
    <row r="32" spans="1:11" x14ac:dyDescent="0.25">
      <c r="A32" s="26" t="s">
        <v>329</v>
      </c>
      <c r="B32" s="26" t="s">
        <v>111</v>
      </c>
      <c r="C32" s="26">
        <v>0</v>
      </c>
      <c r="D32" s="27">
        <v>43273</v>
      </c>
      <c r="E32" s="26">
        <v>63542.49</v>
      </c>
      <c r="F32" s="26" t="s">
        <v>405</v>
      </c>
      <c r="G32" s="26" t="s">
        <v>8</v>
      </c>
      <c r="H32" s="26" t="s">
        <v>406</v>
      </c>
      <c r="I32" s="26" t="s">
        <v>106</v>
      </c>
      <c r="J32" s="26">
        <v>0</v>
      </c>
      <c r="K32" s="8" t="str">
        <f t="shared" si="0"/>
        <v>ALLIANCEAN</v>
      </c>
    </row>
    <row r="33" spans="1:11" x14ac:dyDescent="0.25">
      <c r="A33" s="26" t="s">
        <v>329</v>
      </c>
      <c r="B33" s="26" t="s">
        <v>111</v>
      </c>
      <c r="C33" s="26">
        <v>0</v>
      </c>
      <c r="D33" s="27">
        <v>43276</v>
      </c>
      <c r="E33" s="26">
        <v>23828.44</v>
      </c>
      <c r="F33" s="26" t="s">
        <v>407</v>
      </c>
      <c r="G33" s="26" t="s">
        <v>8</v>
      </c>
      <c r="H33" s="26" t="s">
        <v>408</v>
      </c>
      <c r="I33" s="26" t="s">
        <v>106</v>
      </c>
      <c r="J33" s="26">
        <v>0</v>
      </c>
      <c r="K33" s="8" t="str">
        <f t="shared" si="0"/>
        <v>ALLIANCEAN</v>
      </c>
    </row>
    <row r="34" spans="1:11" x14ac:dyDescent="0.25">
      <c r="A34" s="26" t="s">
        <v>329</v>
      </c>
      <c r="B34" s="26" t="s">
        <v>111</v>
      </c>
      <c r="C34" s="26">
        <v>0</v>
      </c>
      <c r="D34" s="27">
        <v>43279</v>
      </c>
      <c r="E34" s="26">
        <v>23034.15</v>
      </c>
      <c r="F34" s="26" t="s">
        <v>409</v>
      </c>
      <c r="G34" s="26" t="s">
        <v>8</v>
      </c>
      <c r="H34" s="26" t="s">
        <v>410</v>
      </c>
      <c r="I34" s="26" t="s">
        <v>106</v>
      </c>
      <c r="J34" s="26">
        <v>0</v>
      </c>
      <c r="K34" s="8" t="str">
        <f t="shared" si="0"/>
        <v>ALLIANCEAN</v>
      </c>
    </row>
    <row r="35" spans="1:11" x14ac:dyDescent="0.25">
      <c r="A35" s="26" t="s">
        <v>329</v>
      </c>
      <c r="B35" s="26" t="s">
        <v>111</v>
      </c>
      <c r="C35" s="26">
        <v>0</v>
      </c>
      <c r="D35" s="27">
        <v>43280</v>
      </c>
      <c r="E35" s="26">
        <v>19857.03</v>
      </c>
      <c r="F35" s="26" t="s">
        <v>411</v>
      </c>
      <c r="G35" s="26" t="s">
        <v>8</v>
      </c>
      <c r="H35" s="26" t="s">
        <v>412</v>
      </c>
      <c r="I35" s="26" t="s">
        <v>106</v>
      </c>
      <c r="J35" s="26">
        <v>0</v>
      </c>
      <c r="K35" s="8" t="str">
        <f t="shared" si="0"/>
        <v>ALLIANCEAN</v>
      </c>
    </row>
    <row r="36" spans="1:11" x14ac:dyDescent="0.25">
      <c r="A36" s="26" t="s">
        <v>329</v>
      </c>
      <c r="B36" s="26" t="s">
        <v>111</v>
      </c>
      <c r="C36" s="26">
        <v>0</v>
      </c>
      <c r="D36" s="27">
        <v>43280</v>
      </c>
      <c r="E36" s="26">
        <v>15885.62</v>
      </c>
      <c r="F36" s="26" t="s">
        <v>413</v>
      </c>
      <c r="G36" s="26" t="s">
        <v>8</v>
      </c>
      <c r="H36" s="26" t="s">
        <v>414</v>
      </c>
      <c r="I36" s="26" t="s">
        <v>106</v>
      </c>
      <c r="J36" s="26">
        <v>0</v>
      </c>
      <c r="K36" s="8" t="str">
        <f t="shared" si="0"/>
        <v>ALLIANCEAN</v>
      </c>
    </row>
    <row r="37" spans="1:11" x14ac:dyDescent="0.25">
      <c r="A37" s="26" t="s">
        <v>329</v>
      </c>
      <c r="B37" s="26" t="s">
        <v>111</v>
      </c>
      <c r="C37" s="26">
        <v>0</v>
      </c>
      <c r="D37" s="27">
        <v>43280</v>
      </c>
      <c r="E37" s="26">
        <v>15885.62</v>
      </c>
      <c r="F37" s="26" t="s">
        <v>415</v>
      </c>
      <c r="G37" s="26" t="s">
        <v>8</v>
      </c>
      <c r="H37" s="26" t="s">
        <v>416</v>
      </c>
      <c r="I37" s="26" t="s">
        <v>106</v>
      </c>
      <c r="J37" s="26">
        <v>0</v>
      </c>
      <c r="K37" s="8" t="str">
        <f t="shared" si="0"/>
        <v>ALLIANCEAN</v>
      </c>
    </row>
    <row r="38" spans="1:11" x14ac:dyDescent="0.25">
      <c r="A38" s="26" t="s">
        <v>329</v>
      </c>
      <c r="B38" s="26" t="s">
        <v>111</v>
      </c>
      <c r="C38" s="26">
        <v>0</v>
      </c>
      <c r="D38" s="27">
        <v>43283</v>
      </c>
      <c r="E38" s="26">
        <v>23828.44</v>
      </c>
      <c r="F38" s="26" t="s">
        <v>417</v>
      </c>
      <c r="G38" s="26" t="s">
        <v>8</v>
      </c>
      <c r="H38" s="26" t="s">
        <v>418</v>
      </c>
      <c r="I38" s="26" t="s">
        <v>106</v>
      </c>
      <c r="J38" s="26">
        <v>0</v>
      </c>
      <c r="K38" s="8" t="str">
        <f t="shared" si="0"/>
        <v>ALLIANCEAN</v>
      </c>
    </row>
    <row r="39" spans="1:11" x14ac:dyDescent="0.25">
      <c r="A39" s="26" t="s">
        <v>329</v>
      </c>
      <c r="B39" s="26" t="s">
        <v>111</v>
      </c>
      <c r="C39" s="26">
        <v>0</v>
      </c>
      <c r="D39" s="27">
        <v>43286</v>
      </c>
      <c r="E39" s="26">
        <v>27799.84</v>
      </c>
      <c r="F39" s="26" t="s">
        <v>419</v>
      </c>
      <c r="G39" s="26" t="s">
        <v>8</v>
      </c>
      <c r="H39" s="26" t="s">
        <v>420</v>
      </c>
      <c r="I39" s="26" t="s">
        <v>106</v>
      </c>
      <c r="J39" s="26">
        <v>0</v>
      </c>
      <c r="K39" s="8" t="str">
        <f t="shared" si="0"/>
        <v>ALLIANCEAN</v>
      </c>
    </row>
    <row r="40" spans="1:11" x14ac:dyDescent="0.25">
      <c r="A40" s="26" t="s">
        <v>329</v>
      </c>
      <c r="B40" s="26" t="s">
        <v>111</v>
      </c>
      <c r="C40" s="26">
        <v>0</v>
      </c>
      <c r="D40" s="27">
        <v>43287</v>
      </c>
      <c r="E40" s="26">
        <v>23828.44</v>
      </c>
      <c r="F40" s="26" t="s">
        <v>421</v>
      </c>
      <c r="G40" s="26" t="s">
        <v>8</v>
      </c>
      <c r="H40" s="26" t="s">
        <v>422</v>
      </c>
      <c r="I40" s="26" t="s">
        <v>106</v>
      </c>
      <c r="J40" s="26">
        <v>0</v>
      </c>
      <c r="K40" s="8" t="str">
        <f t="shared" si="0"/>
        <v>ALLIANCEAN</v>
      </c>
    </row>
    <row r="41" spans="1:11" x14ac:dyDescent="0.25">
      <c r="A41" s="26" t="s">
        <v>329</v>
      </c>
      <c r="B41" s="26" t="s">
        <v>111</v>
      </c>
      <c r="C41" s="26">
        <v>0</v>
      </c>
      <c r="D41" s="27">
        <v>43287</v>
      </c>
      <c r="E41" s="26">
        <v>31771.25</v>
      </c>
      <c r="F41" s="26" t="s">
        <v>423</v>
      </c>
      <c r="G41" s="26" t="s">
        <v>8</v>
      </c>
      <c r="H41" s="26" t="s">
        <v>424</v>
      </c>
      <c r="I41" s="26" t="s">
        <v>106</v>
      </c>
      <c r="J41" s="26">
        <v>0</v>
      </c>
      <c r="K41" s="8" t="str">
        <f t="shared" si="0"/>
        <v>ALLIANCEAN</v>
      </c>
    </row>
    <row r="42" spans="1:11" x14ac:dyDescent="0.25">
      <c r="A42" s="26" t="s">
        <v>329</v>
      </c>
      <c r="B42" s="26" t="s">
        <v>111</v>
      </c>
      <c r="C42" s="26">
        <v>0</v>
      </c>
      <c r="D42" s="27">
        <v>43287</v>
      </c>
      <c r="E42" s="26">
        <v>47656.87</v>
      </c>
      <c r="F42" s="26" t="s">
        <v>425</v>
      </c>
      <c r="G42" s="26" t="s">
        <v>8</v>
      </c>
      <c r="H42" s="26" t="s">
        <v>426</v>
      </c>
      <c r="I42" s="26" t="s">
        <v>106</v>
      </c>
      <c r="J42" s="26">
        <v>0</v>
      </c>
      <c r="K42" s="8" t="str">
        <f t="shared" si="0"/>
        <v>ALLIANCEAN</v>
      </c>
    </row>
    <row r="43" spans="1:11" x14ac:dyDescent="0.25">
      <c r="A43" s="26" t="s">
        <v>329</v>
      </c>
      <c r="B43" s="26" t="s">
        <v>111</v>
      </c>
      <c r="C43" s="26">
        <v>0</v>
      </c>
      <c r="D43" s="27">
        <v>43290</v>
      </c>
      <c r="E43" s="26">
        <v>42891.18</v>
      </c>
      <c r="F43" s="26" t="s">
        <v>427</v>
      </c>
      <c r="G43" s="26" t="s">
        <v>8</v>
      </c>
      <c r="H43" s="26" t="s">
        <v>428</v>
      </c>
      <c r="I43" s="26" t="s">
        <v>106</v>
      </c>
      <c r="J43" s="26">
        <v>0</v>
      </c>
      <c r="K43" s="8" t="str">
        <f t="shared" si="0"/>
        <v>ALLIANCEAN</v>
      </c>
    </row>
    <row r="44" spans="1:11" x14ac:dyDescent="0.25">
      <c r="A44" s="26" t="s">
        <v>329</v>
      </c>
      <c r="B44" s="26" t="s">
        <v>111</v>
      </c>
      <c r="C44" s="26">
        <v>0</v>
      </c>
      <c r="D44" s="27">
        <v>43293</v>
      </c>
      <c r="E44" s="26">
        <v>39714.06</v>
      </c>
      <c r="F44" s="26" t="s">
        <v>429</v>
      </c>
      <c r="G44" s="26" t="s">
        <v>8</v>
      </c>
      <c r="H44" s="26" t="s">
        <v>430</v>
      </c>
      <c r="I44" s="26" t="s">
        <v>106</v>
      </c>
      <c r="J44" s="26">
        <v>0</v>
      </c>
      <c r="K44" s="8" t="str">
        <f t="shared" si="0"/>
        <v>ALLIANCEAN</v>
      </c>
    </row>
    <row r="45" spans="1:11" x14ac:dyDescent="0.25">
      <c r="A45" s="26" t="s">
        <v>329</v>
      </c>
      <c r="B45" s="26" t="s">
        <v>111</v>
      </c>
      <c r="C45" s="26">
        <v>0</v>
      </c>
      <c r="D45" s="27">
        <v>43294</v>
      </c>
      <c r="E45" s="26">
        <v>23828.44</v>
      </c>
      <c r="F45" s="26" t="s">
        <v>431</v>
      </c>
      <c r="G45" s="26" t="s">
        <v>8</v>
      </c>
      <c r="H45" s="26" t="s">
        <v>432</v>
      </c>
      <c r="I45" s="26" t="s">
        <v>106</v>
      </c>
      <c r="J45" s="26">
        <v>0</v>
      </c>
      <c r="K45" s="8" t="str">
        <f t="shared" si="0"/>
        <v>ALLIANCEAN</v>
      </c>
    </row>
    <row r="46" spans="1:11" x14ac:dyDescent="0.25">
      <c r="A46" s="26" t="s">
        <v>329</v>
      </c>
      <c r="B46" s="26" t="s">
        <v>111</v>
      </c>
      <c r="C46" s="26">
        <v>0</v>
      </c>
      <c r="D46" s="27">
        <v>43294</v>
      </c>
      <c r="E46" s="26">
        <v>31771.25</v>
      </c>
      <c r="F46" s="26" t="s">
        <v>433</v>
      </c>
      <c r="G46" s="26" t="s">
        <v>8</v>
      </c>
      <c r="H46" s="26" t="s">
        <v>434</v>
      </c>
      <c r="I46" s="26" t="s">
        <v>106</v>
      </c>
      <c r="J46" s="26">
        <v>0</v>
      </c>
      <c r="K46" s="8" t="str">
        <f t="shared" si="0"/>
        <v>ALLIANCEAN</v>
      </c>
    </row>
    <row r="47" spans="1:11" x14ac:dyDescent="0.25">
      <c r="A47" s="26" t="s">
        <v>329</v>
      </c>
      <c r="B47" s="26" t="s">
        <v>111</v>
      </c>
      <c r="C47" s="26">
        <v>0</v>
      </c>
      <c r="D47" s="27">
        <v>43294</v>
      </c>
      <c r="E47" s="26">
        <v>23828.44</v>
      </c>
      <c r="F47" s="26" t="s">
        <v>435</v>
      </c>
      <c r="G47" s="26" t="s">
        <v>8</v>
      </c>
      <c r="H47" s="26" t="s">
        <v>436</v>
      </c>
      <c r="I47" s="26" t="s">
        <v>106</v>
      </c>
      <c r="J47" s="26">
        <v>0</v>
      </c>
      <c r="K47" s="8" t="str">
        <f t="shared" si="0"/>
        <v>ALLIANCEAN</v>
      </c>
    </row>
    <row r="48" spans="1:11" x14ac:dyDescent="0.25">
      <c r="A48" s="26" t="s">
        <v>329</v>
      </c>
      <c r="B48" s="26" t="s">
        <v>111</v>
      </c>
      <c r="C48" s="26">
        <v>0</v>
      </c>
      <c r="D48" s="27">
        <v>43297</v>
      </c>
      <c r="E48" s="26">
        <v>23828.44</v>
      </c>
      <c r="F48" s="26" t="s">
        <v>437</v>
      </c>
      <c r="G48" s="26" t="s">
        <v>8</v>
      </c>
      <c r="H48" s="26" t="s">
        <v>438</v>
      </c>
      <c r="I48" s="26" t="s">
        <v>106</v>
      </c>
      <c r="J48" s="26">
        <v>0</v>
      </c>
      <c r="K48" s="8" t="str">
        <f t="shared" si="0"/>
        <v>ALLIANCEAN</v>
      </c>
    </row>
    <row r="49" spans="1:11" x14ac:dyDescent="0.25">
      <c r="A49" s="26" t="s">
        <v>329</v>
      </c>
      <c r="B49" s="26" t="s">
        <v>111</v>
      </c>
      <c r="C49" s="26">
        <v>0</v>
      </c>
      <c r="D49" s="27">
        <v>43300</v>
      </c>
      <c r="E49" s="26">
        <v>27799.84</v>
      </c>
      <c r="F49" s="26" t="s">
        <v>439</v>
      </c>
      <c r="G49" s="26" t="s">
        <v>8</v>
      </c>
      <c r="H49" s="26" t="s">
        <v>440</v>
      </c>
      <c r="I49" s="26" t="s">
        <v>106</v>
      </c>
      <c r="J49" s="26">
        <v>0</v>
      </c>
      <c r="K49" s="8" t="str">
        <f t="shared" si="0"/>
        <v>ALLIANCEAN</v>
      </c>
    </row>
    <row r="50" spans="1:11" x14ac:dyDescent="0.25">
      <c r="A50" s="26" t="s">
        <v>329</v>
      </c>
      <c r="B50" s="26" t="s">
        <v>111</v>
      </c>
      <c r="C50" s="26">
        <v>0</v>
      </c>
      <c r="D50" s="27">
        <v>43301</v>
      </c>
      <c r="E50" s="26">
        <v>35742.65</v>
      </c>
      <c r="F50" s="26" t="s">
        <v>441</v>
      </c>
      <c r="G50" s="26" t="s">
        <v>8</v>
      </c>
      <c r="H50" s="26" t="s">
        <v>442</v>
      </c>
      <c r="I50" s="26" t="s">
        <v>106</v>
      </c>
      <c r="J50" s="26">
        <v>0</v>
      </c>
      <c r="K50" s="8" t="str">
        <f t="shared" si="0"/>
        <v>ALLIANCEAN</v>
      </c>
    </row>
    <row r="51" spans="1:11" x14ac:dyDescent="0.25">
      <c r="A51" s="26" t="s">
        <v>329</v>
      </c>
      <c r="B51" s="26" t="s">
        <v>111</v>
      </c>
      <c r="C51" s="26">
        <v>0</v>
      </c>
      <c r="D51" s="27">
        <v>43301</v>
      </c>
      <c r="E51" s="26">
        <v>19857.03</v>
      </c>
      <c r="F51" s="26" t="s">
        <v>443</v>
      </c>
      <c r="G51" s="26" t="s">
        <v>8</v>
      </c>
      <c r="H51" s="26" t="s">
        <v>444</v>
      </c>
      <c r="I51" s="26" t="s">
        <v>106</v>
      </c>
      <c r="J51" s="26">
        <v>0</v>
      </c>
      <c r="K51" s="8" t="str">
        <f t="shared" si="0"/>
        <v>ALLIANCEAN</v>
      </c>
    </row>
    <row r="52" spans="1:11" x14ac:dyDescent="0.25">
      <c r="A52" s="26" t="s">
        <v>329</v>
      </c>
      <c r="B52" s="26" t="s">
        <v>111</v>
      </c>
      <c r="C52" s="26">
        <v>0</v>
      </c>
      <c r="D52" s="27">
        <v>43301</v>
      </c>
      <c r="E52" s="26">
        <v>27799.84</v>
      </c>
      <c r="F52" s="26" t="s">
        <v>445</v>
      </c>
      <c r="G52" s="26" t="s">
        <v>8</v>
      </c>
      <c r="H52" s="26" t="s">
        <v>446</v>
      </c>
      <c r="I52" s="26" t="s">
        <v>106</v>
      </c>
      <c r="J52" s="26">
        <v>0</v>
      </c>
      <c r="K52" s="8" t="str">
        <f t="shared" si="0"/>
        <v>ALLIANCEAN</v>
      </c>
    </row>
    <row r="53" spans="1:11" x14ac:dyDescent="0.25">
      <c r="A53" s="26" t="s">
        <v>329</v>
      </c>
      <c r="B53" s="26" t="s">
        <v>111</v>
      </c>
      <c r="C53" s="26">
        <v>0</v>
      </c>
      <c r="D53" s="27">
        <v>43304</v>
      </c>
      <c r="E53" s="26">
        <v>19857.03</v>
      </c>
      <c r="F53" s="26" t="s">
        <v>447</v>
      </c>
      <c r="G53" s="26" t="s">
        <v>8</v>
      </c>
      <c r="H53" s="26" t="s">
        <v>448</v>
      </c>
      <c r="I53" s="26" t="s">
        <v>106</v>
      </c>
      <c r="J53" s="26">
        <v>0</v>
      </c>
      <c r="K53" s="8" t="str">
        <f t="shared" si="0"/>
        <v>ALLIANCEAN</v>
      </c>
    </row>
    <row r="54" spans="1:11" x14ac:dyDescent="0.25">
      <c r="A54" s="26" t="s">
        <v>329</v>
      </c>
      <c r="B54" s="26" t="s">
        <v>111</v>
      </c>
      <c r="C54" s="26">
        <v>0</v>
      </c>
      <c r="D54" s="27">
        <v>43307</v>
      </c>
      <c r="E54" s="26">
        <v>15885.62</v>
      </c>
      <c r="F54" s="26" t="s">
        <v>449</v>
      </c>
      <c r="G54" s="26" t="s">
        <v>8</v>
      </c>
      <c r="H54" s="26" t="s">
        <v>450</v>
      </c>
      <c r="I54" s="26" t="s">
        <v>106</v>
      </c>
      <c r="J54" s="26">
        <v>0</v>
      </c>
      <c r="K54" s="8" t="str">
        <f t="shared" si="0"/>
        <v>ALLIANCEAN</v>
      </c>
    </row>
    <row r="55" spans="1:11" x14ac:dyDescent="0.25">
      <c r="A55" s="26" t="s">
        <v>329</v>
      </c>
      <c r="B55" s="26" t="s">
        <v>111</v>
      </c>
      <c r="C55" s="26">
        <v>0</v>
      </c>
      <c r="D55" s="27">
        <v>43308</v>
      </c>
      <c r="E55" s="26">
        <v>15885.62</v>
      </c>
      <c r="F55" s="26" t="s">
        <v>451</v>
      </c>
      <c r="G55" s="26" t="s">
        <v>8</v>
      </c>
      <c r="H55" s="26" t="s">
        <v>452</v>
      </c>
      <c r="I55" s="26" t="s">
        <v>106</v>
      </c>
      <c r="J55" s="26">
        <v>0</v>
      </c>
      <c r="K55" s="8" t="str">
        <f t="shared" si="0"/>
        <v>ALLIANCEAN</v>
      </c>
    </row>
    <row r="56" spans="1:11" x14ac:dyDescent="0.25">
      <c r="A56" s="26" t="s">
        <v>329</v>
      </c>
      <c r="B56" s="26" t="s">
        <v>111</v>
      </c>
      <c r="C56" s="26">
        <v>0</v>
      </c>
      <c r="D56" s="27">
        <v>43308</v>
      </c>
      <c r="E56" s="26">
        <v>19857.03</v>
      </c>
      <c r="F56" s="26" t="s">
        <v>453</v>
      </c>
      <c r="G56" s="26" t="s">
        <v>8</v>
      </c>
      <c r="H56" s="26" t="s">
        <v>454</v>
      </c>
      <c r="I56" s="26" t="s">
        <v>106</v>
      </c>
      <c r="J56" s="26">
        <v>0</v>
      </c>
      <c r="K56" s="8" t="str">
        <f t="shared" si="0"/>
        <v>ALLIANCEAN</v>
      </c>
    </row>
    <row r="57" spans="1:11" x14ac:dyDescent="0.25">
      <c r="A57" s="26" t="s">
        <v>329</v>
      </c>
      <c r="B57" s="26" t="s">
        <v>111</v>
      </c>
      <c r="C57" s="26">
        <v>0</v>
      </c>
      <c r="D57" s="27">
        <v>43308</v>
      </c>
      <c r="E57" s="26">
        <v>15885.62</v>
      </c>
      <c r="F57" s="26" t="s">
        <v>455</v>
      </c>
      <c r="G57" s="26" t="s">
        <v>8</v>
      </c>
      <c r="H57" s="26" t="s">
        <v>456</v>
      </c>
      <c r="I57" s="26" t="s">
        <v>106</v>
      </c>
      <c r="J57" s="26">
        <v>0</v>
      </c>
      <c r="K57" s="8" t="str">
        <f t="shared" si="0"/>
        <v>ALLIANCEAN</v>
      </c>
    </row>
    <row r="58" spans="1:11" x14ac:dyDescent="0.25">
      <c r="A58" s="26" t="s">
        <v>329</v>
      </c>
      <c r="B58" s="26" t="s">
        <v>111</v>
      </c>
      <c r="C58" s="26">
        <v>0</v>
      </c>
      <c r="D58" s="27">
        <v>43311</v>
      </c>
      <c r="E58" s="26">
        <v>16679.900000000001</v>
      </c>
      <c r="F58" s="26" t="s">
        <v>457</v>
      </c>
      <c r="G58" s="26" t="s">
        <v>8</v>
      </c>
      <c r="H58" s="26" t="s">
        <v>458</v>
      </c>
      <c r="I58" s="26" t="s">
        <v>106</v>
      </c>
      <c r="J58" s="26">
        <v>0</v>
      </c>
      <c r="K58" s="8" t="str">
        <f t="shared" si="0"/>
        <v>ALLIANCEAN</v>
      </c>
    </row>
    <row r="59" spans="1:11" x14ac:dyDescent="0.25">
      <c r="A59" s="26" t="s">
        <v>329</v>
      </c>
      <c r="B59" s="26" t="s">
        <v>111</v>
      </c>
      <c r="C59" s="26">
        <v>0</v>
      </c>
      <c r="D59" s="27">
        <v>43314</v>
      </c>
      <c r="E59" s="26">
        <v>11914.22</v>
      </c>
      <c r="F59" s="26" t="s">
        <v>459</v>
      </c>
      <c r="G59" s="26" t="s">
        <v>8</v>
      </c>
      <c r="H59" s="26" t="s">
        <v>460</v>
      </c>
      <c r="I59" s="26" t="s">
        <v>106</v>
      </c>
      <c r="J59" s="26">
        <v>0</v>
      </c>
      <c r="K59" s="8" t="str">
        <f t="shared" si="0"/>
        <v>ALLIANCEAN</v>
      </c>
    </row>
    <row r="60" spans="1:11" x14ac:dyDescent="0.25">
      <c r="A60" s="26" t="s">
        <v>329</v>
      </c>
      <c r="B60" s="26" t="s">
        <v>111</v>
      </c>
      <c r="C60" s="26">
        <v>0</v>
      </c>
      <c r="D60" s="27">
        <v>43315</v>
      </c>
      <c r="E60" s="26">
        <v>15885.62</v>
      </c>
      <c r="F60" s="26" t="s">
        <v>461</v>
      </c>
      <c r="G60" s="26" t="s">
        <v>8</v>
      </c>
      <c r="H60" s="26" t="s">
        <v>462</v>
      </c>
      <c r="I60" s="26" t="s">
        <v>106</v>
      </c>
      <c r="J60" s="26">
        <v>0</v>
      </c>
      <c r="K60" s="8" t="str">
        <f t="shared" si="0"/>
        <v>ALLIANCEAN</v>
      </c>
    </row>
    <row r="61" spans="1:11" x14ac:dyDescent="0.25">
      <c r="A61" s="26" t="s">
        <v>329</v>
      </c>
      <c r="B61" s="26" t="s">
        <v>111</v>
      </c>
      <c r="C61" s="26">
        <v>0</v>
      </c>
      <c r="D61" s="27">
        <v>43315</v>
      </c>
      <c r="E61" s="26">
        <v>31771.25</v>
      </c>
      <c r="F61" s="26" t="s">
        <v>463</v>
      </c>
      <c r="G61" s="26" t="s">
        <v>8</v>
      </c>
      <c r="H61" s="26" t="s">
        <v>464</v>
      </c>
      <c r="I61" s="26" t="s">
        <v>106</v>
      </c>
      <c r="J61" s="26">
        <v>0</v>
      </c>
      <c r="K61" s="8" t="str">
        <f t="shared" si="0"/>
        <v>ALLIANCEAN</v>
      </c>
    </row>
    <row r="62" spans="1:11" x14ac:dyDescent="0.25">
      <c r="A62" s="26" t="s">
        <v>329</v>
      </c>
      <c r="B62" s="26" t="s">
        <v>111</v>
      </c>
      <c r="C62" s="26">
        <v>0</v>
      </c>
      <c r="D62" s="27">
        <v>43315</v>
      </c>
      <c r="E62" s="26">
        <v>10325.66</v>
      </c>
      <c r="F62" s="26" t="s">
        <v>465</v>
      </c>
      <c r="G62" s="26" t="s">
        <v>8</v>
      </c>
      <c r="H62" s="26" t="s">
        <v>466</v>
      </c>
      <c r="I62" s="26" t="s">
        <v>106</v>
      </c>
      <c r="J62" s="26">
        <v>0</v>
      </c>
      <c r="K62" s="8" t="str">
        <f t="shared" si="0"/>
        <v>ALLIANCEAN</v>
      </c>
    </row>
    <row r="63" spans="1:11" x14ac:dyDescent="0.25">
      <c r="A63" s="26" t="s">
        <v>329</v>
      </c>
      <c r="B63" s="26" t="s">
        <v>111</v>
      </c>
      <c r="C63" s="26">
        <v>0</v>
      </c>
      <c r="D63" s="27">
        <v>43318</v>
      </c>
      <c r="E63" s="26">
        <v>38919.78</v>
      </c>
      <c r="F63" s="26" t="s">
        <v>467</v>
      </c>
      <c r="G63" s="26" t="s">
        <v>8</v>
      </c>
      <c r="H63" s="26" t="s">
        <v>468</v>
      </c>
      <c r="I63" s="26" t="s">
        <v>106</v>
      </c>
      <c r="J63" s="26">
        <v>0</v>
      </c>
      <c r="K63" s="8" t="str">
        <f t="shared" si="0"/>
        <v>ALLIANCEAN</v>
      </c>
    </row>
    <row r="64" spans="1:11" x14ac:dyDescent="0.25">
      <c r="A64" s="26" t="s">
        <v>329</v>
      </c>
      <c r="B64" s="26" t="s">
        <v>111</v>
      </c>
      <c r="C64" s="26">
        <v>0</v>
      </c>
      <c r="D64" s="27">
        <v>43321</v>
      </c>
      <c r="E64" s="26">
        <v>51628.28</v>
      </c>
      <c r="F64" s="26" t="s">
        <v>469</v>
      </c>
      <c r="G64" s="26" t="s">
        <v>8</v>
      </c>
      <c r="H64" s="26" t="s">
        <v>470</v>
      </c>
      <c r="I64" s="26" t="s">
        <v>106</v>
      </c>
      <c r="J64" s="26">
        <v>0</v>
      </c>
      <c r="K64" s="8" t="str">
        <f t="shared" si="0"/>
        <v>ALLIANCEAN</v>
      </c>
    </row>
    <row r="65" spans="1:11" x14ac:dyDescent="0.25">
      <c r="A65" s="26" t="s">
        <v>329</v>
      </c>
      <c r="B65" s="26" t="s">
        <v>111</v>
      </c>
      <c r="C65" s="26">
        <v>0</v>
      </c>
      <c r="D65" s="27">
        <v>43322</v>
      </c>
      <c r="E65" s="26">
        <v>47656.87</v>
      </c>
      <c r="F65" s="26" t="s">
        <v>471</v>
      </c>
      <c r="G65" s="26" t="s">
        <v>8</v>
      </c>
      <c r="H65" s="26" t="s">
        <v>472</v>
      </c>
      <c r="I65" s="26" t="s">
        <v>106</v>
      </c>
      <c r="J65" s="26">
        <v>0</v>
      </c>
      <c r="K65" s="8" t="str">
        <f t="shared" si="0"/>
        <v>ALLIANCEAN</v>
      </c>
    </row>
    <row r="66" spans="1:11" x14ac:dyDescent="0.25">
      <c r="A66" s="26" t="s">
        <v>329</v>
      </c>
      <c r="B66" s="26" t="s">
        <v>111</v>
      </c>
      <c r="C66" s="26">
        <v>0</v>
      </c>
      <c r="D66" s="27">
        <v>43322</v>
      </c>
      <c r="E66" s="26">
        <v>27799.84</v>
      </c>
      <c r="F66" s="26" t="s">
        <v>473</v>
      </c>
      <c r="G66" s="26" t="s">
        <v>8</v>
      </c>
      <c r="H66" s="26" t="s">
        <v>474</v>
      </c>
      <c r="I66" s="26" t="s">
        <v>106</v>
      </c>
      <c r="J66" s="26">
        <v>0</v>
      </c>
      <c r="K66" s="8" t="str">
        <f t="shared" si="0"/>
        <v>ALLIANCEAN</v>
      </c>
    </row>
    <row r="67" spans="1:11" x14ac:dyDescent="0.25">
      <c r="A67" s="26" t="s">
        <v>329</v>
      </c>
      <c r="B67" s="26" t="s">
        <v>111</v>
      </c>
      <c r="C67" s="26">
        <v>0</v>
      </c>
      <c r="D67" s="27">
        <v>43322</v>
      </c>
      <c r="E67" s="26">
        <v>5559.97</v>
      </c>
      <c r="F67" s="26" t="s">
        <v>475</v>
      </c>
      <c r="G67" s="26" t="s">
        <v>8</v>
      </c>
      <c r="H67" s="26" t="s">
        <v>476</v>
      </c>
      <c r="I67" s="26" t="s">
        <v>106</v>
      </c>
      <c r="J67" s="26">
        <v>0</v>
      </c>
      <c r="K67" s="8" t="str">
        <f t="shared" ref="K67:K130" si="1">LEFT(A67,FIND("/",A67)-1)</f>
        <v>ALLIANCEAN</v>
      </c>
    </row>
    <row r="68" spans="1:11" x14ac:dyDescent="0.25">
      <c r="A68" s="26" t="s">
        <v>329</v>
      </c>
      <c r="B68" s="26" t="s">
        <v>111</v>
      </c>
      <c r="C68" s="26">
        <v>0</v>
      </c>
      <c r="D68" s="27">
        <v>43325</v>
      </c>
      <c r="E68" s="26">
        <v>19857.03</v>
      </c>
      <c r="F68" s="26" t="s">
        <v>477</v>
      </c>
      <c r="G68" s="26" t="s">
        <v>8</v>
      </c>
      <c r="H68" s="26" t="s">
        <v>478</v>
      </c>
      <c r="I68" s="26" t="s">
        <v>106</v>
      </c>
      <c r="J68" s="26">
        <v>0</v>
      </c>
      <c r="K68" s="8" t="str">
        <f t="shared" si="1"/>
        <v>ALLIANCEAN</v>
      </c>
    </row>
    <row r="69" spans="1:11" x14ac:dyDescent="0.25">
      <c r="A69" s="26" t="s">
        <v>329</v>
      </c>
      <c r="B69" s="26" t="s">
        <v>111</v>
      </c>
      <c r="C69" s="26">
        <v>0</v>
      </c>
      <c r="D69" s="27">
        <v>43328</v>
      </c>
      <c r="E69" s="26">
        <v>19857.03</v>
      </c>
      <c r="F69" s="26" t="s">
        <v>479</v>
      </c>
      <c r="G69" s="26" t="s">
        <v>8</v>
      </c>
      <c r="H69" s="26" t="s">
        <v>480</v>
      </c>
      <c r="I69" s="26" t="s">
        <v>106</v>
      </c>
      <c r="J69" s="26">
        <v>0</v>
      </c>
      <c r="K69" s="8" t="str">
        <f t="shared" si="1"/>
        <v>ALLIANCEAN</v>
      </c>
    </row>
    <row r="70" spans="1:11" x14ac:dyDescent="0.25">
      <c r="A70" s="26" t="s">
        <v>329</v>
      </c>
      <c r="B70" s="26" t="s">
        <v>111</v>
      </c>
      <c r="C70" s="26">
        <v>0</v>
      </c>
      <c r="D70" s="27">
        <v>43329</v>
      </c>
      <c r="E70" s="26">
        <v>21445.59</v>
      </c>
      <c r="F70" s="26" t="s">
        <v>481</v>
      </c>
      <c r="G70" s="26" t="s">
        <v>8</v>
      </c>
      <c r="H70" s="26" t="s">
        <v>482</v>
      </c>
      <c r="I70" s="26" t="s">
        <v>106</v>
      </c>
      <c r="J70" s="26">
        <v>0</v>
      </c>
      <c r="K70" s="8" t="str">
        <f t="shared" si="1"/>
        <v>ALLIANCEAN</v>
      </c>
    </row>
    <row r="71" spans="1:11" x14ac:dyDescent="0.25">
      <c r="A71" s="26" t="s">
        <v>329</v>
      </c>
      <c r="B71" s="26" t="s">
        <v>111</v>
      </c>
      <c r="C71" s="26">
        <v>0</v>
      </c>
      <c r="D71" s="27">
        <v>43329</v>
      </c>
      <c r="E71" s="26">
        <v>15885.62</v>
      </c>
      <c r="F71" s="26" t="s">
        <v>483</v>
      </c>
      <c r="G71" s="26" t="s">
        <v>8</v>
      </c>
      <c r="H71" s="26" t="s">
        <v>484</v>
      </c>
      <c r="I71" s="26" t="s">
        <v>106</v>
      </c>
      <c r="J71" s="26">
        <v>0</v>
      </c>
      <c r="K71" s="8" t="str">
        <f t="shared" si="1"/>
        <v>ALLIANCEAN</v>
      </c>
    </row>
    <row r="72" spans="1:11" x14ac:dyDescent="0.25">
      <c r="A72" s="26" t="s">
        <v>329</v>
      </c>
      <c r="B72" s="26" t="s">
        <v>111</v>
      </c>
      <c r="C72" s="26">
        <v>0</v>
      </c>
      <c r="D72" s="27">
        <v>43329</v>
      </c>
      <c r="E72" s="26">
        <v>19857.03</v>
      </c>
      <c r="F72" s="26" t="s">
        <v>485</v>
      </c>
      <c r="G72" s="26" t="s">
        <v>8</v>
      </c>
      <c r="H72" s="26" t="s">
        <v>486</v>
      </c>
      <c r="I72" s="26" t="s">
        <v>106</v>
      </c>
      <c r="J72" s="26">
        <v>0</v>
      </c>
      <c r="K72" s="8" t="str">
        <f t="shared" si="1"/>
        <v>ALLIANCEAN</v>
      </c>
    </row>
    <row r="73" spans="1:11" x14ac:dyDescent="0.25">
      <c r="A73" s="26" t="s">
        <v>329</v>
      </c>
      <c r="B73" s="26" t="s">
        <v>111</v>
      </c>
      <c r="C73" s="26">
        <v>0</v>
      </c>
      <c r="D73" s="27">
        <v>43336</v>
      </c>
      <c r="E73" s="26">
        <v>17474.189999999999</v>
      </c>
      <c r="F73" s="26" t="s">
        <v>487</v>
      </c>
      <c r="G73" s="26" t="s">
        <v>8</v>
      </c>
      <c r="H73" s="26" t="s">
        <v>488</v>
      </c>
      <c r="I73" s="26" t="s">
        <v>106</v>
      </c>
      <c r="J73" s="26">
        <v>0</v>
      </c>
      <c r="K73" s="8" t="str">
        <f t="shared" si="1"/>
        <v>ALLIANCEAN</v>
      </c>
    </row>
    <row r="74" spans="1:11" x14ac:dyDescent="0.25">
      <c r="A74" s="26" t="s">
        <v>329</v>
      </c>
      <c r="B74" s="26" t="s">
        <v>111</v>
      </c>
      <c r="C74" s="26">
        <v>0</v>
      </c>
      <c r="D74" s="27">
        <v>43336</v>
      </c>
      <c r="E74" s="26">
        <v>15885.62</v>
      </c>
      <c r="F74" s="26" t="s">
        <v>489</v>
      </c>
      <c r="G74" s="26" t="s">
        <v>8</v>
      </c>
      <c r="H74" s="26" t="s">
        <v>490</v>
      </c>
      <c r="I74" s="26" t="s">
        <v>106</v>
      </c>
      <c r="J74" s="26">
        <v>0</v>
      </c>
      <c r="K74" s="8" t="str">
        <f t="shared" si="1"/>
        <v>ALLIANCEAN</v>
      </c>
    </row>
    <row r="75" spans="1:11" x14ac:dyDescent="0.25">
      <c r="A75" s="26" t="s">
        <v>329</v>
      </c>
      <c r="B75" s="26" t="s">
        <v>111</v>
      </c>
      <c r="C75" s="26">
        <v>0</v>
      </c>
      <c r="D75" s="27">
        <v>43336</v>
      </c>
      <c r="E75" s="26">
        <v>15885.62</v>
      </c>
      <c r="F75" s="26" t="s">
        <v>491</v>
      </c>
      <c r="G75" s="26" t="s">
        <v>8</v>
      </c>
      <c r="H75" s="26" t="s">
        <v>492</v>
      </c>
      <c r="I75" s="26" t="s">
        <v>106</v>
      </c>
      <c r="J75" s="26">
        <v>0</v>
      </c>
      <c r="K75" s="8" t="str">
        <f t="shared" si="1"/>
        <v>ALLIANCEAN</v>
      </c>
    </row>
    <row r="76" spans="1:11" x14ac:dyDescent="0.25">
      <c r="A76" s="26" t="s">
        <v>329</v>
      </c>
      <c r="B76" s="26" t="s">
        <v>111</v>
      </c>
      <c r="C76" s="26">
        <v>0</v>
      </c>
      <c r="D76" s="27">
        <v>43339</v>
      </c>
      <c r="E76" s="26">
        <v>11914.22</v>
      </c>
      <c r="F76" s="26" t="s">
        <v>493</v>
      </c>
      <c r="G76" s="26" t="s">
        <v>8</v>
      </c>
      <c r="H76" s="26" t="s">
        <v>494</v>
      </c>
      <c r="I76" s="26" t="s">
        <v>106</v>
      </c>
      <c r="J76" s="26">
        <v>0</v>
      </c>
      <c r="K76" s="8" t="str">
        <f t="shared" si="1"/>
        <v>ALLIANCEAN</v>
      </c>
    </row>
    <row r="77" spans="1:11" x14ac:dyDescent="0.25">
      <c r="A77" s="26" t="s">
        <v>329</v>
      </c>
      <c r="B77" s="26" t="s">
        <v>111</v>
      </c>
      <c r="C77" s="26">
        <v>0</v>
      </c>
      <c r="D77" s="27">
        <v>43342</v>
      </c>
      <c r="E77" s="26">
        <v>15885.62</v>
      </c>
      <c r="F77" s="26" t="s">
        <v>495</v>
      </c>
      <c r="G77" s="26" t="s">
        <v>8</v>
      </c>
      <c r="H77" s="26" t="s">
        <v>496</v>
      </c>
      <c r="I77" s="26" t="s">
        <v>106</v>
      </c>
      <c r="J77" s="26">
        <v>0</v>
      </c>
      <c r="K77" s="8" t="str">
        <f t="shared" si="1"/>
        <v>ALLIANCEAN</v>
      </c>
    </row>
    <row r="78" spans="1:11" x14ac:dyDescent="0.25">
      <c r="A78" s="26" t="s">
        <v>329</v>
      </c>
      <c r="B78" s="26" t="s">
        <v>111</v>
      </c>
      <c r="C78" s="26">
        <v>0</v>
      </c>
      <c r="D78" s="27">
        <v>43343</v>
      </c>
      <c r="E78" s="26">
        <v>11914.22</v>
      </c>
      <c r="F78" s="26" t="s">
        <v>497</v>
      </c>
      <c r="G78" s="26" t="s">
        <v>8</v>
      </c>
      <c r="H78" s="26" t="s">
        <v>498</v>
      </c>
      <c r="I78" s="26" t="s">
        <v>106</v>
      </c>
      <c r="J78" s="26">
        <v>0</v>
      </c>
      <c r="K78" s="8" t="str">
        <f t="shared" si="1"/>
        <v>ALLIANCEAN</v>
      </c>
    </row>
    <row r="79" spans="1:11" x14ac:dyDescent="0.25">
      <c r="A79" s="26" t="s">
        <v>329</v>
      </c>
      <c r="B79" s="26" t="s">
        <v>111</v>
      </c>
      <c r="C79" s="26">
        <v>0</v>
      </c>
      <c r="D79" s="27">
        <v>43343</v>
      </c>
      <c r="E79" s="26">
        <v>27799.84</v>
      </c>
      <c r="F79" s="26" t="s">
        <v>499</v>
      </c>
      <c r="G79" s="26" t="s">
        <v>8</v>
      </c>
      <c r="H79" s="26" t="s">
        <v>500</v>
      </c>
      <c r="I79" s="26" t="s">
        <v>106</v>
      </c>
      <c r="J79" s="26">
        <v>0</v>
      </c>
      <c r="K79" s="8" t="str">
        <f t="shared" si="1"/>
        <v>ALLIANCEAN</v>
      </c>
    </row>
    <row r="80" spans="1:11" x14ac:dyDescent="0.25">
      <c r="A80" s="26" t="s">
        <v>329</v>
      </c>
      <c r="B80" s="26" t="s">
        <v>111</v>
      </c>
      <c r="C80" s="26">
        <v>0</v>
      </c>
      <c r="D80" s="27">
        <v>43343</v>
      </c>
      <c r="E80" s="26">
        <v>31771.25</v>
      </c>
      <c r="F80" s="26" t="s">
        <v>501</v>
      </c>
      <c r="G80" s="26" t="s">
        <v>8</v>
      </c>
      <c r="H80" s="26" t="s">
        <v>502</v>
      </c>
      <c r="I80" s="26" t="s">
        <v>106</v>
      </c>
      <c r="J80" s="26">
        <v>0</v>
      </c>
      <c r="K80" s="8" t="str">
        <f t="shared" si="1"/>
        <v>ALLIANCEAN</v>
      </c>
    </row>
    <row r="81" spans="1:11" x14ac:dyDescent="0.25">
      <c r="A81" s="26" t="s">
        <v>329</v>
      </c>
      <c r="B81" s="26" t="s">
        <v>111</v>
      </c>
      <c r="C81" s="26">
        <v>0</v>
      </c>
      <c r="D81" s="27">
        <v>43346</v>
      </c>
      <c r="E81" s="26">
        <v>39714.06</v>
      </c>
      <c r="F81" s="26" t="s">
        <v>503</v>
      </c>
      <c r="G81" s="26" t="s">
        <v>8</v>
      </c>
      <c r="H81" s="26" t="s">
        <v>504</v>
      </c>
      <c r="I81" s="26" t="s">
        <v>106</v>
      </c>
      <c r="J81" s="26">
        <v>0</v>
      </c>
      <c r="K81" s="8" t="str">
        <f t="shared" si="1"/>
        <v>ALLIANCEAN</v>
      </c>
    </row>
    <row r="82" spans="1:11" x14ac:dyDescent="0.25">
      <c r="A82" s="26" t="s">
        <v>329</v>
      </c>
      <c r="B82" s="26" t="s">
        <v>111</v>
      </c>
      <c r="C82" s="26">
        <v>0</v>
      </c>
      <c r="D82" s="27">
        <v>43349</v>
      </c>
      <c r="E82" s="26">
        <v>15885.62</v>
      </c>
      <c r="F82" s="26" t="s">
        <v>505</v>
      </c>
      <c r="G82" s="26" t="s">
        <v>8</v>
      </c>
      <c r="H82" s="26" t="s">
        <v>506</v>
      </c>
      <c r="I82" s="26" t="s">
        <v>106</v>
      </c>
      <c r="J82" s="26">
        <v>0</v>
      </c>
      <c r="K82" s="8" t="str">
        <f t="shared" si="1"/>
        <v>ALLIANCEAN</v>
      </c>
    </row>
    <row r="83" spans="1:11" x14ac:dyDescent="0.25">
      <c r="A83" s="26" t="s">
        <v>329</v>
      </c>
      <c r="B83" s="26" t="s">
        <v>111</v>
      </c>
      <c r="C83" s="26">
        <v>0</v>
      </c>
      <c r="D83" s="27">
        <v>43350</v>
      </c>
      <c r="E83" s="26">
        <v>63542.49</v>
      </c>
      <c r="F83" s="26" t="s">
        <v>507</v>
      </c>
      <c r="G83" s="26" t="s">
        <v>8</v>
      </c>
      <c r="H83" s="26" t="s">
        <v>508</v>
      </c>
      <c r="I83" s="26" t="s">
        <v>106</v>
      </c>
      <c r="J83" s="26">
        <v>0</v>
      </c>
      <c r="K83" s="8" t="str">
        <f t="shared" si="1"/>
        <v>ALLIANCEAN</v>
      </c>
    </row>
    <row r="84" spans="1:11" x14ac:dyDescent="0.25">
      <c r="A84" s="26" t="s">
        <v>329</v>
      </c>
      <c r="B84" s="26" t="s">
        <v>111</v>
      </c>
      <c r="C84" s="26">
        <v>0</v>
      </c>
      <c r="D84" s="27">
        <v>43350</v>
      </c>
      <c r="E84" s="26">
        <v>79428.12</v>
      </c>
      <c r="F84" s="26" t="s">
        <v>509</v>
      </c>
      <c r="G84" s="26" t="s">
        <v>8</v>
      </c>
      <c r="H84" s="26" t="s">
        <v>510</v>
      </c>
      <c r="I84" s="26" t="s">
        <v>106</v>
      </c>
      <c r="J84" s="26">
        <v>0</v>
      </c>
      <c r="K84" s="8" t="str">
        <f t="shared" si="1"/>
        <v>ALLIANCEAN</v>
      </c>
    </row>
    <row r="85" spans="1:11" x14ac:dyDescent="0.25">
      <c r="A85" s="26" t="s">
        <v>329</v>
      </c>
      <c r="B85" s="26" t="s">
        <v>111</v>
      </c>
      <c r="C85" s="26">
        <v>0</v>
      </c>
      <c r="D85" s="27">
        <v>43350</v>
      </c>
      <c r="E85" s="26">
        <v>47656.87</v>
      </c>
      <c r="F85" s="26" t="s">
        <v>511</v>
      </c>
      <c r="G85" s="26" t="s">
        <v>8</v>
      </c>
      <c r="H85" s="26" t="s">
        <v>512</v>
      </c>
      <c r="I85" s="26" t="s">
        <v>106</v>
      </c>
      <c r="J85" s="26">
        <v>0</v>
      </c>
      <c r="K85" s="8" t="str">
        <f t="shared" si="1"/>
        <v>ALLIANCEAN</v>
      </c>
    </row>
    <row r="86" spans="1:11" x14ac:dyDescent="0.25">
      <c r="A86" s="26" t="s">
        <v>329</v>
      </c>
      <c r="B86" s="26" t="s">
        <v>111</v>
      </c>
      <c r="C86" s="26">
        <v>0</v>
      </c>
      <c r="D86" s="27">
        <v>43353</v>
      </c>
      <c r="E86" s="26">
        <v>31771.25</v>
      </c>
      <c r="F86" s="26" t="s">
        <v>513</v>
      </c>
      <c r="G86" s="26" t="s">
        <v>8</v>
      </c>
      <c r="H86" s="26" t="s">
        <v>514</v>
      </c>
      <c r="I86" s="26" t="s">
        <v>106</v>
      </c>
      <c r="J86" s="26">
        <v>0</v>
      </c>
      <c r="K86" s="8" t="str">
        <f t="shared" si="1"/>
        <v>ALLIANCEAN</v>
      </c>
    </row>
    <row r="87" spans="1:11" x14ac:dyDescent="0.25">
      <c r="A87" s="26" t="s">
        <v>329</v>
      </c>
      <c r="B87" s="26" t="s">
        <v>111</v>
      </c>
      <c r="C87" s="26">
        <v>0</v>
      </c>
      <c r="D87" s="27">
        <v>43356</v>
      </c>
      <c r="E87" s="26">
        <v>17474.189999999999</v>
      </c>
      <c r="F87" s="26" t="s">
        <v>515</v>
      </c>
      <c r="G87" s="26" t="s">
        <v>8</v>
      </c>
      <c r="H87" s="26" t="s">
        <v>516</v>
      </c>
      <c r="I87" s="26" t="s">
        <v>106</v>
      </c>
      <c r="J87" s="26">
        <v>0</v>
      </c>
      <c r="K87" s="8" t="str">
        <f t="shared" si="1"/>
        <v>ALLIANCEAN</v>
      </c>
    </row>
    <row r="88" spans="1:11" x14ac:dyDescent="0.25">
      <c r="A88" s="26" t="s">
        <v>329</v>
      </c>
      <c r="B88" s="26" t="s">
        <v>111</v>
      </c>
      <c r="C88" s="26">
        <v>0</v>
      </c>
      <c r="D88" s="27">
        <v>43357</v>
      </c>
      <c r="E88" s="26">
        <v>17474.189999999999</v>
      </c>
      <c r="F88" s="26" t="s">
        <v>517</v>
      </c>
      <c r="G88" s="26" t="s">
        <v>8</v>
      </c>
      <c r="H88" s="26" t="s">
        <v>518</v>
      </c>
      <c r="I88" s="26" t="s">
        <v>106</v>
      </c>
      <c r="J88" s="26">
        <v>0</v>
      </c>
      <c r="K88" s="8" t="str">
        <f t="shared" si="1"/>
        <v>ALLIANCEAN</v>
      </c>
    </row>
    <row r="89" spans="1:11" x14ac:dyDescent="0.25">
      <c r="A89" s="26" t="s">
        <v>329</v>
      </c>
      <c r="B89" s="26" t="s">
        <v>111</v>
      </c>
      <c r="C89" s="26">
        <v>0</v>
      </c>
      <c r="D89" s="27">
        <v>43357</v>
      </c>
      <c r="E89" s="26">
        <v>14297.06</v>
      </c>
      <c r="F89" s="26" t="s">
        <v>519</v>
      </c>
      <c r="G89" s="26" t="s">
        <v>8</v>
      </c>
      <c r="H89" s="26" t="s">
        <v>520</v>
      </c>
      <c r="I89" s="26" t="s">
        <v>106</v>
      </c>
      <c r="J89" s="26">
        <v>0</v>
      </c>
      <c r="K89" s="8" t="str">
        <f t="shared" si="1"/>
        <v>ALLIANCEAN</v>
      </c>
    </row>
    <row r="90" spans="1:11" x14ac:dyDescent="0.25">
      <c r="A90" s="26" t="s">
        <v>329</v>
      </c>
      <c r="B90" s="26" t="s">
        <v>111</v>
      </c>
      <c r="C90" s="26">
        <v>0</v>
      </c>
      <c r="D90" s="27">
        <v>43357</v>
      </c>
      <c r="E90" s="26">
        <v>5559.97</v>
      </c>
      <c r="F90" s="26" t="s">
        <v>521</v>
      </c>
      <c r="G90" s="26" t="s">
        <v>8</v>
      </c>
      <c r="H90" s="26" t="s">
        <v>522</v>
      </c>
      <c r="I90" s="26" t="s">
        <v>106</v>
      </c>
      <c r="J90" s="26">
        <v>0</v>
      </c>
      <c r="K90" s="8" t="str">
        <f t="shared" si="1"/>
        <v>ALLIANCEAN</v>
      </c>
    </row>
    <row r="91" spans="1:11" x14ac:dyDescent="0.25">
      <c r="A91" s="26" t="s">
        <v>329</v>
      </c>
      <c r="B91" s="26" t="s">
        <v>111</v>
      </c>
      <c r="C91" s="26">
        <v>0</v>
      </c>
      <c r="D91" s="27">
        <v>43360</v>
      </c>
      <c r="E91" s="26">
        <v>11914.22</v>
      </c>
      <c r="F91" s="26" t="s">
        <v>523</v>
      </c>
      <c r="G91" s="26" t="s">
        <v>8</v>
      </c>
      <c r="H91" s="26" t="s">
        <v>524</v>
      </c>
      <c r="I91" s="26" t="s">
        <v>106</v>
      </c>
      <c r="J91" s="26">
        <v>0</v>
      </c>
      <c r="K91" s="8" t="str">
        <f t="shared" si="1"/>
        <v>ALLIANCEAN</v>
      </c>
    </row>
    <row r="92" spans="1:11" x14ac:dyDescent="0.25">
      <c r="A92" s="26" t="s">
        <v>129</v>
      </c>
      <c r="B92" s="26" t="s">
        <v>111</v>
      </c>
      <c r="C92" s="26">
        <v>0</v>
      </c>
      <c r="D92" s="27">
        <v>43252</v>
      </c>
      <c r="E92" s="26">
        <v>-2859.41</v>
      </c>
      <c r="F92" s="26" t="s">
        <v>525</v>
      </c>
      <c r="G92" s="26" t="s">
        <v>8</v>
      </c>
      <c r="H92" s="26" t="s">
        <v>526</v>
      </c>
      <c r="I92" s="26" t="s">
        <v>106</v>
      </c>
      <c r="J92" s="26">
        <v>0</v>
      </c>
      <c r="K92" s="8" t="str">
        <f t="shared" si="1"/>
        <v>BACS</v>
      </c>
    </row>
    <row r="93" spans="1:11" x14ac:dyDescent="0.25">
      <c r="A93" s="26" t="s">
        <v>129</v>
      </c>
      <c r="B93" s="26" t="s">
        <v>111</v>
      </c>
      <c r="C93" s="26">
        <v>0</v>
      </c>
      <c r="D93" s="27">
        <v>43255</v>
      </c>
      <c r="E93" s="26">
        <v>-7227.96</v>
      </c>
      <c r="F93" s="26" t="s">
        <v>527</v>
      </c>
      <c r="G93" s="26" t="s">
        <v>8</v>
      </c>
      <c r="H93" s="26" t="s">
        <v>528</v>
      </c>
      <c r="I93" s="26" t="s">
        <v>106</v>
      </c>
      <c r="J93" s="26">
        <v>0</v>
      </c>
      <c r="K93" s="8" t="str">
        <f t="shared" si="1"/>
        <v>BACS</v>
      </c>
    </row>
    <row r="94" spans="1:11" x14ac:dyDescent="0.25">
      <c r="A94" s="26" t="s">
        <v>129</v>
      </c>
      <c r="B94" s="26" t="s">
        <v>111</v>
      </c>
      <c r="C94" s="26">
        <v>0</v>
      </c>
      <c r="D94" s="27">
        <v>43343</v>
      </c>
      <c r="E94" s="26">
        <v>-7942.81</v>
      </c>
      <c r="F94" s="26" t="s">
        <v>529</v>
      </c>
      <c r="G94" s="26" t="s">
        <v>8</v>
      </c>
      <c r="H94" s="26" t="s">
        <v>530</v>
      </c>
      <c r="I94" s="26" t="s">
        <v>106</v>
      </c>
      <c r="J94" s="26">
        <v>0</v>
      </c>
      <c r="K94" s="8" t="str">
        <f t="shared" si="1"/>
        <v>BACS</v>
      </c>
    </row>
    <row r="95" spans="1:11" x14ac:dyDescent="0.25">
      <c r="A95" s="26" t="s">
        <v>129</v>
      </c>
      <c r="B95" s="26" t="s">
        <v>111</v>
      </c>
      <c r="C95" s="26">
        <v>0</v>
      </c>
      <c r="D95" s="27">
        <v>43360</v>
      </c>
      <c r="E95" s="26">
        <v>-7942.81</v>
      </c>
      <c r="F95" s="26" t="s">
        <v>531</v>
      </c>
      <c r="G95" s="26" t="s">
        <v>8</v>
      </c>
      <c r="H95" s="26" t="s">
        <v>532</v>
      </c>
      <c r="I95" s="26" t="s">
        <v>106</v>
      </c>
      <c r="J95" s="26">
        <v>0</v>
      </c>
      <c r="K95" s="8" t="str">
        <f t="shared" si="1"/>
        <v>BACS</v>
      </c>
    </row>
    <row r="96" spans="1:11" x14ac:dyDescent="0.25">
      <c r="A96" s="26" t="s">
        <v>114</v>
      </c>
      <c r="B96" s="26" t="s">
        <v>111</v>
      </c>
      <c r="C96" s="26">
        <v>0</v>
      </c>
      <c r="D96" s="27">
        <v>43244</v>
      </c>
      <c r="E96" s="26">
        <v>57903.1</v>
      </c>
      <c r="F96" s="26" t="s">
        <v>533</v>
      </c>
      <c r="G96" s="26" t="s">
        <v>8</v>
      </c>
      <c r="H96" s="26" t="s">
        <v>534</v>
      </c>
      <c r="I96" s="26" t="s">
        <v>106</v>
      </c>
      <c r="J96" s="26">
        <v>0</v>
      </c>
      <c r="K96" s="8" t="str">
        <f t="shared" si="1"/>
        <v>BACSRCPTS</v>
      </c>
    </row>
    <row r="97" spans="1:11" x14ac:dyDescent="0.25">
      <c r="A97" s="26" t="s">
        <v>125</v>
      </c>
      <c r="B97" s="26" t="s">
        <v>111</v>
      </c>
      <c r="C97" s="26">
        <v>0</v>
      </c>
      <c r="D97" s="27">
        <v>43244</v>
      </c>
      <c r="E97" s="26">
        <v>39793.49</v>
      </c>
      <c r="F97" s="26" t="s">
        <v>535</v>
      </c>
      <c r="G97" s="26" t="s">
        <v>8</v>
      </c>
      <c r="H97" s="26" t="s">
        <v>536</v>
      </c>
      <c r="I97" s="26" t="s">
        <v>106</v>
      </c>
      <c r="J97" s="26">
        <v>0</v>
      </c>
      <c r="K97" s="8" t="str">
        <f t="shared" si="1"/>
        <v>BACSRCPTS</v>
      </c>
    </row>
    <row r="98" spans="1:11" x14ac:dyDescent="0.25">
      <c r="A98" s="26" t="s">
        <v>114</v>
      </c>
      <c r="B98" s="26" t="s">
        <v>111</v>
      </c>
      <c r="C98" s="26">
        <v>0</v>
      </c>
      <c r="D98" s="27">
        <v>43245</v>
      </c>
      <c r="E98" s="26">
        <v>56076.25</v>
      </c>
      <c r="F98" s="26" t="s">
        <v>537</v>
      </c>
      <c r="G98" s="26" t="s">
        <v>8</v>
      </c>
      <c r="H98" s="26" t="s">
        <v>538</v>
      </c>
      <c r="I98" s="26" t="s">
        <v>106</v>
      </c>
      <c r="J98" s="26">
        <v>0</v>
      </c>
      <c r="K98" s="8" t="str">
        <f t="shared" si="1"/>
        <v>BACSRCPTS</v>
      </c>
    </row>
    <row r="99" spans="1:11" x14ac:dyDescent="0.25">
      <c r="A99" s="26" t="s">
        <v>125</v>
      </c>
      <c r="B99" s="26" t="s">
        <v>111</v>
      </c>
      <c r="C99" s="26">
        <v>0</v>
      </c>
      <c r="D99" s="27">
        <v>43245</v>
      </c>
      <c r="E99" s="26">
        <v>42017.47</v>
      </c>
      <c r="F99" s="26" t="s">
        <v>539</v>
      </c>
      <c r="G99" s="26" t="s">
        <v>8</v>
      </c>
      <c r="H99" s="26" t="s">
        <v>540</v>
      </c>
      <c r="I99" s="26" t="s">
        <v>106</v>
      </c>
      <c r="J99" s="26">
        <v>0</v>
      </c>
      <c r="K99" s="8" t="str">
        <f t="shared" si="1"/>
        <v>BACSRCPTS</v>
      </c>
    </row>
    <row r="100" spans="1:11" x14ac:dyDescent="0.25">
      <c r="A100" s="26" t="s">
        <v>114</v>
      </c>
      <c r="B100" s="26" t="s">
        <v>111</v>
      </c>
      <c r="C100" s="26">
        <v>0</v>
      </c>
      <c r="D100" s="27">
        <v>43245</v>
      </c>
      <c r="E100" s="26">
        <v>74980.14</v>
      </c>
      <c r="F100" s="26" t="s">
        <v>541</v>
      </c>
      <c r="G100" s="26" t="s">
        <v>8</v>
      </c>
      <c r="H100" s="26" t="s">
        <v>542</v>
      </c>
      <c r="I100" s="26" t="s">
        <v>106</v>
      </c>
      <c r="J100" s="26">
        <v>0</v>
      </c>
      <c r="K100" s="8" t="str">
        <f t="shared" si="1"/>
        <v>BACSRCPTS</v>
      </c>
    </row>
    <row r="101" spans="1:11" x14ac:dyDescent="0.25">
      <c r="A101" s="26" t="s">
        <v>125</v>
      </c>
      <c r="B101" s="26" t="s">
        <v>111</v>
      </c>
      <c r="C101" s="26">
        <v>0</v>
      </c>
      <c r="D101" s="27">
        <v>43245</v>
      </c>
      <c r="E101" s="26">
        <v>85385.23</v>
      </c>
      <c r="F101" s="26" t="s">
        <v>543</v>
      </c>
      <c r="G101" s="26" t="s">
        <v>8</v>
      </c>
      <c r="H101" s="26" t="s">
        <v>544</v>
      </c>
      <c r="I101" s="26" t="s">
        <v>106</v>
      </c>
      <c r="J101" s="26">
        <v>0</v>
      </c>
      <c r="K101" s="8" t="str">
        <f t="shared" si="1"/>
        <v>BACSRCPTS</v>
      </c>
    </row>
    <row r="102" spans="1:11" x14ac:dyDescent="0.25">
      <c r="A102" s="26" t="s">
        <v>114</v>
      </c>
      <c r="B102" s="26" t="s">
        <v>111</v>
      </c>
      <c r="C102" s="26">
        <v>0</v>
      </c>
      <c r="D102" s="27">
        <v>43245</v>
      </c>
      <c r="E102" s="26">
        <v>63939.63</v>
      </c>
      <c r="F102" s="26" t="s">
        <v>545</v>
      </c>
      <c r="G102" s="26" t="s">
        <v>8</v>
      </c>
      <c r="H102" s="26" t="s">
        <v>546</v>
      </c>
      <c r="I102" s="26" t="s">
        <v>106</v>
      </c>
      <c r="J102" s="26">
        <v>0</v>
      </c>
      <c r="K102" s="8" t="str">
        <f t="shared" si="1"/>
        <v>BACSRCPTS</v>
      </c>
    </row>
    <row r="103" spans="1:11" x14ac:dyDescent="0.25">
      <c r="A103" s="26" t="s">
        <v>125</v>
      </c>
      <c r="B103" s="26" t="s">
        <v>111</v>
      </c>
      <c r="C103" s="26">
        <v>0</v>
      </c>
      <c r="D103" s="27">
        <v>43245</v>
      </c>
      <c r="E103" s="26">
        <v>170214.46</v>
      </c>
      <c r="F103" s="26" t="s">
        <v>547</v>
      </c>
      <c r="G103" s="26" t="s">
        <v>8</v>
      </c>
      <c r="H103" s="26" t="s">
        <v>548</v>
      </c>
      <c r="I103" s="26" t="s">
        <v>106</v>
      </c>
      <c r="J103" s="26">
        <v>0</v>
      </c>
      <c r="K103" s="8" t="str">
        <f t="shared" si="1"/>
        <v>BACSRCPTS</v>
      </c>
    </row>
    <row r="104" spans="1:11" x14ac:dyDescent="0.25">
      <c r="A104" s="26" t="s">
        <v>114</v>
      </c>
      <c r="B104" s="26" t="s">
        <v>111</v>
      </c>
      <c r="C104" s="26">
        <v>0</v>
      </c>
      <c r="D104" s="27">
        <v>43248</v>
      </c>
      <c r="E104" s="26">
        <v>75297.86</v>
      </c>
      <c r="F104" s="26" t="s">
        <v>549</v>
      </c>
      <c r="G104" s="26" t="s">
        <v>8</v>
      </c>
      <c r="H104" s="26" t="s">
        <v>550</v>
      </c>
      <c r="I104" s="26" t="s">
        <v>106</v>
      </c>
      <c r="J104" s="26">
        <v>0</v>
      </c>
      <c r="K104" s="8" t="str">
        <f t="shared" si="1"/>
        <v>BACSRCPTS</v>
      </c>
    </row>
    <row r="105" spans="1:11" x14ac:dyDescent="0.25">
      <c r="A105" s="26" t="s">
        <v>125</v>
      </c>
      <c r="B105" s="26" t="s">
        <v>111</v>
      </c>
      <c r="C105" s="26">
        <v>0</v>
      </c>
      <c r="D105" s="27">
        <v>43248</v>
      </c>
      <c r="E105" s="26">
        <v>17633.04</v>
      </c>
      <c r="F105" s="26" t="s">
        <v>551</v>
      </c>
      <c r="G105" s="26" t="s">
        <v>8</v>
      </c>
      <c r="H105" s="26" t="s">
        <v>552</v>
      </c>
      <c r="I105" s="26" t="s">
        <v>106</v>
      </c>
      <c r="J105" s="26">
        <v>0</v>
      </c>
      <c r="K105" s="8" t="str">
        <f t="shared" si="1"/>
        <v>BACSRCPTS</v>
      </c>
    </row>
    <row r="106" spans="1:11" x14ac:dyDescent="0.25">
      <c r="A106" s="26" t="s">
        <v>114</v>
      </c>
      <c r="B106" s="26" t="s">
        <v>111</v>
      </c>
      <c r="C106" s="26">
        <v>0</v>
      </c>
      <c r="D106" s="27">
        <v>43251</v>
      </c>
      <c r="E106" s="26">
        <v>71405.88</v>
      </c>
      <c r="F106" s="26" t="s">
        <v>553</v>
      </c>
      <c r="G106" s="26" t="s">
        <v>8</v>
      </c>
      <c r="H106" s="26" t="s">
        <v>554</v>
      </c>
      <c r="I106" s="26" t="s">
        <v>106</v>
      </c>
      <c r="J106" s="26">
        <v>0</v>
      </c>
      <c r="K106" s="8" t="str">
        <f t="shared" si="1"/>
        <v>BACSRCPTS</v>
      </c>
    </row>
    <row r="107" spans="1:11" x14ac:dyDescent="0.25">
      <c r="A107" s="26" t="s">
        <v>125</v>
      </c>
      <c r="B107" s="26" t="s">
        <v>111</v>
      </c>
      <c r="C107" s="26">
        <v>0</v>
      </c>
      <c r="D107" s="27">
        <v>43251</v>
      </c>
      <c r="E107" s="26">
        <v>13423.35</v>
      </c>
      <c r="F107" s="26" t="s">
        <v>555</v>
      </c>
      <c r="G107" s="26" t="s">
        <v>8</v>
      </c>
      <c r="H107" s="26" t="s">
        <v>556</v>
      </c>
      <c r="I107" s="26" t="s">
        <v>106</v>
      </c>
      <c r="J107" s="26">
        <v>0</v>
      </c>
      <c r="K107" s="8" t="str">
        <f t="shared" si="1"/>
        <v>BACSRCPTS</v>
      </c>
    </row>
    <row r="108" spans="1:11" x14ac:dyDescent="0.25">
      <c r="A108" s="26" t="s">
        <v>114</v>
      </c>
      <c r="B108" s="26" t="s">
        <v>111</v>
      </c>
      <c r="C108" s="26">
        <v>0</v>
      </c>
      <c r="D108" s="27">
        <v>43252</v>
      </c>
      <c r="E108" s="26">
        <v>88641.78</v>
      </c>
      <c r="F108" s="26" t="s">
        <v>557</v>
      </c>
      <c r="G108" s="26" t="s">
        <v>8</v>
      </c>
      <c r="H108" s="26" t="s">
        <v>558</v>
      </c>
      <c r="I108" s="26" t="s">
        <v>106</v>
      </c>
      <c r="J108" s="26">
        <v>0</v>
      </c>
      <c r="K108" s="8" t="str">
        <f t="shared" si="1"/>
        <v>BACSRCPTS</v>
      </c>
    </row>
    <row r="109" spans="1:11" x14ac:dyDescent="0.25">
      <c r="A109" s="26" t="s">
        <v>125</v>
      </c>
      <c r="B109" s="26" t="s">
        <v>111</v>
      </c>
      <c r="C109" s="26">
        <v>0</v>
      </c>
      <c r="D109" s="27">
        <v>43252</v>
      </c>
      <c r="E109" s="26">
        <v>8419.3799999999992</v>
      </c>
      <c r="F109" s="26" t="s">
        <v>559</v>
      </c>
      <c r="G109" s="26" t="s">
        <v>8</v>
      </c>
      <c r="H109" s="26" t="s">
        <v>560</v>
      </c>
      <c r="I109" s="26" t="s">
        <v>106</v>
      </c>
      <c r="J109" s="26">
        <v>0</v>
      </c>
      <c r="K109" s="8" t="str">
        <f t="shared" si="1"/>
        <v>BACSRCPTS</v>
      </c>
    </row>
    <row r="110" spans="1:11" x14ac:dyDescent="0.25">
      <c r="A110" s="26" t="s">
        <v>114</v>
      </c>
      <c r="B110" s="26" t="s">
        <v>111</v>
      </c>
      <c r="C110" s="26">
        <v>0</v>
      </c>
      <c r="D110" s="27">
        <v>43252</v>
      </c>
      <c r="E110" s="26">
        <v>157585.39000000001</v>
      </c>
      <c r="F110" s="26" t="s">
        <v>561</v>
      </c>
      <c r="G110" s="26" t="s">
        <v>8</v>
      </c>
      <c r="H110" s="26" t="s">
        <v>562</v>
      </c>
      <c r="I110" s="26" t="s">
        <v>106</v>
      </c>
      <c r="J110" s="26">
        <v>0</v>
      </c>
      <c r="K110" s="8" t="str">
        <f t="shared" si="1"/>
        <v>BACSRCPTS</v>
      </c>
    </row>
    <row r="111" spans="1:11" x14ac:dyDescent="0.25">
      <c r="A111" s="26" t="s">
        <v>125</v>
      </c>
      <c r="B111" s="26" t="s">
        <v>111</v>
      </c>
      <c r="C111" s="26">
        <v>0</v>
      </c>
      <c r="D111" s="27">
        <v>43252</v>
      </c>
      <c r="E111" s="26">
        <v>10802.22</v>
      </c>
      <c r="F111" s="26" t="s">
        <v>563</v>
      </c>
      <c r="G111" s="26" t="s">
        <v>8</v>
      </c>
      <c r="H111" s="26" t="s">
        <v>564</v>
      </c>
      <c r="I111" s="26" t="s">
        <v>106</v>
      </c>
      <c r="J111" s="26">
        <v>0</v>
      </c>
      <c r="K111" s="8" t="str">
        <f t="shared" si="1"/>
        <v>BACSRCPTS</v>
      </c>
    </row>
    <row r="112" spans="1:11" x14ac:dyDescent="0.25">
      <c r="A112" s="26" t="s">
        <v>114</v>
      </c>
      <c r="B112" s="26" t="s">
        <v>111</v>
      </c>
      <c r="C112" s="26">
        <v>0</v>
      </c>
      <c r="D112" s="27">
        <v>43252</v>
      </c>
      <c r="E112" s="26">
        <v>286258.94</v>
      </c>
      <c r="F112" s="26" t="s">
        <v>565</v>
      </c>
      <c r="G112" s="26" t="s">
        <v>8</v>
      </c>
      <c r="H112" s="26" t="s">
        <v>566</v>
      </c>
      <c r="I112" s="26" t="s">
        <v>106</v>
      </c>
      <c r="J112" s="26">
        <v>0</v>
      </c>
      <c r="K112" s="8" t="str">
        <f t="shared" si="1"/>
        <v>BACSRCPTS</v>
      </c>
    </row>
    <row r="113" spans="1:11" x14ac:dyDescent="0.25">
      <c r="A113" s="26" t="s">
        <v>125</v>
      </c>
      <c r="B113" s="26" t="s">
        <v>111</v>
      </c>
      <c r="C113" s="26">
        <v>0</v>
      </c>
      <c r="D113" s="27">
        <v>43252</v>
      </c>
      <c r="E113" s="26">
        <v>8260.52</v>
      </c>
      <c r="F113" s="26" t="s">
        <v>567</v>
      </c>
      <c r="G113" s="26" t="s">
        <v>8</v>
      </c>
      <c r="H113" s="26" t="s">
        <v>568</v>
      </c>
      <c r="I113" s="26" t="s">
        <v>106</v>
      </c>
      <c r="J113" s="26">
        <v>0</v>
      </c>
      <c r="K113" s="8" t="str">
        <f t="shared" si="1"/>
        <v>BACSRCPTS</v>
      </c>
    </row>
    <row r="114" spans="1:11" x14ac:dyDescent="0.25">
      <c r="A114" s="26" t="s">
        <v>114</v>
      </c>
      <c r="B114" s="26" t="s">
        <v>111</v>
      </c>
      <c r="C114" s="26">
        <v>0</v>
      </c>
      <c r="D114" s="27">
        <v>43255</v>
      </c>
      <c r="E114" s="26">
        <v>284352.65999999997</v>
      </c>
      <c r="F114" s="26" t="s">
        <v>569</v>
      </c>
      <c r="G114" s="26" t="s">
        <v>8</v>
      </c>
      <c r="H114" s="26" t="s">
        <v>570</v>
      </c>
      <c r="I114" s="26" t="s">
        <v>106</v>
      </c>
      <c r="J114" s="26">
        <v>0</v>
      </c>
      <c r="K114" s="8" t="str">
        <f t="shared" si="1"/>
        <v>BACSRCPTS</v>
      </c>
    </row>
    <row r="115" spans="1:11" x14ac:dyDescent="0.25">
      <c r="A115" s="26" t="s">
        <v>125</v>
      </c>
      <c r="B115" s="26" t="s">
        <v>111</v>
      </c>
      <c r="C115" s="26">
        <v>0</v>
      </c>
      <c r="D115" s="27">
        <v>43255</v>
      </c>
      <c r="E115" s="26">
        <v>10802.22</v>
      </c>
      <c r="F115" s="26" t="s">
        <v>571</v>
      </c>
      <c r="G115" s="26" t="s">
        <v>8</v>
      </c>
      <c r="H115" s="26" t="s">
        <v>572</v>
      </c>
      <c r="I115" s="26" t="s">
        <v>106</v>
      </c>
      <c r="J115" s="26">
        <v>0</v>
      </c>
      <c r="K115" s="8" t="str">
        <f t="shared" si="1"/>
        <v>BACSRCPTS</v>
      </c>
    </row>
    <row r="116" spans="1:11" x14ac:dyDescent="0.25">
      <c r="A116" s="26" t="s">
        <v>114</v>
      </c>
      <c r="B116" s="26" t="s">
        <v>111</v>
      </c>
      <c r="C116" s="26">
        <v>0</v>
      </c>
      <c r="D116" s="27">
        <v>43258</v>
      </c>
      <c r="E116" s="26">
        <v>383478.95</v>
      </c>
      <c r="F116" s="26" t="s">
        <v>573</v>
      </c>
      <c r="G116" s="26" t="s">
        <v>8</v>
      </c>
      <c r="H116" s="26" t="s">
        <v>574</v>
      </c>
      <c r="I116" s="26" t="s">
        <v>106</v>
      </c>
      <c r="J116" s="26">
        <v>0</v>
      </c>
      <c r="K116" s="8" t="str">
        <f t="shared" si="1"/>
        <v>BACSRCPTS</v>
      </c>
    </row>
    <row r="117" spans="1:11" x14ac:dyDescent="0.25">
      <c r="A117" s="26" t="s">
        <v>125</v>
      </c>
      <c r="B117" s="26" t="s">
        <v>111</v>
      </c>
      <c r="C117" s="26">
        <v>0</v>
      </c>
      <c r="D117" s="27">
        <v>43258</v>
      </c>
      <c r="E117" s="26">
        <v>12390.79</v>
      </c>
      <c r="F117" s="26" t="s">
        <v>575</v>
      </c>
      <c r="G117" s="26" t="s">
        <v>8</v>
      </c>
      <c r="H117" s="26" t="s">
        <v>576</v>
      </c>
      <c r="I117" s="26" t="s">
        <v>106</v>
      </c>
      <c r="J117" s="26">
        <v>0</v>
      </c>
      <c r="K117" s="8" t="str">
        <f t="shared" si="1"/>
        <v>BACSRCPTS</v>
      </c>
    </row>
    <row r="118" spans="1:11" x14ac:dyDescent="0.25">
      <c r="A118" s="26" t="s">
        <v>114</v>
      </c>
      <c r="B118" s="26" t="s">
        <v>111</v>
      </c>
      <c r="C118" s="26">
        <v>0</v>
      </c>
      <c r="D118" s="27">
        <v>43259</v>
      </c>
      <c r="E118" s="26">
        <v>979984.11</v>
      </c>
      <c r="F118" s="26" t="s">
        <v>577</v>
      </c>
      <c r="G118" s="26" t="s">
        <v>8</v>
      </c>
      <c r="H118" s="26" t="s">
        <v>578</v>
      </c>
      <c r="I118" s="26" t="s">
        <v>106</v>
      </c>
      <c r="J118" s="26">
        <v>0</v>
      </c>
      <c r="K118" s="8" t="str">
        <f t="shared" si="1"/>
        <v>BACSRCPTS</v>
      </c>
    </row>
    <row r="119" spans="1:11" x14ac:dyDescent="0.25">
      <c r="A119" s="26" t="s">
        <v>125</v>
      </c>
      <c r="B119" s="26" t="s">
        <v>111</v>
      </c>
      <c r="C119" s="26">
        <v>0</v>
      </c>
      <c r="D119" s="27">
        <v>43259</v>
      </c>
      <c r="E119" s="26">
        <v>30023.83</v>
      </c>
      <c r="F119" s="26" t="s">
        <v>579</v>
      </c>
      <c r="G119" s="26" t="s">
        <v>8</v>
      </c>
      <c r="H119" s="26" t="s">
        <v>580</v>
      </c>
      <c r="I119" s="26" t="s">
        <v>106</v>
      </c>
      <c r="J119" s="26">
        <v>0</v>
      </c>
      <c r="K119" s="8" t="str">
        <f t="shared" si="1"/>
        <v>BACSRCPTS</v>
      </c>
    </row>
    <row r="120" spans="1:11" x14ac:dyDescent="0.25">
      <c r="A120" s="26" t="s">
        <v>114</v>
      </c>
      <c r="B120" s="26" t="s">
        <v>111</v>
      </c>
      <c r="C120" s="26">
        <v>0</v>
      </c>
      <c r="D120" s="27">
        <v>43259</v>
      </c>
      <c r="E120" s="26">
        <v>492772.04</v>
      </c>
      <c r="F120" s="26" t="s">
        <v>581</v>
      </c>
      <c r="G120" s="26" t="s">
        <v>8</v>
      </c>
      <c r="H120" s="26" t="s">
        <v>582</v>
      </c>
      <c r="I120" s="26" t="s">
        <v>106</v>
      </c>
      <c r="J120" s="26">
        <v>0</v>
      </c>
      <c r="K120" s="8" t="str">
        <f t="shared" si="1"/>
        <v>BACSRCPTS</v>
      </c>
    </row>
    <row r="121" spans="1:11" x14ac:dyDescent="0.25">
      <c r="A121" s="26" t="s">
        <v>125</v>
      </c>
      <c r="B121" s="26" t="s">
        <v>111</v>
      </c>
      <c r="C121" s="26">
        <v>0</v>
      </c>
      <c r="D121" s="27">
        <v>43259</v>
      </c>
      <c r="E121" s="26">
        <v>17791.900000000001</v>
      </c>
      <c r="F121" s="26" t="s">
        <v>583</v>
      </c>
      <c r="G121" s="26" t="s">
        <v>8</v>
      </c>
      <c r="H121" s="26" t="s">
        <v>584</v>
      </c>
      <c r="I121" s="26" t="s">
        <v>106</v>
      </c>
      <c r="J121" s="26">
        <v>0</v>
      </c>
      <c r="K121" s="8" t="str">
        <f t="shared" si="1"/>
        <v>BACSRCPTS</v>
      </c>
    </row>
    <row r="122" spans="1:11" x14ac:dyDescent="0.25">
      <c r="A122" s="26" t="s">
        <v>114</v>
      </c>
      <c r="B122" s="26" t="s">
        <v>111</v>
      </c>
      <c r="C122" s="26">
        <v>0</v>
      </c>
      <c r="D122" s="27">
        <v>43259</v>
      </c>
      <c r="E122" s="26">
        <v>675774.42</v>
      </c>
      <c r="F122" s="26" t="s">
        <v>585</v>
      </c>
      <c r="G122" s="26" t="s">
        <v>8</v>
      </c>
      <c r="H122" s="26" t="s">
        <v>586</v>
      </c>
      <c r="I122" s="26" t="s">
        <v>106</v>
      </c>
      <c r="J122" s="26">
        <v>0</v>
      </c>
      <c r="K122" s="8" t="str">
        <f t="shared" si="1"/>
        <v>BACSRCPTS</v>
      </c>
    </row>
    <row r="123" spans="1:11" x14ac:dyDescent="0.25">
      <c r="A123" s="26" t="s">
        <v>125</v>
      </c>
      <c r="B123" s="26" t="s">
        <v>111</v>
      </c>
      <c r="C123" s="26">
        <v>0</v>
      </c>
      <c r="D123" s="27">
        <v>43259</v>
      </c>
      <c r="E123" s="26">
        <v>13423.35</v>
      </c>
      <c r="F123" s="26" t="s">
        <v>587</v>
      </c>
      <c r="G123" s="26" t="s">
        <v>8</v>
      </c>
      <c r="H123" s="26" t="s">
        <v>588</v>
      </c>
      <c r="I123" s="26" t="s">
        <v>106</v>
      </c>
      <c r="J123" s="26">
        <v>0</v>
      </c>
      <c r="K123" s="8" t="str">
        <f t="shared" si="1"/>
        <v>BACSRCPTS</v>
      </c>
    </row>
    <row r="124" spans="1:11" x14ac:dyDescent="0.25">
      <c r="A124" s="26" t="s">
        <v>114</v>
      </c>
      <c r="B124" s="26" t="s">
        <v>111</v>
      </c>
      <c r="C124" s="26">
        <v>0</v>
      </c>
      <c r="D124" s="27">
        <v>43262</v>
      </c>
      <c r="E124" s="26">
        <v>3748292.3</v>
      </c>
      <c r="F124" s="26" t="s">
        <v>589</v>
      </c>
      <c r="G124" s="26" t="s">
        <v>8</v>
      </c>
      <c r="H124" s="26" t="s">
        <v>590</v>
      </c>
      <c r="I124" s="26" t="s">
        <v>106</v>
      </c>
      <c r="J124" s="26">
        <v>0</v>
      </c>
      <c r="K124" s="8" t="str">
        <f t="shared" si="1"/>
        <v>BACSRCPTS</v>
      </c>
    </row>
    <row r="125" spans="1:11" x14ac:dyDescent="0.25">
      <c r="A125" s="26" t="s">
        <v>125</v>
      </c>
      <c r="B125" s="26" t="s">
        <v>111</v>
      </c>
      <c r="C125" s="26">
        <v>0</v>
      </c>
      <c r="D125" s="27">
        <v>43262</v>
      </c>
      <c r="E125" s="26">
        <v>37331.22</v>
      </c>
      <c r="F125" s="26" t="s">
        <v>591</v>
      </c>
      <c r="G125" s="26" t="s">
        <v>8</v>
      </c>
      <c r="H125" s="26" t="s">
        <v>592</v>
      </c>
      <c r="I125" s="26" t="s">
        <v>106</v>
      </c>
      <c r="J125" s="26">
        <v>0</v>
      </c>
      <c r="K125" s="8" t="str">
        <f t="shared" si="1"/>
        <v>BACSRCPTS</v>
      </c>
    </row>
    <row r="126" spans="1:11" x14ac:dyDescent="0.25">
      <c r="A126" s="26" t="s">
        <v>114</v>
      </c>
      <c r="B126" s="26" t="s">
        <v>111</v>
      </c>
      <c r="C126" s="26">
        <v>0</v>
      </c>
      <c r="D126" s="27">
        <v>43265</v>
      </c>
      <c r="E126" s="26">
        <v>137569.5</v>
      </c>
      <c r="F126" s="26" t="s">
        <v>593</v>
      </c>
      <c r="G126" s="26" t="s">
        <v>8</v>
      </c>
      <c r="H126" s="26" t="s">
        <v>594</v>
      </c>
      <c r="I126" s="26" t="s">
        <v>106</v>
      </c>
      <c r="J126" s="26">
        <v>0</v>
      </c>
      <c r="K126" s="8" t="str">
        <f t="shared" si="1"/>
        <v>BACSRCPTS</v>
      </c>
    </row>
    <row r="127" spans="1:11" x14ac:dyDescent="0.25">
      <c r="A127" s="26" t="s">
        <v>125</v>
      </c>
      <c r="B127" s="26" t="s">
        <v>111</v>
      </c>
      <c r="C127" s="26">
        <v>0</v>
      </c>
      <c r="D127" s="27">
        <v>43265</v>
      </c>
      <c r="E127" s="26">
        <v>37410.639999999999</v>
      </c>
      <c r="F127" s="26" t="s">
        <v>595</v>
      </c>
      <c r="G127" s="26" t="s">
        <v>8</v>
      </c>
      <c r="H127" s="26" t="s">
        <v>596</v>
      </c>
      <c r="I127" s="26" t="s">
        <v>106</v>
      </c>
      <c r="J127" s="26">
        <v>0</v>
      </c>
      <c r="K127" s="8" t="str">
        <f t="shared" si="1"/>
        <v>BACSRCPTS</v>
      </c>
    </row>
    <row r="128" spans="1:11" x14ac:dyDescent="0.25">
      <c r="A128" s="26" t="s">
        <v>114</v>
      </c>
      <c r="B128" s="26" t="s">
        <v>111</v>
      </c>
      <c r="C128" s="26">
        <v>0</v>
      </c>
      <c r="D128" s="27">
        <v>43266</v>
      </c>
      <c r="E128" s="26">
        <v>146544.88</v>
      </c>
      <c r="F128" s="26" t="s">
        <v>597</v>
      </c>
      <c r="G128" s="26" t="s">
        <v>8</v>
      </c>
      <c r="H128" s="26" t="s">
        <v>598</v>
      </c>
      <c r="I128" s="26" t="s">
        <v>106</v>
      </c>
      <c r="J128" s="26">
        <v>0</v>
      </c>
      <c r="K128" s="8" t="str">
        <f t="shared" si="1"/>
        <v>BACSRCPTS</v>
      </c>
    </row>
    <row r="129" spans="1:11" x14ac:dyDescent="0.25">
      <c r="A129" s="26" t="s">
        <v>125</v>
      </c>
      <c r="B129" s="26" t="s">
        <v>111</v>
      </c>
      <c r="C129" s="26">
        <v>0</v>
      </c>
      <c r="D129" s="27">
        <v>43266</v>
      </c>
      <c r="E129" s="26">
        <v>52263.7</v>
      </c>
      <c r="F129" s="26" t="s">
        <v>599</v>
      </c>
      <c r="G129" s="26" t="s">
        <v>8</v>
      </c>
      <c r="H129" s="26" t="s">
        <v>600</v>
      </c>
      <c r="I129" s="26" t="s">
        <v>106</v>
      </c>
      <c r="J129" s="26">
        <v>0</v>
      </c>
      <c r="K129" s="8" t="str">
        <f t="shared" si="1"/>
        <v>BACSRCPTS</v>
      </c>
    </row>
    <row r="130" spans="1:11" x14ac:dyDescent="0.25">
      <c r="A130" s="26" t="s">
        <v>114</v>
      </c>
      <c r="B130" s="26" t="s">
        <v>111</v>
      </c>
      <c r="C130" s="26">
        <v>0</v>
      </c>
      <c r="D130" s="27">
        <v>43266</v>
      </c>
      <c r="E130" s="26">
        <v>313264.5</v>
      </c>
      <c r="F130" s="26" t="s">
        <v>601</v>
      </c>
      <c r="G130" s="26" t="s">
        <v>8</v>
      </c>
      <c r="H130" s="26" t="s">
        <v>602</v>
      </c>
      <c r="I130" s="26" t="s">
        <v>106</v>
      </c>
      <c r="J130" s="26">
        <v>0</v>
      </c>
      <c r="K130" s="8" t="str">
        <f t="shared" si="1"/>
        <v>BACSRCPTS</v>
      </c>
    </row>
    <row r="131" spans="1:11" x14ac:dyDescent="0.25">
      <c r="A131" s="26" t="s">
        <v>125</v>
      </c>
      <c r="B131" s="26" t="s">
        <v>111</v>
      </c>
      <c r="C131" s="26">
        <v>0</v>
      </c>
      <c r="D131" s="27">
        <v>43266</v>
      </c>
      <c r="E131" s="26">
        <v>115011.91</v>
      </c>
      <c r="F131" s="26" t="s">
        <v>603</v>
      </c>
      <c r="G131" s="26" t="s">
        <v>8</v>
      </c>
      <c r="H131" s="26" t="s">
        <v>604</v>
      </c>
      <c r="I131" s="26" t="s">
        <v>106</v>
      </c>
      <c r="J131" s="26">
        <v>0</v>
      </c>
      <c r="K131" s="8" t="str">
        <f t="shared" ref="K131:K194" si="2">LEFT(A131,FIND("/",A131)-1)</f>
        <v>BACSRCPTS</v>
      </c>
    </row>
    <row r="132" spans="1:11" x14ac:dyDescent="0.25">
      <c r="A132" s="26" t="s">
        <v>114</v>
      </c>
      <c r="B132" s="26" t="s">
        <v>111</v>
      </c>
      <c r="C132" s="26">
        <v>0</v>
      </c>
      <c r="D132" s="27">
        <v>43266</v>
      </c>
      <c r="E132" s="26">
        <v>365131.06</v>
      </c>
      <c r="F132" s="26" t="s">
        <v>605</v>
      </c>
      <c r="G132" s="26" t="s">
        <v>8</v>
      </c>
      <c r="H132" s="26" t="s">
        <v>606</v>
      </c>
      <c r="I132" s="26" t="s">
        <v>106</v>
      </c>
      <c r="J132" s="26">
        <v>0</v>
      </c>
      <c r="K132" s="8" t="str">
        <f t="shared" si="2"/>
        <v>BACSRCPTS</v>
      </c>
    </row>
    <row r="133" spans="1:11" x14ac:dyDescent="0.25">
      <c r="A133" s="26" t="s">
        <v>125</v>
      </c>
      <c r="B133" s="26" t="s">
        <v>111</v>
      </c>
      <c r="C133" s="26">
        <v>0</v>
      </c>
      <c r="D133" s="27">
        <v>43266</v>
      </c>
      <c r="E133" s="26">
        <v>110881.65</v>
      </c>
      <c r="F133" s="26" t="s">
        <v>607</v>
      </c>
      <c r="G133" s="26" t="s">
        <v>8</v>
      </c>
      <c r="H133" s="26" t="s">
        <v>608</v>
      </c>
      <c r="I133" s="26" t="s">
        <v>106</v>
      </c>
      <c r="J133" s="26">
        <v>0</v>
      </c>
      <c r="K133" s="8" t="str">
        <f t="shared" si="2"/>
        <v>BACSRCPTS</v>
      </c>
    </row>
    <row r="134" spans="1:11" x14ac:dyDescent="0.25">
      <c r="A134" s="26" t="s">
        <v>114</v>
      </c>
      <c r="B134" s="26" t="s">
        <v>111</v>
      </c>
      <c r="C134" s="26">
        <v>0</v>
      </c>
      <c r="D134" s="27">
        <v>43269</v>
      </c>
      <c r="E134" s="26">
        <v>717394.76</v>
      </c>
      <c r="F134" s="26" t="s">
        <v>609</v>
      </c>
      <c r="G134" s="26" t="s">
        <v>8</v>
      </c>
      <c r="H134" s="26" t="s">
        <v>610</v>
      </c>
      <c r="I134" s="26" t="s">
        <v>106</v>
      </c>
      <c r="J134" s="26">
        <v>0</v>
      </c>
      <c r="K134" s="8" t="str">
        <f t="shared" si="2"/>
        <v>BACSRCPTS</v>
      </c>
    </row>
    <row r="135" spans="1:11" x14ac:dyDescent="0.25">
      <c r="A135" s="26" t="s">
        <v>125</v>
      </c>
      <c r="B135" s="26" t="s">
        <v>111</v>
      </c>
      <c r="C135" s="26">
        <v>0</v>
      </c>
      <c r="D135" s="27">
        <v>43269</v>
      </c>
      <c r="E135" s="26">
        <v>733915.81</v>
      </c>
      <c r="F135" s="26" t="s">
        <v>611</v>
      </c>
      <c r="G135" s="26" t="s">
        <v>8</v>
      </c>
      <c r="H135" s="26" t="s">
        <v>612</v>
      </c>
      <c r="I135" s="26" t="s">
        <v>106</v>
      </c>
      <c r="J135" s="26">
        <v>0</v>
      </c>
      <c r="K135" s="8" t="str">
        <f t="shared" si="2"/>
        <v>BACSRCPTS</v>
      </c>
    </row>
    <row r="136" spans="1:11" x14ac:dyDescent="0.25">
      <c r="A136" s="26" t="s">
        <v>114</v>
      </c>
      <c r="B136" s="26" t="s">
        <v>111</v>
      </c>
      <c r="C136" s="26">
        <v>0</v>
      </c>
      <c r="D136" s="27">
        <v>43272</v>
      </c>
      <c r="E136" s="26">
        <v>261000.79</v>
      </c>
      <c r="F136" s="26" t="s">
        <v>613</v>
      </c>
      <c r="G136" s="26" t="s">
        <v>8</v>
      </c>
      <c r="H136" s="26" t="s">
        <v>614</v>
      </c>
      <c r="I136" s="26" t="s">
        <v>106</v>
      </c>
      <c r="J136" s="26">
        <v>0</v>
      </c>
      <c r="K136" s="8" t="str">
        <f t="shared" si="2"/>
        <v>BACSRCPTS</v>
      </c>
    </row>
    <row r="137" spans="1:11" x14ac:dyDescent="0.25">
      <c r="A137" s="26" t="s">
        <v>125</v>
      </c>
      <c r="B137" s="26" t="s">
        <v>111</v>
      </c>
      <c r="C137" s="26">
        <v>0</v>
      </c>
      <c r="D137" s="27">
        <v>43272</v>
      </c>
      <c r="E137" s="26">
        <v>79984.11</v>
      </c>
      <c r="F137" s="26" t="s">
        <v>615</v>
      </c>
      <c r="G137" s="26" t="s">
        <v>8</v>
      </c>
      <c r="H137" s="26" t="s">
        <v>616</v>
      </c>
      <c r="I137" s="26" t="s">
        <v>106</v>
      </c>
      <c r="J137" s="26">
        <v>0</v>
      </c>
      <c r="K137" s="8" t="str">
        <f t="shared" si="2"/>
        <v>BACSRCPTS</v>
      </c>
    </row>
    <row r="138" spans="1:11" x14ac:dyDescent="0.25">
      <c r="A138" s="26" t="s">
        <v>114</v>
      </c>
      <c r="B138" s="26" t="s">
        <v>111</v>
      </c>
      <c r="C138" s="26">
        <v>0</v>
      </c>
      <c r="D138" s="27">
        <v>43273</v>
      </c>
      <c r="E138" s="26">
        <v>204130.26</v>
      </c>
      <c r="F138" s="26" t="s">
        <v>617</v>
      </c>
      <c r="G138" s="26" t="s">
        <v>8</v>
      </c>
      <c r="H138" s="26" t="s">
        <v>618</v>
      </c>
      <c r="I138" s="26" t="s">
        <v>106</v>
      </c>
      <c r="J138" s="26">
        <v>0</v>
      </c>
      <c r="K138" s="8" t="str">
        <f t="shared" si="2"/>
        <v>BACSRCPTS</v>
      </c>
    </row>
    <row r="139" spans="1:11" x14ac:dyDescent="0.25">
      <c r="A139" s="26" t="s">
        <v>125</v>
      </c>
      <c r="B139" s="26" t="s">
        <v>111</v>
      </c>
      <c r="C139" s="26">
        <v>0</v>
      </c>
      <c r="D139" s="27">
        <v>43273</v>
      </c>
      <c r="E139" s="26">
        <v>98808.58</v>
      </c>
      <c r="F139" s="26" t="s">
        <v>619</v>
      </c>
      <c r="G139" s="26" t="s">
        <v>8</v>
      </c>
      <c r="H139" s="26" t="s">
        <v>620</v>
      </c>
      <c r="I139" s="26" t="s">
        <v>106</v>
      </c>
      <c r="J139" s="26">
        <v>0</v>
      </c>
      <c r="K139" s="8" t="str">
        <f t="shared" si="2"/>
        <v>BACSRCPTS</v>
      </c>
    </row>
    <row r="140" spans="1:11" x14ac:dyDescent="0.25">
      <c r="A140" s="26" t="s">
        <v>114</v>
      </c>
      <c r="B140" s="26" t="s">
        <v>111</v>
      </c>
      <c r="C140" s="26">
        <v>0</v>
      </c>
      <c r="D140" s="27">
        <v>43273</v>
      </c>
      <c r="E140" s="26">
        <v>178633.84</v>
      </c>
      <c r="F140" s="26" t="s">
        <v>621</v>
      </c>
      <c r="G140" s="26" t="s">
        <v>8</v>
      </c>
      <c r="H140" s="26" t="s">
        <v>622</v>
      </c>
      <c r="I140" s="26" t="s">
        <v>106</v>
      </c>
      <c r="J140" s="26">
        <v>0</v>
      </c>
      <c r="K140" s="8" t="str">
        <f t="shared" si="2"/>
        <v>BACSRCPTS</v>
      </c>
    </row>
    <row r="141" spans="1:11" x14ac:dyDescent="0.25">
      <c r="A141" s="26" t="s">
        <v>125</v>
      </c>
      <c r="B141" s="26" t="s">
        <v>111</v>
      </c>
      <c r="C141" s="26">
        <v>0</v>
      </c>
      <c r="D141" s="27">
        <v>43273</v>
      </c>
      <c r="E141" s="26">
        <v>104924.54</v>
      </c>
      <c r="F141" s="26" t="s">
        <v>623</v>
      </c>
      <c r="G141" s="26" t="s">
        <v>8</v>
      </c>
      <c r="H141" s="26" t="s">
        <v>624</v>
      </c>
      <c r="I141" s="26" t="s">
        <v>106</v>
      </c>
      <c r="J141" s="26">
        <v>0</v>
      </c>
      <c r="K141" s="8" t="str">
        <f t="shared" si="2"/>
        <v>BACSRCPTS</v>
      </c>
    </row>
    <row r="142" spans="1:11" x14ac:dyDescent="0.25">
      <c r="A142" s="26" t="s">
        <v>114</v>
      </c>
      <c r="B142" s="26" t="s">
        <v>111</v>
      </c>
      <c r="C142" s="26">
        <v>0</v>
      </c>
      <c r="D142" s="27">
        <v>43273</v>
      </c>
      <c r="E142" s="26">
        <v>68149.320000000007</v>
      </c>
      <c r="F142" s="26" t="s">
        <v>625</v>
      </c>
      <c r="G142" s="26" t="s">
        <v>8</v>
      </c>
      <c r="H142" s="26" t="s">
        <v>626</v>
      </c>
      <c r="I142" s="26" t="s">
        <v>106</v>
      </c>
      <c r="J142" s="26">
        <v>0</v>
      </c>
      <c r="K142" s="8" t="str">
        <f t="shared" si="2"/>
        <v>BACSRCPTS</v>
      </c>
    </row>
    <row r="143" spans="1:11" x14ac:dyDescent="0.25">
      <c r="A143" s="26" t="s">
        <v>125</v>
      </c>
      <c r="B143" s="26" t="s">
        <v>111</v>
      </c>
      <c r="C143" s="26">
        <v>0</v>
      </c>
      <c r="D143" s="27">
        <v>43273</v>
      </c>
      <c r="E143" s="26">
        <v>121286.74</v>
      </c>
      <c r="F143" s="26" t="s">
        <v>627</v>
      </c>
      <c r="G143" s="26" t="s">
        <v>8</v>
      </c>
      <c r="H143" s="26" t="s">
        <v>628</v>
      </c>
      <c r="I143" s="26" t="s">
        <v>106</v>
      </c>
      <c r="J143" s="26">
        <v>0</v>
      </c>
      <c r="K143" s="8" t="str">
        <f t="shared" si="2"/>
        <v>BACSRCPTS</v>
      </c>
    </row>
    <row r="144" spans="1:11" x14ac:dyDescent="0.25">
      <c r="A144" s="26" t="s">
        <v>114</v>
      </c>
      <c r="B144" s="26" t="s">
        <v>111</v>
      </c>
      <c r="C144" s="26">
        <v>0</v>
      </c>
      <c r="D144" s="27">
        <v>43276</v>
      </c>
      <c r="E144" s="26">
        <v>67434.47</v>
      </c>
      <c r="F144" s="26" t="s">
        <v>629</v>
      </c>
      <c r="G144" s="26" t="s">
        <v>8</v>
      </c>
      <c r="H144" s="26" t="s">
        <v>630</v>
      </c>
      <c r="I144" s="26" t="s">
        <v>106</v>
      </c>
      <c r="J144" s="26">
        <v>0</v>
      </c>
      <c r="K144" s="8" t="str">
        <f t="shared" si="2"/>
        <v>BACSRCPTS</v>
      </c>
    </row>
    <row r="145" spans="1:11" x14ac:dyDescent="0.25">
      <c r="A145" s="26" t="s">
        <v>125</v>
      </c>
      <c r="B145" s="26" t="s">
        <v>111</v>
      </c>
      <c r="C145" s="26">
        <v>0</v>
      </c>
      <c r="D145" s="27">
        <v>43276</v>
      </c>
      <c r="E145" s="26">
        <v>576727.56000000006</v>
      </c>
      <c r="F145" s="26" t="s">
        <v>631</v>
      </c>
      <c r="G145" s="26" t="s">
        <v>8</v>
      </c>
      <c r="H145" s="26" t="s">
        <v>632</v>
      </c>
      <c r="I145" s="26" t="s">
        <v>106</v>
      </c>
      <c r="J145" s="26">
        <v>0</v>
      </c>
      <c r="K145" s="8" t="str">
        <f t="shared" si="2"/>
        <v>BACSRCPTS</v>
      </c>
    </row>
    <row r="146" spans="1:11" x14ac:dyDescent="0.25">
      <c r="A146" s="26" t="s">
        <v>114</v>
      </c>
      <c r="B146" s="26" t="s">
        <v>111</v>
      </c>
      <c r="C146" s="26">
        <v>0</v>
      </c>
      <c r="D146" s="27">
        <v>43279</v>
      </c>
      <c r="E146" s="26">
        <v>50595.71</v>
      </c>
      <c r="F146" s="26" t="s">
        <v>633</v>
      </c>
      <c r="G146" s="26" t="s">
        <v>8</v>
      </c>
      <c r="H146" s="26" t="s">
        <v>634</v>
      </c>
      <c r="I146" s="26" t="s">
        <v>106</v>
      </c>
      <c r="J146" s="26">
        <v>0</v>
      </c>
      <c r="K146" s="8" t="str">
        <f t="shared" si="2"/>
        <v>BACSRCPTS</v>
      </c>
    </row>
    <row r="147" spans="1:11" x14ac:dyDescent="0.25">
      <c r="A147" s="26" t="s">
        <v>125</v>
      </c>
      <c r="B147" s="26" t="s">
        <v>111</v>
      </c>
      <c r="C147" s="26">
        <v>0</v>
      </c>
      <c r="D147" s="27">
        <v>43279</v>
      </c>
      <c r="E147" s="26">
        <v>48133.440000000002</v>
      </c>
      <c r="F147" s="26" t="s">
        <v>635</v>
      </c>
      <c r="G147" s="26" t="s">
        <v>8</v>
      </c>
      <c r="H147" s="26" t="s">
        <v>636</v>
      </c>
      <c r="I147" s="26" t="s">
        <v>106</v>
      </c>
      <c r="J147" s="26">
        <v>0</v>
      </c>
      <c r="K147" s="8" t="str">
        <f t="shared" si="2"/>
        <v>BACSRCPTS</v>
      </c>
    </row>
    <row r="148" spans="1:11" x14ac:dyDescent="0.25">
      <c r="A148" s="26" t="s">
        <v>114</v>
      </c>
      <c r="B148" s="26" t="s">
        <v>111</v>
      </c>
      <c r="C148" s="26">
        <v>0</v>
      </c>
      <c r="D148" s="27">
        <v>43280</v>
      </c>
      <c r="E148" s="26">
        <v>51787.13</v>
      </c>
      <c r="F148" s="26" t="s">
        <v>637</v>
      </c>
      <c r="G148" s="26" t="s">
        <v>8</v>
      </c>
      <c r="H148" s="26" t="s">
        <v>638</v>
      </c>
      <c r="I148" s="26" t="s">
        <v>106</v>
      </c>
      <c r="J148" s="26">
        <v>0</v>
      </c>
      <c r="K148" s="8" t="str">
        <f t="shared" si="2"/>
        <v>BACSRCPTS</v>
      </c>
    </row>
    <row r="149" spans="1:11" x14ac:dyDescent="0.25">
      <c r="A149" s="26" t="s">
        <v>125</v>
      </c>
      <c r="B149" s="26" t="s">
        <v>111</v>
      </c>
      <c r="C149" s="26">
        <v>0</v>
      </c>
      <c r="D149" s="27">
        <v>43280</v>
      </c>
      <c r="E149" s="26">
        <v>30182.68</v>
      </c>
      <c r="F149" s="26" t="s">
        <v>639</v>
      </c>
      <c r="G149" s="26" t="s">
        <v>8</v>
      </c>
      <c r="H149" s="26" t="s">
        <v>640</v>
      </c>
      <c r="I149" s="26" t="s">
        <v>106</v>
      </c>
      <c r="J149" s="26">
        <v>0</v>
      </c>
      <c r="K149" s="8" t="str">
        <f t="shared" si="2"/>
        <v>BACSRCPTS</v>
      </c>
    </row>
    <row r="150" spans="1:11" x14ac:dyDescent="0.25">
      <c r="A150" s="26" t="s">
        <v>114</v>
      </c>
      <c r="B150" s="26" t="s">
        <v>111</v>
      </c>
      <c r="C150" s="26">
        <v>0</v>
      </c>
      <c r="D150" s="27">
        <v>43280</v>
      </c>
      <c r="E150" s="26">
        <v>64892.77</v>
      </c>
      <c r="F150" s="26" t="s">
        <v>641</v>
      </c>
      <c r="G150" s="26" t="s">
        <v>8</v>
      </c>
      <c r="H150" s="26" t="s">
        <v>642</v>
      </c>
      <c r="I150" s="26" t="s">
        <v>106</v>
      </c>
      <c r="J150" s="26">
        <v>0</v>
      </c>
      <c r="K150" s="8" t="str">
        <f t="shared" si="2"/>
        <v>BACSRCPTS</v>
      </c>
    </row>
    <row r="151" spans="1:11" x14ac:dyDescent="0.25">
      <c r="A151" s="26" t="s">
        <v>125</v>
      </c>
      <c r="B151" s="26" t="s">
        <v>111</v>
      </c>
      <c r="C151" s="26">
        <v>0</v>
      </c>
      <c r="D151" s="27">
        <v>43280</v>
      </c>
      <c r="E151" s="26">
        <v>20730.740000000002</v>
      </c>
      <c r="F151" s="26" t="s">
        <v>643</v>
      </c>
      <c r="G151" s="26" t="s">
        <v>8</v>
      </c>
      <c r="H151" s="26" t="s">
        <v>644</v>
      </c>
      <c r="I151" s="26" t="s">
        <v>106</v>
      </c>
      <c r="J151" s="26">
        <v>0</v>
      </c>
      <c r="K151" s="8" t="str">
        <f t="shared" si="2"/>
        <v>BACSRCPTS</v>
      </c>
    </row>
    <row r="152" spans="1:11" x14ac:dyDescent="0.25">
      <c r="A152" s="26" t="s">
        <v>114</v>
      </c>
      <c r="B152" s="26" t="s">
        <v>111</v>
      </c>
      <c r="C152" s="26">
        <v>0</v>
      </c>
      <c r="D152" s="27">
        <v>43280</v>
      </c>
      <c r="E152" s="26">
        <v>71247.02</v>
      </c>
      <c r="F152" s="26" t="s">
        <v>645</v>
      </c>
      <c r="G152" s="26" t="s">
        <v>8</v>
      </c>
      <c r="H152" s="26" t="s">
        <v>646</v>
      </c>
      <c r="I152" s="26" t="s">
        <v>106</v>
      </c>
      <c r="J152" s="26">
        <v>0</v>
      </c>
      <c r="K152" s="8" t="str">
        <f t="shared" si="2"/>
        <v>BACSRCPTS</v>
      </c>
    </row>
    <row r="153" spans="1:11" x14ac:dyDescent="0.25">
      <c r="A153" s="26" t="s">
        <v>125</v>
      </c>
      <c r="B153" s="26" t="s">
        <v>111</v>
      </c>
      <c r="C153" s="26">
        <v>0</v>
      </c>
      <c r="D153" s="27">
        <v>43280</v>
      </c>
      <c r="E153" s="26">
        <v>13026.21</v>
      </c>
      <c r="F153" s="26" t="s">
        <v>647</v>
      </c>
      <c r="G153" s="26" t="s">
        <v>8</v>
      </c>
      <c r="H153" s="26" t="s">
        <v>648</v>
      </c>
      <c r="I153" s="26" t="s">
        <v>106</v>
      </c>
      <c r="J153" s="26">
        <v>0</v>
      </c>
      <c r="K153" s="8" t="str">
        <f t="shared" si="2"/>
        <v>BACSRCPTS</v>
      </c>
    </row>
    <row r="154" spans="1:11" x14ac:dyDescent="0.25">
      <c r="A154" s="26" t="s">
        <v>114</v>
      </c>
      <c r="B154" s="26" t="s">
        <v>111</v>
      </c>
      <c r="C154" s="26">
        <v>0</v>
      </c>
      <c r="D154" s="27">
        <v>43283</v>
      </c>
      <c r="E154" s="26">
        <v>112867.36</v>
      </c>
      <c r="F154" s="26" t="s">
        <v>649</v>
      </c>
      <c r="G154" s="26" t="s">
        <v>8</v>
      </c>
      <c r="H154" s="26" t="s">
        <v>650</v>
      </c>
      <c r="I154" s="26" t="s">
        <v>106</v>
      </c>
      <c r="J154" s="26">
        <v>0</v>
      </c>
      <c r="K154" s="8" t="str">
        <f t="shared" si="2"/>
        <v>BACSRCPTS</v>
      </c>
    </row>
    <row r="155" spans="1:11" x14ac:dyDescent="0.25">
      <c r="A155" s="26" t="s">
        <v>125</v>
      </c>
      <c r="B155" s="26" t="s">
        <v>111</v>
      </c>
      <c r="C155" s="26">
        <v>0</v>
      </c>
      <c r="D155" s="27">
        <v>43283</v>
      </c>
      <c r="E155" s="26">
        <v>13502.78</v>
      </c>
      <c r="F155" s="26" t="s">
        <v>651</v>
      </c>
      <c r="G155" s="26" t="s">
        <v>8</v>
      </c>
      <c r="H155" s="26" t="s">
        <v>652</v>
      </c>
      <c r="I155" s="26" t="s">
        <v>106</v>
      </c>
      <c r="J155" s="26">
        <v>0</v>
      </c>
      <c r="K155" s="8" t="str">
        <f t="shared" si="2"/>
        <v>BACSRCPTS</v>
      </c>
    </row>
    <row r="156" spans="1:11" x14ac:dyDescent="0.25">
      <c r="A156" s="26" t="s">
        <v>114</v>
      </c>
      <c r="B156" s="26" t="s">
        <v>111</v>
      </c>
      <c r="C156" s="26">
        <v>0</v>
      </c>
      <c r="D156" s="27">
        <v>43286</v>
      </c>
      <c r="E156" s="26">
        <v>113502.78</v>
      </c>
      <c r="F156" s="26" t="s">
        <v>653</v>
      </c>
      <c r="G156" s="26" t="s">
        <v>8</v>
      </c>
      <c r="H156" s="26" t="s">
        <v>654</v>
      </c>
      <c r="I156" s="26" t="s">
        <v>106</v>
      </c>
      <c r="J156" s="26">
        <v>0</v>
      </c>
      <c r="K156" s="8" t="str">
        <f t="shared" si="2"/>
        <v>BACSRCPTS</v>
      </c>
    </row>
    <row r="157" spans="1:11" x14ac:dyDescent="0.25">
      <c r="A157" s="26" t="s">
        <v>125</v>
      </c>
      <c r="B157" s="26" t="s">
        <v>111</v>
      </c>
      <c r="C157" s="26">
        <v>0</v>
      </c>
      <c r="D157" s="27">
        <v>43286</v>
      </c>
      <c r="E157" s="26">
        <v>17633.04</v>
      </c>
      <c r="F157" s="26" t="s">
        <v>655</v>
      </c>
      <c r="G157" s="26" t="s">
        <v>8</v>
      </c>
      <c r="H157" s="26" t="s">
        <v>656</v>
      </c>
      <c r="I157" s="26" t="s">
        <v>106</v>
      </c>
      <c r="J157" s="26">
        <v>0</v>
      </c>
      <c r="K157" s="8" t="str">
        <f t="shared" si="2"/>
        <v>BACSRCPTS</v>
      </c>
    </row>
    <row r="158" spans="1:11" x14ac:dyDescent="0.25">
      <c r="A158" s="26" t="s">
        <v>114</v>
      </c>
      <c r="B158" s="26" t="s">
        <v>111</v>
      </c>
      <c r="C158" s="26">
        <v>0</v>
      </c>
      <c r="D158" s="27">
        <v>43287</v>
      </c>
      <c r="E158" s="26">
        <v>151231.14000000001</v>
      </c>
      <c r="F158" s="26" t="s">
        <v>657</v>
      </c>
      <c r="G158" s="26" t="s">
        <v>8</v>
      </c>
      <c r="H158" s="26" t="s">
        <v>658</v>
      </c>
      <c r="I158" s="26" t="s">
        <v>106</v>
      </c>
      <c r="J158" s="26">
        <v>0</v>
      </c>
      <c r="K158" s="8" t="str">
        <f t="shared" si="2"/>
        <v>BACSRCPTS</v>
      </c>
    </row>
    <row r="159" spans="1:11" x14ac:dyDescent="0.25">
      <c r="A159" s="26" t="s">
        <v>125</v>
      </c>
      <c r="B159" s="26" t="s">
        <v>111</v>
      </c>
      <c r="C159" s="26">
        <v>0</v>
      </c>
      <c r="D159" s="27">
        <v>43287</v>
      </c>
      <c r="E159" s="26">
        <v>11596.51</v>
      </c>
      <c r="F159" s="26" t="s">
        <v>659</v>
      </c>
      <c r="G159" s="26" t="s">
        <v>8</v>
      </c>
      <c r="H159" s="26" t="s">
        <v>660</v>
      </c>
      <c r="I159" s="26" t="s">
        <v>106</v>
      </c>
      <c r="J159" s="26">
        <v>0</v>
      </c>
      <c r="K159" s="8" t="str">
        <f t="shared" si="2"/>
        <v>BACSRCPTS</v>
      </c>
    </row>
    <row r="160" spans="1:11" x14ac:dyDescent="0.25">
      <c r="A160" s="26" t="s">
        <v>114</v>
      </c>
      <c r="B160" s="26" t="s">
        <v>111</v>
      </c>
      <c r="C160" s="26">
        <v>0</v>
      </c>
      <c r="D160" s="27">
        <v>43287</v>
      </c>
      <c r="E160" s="26">
        <v>189674.34</v>
      </c>
      <c r="F160" s="26" t="s">
        <v>661</v>
      </c>
      <c r="G160" s="26" t="s">
        <v>8</v>
      </c>
      <c r="H160" s="26" t="s">
        <v>662</v>
      </c>
      <c r="I160" s="26" t="s">
        <v>106</v>
      </c>
      <c r="J160" s="26">
        <v>0</v>
      </c>
      <c r="K160" s="8" t="str">
        <f t="shared" si="2"/>
        <v>BACSRCPTS</v>
      </c>
    </row>
    <row r="161" spans="1:11" x14ac:dyDescent="0.25">
      <c r="A161" s="26" t="s">
        <v>125</v>
      </c>
      <c r="B161" s="26" t="s">
        <v>111</v>
      </c>
      <c r="C161" s="26">
        <v>0</v>
      </c>
      <c r="D161" s="27">
        <v>43287</v>
      </c>
      <c r="E161" s="26">
        <v>13105.64</v>
      </c>
      <c r="F161" s="26" t="s">
        <v>663</v>
      </c>
      <c r="G161" s="26" t="s">
        <v>8</v>
      </c>
      <c r="H161" s="26" t="s">
        <v>664</v>
      </c>
      <c r="I161" s="26" t="s">
        <v>106</v>
      </c>
      <c r="J161" s="26">
        <v>0</v>
      </c>
      <c r="K161" s="8" t="str">
        <f t="shared" si="2"/>
        <v>BACSRCPTS</v>
      </c>
    </row>
    <row r="162" spans="1:11" x14ac:dyDescent="0.25">
      <c r="A162" s="26" t="s">
        <v>114</v>
      </c>
      <c r="B162" s="26" t="s">
        <v>111</v>
      </c>
      <c r="C162" s="26">
        <v>0</v>
      </c>
      <c r="D162" s="27">
        <v>43287</v>
      </c>
      <c r="E162" s="26">
        <v>365528.2</v>
      </c>
      <c r="F162" s="26" t="s">
        <v>665</v>
      </c>
      <c r="G162" s="26" t="s">
        <v>8</v>
      </c>
      <c r="H162" s="26" t="s">
        <v>666</v>
      </c>
      <c r="I162" s="26" t="s">
        <v>106</v>
      </c>
      <c r="J162" s="26">
        <v>0</v>
      </c>
      <c r="K162" s="8" t="str">
        <f t="shared" si="2"/>
        <v>BACSRCPTS</v>
      </c>
    </row>
    <row r="163" spans="1:11" x14ac:dyDescent="0.25">
      <c r="A163" s="26" t="s">
        <v>125</v>
      </c>
      <c r="B163" s="26" t="s">
        <v>111</v>
      </c>
      <c r="C163" s="26">
        <v>0</v>
      </c>
      <c r="D163" s="27">
        <v>43287</v>
      </c>
      <c r="E163" s="26">
        <v>10802.22</v>
      </c>
      <c r="F163" s="26" t="s">
        <v>667</v>
      </c>
      <c r="G163" s="26" t="s">
        <v>8</v>
      </c>
      <c r="H163" s="26" t="s">
        <v>668</v>
      </c>
      <c r="I163" s="26" t="s">
        <v>106</v>
      </c>
      <c r="J163" s="26">
        <v>0</v>
      </c>
      <c r="K163" s="8" t="str">
        <f t="shared" si="2"/>
        <v>BACSRCPTS</v>
      </c>
    </row>
    <row r="164" spans="1:11" x14ac:dyDescent="0.25">
      <c r="A164" s="26" t="s">
        <v>114</v>
      </c>
      <c r="B164" s="26" t="s">
        <v>111</v>
      </c>
      <c r="C164" s="26">
        <v>0</v>
      </c>
      <c r="D164" s="27">
        <v>43290</v>
      </c>
      <c r="E164" s="26">
        <v>1577839.56</v>
      </c>
      <c r="F164" s="26" t="s">
        <v>669</v>
      </c>
      <c r="G164" s="26" t="s">
        <v>8</v>
      </c>
      <c r="H164" s="26" t="s">
        <v>670</v>
      </c>
      <c r="I164" s="26" t="s">
        <v>106</v>
      </c>
      <c r="J164" s="26">
        <v>0</v>
      </c>
      <c r="K164" s="8" t="str">
        <f t="shared" si="2"/>
        <v>BACSRCPTS</v>
      </c>
    </row>
    <row r="165" spans="1:11" x14ac:dyDescent="0.25">
      <c r="A165" s="26" t="s">
        <v>125</v>
      </c>
      <c r="B165" s="26" t="s">
        <v>111</v>
      </c>
      <c r="C165" s="26">
        <v>0</v>
      </c>
      <c r="D165" s="27">
        <v>43290</v>
      </c>
      <c r="E165" s="26">
        <v>25099.29</v>
      </c>
      <c r="F165" s="26" t="s">
        <v>671</v>
      </c>
      <c r="G165" s="26" t="s">
        <v>8</v>
      </c>
      <c r="H165" s="26" t="s">
        <v>672</v>
      </c>
      <c r="I165" s="26" t="s">
        <v>106</v>
      </c>
      <c r="J165" s="26">
        <v>0</v>
      </c>
      <c r="K165" s="8" t="str">
        <f t="shared" si="2"/>
        <v>BACSRCPTS</v>
      </c>
    </row>
    <row r="166" spans="1:11" x14ac:dyDescent="0.25">
      <c r="A166" s="26" t="s">
        <v>114</v>
      </c>
      <c r="B166" s="26" t="s">
        <v>111</v>
      </c>
      <c r="C166" s="26">
        <v>0</v>
      </c>
      <c r="D166" s="27">
        <v>43293</v>
      </c>
      <c r="E166" s="26">
        <v>3632088.96</v>
      </c>
      <c r="F166" s="26" t="s">
        <v>673</v>
      </c>
      <c r="G166" s="26" t="s">
        <v>8</v>
      </c>
      <c r="H166" s="26" t="s">
        <v>674</v>
      </c>
      <c r="I166" s="26" t="s">
        <v>106</v>
      </c>
      <c r="J166" s="26">
        <v>0</v>
      </c>
      <c r="K166" s="8" t="str">
        <f t="shared" si="2"/>
        <v>BACSRCPTS</v>
      </c>
    </row>
    <row r="167" spans="1:11" x14ac:dyDescent="0.25">
      <c r="A167" s="26" t="s">
        <v>125</v>
      </c>
      <c r="B167" s="26" t="s">
        <v>111</v>
      </c>
      <c r="C167" s="26">
        <v>0</v>
      </c>
      <c r="D167" s="27">
        <v>43293</v>
      </c>
      <c r="E167" s="26">
        <v>15329.63</v>
      </c>
      <c r="F167" s="26" t="s">
        <v>675</v>
      </c>
      <c r="G167" s="26" t="s">
        <v>8</v>
      </c>
      <c r="H167" s="26" t="s">
        <v>676</v>
      </c>
      <c r="I167" s="26" t="s">
        <v>106</v>
      </c>
      <c r="J167" s="26">
        <v>0</v>
      </c>
      <c r="K167" s="8" t="str">
        <f t="shared" si="2"/>
        <v>BACSRCPTS</v>
      </c>
    </row>
    <row r="168" spans="1:11" x14ac:dyDescent="0.25">
      <c r="A168" s="26" t="s">
        <v>114</v>
      </c>
      <c r="B168" s="26" t="s">
        <v>111</v>
      </c>
      <c r="C168" s="26">
        <v>0</v>
      </c>
      <c r="D168" s="27">
        <v>43294</v>
      </c>
      <c r="E168" s="26">
        <v>152740.26999999999</v>
      </c>
      <c r="F168" s="26" t="s">
        <v>677</v>
      </c>
      <c r="G168" s="26" t="s">
        <v>8</v>
      </c>
      <c r="H168" s="26" t="s">
        <v>678</v>
      </c>
      <c r="I168" s="26" t="s">
        <v>106</v>
      </c>
      <c r="J168" s="26">
        <v>0</v>
      </c>
      <c r="K168" s="8" t="str">
        <f t="shared" si="2"/>
        <v>BACSRCPTS</v>
      </c>
    </row>
    <row r="169" spans="1:11" x14ac:dyDescent="0.25">
      <c r="A169" s="26" t="s">
        <v>125</v>
      </c>
      <c r="B169" s="26" t="s">
        <v>111</v>
      </c>
      <c r="C169" s="26">
        <v>0</v>
      </c>
      <c r="D169" s="27">
        <v>43294</v>
      </c>
      <c r="E169" s="26">
        <v>19459.89</v>
      </c>
      <c r="F169" s="26" t="s">
        <v>679</v>
      </c>
      <c r="G169" s="26" t="s">
        <v>8</v>
      </c>
      <c r="H169" s="26" t="s">
        <v>680</v>
      </c>
      <c r="I169" s="26" t="s">
        <v>106</v>
      </c>
      <c r="J169" s="26">
        <v>0</v>
      </c>
      <c r="K169" s="8" t="str">
        <f t="shared" si="2"/>
        <v>BACSRCPTS</v>
      </c>
    </row>
    <row r="170" spans="1:11" x14ac:dyDescent="0.25">
      <c r="A170" s="26" t="s">
        <v>114</v>
      </c>
      <c r="B170" s="26" t="s">
        <v>111</v>
      </c>
      <c r="C170" s="26">
        <v>0</v>
      </c>
      <c r="D170" s="27">
        <v>43294</v>
      </c>
      <c r="E170" s="26">
        <v>89833.2</v>
      </c>
      <c r="F170" s="26" t="s">
        <v>681</v>
      </c>
      <c r="G170" s="26" t="s">
        <v>8</v>
      </c>
      <c r="H170" s="26" t="s">
        <v>682</v>
      </c>
      <c r="I170" s="26" t="s">
        <v>106</v>
      </c>
      <c r="J170" s="26">
        <v>0</v>
      </c>
      <c r="K170" s="8" t="str">
        <f t="shared" si="2"/>
        <v>BACSRCPTS</v>
      </c>
    </row>
    <row r="171" spans="1:11" x14ac:dyDescent="0.25">
      <c r="A171" s="26" t="s">
        <v>125</v>
      </c>
      <c r="B171" s="26" t="s">
        <v>111</v>
      </c>
      <c r="C171" s="26">
        <v>0</v>
      </c>
      <c r="D171" s="27">
        <v>43294</v>
      </c>
      <c r="E171" s="26">
        <v>63939.63</v>
      </c>
      <c r="F171" s="26" t="s">
        <v>683</v>
      </c>
      <c r="G171" s="26" t="s">
        <v>8</v>
      </c>
      <c r="H171" s="26" t="s">
        <v>684</v>
      </c>
      <c r="I171" s="26" t="s">
        <v>106</v>
      </c>
      <c r="J171" s="26">
        <v>0</v>
      </c>
      <c r="K171" s="8" t="str">
        <f t="shared" si="2"/>
        <v>BACSRCPTS</v>
      </c>
    </row>
    <row r="172" spans="1:11" x14ac:dyDescent="0.25">
      <c r="A172" s="26" t="s">
        <v>114</v>
      </c>
      <c r="B172" s="26" t="s">
        <v>111</v>
      </c>
      <c r="C172" s="26">
        <v>0</v>
      </c>
      <c r="D172" s="27">
        <v>43294</v>
      </c>
      <c r="E172" s="26">
        <v>67752.179999999993</v>
      </c>
      <c r="F172" s="26" t="s">
        <v>685</v>
      </c>
      <c r="G172" s="26" t="s">
        <v>8</v>
      </c>
      <c r="H172" s="26" t="s">
        <v>686</v>
      </c>
      <c r="I172" s="26" t="s">
        <v>106</v>
      </c>
      <c r="J172" s="26">
        <v>0</v>
      </c>
      <c r="K172" s="8" t="str">
        <f t="shared" si="2"/>
        <v>BACSRCPTS</v>
      </c>
    </row>
    <row r="173" spans="1:11" x14ac:dyDescent="0.25">
      <c r="A173" s="26" t="s">
        <v>125</v>
      </c>
      <c r="B173" s="26" t="s">
        <v>111</v>
      </c>
      <c r="C173" s="26">
        <v>0</v>
      </c>
      <c r="D173" s="27">
        <v>43294</v>
      </c>
      <c r="E173" s="26">
        <v>106274.82</v>
      </c>
      <c r="F173" s="26" t="s">
        <v>687</v>
      </c>
      <c r="G173" s="26" t="s">
        <v>8</v>
      </c>
      <c r="H173" s="26" t="s">
        <v>688</v>
      </c>
      <c r="I173" s="26" t="s">
        <v>106</v>
      </c>
      <c r="J173" s="26">
        <v>0</v>
      </c>
      <c r="K173" s="8" t="str">
        <f t="shared" si="2"/>
        <v>BACSRCPTS</v>
      </c>
    </row>
    <row r="174" spans="1:11" x14ac:dyDescent="0.25">
      <c r="A174" s="26" t="s">
        <v>114</v>
      </c>
      <c r="B174" s="26" t="s">
        <v>111</v>
      </c>
      <c r="C174" s="26">
        <v>0</v>
      </c>
      <c r="D174" s="27">
        <v>43297</v>
      </c>
      <c r="E174" s="26">
        <v>111517.08</v>
      </c>
      <c r="F174" s="26" t="s">
        <v>689</v>
      </c>
      <c r="G174" s="26" t="s">
        <v>8</v>
      </c>
      <c r="H174" s="26" t="s">
        <v>690</v>
      </c>
      <c r="I174" s="26" t="s">
        <v>106</v>
      </c>
      <c r="J174" s="26">
        <v>0</v>
      </c>
      <c r="K174" s="8" t="str">
        <f t="shared" si="2"/>
        <v>BACSRCPTS</v>
      </c>
    </row>
    <row r="175" spans="1:11" x14ac:dyDescent="0.25">
      <c r="A175" s="26" t="s">
        <v>125</v>
      </c>
      <c r="B175" s="26" t="s">
        <v>111</v>
      </c>
      <c r="C175" s="26">
        <v>0</v>
      </c>
      <c r="D175" s="27">
        <v>43297</v>
      </c>
      <c r="E175" s="26">
        <v>524781.56999999995</v>
      </c>
      <c r="F175" s="26" t="s">
        <v>691</v>
      </c>
      <c r="G175" s="26" t="s">
        <v>8</v>
      </c>
      <c r="H175" s="26" t="s">
        <v>692</v>
      </c>
      <c r="I175" s="26" t="s">
        <v>106</v>
      </c>
      <c r="J175" s="26">
        <v>0</v>
      </c>
      <c r="K175" s="8" t="str">
        <f t="shared" si="2"/>
        <v>BACSRCPTS</v>
      </c>
    </row>
    <row r="176" spans="1:11" x14ac:dyDescent="0.25">
      <c r="A176" s="26" t="s">
        <v>114</v>
      </c>
      <c r="B176" s="26" t="s">
        <v>111</v>
      </c>
      <c r="C176" s="26">
        <v>0</v>
      </c>
      <c r="D176" s="27">
        <v>43300</v>
      </c>
      <c r="E176" s="26">
        <v>97855.44</v>
      </c>
      <c r="F176" s="26" t="s">
        <v>693</v>
      </c>
      <c r="G176" s="26" t="s">
        <v>8</v>
      </c>
      <c r="H176" s="26" t="s">
        <v>694</v>
      </c>
      <c r="I176" s="26" t="s">
        <v>106</v>
      </c>
      <c r="J176" s="26">
        <v>0</v>
      </c>
      <c r="K176" s="8" t="str">
        <f t="shared" si="2"/>
        <v>BACSRCPTS</v>
      </c>
    </row>
    <row r="177" spans="1:11" x14ac:dyDescent="0.25">
      <c r="A177" s="26" t="s">
        <v>125</v>
      </c>
      <c r="B177" s="26" t="s">
        <v>111</v>
      </c>
      <c r="C177" s="26">
        <v>0</v>
      </c>
      <c r="D177" s="27">
        <v>43300</v>
      </c>
      <c r="E177" s="26">
        <v>49722</v>
      </c>
      <c r="F177" s="26" t="s">
        <v>695</v>
      </c>
      <c r="G177" s="26" t="s">
        <v>8</v>
      </c>
      <c r="H177" s="26" t="s">
        <v>696</v>
      </c>
      <c r="I177" s="26" t="s">
        <v>106</v>
      </c>
      <c r="J177" s="26">
        <v>0</v>
      </c>
      <c r="K177" s="8" t="str">
        <f t="shared" si="2"/>
        <v>BACSRCPTS</v>
      </c>
    </row>
    <row r="178" spans="1:11" x14ac:dyDescent="0.25">
      <c r="A178" s="26" t="s">
        <v>114</v>
      </c>
      <c r="B178" s="26" t="s">
        <v>111</v>
      </c>
      <c r="C178" s="26">
        <v>0</v>
      </c>
      <c r="D178" s="27">
        <v>43301</v>
      </c>
      <c r="E178" s="26">
        <v>49404.29</v>
      </c>
      <c r="F178" s="26" t="s">
        <v>697</v>
      </c>
      <c r="G178" s="26" t="s">
        <v>8</v>
      </c>
      <c r="H178" s="26" t="s">
        <v>698</v>
      </c>
      <c r="I178" s="26" t="s">
        <v>106</v>
      </c>
      <c r="J178" s="26">
        <v>0</v>
      </c>
      <c r="K178" s="8" t="str">
        <f t="shared" si="2"/>
        <v>BACSRCPTS</v>
      </c>
    </row>
    <row r="179" spans="1:11" x14ac:dyDescent="0.25">
      <c r="A179" s="26" t="s">
        <v>125</v>
      </c>
      <c r="B179" s="26" t="s">
        <v>111</v>
      </c>
      <c r="C179" s="26">
        <v>0</v>
      </c>
      <c r="D179" s="27">
        <v>43301</v>
      </c>
      <c r="E179" s="26">
        <v>48054.01</v>
      </c>
      <c r="F179" s="26" t="s">
        <v>699</v>
      </c>
      <c r="G179" s="26" t="s">
        <v>8</v>
      </c>
      <c r="H179" s="26" t="s">
        <v>700</v>
      </c>
      <c r="I179" s="26" t="s">
        <v>106</v>
      </c>
      <c r="J179" s="26">
        <v>0</v>
      </c>
      <c r="K179" s="8" t="str">
        <f t="shared" si="2"/>
        <v>BACSRCPTS</v>
      </c>
    </row>
    <row r="180" spans="1:11" x14ac:dyDescent="0.25">
      <c r="A180" s="26" t="s">
        <v>114</v>
      </c>
      <c r="B180" s="26" t="s">
        <v>111</v>
      </c>
      <c r="C180" s="26">
        <v>0</v>
      </c>
      <c r="D180" s="27">
        <v>43301</v>
      </c>
      <c r="E180" s="26">
        <v>62430.5</v>
      </c>
      <c r="F180" s="26" t="s">
        <v>701</v>
      </c>
      <c r="G180" s="26" t="s">
        <v>8</v>
      </c>
      <c r="H180" s="26" t="s">
        <v>702</v>
      </c>
      <c r="I180" s="26" t="s">
        <v>106</v>
      </c>
      <c r="J180" s="26">
        <v>0</v>
      </c>
      <c r="K180" s="8" t="str">
        <f t="shared" si="2"/>
        <v>BACSRCPTS</v>
      </c>
    </row>
    <row r="181" spans="1:11" x14ac:dyDescent="0.25">
      <c r="A181" s="26" t="s">
        <v>125</v>
      </c>
      <c r="B181" s="26" t="s">
        <v>111</v>
      </c>
      <c r="C181" s="26">
        <v>0</v>
      </c>
      <c r="D181" s="27">
        <v>43301</v>
      </c>
      <c r="E181" s="26">
        <v>68784.75</v>
      </c>
      <c r="F181" s="26" t="s">
        <v>703</v>
      </c>
      <c r="G181" s="26" t="s">
        <v>8</v>
      </c>
      <c r="H181" s="26" t="s">
        <v>704</v>
      </c>
      <c r="I181" s="26" t="s">
        <v>106</v>
      </c>
      <c r="J181" s="26">
        <v>0</v>
      </c>
      <c r="K181" s="8" t="str">
        <f t="shared" si="2"/>
        <v>BACSRCPTS</v>
      </c>
    </row>
    <row r="182" spans="1:11" x14ac:dyDescent="0.25">
      <c r="A182" s="26" t="s">
        <v>114</v>
      </c>
      <c r="B182" s="26" t="s">
        <v>111</v>
      </c>
      <c r="C182" s="26">
        <v>0</v>
      </c>
      <c r="D182" s="27">
        <v>43301</v>
      </c>
      <c r="E182" s="26">
        <v>37490.07</v>
      </c>
      <c r="F182" s="26" t="s">
        <v>705</v>
      </c>
      <c r="G182" s="26" t="s">
        <v>8</v>
      </c>
      <c r="H182" s="26" t="s">
        <v>706</v>
      </c>
      <c r="I182" s="26" t="s">
        <v>106</v>
      </c>
      <c r="J182" s="26">
        <v>0</v>
      </c>
      <c r="K182" s="8" t="str">
        <f t="shared" si="2"/>
        <v>BACSRCPTS</v>
      </c>
    </row>
    <row r="183" spans="1:11" x14ac:dyDescent="0.25">
      <c r="A183" s="26" t="s">
        <v>125</v>
      </c>
      <c r="B183" s="26" t="s">
        <v>111</v>
      </c>
      <c r="C183" s="26">
        <v>0</v>
      </c>
      <c r="D183" s="27">
        <v>43301</v>
      </c>
      <c r="E183" s="26">
        <v>59173.95</v>
      </c>
      <c r="F183" s="26" t="s">
        <v>707</v>
      </c>
      <c r="G183" s="26" t="s">
        <v>8</v>
      </c>
      <c r="H183" s="26" t="s">
        <v>708</v>
      </c>
      <c r="I183" s="26" t="s">
        <v>106</v>
      </c>
      <c r="J183" s="26">
        <v>0</v>
      </c>
      <c r="K183" s="8" t="str">
        <f t="shared" si="2"/>
        <v>BACSRCPTS</v>
      </c>
    </row>
    <row r="184" spans="1:11" x14ac:dyDescent="0.25">
      <c r="A184" s="26" t="s">
        <v>114</v>
      </c>
      <c r="B184" s="26" t="s">
        <v>111</v>
      </c>
      <c r="C184" s="26">
        <v>0</v>
      </c>
      <c r="D184" s="27">
        <v>43304</v>
      </c>
      <c r="E184" s="26">
        <v>50516.28</v>
      </c>
      <c r="F184" s="26" t="s">
        <v>709</v>
      </c>
      <c r="G184" s="26" t="s">
        <v>8</v>
      </c>
      <c r="H184" s="26" t="s">
        <v>710</v>
      </c>
      <c r="I184" s="26" t="s">
        <v>106</v>
      </c>
      <c r="J184" s="26">
        <v>0</v>
      </c>
      <c r="K184" s="8" t="str">
        <f t="shared" si="2"/>
        <v>BACSRCPTS</v>
      </c>
    </row>
    <row r="185" spans="1:11" x14ac:dyDescent="0.25">
      <c r="A185" s="26" t="s">
        <v>125</v>
      </c>
      <c r="B185" s="26" t="s">
        <v>111</v>
      </c>
      <c r="C185" s="26">
        <v>0</v>
      </c>
      <c r="D185" s="27">
        <v>43304</v>
      </c>
      <c r="E185" s="26">
        <v>286497.21999999997</v>
      </c>
      <c r="F185" s="26" t="s">
        <v>711</v>
      </c>
      <c r="G185" s="26" t="s">
        <v>8</v>
      </c>
      <c r="H185" s="26" t="s">
        <v>712</v>
      </c>
      <c r="I185" s="26" t="s">
        <v>106</v>
      </c>
      <c r="J185" s="26">
        <v>0</v>
      </c>
      <c r="K185" s="8" t="str">
        <f t="shared" si="2"/>
        <v>BACSRCPTS</v>
      </c>
    </row>
    <row r="186" spans="1:11" x14ac:dyDescent="0.25">
      <c r="A186" s="26" t="s">
        <v>114</v>
      </c>
      <c r="B186" s="26" t="s">
        <v>111</v>
      </c>
      <c r="C186" s="26">
        <v>0</v>
      </c>
      <c r="D186" s="27">
        <v>43307</v>
      </c>
      <c r="E186" s="26">
        <v>39555.199999999997</v>
      </c>
      <c r="F186" s="26" t="s">
        <v>713</v>
      </c>
      <c r="G186" s="26" t="s">
        <v>8</v>
      </c>
      <c r="H186" s="26" t="s">
        <v>714</v>
      </c>
      <c r="I186" s="26" t="s">
        <v>106</v>
      </c>
      <c r="J186" s="26">
        <v>0</v>
      </c>
      <c r="K186" s="8" t="str">
        <f t="shared" si="2"/>
        <v>BACSRCPTS</v>
      </c>
    </row>
    <row r="187" spans="1:11" x14ac:dyDescent="0.25">
      <c r="A187" s="26" t="s">
        <v>125</v>
      </c>
      <c r="B187" s="26" t="s">
        <v>111</v>
      </c>
      <c r="C187" s="26">
        <v>0</v>
      </c>
      <c r="D187" s="27">
        <v>43307</v>
      </c>
      <c r="E187" s="26">
        <v>27084.99</v>
      </c>
      <c r="F187" s="26" t="s">
        <v>715</v>
      </c>
      <c r="G187" s="26" t="s">
        <v>8</v>
      </c>
      <c r="H187" s="26" t="s">
        <v>716</v>
      </c>
      <c r="I187" s="26" t="s">
        <v>106</v>
      </c>
      <c r="J187" s="26">
        <v>0</v>
      </c>
      <c r="K187" s="8" t="str">
        <f t="shared" si="2"/>
        <v>BACSRCPTS</v>
      </c>
    </row>
    <row r="188" spans="1:11" x14ac:dyDescent="0.25">
      <c r="A188" s="26" t="s">
        <v>114</v>
      </c>
      <c r="B188" s="26" t="s">
        <v>111</v>
      </c>
      <c r="C188" s="26">
        <v>0</v>
      </c>
      <c r="D188" s="27">
        <v>43308</v>
      </c>
      <c r="E188" s="26">
        <v>43606.04</v>
      </c>
      <c r="F188" s="26" t="s">
        <v>717</v>
      </c>
      <c r="G188" s="26" t="s">
        <v>8</v>
      </c>
      <c r="H188" s="26" t="s">
        <v>718</v>
      </c>
      <c r="I188" s="26" t="s">
        <v>106</v>
      </c>
      <c r="J188" s="26">
        <v>0</v>
      </c>
      <c r="K188" s="8" t="str">
        <f t="shared" si="2"/>
        <v>BACSRCPTS</v>
      </c>
    </row>
    <row r="189" spans="1:11" x14ac:dyDescent="0.25">
      <c r="A189" s="26" t="s">
        <v>125</v>
      </c>
      <c r="B189" s="26" t="s">
        <v>111</v>
      </c>
      <c r="C189" s="26">
        <v>0</v>
      </c>
      <c r="D189" s="27">
        <v>43308</v>
      </c>
      <c r="E189" s="26">
        <v>20492.45</v>
      </c>
      <c r="F189" s="26" t="s">
        <v>719</v>
      </c>
      <c r="G189" s="26" t="s">
        <v>8</v>
      </c>
      <c r="H189" s="26" t="s">
        <v>720</v>
      </c>
      <c r="I189" s="26" t="s">
        <v>106</v>
      </c>
      <c r="J189" s="26">
        <v>0</v>
      </c>
      <c r="K189" s="8" t="str">
        <f t="shared" si="2"/>
        <v>BACSRCPTS</v>
      </c>
    </row>
    <row r="190" spans="1:11" x14ac:dyDescent="0.25">
      <c r="A190" s="26" t="s">
        <v>114</v>
      </c>
      <c r="B190" s="26" t="s">
        <v>111</v>
      </c>
      <c r="C190" s="26">
        <v>0</v>
      </c>
      <c r="D190" s="27">
        <v>43308</v>
      </c>
      <c r="E190" s="26">
        <v>62986.5</v>
      </c>
      <c r="F190" s="26" t="s">
        <v>721</v>
      </c>
      <c r="G190" s="26" t="s">
        <v>8</v>
      </c>
      <c r="H190" s="26" t="s">
        <v>722</v>
      </c>
      <c r="I190" s="26" t="s">
        <v>106</v>
      </c>
      <c r="J190" s="26">
        <v>0</v>
      </c>
      <c r="K190" s="8" t="str">
        <f t="shared" si="2"/>
        <v>BACSRCPTS</v>
      </c>
    </row>
    <row r="191" spans="1:11" x14ac:dyDescent="0.25">
      <c r="A191" s="26" t="s">
        <v>125</v>
      </c>
      <c r="B191" s="26" t="s">
        <v>111</v>
      </c>
      <c r="C191" s="26">
        <v>0</v>
      </c>
      <c r="D191" s="27">
        <v>43308</v>
      </c>
      <c r="E191" s="26">
        <v>15409.05</v>
      </c>
      <c r="F191" s="26" t="s">
        <v>723</v>
      </c>
      <c r="G191" s="26" t="s">
        <v>8</v>
      </c>
      <c r="H191" s="26" t="s">
        <v>724</v>
      </c>
      <c r="I191" s="26" t="s">
        <v>106</v>
      </c>
      <c r="J191" s="26">
        <v>0</v>
      </c>
      <c r="K191" s="8" t="str">
        <f t="shared" si="2"/>
        <v>BACSRCPTS</v>
      </c>
    </row>
    <row r="192" spans="1:11" x14ac:dyDescent="0.25">
      <c r="A192" s="26" t="s">
        <v>114</v>
      </c>
      <c r="B192" s="26" t="s">
        <v>111</v>
      </c>
      <c r="C192" s="26">
        <v>0</v>
      </c>
      <c r="D192" s="27">
        <v>43308</v>
      </c>
      <c r="E192" s="26">
        <v>57108.82</v>
      </c>
      <c r="F192" s="26" t="s">
        <v>725</v>
      </c>
      <c r="G192" s="26" t="s">
        <v>8</v>
      </c>
      <c r="H192" s="26" t="s">
        <v>726</v>
      </c>
      <c r="I192" s="26" t="s">
        <v>106</v>
      </c>
      <c r="J192" s="26">
        <v>0</v>
      </c>
      <c r="K192" s="8" t="str">
        <f t="shared" si="2"/>
        <v>BACSRCPTS</v>
      </c>
    </row>
    <row r="193" spans="1:11" x14ac:dyDescent="0.25">
      <c r="A193" s="26" t="s">
        <v>125</v>
      </c>
      <c r="B193" s="26" t="s">
        <v>111</v>
      </c>
      <c r="C193" s="26">
        <v>0</v>
      </c>
      <c r="D193" s="27">
        <v>43308</v>
      </c>
      <c r="E193" s="26">
        <v>8419.3799999999992</v>
      </c>
      <c r="F193" s="26" t="s">
        <v>727</v>
      </c>
      <c r="G193" s="26" t="s">
        <v>8</v>
      </c>
      <c r="H193" s="26" t="s">
        <v>728</v>
      </c>
      <c r="I193" s="26" t="s">
        <v>106</v>
      </c>
      <c r="J193" s="26">
        <v>0</v>
      </c>
      <c r="K193" s="8" t="str">
        <f t="shared" si="2"/>
        <v>BACSRCPTS</v>
      </c>
    </row>
    <row r="194" spans="1:11" x14ac:dyDescent="0.25">
      <c r="A194" s="26" t="s">
        <v>114</v>
      </c>
      <c r="B194" s="26" t="s">
        <v>111</v>
      </c>
      <c r="C194" s="26">
        <v>0</v>
      </c>
      <c r="D194" s="27">
        <v>43311</v>
      </c>
      <c r="E194" s="26">
        <v>112231.93</v>
      </c>
      <c r="F194" s="26" t="s">
        <v>729</v>
      </c>
      <c r="G194" s="26" t="s">
        <v>8</v>
      </c>
      <c r="H194" s="26" t="s">
        <v>730</v>
      </c>
      <c r="I194" s="26" t="s">
        <v>106</v>
      </c>
      <c r="J194" s="26">
        <v>0</v>
      </c>
      <c r="K194" s="8" t="str">
        <f t="shared" si="2"/>
        <v>BACSRCPTS</v>
      </c>
    </row>
    <row r="195" spans="1:11" x14ac:dyDescent="0.25">
      <c r="A195" s="26" t="s">
        <v>125</v>
      </c>
      <c r="B195" s="26" t="s">
        <v>111</v>
      </c>
      <c r="C195" s="26">
        <v>0</v>
      </c>
      <c r="D195" s="27">
        <v>43311</v>
      </c>
      <c r="E195" s="26">
        <v>12073.07</v>
      </c>
      <c r="F195" s="26" t="s">
        <v>731</v>
      </c>
      <c r="G195" s="26" t="s">
        <v>8</v>
      </c>
      <c r="H195" s="26" t="s">
        <v>732</v>
      </c>
      <c r="I195" s="26" t="s">
        <v>106</v>
      </c>
      <c r="J195" s="26">
        <v>0</v>
      </c>
      <c r="K195" s="8" t="str">
        <f t="shared" ref="K195:K258" si="3">LEFT(A195,FIND("/",A195)-1)</f>
        <v>BACSRCPTS</v>
      </c>
    </row>
    <row r="196" spans="1:11" x14ac:dyDescent="0.25">
      <c r="A196" s="26" t="s">
        <v>114</v>
      </c>
      <c r="B196" s="26" t="s">
        <v>111</v>
      </c>
      <c r="C196" s="26">
        <v>0</v>
      </c>
      <c r="D196" s="27">
        <v>43314</v>
      </c>
      <c r="E196" s="26">
        <v>115488.48</v>
      </c>
      <c r="F196" s="26" t="s">
        <v>733</v>
      </c>
      <c r="G196" s="26" t="s">
        <v>8</v>
      </c>
      <c r="H196" s="26" t="s">
        <v>734</v>
      </c>
      <c r="I196" s="26" t="s">
        <v>106</v>
      </c>
      <c r="J196" s="26">
        <v>0</v>
      </c>
      <c r="K196" s="8" t="str">
        <f t="shared" si="3"/>
        <v>BACSRCPTS</v>
      </c>
    </row>
    <row r="197" spans="1:11" x14ac:dyDescent="0.25">
      <c r="A197" s="26" t="s">
        <v>125</v>
      </c>
      <c r="B197" s="26" t="s">
        <v>111</v>
      </c>
      <c r="C197" s="26">
        <v>0</v>
      </c>
      <c r="D197" s="27">
        <v>43314</v>
      </c>
      <c r="E197" s="26">
        <v>10563.94</v>
      </c>
      <c r="F197" s="26" t="s">
        <v>735</v>
      </c>
      <c r="G197" s="26" t="s">
        <v>8</v>
      </c>
      <c r="H197" s="26" t="s">
        <v>736</v>
      </c>
      <c r="I197" s="26" t="s">
        <v>106</v>
      </c>
      <c r="J197" s="26">
        <v>0</v>
      </c>
      <c r="K197" s="8" t="str">
        <f t="shared" si="3"/>
        <v>BACSRCPTS</v>
      </c>
    </row>
    <row r="198" spans="1:11" x14ac:dyDescent="0.25">
      <c r="A198" s="26" t="s">
        <v>114</v>
      </c>
      <c r="B198" s="26" t="s">
        <v>111</v>
      </c>
      <c r="C198" s="26">
        <v>0</v>
      </c>
      <c r="D198" s="27">
        <v>43315</v>
      </c>
      <c r="E198" s="26">
        <v>141382.04999999999</v>
      </c>
      <c r="F198" s="26" t="s">
        <v>737</v>
      </c>
      <c r="G198" s="26" t="s">
        <v>8</v>
      </c>
      <c r="H198" s="26" t="s">
        <v>738</v>
      </c>
      <c r="I198" s="26" t="s">
        <v>106</v>
      </c>
      <c r="J198" s="26">
        <v>0</v>
      </c>
      <c r="K198" s="8" t="str">
        <f t="shared" si="3"/>
        <v>BACSRCPTS</v>
      </c>
    </row>
    <row r="199" spans="1:11" x14ac:dyDescent="0.25">
      <c r="A199" s="26" t="s">
        <v>125</v>
      </c>
      <c r="B199" s="26" t="s">
        <v>111</v>
      </c>
      <c r="C199" s="26">
        <v>0</v>
      </c>
      <c r="D199" s="27">
        <v>43315</v>
      </c>
      <c r="E199" s="26">
        <v>8260.52</v>
      </c>
      <c r="F199" s="26" t="s">
        <v>739</v>
      </c>
      <c r="G199" s="26" t="s">
        <v>8</v>
      </c>
      <c r="H199" s="26" t="s">
        <v>740</v>
      </c>
      <c r="I199" s="26" t="s">
        <v>106</v>
      </c>
      <c r="J199" s="26">
        <v>0</v>
      </c>
      <c r="K199" s="8" t="str">
        <f t="shared" si="3"/>
        <v>BACSRCPTS</v>
      </c>
    </row>
    <row r="200" spans="1:11" x14ac:dyDescent="0.25">
      <c r="A200" s="26" t="s">
        <v>114</v>
      </c>
      <c r="B200" s="26" t="s">
        <v>111</v>
      </c>
      <c r="C200" s="26">
        <v>0</v>
      </c>
      <c r="D200" s="27">
        <v>43315</v>
      </c>
      <c r="E200" s="26">
        <v>216044.48</v>
      </c>
      <c r="F200" s="26" t="s">
        <v>741</v>
      </c>
      <c r="G200" s="26" t="s">
        <v>8</v>
      </c>
      <c r="H200" s="26" t="s">
        <v>742</v>
      </c>
      <c r="I200" s="26" t="s">
        <v>106</v>
      </c>
      <c r="J200" s="26">
        <v>0</v>
      </c>
      <c r="K200" s="8" t="str">
        <f t="shared" si="3"/>
        <v>BACSRCPTS</v>
      </c>
    </row>
    <row r="201" spans="1:11" x14ac:dyDescent="0.25">
      <c r="A201" s="26" t="s">
        <v>125</v>
      </c>
      <c r="B201" s="26" t="s">
        <v>111</v>
      </c>
      <c r="C201" s="26">
        <v>0</v>
      </c>
      <c r="D201" s="27">
        <v>43315</v>
      </c>
      <c r="E201" s="26">
        <v>9928.51</v>
      </c>
      <c r="F201" s="26" t="s">
        <v>743</v>
      </c>
      <c r="G201" s="26" t="s">
        <v>8</v>
      </c>
      <c r="H201" s="26" t="s">
        <v>744</v>
      </c>
      <c r="I201" s="26" t="s">
        <v>106</v>
      </c>
      <c r="J201" s="26">
        <v>0</v>
      </c>
      <c r="K201" s="8" t="str">
        <f t="shared" si="3"/>
        <v>BACSRCPTS</v>
      </c>
    </row>
    <row r="202" spans="1:11" x14ac:dyDescent="0.25">
      <c r="A202" s="26" t="s">
        <v>114</v>
      </c>
      <c r="B202" s="26" t="s">
        <v>111</v>
      </c>
      <c r="C202" s="26">
        <v>0</v>
      </c>
      <c r="D202" s="27">
        <v>43315</v>
      </c>
      <c r="E202" s="26">
        <v>393804.61</v>
      </c>
      <c r="F202" s="26" t="s">
        <v>745</v>
      </c>
      <c r="G202" s="26" t="s">
        <v>8</v>
      </c>
      <c r="H202" s="26" t="s">
        <v>746</v>
      </c>
      <c r="I202" s="26" t="s">
        <v>106</v>
      </c>
      <c r="J202" s="26">
        <v>0</v>
      </c>
      <c r="K202" s="8" t="str">
        <f t="shared" si="3"/>
        <v>BACSRCPTS</v>
      </c>
    </row>
    <row r="203" spans="1:11" x14ac:dyDescent="0.25">
      <c r="A203" s="26" t="s">
        <v>125</v>
      </c>
      <c r="B203" s="26" t="s">
        <v>111</v>
      </c>
      <c r="C203" s="26">
        <v>0</v>
      </c>
      <c r="D203" s="27">
        <v>43315</v>
      </c>
      <c r="E203" s="26">
        <v>10484.51</v>
      </c>
      <c r="F203" s="26" t="s">
        <v>747</v>
      </c>
      <c r="G203" s="26" t="s">
        <v>8</v>
      </c>
      <c r="H203" s="26" t="s">
        <v>748</v>
      </c>
      <c r="I203" s="26" t="s">
        <v>106</v>
      </c>
      <c r="J203" s="26">
        <v>0</v>
      </c>
      <c r="K203" s="8" t="str">
        <f t="shared" si="3"/>
        <v>BACSRCPTS</v>
      </c>
    </row>
    <row r="204" spans="1:11" x14ac:dyDescent="0.25">
      <c r="A204" s="26" t="s">
        <v>114</v>
      </c>
      <c r="B204" s="26" t="s">
        <v>111</v>
      </c>
      <c r="C204" s="26">
        <v>0</v>
      </c>
      <c r="D204" s="27">
        <v>43318</v>
      </c>
      <c r="E204" s="26">
        <v>1545750.6</v>
      </c>
      <c r="F204" s="26" t="s">
        <v>749</v>
      </c>
      <c r="G204" s="26" t="s">
        <v>8</v>
      </c>
      <c r="H204" s="26" t="s">
        <v>750</v>
      </c>
      <c r="I204" s="26" t="s">
        <v>106</v>
      </c>
      <c r="J204" s="26">
        <v>0</v>
      </c>
      <c r="K204" s="8" t="str">
        <f t="shared" si="3"/>
        <v>BACSRCPTS</v>
      </c>
    </row>
    <row r="205" spans="1:11" x14ac:dyDescent="0.25">
      <c r="A205" s="26" t="s">
        <v>125</v>
      </c>
      <c r="B205" s="26" t="s">
        <v>111</v>
      </c>
      <c r="C205" s="26">
        <v>0</v>
      </c>
      <c r="D205" s="27">
        <v>43318</v>
      </c>
      <c r="E205" s="26">
        <v>23431.29</v>
      </c>
      <c r="F205" s="26" t="s">
        <v>751</v>
      </c>
      <c r="G205" s="26" t="s">
        <v>8</v>
      </c>
      <c r="H205" s="26" t="s">
        <v>752</v>
      </c>
      <c r="I205" s="26" t="s">
        <v>106</v>
      </c>
      <c r="J205" s="26">
        <v>0</v>
      </c>
      <c r="K205" s="8" t="str">
        <f t="shared" si="3"/>
        <v>BACSRCPTS</v>
      </c>
    </row>
    <row r="206" spans="1:11" x14ac:dyDescent="0.25">
      <c r="A206" s="26" t="s">
        <v>114</v>
      </c>
      <c r="B206" s="26" t="s">
        <v>111</v>
      </c>
      <c r="C206" s="26">
        <v>0</v>
      </c>
      <c r="D206" s="27">
        <v>43321</v>
      </c>
      <c r="E206" s="26">
        <v>3777045.27</v>
      </c>
      <c r="F206" s="26" t="s">
        <v>753</v>
      </c>
      <c r="G206" s="26" t="s">
        <v>8</v>
      </c>
      <c r="H206" s="26" t="s">
        <v>754</v>
      </c>
      <c r="I206" s="26" t="s">
        <v>106</v>
      </c>
      <c r="J206" s="26">
        <v>0</v>
      </c>
      <c r="K206" s="8" t="str">
        <f t="shared" si="3"/>
        <v>BACSRCPTS</v>
      </c>
    </row>
    <row r="207" spans="1:11" x14ac:dyDescent="0.25">
      <c r="A207" s="26" t="s">
        <v>125</v>
      </c>
      <c r="B207" s="26" t="s">
        <v>111</v>
      </c>
      <c r="C207" s="26">
        <v>0</v>
      </c>
      <c r="D207" s="27">
        <v>43321</v>
      </c>
      <c r="E207" s="26">
        <v>14932.49</v>
      </c>
      <c r="F207" s="26" t="s">
        <v>755</v>
      </c>
      <c r="G207" s="26" t="s">
        <v>8</v>
      </c>
      <c r="H207" s="26" t="s">
        <v>756</v>
      </c>
      <c r="I207" s="26" t="s">
        <v>106</v>
      </c>
      <c r="J207" s="26">
        <v>0</v>
      </c>
      <c r="K207" s="8" t="str">
        <f t="shared" si="3"/>
        <v>BACSRCPTS</v>
      </c>
    </row>
    <row r="208" spans="1:11" x14ac:dyDescent="0.25">
      <c r="A208" s="26" t="s">
        <v>114</v>
      </c>
      <c r="B208" s="26" t="s">
        <v>111</v>
      </c>
      <c r="C208" s="26">
        <v>0</v>
      </c>
      <c r="D208" s="27">
        <v>43322</v>
      </c>
      <c r="E208" s="26">
        <v>146544.88</v>
      </c>
      <c r="F208" s="26" t="s">
        <v>757</v>
      </c>
      <c r="G208" s="26" t="s">
        <v>8</v>
      </c>
      <c r="H208" s="26" t="s">
        <v>758</v>
      </c>
      <c r="I208" s="26" t="s">
        <v>106</v>
      </c>
      <c r="J208" s="26">
        <v>0</v>
      </c>
      <c r="K208" s="8" t="str">
        <f t="shared" si="3"/>
        <v>BACSRCPTS</v>
      </c>
    </row>
    <row r="209" spans="1:11" x14ac:dyDescent="0.25">
      <c r="A209" s="26" t="s">
        <v>125</v>
      </c>
      <c r="B209" s="26" t="s">
        <v>111</v>
      </c>
      <c r="C209" s="26">
        <v>0</v>
      </c>
      <c r="D209" s="27">
        <v>43322</v>
      </c>
      <c r="E209" s="26">
        <v>14614.77</v>
      </c>
      <c r="F209" s="26" t="s">
        <v>759</v>
      </c>
      <c r="G209" s="26" t="s">
        <v>8</v>
      </c>
      <c r="H209" s="26" t="s">
        <v>760</v>
      </c>
      <c r="I209" s="26" t="s">
        <v>106</v>
      </c>
      <c r="J209" s="26">
        <v>0</v>
      </c>
      <c r="K209" s="8" t="str">
        <f t="shared" si="3"/>
        <v>BACSRCPTS</v>
      </c>
    </row>
    <row r="210" spans="1:11" x14ac:dyDescent="0.25">
      <c r="A210" s="26" t="s">
        <v>114</v>
      </c>
      <c r="B210" s="26" t="s">
        <v>111</v>
      </c>
      <c r="C210" s="26">
        <v>0</v>
      </c>
      <c r="D210" s="27">
        <v>43322</v>
      </c>
      <c r="E210" s="26">
        <v>84670.37</v>
      </c>
      <c r="F210" s="26" t="s">
        <v>761</v>
      </c>
      <c r="G210" s="26" t="s">
        <v>8</v>
      </c>
      <c r="H210" s="26" t="s">
        <v>762</v>
      </c>
      <c r="I210" s="26" t="s">
        <v>106</v>
      </c>
      <c r="J210" s="26">
        <v>0</v>
      </c>
      <c r="K210" s="8" t="str">
        <f t="shared" si="3"/>
        <v>BACSRCPTS</v>
      </c>
    </row>
    <row r="211" spans="1:11" x14ac:dyDescent="0.25">
      <c r="A211" s="26" t="s">
        <v>125</v>
      </c>
      <c r="B211" s="26" t="s">
        <v>111</v>
      </c>
      <c r="C211" s="26">
        <v>0</v>
      </c>
      <c r="D211" s="27">
        <v>43322</v>
      </c>
      <c r="E211" s="26">
        <v>40905.480000000003</v>
      </c>
      <c r="F211" s="26" t="s">
        <v>763</v>
      </c>
      <c r="G211" s="26" t="s">
        <v>8</v>
      </c>
      <c r="H211" s="26" t="s">
        <v>764</v>
      </c>
      <c r="I211" s="26" t="s">
        <v>106</v>
      </c>
      <c r="J211" s="26">
        <v>0</v>
      </c>
      <c r="K211" s="8" t="str">
        <f t="shared" si="3"/>
        <v>BACSRCPTS</v>
      </c>
    </row>
    <row r="212" spans="1:11" x14ac:dyDescent="0.25">
      <c r="A212" s="26" t="s">
        <v>114</v>
      </c>
      <c r="B212" s="26" t="s">
        <v>111</v>
      </c>
      <c r="C212" s="26">
        <v>0</v>
      </c>
      <c r="D212" s="27">
        <v>43322</v>
      </c>
      <c r="E212" s="26">
        <v>56393.96</v>
      </c>
      <c r="F212" s="26" t="s">
        <v>765</v>
      </c>
      <c r="G212" s="26" t="s">
        <v>8</v>
      </c>
      <c r="H212" s="26" t="s">
        <v>766</v>
      </c>
      <c r="I212" s="26" t="s">
        <v>106</v>
      </c>
      <c r="J212" s="26">
        <v>0</v>
      </c>
      <c r="K212" s="8" t="str">
        <f t="shared" si="3"/>
        <v>BACSRCPTS</v>
      </c>
    </row>
    <row r="213" spans="1:11" x14ac:dyDescent="0.25">
      <c r="A213" s="26" t="s">
        <v>125</v>
      </c>
      <c r="B213" s="26" t="s">
        <v>111</v>
      </c>
      <c r="C213" s="26">
        <v>0</v>
      </c>
      <c r="D213" s="27">
        <v>43322</v>
      </c>
      <c r="E213" s="26">
        <v>56870.53</v>
      </c>
      <c r="F213" s="26" t="s">
        <v>767</v>
      </c>
      <c r="G213" s="26" t="s">
        <v>8</v>
      </c>
      <c r="H213" s="26" t="s">
        <v>768</v>
      </c>
      <c r="I213" s="26" t="s">
        <v>106</v>
      </c>
      <c r="J213" s="26">
        <v>0</v>
      </c>
      <c r="K213" s="8" t="str">
        <f t="shared" si="3"/>
        <v>BACSRCPTS</v>
      </c>
    </row>
    <row r="214" spans="1:11" x14ac:dyDescent="0.25">
      <c r="A214" s="26" t="s">
        <v>114</v>
      </c>
      <c r="B214" s="26" t="s">
        <v>111</v>
      </c>
      <c r="C214" s="26">
        <v>0</v>
      </c>
      <c r="D214" s="27">
        <v>43325</v>
      </c>
      <c r="E214" s="26">
        <v>64495.63</v>
      </c>
      <c r="F214" s="26" t="s">
        <v>769</v>
      </c>
      <c r="G214" s="26" t="s">
        <v>8</v>
      </c>
      <c r="H214" s="26" t="s">
        <v>770</v>
      </c>
      <c r="I214" s="26" t="s">
        <v>106</v>
      </c>
      <c r="J214" s="26">
        <v>0</v>
      </c>
      <c r="K214" s="8" t="str">
        <f t="shared" si="3"/>
        <v>BACSRCPTS</v>
      </c>
    </row>
    <row r="215" spans="1:11" x14ac:dyDescent="0.25">
      <c r="A215" s="26" t="s">
        <v>125</v>
      </c>
      <c r="B215" s="26" t="s">
        <v>111</v>
      </c>
      <c r="C215" s="26">
        <v>0</v>
      </c>
      <c r="D215" s="27">
        <v>43325</v>
      </c>
      <c r="E215" s="26">
        <v>51787.13</v>
      </c>
      <c r="F215" s="26" t="s">
        <v>771</v>
      </c>
      <c r="G215" s="26" t="s">
        <v>8</v>
      </c>
      <c r="H215" s="26" t="s">
        <v>772</v>
      </c>
      <c r="I215" s="26" t="s">
        <v>106</v>
      </c>
      <c r="J215" s="26">
        <v>0</v>
      </c>
      <c r="K215" s="8" t="str">
        <f t="shared" si="3"/>
        <v>BACSRCPTS</v>
      </c>
    </row>
    <row r="216" spans="1:11" x14ac:dyDescent="0.25">
      <c r="A216" s="26" t="s">
        <v>114</v>
      </c>
      <c r="B216" s="26" t="s">
        <v>111</v>
      </c>
      <c r="C216" s="26">
        <v>0</v>
      </c>
      <c r="D216" s="27">
        <v>43328</v>
      </c>
      <c r="E216" s="26">
        <v>50834</v>
      </c>
      <c r="F216" s="26" t="s">
        <v>773</v>
      </c>
      <c r="G216" s="26" t="s">
        <v>8</v>
      </c>
      <c r="H216" s="26" t="s">
        <v>774</v>
      </c>
      <c r="I216" s="26" t="s">
        <v>106</v>
      </c>
      <c r="J216" s="26">
        <v>0</v>
      </c>
      <c r="K216" s="8" t="str">
        <f t="shared" si="3"/>
        <v>BACSRCPTS</v>
      </c>
    </row>
    <row r="217" spans="1:11" x14ac:dyDescent="0.25">
      <c r="A217" s="26" t="s">
        <v>125</v>
      </c>
      <c r="B217" s="26" t="s">
        <v>111</v>
      </c>
      <c r="C217" s="26">
        <v>0</v>
      </c>
      <c r="D217" s="27">
        <v>43328</v>
      </c>
      <c r="E217" s="26">
        <v>59253.38</v>
      </c>
      <c r="F217" s="26" t="s">
        <v>775</v>
      </c>
      <c r="G217" s="26" t="s">
        <v>8</v>
      </c>
      <c r="H217" s="26" t="s">
        <v>776</v>
      </c>
      <c r="I217" s="26" t="s">
        <v>106</v>
      </c>
      <c r="J217" s="26">
        <v>0</v>
      </c>
      <c r="K217" s="8" t="str">
        <f t="shared" si="3"/>
        <v>BACSRCPTS</v>
      </c>
    </row>
    <row r="218" spans="1:11" x14ac:dyDescent="0.25">
      <c r="A218" s="26" t="s">
        <v>114</v>
      </c>
      <c r="B218" s="26" t="s">
        <v>111</v>
      </c>
      <c r="C218" s="26">
        <v>0</v>
      </c>
      <c r="D218" s="27">
        <v>43329</v>
      </c>
      <c r="E218" s="26">
        <v>55520.25</v>
      </c>
      <c r="F218" s="26" t="s">
        <v>777</v>
      </c>
      <c r="G218" s="26" t="s">
        <v>8</v>
      </c>
      <c r="H218" s="26" t="s">
        <v>778</v>
      </c>
      <c r="I218" s="26" t="s">
        <v>106</v>
      </c>
      <c r="J218" s="26">
        <v>0</v>
      </c>
      <c r="K218" s="8" t="str">
        <f t="shared" si="3"/>
        <v>BACSRCPTS</v>
      </c>
    </row>
    <row r="219" spans="1:11" x14ac:dyDescent="0.25">
      <c r="A219" s="26" t="s">
        <v>125</v>
      </c>
      <c r="B219" s="26" t="s">
        <v>111</v>
      </c>
      <c r="C219" s="26">
        <v>0</v>
      </c>
      <c r="D219" s="27">
        <v>43329</v>
      </c>
      <c r="E219" s="26">
        <v>84511.52</v>
      </c>
      <c r="F219" s="26" t="s">
        <v>779</v>
      </c>
      <c r="G219" s="26" t="s">
        <v>8</v>
      </c>
      <c r="H219" s="26" t="s">
        <v>780</v>
      </c>
      <c r="I219" s="26" t="s">
        <v>106</v>
      </c>
      <c r="J219" s="26">
        <v>0</v>
      </c>
      <c r="K219" s="8" t="str">
        <f t="shared" si="3"/>
        <v>BACSRCPTS</v>
      </c>
    </row>
    <row r="220" spans="1:11" x14ac:dyDescent="0.25">
      <c r="A220" s="26" t="s">
        <v>114</v>
      </c>
      <c r="B220" s="26" t="s">
        <v>111</v>
      </c>
      <c r="C220" s="26">
        <v>0</v>
      </c>
      <c r="D220" s="27">
        <v>43329</v>
      </c>
      <c r="E220" s="26">
        <v>126290.71</v>
      </c>
      <c r="F220" s="26" t="s">
        <v>781</v>
      </c>
      <c r="G220" s="26" t="s">
        <v>8</v>
      </c>
      <c r="H220" s="26" t="s">
        <v>782</v>
      </c>
      <c r="I220" s="26" t="s">
        <v>106</v>
      </c>
      <c r="J220" s="26">
        <v>0</v>
      </c>
      <c r="K220" s="8" t="str">
        <f t="shared" si="3"/>
        <v>BACSRCPTS</v>
      </c>
    </row>
    <row r="221" spans="1:11" x14ac:dyDescent="0.25">
      <c r="A221" s="26" t="s">
        <v>125</v>
      </c>
      <c r="B221" s="26" t="s">
        <v>111</v>
      </c>
      <c r="C221" s="26">
        <v>0</v>
      </c>
      <c r="D221" s="27">
        <v>43329</v>
      </c>
      <c r="E221" s="26">
        <v>489197.78</v>
      </c>
      <c r="F221" s="26" t="s">
        <v>783</v>
      </c>
      <c r="G221" s="26" t="s">
        <v>8</v>
      </c>
      <c r="H221" s="26" t="s">
        <v>784</v>
      </c>
      <c r="I221" s="26" t="s">
        <v>106</v>
      </c>
      <c r="J221" s="26">
        <v>0</v>
      </c>
      <c r="K221" s="8" t="str">
        <f t="shared" si="3"/>
        <v>BACSRCPTS</v>
      </c>
    </row>
    <row r="222" spans="1:11" x14ac:dyDescent="0.25">
      <c r="A222" s="26" t="s">
        <v>114</v>
      </c>
      <c r="B222" s="26" t="s">
        <v>111</v>
      </c>
      <c r="C222" s="26">
        <v>0</v>
      </c>
      <c r="D222" s="27">
        <v>43329</v>
      </c>
      <c r="E222" s="26">
        <v>81969.820000000007</v>
      </c>
      <c r="F222" s="26" t="s">
        <v>785</v>
      </c>
      <c r="G222" s="26" t="s">
        <v>8</v>
      </c>
      <c r="H222" s="26" t="s">
        <v>786</v>
      </c>
      <c r="I222" s="26" t="s">
        <v>106</v>
      </c>
      <c r="J222" s="26">
        <v>0</v>
      </c>
      <c r="K222" s="8" t="str">
        <f t="shared" si="3"/>
        <v>BACSRCPTS</v>
      </c>
    </row>
    <row r="223" spans="1:11" x14ac:dyDescent="0.25">
      <c r="A223" s="26" t="s">
        <v>125</v>
      </c>
      <c r="B223" s="26" t="s">
        <v>111</v>
      </c>
      <c r="C223" s="26">
        <v>0</v>
      </c>
      <c r="D223" s="27">
        <v>43329</v>
      </c>
      <c r="E223" s="26">
        <v>53534.55</v>
      </c>
      <c r="F223" s="26" t="s">
        <v>787</v>
      </c>
      <c r="G223" s="26" t="s">
        <v>8</v>
      </c>
      <c r="H223" s="26" t="s">
        <v>788</v>
      </c>
      <c r="I223" s="26" t="s">
        <v>106</v>
      </c>
      <c r="J223" s="26">
        <v>0</v>
      </c>
      <c r="K223" s="8" t="str">
        <f t="shared" si="3"/>
        <v>BACSRCPTS</v>
      </c>
    </row>
    <row r="224" spans="1:11" x14ac:dyDescent="0.25">
      <c r="A224" s="26" t="s">
        <v>114</v>
      </c>
      <c r="B224" s="26" t="s">
        <v>111</v>
      </c>
      <c r="C224" s="26">
        <v>0</v>
      </c>
      <c r="D224" s="27">
        <v>43336</v>
      </c>
      <c r="E224" s="26">
        <v>54567.12</v>
      </c>
      <c r="F224" s="26" t="s">
        <v>789</v>
      </c>
      <c r="G224" s="26" t="s">
        <v>8</v>
      </c>
      <c r="H224" s="26" t="s">
        <v>790</v>
      </c>
      <c r="I224" s="26" t="s">
        <v>106</v>
      </c>
      <c r="J224" s="26">
        <v>0</v>
      </c>
      <c r="K224" s="8" t="str">
        <f t="shared" si="3"/>
        <v>BACSRCPTS</v>
      </c>
    </row>
    <row r="225" spans="1:11" x14ac:dyDescent="0.25">
      <c r="A225" s="26" t="s">
        <v>125</v>
      </c>
      <c r="B225" s="26" t="s">
        <v>111</v>
      </c>
      <c r="C225" s="26">
        <v>0</v>
      </c>
      <c r="D225" s="27">
        <v>43336</v>
      </c>
      <c r="E225" s="26">
        <v>89594.92</v>
      </c>
      <c r="F225" s="26" t="s">
        <v>791</v>
      </c>
      <c r="G225" s="26" t="s">
        <v>8</v>
      </c>
      <c r="H225" s="26" t="s">
        <v>792</v>
      </c>
      <c r="I225" s="26" t="s">
        <v>106</v>
      </c>
      <c r="J225" s="26">
        <v>0</v>
      </c>
      <c r="K225" s="8" t="str">
        <f t="shared" si="3"/>
        <v>BACSRCPTS</v>
      </c>
    </row>
    <row r="226" spans="1:11" x14ac:dyDescent="0.25">
      <c r="A226" s="26" t="s">
        <v>114</v>
      </c>
      <c r="B226" s="26" t="s">
        <v>111</v>
      </c>
      <c r="C226" s="26">
        <v>0</v>
      </c>
      <c r="D226" s="27">
        <v>43336</v>
      </c>
      <c r="E226" s="26">
        <v>54328.83</v>
      </c>
      <c r="F226" s="26" t="s">
        <v>793</v>
      </c>
      <c r="G226" s="26" t="s">
        <v>8</v>
      </c>
      <c r="H226" s="26" t="s">
        <v>794</v>
      </c>
      <c r="I226" s="26" t="s">
        <v>106</v>
      </c>
      <c r="J226" s="26">
        <v>0</v>
      </c>
      <c r="K226" s="8" t="str">
        <f t="shared" si="3"/>
        <v>BACSRCPTS</v>
      </c>
    </row>
    <row r="227" spans="1:11" x14ac:dyDescent="0.25">
      <c r="A227" s="26" t="s">
        <v>125</v>
      </c>
      <c r="B227" s="26" t="s">
        <v>111</v>
      </c>
      <c r="C227" s="26">
        <v>0</v>
      </c>
      <c r="D227" s="27">
        <v>43336</v>
      </c>
      <c r="E227" s="26">
        <v>186338.36</v>
      </c>
      <c r="F227" s="26" t="s">
        <v>795</v>
      </c>
      <c r="G227" s="26" t="s">
        <v>8</v>
      </c>
      <c r="H227" s="26" t="s">
        <v>796</v>
      </c>
      <c r="I227" s="26" t="s">
        <v>106</v>
      </c>
      <c r="J227" s="26">
        <v>0</v>
      </c>
      <c r="K227" s="8" t="str">
        <f t="shared" si="3"/>
        <v>BACSRCPTS</v>
      </c>
    </row>
    <row r="228" spans="1:11" x14ac:dyDescent="0.25">
      <c r="A228" s="26" t="s">
        <v>114</v>
      </c>
      <c r="B228" s="26" t="s">
        <v>111</v>
      </c>
      <c r="C228" s="26">
        <v>0</v>
      </c>
      <c r="D228" s="27">
        <v>43336</v>
      </c>
      <c r="E228" s="26">
        <v>57029.39</v>
      </c>
      <c r="F228" s="26" t="s">
        <v>797</v>
      </c>
      <c r="G228" s="26" t="s">
        <v>8</v>
      </c>
      <c r="H228" s="26" t="s">
        <v>798</v>
      </c>
      <c r="I228" s="26" t="s">
        <v>106</v>
      </c>
      <c r="J228" s="26">
        <v>0</v>
      </c>
      <c r="K228" s="8" t="str">
        <f t="shared" si="3"/>
        <v>BACSRCPTS</v>
      </c>
    </row>
    <row r="229" spans="1:11" x14ac:dyDescent="0.25">
      <c r="A229" s="26" t="s">
        <v>125</v>
      </c>
      <c r="B229" s="26" t="s">
        <v>111</v>
      </c>
      <c r="C229" s="26">
        <v>0</v>
      </c>
      <c r="D229" s="27">
        <v>43336</v>
      </c>
      <c r="E229" s="26">
        <v>37410.639999999999</v>
      </c>
      <c r="F229" s="26" t="s">
        <v>799</v>
      </c>
      <c r="G229" s="26" t="s">
        <v>8</v>
      </c>
      <c r="H229" s="26" t="s">
        <v>800</v>
      </c>
      <c r="I229" s="26" t="s">
        <v>106</v>
      </c>
      <c r="J229" s="26">
        <v>0</v>
      </c>
      <c r="K229" s="8" t="str">
        <f t="shared" si="3"/>
        <v>BACSRCPTS</v>
      </c>
    </row>
    <row r="230" spans="1:11" x14ac:dyDescent="0.25">
      <c r="A230" s="26" t="s">
        <v>114</v>
      </c>
      <c r="B230" s="26" t="s">
        <v>111</v>
      </c>
      <c r="C230" s="26">
        <v>0</v>
      </c>
      <c r="D230" s="27">
        <v>43339</v>
      </c>
      <c r="E230" s="26">
        <v>93089.75</v>
      </c>
      <c r="F230" s="26" t="s">
        <v>801</v>
      </c>
      <c r="G230" s="26" t="s">
        <v>8</v>
      </c>
      <c r="H230" s="26" t="s">
        <v>802</v>
      </c>
      <c r="I230" s="26" t="s">
        <v>106</v>
      </c>
      <c r="J230" s="26">
        <v>0</v>
      </c>
      <c r="K230" s="8" t="str">
        <f t="shared" si="3"/>
        <v>BACSRCPTS</v>
      </c>
    </row>
    <row r="231" spans="1:11" x14ac:dyDescent="0.25">
      <c r="A231" s="26" t="s">
        <v>125</v>
      </c>
      <c r="B231" s="26" t="s">
        <v>111</v>
      </c>
      <c r="C231" s="26">
        <v>0</v>
      </c>
      <c r="D231" s="27">
        <v>43339</v>
      </c>
      <c r="E231" s="26">
        <v>23987.29</v>
      </c>
      <c r="F231" s="26" t="s">
        <v>803</v>
      </c>
      <c r="G231" s="26" t="s">
        <v>8</v>
      </c>
      <c r="H231" s="26" t="s">
        <v>804</v>
      </c>
      <c r="I231" s="26" t="s">
        <v>106</v>
      </c>
      <c r="J231" s="26">
        <v>0</v>
      </c>
      <c r="K231" s="8" t="str">
        <f t="shared" si="3"/>
        <v>BACSRCPTS</v>
      </c>
    </row>
    <row r="232" spans="1:11" x14ac:dyDescent="0.25">
      <c r="A232" s="26" t="s">
        <v>114</v>
      </c>
      <c r="B232" s="26" t="s">
        <v>111</v>
      </c>
      <c r="C232" s="26">
        <v>0</v>
      </c>
      <c r="D232" s="27">
        <v>43342</v>
      </c>
      <c r="E232" s="26">
        <v>90706.91</v>
      </c>
      <c r="F232" s="26" t="s">
        <v>805</v>
      </c>
      <c r="G232" s="26" t="s">
        <v>8</v>
      </c>
      <c r="H232" s="26" t="s">
        <v>806</v>
      </c>
      <c r="I232" s="26" t="s">
        <v>106</v>
      </c>
      <c r="J232" s="26">
        <v>0</v>
      </c>
      <c r="K232" s="8" t="str">
        <f t="shared" si="3"/>
        <v>BACSRCPTS</v>
      </c>
    </row>
    <row r="233" spans="1:11" x14ac:dyDescent="0.25">
      <c r="A233" s="26" t="s">
        <v>125</v>
      </c>
      <c r="B233" s="26" t="s">
        <v>111</v>
      </c>
      <c r="C233" s="26">
        <v>0</v>
      </c>
      <c r="D233" s="27">
        <v>43342</v>
      </c>
      <c r="E233" s="26">
        <v>13105.64</v>
      </c>
      <c r="F233" s="26" t="s">
        <v>807</v>
      </c>
      <c r="G233" s="26" t="s">
        <v>8</v>
      </c>
      <c r="H233" s="26" t="s">
        <v>808</v>
      </c>
      <c r="I233" s="26" t="s">
        <v>106</v>
      </c>
      <c r="J233" s="26">
        <v>0</v>
      </c>
      <c r="K233" s="8" t="str">
        <f t="shared" si="3"/>
        <v>BACSRCPTS</v>
      </c>
    </row>
    <row r="234" spans="1:11" x14ac:dyDescent="0.25">
      <c r="A234" s="26" t="s">
        <v>114</v>
      </c>
      <c r="B234" s="26" t="s">
        <v>111</v>
      </c>
      <c r="C234" s="26">
        <v>0</v>
      </c>
      <c r="D234" s="27">
        <v>43343</v>
      </c>
      <c r="E234" s="26">
        <v>108339.95</v>
      </c>
      <c r="F234" s="26" t="s">
        <v>809</v>
      </c>
      <c r="G234" s="26" t="s">
        <v>8</v>
      </c>
      <c r="H234" s="26" t="s">
        <v>810</v>
      </c>
      <c r="I234" s="26" t="s">
        <v>106</v>
      </c>
      <c r="J234" s="26">
        <v>0</v>
      </c>
      <c r="K234" s="8" t="str">
        <f t="shared" si="3"/>
        <v>BACSRCPTS</v>
      </c>
    </row>
    <row r="235" spans="1:11" x14ac:dyDescent="0.25">
      <c r="A235" s="26" t="s">
        <v>125</v>
      </c>
      <c r="B235" s="26" t="s">
        <v>111</v>
      </c>
      <c r="C235" s="26">
        <v>0</v>
      </c>
      <c r="D235" s="27">
        <v>43343</v>
      </c>
      <c r="E235" s="26">
        <v>10643.37</v>
      </c>
      <c r="F235" s="26" t="s">
        <v>811</v>
      </c>
      <c r="G235" s="26" t="s">
        <v>8</v>
      </c>
      <c r="H235" s="26" t="s">
        <v>812</v>
      </c>
      <c r="I235" s="26" t="s">
        <v>106</v>
      </c>
      <c r="J235" s="26">
        <v>0</v>
      </c>
      <c r="K235" s="8" t="str">
        <f t="shared" si="3"/>
        <v>BACSRCPTS</v>
      </c>
    </row>
    <row r="236" spans="1:11" x14ac:dyDescent="0.25">
      <c r="A236" s="26" t="s">
        <v>114</v>
      </c>
      <c r="B236" s="26" t="s">
        <v>111</v>
      </c>
      <c r="C236" s="26">
        <v>0</v>
      </c>
      <c r="D236" s="27">
        <v>43343</v>
      </c>
      <c r="E236" s="26">
        <v>334948.37</v>
      </c>
      <c r="F236" s="26" t="s">
        <v>813</v>
      </c>
      <c r="G236" s="26" t="s">
        <v>8</v>
      </c>
      <c r="H236" s="26" t="s">
        <v>814</v>
      </c>
      <c r="I236" s="26" t="s">
        <v>106</v>
      </c>
      <c r="J236" s="26">
        <v>0</v>
      </c>
      <c r="K236" s="8" t="str">
        <f t="shared" si="3"/>
        <v>BACSRCPTS</v>
      </c>
    </row>
    <row r="237" spans="1:11" x14ac:dyDescent="0.25">
      <c r="A237" s="26" t="s">
        <v>125</v>
      </c>
      <c r="B237" s="26" t="s">
        <v>111</v>
      </c>
      <c r="C237" s="26">
        <v>0</v>
      </c>
      <c r="D237" s="27">
        <v>43343</v>
      </c>
      <c r="E237" s="26">
        <v>15170.77</v>
      </c>
      <c r="F237" s="26" t="s">
        <v>815</v>
      </c>
      <c r="G237" s="26" t="s">
        <v>8</v>
      </c>
      <c r="H237" s="26" t="s">
        <v>816</v>
      </c>
      <c r="I237" s="26" t="s">
        <v>106</v>
      </c>
      <c r="J237" s="26">
        <v>0</v>
      </c>
      <c r="K237" s="8" t="str">
        <f t="shared" si="3"/>
        <v>BACSRCPTS</v>
      </c>
    </row>
    <row r="238" spans="1:11" x14ac:dyDescent="0.25">
      <c r="A238" s="26" t="s">
        <v>114</v>
      </c>
      <c r="B238" s="26" t="s">
        <v>111</v>
      </c>
      <c r="C238" s="26">
        <v>0</v>
      </c>
      <c r="D238" s="27">
        <v>43343</v>
      </c>
      <c r="E238" s="26">
        <v>204368.55</v>
      </c>
      <c r="F238" s="26" t="s">
        <v>817</v>
      </c>
      <c r="G238" s="26" t="s">
        <v>8</v>
      </c>
      <c r="H238" s="26" t="s">
        <v>818</v>
      </c>
      <c r="I238" s="26" t="s">
        <v>106</v>
      </c>
      <c r="J238" s="26">
        <v>0</v>
      </c>
      <c r="K238" s="8" t="str">
        <f t="shared" si="3"/>
        <v>BACSRCPTS</v>
      </c>
    </row>
    <row r="239" spans="1:11" x14ac:dyDescent="0.25">
      <c r="A239" s="26" t="s">
        <v>125</v>
      </c>
      <c r="B239" s="26" t="s">
        <v>111</v>
      </c>
      <c r="C239" s="26">
        <v>0</v>
      </c>
      <c r="D239" s="27">
        <v>43343</v>
      </c>
      <c r="E239" s="26">
        <v>13423.35</v>
      </c>
      <c r="F239" s="26" t="s">
        <v>819</v>
      </c>
      <c r="G239" s="26" t="s">
        <v>8</v>
      </c>
      <c r="H239" s="26" t="s">
        <v>820</v>
      </c>
      <c r="I239" s="26" t="s">
        <v>106</v>
      </c>
      <c r="J239" s="26">
        <v>0</v>
      </c>
      <c r="K239" s="8" t="str">
        <f t="shared" si="3"/>
        <v>BACSRCPTS</v>
      </c>
    </row>
    <row r="240" spans="1:11" x14ac:dyDescent="0.25">
      <c r="A240" s="26" t="s">
        <v>114</v>
      </c>
      <c r="B240" s="26" t="s">
        <v>111</v>
      </c>
      <c r="C240" s="26">
        <v>0</v>
      </c>
      <c r="D240" s="27">
        <v>43346</v>
      </c>
      <c r="E240" s="26">
        <v>546068.31000000006</v>
      </c>
      <c r="F240" s="26" t="s">
        <v>821</v>
      </c>
      <c r="G240" s="26" t="s">
        <v>8</v>
      </c>
      <c r="H240" s="26" t="s">
        <v>822</v>
      </c>
      <c r="I240" s="26" t="s">
        <v>106</v>
      </c>
      <c r="J240" s="26">
        <v>0</v>
      </c>
      <c r="K240" s="8" t="str">
        <f t="shared" si="3"/>
        <v>BACSRCPTS</v>
      </c>
    </row>
    <row r="241" spans="1:11" x14ac:dyDescent="0.25">
      <c r="A241" s="26" t="s">
        <v>125</v>
      </c>
      <c r="B241" s="26" t="s">
        <v>111</v>
      </c>
      <c r="C241" s="26">
        <v>0</v>
      </c>
      <c r="D241" s="27">
        <v>43346</v>
      </c>
      <c r="E241" s="26">
        <v>10325.66</v>
      </c>
      <c r="F241" s="26" t="s">
        <v>823</v>
      </c>
      <c r="G241" s="26" t="s">
        <v>8</v>
      </c>
      <c r="H241" s="26" t="s">
        <v>824</v>
      </c>
      <c r="I241" s="26" t="s">
        <v>106</v>
      </c>
      <c r="J241" s="26">
        <v>0</v>
      </c>
      <c r="K241" s="8" t="str">
        <f t="shared" si="3"/>
        <v>BACSRCPTS</v>
      </c>
    </row>
    <row r="242" spans="1:11" x14ac:dyDescent="0.25">
      <c r="A242" s="26" t="s">
        <v>114</v>
      </c>
      <c r="B242" s="26" t="s">
        <v>111</v>
      </c>
      <c r="C242" s="26">
        <v>0</v>
      </c>
      <c r="D242" s="27">
        <v>43349</v>
      </c>
      <c r="E242" s="26">
        <v>1358538.52</v>
      </c>
      <c r="F242" s="26" t="s">
        <v>825</v>
      </c>
      <c r="G242" s="26" t="s">
        <v>8</v>
      </c>
      <c r="H242" s="26" t="s">
        <v>826</v>
      </c>
      <c r="I242" s="26" t="s">
        <v>106</v>
      </c>
      <c r="J242" s="26">
        <v>0</v>
      </c>
      <c r="K242" s="8" t="str">
        <f t="shared" si="3"/>
        <v>BACSRCPTS</v>
      </c>
    </row>
    <row r="243" spans="1:11" x14ac:dyDescent="0.25">
      <c r="A243" s="26" t="s">
        <v>125</v>
      </c>
      <c r="B243" s="26" t="s">
        <v>111</v>
      </c>
      <c r="C243" s="26">
        <v>0</v>
      </c>
      <c r="D243" s="27">
        <v>43349</v>
      </c>
      <c r="E243" s="26">
        <v>12946.78</v>
      </c>
      <c r="F243" s="26" t="s">
        <v>827</v>
      </c>
      <c r="G243" s="26" t="s">
        <v>8</v>
      </c>
      <c r="H243" s="26" t="s">
        <v>828</v>
      </c>
      <c r="I243" s="26" t="s">
        <v>106</v>
      </c>
      <c r="J243" s="26">
        <v>0</v>
      </c>
      <c r="K243" s="8" t="str">
        <f t="shared" si="3"/>
        <v>BACSRCPTS</v>
      </c>
    </row>
    <row r="244" spans="1:11" x14ac:dyDescent="0.25">
      <c r="A244" s="26" t="s">
        <v>114</v>
      </c>
      <c r="B244" s="26" t="s">
        <v>111</v>
      </c>
      <c r="C244" s="26">
        <v>0</v>
      </c>
      <c r="D244" s="27">
        <v>43350</v>
      </c>
      <c r="E244" s="26">
        <v>379825.26</v>
      </c>
      <c r="F244" s="26" t="s">
        <v>829</v>
      </c>
      <c r="G244" s="26" t="s">
        <v>8</v>
      </c>
      <c r="H244" s="26" t="s">
        <v>830</v>
      </c>
      <c r="I244" s="26" t="s">
        <v>106</v>
      </c>
      <c r="J244" s="26">
        <v>0</v>
      </c>
      <c r="K244" s="8" t="str">
        <f t="shared" si="3"/>
        <v>BACSRCPTS</v>
      </c>
    </row>
    <row r="245" spans="1:11" x14ac:dyDescent="0.25">
      <c r="A245" s="26" t="s">
        <v>125</v>
      </c>
      <c r="B245" s="26" t="s">
        <v>111</v>
      </c>
      <c r="C245" s="26">
        <v>0</v>
      </c>
      <c r="D245" s="27">
        <v>43350</v>
      </c>
      <c r="E245" s="26">
        <v>15806.2</v>
      </c>
      <c r="F245" s="26" t="s">
        <v>831</v>
      </c>
      <c r="G245" s="26" t="s">
        <v>8</v>
      </c>
      <c r="H245" s="26" t="s">
        <v>832</v>
      </c>
      <c r="I245" s="26" t="s">
        <v>106</v>
      </c>
      <c r="J245" s="26">
        <v>0</v>
      </c>
      <c r="K245" s="8" t="str">
        <f t="shared" si="3"/>
        <v>BACSRCPTS</v>
      </c>
    </row>
    <row r="246" spans="1:11" x14ac:dyDescent="0.25">
      <c r="A246" s="26" t="s">
        <v>114</v>
      </c>
      <c r="B246" s="26" t="s">
        <v>111</v>
      </c>
      <c r="C246" s="26">
        <v>0</v>
      </c>
      <c r="D246" s="27">
        <v>43350</v>
      </c>
      <c r="E246" s="26">
        <v>851469.42</v>
      </c>
      <c r="F246" s="26" t="s">
        <v>833</v>
      </c>
      <c r="G246" s="26" t="s">
        <v>8</v>
      </c>
      <c r="H246" s="26" t="s">
        <v>834</v>
      </c>
      <c r="I246" s="26" t="s">
        <v>106</v>
      </c>
      <c r="J246" s="26">
        <v>0</v>
      </c>
      <c r="K246" s="8" t="str">
        <f t="shared" si="3"/>
        <v>BACSRCPTS</v>
      </c>
    </row>
    <row r="247" spans="1:11" x14ac:dyDescent="0.25">
      <c r="A247" s="26" t="s">
        <v>125</v>
      </c>
      <c r="B247" s="26" t="s">
        <v>111</v>
      </c>
      <c r="C247" s="26">
        <v>0</v>
      </c>
      <c r="D247" s="27">
        <v>43350</v>
      </c>
      <c r="E247" s="26">
        <v>35583.800000000003</v>
      </c>
      <c r="F247" s="26" t="s">
        <v>835</v>
      </c>
      <c r="G247" s="26" t="s">
        <v>8</v>
      </c>
      <c r="H247" s="26" t="s">
        <v>836</v>
      </c>
      <c r="I247" s="26" t="s">
        <v>106</v>
      </c>
      <c r="J247" s="26">
        <v>0</v>
      </c>
      <c r="K247" s="8" t="str">
        <f t="shared" si="3"/>
        <v>BACSRCPTS</v>
      </c>
    </row>
    <row r="248" spans="1:11" x14ac:dyDescent="0.25">
      <c r="A248" s="26" t="s">
        <v>114</v>
      </c>
      <c r="B248" s="26" t="s">
        <v>111</v>
      </c>
      <c r="C248" s="26">
        <v>0</v>
      </c>
      <c r="D248" s="27">
        <v>43350</v>
      </c>
      <c r="E248" s="26">
        <v>4777918.9800000004</v>
      </c>
      <c r="F248" s="26" t="s">
        <v>837</v>
      </c>
      <c r="G248" s="26" t="s">
        <v>8</v>
      </c>
      <c r="H248" s="26" t="s">
        <v>838</v>
      </c>
      <c r="I248" s="26" t="s">
        <v>106</v>
      </c>
      <c r="J248" s="26">
        <v>0</v>
      </c>
      <c r="K248" s="8" t="str">
        <f t="shared" si="3"/>
        <v>BACSRCPTS</v>
      </c>
    </row>
    <row r="249" spans="1:11" x14ac:dyDescent="0.25">
      <c r="A249" s="26" t="s">
        <v>125</v>
      </c>
      <c r="B249" s="26" t="s">
        <v>111</v>
      </c>
      <c r="C249" s="26">
        <v>0</v>
      </c>
      <c r="D249" s="27">
        <v>43350</v>
      </c>
      <c r="E249" s="26">
        <v>25019.86</v>
      </c>
      <c r="F249" s="26" t="s">
        <v>839</v>
      </c>
      <c r="G249" s="26" t="s">
        <v>8</v>
      </c>
      <c r="H249" s="26" t="s">
        <v>840</v>
      </c>
      <c r="I249" s="26" t="s">
        <v>106</v>
      </c>
      <c r="J249" s="26">
        <v>0</v>
      </c>
      <c r="K249" s="8" t="str">
        <f t="shared" si="3"/>
        <v>BACSRCPTS</v>
      </c>
    </row>
    <row r="250" spans="1:11" x14ac:dyDescent="0.25">
      <c r="A250" s="26" t="s">
        <v>114</v>
      </c>
      <c r="B250" s="26" t="s">
        <v>111</v>
      </c>
      <c r="C250" s="26">
        <v>0</v>
      </c>
      <c r="D250" s="27">
        <v>43353</v>
      </c>
      <c r="E250" s="26">
        <v>105798.25</v>
      </c>
      <c r="F250" s="26" t="s">
        <v>841</v>
      </c>
      <c r="G250" s="26" t="s">
        <v>8</v>
      </c>
      <c r="H250" s="26" t="s">
        <v>842</v>
      </c>
      <c r="I250" s="26" t="s">
        <v>106</v>
      </c>
      <c r="J250" s="26">
        <v>0</v>
      </c>
      <c r="K250" s="8" t="str">
        <f t="shared" si="3"/>
        <v>BACSRCPTS</v>
      </c>
    </row>
    <row r="251" spans="1:11" x14ac:dyDescent="0.25">
      <c r="A251" s="26" t="s">
        <v>125</v>
      </c>
      <c r="B251" s="26" t="s">
        <v>111</v>
      </c>
      <c r="C251" s="26">
        <v>0</v>
      </c>
      <c r="D251" s="27">
        <v>43353</v>
      </c>
      <c r="E251" s="26">
        <v>50436.85</v>
      </c>
      <c r="F251" s="26" t="s">
        <v>843</v>
      </c>
      <c r="G251" s="26" t="s">
        <v>8</v>
      </c>
      <c r="H251" s="26" t="s">
        <v>844</v>
      </c>
      <c r="I251" s="26" t="s">
        <v>106</v>
      </c>
      <c r="J251" s="26">
        <v>0</v>
      </c>
      <c r="K251" s="8" t="str">
        <f t="shared" si="3"/>
        <v>BACSRCPTS</v>
      </c>
    </row>
    <row r="252" spans="1:11" x14ac:dyDescent="0.25">
      <c r="A252" s="26" t="s">
        <v>114</v>
      </c>
      <c r="B252" s="26" t="s">
        <v>111</v>
      </c>
      <c r="C252" s="26">
        <v>0</v>
      </c>
      <c r="D252" s="27">
        <v>43356</v>
      </c>
      <c r="E252" s="26">
        <v>54328.83</v>
      </c>
      <c r="F252" s="26" t="s">
        <v>845</v>
      </c>
      <c r="G252" s="26" t="s">
        <v>8</v>
      </c>
      <c r="H252" s="26" t="s">
        <v>846</v>
      </c>
      <c r="I252" s="26" t="s">
        <v>106</v>
      </c>
      <c r="J252" s="26">
        <v>0</v>
      </c>
      <c r="K252" s="8" t="str">
        <f t="shared" si="3"/>
        <v>BACSRCPTS</v>
      </c>
    </row>
    <row r="253" spans="1:11" x14ac:dyDescent="0.25">
      <c r="A253" s="26" t="s">
        <v>125</v>
      </c>
      <c r="B253" s="26" t="s">
        <v>111</v>
      </c>
      <c r="C253" s="26">
        <v>0</v>
      </c>
      <c r="D253" s="27">
        <v>43356</v>
      </c>
      <c r="E253" s="26">
        <v>48610.01</v>
      </c>
      <c r="F253" s="26" t="s">
        <v>847</v>
      </c>
      <c r="G253" s="26" t="s">
        <v>8</v>
      </c>
      <c r="H253" s="26" t="s">
        <v>848</v>
      </c>
      <c r="I253" s="26" t="s">
        <v>106</v>
      </c>
      <c r="J253" s="26">
        <v>0</v>
      </c>
      <c r="K253" s="8" t="str">
        <f t="shared" si="3"/>
        <v>BACSRCPTS</v>
      </c>
    </row>
    <row r="254" spans="1:11" x14ac:dyDescent="0.25">
      <c r="A254" s="26" t="s">
        <v>114</v>
      </c>
      <c r="B254" s="26" t="s">
        <v>111</v>
      </c>
      <c r="C254" s="26">
        <v>0</v>
      </c>
      <c r="D254" s="27">
        <v>43357</v>
      </c>
      <c r="E254" s="26">
        <v>42732.33</v>
      </c>
      <c r="F254" s="26" t="s">
        <v>849</v>
      </c>
      <c r="G254" s="26" t="s">
        <v>8</v>
      </c>
      <c r="H254" s="26" t="s">
        <v>850</v>
      </c>
      <c r="I254" s="26" t="s">
        <v>106</v>
      </c>
      <c r="J254" s="26">
        <v>0</v>
      </c>
      <c r="K254" s="8" t="str">
        <f t="shared" si="3"/>
        <v>BACSRCPTS</v>
      </c>
    </row>
    <row r="255" spans="1:11" x14ac:dyDescent="0.25">
      <c r="A255" s="26" t="s">
        <v>125</v>
      </c>
      <c r="B255" s="26" t="s">
        <v>111</v>
      </c>
      <c r="C255" s="26">
        <v>0</v>
      </c>
      <c r="D255" s="27">
        <v>43357</v>
      </c>
      <c r="E255" s="26">
        <v>48530.58</v>
      </c>
      <c r="F255" s="26" t="s">
        <v>851</v>
      </c>
      <c r="G255" s="26" t="s">
        <v>8</v>
      </c>
      <c r="H255" s="26" t="s">
        <v>852</v>
      </c>
      <c r="I255" s="26" t="s">
        <v>106</v>
      </c>
      <c r="J255" s="26">
        <v>0</v>
      </c>
      <c r="K255" s="8" t="str">
        <f t="shared" si="3"/>
        <v>BACSRCPTS</v>
      </c>
    </row>
    <row r="256" spans="1:11" x14ac:dyDescent="0.25">
      <c r="A256" s="26" t="s">
        <v>114</v>
      </c>
      <c r="B256" s="26" t="s">
        <v>111</v>
      </c>
      <c r="C256" s="26">
        <v>0</v>
      </c>
      <c r="D256" s="27">
        <v>43357</v>
      </c>
      <c r="E256" s="26">
        <v>56632.25</v>
      </c>
      <c r="F256" s="26" t="s">
        <v>853</v>
      </c>
      <c r="G256" s="26" t="s">
        <v>8</v>
      </c>
      <c r="H256" s="26" t="s">
        <v>854</v>
      </c>
      <c r="I256" s="26" t="s">
        <v>106</v>
      </c>
      <c r="J256" s="26">
        <v>0</v>
      </c>
      <c r="K256" s="8" t="str">
        <f t="shared" si="3"/>
        <v>BACSRCPTS</v>
      </c>
    </row>
    <row r="257" spans="1:11" x14ac:dyDescent="0.25">
      <c r="A257" s="26" t="s">
        <v>125</v>
      </c>
      <c r="B257" s="26" t="s">
        <v>111</v>
      </c>
      <c r="C257" s="26">
        <v>0</v>
      </c>
      <c r="D257" s="27">
        <v>43357</v>
      </c>
      <c r="E257" s="26">
        <v>138522.64000000001</v>
      </c>
      <c r="F257" s="26" t="s">
        <v>855</v>
      </c>
      <c r="G257" s="26" t="s">
        <v>8</v>
      </c>
      <c r="H257" s="26" t="s">
        <v>856</v>
      </c>
      <c r="I257" s="26" t="s">
        <v>106</v>
      </c>
      <c r="J257" s="26">
        <v>0</v>
      </c>
      <c r="K257" s="8" t="str">
        <f t="shared" si="3"/>
        <v>BACSRCPTS</v>
      </c>
    </row>
    <row r="258" spans="1:11" x14ac:dyDescent="0.25">
      <c r="A258" s="26" t="s">
        <v>114</v>
      </c>
      <c r="B258" s="26" t="s">
        <v>111</v>
      </c>
      <c r="C258" s="26">
        <v>0</v>
      </c>
      <c r="D258" s="27">
        <v>43357</v>
      </c>
      <c r="E258" s="26">
        <v>44718.03</v>
      </c>
      <c r="F258" s="26" t="s">
        <v>857</v>
      </c>
      <c r="G258" s="26" t="s">
        <v>8</v>
      </c>
      <c r="H258" s="26" t="s">
        <v>858</v>
      </c>
      <c r="I258" s="26" t="s">
        <v>106</v>
      </c>
      <c r="J258" s="26">
        <v>0</v>
      </c>
      <c r="K258" s="8" t="str">
        <f t="shared" si="3"/>
        <v>BACSRCPTS</v>
      </c>
    </row>
    <row r="259" spans="1:11" x14ac:dyDescent="0.25">
      <c r="A259" s="26" t="s">
        <v>125</v>
      </c>
      <c r="B259" s="26" t="s">
        <v>111</v>
      </c>
      <c r="C259" s="26">
        <v>0</v>
      </c>
      <c r="D259" s="27">
        <v>43357</v>
      </c>
      <c r="E259" s="26">
        <v>183478.95</v>
      </c>
      <c r="F259" s="26" t="s">
        <v>859</v>
      </c>
      <c r="G259" s="26" t="s">
        <v>8</v>
      </c>
      <c r="H259" s="26" t="s">
        <v>860</v>
      </c>
      <c r="I259" s="26" t="s">
        <v>106</v>
      </c>
      <c r="J259" s="26">
        <v>0</v>
      </c>
      <c r="K259" s="8" t="str">
        <f t="shared" ref="K259:K322" si="4">LEFT(A259,FIND("/",A259)-1)</f>
        <v>BACSRCPTS</v>
      </c>
    </row>
    <row r="260" spans="1:11" x14ac:dyDescent="0.25">
      <c r="A260" s="26" t="s">
        <v>114</v>
      </c>
      <c r="B260" s="26" t="s">
        <v>111</v>
      </c>
      <c r="C260" s="26">
        <v>0</v>
      </c>
      <c r="D260" s="27">
        <v>43360</v>
      </c>
      <c r="E260" s="26">
        <v>110961.08</v>
      </c>
      <c r="F260" s="26" t="s">
        <v>861</v>
      </c>
      <c r="G260" s="26" t="s">
        <v>8</v>
      </c>
      <c r="H260" s="26" t="s">
        <v>862</v>
      </c>
      <c r="I260" s="26" t="s">
        <v>106</v>
      </c>
      <c r="J260" s="26">
        <v>0</v>
      </c>
      <c r="K260" s="8" t="str">
        <f t="shared" si="4"/>
        <v>BACSRCPTS</v>
      </c>
    </row>
    <row r="261" spans="1:11" x14ac:dyDescent="0.25">
      <c r="A261" s="26" t="s">
        <v>125</v>
      </c>
      <c r="B261" s="26" t="s">
        <v>111</v>
      </c>
      <c r="C261" s="26">
        <v>0</v>
      </c>
      <c r="D261" s="27">
        <v>43360</v>
      </c>
      <c r="E261" s="26">
        <v>792692.61</v>
      </c>
      <c r="F261" s="26" t="s">
        <v>863</v>
      </c>
      <c r="G261" s="26" t="s">
        <v>8</v>
      </c>
      <c r="H261" s="26" t="s">
        <v>864</v>
      </c>
      <c r="I261" s="26" t="s">
        <v>106</v>
      </c>
      <c r="J261" s="26">
        <v>0</v>
      </c>
      <c r="K261" s="8" t="str">
        <f t="shared" si="4"/>
        <v>BACSRCPTS</v>
      </c>
    </row>
    <row r="262" spans="1:11" x14ac:dyDescent="0.25">
      <c r="A262" s="26" t="s">
        <v>115</v>
      </c>
      <c r="B262" s="26" t="s">
        <v>111</v>
      </c>
      <c r="C262" s="26">
        <v>0</v>
      </c>
      <c r="D262" s="27">
        <v>43244</v>
      </c>
      <c r="E262" s="26">
        <v>1588.56</v>
      </c>
      <c r="F262" s="26" t="s">
        <v>865</v>
      </c>
      <c r="G262" s="26" t="s">
        <v>8</v>
      </c>
      <c r="H262" s="26" t="s">
        <v>866</v>
      </c>
      <c r="I262" s="26" t="s">
        <v>106</v>
      </c>
      <c r="J262" s="26">
        <v>0</v>
      </c>
      <c r="K262" s="8" t="str">
        <f t="shared" si="4"/>
        <v>BARCTOSHIP</v>
      </c>
    </row>
    <row r="263" spans="1:11" x14ac:dyDescent="0.25">
      <c r="A263" s="26" t="s">
        <v>115</v>
      </c>
      <c r="B263" s="26" t="s">
        <v>111</v>
      </c>
      <c r="C263" s="26">
        <v>0</v>
      </c>
      <c r="D263" s="27">
        <v>43245</v>
      </c>
      <c r="E263" s="26">
        <v>1985.7</v>
      </c>
      <c r="F263" s="26" t="s">
        <v>867</v>
      </c>
      <c r="G263" s="26" t="s">
        <v>8</v>
      </c>
      <c r="H263" s="26" t="s">
        <v>868</v>
      </c>
      <c r="I263" s="26" t="s">
        <v>106</v>
      </c>
      <c r="J263" s="26">
        <v>0</v>
      </c>
      <c r="K263" s="8" t="str">
        <f t="shared" si="4"/>
        <v>BARCTOSHIP</v>
      </c>
    </row>
    <row r="264" spans="1:11" x14ac:dyDescent="0.25">
      <c r="A264" s="26" t="s">
        <v>115</v>
      </c>
      <c r="B264" s="26" t="s">
        <v>111</v>
      </c>
      <c r="C264" s="26">
        <v>0</v>
      </c>
      <c r="D264" s="27">
        <v>43245</v>
      </c>
      <c r="E264" s="26">
        <v>3256.55</v>
      </c>
      <c r="F264" s="26" t="s">
        <v>869</v>
      </c>
      <c r="G264" s="26" t="s">
        <v>8</v>
      </c>
      <c r="H264" s="26" t="s">
        <v>870</v>
      </c>
      <c r="I264" s="26" t="s">
        <v>106</v>
      </c>
      <c r="J264" s="26">
        <v>0</v>
      </c>
      <c r="K264" s="8" t="str">
        <f t="shared" si="4"/>
        <v>BARCTOSHIP</v>
      </c>
    </row>
    <row r="265" spans="1:11" x14ac:dyDescent="0.25">
      <c r="A265" s="26" t="s">
        <v>115</v>
      </c>
      <c r="B265" s="26" t="s">
        <v>111</v>
      </c>
      <c r="C265" s="26">
        <v>0</v>
      </c>
      <c r="D265" s="27">
        <v>43245</v>
      </c>
      <c r="E265" s="26">
        <v>3177.12</v>
      </c>
      <c r="F265" s="26" t="s">
        <v>871</v>
      </c>
      <c r="G265" s="26" t="s">
        <v>8</v>
      </c>
      <c r="H265" s="26" t="s">
        <v>872</v>
      </c>
      <c r="I265" s="26" t="s">
        <v>106</v>
      </c>
      <c r="J265" s="26">
        <v>0</v>
      </c>
      <c r="K265" s="8" t="str">
        <f t="shared" si="4"/>
        <v>BARCTOSHIP</v>
      </c>
    </row>
    <row r="266" spans="1:11" x14ac:dyDescent="0.25">
      <c r="A266" s="26" t="s">
        <v>115</v>
      </c>
      <c r="B266" s="26" t="s">
        <v>111</v>
      </c>
      <c r="C266" s="26">
        <v>0</v>
      </c>
      <c r="D266" s="27">
        <v>43248</v>
      </c>
      <c r="E266" s="26">
        <v>2462.27</v>
      </c>
      <c r="F266" s="26" t="s">
        <v>873</v>
      </c>
      <c r="G266" s="26" t="s">
        <v>8</v>
      </c>
      <c r="H266" s="26" t="s">
        <v>874</v>
      </c>
      <c r="I266" s="26" t="s">
        <v>106</v>
      </c>
      <c r="J266" s="26">
        <v>0</v>
      </c>
      <c r="K266" s="8" t="str">
        <f t="shared" si="4"/>
        <v>BARCTOSHIP</v>
      </c>
    </row>
    <row r="267" spans="1:11" x14ac:dyDescent="0.25">
      <c r="A267" s="26" t="s">
        <v>115</v>
      </c>
      <c r="B267" s="26" t="s">
        <v>111</v>
      </c>
      <c r="C267" s="26">
        <v>0</v>
      </c>
      <c r="D267" s="27">
        <v>43251</v>
      </c>
      <c r="E267" s="26">
        <v>2382.84</v>
      </c>
      <c r="F267" s="26" t="s">
        <v>875</v>
      </c>
      <c r="G267" s="26" t="s">
        <v>8</v>
      </c>
      <c r="H267" s="26" t="s">
        <v>876</v>
      </c>
      <c r="I267" s="26" t="s">
        <v>106</v>
      </c>
      <c r="J267" s="26">
        <v>0</v>
      </c>
      <c r="K267" s="8" t="str">
        <f t="shared" si="4"/>
        <v>BARCTOSHIP</v>
      </c>
    </row>
    <row r="268" spans="1:11" x14ac:dyDescent="0.25">
      <c r="A268" s="26" t="s">
        <v>115</v>
      </c>
      <c r="B268" s="26" t="s">
        <v>111</v>
      </c>
      <c r="C268" s="26">
        <v>0</v>
      </c>
      <c r="D268" s="27">
        <v>43252</v>
      </c>
      <c r="E268" s="26">
        <v>3574.27</v>
      </c>
      <c r="F268" s="26" t="s">
        <v>877</v>
      </c>
      <c r="G268" s="26" t="s">
        <v>8</v>
      </c>
      <c r="H268" s="26" t="s">
        <v>878</v>
      </c>
      <c r="I268" s="26" t="s">
        <v>106</v>
      </c>
      <c r="J268" s="26">
        <v>0</v>
      </c>
      <c r="K268" s="8" t="str">
        <f t="shared" si="4"/>
        <v>BARCTOSHIP</v>
      </c>
    </row>
    <row r="269" spans="1:11" x14ac:dyDescent="0.25">
      <c r="A269" s="26" t="s">
        <v>115</v>
      </c>
      <c r="B269" s="26" t="s">
        <v>111</v>
      </c>
      <c r="C269" s="26">
        <v>0</v>
      </c>
      <c r="D269" s="27">
        <v>43252</v>
      </c>
      <c r="E269" s="26">
        <v>4130.26</v>
      </c>
      <c r="F269" s="26" t="s">
        <v>879</v>
      </c>
      <c r="G269" s="26" t="s">
        <v>8</v>
      </c>
      <c r="H269" s="26" t="s">
        <v>880</v>
      </c>
      <c r="I269" s="26" t="s">
        <v>106</v>
      </c>
      <c r="J269" s="26">
        <v>0</v>
      </c>
      <c r="K269" s="8" t="str">
        <f t="shared" si="4"/>
        <v>BARCTOSHIP</v>
      </c>
    </row>
    <row r="270" spans="1:11" x14ac:dyDescent="0.25">
      <c r="A270" s="26" t="s">
        <v>115</v>
      </c>
      <c r="B270" s="26" t="s">
        <v>111</v>
      </c>
      <c r="C270" s="26">
        <v>0</v>
      </c>
      <c r="D270" s="27">
        <v>43252</v>
      </c>
      <c r="E270" s="26">
        <v>4765.6899999999996</v>
      </c>
      <c r="F270" s="26" t="s">
        <v>881</v>
      </c>
      <c r="G270" s="26" t="s">
        <v>8</v>
      </c>
      <c r="H270" s="26" t="s">
        <v>882</v>
      </c>
      <c r="I270" s="26" t="s">
        <v>106</v>
      </c>
      <c r="J270" s="26">
        <v>0</v>
      </c>
      <c r="K270" s="8" t="str">
        <f t="shared" si="4"/>
        <v>BARCTOSHIP</v>
      </c>
    </row>
    <row r="271" spans="1:11" x14ac:dyDescent="0.25">
      <c r="A271" s="26" t="s">
        <v>115</v>
      </c>
      <c r="B271" s="26" t="s">
        <v>111</v>
      </c>
      <c r="C271" s="26">
        <v>0</v>
      </c>
      <c r="D271" s="27">
        <v>43255</v>
      </c>
      <c r="E271" s="26">
        <v>3653.69</v>
      </c>
      <c r="F271" s="26" t="s">
        <v>883</v>
      </c>
      <c r="G271" s="26" t="s">
        <v>8</v>
      </c>
      <c r="H271" s="26" t="s">
        <v>884</v>
      </c>
      <c r="I271" s="26" t="s">
        <v>106</v>
      </c>
      <c r="J271" s="26">
        <v>0</v>
      </c>
      <c r="K271" s="8" t="str">
        <f t="shared" si="4"/>
        <v>BARCTOSHIP</v>
      </c>
    </row>
    <row r="272" spans="1:11" x14ac:dyDescent="0.25">
      <c r="A272" s="26" t="s">
        <v>115</v>
      </c>
      <c r="B272" s="26" t="s">
        <v>111</v>
      </c>
      <c r="C272" s="26">
        <v>0</v>
      </c>
      <c r="D272" s="27">
        <v>43258</v>
      </c>
      <c r="E272" s="26">
        <v>3097.7</v>
      </c>
      <c r="F272" s="26" t="s">
        <v>885</v>
      </c>
      <c r="G272" s="26" t="s">
        <v>8</v>
      </c>
      <c r="H272" s="26" t="s">
        <v>886</v>
      </c>
      <c r="I272" s="26" t="s">
        <v>106</v>
      </c>
      <c r="J272" s="26">
        <v>0</v>
      </c>
      <c r="K272" s="8" t="str">
        <f t="shared" si="4"/>
        <v>BARCTOSHIP</v>
      </c>
    </row>
    <row r="273" spans="1:11" x14ac:dyDescent="0.25">
      <c r="A273" s="26" t="s">
        <v>115</v>
      </c>
      <c r="B273" s="26" t="s">
        <v>111</v>
      </c>
      <c r="C273" s="26">
        <v>0</v>
      </c>
      <c r="D273" s="27">
        <v>43259</v>
      </c>
      <c r="E273" s="26">
        <v>3971.41</v>
      </c>
      <c r="F273" s="26" t="s">
        <v>887</v>
      </c>
      <c r="G273" s="26" t="s">
        <v>8</v>
      </c>
      <c r="H273" s="26" t="s">
        <v>888</v>
      </c>
      <c r="I273" s="26" t="s">
        <v>106</v>
      </c>
      <c r="J273" s="26">
        <v>0</v>
      </c>
      <c r="K273" s="8" t="str">
        <f t="shared" si="4"/>
        <v>BARCTOSHIP</v>
      </c>
    </row>
    <row r="274" spans="1:11" x14ac:dyDescent="0.25">
      <c r="A274" s="26" t="s">
        <v>115</v>
      </c>
      <c r="B274" s="26" t="s">
        <v>111</v>
      </c>
      <c r="C274" s="26">
        <v>0</v>
      </c>
      <c r="D274" s="27">
        <v>43259</v>
      </c>
      <c r="E274" s="26">
        <v>5162.83</v>
      </c>
      <c r="F274" s="26" t="s">
        <v>889</v>
      </c>
      <c r="G274" s="26" t="s">
        <v>8</v>
      </c>
      <c r="H274" s="26" t="s">
        <v>890</v>
      </c>
      <c r="I274" s="26" t="s">
        <v>106</v>
      </c>
      <c r="J274" s="26">
        <v>0</v>
      </c>
      <c r="K274" s="8" t="str">
        <f t="shared" si="4"/>
        <v>BARCTOSHIP</v>
      </c>
    </row>
    <row r="275" spans="1:11" x14ac:dyDescent="0.25">
      <c r="A275" s="26" t="s">
        <v>115</v>
      </c>
      <c r="B275" s="26" t="s">
        <v>111</v>
      </c>
      <c r="C275" s="26">
        <v>0</v>
      </c>
      <c r="D275" s="27">
        <v>43259</v>
      </c>
      <c r="E275" s="26">
        <v>4686.26</v>
      </c>
      <c r="F275" s="26" t="s">
        <v>891</v>
      </c>
      <c r="G275" s="26" t="s">
        <v>8</v>
      </c>
      <c r="H275" s="26" t="s">
        <v>892</v>
      </c>
      <c r="I275" s="26" t="s">
        <v>106</v>
      </c>
      <c r="J275" s="26">
        <v>0</v>
      </c>
      <c r="K275" s="8" t="str">
        <f t="shared" si="4"/>
        <v>BARCTOSHIP</v>
      </c>
    </row>
    <row r="276" spans="1:11" x14ac:dyDescent="0.25">
      <c r="A276" s="26" t="s">
        <v>115</v>
      </c>
      <c r="B276" s="26" t="s">
        <v>111</v>
      </c>
      <c r="C276" s="26">
        <v>0</v>
      </c>
      <c r="D276" s="27">
        <v>43262</v>
      </c>
      <c r="E276" s="26">
        <v>5480.54</v>
      </c>
      <c r="F276" s="26" t="s">
        <v>893</v>
      </c>
      <c r="G276" s="26" t="s">
        <v>8</v>
      </c>
      <c r="H276" s="26" t="s">
        <v>894</v>
      </c>
      <c r="I276" s="26" t="s">
        <v>106</v>
      </c>
      <c r="J276" s="26">
        <v>0</v>
      </c>
      <c r="K276" s="8" t="str">
        <f t="shared" si="4"/>
        <v>BARCTOSHIP</v>
      </c>
    </row>
    <row r="277" spans="1:11" x14ac:dyDescent="0.25">
      <c r="A277" s="26" t="s">
        <v>115</v>
      </c>
      <c r="B277" s="26" t="s">
        <v>111</v>
      </c>
      <c r="C277" s="26">
        <v>0</v>
      </c>
      <c r="D277" s="27">
        <v>43265</v>
      </c>
      <c r="E277" s="26">
        <v>5957.11</v>
      </c>
      <c r="F277" s="26" t="s">
        <v>895</v>
      </c>
      <c r="G277" s="26" t="s">
        <v>8</v>
      </c>
      <c r="H277" s="26" t="s">
        <v>896</v>
      </c>
      <c r="I277" s="26" t="s">
        <v>106</v>
      </c>
      <c r="J277" s="26">
        <v>0</v>
      </c>
      <c r="K277" s="8" t="str">
        <f t="shared" si="4"/>
        <v>BARCTOSHIP</v>
      </c>
    </row>
    <row r="278" spans="1:11" x14ac:dyDescent="0.25">
      <c r="A278" s="26" t="s">
        <v>115</v>
      </c>
      <c r="B278" s="26" t="s">
        <v>111</v>
      </c>
      <c r="C278" s="26">
        <v>0</v>
      </c>
      <c r="D278" s="27">
        <v>43266</v>
      </c>
      <c r="E278" s="26">
        <v>16362.19</v>
      </c>
      <c r="F278" s="26" t="s">
        <v>897</v>
      </c>
      <c r="G278" s="26" t="s">
        <v>8</v>
      </c>
      <c r="H278" s="26" t="s">
        <v>898</v>
      </c>
      <c r="I278" s="26" t="s">
        <v>106</v>
      </c>
      <c r="J278" s="26">
        <v>0</v>
      </c>
      <c r="K278" s="8" t="str">
        <f t="shared" si="4"/>
        <v>BARCTOSHIP</v>
      </c>
    </row>
    <row r="279" spans="1:11" x14ac:dyDescent="0.25">
      <c r="A279" s="26" t="s">
        <v>115</v>
      </c>
      <c r="B279" s="26" t="s">
        <v>111</v>
      </c>
      <c r="C279" s="26">
        <v>0</v>
      </c>
      <c r="D279" s="27">
        <v>43266</v>
      </c>
      <c r="E279" s="26">
        <v>16679.900000000001</v>
      </c>
      <c r="F279" s="26" t="s">
        <v>899</v>
      </c>
      <c r="G279" s="26" t="s">
        <v>8</v>
      </c>
      <c r="H279" s="26" t="s">
        <v>900</v>
      </c>
      <c r="I279" s="26" t="s">
        <v>106</v>
      </c>
      <c r="J279" s="26">
        <v>0</v>
      </c>
      <c r="K279" s="8" t="str">
        <f t="shared" si="4"/>
        <v>BARCTOSHIP</v>
      </c>
    </row>
    <row r="280" spans="1:11" x14ac:dyDescent="0.25">
      <c r="A280" s="26" t="s">
        <v>115</v>
      </c>
      <c r="B280" s="26" t="s">
        <v>111</v>
      </c>
      <c r="C280" s="26">
        <v>0</v>
      </c>
      <c r="D280" s="27">
        <v>43269</v>
      </c>
      <c r="E280" s="26">
        <v>21048.45</v>
      </c>
      <c r="F280" s="26" t="s">
        <v>901</v>
      </c>
      <c r="G280" s="26" t="s">
        <v>8</v>
      </c>
      <c r="H280" s="26" t="s">
        <v>902</v>
      </c>
      <c r="I280" s="26" t="s">
        <v>106</v>
      </c>
      <c r="J280" s="26">
        <v>0</v>
      </c>
      <c r="K280" s="8" t="str">
        <f t="shared" si="4"/>
        <v>BARCTOSHIP</v>
      </c>
    </row>
    <row r="281" spans="1:11" x14ac:dyDescent="0.25">
      <c r="A281" s="26" t="s">
        <v>115</v>
      </c>
      <c r="B281" s="26" t="s">
        <v>111</v>
      </c>
      <c r="C281" s="26">
        <v>0</v>
      </c>
      <c r="D281" s="27">
        <v>43272</v>
      </c>
      <c r="E281" s="26">
        <v>25337.57</v>
      </c>
      <c r="F281" s="26" t="s">
        <v>903</v>
      </c>
      <c r="G281" s="26" t="s">
        <v>8</v>
      </c>
      <c r="H281" s="26" t="s">
        <v>904</v>
      </c>
      <c r="I281" s="26" t="s">
        <v>106</v>
      </c>
      <c r="J281" s="26">
        <v>0</v>
      </c>
      <c r="K281" s="8" t="str">
        <f t="shared" si="4"/>
        <v>BARCTOSHIP</v>
      </c>
    </row>
    <row r="282" spans="1:11" x14ac:dyDescent="0.25">
      <c r="A282" s="26" t="s">
        <v>115</v>
      </c>
      <c r="B282" s="26" t="s">
        <v>111</v>
      </c>
      <c r="C282" s="26">
        <v>0</v>
      </c>
      <c r="D282" s="27">
        <v>43273</v>
      </c>
      <c r="E282" s="26">
        <v>87370.93</v>
      </c>
      <c r="F282" s="26" t="s">
        <v>905</v>
      </c>
      <c r="G282" s="26" t="s">
        <v>8</v>
      </c>
      <c r="H282" s="26" t="s">
        <v>906</v>
      </c>
      <c r="I282" s="26" t="s">
        <v>106</v>
      </c>
      <c r="J282" s="26">
        <v>0</v>
      </c>
      <c r="K282" s="8" t="str">
        <f t="shared" si="4"/>
        <v>BARCTOSHIP</v>
      </c>
    </row>
    <row r="283" spans="1:11" x14ac:dyDescent="0.25">
      <c r="A283" s="26" t="s">
        <v>115</v>
      </c>
      <c r="B283" s="26" t="s">
        <v>111</v>
      </c>
      <c r="C283" s="26">
        <v>0</v>
      </c>
      <c r="D283" s="27">
        <v>43273</v>
      </c>
      <c r="E283" s="26">
        <v>71167.59</v>
      </c>
      <c r="F283" s="26" t="s">
        <v>907</v>
      </c>
      <c r="G283" s="26" t="s">
        <v>8</v>
      </c>
      <c r="H283" s="26" t="s">
        <v>908</v>
      </c>
      <c r="I283" s="26" t="s">
        <v>106</v>
      </c>
      <c r="J283" s="26">
        <v>0</v>
      </c>
      <c r="K283" s="8" t="str">
        <f t="shared" si="4"/>
        <v>BARCTOSHIP</v>
      </c>
    </row>
    <row r="284" spans="1:11" x14ac:dyDescent="0.25">
      <c r="A284" s="26" t="s">
        <v>115</v>
      </c>
      <c r="B284" s="26" t="s">
        <v>111</v>
      </c>
      <c r="C284" s="26">
        <v>0</v>
      </c>
      <c r="D284" s="27">
        <v>43273</v>
      </c>
      <c r="E284" s="26">
        <v>4765.6899999999996</v>
      </c>
      <c r="F284" s="26" t="s">
        <v>909</v>
      </c>
      <c r="G284" s="26" t="s">
        <v>8</v>
      </c>
      <c r="H284" s="26" t="s">
        <v>910</v>
      </c>
      <c r="I284" s="26" t="s">
        <v>106</v>
      </c>
      <c r="J284" s="26">
        <v>0</v>
      </c>
      <c r="K284" s="8" t="str">
        <f t="shared" si="4"/>
        <v>BARCTOSHIP</v>
      </c>
    </row>
    <row r="285" spans="1:11" x14ac:dyDescent="0.25">
      <c r="A285" s="26" t="s">
        <v>115</v>
      </c>
      <c r="B285" s="26" t="s">
        <v>111</v>
      </c>
      <c r="C285" s="26">
        <v>0</v>
      </c>
      <c r="D285" s="27">
        <v>43276</v>
      </c>
      <c r="E285" s="26">
        <v>3971.41</v>
      </c>
      <c r="F285" s="26" t="s">
        <v>911</v>
      </c>
      <c r="G285" s="26" t="s">
        <v>8</v>
      </c>
      <c r="H285" s="26" t="s">
        <v>912</v>
      </c>
      <c r="I285" s="26" t="s">
        <v>106</v>
      </c>
      <c r="J285" s="26">
        <v>0</v>
      </c>
      <c r="K285" s="8" t="str">
        <f t="shared" si="4"/>
        <v>BARCTOSHIP</v>
      </c>
    </row>
    <row r="286" spans="1:11" x14ac:dyDescent="0.25">
      <c r="A286" s="26" t="s">
        <v>115</v>
      </c>
      <c r="B286" s="26" t="s">
        <v>111</v>
      </c>
      <c r="C286" s="26">
        <v>0</v>
      </c>
      <c r="D286" s="27">
        <v>43279</v>
      </c>
      <c r="E286" s="26">
        <v>4289.12</v>
      </c>
      <c r="F286" s="26" t="s">
        <v>913</v>
      </c>
      <c r="G286" s="26" t="s">
        <v>8</v>
      </c>
      <c r="H286" s="26" t="s">
        <v>914</v>
      </c>
      <c r="I286" s="26" t="s">
        <v>106</v>
      </c>
      <c r="J286" s="26">
        <v>0</v>
      </c>
      <c r="K286" s="8" t="str">
        <f t="shared" si="4"/>
        <v>BARCTOSHIP</v>
      </c>
    </row>
    <row r="287" spans="1:11" x14ac:dyDescent="0.25">
      <c r="A287" s="26" t="s">
        <v>115</v>
      </c>
      <c r="B287" s="26" t="s">
        <v>111</v>
      </c>
      <c r="C287" s="26">
        <v>0</v>
      </c>
      <c r="D287" s="27">
        <v>43280</v>
      </c>
      <c r="E287" s="26">
        <v>5083.3999999999996</v>
      </c>
      <c r="F287" s="26" t="s">
        <v>915</v>
      </c>
      <c r="G287" s="26" t="s">
        <v>8</v>
      </c>
      <c r="H287" s="26" t="s">
        <v>916</v>
      </c>
      <c r="I287" s="26" t="s">
        <v>106</v>
      </c>
      <c r="J287" s="26">
        <v>0</v>
      </c>
      <c r="K287" s="8" t="str">
        <f t="shared" si="4"/>
        <v>BARCTOSHIP</v>
      </c>
    </row>
    <row r="288" spans="1:11" x14ac:dyDescent="0.25">
      <c r="A288" s="26" t="s">
        <v>115</v>
      </c>
      <c r="B288" s="26" t="s">
        <v>111</v>
      </c>
      <c r="C288" s="26">
        <v>0</v>
      </c>
      <c r="D288" s="27">
        <v>43280</v>
      </c>
      <c r="E288" s="26">
        <v>3733.12</v>
      </c>
      <c r="F288" s="26" t="s">
        <v>917</v>
      </c>
      <c r="G288" s="26" t="s">
        <v>8</v>
      </c>
      <c r="H288" s="26" t="s">
        <v>918</v>
      </c>
      <c r="I288" s="26" t="s">
        <v>106</v>
      </c>
      <c r="J288" s="26">
        <v>0</v>
      </c>
      <c r="K288" s="8" t="str">
        <f t="shared" si="4"/>
        <v>BARCTOSHIP</v>
      </c>
    </row>
    <row r="289" spans="1:11" x14ac:dyDescent="0.25">
      <c r="A289" s="26" t="s">
        <v>115</v>
      </c>
      <c r="B289" s="26" t="s">
        <v>111</v>
      </c>
      <c r="C289" s="26">
        <v>0</v>
      </c>
      <c r="D289" s="27">
        <v>43280</v>
      </c>
      <c r="E289" s="26">
        <v>2700.56</v>
      </c>
      <c r="F289" s="26" t="s">
        <v>919</v>
      </c>
      <c r="G289" s="26" t="s">
        <v>8</v>
      </c>
      <c r="H289" s="26" t="s">
        <v>920</v>
      </c>
      <c r="I289" s="26" t="s">
        <v>106</v>
      </c>
      <c r="J289" s="26">
        <v>0</v>
      </c>
      <c r="K289" s="8" t="str">
        <f t="shared" si="4"/>
        <v>BARCTOSHIP</v>
      </c>
    </row>
    <row r="290" spans="1:11" x14ac:dyDescent="0.25">
      <c r="A290" s="26" t="s">
        <v>115</v>
      </c>
      <c r="B290" s="26" t="s">
        <v>111</v>
      </c>
      <c r="C290" s="26">
        <v>0</v>
      </c>
      <c r="D290" s="27">
        <v>43283</v>
      </c>
      <c r="E290" s="26">
        <v>2462.27</v>
      </c>
      <c r="F290" s="26" t="s">
        <v>921</v>
      </c>
      <c r="G290" s="26" t="s">
        <v>8</v>
      </c>
      <c r="H290" s="26" t="s">
        <v>922</v>
      </c>
      <c r="I290" s="26" t="s">
        <v>106</v>
      </c>
      <c r="J290" s="26">
        <v>0</v>
      </c>
      <c r="K290" s="8" t="str">
        <f t="shared" si="4"/>
        <v>BARCTOSHIP</v>
      </c>
    </row>
    <row r="291" spans="1:11" x14ac:dyDescent="0.25">
      <c r="A291" s="26" t="s">
        <v>115</v>
      </c>
      <c r="B291" s="26" t="s">
        <v>111</v>
      </c>
      <c r="C291" s="26">
        <v>0</v>
      </c>
      <c r="D291" s="27">
        <v>43286</v>
      </c>
      <c r="E291" s="26">
        <v>2541.6999999999998</v>
      </c>
      <c r="F291" s="26" t="s">
        <v>923</v>
      </c>
      <c r="G291" s="26" t="s">
        <v>8</v>
      </c>
      <c r="H291" s="26" t="s">
        <v>924</v>
      </c>
      <c r="I291" s="26" t="s">
        <v>106</v>
      </c>
      <c r="J291" s="26">
        <v>0</v>
      </c>
      <c r="K291" s="8" t="str">
        <f t="shared" si="4"/>
        <v>BARCTOSHIP</v>
      </c>
    </row>
    <row r="292" spans="1:11" x14ac:dyDescent="0.25">
      <c r="A292" s="26" t="s">
        <v>115</v>
      </c>
      <c r="B292" s="26" t="s">
        <v>111</v>
      </c>
      <c r="C292" s="26">
        <v>0</v>
      </c>
      <c r="D292" s="27">
        <v>43287</v>
      </c>
      <c r="E292" s="26">
        <v>3256.55</v>
      </c>
      <c r="F292" s="26" t="s">
        <v>925</v>
      </c>
      <c r="G292" s="26" t="s">
        <v>8</v>
      </c>
      <c r="H292" s="26" t="s">
        <v>926</v>
      </c>
      <c r="I292" s="26" t="s">
        <v>106</v>
      </c>
      <c r="J292" s="26">
        <v>0</v>
      </c>
      <c r="K292" s="8" t="str">
        <f t="shared" si="4"/>
        <v>BARCTOSHIP</v>
      </c>
    </row>
    <row r="293" spans="1:11" x14ac:dyDescent="0.25">
      <c r="A293" s="26" t="s">
        <v>115</v>
      </c>
      <c r="B293" s="26" t="s">
        <v>111</v>
      </c>
      <c r="C293" s="26">
        <v>0</v>
      </c>
      <c r="D293" s="27">
        <v>43287</v>
      </c>
      <c r="E293" s="26">
        <v>2700.56</v>
      </c>
      <c r="F293" s="26" t="s">
        <v>927</v>
      </c>
      <c r="G293" s="26" t="s">
        <v>8</v>
      </c>
      <c r="H293" s="26" t="s">
        <v>928</v>
      </c>
      <c r="I293" s="26" t="s">
        <v>106</v>
      </c>
      <c r="J293" s="26">
        <v>0</v>
      </c>
      <c r="K293" s="8" t="str">
        <f t="shared" si="4"/>
        <v>BARCTOSHIP</v>
      </c>
    </row>
    <row r="294" spans="1:11" x14ac:dyDescent="0.25">
      <c r="A294" s="26" t="s">
        <v>115</v>
      </c>
      <c r="B294" s="26" t="s">
        <v>111</v>
      </c>
      <c r="C294" s="26">
        <v>0</v>
      </c>
      <c r="D294" s="27">
        <v>43287</v>
      </c>
      <c r="E294" s="26">
        <v>2382.84</v>
      </c>
      <c r="F294" s="26" t="s">
        <v>929</v>
      </c>
      <c r="G294" s="26" t="s">
        <v>8</v>
      </c>
      <c r="H294" s="26" t="s">
        <v>930</v>
      </c>
      <c r="I294" s="26" t="s">
        <v>106</v>
      </c>
      <c r="J294" s="26">
        <v>0</v>
      </c>
      <c r="K294" s="8" t="str">
        <f t="shared" si="4"/>
        <v>BARCTOSHIP</v>
      </c>
    </row>
    <row r="295" spans="1:11" x14ac:dyDescent="0.25">
      <c r="A295" s="26" t="s">
        <v>115</v>
      </c>
      <c r="B295" s="26" t="s">
        <v>111</v>
      </c>
      <c r="C295" s="26">
        <v>0</v>
      </c>
      <c r="D295" s="27">
        <v>43290</v>
      </c>
      <c r="E295" s="26">
        <v>1985.7</v>
      </c>
      <c r="F295" s="26" t="s">
        <v>931</v>
      </c>
      <c r="G295" s="26" t="s">
        <v>8</v>
      </c>
      <c r="H295" s="26" t="s">
        <v>932</v>
      </c>
      <c r="I295" s="26" t="s">
        <v>106</v>
      </c>
      <c r="J295" s="26">
        <v>0</v>
      </c>
      <c r="K295" s="8" t="str">
        <f t="shared" si="4"/>
        <v>BARCTOSHIP</v>
      </c>
    </row>
    <row r="296" spans="1:11" x14ac:dyDescent="0.25">
      <c r="A296" s="26" t="s">
        <v>115</v>
      </c>
      <c r="B296" s="26" t="s">
        <v>111</v>
      </c>
      <c r="C296" s="26">
        <v>0</v>
      </c>
      <c r="D296" s="27">
        <v>43293</v>
      </c>
      <c r="E296" s="26">
        <v>2382.84</v>
      </c>
      <c r="F296" s="26" t="s">
        <v>933</v>
      </c>
      <c r="G296" s="26" t="s">
        <v>8</v>
      </c>
      <c r="H296" s="26" t="s">
        <v>934</v>
      </c>
      <c r="I296" s="26" t="s">
        <v>106</v>
      </c>
      <c r="J296" s="26">
        <v>0</v>
      </c>
      <c r="K296" s="8" t="str">
        <f t="shared" si="4"/>
        <v>BARCTOSHIP</v>
      </c>
    </row>
    <row r="297" spans="1:11" x14ac:dyDescent="0.25">
      <c r="A297" s="26" t="s">
        <v>115</v>
      </c>
      <c r="B297" s="26" t="s">
        <v>111</v>
      </c>
      <c r="C297" s="26">
        <v>0</v>
      </c>
      <c r="D297" s="27">
        <v>43294</v>
      </c>
      <c r="E297" s="26">
        <v>3018.27</v>
      </c>
      <c r="F297" s="26" t="s">
        <v>935</v>
      </c>
      <c r="G297" s="26" t="s">
        <v>8</v>
      </c>
      <c r="H297" s="26" t="s">
        <v>936</v>
      </c>
      <c r="I297" s="26" t="s">
        <v>106</v>
      </c>
      <c r="J297" s="26">
        <v>0</v>
      </c>
      <c r="K297" s="8" t="str">
        <f t="shared" si="4"/>
        <v>BARCTOSHIP</v>
      </c>
    </row>
    <row r="298" spans="1:11" x14ac:dyDescent="0.25">
      <c r="A298" s="26" t="s">
        <v>115</v>
      </c>
      <c r="B298" s="26" t="s">
        <v>111</v>
      </c>
      <c r="C298" s="26">
        <v>0</v>
      </c>
      <c r="D298" s="27">
        <v>43294</v>
      </c>
      <c r="E298" s="26">
        <v>3415.41</v>
      </c>
      <c r="F298" s="26" t="s">
        <v>937</v>
      </c>
      <c r="G298" s="26" t="s">
        <v>8</v>
      </c>
      <c r="H298" s="26" t="s">
        <v>938</v>
      </c>
      <c r="I298" s="26" t="s">
        <v>106</v>
      </c>
      <c r="J298" s="26">
        <v>0</v>
      </c>
      <c r="K298" s="8" t="str">
        <f t="shared" si="4"/>
        <v>BARCTOSHIP</v>
      </c>
    </row>
    <row r="299" spans="1:11" x14ac:dyDescent="0.25">
      <c r="A299" s="26" t="s">
        <v>115</v>
      </c>
      <c r="B299" s="26" t="s">
        <v>111</v>
      </c>
      <c r="C299" s="26">
        <v>0</v>
      </c>
      <c r="D299" s="27">
        <v>43294</v>
      </c>
      <c r="E299" s="26">
        <v>3415.41</v>
      </c>
      <c r="F299" s="26" t="s">
        <v>939</v>
      </c>
      <c r="G299" s="26" t="s">
        <v>8</v>
      </c>
      <c r="H299" s="26" t="s">
        <v>940</v>
      </c>
      <c r="I299" s="26" t="s">
        <v>106</v>
      </c>
      <c r="J299" s="26">
        <v>0</v>
      </c>
      <c r="K299" s="8" t="str">
        <f t="shared" si="4"/>
        <v>BARCTOSHIP</v>
      </c>
    </row>
    <row r="300" spans="1:11" x14ac:dyDescent="0.25">
      <c r="A300" s="26" t="s">
        <v>115</v>
      </c>
      <c r="B300" s="26" t="s">
        <v>111</v>
      </c>
      <c r="C300" s="26">
        <v>0</v>
      </c>
      <c r="D300" s="27">
        <v>43297</v>
      </c>
      <c r="E300" s="26">
        <v>3256.55</v>
      </c>
      <c r="F300" s="26" t="s">
        <v>941</v>
      </c>
      <c r="G300" s="26" t="s">
        <v>8</v>
      </c>
      <c r="H300" s="26" t="s">
        <v>942</v>
      </c>
      <c r="I300" s="26" t="s">
        <v>106</v>
      </c>
      <c r="J300" s="26">
        <v>0</v>
      </c>
      <c r="K300" s="8" t="str">
        <f t="shared" si="4"/>
        <v>BARCTOSHIP</v>
      </c>
    </row>
    <row r="301" spans="1:11" x14ac:dyDescent="0.25">
      <c r="A301" s="26" t="s">
        <v>115</v>
      </c>
      <c r="B301" s="26" t="s">
        <v>111</v>
      </c>
      <c r="C301" s="26">
        <v>0</v>
      </c>
      <c r="D301" s="27">
        <v>43300</v>
      </c>
      <c r="E301" s="26">
        <v>5957.11</v>
      </c>
      <c r="F301" s="26" t="s">
        <v>943</v>
      </c>
      <c r="G301" s="26" t="s">
        <v>8</v>
      </c>
      <c r="H301" s="26" t="s">
        <v>944</v>
      </c>
      <c r="I301" s="26" t="s">
        <v>106</v>
      </c>
      <c r="J301" s="26">
        <v>0</v>
      </c>
      <c r="K301" s="8" t="str">
        <f t="shared" si="4"/>
        <v>BARCTOSHIP</v>
      </c>
    </row>
    <row r="302" spans="1:11" x14ac:dyDescent="0.25">
      <c r="A302" s="26" t="s">
        <v>115</v>
      </c>
      <c r="B302" s="26" t="s">
        <v>111</v>
      </c>
      <c r="C302" s="26">
        <v>0</v>
      </c>
      <c r="D302" s="27">
        <v>43301</v>
      </c>
      <c r="E302" s="26">
        <v>11517.08</v>
      </c>
      <c r="F302" s="26" t="s">
        <v>945</v>
      </c>
      <c r="G302" s="26" t="s">
        <v>8</v>
      </c>
      <c r="H302" s="26" t="s">
        <v>946</v>
      </c>
      <c r="I302" s="26" t="s">
        <v>106</v>
      </c>
      <c r="J302" s="26">
        <v>0</v>
      </c>
      <c r="K302" s="8" t="str">
        <f t="shared" si="4"/>
        <v>BARCTOSHIP</v>
      </c>
    </row>
    <row r="303" spans="1:11" x14ac:dyDescent="0.25">
      <c r="A303" s="26" t="s">
        <v>115</v>
      </c>
      <c r="B303" s="26" t="s">
        <v>111</v>
      </c>
      <c r="C303" s="26">
        <v>0</v>
      </c>
      <c r="D303" s="27">
        <v>43301</v>
      </c>
      <c r="E303" s="26">
        <v>5639.4</v>
      </c>
      <c r="F303" s="26" t="s">
        <v>947</v>
      </c>
      <c r="G303" s="26" t="s">
        <v>8</v>
      </c>
      <c r="H303" s="26" t="s">
        <v>948</v>
      </c>
      <c r="I303" s="26" t="s">
        <v>106</v>
      </c>
      <c r="J303" s="26">
        <v>0</v>
      </c>
      <c r="K303" s="8" t="str">
        <f t="shared" si="4"/>
        <v>BARCTOSHIP</v>
      </c>
    </row>
    <row r="304" spans="1:11" x14ac:dyDescent="0.25">
      <c r="A304" s="26" t="s">
        <v>115</v>
      </c>
      <c r="B304" s="26" t="s">
        <v>111</v>
      </c>
      <c r="C304" s="26">
        <v>0</v>
      </c>
      <c r="D304" s="27">
        <v>43301</v>
      </c>
      <c r="E304" s="26">
        <v>4527.3999999999996</v>
      </c>
      <c r="F304" s="26" t="s">
        <v>949</v>
      </c>
      <c r="G304" s="26" t="s">
        <v>8</v>
      </c>
      <c r="H304" s="26" t="s">
        <v>950</v>
      </c>
      <c r="I304" s="26" t="s">
        <v>106</v>
      </c>
      <c r="J304" s="26">
        <v>0</v>
      </c>
      <c r="K304" s="8" t="str">
        <f t="shared" si="4"/>
        <v>BARCTOSHIP</v>
      </c>
    </row>
    <row r="305" spans="1:11" x14ac:dyDescent="0.25">
      <c r="A305" s="26" t="s">
        <v>115</v>
      </c>
      <c r="B305" s="26" t="s">
        <v>111</v>
      </c>
      <c r="C305" s="26">
        <v>0</v>
      </c>
      <c r="D305" s="27">
        <v>43304</v>
      </c>
      <c r="E305" s="26">
        <v>3812.55</v>
      </c>
      <c r="F305" s="26" t="s">
        <v>951</v>
      </c>
      <c r="G305" s="26" t="s">
        <v>8</v>
      </c>
      <c r="H305" s="26" t="s">
        <v>952</v>
      </c>
      <c r="I305" s="26" t="s">
        <v>106</v>
      </c>
      <c r="J305" s="26">
        <v>0</v>
      </c>
      <c r="K305" s="8" t="str">
        <f t="shared" si="4"/>
        <v>BARCTOSHIP</v>
      </c>
    </row>
    <row r="306" spans="1:11" x14ac:dyDescent="0.25">
      <c r="A306" s="26" t="s">
        <v>115</v>
      </c>
      <c r="B306" s="26" t="s">
        <v>111</v>
      </c>
      <c r="C306" s="26">
        <v>0</v>
      </c>
      <c r="D306" s="27">
        <v>43307</v>
      </c>
      <c r="E306" s="26">
        <v>3018.27</v>
      </c>
      <c r="F306" s="26" t="s">
        <v>953</v>
      </c>
      <c r="G306" s="26" t="s">
        <v>8</v>
      </c>
      <c r="H306" s="26" t="s">
        <v>954</v>
      </c>
      <c r="I306" s="26" t="s">
        <v>106</v>
      </c>
      <c r="J306" s="26">
        <v>0</v>
      </c>
      <c r="K306" s="8" t="str">
        <f t="shared" si="4"/>
        <v>BARCTOSHIP</v>
      </c>
    </row>
    <row r="307" spans="1:11" x14ac:dyDescent="0.25">
      <c r="A307" s="26" t="s">
        <v>115</v>
      </c>
      <c r="B307" s="26" t="s">
        <v>111</v>
      </c>
      <c r="C307" s="26">
        <v>0</v>
      </c>
      <c r="D307" s="27">
        <v>43308</v>
      </c>
      <c r="E307" s="26">
        <v>4289.12</v>
      </c>
      <c r="F307" s="26" t="s">
        <v>955</v>
      </c>
      <c r="G307" s="26" t="s">
        <v>8</v>
      </c>
      <c r="H307" s="26" t="s">
        <v>956</v>
      </c>
      <c r="I307" s="26" t="s">
        <v>106</v>
      </c>
      <c r="J307" s="26">
        <v>0</v>
      </c>
      <c r="K307" s="8" t="str">
        <f t="shared" si="4"/>
        <v>BARCTOSHIP</v>
      </c>
    </row>
    <row r="308" spans="1:11" x14ac:dyDescent="0.25">
      <c r="A308" s="26" t="s">
        <v>115</v>
      </c>
      <c r="B308" s="26" t="s">
        <v>111</v>
      </c>
      <c r="C308" s="26">
        <v>0</v>
      </c>
      <c r="D308" s="27">
        <v>43308</v>
      </c>
      <c r="E308" s="26">
        <v>2144.56</v>
      </c>
      <c r="F308" s="26" t="s">
        <v>957</v>
      </c>
      <c r="G308" s="26" t="s">
        <v>8</v>
      </c>
      <c r="H308" s="26" t="s">
        <v>958</v>
      </c>
      <c r="I308" s="26" t="s">
        <v>106</v>
      </c>
      <c r="J308" s="26">
        <v>0</v>
      </c>
      <c r="K308" s="8" t="str">
        <f t="shared" si="4"/>
        <v>BARCTOSHIP</v>
      </c>
    </row>
    <row r="309" spans="1:11" x14ac:dyDescent="0.25">
      <c r="A309" s="26" t="s">
        <v>115</v>
      </c>
      <c r="B309" s="26" t="s">
        <v>111</v>
      </c>
      <c r="C309" s="26">
        <v>0</v>
      </c>
      <c r="D309" s="27">
        <v>43308</v>
      </c>
      <c r="E309" s="26">
        <v>2382.84</v>
      </c>
      <c r="F309" s="26" t="s">
        <v>959</v>
      </c>
      <c r="G309" s="26" t="s">
        <v>8</v>
      </c>
      <c r="H309" s="26" t="s">
        <v>960</v>
      </c>
      <c r="I309" s="26" t="s">
        <v>106</v>
      </c>
      <c r="J309" s="26">
        <v>0</v>
      </c>
      <c r="K309" s="8" t="str">
        <f t="shared" si="4"/>
        <v>BARCTOSHIP</v>
      </c>
    </row>
    <row r="310" spans="1:11" x14ac:dyDescent="0.25">
      <c r="A310" s="26" t="s">
        <v>115</v>
      </c>
      <c r="B310" s="26" t="s">
        <v>111</v>
      </c>
      <c r="C310" s="26">
        <v>0</v>
      </c>
      <c r="D310" s="27">
        <v>43311</v>
      </c>
      <c r="E310" s="26">
        <v>4130.26</v>
      </c>
      <c r="F310" s="26" t="s">
        <v>961</v>
      </c>
      <c r="G310" s="26" t="s">
        <v>8</v>
      </c>
      <c r="H310" s="26" t="s">
        <v>962</v>
      </c>
      <c r="I310" s="26" t="s">
        <v>106</v>
      </c>
      <c r="J310" s="26">
        <v>0</v>
      </c>
      <c r="K310" s="8" t="str">
        <f t="shared" si="4"/>
        <v>BARCTOSHIP</v>
      </c>
    </row>
    <row r="311" spans="1:11" x14ac:dyDescent="0.25">
      <c r="A311" s="26" t="s">
        <v>115</v>
      </c>
      <c r="B311" s="26" t="s">
        <v>111</v>
      </c>
      <c r="C311" s="26">
        <v>0</v>
      </c>
      <c r="D311" s="27">
        <v>43314</v>
      </c>
      <c r="E311" s="26">
        <v>3256.55</v>
      </c>
      <c r="F311" s="26" t="s">
        <v>963</v>
      </c>
      <c r="G311" s="26" t="s">
        <v>8</v>
      </c>
      <c r="H311" s="26" t="s">
        <v>964</v>
      </c>
      <c r="I311" s="26" t="s">
        <v>106</v>
      </c>
      <c r="J311" s="26">
        <v>0</v>
      </c>
      <c r="K311" s="8" t="str">
        <f t="shared" si="4"/>
        <v>BARCTOSHIP</v>
      </c>
    </row>
    <row r="312" spans="1:11" x14ac:dyDescent="0.25">
      <c r="A312" s="26" t="s">
        <v>115</v>
      </c>
      <c r="B312" s="26" t="s">
        <v>111</v>
      </c>
      <c r="C312" s="26">
        <v>0</v>
      </c>
      <c r="D312" s="27">
        <v>43315</v>
      </c>
      <c r="E312" s="26">
        <v>4130.26</v>
      </c>
      <c r="F312" s="26" t="s">
        <v>965</v>
      </c>
      <c r="G312" s="26" t="s">
        <v>8</v>
      </c>
      <c r="H312" s="26" t="s">
        <v>966</v>
      </c>
      <c r="I312" s="26" t="s">
        <v>106</v>
      </c>
      <c r="J312" s="26">
        <v>0</v>
      </c>
      <c r="K312" s="8" t="str">
        <f t="shared" si="4"/>
        <v>BARCTOSHIP</v>
      </c>
    </row>
    <row r="313" spans="1:11" x14ac:dyDescent="0.25">
      <c r="A313" s="26" t="s">
        <v>115</v>
      </c>
      <c r="B313" s="26" t="s">
        <v>111</v>
      </c>
      <c r="C313" s="26">
        <v>0</v>
      </c>
      <c r="D313" s="27">
        <v>43315</v>
      </c>
      <c r="E313" s="26">
        <v>4368.55</v>
      </c>
      <c r="F313" s="26" t="s">
        <v>967</v>
      </c>
      <c r="G313" s="26" t="s">
        <v>8</v>
      </c>
      <c r="H313" s="26" t="s">
        <v>968</v>
      </c>
      <c r="I313" s="26" t="s">
        <v>106</v>
      </c>
      <c r="J313" s="26">
        <v>0</v>
      </c>
      <c r="K313" s="8" t="str">
        <f t="shared" si="4"/>
        <v>BARCTOSHIP</v>
      </c>
    </row>
    <row r="314" spans="1:11" x14ac:dyDescent="0.25">
      <c r="A314" s="26" t="s">
        <v>115</v>
      </c>
      <c r="B314" s="26" t="s">
        <v>111</v>
      </c>
      <c r="C314" s="26">
        <v>0</v>
      </c>
      <c r="D314" s="27">
        <v>43321</v>
      </c>
      <c r="E314" s="26">
        <v>2700.56</v>
      </c>
      <c r="F314" s="26" t="s">
        <v>969</v>
      </c>
      <c r="G314" s="26" t="s">
        <v>8</v>
      </c>
      <c r="H314" s="26" t="s">
        <v>970</v>
      </c>
      <c r="I314" s="26" t="s">
        <v>106</v>
      </c>
      <c r="J314" s="26">
        <v>0</v>
      </c>
      <c r="K314" s="8" t="str">
        <f t="shared" si="4"/>
        <v>BARCTOSHIP</v>
      </c>
    </row>
    <row r="315" spans="1:11" x14ac:dyDescent="0.25">
      <c r="A315" s="26" t="s">
        <v>115</v>
      </c>
      <c r="B315" s="26" t="s">
        <v>111</v>
      </c>
      <c r="C315" s="26">
        <v>0</v>
      </c>
      <c r="D315" s="27">
        <v>43322</v>
      </c>
      <c r="E315" s="26">
        <v>2859.41</v>
      </c>
      <c r="F315" s="26" t="s">
        <v>971</v>
      </c>
      <c r="G315" s="26" t="s">
        <v>8</v>
      </c>
      <c r="H315" s="26" t="s">
        <v>972</v>
      </c>
      <c r="I315" s="26" t="s">
        <v>106</v>
      </c>
      <c r="J315" s="26">
        <v>0</v>
      </c>
      <c r="K315" s="8" t="str">
        <f t="shared" si="4"/>
        <v>BARCTOSHIP</v>
      </c>
    </row>
    <row r="316" spans="1:11" x14ac:dyDescent="0.25">
      <c r="A316" s="26" t="s">
        <v>115</v>
      </c>
      <c r="B316" s="26" t="s">
        <v>111</v>
      </c>
      <c r="C316" s="26">
        <v>0</v>
      </c>
      <c r="D316" s="27">
        <v>43322</v>
      </c>
      <c r="E316" s="26">
        <v>3335.98</v>
      </c>
      <c r="F316" s="26" t="s">
        <v>973</v>
      </c>
      <c r="G316" s="26" t="s">
        <v>8</v>
      </c>
      <c r="H316" s="26" t="s">
        <v>974</v>
      </c>
      <c r="I316" s="26" t="s">
        <v>106</v>
      </c>
      <c r="J316" s="26">
        <v>0</v>
      </c>
      <c r="K316" s="8" t="str">
        <f t="shared" si="4"/>
        <v>BARCTOSHIP</v>
      </c>
    </row>
    <row r="317" spans="1:11" x14ac:dyDescent="0.25">
      <c r="A317" s="26" t="s">
        <v>115</v>
      </c>
      <c r="B317" s="26" t="s">
        <v>111</v>
      </c>
      <c r="C317" s="26">
        <v>0</v>
      </c>
      <c r="D317" s="27">
        <v>43322</v>
      </c>
      <c r="E317" s="26">
        <v>3415.41</v>
      </c>
      <c r="F317" s="26" t="s">
        <v>975</v>
      </c>
      <c r="G317" s="26" t="s">
        <v>8</v>
      </c>
      <c r="H317" s="26" t="s">
        <v>976</v>
      </c>
      <c r="I317" s="26" t="s">
        <v>106</v>
      </c>
      <c r="J317" s="26">
        <v>0</v>
      </c>
      <c r="K317" s="8" t="str">
        <f t="shared" si="4"/>
        <v>BARCTOSHIP</v>
      </c>
    </row>
    <row r="318" spans="1:11" x14ac:dyDescent="0.25">
      <c r="A318" s="26" t="s">
        <v>115</v>
      </c>
      <c r="B318" s="26" t="s">
        <v>111</v>
      </c>
      <c r="C318" s="26">
        <v>0</v>
      </c>
      <c r="D318" s="27">
        <v>43325</v>
      </c>
      <c r="E318" s="26">
        <v>2303.42</v>
      </c>
      <c r="F318" s="26" t="s">
        <v>977</v>
      </c>
      <c r="G318" s="26" t="s">
        <v>8</v>
      </c>
      <c r="H318" s="26" t="s">
        <v>978</v>
      </c>
      <c r="I318" s="26" t="s">
        <v>106</v>
      </c>
      <c r="J318" s="26">
        <v>0</v>
      </c>
      <c r="K318" s="8" t="str">
        <f t="shared" si="4"/>
        <v>BARCTOSHIP</v>
      </c>
    </row>
    <row r="319" spans="1:11" x14ac:dyDescent="0.25">
      <c r="A319" s="26" t="s">
        <v>115</v>
      </c>
      <c r="B319" s="26" t="s">
        <v>111</v>
      </c>
      <c r="C319" s="26">
        <v>0</v>
      </c>
      <c r="D319" s="27">
        <v>43328</v>
      </c>
      <c r="E319" s="26">
        <v>2303.42</v>
      </c>
      <c r="F319" s="26" t="s">
        <v>979</v>
      </c>
      <c r="G319" s="26" t="s">
        <v>8</v>
      </c>
      <c r="H319" s="26" t="s">
        <v>980</v>
      </c>
      <c r="I319" s="26" t="s">
        <v>106</v>
      </c>
      <c r="J319" s="26">
        <v>0</v>
      </c>
      <c r="K319" s="8" t="str">
        <f t="shared" si="4"/>
        <v>BARCTOSHIP</v>
      </c>
    </row>
    <row r="320" spans="1:11" x14ac:dyDescent="0.25">
      <c r="A320" s="26" t="s">
        <v>115</v>
      </c>
      <c r="B320" s="26" t="s">
        <v>111</v>
      </c>
      <c r="C320" s="26">
        <v>0</v>
      </c>
      <c r="D320" s="27">
        <v>43329</v>
      </c>
      <c r="E320" s="26">
        <v>1588.56</v>
      </c>
      <c r="F320" s="26" t="s">
        <v>981</v>
      </c>
      <c r="G320" s="26" t="s">
        <v>8</v>
      </c>
      <c r="H320" s="26" t="s">
        <v>982</v>
      </c>
      <c r="I320" s="26" t="s">
        <v>106</v>
      </c>
      <c r="J320" s="26">
        <v>0</v>
      </c>
      <c r="K320" s="8" t="str">
        <f t="shared" si="4"/>
        <v>BARCTOSHIP</v>
      </c>
    </row>
    <row r="321" spans="1:11" x14ac:dyDescent="0.25">
      <c r="A321" s="26" t="s">
        <v>115</v>
      </c>
      <c r="B321" s="26" t="s">
        <v>111</v>
      </c>
      <c r="C321" s="26">
        <v>0</v>
      </c>
      <c r="D321" s="27">
        <v>43329</v>
      </c>
      <c r="E321" s="26">
        <v>2382.84</v>
      </c>
      <c r="F321" s="26" t="s">
        <v>983</v>
      </c>
      <c r="G321" s="26" t="s">
        <v>8</v>
      </c>
      <c r="H321" s="26" t="s">
        <v>984</v>
      </c>
      <c r="I321" s="26" t="s">
        <v>106</v>
      </c>
      <c r="J321" s="26">
        <v>0</v>
      </c>
      <c r="K321" s="8" t="str">
        <f t="shared" si="4"/>
        <v>BARCTOSHIP</v>
      </c>
    </row>
    <row r="322" spans="1:11" x14ac:dyDescent="0.25">
      <c r="A322" s="26" t="s">
        <v>115</v>
      </c>
      <c r="B322" s="26" t="s">
        <v>111</v>
      </c>
      <c r="C322" s="26">
        <v>0</v>
      </c>
      <c r="D322" s="27">
        <v>43329</v>
      </c>
      <c r="E322" s="26">
        <v>3733.12</v>
      </c>
      <c r="F322" s="26" t="s">
        <v>985</v>
      </c>
      <c r="G322" s="26" t="s">
        <v>8</v>
      </c>
      <c r="H322" s="26" t="s">
        <v>986</v>
      </c>
      <c r="I322" s="26" t="s">
        <v>106</v>
      </c>
      <c r="J322" s="26">
        <v>0</v>
      </c>
      <c r="K322" s="8" t="str">
        <f t="shared" si="4"/>
        <v>BARCTOSHIP</v>
      </c>
    </row>
    <row r="323" spans="1:11" x14ac:dyDescent="0.25">
      <c r="A323" s="26" t="s">
        <v>115</v>
      </c>
      <c r="B323" s="26" t="s">
        <v>111</v>
      </c>
      <c r="C323" s="26">
        <v>0</v>
      </c>
      <c r="D323" s="27">
        <v>43336</v>
      </c>
      <c r="E323" s="26">
        <v>3971.41</v>
      </c>
      <c r="F323" s="26" t="s">
        <v>987</v>
      </c>
      <c r="G323" s="26" t="s">
        <v>8</v>
      </c>
      <c r="H323" s="26" t="s">
        <v>988</v>
      </c>
      <c r="I323" s="26" t="s">
        <v>106</v>
      </c>
      <c r="J323" s="26">
        <v>0</v>
      </c>
      <c r="K323" s="8" t="str">
        <f t="shared" ref="K323:K386" si="5">LEFT(A323,FIND("/",A323)-1)</f>
        <v>BARCTOSHIP</v>
      </c>
    </row>
    <row r="324" spans="1:11" x14ac:dyDescent="0.25">
      <c r="A324" s="26" t="s">
        <v>115</v>
      </c>
      <c r="B324" s="26" t="s">
        <v>111</v>
      </c>
      <c r="C324" s="26">
        <v>0</v>
      </c>
      <c r="D324" s="27">
        <v>43336</v>
      </c>
      <c r="E324" s="26">
        <v>3574.27</v>
      </c>
      <c r="F324" s="26" t="s">
        <v>989</v>
      </c>
      <c r="G324" s="26" t="s">
        <v>8</v>
      </c>
      <c r="H324" s="26" t="s">
        <v>990</v>
      </c>
      <c r="I324" s="26" t="s">
        <v>106</v>
      </c>
      <c r="J324" s="26">
        <v>0</v>
      </c>
      <c r="K324" s="8" t="str">
        <f t="shared" si="5"/>
        <v>BARCTOSHIP</v>
      </c>
    </row>
    <row r="325" spans="1:11" x14ac:dyDescent="0.25">
      <c r="A325" s="26" t="s">
        <v>115</v>
      </c>
      <c r="B325" s="26" t="s">
        <v>111</v>
      </c>
      <c r="C325" s="26">
        <v>0</v>
      </c>
      <c r="D325" s="27">
        <v>43336</v>
      </c>
      <c r="E325" s="26">
        <v>3494.84</v>
      </c>
      <c r="F325" s="26" t="s">
        <v>991</v>
      </c>
      <c r="G325" s="26" t="s">
        <v>8</v>
      </c>
      <c r="H325" s="26" t="s">
        <v>992</v>
      </c>
      <c r="I325" s="26" t="s">
        <v>106</v>
      </c>
      <c r="J325" s="26">
        <v>0</v>
      </c>
      <c r="K325" s="8" t="str">
        <f t="shared" si="5"/>
        <v>BARCTOSHIP</v>
      </c>
    </row>
    <row r="326" spans="1:11" x14ac:dyDescent="0.25">
      <c r="A326" s="26" t="s">
        <v>115</v>
      </c>
      <c r="B326" s="26" t="s">
        <v>111</v>
      </c>
      <c r="C326" s="26">
        <v>0</v>
      </c>
      <c r="D326" s="27">
        <v>43339</v>
      </c>
      <c r="E326" s="26">
        <v>2462.27</v>
      </c>
      <c r="F326" s="26" t="s">
        <v>993</v>
      </c>
      <c r="G326" s="26" t="s">
        <v>8</v>
      </c>
      <c r="H326" s="26" t="s">
        <v>994</v>
      </c>
      <c r="I326" s="26" t="s">
        <v>106</v>
      </c>
      <c r="J326" s="26">
        <v>0</v>
      </c>
      <c r="K326" s="8" t="str">
        <f t="shared" si="5"/>
        <v>BARCTOSHIP</v>
      </c>
    </row>
    <row r="327" spans="1:11" x14ac:dyDescent="0.25">
      <c r="A327" s="26" t="s">
        <v>115</v>
      </c>
      <c r="B327" s="26" t="s">
        <v>111</v>
      </c>
      <c r="C327" s="26">
        <v>0</v>
      </c>
      <c r="D327" s="27">
        <v>43342</v>
      </c>
      <c r="E327" s="26">
        <v>2223.9899999999998</v>
      </c>
      <c r="F327" s="26" t="s">
        <v>995</v>
      </c>
      <c r="G327" s="26" t="s">
        <v>8</v>
      </c>
      <c r="H327" s="26" t="s">
        <v>996</v>
      </c>
      <c r="I327" s="26" t="s">
        <v>106</v>
      </c>
      <c r="J327" s="26">
        <v>0</v>
      </c>
      <c r="K327" s="8" t="str">
        <f t="shared" si="5"/>
        <v>BARCTOSHIP</v>
      </c>
    </row>
    <row r="328" spans="1:11" x14ac:dyDescent="0.25">
      <c r="A328" s="26" t="s">
        <v>115</v>
      </c>
      <c r="B328" s="26" t="s">
        <v>111</v>
      </c>
      <c r="C328" s="26">
        <v>0</v>
      </c>
      <c r="D328" s="27">
        <v>43343</v>
      </c>
      <c r="E328" s="26">
        <v>2621.13</v>
      </c>
      <c r="F328" s="26" t="s">
        <v>997</v>
      </c>
      <c r="G328" s="26" t="s">
        <v>8</v>
      </c>
      <c r="H328" s="26" t="s">
        <v>998</v>
      </c>
      <c r="I328" s="26" t="s">
        <v>106</v>
      </c>
      <c r="J328" s="26">
        <v>0</v>
      </c>
      <c r="K328" s="8" t="str">
        <f t="shared" si="5"/>
        <v>BARCTOSHIP</v>
      </c>
    </row>
    <row r="329" spans="1:11" x14ac:dyDescent="0.25">
      <c r="A329" s="26" t="s">
        <v>115</v>
      </c>
      <c r="B329" s="26" t="s">
        <v>111</v>
      </c>
      <c r="C329" s="26">
        <v>0</v>
      </c>
      <c r="D329" s="27">
        <v>43343</v>
      </c>
      <c r="E329" s="26">
        <v>2541.6999999999998</v>
      </c>
      <c r="F329" s="26" t="s">
        <v>999</v>
      </c>
      <c r="G329" s="26" t="s">
        <v>8</v>
      </c>
      <c r="H329" s="26" t="s">
        <v>1000</v>
      </c>
      <c r="I329" s="26" t="s">
        <v>106</v>
      </c>
      <c r="J329" s="26">
        <v>0</v>
      </c>
      <c r="K329" s="8" t="str">
        <f t="shared" si="5"/>
        <v>BARCTOSHIP</v>
      </c>
    </row>
    <row r="330" spans="1:11" x14ac:dyDescent="0.25">
      <c r="A330" s="26" t="s">
        <v>115</v>
      </c>
      <c r="B330" s="26" t="s">
        <v>111</v>
      </c>
      <c r="C330" s="26">
        <v>0</v>
      </c>
      <c r="D330" s="27">
        <v>43343</v>
      </c>
      <c r="E330" s="26">
        <v>2303.42</v>
      </c>
      <c r="F330" s="26" t="s">
        <v>1001</v>
      </c>
      <c r="G330" s="26" t="s">
        <v>8</v>
      </c>
      <c r="H330" s="26" t="s">
        <v>1002</v>
      </c>
      <c r="I330" s="26" t="s">
        <v>106</v>
      </c>
      <c r="J330" s="26">
        <v>0</v>
      </c>
      <c r="K330" s="8" t="str">
        <f t="shared" si="5"/>
        <v>BARCTOSHIP</v>
      </c>
    </row>
    <row r="331" spans="1:11" x14ac:dyDescent="0.25">
      <c r="A331" s="26" t="s">
        <v>115</v>
      </c>
      <c r="B331" s="26" t="s">
        <v>111</v>
      </c>
      <c r="C331" s="26">
        <v>0</v>
      </c>
      <c r="D331" s="27">
        <v>43346</v>
      </c>
      <c r="E331" s="26">
        <v>2144.56</v>
      </c>
      <c r="F331" s="26" t="s">
        <v>1003</v>
      </c>
      <c r="G331" s="26" t="s">
        <v>8</v>
      </c>
      <c r="H331" s="26" t="s">
        <v>1004</v>
      </c>
      <c r="I331" s="26" t="s">
        <v>106</v>
      </c>
      <c r="J331" s="26">
        <v>0</v>
      </c>
      <c r="K331" s="8" t="str">
        <f t="shared" si="5"/>
        <v>BARCTOSHIP</v>
      </c>
    </row>
    <row r="332" spans="1:11" x14ac:dyDescent="0.25">
      <c r="A332" s="26" t="s">
        <v>115</v>
      </c>
      <c r="B332" s="26" t="s">
        <v>111</v>
      </c>
      <c r="C332" s="26">
        <v>0</v>
      </c>
      <c r="D332" s="27">
        <v>43349</v>
      </c>
      <c r="E332" s="26">
        <v>2144.56</v>
      </c>
      <c r="F332" s="26" t="s">
        <v>1005</v>
      </c>
      <c r="G332" s="26" t="s">
        <v>8</v>
      </c>
      <c r="H332" s="26" t="s">
        <v>1006</v>
      </c>
      <c r="I332" s="26" t="s">
        <v>106</v>
      </c>
      <c r="J332" s="26">
        <v>0</v>
      </c>
      <c r="K332" s="8" t="str">
        <f t="shared" si="5"/>
        <v>BARCTOSHIP</v>
      </c>
    </row>
    <row r="333" spans="1:11" x14ac:dyDescent="0.25">
      <c r="A333" s="26" t="s">
        <v>115</v>
      </c>
      <c r="B333" s="26" t="s">
        <v>111</v>
      </c>
      <c r="C333" s="26">
        <v>0</v>
      </c>
      <c r="D333" s="27">
        <v>43350</v>
      </c>
      <c r="E333" s="26">
        <v>2621.13</v>
      </c>
      <c r="F333" s="26" t="s">
        <v>1007</v>
      </c>
      <c r="G333" s="26" t="s">
        <v>8</v>
      </c>
      <c r="H333" s="26" t="s">
        <v>1008</v>
      </c>
      <c r="I333" s="26" t="s">
        <v>106</v>
      </c>
      <c r="J333" s="26">
        <v>0</v>
      </c>
      <c r="K333" s="8" t="str">
        <f t="shared" si="5"/>
        <v>BARCTOSHIP</v>
      </c>
    </row>
    <row r="334" spans="1:11" x14ac:dyDescent="0.25">
      <c r="A334" s="26" t="s">
        <v>115</v>
      </c>
      <c r="B334" s="26" t="s">
        <v>111</v>
      </c>
      <c r="C334" s="26">
        <v>0</v>
      </c>
      <c r="D334" s="27">
        <v>43350</v>
      </c>
      <c r="E334" s="26">
        <v>2462.27</v>
      </c>
      <c r="F334" s="26" t="s">
        <v>1009</v>
      </c>
      <c r="G334" s="26" t="s">
        <v>8</v>
      </c>
      <c r="H334" s="26" t="s">
        <v>1010</v>
      </c>
      <c r="I334" s="26" t="s">
        <v>106</v>
      </c>
      <c r="J334" s="26">
        <v>0</v>
      </c>
      <c r="K334" s="8" t="str">
        <f t="shared" si="5"/>
        <v>BARCTOSHIP</v>
      </c>
    </row>
    <row r="335" spans="1:11" x14ac:dyDescent="0.25">
      <c r="A335" s="26" t="s">
        <v>115</v>
      </c>
      <c r="B335" s="26" t="s">
        <v>111</v>
      </c>
      <c r="C335" s="26">
        <v>0</v>
      </c>
      <c r="D335" s="27">
        <v>43350</v>
      </c>
      <c r="E335" s="26">
        <v>2065.13</v>
      </c>
      <c r="F335" s="26" t="s">
        <v>1011</v>
      </c>
      <c r="G335" s="26" t="s">
        <v>8</v>
      </c>
      <c r="H335" s="26" t="s">
        <v>1012</v>
      </c>
      <c r="I335" s="26" t="s">
        <v>106</v>
      </c>
      <c r="J335" s="26">
        <v>0</v>
      </c>
      <c r="K335" s="8" t="str">
        <f t="shared" si="5"/>
        <v>BARCTOSHIP</v>
      </c>
    </row>
    <row r="336" spans="1:11" x14ac:dyDescent="0.25">
      <c r="A336" s="26" t="s">
        <v>115</v>
      </c>
      <c r="B336" s="26" t="s">
        <v>111</v>
      </c>
      <c r="C336" s="26">
        <v>0</v>
      </c>
      <c r="D336" s="27">
        <v>43353</v>
      </c>
      <c r="E336" s="26">
        <v>1985.7</v>
      </c>
      <c r="F336" s="26" t="s">
        <v>1013</v>
      </c>
      <c r="G336" s="26" t="s">
        <v>8</v>
      </c>
      <c r="H336" s="26" t="s">
        <v>1014</v>
      </c>
      <c r="I336" s="26" t="s">
        <v>106</v>
      </c>
      <c r="J336" s="26">
        <v>0</v>
      </c>
      <c r="K336" s="8" t="str">
        <f t="shared" si="5"/>
        <v>BARCTOSHIP</v>
      </c>
    </row>
    <row r="337" spans="1:11" x14ac:dyDescent="0.25">
      <c r="A337" s="26" t="s">
        <v>115</v>
      </c>
      <c r="B337" s="26" t="s">
        <v>111</v>
      </c>
      <c r="C337" s="26">
        <v>0</v>
      </c>
      <c r="D337" s="27">
        <v>43356</v>
      </c>
      <c r="E337" s="26">
        <v>1985.7</v>
      </c>
      <c r="F337" s="26" t="s">
        <v>1015</v>
      </c>
      <c r="G337" s="26" t="s">
        <v>8</v>
      </c>
      <c r="H337" s="26" t="s">
        <v>1016</v>
      </c>
      <c r="I337" s="26" t="s">
        <v>106</v>
      </c>
      <c r="J337" s="26">
        <v>0</v>
      </c>
      <c r="K337" s="8" t="str">
        <f t="shared" si="5"/>
        <v>BARCTOSHIP</v>
      </c>
    </row>
    <row r="338" spans="1:11" x14ac:dyDescent="0.25">
      <c r="A338" s="26" t="s">
        <v>115</v>
      </c>
      <c r="B338" s="26" t="s">
        <v>111</v>
      </c>
      <c r="C338" s="26">
        <v>0</v>
      </c>
      <c r="D338" s="27">
        <v>43357</v>
      </c>
      <c r="E338" s="26">
        <v>2303.42</v>
      </c>
      <c r="F338" s="26" t="s">
        <v>1017</v>
      </c>
      <c r="G338" s="26" t="s">
        <v>8</v>
      </c>
      <c r="H338" s="26" t="s">
        <v>1018</v>
      </c>
      <c r="I338" s="26" t="s">
        <v>106</v>
      </c>
      <c r="J338" s="26">
        <v>0</v>
      </c>
      <c r="K338" s="8" t="str">
        <f t="shared" si="5"/>
        <v>BARCTOSHIP</v>
      </c>
    </row>
    <row r="339" spans="1:11" x14ac:dyDescent="0.25">
      <c r="A339" s="26" t="s">
        <v>115</v>
      </c>
      <c r="B339" s="26" t="s">
        <v>111</v>
      </c>
      <c r="C339" s="26">
        <v>0</v>
      </c>
      <c r="D339" s="27">
        <v>43357</v>
      </c>
      <c r="E339" s="26">
        <v>2462.27</v>
      </c>
      <c r="F339" s="26" t="s">
        <v>1019</v>
      </c>
      <c r="G339" s="26" t="s">
        <v>8</v>
      </c>
      <c r="H339" s="26" t="s">
        <v>1020</v>
      </c>
      <c r="I339" s="26" t="s">
        <v>106</v>
      </c>
      <c r="J339" s="26">
        <v>0</v>
      </c>
      <c r="K339" s="8" t="str">
        <f t="shared" si="5"/>
        <v>BARCTOSHIP</v>
      </c>
    </row>
    <row r="340" spans="1:11" x14ac:dyDescent="0.25">
      <c r="A340" s="26" t="s">
        <v>115</v>
      </c>
      <c r="B340" s="26" t="s">
        <v>111</v>
      </c>
      <c r="C340" s="26">
        <v>0</v>
      </c>
      <c r="D340" s="27">
        <v>43357</v>
      </c>
      <c r="E340" s="26">
        <v>1906.27</v>
      </c>
      <c r="F340" s="26" t="s">
        <v>1021</v>
      </c>
      <c r="G340" s="26" t="s">
        <v>8</v>
      </c>
      <c r="H340" s="26" t="s">
        <v>1022</v>
      </c>
      <c r="I340" s="26" t="s">
        <v>106</v>
      </c>
      <c r="J340" s="26">
        <v>0</v>
      </c>
      <c r="K340" s="8" t="str">
        <f t="shared" si="5"/>
        <v>BARCTOSHIP</v>
      </c>
    </row>
    <row r="341" spans="1:11" x14ac:dyDescent="0.25">
      <c r="A341" s="26" t="s">
        <v>115</v>
      </c>
      <c r="B341" s="26" t="s">
        <v>111</v>
      </c>
      <c r="C341" s="26">
        <v>0</v>
      </c>
      <c r="D341" s="27">
        <v>43360</v>
      </c>
      <c r="E341" s="26">
        <v>1906.27</v>
      </c>
      <c r="F341" s="26" t="s">
        <v>1023</v>
      </c>
      <c r="G341" s="26" t="s">
        <v>8</v>
      </c>
      <c r="H341" s="26" t="s">
        <v>1024</v>
      </c>
      <c r="I341" s="26" t="s">
        <v>106</v>
      </c>
      <c r="J341" s="26">
        <v>0</v>
      </c>
      <c r="K341" s="8" t="str">
        <f t="shared" si="5"/>
        <v>BARCTOSHIP</v>
      </c>
    </row>
    <row r="342" spans="1:11" x14ac:dyDescent="0.25">
      <c r="A342" s="26" t="s">
        <v>121</v>
      </c>
      <c r="B342" s="26" t="s">
        <v>111</v>
      </c>
      <c r="C342" s="26">
        <v>0</v>
      </c>
      <c r="D342" s="27">
        <v>43244</v>
      </c>
      <c r="E342" s="26">
        <v>-7942.81</v>
      </c>
      <c r="F342" s="26" t="s">
        <v>1025</v>
      </c>
      <c r="G342" s="26" t="s">
        <v>8</v>
      </c>
      <c r="H342" s="26" t="s">
        <v>1026</v>
      </c>
      <c r="I342" s="26" t="s">
        <v>106</v>
      </c>
      <c r="J342" s="26">
        <v>0</v>
      </c>
      <c r="K342" s="8" t="str">
        <f t="shared" si="5"/>
        <v>BOECLRCPAY</v>
      </c>
    </row>
    <row r="343" spans="1:11" x14ac:dyDescent="0.25">
      <c r="A343" s="26" t="s">
        <v>121</v>
      </c>
      <c r="B343" s="26" t="s">
        <v>111</v>
      </c>
      <c r="C343" s="26">
        <v>0</v>
      </c>
      <c r="D343" s="27">
        <v>43245</v>
      </c>
      <c r="E343" s="26">
        <v>-10325.66</v>
      </c>
      <c r="F343" s="26" t="s">
        <v>1027</v>
      </c>
      <c r="G343" s="26" t="s">
        <v>8</v>
      </c>
      <c r="H343" s="26" t="s">
        <v>1028</v>
      </c>
      <c r="I343" s="26" t="s">
        <v>106</v>
      </c>
      <c r="J343" s="26">
        <v>0</v>
      </c>
      <c r="K343" s="8" t="str">
        <f t="shared" si="5"/>
        <v>BOECLRCPAY</v>
      </c>
    </row>
    <row r="344" spans="1:11" x14ac:dyDescent="0.25">
      <c r="A344" s="26" t="s">
        <v>121</v>
      </c>
      <c r="B344" s="26" t="s">
        <v>111</v>
      </c>
      <c r="C344" s="26">
        <v>0</v>
      </c>
      <c r="D344" s="27">
        <v>43245</v>
      </c>
      <c r="E344" s="26">
        <v>-11119.94</v>
      </c>
      <c r="F344" s="26" t="s">
        <v>1029</v>
      </c>
      <c r="G344" s="26" t="s">
        <v>8</v>
      </c>
      <c r="H344" s="26" t="s">
        <v>1030</v>
      </c>
      <c r="I344" s="26" t="s">
        <v>106</v>
      </c>
      <c r="J344" s="26">
        <v>0</v>
      </c>
      <c r="K344" s="8" t="str">
        <f t="shared" si="5"/>
        <v>BOECLRCPAY</v>
      </c>
    </row>
    <row r="345" spans="1:11" x14ac:dyDescent="0.25">
      <c r="A345" s="26" t="s">
        <v>121</v>
      </c>
      <c r="B345" s="26" t="s">
        <v>111</v>
      </c>
      <c r="C345" s="26">
        <v>0</v>
      </c>
      <c r="D345" s="27">
        <v>43245</v>
      </c>
      <c r="E345" s="26">
        <v>-11914.22</v>
      </c>
      <c r="F345" s="26" t="s">
        <v>1031</v>
      </c>
      <c r="G345" s="26" t="s">
        <v>8</v>
      </c>
      <c r="H345" s="26" t="s">
        <v>1032</v>
      </c>
      <c r="I345" s="26" t="s">
        <v>106</v>
      </c>
      <c r="J345" s="26">
        <v>0</v>
      </c>
      <c r="K345" s="8" t="str">
        <f t="shared" si="5"/>
        <v>BOECLRCPAY</v>
      </c>
    </row>
    <row r="346" spans="1:11" x14ac:dyDescent="0.25">
      <c r="A346" s="26" t="s">
        <v>121</v>
      </c>
      <c r="B346" s="26" t="s">
        <v>111</v>
      </c>
      <c r="C346" s="26">
        <v>0</v>
      </c>
      <c r="D346" s="27">
        <v>43248</v>
      </c>
      <c r="E346" s="26">
        <v>-9531.3700000000008</v>
      </c>
      <c r="F346" s="26" t="s">
        <v>1033</v>
      </c>
      <c r="G346" s="26" t="s">
        <v>8</v>
      </c>
      <c r="H346" s="26" t="s">
        <v>1034</v>
      </c>
      <c r="I346" s="26" t="s">
        <v>106</v>
      </c>
      <c r="J346" s="26">
        <v>0</v>
      </c>
      <c r="K346" s="8" t="str">
        <f t="shared" si="5"/>
        <v>BOECLRCPAY</v>
      </c>
    </row>
    <row r="347" spans="1:11" x14ac:dyDescent="0.25">
      <c r="A347" s="26" t="s">
        <v>121</v>
      </c>
      <c r="B347" s="26" t="s">
        <v>111</v>
      </c>
      <c r="C347" s="26">
        <v>0</v>
      </c>
      <c r="D347" s="27">
        <v>43251</v>
      </c>
      <c r="E347" s="26">
        <v>-7148.53</v>
      </c>
      <c r="F347" s="26" t="s">
        <v>1035</v>
      </c>
      <c r="G347" s="26" t="s">
        <v>8</v>
      </c>
      <c r="H347" s="26" t="s">
        <v>1036</v>
      </c>
      <c r="I347" s="26" t="s">
        <v>106</v>
      </c>
      <c r="J347" s="26">
        <v>0</v>
      </c>
      <c r="K347" s="8" t="str">
        <f t="shared" si="5"/>
        <v>BOECLRCPAY</v>
      </c>
    </row>
    <row r="348" spans="1:11" x14ac:dyDescent="0.25">
      <c r="A348" s="26" t="s">
        <v>121</v>
      </c>
      <c r="B348" s="26" t="s">
        <v>111</v>
      </c>
      <c r="C348" s="26">
        <v>0</v>
      </c>
      <c r="D348" s="27">
        <v>43252</v>
      </c>
      <c r="E348" s="26">
        <v>-7148.53</v>
      </c>
      <c r="F348" s="26" t="s">
        <v>1037</v>
      </c>
      <c r="G348" s="26" t="s">
        <v>8</v>
      </c>
      <c r="H348" s="26" t="s">
        <v>1038</v>
      </c>
      <c r="I348" s="26" t="s">
        <v>106</v>
      </c>
      <c r="J348" s="26">
        <v>0</v>
      </c>
      <c r="K348" s="8" t="str">
        <f t="shared" si="5"/>
        <v>BOECLRCPAY</v>
      </c>
    </row>
    <row r="349" spans="1:11" x14ac:dyDescent="0.25">
      <c r="A349" s="26" t="s">
        <v>121</v>
      </c>
      <c r="B349" s="26" t="s">
        <v>111</v>
      </c>
      <c r="C349" s="26">
        <v>0</v>
      </c>
      <c r="D349" s="27">
        <v>43252</v>
      </c>
      <c r="E349" s="26">
        <v>-6354.25</v>
      </c>
      <c r="F349" s="26" t="s">
        <v>1039</v>
      </c>
      <c r="G349" s="26" t="s">
        <v>8</v>
      </c>
      <c r="H349" s="26" t="s">
        <v>1040</v>
      </c>
      <c r="I349" s="26" t="s">
        <v>106</v>
      </c>
      <c r="J349" s="26">
        <v>0</v>
      </c>
      <c r="K349" s="8" t="str">
        <f t="shared" si="5"/>
        <v>BOECLRCPAY</v>
      </c>
    </row>
    <row r="350" spans="1:11" x14ac:dyDescent="0.25">
      <c r="A350" s="26" t="s">
        <v>121</v>
      </c>
      <c r="B350" s="26" t="s">
        <v>111</v>
      </c>
      <c r="C350" s="26">
        <v>0</v>
      </c>
      <c r="D350" s="27">
        <v>43252</v>
      </c>
      <c r="E350" s="26">
        <v>-13502.78</v>
      </c>
      <c r="F350" s="26" t="s">
        <v>1041</v>
      </c>
      <c r="G350" s="26" t="s">
        <v>8</v>
      </c>
      <c r="H350" s="26" t="s">
        <v>1042</v>
      </c>
      <c r="I350" s="26" t="s">
        <v>106</v>
      </c>
      <c r="J350" s="26">
        <v>0</v>
      </c>
      <c r="K350" s="8" t="str">
        <f t="shared" si="5"/>
        <v>BOECLRCPAY</v>
      </c>
    </row>
    <row r="351" spans="1:11" x14ac:dyDescent="0.25">
      <c r="A351" s="26" t="s">
        <v>121</v>
      </c>
      <c r="B351" s="26" t="s">
        <v>111</v>
      </c>
      <c r="C351" s="26">
        <v>0</v>
      </c>
      <c r="D351" s="27">
        <v>43255</v>
      </c>
      <c r="E351" s="26">
        <v>-13502.78</v>
      </c>
      <c r="F351" s="26" t="s">
        <v>1043</v>
      </c>
      <c r="G351" s="26" t="s">
        <v>8</v>
      </c>
      <c r="H351" s="26" t="s">
        <v>1044</v>
      </c>
      <c r="I351" s="26" t="s">
        <v>106</v>
      </c>
      <c r="J351" s="26">
        <v>0</v>
      </c>
      <c r="K351" s="8" t="str">
        <f t="shared" si="5"/>
        <v>BOECLRCPAY</v>
      </c>
    </row>
    <row r="352" spans="1:11" x14ac:dyDescent="0.25">
      <c r="A352" s="26" t="s">
        <v>121</v>
      </c>
      <c r="B352" s="26" t="s">
        <v>111</v>
      </c>
      <c r="C352" s="26">
        <v>0</v>
      </c>
      <c r="D352" s="27">
        <v>43258</v>
      </c>
      <c r="E352" s="26">
        <v>-11914.22</v>
      </c>
      <c r="F352" s="26" t="s">
        <v>1045</v>
      </c>
      <c r="G352" s="26" t="s">
        <v>8</v>
      </c>
      <c r="H352" s="26" t="s">
        <v>1046</v>
      </c>
      <c r="I352" s="26" t="s">
        <v>106</v>
      </c>
      <c r="J352" s="26">
        <v>0</v>
      </c>
      <c r="K352" s="8" t="str">
        <f t="shared" si="5"/>
        <v>BOECLRCPAY</v>
      </c>
    </row>
    <row r="353" spans="1:11" x14ac:dyDescent="0.25">
      <c r="A353" s="26" t="s">
        <v>121</v>
      </c>
      <c r="B353" s="26" t="s">
        <v>111</v>
      </c>
      <c r="C353" s="26">
        <v>0</v>
      </c>
      <c r="D353" s="27">
        <v>43259</v>
      </c>
      <c r="E353" s="26">
        <v>-11119.94</v>
      </c>
      <c r="F353" s="26" t="s">
        <v>1047</v>
      </c>
      <c r="G353" s="26" t="s">
        <v>8</v>
      </c>
      <c r="H353" s="26" t="s">
        <v>1048</v>
      </c>
      <c r="I353" s="26" t="s">
        <v>106</v>
      </c>
      <c r="J353" s="26">
        <v>0</v>
      </c>
      <c r="K353" s="8" t="str">
        <f t="shared" si="5"/>
        <v>BOECLRCPAY</v>
      </c>
    </row>
    <row r="354" spans="1:11" x14ac:dyDescent="0.25">
      <c r="A354" s="26" t="s">
        <v>121</v>
      </c>
      <c r="B354" s="26" t="s">
        <v>111</v>
      </c>
      <c r="C354" s="26">
        <v>0</v>
      </c>
      <c r="D354" s="27">
        <v>43259</v>
      </c>
      <c r="E354" s="26">
        <v>-10325.66</v>
      </c>
      <c r="F354" s="26" t="s">
        <v>1049</v>
      </c>
      <c r="G354" s="26" t="s">
        <v>8</v>
      </c>
      <c r="H354" s="26" t="s">
        <v>1050</v>
      </c>
      <c r="I354" s="26" t="s">
        <v>106</v>
      </c>
      <c r="J354" s="26">
        <v>0</v>
      </c>
      <c r="K354" s="8" t="str">
        <f t="shared" si="5"/>
        <v>BOECLRCPAY</v>
      </c>
    </row>
    <row r="355" spans="1:11" x14ac:dyDescent="0.25">
      <c r="A355" s="26" t="s">
        <v>121</v>
      </c>
      <c r="B355" s="26" t="s">
        <v>111</v>
      </c>
      <c r="C355" s="26">
        <v>0</v>
      </c>
      <c r="D355" s="27">
        <v>43259</v>
      </c>
      <c r="E355" s="26">
        <v>-19062.75</v>
      </c>
      <c r="F355" s="26" t="s">
        <v>1051</v>
      </c>
      <c r="G355" s="26" t="s">
        <v>8</v>
      </c>
      <c r="H355" s="26" t="s">
        <v>1052</v>
      </c>
      <c r="I355" s="26" t="s">
        <v>106</v>
      </c>
      <c r="J355" s="26">
        <v>0</v>
      </c>
      <c r="K355" s="8" t="str">
        <f t="shared" si="5"/>
        <v>BOECLRCPAY</v>
      </c>
    </row>
    <row r="356" spans="1:11" x14ac:dyDescent="0.25">
      <c r="A356" s="26" t="s">
        <v>121</v>
      </c>
      <c r="B356" s="26" t="s">
        <v>111</v>
      </c>
      <c r="C356" s="26">
        <v>0</v>
      </c>
      <c r="D356" s="27">
        <v>43262</v>
      </c>
      <c r="E356" s="26">
        <v>-12708.5</v>
      </c>
      <c r="F356" s="26" t="s">
        <v>1053</v>
      </c>
      <c r="G356" s="26" t="s">
        <v>8</v>
      </c>
      <c r="H356" s="26" t="s">
        <v>1054</v>
      </c>
      <c r="I356" s="26" t="s">
        <v>106</v>
      </c>
      <c r="J356" s="26">
        <v>0</v>
      </c>
      <c r="K356" s="8" t="str">
        <f t="shared" si="5"/>
        <v>BOECLRCPAY</v>
      </c>
    </row>
    <row r="357" spans="1:11" x14ac:dyDescent="0.25">
      <c r="A357" s="26" t="s">
        <v>121</v>
      </c>
      <c r="B357" s="26" t="s">
        <v>111</v>
      </c>
      <c r="C357" s="26">
        <v>0</v>
      </c>
      <c r="D357" s="27">
        <v>43265</v>
      </c>
      <c r="E357" s="26">
        <v>-14297.06</v>
      </c>
      <c r="F357" s="26" t="s">
        <v>1055</v>
      </c>
      <c r="G357" s="26" t="s">
        <v>8</v>
      </c>
      <c r="H357" s="26" t="s">
        <v>1056</v>
      </c>
      <c r="I357" s="26" t="s">
        <v>106</v>
      </c>
      <c r="J357" s="26">
        <v>0</v>
      </c>
      <c r="K357" s="8" t="str">
        <f t="shared" si="5"/>
        <v>BOECLRCPAY</v>
      </c>
    </row>
    <row r="358" spans="1:11" x14ac:dyDescent="0.25">
      <c r="A358" s="26" t="s">
        <v>121</v>
      </c>
      <c r="B358" s="26" t="s">
        <v>111</v>
      </c>
      <c r="C358" s="26">
        <v>0</v>
      </c>
      <c r="D358" s="27">
        <v>43266</v>
      </c>
      <c r="E358" s="26">
        <v>-15091.34</v>
      </c>
      <c r="F358" s="26" t="s">
        <v>1057</v>
      </c>
      <c r="G358" s="26" t="s">
        <v>8</v>
      </c>
      <c r="H358" s="26" t="s">
        <v>1058</v>
      </c>
      <c r="I358" s="26" t="s">
        <v>106</v>
      </c>
      <c r="J358" s="26">
        <v>0</v>
      </c>
      <c r="K358" s="8" t="str">
        <f t="shared" si="5"/>
        <v>BOECLRCPAY</v>
      </c>
    </row>
    <row r="359" spans="1:11" x14ac:dyDescent="0.25">
      <c r="A359" s="26" t="s">
        <v>121</v>
      </c>
      <c r="B359" s="26" t="s">
        <v>111</v>
      </c>
      <c r="C359" s="26">
        <v>0</v>
      </c>
      <c r="D359" s="27">
        <v>43266</v>
      </c>
      <c r="E359" s="26">
        <v>-15885.62</v>
      </c>
      <c r="F359" s="26" t="s">
        <v>1059</v>
      </c>
      <c r="G359" s="26" t="s">
        <v>8</v>
      </c>
      <c r="H359" s="26" t="s">
        <v>1060</v>
      </c>
      <c r="I359" s="26" t="s">
        <v>106</v>
      </c>
      <c r="J359" s="26">
        <v>0</v>
      </c>
      <c r="K359" s="8" t="str">
        <f t="shared" si="5"/>
        <v>BOECLRCPAY</v>
      </c>
    </row>
    <row r="360" spans="1:11" x14ac:dyDescent="0.25">
      <c r="A360" s="26" t="s">
        <v>121</v>
      </c>
      <c r="B360" s="26" t="s">
        <v>111</v>
      </c>
      <c r="C360" s="26">
        <v>0</v>
      </c>
      <c r="D360" s="27">
        <v>43266</v>
      </c>
      <c r="E360" s="26">
        <v>-14297.06</v>
      </c>
      <c r="F360" s="26" t="s">
        <v>1061</v>
      </c>
      <c r="G360" s="26" t="s">
        <v>8</v>
      </c>
      <c r="H360" s="26" t="s">
        <v>1062</v>
      </c>
      <c r="I360" s="26" t="s">
        <v>106</v>
      </c>
      <c r="J360" s="26">
        <v>0</v>
      </c>
      <c r="K360" s="8" t="str">
        <f t="shared" si="5"/>
        <v>BOECLRCPAY</v>
      </c>
    </row>
    <row r="361" spans="1:11" x14ac:dyDescent="0.25">
      <c r="A361" s="26" t="s">
        <v>121</v>
      </c>
      <c r="B361" s="26" t="s">
        <v>111</v>
      </c>
      <c r="C361" s="26">
        <v>0</v>
      </c>
      <c r="D361" s="27">
        <v>43269</v>
      </c>
      <c r="E361" s="26">
        <v>-11119.94</v>
      </c>
      <c r="F361" s="26" t="s">
        <v>1063</v>
      </c>
      <c r="G361" s="26" t="s">
        <v>8</v>
      </c>
      <c r="H361" s="26" t="s">
        <v>1064</v>
      </c>
      <c r="I361" s="26" t="s">
        <v>106</v>
      </c>
      <c r="J361" s="26">
        <v>0</v>
      </c>
      <c r="K361" s="8" t="str">
        <f t="shared" si="5"/>
        <v>BOECLRCPAY</v>
      </c>
    </row>
    <row r="362" spans="1:11" x14ac:dyDescent="0.25">
      <c r="A362" s="26" t="s">
        <v>121</v>
      </c>
      <c r="B362" s="26" t="s">
        <v>111</v>
      </c>
      <c r="C362" s="26">
        <v>0</v>
      </c>
      <c r="D362" s="27">
        <v>43272</v>
      </c>
      <c r="E362" s="26">
        <v>-15091.34</v>
      </c>
      <c r="F362" s="26" t="s">
        <v>1065</v>
      </c>
      <c r="G362" s="26" t="s">
        <v>8</v>
      </c>
      <c r="H362" s="26" t="s">
        <v>1066</v>
      </c>
      <c r="I362" s="26" t="s">
        <v>106</v>
      </c>
      <c r="J362" s="26">
        <v>0</v>
      </c>
      <c r="K362" s="8" t="str">
        <f t="shared" si="5"/>
        <v>BOECLRCPAY</v>
      </c>
    </row>
    <row r="363" spans="1:11" x14ac:dyDescent="0.25">
      <c r="A363" s="26" t="s">
        <v>121</v>
      </c>
      <c r="B363" s="26" t="s">
        <v>111</v>
      </c>
      <c r="C363" s="26">
        <v>0</v>
      </c>
      <c r="D363" s="27">
        <v>43273</v>
      </c>
      <c r="E363" s="26">
        <v>-14297.06</v>
      </c>
      <c r="F363" s="26" t="s">
        <v>1067</v>
      </c>
      <c r="G363" s="26" t="s">
        <v>8</v>
      </c>
      <c r="H363" s="26" t="s">
        <v>1068</v>
      </c>
      <c r="I363" s="26" t="s">
        <v>106</v>
      </c>
      <c r="J363" s="26">
        <v>0</v>
      </c>
      <c r="K363" s="8" t="str">
        <f t="shared" si="5"/>
        <v>BOECLRCPAY</v>
      </c>
    </row>
    <row r="364" spans="1:11" x14ac:dyDescent="0.25">
      <c r="A364" s="26" t="s">
        <v>121</v>
      </c>
      <c r="B364" s="26" t="s">
        <v>111</v>
      </c>
      <c r="C364" s="26">
        <v>0</v>
      </c>
      <c r="D364" s="27">
        <v>43273</v>
      </c>
      <c r="E364" s="26">
        <v>-15885.62</v>
      </c>
      <c r="F364" s="26" t="s">
        <v>1069</v>
      </c>
      <c r="G364" s="26" t="s">
        <v>8</v>
      </c>
      <c r="H364" s="26" t="s">
        <v>1070</v>
      </c>
      <c r="I364" s="26" t="s">
        <v>106</v>
      </c>
      <c r="J364" s="26">
        <v>0</v>
      </c>
      <c r="K364" s="8" t="str">
        <f t="shared" si="5"/>
        <v>BOECLRCPAY</v>
      </c>
    </row>
    <row r="365" spans="1:11" x14ac:dyDescent="0.25">
      <c r="A365" s="26" t="s">
        <v>121</v>
      </c>
      <c r="B365" s="26" t="s">
        <v>111</v>
      </c>
      <c r="C365" s="26">
        <v>0</v>
      </c>
      <c r="D365" s="27">
        <v>43273</v>
      </c>
      <c r="E365" s="26">
        <v>-15885.62</v>
      </c>
      <c r="F365" s="26" t="s">
        <v>1071</v>
      </c>
      <c r="G365" s="26" t="s">
        <v>8</v>
      </c>
      <c r="H365" s="26" t="s">
        <v>1072</v>
      </c>
      <c r="I365" s="26" t="s">
        <v>106</v>
      </c>
      <c r="J365" s="26">
        <v>0</v>
      </c>
      <c r="K365" s="8" t="str">
        <f t="shared" si="5"/>
        <v>BOECLRCPAY</v>
      </c>
    </row>
    <row r="366" spans="1:11" x14ac:dyDescent="0.25">
      <c r="A366" s="26" t="s">
        <v>121</v>
      </c>
      <c r="B366" s="26" t="s">
        <v>111</v>
      </c>
      <c r="C366" s="26">
        <v>0</v>
      </c>
      <c r="D366" s="27">
        <v>43276</v>
      </c>
      <c r="E366" s="26">
        <v>-19857.03</v>
      </c>
      <c r="F366" s="26" t="s">
        <v>1073</v>
      </c>
      <c r="G366" s="26" t="s">
        <v>8</v>
      </c>
      <c r="H366" s="26" t="s">
        <v>1074</v>
      </c>
      <c r="I366" s="26" t="s">
        <v>106</v>
      </c>
      <c r="J366" s="26">
        <v>0</v>
      </c>
      <c r="K366" s="8" t="str">
        <f t="shared" si="5"/>
        <v>BOECLRCPAY</v>
      </c>
    </row>
    <row r="367" spans="1:11" x14ac:dyDescent="0.25">
      <c r="A367" s="26" t="s">
        <v>121</v>
      </c>
      <c r="B367" s="26" t="s">
        <v>111</v>
      </c>
      <c r="C367" s="26">
        <v>0</v>
      </c>
      <c r="D367" s="27">
        <v>43279</v>
      </c>
      <c r="E367" s="26">
        <v>-15091.34</v>
      </c>
      <c r="F367" s="26" t="s">
        <v>1075</v>
      </c>
      <c r="G367" s="26" t="s">
        <v>8</v>
      </c>
      <c r="H367" s="26" t="s">
        <v>1076</v>
      </c>
      <c r="I367" s="26" t="s">
        <v>106</v>
      </c>
      <c r="J367" s="26">
        <v>0</v>
      </c>
      <c r="K367" s="8" t="str">
        <f t="shared" si="5"/>
        <v>BOECLRCPAY</v>
      </c>
    </row>
    <row r="368" spans="1:11" x14ac:dyDescent="0.25">
      <c r="A368" s="26" t="s">
        <v>121</v>
      </c>
      <c r="B368" s="26" t="s">
        <v>111</v>
      </c>
      <c r="C368" s="26">
        <v>0</v>
      </c>
      <c r="D368" s="27">
        <v>43280</v>
      </c>
      <c r="E368" s="26">
        <v>-15885.62</v>
      </c>
      <c r="F368" s="26" t="s">
        <v>1077</v>
      </c>
      <c r="G368" s="26" t="s">
        <v>8</v>
      </c>
      <c r="H368" s="26" t="s">
        <v>1078</v>
      </c>
      <c r="I368" s="26" t="s">
        <v>106</v>
      </c>
      <c r="J368" s="26">
        <v>0</v>
      </c>
      <c r="K368" s="8" t="str">
        <f t="shared" si="5"/>
        <v>BOECLRCPAY</v>
      </c>
    </row>
    <row r="369" spans="1:11" x14ac:dyDescent="0.25">
      <c r="A369" s="26" t="s">
        <v>121</v>
      </c>
      <c r="B369" s="26" t="s">
        <v>111</v>
      </c>
      <c r="C369" s="26">
        <v>0</v>
      </c>
      <c r="D369" s="27">
        <v>43280</v>
      </c>
      <c r="E369" s="26">
        <v>-19857.03</v>
      </c>
      <c r="F369" s="26" t="s">
        <v>1079</v>
      </c>
      <c r="G369" s="26" t="s">
        <v>8</v>
      </c>
      <c r="H369" s="26" t="s">
        <v>1080</v>
      </c>
      <c r="I369" s="26" t="s">
        <v>106</v>
      </c>
      <c r="J369" s="26">
        <v>0</v>
      </c>
      <c r="K369" s="8" t="str">
        <f t="shared" si="5"/>
        <v>BOECLRCPAY</v>
      </c>
    </row>
    <row r="370" spans="1:11" x14ac:dyDescent="0.25">
      <c r="A370" s="26" t="s">
        <v>121</v>
      </c>
      <c r="B370" s="26" t="s">
        <v>111</v>
      </c>
      <c r="C370" s="26">
        <v>0</v>
      </c>
      <c r="D370" s="27">
        <v>43280</v>
      </c>
      <c r="E370" s="26">
        <v>-19857.03</v>
      </c>
      <c r="F370" s="26" t="s">
        <v>1081</v>
      </c>
      <c r="G370" s="26" t="s">
        <v>8</v>
      </c>
      <c r="H370" s="26" t="s">
        <v>1082</v>
      </c>
      <c r="I370" s="26" t="s">
        <v>106</v>
      </c>
      <c r="J370" s="26">
        <v>0</v>
      </c>
      <c r="K370" s="8" t="str">
        <f t="shared" si="5"/>
        <v>BOECLRCPAY</v>
      </c>
    </row>
    <row r="371" spans="1:11" x14ac:dyDescent="0.25">
      <c r="A371" s="26" t="s">
        <v>121</v>
      </c>
      <c r="B371" s="26" t="s">
        <v>111</v>
      </c>
      <c r="C371" s="26">
        <v>0</v>
      </c>
      <c r="D371" s="27">
        <v>43283</v>
      </c>
      <c r="E371" s="26">
        <v>-19062.75</v>
      </c>
      <c r="F371" s="26" t="s">
        <v>1083</v>
      </c>
      <c r="G371" s="26" t="s">
        <v>8</v>
      </c>
      <c r="H371" s="26" t="s">
        <v>1084</v>
      </c>
      <c r="I371" s="26" t="s">
        <v>106</v>
      </c>
      <c r="J371" s="26">
        <v>0</v>
      </c>
      <c r="K371" s="8" t="str">
        <f t="shared" si="5"/>
        <v>BOECLRCPAY</v>
      </c>
    </row>
    <row r="372" spans="1:11" x14ac:dyDescent="0.25">
      <c r="A372" s="26" t="s">
        <v>121</v>
      </c>
      <c r="B372" s="26" t="s">
        <v>111</v>
      </c>
      <c r="C372" s="26">
        <v>0</v>
      </c>
      <c r="D372" s="27">
        <v>43286</v>
      </c>
      <c r="E372" s="26">
        <v>-17474.189999999999</v>
      </c>
      <c r="F372" s="26" t="s">
        <v>1085</v>
      </c>
      <c r="G372" s="26" t="s">
        <v>8</v>
      </c>
      <c r="H372" s="26" t="s">
        <v>1086</v>
      </c>
      <c r="I372" s="26" t="s">
        <v>106</v>
      </c>
      <c r="J372" s="26">
        <v>0</v>
      </c>
      <c r="K372" s="8" t="str">
        <f t="shared" si="5"/>
        <v>BOECLRCPAY</v>
      </c>
    </row>
    <row r="373" spans="1:11" x14ac:dyDescent="0.25">
      <c r="A373" s="26" t="s">
        <v>121</v>
      </c>
      <c r="B373" s="26" t="s">
        <v>111</v>
      </c>
      <c r="C373" s="26">
        <v>0</v>
      </c>
      <c r="D373" s="27">
        <v>43287</v>
      </c>
      <c r="E373" s="26">
        <v>-15885.62</v>
      </c>
      <c r="F373" s="26" t="s">
        <v>1087</v>
      </c>
      <c r="G373" s="26" t="s">
        <v>8</v>
      </c>
      <c r="H373" s="26" t="s">
        <v>1088</v>
      </c>
      <c r="I373" s="26" t="s">
        <v>106</v>
      </c>
      <c r="J373" s="26">
        <v>0</v>
      </c>
      <c r="K373" s="8" t="str">
        <f t="shared" si="5"/>
        <v>BOECLRCPAY</v>
      </c>
    </row>
    <row r="374" spans="1:11" x14ac:dyDescent="0.25">
      <c r="A374" s="26" t="s">
        <v>121</v>
      </c>
      <c r="B374" s="26" t="s">
        <v>111</v>
      </c>
      <c r="C374" s="26">
        <v>0</v>
      </c>
      <c r="D374" s="27">
        <v>43287</v>
      </c>
      <c r="E374" s="26">
        <v>-19062.75</v>
      </c>
      <c r="F374" s="26" t="s">
        <v>1089</v>
      </c>
      <c r="G374" s="26" t="s">
        <v>8</v>
      </c>
      <c r="H374" s="26" t="s">
        <v>1090</v>
      </c>
      <c r="I374" s="26" t="s">
        <v>106</v>
      </c>
      <c r="J374" s="26">
        <v>0</v>
      </c>
      <c r="K374" s="8" t="str">
        <f t="shared" si="5"/>
        <v>BOECLRCPAY</v>
      </c>
    </row>
    <row r="375" spans="1:11" x14ac:dyDescent="0.25">
      <c r="A375" s="26" t="s">
        <v>121</v>
      </c>
      <c r="B375" s="26" t="s">
        <v>111</v>
      </c>
      <c r="C375" s="26">
        <v>0</v>
      </c>
      <c r="D375" s="27">
        <v>43287</v>
      </c>
      <c r="E375" s="26">
        <v>-16679.900000000001</v>
      </c>
      <c r="F375" s="26" t="s">
        <v>1091</v>
      </c>
      <c r="G375" s="26" t="s">
        <v>8</v>
      </c>
      <c r="H375" s="26" t="s">
        <v>1092</v>
      </c>
      <c r="I375" s="26" t="s">
        <v>106</v>
      </c>
      <c r="J375" s="26">
        <v>0</v>
      </c>
      <c r="K375" s="8" t="str">
        <f t="shared" si="5"/>
        <v>BOECLRCPAY</v>
      </c>
    </row>
    <row r="376" spans="1:11" x14ac:dyDescent="0.25">
      <c r="A376" s="26" t="s">
        <v>121</v>
      </c>
      <c r="B376" s="26" t="s">
        <v>111</v>
      </c>
      <c r="C376" s="26">
        <v>0</v>
      </c>
      <c r="D376" s="27">
        <v>43290</v>
      </c>
      <c r="E376" s="26">
        <v>-19062.75</v>
      </c>
      <c r="F376" s="26" t="s">
        <v>1093</v>
      </c>
      <c r="G376" s="26" t="s">
        <v>8</v>
      </c>
      <c r="H376" s="26" t="s">
        <v>1094</v>
      </c>
      <c r="I376" s="26" t="s">
        <v>106</v>
      </c>
      <c r="J376" s="26">
        <v>0</v>
      </c>
      <c r="K376" s="8" t="str">
        <f t="shared" si="5"/>
        <v>BOECLRCPAY</v>
      </c>
    </row>
    <row r="377" spans="1:11" x14ac:dyDescent="0.25">
      <c r="A377" s="26" t="s">
        <v>121</v>
      </c>
      <c r="B377" s="26" t="s">
        <v>111</v>
      </c>
      <c r="C377" s="26">
        <v>0</v>
      </c>
      <c r="D377" s="27">
        <v>43293</v>
      </c>
      <c r="E377" s="26">
        <v>-14297.06</v>
      </c>
      <c r="F377" s="26" t="s">
        <v>1095</v>
      </c>
      <c r="G377" s="26" t="s">
        <v>8</v>
      </c>
      <c r="H377" s="26" t="s">
        <v>1096</v>
      </c>
      <c r="I377" s="26" t="s">
        <v>106</v>
      </c>
      <c r="J377" s="26">
        <v>0</v>
      </c>
      <c r="K377" s="8" t="str">
        <f t="shared" si="5"/>
        <v>BOECLRCPAY</v>
      </c>
    </row>
    <row r="378" spans="1:11" x14ac:dyDescent="0.25">
      <c r="A378" s="26" t="s">
        <v>121</v>
      </c>
      <c r="B378" s="26" t="s">
        <v>111</v>
      </c>
      <c r="C378" s="26">
        <v>0</v>
      </c>
      <c r="D378" s="27">
        <v>43294</v>
      </c>
      <c r="E378" s="26">
        <v>-19857.03</v>
      </c>
      <c r="F378" s="26" t="s">
        <v>1097</v>
      </c>
      <c r="G378" s="26" t="s">
        <v>8</v>
      </c>
      <c r="H378" s="26" t="s">
        <v>1098</v>
      </c>
      <c r="I378" s="26" t="s">
        <v>106</v>
      </c>
      <c r="J378" s="26">
        <v>0</v>
      </c>
      <c r="K378" s="8" t="str">
        <f t="shared" si="5"/>
        <v>BOECLRCPAY</v>
      </c>
    </row>
    <row r="379" spans="1:11" x14ac:dyDescent="0.25">
      <c r="A379" s="26" t="s">
        <v>121</v>
      </c>
      <c r="B379" s="26" t="s">
        <v>111</v>
      </c>
      <c r="C379" s="26">
        <v>0</v>
      </c>
      <c r="D379" s="27">
        <v>43294</v>
      </c>
      <c r="E379" s="26">
        <v>-18268.47</v>
      </c>
      <c r="F379" s="26" t="s">
        <v>1099</v>
      </c>
      <c r="G379" s="26" t="s">
        <v>8</v>
      </c>
      <c r="H379" s="26" t="s">
        <v>1100</v>
      </c>
      <c r="I379" s="26" t="s">
        <v>106</v>
      </c>
      <c r="J379" s="26">
        <v>0</v>
      </c>
      <c r="K379" s="8" t="str">
        <f t="shared" si="5"/>
        <v>BOECLRCPAY</v>
      </c>
    </row>
    <row r="380" spans="1:11" x14ac:dyDescent="0.25">
      <c r="A380" s="26" t="s">
        <v>121</v>
      </c>
      <c r="B380" s="26" t="s">
        <v>111</v>
      </c>
      <c r="C380" s="26">
        <v>0</v>
      </c>
      <c r="D380" s="27">
        <v>43294</v>
      </c>
      <c r="E380" s="26">
        <v>-10325.66</v>
      </c>
      <c r="F380" s="26" t="s">
        <v>1101</v>
      </c>
      <c r="G380" s="26" t="s">
        <v>8</v>
      </c>
      <c r="H380" s="26" t="s">
        <v>1102</v>
      </c>
      <c r="I380" s="26" t="s">
        <v>106</v>
      </c>
      <c r="J380" s="26">
        <v>0</v>
      </c>
      <c r="K380" s="8" t="str">
        <f t="shared" si="5"/>
        <v>BOECLRCPAY</v>
      </c>
    </row>
    <row r="381" spans="1:11" x14ac:dyDescent="0.25">
      <c r="A381" s="26" t="s">
        <v>121</v>
      </c>
      <c r="B381" s="26" t="s">
        <v>111</v>
      </c>
      <c r="C381" s="26">
        <v>0</v>
      </c>
      <c r="D381" s="27">
        <v>43300</v>
      </c>
      <c r="E381" s="26">
        <v>-11914.22</v>
      </c>
      <c r="F381" s="26" t="s">
        <v>1103</v>
      </c>
      <c r="G381" s="26" t="s">
        <v>8</v>
      </c>
      <c r="H381" s="26" t="s">
        <v>1104</v>
      </c>
      <c r="I381" s="26" t="s">
        <v>106</v>
      </c>
      <c r="J381" s="26">
        <v>0</v>
      </c>
      <c r="K381" s="8" t="str">
        <f t="shared" si="5"/>
        <v>BOECLRCPAY</v>
      </c>
    </row>
    <row r="382" spans="1:11" x14ac:dyDescent="0.25">
      <c r="A382" s="26" t="s">
        <v>121</v>
      </c>
      <c r="B382" s="26" t="s">
        <v>111</v>
      </c>
      <c r="C382" s="26">
        <v>0</v>
      </c>
      <c r="D382" s="27">
        <v>43301</v>
      </c>
      <c r="E382" s="26">
        <v>-29388.400000000001</v>
      </c>
      <c r="F382" s="26" t="s">
        <v>1105</v>
      </c>
      <c r="G382" s="26" t="s">
        <v>8</v>
      </c>
      <c r="H382" s="26" t="s">
        <v>1106</v>
      </c>
      <c r="I382" s="26" t="s">
        <v>106</v>
      </c>
      <c r="J382" s="26">
        <v>0</v>
      </c>
      <c r="K382" s="8" t="str">
        <f t="shared" si="5"/>
        <v>BOECLRCPAY</v>
      </c>
    </row>
    <row r="383" spans="1:11" x14ac:dyDescent="0.25">
      <c r="A383" s="26" t="s">
        <v>121</v>
      </c>
      <c r="B383" s="26" t="s">
        <v>111</v>
      </c>
      <c r="C383" s="26">
        <v>0</v>
      </c>
      <c r="D383" s="27">
        <v>43301</v>
      </c>
      <c r="E383" s="26">
        <v>-15885.62</v>
      </c>
      <c r="F383" s="26" t="s">
        <v>1107</v>
      </c>
      <c r="G383" s="26" t="s">
        <v>8</v>
      </c>
      <c r="H383" s="26" t="s">
        <v>1108</v>
      </c>
      <c r="I383" s="26" t="s">
        <v>106</v>
      </c>
      <c r="J383" s="26">
        <v>0</v>
      </c>
      <c r="K383" s="8" t="str">
        <f t="shared" si="5"/>
        <v>BOECLRCPAY</v>
      </c>
    </row>
    <row r="384" spans="1:11" x14ac:dyDescent="0.25">
      <c r="A384" s="26" t="s">
        <v>121</v>
      </c>
      <c r="B384" s="26" t="s">
        <v>111</v>
      </c>
      <c r="C384" s="26">
        <v>0</v>
      </c>
      <c r="D384" s="27">
        <v>43301</v>
      </c>
      <c r="E384" s="26">
        <v>-11119.94</v>
      </c>
      <c r="F384" s="26" t="s">
        <v>1109</v>
      </c>
      <c r="G384" s="26" t="s">
        <v>8</v>
      </c>
      <c r="H384" s="26" t="s">
        <v>1110</v>
      </c>
      <c r="I384" s="26" t="s">
        <v>106</v>
      </c>
      <c r="J384" s="26">
        <v>0</v>
      </c>
      <c r="K384" s="8" t="str">
        <f t="shared" si="5"/>
        <v>BOECLRCPAY</v>
      </c>
    </row>
    <row r="385" spans="1:11" x14ac:dyDescent="0.25">
      <c r="A385" s="26" t="s">
        <v>121</v>
      </c>
      <c r="B385" s="26" t="s">
        <v>111</v>
      </c>
      <c r="C385" s="26">
        <v>0</v>
      </c>
      <c r="D385" s="27">
        <v>43304</v>
      </c>
      <c r="E385" s="26">
        <v>-9531.3700000000008</v>
      </c>
      <c r="F385" s="26" t="s">
        <v>1111</v>
      </c>
      <c r="G385" s="26" t="s">
        <v>8</v>
      </c>
      <c r="H385" s="26" t="s">
        <v>1112</v>
      </c>
      <c r="I385" s="26" t="s">
        <v>106</v>
      </c>
      <c r="J385" s="26">
        <v>0</v>
      </c>
      <c r="K385" s="8" t="str">
        <f t="shared" si="5"/>
        <v>BOECLRCPAY</v>
      </c>
    </row>
    <row r="386" spans="1:11" x14ac:dyDescent="0.25">
      <c r="A386" s="26" t="s">
        <v>121</v>
      </c>
      <c r="B386" s="26" t="s">
        <v>111</v>
      </c>
      <c r="C386" s="26">
        <v>0</v>
      </c>
      <c r="D386" s="27">
        <v>43307</v>
      </c>
      <c r="E386" s="26">
        <v>-15885.62</v>
      </c>
      <c r="F386" s="26" t="s">
        <v>1113</v>
      </c>
      <c r="G386" s="26" t="s">
        <v>8</v>
      </c>
      <c r="H386" s="26" t="s">
        <v>1114</v>
      </c>
      <c r="I386" s="26" t="s">
        <v>106</v>
      </c>
      <c r="J386" s="26">
        <v>0</v>
      </c>
      <c r="K386" s="8" t="str">
        <f t="shared" si="5"/>
        <v>BOECLRCPAY</v>
      </c>
    </row>
    <row r="387" spans="1:11" x14ac:dyDescent="0.25">
      <c r="A387" s="26" t="s">
        <v>121</v>
      </c>
      <c r="B387" s="26" t="s">
        <v>111</v>
      </c>
      <c r="C387" s="26">
        <v>0</v>
      </c>
      <c r="D387" s="27">
        <v>43308</v>
      </c>
      <c r="E387" s="26">
        <v>-16679.900000000001</v>
      </c>
      <c r="F387" s="26" t="s">
        <v>1115</v>
      </c>
      <c r="G387" s="26" t="s">
        <v>8</v>
      </c>
      <c r="H387" s="26" t="s">
        <v>1116</v>
      </c>
      <c r="I387" s="26" t="s">
        <v>106</v>
      </c>
      <c r="J387" s="26">
        <v>0</v>
      </c>
      <c r="K387" s="8" t="str">
        <f t="shared" ref="K387:K450" si="6">LEFT(A387,FIND("/",A387)-1)</f>
        <v>BOECLRCPAY</v>
      </c>
    </row>
    <row r="388" spans="1:11" x14ac:dyDescent="0.25">
      <c r="A388" s="26" t="s">
        <v>121</v>
      </c>
      <c r="B388" s="26" t="s">
        <v>111</v>
      </c>
      <c r="C388" s="26">
        <v>0</v>
      </c>
      <c r="D388" s="27">
        <v>43308</v>
      </c>
      <c r="E388" s="26">
        <v>-15250.2</v>
      </c>
      <c r="F388" s="26" t="s">
        <v>1117</v>
      </c>
      <c r="G388" s="26" t="s">
        <v>8</v>
      </c>
      <c r="H388" s="26" t="s">
        <v>1118</v>
      </c>
      <c r="I388" s="26" t="s">
        <v>106</v>
      </c>
      <c r="J388" s="26">
        <v>0</v>
      </c>
      <c r="K388" s="8" t="str">
        <f t="shared" si="6"/>
        <v>BOECLRCPAY</v>
      </c>
    </row>
    <row r="389" spans="1:11" x14ac:dyDescent="0.25">
      <c r="A389" s="26" t="s">
        <v>121</v>
      </c>
      <c r="B389" s="26" t="s">
        <v>111</v>
      </c>
      <c r="C389" s="26">
        <v>0</v>
      </c>
      <c r="D389" s="27">
        <v>43308</v>
      </c>
      <c r="E389" s="26">
        <v>-11119.94</v>
      </c>
      <c r="F389" s="26" t="s">
        <v>1119</v>
      </c>
      <c r="G389" s="26" t="s">
        <v>8</v>
      </c>
      <c r="H389" s="26" t="s">
        <v>1120</v>
      </c>
      <c r="I389" s="26" t="s">
        <v>106</v>
      </c>
      <c r="J389" s="26">
        <v>0</v>
      </c>
      <c r="K389" s="8" t="str">
        <f t="shared" si="6"/>
        <v>BOECLRCPAY</v>
      </c>
    </row>
    <row r="390" spans="1:11" x14ac:dyDescent="0.25">
      <c r="A390" s="26" t="s">
        <v>121</v>
      </c>
      <c r="B390" s="26" t="s">
        <v>111</v>
      </c>
      <c r="C390" s="26">
        <v>0</v>
      </c>
      <c r="D390" s="27">
        <v>43311</v>
      </c>
      <c r="E390" s="26">
        <v>-11119.94</v>
      </c>
      <c r="F390" s="26" t="s">
        <v>1121</v>
      </c>
      <c r="G390" s="26" t="s">
        <v>8</v>
      </c>
      <c r="H390" s="26" t="s">
        <v>1122</v>
      </c>
      <c r="I390" s="26" t="s">
        <v>106</v>
      </c>
      <c r="J390" s="26">
        <v>0</v>
      </c>
      <c r="K390" s="8" t="str">
        <f t="shared" si="6"/>
        <v>BOECLRCPAY</v>
      </c>
    </row>
    <row r="391" spans="1:11" x14ac:dyDescent="0.25">
      <c r="A391" s="26" t="s">
        <v>121</v>
      </c>
      <c r="B391" s="26" t="s">
        <v>111</v>
      </c>
      <c r="C391" s="26">
        <v>0</v>
      </c>
      <c r="D391" s="27">
        <v>43314</v>
      </c>
      <c r="E391" s="26">
        <v>-11914.22</v>
      </c>
      <c r="F391" s="26" t="s">
        <v>1123</v>
      </c>
      <c r="G391" s="26" t="s">
        <v>8</v>
      </c>
      <c r="H391" s="26" t="s">
        <v>1124</v>
      </c>
      <c r="I391" s="26" t="s">
        <v>106</v>
      </c>
      <c r="J391" s="26">
        <v>0</v>
      </c>
      <c r="K391" s="8" t="str">
        <f t="shared" si="6"/>
        <v>BOECLRCPAY</v>
      </c>
    </row>
    <row r="392" spans="1:11" x14ac:dyDescent="0.25">
      <c r="A392" s="26" t="s">
        <v>121</v>
      </c>
      <c r="B392" s="26" t="s">
        <v>111</v>
      </c>
      <c r="C392" s="26">
        <v>0</v>
      </c>
      <c r="D392" s="27">
        <v>43315</v>
      </c>
      <c r="E392" s="26">
        <v>-11119.94</v>
      </c>
      <c r="F392" s="26" t="s">
        <v>1125</v>
      </c>
      <c r="G392" s="26" t="s">
        <v>8</v>
      </c>
      <c r="H392" s="26" t="s">
        <v>1126</v>
      </c>
      <c r="I392" s="26" t="s">
        <v>106</v>
      </c>
      <c r="J392" s="26">
        <v>0</v>
      </c>
      <c r="K392" s="8" t="str">
        <f t="shared" si="6"/>
        <v>BOECLRCPAY</v>
      </c>
    </row>
    <row r="393" spans="1:11" x14ac:dyDescent="0.25">
      <c r="A393" s="26" t="s">
        <v>121</v>
      </c>
      <c r="B393" s="26" t="s">
        <v>111</v>
      </c>
      <c r="C393" s="26">
        <v>0</v>
      </c>
      <c r="D393" s="27">
        <v>43315</v>
      </c>
      <c r="E393" s="26">
        <v>-14297.06</v>
      </c>
      <c r="F393" s="26" t="s">
        <v>1127</v>
      </c>
      <c r="G393" s="26" t="s">
        <v>8</v>
      </c>
      <c r="H393" s="26" t="s">
        <v>1128</v>
      </c>
      <c r="I393" s="26" t="s">
        <v>106</v>
      </c>
      <c r="J393" s="26">
        <v>0</v>
      </c>
      <c r="K393" s="8" t="str">
        <f t="shared" si="6"/>
        <v>BOECLRCPAY</v>
      </c>
    </row>
    <row r="394" spans="1:11" x14ac:dyDescent="0.25">
      <c r="A394" s="26" t="s">
        <v>121</v>
      </c>
      <c r="B394" s="26" t="s">
        <v>111</v>
      </c>
      <c r="C394" s="26">
        <v>0</v>
      </c>
      <c r="D394" s="27">
        <v>43315</v>
      </c>
      <c r="E394" s="26">
        <v>-21445.59</v>
      </c>
      <c r="F394" s="26" t="s">
        <v>1129</v>
      </c>
      <c r="G394" s="26" t="s">
        <v>8</v>
      </c>
      <c r="H394" s="26" t="s">
        <v>1130</v>
      </c>
      <c r="I394" s="26" t="s">
        <v>106</v>
      </c>
      <c r="J394" s="26">
        <v>0</v>
      </c>
      <c r="K394" s="8" t="str">
        <f t="shared" si="6"/>
        <v>BOECLRCPAY</v>
      </c>
    </row>
    <row r="395" spans="1:11" x14ac:dyDescent="0.25">
      <c r="A395" s="26" t="s">
        <v>121</v>
      </c>
      <c r="B395" s="26" t="s">
        <v>111</v>
      </c>
      <c r="C395" s="26">
        <v>0</v>
      </c>
      <c r="D395" s="27">
        <v>43318</v>
      </c>
      <c r="E395" s="26">
        <v>-13502.78</v>
      </c>
      <c r="F395" s="26" t="s">
        <v>1131</v>
      </c>
      <c r="G395" s="26" t="s">
        <v>8</v>
      </c>
      <c r="H395" s="26" t="s">
        <v>1132</v>
      </c>
      <c r="I395" s="26" t="s">
        <v>106</v>
      </c>
      <c r="J395" s="26">
        <v>0</v>
      </c>
      <c r="K395" s="8" t="str">
        <f t="shared" si="6"/>
        <v>BOECLRCPAY</v>
      </c>
    </row>
    <row r="396" spans="1:11" x14ac:dyDescent="0.25">
      <c r="A396" s="26" t="s">
        <v>121</v>
      </c>
      <c r="B396" s="26" t="s">
        <v>111</v>
      </c>
      <c r="C396" s="26">
        <v>0</v>
      </c>
      <c r="D396" s="27">
        <v>43321</v>
      </c>
      <c r="E396" s="26">
        <v>-14297.06</v>
      </c>
      <c r="F396" s="26" t="s">
        <v>1133</v>
      </c>
      <c r="G396" s="26" t="s">
        <v>8</v>
      </c>
      <c r="H396" s="26" t="s">
        <v>1134</v>
      </c>
      <c r="I396" s="26" t="s">
        <v>106</v>
      </c>
      <c r="J396" s="26">
        <v>0</v>
      </c>
      <c r="K396" s="8" t="str">
        <f t="shared" si="6"/>
        <v>BOECLRCPAY</v>
      </c>
    </row>
    <row r="397" spans="1:11" x14ac:dyDescent="0.25">
      <c r="A397" s="26" t="s">
        <v>121</v>
      </c>
      <c r="B397" s="26" t="s">
        <v>111</v>
      </c>
      <c r="C397" s="26">
        <v>0</v>
      </c>
      <c r="D397" s="27">
        <v>43322</v>
      </c>
      <c r="E397" s="26">
        <v>-17474.189999999999</v>
      </c>
      <c r="F397" s="26" t="s">
        <v>1135</v>
      </c>
      <c r="G397" s="26" t="s">
        <v>8</v>
      </c>
      <c r="H397" s="26" t="s">
        <v>1136</v>
      </c>
      <c r="I397" s="26" t="s">
        <v>106</v>
      </c>
      <c r="J397" s="26">
        <v>0</v>
      </c>
      <c r="K397" s="8" t="str">
        <f t="shared" si="6"/>
        <v>BOECLRCPAY</v>
      </c>
    </row>
    <row r="398" spans="1:11" x14ac:dyDescent="0.25">
      <c r="A398" s="26" t="s">
        <v>121</v>
      </c>
      <c r="B398" s="26" t="s">
        <v>111</v>
      </c>
      <c r="C398" s="26">
        <v>0</v>
      </c>
      <c r="D398" s="27">
        <v>43322</v>
      </c>
      <c r="E398" s="26">
        <v>-15885.62</v>
      </c>
      <c r="F398" s="26" t="s">
        <v>1137</v>
      </c>
      <c r="G398" s="26" t="s">
        <v>8</v>
      </c>
      <c r="H398" s="26" t="s">
        <v>1138</v>
      </c>
      <c r="I398" s="26" t="s">
        <v>106</v>
      </c>
      <c r="J398" s="26">
        <v>0</v>
      </c>
      <c r="K398" s="8" t="str">
        <f t="shared" si="6"/>
        <v>BOECLRCPAY</v>
      </c>
    </row>
    <row r="399" spans="1:11" x14ac:dyDescent="0.25">
      <c r="A399" s="26" t="s">
        <v>121</v>
      </c>
      <c r="B399" s="26" t="s">
        <v>111</v>
      </c>
      <c r="C399" s="26">
        <v>0</v>
      </c>
      <c r="D399" s="27">
        <v>43322</v>
      </c>
      <c r="E399" s="26">
        <v>-15885.62</v>
      </c>
      <c r="F399" s="26" t="s">
        <v>1139</v>
      </c>
      <c r="G399" s="26" t="s">
        <v>8</v>
      </c>
      <c r="H399" s="26" t="s">
        <v>1140</v>
      </c>
      <c r="I399" s="26" t="s">
        <v>106</v>
      </c>
      <c r="J399" s="26">
        <v>0</v>
      </c>
      <c r="K399" s="8" t="str">
        <f t="shared" si="6"/>
        <v>BOECLRCPAY</v>
      </c>
    </row>
    <row r="400" spans="1:11" x14ac:dyDescent="0.25">
      <c r="A400" s="26" t="s">
        <v>121</v>
      </c>
      <c r="B400" s="26" t="s">
        <v>111</v>
      </c>
      <c r="C400" s="26">
        <v>0</v>
      </c>
      <c r="D400" s="27">
        <v>43325</v>
      </c>
      <c r="E400" s="26">
        <v>-11914.22</v>
      </c>
      <c r="F400" s="26" t="s">
        <v>1141</v>
      </c>
      <c r="G400" s="26" t="s">
        <v>8</v>
      </c>
      <c r="H400" s="26" t="s">
        <v>1142</v>
      </c>
      <c r="I400" s="26" t="s">
        <v>106</v>
      </c>
      <c r="J400" s="26">
        <v>0</v>
      </c>
      <c r="K400" s="8" t="str">
        <f t="shared" si="6"/>
        <v>BOECLRCPAY</v>
      </c>
    </row>
    <row r="401" spans="1:11" x14ac:dyDescent="0.25">
      <c r="A401" s="26" t="s">
        <v>121</v>
      </c>
      <c r="B401" s="26" t="s">
        <v>111</v>
      </c>
      <c r="C401" s="26">
        <v>0</v>
      </c>
      <c r="D401" s="27">
        <v>43328</v>
      </c>
      <c r="E401" s="26">
        <v>-14297.06</v>
      </c>
      <c r="F401" s="26" t="s">
        <v>1143</v>
      </c>
      <c r="G401" s="26" t="s">
        <v>8</v>
      </c>
      <c r="H401" s="26" t="s">
        <v>1144</v>
      </c>
      <c r="I401" s="26" t="s">
        <v>106</v>
      </c>
      <c r="J401" s="26">
        <v>0</v>
      </c>
      <c r="K401" s="8" t="str">
        <f t="shared" si="6"/>
        <v>BOECLRCPAY</v>
      </c>
    </row>
    <row r="402" spans="1:11" x14ac:dyDescent="0.25">
      <c r="A402" s="26" t="s">
        <v>121</v>
      </c>
      <c r="B402" s="26" t="s">
        <v>111</v>
      </c>
      <c r="C402" s="26">
        <v>0</v>
      </c>
      <c r="D402" s="27">
        <v>43329</v>
      </c>
      <c r="E402" s="26">
        <v>-23034.15</v>
      </c>
      <c r="F402" s="26" t="s">
        <v>1145</v>
      </c>
      <c r="G402" s="26" t="s">
        <v>8</v>
      </c>
      <c r="H402" s="26" t="s">
        <v>1146</v>
      </c>
      <c r="I402" s="26" t="s">
        <v>106</v>
      </c>
      <c r="J402" s="26">
        <v>0</v>
      </c>
      <c r="K402" s="8" t="str">
        <f t="shared" si="6"/>
        <v>BOECLRCPAY</v>
      </c>
    </row>
    <row r="403" spans="1:11" x14ac:dyDescent="0.25">
      <c r="A403" s="26" t="s">
        <v>121</v>
      </c>
      <c r="B403" s="26" t="s">
        <v>111</v>
      </c>
      <c r="C403" s="26">
        <v>0</v>
      </c>
      <c r="D403" s="27">
        <v>43329</v>
      </c>
      <c r="E403" s="26">
        <v>-23828.44</v>
      </c>
      <c r="F403" s="26" t="s">
        <v>1147</v>
      </c>
      <c r="G403" s="26" t="s">
        <v>8</v>
      </c>
      <c r="H403" s="26" t="s">
        <v>1148</v>
      </c>
      <c r="I403" s="26" t="s">
        <v>106</v>
      </c>
      <c r="J403" s="26">
        <v>0</v>
      </c>
      <c r="K403" s="8" t="str">
        <f t="shared" si="6"/>
        <v>BOECLRCPAY</v>
      </c>
    </row>
    <row r="404" spans="1:11" x14ac:dyDescent="0.25">
      <c r="A404" s="26" t="s">
        <v>121</v>
      </c>
      <c r="B404" s="26" t="s">
        <v>111</v>
      </c>
      <c r="C404" s="26">
        <v>0</v>
      </c>
      <c r="D404" s="27">
        <v>43329</v>
      </c>
      <c r="E404" s="26">
        <v>-23828.44</v>
      </c>
      <c r="F404" s="26" t="s">
        <v>1149</v>
      </c>
      <c r="G404" s="26" t="s">
        <v>8</v>
      </c>
      <c r="H404" s="26" t="s">
        <v>1150</v>
      </c>
      <c r="I404" s="26" t="s">
        <v>106</v>
      </c>
      <c r="J404" s="26">
        <v>0</v>
      </c>
      <c r="K404" s="8" t="str">
        <f t="shared" si="6"/>
        <v>BOECLRCPAY</v>
      </c>
    </row>
    <row r="405" spans="1:11" x14ac:dyDescent="0.25">
      <c r="A405" s="26" t="s">
        <v>121</v>
      </c>
      <c r="B405" s="26" t="s">
        <v>111</v>
      </c>
      <c r="C405" s="26">
        <v>0</v>
      </c>
      <c r="D405" s="27">
        <v>43336</v>
      </c>
      <c r="E405" s="26">
        <v>-17474.189999999999</v>
      </c>
      <c r="F405" s="26" t="s">
        <v>1151</v>
      </c>
      <c r="G405" s="26" t="s">
        <v>8</v>
      </c>
      <c r="H405" s="26" t="s">
        <v>1152</v>
      </c>
      <c r="I405" s="26" t="s">
        <v>106</v>
      </c>
      <c r="J405" s="26">
        <v>0</v>
      </c>
      <c r="K405" s="8" t="str">
        <f t="shared" si="6"/>
        <v>BOECLRCPAY</v>
      </c>
    </row>
    <row r="406" spans="1:11" x14ac:dyDescent="0.25">
      <c r="A406" s="26" t="s">
        <v>121</v>
      </c>
      <c r="B406" s="26" t="s">
        <v>111</v>
      </c>
      <c r="C406" s="26">
        <v>0</v>
      </c>
      <c r="D406" s="27">
        <v>43336</v>
      </c>
      <c r="E406" s="26">
        <v>-18268.47</v>
      </c>
      <c r="F406" s="26" t="s">
        <v>1153</v>
      </c>
      <c r="G406" s="26" t="s">
        <v>8</v>
      </c>
      <c r="H406" s="26" t="s">
        <v>1154</v>
      </c>
      <c r="I406" s="26" t="s">
        <v>106</v>
      </c>
      <c r="J406" s="26">
        <v>0</v>
      </c>
      <c r="K406" s="8" t="str">
        <f t="shared" si="6"/>
        <v>BOECLRCPAY</v>
      </c>
    </row>
    <row r="407" spans="1:11" x14ac:dyDescent="0.25">
      <c r="A407" s="26" t="s">
        <v>121</v>
      </c>
      <c r="B407" s="26" t="s">
        <v>111</v>
      </c>
      <c r="C407" s="26">
        <v>0</v>
      </c>
      <c r="D407" s="27">
        <v>43336</v>
      </c>
      <c r="E407" s="26">
        <v>-23828.44</v>
      </c>
      <c r="F407" s="26" t="s">
        <v>1155</v>
      </c>
      <c r="G407" s="26" t="s">
        <v>8</v>
      </c>
      <c r="H407" s="26" t="s">
        <v>1156</v>
      </c>
      <c r="I407" s="26" t="s">
        <v>106</v>
      </c>
      <c r="J407" s="26">
        <v>0</v>
      </c>
      <c r="K407" s="8" t="str">
        <f t="shared" si="6"/>
        <v>BOECLRCPAY</v>
      </c>
    </row>
    <row r="408" spans="1:11" x14ac:dyDescent="0.25">
      <c r="A408" s="26" t="s">
        <v>121</v>
      </c>
      <c r="B408" s="26" t="s">
        <v>111</v>
      </c>
      <c r="C408" s="26">
        <v>0</v>
      </c>
      <c r="D408" s="27">
        <v>43339</v>
      </c>
      <c r="E408" s="26">
        <v>-15885.62</v>
      </c>
      <c r="F408" s="26" t="s">
        <v>1157</v>
      </c>
      <c r="G408" s="26" t="s">
        <v>8</v>
      </c>
      <c r="H408" s="26" t="s">
        <v>1158</v>
      </c>
      <c r="I408" s="26" t="s">
        <v>106</v>
      </c>
      <c r="J408" s="26">
        <v>0</v>
      </c>
      <c r="K408" s="8" t="str">
        <f t="shared" si="6"/>
        <v>BOECLRCPAY</v>
      </c>
    </row>
    <row r="409" spans="1:11" x14ac:dyDescent="0.25">
      <c r="A409" s="26" t="s">
        <v>121</v>
      </c>
      <c r="B409" s="26" t="s">
        <v>111</v>
      </c>
      <c r="C409" s="26">
        <v>0</v>
      </c>
      <c r="D409" s="27">
        <v>43342</v>
      </c>
      <c r="E409" s="26">
        <v>-13502.78</v>
      </c>
      <c r="F409" s="26" t="s">
        <v>1159</v>
      </c>
      <c r="G409" s="26" t="s">
        <v>8</v>
      </c>
      <c r="H409" s="26" t="s">
        <v>1160</v>
      </c>
      <c r="I409" s="26" t="s">
        <v>106</v>
      </c>
      <c r="J409" s="26">
        <v>0</v>
      </c>
      <c r="K409" s="8" t="str">
        <f t="shared" si="6"/>
        <v>BOECLRCPAY</v>
      </c>
    </row>
    <row r="410" spans="1:11" x14ac:dyDescent="0.25">
      <c r="A410" s="26" t="s">
        <v>121</v>
      </c>
      <c r="B410" s="26" t="s">
        <v>111</v>
      </c>
      <c r="C410" s="26">
        <v>0</v>
      </c>
      <c r="D410" s="27">
        <v>43343</v>
      </c>
      <c r="E410" s="26">
        <v>-11914.22</v>
      </c>
      <c r="F410" s="26" t="s">
        <v>1161</v>
      </c>
      <c r="G410" s="26" t="s">
        <v>8</v>
      </c>
      <c r="H410" s="26" t="s">
        <v>1162</v>
      </c>
      <c r="I410" s="26" t="s">
        <v>106</v>
      </c>
      <c r="J410" s="26">
        <v>0</v>
      </c>
      <c r="K410" s="8" t="str">
        <f t="shared" si="6"/>
        <v>BOECLRCPAY</v>
      </c>
    </row>
    <row r="411" spans="1:11" x14ac:dyDescent="0.25">
      <c r="A411" s="26" t="s">
        <v>121</v>
      </c>
      <c r="B411" s="26" t="s">
        <v>111</v>
      </c>
      <c r="C411" s="26">
        <v>0</v>
      </c>
      <c r="D411" s="27">
        <v>43343</v>
      </c>
      <c r="E411" s="26">
        <v>-11914.22</v>
      </c>
      <c r="F411" s="26" t="s">
        <v>1163</v>
      </c>
      <c r="G411" s="26" t="s">
        <v>8</v>
      </c>
      <c r="H411" s="26" t="s">
        <v>1164</v>
      </c>
      <c r="I411" s="26" t="s">
        <v>106</v>
      </c>
      <c r="J411" s="26">
        <v>0</v>
      </c>
      <c r="K411" s="8" t="str">
        <f t="shared" si="6"/>
        <v>BOECLRCPAY</v>
      </c>
    </row>
    <row r="412" spans="1:11" x14ac:dyDescent="0.25">
      <c r="A412" s="26" t="s">
        <v>121</v>
      </c>
      <c r="B412" s="26" t="s">
        <v>111</v>
      </c>
      <c r="C412" s="26">
        <v>0</v>
      </c>
      <c r="D412" s="27">
        <v>43346</v>
      </c>
      <c r="E412" s="26">
        <v>-23828.44</v>
      </c>
      <c r="F412" s="26" t="s">
        <v>1165</v>
      </c>
      <c r="G412" s="26" t="s">
        <v>8</v>
      </c>
      <c r="H412" s="26" t="s">
        <v>1166</v>
      </c>
      <c r="I412" s="26" t="s">
        <v>106</v>
      </c>
      <c r="J412" s="26">
        <v>0</v>
      </c>
      <c r="K412" s="8" t="str">
        <f t="shared" si="6"/>
        <v>BOECLRCPAY</v>
      </c>
    </row>
    <row r="413" spans="1:11" x14ac:dyDescent="0.25">
      <c r="A413" s="26" t="s">
        <v>121</v>
      </c>
      <c r="B413" s="26" t="s">
        <v>111</v>
      </c>
      <c r="C413" s="26">
        <v>0</v>
      </c>
      <c r="D413" s="27">
        <v>43349</v>
      </c>
      <c r="E413" s="26">
        <v>-15885.62</v>
      </c>
      <c r="F413" s="26" t="s">
        <v>1167</v>
      </c>
      <c r="G413" s="26" t="s">
        <v>8</v>
      </c>
      <c r="H413" s="26" t="s">
        <v>1168</v>
      </c>
      <c r="I413" s="26" t="s">
        <v>106</v>
      </c>
      <c r="J413" s="26">
        <v>0</v>
      </c>
      <c r="K413" s="8" t="str">
        <f t="shared" si="6"/>
        <v>BOECLRCPAY</v>
      </c>
    </row>
    <row r="414" spans="1:11" x14ac:dyDescent="0.25">
      <c r="A414" s="26" t="s">
        <v>121</v>
      </c>
      <c r="B414" s="26" t="s">
        <v>111</v>
      </c>
      <c r="C414" s="26">
        <v>0</v>
      </c>
      <c r="D414" s="27">
        <v>43350</v>
      </c>
      <c r="E414" s="26">
        <v>-11119.94</v>
      </c>
      <c r="F414" s="26" t="s">
        <v>1169</v>
      </c>
      <c r="G414" s="26" t="s">
        <v>8</v>
      </c>
      <c r="H414" s="26" t="s">
        <v>1170</v>
      </c>
      <c r="I414" s="26" t="s">
        <v>106</v>
      </c>
      <c r="J414" s="26">
        <v>0</v>
      </c>
      <c r="K414" s="8" t="str">
        <f t="shared" si="6"/>
        <v>BOECLRCPAY</v>
      </c>
    </row>
    <row r="415" spans="1:11" x14ac:dyDescent="0.25">
      <c r="A415" s="26" t="s">
        <v>121</v>
      </c>
      <c r="B415" s="26" t="s">
        <v>111</v>
      </c>
      <c r="C415" s="26">
        <v>0</v>
      </c>
      <c r="D415" s="27">
        <v>43350</v>
      </c>
      <c r="E415" s="26">
        <v>-11914.22</v>
      </c>
      <c r="F415" s="26" t="s">
        <v>1171</v>
      </c>
      <c r="G415" s="26" t="s">
        <v>8</v>
      </c>
      <c r="H415" s="26" t="s">
        <v>1172</v>
      </c>
      <c r="I415" s="26" t="s">
        <v>106</v>
      </c>
      <c r="J415" s="26">
        <v>0</v>
      </c>
      <c r="K415" s="8" t="str">
        <f t="shared" si="6"/>
        <v>BOECLRCPAY</v>
      </c>
    </row>
    <row r="416" spans="1:11" x14ac:dyDescent="0.25">
      <c r="A416" s="26" t="s">
        <v>121</v>
      </c>
      <c r="B416" s="26" t="s">
        <v>111</v>
      </c>
      <c r="C416" s="26">
        <v>0</v>
      </c>
      <c r="D416" s="27">
        <v>43350</v>
      </c>
      <c r="E416" s="26">
        <v>-13502.78</v>
      </c>
      <c r="F416" s="26" t="s">
        <v>1173</v>
      </c>
      <c r="G416" s="26" t="s">
        <v>8</v>
      </c>
      <c r="H416" s="26" t="s">
        <v>1174</v>
      </c>
      <c r="I416" s="26" t="s">
        <v>106</v>
      </c>
      <c r="J416" s="26">
        <v>0</v>
      </c>
      <c r="K416" s="8" t="str">
        <f t="shared" si="6"/>
        <v>BOECLRCPAY</v>
      </c>
    </row>
    <row r="417" spans="1:11" x14ac:dyDescent="0.25">
      <c r="A417" s="26" t="s">
        <v>121</v>
      </c>
      <c r="B417" s="26" t="s">
        <v>111</v>
      </c>
      <c r="C417" s="26">
        <v>0</v>
      </c>
      <c r="D417" s="27">
        <v>43353</v>
      </c>
      <c r="E417" s="26">
        <v>-7942.81</v>
      </c>
      <c r="F417" s="26" t="s">
        <v>1175</v>
      </c>
      <c r="G417" s="26" t="s">
        <v>8</v>
      </c>
      <c r="H417" s="26" t="s">
        <v>1176</v>
      </c>
      <c r="I417" s="26" t="s">
        <v>106</v>
      </c>
      <c r="J417" s="26">
        <v>0</v>
      </c>
      <c r="K417" s="8" t="str">
        <f t="shared" si="6"/>
        <v>BOECLRCPAY</v>
      </c>
    </row>
    <row r="418" spans="1:11" x14ac:dyDescent="0.25">
      <c r="A418" s="26" t="s">
        <v>121</v>
      </c>
      <c r="B418" s="26" t="s">
        <v>111</v>
      </c>
      <c r="C418" s="26">
        <v>0</v>
      </c>
      <c r="D418" s="27">
        <v>43356</v>
      </c>
      <c r="E418" s="26">
        <v>-7942.81</v>
      </c>
      <c r="F418" s="26" t="s">
        <v>1177</v>
      </c>
      <c r="G418" s="26" t="s">
        <v>8</v>
      </c>
      <c r="H418" s="26" t="s">
        <v>1178</v>
      </c>
      <c r="I418" s="26" t="s">
        <v>106</v>
      </c>
      <c r="J418" s="26">
        <v>0</v>
      </c>
      <c r="K418" s="8" t="str">
        <f t="shared" si="6"/>
        <v>BOECLRCPAY</v>
      </c>
    </row>
    <row r="419" spans="1:11" x14ac:dyDescent="0.25">
      <c r="A419" s="26" t="s">
        <v>121</v>
      </c>
      <c r="B419" s="26" t="s">
        <v>111</v>
      </c>
      <c r="C419" s="26">
        <v>0</v>
      </c>
      <c r="D419" s="27">
        <v>43357</v>
      </c>
      <c r="E419" s="26">
        <v>-7942.81</v>
      </c>
      <c r="F419" s="26" t="s">
        <v>1179</v>
      </c>
      <c r="G419" s="26" t="s">
        <v>8</v>
      </c>
      <c r="H419" s="26" t="s">
        <v>1180</v>
      </c>
      <c r="I419" s="26" t="s">
        <v>106</v>
      </c>
      <c r="J419" s="26">
        <v>0</v>
      </c>
      <c r="K419" s="8" t="str">
        <f t="shared" si="6"/>
        <v>BOECLRCPAY</v>
      </c>
    </row>
    <row r="420" spans="1:11" x14ac:dyDescent="0.25">
      <c r="A420" s="26" t="s">
        <v>121</v>
      </c>
      <c r="B420" s="26" t="s">
        <v>111</v>
      </c>
      <c r="C420" s="26">
        <v>0</v>
      </c>
      <c r="D420" s="27">
        <v>43357</v>
      </c>
      <c r="E420" s="26">
        <v>-9531.3700000000008</v>
      </c>
      <c r="F420" s="26" t="s">
        <v>1181</v>
      </c>
      <c r="G420" s="26" t="s">
        <v>8</v>
      </c>
      <c r="H420" s="26" t="s">
        <v>1182</v>
      </c>
      <c r="I420" s="26" t="s">
        <v>106</v>
      </c>
      <c r="J420" s="26">
        <v>0</v>
      </c>
      <c r="K420" s="8" t="str">
        <f t="shared" si="6"/>
        <v>BOECLRCPAY</v>
      </c>
    </row>
    <row r="421" spans="1:11" x14ac:dyDescent="0.25">
      <c r="A421" s="26" t="s">
        <v>121</v>
      </c>
      <c r="B421" s="26" t="s">
        <v>111</v>
      </c>
      <c r="C421" s="26">
        <v>0</v>
      </c>
      <c r="D421" s="27">
        <v>43357</v>
      </c>
      <c r="E421" s="26">
        <v>-14297.06</v>
      </c>
      <c r="F421" s="26" t="s">
        <v>1183</v>
      </c>
      <c r="G421" s="26" t="s">
        <v>8</v>
      </c>
      <c r="H421" s="26" t="s">
        <v>1184</v>
      </c>
      <c r="I421" s="26" t="s">
        <v>106</v>
      </c>
      <c r="J421" s="26">
        <v>0</v>
      </c>
      <c r="K421" s="8" t="str">
        <f t="shared" si="6"/>
        <v>BOECLRCPAY</v>
      </c>
    </row>
    <row r="422" spans="1:11" x14ac:dyDescent="0.25">
      <c r="A422" s="26" t="s">
        <v>121</v>
      </c>
      <c r="B422" s="26" t="s">
        <v>111</v>
      </c>
      <c r="C422" s="26">
        <v>0</v>
      </c>
      <c r="D422" s="27">
        <v>43360</v>
      </c>
      <c r="E422" s="26">
        <v>-9531.3700000000008</v>
      </c>
      <c r="F422" s="26" t="s">
        <v>1185</v>
      </c>
      <c r="G422" s="26" t="s">
        <v>8</v>
      </c>
      <c r="H422" s="26" t="s">
        <v>1186</v>
      </c>
      <c r="I422" s="26" t="s">
        <v>106</v>
      </c>
      <c r="J422" s="26">
        <v>0</v>
      </c>
      <c r="K422" s="8" t="str">
        <f t="shared" si="6"/>
        <v>BOECLRCPAY</v>
      </c>
    </row>
    <row r="423" spans="1:11" x14ac:dyDescent="0.25">
      <c r="A423" s="26" t="s">
        <v>116</v>
      </c>
      <c r="B423" s="26" t="s">
        <v>111</v>
      </c>
      <c r="C423" s="26">
        <v>0</v>
      </c>
      <c r="D423" s="27">
        <v>43244</v>
      </c>
      <c r="E423" s="26">
        <v>476.57</v>
      </c>
      <c r="F423" s="26" t="s">
        <v>1187</v>
      </c>
      <c r="G423" s="26" t="s">
        <v>8</v>
      </c>
      <c r="H423" s="26" t="s">
        <v>1188</v>
      </c>
      <c r="I423" s="26" t="s">
        <v>106</v>
      </c>
      <c r="J423" s="26">
        <v>0</v>
      </c>
      <c r="K423" s="8" t="str">
        <f t="shared" si="6"/>
        <v>BOECLRD1</v>
      </c>
    </row>
    <row r="424" spans="1:11" x14ac:dyDescent="0.25">
      <c r="A424" s="26" t="s">
        <v>116</v>
      </c>
      <c r="B424" s="26" t="s">
        <v>111</v>
      </c>
      <c r="C424" s="26">
        <v>0</v>
      </c>
      <c r="D424" s="27">
        <v>43245</v>
      </c>
      <c r="E424" s="26">
        <v>714.85</v>
      </c>
      <c r="F424" s="26" t="s">
        <v>1189</v>
      </c>
      <c r="G424" s="26" t="s">
        <v>8</v>
      </c>
      <c r="H424" s="26" t="s">
        <v>1190</v>
      </c>
      <c r="I424" s="26" t="s">
        <v>106</v>
      </c>
      <c r="J424" s="26">
        <v>0</v>
      </c>
      <c r="K424" s="8" t="str">
        <f t="shared" si="6"/>
        <v>BOECLRD1</v>
      </c>
    </row>
    <row r="425" spans="1:11" x14ac:dyDescent="0.25">
      <c r="A425" s="26" t="s">
        <v>116</v>
      </c>
      <c r="B425" s="26" t="s">
        <v>111</v>
      </c>
      <c r="C425" s="26">
        <v>0</v>
      </c>
      <c r="D425" s="27">
        <v>43245</v>
      </c>
      <c r="E425" s="26">
        <v>397.14</v>
      </c>
      <c r="F425" s="26" t="s">
        <v>1191</v>
      </c>
      <c r="G425" s="26" t="s">
        <v>8</v>
      </c>
      <c r="H425" s="26" t="s">
        <v>1192</v>
      </c>
      <c r="I425" s="26" t="s">
        <v>106</v>
      </c>
      <c r="J425" s="26">
        <v>0</v>
      </c>
      <c r="K425" s="8" t="str">
        <f t="shared" si="6"/>
        <v>BOECLRD1</v>
      </c>
    </row>
    <row r="426" spans="1:11" x14ac:dyDescent="0.25">
      <c r="A426" s="26" t="s">
        <v>116</v>
      </c>
      <c r="B426" s="26" t="s">
        <v>111</v>
      </c>
      <c r="C426" s="26">
        <v>0</v>
      </c>
      <c r="D426" s="27">
        <v>43248</v>
      </c>
      <c r="E426" s="26">
        <v>635.41999999999996</v>
      </c>
      <c r="F426" s="26" t="s">
        <v>1193</v>
      </c>
      <c r="G426" s="26" t="s">
        <v>8</v>
      </c>
      <c r="H426" s="26" t="s">
        <v>1194</v>
      </c>
      <c r="I426" s="26" t="s">
        <v>106</v>
      </c>
      <c r="J426" s="26">
        <v>0</v>
      </c>
      <c r="K426" s="8" t="str">
        <f t="shared" si="6"/>
        <v>BOECLRD1</v>
      </c>
    </row>
    <row r="427" spans="1:11" x14ac:dyDescent="0.25">
      <c r="A427" s="26" t="s">
        <v>116</v>
      </c>
      <c r="B427" s="26" t="s">
        <v>111</v>
      </c>
      <c r="C427" s="26">
        <v>0</v>
      </c>
      <c r="D427" s="27">
        <v>43251</v>
      </c>
      <c r="E427" s="26">
        <v>556</v>
      </c>
      <c r="F427" s="26" t="s">
        <v>1195</v>
      </c>
      <c r="G427" s="26" t="s">
        <v>8</v>
      </c>
      <c r="H427" s="26" t="s">
        <v>1196</v>
      </c>
      <c r="I427" s="26" t="s">
        <v>106</v>
      </c>
      <c r="J427" s="26">
        <v>0</v>
      </c>
      <c r="K427" s="8" t="str">
        <f t="shared" si="6"/>
        <v>BOECLRD1</v>
      </c>
    </row>
    <row r="428" spans="1:11" x14ac:dyDescent="0.25">
      <c r="A428" s="26" t="s">
        <v>116</v>
      </c>
      <c r="B428" s="26" t="s">
        <v>111</v>
      </c>
      <c r="C428" s="26">
        <v>0</v>
      </c>
      <c r="D428" s="27">
        <v>43252</v>
      </c>
      <c r="E428" s="26">
        <v>556</v>
      </c>
      <c r="F428" s="26" t="s">
        <v>1197</v>
      </c>
      <c r="G428" s="26" t="s">
        <v>8</v>
      </c>
      <c r="H428" s="26" t="s">
        <v>1198</v>
      </c>
      <c r="I428" s="26" t="s">
        <v>106</v>
      </c>
      <c r="J428" s="26">
        <v>0</v>
      </c>
      <c r="K428" s="8" t="str">
        <f t="shared" si="6"/>
        <v>BOECLRD1</v>
      </c>
    </row>
    <row r="429" spans="1:11" x14ac:dyDescent="0.25">
      <c r="A429" s="26" t="s">
        <v>116</v>
      </c>
      <c r="B429" s="26" t="s">
        <v>111</v>
      </c>
      <c r="C429" s="26">
        <v>0</v>
      </c>
      <c r="D429" s="27">
        <v>43252</v>
      </c>
      <c r="E429" s="26">
        <v>794.28</v>
      </c>
      <c r="F429" s="26" t="s">
        <v>1199</v>
      </c>
      <c r="G429" s="26" t="s">
        <v>8</v>
      </c>
      <c r="H429" s="26" t="s">
        <v>1200</v>
      </c>
      <c r="I429" s="26" t="s">
        <v>106</v>
      </c>
      <c r="J429" s="26">
        <v>0</v>
      </c>
      <c r="K429" s="8" t="str">
        <f t="shared" si="6"/>
        <v>BOECLRD1</v>
      </c>
    </row>
    <row r="430" spans="1:11" x14ac:dyDescent="0.25">
      <c r="A430" s="26" t="s">
        <v>116</v>
      </c>
      <c r="B430" s="26" t="s">
        <v>111</v>
      </c>
      <c r="C430" s="26">
        <v>0</v>
      </c>
      <c r="D430" s="27">
        <v>43252</v>
      </c>
      <c r="E430" s="26">
        <v>1111.99</v>
      </c>
      <c r="F430" s="26" t="s">
        <v>1201</v>
      </c>
      <c r="G430" s="26" t="s">
        <v>8</v>
      </c>
      <c r="H430" s="26" t="s">
        <v>1202</v>
      </c>
      <c r="I430" s="26" t="s">
        <v>106</v>
      </c>
      <c r="J430" s="26">
        <v>0</v>
      </c>
      <c r="K430" s="8" t="str">
        <f t="shared" si="6"/>
        <v>BOECLRD1</v>
      </c>
    </row>
    <row r="431" spans="1:11" x14ac:dyDescent="0.25">
      <c r="A431" s="26" t="s">
        <v>116</v>
      </c>
      <c r="B431" s="26" t="s">
        <v>111</v>
      </c>
      <c r="C431" s="26">
        <v>0</v>
      </c>
      <c r="D431" s="27">
        <v>43255</v>
      </c>
      <c r="E431" s="26">
        <v>714.85</v>
      </c>
      <c r="F431" s="26" t="s">
        <v>1203</v>
      </c>
      <c r="G431" s="26" t="s">
        <v>8</v>
      </c>
      <c r="H431" s="26" t="s">
        <v>1204</v>
      </c>
      <c r="I431" s="26" t="s">
        <v>106</v>
      </c>
      <c r="J431" s="26">
        <v>0</v>
      </c>
      <c r="K431" s="8" t="str">
        <f t="shared" si="6"/>
        <v>BOECLRD1</v>
      </c>
    </row>
    <row r="432" spans="1:11" x14ac:dyDescent="0.25">
      <c r="A432" s="26" t="s">
        <v>116</v>
      </c>
      <c r="B432" s="26" t="s">
        <v>111</v>
      </c>
      <c r="C432" s="26">
        <v>0</v>
      </c>
      <c r="D432" s="27">
        <v>43258</v>
      </c>
      <c r="E432" s="26">
        <v>873.71</v>
      </c>
      <c r="F432" s="26" t="s">
        <v>1205</v>
      </c>
      <c r="G432" s="26" t="s">
        <v>8</v>
      </c>
      <c r="H432" s="26" t="s">
        <v>1206</v>
      </c>
      <c r="I432" s="26" t="s">
        <v>106</v>
      </c>
      <c r="J432" s="26">
        <v>0</v>
      </c>
      <c r="K432" s="8" t="str">
        <f t="shared" si="6"/>
        <v>BOECLRD1</v>
      </c>
    </row>
    <row r="433" spans="1:11" x14ac:dyDescent="0.25">
      <c r="A433" s="26" t="s">
        <v>116</v>
      </c>
      <c r="B433" s="26" t="s">
        <v>111</v>
      </c>
      <c r="C433" s="26">
        <v>0</v>
      </c>
      <c r="D433" s="27">
        <v>43259</v>
      </c>
      <c r="E433" s="26">
        <v>1667.99</v>
      </c>
      <c r="F433" s="26" t="s">
        <v>1207</v>
      </c>
      <c r="G433" s="26" t="s">
        <v>8</v>
      </c>
      <c r="H433" s="26" t="s">
        <v>1208</v>
      </c>
      <c r="I433" s="26" t="s">
        <v>106</v>
      </c>
      <c r="J433" s="26">
        <v>0</v>
      </c>
      <c r="K433" s="8" t="str">
        <f t="shared" si="6"/>
        <v>BOECLRD1</v>
      </c>
    </row>
    <row r="434" spans="1:11" x14ac:dyDescent="0.25">
      <c r="A434" s="26" t="s">
        <v>116</v>
      </c>
      <c r="B434" s="26" t="s">
        <v>111</v>
      </c>
      <c r="C434" s="26">
        <v>0</v>
      </c>
      <c r="D434" s="27">
        <v>43259</v>
      </c>
      <c r="E434" s="26">
        <v>1985.7</v>
      </c>
      <c r="F434" s="26" t="s">
        <v>1209</v>
      </c>
      <c r="G434" s="26" t="s">
        <v>8</v>
      </c>
      <c r="H434" s="26" t="s">
        <v>1210</v>
      </c>
      <c r="I434" s="26" t="s">
        <v>106</v>
      </c>
      <c r="J434" s="26">
        <v>0</v>
      </c>
      <c r="K434" s="8" t="str">
        <f t="shared" si="6"/>
        <v>BOECLRD1</v>
      </c>
    </row>
    <row r="435" spans="1:11" x14ac:dyDescent="0.25">
      <c r="A435" s="26" t="s">
        <v>116</v>
      </c>
      <c r="B435" s="26" t="s">
        <v>111</v>
      </c>
      <c r="C435" s="26">
        <v>0</v>
      </c>
      <c r="D435" s="27">
        <v>43262</v>
      </c>
      <c r="E435" s="26">
        <v>1350.28</v>
      </c>
      <c r="F435" s="26" t="s">
        <v>1211</v>
      </c>
      <c r="G435" s="26" t="s">
        <v>8</v>
      </c>
      <c r="H435" s="26" t="s">
        <v>1212</v>
      </c>
      <c r="I435" s="26" t="s">
        <v>106</v>
      </c>
      <c r="J435" s="26">
        <v>0</v>
      </c>
      <c r="K435" s="8" t="str">
        <f t="shared" si="6"/>
        <v>BOECLRD1</v>
      </c>
    </row>
    <row r="436" spans="1:11" x14ac:dyDescent="0.25">
      <c r="A436" s="26" t="s">
        <v>116</v>
      </c>
      <c r="B436" s="26" t="s">
        <v>111</v>
      </c>
      <c r="C436" s="26">
        <v>0</v>
      </c>
      <c r="D436" s="27">
        <v>43265</v>
      </c>
      <c r="E436" s="26">
        <v>2065.13</v>
      </c>
      <c r="F436" s="26" t="s">
        <v>1213</v>
      </c>
      <c r="G436" s="26" t="s">
        <v>8</v>
      </c>
      <c r="H436" s="26" t="s">
        <v>1214</v>
      </c>
      <c r="I436" s="26" t="s">
        <v>106</v>
      </c>
      <c r="J436" s="26">
        <v>0</v>
      </c>
      <c r="K436" s="8" t="str">
        <f t="shared" si="6"/>
        <v>BOECLRD1</v>
      </c>
    </row>
    <row r="437" spans="1:11" x14ac:dyDescent="0.25">
      <c r="A437" s="26" t="s">
        <v>116</v>
      </c>
      <c r="B437" s="26" t="s">
        <v>111</v>
      </c>
      <c r="C437" s="26">
        <v>0</v>
      </c>
      <c r="D437" s="27">
        <v>43266</v>
      </c>
      <c r="E437" s="26">
        <v>2541.6999999999998</v>
      </c>
      <c r="F437" s="26" t="s">
        <v>1215</v>
      </c>
      <c r="G437" s="26" t="s">
        <v>8</v>
      </c>
      <c r="H437" s="26" t="s">
        <v>1216</v>
      </c>
      <c r="I437" s="26" t="s">
        <v>106</v>
      </c>
      <c r="J437" s="26">
        <v>0</v>
      </c>
      <c r="K437" s="8" t="str">
        <f t="shared" si="6"/>
        <v>BOECLRD1</v>
      </c>
    </row>
    <row r="438" spans="1:11" x14ac:dyDescent="0.25">
      <c r="A438" s="26" t="s">
        <v>116</v>
      </c>
      <c r="B438" s="26" t="s">
        <v>111</v>
      </c>
      <c r="C438" s="26">
        <v>0</v>
      </c>
      <c r="D438" s="27">
        <v>43266</v>
      </c>
      <c r="E438" s="26">
        <v>8101.67</v>
      </c>
      <c r="F438" s="26" t="s">
        <v>1217</v>
      </c>
      <c r="G438" s="26" t="s">
        <v>8</v>
      </c>
      <c r="H438" s="26" t="s">
        <v>1218</v>
      </c>
      <c r="I438" s="26" t="s">
        <v>106</v>
      </c>
      <c r="J438" s="26">
        <v>0</v>
      </c>
      <c r="K438" s="8" t="str">
        <f t="shared" si="6"/>
        <v>BOECLRD1</v>
      </c>
    </row>
    <row r="439" spans="1:11" x14ac:dyDescent="0.25">
      <c r="A439" s="26" t="s">
        <v>116</v>
      </c>
      <c r="B439" s="26" t="s">
        <v>111</v>
      </c>
      <c r="C439" s="26">
        <v>0</v>
      </c>
      <c r="D439" s="27">
        <v>43266</v>
      </c>
      <c r="E439" s="26">
        <v>8101.67</v>
      </c>
      <c r="F439" s="26" t="s">
        <v>1219</v>
      </c>
      <c r="G439" s="26" t="s">
        <v>8</v>
      </c>
      <c r="H439" s="26" t="s">
        <v>1220</v>
      </c>
      <c r="I439" s="26" t="s">
        <v>106</v>
      </c>
      <c r="J439" s="26">
        <v>0</v>
      </c>
      <c r="K439" s="8" t="str">
        <f t="shared" si="6"/>
        <v>BOECLRD1</v>
      </c>
    </row>
    <row r="440" spans="1:11" x14ac:dyDescent="0.25">
      <c r="A440" s="26" t="s">
        <v>116</v>
      </c>
      <c r="B440" s="26" t="s">
        <v>111</v>
      </c>
      <c r="C440" s="26">
        <v>0</v>
      </c>
      <c r="D440" s="27">
        <v>43269</v>
      </c>
      <c r="E440" s="26">
        <v>7148.53</v>
      </c>
      <c r="F440" s="26" t="s">
        <v>1221</v>
      </c>
      <c r="G440" s="26" t="s">
        <v>8</v>
      </c>
      <c r="H440" s="26" t="s">
        <v>1222</v>
      </c>
      <c r="I440" s="26" t="s">
        <v>106</v>
      </c>
      <c r="J440" s="26">
        <v>0</v>
      </c>
      <c r="K440" s="8" t="str">
        <f t="shared" si="6"/>
        <v>BOECLRD1</v>
      </c>
    </row>
    <row r="441" spans="1:11" x14ac:dyDescent="0.25">
      <c r="A441" s="26" t="s">
        <v>116</v>
      </c>
      <c r="B441" s="26" t="s">
        <v>111</v>
      </c>
      <c r="C441" s="26">
        <v>0</v>
      </c>
      <c r="D441" s="27">
        <v>43272</v>
      </c>
      <c r="E441" s="26">
        <v>11119.94</v>
      </c>
      <c r="F441" s="26" t="s">
        <v>1223</v>
      </c>
      <c r="G441" s="26" t="s">
        <v>8</v>
      </c>
      <c r="H441" s="26" t="s">
        <v>1224</v>
      </c>
      <c r="I441" s="26" t="s">
        <v>106</v>
      </c>
      <c r="J441" s="26">
        <v>0</v>
      </c>
      <c r="K441" s="8" t="str">
        <f t="shared" si="6"/>
        <v>BOECLRD1</v>
      </c>
    </row>
    <row r="442" spans="1:11" x14ac:dyDescent="0.25">
      <c r="A442" s="26" t="s">
        <v>116</v>
      </c>
      <c r="B442" s="26" t="s">
        <v>111</v>
      </c>
      <c r="C442" s="26">
        <v>0</v>
      </c>
      <c r="D442" s="27">
        <v>43273</v>
      </c>
      <c r="E442" s="26">
        <v>15726.77</v>
      </c>
      <c r="F442" s="26" t="s">
        <v>1225</v>
      </c>
      <c r="G442" s="26" t="s">
        <v>8</v>
      </c>
      <c r="H442" s="26" t="s">
        <v>1226</v>
      </c>
      <c r="I442" s="26" t="s">
        <v>106</v>
      </c>
      <c r="J442" s="26">
        <v>0</v>
      </c>
      <c r="K442" s="8" t="str">
        <f t="shared" si="6"/>
        <v>BOECLRD1</v>
      </c>
    </row>
    <row r="443" spans="1:11" x14ac:dyDescent="0.25">
      <c r="A443" s="26" t="s">
        <v>116</v>
      </c>
      <c r="B443" s="26" t="s">
        <v>111</v>
      </c>
      <c r="C443" s="26">
        <v>0</v>
      </c>
      <c r="D443" s="27">
        <v>43273</v>
      </c>
      <c r="E443" s="26">
        <v>5639.4</v>
      </c>
      <c r="F443" s="26" t="s">
        <v>1227</v>
      </c>
      <c r="G443" s="26" t="s">
        <v>8</v>
      </c>
      <c r="H443" s="26" t="s">
        <v>1228</v>
      </c>
      <c r="I443" s="26" t="s">
        <v>106</v>
      </c>
      <c r="J443" s="26">
        <v>0</v>
      </c>
      <c r="K443" s="8" t="str">
        <f t="shared" si="6"/>
        <v>BOECLRD1</v>
      </c>
    </row>
    <row r="444" spans="1:11" x14ac:dyDescent="0.25">
      <c r="A444" s="26" t="s">
        <v>116</v>
      </c>
      <c r="B444" s="26" t="s">
        <v>111</v>
      </c>
      <c r="C444" s="26">
        <v>0</v>
      </c>
      <c r="D444" s="27">
        <v>43273</v>
      </c>
      <c r="E444" s="26">
        <v>1032.57</v>
      </c>
      <c r="F444" s="26" t="s">
        <v>1229</v>
      </c>
      <c r="G444" s="26" t="s">
        <v>8</v>
      </c>
      <c r="H444" s="26" t="s">
        <v>1230</v>
      </c>
      <c r="I444" s="26" t="s">
        <v>106</v>
      </c>
      <c r="J444" s="26">
        <v>0</v>
      </c>
      <c r="K444" s="8" t="str">
        <f t="shared" si="6"/>
        <v>BOECLRD1</v>
      </c>
    </row>
    <row r="445" spans="1:11" x14ac:dyDescent="0.25">
      <c r="A445" s="26" t="s">
        <v>116</v>
      </c>
      <c r="B445" s="26" t="s">
        <v>111</v>
      </c>
      <c r="C445" s="26">
        <v>0</v>
      </c>
      <c r="D445" s="27">
        <v>43276</v>
      </c>
      <c r="E445" s="26">
        <v>714.85</v>
      </c>
      <c r="F445" s="26" t="s">
        <v>1231</v>
      </c>
      <c r="G445" s="26" t="s">
        <v>8</v>
      </c>
      <c r="H445" s="26" t="s">
        <v>1232</v>
      </c>
      <c r="I445" s="26" t="s">
        <v>106</v>
      </c>
      <c r="J445" s="26">
        <v>0</v>
      </c>
      <c r="K445" s="8" t="str">
        <f t="shared" si="6"/>
        <v>BOECLRD1</v>
      </c>
    </row>
    <row r="446" spans="1:11" x14ac:dyDescent="0.25">
      <c r="A446" s="26" t="s">
        <v>116</v>
      </c>
      <c r="B446" s="26" t="s">
        <v>111</v>
      </c>
      <c r="C446" s="26">
        <v>0</v>
      </c>
      <c r="D446" s="27">
        <v>43279</v>
      </c>
      <c r="E446" s="26">
        <v>556</v>
      </c>
      <c r="F446" s="26" t="s">
        <v>1233</v>
      </c>
      <c r="G446" s="26" t="s">
        <v>8</v>
      </c>
      <c r="H446" s="26" t="s">
        <v>1234</v>
      </c>
      <c r="I446" s="26" t="s">
        <v>106</v>
      </c>
      <c r="J446" s="26">
        <v>0</v>
      </c>
      <c r="K446" s="8" t="str">
        <f t="shared" si="6"/>
        <v>BOECLRD1</v>
      </c>
    </row>
    <row r="447" spans="1:11" x14ac:dyDescent="0.25">
      <c r="A447" s="26" t="s">
        <v>116</v>
      </c>
      <c r="B447" s="26" t="s">
        <v>111</v>
      </c>
      <c r="C447" s="26">
        <v>0</v>
      </c>
      <c r="D447" s="27">
        <v>43280</v>
      </c>
      <c r="E447" s="26">
        <v>635.41999999999996</v>
      </c>
      <c r="F447" s="26" t="s">
        <v>1235</v>
      </c>
      <c r="G447" s="26" t="s">
        <v>8</v>
      </c>
      <c r="H447" s="26" t="s">
        <v>1236</v>
      </c>
      <c r="I447" s="26" t="s">
        <v>106</v>
      </c>
      <c r="J447" s="26">
        <v>0</v>
      </c>
      <c r="K447" s="8" t="str">
        <f t="shared" si="6"/>
        <v>BOECLRD1</v>
      </c>
    </row>
    <row r="448" spans="1:11" x14ac:dyDescent="0.25">
      <c r="A448" s="26" t="s">
        <v>116</v>
      </c>
      <c r="B448" s="26" t="s">
        <v>111</v>
      </c>
      <c r="C448" s="26">
        <v>0</v>
      </c>
      <c r="D448" s="27">
        <v>43280</v>
      </c>
      <c r="E448" s="26">
        <v>556</v>
      </c>
      <c r="F448" s="26" t="s">
        <v>1237</v>
      </c>
      <c r="G448" s="26" t="s">
        <v>8</v>
      </c>
      <c r="H448" s="26" t="s">
        <v>1238</v>
      </c>
      <c r="I448" s="26" t="s">
        <v>106</v>
      </c>
      <c r="J448" s="26">
        <v>0</v>
      </c>
      <c r="K448" s="8" t="str">
        <f t="shared" si="6"/>
        <v>BOECLRD1</v>
      </c>
    </row>
    <row r="449" spans="1:11" x14ac:dyDescent="0.25">
      <c r="A449" s="26" t="s">
        <v>116</v>
      </c>
      <c r="B449" s="26" t="s">
        <v>111</v>
      </c>
      <c r="C449" s="26">
        <v>0</v>
      </c>
      <c r="D449" s="27">
        <v>43280</v>
      </c>
      <c r="E449" s="26">
        <v>635.41999999999996</v>
      </c>
      <c r="F449" s="26" t="s">
        <v>1239</v>
      </c>
      <c r="G449" s="26" t="s">
        <v>8</v>
      </c>
      <c r="H449" s="26" t="s">
        <v>1240</v>
      </c>
      <c r="I449" s="26" t="s">
        <v>106</v>
      </c>
      <c r="J449" s="26">
        <v>0</v>
      </c>
      <c r="K449" s="8" t="str">
        <f t="shared" si="6"/>
        <v>BOECLRD1</v>
      </c>
    </row>
    <row r="450" spans="1:11" x14ac:dyDescent="0.25">
      <c r="A450" s="26" t="s">
        <v>116</v>
      </c>
      <c r="B450" s="26" t="s">
        <v>111</v>
      </c>
      <c r="C450" s="26">
        <v>0</v>
      </c>
      <c r="D450" s="27">
        <v>43283</v>
      </c>
      <c r="E450" s="26">
        <v>397.14</v>
      </c>
      <c r="F450" s="26" t="s">
        <v>1241</v>
      </c>
      <c r="G450" s="26" t="s">
        <v>8</v>
      </c>
      <c r="H450" s="26" t="s">
        <v>1242</v>
      </c>
      <c r="I450" s="26" t="s">
        <v>106</v>
      </c>
      <c r="J450" s="26">
        <v>0</v>
      </c>
      <c r="K450" s="8" t="str">
        <f t="shared" si="6"/>
        <v>BOECLRD1</v>
      </c>
    </row>
    <row r="451" spans="1:11" x14ac:dyDescent="0.25">
      <c r="A451" s="26" t="s">
        <v>116</v>
      </c>
      <c r="B451" s="26" t="s">
        <v>111</v>
      </c>
      <c r="C451" s="26">
        <v>0</v>
      </c>
      <c r="D451" s="27">
        <v>43286</v>
      </c>
      <c r="E451" s="26">
        <v>476.57</v>
      </c>
      <c r="F451" s="26" t="s">
        <v>1243</v>
      </c>
      <c r="G451" s="26" t="s">
        <v>8</v>
      </c>
      <c r="H451" s="26" t="s">
        <v>1244</v>
      </c>
      <c r="I451" s="26" t="s">
        <v>106</v>
      </c>
      <c r="J451" s="26">
        <v>0</v>
      </c>
      <c r="K451" s="8" t="str">
        <f t="shared" ref="K451:K514" si="7">LEFT(A451,FIND("/",A451)-1)</f>
        <v>BOECLRD1</v>
      </c>
    </row>
    <row r="452" spans="1:11" x14ac:dyDescent="0.25">
      <c r="A452" s="26" t="s">
        <v>116</v>
      </c>
      <c r="B452" s="26" t="s">
        <v>111</v>
      </c>
      <c r="C452" s="26">
        <v>0</v>
      </c>
      <c r="D452" s="27">
        <v>43287</v>
      </c>
      <c r="E452" s="26">
        <v>476.57</v>
      </c>
      <c r="F452" s="26" t="s">
        <v>1245</v>
      </c>
      <c r="G452" s="26" t="s">
        <v>8</v>
      </c>
      <c r="H452" s="26" t="s">
        <v>1246</v>
      </c>
      <c r="I452" s="26" t="s">
        <v>106</v>
      </c>
      <c r="J452" s="26">
        <v>0</v>
      </c>
      <c r="K452" s="8" t="str">
        <f t="shared" si="7"/>
        <v>BOECLRD1</v>
      </c>
    </row>
    <row r="453" spans="1:11" x14ac:dyDescent="0.25">
      <c r="A453" s="26" t="s">
        <v>116</v>
      </c>
      <c r="B453" s="26" t="s">
        <v>111</v>
      </c>
      <c r="C453" s="26">
        <v>0</v>
      </c>
      <c r="D453" s="27">
        <v>43287</v>
      </c>
      <c r="E453" s="26">
        <v>397.14</v>
      </c>
      <c r="F453" s="26" t="s">
        <v>1247</v>
      </c>
      <c r="G453" s="26" t="s">
        <v>8</v>
      </c>
      <c r="H453" s="26" t="s">
        <v>1248</v>
      </c>
      <c r="I453" s="26" t="s">
        <v>106</v>
      </c>
      <c r="J453" s="26">
        <v>0</v>
      </c>
      <c r="K453" s="8" t="str">
        <f t="shared" si="7"/>
        <v>BOECLRD1</v>
      </c>
    </row>
    <row r="454" spans="1:11" x14ac:dyDescent="0.25">
      <c r="A454" s="26" t="s">
        <v>116</v>
      </c>
      <c r="B454" s="26" t="s">
        <v>111</v>
      </c>
      <c r="C454" s="26">
        <v>0</v>
      </c>
      <c r="D454" s="27">
        <v>43287</v>
      </c>
      <c r="E454" s="26">
        <v>158.86000000000001</v>
      </c>
      <c r="F454" s="26" t="s">
        <v>1249</v>
      </c>
      <c r="G454" s="26" t="s">
        <v>8</v>
      </c>
      <c r="H454" s="26" t="s">
        <v>1250</v>
      </c>
      <c r="I454" s="26" t="s">
        <v>106</v>
      </c>
      <c r="J454" s="26">
        <v>0</v>
      </c>
      <c r="K454" s="8" t="str">
        <f t="shared" si="7"/>
        <v>BOECLRD1</v>
      </c>
    </row>
    <row r="455" spans="1:11" x14ac:dyDescent="0.25">
      <c r="A455" s="26" t="s">
        <v>116</v>
      </c>
      <c r="B455" s="26" t="s">
        <v>111</v>
      </c>
      <c r="C455" s="26">
        <v>0</v>
      </c>
      <c r="D455" s="27">
        <v>43290</v>
      </c>
      <c r="E455" s="26">
        <v>397.14</v>
      </c>
      <c r="F455" s="26" t="s">
        <v>1251</v>
      </c>
      <c r="G455" s="26" t="s">
        <v>8</v>
      </c>
      <c r="H455" s="26" t="s">
        <v>1252</v>
      </c>
      <c r="I455" s="26" t="s">
        <v>106</v>
      </c>
      <c r="J455" s="26">
        <v>0</v>
      </c>
      <c r="K455" s="8" t="str">
        <f t="shared" si="7"/>
        <v>BOECLRD1</v>
      </c>
    </row>
    <row r="456" spans="1:11" x14ac:dyDescent="0.25">
      <c r="A456" s="26" t="s">
        <v>116</v>
      </c>
      <c r="B456" s="26" t="s">
        <v>111</v>
      </c>
      <c r="C456" s="26">
        <v>0</v>
      </c>
      <c r="D456" s="27">
        <v>43293</v>
      </c>
      <c r="E456" s="26">
        <v>238.28</v>
      </c>
      <c r="F456" s="26" t="s">
        <v>1253</v>
      </c>
      <c r="G456" s="26" t="s">
        <v>8</v>
      </c>
      <c r="H456" s="26" t="s">
        <v>1254</v>
      </c>
      <c r="I456" s="26" t="s">
        <v>106</v>
      </c>
      <c r="J456" s="26">
        <v>0</v>
      </c>
      <c r="K456" s="8" t="str">
        <f t="shared" si="7"/>
        <v>BOECLRD1</v>
      </c>
    </row>
    <row r="457" spans="1:11" x14ac:dyDescent="0.25">
      <c r="A457" s="26" t="s">
        <v>116</v>
      </c>
      <c r="B457" s="26" t="s">
        <v>111</v>
      </c>
      <c r="C457" s="26">
        <v>0</v>
      </c>
      <c r="D457" s="27">
        <v>43294</v>
      </c>
      <c r="E457" s="26">
        <v>476.57</v>
      </c>
      <c r="F457" s="26" t="s">
        <v>1255</v>
      </c>
      <c r="G457" s="26" t="s">
        <v>8</v>
      </c>
      <c r="H457" s="26" t="s">
        <v>1256</v>
      </c>
      <c r="I457" s="26" t="s">
        <v>106</v>
      </c>
      <c r="J457" s="26">
        <v>0</v>
      </c>
      <c r="K457" s="8" t="str">
        <f t="shared" si="7"/>
        <v>BOECLRD1</v>
      </c>
    </row>
    <row r="458" spans="1:11" x14ac:dyDescent="0.25">
      <c r="A458" s="26" t="s">
        <v>116</v>
      </c>
      <c r="B458" s="26" t="s">
        <v>111</v>
      </c>
      <c r="C458" s="26">
        <v>0</v>
      </c>
      <c r="D458" s="27">
        <v>43294</v>
      </c>
      <c r="E458" s="26">
        <v>397.14</v>
      </c>
      <c r="F458" s="26" t="s">
        <v>1257</v>
      </c>
      <c r="G458" s="26" t="s">
        <v>8</v>
      </c>
      <c r="H458" s="26" t="s">
        <v>1258</v>
      </c>
      <c r="I458" s="26" t="s">
        <v>106</v>
      </c>
      <c r="J458" s="26">
        <v>0</v>
      </c>
      <c r="K458" s="8" t="str">
        <f t="shared" si="7"/>
        <v>BOECLRD1</v>
      </c>
    </row>
    <row r="459" spans="1:11" x14ac:dyDescent="0.25">
      <c r="A459" s="26" t="s">
        <v>116</v>
      </c>
      <c r="B459" s="26" t="s">
        <v>111</v>
      </c>
      <c r="C459" s="26">
        <v>0</v>
      </c>
      <c r="D459" s="27">
        <v>43294</v>
      </c>
      <c r="E459" s="26">
        <v>476.57</v>
      </c>
      <c r="F459" s="26" t="s">
        <v>1259</v>
      </c>
      <c r="G459" s="26" t="s">
        <v>8</v>
      </c>
      <c r="H459" s="26" t="s">
        <v>1260</v>
      </c>
      <c r="I459" s="26" t="s">
        <v>106</v>
      </c>
      <c r="J459" s="26">
        <v>0</v>
      </c>
      <c r="K459" s="8" t="str">
        <f t="shared" si="7"/>
        <v>BOECLRD1</v>
      </c>
    </row>
    <row r="460" spans="1:11" x14ac:dyDescent="0.25">
      <c r="A460" s="26" t="s">
        <v>116</v>
      </c>
      <c r="B460" s="26" t="s">
        <v>111</v>
      </c>
      <c r="C460" s="26">
        <v>0</v>
      </c>
      <c r="D460" s="27">
        <v>43300</v>
      </c>
      <c r="E460" s="26">
        <v>635.41999999999996</v>
      </c>
      <c r="F460" s="26" t="s">
        <v>1261</v>
      </c>
      <c r="G460" s="26" t="s">
        <v>8</v>
      </c>
      <c r="H460" s="26" t="s">
        <v>1262</v>
      </c>
      <c r="I460" s="26" t="s">
        <v>106</v>
      </c>
      <c r="J460" s="26">
        <v>0</v>
      </c>
      <c r="K460" s="8" t="str">
        <f t="shared" si="7"/>
        <v>BOECLRD1</v>
      </c>
    </row>
    <row r="461" spans="1:11" x14ac:dyDescent="0.25">
      <c r="A461" s="26" t="s">
        <v>116</v>
      </c>
      <c r="B461" s="26" t="s">
        <v>111</v>
      </c>
      <c r="C461" s="26">
        <v>0</v>
      </c>
      <c r="D461" s="27">
        <v>43301</v>
      </c>
      <c r="E461" s="26">
        <v>1032.57</v>
      </c>
      <c r="F461" s="26" t="s">
        <v>1263</v>
      </c>
      <c r="G461" s="26" t="s">
        <v>8</v>
      </c>
      <c r="H461" s="26" t="s">
        <v>1264</v>
      </c>
      <c r="I461" s="26" t="s">
        <v>106</v>
      </c>
      <c r="J461" s="26">
        <v>0</v>
      </c>
      <c r="K461" s="8" t="str">
        <f t="shared" si="7"/>
        <v>BOECLRD1</v>
      </c>
    </row>
    <row r="462" spans="1:11" x14ac:dyDescent="0.25">
      <c r="A462" s="26" t="s">
        <v>116</v>
      </c>
      <c r="B462" s="26" t="s">
        <v>111</v>
      </c>
      <c r="C462" s="26">
        <v>0</v>
      </c>
      <c r="D462" s="27">
        <v>43301</v>
      </c>
      <c r="E462" s="26">
        <v>556</v>
      </c>
      <c r="F462" s="26" t="s">
        <v>1265</v>
      </c>
      <c r="G462" s="26" t="s">
        <v>8</v>
      </c>
      <c r="H462" s="26" t="s">
        <v>1266</v>
      </c>
      <c r="I462" s="26" t="s">
        <v>106</v>
      </c>
      <c r="J462" s="26">
        <v>0</v>
      </c>
      <c r="K462" s="8" t="str">
        <f t="shared" si="7"/>
        <v>BOECLRD1</v>
      </c>
    </row>
    <row r="463" spans="1:11" x14ac:dyDescent="0.25">
      <c r="A463" s="26" t="s">
        <v>116</v>
      </c>
      <c r="B463" s="26" t="s">
        <v>111</v>
      </c>
      <c r="C463" s="26">
        <v>0</v>
      </c>
      <c r="D463" s="27">
        <v>43301</v>
      </c>
      <c r="E463" s="26">
        <v>238.28</v>
      </c>
      <c r="F463" s="26" t="s">
        <v>1267</v>
      </c>
      <c r="G463" s="26" t="s">
        <v>8</v>
      </c>
      <c r="H463" s="26" t="s">
        <v>1268</v>
      </c>
      <c r="I463" s="26" t="s">
        <v>106</v>
      </c>
      <c r="J463" s="26">
        <v>0</v>
      </c>
      <c r="K463" s="8" t="str">
        <f t="shared" si="7"/>
        <v>BOECLRD1</v>
      </c>
    </row>
    <row r="464" spans="1:11" x14ac:dyDescent="0.25">
      <c r="A464" s="26" t="s">
        <v>116</v>
      </c>
      <c r="B464" s="26" t="s">
        <v>111</v>
      </c>
      <c r="C464" s="26">
        <v>0</v>
      </c>
      <c r="D464" s="27">
        <v>43304</v>
      </c>
      <c r="E464" s="26">
        <v>238.28</v>
      </c>
      <c r="F464" s="26" t="s">
        <v>1269</v>
      </c>
      <c r="G464" s="26" t="s">
        <v>8</v>
      </c>
      <c r="H464" s="26" t="s">
        <v>1270</v>
      </c>
      <c r="I464" s="26" t="s">
        <v>106</v>
      </c>
      <c r="J464" s="26">
        <v>0</v>
      </c>
      <c r="K464" s="8" t="str">
        <f t="shared" si="7"/>
        <v>BOECLRD1</v>
      </c>
    </row>
    <row r="465" spans="1:11" x14ac:dyDescent="0.25">
      <c r="A465" s="26" t="s">
        <v>116</v>
      </c>
      <c r="B465" s="26" t="s">
        <v>111</v>
      </c>
      <c r="C465" s="26">
        <v>0</v>
      </c>
      <c r="D465" s="27">
        <v>43307</v>
      </c>
      <c r="E465" s="26">
        <v>158.86000000000001</v>
      </c>
      <c r="F465" s="26" t="s">
        <v>1271</v>
      </c>
      <c r="G465" s="26" t="s">
        <v>8</v>
      </c>
      <c r="H465" s="26" t="s">
        <v>1272</v>
      </c>
      <c r="I465" s="26" t="s">
        <v>106</v>
      </c>
      <c r="J465" s="26">
        <v>0</v>
      </c>
      <c r="K465" s="8" t="str">
        <f t="shared" si="7"/>
        <v>BOECLRD1</v>
      </c>
    </row>
    <row r="466" spans="1:11" x14ac:dyDescent="0.25">
      <c r="A466" s="26" t="s">
        <v>116</v>
      </c>
      <c r="B466" s="26" t="s">
        <v>111</v>
      </c>
      <c r="C466" s="26">
        <v>0</v>
      </c>
      <c r="D466" s="27">
        <v>43308</v>
      </c>
      <c r="E466" s="26">
        <v>238.28</v>
      </c>
      <c r="F466" s="26" t="s">
        <v>1273</v>
      </c>
      <c r="G466" s="26" t="s">
        <v>8</v>
      </c>
      <c r="H466" s="26" t="s">
        <v>1274</v>
      </c>
      <c r="I466" s="26" t="s">
        <v>106</v>
      </c>
      <c r="J466" s="26">
        <v>0</v>
      </c>
      <c r="K466" s="8" t="str">
        <f t="shared" si="7"/>
        <v>BOECLRD1</v>
      </c>
    </row>
    <row r="467" spans="1:11" x14ac:dyDescent="0.25">
      <c r="A467" s="26" t="s">
        <v>116</v>
      </c>
      <c r="B467" s="26" t="s">
        <v>111</v>
      </c>
      <c r="C467" s="26">
        <v>0</v>
      </c>
      <c r="D467" s="27">
        <v>43308</v>
      </c>
      <c r="E467" s="26">
        <v>794.28</v>
      </c>
      <c r="F467" s="26" t="s">
        <v>1275</v>
      </c>
      <c r="G467" s="26" t="s">
        <v>8</v>
      </c>
      <c r="H467" s="26" t="s">
        <v>1276</v>
      </c>
      <c r="I467" s="26" t="s">
        <v>106</v>
      </c>
      <c r="J467" s="26">
        <v>0</v>
      </c>
      <c r="K467" s="8" t="str">
        <f t="shared" si="7"/>
        <v>BOECLRD1</v>
      </c>
    </row>
    <row r="468" spans="1:11" x14ac:dyDescent="0.25">
      <c r="A468" s="26" t="s">
        <v>116</v>
      </c>
      <c r="B468" s="26" t="s">
        <v>111</v>
      </c>
      <c r="C468" s="26">
        <v>0</v>
      </c>
      <c r="D468" s="27">
        <v>43308</v>
      </c>
      <c r="E468" s="26">
        <v>158.86000000000001</v>
      </c>
      <c r="F468" s="26" t="s">
        <v>1277</v>
      </c>
      <c r="G468" s="26" t="s">
        <v>8</v>
      </c>
      <c r="H468" s="26" t="s">
        <v>1278</v>
      </c>
      <c r="I468" s="26" t="s">
        <v>106</v>
      </c>
      <c r="J468" s="26">
        <v>0</v>
      </c>
      <c r="K468" s="8" t="str">
        <f t="shared" si="7"/>
        <v>BOECLRD1</v>
      </c>
    </row>
    <row r="469" spans="1:11" x14ac:dyDescent="0.25">
      <c r="A469" s="26" t="s">
        <v>116</v>
      </c>
      <c r="B469" s="26" t="s">
        <v>111</v>
      </c>
      <c r="C469" s="26">
        <v>0</v>
      </c>
      <c r="D469" s="27">
        <v>43311</v>
      </c>
      <c r="E469" s="26">
        <v>317.70999999999998</v>
      </c>
      <c r="F469" s="26" t="s">
        <v>1279</v>
      </c>
      <c r="G469" s="26" t="s">
        <v>8</v>
      </c>
      <c r="H469" s="26" t="s">
        <v>1280</v>
      </c>
      <c r="I469" s="26" t="s">
        <v>106</v>
      </c>
      <c r="J469" s="26">
        <v>0</v>
      </c>
      <c r="K469" s="8" t="str">
        <f t="shared" si="7"/>
        <v>BOECLRD1</v>
      </c>
    </row>
    <row r="470" spans="1:11" x14ac:dyDescent="0.25">
      <c r="A470" s="26" t="s">
        <v>116</v>
      </c>
      <c r="B470" s="26" t="s">
        <v>111</v>
      </c>
      <c r="C470" s="26">
        <v>0</v>
      </c>
      <c r="D470" s="27">
        <v>43314</v>
      </c>
      <c r="E470" s="26">
        <v>79.430000000000007</v>
      </c>
      <c r="F470" s="26" t="s">
        <v>1281</v>
      </c>
      <c r="G470" s="26" t="s">
        <v>8</v>
      </c>
      <c r="H470" s="26" t="s">
        <v>1282</v>
      </c>
      <c r="I470" s="26" t="s">
        <v>106</v>
      </c>
      <c r="J470" s="26">
        <v>0</v>
      </c>
      <c r="K470" s="8" t="str">
        <f t="shared" si="7"/>
        <v>BOECLRD1</v>
      </c>
    </row>
    <row r="471" spans="1:11" x14ac:dyDescent="0.25">
      <c r="A471" s="26" t="s">
        <v>116</v>
      </c>
      <c r="B471" s="26" t="s">
        <v>111</v>
      </c>
      <c r="C471" s="26">
        <v>0</v>
      </c>
      <c r="D471" s="27">
        <v>43315</v>
      </c>
      <c r="E471" s="26">
        <v>397.14</v>
      </c>
      <c r="F471" s="26" t="s">
        <v>1283</v>
      </c>
      <c r="G471" s="26" t="s">
        <v>8</v>
      </c>
      <c r="H471" s="26" t="s">
        <v>1284</v>
      </c>
      <c r="I471" s="26" t="s">
        <v>106</v>
      </c>
      <c r="J471" s="26">
        <v>0</v>
      </c>
      <c r="K471" s="8" t="str">
        <f t="shared" si="7"/>
        <v>BOECLRD1</v>
      </c>
    </row>
    <row r="472" spans="1:11" x14ac:dyDescent="0.25">
      <c r="A472" s="26" t="s">
        <v>116</v>
      </c>
      <c r="B472" s="26" t="s">
        <v>111</v>
      </c>
      <c r="C472" s="26">
        <v>0</v>
      </c>
      <c r="D472" s="27">
        <v>43315</v>
      </c>
      <c r="E472" s="26">
        <v>794.28</v>
      </c>
      <c r="F472" s="26" t="s">
        <v>1285</v>
      </c>
      <c r="G472" s="26" t="s">
        <v>8</v>
      </c>
      <c r="H472" s="26" t="s">
        <v>1286</v>
      </c>
      <c r="I472" s="26" t="s">
        <v>106</v>
      </c>
      <c r="J472" s="26">
        <v>0</v>
      </c>
      <c r="K472" s="8" t="str">
        <f t="shared" si="7"/>
        <v>BOECLRD1</v>
      </c>
    </row>
    <row r="473" spans="1:11" x14ac:dyDescent="0.25">
      <c r="A473" s="26" t="s">
        <v>116</v>
      </c>
      <c r="B473" s="26" t="s">
        <v>111</v>
      </c>
      <c r="C473" s="26">
        <v>0</v>
      </c>
      <c r="D473" s="27">
        <v>43318</v>
      </c>
      <c r="E473" s="26">
        <v>238.28</v>
      </c>
      <c r="F473" s="26" t="s">
        <v>1287</v>
      </c>
      <c r="G473" s="26" t="s">
        <v>8</v>
      </c>
      <c r="H473" s="26" t="s">
        <v>1288</v>
      </c>
      <c r="I473" s="26" t="s">
        <v>106</v>
      </c>
      <c r="J473" s="26">
        <v>0</v>
      </c>
      <c r="K473" s="8" t="str">
        <f t="shared" si="7"/>
        <v>BOECLRD1</v>
      </c>
    </row>
    <row r="474" spans="1:11" x14ac:dyDescent="0.25">
      <c r="A474" s="26" t="s">
        <v>116</v>
      </c>
      <c r="B474" s="26" t="s">
        <v>111</v>
      </c>
      <c r="C474" s="26">
        <v>0</v>
      </c>
      <c r="D474" s="27">
        <v>43321</v>
      </c>
      <c r="E474" s="26">
        <v>556</v>
      </c>
      <c r="F474" s="26" t="s">
        <v>1289</v>
      </c>
      <c r="G474" s="26" t="s">
        <v>8</v>
      </c>
      <c r="H474" s="26" t="s">
        <v>1290</v>
      </c>
      <c r="I474" s="26" t="s">
        <v>106</v>
      </c>
      <c r="J474" s="26">
        <v>0</v>
      </c>
      <c r="K474" s="8" t="str">
        <f t="shared" si="7"/>
        <v>BOECLRD1</v>
      </c>
    </row>
    <row r="475" spans="1:11" x14ac:dyDescent="0.25">
      <c r="A475" s="26" t="s">
        <v>116</v>
      </c>
      <c r="B475" s="26" t="s">
        <v>111</v>
      </c>
      <c r="C475" s="26">
        <v>0</v>
      </c>
      <c r="D475" s="27">
        <v>43322</v>
      </c>
      <c r="E475" s="26">
        <v>317.70999999999998</v>
      </c>
      <c r="F475" s="26" t="s">
        <v>1291</v>
      </c>
      <c r="G475" s="26" t="s">
        <v>8</v>
      </c>
      <c r="H475" s="26" t="s">
        <v>1292</v>
      </c>
      <c r="I475" s="26" t="s">
        <v>106</v>
      </c>
      <c r="J475" s="26">
        <v>0</v>
      </c>
      <c r="K475" s="8" t="str">
        <f t="shared" si="7"/>
        <v>BOECLRD1</v>
      </c>
    </row>
    <row r="476" spans="1:11" x14ac:dyDescent="0.25">
      <c r="A476" s="26" t="s">
        <v>116</v>
      </c>
      <c r="B476" s="26" t="s">
        <v>111</v>
      </c>
      <c r="C476" s="26">
        <v>0</v>
      </c>
      <c r="D476" s="27">
        <v>43322</v>
      </c>
      <c r="E476" s="26">
        <v>317.70999999999998</v>
      </c>
      <c r="F476" s="26" t="s">
        <v>1293</v>
      </c>
      <c r="G476" s="26" t="s">
        <v>8</v>
      </c>
      <c r="H476" s="26" t="s">
        <v>1294</v>
      </c>
      <c r="I476" s="26" t="s">
        <v>106</v>
      </c>
      <c r="J476" s="26">
        <v>0</v>
      </c>
      <c r="K476" s="8" t="str">
        <f t="shared" si="7"/>
        <v>BOECLRD1</v>
      </c>
    </row>
    <row r="477" spans="1:11" x14ac:dyDescent="0.25">
      <c r="A477" s="26" t="s">
        <v>116</v>
      </c>
      <c r="B477" s="26" t="s">
        <v>111</v>
      </c>
      <c r="C477" s="26">
        <v>0</v>
      </c>
      <c r="D477" s="27">
        <v>43322</v>
      </c>
      <c r="E477" s="26">
        <v>794.28</v>
      </c>
      <c r="F477" s="26" t="s">
        <v>1295</v>
      </c>
      <c r="G477" s="26" t="s">
        <v>8</v>
      </c>
      <c r="H477" s="26" t="s">
        <v>1296</v>
      </c>
      <c r="I477" s="26" t="s">
        <v>106</v>
      </c>
      <c r="J477" s="26">
        <v>0</v>
      </c>
      <c r="K477" s="8" t="str">
        <f t="shared" si="7"/>
        <v>BOECLRD1</v>
      </c>
    </row>
    <row r="478" spans="1:11" x14ac:dyDescent="0.25">
      <c r="A478" s="26" t="s">
        <v>116</v>
      </c>
      <c r="B478" s="26" t="s">
        <v>111</v>
      </c>
      <c r="C478" s="26">
        <v>0</v>
      </c>
      <c r="D478" s="27">
        <v>43325</v>
      </c>
      <c r="E478" s="26">
        <v>158.86000000000001</v>
      </c>
      <c r="F478" s="26" t="s">
        <v>1297</v>
      </c>
      <c r="G478" s="26" t="s">
        <v>8</v>
      </c>
      <c r="H478" s="26" t="s">
        <v>1298</v>
      </c>
      <c r="I478" s="26" t="s">
        <v>106</v>
      </c>
      <c r="J478" s="26">
        <v>0</v>
      </c>
      <c r="K478" s="8" t="str">
        <f t="shared" si="7"/>
        <v>BOECLRD1</v>
      </c>
    </row>
    <row r="479" spans="1:11" x14ac:dyDescent="0.25">
      <c r="A479" s="26" t="s">
        <v>116</v>
      </c>
      <c r="B479" s="26" t="s">
        <v>111</v>
      </c>
      <c r="C479" s="26">
        <v>0</v>
      </c>
      <c r="D479" s="27">
        <v>43328</v>
      </c>
      <c r="E479" s="26">
        <v>317.70999999999998</v>
      </c>
      <c r="F479" s="26" t="s">
        <v>1299</v>
      </c>
      <c r="G479" s="26" t="s">
        <v>8</v>
      </c>
      <c r="H479" s="26" t="s">
        <v>1300</v>
      </c>
      <c r="I479" s="26" t="s">
        <v>106</v>
      </c>
      <c r="J479" s="26">
        <v>0</v>
      </c>
      <c r="K479" s="8" t="str">
        <f t="shared" si="7"/>
        <v>BOECLRD1</v>
      </c>
    </row>
    <row r="480" spans="1:11" x14ac:dyDescent="0.25">
      <c r="A480" s="26" t="s">
        <v>116</v>
      </c>
      <c r="B480" s="26" t="s">
        <v>111</v>
      </c>
      <c r="C480" s="26">
        <v>0</v>
      </c>
      <c r="D480" s="27">
        <v>43329</v>
      </c>
      <c r="E480" s="26">
        <v>238.28</v>
      </c>
      <c r="F480" s="26" t="s">
        <v>1301</v>
      </c>
      <c r="G480" s="26" t="s">
        <v>8</v>
      </c>
      <c r="H480" s="26" t="s">
        <v>1302</v>
      </c>
      <c r="I480" s="26" t="s">
        <v>106</v>
      </c>
      <c r="J480" s="26">
        <v>0</v>
      </c>
      <c r="K480" s="8" t="str">
        <f t="shared" si="7"/>
        <v>BOECLRD1</v>
      </c>
    </row>
    <row r="481" spans="1:11" x14ac:dyDescent="0.25">
      <c r="A481" s="26" t="s">
        <v>116</v>
      </c>
      <c r="B481" s="26" t="s">
        <v>111</v>
      </c>
      <c r="C481" s="26">
        <v>0</v>
      </c>
      <c r="D481" s="27">
        <v>43329</v>
      </c>
      <c r="E481" s="26">
        <v>317.70999999999998</v>
      </c>
      <c r="F481" s="26" t="s">
        <v>1303</v>
      </c>
      <c r="G481" s="26" t="s">
        <v>8</v>
      </c>
      <c r="H481" s="26" t="s">
        <v>1304</v>
      </c>
      <c r="I481" s="26" t="s">
        <v>106</v>
      </c>
      <c r="J481" s="26">
        <v>0</v>
      </c>
      <c r="K481" s="8" t="str">
        <f t="shared" si="7"/>
        <v>BOECLRD1</v>
      </c>
    </row>
    <row r="482" spans="1:11" x14ac:dyDescent="0.25">
      <c r="A482" s="26" t="s">
        <v>116</v>
      </c>
      <c r="B482" s="26" t="s">
        <v>111</v>
      </c>
      <c r="C482" s="26">
        <v>0</v>
      </c>
      <c r="D482" s="27">
        <v>43329</v>
      </c>
      <c r="E482" s="26">
        <v>397.14</v>
      </c>
      <c r="F482" s="26" t="s">
        <v>1305</v>
      </c>
      <c r="G482" s="26" t="s">
        <v>8</v>
      </c>
      <c r="H482" s="26" t="s">
        <v>1306</v>
      </c>
      <c r="I482" s="26" t="s">
        <v>106</v>
      </c>
      <c r="J482" s="26">
        <v>0</v>
      </c>
      <c r="K482" s="8" t="str">
        <f t="shared" si="7"/>
        <v>BOECLRD1</v>
      </c>
    </row>
    <row r="483" spans="1:11" x14ac:dyDescent="0.25">
      <c r="A483" s="26" t="s">
        <v>116</v>
      </c>
      <c r="B483" s="26" t="s">
        <v>111</v>
      </c>
      <c r="C483" s="26">
        <v>0</v>
      </c>
      <c r="D483" s="27">
        <v>43336</v>
      </c>
      <c r="E483" s="26">
        <v>476.57</v>
      </c>
      <c r="F483" s="26" t="s">
        <v>1307</v>
      </c>
      <c r="G483" s="26" t="s">
        <v>8</v>
      </c>
      <c r="H483" s="26" t="s">
        <v>1308</v>
      </c>
      <c r="I483" s="26" t="s">
        <v>106</v>
      </c>
      <c r="J483" s="26">
        <v>0</v>
      </c>
      <c r="K483" s="8" t="str">
        <f t="shared" si="7"/>
        <v>BOECLRD1</v>
      </c>
    </row>
    <row r="484" spans="1:11" x14ac:dyDescent="0.25">
      <c r="A484" s="26" t="s">
        <v>116</v>
      </c>
      <c r="B484" s="26" t="s">
        <v>111</v>
      </c>
      <c r="C484" s="26">
        <v>0</v>
      </c>
      <c r="D484" s="27">
        <v>43336</v>
      </c>
      <c r="E484" s="26">
        <v>397.14</v>
      </c>
      <c r="F484" s="26" t="s">
        <v>1309</v>
      </c>
      <c r="G484" s="26" t="s">
        <v>8</v>
      </c>
      <c r="H484" s="26" t="s">
        <v>1310</v>
      </c>
      <c r="I484" s="26" t="s">
        <v>106</v>
      </c>
      <c r="J484" s="26">
        <v>0</v>
      </c>
      <c r="K484" s="8" t="str">
        <f t="shared" si="7"/>
        <v>BOECLRD1</v>
      </c>
    </row>
    <row r="485" spans="1:11" x14ac:dyDescent="0.25">
      <c r="A485" s="26" t="s">
        <v>116</v>
      </c>
      <c r="B485" s="26" t="s">
        <v>111</v>
      </c>
      <c r="C485" s="26">
        <v>0</v>
      </c>
      <c r="D485" s="27">
        <v>43336</v>
      </c>
      <c r="E485" s="26">
        <v>158.86000000000001</v>
      </c>
      <c r="F485" s="26" t="s">
        <v>1311</v>
      </c>
      <c r="G485" s="26" t="s">
        <v>8</v>
      </c>
      <c r="H485" s="26" t="s">
        <v>1312</v>
      </c>
      <c r="I485" s="26" t="s">
        <v>106</v>
      </c>
      <c r="J485" s="26">
        <v>0</v>
      </c>
      <c r="K485" s="8" t="str">
        <f t="shared" si="7"/>
        <v>BOECLRD1</v>
      </c>
    </row>
    <row r="486" spans="1:11" x14ac:dyDescent="0.25">
      <c r="A486" s="26" t="s">
        <v>116</v>
      </c>
      <c r="B486" s="26" t="s">
        <v>111</v>
      </c>
      <c r="C486" s="26">
        <v>0</v>
      </c>
      <c r="D486" s="27">
        <v>43339</v>
      </c>
      <c r="E486" s="26">
        <v>158.86000000000001</v>
      </c>
      <c r="F486" s="26" t="s">
        <v>1313</v>
      </c>
      <c r="G486" s="26" t="s">
        <v>8</v>
      </c>
      <c r="H486" s="26" t="s">
        <v>1314</v>
      </c>
      <c r="I486" s="26" t="s">
        <v>106</v>
      </c>
      <c r="J486" s="26">
        <v>0</v>
      </c>
      <c r="K486" s="8" t="str">
        <f t="shared" si="7"/>
        <v>BOECLRD1</v>
      </c>
    </row>
    <row r="487" spans="1:11" x14ac:dyDescent="0.25">
      <c r="A487" s="26" t="s">
        <v>116</v>
      </c>
      <c r="B487" s="26" t="s">
        <v>111</v>
      </c>
      <c r="C487" s="26">
        <v>0</v>
      </c>
      <c r="D487" s="27">
        <v>43342</v>
      </c>
      <c r="E487" s="26">
        <v>158.86000000000001</v>
      </c>
      <c r="F487" s="26" t="s">
        <v>1315</v>
      </c>
      <c r="G487" s="26" t="s">
        <v>8</v>
      </c>
      <c r="H487" s="26" t="s">
        <v>1316</v>
      </c>
      <c r="I487" s="26" t="s">
        <v>106</v>
      </c>
      <c r="J487" s="26">
        <v>0</v>
      </c>
      <c r="K487" s="8" t="str">
        <f t="shared" si="7"/>
        <v>BOECLRD1</v>
      </c>
    </row>
    <row r="488" spans="1:11" x14ac:dyDescent="0.25">
      <c r="A488" s="26" t="s">
        <v>116</v>
      </c>
      <c r="B488" s="26" t="s">
        <v>111</v>
      </c>
      <c r="C488" s="26">
        <v>0</v>
      </c>
      <c r="D488" s="27">
        <v>43343</v>
      </c>
      <c r="E488" s="26">
        <v>397.14</v>
      </c>
      <c r="F488" s="26" t="s">
        <v>1317</v>
      </c>
      <c r="G488" s="26" t="s">
        <v>8</v>
      </c>
      <c r="H488" s="26" t="s">
        <v>1318</v>
      </c>
      <c r="I488" s="26" t="s">
        <v>106</v>
      </c>
      <c r="J488" s="26">
        <v>0</v>
      </c>
      <c r="K488" s="8" t="str">
        <f t="shared" si="7"/>
        <v>BOECLRD1</v>
      </c>
    </row>
    <row r="489" spans="1:11" x14ac:dyDescent="0.25">
      <c r="A489" s="26" t="s">
        <v>116</v>
      </c>
      <c r="B489" s="26" t="s">
        <v>111</v>
      </c>
      <c r="C489" s="26">
        <v>0</v>
      </c>
      <c r="D489" s="27">
        <v>43343</v>
      </c>
      <c r="E489" s="26">
        <v>158.86000000000001</v>
      </c>
      <c r="F489" s="26" t="s">
        <v>1319</v>
      </c>
      <c r="G489" s="26" t="s">
        <v>8</v>
      </c>
      <c r="H489" s="26" t="s">
        <v>1320</v>
      </c>
      <c r="I489" s="26" t="s">
        <v>106</v>
      </c>
      <c r="J489" s="26">
        <v>0</v>
      </c>
      <c r="K489" s="8" t="str">
        <f t="shared" si="7"/>
        <v>BOECLRD1</v>
      </c>
    </row>
    <row r="490" spans="1:11" x14ac:dyDescent="0.25">
      <c r="A490" s="26" t="s">
        <v>116</v>
      </c>
      <c r="B490" s="26" t="s">
        <v>111</v>
      </c>
      <c r="C490" s="26">
        <v>0</v>
      </c>
      <c r="D490" s="27">
        <v>43346</v>
      </c>
      <c r="E490" s="26">
        <v>1270.8499999999999</v>
      </c>
      <c r="F490" s="26" t="s">
        <v>1321</v>
      </c>
      <c r="G490" s="26" t="s">
        <v>8</v>
      </c>
      <c r="H490" s="26" t="s">
        <v>1322</v>
      </c>
      <c r="I490" s="26" t="s">
        <v>106</v>
      </c>
      <c r="J490" s="26">
        <v>0</v>
      </c>
      <c r="K490" s="8" t="str">
        <f t="shared" si="7"/>
        <v>BOECLRD1</v>
      </c>
    </row>
    <row r="491" spans="1:11" x14ac:dyDescent="0.25">
      <c r="A491" s="26" t="s">
        <v>116</v>
      </c>
      <c r="B491" s="26" t="s">
        <v>111</v>
      </c>
      <c r="C491" s="26">
        <v>0</v>
      </c>
      <c r="D491" s="27">
        <v>43349</v>
      </c>
      <c r="E491" s="26">
        <v>238.28</v>
      </c>
      <c r="F491" s="26" t="s">
        <v>1323</v>
      </c>
      <c r="G491" s="26" t="s">
        <v>8</v>
      </c>
      <c r="H491" s="26" t="s">
        <v>1324</v>
      </c>
      <c r="I491" s="26" t="s">
        <v>106</v>
      </c>
      <c r="J491" s="26">
        <v>0</v>
      </c>
      <c r="K491" s="8" t="str">
        <f t="shared" si="7"/>
        <v>BOECLRD1</v>
      </c>
    </row>
    <row r="492" spans="1:11" x14ac:dyDescent="0.25">
      <c r="A492" s="26" t="s">
        <v>116</v>
      </c>
      <c r="B492" s="26" t="s">
        <v>111</v>
      </c>
      <c r="C492" s="26">
        <v>0</v>
      </c>
      <c r="D492" s="27">
        <v>43350</v>
      </c>
      <c r="E492" s="26">
        <v>714.85</v>
      </c>
      <c r="F492" s="26" t="s">
        <v>1325</v>
      </c>
      <c r="G492" s="26" t="s">
        <v>8</v>
      </c>
      <c r="H492" s="26" t="s">
        <v>1326</v>
      </c>
      <c r="I492" s="26" t="s">
        <v>106</v>
      </c>
      <c r="J492" s="26">
        <v>0</v>
      </c>
      <c r="K492" s="8" t="str">
        <f t="shared" si="7"/>
        <v>BOECLRD1</v>
      </c>
    </row>
    <row r="493" spans="1:11" x14ac:dyDescent="0.25">
      <c r="A493" s="26" t="s">
        <v>116</v>
      </c>
      <c r="B493" s="26" t="s">
        <v>111</v>
      </c>
      <c r="C493" s="26">
        <v>0</v>
      </c>
      <c r="D493" s="27">
        <v>43350</v>
      </c>
      <c r="E493" s="26">
        <v>238.28</v>
      </c>
      <c r="F493" s="26" t="s">
        <v>1327</v>
      </c>
      <c r="G493" s="26" t="s">
        <v>8</v>
      </c>
      <c r="H493" s="26" t="s">
        <v>1328</v>
      </c>
      <c r="I493" s="26" t="s">
        <v>106</v>
      </c>
      <c r="J493" s="26">
        <v>0</v>
      </c>
      <c r="K493" s="8" t="str">
        <f t="shared" si="7"/>
        <v>BOECLRD1</v>
      </c>
    </row>
    <row r="494" spans="1:11" x14ac:dyDescent="0.25">
      <c r="A494" s="26" t="s">
        <v>116</v>
      </c>
      <c r="B494" s="26" t="s">
        <v>111</v>
      </c>
      <c r="C494" s="26">
        <v>0</v>
      </c>
      <c r="D494" s="27">
        <v>43350</v>
      </c>
      <c r="E494" s="26">
        <v>635.41999999999996</v>
      </c>
      <c r="F494" s="26" t="s">
        <v>1329</v>
      </c>
      <c r="G494" s="26" t="s">
        <v>8</v>
      </c>
      <c r="H494" s="26" t="s">
        <v>1330</v>
      </c>
      <c r="I494" s="26" t="s">
        <v>106</v>
      </c>
      <c r="J494" s="26">
        <v>0</v>
      </c>
      <c r="K494" s="8" t="str">
        <f t="shared" si="7"/>
        <v>BOECLRD1</v>
      </c>
    </row>
    <row r="495" spans="1:11" x14ac:dyDescent="0.25">
      <c r="A495" s="26" t="s">
        <v>116</v>
      </c>
      <c r="B495" s="26" t="s">
        <v>111</v>
      </c>
      <c r="C495" s="26">
        <v>0</v>
      </c>
      <c r="D495" s="27">
        <v>43353</v>
      </c>
      <c r="E495" s="26">
        <v>79.430000000000007</v>
      </c>
      <c r="F495" s="26" t="s">
        <v>1331</v>
      </c>
      <c r="G495" s="26" t="s">
        <v>8</v>
      </c>
      <c r="H495" s="26" t="s">
        <v>1332</v>
      </c>
      <c r="I495" s="26" t="s">
        <v>106</v>
      </c>
      <c r="J495" s="26">
        <v>0</v>
      </c>
      <c r="K495" s="8" t="str">
        <f t="shared" si="7"/>
        <v>BOECLRD1</v>
      </c>
    </row>
    <row r="496" spans="1:11" x14ac:dyDescent="0.25">
      <c r="A496" s="26" t="s">
        <v>116</v>
      </c>
      <c r="B496" s="26" t="s">
        <v>111</v>
      </c>
      <c r="C496" s="26">
        <v>0</v>
      </c>
      <c r="D496" s="27">
        <v>43356</v>
      </c>
      <c r="E496" s="26">
        <v>79.430000000000007</v>
      </c>
      <c r="F496" s="26" t="s">
        <v>1333</v>
      </c>
      <c r="G496" s="26" t="s">
        <v>8</v>
      </c>
      <c r="H496" s="26" t="s">
        <v>1334</v>
      </c>
      <c r="I496" s="26" t="s">
        <v>106</v>
      </c>
      <c r="J496" s="26">
        <v>0</v>
      </c>
      <c r="K496" s="8" t="str">
        <f t="shared" si="7"/>
        <v>BOECLRD1</v>
      </c>
    </row>
    <row r="497" spans="1:11" x14ac:dyDescent="0.25">
      <c r="A497" s="26" t="s">
        <v>116</v>
      </c>
      <c r="B497" s="26" t="s">
        <v>111</v>
      </c>
      <c r="C497" s="26">
        <v>0</v>
      </c>
      <c r="D497" s="27">
        <v>43357</v>
      </c>
      <c r="E497" s="26">
        <v>79.430000000000007</v>
      </c>
      <c r="F497" s="26" t="s">
        <v>1335</v>
      </c>
      <c r="G497" s="26" t="s">
        <v>8</v>
      </c>
      <c r="H497" s="26" t="s">
        <v>1336</v>
      </c>
      <c r="I497" s="26" t="s">
        <v>106</v>
      </c>
      <c r="J497" s="26">
        <v>0</v>
      </c>
      <c r="K497" s="8" t="str">
        <f t="shared" si="7"/>
        <v>BOECLRD1</v>
      </c>
    </row>
    <row r="498" spans="1:11" x14ac:dyDescent="0.25">
      <c r="A498" s="26" t="s">
        <v>116</v>
      </c>
      <c r="B498" s="26" t="s">
        <v>111</v>
      </c>
      <c r="C498" s="26">
        <v>0</v>
      </c>
      <c r="D498" s="27">
        <v>43357</v>
      </c>
      <c r="E498" s="26">
        <v>158.86000000000001</v>
      </c>
      <c r="F498" s="26" t="s">
        <v>1337</v>
      </c>
      <c r="G498" s="26" t="s">
        <v>8</v>
      </c>
      <c r="H498" s="26" t="s">
        <v>1338</v>
      </c>
      <c r="I498" s="26" t="s">
        <v>106</v>
      </c>
      <c r="J498" s="26">
        <v>0</v>
      </c>
      <c r="K498" s="8" t="str">
        <f t="shared" si="7"/>
        <v>BOECLRD1</v>
      </c>
    </row>
    <row r="499" spans="1:11" x14ac:dyDescent="0.25">
      <c r="A499" s="26" t="s">
        <v>116</v>
      </c>
      <c r="B499" s="26" t="s">
        <v>111</v>
      </c>
      <c r="C499" s="26">
        <v>0</v>
      </c>
      <c r="D499" s="27">
        <v>43357</v>
      </c>
      <c r="E499" s="26">
        <v>79.430000000000007</v>
      </c>
      <c r="F499" s="26" t="s">
        <v>1339</v>
      </c>
      <c r="G499" s="26" t="s">
        <v>8</v>
      </c>
      <c r="H499" s="26" t="s">
        <v>1340</v>
      </c>
      <c r="I499" s="26" t="s">
        <v>106</v>
      </c>
      <c r="J499" s="26">
        <v>0</v>
      </c>
      <c r="K499" s="8" t="str">
        <f t="shared" si="7"/>
        <v>BOECLRD1</v>
      </c>
    </row>
    <row r="500" spans="1:11" x14ac:dyDescent="0.25">
      <c r="A500" s="26" t="s">
        <v>116</v>
      </c>
      <c r="B500" s="26" t="s">
        <v>111</v>
      </c>
      <c r="C500" s="26">
        <v>0</v>
      </c>
      <c r="D500" s="27">
        <v>43360</v>
      </c>
      <c r="E500" s="26">
        <v>79.430000000000007</v>
      </c>
      <c r="F500" s="26" t="s">
        <v>1341</v>
      </c>
      <c r="G500" s="26" t="s">
        <v>8</v>
      </c>
      <c r="H500" s="26" t="s">
        <v>1342</v>
      </c>
      <c r="I500" s="26" t="s">
        <v>106</v>
      </c>
      <c r="J500" s="26">
        <v>0</v>
      </c>
      <c r="K500" s="8" t="str">
        <f t="shared" si="7"/>
        <v>BOECLRD1</v>
      </c>
    </row>
    <row r="501" spans="1:11" x14ac:dyDescent="0.25">
      <c r="A501" s="26" t="s">
        <v>132</v>
      </c>
      <c r="B501" s="26" t="s">
        <v>111</v>
      </c>
      <c r="C501" s="26">
        <v>0</v>
      </c>
      <c r="D501" s="27">
        <v>43244</v>
      </c>
      <c r="E501" s="26">
        <v>137807.78</v>
      </c>
      <c r="F501" s="26" t="s">
        <v>1343</v>
      </c>
      <c r="G501" s="26" t="s">
        <v>8</v>
      </c>
      <c r="H501" s="26" t="s">
        <v>1344</v>
      </c>
      <c r="I501" s="26" t="s">
        <v>106</v>
      </c>
      <c r="J501" s="26">
        <v>0</v>
      </c>
      <c r="K501" s="8" t="str">
        <f t="shared" si="7"/>
        <v>BROADCAST</v>
      </c>
    </row>
    <row r="502" spans="1:11" x14ac:dyDescent="0.25">
      <c r="A502" s="26" t="s">
        <v>132</v>
      </c>
      <c r="B502" s="26" t="s">
        <v>111</v>
      </c>
      <c r="C502" s="26">
        <v>0</v>
      </c>
      <c r="D502" s="27">
        <v>43251</v>
      </c>
      <c r="E502" s="26">
        <v>12629.07</v>
      </c>
      <c r="F502" s="26" t="s">
        <v>1345</v>
      </c>
      <c r="G502" s="26" t="s">
        <v>8</v>
      </c>
      <c r="H502" s="26" t="s">
        <v>1346</v>
      </c>
      <c r="I502" s="26" t="s">
        <v>106</v>
      </c>
      <c r="J502" s="26">
        <v>0</v>
      </c>
      <c r="K502" s="8" t="str">
        <f t="shared" si="7"/>
        <v>BROADCAST</v>
      </c>
    </row>
    <row r="503" spans="1:11" x14ac:dyDescent="0.25">
      <c r="A503" s="26" t="s">
        <v>132</v>
      </c>
      <c r="B503" s="26" t="s">
        <v>111</v>
      </c>
      <c r="C503" s="26">
        <v>0</v>
      </c>
      <c r="D503" s="27">
        <v>43259</v>
      </c>
      <c r="E503" s="26">
        <v>20889.59</v>
      </c>
      <c r="F503" s="26" t="s">
        <v>1347</v>
      </c>
      <c r="G503" s="26" t="s">
        <v>8</v>
      </c>
      <c r="H503" s="26" t="s">
        <v>1348</v>
      </c>
      <c r="I503" s="26" t="s">
        <v>106</v>
      </c>
      <c r="J503" s="26">
        <v>0</v>
      </c>
      <c r="K503" s="8" t="str">
        <f t="shared" si="7"/>
        <v>BROADCAST</v>
      </c>
    </row>
    <row r="504" spans="1:11" x14ac:dyDescent="0.25">
      <c r="A504" s="26" t="s">
        <v>132</v>
      </c>
      <c r="B504" s="26" t="s">
        <v>111</v>
      </c>
      <c r="C504" s="26">
        <v>0</v>
      </c>
      <c r="D504" s="27">
        <v>43269</v>
      </c>
      <c r="E504" s="26">
        <v>26211.279999999999</v>
      </c>
      <c r="F504" s="26" t="s">
        <v>1349</v>
      </c>
      <c r="G504" s="26" t="s">
        <v>8</v>
      </c>
      <c r="H504" s="26" t="s">
        <v>1350</v>
      </c>
      <c r="I504" s="26" t="s">
        <v>106</v>
      </c>
      <c r="J504" s="26">
        <v>0</v>
      </c>
      <c r="K504" s="8" t="str">
        <f t="shared" si="7"/>
        <v>BROADCAST</v>
      </c>
    </row>
    <row r="505" spans="1:11" x14ac:dyDescent="0.25">
      <c r="A505" s="26" t="s">
        <v>132</v>
      </c>
      <c r="B505" s="26" t="s">
        <v>111</v>
      </c>
      <c r="C505" s="26">
        <v>0</v>
      </c>
      <c r="D505" s="27">
        <v>43272</v>
      </c>
      <c r="E505" s="26">
        <v>131294.68</v>
      </c>
      <c r="F505" s="26" t="s">
        <v>1351</v>
      </c>
      <c r="G505" s="26" t="s">
        <v>8</v>
      </c>
      <c r="H505" s="26" t="s">
        <v>1352</v>
      </c>
      <c r="I505" s="26" t="s">
        <v>106</v>
      </c>
      <c r="J505" s="26">
        <v>0</v>
      </c>
      <c r="K505" s="8" t="str">
        <f t="shared" si="7"/>
        <v>BROADCAST</v>
      </c>
    </row>
    <row r="506" spans="1:11" x14ac:dyDescent="0.25">
      <c r="A506" s="26" t="s">
        <v>132</v>
      </c>
      <c r="B506" s="26" t="s">
        <v>111</v>
      </c>
      <c r="C506" s="26">
        <v>0</v>
      </c>
      <c r="D506" s="27">
        <v>43280</v>
      </c>
      <c r="E506" s="26">
        <v>15885.62</v>
      </c>
      <c r="F506" s="26" t="s">
        <v>1353</v>
      </c>
      <c r="G506" s="26" t="s">
        <v>8</v>
      </c>
      <c r="H506" s="26" t="s">
        <v>1354</v>
      </c>
      <c r="I506" s="26" t="s">
        <v>106</v>
      </c>
      <c r="J506" s="26">
        <v>0</v>
      </c>
      <c r="K506" s="8" t="str">
        <f t="shared" si="7"/>
        <v>BROADCAST</v>
      </c>
    </row>
    <row r="507" spans="1:11" x14ac:dyDescent="0.25">
      <c r="A507" s="26" t="s">
        <v>132</v>
      </c>
      <c r="B507" s="26" t="s">
        <v>111</v>
      </c>
      <c r="C507" s="26">
        <v>0</v>
      </c>
      <c r="D507" s="27">
        <v>43293</v>
      </c>
      <c r="E507" s="26">
        <v>20015.89</v>
      </c>
      <c r="F507" s="26" t="s">
        <v>1355</v>
      </c>
      <c r="G507" s="26" t="s">
        <v>8</v>
      </c>
      <c r="H507" s="26" t="s">
        <v>1356</v>
      </c>
      <c r="I507" s="26" t="s">
        <v>106</v>
      </c>
      <c r="J507" s="26">
        <v>0</v>
      </c>
      <c r="K507" s="8" t="str">
        <f t="shared" si="7"/>
        <v>BROADCAST</v>
      </c>
    </row>
    <row r="508" spans="1:11" x14ac:dyDescent="0.25">
      <c r="A508" s="26" t="s">
        <v>132</v>
      </c>
      <c r="B508" s="26" t="s">
        <v>111</v>
      </c>
      <c r="C508" s="26">
        <v>0</v>
      </c>
      <c r="D508" s="27">
        <v>43297</v>
      </c>
      <c r="E508" s="26">
        <v>26131.85</v>
      </c>
      <c r="F508" s="26" t="s">
        <v>1357</v>
      </c>
      <c r="G508" s="26" t="s">
        <v>8</v>
      </c>
      <c r="H508" s="26" t="s">
        <v>1358</v>
      </c>
      <c r="I508" s="26" t="s">
        <v>106</v>
      </c>
      <c r="J508" s="26">
        <v>0</v>
      </c>
      <c r="K508" s="8" t="str">
        <f t="shared" si="7"/>
        <v>BROADCAST</v>
      </c>
    </row>
    <row r="509" spans="1:11" x14ac:dyDescent="0.25">
      <c r="A509" s="26" t="s">
        <v>132</v>
      </c>
      <c r="B509" s="26" t="s">
        <v>111</v>
      </c>
      <c r="C509" s="26">
        <v>0</v>
      </c>
      <c r="D509" s="27">
        <v>43300</v>
      </c>
      <c r="E509" s="26">
        <v>135345.51</v>
      </c>
      <c r="F509" s="26" t="s">
        <v>1359</v>
      </c>
      <c r="G509" s="26" t="s">
        <v>8</v>
      </c>
      <c r="H509" s="26" t="s">
        <v>1360</v>
      </c>
      <c r="I509" s="26" t="s">
        <v>106</v>
      </c>
      <c r="J509" s="26">
        <v>0</v>
      </c>
      <c r="K509" s="8" t="str">
        <f t="shared" si="7"/>
        <v>BROADCAST</v>
      </c>
    </row>
    <row r="510" spans="1:11" x14ac:dyDescent="0.25">
      <c r="A510" s="26" t="s">
        <v>132</v>
      </c>
      <c r="B510" s="26" t="s">
        <v>111</v>
      </c>
      <c r="C510" s="26">
        <v>0</v>
      </c>
      <c r="D510" s="27">
        <v>43308</v>
      </c>
      <c r="E510" s="26">
        <v>14773.63</v>
      </c>
      <c r="F510" s="26" t="s">
        <v>1361</v>
      </c>
      <c r="G510" s="26" t="s">
        <v>8</v>
      </c>
      <c r="H510" s="26" t="s">
        <v>1362</v>
      </c>
      <c r="I510" s="26" t="s">
        <v>106</v>
      </c>
      <c r="J510" s="26">
        <v>0</v>
      </c>
      <c r="K510" s="8" t="str">
        <f t="shared" si="7"/>
        <v>BROADCAST</v>
      </c>
    </row>
    <row r="511" spans="1:11" x14ac:dyDescent="0.25">
      <c r="A511" s="26" t="s">
        <v>132</v>
      </c>
      <c r="B511" s="26" t="s">
        <v>111</v>
      </c>
      <c r="C511" s="26">
        <v>0</v>
      </c>
      <c r="D511" s="27">
        <v>43321</v>
      </c>
      <c r="E511" s="26">
        <v>20254.169999999998</v>
      </c>
      <c r="F511" s="26" t="s">
        <v>1363</v>
      </c>
      <c r="G511" s="26" t="s">
        <v>8</v>
      </c>
      <c r="H511" s="26" t="s">
        <v>1364</v>
      </c>
      <c r="I511" s="26" t="s">
        <v>106</v>
      </c>
      <c r="J511" s="26">
        <v>0</v>
      </c>
      <c r="K511" s="8" t="str">
        <f t="shared" si="7"/>
        <v>BROADCAST</v>
      </c>
    </row>
    <row r="512" spans="1:11" x14ac:dyDescent="0.25">
      <c r="A512" s="26" t="s">
        <v>132</v>
      </c>
      <c r="B512" s="26" t="s">
        <v>111</v>
      </c>
      <c r="C512" s="26">
        <v>0</v>
      </c>
      <c r="D512" s="27">
        <v>43329</v>
      </c>
      <c r="E512" s="26">
        <v>26211.279999999999</v>
      </c>
      <c r="F512" s="26" t="s">
        <v>1365</v>
      </c>
      <c r="G512" s="26" t="s">
        <v>8</v>
      </c>
      <c r="H512" s="26" t="s">
        <v>1366</v>
      </c>
      <c r="I512" s="26" t="s">
        <v>106</v>
      </c>
      <c r="J512" s="26">
        <v>0</v>
      </c>
      <c r="K512" s="8" t="str">
        <f t="shared" si="7"/>
        <v>BROADCAST</v>
      </c>
    </row>
    <row r="513" spans="1:11" x14ac:dyDescent="0.25">
      <c r="A513" s="26" t="s">
        <v>132</v>
      </c>
      <c r="B513" s="26" t="s">
        <v>111</v>
      </c>
      <c r="C513" s="26">
        <v>0</v>
      </c>
      <c r="D513" s="27">
        <v>43342</v>
      </c>
      <c r="E513" s="26">
        <v>10405.08</v>
      </c>
      <c r="F513" s="26" t="s">
        <v>1367</v>
      </c>
      <c r="G513" s="26" t="s">
        <v>8</v>
      </c>
      <c r="H513" s="26" t="s">
        <v>1368</v>
      </c>
      <c r="I513" s="26" t="s">
        <v>106</v>
      </c>
      <c r="J513" s="26">
        <v>0</v>
      </c>
      <c r="K513" s="8" t="str">
        <f t="shared" si="7"/>
        <v>BROADCAST</v>
      </c>
    </row>
    <row r="514" spans="1:11" x14ac:dyDescent="0.25">
      <c r="A514" s="26" t="s">
        <v>132</v>
      </c>
      <c r="B514" s="26" t="s">
        <v>111</v>
      </c>
      <c r="C514" s="26">
        <v>0</v>
      </c>
      <c r="D514" s="27">
        <v>43350</v>
      </c>
      <c r="E514" s="26">
        <v>16679.900000000001</v>
      </c>
      <c r="F514" s="26" t="s">
        <v>1369</v>
      </c>
      <c r="G514" s="26" t="s">
        <v>8</v>
      </c>
      <c r="H514" s="26" t="s">
        <v>1370</v>
      </c>
      <c r="I514" s="26" t="s">
        <v>106</v>
      </c>
      <c r="J514" s="26">
        <v>0</v>
      </c>
      <c r="K514" s="8" t="str">
        <f t="shared" si="7"/>
        <v>BROADCAST</v>
      </c>
    </row>
    <row r="515" spans="1:11" x14ac:dyDescent="0.25">
      <c r="A515" s="26" t="s">
        <v>132</v>
      </c>
      <c r="B515" s="26" t="s">
        <v>111</v>
      </c>
      <c r="C515" s="26">
        <v>0</v>
      </c>
      <c r="D515" s="27">
        <v>43360</v>
      </c>
      <c r="E515" s="26">
        <v>22239.87</v>
      </c>
      <c r="F515" s="26" t="s">
        <v>1371</v>
      </c>
      <c r="G515" s="26" t="s">
        <v>8</v>
      </c>
      <c r="H515" s="26" t="s">
        <v>1372</v>
      </c>
      <c r="I515" s="26" t="s">
        <v>106</v>
      </c>
      <c r="J515" s="26">
        <v>0</v>
      </c>
      <c r="K515" s="8" t="str">
        <f t="shared" ref="K515:K578" si="8">LEFT(A515,FIND("/",A515)-1)</f>
        <v>BROADCAST</v>
      </c>
    </row>
    <row r="516" spans="1:11" x14ac:dyDescent="0.25">
      <c r="A516" s="26" t="s">
        <v>122</v>
      </c>
      <c r="B516" s="26" t="s">
        <v>111</v>
      </c>
      <c r="C516" s="26">
        <v>0</v>
      </c>
      <c r="D516" s="27">
        <v>43251</v>
      </c>
      <c r="E516" s="26">
        <v>-794.28</v>
      </c>
      <c r="F516" s="26" t="s">
        <v>1373</v>
      </c>
      <c r="G516" s="26" t="s">
        <v>8</v>
      </c>
      <c r="H516" s="26" t="s">
        <v>1374</v>
      </c>
      <c r="I516" s="26" t="s">
        <v>106</v>
      </c>
      <c r="J516" s="26">
        <v>0</v>
      </c>
      <c r="K516" s="8" t="str">
        <f t="shared" si="8"/>
        <v>CHAPSPAYM</v>
      </c>
    </row>
    <row r="517" spans="1:11" x14ac:dyDescent="0.25">
      <c r="A517" s="26" t="s">
        <v>122</v>
      </c>
      <c r="B517" s="26" t="s">
        <v>111</v>
      </c>
      <c r="C517" s="26">
        <v>0</v>
      </c>
      <c r="D517" s="27">
        <v>43252</v>
      </c>
      <c r="E517" s="26">
        <v>-79.430000000000007</v>
      </c>
      <c r="F517" s="26" t="s">
        <v>1375</v>
      </c>
      <c r="G517" s="26" t="s">
        <v>8</v>
      </c>
      <c r="H517" s="26" t="s">
        <v>1376</v>
      </c>
      <c r="I517" s="26" t="s">
        <v>106</v>
      </c>
      <c r="J517" s="26">
        <v>0</v>
      </c>
      <c r="K517" s="8" t="str">
        <f t="shared" si="8"/>
        <v>CHAPSPAYM</v>
      </c>
    </row>
    <row r="518" spans="1:11" x14ac:dyDescent="0.25">
      <c r="A518" s="26" t="s">
        <v>122</v>
      </c>
      <c r="B518" s="26" t="s">
        <v>111</v>
      </c>
      <c r="C518" s="26">
        <v>0</v>
      </c>
      <c r="D518" s="27">
        <v>43252</v>
      </c>
      <c r="E518" s="26">
        <v>-7148.53</v>
      </c>
      <c r="F518" s="26" t="s">
        <v>1377</v>
      </c>
      <c r="G518" s="26" t="s">
        <v>8</v>
      </c>
      <c r="H518" s="26" t="s">
        <v>1378</v>
      </c>
      <c r="I518" s="26" t="s">
        <v>106</v>
      </c>
      <c r="J518" s="26">
        <v>0</v>
      </c>
      <c r="K518" s="8" t="str">
        <f t="shared" si="8"/>
        <v>CHAPSPAYM</v>
      </c>
    </row>
    <row r="519" spans="1:11" x14ac:dyDescent="0.25">
      <c r="A519" s="26" t="s">
        <v>122</v>
      </c>
      <c r="B519" s="26" t="s">
        <v>111</v>
      </c>
      <c r="C519" s="26">
        <v>0</v>
      </c>
      <c r="D519" s="27">
        <v>43255</v>
      </c>
      <c r="E519" s="26">
        <v>-317.70999999999998</v>
      </c>
      <c r="F519" s="26" t="s">
        <v>1379</v>
      </c>
      <c r="G519" s="26" t="s">
        <v>8</v>
      </c>
      <c r="H519" s="26" t="s">
        <v>1380</v>
      </c>
      <c r="I519" s="26" t="s">
        <v>106</v>
      </c>
      <c r="J519" s="26">
        <v>0</v>
      </c>
      <c r="K519" s="8" t="str">
        <f t="shared" si="8"/>
        <v>CHAPSPAYM</v>
      </c>
    </row>
    <row r="520" spans="1:11" x14ac:dyDescent="0.25">
      <c r="A520" s="26" t="s">
        <v>122</v>
      </c>
      <c r="B520" s="26" t="s">
        <v>111</v>
      </c>
      <c r="C520" s="26">
        <v>0</v>
      </c>
      <c r="D520" s="27">
        <v>43258</v>
      </c>
      <c r="E520" s="26">
        <v>-158.86000000000001</v>
      </c>
      <c r="F520" s="26" t="s">
        <v>1381</v>
      </c>
      <c r="G520" s="26" t="s">
        <v>8</v>
      </c>
      <c r="H520" s="26" t="s">
        <v>1382</v>
      </c>
      <c r="I520" s="26" t="s">
        <v>106</v>
      </c>
      <c r="J520" s="26">
        <v>0</v>
      </c>
      <c r="K520" s="8" t="str">
        <f t="shared" si="8"/>
        <v>CHAPSPAYM</v>
      </c>
    </row>
    <row r="521" spans="1:11" x14ac:dyDescent="0.25">
      <c r="A521" s="26" t="s">
        <v>122</v>
      </c>
      <c r="B521" s="26" t="s">
        <v>111</v>
      </c>
      <c r="C521" s="26">
        <v>0</v>
      </c>
      <c r="D521" s="27">
        <v>43262</v>
      </c>
      <c r="E521" s="26">
        <v>-191977.76</v>
      </c>
      <c r="F521" s="26" t="s">
        <v>1383</v>
      </c>
      <c r="G521" s="26" t="s">
        <v>8</v>
      </c>
      <c r="H521" s="26" t="s">
        <v>1384</v>
      </c>
      <c r="I521" s="26" t="s">
        <v>106</v>
      </c>
      <c r="J521" s="26">
        <v>0</v>
      </c>
      <c r="K521" s="8" t="str">
        <f t="shared" si="8"/>
        <v>CHAPSPAYM</v>
      </c>
    </row>
    <row r="522" spans="1:11" x14ac:dyDescent="0.25">
      <c r="A522" s="26" t="s">
        <v>122</v>
      </c>
      <c r="B522" s="26" t="s">
        <v>111</v>
      </c>
      <c r="C522" s="26">
        <v>0</v>
      </c>
      <c r="D522" s="27">
        <v>43266</v>
      </c>
      <c r="E522" s="26">
        <v>-3415.41</v>
      </c>
      <c r="F522" s="26" t="s">
        <v>1385</v>
      </c>
      <c r="G522" s="26" t="s">
        <v>8</v>
      </c>
      <c r="H522" s="26" t="s">
        <v>1386</v>
      </c>
      <c r="I522" s="26" t="s">
        <v>106</v>
      </c>
      <c r="J522" s="26">
        <v>0</v>
      </c>
      <c r="K522" s="8" t="str">
        <f t="shared" si="8"/>
        <v>CHAPSPAYM</v>
      </c>
    </row>
    <row r="523" spans="1:11" x14ac:dyDescent="0.25">
      <c r="A523" s="26" t="s">
        <v>122</v>
      </c>
      <c r="B523" s="26" t="s">
        <v>111</v>
      </c>
      <c r="C523" s="26">
        <v>0</v>
      </c>
      <c r="D523" s="27">
        <v>43266</v>
      </c>
      <c r="E523" s="26">
        <v>-4050.83</v>
      </c>
      <c r="F523" s="26" t="s">
        <v>1387</v>
      </c>
      <c r="G523" s="26" t="s">
        <v>8</v>
      </c>
      <c r="H523" s="26" t="s">
        <v>1388</v>
      </c>
      <c r="I523" s="26" t="s">
        <v>106</v>
      </c>
      <c r="J523" s="26">
        <v>0</v>
      </c>
      <c r="K523" s="8" t="str">
        <f t="shared" si="8"/>
        <v>CHAPSPAYM</v>
      </c>
    </row>
    <row r="524" spans="1:11" x14ac:dyDescent="0.25">
      <c r="A524" s="26" t="s">
        <v>122</v>
      </c>
      <c r="B524" s="26" t="s">
        <v>111</v>
      </c>
      <c r="C524" s="26">
        <v>0</v>
      </c>
      <c r="D524" s="27">
        <v>43269</v>
      </c>
      <c r="E524" s="26">
        <v>-196187.45</v>
      </c>
      <c r="F524" s="26" t="s">
        <v>1389</v>
      </c>
      <c r="G524" s="26" t="s">
        <v>8</v>
      </c>
      <c r="H524" s="26" t="s">
        <v>1390</v>
      </c>
      <c r="I524" s="26" t="s">
        <v>106</v>
      </c>
      <c r="J524" s="26">
        <v>0</v>
      </c>
      <c r="K524" s="8" t="str">
        <f t="shared" si="8"/>
        <v>CHAPSPAYM</v>
      </c>
    </row>
    <row r="525" spans="1:11" x14ac:dyDescent="0.25">
      <c r="A525" s="26" t="s">
        <v>122</v>
      </c>
      <c r="B525" s="26" t="s">
        <v>111</v>
      </c>
      <c r="C525" s="26">
        <v>0</v>
      </c>
      <c r="D525" s="27">
        <v>43273</v>
      </c>
      <c r="E525" s="26">
        <v>-4130.26</v>
      </c>
      <c r="F525" s="26" t="s">
        <v>1391</v>
      </c>
      <c r="G525" s="26" t="s">
        <v>8</v>
      </c>
      <c r="H525" s="26" t="s">
        <v>1392</v>
      </c>
      <c r="I525" s="26" t="s">
        <v>106</v>
      </c>
      <c r="J525" s="26">
        <v>0</v>
      </c>
      <c r="K525" s="8" t="str">
        <f t="shared" si="8"/>
        <v>CHAPSPAYM</v>
      </c>
    </row>
    <row r="526" spans="1:11" x14ac:dyDescent="0.25">
      <c r="A526" s="26" t="s">
        <v>122</v>
      </c>
      <c r="B526" s="26" t="s">
        <v>111</v>
      </c>
      <c r="C526" s="26">
        <v>0</v>
      </c>
      <c r="D526" s="27">
        <v>43276</v>
      </c>
      <c r="E526" s="26">
        <v>-1032.57</v>
      </c>
      <c r="F526" s="26" t="s">
        <v>1393</v>
      </c>
      <c r="G526" s="26" t="s">
        <v>8</v>
      </c>
      <c r="H526" s="26" t="s">
        <v>1394</v>
      </c>
      <c r="I526" s="26" t="s">
        <v>106</v>
      </c>
      <c r="J526" s="26">
        <v>0</v>
      </c>
      <c r="K526" s="8" t="str">
        <f t="shared" si="8"/>
        <v>CHAPSPAYM</v>
      </c>
    </row>
    <row r="527" spans="1:11" x14ac:dyDescent="0.25">
      <c r="A527" s="26" t="s">
        <v>122</v>
      </c>
      <c r="B527" s="26" t="s">
        <v>111</v>
      </c>
      <c r="C527" s="26">
        <v>0</v>
      </c>
      <c r="D527" s="27">
        <v>43280</v>
      </c>
      <c r="E527" s="26">
        <v>-4289.12</v>
      </c>
      <c r="F527" s="26" t="s">
        <v>1395</v>
      </c>
      <c r="G527" s="26" t="s">
        <v>8</v>
      </c>
      <c r="H527" s="26" t="s">
        <v>1396</v>
      </c>
      <c r="I527" s="26" t="s">
        <v>106</v>
      </c>
      <c r="J527" s="26">
        <v>0</v>
      </c>
      <c r="K527" s="8" t="str">
        <f t="shared" si="8"/>
        <v>CHAPSPAYM</v>
      </c>
    </row>
    <row r="528" spans="1:11" x14ac:dyDescent="0.25">
      <c r="A528" s="26" t="s">
        <v>122</v>
      </c>
      <c r="B528" s="26" t="s">
        <v>111</v>
      </c>
      <c r="C528" s="26">
        <v>0</v>
      </c>
      <c r="D528" s="27">
        <v>43280</v>
      </c>
      <c r="E528" s="26">
        <v>-12390.79</v>
      </c>
      <c r="F528" s="26" t="s">
        <v>1397</v>
      </c>
      <c r="G528" s="26" t="s">
        <v>8</v>
      </c>
      <c r="H528" s="26" t="s">
        <v>1398</v>
      </c>
      <c r="I528" s="26" t="s">
        <v>106</v>
      </c>
      <c r="J528" s="26">
        <v>0</v>
      </c>
      <c r="K528" s="8" t="str">
        <f t="shared" si="8"/>
        <v>CHAPSPAYM</v>
      </c>
    </row>
    <row r="529" spans="1:11" x14ac:dyDescent="0.25">
      <c r="A529" s="26" t="s">
        <v>122</v>
      </c>
      <c r="B529" s="26" t="s">
        <v>111</v>
      </c>
      <c r="C529" s="26">
        <v>0</v>
      </c>
      <c r="D529" s="27">
        <v>43280</v>
      </c>
      <c r="E529" s="26">
        <v>-953.14</v>
      </c>
      <c r="F529" s="26" t="s">
        <v>1399</v>
      </c>
      <c r="G529" s="26" t="s">
        <v>8</v>
      </c>
      <c r="H529" s="26" t="s">
        <v>1400</v>
      </c>
      <c r="I529" s="26" t="s">
        <v>106</v>
      </c>
      <c r="J529" s="26">
        <v>0</v>
      </c>
      <c r="K529" s="8" t="str">
        <f t="shared" si="8"/>
        <v>CHAPSPAYM</v>
      </c>
    </row>
    <row r="530" spans="1:11" x14ac:dyDescent="0.25">
      <c r="A530" s="26" t="s">
        <v>122</v>
      </c>
      <c r="B530" s="26" t="s">
        <v>111</v>
      </c>
      <c r="C530" s="26">
        <v>0</v>
      </c>
      <c r="D530" s="27">
        <v>43283</v>
      </c>
      <c r="E530" s="26">
        <v>-7466.24</v>
      </c>
      <c r="F530" s="26" t="s">
        <v>1401</v>
      </c>
      <c r="G530" s="26" t="s">
        <v>8</v>
      </c>
      <c r="H530" s="26" t="s">
        <v>1402</v>
      </c>
      <c r="I530" s="26" t="s">
        <v>106</v>
      </c>
      <c r="J530" s="26">
        <v>0</v>
      </c>
      <c r="K530" s="8" t="str">
        <f t="shared" si="8"/>
        <v>CHAPSPAYM</v>
      </c>
    </row>
    <row r="531" spans="1:11" x14ac:dyDescent="0.25">
      <c r="A531" s="26" t="s">
        <v>122</v>
      </c>
      <c r="B531" s="26" t="s">
        <v>111</v>
      </c>
      <c r="C531" s="26">
        <v>0</v>
      </c>
      <c r="D531" s="27">
        <v>43286</v>
      </c>
      <c r="E531" s="26">
        <v>-556</v>
      </c>
      <c r="F531" s="26" t="s">
        <v>1403</v>
      </c>
      <c r="G531" s="26" t="s">
        <v>8</v>
      </c>
      <c r="H531" s="26" t="s">
        <v>1404</v>
      </c>
      <c r="I531" s="26" t="s">
        <v>106</v>
      </c>
      <c r="J531" s="26">
        <v>0</v>
      </c>
      <c r="K531" s="8" t="str">
        <f t="shared" si="8"/>
        <v>CHAPSPAYM</v>
      </c>
    </row>
    <row r="532" spans="1:11" x14ac:dyDescent="0.25">
      <c r="A532" s="26" t="s">
        <v>122</v>
      </c>
      <c r="B532" s="26" t="s">
        <v>111</v>
      </c>
      <c r="C532" s="26">
        <v>0</v>
      </c>
      <c r="D532" s="27">
        <v>43287</v>
      </c>
      <c r="E532" s="26">
        <v>-14694.2</v>
      </c>
      <c r="F532" s="26" t="s">
        <v>1405</v>
      </c>
      <c r="G532" s="26" t="s">
        <v>8</v>
      </c>
      <c r="H532" s="26" t="s">
        <v>1406</v>
      </c>
      <c r="I532" s="26" t="s">
        <v>106</v>
      </c>
      <c r="J532" s="26">
        <v>0</v>
      </c>
      <c r="K532" s="8" t="str">
        <f t="shared" si="8"/>
        <v>CHAPSPAYM</v>
      </c>
    </row>
    <row r="533" spans="1:11" x14ac:dyDescent="0.25">
      <c r="A533" s="26" t="s">
        <v>122</v>
      </c>
      <c r="B533" s="26" t="s">
        <v>111</v>
      </c>
      <c r="C533" s="26">
        <v>0</v>
      </c>
      <c r="D533" s="27">
        <v>43287</v>
      </c>
      <c r="E533" s="26">
        <v>-1032.57</v>
      </c>
      <c r="F533" s="26" t="s">
        <v>1407</v>
      </c>
      <c r="G533" s="26" t="s">
        <v>8</v>
      </c>
      <c r="H533" s="26" t="s">
        <v>1408</v>
      </c>
      <c r="I533" s="26" t="s">
        <v>106</v>
      </c>
      <c r="J533" s="26">
        <v>0</v>
      </c>
      <c r="K533" s="8" t="str">
        <f t="shared" si="8"/>
        <v>CHAPSPAYM</v>
      </c>
    </row>
    <row r="534" spans="1:11" x14ac:dyDescent="0.25">
      <c r="A534" s="26" t="s">
        <v>122</v>
      </c>
      <c r="B534" s="26" t="s">
        <v>111</v>
      </c>
      <c r="C534" s="26">
        <v>0</v>
      </c>
      <c r="D534" s="27">
        <v>43287</v>
      </c>
      <c r="E534" s="26">
        <v>-1985.7</v>
      </c>
      <c r="F534" s="26" t="s">
        <v>1409</v>
      </c>
      <c r="G534" s="26" t="s">
        <v>8</v>
      </c>
      <c r="H534" s="26" t="s">
        <v>1410</v>
      </c>
      <c r="I534" s="26" t="s">
        <v>106</v>
      </c>
      <c r="J534" s="26">
        <v>0</v>
      </c>
      <c r="K534" s="8" t="str">
        <f t="shared" si="8"/>
        <v>CHAPSPAYM</v>
      </c>
    </row>
    <row r="535" spans="1:11" x14ac:dyDescent="0.25">
      <c r="A535" s="26" t="s">
        <v>122</v>
      </c>
      <c r="B535" s="26" t="s">
        <v>111</v>
      </c>
      <c r="C535" s="26">
        <v>0</v>
      </c>
      <c r="D535" s="27">
        <v>43290</v>
      </c>
      <c r="E535" s="26">
        <v>-6036.54</v>
      </c>
      <c r="F535" s="26" t="s">
        <v>1411</v>
      </c>
      <c r="G535" s="26" t="s">
        <v>8</v>
      </c>
      <c r="H535" s="26" t="s">
        <v>1412</v>
      </c>
      <c r="I535" s="26" t="s">
        <v>106</v>
      </c>
      <c r="J535" s="26">
        <v>0</v>
      </c>
      <c r="K535" s="8" t="str">
        <f t="shared" si="8"/>
        <v>CHAPSPAYM</v>
      </c>
    </row>
    <row r="536" spans="1:11" x14ac:dyDescent="0.25">
      <c r="A536" s="26" t="s">
        <v>122</v>
      </c>
      <c r="B536" s="26" t="s">
        <v>111</v>
      </c>
      <c r="C536" s="26">
        <v>0</v>
      </c>
      <c r="D536" s="27">
        <v>43293</v>
      </c>
      <c r="E536" s="26">
        <v>-1906.27</v>
      </c>
      <c r="F536" s="26" t="s">
        <v>1413</v>
      </c>
      <c r="G536" s="26" t="s">
        <v>8</v>
      </c>
      <c r="H536" s="26" t="s">
        <v>1414</v>
      </c>
      <c r="I536" s="26" t="s">
        <v>106</v>
      </c>
      <c r="J536" s="26">
        <v>0</v>
      </c>
      <c r="K536" s="8" t="str">
        <f t="shared" si="8"/>
        <v>CHAPSPAYM</v>
      </c>
    </row>
    <row r="537" spans="1:11" x14ac:dyDescent="0.25">
      <c r="A537" s="26" t="s">
        <v>122</v>
      </c>
      <c r="B537" s="26" t="s">
        <v>111</v>
      </c>
      <c r="C537" s="26">
        <v>0</v>
      </c>
      <c r="D537" s="27">
        <v>43294</v>
      </c>
      <c r="E537" s="26">
        <v>-4924.54</v>
      </c>
      <c r="F537" s="26" t="s">
        <v>1415</v>
      </c>
      <c r="G537" s="26" t="s">
        <v>8</v>
      </c>
      <c r="H537" s="26" t="s">
        <v>1416</v>
      </c>
      <c r="I537" s="26" t="s">
        <v>106</v>
      </c>
      <c r="J537" s="26">
        <v>0</v>
      </c>
      <c r="K537" s="8" t="str">
        <f t="shared" si="8"/>
        <v>CHAPSPAYM</v>
      </c>
    </row>
    <row r="538" spans="1:11" x14ac:dyDescent="0.25">
      <c r="A538" s="26" t="s">
        <v>122</v>
      </c>
      <c r="B538" s="26" t="s">
        <v>111</v>
      </c>
      <c r="C538" s="26">
        <v>0</v>
      </c>
      <c r="D538" s="27">
        <v>43294</v>
      </c>
      <c r="E538" s="26">
        <v>-1429.71</v>
      </c>
      <c r="F538" s="26" t="s">
        <v>1417</v>
      </c>
      <c r="G538" s="26" t="s">
        <v>8</v>
      </c>
      <c r="H538" s="26" t="s">
        <v>1418</v>
      </c>
      <c r="I538" s="26" t="s">
        <v>106</v>
      </c>
      <c r="J538" s="26">
        <v>0</v>
      </c>
      <c r="K538" s="8" t="str">
        <f t="shared" si="8"/>
        <v>CHAPSPAYM</v>
      </c>
    </row>
    <row r="539" spans="1:11" x14ac:dyDescent="0.25">
      <c r="A539" s="26" t="s">
        <v>122</v>
      </c>
      <c r="B539" s="26" t="s">
        <v>111</v>
      </c>
      <c r="C539" s="26">
        <v>0</v>
      </c>
      <c r="D539" s="27">
        <v>43297</v>
      </c>
      <c r="E539" s="26">
        <v>-13741.06</v>
      </c>
      <c r="F539" s="26" t="s">
        <v>1419</v>
      </c>
      <c r="G539" s="26" t="s">
        <v>8</v>
      </c>
      <c r="H539" s="26" t="s">
        <v>1420</v>
      </c>
      <c r="I539" s="26" t="s">
        <v>106</v>
      </c>
      <c r="J539" s="26">
        <v>0</v>
      </c>
      <c r="K539" s="8" t="str">
        <f t="shared" si="8"/>
        <v>CHAPSPAYM</v>
      </c>
    </row>
    <row r="540" spans="1:11" x14ac:dyDescent="0.25">
      <c r="A540" s="26" t="s">
        <v>122</v>
      </c>
      <c r="B540" s="26" t="s">
        <v>111</v>
      </c>
      <c r="C540" s="26">
        <v>0</v>
      </c>
      <c r="D540" s="27">
        <v>43301</v>
      </c>
      <c r="E540" s="26">
        <v>-238.28</v>
      </c>
      <c r="F540" s="26" t="s">
        <v>1421</v>
      </c>
      <c r="G540" s="26" t="s">
        <v>8</v>
      </c>
      <c r="H540" s="26" t="s">
        <v>1422</v>
      </c>
      <c r="I540" s="26" t="s">
        <v>106</v>
      </c>
      <c r="J540" s="26">
        <v>0</v>
      </c>
      <c r="K540" s="8" t="str">
        <f t="shared" si="8"/>
        <v>CHAPSPAYM</v>
      </c>
    </row>
    <row r="541" spans="1:11" x14ac:dyDescent="0.25">
      <c r="A541" s="26" t="s">
        <v>122</v>
      </c>
      <c r="B541" s="26" t="s">
        <v>111</v>
      </c>
      <c r="C541" s="26">
        <v>0</v>
      </c>
      <c r="D541" s="27">
        <v>43304</v>
      </c>
      <c r="E541" s="26">
        <v>-3971.41</v>
      </c>
      <c r="F541" s="26" t="s">
        <v>1423</v>
      </c>
      <c r="G541" s="26" t="s">
        <v>8</v>
      </c>
      <c r="H541" s="26" t="s">
        <v>1424</v>
      </c>
      <c r="I541" s="26" t="s">
        <v>106</v>
      </c>
      <c r="J541" s="26">
        <v>0</v>
      </c>
      <c r="K541" s="8" t="str">
        <f t="shared" si="8"/>
        <v>CHAPSPAYM</v>
      </c>
    </row>
    <row r="542" spans="1:11" x14ac:dyDescent="0.25">
      <c r="A542" s="26" t="s">
        <v>122</v>
      </c>
      <c r="B542" s="26" t="s">
        <v>111</v>
      </c>
      <c r="C542" s="26">
        <v>0</v>
      </c>
      <c r="D542" s="27">
        <v>43307</v>
      </c>
      <c r="E542" s="26">
        <v>-317.70999999999998</v>
      </c>
      <c r="F542" s="26" t="s">
        <v>1425</v>
      </c>
      <c r="G542" s="26" t="s">
        <v>8</v>
      </c>
      <c r="H542" s="26" t="s">
        <v>1426</v>
      </c>
      <c r="I542" s="26" t="s">
        <v>106</v>
      </c>
      <c r="J542" s="26">
        <v>0</v>
      </c>
      <c r="K542" s="8" t="str">
        <f t="shared" si="8"/>
        <v>CHAPSPAYM</v>
      </c>
    </row>
    <row r="543" spans="1:11" x14ac:dyDescent="0.25">
      <c r="A543" s="26" t="s">
        <v>122</v>
      </c>
      <c r="B543" s="26" t="s">
        <v>111</v>
      </c>
      <c r="C543" s="26">
        <v>0</v>
      </c>
      <c r="D543" s="27">
        <v>43308</v>
      </c>
      <c r="E543" s="26">
        <v>-2065.13</v>
      </c>
      <c r="F543" s="26" t="s">
        <v>1427</v>
      </c>
      <c r="G543" s="26" t="s">
        <v>8</v>
      </c>
      <c r="H543" s="26" t="s">
        <v>1428</v>
      </c>
      <c r="I543" s="26" t="s">
        <v>106</v>
      </c>
      <c r="J543" s="26">
        <v>0</v>
      </c>
      <c r="K543" s="8" t="str">
        <f t="shared" si="8"/>
        <v>CHAPSPAYM</v>
      </c>
    </row>
    <row r="544" spans="1:11" x14ac:dyDescent="0.25">
      <c r="A544" s="26" t="s">
        <v>122</v>
      </c>
      <c r="B544" s="26" t="s">
        <v>111</v>
      </c>
      <c r="C544" s="26">
        <v>0</v>
      </c>
      <c r="D544" s="27">
        <v>43308</v>
      </c>
      <c r="E544" s="26">
        <v>-238.28</v>
      </c>
      <c r="F544" s="26" t="s">
        <v>1429</v>
      </c>
      <c r="G544" s="26" t="s">
        <v>8</v>
      </c>
      <c r="H544" s="26" t="s">
        <v>1430</v>
      </c>
      <c r="I544" s="26" t="s">
        <v>106</v>
      </c>
      <c r="J544" s="26">
        <v>0</v>
      </c>
      <c r="K544" s="8" t="str">
        <f t="shared" si="8"/>
        <v>CHAPSPAYM</v>
      </c>
    </row>
    <row r="545" spans="1:11" x14ac:dyDescent="0.25">
      <c r="A545" s="26" t="s">
        <v>122</v>
      </c>
      <c r="B545" s="26" t="s">
        <v>111</v>
      </c>
      <c r="C545" s="26">
        <v>0</v>
      </c>
      <c r="D545" s="27">
        <v>43308</v>
      </c>
      <c r="E545" s="26">
        <v>-317.70999999999998</v>
      </c>
      <c r="F545" s="26" t="s">
        <v>1431</v>
      </c>
      <c r="G545" s="26" t="s">
        <v>8</v>
      </c>
      <c r="H545" s="26" t="s">
        <v>1432</v>
      </c>
      <c r="I545" s="26" t="s">
        <v>106</v>
      </c>
      <c r="J545" s="26">
        <v>0</v>
      </c>
      <c r="K545" s="8" t="str">
        <f t="shared" si="8"/>
        <v>CHAPSPAYM</v>
      </c>
    </row>
    <row r="546" spans="1:11" x14ac:dyDescent="0.25">
      <c r="A546" s="26" t="s">
        <v>122</v>
      </c>
      <c r="B546" s="26" t="s">
        <v>111</v>
      </c>
      <c r="C546" s="26">
        <v>0</v>
      </c>
      <c r="D546" s="27">
        <v>43311</v>
      </c>
      <c r="E546" s="26">
        <v>-4686.26</v>
      </c>
      <c r="F546" s="26" t="s">
        <v>1433</v>
      </c>
      <c r="G546" s="26" t="s">
        <v>8</v>
      </c>
      <c r="H546" s="26" t="s">
        <v>1434</v>
      </c>
      <c r="I546" s="26" t="s">
        <v>106</v>
      </c>
      <c r="J546" s="26">
        <v>0</v>
      </c>
      <c r="K546" s="8" t="str">
        <f t="shared" si="8"/>
        <v>CHAPSPAYM</v>
      </c>
    </row>
    <row r="547" spans="1:11" x14ac:dyDescent="0.25">
      <c r="A547" s="26" t="s">
        <v>122</v>
      </c>
      <c r="B547" s="26" t="s">
        <v>111</v>
      </c>
      <c r="C547" s="26">
        <v>0</v>
      </c>
      <c r="D547" s="27">
        <v>43314</v>
      </c>
      <c r="E547" s="26">
        <v>-476.57</v>
      </c>
      <c r="F547" s="26" t="s">
        <v>1435</v>
      </c>
      <c r="G547" s="26" t="s">
        <v>8</v>
      </c>
      <c r="H547" s="26" t="s">
        <v>1436</v>
      </c>
      <c r="I547" s="26" t="s">
        <v>106</v>
      </c>
      <c r="J547" s="26">
        <v>0</v>
      </c>
      <c r="K547" s="8" t="str">
        <f t="shared" si="8"/>
        <v>CHAPSPAYM</v>
      </c>
    </row>
    <row r="548" spans="1:11" x14ac:dyDescent="0.25">
      <c r="A548" s="26" t="s">
        <v>122</v>
      </c>
      <c r="B548" s="26" t="s">
        <v>111</v>
      </c>
      <c r="C548" s="26">
        <v>0</v>
      </c>
      <c r="D548" s="27">
        <v>43315</v>
      </c>
      <c r="E548" s="26">
        <v>-5162.83</v>
      </c>
      <c r="F548" s="26" t="s">
        <v>1437</v>
      </c>
      <c r="G548" s="26" t="s">
        <v>8</v>
      </c>
      <c r="H548" s="26" t="s">
        <v>1438</v>
      </c>
      <c r="I548" s="26" t="s">
        <v>106</v>
      </c>
      <c r="J548" s="26">
        <v>0</v>
      </c>
      <c r="K548" s="8" t="str">
        <f t="shared" si="8"/>
        <v>CHAPSPAYM</v>
      </c>
    </row>
    <row r="549" spans="1:11" x14ac:dyDescent="0.25">
      <c r="A549" s="26" t="s">
        <v>122</v>
      </c>
      <c r="B549" s="26" t="s">
        <v>111</v>
      </c>
      <c r="C549" s="26">
        <v>0</v>
      </c>
      <c r="D549" s="27">
        <v>43315</v>
      </c>
      <c r="E549" s="26">
        <v>-1270.8499999999999</v>
      </c>
      <c r="F549" s="26" t="s">
        <v>1439</v>
      </c>
      <c r="G549" s="26" t="s">
        <v>8</v>
      </c>
      <c r="H549" s="26" t="s">
        <v>1440</v>
      </c>
      <c r="I549" s="26" t="s">
        <v>106</v>
      </c>
      <c r="J549" s="26">
        <v>0</v>
      </c>
      <c r="K549" s="8" t="str">
        <f t="shared" si="8"/>
        <v>CHAPSPAYM</v>
      </c>
    </row>
    <row r="550" spans="1:11" x14ac:dyDescent="0.25">
      <c r="A550" s="26" t="s">
        <v>122</v>
      </c>
      <c r="B550" s="26" t="s">
        <v>111</v>
      </c>
      <c r="C550" s="26">
        <v>0</v>
      </c>
      <c r="D550" s="27">
        <v>43315</v>
      </c>
      <c r="E550" s="26">
        <v>-635.41999999999996</v>
      </c>
      <c r="F550" s="26" t="s">
        <v>1441</v>
      </c>
      <c r="G550" s="26" t="s">
        <v>8</v>
      </c>
      <c r="H550" s="26" t="s">
        <v>1442</v>
      </c>
      <c r="I550" s="26" t="s">
        <v>106</v>
      </c>
      <c r="J550" s="26">
        <v>0</v>
      </c>
      <c r="K550" s="8" t="str">
        <f t="shared" si="8"/>
        <v>CHAPSPAYM</v>
      </c>
    </row>
    <row r="551" spans="1:11" x14ac:dyDescent="0.25">
      <c r="A551" s="26" t="s">
        <v>122</v>
      </c>
      <c r="B551" s="26" t="s">
        <v>111</v>
      </c>
      <c r="C551" s="26">
        <v>0</v>
      </c>
      <c r="D551" s="27">
        <v>43318</v>
      </c>
      <c r="E551" s="26">
        <v>-12470.21</v>
      </c>
      <c r="F551" s="26" t="s">
        <v>1443</v>
      </c>
      <c r="G551" s="26" t="s">
        <v>8</v>
      </c>
      <c r="H551" s="26" t="s">
        <v>1444</v>
      </c>
      <c r="I551" s="26" t="s">
        <v>106</v>
      </c>
      <c r="J551" s="26">
        <v>0</v>
      </c>
      <c r="K551" s="8" t="str">
        <f t="shared" si="8"/>
        <v>CHAPSPAYM</v>
      </c>
    </row>
    <row r="552" spans="1:11" x14ac:dyDescent="0.25">
      <c r="A552" s="26" t="s">
        <v>122</v>
      </c>
      <c r="B552" s="26" t="s">
        <v>111</v>
      </c>
      <c r="C552" s="26">
        <v>0</v>
      </c>
      <c r="D552" s="27">
        <v>43321</v>
      </c>
      <c r="E552" s="26">
        <v>-15091.34</v>
      </c>
      <c r="F552" s="26" t="s">
        <v>1445</v>
      </c>
      <c r="G552" s="26" t="s">
        <v>8</v>
      </c>
      <c r="H552" s="26" t="s">
        <v>1446</v>
      </c>
      <c r="I552" s="26" t="s">
        <v>106</v>
      </c>
      <c r="J552" s="26">
        <v>0</v>
      </c>
      <c r="K552" s="8" t="str">
        <f t="shared" si="8"/>
        <v>CHAPSPAYM</v>
      </c>
    </row>
    <row r="553" spans="1:11" x14ac:dyDescent="0.25">
      <c r="A553" s="26" t="s">
        <v>122</v>
      </c>
      <c r="B553" s="26" t="s">
        <v>111</v>
      </c>
      <c r="C553" s="26">
        <v>0</v>
      </c>
      <c r="D553" s="27">
        <v>43322</v>
      </c>
      <c r="E553" s="26">
        <v>-3891.98</v>
      </c>
      <c r="F553" s="26" t="s">
        <v>1447</v>
      </c>
      <c r="G553" s="26" t="s">
        <v>8</v>
      </c>
      <c r="H553" s="26" t="s">
        <v>1448</v>
      </c>
      <c r="I553" s="26" t="s">
        <v>106</v>
      </c>
      <c r="J553" s="26">
        <v>0</v>
      </c>
      <c r="K553" s="8" t="str">
        <f t="shared" si="8"/>
        <v>CHAPSPAYM</v>
      </c>
    </row>
    <row r="554" spans="1:11" x14ac:dyDescent="0.25">
      <c r="A554" s="26" t="s">
        <v>122</v>
      </c>
      <c r="B554" s="26" t="s">
        <v>111</v>
      </c>
      <c r="C554" s="26">
        <v>0</v>
      </c>
      <c r="D554" s="27">
        <v>43322</v>
      </c>
      <c r="E554" s="26">
        <v>-556</v>
      </c>
      <c r="F554" s="26" t="s">
        <v>1449</v>
      </c>
      <c r="G554" s="26" t="s">
        <v>8</v>
      </c>
      <c r="H554" s="26" t="s">
        <v>1450</v>
      </c>
      <c r="I554" s="26" t="s">
        <v>106</v>
      </c>
      <c r="J554" s="26">
        <v>0</v>
      </c>
      <c r="K554" s="8" t="str">
        <f t="shared" si="8"/>
        <v>CHAPSPAYM</v>
      </c>
    </row>
    <row r="555" spans="1:11" x14ac:dyDescent="0.25">
      <c r="A555" s="26" t="s">
        <v>122</v>
      </c>
      <c r="B555" s="26" t="s">
        <v>111</v>
      </c>
      <c r="C555" s="26">
        <v>0</v>
      </c>
      <c r="D555" s="27">
        <v>43322</v>
      </c>
      <c r="E555" s="26">
        <v>-873.71</v>
      </c>
      <c r="F555" s="26" t="s">
        <v>1451</v>
      </c>
      <c r="G555" s="26" t="s">
        <v>8</v>
      </c>
      <c r="H555" s="26" t="s">
        <v>1452</v>
      </c>
      <c r="I555" s="26" t="s">
        <v>106</v>
      </c>
      <c r="J555" s="26">
        <v>0</v>
      </c>
      <c r="K555" s="8" t="str">
        <f t="shared" si="8"/>
        <v>CHAPSPAYM</v>
      </c>
    </row>
    <row r="556" spans="1:11" x14ac:dyDescent="0.25">
      <c r="A556" s="26" t="s">
        <v>122</v>
      </c>
      <c r="B556" s="26" t="s">
        <v>111</v>
      </c>
      <c r="C556" s="26">
        <v>0</v>
      </c>
      <c r="D556" s="27">
        <v>43325</v>
      </c>
      <c r="E556" s="26">
        <v>-6751.39</v>
      </c>
      <c r="F556" s="26" t="s">
        <v>1453</v>
      </c>
      <c r="G556" s="26" t="s">
        <v>8</v>
      </c>
      <c r="H556" s="26" t="s">
        <v>1454</v>
      </c>
      <c r="I556" s="26" t="s">
        <v>106</v>
      </c>
      <c r="J556" s="26">
        <v>0</v>
      </c>
      <c r="K556" s="8" t="str">
        <f t="shared" si="8"/>
        <v>CHAPSPAYM</v>
      </c>
    </row>
    <row r="557" spans="1:11" x14ac:dyDescent="0.25">
      <c r="A557" s="26" t="s">
        <v>122</v>
      </c>
      <c r="B557" s="26" t="s">
        <v>111</v>
      </c>
      <c r="C557" s="26">
        <v>0</v>
      </c>
      <c r="D557" s="27">
        <v>43328</v>
      </c>
      <c r="E557" s="26">
        <v>-2065.13</v>
      </c>
      <c r="F557" s="26" t="s">
        <v>1455</v>
      </c>
      <c r="G557" s="26" t="s">
        <v>8</v>
      </c>
      <c r="H557" s="26" t="s">
        <v>1456</v>
      </c>
      <c r="I557" s="26" t="s">
        <v>106</v>
      </c>
      <c r="J557" s="26">
        <v>0</v>
      </c>
      <c r="K557" s="8" t="str">
        <f t="shared" si="8"/>
        <v>CHAPSPAYM</v>
      </c>
    </row>
    <row r="558" spans="1:11" x14ac:dyDescent="0.25">
      <c r="A558" s="26" t="s">
        <v>122</v>
      </c>
      <c r="B558" s="26" t="s">
        <v>111</v>
      </c>
      <c r="C558" s="26">
        <v>0</v>
      </c>
      <c r="D558" s="27">
        <v>43329</v>
      </c>
      <c r="E558" s="26">
        <v>-10246.23</v>
      </c>
      <c r="F558" s="26" t="s">
        <v>1457</v>
      </c>
      <c r="G558" s="26" t="s">
        <v>8</v>
      </c>
      <c r="H558" s="26" t="s">
        <v>1458</v>
      </c>
      <c r="I558" s="26" t="s">
        <v>106</v>
      </c>
      <c r="J558" s="26">
        <v>0</v>
      </c>
      <c r="K558" s="8" t="str">
        <f t="shared" si="8"/>
        <v>CHAPSPAYM</v>
      </c>
    </row>
    <row r="559" spans="1:11" x14ac:dyDescent="0.25">
      <c r="A559" s="26" t="s">
        <v>122</v>
      </c>
      <c r="B559" s="26" t="s">
        <v>111</v>
      </c>
      <c r="C559" s="26">
        <v>0</v>
      </c>
      <c r="D559" s="27">
        <v>43329</v>
      </c>
      <c r="E559" s="26">
        <v>-33915.81</v>
      </c>
      <c r="F559" s="26" t="s">
        <v>1459</v>
      </c>
      <c r="G559" s="26" t="s">
        <v>8</v>
      </c>
      <c r="H559" s="26" t="s">
        <v>1460</v>
      </c>
      <c r="I559" s="26" t="s">
        <v>106</v>
      </c>
      <c r="J559" s="26">
        <v>0</v>
      </c>
      <c r="K559" s="8" t="str">
        <f t="shared" si="8"/>
        <v>CHAPSPAYM</v>
      </c>
    </row>
    <row r="560" spans="1:11" x14ac:dyDescent="0.25">
      <c r="A560" s="26" t="s">
        <v>122</v>
      </c>
      <c r="B560" s="26" t="s">
        <v>111</v>
      </c>
      <c r="C560" s="26">
        <v>0</v>
      </c>
      <c r="D560" s="27">
        <v>43336</v>
      </c>
      <c r="E560" s="26">
        <v>-79.430000000000007</v>
      </c>
      <c r="F560" s="26" t="s">
        <v>1461</v>
      </c>
      <c r="G560" s="26" t="s">
        <v>8</v>
      </c>
      <c r="H560" s="26" t="s">
        <v>1462</v>
      </c>
      <c r="I560" s="26" t="s">
        <v>106</v>
      </c>
      <c r="J560" s="26">
        <v>0</v>
      </c>
      <c r="K560" s="8" t="str">
        <f t="shared" si="8"/>
        <v>CHAPSPAYM</v>
      </c>
    </row>
    <row r="561" spans="1:11" x14ac:dyDescent="0.25">
      <c r="A561" s="26" t="s">
        <v>122</v>
      </c>
      <c r="B561" s="26" t="s">
        <v>111</v>
      </c>
      <c r="C561" s="26">
        <v>0</v>
      </c>
      <c r="D561" s="27">
        <v>43336</v>
      </c>
      <c r="E561" s="26">
        <v>-158.86000000000001</v>
      </c>
      <c r="F561" s="26" t="s">
        <v>1463</v>
      </c>
      <c r="G561" s="26" t="s">
        <v>8</v>
      </c>
      <c r="H561" s="26" t="s">
        <v>1464</v>
      </c>
      <c r="I561" s="26" t="s">
        <v>106</v>
      </c>
      <c r="J561" s="26">
        <v>0</v>
      </c>
      <c r="K561" s="8" t="str">
        <f t="shared" si="8"/>
        <v>CHAPSPAYM</v>
      </c>
    </row>
    <row r="562" spans="1:11" x14ac:dyDescent="0.25">
      <c r="A562" s="26" t="s">
        <v>122</v>
      </c>
      <c r="B562" s="26" t="s">
        <v>111</v>
      </c>
      <c r="C562" s="26">
        <v>0</v>
      </c>
      <c r="D562" s="27">
        <v>43336</v>
      </c>
      <c r="E562" s="26">
        <v>-238.28</v>
      </c>
      <c r="F562" s="26" t="s">
        <v>1465</v>
      </c>
      <c r="G562" s="26" t="s">
        <v>8</v>
      </c>
      <c r="H562" s="26" t="s">
        <v>1466</v>
      </c>
      <c r="I562" s="26" t="s">
        <v>106</v>
      </c>
      <c r="J562" s="26">
        <v>0</v>
      </c>
      <c r="K562" s="8" t="str">
        <f t="shared" si="8"/>
        <v>CHAPSPAYM</v>
      </c>
    </row>
    <row r="563" spans="1:11" x14ac:dyDescent="0.25">
      <c r="A563" s="26" t="s">
        <v>122</v>
      </c>
      <c r="B563" s="26" t="s">
        <v>111</v>
      </c>
      <c r="C563" s="26">
        <v>0</v>
      </c>
      <c r="D563" s="27">
        <v>43339</v>
      </c>
      <c r="E563" s="26">
        <v>-4289.12</v>
      </c>
      <c r="F563" s="26" t="s">
        <v>1467</v>
      </c>
      <c r="G563" s="26" t="s">
        <v>8</v>
      </c>
      <c r="H563" s="26" t="s">
        <v>1468</v>
      </c>
      <c r="I563" s="26" t="s">
        <v>106</v>
      </c>
      <c r="J563" s="26">
        <v>0</v>
      </c>
      <c r="K563" s="8" t="str">
        <f t="shared" si="8"/>
        <v>CHAPSPAYM</v>
      </c>
    </row>
    <row r="564" spans="1:11" x14ac:dyDescent="0.25">
      <c r="A564" s="26" t="s">
        <v>122</v>
      </c>
      <c r="B564" s="26" t="s">
        <v>111</v>
      </c>
      <c r="C564" s="26">
        <v>0</v>
      </c>
      <c r="D564" s="27">
        <v>43342</v>
      </c>
      <c r="E564" s="26">
        <v>-556</v>
      </c>
      <c r="F564" s="26" t="s">
        <v>1469</v>
      </c>
      <c r="G564" s="26" t="s">
        <v>8</v>
      </c>
      <c r="H564" s="26" t="s">
        <v>1470</v>
      </c>
      <c r="I564" s="26" t="s">
        <v>106</v>
      </c>
      <c r="J564" s="26">
        <v>0</v>
      </c>
      <c r="K564" s="8" t="str">
        <f t="shared" si="8"/>
        <v>CHAPSPAYM</v>
      </c>
    </row>
    <row r="565" spans="1:11" x14ac:dyDescent="0.25">
      <c r="A565" s="26" t="s">
        <v>122</v>
      </c>
      <c r="B565" s="26" t="s">
        <v>111</v>
      </c>
      <c r="C565" s="26">
        <v>0</v>
      </c>
      <c r="D565" s="27">
        <v>43343</v>
      </c>
      <c r="E565" s="26">
        <v>-3177.12</v>
      </c>
      <c r="F565" s="26" t="s">
        <v>1471</v>
      </c>
      <c r="G565" s="26" t="s">
        <v>8</v>
      </c>
      <c r="H565" s="26" t="s">
        <v>1472</v>
      </c>
      <c r="I565" s="26" t="s">
        <v>106</v>
      </c>
      <c r="J565" s="26">
        <v>0</v>
      </c>
      <c r="K565" s="8" t="str">
        <f t="shared" si="8"/>
        <v>CHAPSPAYM</v>
      </c>
    </row>
    <row r="566" spans="1:11" x14ac:dyDescent="0.25">
      <c r="A566" s="26" t="s">
        <v>122</v>
      </c>
      <c r="B566" s="26" t="s">
        <v>111</v>
      </c>
      <c r="C566" s="26">
        <v>0</v>
      </c>
      <c r="D566" s="27">
        <v>43343</v>
      </c>
      <c r="E566" s="26">
        <v>-9054.81</v>
      </c>
      <c r="F566" s="26" t="s">
        <v>1473</v>
      </c>
      <c r="G566" s="26" t="s">
        <v>8</v>
      </c>
      <c r="H566" s="26" t="s">
        <v>1474</v>
      </c>
      <c r="I566" s="26" t="s">
        <v>106</v>
      </c>
      <c r="J566" s="26">
        <v>0</v>
      </c>
      <c r="K566" s="8" t="str">
        <f t="shared" si="8"/>
        <v>CHAPSPAYM</v>
      </c>
    </row>
    <row r="567" spans="1:11" x14ac:dyDescent="0.25">
      <c r="A567" s="26" t="s">
        <v>122</v>
      </c>
      <c r="B567" s="26" t="s">
        <v>111</v>
      </c>
      <c r="C567" s="26">
        <v>0</v>
      </c>
      <c r="D567" s="27">
        <v>43346</v>
      </c>
      <c r="E567" s="26">
        <v>-1985.7</v>
      </c>
      <c r="F567" s="26" t="s">
        <v>1475</v>
      </c>
      <c r="G567" s="26" t="s">
        <v>8</v>
      </c>
      <c r="H567" s="26" t="s">
        <v>1476</v>
      </c>
      <c r="I567" s="26" t="s">
        <v>106</v>
      </c>
      <c r="J567" s="26">
        <v>0</v>
      </c>
      <c r="K567" s="8" t="str">
        <f t="shared" si="8"/>
        <v>CHAPSPAYM</v>
      </c>
    </row>
    <row r="568" spans="1:11" x14ac:dyDescent="0.25">
      <c r="A568" s="26" t="s">
        <v>122</v>
      </c>
      <c r="B568" s="26" t="s">
        <v>111</v>
      </c>
      <c r="C568" s="26">
        <v>0</v>
      </c>
      <c r="D568" s="27">
        <v>43349</v>
      </c>
      <c r="E568" s="26">
        <v>-4606.83</v>
      </c>
      <c r="F568" s="26" t="s">
        <v>1477</v>
      </c>
      <c r="G568" s="26" t="s">
        <v>8</v>
      </c>
      <c r="H568" s="26" t="s">
        <v>1478</v>
      </c>
      <c r="I568" s="26" t="s">
        <v>106</v>
      </c>
      <c r="J568" s="26">
        <v>0</v>
      </c>
      <c r="K568" s="8" t="str">
        <f t="shared" si="8"/>
        <v>CHAPSPAYM</v>
      </c>
    </row>
    <row r="569" spans="1:11" x14ac:dyDescent="0.25">
      <c r="A569" s="26" t="s">
        <v>122</v>
      </c>
      <c r="B569" s="26" t="s">
        <v>111</v>
      </c>
      <c r="C569" s="26">
        <v>0</v>
      </c>
      <c r="D569" s="27">
        <v>43350</v>
      </c>
      <c r="E569" s="26">
        <v>-1509.13</v>
      </c>
      <c r="F569" s="26" t="s">
        <v>1479</v>
      </c>
      <c r="G569" s="26" t="s">
        <v>8</v>
      </c>
      <c r="H569" s="26" t="s">
        <v>1480</v>
      </c>
      <c r="I569" s="26" t="s">
        <v>106</v>
      </c>
      <c r="J569" s="26">
        <v>0</v>
      </c>
      <c r="K569" s="8" t="str">
        <f t="shared" si="8"/>
        <v>CHAPSPAYM</v>
      </c>
    </row>
    <row r="570" spans="1:11" x14ac:dyDescent="0.25">
      <c r="A570" s="26" t="s">
        <v>122</v>
      </c>
      <c r="B570" s="26" t="s">
        <v>111</v>
      </c>
      <c r="C570" s="26">
        <v>0</v>
      </c>
      <c r="D570" s="27">
        <v>43350</v>
      </c>
      <c r="E570" s="26">
        <v>-3574.27</v>
      </c>
      <c r="F570" s="26" t="s">
        <v>1481</v>
      </c>
      <c r="G570" s="26" t="s">
        <v>8</v>
      </c>
      <c r="H570" s="26" t="s">
        <v>1482</v>
      </c>
      <c r="I570" s="26" t="s">
        <v>106</v>
      </c>
      <c r="J570" s="26">
        <v>0</v>
      </c>
      <c r="K570" s="8" t="str">
        <f t="shared" si="8"/>
        <v>CHAPSPAYM</v>
      </c>
    </row>
    <row r="571" spans="1:11" x14ac:dyDescent="0.25">
      <c r="A571" s="26" t="s">
        <v>122</v>
      </c>
      <c r="B571" s="26" t="s">
        <v>111</v>
      </c>
      <c r="C571" s="26">
        <v>0</v>
      </c>
      <c r="D571" s="27">
        <v>43350</v>
      </c>
      <c r="E571" s="26">
        <v>-44797.46</v>
      </c>
      <c r="F571" s="26" t="s">
        <v>1483</v>
      </c>
      <c r="G571" s="26" t="s">
        <v>8</v>
      </c>
      <c r="H571" s="26" t="s">
        <v>1484</v>
      </c>
      <c r="I571" s="26" t="s">
        <v>106</v>
      </c>
      <c r="J571" s="26">
        <v>0</v>
      </c>
      <c r="K571" s="8" t="str">
        <f t="shared" si="8"/>
        <v>CHAPSPAYM</v>
      </c>
    </row>
    <row r="572" spans="1:11" x14ac:dyDescent="0.25">
      <c r="A572" s="26" t="s">
        <v>122</v>
      </c>
      <c r="B572" s="26" t="s">
        <v>111</v>
      </c>
      <c r="C572" s="26">
        <v>0</v>
      </c>
      <c r="D572" s="27">
        <v>43353</v>
      </c>
      <c r="E572" s="26">
        <v>-397.14</v>
      </c>
      <c r="F572" s="26" t="s">
        <v>1485</v>
      </c>
      <c r="G572" s="26" t="s">
        <v>8</v>
      </c>
      <c r="H572" s="26" t="s">
        <v>1486</v>
      </c>
      <c r="I572" s="26" t="s">
        <v>106</v>
      </c>
      <c r="J572" s="26">
        <v>0</v>
      </c>
      <c r="K572" s="8" t="str">
        <f t="shared" si="8"/>
        <v>CHAPSPAYM</v>
      </c>
    </row>
    <row r="573" spans="1:11" x14ac:dyDescent="0.25">
      <c r="A573" s="26" t="s">
        <v>122</v>
      </c>
      <c r="B573" s="26" t="s">
        <v>111</v>
      </c>
      <c r="C573" s="26">
        <v>0</v>
      </c>
      <c r="D573" s="27">
        <v>43356</v>
      </c>
      <c r="E573" s="26">
        <v>-397.14</v>
      </c>
      <c r="F573" s="26" t="s">
        <v>1487</v>
      </c>
      <c r="G573" s="26" t="s">
        <v>8</v>
      </c>
      <c r="H573" s="26" t="s">
        <v>1488</v>
      </c>
      <c r="I573" s="26" t="s">
        <v>106</v>
      </c>
      <c r="J573" s="26">
        <v>0</v>
      </c>
      <c r="K573" s="8" t="str">
        <f t="shared" si="8"/>
        <v>CHAPSPAYM</v>
      </c>
    </row>
    <row r="574" spans="1:11" x14ac:dyDescent="0.25">
      <c r="A574" s="26" t="s">
        <v>122</v>
      </c>
      <c r="B574" s="26" t="s">
        <v>111</v>
      </c>
      <c r="C574" s="26">
        <v>0</v>
      </c>
      <c r="D574" s="27">
        <v>43357</v>
      </c>
      <c r="E574" s="26">
        <v>-397.14</v>
      </c>
      <c r="F574" s="26" t="s">
        <v>1489</v>
      </c>
      <c r="G574" s="26" t="s">
        <v>8</v>
      </c>
      <c r="H574" s="26" t="s">
        <v>1490</v>
      </c>
      <c r="I574" s="26" t="s">
        <v>106</v>
      </c>
      <c r="J574" s="26">
        <v>0</v>
      </c>
      <c r="K574" s="8" t="str">
        <f t="shared" si="8"/>
        <v>CHAPSPAYM</v>
      </c>
    </row>
    <row r="575" spans="1:11" x14ac:dyDescent="0.25">
      <c r="A575" s="26" t="s">
        <v>122</v>
      </c>
      <c r="B575" s="26" t="s">
        <v>111</v>
      </c>
      <c r="C575" s="26">
        <v>0</v>
      </c>
      <c r="D575" s="27">
        <v>43357</v>
      </c>
      <c r="E575" s="26">
        <v>-317.70999999999998</v>
      </c>
      <c r="F575" s="26" t="s">
        <v>1491</v>
      </c>
      <c r="G575" s="26" t="s">
        <v>8</v>
      </c>
      <c r="H575" s="26" t="s">
        <v>1492</v>
      </c>
      <c r="I575" s="26" t="s">
        <v>106</v>
      </c>
      <c r="J575" s="26">
        <v>0</v>
      </c>
      <c r="K575" s="8" t="str">
        <f t="shared" si="8"/>
        <v>CHAPSPAYM</v>
      </c>
    </row>
    <row r="576" spans="1:11" x14ac:dyDescent="0.25">
      <c r="A576" s="26" t="s">
        <v>122</v>
      </c>
      <c r="B576" s="26" t="s">
        <v>111</v>
      </c>
      <c r="C576" s="26">
        <v>0</v>
      </c>
      <c r="D576" s="27">
        <v>43357</v>
      </c>
      <c r="E576" s="26">
        <v>-13423.35</v>
      </c>
      <c r="F576" s="26" t="s">
        <v>1493</v>
      </c>
      <c r="G576" s="26" t="s">
        <v>8</v>
      </c>
      <c r="H576" s="26" t="s">
        <v>1494</v>
      </c>
      <c r="I576" s="26" t="s">
        <v>106</v>
      </c>
      <c r="J576" s="26">
        <v>0</v>
      </c>
      <c r="K576" s="8" t="str">
        <f t="shared" si="8"/>
        <v>CHAPSPAYM</v>
      </c>
    </row>
    <row r="577" spans="1:11" x14ac:dyDescent="0.25">
      <c r="A577" s="26" t="s">
        <v>122</v>
      </c>
      <c r="B577" s="26" t="s">
        <v>111</v>
      </c>
      <c r="C577" s="26">
        <v>0</v>
      </c>
      <c r="D577" s="27">
        <v>43360</v>
      </c>
      <c r="E577" s="26">
        <v>-9451.9500000000007</v>
      </c>
      <c r="F577" s="26" t="s">
        <v>1495</v>
      </c>
      <c r="G577" s="26" t="s">
        <v>8</v>
      </c>
      <c r="H577" s="26" t="s">
        <v>1496</v>
      </c>
      <c r="I577" s="26" t="s">
        <v>106</v>
      </c>
      <c r="J577" s="26">
        <v>0</v>
      </c>
      <c r="K577" s="8" t="str">
        <f t="shared" si="8"/>
        <v>CHAPSPAYM</v>
      </c>
    </row>
    <row r="578" spans="1:11" x14ac:dyDescent="0.25">
      <c r="A578" s="26" t="s">
        <v>118</v>
      </c>
      <c r="B578" s="26" t="s">
        <v>111</v>
      </c>
      <c r="C578" s="26">
        <v>0</v>
      </c>
      <c r="D578" s="27">
        <v>43244</v>
      </c>
      <c r="E578" s="26">
        <v>38602.07</v>
      </c>
      <c r="F578" s="26" t="s">
        <v>1497</v>
      </c>
      <c r="G578" s="26" t="s">
        <v>8</v>
      </c>
      <c r="H578" s="26" t="s">
        <v>1498</v>
      </c>
      <c r="I578" s="26" t="s">
        <v>106</v>
      </c>
      <c r="J578" s="26">
        <v>0</v>
      </c>
      <c r="K578" s="8" t="str">
        <f t="shared" si="8"/>
        <v>CREST</v>
      </c>
    </row>
    <row r="579" spans="1:11" x14ac:dyDescent="0.25">
      <c r="A579" s="26" t="s">
        <v>118</v>
      </c>
      <c r="B579" s="26" t="s">
        <v>111</v>
      </c>
      <c r="C579" s="26">
        <v>0</v>
      </c>
      <c r="D579" s="27">
        <v>43248</v>
      </c>
      <c r="E579" s="26">
        <v>28832.41</v>
      </c>
      <c r="F579" s="26" t="s">
        <v>1499</v>
      </c>
      <c r="G579" s="26" t="s">
        <v>8</v>
      </c>
      <c r="H579" s="26" t="s">
        <v>1500</v>
      </c>
      <c r="I579" s="26" t="s">
        <v>106</v>
      </c>
      <c r="J579" s="26">
        <v>0</v>
      </c>
      <c r="K579" s="8" t="str">
        <f t="shared" ref="K579:K642" si="9">LEFT(A579,FIND("/",A579)-1)</f>
        <v>CREST</v>
      </c>
    </row>
    <row r="580" spans="1:11" x14ac:dyDescent="0.25">
      <c r="A580" s="26" t="s">
        <v>118</v>
      </c>
      <c r="B580" s="26" t="s">
        <v>111</v>
      </c>
      <c r="C580" s="26">
        <v>0</v>
      </c>
      <c r="D580" s="27">
        <v>43255</v>
      </c>
      <c r="E580" s="26">
        <v>13264.5</v>
      </c>
      <c r="F580" s="26" t="s">
        <v>1501</v>
      </c>
      <c r="G580" s="26" t="s">
        <v>8</v>
      </c>
      <c r="H580" s="26" t="s">
        <v>1502</v>
      </c>
      <c r="I580" s="26" t="s">
        <v>106</v>
      </c>
      <c r="J580" s="26">
        <v>0</v>
      </c>
      <c r="K580" s="8" t="str">
        <f t="shared" si="9"/>
        <v>CREST</v>
      </c>
    </row>
    <row r="581" spans="1:11" x14ac:dyDescent="0.25">
      <c r="A581" s="26" t="s">
        <v>118</v>
      </c>
      <c r="B581" s="26" t="s">
        <v>111</v>
      </c>
      <c r="C581" s="26">
        <v>0</v>
      </c>
      <c r="D581" s="27">
        <v>43262</v>
      </c>
      <c r="E581" s="26">
        <v>23431.29</v>
      </c>
      <c r="F581" s="26" t="s">
        <v>1503</v>
      </c>
      <c r="G581" s="26" t="s">
        <v>8</v>
      </c>
      <c r="H581" s="26" t="s">
        <v>1504</v>
      </c>
      <c r="I581" s="26" t="s">
        <v>106</v>
      </c>
      <c r="J581" s="26">
        <v>0</v>
      </c>
      <c r="K581" s="8" t="str">
        <f t="shared" si="9"/>
        <v>CREST</v>
      </c>
    </row>
    <row r="582" spans="1:11" x14ac:dyDescent="0.25">
      <c r="A582" s="26" t="s">
        <v>118</v>
      </c>
      <c r="B582" s="26" t="s">
        <v>111</v>
      </c>
      <c r="C582" s="26">
        <v>0</v>
      </c>
      <c r="D582" s="27">
        <v>43269</v>
      </c>
      <c r="E582" s="26">
        <v>43844.32</v>
      </c>
      <c r="F582" s="26" t="s">
        <v>1505</v>
      </c>
      <c r="G582" s="26" t="s">
        <v>8</v>
      </c>
      <c r="H582" s="26" t="s">
        <v>1506</v>
      </c>
      <c r="I582" s="26" t="s">
        <v>106</v>
      </c>
      <c r="J582" s="26">
        <v>0</v>
      </c>
      <c r="K582" s="8" t="str">
        <f t="shared" si="9"/>
        <v>CREST</v>
      </c>
    </row>
    <row r="583" spans="1:11" x14ac:dyDescent="0.25">
      <c r="A583" s="26" t="s">
        <v>118</v>
      </c>
      <c r="B583" s="26" t="s">
        <v>111</v>
      </c>
      <c r="C583" s="26">
        <v>0</v>
      </c>
      <c r="D583" s="27">
        <v>43276</v>
      </c>
      <c r="E583" s="26">
        <v>38919.78</v>
      </c>
      <c r="F583" s="26" t="s">
        <v>1507</v>
      </c>
      <c r="G583" s="26" t="s">
        <v>8</v>
      </c>
      <c r="H583" s="26" t="s">
        <v>1508</v>
      </c>
      <c r="I583" s="26" t="s">
        <v>106</v>
      </c>
      <c r="J583" s="26">
        <v>0</v>
      </c>
      <c r="K583" s="8" t="str">
        <f t="shared" si="9"/>
        <v>CREST</v>
      </c>
    </row>
    <row r="584" spans="1:11" x14ac:dyDescent="0.25">
      <c r="A584" s="26" t="s">
        <v>118</v>
      </c>
      <c r="B584" s="26" t="s">
        <v>111</v>
      </c>
      <c r="C584" s="26">
        <v>0</v>
      </c>
      <c r="D584" s="27">
        <v>43283</v>
      </c>
      <c r="E584" s="26">
        <v>43208.9</v>
      </c>
      <c r="F584" s="26" t="s">
        <v>1509</v>
      </c>
      <c r="G584" s="26" t="s">
        <v>8</v>
      </c>
      <c r="H584" s="26" t="s">
        <v>1510</v>
      </c>
      <c r="I584" s="26" t="s">
        <v>106</v>
      </c>
      <c r="J584" s="26">
        <v>0</v>
      </c>
      <c r="K584" s="8" t="str">
        <f t="shared" si="9"/>
        <v>CREST</v>
      </c>
    </row>
    <row r="585" spans="1:11" x14ac:dyDescent="0.25">
      <c r="A585" s="26" t="s">
        <v>118</v>
      </c>
      <c r="B585" s="26" t="s">
        <v>111</v>
      </c>
      <c r="C585" s="26">
        <v>0</v>
      </c>
      <c r="D585" s="27">
        <v>43290</v>
      </c>
      <c r="E585" s="26">
        <v>43447.18</v>
      </c>
      <c r="F585" s="26" t="s">
        <v>1511</v>
      </c>
      <c r="G585" s="26" t="s">
        <v>8</v>
      </c>
      <c r="H585" s="26" t="s">
        <v>1512</v>
      </c>
      <c r="I585" s="26" t="s">
        <v>106</v>
      </c>
      <c r="J585" s="26">
        <v>0</v>
      </c>
      <c r="K585" s="8" t="str">
        <f t="shared" si="9"/>
        <v>CREST</v>
      </c>
    </row>
    <row r="586" spans="1:11" x14ac:dyDescent="0.25">
      <c r="A586" s="26" t="s">
        <v>118</v>
      </c>
      <c r="B586" s="26" t="s">
        <v>111</v>
      </c>
      <c r="C586" s="26">
        <v>0</v>
      </c>
      <c r="D586" s="27">
        <v>43297</v>
      </c>
      <c r="E586" s="26">
        <v>47974.58</v>
      </c>
      <c r="F586" s="26" t="s">
        <v>1513</v>
      </c>
      <c r="G586" s="26" t="s">
        <v>8</v>
      </c>
      <c r="H586" s="26" t="s">
        <v>1514</v>
      </c>
      <c r="I586" s="26" t="s">
        <v>106</v>
      </c>
      <c r="J586" s="26">
        <v>0</v>
      </c>
      <c r="K586" s="8" t="str">
        <f t="shared" si="9"/>
        <v>CREST</v>
      </c>
    </row>
    <row r="587" spans="1:11" x14ac:dyDescent="0.25">
      <c r="A587" s="26" t="s">
        <v>118</v>
      </c>
      <c r="B587" s="26" t="s">
        <v>111</v>
      </c>
      <c r="C587" s="26">
        <v>0</v>
      </c>
      <c r="D587" s="27">
        <v>43304</v>
      </c>
      <c r="E587" s="26">
        <v>70691.02</v>
      </c>
      <c r="F587" s="26" t="s">
        <v>1515</v>
      </c>
      <c r="G587" s="26" t="s">
        <v>8</v>
      </c>
      <c r="H587" s="26" t="s">
        <v>1516</v>
      </c>
      <c r="I587" s="26" t="s">
        <v>106</v>
      </c>
      <c r="J587" s="26">
        <v>0</v>
      </c>
      <c r="K587" s="8" t="str">
        <f t="shared" si="9"/>
        <v>CREST</v>
      </c>
    </row>
    <row r="588" spans="1:11" x14ac:dyDescent="0.25">
      <c r="A588" s="26" t="s">
        <v>118</v>
      </c>
      <c r="B588" s="26" t="s">
        <v>111</v>
      </c>
      <c r="C588" s="26">
        <v>0</v>
      </c>
      <c r="D588" s="27">
        <v>43311</v>
      </c>
      <c r="E588" s="26">
        <v>37490.07</v>
      </c>
      <c r="F588" s="26" t="s">
        <v>1517</v>
      </c>
      <c r="G588" s="26" t="s">
        <v>8</v>
      </c>
      <c r="H588" s="26" t="s">
        <v>1518</v>
      </c>
      <c r="I588" s="26" t="s">
        <v>106</v>
      </c>
      <c r="J588" s="26">
        <v>0</v>
      </c>
      <c r="K588" s="8" t="str">
        <f t="shared" si="9"/>
        <v>CREST</v>
      </c>
    </row>
    <row r="589" spans="1:11" x14ac:dyDescent="0.25">
      <c r="A589" s="26" t="s">
        <v>118</v>
      </c>
      <c r="B589" s="26" t="s">
        <v>111</v>
      </c>
      <c r="C589" s="26">
        <v>0</v>
      </c>
      <c r="D589" s="27">
        <v>43318</v>
      </c>
      <c r="E589" s="26">
        <v>41779.19</v>
      </c>
      <c r="F589" s="26" t="s">
        <v>1519</v>
      </c>
      <c r="G589" s="26" t="s">
        <v>8</v>
      </c>
      <c r="H589" s="26" t="s">
        <v>1520</v>
      </c>
      <c r="I589" s="26" t="s">
        <v>106</v>
      </c>
      <c r="J589" s="26">
        <v>0</v>
      </c>
      <c r="K589" s="8" t="str">
        <f t="shared" si="9"/>
        <v>CREST</v>
      </c>
    </row>
    <row r="590" spans="1:11" x14ac:dyDescent="0.25">
      <c r="A590" s="26" t="s">
        <v>118</v>
      </c>
      <c r="B590" s="26" t="s">
        <v>111</v>
      </c>
      <c r="C590" s="26">
        <v>0</v>
      </c>
      <c r="D590" s="27">
        <v>43325</v>
      </c>
      <c r="E590" s="26">
        <v>46465.45</v>
      </c>
      <c r="F590" s="26" t="s">
        <v>1521</v>
      </c>
      <c r="G590" s="26" t="s">
        <v>8</v>
      </c>
      <c r="H590" s="26" t="s">
        <v>1522</v>
      </c>
      <c r="I590" s="26" t="s">
        <v>106</v>
      </c>
      <c r="J590" s="26">
        <v>0</v>
      </c>
      <c r="K590" s="8" t="str">
        <f t="shared" si="9"/>
        <v>CREST</v>
      </c>
    </row>
    <row r="591" spans="1:11" x14ac:dyDescent="0.25">
      <c r="A591" s="26" t="s">
        <v>118</v>
      </c>
      <c r="B591" s="26" t="s">
        <v>111</v>
      </c>
      <c r="C591" s="26">
        <v>0</v>
      </c>
      <c r="D591" s="27">
        <v>43336</v>
      </c>
      <c r="E591" s="26">
        <v>38284.35</v>
      </c>
      <c r="F591" s="26" t="s">
        <v>1523</v>
      </c>
      <c r="G591" s="26" t="s">
        <v>8</v>
      </c>
      <c r="H591" s="26" t="s">
        <v>1524</v>
      </c>
      <c r="I591" s="26" t="s">
        <v>106</v>
      </c>
      <c r="J591" s="26">
        <v>0</v>
      </c>
      <c r="K591" s="8" t="str">
        <f t="shared" si="9"/>
        <v>CREST</v>
      </c>
    </row>
    <row r="592" spans="1:11" x14ac:dyDescent="0.25">
      <c r="A592" s="26" t="s">
        <v>118</v>
      </c>
      <c r="B592" s="26" t="s">
        <v>111</v>
      </c>
      <c r="C592" s="26">
        <v>0</v>
      </c>
      <c r="D592" s="27">
        <v>43339</v>
      </c>
      <c r="E592" s="26">
        <v>42017.47</v>
      </c>
      <c r="F592" s="26" t="s">
        <v>1525</v>
      </c>
      <c r="G592" s="26" t="s">
        <v>8</v>
      </c>
      <c r="H592" s="26" t="s">
        <v>1526</v>
      </c>
      <c r="I592" s="26" t="s">
        <v>106</v>
      </c>
      <c r="J592" s="26">
        <v>0</v>
      </c>
      <c r="K592" s="8" t="str">
        <f t="shared" si="9"/>
        <v>CREST</v>
      </c>
    </row>
    <row r="593" spans="1:11" x14ac:dyDescent="0.25">
      <c r="A593" s="26" t="s">
        <v>118</v>
      </c>
      <c r="B593" s="26" t="s">
        <v>111</v>
      </c>
      <c r="C593" s="26">
        <v>0</v>
      </c>
      <c r="D593" s="27">
        <v>43346</v>
      </c>
      <c r="E593" s="26">
        <v>32724.38</v>
      </c>
      <c r="F593" s="26" t="s">
        <v>1527</v>
      </c>
      <c r="G593" s="26" t="s">
        <v>8</v>
      </c>
      <c r="H593" s="26" t="s">
        <v>1528</v>
      </c>
      <c r="I593" s="26" t="s">
        <v>106</v>
      </c>
      <c r="J593" s="26">
        <v>0</v>
      </c>
      <c r="K593" s="8" t="str">
        <f t="shared" si="9"/>
        <v>CREST</v>
      </c>
    </row>
    <row r="594" spans="1:11" x14ac:dyDescent="0.25">
      <c r="A594" s="26" t="s">
        <v>118</v>
      </c>
      <c r="B594" s="26" t="s">
        <v>111</v>
      </c>
      <c r="C594" s="26">
        <v>0</v>
      </c>
      <c r="D594" s="27">
        <v>43353</v>
      </c>
      <c r="E594" s="26">
        <v>39396.35</v>
      </c>
      <c r="F594" s="26" t="s">
        <v>1529</v>
      </c>
      <c r="G594" s="26" t="s">
        <v>8</v>
      </c>
      <c r="H594" s="26" t="s">
        <v>1530</v>
      </c>
      <c r="I594" s="26" t="s">
        <v>106</v>
      </c>
      <c r="J594" s="26">
        <v>0</v>
      </c>
      <c r="K594" s="8" t="str">
        <f t="shared" si="9"/>
        <v>CREST</v>
      </c>
    </row>
    <row r="595" spans="1:11" x14ac:dyDescent="0.25">
      <c r="A595" s="26" t="s">
        <v>118</v>
      </c>
      <c r="B595" s="26" t="s">
        <v>111</v>
      </c>
      <c r="C595" s="26">
        <v>0</v>
      </c>
      <c r="D595" s="27">
        <v>43360</v>
      </c>
      <c r="E595" s="26">
        <v>36536.93</v>
      </c>
      <c r="F595" s="26" t="s">
        <v>1531</v>
      </c>
      <c r="G595" s="26" t="s">
        <v>8</v>
      </c>
      <c r="H595" s="26" t="s">
        <v>1532</v>
      </c>
      <c r="I595" s="26" t="s">
        <v>106</v>
      </c>
      <c r="J595" s="26">
        <v>0</v>
      </c>
      <c r="K595" s="8" t="str">
        <f t="shared" si="9"/>
        <v>CREST</v>
      </c>
    </row>
    <row r="596" spans="1:11" x14ac:dyDescent="0.25">
      <c r="A596" s="26" t="s">
        <v>133</v>
      </c>
      <c r="B596" s="26" t="s">
        <v>111</v>
      </c>
      <c r="C596" s="26">
        <v>0</v>
      </c>
      <c r="D596" s="27">
        <v>43244</v>
      </c>
      <c r="E596" s="26">
        <v>7942.81</v>
      </c>
      <c r="F596" s="26" t="s">
        <v>1533</v>
      </c>
      <c r="G596" s="26" t="s">
        <v>8</v>
      </c>
      <c r="H596" s="26" t="s">
        <v>1534</v>
      </c>
      <c r="I596" s="26" t="s">
        <v>106</v>
      </c>
      <c r="J596" s="26">
        <v>0</v>
      </c>
      <c r="K596" s="8" t="str">
        <f t="shared" si="9"/>
        <v>EDUCATION</v>
      </c>
    </row>
    <row r="597" spans="1:11" x14ac:dyDescent="0.25">
      <c r="A597" s="26" t="s">
        <v>133</v>
      </c>
      <c r="B597" s="26" t="s">
        <v>111</v>
      </c>
      <c r="C597" s="26">
        <v>0</v>
      </c>
      <c r="D597" s="27">
        <v>43245</v>
      </c>
      <c r="E597" s="26">
        <v>11914.22</v>
      </c>
      <c r="F597" s="26" t="s">
        <v>1535</v>
      </c>
      <c r="G597" s="26" t="s">
        <v>8</v>
      </c>
      <c r="H597" s="26" t="s">
        <v>1536</v>
      </c>
      <c r="I597" s="26" t="s">
        <v>106</v>
      </c>
      <c r="J597" s="26">
        <v>0</v>
      </c>
      <c r="K597" s="8" t="str">
        <f t="shared" si="9"/>
        <v>EDUCATION</v>
      </c>
    </row>
    <row r="598" spans="1:11" x14ac:dyDescent="0.25">
      <c r="A598" s="26" t="s">
        <v>133</v>
      </c>
      <c r="B598" s="26" t="s">
        <v>111</v>
      </c>
      <c r="C598" s="26">
        <v>0</v>
      </c>
      <c r="D598" s="27">
        <v>43245</v>
      </c>
      <c r="E598" s="26">
        <v>19857.03</v>
      </c>
      <c r="F598" s="26" t="s">
        <v>1537</v>
      </c>
      <c r="G598" s="26" t="s">
        <v>8</v>
      </c>
      <c r="H598" s="26" t="s">
        <v>1538</v>
      </c>
      <c r="I598" s="26" t="s">
        <v>106</v>
      </c>
      <c r="J598" s="26">
        <v>0</v>
      </c>
      <c r="K598" s="8" t="str">
        <f t="shared" si="9"/>
        <v>EDUCATION</v>
      </c>
    </row>
    <row r="599" spans="1:11" x14ac:dyDescent="0.25">
      <c r="A599" s="26" t="s">
        <v>133</v>
      </c>
      <c r="B599" s="26" t="s">
        <v>111</v>
      </c>
      <c r="C599" s="26">
        <v>0</v>
      </c>
      <c r="D599" s="27">
        <v>43245</v>
      </c>
      <c r="E599" s="26">
        <v>206513.11</v>
      </c>
      <c r="F599" s="26" t="s">
        <v>1539</v>
      </c>
      <c r="G599" s="26" t="s">
        <v>8</v>
      </c>
      <c r="H599" s="26" t="s">
        <v>1540</v>
      </c>
      <c r="I599" s="26" t="s">
        <v>106</v>
      </c>
      <c r="J599" s="26">
        <v>0</v>
      </c>
      <c r="K599" s="8" t="str">
        <f t="shared" si="9"/>
        <v>EDUCATION</v>
      </c>
    </row>
    <row r="600" spans="1:11" x14ac:dyDescent="0.25">
      <c r="A600" s="26" t="s">
        <v>133</v>
      </c>
      <c r="B600" s="26" t="s">
        <v>111</v>
      </c>
      <c r="C600" s="26">
        <v>0</v>
      </c>
      <c r="D600" s="27">
        <v>43248</v>
      </c>
      <c r="E600" s="26">
        <v>39714.06</v>
      </c>
      <c r="F600" s="26" t="s">
        <v>1541</v>
      </c>
      <c r="G600" s="26" t="s">
        <v>8</v>
      </c>
      <c r="H600" s="26" t="s">
        <v>1542</v>
      </c>
      <c r="I600" s="26" t="s">
        <v>106</v>
      </c>
      <c r="J600" s="26">
        <v>0</v>
      </c>
      <c r="K600" s="8" t="str">
        <f t="shared" si="9"/>
        <v>EDUCATION</v>
      </c>
    </row>
    <row r="601" spans="1:11" x14ac:dyDescent="0.25">
      <c r="A601" s="26" t="s">
        <v>133</v>
      </c>
      <c r="B601" s="26" t="s">
        <v>111</v>
      </c>
      <c r="C601" s="26">
        <v>0</v>
      </c>
      <c r="D601" s="27">
        <v>43251</v>
      </c>
      <c r="E601" s="26">
        <v>7942.81</v>
      </c>
      <c r="F601" s="26" t="s">
        <v>1543</v>
      </c>
      <c r="G601" s="26" t="s">
        <v>8</v>
      </c>
      <c r="H601" s="26" t="s">
        <v>1544</v>
      </c>
      <c r="I601" s="26" t="s">
        <v>106</v>
      </c>
      <c r="J601" s="26">
        <v>0</v>
      </c>
      <c r="K601" s="8" t="str">
        <f t="shared" si="9"/>
        <v>EDUCATION</v>
      </c>
    </row>
    <row r="602" spans="1:11" x14ac:dyDescent="0.25">
      <c r="A602" s="26" t="s">
        <v>133</v>
      </c>
      <c r="B602" s="26" t="s">
        <v>111</v>
      </c>
      <c r="C602" s="26">
        <v>0</v>
      </c>
      <c r="D602" s="27">
        <v>43252</v>
      </c>
      <c r="E602" s="26">
        <v>3971.41</v>
      </c>
      <c r="F602" s="26" t="s">
        <v>1545</v>
      </c>
      <c r="G602" s="26" t="s">
        <v>8</v>
      </c>
      <c r="H602" s="26" t="s">
        <v>1546</v>
      </c>
      <c r="I602" s="26" t="s">
        <v>106</v>
      </c>
      <c r="J602" s="26">
        <v>0</v>
      </c>
      <c r="K602" s="8" t="str">
        <f t="shared" si="9"/>
        <v>EDUCATION</v>
      </c>
    </row>
    <row r="603" spans="1:11" x14ac:dyDescent="0.25">
      <c r="A603" s="26" t="s">
        <v>133</v>
      </c>
      <c r="B603" s="26" t="s">
        <v>111</v>
      </c>
      <c r="C603" s="26">
        <v>0</v>
      </c>
      <c r="D603" s="27">
        <v>43273</v>
      </c>
      <c r="E603" s="26">
        <v>7942.81</v>
      </c>
      <c r="F603" s="26" t="s">
        <v>1547</v>
      </c>
      <c r="G603" s="26" t="s">
        <v>8</v>
      </c>
      <c r="H603" s="26" t="s">
        <v>1548</v>
      </c>
      <c r="I603" s="26" t="s">
        <v>106</v>
      </c>
      <c r="J603" s="26">
        <v>0</v>
      </c>
      <c r="K603" s="8" t="str">
        <f t="shared" si="9"/>
        <v>EDUCATION</v>
      </c>
    </row>
    <row r="604" spans="1:11" x14ac:dyDescent="0.25">
      <c r="A604" s="26" t="s">
        <v>133</v>
      </c>
      <c r="B604" s="26" t="s">
        <v>111</v>
      </c>
      <c r="C604" s="26">
        <v>0</v>
      </c>
      <c r="D604" s="27">
        <v>43273</v>
      </c>
      <c r="E604" s="26">
        <v>11914.22</v>
      </c>
      <c r="F604" s="26" t="s">
        <v>1549</v>
      </c>
      <c r="G604" s="26" t="s">
        <v>8</v>
      </c>
      <c r="H604" s="26" t="s">
        <v>1550</v>
      </c>
      <c r="I604" s="26" t="s">
        <v>106</v>
      </c>
      <c r="J604" s="26">
        <v>0</v>
      </c>
      <c r="K604" s="8" t="str">
        <f t="shared" si="9"/>
        <v>EDUCATION</v>
      </c>
    </row>
    <row r="605" spans="1:11" x14ac:dyDescent="0.25">
      <c r="A605" s="26" t="s">
        <v>133</v>
      </c>
      <c r="B605" s="26" t="s">
        <v>111</v>
      </c>
      <c r="C605" s="26">
        <v>0</v>
      </c>
      <c r="D605" s="27">
        <v>43273</v>
      </c>
      <c r="E605" s="26">
        <v>7942.81</v>
      </c>
      <c r="F605" s="26" t="s">
        <v>1551</v>
      </c>
      <c r="G605" s="26" t="s">
        <v>8</v>
      </c>
      <c r="H605" s="26" t="s">
        <v>1552</v>
      </c>
      <c r="I605" s="26" t="s">
        <v>106</v>
      </c>
      <c r="J605" s="26">
        <v>0</v>
      </c>
      <c r="K605" s="8" t="str">
        <f t="shared" si="9"/>
        <v>EDUCATION</v>
      </c>
    </row>
    <row r="606" spans="1:11" x14ac:dyDescent="0.25">
      <c r="A606" s="26" t="s">
        <v>133</v>
      </c>
      <c r="B606" s="26" t="s">
        <v>111</v>
      </c>
      <c r="C606" s="26">
        <v>0</v>
      </c>
      <c r="D606" s="27">
        <v>43276</v>
      </c>
      <c r="E606" s="26">
        <v>210484.51</v>
      </c>
      <c r="F606" s="26" t="s">
        <v>1553</v>
      </c>
      <c r="G606" s="26" t="s">
        <v>8</v>
      </c>
      <c r="H606" s="26" t="s">
        <v>1554</v>
      </c>
      <c r="I606" s="26" t="s">
        <v>106</v>
      </c>
      <c r="J606" s="26">
        <v>0</v>
      </c>
      <c r="K606" s="8" t="str">
        <f t="shared" si="9"/>
        <v>EDUCATION</v>
      </c>
    </row>
    <row r="607" spans="1:11" x14ac:dyDescent="0.25">
      <c r="A607" s="26" t="s">
        <v>133</v>
      </c>
      <c r="B607" s="26" t="s">
        <v>111</v>
      </c>
      <c r="C607" s="26">
        <v>0</v>
      </c>
      <c r="D607" s="27">
        <v>43279</v>
      </c>
      <c r="E607" s="26">
        <v>31771.25</v>
      </c>
      <c r="F607" s="26" t="s">
        <v>1555</v>
      </c>
      <c r="G607" s="26" t="s">
        <v>8</v>
      </c>
      <c r="H607" s="26" t="s">
        <v>1556</v>
      </c>
      <c r="I607" s="26" t="s">
        <v>106</v>
      </c>
      <c r="J607" s="26">
        <v>0</v>
      </c>
      <c r="K607" s="8" t="str">
        <f t="shared" si="9"/>
        <v>EDUCATION</v>
      </c>
    </row>
    <row r="608" spans="1:11" x14ac:dyDescent="0.25">
      <c r="A608" s="26" t="s">
        <v>133</v>
      </c>
      <c r="B608" s="26" t="s">
        <v>111</v>
      </c>
      <c r="C608" s="26">
        <v>0</v>
      </c>
      <c r="D608" s="27">
        <v>43280</v>
      </c>
      <c r="E608" s="26">
        <v>15885.62</v>
      </c>
      <c r="F608" s="26" t="s">
        <v>1557</v>
      </c>
      <c r="G608" s="26" t="s">
        <v>8</v>
      </c>
      <c r="H608" s="26" t="s">
        <v>1558</v>
      </c>
      <c r="I608" s="26" t="s">
        <v>106</v>
      </c>
      <c r="J608" s="26">
        <v>0</v>
      </c>
      <c r="K608" s="8" t="str">
        <f t="shared" si="9"/>
        <v>EDUCATION</v>
      </c>
    </row>
    <row r="609" spans="1:11" x14ac:dyDescent="0.25">
      <c r="A609" s="26" t="s">
        <v>133</v>
      </c>
      <c r="B609" s="26" t="s">
        <v>111</v>
      </c>
      <c r="C609" s="26">
        <v>0</v>
      </c>
      <c r="D609" s="27">
        <v>43301</v>
      </c>
      <c r="E609" s="26">
        <v>7942.81</v>
      </c>
      <c r="F609" s="26" t="s">
        <v>1559</v>
      </c>
      <c r="G609" s="26" t="s">
        <v>8</v>
      </c>
      <c r="H609" s="26" t="s">
        <v>1560</v>
      </c>
      <c r="I609" s="26" t="s">
        <v>106</v>
      </c>
      <c r="J609" s="26">
        <v>0</v>
      </c>
      <c r="K609" s="8" t="str">
        <f t="shared" si="9"/>
        <v>EDUCATION</v>
      </c>
    </row>
    <row r="610" spans="1:11" x14ac:dyDescent="0.25">
      <c r="A610" s="26" t="s">
        <v>133</v>
      </c>
      <c r="B610" s="26" t="s">
        <v>111</v>
      </c>
      <c r="C610" s="26">
        <v>0</v>
      </c>
      <c r="D610" s="27">
        <v>43301</v>
      </c>
      <c r="E610" s="26">
        <v>11914.22</v>
      </c>
      <c r="F610" s="26" t="s">
        <v>1561</v>
      </c>
      <c r="G610" s="26" t="s">
        <v>8</v>
      </c>
      <c r="H610" s="26" t="s">
        <v>1562</v>
      </c>
      <c r="I610" s="26" t="s">
        <v>106</v>
      </c>
      <c r="J610" s="26">
        <v>0</v>
      </c>
      <c r="K610" s="8" t="str">
        <f t="shared" si="9"/>
        <v>EDUCATION</v>
      </c>
    </row>
    <row r="611" spans="1:11" x14ac:dyDescent="0.25">
      <c r="A611" s="26" t="s">
        <v>133</v>
      </c>
      <c r="B611" s="26" t="s">
        <v>111</v>
      </c>
      <c r="C611" s="26">
        <v>0</v>
      </c>
      <c r="D611" s="27">
        <v>43301</v>
      </c>
      <c r="E611" s="26">
        <v>19857.03</v>
      </c>
      <c r="F611" s="26" t="s">
        <v>1563</v>
      </c>
      <c r="G611" s="26" t="s">
        <v>8</v>
      </c>
      <c r="H611" s="26" t="s">
        <v>1564</v>
      </c>
      <c r="I611" s="26" t="s">
        <v>106</v>
      </c>
      <c r="J611" s="26">
        <v>0</v>
      </c>
      <c r="K611" s="8" t="str">
        <f t="shared" si="9"/>
        <v>EDUCATION</v>
      </c>
    </row>
    <row r="612" spans="1:11" x14ac:dyDescent="0.25">
      <c r="A612" s="26" t="s">
        <v>133</v>
      </c>
      <c r="B612" s="26" t="s">
        <v>111</v>
      </c>
      <c r="C612" s="26">
        <v>0</v>
      </c>
      <c r="D612" s="27">
        <v>43304</v>
      </c>
      <c r="E612" s="26">
        <v>206513.11</v>
      </c>
      <c r="F612" s="26" t="s">
        <v>1565</v>
      </c>
      <c r="G612" s="26" t="s">
        <v>8</v>
      </c>
      <c r="H612" s="26" t="s">
        <v>1566</v>
      </c>
      <c r="I612" s="26" t="s">
        <v>106</v>
      </c>
      <c r="J612" s="26">
        <v>0</v>
      </c>
      <c r="K612" s="8" t="str">
        <f t="shared" si="9"/>
        <v>EDUCATION</v>
      </c>
    </row>
    <row r="613" spans="1:11" x14ac:dyDescent="0.25">
      <c r="A613" s="26" t="s">
        <v>133</v>
      </c>
      <c r="B613" s="26" t="s">
        <v>111</v>
      </c>
      <c r="C613" s="26">
        <v>0</v>
      </c>
      <c r="D613" s="27">
        <v>43307</v>
      </c>
      <c r="E613" s="26">
        <v>35742.65</v>
      </c>
      <c r="F613" s="26" t="s">
        <v>1567</v>
      </c>
      <c r="G613" s="26" t="s">
        <v>8</v>
      </c>
      <c r="H613" s="26" t="s">
        <v>1568</v>
      </c>
      <c r="I613" s="26" t="s">
        <v>106</v>
      </c>
      <c r="J613" s="26">
        <v>0</v>
      </c>
      <c r="K613" s="8" t="str">
        <f t="shared" si="9"/>
        <v>EDUCATION</v>
      </c>
    </row>
    <row r="614" spans="1:11" x14ac:dyDescent="0.25">
      <c r="A614" s="26" t="s">
        <v>133</v>
      </c>
      <c r="B614" s="26" t="s">
        <v>111</v>
      </c>
      <c r="C614" s="26">
        <v>0</v>
      </c>
      <c r="D614" s="27">
        <v>43308</v>
      </c>
      <c r="E614" s="26">
        <v>11914.22</v>
      </c>
      <c r="F614" s="26" t="s">
        <v>1569</v>
      </c>
      <c r="G614" s="26" t="s">
        <v>8</v>
      </c>
      <c r="H614" s="26" t="s">
        <v>1570</v>
      </c>
      <c r="I614" s="26" t="s">
        <v>106</v>
      </c>
      <c r="J614" s="26">
        <v>0</v>
      </c>
      <c r="K614" s="8" t="str">
        <f t="shared" si="9"/>
        <v>EDUCATION</v>
      </c>
    </row>
    <row r="615" spans="1:11" x14ac:dyDescent="0.25">
      <c r="A615" s="26" t="s">
        <v>133</v>
      </c>
      <c r="B615" s="26" t="s">
        <v>111</v>
      </c>
      <c r="C615" s="26">
        <v>0</v>
      </c>
      <c r="D615" s="27">
        <v>43308</v>
      </c>
      <c r="E615" s="26">
        <v>7942.81</v>
      </c>
      <c r="F615" s="26" t="s">
        <v>1571</v>
      </c>
      <c r="G615" s="26" t="s">
        <v>8</v>
      </c>
      <c r="H615" s="26" t="s">
        <v>1572</v>
      </c>
      <c r="I615" s="26" t="s">
        <v>106</v>
      </c>
      <c r="J615" s="26">
        <v>0</v>
      </c>
      <c r="K615" s="8" t="str">
        <f t="shared" si="9"/>
        <v>EDUCATION</v>
      </c>
    </row>
    <row r="616" spans="1:11" x14ac:dyDescent="0.25">
      <c r="A616" s="26" t="s">
        <v>133</v>
      </c>
      <c r="B616" s="26" t="s">
        <v>111</v>
      </c>
      <c r="C616" s="26">
        <v>0</v>
      </c>
      <c r="D616" s="27">
        <v>43336</v>
      </c>
      <c r="E616" s="26">
        <v>27799.84</v>
      </c>
      <c r="F616" s="26" t="s">
        <v>1573</v>
      </c>
      <c r="G616" s="26" t="s">
        <v>8</v>
      </c>
      <c r="H616" s="26" t="s">
        <v>1574</v>
      </c>
      <c r="I616" s="26" t="s">
        <v>106</v>
      </c>
      <c r="J616" s="26">
        <v>0</v>
      </c>
      <c r="K616" s="8" t="str">
        <f t="shared" si="9"/>
        <v>EDUCATION</v>
      </c>
    </row>
    <row r="617" spans="1:11" x14ac:dyDescent="0.25">
      <c r="A617" s="26" t="s">
        <v>133</v>
      </c>
      <c r="B617" s="26" t="s">
        <v>111</v>
      </c>
      <c r="C617" s="26">
        <v>0</v>
      </c>
      <c r="D617" s="27">
        <v>43336</v>
      </c>
      <c r="E617" s="26">
        <v>214455.92</v>
      </c>
      <c r="F617" s="26" t="s">
        <v>1575</v>
      </c>
      <c r="G617" s="26" t="s">
        <v>8</v>
      </c>
      <c r="H617" s="26" t="s">
        <v>1576</v>
      </c>
      <c r="I617" s="26" t="s">
        <v>106</v>
      </c>
      <c r="J617" s="26">
        <v>0</v>
      </c>
      <c r="K617" s="8" t="str">
        <f t="shared" si="9"/>
        <v>EDUCATION</v>
      </c>
    </row>
    <row r="618" spans="1:11" x14ac:dyDescent="0.25">
      <c r="A618" s="26" t="s">
        <v>133</v>
      </c>
      <c r="B618" s="26" t="s">
        <v>111</v>
      </c>
      <c r="C618" s="26">
        <v>0</v>
      </c>
      <c r="D618" s="27">
        <v>43336</v>
      </c>
      <c r="E618" s="26">
        <v>27799.84</v>
      </c>
      <c r="F618" s="26" t="s">
        <v>1577</v>
      </c>
      <c r="G618" s="26" t="s">
        <v>8</v>
      </c>
      <c r="H618" s="26" t="s">
        <v>1578</v>
      </c>
      <c r="I618" s="26" t="s">
        <v>106</v>
      </c>
      <c r="J618" s="26">
        <v>0</v>
      </c>
      <c r="K618" s="8" t="str">
        <f t="shared" si="9"/>
        <v>EDUCATION</v>
      </c>
    </row>
    <row r="619" spans="1:11" x14ac:dyDescent="0.25">
      <c r="A619" s="26" t="s">
        <v>133</v>
      </c>
      <c r="B619" s="26" t="s">
        <v>111</v>
      </c>
      <c r="C619" s="26">
        <v>0</v>
      </c>
      <c r="D619" s="27">
        <v>43339</v>
      </c>
      <c r="E619" s="26">
        <v>23828.44</v>
      </c>
      <c r="F619" s="26" t="s">
        <v>1579</v>
      </c>
      <c r="G619" s="26" t="s">
        <v>8</v>
      </c>
      <c r="H619" s="26" t="s">
        <v>1580</v>
      </c>
      <c r="I619" s="26" t="s">
        <v>106</v>
      </c>
      <c r="J619" s="26">
        <v>0</v>
      </c>
      <c r="K619" s="8" t="str">
        <f t="shared" si="9"/>
        <v>EDUCATION</v>
      </c>
    </row>
    <row r="620" spans="1:11" x14ac:dyDescent="0.25">
      <c r="A620" s="26" t="s">
        <v>133</v>
      </c>
      <c r="B620" s="26" t="s">
        <v>111</v>
      </c>
      <c r="C620" s="26">
        <v>0</v>
      </c>
      <c r="D620" s="27">
        <v>43342</v>
      </c>
      <c r="E620" s="26">
        <v>3971.41</v>
      </c>
      <c r="F620" s="26" t="s">
        <v>1581</v>
      </c>
      <c r="G620" s="26" t="s">
        <v>8</v>
      </c>
      <c r="H620" s="26" t="s">
        <v>1582</v>
      </c>
      <c r="I620" s="26" t="s">
        <v>106</v>
      </c>
      <c r="J620" s="26">
        <v>0</v>
      </c>
      <c r="K620" s="8" t="str">
        <f t="shared" si="9"/>
        <v>EDUCATION</v>
      </c>
    </row>
    <row r="621" spans="1:11" x14ac:dyDescent="0.25">
      <c r="A621" s="26" t="s">
        <v>126</v>
      </c>
      <c r="B621" s="26" t="s">
        <v>111</v>
      </c>
      <c r="C621" s="26">
        <v>0</v>
      </c>
      <c r="D621" s="27">
        <v>43244</v>
      </c>
      <c r="E621" s="26">
        <v>2065.13</v>
      </c>
      <c r="F621" s="26" t="s">
        <v>1583</v>
      </c>
      <c r="G621" s="26" t="s">
        <v>8</v>
      </c>
      <c r="H621" s="26" t="s">
        <v>1584</v>
      </c>
      <c r="I621" s="26" t="s">
        <v>106</v>
      </c>
      <c r="J621" s="26">
        <v>0</v>
      </c>
      <c r="K621" s="8" t="str">
        <f t="shared" si="9"/>
        <v>ENGLISHREC</v>
      </c>
    </row>
    <row r="622" spans="1:11" x14ac:dyDescent="0.25">
      <c r="A622" s="26" t="s">
        <v>126</v>
      </c>
      <c r="B622" s="26" t="s">
        <v>111</v>
      </c>
      <c r="C622" s="26">
        <v>0</v>
      </c>
      <c r="D622" s="27">
        <v>43245</v>
      </c>
      <c r="E622" s="26">
        <v>317.70999999999998</v>
      </c>
      <c r="F622" s="26" t="s">
        <v>1585</v>
      </c>
      <c r="G622" s="26" t="s">
        <v>8</v>
      </c>
      <c r="H622" s="26" t="s">
        <v>1586</v>
      </c>
      <c r="I622" s="26" t="s">
        <v>106</v>
      </c>
      <c r="J622" s="26">
        <v>0</v>
      </c>
      <c r="K622" s="8" t="str">
        <f t="shared" si="9"/>
        <v>ENGLISHREC</v>
      </c>
    </row>
    <row r="623" spans="1:11" x14ac:dyDescent="0.25">
      <c r="A623" s="26" t="s">
        <v>126</v>
      </c>
      <c r="B623" s="26" t="s">
        <v>111</v>
      </c>
      <c r="C623" s="26">
        <v>0</v>
      </c>
      <c r="D623" s="27">
        <v>43245</v>
      </c>
      <c r="E623" s="26">
        <v>1350.28</v>
      </c>
      <c r="F623" s="26" t="s">
        <v>1587</v>
      </c>
      <c r="G623" s="26" t="s">
        <v>8</v>
      </c>
      <c r="H623" s="26" t="s">
        <v>1588</v>
      </c>
      <c r="I623" s="26" t="s">
        <v>106</v>
      </c>
      <c r="J623" s="26">
        <v>0</v>
      </c>
      <c r="K623" s="8" t="str">
        <f t="shared" si="9"/>
        <v>ENGLISHREC</v>
      </c>
    </row>
    <row r="624" spans="1:11" x14ac:dyDescent="0.25">
      <c r="A624" s="26" t="s">
        <v>126</v>
      </c>
      <c r="B624" s="26" t="s">
        <v>111</v>
      </c>
      <c r="C624" s="26">
        <v>0</v>
      </c>
      <c r="D624" s="27">
        <v>43245</v>
      </c>
      <c r="E624" s="26">
        <v>794.28</v>
      </c>
      <c r="F624" s="26" t="s">
        <v>1589</v>
      </c>
      <c r="G624" s="26" t="s">
        <v>8</v>
      </c>
      <c r="H624" s="26" t="s">
        <v>1590</v>
      </c>
      <c r="I624" s="26" t="s">
        <v>106</v>
      </c>
      <c r="J624" s="26">
        <v>0</v>
      </c>
      <c r="K624" s="8" t="str">
        <f t="shared" si="9"/>
        <v>ENGLISHREC</v>
      </c>
    </row>
    <row r="625" spans="1:11" x14ac:dyDescent="0.25">
      <c r="A625" s="26" t="s">
        <v>126</v>
      </c>
      <c r="B625" s="26" t="s">
        <v>111</v>
      </c>
      <c r="C625" s="26">
        <v>0</v>
      </c>
      <c r="D625" s="27">
        <v>43248</v>
      </c>
      <c r="E625" s="26">
        <v>794.28</v>
      </c>
      <c r="F625" s="26" t="s">
        <v>1591</v>
      </c>
      <c r="G625" s="26" t="s">
        <v>8</v>
      </c>
      <c r="H625" s="26" t="s">
        <v>1592</v>
      </c>
      <c r="I625" s="26" t="s">
        <v>106</v>
      </c>
      <c r="J625" s="26">
        <v>0</v>
      </c>
      <c r="K625" s="8" t="str">
        <f t="shared" si="9"/>
        <v>ENGLISHREC</v>
      </c>
    </row>
    <row r="626" spans="1:11" x14ac:dyDescent="0.25">
      <c r="A626" s="26" t="s">
        <v>126</v>
      </c>
      <c r="B626" s="26" t="s">
        <v>111</v>
      </c>
      <c r="C626" s="26">
        <v>0</v>
      </c>
      <c r="D626" s="27">
        <v>43251</v>
      </c>
      <c r="E626" s="26">
        <v>635.41999999999996</v>
      </c>
      <c r="F626" s="26" t="s">
        <v>1593</v>
      </c>
      <c r="G626" s="26" t="s">
        <v>8</v>
      </c>
      <c r="H626" s="26" t="s">
        <v>1594</v>
      </c>
      <c r="I626" s="26" t="s">
        <v>106</v>
      </c>
      <c r="J626" s="26">
        <v>0</v>
      </c>
      <c r="K626" s="8" t="str">
        <f t="shared" si="9"/>
        <v>ENGLISHREC</v>
      </c>
    </row>
    <row r="627" spans="1:11" x14ac:dyDescent="0.25">
      <c r="A627" s="26" t="s">
        <v>126</v>
      </c>
      <c r="B627" s="26" t="s">
        <v>111</v>
      </c>
      <c r="C627" s="26">
        <v>0</v>
      </c>
      <c r="D627" s="27">
        <v>43252</v>
      </c>
      <c r="E627" s="26">
        <v>635.41999999999996</v>
      </c>
      <c r="F627" s="26" t="s">
        <v>1595</v>
      </c>
      <c r="G627" s="26" t="s">
        <v>8</v>
      </c>
      <c r="H627" s="26" t="s">
        <v>1596</v>
      </c>
      <c r="I627" s="26" t="s">
        <v>106</v>
      </c>
      <c r="J627" s="26">
        <v>0</v>
      </c>
      <c r="K627" s="8" t="str">
        <f t="shared" si="9"/>
        <v>ENGLISHREC</v>
      </c>
    </row>
    <row r="628" spans="1:11" x14ac:dyDescent="0.25">
      <c r="A628" s="26" t="s">
        <v>126</v>
      </c>
      <c r="B628" s="26" t="s">
        <v>111</v>
      </c>
      <c r="C628" s="26">
        <v>0</v>
      </c>
      <c r="D628" s="27">
        <v>43252</v>
      </c>
      <c r="E628" s="26">
        <v>635.41999999999996</v>
      </c>
      <c r="F628" s="26" t="s">
        <v>1597</v>
      </c>
      <c r="G628" s="26" t="s">
        <v>8</v>
      </c>
      <c r="H628" s="26" t="s">
        <v>1598</v>
      </c>
      <c r="I628" s="26" t="s">
        <v>106</v>
      </c>
      <c r="J628" s="26">
        <v>0</v>
      </c>
      <c r="K628" s="8" t="str">
        <f t="shared" si="9"/>
        <v>ENGLISHREC</v>
      </c>
    </row>
    <row r="629" spans="1:11" x14ac:dyDescent="0.25">
      <c r="A629" s="26" t="s">
        <v>126</v>
      </c>
      <c r="B629" s="26" t="s">
        <v>111</v>
      </c>
      <c r="C629" s="26">
        <v>0</v>
      </c>
      <c r="D629" s="27">
        <v>43252</v>
      </c>
      <c r="E629" s="26">
        <v>794.28</v>
      </c>
      <c r="F629" s="26" t="s">
        <v>1599</v>
      </c>
      <c r="G629" s="26" t="s">
        <v>8</v>
      </c>
      <c r="H629" s="26" t="s">
        <v>1600</v>
      </c>
      <c r="I629" s="26" t="s">
        <v>106</v>
      </c>
      <c r="J629" s="26">
        <v>0</v>
      </c>
      <c r="K629" s="8" t="str">
        <f t="shared" si="9"/>
        <v>ENGLISHREC</v>
      </c>
    </row>
    <row r="630" spans="1:11" x14ac:dyDescent="0.25">
      <c r="A630" s="26" t="s">
        <v>126</v>
      </c>
      <c r="B630" s="26" t="s">
        <v>111</v>
      </c>
      <c r="C630" s="26">
        <v>0</v>
      </c>
      <c r="D630" s="27">
        <v>43255</v>
      </c>
      <c r="E630" s="26">
        <v>794.28</v>
      </c>
      <c r="F630" s="26" t="s">
        <v>1601</v>
      </c>
      <c r="G630" s="26" t="s">
        <v>8</v>
      </c>
      <c r="H630" s="26" t="s">
        <v>1602</v>
      </c>
      <c r="I630" s="26" t="s">
        <v>106</v>
      </c>
      <c r="J630" s="26">
        <v>0</v>
      </c>
      <c r="K630" s="8" t="str">
        <f t="shared" si="9"/>
        <v>ENGLISHREC</v>
      </c>
    </row>
    <row r="631" spans="1:11" x14ac:dyDescent="0.25">
      <c r="A631" s="26" t="s">
        <v>126</v>
      </c>
      <c r="B631" s="26" t="s">
        <v>111</v>
      </c>
      <c r="C631" s="26">
        <v>0</v>
      </c>
      <c r="D631" s="27">
        <v>43258</v>
      </c>
      <c r="E631" s="26">
        <v>1191.42</v>
      </c>
      <c r="F631" s="26" t="s">
        <v>1603</v>
      </c>
      <c r="G631" s="26" t="s">
        <v>8</v>
      </c>
      <c r="H631" s="26" t="s">
        <v>1604</v>
      </c>
      <c r="I631" s="26" t="s">
        <v>106</v>
      </c>
      <c r="J631" s="26">
        <v>0</v>
      </c>
      <c r="K631" s="8" t="str">
        <f t="shared" si="9"/>
        <v>ENGLISHREC</v>
      </c>
    </row>
    <row r="632" spans="1:11" x14ac:dyDescent="0.25">
      <c r="A632" s="26" t="s">
        <v>126</v>
      </c>
      <c r="B632" s="26" t="s">
        <v>111</v>
      </c>
      <c r="C632" s="26">
        <v>0</v>
      </c>
      <c r="D632" s="27">
        <v>43259</v>
      </c>
      <c r="E632" s="26">
        <v>873.71</v>
      </c>
      <c r="F632" s="26" t="s">
        <v>1605</v>
      </c>
      <c r="G632" s="26" t="s">
        <v>8</v>
      </c>
      <c r="H632" s="26" t="s">
        <v>1606</v>
      </c>
      <c r="I632" s="26" t="s">
        <v>106</v>
      </c>
      <c r="J632" s="26">
        <v>0</v>
      </c>
      <c r="K632" s="8" t="str">
        <f t="shared" si="9"/>
        <v>ENGLISHREC</v>
      </c>
    </row>
    <row r="633" spans="1:11" x14ac:dyDescent="0.25">
      <c r="A633" s="26" t="s">
        <v>126</v>
      </c>
      <c r="B633" s="26" t="s">
        <v>111</v>
      </c>
      <c r="C633" s="26">
        <v>0</v>
      </c>
      <c r="D633" s="27">
        <v>43259</v>
      </c>
      <c r="E633" s="26">
        <v>953.14</v>
      </c>
      <c r="F633" s="26" t="s">
        <v>1607</v>
      </c>
      <c r="G633" s="26" t="s">
        <v>8</v>
      </c>
      <c r="H633" s="26" t="s">
        <v>1608</v>
      </c>
      <c r="I633" s="26" t="s">
        <v>106</v>
      </c>
      <c r="J633" s="26">
        <v>0</v>
      </c>
      <c r="K633" s="8" t="str">
        <f t="shared" si="9"/>
        <v>ENGLISHREC</v>
      </c>
    </row>
    <row r="634" spans="1:11" x14ac:dyDescent="0.25">
      <c r="A634" s="26" t="s">
        <v>126</v>
      </c>
      <c r="B634" s="26" t="s">
        <v>111</v>
      </c>
      <c r="C634" s="26">
        <v>0</v>
      </c>
      <c r="D634" s="27">
        <v>43259</v>
      </c>
      <c r="E634" s="26">
        <v>2382.84</v>
      </c>
      <c r="F634" s="26" t="s">
        <v>1609</v>
      </c>
      <c r="G634" s="26" t="s">
        <v>8</v>
      </c>
      <c r="H634" s="26" t="s">
        <v>1610</v>
      </c>
      <c r="I634" s="26" t="s">
        <v>106</v>
      </c>
      <c r="J634" s="26">
        <v>0</v>
      </c>
      <c r="K634" s="8" t="str">
        <f t="shared" si="9"/>
        <v>ENGLISHREC</v>
      </c>
    </row>
    <row r="635" spans="1:11" x14ac:dyDescent="0.25">
      <c r="A635" s="26" t="s">
        <v>126</v>
      </c>
      <c r="B635" s="26" t="s">
        <v>111</v>
      </c>
      <c r="C635" s="26">
        <v>0</v>
      </c>
      <c r="D635" s="27">
        <v>43262</v>
      </c>
      <c r="E635" s="26">
        <v>714.85</v>
      </c>
      <c r="F635" s="26" t="s">
        <v>1611</v>
      </c>
      <c r="G635" s="26" t="s">
        <v>8</v>
      </c>
      <c r="H635" s="26" t="s">
        <v>1612</v>
      </c>
      <c r="I635" s="26" t="s">
        <v>106</v>
      </c>
      <c r="J635" s="26">
        <v>0</v>
      </c>
      <c r="K635" s="8" t="str">
        <f t="shared" si="9"/>
        <v>ENGLISHREC</v>
      </c>
    </row>
    <row r="636" spans="1:11" x14ac:dyDescent="0.25">
      <c r="A636" s="26" t="s">
        <v>126</v>
      </c>
      <c r="B636" s="26" t="s">
        <v>111</v>
      </c>
      <c r="C636" s="26">
        <v>0</v>
      </c>
      <c r="D636" s="27">
        <v>43265</v>
      </c>
      <c r="E636" s="26">
        <v>1509.13</v>
      </c>
      <c r="F636" s="26" t="s">
        <v>1613</v>
      </c>
      <c r="G636" s="26" t="s">
        <v>8</v>
      </c>
      <c r="H636" s="26" t="s">
        <v>1614</v>
      </c>
      <c r="I636" s="26" t="s">
        <v>106</v>
      </c>
      <c r="J636" s="26">
        <v>0</v>
      </c>
      <c r="K636" s="8" t="str">
        <f t="shared" si="9"/>
        <v>ENGLISHREC</v>
      </c>
    </row>
    <row r="637" spans="1:11" x14ac:dyDescent="0.25">
      <c r="A637" s="26" t="s">
        <v>126</v>
      </c>
      <c r="B637" s="26" t="s">
        <v>111</v>
      </c>
      <c r="C637" s="26">
        <v>0</v>
      </c>
      <c r="D637" s="27">
        <v>43266</v>
      </c>
      <c r="E637" s="26">
        <v>1826.85</v>
      </c>
      <c r="F637" s="26" t="s">
        <v>1615</v>
      </c>
      <c r="G637" s="26" t="s">
        <v>8</v>
      </c>
      <c r="H637" s="26" t="s">
        <v>1616</v>
      </c>
      <c r="I637" s="26" t="s">
        <v>106</v>
      </c>
      <c r="J637" s="26">
        <v>0</v>
      </c>
      <c r="K637" s="8" t="str">
        <f t="shared" si="9"/>
        <v>ENGLISHREC</v>
      </c>
    </row>
    <row r="638" spans="1:11" x14ac:dyDescent="0.25">
      <c r="A638" s="26" t="s">
        <v>126</v>
      </c>
      <c r="B638" s="26" t="s">
        <v>111</v>
      </c>
      <c r="C638" s="26">
        <v>0</v>
      </c>
      <c r="D638" s="27">
        <v>43266</v>
      </c>
      <c r="E638" s="26">
        <v>635.41999999999996</v>
      </c>
      <c r="F638" s="26" t="s">
        <v>1617</v>
      </c>
      <c r="G638" s="26" t="s">
        <v>8</v>
      </c>
      <c r="H638" s="26" t="s">
        <v>1618</v>
      </c>
      <c r="I638" s="26" t="s">
        <v>106</v>
      </c>
      <c r="J638" s="26">
        <v>0</v>
      </c>
      <c r="K638" s="8" t="str">
        <f t="shared" si="9"/>
        <v>ENGLISHREC</v>
      </c>
    </row>
    <row r="639" spans="1:11" x14ac:dyDescent="0.25">
      <c r="A639" s="26" t="s">
        <v>126</v>
      </c>
      <c r="B639" s="26" t="s">
        <v>111</v>
      </c>
      <c r="C639" s="26">
        <v>0</v>
      </c>
      <c r="D639" s="27">
        <v>43266</v>
      </c>
      <c r="E639" s="26">
        <v>4606.83</v>
      </c>
      <c r="F639" s="26" t="s">
        <v>1619</v>
      </c>
      <c r="G639" s="26" t="s">
        <v>8</v>
      </c>
      <c r="H639" s="26" t="s">
        <v>1620</v>
      </c>
      <c r="I639" s="26" t="s">
        <v>106</v>
      </c>
      <c r="J639" s="26">
        <v>0</v>
      </c>
      <c r="K639" s="8" t="str">
        <f t="shared" si="9"/>
        <v>ENGLISHREC</v>
      </c>
    </row>
    <row r="640" spans="1:11" x14ac:dyDescent="0.25">
      <c r="A640" s="26" t="s">
        <v>126</v>
      </c>
      <c r="B640" s="26" t="s">
        <v>111</v>
      </c>
      <c r="C640" s="26">
        <v>0</v>
      </c>
      <c r="D640" s="27">
        <v>43269</v>
      </c>
      <c r="E640" s="26">
        <v>1588.56</v>
      </c>
      <c r="F640" s="26" t="s">
        <v>1621</v>
      </c>
      <c r="G640" s="26" t="s">
        <v>8</v>
      </c>
      <c r="H640" s="26" t="s">
        <v>1622</v>
      </c>
      <c r="I640" s="26" t="s">
        <v>106</v>
      </c>
      <c r="J640" s="26">
        <v>0</v>
      </c>
      <c r="K640" s="8" t="str">
        <f t="shared" si="9"/>
        <v>ENGLISHREC</v>
      </c>
    </row>
    <row r="641" spans="1:11" x14ac:dyDescent="0.25">
      <c r="A641" s="26" t="s">
        <v>126</v>
      </c>
      <c r="B641" s="26" t="s">
        <v>111</v>
      </c>
      <c r="C641" s="26">
        <v>0</v>
      </c>
      <c r="D641" s="27">
        <v>43272</v>
      </c>
      <c r="E641" s="26">
        <v>3971.41</v>
      </c>
      <c r="F641" s="26" t="s">
        <v>1623</v>
      </c>
      <c r="G641" s="26" t="s">
        <v>8</v>
      </c>
      <c r="H641" s="26" t="s">
        <v>1624</v>
      </c>
      <c r="I641" s="26" t="s">
        <v>106</v>
      </c>
      <c r="J641" s="26">
        <v>0</v>
      </c>
      <c r="K641" s="8" t="str">
        <f t="shared" si="9"/>
        <v>ENGLISHREC</v>
      </c>
    </row>
    <row r="642" spans="1:11" x14ac:dyDescent="0.25">
      <c r="A642" s="26" t="s">
        <v>126</v>
      </c>
      <c r="B642" s="26" t="s">
        <v>111</v>
      </c>
      <c r="C642" s="26">
        <v>0</v>
      </c>
      <c r="D642" s="27">
        <v>43273</v>
      </c>
      <c r="E642" s="26">
        <v>317.70999999999998</v>
      </c>
      <c r="F642" s="26" t="s">
        <v>1625</v>
      </c>
      <c r="G642" s="26" t="s">
        <v>8</v>
      </c>
      <c r="H642" s="26" t="s">
        <v>1626</v>
      </c>
      <c r="I642" s="26" t="s">
        <v>106</v>
      </c>
      <c r="J642" s="26">
        <v>0</v>
      </c>
      <c r="K642" s="8" t="str">
        <f t="shared" si="9"/>
        <v>ENGLISHREC</v>
      </c>
    </row>
    <row r="643" spans="1:11" x14ac:dyDescent="0.25">
      <c r="A643" s="26" t="s">
        <v>126</v>
      </c>
      <c r="B643" s="26" t="s">
        <v>111</v>
      </c>
      <c r="C643" s="26">
        <v>0</v>
      </c>
      <c r="D643" s="27">
        <v>43273</v>
      </c>
      <c r="E643" s="26">
        <v>1747.42</v>
      </c>
      <c r="F643" s="26" t="s">
        <v>1627</v>
      </c>
      <c r="G643" s="26" t="s">
        <v>8</v>
      </c>
      <c r="H643" s="26" t="s">
        <v>1628</v>
      </c>
      <c r="I643" s="26" t="s">
        <v>106</v>
      </c>
      <c r="J643" s="26">
        <v>0</v>
      </c>
      <c r="K643" s="8" t="str">
        <f t="shared" ref="K643:K706" si="10">LEFT(A643,FIND("/",A643)-1)</f>
        <v>ENGLISHREC</v>
      </c>
    </row>
    <row r="644" spans="1:11" x14ac:dyDescent="0.25">
      <c r="A644" s="26" t="s">
        <v>126</v>
      </c>
      <c r="B644" s="26" t="s">
        <v>111</v>
      </c>
      <c r="C644" s="26">
        <v>0</v>
      </c>
      <c r="D644" s="27">
        <v>43273</v>
      </c>
      <c r="E644" s="26">
        <v>556</v>
      </c>
      <c r="F644" s="26" t="s">
        <v>1629</v>
      </c>
      <c r="G644" s="26" t="s">
        <v>8</v>
      </c>
      <c r="H644" s="26" t="s">
        <v>1630</v>
      </c>
      <c r="I644" s="26" t="s">
        <v>106</v>
      </c>
      <c r="J644" s="26">
        <v>0</v>
      </c>
      <c r="K644" s="8" t="str">
        <f t="shared" si="10"/>
        <v>ENGLISHREC</v>
      </c>
    </row>
    <row r="645" spans="1:11" x14ac:dyDescent="0.25">
      <c r="A645" s="26" t="s">
        <v>126</v>
      </c>
      <c r="B645" s="26" t="s">
        <v>111</v>
      </c>
      <c r="C645" s="26">
        <v>0</v>
      </c>
      <c r="D645" s="27">
        <v>43276</v>
      </c>
      <c r="E645" s="26">
        <v>1191.42</v>
      </c>
      <c r="F645" s="26" t="s">
        <v>1631</v>
      </c>
      <c r="G645" s="26" t="s">
        <v>8</v>
      </c>
      <c r="H645" s="26" t="s">
        <v>1632</v>
      </c>
      <c r="I645" s="26" t="s">
        <v>106</v>
      </c>
      <c r="J645" s="26">
        <v>0</v>
      </c>
      <c r="K645" s="8" t="str">
        <f t="shared" si="10"/>
        <v>ENGLISHREC</v>
      </c>
    </row>
    <row r="646" spans="1:11" x14ac:dyDescent="0.25">
      <c r="A646" s="26" t="s">
        <v>126</v>
      </c>
      <c r="B646" s="26" t="s">
        <v>111</v>
      </c>
      <c r="C646" s="26">
        <v>0</v>
      </c>
      <c r="D646" s="27">
        <v>43279</v>
      </c>
      <c r="E646" s="26">
        <v>714.85</v>
      </c>
      <c r="F646" s="26" t="s">
        <v>1633</v>
      </c>
      <c r="G646" s="26" t="s">
        <v>8</v>
      </c>
      <c r="H646" s="26" t="s">
        <v>1634</v>
      </c>
      <c r="I646" s="26" t="s">
        <v>106</v>
      </c>
      <c r="J646" s="26">
        <v>0</v>
      </c>
      <c r="K646" s="8" t="str">
        <f t="shared" si="10"/>
        <v>ENGLISHREC</v>
      </c>
    </row>
    <row r="647" spans="1:11" x14ac:dyDescent="0.25">
      <c r="A647" s="26" t="s">
        <v>126</v>
      </c>
      <c r="B647" s="26" t="s">
        <v>111</v>
      </c>
      <c r="C647" s="26">
        <v>0</v>
      </c>
      <c r="D647" s="27">
        <v>43280</v>
      </c>
      <c r="E647" s="26">
        <v>1032.57</v>
      </c>
      <c r="F647" s="26" t="s">
        <v>1635</v>
      </c>
      <c r="G647" s="26" t="s">
        <v>8</v>
      </c>
      <c r="H647" s="26" t="s">
        <v>1636</v>
      </c>
      <c r="I647" s="26" t="s">
        <v>106</v>
      </c>
      <c r="J647" s="26">
        <v>0</v>
      </c>
      <c r="K647" s="8" t="str">
        <f t="shared" si="10"/>
        <v>ENGLISHREC</v>
      </c>
    </row>
    <row r="648" spans="1:11" x14ac:dyDescent="0.25">
      <c r="A648" s="26" t="s">
        <v>126</v>
      </c>
      <c r="B648" s="26" t="s">
        <v>111</v>
      </c>
      <c r="C648" s="26">
        <v>0</v>
      </c>
      <c r="D648" s="27">
        <v>43280</v>
      </c>
      <c r="E648" s="26">
        <v>1985.7</v>
      </c>
      <c r="F648" s="26" t="s">
        <v>1637</v>
      </c>
      <c r="G648" s="26" t="s">
        <v>8</v>
      </c>
      <c r="H648" s="26" t="s">
        <v>1638</v>
      </c>
      <c r="I648" s="26" t="s">
        <v>106</v>
      </c>
      <c r="J648" s="26">
        <v>0</v>
      </c>
      <c r="K648" s="8" t="str">
        <f t="shared" si="10"/>
        <v>ENGLISHREC</v>
      </c>
    </row>
    <row r="649" spans="1:11" x14ac:dyDescent="0.25">
      <c r="A649" s="26" t="s">
        <v>126</v>
      </c>
      <c r="B649" s="26" t="s">
        <v>111</v>
      </c>
      <c r="C649" s="26">
        <v>0</v>
      </c>
      <c r="D649" s="27">
        <v>43280</v>
      </c>
      <c r="E649" s="26">
        <v>953.14</v>
      </c>
      <c r="F649" s="26" t="s">
        <v>1639</v>
      </c>
      <c r="G649" s="26" t="s">
        <v>8</v>
      </c>
      <c r="H649" s="26" t="s">
        <v>1640</v>
      </c>
      <c r="I649" s="26" t="s">
        <v>106</v>
      </c>
      <c r="J649" s="26">
        <v>0</v>
      </c>
      <c r="K649" s="8" t="str">
        <f t="shared" si="10"/>
        <v>ENGLISHREC</v>
      </c>
    </row>
    <row r="650" spans="1:11" x14ac:dyDescent="0.25">
      <c r="A650" s="26" t="s">
        <v>126</v>
      </c>
      <c r="B650" s="26" t="s">
        <v>111</v>
      </c>
      <c r="C650" s="26">
        <v>0</v>
      </c>
      <c r="D650" s="27">
        <v>43283</v>
      </c>
      <c r="E650" s="26">
        <v>1429.71</v>
      </c>
      <c r="F650" s="26" t="s">
        <v>1641</v>
      </c>
      <c r="G650" s="26" t="s">
        <v>8</v>
      </c>
      <c r="H650" s="26" t="s">
        <v>1642</v>
      </c>
      <c r="I650" s="26" t="s">
        <v>106</v>
      </c>
      <c r="J650" s="26">
        <v>0</v>
      </c>
      <c r="K650" s="8" t="str">
        <f t="shared" si="10"/>
        <v>ENGLISHREC</v>
      </c>
    </row>
    <row r="651" spans="1:11" x14ac:dyDescent="0.25">
      <c r="A651" s="26" t="s">
        <v>126</v>
      </c>
      <c r="B651" s="26" t="s">
        <v>111</v>
      </c>
      <c r="C651" s="26">
        <v>0</v>
      </c>
      <c r="D651" s="27">
        <v>43286</v>
      </c>
      <c r="E651" s="26">
        <v>873.71</v>
      </c>
      <c r="F651" s="26" t="s">
        <v>1643</v>
      </c>
      <c r="G651" s="26" t="s">
        <v>8</v>
      </c>
      <c r="H651" s="26" t="s">
        <v>1644</v>
      </c>
      <c r="I651" s="26" t="s">
        <v>106</v>
      </c>
      <c r="J651" s="26">
        <v>0</v>
      </c>
      <c r="K651" s="8" t="str">
        <f t="shared" si="10"/>
        <v>ENGLISHREC</v>
      </c>
    </row>
    <row r="652" spans="1:11" x14ac:dyDescent="0.25">
      <c r="A652" s="26" t="s">
        <v>126</v>
      </c>
      <c r="B652" s="26" t="s">
        <v>111</v>
      </c>
      <c r="C652" s="26">
        <v>0</v>
      </c>
      <c r="D652" s="27">
        <v>43287</v>
      </c>
      <c r="E652" s="26">
        <v>635.41999999999996</v>
      </c>
      <c r="F652" s="26" t="s">
        <v>1645</v>
      </c>
      <c r="G652" s="26" t="s">
        <v>8</v>
      </c>
      <c r="H652" s="26" t="s">
        <v>1646</v>
      </c>
      <c r="I652" s="26" t="s">
        <v>106</v>
      </c>
      <c r="J652" s="26">
        <v>0</v>
      </c>
      <c r="K652" s="8" t="str">
        <f t="shared" si="10"/>
        <v>ENGLISHREC</v>
      </c>
    </row>
    <row r="653" spans="1:11" x14ac:dyDescent="0.25">
      <c r="A653" s="26" t="s">
        <v>126</v>
      </c>
      <c r="B653" s="26" t="s">
        <v>111</v>
      </c>
      <c r="C653" s="26">
        <v>0</v>
      </c>
      <c r="D653" s="27">
        <v>43287</v>
      </c>
      <c r="E653" s="26">
        <v>953.14</v>
      </c>
      <c r="F653" s="26" t="s">
        <v>1647</v>
      </c>
      <c r="G653" s="26" t="s">
        <v>8</v>
      </c>
      <c r="H653" s="26" t="s">
        <v>1648</v>
      </c>
      <c r="I653" s="26" t="s">
        <v>106</v>
      </c>
      <c r="J653" s="26">
        <v>0</v>
      </c>
      <c r="K653" s="8" t="str">
        <f t="shared" si="10"/>
        <v>ENGLISHREC</v>
      </c>
    </row>
    <row r="654" spans="1:11" x14ac:dyDescent="0.25">
      <c r="A654" s="26" t="s">
        <v>126</v>
      </c>
      <c r="B654" s="26" t="s">
        <v>111</v>
      </c>
      <c r="C654" s="26">
        <v>0</v>
      </c>
      <c r="D654" s="27">
        <v>43287</v>
      </c>
      <c r="E654" s="26">
        <v>1588.56</v>
      </c>
      <c r="F654" s="26" t="s">
        <v>1649</v>
      </c>
      <c r="G654" s="26" t="s">
        <v>8</v>
      </c>
      <c r="H654" s="26" t="s">
        <v>1650</v>
      </c>
      <c r="I654" s="26" t="s">
        <v>106</v>
      </c>
      <c r="J654" s="26">
        <v>0</v>
      </c>
      <c r="K654" s="8" t="str">
        <f t="shared" si="10"/>
        <v>ENGLISHREC</v>
      </c>
    </row>
    <row r="655" spans="1:11" x14ac:dyDescent="0.25">
      <c r="A655" s="26" t="s">
        <v>126</v>
      </c>
      <c r="B655" s="26" t="s">
        <v>111</v>
      </c>
      <c r="C655" s="26">
        <v>0</v>
      </c>
      <c r="D655" s="27">
        <v>43290</v>
      </c>
      <c r="E655" s="26">
        <v>1588.56</v>
      </c>
      <c r="F655" s="26" t="s">
        <v>1651</v>
      </c>
      <c r="G655" s="26" t="s">
        <v>8</v>
      </c>
      <c r="H655" s="26" t="s">
        <v>1652</v>
      </c>
      <c r="I655" s="26" t="s">
        <v>106</v>
      </c>
      <c r="J655" s="26">
        <v>0</v>
      </c>
      <c r="K655" s="8" t="str">
        <f t="shared" si="10"/>
        <v>ENGLISHREC</v>
      </c>
    </row>
    <row r="656" spans="1:11" x14ac:dyDescent="0.25">
      <c r="A656" s="26" t="s">
        <v>126</v>
      </c>
      <c r="B656" s="26" t="s">
        <v>111</v>
      </c>
      <c r="C656" s="26">
        <v>0</v>
      </c>
      <c r="D656" s="27">
        <v>43293</v>
      </c>
      <c r="E656" s="26">
        <v>1826.85</v>
      </c>
      <c r="F656" s="26" t="s">
        <v>1653</v>
      </c>
      <c r="G656" s="26" t="s">
        <v>8</v>
      </c>
      <c r="H656" s="26" t="s">
        <v>1654</v>
      </c>
      <c r="I656" s="26" t="s">
        <v>106</v>
      </c>
      <c r="J656" s="26">
        <v>0</v>
      </c>
      <c r="K656" s="8" t="str">
        <f t="shared" si="10"/>
        <v>ENGLISHREC</v>
      </c>
    </row>
    <row r="657" spans="1:11" x14ac:dyDescent="0.25">
      <c r="A657" s="26" t="s">
        <v>126</v>
      </c>
      <c r="B657" s="26" t="s">
        <v>111</v>
      </c>
      <c r="C657" s="26">
        <v>0</v>
      </c>
      <c r="D657" s="27">
        <v>43294</v>
      </c>
      <c r="E657" s="26">
        <v>953.14</v>
      </c>
      <c r="F657" s="26" t="s">
        <v>1655</v>
      </c>
      <c r="G657" s="26" t="s">
        <v>8</v>
      </c>
      <c r="H657" s="26" t="s">
        <v>1656</v>
      </c>
      <c r="I657" s="26" t="s">
        <v>106</v>
      </c>
      <c r="J657" s="26">
        <v>0</v>
      </c>
      <c r="K657" s="8" t="str">
        <f t="shared" si="10"/>
        <v>ENGLISHREC</v>
      </c>
    </row>
    <row r="658" spans="1:11" x14ac:dyDescent="0.25">
      <c r="A658" s="26" t="s">
        <v>126</v>
      </c>
      <c r="B658" s="26" t="s">
        <v>111</v>
      </c>
      <c r="C658" s="26">
        <v>0</v>
      </c>
      <c r="D658" s="27">
        <v>43294</v>
      </c>
      <c r="E658" s="26">
        <v>3971.41</v>
      </c>
      <c r="F658" s="26" t="s">
        <v>1657</v>
      </c>
      <c r="G658" s="26" t="s">
        <v>8</v>
      </c>
      <c r="H658" s="26" t="s">
        <v>1658</v>
      </c>
      <c r="I658" s="26" t="s">
        <v>106</v>
      </c>
      <c r="J658" s="26">
        <v>0</v>
      </c>
      <c r="K658" s="8" t="str">
        <f t="shared" si="10"/>
        <v>ENGLISHREC</v>
      </c>
    </row>
    <row r="659" spans="1:11" x14ac:dyDescent="0.25">
      <c r="A659" s="26" t="s">
        <v>126</v>
      </c>
      <c r="B659" s="26" t="s">
        <v>111</v>
      </c>
      <c r="C659" s="26">
        <v>0</v>
      </c>
      <c r="D659" s="27">
        <v>43294</v>
      </c>
      <c r="E659" s="26">
        <v>1270.8499999999999</v>
      </c>
      <c r="F659" s="26" t="s">
        <v>1659</v>
      </c>
      <c r="G659" s="26" t="s">
        <v>8</v>
      </c>
      <c r="H659" s="26" t="s">
        <v>1660</v>
      </c>
      <c r="I659" s="26" t="s">
        <v>106</v>
      </c>
      <c r="J659" s="26">
        <v>0</v>
      </c>
      <c r="K659" s="8" t="str">
        <f t="shared" si="10"/>
        <v>ENGLISHREC</v>
      </c>
    </row>
    <row r="660" spans="1:11" x14ac:dyDescent="0.25">
      <c r="A660" s="26" t="s">
        <v>126</v>
      </c>
      <c r="B660" s="26" t="s">
        <v>111</v>
      </c>
      <c r="C660" s="26">
        <v>0</v>
      </c>
      <c r="D660" s="27">
        <v>43297</v>
      </c>
      <c r="E660" s="26">
        <v>8339.9500000000007</v>
      </c>
      <c r="F660" s="26" t="s">
        <v>1661</v>
      </c>
      <c r="G660" s="26" t="s">
        <v>8</v>
      </c>
      <c r="H660" s="26" t="s">
        <v>1662</v>
      </c>
      <c r="I660" s="26" t="s">
        <v>106</v>
      </c>
      <c r="J660" s="26">
        <v>0</v>
      </c>
      <c r="K660" s="8" t="str">
        <f t="shared" si="10"/>
        <v>ENGLISHREC</v>
      </c>
    </row>
    <row r="661" spans="1:11" x14ac:dyDescent="0.25">
      <c r="A661" s="26" t="s">
        <v>126</v>
      </c>
      <c r="B661" s="26" t="s">
        <v>111</v>
      </c>
      <c r="C661" s="26">
        <v>0</v>
      </c>
      <c r="D661" s="27">
        <v>43300</v>
      </c>
      <c r="E661" s="26">
        <v>3177.12</v>
      </c>
      <c r="F661" s="26" t="s">
        <v>1663</v>
      </c>
      <c r="G661" s="26" t="s">
        <v>8</v>
      </c>
      <c r="H661" s="26" t="s">
        <v>1664</v>
      </c>
      <c r="I661" s="26" t="s">
        <v>106</v>
      </c>
      <c r="J661" s="26">
        <v>0</v>
      </c>
      <c r="K661" s="8" t="str">
        <f t="shared" si="10"/>
        <v>ENGLISHREC</v>
      </c>
    </row>
    <row r="662" spans="1:11" x14ac:dyDescent="0.25">
      <c r="A662" s="26" t="s">
        <v>126</v>
      </c>
      <c r="B662" s="26" t="s">
        <v>111</v>
      </c>
      <c r="C662" s="26">
        <v>0</v>
      </c>
      <c r="D662" s="27">
        <v>43301</v>
      </c>
      <c r="E662" s="26">
        <v>3177.12</v>
      </c>
      <c r="F662" s="26" t="s">
        <v>1665</v>
      </c>
      <c r="G662" s="26" t="s">
        <v>8</v>
      </c>
      <c r="H662" s="26" t="s">
        <v>1666</v>
      </c>
      <c r="I662" s="26" t="s">
        <v>106</v>
      </c>
      <c r="J662" s="26">
        <v>0</v>
      </c>
      <c r="K662" s="8" t="str">
        <f t="shared" si="10"/>
        <v>ENGLISHREC</v>
      </c>
    </row>
    <row r="663" spans="1:11" x14ac:dyDescent="0.25">
      <c r="A663" s="26" t="s">
        <v>126</v>
      </c>
      <c r="B663" s="26" t="s">
        <v>111</v>
      </c>
      <c r="C663" s="26">
        <v>0</v>
      </c>
      <c r="D663" s="27">
        <v>43301</v>
      </c>
      <c r="E663" s="26">
        <v>794.28</v>
      </c>
      <c r="F663" s="26" t="s">
        <v>1667</v>
      </c>
      <c r="G663" s="26" t="s">
        <v>8</v>
      </c>
      <c r="H663" s="26" t="s">
        <v>1668</v>
      </c>
      <c r="I663" s="26" t="s">
        <v>106</v>
      </c>
      <c r="J663" s="26">
        <v>0</v>
      </c>
      <c r="K663" s="8" t="str">
        <f t="shared" si="10"/>
        <v>ENGLISHREC</v>
      </c>
    </row>
    <row r="664" spans="1:11" x14ac:dyDescent="0.25">
      <c r="A664" s="26" t="s">
        <v>126</v>
      </c>
      <c r="B664" s="26" t="s">
        <v>111</v>
      </c>
      <c r="C664" s="26">
        <v>0</v>
      </c>
      <c r="D664" s="27">
        <v>43301</v>
      </c>
      <c r="E664" s="26">
        <v>3971.41</v>
      </c>
      <c r="F664" s="26" t="s">
        <v>1669</v>
      </c>
      <c r="G664" s="26" t="s">
        <v>8</v>
      </c>
      <c r="H664" s="26" t="s">
        <v>1670</v>
      </c>
      <c r="I664" s="26" t="s">
        <v>106</v>
      </c>
      <c r="J664" s="26">
        <v>0</v>
      </c>
      <c r="K664" s="8" t="str">
        <f t="shared" si="10"/>
        <v>ENGLISHREC</v>
      </c>
    </row>
    <row r="665" spans="1:11" x14ac:dyDescent="0.25">
      <c r="A665" s="26" t="s">
        <v>126</v>
      </c>
      <c r="B665" s="26" t="s">
        <v>111</v>
      </c>
      <c r="C665" s="26">
        <v>0</v>
      </c>
      <c r="D665" s="27">
        <v>43304</v>
      </c>
      <c r="E665" s="26">
        <v>4765.6899999999996</v>
      </c>
      <c r="F665" s="26" t="s">
        <v>1671</v>
      </c>
      <c r="G665" s="26" t="s">
        <v>8</v>
      </c>
      <c r="H665" s="26" t="s">
        <v>1672</v>
      </c>
      <c r="I665" s="26" t="s">
        <v>106</v>
      </c>
      <c r="J665" s="26">
        <v>0</v>
      </c>
      <c r="K665" s="8" t="str">
        <f t="shared" si="10"/>
        <v>ENGLISHREC</v>
      </c>
    </row>
    <row r="666" spans="1:11" x14ac:dyDescent="0.25">
      <c r="A666" s="26" t="s">
        <v>126</v>
      </c>
      <c r="B666" s="26" t="s">
        <v>111</v>
      </c>
      <c r="C666" s="26">
        <v>0</v>
      </c>
      <c r="D666" s="27">
        <v>43307</v>
      </c>
      <c r="E666" s="26">
        <v>714.85</v>
      </c>
      <c r="F666" s="26" t="s">
        <v>1673</v>
      </c>
      <c r="G666" s="26" t="s">
        <v>8</v>
      </c>
      <c r="H666" s="26" t="s">
        <v>1674</v>
      </c>
      <c r="I666" s="26" t="s">
        <v>106</v>
      </c>
      <c r="J666" s="26">
        <v>0</v>
      </c>
      <c r="K666" s="8" t="str">
        <f t="shared" si="10"/>
        <v>ENGLISHREC</v>
      </c>
    </row>
    <row r="667" spans="1:11" x14ac:dyDescent="0.25">
      <c r="A667" s="26" t="s">
        <v>126</v>
      </c>
      <c r="B667" s="26" t="s">
        <v>111</v>
      </c>
      <c r="C667" s="26">
        <v>0</v>
      </c>
      <c r="D667" s="27">
        <v>43308</v>
      </c>
      <c r="E667" s="26">
        <v>3177.12</v>
      </c>
      <c r="F667" s="26" t="s">
        <v>1675</v>
      </c>
      <c r="G667" s="26" t="s">
        <v>8</v>
      </c>
      <c r="H667" s="26" t="s">
        <v>1676</v>
      </c>
      <c r="I667" s="26" t="s">
        <v>106</v>
      </c>
      <c r="J667" s="26">
        <v>0</v>
      </c>
      <c r="K667" s="8" t="str">
        <f t="shared" si="10"/>
        <v>ENGLISHREC</v>
      </c>
    </row>
    <row r="668" spans="1:11" x14ac:dyDescent="0.25">
      <c r="A668" s="26" t="s">
        <v>126</v>
      </c>
      <c r="B668" s="26" t="s">
        <v>111</v>
      </c>
      <c r="C668" s="26">
        <v>0</v>
      </c>
      <c r="D668" s="27">
        <v>43308</v>
      </c>
      <c r="E668" s="26">
        <v>3971.41</v>
      </c>
      <c r="F668" s="26" t="s">
        <v>1677</v>
      </c>
      <c r="G668" s="26" t="s">
        <v>8</v>
      </c>
      <c r="H668" s="26" t="s">
        <v>1678</v>
      </c>
      <c r="I668" s="26" t="s">
        <v>106</v>
      </c>
      <c r="J668" s="26">
        <v>0</v>
      </c>
      <c r="K668" s="8" t="str">
        <f t="shared" si="10"/>
        <v>ENGLISHREC</v>
      </c>
    </row>
    <row r="669" spans="1:11" x14ac:dyDescent="0.25">
      <c r="A669" s="26" t="s">
        <v>126</v>
      </c>
      <c r="B669" s="26" t="s">
        <v>111</v>
      </c>
      <c r="C669" s="26">
        <v>0</v>
      </c>
      <c r="D669" s="27">
        <v>43308</v>
      </c>
      <c r="E669" s="26">
        <v>3971.41</v>
      </c>
      <c r="F669" s="26" t="s">
        <v>1679</v>
      </c>
      <c r="G669" s="26" t="s">
        <v>8</v>
      </c>
      <c r="H669" s="26" t="s">
        <v>1680</v>
      </c>
      <c r="I669" s="26" t="s">
        <v>106</v>
      </c>
      <c r="J669" s="26">
        <v>0</v>
      </c>
      <c r="K669" s="8" t="str">
        <f t="shared" si="10"/>
        <v>ENGLISHREC</v>
      </c>
    </row>
    <row r="670" spans="1:11" x14ac:dyDescent="0.25">
      <c r="A670" s="26" t="s">
        <v>126</v>
      </c>
      <c r="B670" s="26" t="s">
        <v>111</v>
      </c>
      <c r="C670" s="26">
        <v>0</v>
      </c>
      <c r="D670" s="27">
        <v>43311</v>
      </c>
      <c r="E670" s="26">
        <v>2938.84</v>
      </c>
      <c r="F670" s="26" t="s">
        <v>1681</v>
      </c>
      <c r="G670" s="26" t="s">
        <v>8</v>
      </c>
      <c r="H670" s="26" t="s">
        <v>1682</v>
      </c>
      <c r="I670" s="26" t="s">
        <v>106</v>
      </c>
      <c r="J670" s="26">
        <v>0</v>
      </c>
      <c r="K670" s="8" t="str">
        <f t="shared" si="10"/>
        <v>ENGLISHREC</v>
      </c>
    </row>
    <row r="671" spans="1:11" x14ac:dyDescent="0.25">
      <c r="A671" s="26" t="s">
        <v>126</v>
      </c>
      <c r="B671" s="26" t="s">
        <v>111</v>
      </c>
      <c r="C671" s="26">
        <v>0</v>
      </c>
      <c r="D671" s="27">
        <v>43314</v>
      </c>
      <c r="E671" s="26">
        <v>397.14</v>
      </c>
      <c r="F671" s="26" t="s">
        <v>1683</v>
      </c>
      <c r="G671" s="26" t="s">
        <v>8</v>
      </c>
      <c r="H671" s="26" t="s">
        <v>1684</v>
      </c>
      <c r="I671" s="26" t="s">
        <v>106</v>
      </c>
      <c r="J671" s="26">
        <v>0</v>
      </c>
      <c r="K671" s="8" t="str">
        <f t="shared" si="10"/>
        <v>ENGLISHREC</v>
      </c>
    </row>
    <row r="672" spans="1:11" x14ac:dyDescent="0.25">
      <c r="A672" s="26" t="s">
        <v>126</v>
      </c>
      <c r="B672" s="26" t="s">
        <v>111</v>
      </c>
      <c r="C672" s="26">
        <v>0</v>
      </c>
      <c r="D672" s="27">
        <v>43315</v>
      </c>
      <c r="E672" s="26">
        <v>3971.41</v>
      </c>
      <c r="F672" s="26" t="s">
        <v>1685</v>
      </c>
      <c r="G672" s="26" t="s">
        <v>8</v>
      </c>
      <c r="H672" s="26" t="s">
        <v>1686</v>
      </c>
      <c r="I672" s="26" t="s">
        <v>106</v>
      </c>
      <c r="J672" s="26">
        <v>0</v>
      </c>
      <c r="K672" s="8" t="str">
        <f t="shared" si="10"/>
        <v>ENGLISHREC</v>
      </c>
    </row>
    <row r="673" spans="1:11" x14ac:dyDescent="0.25">
      <c r="A673" s="26" t="s">
        <v>126</v>
      </c>
      <c r="B673" s="26" t="s">
        <v>111</v>
      </c>
      <c r="C673" s="26">
        <v>0</v>
      </c>
      <c r="D673" s="27">
        <v>43315</v>
      </c>
      <c r="E673" s="26">
        <v>1667.99</v>
      </c>
      <c r="F673" s="26" t="s">
        <v>1687</v>
      </c>
      <c r="G673" s="26" t="s">
        <v>8</v>
      </c>
      <c r="H673" s="26" t="s">
        <v>1688</v>
      </c>
      <c r="I673" s="26" t="s">
        <v>106</v>
      </c>
      <c r="J673" s="26">
        <v>0</v>
      </c>
      <c r="K673" s="8" t="str">
        <f t="shared" si="10"/>
        <v>ENGLISHREC</v>
      </c>
    </row>
    <row r="674" spans="1:11" x14ac:dyDescent="0.25">
      <c r="A674" s="26" t="s">
        <v>126</v>
      </c>
      <c r="B674" s="26" t="s">
        <v>111</v>
      </c>
      <c r="C674" s="26">
        <v>0</v>
      </c>
      <c r="D674" s="27">
        <v>43315</v>
      </c>
      <c r="E674" s="26">
        <v>714.85</v>
      </c>
      <c r="F674" s="26" t="s">
        <v>1689</v>
      </c>
      <c r="G674" s="26" t="s">
        <v>8</v>
      </c>
      <c r="H674" s="26" t="s">
        <v>1690</v>
      </c>
      <c r="I674" s="26" t="s">
        <v>106</v>
      </c>
      <c r="J674" s="26">
        <v>0</v>
      </c>
      <c r="K674" s="8" t="str">
        <f t="shared" si="10"/>
        <v>ENGLISHREC</v>
      </c>
    </row>
    <row r="675" spans="1:11" x14ac:dyDescent="0.25">
      <c r="A675" s="26" t="s">
        <v>126</v>
      </c>
      <c r="B675" s="26" t="s">
        <v>111</v>
      </c>
      <c r="C675" s="26">
        <v>0</v>
      </c>
      <c r="D675" s="27">
        <v>43318</v>
      </c>
      <c r="E675" s="26">
        <v>1747.42</v>
      </c>
      <c r="F675" s="26" t="s">
        <v>1691</v>
      </c>
      <c r="G675" s="26" t="s">
        <v>8</v>
      </c>
      <c r="H675" s="26" t="s">
        <v>1692</v>
      </c>
      <c r="I675" s="26" t="s">
        <v>106</v>
      </c>
      <c r="J675" s="26">
        <v>0</v>
      </c>
      <c r="K675" s="8" t="str">
        <f t="shared" si="10"/>
        <v>ENGLISHREC</v>
      </c>
    </row>
    <row r="676" spans="1:11" x14ac:dyDescent="0.25">
      <c r="A676" s="26" t="s">
        <v>126</v>
      </c>
      <c r="B676" s="26" t="s">
        <v>111</v>
      </c>
      <c r="C676" s="26">
        <v>0</v>
      </c>
      <c r="D676" s="27">
        <v>43322</v>
      </c>
      <c r="E676" s="26">
        <v>1429.71</v>
      </c>
      <c r="F676" s="26" t="s">
        <v>1693</v>
      </c>
      <c r="G676" s="26" t="s">
        <v>8</v>
      </c>
      <c r="H676" s="26" t="s">
        <v>1694</v>
      </c>
      <c r="I676" s="26" t="s">
        <v>106</v>
      </c>
      <c r="J676" s="26">
        <v>0</v>
      </c>
      <c r="K676" s="8" t="str">
        <f t="shared" si="10"/>
        <v>ENGLISHREC</v>
      </c>
    </row>
    <row r="677" spans="1:11" x14ac:dyDescent="0.25">
      <c r="A677" s="26" t="s">
        <v>126</v>
      </c>
      <c r="B677" s="26" t="s">
        <v>111</v>
      </c>
      <c r="C677" s="26">
        <v>0</v>
      </c>
      <c r="D677" s="27">
        <v>43322</v>
      </c>
      <c r="E677" s="26">
        <v>2065.13</v>
      </c>
      <c r="F677" s="26" t="s">
        <v>1695</v>
      </c>
      <c r="G677" s="26" t="s">
        <v>8</v>
      </c>
      <c r="H677" s="26" t="s">
        <v>1696</v>
      </c>
      <c r="I677" s="26" t="s">
        <v>106</v>
      </c>
      <c r="J677" s="26">
        <v>0</v>
      </c>
      <c r="K677" s="8" t="str">
        <f t="shared" si="10"/>
        <v>ENGLISHREC</v>
      </c>
    </row>
    <row r="678" spans="1:11" x14ac:dyDescent="0.25">
      <c r="A678" s="26" t="s">
        <v>126</v>
      </c>
      <c r="B678" s="26" t="s">
        <v>111</v>
      </c>
      <c r="C678" s="26">
        <v>0</v>
      </c>
      <c r="D678" s="27">
        <v>43322</v>
      </c>
      <c r="E678" s="26">
        <v>22637.01</v>
      </c>
      <c r="F678" s="26" t="s">
        <v>1697</v>
      </c>
      <c r="G678" s="26" t="s">
        <v>8</v>
      </c>
      <c r="H678" s="26" t="s">
        <v>1698</v>
      </c>
      <c r="I678" s="26" t="s">
        <v>106</v>
      </c>
      <c r="J678" s="26">
        <v>0</v>
      </c>
      <c r="K678" s="8" t="str">
        <f t="shared" si="10"/>
        <v>ENGLISHREC</v>
      </c>
    </row>
    <row r="679" spans="1:11" x14ac:dyDescent="0.25">
      <c r="A679" s="26" t="s">
        <v>126</v>
      </c>
      <c r="B679" s="26" t="s">
        <v>111</v>
      </c>
      <c r="C679" s="26">
        <v>0</v>
      </c>
      <c r="D679" s="27">
        <v>43325</v>
      </c>
      <c r="E679" s="26">
        <v>3971.41</v>
      </c>
      <c r="F679" s="26" t="s">
        <v>1699</v>
      </c>
      <c r="G679" s="26" t="s">
        <v>8</v>
      </c>
      <c r="H679" s="26" t="s">
        <v>1700</v>
      </c>
      <c r="I679" s="26" t="s">
        <v>106</v>
      </c>
      <c r="J679" s="26">
        <v>0</v>
      </c>
      <c r="K679" s="8" t="str">
        <f t="shared" si="10"/>
        <v>ENGLISHREC</v>
      </c>
    </row>
    <row r="680" spans="1:11" x14ac:dyDescent="0.25">
      <c r="A680" s="26" t="s">
        <v>126</v>
      </c>
      <c r="B680" s="26" t="s">
        <v>111</v>
      </c>
      <c r="C680" s="26">
        <v>0</v>
      </c>
      <c r="D680" s="27">
        <v>43329</v>
      </c>
      <c r="E680" s="26">
        <v>3971.41</v>
      </c>
      <c r="F680" s="26" t="s">
        <v>1701</v>
      </c>
      <c r="G680" s="26" t="s">
        <v>8</v>
      </c>
      <c r="H680" s="26" t="s">
        <v>1702</v>
      </c>
      <c r="I680" s="26" t="s">
        <v>106</v>
      </c>
      <c r="J680" s="26">
        <v>0</v>
      </c>
      <c r="K680" s="8" t="str">
        <f t="shared" si="10"/>
        <v>ENGLISHREC</v>
      </c>
    </row>
    <row r="681" spans="1:11" x14ac:dyDescent="0.25">
      <c r="A681" s="26" t="s">
        <v>126</v>
      </c>
      <c r="B681" s="26" t="s">
        <v>111</v>
      </c>
      <c r="C681" s="26">
        <v>0</v>
      </c>
      <c r="D681" s="27">
        <v>43329</v>
      </c>
      <c r="E681" s="26">
        <v>2382.84</v>
      </c>
      <c r="F681" s="26" t="s">
        <v>1703</v>
      </c>
      <c r="G681" s="26" t="s">
        <v>8</v>
      </c>
      <c r="H681" s="26" t="s">
        <v>1704</v>
      </c>
      <c r="I681" s="26" t="s">
        <v>106</v>
      </c>
      <c r="J681" s="26">
        <v>0</v>
      </c>
      <c r="K681" s="8" t="str">
        <f t="shared" si="10"/>
        <v>ENGLISHREC</v>
      </c>
    </row>
    <row r="682" spans="1:11" x14ac:dyDescent="0.25">
      <c r="A682" s="26" t="s">
        <v>126</v>
      </c>
      <c r="B682" s="26" t="s">
        <v>111</v>
      </c>
      <c r="C682" s="26">
        <v>0</v>
      </c>
      <c r="D682" s="27">
        <v>43329</v>
      </c>
      <c r="E682" s="26">
        <v>11914.22</v>
      </c>
      <c r="F682" s="26" t="s">
        <v>1705</v>
      </c>
      <c r="G682" s="26" t="s">
        <v>8</v>
      </c>
      <c r="H682" s="26" t="s">
        <v>1706</v>
      </c>
      <c r="I682" s="26" t="s">
        <v>106</v>
      </c>
      <c r="J682" s="26">
        <v>0</v>
      </c>
      <c r="K682" s="8" t="str">
        <f t="shared" si="10"/>
        <v>ENGLISHREC</v>
      </c>
    </row>
    <row r="683" spans="1:11" x14ac:dyDescent="0.25">
      <c r="A683" s="26" t="s">
        <v>126</v>
      </c>
      <c r="B683" s="26" t="s">
        <v>111</v>
      </c>
      <c r="C683" s="26">
        <v>0</v>
      </c>
      <c r="D683" s="27">
        <v>43336</v>
      </c>
      <c r="E683" s="26">
        <v>7942.81</v>
      </c>
      <c r="F683" s="26" t="s">
        <v>1707</v>
      </c>
      <c r="G683" s="26" t="s">
        <v>8</v>
      </c>
      <c r="H683" s="26" t="s">
        <v>1708</v>
      </c>
      <c r="I683" s="26" t="s">
        <v>106</v>
      </c>
      <c r="J683" s="26">
        <v>0</v>
      </c>
      <c r="K683" s="8" t="str">
        <f t="shared" si="10"/>
        <v>ENGLISHREC</v>
      </c>
    </row>
    <row r="684" spans="1:11" x14ac:dyDescent="0.25">
      <c r="A684" s="26" t="s">
        <v>126</v>
      </c>
      <c r="B684" s="26" t="s">
        <v>111</v>
      </c>
      <c r="C684" s="26">
        <v>0</v>
      </c>
      <c r="D684" s="27">
        <v>43336</v>
      </c>
      <c r="E684" s="26">
        <v>7942.81</v>
      </c>
      <c r="F684" s="26" t="s">
        <v>1709</v>
      </c>
      <c r="G684" s="26" t="s">
        <v>8</v>
      </c>
      <c r="H684" s="26" t="s">
        <v>1710</v>
      </c>
      <c r="I684" s="26" t="s">
        <v>106</v>
      </c>
      <c r="J684" s="26">
        <v>0</v>
      </c>
      <c r="K684" s="8" t="str">
        <f t="shared" si="10"/>
        <v>ENGLISHREC</v>
      </c>
    </row>
    <row r="685" spans="1:11" x14ac:dyDescent="0.25">
      <c r="A685" s="26" t="s">
        <v>126</v>
      </c>
      <c r="B685" s="26" t="s">
        <v>111</v>
      </c>
      <c r="C685" s="26">
        <v>0</v>
      </c>
      <c r="D685" s="27">
        <v>43336</v>
      </c>
      <c r="E685" s="26">
        <v>7942.81</v>
      </c>
      <c r="F685" s="26" t="s">
        <v>1711</v>
      </c>
      <c r="G685" s="26" t="s">
        <v>8</v>
      </c>
      <c r="H685" s="26" t="s">
        <v>1712</v>
      </c>
      <c r="I685" s="26" t="s">
        <v>106</v>
      </c>
      <c r="J685" s="26">
        <v>0</v>
      </c>
      <c r="K685" s="8" t="str">
        <f t="shared" si="10"/>
        <v>ENGLISHREC</v>
      </c>
    </row>
    <row r="686" spans="1:11" x14ac:dyDescent="0.25">
      <c r="A686" s="26" t="s">
        <v>126</v>
      </c>
      <c r="B686" s="26" t="s">
        <v>111</v>
      </c>
      <c r="C686" s="26">
        <v>0</v>
      </c>
      <c r="D686" s="27">
        <v>43339</v>
      </c>
      <c r="E686" s="26">
        <v>794.28</v>
      </c>
      <c r="F686" s="26" t="s">
        <v>1713</v>
      </c>
      <c r="G686" s="26" t="s">
        <v>8</v>
      </c>
      <c r="H686" s="26" t="s">
        <v>1714</v>
      </c>
      <c r="I686" s="26" t="s">
        <v>106</v>
      </c>
      <c r="J686" s="26">
        <v>0</v>
      </c>
      <c r="K686" s="8" t="str">
        <f t="shared" si="10"/>
        <v>ENGLISHREC</v>
      </c>
    </row>
    <row r="687" spans="1:11" x14ac:dyDescent="0.25">
      <c r="A687" s="26" t="s">
        <v>126</v>
      </c>
      <c r="B687" s="26" t="s">
        <v>111</v>
      </c>
      <c r="C687" s="26">
        <v>0</v>
      </c>
      <c r="D687" s="27">
        <v>43342</v>
      </c>
      <c r="E687" s="26">
        <v>7942.81</v>
      </c>
      <c r="F687" s="26" t="s">
        <v>1715</v>
      </c>
      <c r="G687" s="26" t="s">
        <v>8</v>
      </c>
      <c r="H687" s="26" t="s">
        <v>1716</v>
      </c>
      <c r="I687" s="26" t="s">
        <v>106</v>
      </c>
      <c r="J687" s="26">
        <v>0</v>
      </c>
      <c r="K687" s="8" t="str">
        <f t="shared" si="10"/>
        <v>ENGLISHREC</v>
      </c>
    </row>
    <row r="688" spans="1:11" x14ac:dyDescent="0.25">
      <c r="A688" s="26" t="s">
        <v>126</v>
      </c>
      <c r="B688" s="26" t="s">
        <v>111</v>
      </c>
      <c r="C688" s="26">
        <v>0</v>
      </c>
      <c r="D688" s="27">
        <v>43343</v>
      </c>
      <c r="E688" s="26">
        <v>3971.41</v>
      </c>
      <c r="F688" s="26" t="s">
        <v>1717</v>
      </c>
      <c r="G688" s="26" t="s">
        <v>8</v>
      </c>
      <c r="H688" s="26" t="s">
        <v>1718</v>
      </c>
      <c r="I688" s="26" t="s">
        <v>106</v>
      </c>
      <c r="J688" s="26">
        <v>0</v>
      </c>
      <c r="K688" s="8" t="str">
        <f t="shared" si="10"/>
        <v>ENGLISHREC</v>
      </c>
    </row>
    <row r="689" spans="1:11" x14ac:dyDescent="0.25">
      <c r="A689" s="26" t="s">
        <v>126</v>
      </c>
      <c r="B689" s="26" t="s">
        <v>111</v>
      </c>
      <c r="C689" s="26">
        <v>0</v>
      </c>
      <c r="D689" s="27">
        <v>43343</v>
      </c>
      <c r="E689" s="26">
        <v>7942.81</v>
      </c>
      <c r="F689" s="26" t="s">
        <v>1719</v>
      </c>
      <c r="G689" s="26" t="s">
        <v>8</v>
      </c>
      <c r="H689" s="26" t="s">
        <v>1720</v>
      </c>
      <c r="I689" s="26" t="s">
        <v>106</v>
      </c>
      <c r="J689" s="26">
        <v>0</v>
      </c>
      <c r="K689" s="8" t="str">
        <f t="shared" si="10"/>
        <v>ENGLISHREC</v>
      </c>
    </row>
    <row r="690" spans="1:11" x14ac:dyDescent="0.25">
      <c r="A690" s="26" t="s">
        <v>126</v>
      </c>
      <c r="B690" s="26" t="s">
        <v>111</v>
      </c>
      <c r="C690" s="26">
        <v>0</v>
      </c>
      <c r="D690" s="27">
        <v>43343</v>
      </c>
      <c r="E690" s="26">
        <v>4765.6899999999996</v>
      </c>
      <c r="F690" s="26" t="s">
        <v>1721</v>
      </c>
      <c r="G690" s="26" t="s">
        <v>8</v>
      </c>
      <c r="H690" s="26" t="s">
        <v>1722</v>
      </c>
      <c r="I690" s="26" t="s">
        <v>106</v>
      </c>
      <c r="J690" s="26">
        <v>0</v>
      </c>
      <c r="K690" s="8" t="str">
        <f t="shared" si="10"/>
        <v>ENGLISHREC</v>
      </c>
    </row>
    <row r="691" spans="1:11" x14ac:dyDescent="0.25">
      <c r="A691" s="26" t="s">
        <v>126</v>
      </c>
      <c r="B691" s="26" t="s">
        <v>111</v>
      </c>
      <c r="C691" s="26">
        <v>0</v>
      </c>
      <c r="D691" s="27">
        <v>43346</v>
      </c>
      <c r="E691" s="26">
        <v>3971.41</v>
      </c>
      <c r="F691" s="26" t="s">
        <v>1723</v>
      </c>
      <c r="G691" s="26" t="s">
        <v>8</v>
      </c>
      <c r="H691" s="26" t="s">
        <v>1724</v>
      </c>
      <c r="I691" s="26" t="s">
        <v>106</v>
      </c>
      <c r="J691" s="26">
        <v>0</v>
      </c>
      <c r="K691" s="8" t="str">
        <f t="shared" si="10"/>
        <v>ENGLISHREC</v>
      </c>
    </row>
    <row r="692" spans="1:11" x14ac:dyDescent="0.25">
      <c r="A692" s="26" t="s">
        <v>126</v>
      </c>
      <c r="B692" s="26" t="s">
        <v>111</v>
      </c>
      <c r="C692" s="26">
        <v>0</v>
      </c>
      <c r="D692" s="27">
        <v>43349</v>
      </c>
      <c r="E692" s="26">
        <v>238.28</v>
      </c>
      <c r="F692" s="26" t="s">
        <v>1725</v>
      </c>
      <c r="G692" s="26" t="s">
        <v>8</v>
      </c>
      <c r="H692" s="26" t="s">
        <v>1726</v>
      </c>
      <c r="I692" s="26" t="s">
        <v>106</v>
      </c>
      <c r="J692" s="26">
        <v>0</v>
      </c>
      <c r="K692" s="8" t="str">
        <f t="shared" si="10"/>
        <v>ENGLISHREC</v>
      </c>
    </row>
    <row r="693" spans="1:11" x14ac:dyDescent="0.25">
      <c r="A693" s="26" t="s">
        <v>126</v>
      </c>
      <c r="B693" s="26" t="s">
        <v>111</v>
      </c>
      <c r="C693" s="26">
        <v>0</v>
      </c>
      <c r="D693" s="27">
        <v>43350</v>
      </c>
      <c r="E693" s="26">
        <v>3971.41</v>
      </c>
      <c r="F693" s="26" t="s">
        <v>1727</v>
      </c>
      <c r="G693" s="26" t="s">
        <v>8</v>
      </c>
      <c r="H693" s="26" t="s">
        <v>1728</v>
      </c>
      <c r="I693" s="26" t="s">
        <v>106</v>
      </c>
      <c r="J693" s="26">
        <v>0</v>
      </c>
      <c r="K693" s="8" t="str">
        <f t="shared" si="10"/>
        <v>ENGLISHREC</v>
      </c>
    </row>
    <row r="694" spans="1:11" x14ac:dyDescent="0.25">
      <c r="A694" s="26" t="s">
        <v>126</v>
      </c>
      <c r="B694" s="26" t="s">
        <v>111</v>
      </c>
      <c r="C694" s="26">
        <v>0</v>
      </c>
      <c r="D694" s="27">
        <v>43350</v>
      </c>
      <c r="E694" s="26">
        <v>3971.41</v>
      </c>
      <c r="F694" s="26" t="s">
        <v>1729</v>
      </c>
      <c r="G694" s="26" t="s">
        <v>8</v>
      </c>
      <c r="H694" s="26" t="s">
        <v>1730</v>
      </c>
      <c r="I694" s="26" t="s">
        <v>106</v>
      </c>
      <c r="J694" s="26">
        <v>0</v>
      </c>
      <c r="K694" s="8" t="str">
        <f t="shared" si="10"/>
        <v>ENGLISHREC</v>
      </c>
    </row>
    <row r="695" spans="1:11" x14ac:dyDescent="0.25">
      <c r="A695" s="26" t="s">
        <v>126</v>
      </c>
      <c r="B695" s="26" t="s">
        <v>111</v>
      </c>
      <c r="C695" s="26">
        <v>0</v>
      </c>
      <c r="D695" s="27">
        <v>43350</v>
      </c>
      <c r="E695" s="26">
        <v>3971.41</v>
      </c>
      <c r="F695" s="26" t="s">
        <v>1731</v>
      </c>
      <c r="G695" s="26" t="s">
        <v>8</v>
      </c>
      <c r="H695" s="26" t="s">
        <v>1732</v>
      </c>
      <c r="I695" s="26" t="s">
        <v>106</v>
      </c>
      <c r="J695" s="26">
        <v>0</v>
      </c>
      <c r="K695" s="8" t="str">
        <f t="shared" si="10"/>
        <v>ENGLISHREC</v>
      </c>
    </row>
    <row r="696" spans="1:11" x14ac:dyDescent="0.25">
      <c r="A696" s="26" t="s">
        <v>126</v>
      </c>
      <c r="B696" s="26" t="s">
        <v>111</v>
      </c>
      <c r="C696" s="26">
        <v>0</v>
      </c>
      <c r="D696" s="27">
        <v>43353</v>
      </c>
      <c r="E696" s="26">
        <v>3971.41</v>
      </c>
      <c r="F696" s="26" t="s">
        <v>1733</v>
      </c>
      <c r="G696" s="26" t="s">
        <v>8</v>
      </c>
      <c r="H696" s="26" t="s">
        <v>1734</v>
      </c>
      <c r="I696" s="26" t="s">
        <v>106</v>
      </c>
      <c r="J696" s="26">
        <v>0</v>
      </c>
      <c r="K696" s="8" t="str">
        <f t="shared" si="10"/>
        <v>ENGLISHREC</v>
      </c>
    </row>
    <row r="697" spans="1:11" x14ac:dyDescent="0.25">
      <c r="A697" s="26" t="s">
        <v>126</v>
      </c>
      <c r="B697" s="26" t="s">
        <v>111</v>
      </c>
      <c r="C697" s="26">
        <v>0</v>
      </c>
      <c r="D697" s="27">
        <v>43356</v>
      </c>
      <c r="E697" s="26">
        <v>3971.41</v>
      </c>
      <c r="F697" s="26" t="s">
        <v>1735</v>
      </c>
      <c r="G697" s="26" t="s">
        <v>8</v>
      </c>
      <c r="H697" s="26" t="s">
        <v>1736</v>
      </c>
      <c r="I697" s="26" t="s">
        <v>106</v>
      </c>
      <c r="J697" s="26">
        <v>0</v>
      </c>
      <c r="K697" s="8" t="str">
        <f t="shared" si="10"/>
        <v>ENGLISHREC</v>
      </c>
    </row>
    <row r="698" spans="1:11" x14ac:dyDescent="0.25">
      <c r="A698" s="26" t="s">
        <v>126</v>
      </c>
      <c r="B698" s="26" t="s">
        <v>111</v>
      </c>
      <c r="C698" s="26">
        <v>0</v>
      </c>
      <c r="D698" s="27">
        <v>43357</v>
      </c>
      <c r="E698" s="26">
        <v>3971.41</v>
      </c>
      <c r="F698" s="26" t="s">
        <v>1737</v>
      </c>
      <c r="G698" s="26" t="s">
        <v>8</v>
      </c>
      <c r="H698" s="26" t="s">
        <v>1738</v>
      </c>
      <c r="I698" s="26" t="s">
        <v>106</v>
      </c>
      <c r="J698" s="26">
        <v>0</v>
      </c>
      <c r="K698" s="8" t="str">
        <f t="shared" si="10"/>
        <v>ENGLISHREC</v>
      </c>
    </row>
    <row r="699" spans="1:11" x14ac:dyDescent="0.25">
      <c r="A699" s="26" t="s">
        <v>126</v>
      </c>
      <c r="B699" s="26" t="s">
        <v>111</v>
      </c>
      <c r="C699" s="26">
        <v>0</v>
      </c>
      <c r="D699" s="27">
        <v>43357</v>
      </c>
      <c r="E699" s="26">
        <v>3971.41</v>
      </c>
      <c r="F699" s="26" t="s">
        <v>1739</v>
      </c>
      <c r="G699" s="26" t="s">
        <v>8</v>
      </c>
      <c r="H699" s="26" t="s">
        <v>1740</v>
      </c>
      <c r="I699" s="26" t="s">
        <v>106</v>
      </c>
      <c r="J699" s="26">
        <v>0</v>
      </c>
      <c r="K699" s="8" t="str">
        <f t="shared" si="10"/>
        <v>ENGLISHREC</v>
      </c>
    </row>
    <row r="700" spans="1:11" x14ac:dyDescent="0.25">
      <c r="A700" s="26" t="s">
        <v>126</v>
      </c>
      <c r="B700" s="26" t="s">
        <v>111</v>
      </c>
      <c r="C700" s="26">
        <v>0</v>
      </c>
      <c r="D700" s="27">
        <v>43357</v>
      </c>
      <c r="E700" s="26">
        <v>873.71</v>
      </c>
      <c r="F700" s="26" t="s">
        <v>1741</v>
      </c>
      <c r="G700" s="26" t="s">
        <v>8</v>
      </c>
      <c r="H700" s="26" t="s">
        <v>1742</v>
      </c>
      <c r="I700" s="26" t="s">
        <v>106</v>
      </c>
      <c r="J700" s="26">
        <v>0</v>
      </c>
      <c r="K700" s="8" t="str">
        <f t="shared" si="10"/>
        <v>ENGLISHREC</v>
      </c>
    </row>
    <row r="701" spans="1:11" x14ac:dyDescent="0.25">
      <c r="A701" s="26" t="s">
        <v>126</v>
      </c>
      <c r="B701" s="26" t="s">
        <v>111</v>
      </c>
      <c r="C701" s="26">
        <v>0</v>
      </c>
      <c r="D701" s="27">
        <v>43360</v>
      </c>
      <c r="E701" s="26">
        <v>3971.41</v>
      </c>
      <c r="F701" s="26" t="s">
        <v>1743</v>
      </c>
      <c r="G701" s="26" t="s">
        <v>8</v>
      </c>
      <c r="H701" s="26" t="s">
        <v>1744</v>
      </c>
      <c r="I701" s="26" t="s">
        <v>106</v>
      </c>
      <c r="J701" s="26">
        <v>0</v>
      </c>
      <c r="K701" s="8" t="str">
        <f t="shared" si="10"/>
        <v>ENGLISHREC</v>
      </c>
    </row>
    <row r="702" spans="1:11" x14ac:dyDescent="0.25">
      <c r="A702" s="26" t="s">
        <v>134</v>
      </c>
      <c r="B702" s="26" t="s">
        <v>111</v>
      </c>
      <c r="C702" s="26">
        <v>0</v>
      </c>
      <c r="D702" s="27">
        <v>43244</v>
      </c>
      <c r="E702" s="26">
        <v>2541.6999999999998</v>
      </c>
      <c r="F702" s="26" t="s">
        <v>1745</v>
      </c>
      <c r="G702" s="26" t="s">
        <v>8</v>
      </c>
      <c r="H702" s="26" t="s">
        <v>1746</v>
      </c>
      <c r="I702" s="26" t="s">
        <v>106</v>
      </c>
      <c r="J702" s="26">
        <v>0</v>
      </c>
      <c r="K702" s="8" t="str">
        <f t="shared" si="10"/>
        <v>INCREDITCL</v>
      </c>
    </row>
    <row r="703" spans="1:11" x14ac:dyDescent="0.25">
      <c r="A703" s="26" t="s">
        <v>134</v>
      </c>
      <c r="B703" s="26" t="s">
        <v>111</v>
      </c>
      <c r="C703" s="26">
        <v>0</v>
      </c>
      <c r="D703" s="27">
        <v>43245</v>
      </c>
      <c r="E703" s="26">
        <v>794.28</v>
      </c>
      <c r="F703" s="26" t="s">
        <v>1747</v>
      </c>
      <c r="G703" s="26" t="s">
        <v>8</v>
      </c>
      <c r="H703" s="26" t="s">
        <v>1748</v>
      </c>
      <c r="I703" s="26" t="s">
        <v>106</v>
      </c>
      <c r="J703" s="26">
        <v>0</v>
      </c>
      <c r="K703" s="8" t="str">
        <f t="shared" si="10"/>
        <v>INCREDITCL</v>
      </c>
    </row>
    <row r="704" spans="1:11" x14ac:dyDescent="0.25">
      <c r="A704" s="26" t="s">
        <v>134</v>
      </c>
      <c r="B704" s="26" t="s">
        <v>111</v>
      </c>
      <c r="C704" s="26">
        <v>0</v>
      </c>
      <c r="D704" s="27">
        <v>43245</v>
      </c>
      <c r="E704" s="26">
        <v>1985.7</v>
      </c>
      <c r="F704" s="26" t="s">
        <v>1749</v>
      </c>
      <c r="G704" s="26" t="s">
        <v>8</v>
      </c>
      <c r="H704" s="26" t="s">
        <v>1750</v>
      </c>
      <c r="I704" s="26" t="s">
        <v>106</v>
      </c>
      <c r="J704" s="26">
        <v>0</v>
      </c>
      <c r="K704" s="8" t="str">
        <f t="shared" si="10"/>
        <v>INCREDITCL</v>
      </c>
    </row>
    <row r="705" spans="1:11" x14ac:dyDescent="0.25">
      <c r="A705" s="26" t="s">
        <v>134</v>
      </c>
      <c r="B705" s="26" t="s">
        <v>111</v>
      </c>
      <c r="C705" s="26">
        <v>0</v>
      </c>
      <c r="D705" s="27">
        <v>43245</v>
      </c>
      <c r="E705" s="26">
        <v>873.71</v>
      </c>
      <c r="F705" s="26" t="s">
        <v>1751</v>
      </c>
      <c r="G705" s="26" t="s">
        <v>8</v>
      </c>
      <c r="H705" s="26" t="s">
        <v>1752</v>
      </c>
      <c r="I705" s="26" t="s">
        <v>106</v>
      </c>
      <c r="J705" s="26">
        <v>0</v>
      </c>
      <c r="K705" s="8" t="str">
        <f t="shared" si="10"/>
        <v>INCREDITCL</v>
      </c>
    </row>
    <row r="706" spans="1:11" x14ac:dyDescent="0.25">
      <c r="A706" s="26" t="s">
        <v>134</v>
      </c>
      <c r="B706" s="26" t="s">
        <v>111</v>
      </c>
      <c r="C706" s="26">
        <v>0</v>
      </c>
      <c r="D706" s="27">
        <v>43248</v>
      </c>
      <c r="E706" s="26">
        <v>238.28</v>
      </c>
      <c r="F706" s="26" t="s">
        <v>1753</v>
      </c>
      <c r="G706" s="26" t="s">
        <v>8</v>
      </c>
      <c r="H706" s="26" t="s">
        <v>1754</v>
      </c>
      <c r="I706" s="26" t="s">
        <v>106</v>
      </c>
      <c r="J706" s="26">
        <v>0</v>
      </c>
      <c r="K706" s="8" t="str">
        <f t="shared" si="10"/>
        <v>INCREDITCL</v>
      </c>
    </row>
    <row r="707" spans="1:11" x14ac:dyDescent="0.25">
      <c r="A707" s="26" t="s">
        <v>134</v>
      </c>
      <c r="B707" s="26" t="s">
        <v>111</v>
      </c>
      <c r="C707" s="26">
        <v>0</v>
      </c>
      <c r="D707" s="27">
        <v>43251</v>
      </c>
      <c r="E707" s="26">
        <v>79.430000000000007</v>
      </c>
      <c r="F707" s="26" t="s">
        <v>1755</v>
      </c>
      <c r="G707" s="26" t="s">
        <v>8</v>
      </c>
      <c r="H707" s="26" t="s">
        <v>1756</v>
      </c>
      <c r="I707" s="26" t="s">
        <v>106</v>
      </c>
      <c r="J707" s="26">
        <v>0</v>
      </c>
      <c r="K707" s="8" t="str">
        <f t="shared" ref="K707:K770" si="11">LEFT(A707,FIND("/",A707)-1)</f>
        <v>INCREDITCL</v>
      </c>
    </row>
    <row r="708" spans="1:11" x14ac:dyDescent="0.25">
      <c r="A708" s="26" t="s">
        <v>134</v>
      </c>
      <c r="B708" s="26" t="s">
        <v>111</v>
      </c>
      <c r="C708" s="26">
        <v>0</v>
      </c>
      <c r="D708" s="27">
        <v>43252</v>
      </c>
      <c r="E708" s="26">
        <v>79.430000000000007</v>
      </c>
      <c r="F708" s="26" t="s">
        <v>1757</v>
      </c>
      <c r="G708" s="26" t="s">
        <v>8</v>
      </c>
      <c r="H708" s="26" t="s">
        <v>1758</v>
      </c>
      <c r="I708" s="26" t="s">
        <v>106</v>
      </c>
      <c r="J708" s="26">
        <v>0</v>
      </c>
      <c r="K708" s="8" t="str">
        <f t="shared" si="11"/>
        <v>INCREDITCL</v>
      </c>
    </row>
    <row r="709" spans="1:11" x14ac:dyDescent="0.25">
      <c r="A709" s="26" t="s">
        <v>134</v>
      </c>
      <c r="B709" s="26" t="s">
        <v>111</v>
      </c>
      <c r="C709" s="26">
        <v>0</v>
      </c>
      <c r="D709" s="27">
        <v>43252</v>
      </c>
      <c r="E709" s="26">
        <v>794.28</v>
      </c>
      <c r="F709" s="26" t="s">
        <v>1759</v>
      </c>
      <c r="G709" s="26" t="s">
        <v>8</v>
      </c>
      <c r="H709" s="26" t="s">
        <v>1760</v>
      </c>
      <c r="I709" s="26" t="s">
        <v>106</v>
      </c>
      <c r="J709" s="26">
        <v>0</v>
      </c>
      <c r="K709" s="8" t="str">
        <f t="shared" si="11"/>
        <v>INCREDITCL</v>
      </c>
    </row>
    <row r="710" spans="1:11" x14ac:dyDescent="0.25">
      <c r="A710" s="26" t="s">
        <v>134</v>
      </c>
      <c r="B710" s="26" t="s">
        <v>111</v>
      </c>
      <c r="C710" s="26">
        <v>0</v>
      </c>
      <c r="D710" s="27">
        <v>43255</v>
      </c>
      <c r="E710" s="26">
        <v>794.28</v>
      </c>
      <c r="F710" s="26" t="s">
        <v>1761</v>
      </c>
      <c r="G710" s="26" t="s">
        <v>8</v>
      </c>
      <c r="H710" s="26" t="s">
        <v>1762</v>
      </c>
      <c r="I710" s="26" t="s">
        <v>106</v>
      </c>
      <c r="J710" s="26">
        <v>0</v>
      </c>
      <c r="K710" s="8" t="str">
        <f t="shared" si="11"/>
        <v>INCREDITCL</v>
      </c>
    </row>
    <row r="711" spans="1:11" x14ac:dyDescent="0.25">
      <c r="A711" s="26" t="s">
        <v>134</v>
      </c>
      <c r="B711" s="26" t="s">
        <v>111</v>
      </c>
      <c r="C711" s="26">
        <v>0</v>
      </c>
      <c r="D711" s="27">
        <v>43258</v>
      </c>
      <c r="E711" s="26">
        <v>79.430000000000007</v>
      </c>
      <c r="F711" s="26" t="s">
        <v>1763</v>
      </c>
      <c r="G711" s="26" t="s">
        <v>8</v>
      </c>
      <c r="H711" s="26" t="s">
        <v>1764</v>
      </c>
      <c r="I711" s="26" t="s">
        <v>106</v>
      </c>
      <c r="J711" s="26">
        <v>0</v>
      </c>
      <c r="K711" s="8" t="str">
        <f t="shared" si="11"/>
        <v>INCREDITCL</v>
      </c>
    </row>
    <row r="712" spans="1:11" x14ac:dyDescent="0.25">
      <c r="A712" s="26" t="s">
        <v>134</v>
      </c>
      <c r="B712" s="26" t="s">
        <v>111</v>
      </c>
      <c r="C712" s="26">
        <v>0</v>
      </c>
      <c r="D712" s="27">
        <v>43259</v>
      </c>
      <c r="E712" s="26">
        <v>158.86000000000001</v>
      </c>
      <c r="F712" s="26" t="s">
        <v>1765</v>
      </c>
      <c r="G712" s="26" t="s">
        <v>8</v>
      </c>
      <c r="H712" s="26" t="s">
        <v>1766</v>
      </c>
      <c r="I712" s="26" t="s">
        <v>106</v>
      </c>
      <c r="J712" s="26">
        <v>0</v>
      </c>
      <c r="K712" s="8" t="str">
        <f t="shared" si="11"/>
        <v>INCREDITCL</v>
      </c>
    </row>
    <row r="713" spans="1:11" x14ac:dyDescent="0.25">
      <c r="A713" s="26" t="s">
        <v>134</v>
      </c>
      <c r="B713" s="26" t="s">
        <v>111</v>
      </c>
      <c r="C713" s="26">
        <v>0</v>
      </c>
      <c r="D713" s="27">
        <v>43262</v>
      </c>
      <c r="E713" s="26">
        <v>79.430000000000007</v>
      </c>
      <c r="F713" s="26" t="s">
        <v>1767</v>
      </c>
      <c r="G713" s="26" t="s">
        <v>8</v>
      </c>
      <c r="H713" s="26" t="s">
        <v>1768</v>
      </c>
      <c r="I713" s="26" t="s">
        <v>106</v>
      </c>
      <c r="J713" s="26">
        <v>0</v>
      </c>
      <c r="K713" s="8" t="str">
        <f t="shared" si="11"/>
        <v>INCREDITCL</v>
      </c>
    </row>
    <row r="714" spans="1:11" x14ac:dyDescent="0.25">
      <c r="A714" s="26" t="s">
        <v>134</v>
      </c>
      <c r="B714" s="26" t="s">
        <v>111</v>
      </c>
      <c r="C714" s="26">
        <v>0</v>
      </c>
      <c r="D714" s="27">
        <v>43265</v>
      </c>
      <c r="E714" s="26">
        <v>79.430000000000007</v>
      </c>
      <c r="F714" s="26" t="s">
        <v>1769</v>
      </c>
      <c r="G714" s="26" t="s">
        <v>8</v>
      </c>
      <c r="H714" s="26" t="s">
        <v>1770</v>
      </c>
      <c r="I714" s="26" t="s">
        <v>106</v>
      </c>
      <c r="J714" s="26">
        <v>0</v>
      </c>
      <c r="K714" s="8" t="str">
        <f t="shared" si="11"/>
        <v>INCREDITCL</v>
      </c>
    </row>
    <row r="715" spans="1:11" x14ac:dyDescent="0.25">
      <c r="A715" s="26" t="s">
        <v>134</v>
      </c>
      <c r="B715" s="26" t="s">
        <v>111</v>
      </c>
      <c r="C715" s="26">
        <v>0</v>
      </c>
      <c r="D715" s="27">
        <v>43266</v>
      </c>
      <c r="E715" s="26">
        <v>476.57</v>
      </c>
      <c r="F715" s="26" t="s">
        <v>1771</v>
      </c>
      <c r="G715" s="26" t="s">
        <v>8</v>
      </c>
      <c r="H715" s="26" t="s">
        <v>1772</v>
      </c>
      <c r="I715" s="26" t="s">
        <v>106</v>
      </c>
      <c r="J715" s="26">
        <v>0</v>
      </c>
      <c r="K715" s="8" t="str">
        <f t="shared" si="11"/>
        <v>INCREDITCL</v>
      </c>
    </row>
    <row r="716" spans="1:11" x14ac:dyDescent="0.25">
      <c r="A716" s="26" t="s">
        <v>134</v>
      </c>
      <c r="B716" s="26" t="s">
        <v>111</v>
      </c>
      <c r="C716" s="26">
        <v>0</v>
      </c>
      <c r="D716" s="27">
        <v>43266</v>
      </c>
      <c r="E716" s="26">
        <v>714.85</v>
      </c>
      <c r="F716" s="26" t="s">
        <v>1773</v>
      </c>
      <c r="G716" s="26" t="s">
        <v>8</v>
      </c>
      <c r="H716" s="26" t="s">
        <v>1774</v>
      </c>
      <c r="I716" s="26" t="s">
        <v>106</v>
      </c>
      <c r="J716" s="26">
        <v>0</v>
      </c>
      <c r="K716" s="8" t="str">
        <f t="shared" si="11"/>
        <v>INCREDITCL</v>
      </c>
    </row>
    <row r="717" spans="1:11" x14ac:dyDescent="0.25">
      <c r="A717" s="26" t="s">
        <v>134</v>
      </c>
      <c r="B717" s="26" t="s">
        <v>111</v>
      </c>
      <c r="C717" s="26">
        <v>0</v>
      </c>
      <c r="D717" s="27">
        <v>43266</v>
      </c>
      <c r="E717" s="26">
        <v>3335.98</v>
      </c>
      <c r="F717" s="26" t="s">
        <v>1775</v>
      </c>
      <c r="G717" s="26" t="s">
        <v>8</v>
      </c>
      <c r="H717" s="26" t="s">
        <v>1776</v>
      </c>
      <c r="I717" s="26" t="s">
        <v>106</v>
      </c>
      <c r="J717" s="26">
        <v>0</v>
      </c>
      <c r="K717" s="8" t="str">
        <f t="shared" si="11"/>
        <v>INCREDITCL</v>
      </c>
    </row>
    <row r="718" spans="1:11" x14ac:dyDescent="0.25">
      <c r="A718" s="26" t="s">
        <v>134</v>
      </c>
      <c r="B718" s="26" t="s">
        <v>111</v>
      </c>
      <c r="C718" s="26">
        <v>0</v>
      </c>
      <c r="D718" s="27">
        <v>43269</v>
      </c>
      <c r="E718" s="26">
        <v>1032.57</v>
      </c>
      <c r="F718" s="26" t="s">
        <v>1777</v>
      </c>
      <c r="G718" s="26" t="s">
        <v>8</v>
      </c>
      <c r="H718" s="26" t="s">
        <v>1778</v>
      </c>
      <c r="I718" s="26" t="s">
        <v>106</v>
      </c>
      <c r="J718" s="26">
        <v>0</v>
      </c>
      <c r="K718" s="8" t="str">
        <f t="shared" si="11"/>
        <v>INCREDITCL</v>
      </c>
    </row>
    <row r="719" spans="1:11" x14ac:dyDescent="0.25">
      <c r="A719" s="26" t="s">
        <v>134</v>
      </c>
      <c r="B719" s="26" t="s">
        <v>111</v>
      </c>
      <c r="C719" s="26">
        <v>0</v>
      </c>
      <c r="D719" s="27">
        <v>43272</v>
      </c>
      <c r="E719" s="26">
        <v>1588.56</v>
      </c>
      <c r="F719" s="26" t="s">
        <v>1779</v>
      </c>
      <c r="G719" s="26" t="s">
        <v>8</v>
      </c>
      <c r="H719" s="26" t="s">
        <v>1780</v>
      </c>
      <c r="I719" s="26" t="s">
        <v>106</v>
      </c>
      <c r="J719" s="26">
        <v>0</v>
      </c>
      <c r="K719" s="8" t="str">
        <f t="shared" si="11"/>
        <v>INCREDITCL</v>
      </c>
    </row>
    <row r="720" spans="1:11" x14ac:dyDescent="0.25">
      <c r="A720" s="26" t="s">
        <v>134</v>
      </c>
      <c r="B720" s="26" t="s">
        <v>111</v>
      </c>
      <c r="C720" s="26">
        <v>0</v>
      </c>
      <c r="D720" s="27">
        <v>43273</v>
      </c>
      <c r="E720" s="26">
        <v>1429.71</v>
      </c>
      <c r="F720" s="26" t="s">
        <v>1781</v>
      </c>
      <c r="G720" s="26" t="s">
        <v>8</v>
      </c>
      <c r="H720" s="26" t="s">
        <v>1782</v>
      </c>
      <c r="I720" s="26" t="s">
        <v>106</v>
      </c>
      <c r="J720" s="26">
        <v>0</v>
      </c>
      <c r="K720" s="8" t="str">
        <f t="shared" si="11"/>
        <v>INCREDITCL</v>
      </c>
    </row>
    <row r="721" spans="1:11" x14ac:dyDescent="0.25">
      <c r="A721" s="26" t="s">
        <v>134</v>
      </c>
      <c r="B721" s="26" t="s">
        <v>111</v>
      </c>
      <c r="C721" s="26">
        <v>0</v>
      </c>
      <c r="D721" s="27">
        <v>43273</v>
      </c>
      <c r="E721" s="26">
        <v>1270.8499999999999</v>
      </c>
      <c r="F721" s="26" t="s">
        <v>1783</v>
      </c>
      <c r="G721" s="26" t="s">
        <v>8</v>
      </c>
      <c r="H721" s="26" t="s">
        <v>1784</v>
      </c>
      <c r="I721" s="26" t="s">
        <v>106</v>
      </c>
      <c r="J721" s="26">
        <v>0</v>
      </c>
      <c r="K721" s="8" t="str">
        <f t="shared" si="11"/>
        <v>INCREDITCL</v>
      </c>
    </row>
    <row r="722" spans="1:11" x14ac:dyDescent="0.25">
      <c r="A722" s="26" t="s">
        <v>134</v>
      </c>
      <c r="B722" s="26" t="s">
        <v>111</v>
      </c>
      <c r="C722" s="26">
        <v>0</v>
      </c>
      <c r="D722" s="27">
        <v>43273</v>
      </c>
      <c r="E722" s="26">
        <v>1588.56</v>
      </c>
      <c r="F722" s="26" t="s">
        <v>1785</v>
      </c>
      <c r="G722" s="26" t="s">
        <v>8</v>
      </c>
      <c r="H722" s="26" t="s">
        <v>1786</v>
      </c>
      <c r="I722" s="26" t="s">
        <v>106</v>
      </c>
      <c r="J722" s="26">
        <v>0</v>
      </c>
      <c r="K722" s="8" t="str">
        <f t="shared" si="11"/>
        <v>INCREDITCL</v>
      </c>
    </row>
    <row r="723" spans="1:11" x14ac:dyDescent="0.25">
      <c r="A723" s="26" t="s">
        <v>134</v>
      </c>
      <c r="B723" s="26" t="s">
        <v>111</v>
      </c>
      <c r="C723" s="26">
        <v>0</v>
      </c>
      <c r="D723" s="27">
        <v>43276</v>
      </c>
      <c r="E723" s="26">
        <v>1747.42</v>
      </c>
      <c r="F723" s="26" t="s">
        <v>1787</v>
      </c>
      <c r="G723" s="26" t="s">
        <v>8</v>
      </c>
      <c r="H723" s="26" t="s">
        <v>1788</v>
      </c>
      <c r="I723" s="26" t="s">
        <v>106</v>
      </c>
      <c r="J723" s="26">
        <v>0</v>
      </c>
      <c r="K723" s="8" t="str">
        <f t="shared" si="11"/>
        <v>INCREDITCL</v>
      </c>
    </row>
    <row r="724" spans="1:11" x14ac:dyDescent="0.25">
      <c r="A724" s="26" t="s">
        <v>134</v>
      </c>
      <c r="B724" s="26" t="s">
        <v>111</v>
      </c>
      <c r="C724" s="26">
        <v>0</v>
      </c>
      <c r="D724" s="27">
        <v>43279</v>
      </c>
      <c r="E724" s="26">
        <v>317.70999999999998</v>
      </c>
      <c r="F724" s="26" t="s">
        <v>1789</v>
      </c>
      <c r="G724" s="26" t="s">
        <v>8</v>
      </c>
      <c r="H724" s="26" t="s">
        <v>1790</v>
      </c>
      <c r="I724" s="26" t="s">
        <v>106</v>
      </c>
      <c r="J724" s="26">
        <v>0</v>
      </c>
      <c r="K724" s="8" t="str">
        <f t="shared" si="11"/>
        <v>INCREDITCL</v>
      </c>
    </row>
    <row r="725" spans="1:11" x14ac:dyDescent="0.25">
      <c r="A725" s="26" t="s">
        <v>134</v>
      </c>
      <c r="B725" s="26" t="s">
        <v>111</v>
      </c>
      <c r="C725" s="26">
        <v>0</v>
      </c>
      <c r="D725" s="27">
        <v>43280</v>
      </c>
      <c r="E725" s="26">
        <v>158.86000000000001</v>
      </c>
      <c r="F725" s="26" t="s">
        <v>1791</v>
      </c>
      <c r="G725" s="26" t="s">
        <v>8</v>
      </c>
      <c r="H725" s="26" t="s">
        <v>1792</v>
      </c>
      <c r="I725" s="26" t="s">
        <v>106</v>
      </c>
      <c r="J725" s="26">
        <v>0</v>
      </c>
      <c r="K725" s="8" t="str">
        <f t="shared" si="11"/>
        <v>INCREDITCL</v>
      </c>
    </row>
    <row r="726" spans="1:11" x14ac:dyDescent="0.25">
      <c r="A726" s="26" t="s">
        <v>134</v>
      </c>
      <c r="B726" s="26" t="s">
        <v>111</v>
      </c>
      <c r="C726" s="26">
        <v>0</v>
      </c>
      <c r="D726" s="27">
        <v>43280</v>
      </c>
      <c r="E726" s="26">
        <v>158.86000000000001</v>
      </c>
      <c r="F726" s="26" t="s">
        <v>1793</v>
      </c>
      <c r="G726" s="26" t="s">
        <v>8</v>
      </c>
      <c r="H726" s="26" t="s">
        <v>1794</v>
      </c>
      <c r="I726" s="26" t="s">
        <v>106</v>
      </c>
      <c r="J726" s="26">
        <v>0</v>
      </c>
      <c r="K726" s="8" t="str">
        <f t="shared" si="11"/>
        <v>INCREDITCL</v>
      </c>
    </row>
    <row r="727" spans="1:11" x14ac:dyDescent="0.25">
      <c r="A727" s="26" t="s">
        <v>134</v>
      </c>
      <c r="B727" s="26" t="s">
        <v>111</v>
      </c>
      <c r="C727" s="26">
        <v>0</v>
      </c>
      <c r="D727" s="27">
        <v>43283</v>
      </c>
      <c r="E727" s="26">
        <v>79.430000000000007</v>
      </c>
      <c r="F727" s="26" t="s">
        <v>1795</v>
      </c>
      <c r="G727" s="26" t="s">
        <v>8</v>
      </c>
      <c r="H727" s="26" t="s">
        <v>1796</v>
      </c>
      <c r="I727" s="26" t="s">
        <v>106</v>
      </c>
      <c r="J727" s="26">
        <v>0</v>
      </c>
      <c r="K727" s="8" t="str">
        <f t="shared" si="11"/>
        <v>INCREDITCL</v>
      </c>
    </row>
    <row r="728" spans="1:11" x14ac:dyDescent="0.25">
      <c r="A728" s="26" t="s">
        <v>134</v>
      </c>
      <c r="B728" s="26" t="s">
        <v>111</v>
      </c>
      <c r="C728" s="26">
        <v>0</v>
      </c>
      <c r="D728" s="27">
        <v>43286</v>
      </c>
      <c r="E728" s="26">
        <v>79.430000000000007</v>
      </c>
      <c r="F728" s="26" t="s">
        <v>1797</v>
      </c>
      <c r="G728" s="26" t="s">
        <v>8</v>
      </c>
      <c r="H728" s="26" t="s">
        <v>1798</v>
      </c>
      <c r="I728" s="26" t="s">
        <v>106</v>
      </c>
      <c r="J728" s="26">
        <v>0</v>
      </c>
      <c r="K728" s="8" t="str">
        <f t="shared" si="11"/>
        <v>INCREDITCL</v>
      </c>
    </row>
    <row r="729" spans="1:11" x14ac:dyDescent="0.25">
      <c r="A729" s="26" t="s">
        <v>134</v>
      </c>
      <c r="B729" s="26" t="s">
        <v>111</v>
      </c>
      <c r="C729" s="26">
        <v>0</v>
      </c>
      <c r="D729" s="27">
        <v>43287</v>
      </c>
      <c r="E729" s="26">
        <v>476.57</v>
      </c>
      <c r="F729" s="26" t="s">
        <v>1799</v>
      </c>
      <c r="G729" s="26" t="s">
        <v>8</v>
      </c>
      <c r="H729" s="26" t="s">
        <v>1800</v>
      </c>
      <c r="I729" s="26" t="s">
        <v>106</v>
      </c>
      <c r="J729" s="26">
        <v>0</v>
      </c>
      <c r="K729" s="8" t="str">
        <f t="shared" si="11"/>
        <v>INCREDITCL</v>
      </c>
    </row>
    <row r="730" spans="1:11" x14ac:dyDescent="0.25">
      <c r="A730" s="26" t="s">
        <v>134</v>
      </c>
      <c r="B730" s="26" t="s">
        <v>111</v>
      </c>
      <c r="C730" s="26">
        <v>0</v>
      </c>
      <c r="D730" s="27">
        <v>43290</v>
      </c>
      <c r="E730" s="26">
        <v>79.430000000000007</v>
      </c>
      <c r="F730" s="26" t="s">
        <v>1801</v>
      </c>
      <c r="G730" s="26" t="s">
        <v>8</v>
      </c>
      <c r="H730" s="26" t="s">
        <v>1802</v>
      </c>
      <c r="I730" s="26" t="s">
        <v>106</v>
      </c>
      <c r="J730" s="26">
        <v>0</v>
      </c>
      <c r="K730" s="8" t="str">
        <f t="shared" si="11"/>
        <v>INCREDITCL</v>
      </c>
    </row>
    <row r="731" spans="1:11" x14ac:dyDescent="0.25">
      <c r="A731" s="26" t="s">
        <v>134</v>
      </c>
      <c r="B731" s="26" t="s">
        <v>111</v>
      </c>
      <c r="C731" s="26">
        <v>0</v>
      </c>
      <c r="D731" s="27">
        <v>43294</v>
      </c>
      <c r="E731" s="26">
        <v>238.28</v>
      </c>
      <c r="F731" s="26" t="s">
        <v>1803</v>
      </c>
      <c r="G731" s="26" t="s">
        <v>8</v>
      </c>
      <c r="H731" s="26" t="s">
        <v>1804</v>
      </c>
      <c r="I731" s="26" t="s">
        <v>106</v>
      </c>
      <c r="J731" s="26">
        <v>0</v>
      </c>
      <c r="K731" s="8" t="str">
        <f t="shared" si="11"/>
        <v>INCREDITCL</v>
      </c>
    </row>
    <row r="732" spans="1:11" x14ac:dyDescent="0.25">
      <c r="A732" s="26" t="s">
        <v>134</v>
      </c>
      <c r="B732" s="26" t="s">
        <v>111</v>
      </c>
      <c r="C732" s="26">
        <v>0</v>
      </c>
      <c r="D732" s="27">
        <v>43294</v>
      </c>
      <c r="E732" s="26">
        <v>794.28</v>
      </c>
      <c r="F732" s="26" t="s">
        <v>1805</v>
      </c>
      <c r="G732" s="26" t="s">
        <v>8</v>
      </c>
      <c r="H732" s="26" t="s">
        <v>1806</v>
      </c>
      <c r="I732" s="26" t="s">
        <v>106</v>
      </c>
      <c r="J732" s="26">
        <v>0</v>
      </c>
      <c r="K732" s="8" t="str">
        <f t="shared" si="11"/>
        <v>INCREDITCL</v>
      </c>
    </row>
    <row r="733" spans="1:11" x14ac:dyDescent="0.25">
      <c r="A733" s="26" t="s">
        <v>134</v>
      </c>
      <c r="B733" s="26" t="s">
        <v>111</v>
      </c>
      <c r="C733" s="26">
        <v>0</v>
      </c>
      <c r="D733" s="27">
        <v>43294</v>
      </c>
      <c r="E733" s="26">
        <v>714.85</v>
      </c>
      <c r="F733" s="26" t="s">
        <v>1807</v>
      </c>
      <c r="G733" s="26" t="s">
        <v>8</v>
      </c>
      <c r="H733" s="26" t="s">
        <v>1808</v>
      </c>
      <c r="I733" s="26" t="s">
        <v>106</v>
      </c>
      <c r="J733" s="26">
        <v>0</v>
      </c>
      <c r="K733" s="8" t="str">
        <f t="shared" si="11"/>
        <v>INCREDITCL</v>
      </c>
    </row>
    <row r="734" spans="1:11" x14ac:dyDescent="0.25">
      <c r="A734" s="26" t="s">
        <v>134</v>
      </c>
      <c r="B734" s="26" t="s">
        <v>111</v>
      </c>
      <c r="C734" s="26">
        <v>0</v>
      </c>
      <c r="D734" s="27">
        <v>43297</v>
      </c>
      <c r="E734" s="26">
        <v>635.41999999999996</v>
      </c>
      <c r="F734" s="26" t="s">
        <v>1809</v>
      </c>
      <c r="G734" s="26" t="s">
        <v>8</v>
      </c>
      <c r="H734" s="26" t="s">
        <v>1810</v>
      </c>
      <c r="I734" s="26" t="s">
        <v>106</v>
      </c>
      <c r="J734" s="26">
        <v>0</v>
      </c>
      <c r="K734" s="8" t="str">
        <f t="shared" si="11"/>
        <v>INCREDITCL</v>
      </c>
    </row>
    <row r="735" spans="1:11" x14ac:dyDescent="0.25">
      <c r="A735" s="26" t="s">
        <v>134</v>
      </c>
      <c r="B735" s="26" t="s">
        <v>111</v>
      </c>
      <c r="C735" s="26">
        <v>0</v>
      </c>
      <c r="D735" s="27">
        <v>43300</v>
      </c>
      <c r="E735" s="26">
        <v>556</v>
      </c>
      <c r="F735" s="26" t="s">
        <v>1811</v>
      </c>
      <c r="G735" s="26" t="s">
        <v>8</v>
      </c>
      <c r="H735" s="26" t="s">
        <v>1812</v>
      </c>
      <c r="I735" s="26" t="s">
        <v>106</v>
      </c>
      <c r="J735" s="26">
        <v>0</v>
      </c>
      <c r="K735" s="8" t="str">
        <f t="shared" si="11"/>
        <v>INCREDITCL</v>
      </c>
    </row>
    <row r="736" spans="1:11" x14ac:dyDescent="0.25">
      <c r="A736" s="26" t="s">
        <v>134</v>
      </c>
      <c r="B736" s="26" t="s">
        <v>111</v>
      </c>
      <c r="C736" s="26">
        <v>0</v>
      </c>
      <c r="D736" s="27">
        <v>43301</v>
      </c>
      <c r="E736" s="26">
        <v>794.28</v>
      </c>
      <c r="F736" s="26" t="s">
        <v>1813</v>
      </c>
      <c r="G736" s="26" t="s">
        <v>8</v>
      </c>
      <c r="H736" s="26" t="s">
        <v>1814</v>
      </c>
      <c r="I736" s="26" t="s">
        <v>106</v>
      </c>
      <c r="J736" s="26">
        <v>0</v>
      </c>
      <c r="K736" s="8" t="str">
        <f t="shared" si="11"/>
        <v>INCREDITCL</v>
      </c>
    </row>
    <row r="737" spans="1:11" x14ac:dyDescent="0.25">
      <c r="A737" s="26" t="s">
        <v>134</v>
      </c>
      <c r="B737" s="26" t="s">
        <v>111</v>
      </c>
      <c r="C737" s="26">
        <v>0</v>
      </c>
      <c r="D737" s="27">
        <v>43301</v>
      </c>
      <c r="E737" s="26">
        <v>635.41999999999996</v>
      </c>
      <c r="F737" s="26" t="s">
        <v>1815</v>
      </c>
      <c r="G737" s="26" t="s">
        <v>8</v>
      </c>
      <c r="H737" s="26" t="s">
        <v>1816</v>
      </c>
      <c r="I737" s="26" t="s">
        <v>106</v>
      </c>
      <c r="J737" s="26">
        <v>0</v>
      </c>
      <c r="K737" s="8" t="str">
        <f t="shared" si="11"/>
        <v>INCREDITCL</v>
      </c>
    </row>
    <row r="738" spans="1:11" x14ac:dyDescent="0.25">
      <c r="A738" s="26" t="s">
        <v>134</v>
      </c>
      <c r="B738" s="26" t="s">
        <v>111</v>
      </c>
      <c r="C738" s="26">
        <v>0</v>
      </c>
      <c r="D738" s="27">
        <v>43301</v>
      </c>
      <c r="E738" s="26">
        <v>1111.99</v>
      </c>
      <c r="F738" s="26" t="s">
        <v>1817</v>
      </c>
      <c r="G738" s="26" t="s">
        <v>8</v>
      </c>
      <c r="H738" s="26" t="s">
        <v>1818</v>
      </c>
      <c r="I738" s="26" t="s">
        <v>106</v>
      </c>
      <c r="J738" s="26">
        <v>0</v>
      </c>
      <c r="K738" s="8" t="str">
        <f t="shared" si="11"/>
        <v>INCREDITCL</v>
      </c>
    </row>
    <row r="739" spans="1:11" x14ac:dyDescent="0.25">
      <c r="A739" s="26" t="s">
        <v>134</v>
      </c>
      <c r="B739" s="26" t="s">
        <v>111</v>
      </c>
      <c r="C739" s="26">
        <v>0</v>
      </c>
      <c r="D739" s="27">
        <v>43304</v>
      </c>
      <c r="E739" s="26">
        <v>1667.99</v>
      </c>
      <c r="F739" s="26" t="s">
        <v>1819</v>
      </c>
      <c r="G739" s="26" t="s">
        <v>8</v>
      </c>
      <c r="H739" s="26" t="s">
        <v>1820</v>
      </c>
      <c r="I739" s="26" t="s">
        <v>106</v>
      </c>
      <c r="J739" s="26">
        <v>0</v>
      </c>
      <c r="K739" s="8" t="str">
        <f t="shared" si="11"/>
        <v>INCREDITCL</v>
      </c>
    </row>
    <row r="740" spans="1:11" x14ac:dyDescent="0.25">
      <c r="A740" s="26" t="s">
        <v>134</v>
      </c>
      <c r="B740" s="26" t="s">
        <v>111</v>
      </c>
      <c r="C740" s="26">
        <v>0</v>
      </c>
      <c r="D740" s="27">
        <v>43307</v>
      </c>
      <c r="E740" s="26">
        <v>79.430000000000007</v>
      </c>
      <c r="F740" s="26" t="s">
        <v>1821</v>
      </c>
      <c r="G740" s="26" t="s">
        <v>8</v>
      </c>
      <c r="H740" s="26" t="s">
        <v>1822</v>
      </c>
      <c r="I740" s="26" t="s">
        <v>106</v>
      </c>
      <c r="J740" s="26">
        <v>0</v>
      </c>
      <c r="K740" s="8" t="str">
        <f t="shared" si="11"/>
        <v>INCREDITCL</v>
      </c>
    </row>
    <row r="741" spans="1:11" x14ac:dyDescent="0.25">
      <c r="A741" s="26" t="s">
        <v>134</v>
      </c>
      <c r="B741" s="26" t="s">
        <v>111</v>
      </c>
      <c r="C741" s="26">
        <v>0</v>
      </c>
      <c r="D741" s="27">
        <v>43308</v>
      </c>
      <c r="E741" s="26">
        <v>79.430000000000007</v>
      </c>
      <c r="F741" s="26" t="s">
        <v>1823</v>
      </c>
      <c r="G741" s="26" t="s">
        <v>8</v>
      </c>
      <c r="H741" s="26" t="s">
        <v>1824</v>
      </c>
      <c r="I741" s="26" t="s">
        <v>106</v>
      </c>
      <c r="J741" s="26">
        <v>0</v>
      </c>
      <c r="K741" s="8" t="str">
        <f t="shared" si="11"/>
        <v>INCREDITCL</v>
      </c>
    </row>
    <row r="742" spans="1:11" x14ac:dyDescent="0.25">
      <c r="A742" s="26" t="s">
        <v>134</v>
      </c>
      <c r="B742" s="26" t="s">
        <v>111</v>
      </c>
      <c r="C742" s="26">
        <v>0</v>
      </c>
      <c r="D742" s="27">
        <v>43308</v>
      </c>
      <c r="E742" s="26">
        <v>794.28</v>
      </c>
      <c r="F742" s="26" t="s">
        <v>1825</v>
      </c>
      <c r="G742" s="26" t="s">
        <v>8</v>
      </c>
      <c r="H742" s="26" t="s">
        <v>1826</v>
      </c>
      <c r="I742" s="26" t="s">
        <v>106</v>
      </c>
      <c r="J742" s="26">
        <v>0</v>
      </c>
      <c r="K742" s="8" t="str">
        <f t="shared" si="11"/>
        <v>INCREDITCL</v>
      </c>
    </row>
    <row r="743" spans="1:11" x14ac:dyDescent="0.25">
      <c r="A743" s="26" t="s">
        <v>134</v>
      </c>
      <c r="B743" s="26" t="s">
        <v>111</v>
      </c>
      <c r="C743" s="26">
        <v>0</v>
      </c>
      <c r="D743" s="27">
        <v>43308</v>
      </c>
      <c r="E743" s="26">
        <v>79.430000000000007</v>
      </c>
      <c r="F743" s="26" t="s">
        <v>1827</v>
      </c>
      <c r="G743" s="26" t="s">
        <v>8</v>
      </c>
      <c r="H743" s="26" t="s">
        <v>1828</v>
      </c>
      <c r="I743" s="26" t="s">
        <v>106</v>
      </c>
      <c r="J743" s="26">
        <v>0</v>
      </c>
      <c r="K743" s="8" t="str">
        <f t="shared" si="11"/>
        <v>INCREDITCL</v>
      </c>
    </row>
    <row r="744" spans="1:11" x14ac:dyDescent="0.25">
      <c r="A744" s="26" t="s">
        <v>134</v>
      </c>
      <c r="B744" s="26" t="s">
        <v>111</v>
      </c>
      <c r="C744" s="26">
        <v>0</v>
      </c>
      <c r="D744" s="27">
        <v>43314</v>
      </c>
      <c r="E744" s="26">
        <v>238.28</v>
      </c>
      <c r="F744" s="26" t="s">
        <v>1829</v>
      </c>
      <c r="G744" s="26" t="s">
        <v>8</v>
      </c>
      <c r="H744" s="26" t="s">
        <v>1830</v>
      </c>
      <c r="I744" s="26" t="s">
        <v>106</v>
      </c>
      <c r="J744" s="26">
        <v>0</v>
      </c>
      <c r="K744" s="8" t="str">
        <f t="shared" si="11"/>
        <v>INCREDITCL</v>
      </c>
    </row>
    <row r="745" spans="1:11" x14ac:dyDescent="0.25">
      <c r="A745" s="26" t="s">
        <v>134</v>
      </c>
      <c r="B745" s="26" t="s">
        <v>111</v>
      </c>
      <c r="C745" s="26">
        <v>0</v>
      </c>
      <c r="D745" s="27">
        <v>43315</v>
      </c>
      <c r="E745" s="26">
        <v>79.430000000000007</v>
      </c>
      <c r="F745" s="26" t="s">
        <v>1831</v>
      </c>
      <c r="G745" s="26" t="s">
        <v>8</v>
      </c>
      <c r="H745" s="26" t="s">
        <v>1832</v>
      </c>
      <c r="I745" s="26" t="s">
        <v>106</v>
      </c>
      <c r="J745" s="26">
        <v>0</v>
      </c>
      <c r="K745" s="8" t="str">
        <f t="shared" si="11"/>
        <v>INCREDITCL</v>
      </c>
    </row>
    <row r="746" spans="1:11" x14ac:dyDescent="0.25">
      <c r="A746" s="26" t="s">
        <v>134</v>
      </c>
      <c r="B746" s="26" t="s">
        <v>111</v>
      </c>
      <c r="C746" s="26">
        <v>0</v>
      </c>
      <c r="D746" s="27">
        <v>43322</v>
      </c>
      <c r="E746" s="26">
        <v>158.86000000000001</v>
      </c>
      <c r="F746" s="26" t="s">
        <v>1833</v>
      </c>
      <c r="G746" s="26" t="s">
        <v>8</v>
      </c>
      <c r="H746" s="26" t="s">
        <v>1834</v>
      </c>
      <c r="I746" s="26" t="s">
        <v>106</v>
      </c>
      <c r="J746" s="26">
        <v>0</v>
      </c>
      <c r="K746" s="8" t="str">
        <f t="shared" si="11"/>
        <v>INCREDITCL</v>
      </c>
    </row>
    <row r="747" spans="1:11" x14ac:dyDescent="0.25">
      <c r="A747" s="26" t="s">
        <v>134</v>
      </c>
      <c r="B747" s="26" t="s">
        <v>111</v>
      </c>
      <c r="C747" s="26">
        <v>0</v>
      </c>
      <c r="D747" s="27">
        <v>43322</v>
      </c>
      <c r="E747" s="26">
        <v>79.430000000000007</v>
      </c>
      <c r="F747" s="26" t="s">
        <v>1835</v>
      </c>
      <c r="G747" s="26" t="s">
        <v>8</v>
      </c>
      <c r="H747" s="26" t="s">
        <v>1836</v>
      </c>
      <c r="I747" s="26" t="s">
        <v>106</v>
      </c>
      <c r="J747" s="26">
        <v>0</v>
      </c>
      <c r="K747" s="8" t="str">
        <f t="shared" si="11"/>
        <v>INCREDITCL</v>
      </c>
    </row>
    <row r="748" spans="1:11" x14ac:dyDescent="0.25">
      <c r="A748" s="26" t="s">
        <v>134</v>
      </c>
      <c r="B748" s="26" t="s">
        <v>111</v>
      </c>
      <c r="C748" s="26">
        <v>0</v>
      </c>
      <c r="D748" s="27">
        <v>43322</v>
      </c>
      <c r="E748" s="26">
        <v>556</v>
      </c>
      <c r="F748" s="26" t="s">
        <v>1837</v>
      </c>
      <c r="G748" s="26" t="s">
        <v>8</v>
      </c>
      <c r="H748" s="26" t="s">
        <v>1838</v>
      </c>
      <c r="I748" s="26" t="s">
        <v>106</v>
      </c>
      <c r="J748" s="26">
        <v>0</v>
      </c>
      <c r="K748" s="8" t="str">
        <f t="shared" si="11"/>
        <v>INCREDITCL</v>
      </c>
    </row>
    <row r="749" spans="1:11" x14ac:dyDescent="0.25">
      <c r="A749" s="26" t="s">
        <v>134</v>
      </c>
      <c r="B749" s="26" t="s">
        <v>111</v>
      </c>
      <c r="C749" s="26">
        <v>0</v>
      </c>
      <c r="D749" s="27">
        <v>43325</v>
      </c>
      <c r="E749" s="26">
        <v>79.430000000000007</v>
      </c>
      <c r="F749" s="26" t="s">
        <v>1839</v>
      </c>
      <c r="G749" s="26" t="s">
        <v>8</v>
      </c>
      <c r="H749" s="26" t="s">
        <v>1840</v>
      </c>
      <c r="I749" s="26" t="s">
        <v>106</v>
      </c>
      <c r="J749" s="26">
        <v>0</v>
      </c>
      <c r="K749" s="8" t="str">
        <f t="shared" si="11"/>
        <v>INCREDITCL</v>
      </c>
    </row>
    <row r="750" spans="1:11" x14ac:dyDescent="0.25">
      <c r="A750" s="26" t="s">
        <v>134</v>
      </c>
      <c r="B750" s="26" t="s">
        <v>111</v>
      </c>
      <c r="C750" s="26">
        <v>0</v>
      </c>
      <c r="D750" s="27">
        <v>43328</v>
      </c>
      <c r="E750" s="26">
        <v>317.70999999999998</v>
      </c>
      <c r="F750" s="26" t="s">
        <v>1841</v>
      </c>
      <c r="G750" s="26" t="s">
        <v>8</v>
      </c>
      <c r="H750" s="26" t="s">
        <v>1842</v>
      </c>
      <c r="I750" s="26" t="s">
        <v>106</v>
      </c>
      <c r="J750" s="26">
        <v>0</v>
      </c>
      <c r="K750" s="8" t="str">
        <f t="shared" si="11"/>
        <v>INCREDITCL</v>
      </c>
    </row>
    <row r="751" spans="1:11" x14ac:dyDescent="0.25">
      <c r="A751" s="26" t="s">
        <v>134</v>
      </c>
      <c r="B751" s="26" t="s">
        <v>111</v>
      </c>
      <c r="C751" s="26">
        <v>0</v>
      </c>
      <c r="D751" s="27">
        <v>43329</v>
      </c>
      <c r="E751" s="26">
        <v>397.14</v>
      </c>
      <c r="F751" s="26" t="s">
        <v>1843</v>
      </c>
      <c r="G751" s="26" t="s">
        <v>8</v>
      </c>
      <c r="H751" s="26" t="s">
        <v>1844</v>
      </c>
      <c r="I751" s="26" t="s">
        <v>106</v>
      </c>
      <c r="J751" s="26">
        <v>0</v>
      </c>
      <c r="K751" s="8" t="str">
        <f t="shared" si="11"/>
        <v>INCREDITCL</v>
      </c>
    </row>
    <row r="752" spans="1:11" x14ac:dyDescent="0.25">
      <c r="A752" s="26" t="s">
        <v>134</v>
      </c>
      <c r="B752" s="26" t="s">
        <v>111</v>
      </c>
      <c r="C752" s="26">
        <v>0</v>
      </c>
      <c r="D752" s="27">
        <v>43329</v>
      </c>
      <c r="E752" s="26">
        <v>397.14</v>
      </c>
      <c r="F752" s="26" t="s">
        <v>1845</v>
      </c>
      <c r="G752" s="26" t="s">
        <v>8</v>
      </c>
      <c r="H752" s="26" t="s">
        <v>1846</v>
      </c>
      <c r="I752" s="26" t="s">
        <v>106</v>
      </c>
      <c r="J752" s="26">
        <v>0</v>
      </c>
      <c r="K752" s="8" t="str">
        <f t="shared" si="11"/>
        <v>INCREDITCL</v>
      </c>
    </row>
    <row r="753" spans="1:11" x14ac:dyDescent="0.25">
      <c r="A753" s="26" t="s">
        <v>134</v>
      </c>
      <c r="B753" s="26" t="s">
        <v>111</v>
      </c>
      <c r="C753" s="26">
        <v>0</v>
      </c>
      <c r="D753" s="27">
        <v>43329</v>
      </c>
      <c r="E753" s="26">
        <v>873.71</v>
      </c>
      <c r="F753" s="26" t="s">
        <v>1847</v>
      </c>
      <c r="G753" s="26" t="s">
        <v>8</v>
      </c>
      <c r="H753" s="26" t="s">
        <v>1848</v>
      </c>
      <c r="I753" s="26" t="s">
        <v>106</v>
      </c>
      <c r="J753" s="26">
        <v>0</v>
      </c>
      <c r="K753" s="8" t="str">
        <f t="shared" si="11"/>
        <v>INCREDITCL</v>
      </c>
    </row>
    <row r="754" spans="1:11" x14ac:dyDescent="0.25">
      <c r="A754" s="26" t="s">
        <v>134</v>
      </c>
      <c r="B754" s="26" t="s">
        <v>111</v>
      </c>
      <c r="C754" s="26">
        <v>0</v>
      </c>
      <c r="D754" s="27">
        <v>43336</v>
      </c>
      <c r="E754" s="26">
        <v>1191.42</v>
      </c>
      <c r="F754" s="26" t="s">
        <v>1849</v>
      </c>
      <c r="G754" s="26" t="s">
        <v>8</v>
      </c>
      <c r="H754" s="26" t="s">
        <v>1850</v>
      </c>
      <c r="I754" s="26" t="s">
        <v>106</v>
      </c>
      <c r="J754" s="26">
        <v>0</v>
      </c>
      <c r="K754" s="8" t="str">
        <f t="shared" si="11"/>
        <v>INCREDITCL</v>
      </c>
    </row>
    <row r="755" spans="1:11" x14ac:dyDescent="0.25">
      <c r="A755" s="26" t="s">
        <v>134</v>
      </c>
      <c r="B755" s="26" t="s">
        <v>111</v>
      </c>
      <c r="C755" s="26">
        <v>0</v>
      </c>
      <c r="D755" s="27">
        <v>43336</v>
      </c>
      <c r="E755" s="26">
        <v>635.41999999999996</v>
      </c>
      <c r="F755" s="26" t="s">
        <v>1851</v>
      </c>
      <c r="G755" s="26" t="s">
        <v>8</v>
      </c>
      <c r="H755" s="26" t="s">
        <v>1852</v>
      </c>
      <c r="I755" s="26" t="s">
        <v>106</v>
      </c>
      <c r="J755" s="26">
        <v>0</v>
      </c>
      <c r="K755" s="8" t="str">
        <f t="shared" si="11"/>
        <v>INCREDITCL</v>
      </c>
    </row>
    <row r="756" spans="1:11" x14ac:dyDescent="0.25">
      <c r="A756" s="26" t="s">
        <v>134</v>
      </c>
      <c r="B756" s="26" t="s">
        <v>111</v>
      </c>
      <c r="C756" s="26">
        <v>0</v>
      </c>
      <c r="D756" s="27">
        <v>43336</v>
      </c>
      <c r="E756" s="26">
        <v>79.430000000000007</v>
      </c>
      <c r="F756" s="26" t="s">
        <v>1853</v>
      </c>
      <c r="G756" s="26" t="s">
        <v>8</v>
      </c>
      <c r="H756" s="26" t="s">
        <v>1854</v>
      </c>
      <c r="I756" s="26" t="s">
        <v>106</v>
      </c>
      <c r="J756" s="26">
        <v>0</v>
      </c>
      <c r="K756" s="8" t="str">
        <f t="shared" si="11"/>
        <v>INCREDITCL</v>
      </c>
    </row>
    <row r="757" spans="1:11" x14ac:dyDescent="0.25">
      <c r="A757" s="26" t="s">
        <v>134</v>
      </c>
      <c r="B757" s="26" t="s">
        <v>111</v>
      </c>
      <c r="C757" s="26">
        <v>0</v>
      </c>
      <c r="D757" s="27">
        <v>43339</v>
      </c>
      <c r="E757" s="26">
        <v>158.86000000000001</v>
      </c>
      <c r="F757" s="26" t="s">
        <v>1855</v>
      </c>
      <c r="G757" s="26" t="s">
        <v>8</v>
      </c>
      <c r="H757" s="26" t="s">
        <v>1856</v>
      </c>
      <c r="I757" s="26" t="s">
        <v>106</v>
      </c>
      <c r="J757" s="26">
        <v>0</v>
      </c>
      <c r="K757" s="8" t="str">
        <f t="shared" si="11"/>
        <v>INCREDITCL</v>
      </c>
    </row>
    <row r="758" spans="1:11" x14ac:dyDescent="0.25">
      <c r="A758" s="26" t="s">
        <v>134</v>
      </c>
      <c r="B758" s="26" t="s">
        <v>111</v>
      </c>
      <c r="C758" s="26">
        <v>0</v>
      </c>
      <c r="D758" s="27">
        <v>43342</v>
      </c>
      <c r="E758" s="26">
        <v>79.430000000000007</v>
      </c>
      <c r="F758" s="26" t="s">
        <v>1857</v>
      </c>
      <c r="G758" s="26" t="s">
        <v>8</v>
      </c>
      <c r="H758" s="26" t="s">
        <v>1858</v>
      </c>
      <c r="I758" s="26" t="s">
        <v>106</v>
      </c>
      <c r="J758" s="26">
        <v>0</v>
      </c>
      <c r="K758" s="8" t="str">
        <f t="shared" si="11"/>
        <v>INCREDITCL</v>
      </c>
    </row>
    <row r="759" spans="1:11" x14ac:dyDescent="0.25">
      <c r="A759" s="26" t="s">
        <v>134</v>
      </c>
      <c r="B759" s="26" t="s">
        <v>111</v>
      </c>
      <c r="C759" s="26">
        <v>0</v>
      </c>
      <c r="D759" s="27">
        <v>43343</v>
      </c>
      <c r="E759" s="26">
        <v>79.430000000000007</v>
      </c>
      <c r="F759" s="26" t="s">
        <v>1859</v>
      </c>
      <c r="G759" s="26" t="s">
        <v>8</v>
      </c>
      <c r="H759" s="26" t="s">
        <v>1860</v>
      </c>
      <c r="I759" s="26" t="s">
        <v>106</v>
      </c>
      <c r="J759" s="26">
        <v>0</v>
      </c>
      <c r="K759" s="8" t="str">
        <f t="shared" si="11"/>
        <v>INCREDITCL</v>
      </c>
    </row>
    <row r="760" spans="1:11" x14ac:dyDescent="0.25">
      <c r="A760" s="26" t="s">
        <v>134</v>
      </c>
      <c r="B760" s="26" t="s">
        <v>111</v>
      </c>
      <c r="C760" s="26">
        <v>0</v>
      </c>
      <c r="D760" s="27">
        <v>43343</v>
      </c>
      <c r="E760" s="26">
        <v>158.86000000000001</v>
      </c>
      <c r="F760" s="26" t="s">
        <v>1861</v>
      </c>
      <c r="G760" s="26" t="s">
        <v>8</v>
      </c>
      <c r="H760" s="26" t="s">
        <v>1862</v>
      </c>
      <c r="I760" s="26" t="s">
        <v>106</v>
      </c>
      <c r="J760" s="26">
        <v>0</v>
      </c>
      <c r="K760" s="8" t="str">
        <f t="shared" si="11"/>
        <v>INCREDITCL</v>
      </c>
    </row>
    <row r="761" spans="1:11" x14ac:dyDescent="0.25">
      <c r="A761" s="26" t="s">
        <v>134</v>
      </c>
      <c r="B761" s="26" t="s">
        <v>111</v>
      </c>
      <c r="C761" s="26">
        <v>0</v>
      </c>
      <c r="D761" s="27">
        <v>43349</v>
      </c>
      <c r="E761" s="26">
        <v>317.70999999999998</v>
      </c>
      <c r="F761" s="26" t="s">
        <v>1863</v>
      </c>
      <c r="G761" s="26" t="s">
        <v>8</v>
      </c>
      <c r="H761" s="26" t="s">
        <v>1864</v>
      </c>
      <c r="I761" s="26" t="s">
        <v>106</v>
      </c>
      <c r="J761" s="26">
        <v>0</v>
      </c>
      <c r="K761" s="8" t="str">
        <f t="shared" si="11"/>
        <v>INCREDITCL</v>
      </c>
    </row>
    <row r="762" spans="1:11" x14ac:dyDescent="0.25">
      <c r="A762" s="26" t="s">
        <v>134</v>
      </c>
      <c r="B762" s="26" t="s">
        <v>111</v>
      </c>
      <c r="C762" s="26">
        <v>0</v>
      </c>
      <c r="D762" s="27">
        <v>43350</v>
      </c>
      <c r="E762" s="26">
        <v>158.86000000000001</v>
      </c>
      <c r="F762" s="26" t="s">
        <v>1865</v>
      </c>
      <c r="G762" s="26" t="s">
        <v>8</v>
      </c>
      <c r="H762" s="26" t="s">
        <v>1866</v>
      </c>
      <c r="I762" s="26" t="s">
        <v>106</v>
      </c>
      <c r="J762" s="26">
        <v>0</v>
      </c>
      <c r="K762" s="8" t="str">
        <f t="shared" si="11"/>
        <v>INCREDITCL</v>
      </c>
    </row>
    <row r="763" spans="1:11" x14ac:dyDescent="0.25">
      <c r="A763" s="26" t="s">
        <v>134</v>
      </c>
      <c r="B763" s="26" t="s">
        <v>111</v>
      </c>
      <c r="C763" s="26">
        <v>0</v>
      </c>
      <c r="D763" s="27">
        <v>43350</v>
      </c>
      <c r="E763" s="26">
        <v>79.430000000000007</v>
      </c>
      <c r="F763" s="26" t="s">
        <v>1867</v>
      </c>
      <c r="G763" s="26" t="s">
        <v>8</v>
      </c>
      <c r="H763" s="26" t="s">
        <v>1868</v>
      </c>
      <c r="I763" s="26" t="s">
        <v>106</v>
      </c>
      <c r="J763" s="26">
        <v>0</v>
      </c>
      <c r="K763" s="8" t="str">
        <f t="shared" si="11"/>
        <v>INCREDITCL</v>
      </c>
    </row>
    <row r="764" spans="1:11" x14ac:dyDescent="0.25">
      <c r="A764" s="26" t="s">
        <v>134</v>
      </c>
      <c r="B764" s="26" t="s">
        <v>111</v>
      </c>
      <c r="C764" s="26">
        <v>0</v>
      </c>
      <c r="D764" s="27">
        <v>43353</v>
      </c>
      <c r="E764" s="26">
        <v>79.430000000000007</v>
      </c>
      <c r="F764" s="26" t="s">
        <v>1869</v>
      </c>
      <c r="G764" s="26" t="s">
        <v>8</v>
      </c>
      <c r="H764" s="26" t="s">
        <v>1870</v>
      </c>
      <c r="I764" s="26" t="s">
        <v>106</v>
      </c>
      <c r="J764" s="26">
        <v>0</v>
      </c>
      <c r="K764" s="8" t="str">
        <f t="shared" si="11"/>
        <v>INCREDITCL</v>
      </c>
    </row>
    <row r="765" spans="1:11" x14ac:dyDescent="0.25">
      <c r="A765" s="26" t="s">
        <v>134</v>
      </c>
      <c r="B765" s="26" t="s">
        <v>111</v>
      </c>
      <c r="C765" s="26">
        <v>0</v>
      </c>
      <c r="D765" s="27">
        <v>43357</v>
      </c>
      <c r="E765" s="26">
        <v>79.430000000000007</v>
      </c>
      <c r="F765" s="26" t="s">
        <v>1871</v>
      </c>
      <c r="G765" s="26" t="s">
        <v>8</v>
      </c>
      <c r="H765" s="26" t="s">
        <v>1872</v>
      </c>
      <c r="I765" s="26" t="s">
        <v>106</v>
      </c>
      <c r="J765" s="26">
        <v>0</v>
      </c>
      <c r="K765" s="8" t="str">
        <f t="shared" si="11"/>
        <v>INCREDITCL</v>
      </c>
    </row>
    <row r="766" spans="1:11" x14ac:dyDescent="0.25">
      <c r="A766" s="26" t="s">
        <v>134</v>
      </c>
      <c r="B766" s="26" t="s">
        <v>111</v>
      </c>
      <c r="C766" s="26">
        <v>0</v>
      </c>
      <c r="D766" s="27">
        <v>43357</v>
      </c>
      <c r="E766" s="26">
        <v>397.14</v>
      </c>
      <c r="F766" s="26" t="s">
        <v>1873</v>
      </c>
      <c r="G766" s="26" t="s">
        <v>8</v>
      </c>
      <c r="H766" s="26" t="s">
        <v>1874</v>
      </c>
      <c r="I766" s="26" t="s">
        <v>106</v>
      </c>
      <c r="J766" s="26">
        <v>0</v>
      </c>
      <c r="K766" s="8" t="str">
        <f t="shared" si="11"/>
        <v>INCREDITCL</v>
      </c>
    </row>
    <row r="767" spans="1:11" x14ac:dyDescent="0.25">
      <c r="A767" s="26" t="s">
        <v>134</v>
      </c>
      <c r="B767" s="26" t="s">
        <v>111</v>
      </c>
      <c r="C767" s="26">
        <v>0</v>
      </c>
      <c r="D767" s="27">
        <v>43357</v>
      </c>
      <c r="E767" s="26">
        <v>1350.28</v>
      </c>
      <c r="F767" s="26" t="s">
        <v>1875</v>
      </c>
      <c r="G767" s="26" t="s">
        <v>8</v>
      </c>
      <c r="H767" s="26" t="s">
        <v>1876</v>
      </c>
      <c r="I767" s="26" t="s">
        <v>106</v>
      </c>
      <c r="J767" s="26">
        <v>0</v>
      </c>
      <c r="K767" s="8" t="str">
        <f t="shared" si="11"/>
        <v>INCREDITCL</v>
      </c>
    </row>
    <row r="768" spans="1:11" x14ac:dyDescent="0.25">
      <c r="A768" s="26" t="s">
        <v>134</v>
      </c>
      <c r="B768" s="26" t="s">
        <v>111</v>
      </c>
      <c r="C768" s="26">
        <v>0</v>
      </c>
      <c r="D768" s="27">
        <v>43360</v>
      </c>
      <c r="E768" s="26">
        <v>397.14</v>
      </c>
      <c r="F768" s="26" t="s">
        <v>1877</v>
      </c>
      <c r="G768" s="26" t="s">
        <v>8</v>
      </c>
      <c r="H768" s="26" t="s">
        <v>1878</v>
      </c>
      <c r="I768" s="26" t="s">
        <v>106</v>
      </c>
      <c r="J768" s="26">
        <v>0</v>
      </c>
      <c r="K768" s="8" t="str">
        <f t="shared" si="11"/>
        <v>INCREDITCL</v>
      </c>
    </row>
    <row r="769" spans="1:11" x14ac:dyDescent="0.25">
      <c r="A769" s="26" t="s">
        <v>135</v>
      </c>
      <c r="B769" s="26" t="s">
        <v>111</v>
      </c>
      <c r="C769" s="26">
        <v>0</v>
      </c>
      <c r="D769" s="27">
        <v>43318</v>
      </c>
      <c r="E769" s="26">
        <v>13820.49</v>
      </c>
      <c r="F769" s="26" t="s">
        <v>1879</v>
      </c>
      <c r="G769" s="26" t="s">
        <v>8</v>
      </c>
      <c r="H769" s="26" t="s">
        <v>1880</v>
      </c>
      <c r="I769" s="26" t="s">
        <v>106</v>
      </c>
      <c r="J769" s="26">
        <v>0</v>
      </c>
      <c r="K769" s="8" t="str">
        <f t="shared" si="11"/>
        <v>INDEBITCLE</v>
      </c>
    </row>
    <row r="770" spans="1:11" x14ac:dyDescent="0.25">
      <c r="A770" s="26" t="s">
        <v>135</v>
      </c>
      <c r="B770" s="26" t="s">
        <v>111</v>
      </c>
      <c r="C770" s="26">
        <v>0</v>
      </c>
      <c r="D770" s="27">
        <v>43321</v>
      </c>
      <c r="E770" s="26">
        <v>12311.36</v>
      </c>
      <c r="F770" s="26" t="s">
        <v>1881</v>
      </c>
      <c r="G770" s="26" t="s">
        <v>8</v>
      </c>
      <c r="H770" s="26" t="s">
        <v>1882</v>
      </c>
      <c r="I770" s="26" t="s">
        <v>106</v>
      </c>
      <c r="J770" s="26">
        <v>0</v>
      </c>
      <c r="K770" s="8" t="str">
        <f t="shared" si="11"/>
        <v>INDEBITCLE</v>
      </c>
    </row>
    <row r="771" spans="1:11" x14ac:dyDescent="0.25">
      <c r="A771" s="26" t="s">
        <v>135</v>
      </c>
      <c r="B771" s="26" t="s">
        <v>111</v>
      </c>
      <c r="C771" s="26">
        <v>0</v>
      </c>
      <c r="D771" s="27">
        <v>43322</v>
      </c>
      <c r="E771" s="26">
        <v>13820.49</v>
      </c>
      <c r="F771" s="26" t="s">
        <v>1883</v>
      </c>
      <c r="G771" s="26" t="s">
        <v>8</v>
      </c>
      <c r="H771" s="26" t="s">
        <v>1884</v>
      </c>
      <c r="I771" s="26" t="s">
        <v>106</v>
      </c>
      <c r="J771" s="26">
        <v>0</v>
      </c>
      <c r="K771" s="8" t="str">
        <f t="shared" ref="K771:K834" si="12">LEFT(A771,FIND("/",A771)-1)</f>
        <v>INDEBITCLE</v>
      </c>
    </row>
    <row r="772" spans="1:11" x14ac:dyDescent="0.25">
      <c r="A772" s="26" t="s">
        <v>135</v>
      </c>
      <c r="B772" s="26" t="s">
        <v>111</v>
      </c>
      <c r="C772" s="26">
        <v>0</v>
      </c>
      <c r="D772" s="27">
        <v>43322</v>
      </c>
      <c r="E772" s="26">
        <v>21763.3</v>
      </c>
      <c r="F772" s="26" t="s">
        <v>1885</v>
      </c>
      <c r="G772" s="26" t="s">
        <v>8</v>
      </c>
      <c r="H772" s="26" t="s">
        <v>1886</v>
      </c>
      <c r="I772" s="26" t="s">
        <v>106</v>
      </c>
      <c r="J772" s="26">
        <v>0</v>
      </c>
      <c r="K772" s="8" t="str">
        <f t="shared" si="12"/>
        <v>INDEBITCLE</v>
      </c>
    </row>
    <row r="773" spans="1:11" x14ac:dyDescent="0.25">
      <c r="A773" s="26" t="s">
        <v>135</v>
      </c>
      <c r="B773" s="26" t="s">
        <v>111</v>
      </c>
      <c r="C773" s="26">
        <v>0</v>
      </c>
      <c r="D773" s="27">
        <v>43325</v>
      </c>
      <c r="E773" s="26">
        <v>27402.7</v>
      </c>
      <c r="F773" s="26" t="s">
        <v>1887</v>
      </c>
      <c r="G773" s="26" t="s">
        <v>8</v>
      </c>
      <c r="H773" s="26" t="s">
        <v>1888</v>
      </c>
      <c r="I773" s="26" t="s">
        <v>106</v>
      </c>
      <c r="J773" s="26">
        <v>0</v>
      </c>
      <c r="K773" s="8" t="str">
        <f t="shared" si="12"/>
        <v>INDEBITCLE</v>
      </c>
    </row>
    <row r="774" spans="1:11" x14ac:dyDescent="0.25">
      <c r="A774" s="26" t="s">
        <v>135</v>
      </c>
      <c r="B774" s="26" t="s">
        <v>111</v>
      </c>
      <c r="C774" s="26">
        <v>0</v>
      </c>
      <c r="D774" s="27">
        <v>43328</v>
      </c>
      <c r="E774" s="26">
        <v>33518.67</v>
      </c>
      <c r="F774" s="26" t="s">
        <v>1889</v>
      </c>
      <c r="G774" s="26" t="s">
        <v>8</v>
      </c>
      <c r="H774" s="26" t="s">
        <v>1890</v>
      </c>
      <c r="I774" s="26" t="s">
        <v>106</v>
      </c>
      <c r="J774" s="26">
        <v>0</v>
      </c>
      <c r="K774" s="8" t="str">
        <f t="shared" si="12"/>
        <v>INDEBITCLE</v>
      </c>
    </row>
    <row r="775" spans="1:11" x14ac:dyDescent="0.25">
      <c r="A775" s="26" t="s">
        <v>135</v>
      </c>
      <c r="B775" s="26" t="s">
        <v>111</v>
      </c>
      <c r="C775" s="26">
        <v>0</v>
      </c>
      <c r="D775" s="27">
        <v>43329</v>
      </c>
      <c r="E775" s="26">
        <v>55440.83</v>
      </c>
      <c r="F775" s="26" t="s">
        <v>1891</v>
      </c>
      <c r="G775" s="26" t="s">
        <v>8</v>
      </c>
      <c r="H775" s="26" t="s">
        <v>1892</v>
      </c>
      <c r="I775" s="26" t="s">
        <v>106</v>
      </c>
      <c r="J775" s="26">
        <v>0</v>
      </c>
      <c r="K775" s="8" t="str">
        <f t="shared" si="12"/>
        <v>INDEBITCLE</v>
      </c>
    </row>
    <row r="776" spans="1:11" x14ac:dyDescent="0.25">
      <c r="A776" s="26" t="s">
        <v>135</v>
      </c>
      <c r="B776" s="26" t="s">
        <v>111</v>
      </c>
      <c r="C776" s="26">
        <v>0</v>
      </c>
      <c r="D776" s="27">
        <v>43329</v>
      </c>
      <c r="E776" s="26">
        <v>68069.899999999994</v>
      </c>
      <c r="F776" s="26" t="s">
        <v>1893</v>
      </c>
      <c r="G776" s="26" t="s">
        <v>8</v>
      </c>
      <c r="H776" s="26" t="s">
        <v>1894</v>
      </c>
      <c r="I776" s="26" t="s">
        <v>106</v>
      </c>
      <c r="J776" s="26">
        <v>0</v>
      </c>
      <c r="K776" s="8" t="str">
        <f t="shared" si="12"/>
        <v>INDEBITCLE</v>
      </c>
    </row>
    <row r="777" spans="1:11" x14ac:dyDescent="0.25">
      <c r="A777" s="26" t="s">
        <v>135</v>
      </c>
      <c r="B777" s="26" t="s">
        <v>111</v>
      </c>
      <c r="C777" s="26">
        <v>0</v>
      </c>
      <c r="D777" s="27">
        <v>43329</v>
      </c>
      <c r="E777" s="26">
        <v>32803.81</v>
      </c>
      <c r="F777" s="26" t="s">
        <v>1895</v>
      </c>
      <c r="G777" s="26" t="s">
        <v>8</v>
      </c>
      <c r="H777" s="26" t="s">
        <v>1896</v>
      </c>
      <c r="I777" s="26" t="s">
        <v>106</v>
      </c>
      <c r="J777" s="26">
        <v>0</v>
      </c>
      <c r="K777" s="8" t="str">
        <f t="shared" si="12"/>
        <v>INDEBITCLE</v>
      </c>
    </row>
    <row r="778" spans="1:11" x14ac:dyDescent="0.25">
      <c r="A778" s="26" t="s">
        <v>135</v>
      </c>
      <c r="B778" s="26" t="s">
        <v>111</v>
      </c>
      <c r="C778" s="26">
        <v>0</v>
      </c>
      <c r="D778" s="27">
        <v>43336</v>
      </c>
      <c r="E778" s="26">
        <v>199444</v>
      </c>
      <c r="F778" s="26" t="s">
        <v>1897</v>
      </c>
      <c r="G778" s="26" t="s">
        <v>8</v>
      </c>
      <c r="H778" s="26" t="s">
        <v>1898</v>
      </c>
      <c r="I778" s="26" t="s">
        <v>106</v>
      </c>
      <c r="J778" s="26">
        <v>0</v>
      </c>
      <c r="K778" s="8" t="str">
        <f t="shared" si="12"/>
        <v>INDEBITCLE</v>
      </c>
    </row>
    <row r="779" spans="1:11" x14ac:dyDescent="0.25">
      <c r="A779" s="26" t="s">
        <v>135</v>
      </c>
      <c r="B779" s="26" t="s">
        <v>111</v>
      </c>
      <c r="C779" s="26">
        <v>0</v>
      </c>
      <c r="D779" s="27">
        <v>43336</v>
      </c>
      <c r="E779" s="26">
        <v>101906.27</v>
      </c>
      <c r="F779" s="26" t="s">
        <v>1899</v>
      </c>
      <c r="G779" s="26" t="s">
        <v>8</v>
      </c>
      <c r="H779" s="26" t="s">
        <v>1900</v>
      </c>
      <c r="I779" s="26" t="s">
        <v>106</v>
      </c>
      <c r="J779" s="26">
        <v>0</v>
      </c>
      <c r="K779" s="8" t="str">
        <f t="shared" si="12"/>
        <v>INDEBITCLE</v>
      </c>
    </row>
    <row r="780" spans="1:11" x14ac:dyDescent="0.25">
      <c r="A780" s="26" t="s">
        <v>135</v>
      </c>
      <c r="B780" s="26" t="s">
        <v>111</v>
      </c>
      <c r="C780" s="26">
        <v>0</v>
      </c>
      <c r="D780" s="27">
        <v>43336</v>
      </c>
      <c r="E780" s="26">
        <v>57903.1</v>
      </c>
      <c r="F780" s="26" t="s">
        <v>1901</v>
      </c>
      <c r="G780" s="26" t="s">
        <v>8</v>
      </c>
      <c r="H780" s="26" t="s">
        <v>1902</v>
      </c>
      <c r="I780" s="26" t="s">
        <v>106</v>
      </c>
      <c r="J780" s="26">
        <v>0</v>
      </c>
      <c r="K780" s="8" t="str">
        <f t="shared" si="12"/>
        <v>INDEBITCLE</v>
      </c>
    </row>
    <row r="781" spans="1:11" x14ac:dyDescent="0.25">
      <c r="A781" s="26" t="s">
        <v>135</v>
      </c>
      <c r="B781" s="26" t="s">
        <v>111</v>
      </c>
      <c r="C781" s="26">
        <v>0</v>
      </c>
      <c r="D781" s="27">
        <v>43339</v>
      </c>
      <c r="E781" s="26">
        <v>21842.73</v>
      </c>
      <c r="F781" s="26" t="s">
        <v>1903</v>
      </c>
      <c r="G781" s="26" t="s">
        <v>8</v>
      </c>
      <c r="H781" s="26" t="s">
        <v>1904</v>
      </c>
      <c r="I781" s="26" t="s">
        <v>106</v>
      </c>
      <c r="J781" s="26">
        <v>0</v>
      </c>
      <c r="K781" s="8" t="str">
        <f t="shared" si="12"/>
        <v>INDEBITCLE</v>
      </c>
    </row>
    <row r="782" spans="1:11" x14ac:dyDescent="0.25">
      <c r="A782" s="26" t="s">
        <v>135</v>
      </c>
      <c r="B782" s="26" t="s">
        <v>111</v>
      </c>
      <c r="C782" s="26">
        <v>0</v>
      </c>
      <c r="D782" s="27">
        <v>43342</v>
      </c>
      <c r="E782" s="26">
        <v>15250.2</v>
      </c>
      <c r="F782" s="26" t="s">
        <v>1905</v>
      </c>
      <c r="G782" s="26" t="s">
        <v>8</v>
      </c>
      <c r="H782" s="26" t="s">
        <v>1906</v>
      </c>
      <c r="I782" s="26" t="s">
        <v>106</v>
      </c>
      <c r="J782" s="26">
        <v>0</v>
      </c>
      <c r="K782" s="8" t="str">
        <f t="shared" si="12"/>
        <v>INDEBITCLE</v>
      </c>
    </row>
    <row r="783" spans="1:11" x14ac:dyDescent="0.25">
      <c r="A783" s="26" t="s">
        <v>135</v>
      </c>
      <c r="B783" s="26" t="s">
        <v>111</v>
      </c>
      <c r="C783" s="26">
        <v>0</v>
      </c>
      <c r="D783" s="27">
        <v>43343</v>
      </c>
      <c r="E783" s="26">
        <v>12946.78</v>
      </c>
      <c r="F783" s="26" t="s">
        <v>1907</v>
      </c>
      <c r="G783" s="26" t="s">
        <v>8</v>
      </c>
      <c r="H783" s="26" t="s">
        <v>1908</v>
      </c>
      <c r="I783" s="26" t="s">
        <v>106</v>
      </c>
      <c r="J783" s="26">
        <v>0</v>
      </c>
      <c r="K783" s="8" t="str">
        <f t="shared" si="12"/>
        <v>INDEBITCLE</v>
      </c>
    </row>
    <row r="784" spans="1:11" x14ac:dyDescent="0.25">
      <c r="A784" s="26" t="s">
        <v>135</v>
      </c>
      <c r="B784" s="26" t="s">
        <v>111</v>
      </c>
      <c r="C784" s="26">
        <v>0</v>
      </c>
      <c r="D784" s="27">
        <v>43343</v>
      </c>
      <c r="E784" s="26">
        <v>11596.51</v>
      </c>
      <c r="F784" s="26" t="s">
        <v>1909</v>
      </c>
      <c r="G784" s="26" t="s">
        <v>8</v>
      </c>
      <c r="H784" s="26" t="s">
        <v>1910</v>
      </c>
      <c r="I784" s="26" t="s">
        <v>106</v>
      </c>
      <c r="J784" s="26">
        <v>0</v>
      </c>
      <c r="K784" s="8" t="str">
        <f t="shared" si="12"/>
        <v>INDEBITCLE</v>
      </c>
    </row>
    <row r="785" spans="1:11" x14ac:dyDescent="0.25">
      <c r="A785" s="26" t="s">
        <v>135</v>
      </c>
      <c r="B785" s="26" t="s">
        <v>111</v>
      </c>
      <c r="C785" s="26">
        <v>0</v>
      </c>
      <c r="D785" s="27">
        <v>43343</v>
      </c>
      <c r="E785" s="26">
        <v>9451.9500000000007</v>
      </c>
      <c r="F785" s="26" t="s">
        <v>1911</v>
      </c>
      <c r="G785" s="26" t="s">
        <v>8</v>
      </c>
      <c r="H785" s="26" t="s">
        <v>1912</v>
      </c>
      <c r="I785" s="26" t="s">
        <v>106</v>
      </c>
      <c r="J785" s="26">
        <v>0</v>
      </c>
      <c r="K785" s="8" t="str">
        <f t="shared" si="12"/>
        <v>INDEBITCLE</v>
      </c>
    </row>
    <row r="786" spans="1:11" x14ac:dyDescent="0.25">
      <c r="A786" s="26" t="s">
        <v>135</v>
      </c>
      <c r="B786" s="26" t="s">
        <v>111</v>
      </c>
      <c r="C786" s="26">
        <v>0</v>
      </c>
      <c r="D786" s="27">
        <v>43346</v>
      </c>
      <c r="E786" s="26">
        <v>10881.65</v>
      </c>
      <c r="F786" s="26" t="s">
        <v>1913</v>
      </c>
      <c r="G786" s="26" t="s">
        <v>8</v>
      </c>
      <c r="H786" s="26" t="s">
        <v>1914</v>
      </c>
      <c r="I786" s="26" t="s">
        <v>106</v>
      </c>
      <c r="J786" s="26">
        <v>0</v>
      </c>
      <c r="K786" s="8" t="str">
        <f t="shared" si="12"/>
        <v>INDEBITCLE</v>
      </c>
    </row>
    <row r="787" spans="1:11" x14ac:dyDescent="0.25">
      <c r="A787" s="26" t="s">
        <v>135</v>
      </c>
      <c r="B787" s="26" t="s">
        <v>111</v>
      </c>
      <c r="C787" s="26">
        <v>0</v>
      </c>
      <c r="D787" s="27">
        <v>43349</v>
      </c>
      <c r="E787" s="26">
        <v>9372.52</v>
      </c>
      <c r="F787" s="26" t="s">
        <v>1915</v>
      </c>
      <c r="G787" s="26" t="s">
        <v>8</v>
      </c>
      <c r="H787" s="26" t="s">
        <v>1916</v>
      </c>
      <c r="I787" s="26" t="s">
        <v>106</v>
      </c>
      <c r="J787" s="26">
        <v>0</v>
      </c>
      <c r="K787" s="8" t="str">
        <f t="shared" si="12"/>
        <v>INDEBITCLE</v>
      </c>
    </row>
    <row r="788" spans="1:11" x14ac:dyDescent="0.25">
      <c r="A788" s="26" t="s">
        <v>135</v>
      </c>
      <c r="B788" s="26" t="s">
        <v>111</v>
      </c>
      <c r="C788" s="26">
        <v>0</v>
      </c>
      <c r="D788" s="27">
        <v>43350</v>
      </c>
      <c r="E788" s="26">
        <v>9293.09</v>
      </c>
      <c r="F788" s="26" t="s">
        <v>1917</v>
      </c>
      <c r="G788" s="26" t="s">
        <v>8</v>
      </c>
      <c r="H788" s="26" t="s">
        <v>1918</v>
      </c>
      <c r="I788" s="26" t="s">
        <v>106</v>
      </c>
      <c r="J788" s="26">
        <v>0</v>
      </c>
      <c r="K788" s="8" t="str">
        <f t="shared" si="12"/>
        <v>INDEBITCLE</v>
      </c>
    </row>
    <row r="789" spans="1:11" x14ac:dyDescent="0.25">
      <c r="A789" s="26" t="s">
        <v>135</v>
      </c>
      <c r="B789" s="26" t="s">
        <v>111</v>
      </c>
      <c r="C789" s="26">
        <v>0</v>
      </c>
      <c r="D789" s="27">
        <v>43350</v>
      </c>
      <c r="E789" s="26">
        <v>18109.61</v>
      </c>
      <c r="F789" s="26" t="s">
        <v>1919</v>
      </c>
      <c r="G789" s="26" t="s">
        <v>8</v>
      </c>
      <c r="H789" s="26" t="s">
        <v>1920</v>
      </c>
      <c r="I789" s="26" t="s">
        <v>106</v>
      </c>
      <c r="J789" s="26">
        <v>0</v>
      </c>
      <c r="K789" s="8" t="str">
        <f t="shared" si="12"/>
        <v>INDEBITCLE</v>
      </c>
    </row>
    <row r="790" spans="1:11" x14ac:dyDescent="0.25">
      <c r="A790" s="26" t="s">
        <v>135</v>
      </c>
      <c r="B790" s="26" t="s">
        <v>111</v>
      </c>
      <c r="C790" s="26">
        <v>0</v>
      </c>
      <c r="D790" s="27">
        <v>43350</v>
      </c>
      <c r="E790" s="26">
        <v>10961.08</v>
      </c>
      <c r="F790" s="26" t="s">
        <v>1921</v>
      </c>
      <c r="G790" s="26" t="s">
        <v>8</v>
      </c>
      <c r="H790" s="26" t="s">
        <v>1922</v>
      </c>
      <c r="I790" s="26" t="s">
        <v>106</v>
      </c>
      <c r="J790" s="26">
        <v>0</v>
      </c>
      <c r="K790" s="8" t="str">
        <f t="shared" si="12"/>
        <v>INDEBITCLE</v>
      </c>
    </row>
    <row r="791" spans="1:11" x14ac:dyDescent="0.25">
      <c r="A791" s="26" t="s">
        <v>135</v>
      </c>
      <c r="B791" s="26" t="s">
        <v>111</v>
      </c>
      <c r="C791" s="26">
        <v>0</v>
      </c>
      <c r="D791" s="27">
        <v>43353</v>
      </c>
      <c r="E791" s="26">
        <v>17950.75</v>
      </c>
      <c r="F791" s="26" t="s">
        <v>1923</v>
      </c>
      <c r="G791" s="26" t="s">
        <v>8</v>
      </c>
      <c r="H791" s="26" t="s">
        <v>1924</v>
      </c>
      <c r="I791" s="26" t="s">
        <v>106</v>
      </c>
      <c r="J791" s="26">
        <v>0</v>
      </c>
      <c r="K791" s="8" t="str">
        <f t="shared" si="12"/>
        <v>INDEBITCLE</v>
      </c>
    </row>
    <row r="792" spans="1:11" x14ac:dyDescent="0.25">
      <c r="A792" s="26" t="s">
        <v>135</v>
      </c>
      <c r="B792" s="26" t="s">
        <v>111</v>
      </c>
      <c r="C792" s="26">
        <v>0</v>
      </c>
      <c r="D792" s="27">
        <v>43356</v>
      </c>
      <c r="E792" s="26">
        <v>20571.88</v>
      </c>
      <c r="F792" s="26" t="s">
        <v>1925</v>
      </c>
      <c r="G792" s="26" t="s">
        <v>8</v>
      </c>
      <c r="H792" s="26" t="s">
        <v>1926</v>
      </c>
      <c r="I792" s="26" t="s">
        <v>106</v>
      </c>
      <c r="J792" s="26">
        <v>0</v>
      </c>
      <c r="K792" s="8" t="str">
        <f t="shared" si="12"/>
        <v>INDEBITCLE</v>
      </c>
    </row>
    <row r="793" spans="1:11" x14ac:dyDescent="0.25">
      <c r="A793" s="26" t="s">
        <v>135</v>
      </c>
      <c r="B793" s="26" t="s">
        <v>111</v>
      </c>
      <c r="C793" s="26">
        <v>0</v>
      </c>
      <c r="D793" s="27">
        <v>43357</v>
      </c>
      <c r="E793" s="26">
        <v>22557.59</v>
      </c>
      <c r="F793" s="26" t="s">
        <v>1927</v>
      </c>
      <c r="G793" s="26" t="s">
        <v>8</v>
      </c>
      <c r="H793" s="26" t="s">
        <v>1928</v>
      </c>
      <c r="I793" s="26" t="s">
        <v>106</v>
      </c>
      <c r="J793" s="26">
        <v>0</v>
      </c>
      <c r="K793" s="8" t="str">
        <f t="shared" si="12"/>
        <v>INDEBITCLE</v>
      </c>
    </row>
    <row r="794" spans="1:11" x14ac:dyDescent="0.25">
      <c r="A794" s="26" t="s">
        <v>135</v>
      </c>
      <c r="B794" s="26" t="s">
        <v>111</v>
      </c>
      <c r="C794" s="26">
        <v>0</v>
      </c>
      <c r="D794" s="27">
        <v>43357</v>
      </c>
      <c r="E794" s="26">
        <v>40826.050000000003</v>
      </c>
      <c r="F794" s="26" t="s">
        <v>1929</v>
      </c>
      <c r="G794" s="26" t="s">
        <v>8</v>
      </c>
      <c r="H794" s="26" t="s">
        <v>1930</v>
      </c>
      <c r="I794" s="26" t="s">
        <v>106</v>
      </c>
      <c r="J794" s="26">
        <v>0</v>
      </c>
      <c r="K794" s="8" t="str">
        <f t="shared" si="12"/>
        <v>INDEBITCLE</v>
      </c>
    </row>
    <row r="795" spans="1:11" x14ac:dyDescent="0.25">
      <c r="A795" s="26" t="s">
        <v>135</v>
      </c>
      <c r="B795" s="26" t="s">
        <v>111</v>
      </c>
      <c r="C795" s="26">
        <v>0</v>
      </c>
      <c r="D795" s="27">
        <v>43357</v>
      </c>
      <c r="E795" s="26">
        <v>54884.83</v>
      </c>
      <c r="F795" s="26" t="s">
        <v>1931</v>
      </c>
      <c r="G795" s="26" t="s">
        <v>8</v>
      </c>
      <c r="H795" s="26" t="s">
        <v>1932</v>
      </c>
      <c r="I795" s="26" t="s">
        <v>106</v>
      </c>
      <c r="J795" s="26">
        <v>0</v>
      </c>
      <c r="K795" s="8" t="str">
        <f t="shared" si="12"/>
        <v>INDEBITCLE</v>
      </c>
    </row>
    <row r="796" spans="1:11" x14ac:dyDescent="0.25">
      <c r="A796" s="26" t="s">
        <v>135</v>
      </c>
      <c r="B796" s="26" t="s">
        <v>111</v>
      </c>
      <c r="C796" s="26">
        <v>0</v>
      </c>
      <c r="D796" s="27">
        <v>43360</v>
      </c>
      <c r="E796" s="26">
        <v>80698.97</v>
      </c>
      <c r="F796" s="26" t="s">
        <v>1933</v>
      </c>
      <c r="G796" s="26" t="s">
        <v>8</v>
      </c>
      <c r="H796" s="26" t="s">
        <v>1934</v>
      </c>
      <c r="I796" s="26" t="s">
        <v>106</v>
      </c>
      <c r="J796" s="26">
        <v>0</v>
      </c>
      <c r="K796" s="8" t="str">
        <f t="shared" si="12"/>
        <v>INDEBITCLE</v>
      </c>
    </row>
    <row r="797" spans="1:11" x14ac:dyDescent="0.25">
      <c r="A797" s="26" t="s">
        <v>136</v>
      </c>
      <c r="B797" s="26" t="s">
        <v>111</v>
      </c>
      <c r="C797" s="26">
        <v>0</v>
      </c>
      <c r="D797" s="27">
        <v>43244</v>
      </c>
      <c r="E797" s="26">
        <v>59571.09</v>
      </c>
      <c r="F797" s="26" t="s">
        <v>1935</v>
      </c>
      <c r="G797" s="26" t="s">
        <v>8</v>
      </c>
      <c r="H797" s="26" t="s">
        <v>1936</v>
      </c>
      <c r="I797" s="26" t="s">
        <v>106</v>
      </c>
      <c r="J797" s="26">
        <v>0</v>
      </c>
      <c r="K797" s="8" t="str">
        <f t="shared" si="12"/>
        <v>MISC.PMGRE</v>
      </c>
    </row>
    <row r="798" spans="1:11" x14ac:dyDescent="0.25">
      <c r="A798" s="26" t="s">
        <v>136</v>
      </c>
      <c r="B798" s="26" t="s">
        <v>111</v>
      </c>
      <c r="C798" s="26">
        <v>0</v>
      </c>
      <c r="D798" s="27">
        <v>43245</v>
      </c>
      <c r="E798" s="26">
        <v>75456.710000000006</v>
      </c>
      <c r="F798" s="26" t="s">
        <v>1937</v>
      </c>
      <c r="G798" s="26" t="s">
        <v>8</v>
      </c>
      <c r="H798" s="26" t="s">
        <v>1938</v>
      </c>
      <c r="I798" s="26" t="s">
        <v>106</v>
      </c>
      <c r="J798" s="26">
        <v>0</v>
      </c>
      <c r="K798" s="8" t="str">
        <f t="shared" si="12"/>
        <v>MISC.PMGRE</v>
      </c>
    </row>
    <row r="799" spans="1:11" x14ac:dyDescent="0.25">
      <c r="A799" s="26" t="s">
        <v>136</v>
      </c>
      <c r="B799" s="26" t="s">
        <v>111</v>
      </c>
      <c r="C799" s="26">
        <v>0</v>
      </c>
      <c r="D799" s="27">
        <v>43245</v>
      </c>
      <c r="E799" s="26">
        <v>83399.520000000004</v>
      </c>
      <c r="F799" s="26" t="s">
        <v>1939</v>
      </c>
      <c r="G799" s="26" t="s">
        <v>8</v>
      </c>
      <c r="H799" s="26" t="s">
        <v>1940</v>
      </c>
      <c r="I799" s="26" t="s">
        <v>106</v>
      </c>
      <c r="J799" s="26">
        <v>0</v>
      </c>
      <c r="K799" s="8" t="str">
        <f t="shared" si="12"/>
        <v>MISC.PMGRE</v>
      </c>
    </row>
    <row r="800" spans="1:11" x14ac:dyDescent="0.25">
      <c r="A800" s="26" t="s">
        <v>136</v>
      </c>
      <c r="B800" s="26" t="s">
        <v>111</v>
      </c>
      <c r="C800" s="26">
        <v>0</v>
      </c>
      <c r="D800" s="27">
        <v>43245</v>
      </c>
      <c r="E800" s="26">
        <v>87370.93</v>
      </c>
      <c r="F800" s="26" t="s">
        <v>1941</v>
      </c>
      <c r="G800" s="26" t="s">
        <v>8</v>
      </c>
      <c r="H800" s="26" t="s">
        <v>1942</v>
      </c>
      <c r="I800" s="26" t="s">
        <v>106</v>
      </c>
      <c r="J800" s="26">
        <v>0</v>
      </c>
      <c r="K800" s="8" t="str">
        <f t="shared" si="12"/>
        <v>MISC.PMGRE</v>
      </c>
    </row>
    <row r="801" spans="1:11" x14ac:dyDescent="0.25">
      <c r="A801" s="26" t="s">
        <v>136</v>
      </c>
      <c r="B801" s="26" t="s">
        <v>111</v>
      </c>
      <c r="C801" s="26">
        <v>0</v>
      </c>
      <c r="D801" s="27">
        <v>43248</v>
      </c>
      <c r="E801" s="26">
        <v>91342.34</v>
      </c>
      <c r="F801" s="26" t="s">
        <v>1943</v>
      </c>
      <c r="G801" s="26" t="s">
        <v>8</v>
      </c>
      <c r="H801" s="26" t="s">
        <v>1944</v>
      </c>
      <c r="I801" s="26" t="s">
        <v>106</v>
      </c>
      <c r="J801" s="26">
        <v>0</v>
      </c>
      <c r="K801" s="8" t="str">
        <f t="shared" si="12"/>
        <v>MISC.PMGRE</v>
      </c>
    </row>
    <row r="802" spans="1:11" x14ac:dyDescent="0.25">
      <c r="A802" s="26" t="s">
        <v>136</v>
      </c>
      <c r="B802" s="26" t="s">
        <v>111</v>
      </c>
      <c r="C802" s="26">
        <v>0</v>
      </c>
      <c r="D802" s="27">
        <v>43251</v>
      </c>
      <c r="E802" s="26">
        <v>91342.34</v>
      </c>
      <c r="F802" s="26" t="s">
        <v>1945</v>
      </c>
      <c r="G802" s="26" t="s">
        <v>8</v>
      </c>
      <c r="H802" s="26" t="s">
        <v>1946</v>
      </c>
      <c r="I802" s="26" t="s">
        <v>106</v>
      </c>
      <c r="J802" s="26">
        <v>0</v>
      </c>
      <c r="K802" s="8" t="str">
        <f t="shared" si="12"/>
        <v>MISC.PMGRE</v>
      </c>
    </row>
    <row r="803" spans="1:11" x14ac:dyDescent="0.25">
      <c r="A803" s="26" t="s">
        <v>136</v>
      </c>
      <c r="B803" s="26" t="s">
        <v>111</v>
      </c>
      <c r="C803" s="26">
        <v>0</v>
      </c>
      <c r="D803" s="27">
        <v>43252</v>
      </c>
      <c r="E803" s="26">
        <v>111199.36</v>
      </c>
      <c r="F803" s="26" t="s">
        <v>1947</v>
      </c>
      <c r="G803" s="26" t="s">
        <v>8</v>
      </c>
      <c r="H803" s="26" t="s">
        <v>1948</v>
      </c>
      <c r="I803" s="26" t="s">
        <v>106</v>
      </c>
      <c r="J803" s="26">
        <v>0</v>
      </c>
      <c r="K803" s="8" t="str">
        <f t="shared" si="12"/>
        <v>MISC.PMGRE</v>
      </c>
    </row>
    <row r="804" spans="1:11" x14ac:dyDescent="0.25">
      <c r="A804" s="26" t="s">
        <v>136</v>
      </c>
      <c r="B804" s="26" t="s">
        <v>111</v>
      </c>
      <c r="C804" s="26">
        <v>0</v>
      </c>
      <c r="D804" s="27">
        <v>43252</v>
      </c>
      <c r="E804" s="26">
        <v>67513.899999999994</v>
      </c>
      <c r="F804" s="26" t="s">
        <v>1949</v>
      </c>
      <c r="G804" s="26" t="s">
        <v>8</v>
      </c>
      <c r="H804" s="26" t="s">
        <v>1950</v>
      </c>
      <c r="I804" s="26" t="s">
        <v>106</v>
      </c>
      <c r="J804" s="26">
        <v>0</v>
      </c>
      <c r="K804" s="8" t="str">
        <f t="shared" si="12"/>
        <v>MISC.PMGRE</v>
      </c>
    </row>
    <row r="805" spans="1:11" x14ac:dyDescent="0.25">
      <c r="A805" s="26" t="s">
        <v>136</v>
      </c>
      <c r="B805" s="26" t="s">
        <v>111</v>
      </c>
      <c r="C805" s="26">
        <v>0</v>
      </c>
      <c r="D805" s="27">
        <v>43252</v>
      </c>
      <c r="E805" s="26">
        <v>71485.31</v>
      </c>
      <c r="F805" s="26" t="s">
        <v>1951</v>
      </c>
      <c r="G805" s="26" t="s">
        <v>8</v>
      </c>
      <c r="H805" s="26" t="s">
        <v>1952</v>
      </c>
      <c r="I805" s="26" t="s">
        <v>106</v>
      </c>
      <c r="J805" s="26">
        <v>0</v>
      </c>
      <c r="K805" s="8" t="str">
        <f t="shared" si="12"/>
        <v>MISC.PMGRE</v>
      </c>
    </row>
    <row r="806" spans="1:11" x14ac:dyDescent="0.25">
      <c r="A806" s="26" t="s">
        <v>136</v>
      </c>
      <c r="B806" s="26" t="s">
        <v>111</v>
      </c>
      <c r="C806" s="26">
        <v>0</v>
      </c>
      <c r="D806" s="27">
        <v>43255</v>
      </c>
      <c r="E806" s="26">
        <v>246227.16</v>
      </c>
      <c r="F806" s="26" t="s">
        <v>1953</v>
      </c>
      <c r="G806" s="26" t="s">
        <v>8</v>
      </c>
      <c r="H806" s="26" t="s">
        <v>1954</v>
      </c>
      <c r="I806" s="26" t="s">
        <v>106</v>
      </c>
      <c r="J806" s="26">
        <v>0</v>
      </c>
      <c r="K806" s="8" t="str">
        <f t="shared" si="12"/>
        <v>MISC.PMGRE</v>
      </c>
    </row>
    <row r="807" spans="1:11" x14ac:dyDescent="0.25">
      <c r="A807" s="26" t="s">
        <v>136</v>
      </c>
      <c r="B807" s="26" t="s">
        <v>111</v>
      </c>
      <c r="C807" s="26">
        <v>0</v>
      </c>
      <c r="D807" s="27">
        <v>43258</v>
      </c>
      <c r="E807" s="26">
        <v>119142.18</v>
      </c>
      <c r="F807" s="26" t="s">
        <v>1955</v>
      </c>
      <c r="G807" s="26" t="s">
        <v>8</v>
      </c>
      <c r="H807" s="26" t="s">
        <v>1956</v>
      </c>
      <c r="I807" s="26" t="s">
        <v>106</v>
      </c>
      <c r="J807" s="26">
        <v>0</v>
      </c>
      <c r="K807" s="8" t="str">
        <f t="shared" si="12"/>
        <v>MISC.PMGRE</v>
      </c>
    </row>
    <row r="808" spans="1:11" x14ac:dyDescent="0.25">
      <c r="A808" s="26" t="s">
        <v>136</v>
      </c>
      <c r="B808" s="26" t="s">
        <v>111</v>
      </c>
      <c r="C808" s="26">
        <v>0</v>
      </c>
      <c r="D808" s="27">
        <v>43259</v>
      </c>
      <c r="E808" s="26">
        <v>95313.74</v>
      </c>
      <c r="F808" s="26" t="s">
        <v>1957</v>
      </c>
      <c r="G808" s="26" t="s">
        <v>8</v>
      </c>
      <c r="H808" s="26" t="s">
        <v>1958</v>
      </c>
      <c r="I808" s="26" t="s">
        <v>106</v>
      </c>
      <c r="J808" s="26">
        <v>0</v>
      </c>
      <c r="K808" s="8" t="str">
        <f t="shared" si="12"/>
        <v>MISC.PMGRE</v>
      </c>
    </row>
    <row r="809" spans="1:11" x14ac:dyDescent="0.25">
      <c r="A809" s="26" t="s">
        <v>136</v>
      </c>
      <c r="B809" s="26" t="s">
        <v>111</v>
      </c>
      <c r="C809" s="26">
        <v>0</v>
      </c>
      <c r="D809" s="27">
        <v>43259</v>
      </c>
      <c r="E809" s="26">
        <v>67513.899999999994</v>
      </c>
      <c r="F809" s="26" t="s">
        <v>1959</v>
      </c>
      <c r="G809" s="26" t="s">
        <v>8</v>
      </c>
      <c r="H809" s="26" t="s">
        <v>1960</v>
      </c>
      <c r="I809" s="26" t="s">
        <v>106</v>
      </c>
      <c r="J809" s="26">
        <v>0</v>
      </c>
      <c r="K809" s="8" t="str">
        <f t="shared" si="12"/>
        <v>MISC.PMGRE</v>
      </c>
    </row>
    <row r="810" spans="1:11" x14ac:dyDescent="0.25">
      <c r="A810" s="26" t="s">
        <v>136</v>
      </c>
      <c r="B810" s="26" t="s">
        <v>111</v>
      </c>
      <c r="C810" s="26">
        <v>0</v>
      </c>
      <c r="D810" s="27">
        <v>43259</v>
      </c>
      <c r="E810" s="26">
        <v>79428.12</v>
      </c>
      <c r="F810" s="26" t="s">
        <v>1961</v>
      </c>
      <c r="G810" s="26" t="s">
        <v>8</v>
      </c>
      <c r="H810" s="26" t="s">
        <v>1962</v>
      </c>
      <c r="I810" s="26" t="s">
        <v>106</v>
      </c>
      <c r="J810" s="26">
        <v>0</v>
      </c>
      <c r="K810" s="8" t="str">
        <f t="shared" si="12"/>
        <v>MISC.PMGRE</v>
      </c>
    </row>
    <row r="811" spans="1:11" x14ac:dyDescent="0.25">
      <c r="A811" s="26" t="s">
        <v>136</v>
      </c>
      <c r="B811" s="26" t="s">
        <v>111</v>
      </c>
      <c r="C811" s="26">
        <v>0</v>
      </c>
      <c r="D811" s="27">
        <v>43262</v>
      </c>
      <c r="E811" s="26">
        <v>103256.55</v>
      </c>
      <c r="F811" s="26" t="s">
        <v>1963</v>
      </c>
      <c r="G811" s="26" t="s">
        <v>8</v>
      </c>
      <c r="H811" s="26" t="s">
        <v>1964</v>
      </c>
      <c r="I811" s="26" t="s">
        <v>106</v>
      </c>
      <c r="J811" s="26">
        <v>0</v>
      </c>
      <c r="K811" s="8" t="str">
        <f t="shared" si="12"/>
        <v>MISC.PMGRE</v>
      </c>
    </row>
    <row r="812" spans="1:11" x14ac:dyDescent="0.25">
      <c r="A812" s="26" t="s">
        <v>136</v>
      </c>
      <c r="B812" s="26" t="s">
        <v>111</v>
      </c>
      <c r="C812" s="26">
        <v>0</v>
      </c>
      <c r="D812" s="27">
        <v>43265</v>
      </c>
      <c r="E812" s="26">
        <v>79428.12</v>
      </c>
      <c r="F812" s="26" t="s">
        <v>1965</v>
      </c>
      <c r="G812" s="26" t="s">
        <v>8</v>
      </c>
      <c r="H812" s="26" t="s">
        <v>1966</v>
      </c>
      <c r="I812" s="26" t="s">
        <v>106</v>
      </c>
      <c r="J812" s="26">
        <v>0</v>
      </c>
      <c r="K812" s="8" t="str">
        <f t="shared" si="12"/>
        <v>MISC.PMGRE</v>
      </c>
    </row>
    <row r="813" spans="1:11" x14ac:dyDescent="0.25">
      <c r="A813" s="26" t="s">
        <v>136</v>
      </c>
      <c r="B813" s="26" t="s">
        <v>111</v>
      </c>
      <c r="C813" s="26">
        <v>0</v>
      </c>
      <c r="D813" s="27">
        <v>43266</v>
      </c>
      <c r="E813" s="26">
        <v>71485.31</v>
      </c>
      <c r="F813" s="26" t="s">
        <v>1967</v>
      </c>
      <c r="G813" s="26" t="s">
        <v>8</v>
      </c>
      <c r="H813" s="26" t="s">
        <v>1968</v>
      </c>
      <c r="I813" s="26" t="s">
        <v>106</v>
      </c>
      <c r="J813" s="26">
        <v>0</v>
      </c>
      <c r="K813" s="8" t="str">
        <f t="shared" si="12"/>
        <v>MISC.PMGRE</v>
      </c>
    </row>
    <row r="814" spans="1:11" x14ac:dyDescent="0.25">
      <c r="A814" s="26" t="s">
        <v>136</v>
      </c>
      <c r="B814" s="26" t="s">
        <v>111</v>
      </c>
      <c r="C814" s="26">
        <v>0</v>
      </c>
      <c r="D814" s="27">
        <v>43266</v>
      </c>
      <c r="E814" s="26">
        <v>71485.31</v>
      </c>
      <c r="F814" s="26" t="s">
        <v>1969</v>
      </c>
      <c r="G814" s="26" t="s">
        <v>8</v>
      </c>
      <c r="H814" s="26" t="s">
        <v>1970</v>
      </c>
      <c r="I814" s="26" t="s">
        <v>106</v>
      </c>
      <c r="J814" s="26">
        <v>0</v>
      </c>
      <c r="K814" s="8" t="str">
        <f t="shared" si="12"/>
        <v>MISC.PMGRE</v>
      </c>
    </row>
    <row r="815" spans="1:11" x14ac:dyDescent="0.25">
      <c r="A815" s="26" t="s">
        <v>136</v>
      </c>
      <c r="B815" s="26" t="s">
        <v>111</v>
      </c>
      <c r="C815" s="26">
        <v>0</v>
      </c>
      <c r="D815" s="27">
        <v>43266</v>
      </c>
      <c r="E815" s="26">
        <v>87370.93</v>
      </c>
      <c r="F815" s="26" t="s">
        <v>1971</v>
      </c>
      <c r="G815" s="26" t="s">
        <v>8</v>
      </c>
      <c r="H815" s="26" t="s">
        <v>1972</v>
      </c>
      <c r="I815" s="26" t="s">
        <v>106</v>
      </c>
      <c r="J815" s="26">
        <v>0</v>
      </c>
      <c r="K815" s="8" t="str">
        <f t="shared" si="12"/>
        <v>MISC.PMGRE</v>
      </c>
    </row>
    <row r="816" spans="1:11" x14ac:dyDescent="0.25">
      <c r="A816" s="26" t="s">
        <v>136</v>
      </c>
      <c r="B816" s="26" t="s">
        <v>111</v>
      </c>
      <c r="C816" s="26">
        <v>0</v>
      </c>
      <c r="D816" s="27">
        <v>43269</v>
      </c>
      <c r="E816" s="26">
        <v>138999.21</v>
      </c>
      <c r="F816" s="26" t="s">
        <v>1973</v>
      </c>
      <c r="G816" s="26" t="s">
        <v>8</v>
      </c>
      <c r="H816" s="26" t="s">
        <v>1974</v>
      </c>
      <c r="I816" s="26" t="s">
        <v>106</v>
      </c>
      <c r="J816" s="26">
        <v>0</v>
      </c>
      <c r="K816" s="8" t="str">
        <f t="shared" si="12"/>
        <v>MISC.PMGRE</v>
      </c>
    </row>
    <row r="817" spans="1:11" x14ac:dyDescent="0.25">
      <c r="A817" s="26" t="s">
        <v>136</v>
      </c>
      <c r="B817" s="26" t="s">
        <v>111</v>
      </c>
      <c r="C817" s="26">
        <v>0</v>
      </c>
      <c r="D817" s="27">
        <v>43272</v>
      </c>
      <c r="E817" s="26">
        <v>79428.12</v>
      </c>
      <c r="F817" s="26" t="s">
        <v>1975</v>
      </c>
      <c r="G817" s="26" t="s">
        <v>8</v>
      </c>
      <c r="H817" s="26" t="s">
        <v>1976</v>
      </c>
      <c r="I817" s="26" t="s">
        <v>106</v>
      </c>
      <c r="J817" s="26">
        <v>0</v>
      </c>
      <c r="K817" s="8" t="str">
        <f t="shared" si="12"/>
        <v>MISC.PMGRE</v>
      </c>
    </row>
    <row r="818" spans="1:11" x14ac:dyDescent="0.25">
      <c r="A818" s="26" t="s">
        <v>136</v>
      </c>
      <c r="B818" s="26" t="s">
        <v>111</v>
      </c>
      <c r="C818" s="26">
        <v>0</v>
      </c>
      <c r="D818" s="27">
        <v>43273</v>
      </c>
      <c r="E818" s="26">
        <v>95313.74</v>
      </c>
      <c r="F818" s="26" t="s">
        <v>1977</v>
      </c>
      <c r="G818" s="26" t="s">
        <v>8</v>
      </c>
      <c r="H818" s="26" t="s">
        <v>1978</v>
      </c>
      <c r="I818" s="26" t="s">
        <v>106</v>
      </c>
      <c r="J818" s="26">
        <v>0</v>
      </c>
      <c r="K818" s="8" t="str">
        <f t="shared" si="12"/>
        <v>MISC.PMGRE</v>
      </c>
    </row>
    <row r="819" spans="1:11" x14ac:dyDescent="0.25">
      <c r="A819" s="26" t="s">
        <v>136</v>
      </c>
      <c r="B819" s="26" t="s">
        <v>111</v>
      </c>
      <c r="C819" s="26">
        <v>0</v>
      </c>
      <c r="D819" s="27">
        <v>43273</v>
      </c>
      <c r="E819" s="26">
        <v>95313.74</v>
      </c>
      <c r="F819" s="26" t="s">
        <v>1979</v>
      </c>
      <c r="G819" s="26" t="s">
        <v>8</v>
      </c>
      <c r="H819" s="26" t="s">
        <v>1980</v>
      </c>
      <c r="I819" s="26" t="s">
        <v>106</v>
      </c>
      <c r="J819" s="26">
        <v>0</v>
      </c>
      <c r="K819" s="8" t="str">
        <f t="shared" si="12"/>
        <v>MISC.PMGRE</v>
      </c>
    </row>
    <row r="820" spans="1:11" x14ac:dyDescent="0.25">
      <c r="A820" s="26" t="s">
        <v>136</v>
      </c>
      <c r="B820" s="26" t="s">
        <v>111</v>
      </c>
      <c r="C820" s="26">
        <v>0</v>
      </c>
      <c r="D820" s="27">
        <v>43273</v>
      </c>
      <c r="E820" s="26">
        <v>79428.12</v>
      </c>
      <c r="F820" s="26" t="s">
        <v>1981</v>
      </c>
      <c r="G820" s="26" t="s">
        <v>8</v>
      </c>
      <c r="H820" s="26" t="s">
        <v>1982</v>
      </c>
      <c r="I820" s="26" t="s">
        <v>106</v>
      </c>
      <c r="J820" s="26">
        <v>0</v>
      </c>
      <c r="K820" s="8" t="str">
        <f t="shared" si="12"/>
        <v>MISC.PMGRE</v>
      </c>
    </row>
    <row r="821" spans="1:11" x14ac:dyDescent="0.25">
      <c r="A821" s="26" t="s">
        <v>136</v>
      </c>
      <c r="B821" s="26" t="s">
        <v>111</v>
      </c>
      <c r="C821" s="26">
        <v>0</v>
      </c>
      <c r="D821" s="27">
        <v>43276</v>
      </c>
      <c r="E821" s="26">
        <v>95313.74</v>
      </c>
      <c r="F821" s="26" t="s">
        <v>1983</v>
      </c>
      <c r="G821" s="26" t="s">
        <v>8</v>
      </c>
      <c r="H821" s="26" t="s">
        <v>1984</v>
      </c>
      <c r="I821" s="26" t="s">
        <v>106</v>
      </c>
      <c r="J821" s="26">
        <v>0</v>
      </c>
      <c r="K821" s="8" t="str">
        <f t="shared" si="12"/>
        <v>MISC.PMGRE</v>
      </c>
    </row>
    <row r="822" spans="1:11" x14ac:dyDescent="0.25">
      <c r="A822" s="26" t="s">
        <v>136</v>
      </c>
      <c r="B822" s="26" t="s">
        <v>111</v>
      </c>
      <c r="C822" s="26">
        <v>0</v>
      </c>
      <c r="D822" s="27">
        <v>43279</v>
      </c>
      <c r="E822" s="26">
        <v>103256.55</v>
      </c>
      <c r="F822" s="26" t="s">
        <v>1985</v>
      </c>
      <c r="G822" s="26" t="s">
        <v>8</v>
      </c>
      <c r="H822" s="26" t="s">
        <v>1986</v>
      </c>
      <c r="I822" s="26" t="s">
        <v>106</v>
      </c>
      <c r="J822" s="26">
        <v>0</v>
      </c>
      <c r="K822" s="8" t="str">
        <f t="shared" si="12"/>
        <v>MISC.PMGRE</v>
      </c>
    </row>
    <row r="823" spans="1:11" x14ac:dyDescent="0.25">
      <c r="A823" s="26" t="s">
        <v>136</v>
      </c>
      <c r="B823" s="26" t="s">
        <v>111</v>
      </c>
      <c r="C823" s="26">
        <v>0</v>
      </c>
      <c r="D823" s="27">
        <v>43280</v>
      </c>
      <c r="E823" s="26">
        <v>99285.15</v>
      </c>
      <c r="F823" s="26" t="s">
        <v>1987</v>
      </c>
      <c r="G823" s="26" t="s">
        <v>8</v>
      </c>
      <c r="H823" s="26" t="s">
        <v>1988</v>
      </c>
      <c r="I823" s="26" t="s">
        <v>106</v>
      </c>
      <c r="J823" s="26">
        <v>0</v>
      </c>
      <c r="K823" s="8" t="str">
        <f t="shared" si="12"/>
        <v>MISC.PMGRE</v>
      </c>
    </row>
    <row r="824" spans="1:11" x14ac:dyDescent="0.25">
      <c r="A824" s="26" t="s">
        <v>136</v>
      </c>
      <c r="B824" s="26" t="s">
        <v>111</v>
      </c>
      <c r="C824" s="26">
        <v>0</v>
      </c>
      <c r="D824" s="27">
        <v>43280</v>
      </c>
      <c r="E824" s="26">
        <v>87370.93</v>
      </c>
      <c r="F824" s="26" t="s">
        <v>1989</v>
      </c>
      <c r="G824" s="26" t="s">
        <v>8</v>
      </c>
      <c r="H824" s="26" t="s">
        <v>1990</v>
      </c>
      <c r="I824" s="26" t="s">
        <v>106</v>
      </c>
      <c r="J824" s="26">
        <v>0</v>
      </c>
      <c r="K824" s="8" t="str">
        <f t="shared" si="12"/>
        <v>MISC.PMGRE</v>
      </c>
    </row>
    <row r="825" spans="1:11" x14ac:dyDescent="0.25">
      <c r="A825" s="26" t="s">
        <v>136</v>
      </c>
      <c r="B825" s="26" t="s">
        <v>111</v>
      </c>
      <c r="C825" s="26">
        <v>0</v>
      </c>
      <c r="D825" s="27">
        <v>43280</v>
      </c>
      <c r="E825" s="26">
        <v>75456.710000000006</v>
      </c>
      <c r="F825" s="26" t="s">
        <v>1991</v>
      </c>
      <c r="G825" s="26" t="s">
        <v>8</v>
      </c>
      <c r="H825" s="26" t="s">
        <v>1992</v>
      </c>
      <c r="I825" s="26" t="s">
        <v>106</v>
      </c>
      <c r="J825" s="26">
        <v>0</v>
      </c>
      <c r="K825" s="8" t="str">
        <f t="shared" si="12"/>
        <v>MISC.PMGRE</v>
      </c>
    </row>
    <row r="826" spans="1:11" x14ac:dyDescent="0.25">
      <c r="A826" s="26" t="s">
        <v>136</v>
      </c>
      <c r="B826" s="26" t="s">
        <v>111</v>
      </c>
      <c r="C826" s="26">
        <v>0</v>
      </c>
      <c r="D826" s="27">
        <v>43283</v>
      </c>
      <c r="E826" s="26">
        <v>238284.35</v>
      </c>
      <c r="F826" s="26" t="s">
        <v>1993</v>
      </c>
      <c r="G826" s="26" t="s">
        <v>8</v>
      </c>
      <c r="H826" s="26" t="s">
        <v>1994</v>
      </c>
      <c r="I826" s="26" t="s">
        <v>106</v>
      </c>
      <c r="J826" s="26">
        <v>0</v>
      </c>
      <c r="K826" s="8" t="str">
        <f t="shared" si="12"/>
        <v>MISC.PMGRE</v>
      </c>
    </row>
    <row r="827" spans="1:11" x14ac:dyDescent="0.25">
      <c r="A827" s="26" t="s">
        <v>136</v>
      </c>
      <c r="B827" s="26" t="s">
        <v>111</v>
      </c>
      <c r="C827" s="26">
        <v>0</v>
      </c>
      <c r="D827" s="27">
        <v>43286</v>
      </c>
      <c r="E827" s="26">
        <v>266084.19</v>
      </c>
      <c r="F827" s="26" t="s">
        <v>1995</v>
      </c>
      <c r="G827" s="26" t="s">
        <v>8</v>
      </c>
      <c r="H827" s="26" t="s">
        <v>1996</v>
      </c>
      <c r="I827" s="26" t="s">
        <v>106</v>
      </c>
      <c r="J827" s="26">
        <v>0</v>
      </c>
      <c r="K827" s="8" t="str">
        <f t="shared" si="12"/>
        <v>MISC.PMGRE</v>
      </c>
    </row>
    <row r="828" spans="1:11" x14ac:dyDescent="0.25">
      <c r="A828" s="26" t="s">
        <v>136</v>
      </c>
      <c r="B828" s="26" t="s">
        <v>111</v>
      </c>
      <c r="C828" s="26">
        <v>0</v>
      </c>
      <c r="D828" s="27">
        <v>43287</v>
      </c>
      <c r="E828" s="26">
        <v>79428.12</v>
      </c>
      <c r="F828" s="26" t="s">
        <v>1997</v>
      </c>
      <c r="G828" s="26" t="s">
        <v>8</v>
      </c>
      <c r="H828" s="26" t="s">
        <v>1998</v>
      </c>
      <c r="I828" s="26" t="s">
        <v>106</v>
      </c>
      <c r="J828" s="26">
        <v>0</v>
      </c>
      <c r="K828" s="8" t="str">
        <f t="shared" si="12"/>
        <v>MISC.PMGRE</v>
      </c>
    </row>
    <row r="829" spans="1:11" x14ac:dyDescent="0.25">
      <c r="A829" s="26" t="s">
        <v>136</v>
      </c>
      <c r="B829" s="26" t="s">
        <v>111</v>
      </c>
      <c r="C829" s="26">
        <v>0</v>
      </c>
      <c r="D829" s="27">
        <v>43287</v>
      </c>
      <c r="E829" s="26">
        <v>95313.74</v>
      </c>
      <c r="F829" s="26" t="s">
        <v>1999</v>
      </c>
      <c r="G829" s="26" t="s">
        <v>8</v>
      </c>
      <c r="H829" s="26" t="s">
        <v>2000</v>
      </c>
      <c r="I829" s="26" t="s">
        <v>106</v>
      </c>
      <c r="J829" s="26">
        <v>0</v>
      </c>
      <c r="K829" s="8" t="str">
        <f t="shared" si="12"/>
        <v>MISC.PMGRE</v>
      </c>
    </row>
    <row r="830" spans="1:11" x14ac:dyDescent="0.25">
      <c r="A830" s="26" t="s">
        <v>136</v>
      </c>
      <c r="B830" s="26" t="s">
        <v>111</v>
      </c>
      <c r="C830" s="26">
        <v>0</v>
      </c>
      <c r="D830" s="27">
        <v>43287</v>
      </c>
      <c r="E830" s="26">
        <v>103256.55</v>
      </c>
      <c r="F830" s="26" t="s">
        <v>2001</v>
      </c>
      <c r="G830" s="26" t="s">
        <v>8</v>
      </c>
      <c r="H830" s="26" t="s">
        <v>2002</v>
      </c>
      <c r="I830" s="26" t="s">
        <v>106</v>
      </c>
      <c r="J830" s="26">
        <v>0</v>
      </c>
      <c r="K830" s="8" t="str">
        <f t="shared" si="12"/>
        <v>MISC.PMGRE</v>
      </c>
    </row>
    <row r="831" spans="1:11" x14ac:dyDescent="0.25">
      <c r="A831" s="26" t="s">
        <v>136</v>
      </c>
      <c r="B831" s="26" t="s">
        <v>111</v>
      </c>
      <c r="C831" s="26">
        <v>0</v>
      </c>
      <c r="D831" s="27">
        <v>43290</v>
      </c>
      <c r="E831" s="26">
        <v>158856.24</v>
      </c>
      <c r="F831" s="26" t="s">
        <v>2003</v>
      </c>
      <c r="G831" s="26" t="s">
        <v>8</v>
      </c>
      <c r="H831" s="26" t="s">
        <v>2004</v>
      </c>
      <c r="I831" s="26" t="s">
        <v>106</v>
      </c>
      <c r="J831" s="26">
        <v>0</v>
      </c>
      <c r="K831" s="8" t="str">
        <f t="shared" si="12"/>
        <v>MISC.PMGRE</v>
      </c>
    </row>
    <row r="832" spans="1:11" x14ac:dyDescent="0.25">
      <c r="A832" s="26" t="s">
        <v>136</v>
      </c>
      <c r="B832" s="26" t="s">
        <v>111</v>
      </c>
      <c r="C832" s="26">
        <v>0</v>
      </c>
      <c r="D832" s="27">
        <v>43293</v>
      </c>
      <c r="E832" s="26">
        <v>95313.74</v>
      </c>
      <c r="F832" s="26" t="s">
        <v>2005</v>
      </c>
      <c r="G832" s="26" t="s">
        <v>8</v>
      </c>
      <c r="H832" s="26" t="s">
        <v>2006</v>
      </c>
      <c r="I832" s="26" t="s">
        <v>106</v>
      </c>
      <c r="J832" s="26">
        <v>0</v>
      </c>
      <c r="K832" s="8" t="str">
        <f t="shared" si="12"/>
        <v>MISC.PMGRE</v>
      </c>
    </row>
    <row r="833" spans="1:11" x14ac:dyDescent="0.25">
      <c r="A833" s="26" t="s">
        <v>136</v>
      </c>
      <c r="B833" s="26" t="s">
        <v>111</v>
      </c>
      <c r="C833" s="26">
        <v>0</v>
      </c>
      <c r="D833" s="27">
        <v>43294</v>
      </c>
      <c r="E833" s="26">
        <v>71485.31</v>
      </c>
      <c r="F833" s="26" t="s">
        <v>2007</v>
      </c>
      <c r="G833" s="26" t="s">
        <v>8</v>
      </c>
      <c r="H833" s="26" t="s">
        <v>2008</v>
      </c>
      <c r="I833" s="26" t="s">
        <v>106</v>
      </c>
      <c r="J833" s="26">
        <v>0</v>
      </c>
      <c r="K833" s="8" t="str">
        <f t="shared" si="12"/>
        <v>MISC.PMGRE</v>
      </c>
    </row>
    <row r="834" spans="1:11" x14ac:dyDescent="0.25">
      <c r="A834" s="26" t="s">
        <v>136</v>
      </c>
      <c r="B834" s="26" t="s">
        <v>111</v>
      </c>
      <c r="C834" s="26">
        <v>0</v>
      </c>
      <c r="D834" s="27">
        <v>43294</v>
      </c>
      <c r="E834" s="26">
        <v>79428.12</v>
      </c>
      <c r="F834" s="26" t="s">
        <v>2009</v>
      </c>
      <c r="G834" s="26" t="s">
        <v>8</v>
      </c>
      <c r="H834" s="26" t="s">
        <v>2010</v>
      </c>
      <c r="I834" s="26" t="s">
        <v>106</v>
      </c>
      <c r="J834" s="26">
        <v>0</v>
      </c>
      <c r="K834" s="8" t="str">
        <f t="shared" si="12"/>
        <v>MISC.PMGRE</v>
      </c>
    </row>
    <row r="835" spans="1:11" x14ac:dyDescent="0.25">
      <c r="A835" s="26" t="s">
        <v>136</v>
      </c>
      <c r="B835" s="26" t="s">
        <v>111</v>
      </c>
      <c r="C835" s="26">
        <v>0</v>
      </c>
      <c r="D835" s="27">
        <v>43294</v>
      </c>
      <c r="E835" s="26">
        <v>87370.93</v>
      </c>
      <c r="F835" s="26" t="s">
        <v>2011</v>
      </c>
      <c r="G835" s="26" t="s">
        <v>8</v>
      </c>
      <c r="H835" s="26" t="s">
        <v>2012</v>
      </c>
      <c r="I835" s="26" t="s">
        <v>106</v>
      </c>
      <c r="J835" s="26">
        <v>0</v>
      </c>
      <c r="K835" s="8" t="str">
        <f t="shared" ref="K835:K898" si="13">LEFT(A835,FIND("/",A835)-1)</f>
        <v>MISC.PMGRE</v>
      </c>
    </row>
    <row r="836" spans="1:11" x14ac:dyDescent="0.25">
      <c r="A836" s="26" t="s">
        <v>136</v>
      </c>
      <c r="B836" s="26" t="s">
        <v>111</v>
      </c>
      <c r="C836" s="26">
        <v>0</v>
      </c>
      <c r="D836" s="27">
        <v>43297</v>
      </c>
      <c r="E836" s="26">
        <v>142970.60999999999</v>
      </c>
      <c r="F836" s="26" t="s">
        <v>2013</v>
      </c>
      <c r="G836" s="26" t="s">
        <v>8</v>
      </c>
      <c r="H836" s="26" t="s">
        <v>2014</v>
      </c>
      <c r="I836" s="26" t="s">
        <v>106</v>
      </c>
      <c r="J836" s="26">
        <v>0</v>
      </c>
      <c r="K836" s="8" t="str">
        <f t="shared" si="13"/>
        <v>MISC.PMGRE</v>
      </c>
    </row>
    <row r="837" spans="1:11" x14ac:dyDescent="0.25">
      <c r="A837" s="26" t="s">
        <v>136</v>
      </c>
      <c r="B837" s="26" t="s">
        <v>111</v>
      </c>
      <c r="C837" s="26">
        <v>0</v>
      </c>
      <c r="D837" s="27">
        <v>43300</v>
      </c>
      <c r="E837" s="26">
        <v>87370.93</v>
      </c>
      <c r="F837" s="26" t="s">
        <v>2015</v>
      </c>
      <c r="G837" s="26" t="s">
        <v>8</v>
      </c>
      <c r="H837" s="26" t="s">
        <v>2016</v>
      </c>
      <c r="I837" s="26" t="s">
        <v>106</v>
      </c>
      <c r="J837" s="26">
        <v>0</v>
      </c>
      <c r="K837" s="8" t="str">
        <f t="shared" si="13"/>
        <v>MISC.PMGRE</v>
      </c>
    </row>
    <row r="838" spans="1:11" x14ac:dyDescent="0.25">
      <c r="A838" s="26" t="s">
        <v>136</v>
      </c>
      <c r="B838" s="26" t="s">
        <v>111</v>
      </c>
      <c r="C838" s="26">
        <v>0</v>
      </c>
      <c r="D838" s="27">
        <v>43301</v>
      </c>
      <c r="E838" s="26">
        <v>63542.49</v>
      </c>
      <c r="F838" s="26" t="s">
        <v>2017</v>
      </c>
      <c r="G838" s="26" t="s">
        <v>8</v>
      </c>
      <c r="H838" s="26" t="s">
        <v>2018</v>
      </c>
      <c r="I838" s="26" t="s">
        <v>106</v>
      </c>
      <c r="J838" s="26">
        <v>0</v>
      </c>
      <c r="K838" s="8" t="str">
        <f t="shared" si="13"/>
        <v>MISC.PMGRE</v>
      </c>
    </row>
    <row r="839" spans="1:11" x14ac:dyDescent="0.25">
      <c r="A839" s="26" t="s">
        <v>136</v>
      </c>
      <c r="B839" s="26" t="s">
        <v>111</v>
      </c>
      <c r="C839" s="26">
        <v>0</v>
      </c>
      <c r="D839" s="27">
        <v>43301</v>
      </c>
      <c r="E839" s="26">
        <v>107227.96</v>
      </c>
      <c r="F839" s="26" t="s">
        <v>2019</v>
      </c>
      <c r="G839" s="26" t="s">
        <v>8</v>
      </c>
      <c r="H839" s="26" t="s">
        <v>2020</v>
      </c>
      <c r="I839" s="26" t="s">
        <v>106</v>
      </c>
      <c r="J839" s="26">
        <v>0</v>
      </c>
      <c r="K839" s="8" t="str">
        <f t="shared" si="13"/>
        <v>MISC.PMGRE</v>
      </c>
    </row>
    <row r="840" spans="1:11" x14ac:dyDescent="0.25">
      <c r="A840" s="26" t="s">
        <v>136</v>
      </c>
      <c r="B840" s="26" t="s">
        <v>111</v>
      </c>
      <c r="C840" s="26">
        <v>0</v>
      </c>
      <c r="D840" s="27">
        <v>43301</v>
      </c>
      <c r="E840" s="26">
        <v>99285.15</v>
      </c>
      <c r="F840" s="26" t="s">
        <v>2021</v>
      </c>
      <c r="G840" s="26" t="s">
        <v>8</v>
      </c>
      <c r="H840" s="26" t="s">
        <v>2022</v>
      </c>
      <c r="I840" s="26" t="s">
        <v>106</v>
      </c>
      <c r="J840" s="26">
        <v>0</v>
      </c>
      <c r="K840" s="8" t="str">
        <f t="shared" si="13"/>
        <v>MISC.PMGRE</v>
      </c>
    </row>
    <row r="841" spans="1:11" x14ac:dyDescent="0.25">
      <c r="A841" s="26" t="s">
        <v>136</v>
      </c>
      <c r="B841" s="26" t="s">
        <v>111</v>
      </c>
      <c r="C841" s="26">
        <v>0</v>
      </c>
      <c r="D841" s="27">
        <v>43304</v>
      </c>
      <c r="E841" s="26">
        <v>111199.36</v>
      </c>
      <c r="F841" s="26" t="s">
        <v>2023</v>
      </c>
      <c r="G841" s="26" t="s">
        <v>8</v>
      </c>
      <c r="H841" s="26" t="s">
        <v>2024</v>
      </c>
      <c r="I841" s="26" t="s">
        <v>106</v>
      </c>
      <c r="J841" s="26">
        <v>0</v>
      </c>
      <c r="K841" s="8" t="str">
        <f t="shared" si="13"/>
        <v>MISC.PMGRE</v>
      </c>
    </row>
    <row r="842" spans="1:11" x14ac:dyDescent="0.25">
      <c r="A842" s="26" t="s">
        <v>136</v>
      </c>
      <c r="B842" s="26" t="s">
        <v>111</v>
      </c>
      <c r="C842" s="26">
        <v>0</v>
      </c>
      <c r="D842" s="27">
        <v>43307</v>
      </c>
      <c r="E842" s="26">
        <v>111199.36</v>
      </c>
      <c r="F842" s="26" t="s">
        <v>2025</v>
      </c>
      <c r="G842" s="26" t="s">
        <v>8</v>
      </c>
      <c r="H842" s="26" t="s">
        <v>2026</v>
      </c>
      <c r="I842" s="26" t="s">
        <v>106</v>
      </c>
      <c r="J842" s="26">
        <v>0</v>
      </c>
      <c r="K842" s="8" t="str">
        <f t="shared" si="13"/>
        <v>MISC.PMGRE</v>
      </c>
    </row>
    <row r="843" spans="1:11" x14ac:dyDescent="0.25">
      <c r="A843" s="26" t="s">
        <v>136</v>
      </c>
      <c r="B843" s="26" t="s">
        <v>111</v>
      </c>
      <c r="C843" s="26">
        <v>0</v>
      </c>
      <c r="D843" s="27">
        <v>43308</v>
      </c>
      <c r="E843" s="26">
        <v>115170.77</v>
      </c>
      <c r="F843" s="26" t="s">
        <v>2027</v>
      </c>
      <c r="G843" s="26" t="s">
        <v>8</v>
      </c>
      <c r="H843" s="26" t="s">
        <v>2028</v>
      </c>
      <c r="I843" s="26" t="s">
        <v>106</v>
      </c>
      <c r="J843" s="26">
        <v>0</v>
      </c>
      <c r="K843" s="8" t="str">
        <f t="shared" si="13"/>
        <v>MISC.PMGRE</v>
      </c>
    </row>
    <row r="844" spans="1:11" x14ac:dyDescent="0.25">
      <c r="A844" s="26" t="s">
        <v>136</v>
      </c>
      <c r="B844" s="26" t="s">
        <v>111</v>
      </c>
      <c r="C844" s="26">
        <v>0</v>
      </c>
      <c r="D844" s="27">
        <v>43308</v>
      </c>
      <c r="E844" s="26">
        <v>83399.520000000004</v>
      </c>
      <c r="F844" s="26" t="s">
        <v>2029</v>
      </c>
      <c r="G844" s="26" t="s">
        <v>8</v>
      </c>
      <c r="H844" s="26" t="s">
        <v>2030</v>
      </c>
      <c r="I844" s="26" t="s">
        <v>106</v>
      </c>
      <c r="J844" s="26">
        <v>0</v>
      </c>
      <c r="K844" s="8" t="str">
        <f t="shared" si="13"/>
        <v>MISC.PMGRE</v>
      </c>
    </row>
    <row r="845" spans="1:11" x14ac:dyDescent="0.25">
      <c r="A845" s="26" t="s">
        <v>136</v>
      </c>
      <c r="B845" s="26" t="s">
        <v>111</v>
      </c>
      <c r="C845" s="26">
        <v>0</v>
      </c>
      <c r="D845" s="27">
        <v>43308</v>
      </c>
      <c r="E845" s="26">
        <v>107227.96</v>
      </c>
      <c r="F845" s="26" t="s">
        <v>2031</v>
      </c>
      <c r="G845" s="26" t="s">
        <v>8</v>
      </c>
      <c r="H845" s="26" t="s">
        <v>2032</v>
      </c>
      <c r="I845" s="26" t="s">
        <v>106</v>
      </c>
      <c r="J845" s="26">
        <v>0</v>
      </c>
      <c r="K845" s="8" t="str">
        <f t="shared" si="13"/>
        <v>MISC.PMGRE</v>
      </c>
    </row>
    <row r="846" spans="1:11" x14ac:dyDescent="0.25">
      <c r="A846" s="26" t="s">
        <v>136</v>
      </c>
      <c r="B846" s="26" t="s">
        <v>111</v>
      </c>
      <c r="C846" s="26">
        <v>0</v>
      </c>
      <c r="D846" s="27">
        <v>43311</v>
      </c>
      <c r="E846" s="26">
        <v>142970.60999999999</v>
      </c>
      <c r="F846" s="26" t="s">
        <v>2033</v>
      </c>
      <c r="G846" s="26" t="s">
        <v>8</v>
      </c>
      <c r="H846" s="26" t="s">
        <v>2034</v>
      </c>
      <c r="I846" s="26" t="s">
        <v>106</v>
      </c>
      <c r="J846" s="26">
        <v>0</v>
      </c>
      <c r="K846" s="8" t="str">
        <f t="shared" si="13"/>
        <v>MISC.PMGRE</v>
      </c>
    </row>
    <row r="847" spans="1:11" x14ac:dyDescent="0.25">
      <c r="A847" s="26" t="s">
        <v>136</v>
      </c>
      <c r="B847" s="26" t="s">
        <v>111</v>
      </c>
      <c r="C847" s="26">
        <v>0</v>
      </c>
      <c r="D847" s="27">
        <v>43314</v>
      </c>
      <c r="E847" s="26">
        <v>301826.84999999998</v>
      </c>
      <c r="F847" s="26" t="s">
        <v>2035</v>
      </c>
      <c r="G847" s="26" t="s">
        <v>8</v>
      </c>
      <c r="H847" s="26" t="s">
        <v>2036</v>
      </c>
      <c r="I847" s="26" t="s">
        <v>106</v>
      </c>
      <c r="J847" s="26">
        <v>0</v>
      </c>
      <c r="K847" s="8" t="str">
        <f t="shared" si="13"/>
        <v>MISC.PMGRE</v>
      </c>
    </row>
    <row r="848" spans="1:11" x14ac:dyDescent="0.25">
      <c r="A848" s="26" t="s">
        <v>136</v>
      </c>
      <c r="B848" s="26" t="s">
        <v>111</v>
      </c>
      <c r="C848" s="26">
        <v>0</v>
      </c>
      <c r="D848" s="27">
        <v>43315</v>
      </c>
      <c r="E848" s="26">
        <v>91342.34</v>
      </c>
      <c r="F848" s="26" t="s">
        <v>2037</v>
      </c>
      <c r="G848" s="26" t="s">
        <v>8</v>
      </c>
      <c r="H848" s="26" t="s">
        <v>2038</v>
      </c>
      <c r="I848" s="26" t="s">
        <v>106</v>
      </c>
      <c r="J848" s="26">
        <v>0</v>
      </c>
      <c r="K848" s="8" t="str">
        <f t="shared" si="13"/>
        <v>MISC.PMGRE</v>
      </c>
    </row>
    <row r="849" spans="1:11" x14ac:dyDescent="0.25">
      <c r="A849" s="26" t="s">
        <v>136</v>
      </c>
      <c r="B849" s="26" t="s">
        <v>111</v>
      </c>
      <c r="C849" s="26">
        <v>0</v>
      </c>
      <c r="D849" s="27">
        <v>43315</v>
      </c>
      <c r="E849" s="26">
        <v>87370.93</v>
      </c>
      <c r="F849" s="26" t="s">
        <v>2039</v>
      </c>
      <c r="G849" s="26" t="s">
        <v>8</v>
      </c>
      <c r="H849" s="26" t="s">
        <v>2040</v>
      </c>
      <c r="I849" s="26" t="s">
        <v>106</v>
      </c>
      <c r="J849" s="26">
        <v>0</v>
      </c>
      <c r="K849" s="8" t="str">
        <f t="shared" si="13"/>
        <v>MISC.PMGRE</v>
      </c>
    </row>
    <row r="850" spans="1:11" x14ac:dyDescent="0.25">
      <c r="A850" s="26" t="s">
        <v>136</v>
      </c>
      <c r="B850" s="26" t="s">
        <v>111</v>
      </c>
      <c r="C850" s="26">
        <v>0</v>
      </c>
      <c r="D850" s="27">
        <v>43315</v>
      </c>
      <c r="E850" s="26">
        <v>79428.12</v>
      </c>
      <c r="F850" s="26" t="s">
        <v>2041</v>
      </c>
      <c r="G850" s="26" t="s">
        <v>8</v>
      </c>
      <c r="H850" s="26" t="s">
        <v>2042</v>
      </c>
      <c r="I850" s="26" t="s">
        <v>106</v>
      </c>
      <c r="J850" s="26">
        <v>0</v>
      </c>
      <c r="K850" s="8" t="str">
        <f t="shared" si="13"/>
        <v>MISC.PMGRE</v>
      </c>
    </row>
    <row r="851" spans="1:11" x14ac:dyDescent="0.25">
      <c r="A851" s="26" t="s">
        <v>136</v>
      </c>
      <c r="B851" s="26" t="s">
        <v>111</v>
      </c>
      <c r="C851" s="26">
        <v>0</v>
      </c>
      <c r="D851" s="27">
        <v>43318</v>
      </c>
      <c r="E851" s="26">
        <v>174741.86</v>
      </c>
      <c r="F851" s="26" t="s">
        <v>2043</v>
      </c>
      <c r="G851" s="26" t="s">
        <v>8</v>
      </c>
      <c r="H851" s="26" t="s">
        <v>2044</v>
      </c>
      <c r="I851" s="26" t="s">
        <v>106</v>
      </c>
      <c r="J851" s="26">
        <v>0</v>
      </c>
      <c r="K851" s="8" t="str">
        <f t="shared" si="13"/>
        <v>MISC.PMGRE</v>
      </c>
    </row>
    <row r="852" spans="1:11" x14ac:dyDescent="0.25">
      <c r="A852" s="26" t="s">
        <v>136</v>
      </c>
      <c r="B852" s="26" t="s">
        <v>111</v>
      </c>
      <c r="C852" s="26">
        <v>0</v>
      </c>
      <c r="D852" s="27">
        <v>43321</v>
      </c>
      <c r="E852" s="26">
        <v>87370.93</v>
      </c>
      <c r="F852" s="26" t="s">
        <v>2045</v>
      </c>
      <c r="G852" s="26" t="s">
        <v>8</v>
      </c>
      <c r="H852" s="26" t="s">
        <v>2046</v>
      </c>
      <c r="I852" s="26" t="s">
        <v>106</v>
      </c>
      <c r="J852" s="26">
        <v>0</v>
      </c>
      <c r="K852" s="8" t="str">
        <f t="shared" si="13"/>
        <v>MISC.PMGRE</v>
      </c>
    </row>
    <row r="853" spans="1:11" x14ac:dyDescent="0.25">
      <c r="A853" s="26" t="s">
        <v>136</v>
      </c>
      <c r="B853" s="26" t="s">
        <v>111</v>
      </c>
      <c r="C853" s="26">
        <v>0</v>
      </c>
      <c r="D853" s="27">
        <v>43322</v>
      </c>
      <c r="E853" s="26">
        <v>99285.15</v>
      </c>
      <c r="F853" s="26" t="s">
        <v>2047</v>
      </c>
      <c r="G853" s="26" t="s">
        <v>8</v>
      </c>
      <c r="H853" s="26" t="s">
        <v>2048</v>
      </c>
      <c r="I853" s="26" t="s">
        <v>106</v>
      </c>
      <c r="J853" s="26">
        <v>0</v>
      </c>
      <c r="K853" s="8" t="str">
        <f t="shared" si="13"/>
        <v>MISC.PMGRE</v>
      </c>
    </row>
    <row r="854" spans="1:11" x14ac:dyDescent="0.25">
      <c r="A854" s="26" t="s">
        <v>136</v>
      </c>
      <c r="B854" s="26" t="s">
        <v>111</v>
      </c>
      <c r="C854" s="26">
        <v>0</v>
      </c>
      <c r="D854" s="27">
        <v>43322</v>
      </c>
      <c r="E854" s="26">
        <v>138999.21</v>
      </c>
      <c r="F854" s="26" t="s">
        <v>2049</v>
      </c>
      <c r="G854" s="26" t="s">
        <v>8</v>
      </c>
      <c r="H854" s="26" t="s">
        <v>2050</v>
      </c>
      <c r="I854" s="26" t="s">
        <v>106</v>
      </c>
      <c r="J854" s="26">
        <v>0</v>
      </c>
      <c r="K854" s="8" t="str">
        <f t="shared" si="13"/>
        <v>MISC.PMGRE</v>
      </c>
    </row>
    <row r="855" spans="1:11" x14ac:dyDescent="0.25">
      <c r="A855" s="26" t="s">
        <v>136</v>
      </c>
      <c r="B855" s="26" t="s">
        <v>111</v>
      </c>
      <c r="C855" s="26">
        <v>0</v>
      </c>
      <c r="D855" s="27">
        <v>43322</v>
      </c>
      <c r="E855" s="26">
        <v>103256.55</v>
      </c>
      <c r="F855" s="26" t="s">
        <v>2051</v>
      </c>
      <c r="G855" s="26" t="s">
        <v>8</v>
      </c>
      <c r="H855" s="26" t="s">
        <v>2052</v>
      </c>
      <c r="I855" s="26" t="s">
        <v>106</v>
      </c>
      <c r="J855" s="26">
        <v>0</v>
      </c>
      <c r="K855" s="8" t="str">
        <f t="shared" si="13"/>
        <v>MISC.PMGRE</v>
      </c>
    </row>
    <row r="856" spans="1:11" x14ac:dyDescent="0.25">
      <c r="A856" s="26" t="s">
        <v>136</v>
      </c>
      <c r="B856" s="26" t="s">
        <v>111</v>
      </c>
      <c r="C856" s="26">
        <v>0</v>
      </c>
      <c r="D856" s="27">
        <v>43325</v>
      </c>
      <c r="E856" s="26">
        <v>99285.15</v>
      </c>
      <c r="F856" s="26" t="s">
        <v>2053</v>
      </c>
      <c r="G856" s="26" t="s">
        <v>8</v>
      </c>
      <c r="H856" s="26" t="s">
        <v>2054</v>
      </c>
      <c r="I856" s="26" t="s">
        <v>106</v>
      </c>
      <c r="J856" s="26">
        <v>0</v>
      </c>
      <c r="K856" s="8" t="str">
        <f t="shared" si="13"/>
        <v>MISC.PMGRE</v>
      </c>
    </row>
    <row r="857" spans="1:11" x14ac:dyDescent="0.25">
      <c r="A857" s="26" t="s">
        <v>136</v>
      </c>
      <c r="B857" s="26" t="s">
        <v>111</v>
      </c>
      <c r="C857" s="26">
        <v>0</v>
      </c>
      <c r="D857" s="27">
        <v>43328</v>
      </c>
      <c r="E857" s="26">
        <v>95313.74</v>
      </c>
      <c r="F857" s="26" t="s">
        <v>2055</v>
      </c>
      <c r="G857" s="26" t="s">
        <v>8</v>
      </c>
      <c r="H857" s="26" t="s">
        <v>2056</v>
      </c>
      <c r="I857" s="26" t="s">
        <v>106</v>
      </c>
      <c r="J857" s="26">
        <v>0</v>
      </c>
      <c r="K857" s="8" t="str">
        <f t="shared" si="13"/>
        <v>MISC.PMGRE</v>
      </c>
    </row>
    <row r="858" spans="1:11" x14ac:dyDescent="0.25">
      <c r="A858" s="26" t="s">
        <v>136</v>
      </c>
      <c r="B858" s="26" t="s">
        <v>111</v>
      </c>
      <c r="C858" s="26">
        <v>0</v>
      </c>
      <c r="D858" s="27">
        <v>43329</v>
      </c>
      <c r="E858" s="26">
        <v>226370.14</v>
      </c>
      <c r="F858" s="26" t="s">
        <v>2057</v>
      </c>
      <c r="G858" s="26" t="s">
        <v>8</v>
      </c>
      <c r="H858" s="26" t="s">
        <v>2058</v>
      </c>
      <c r="I858" s="26" t="s">
        <v>106</v>
      </c>
      <c r="J858" s="26">
        <v>0</v>
      </c>
      <c r="K858" s="8" t="str">
        <f t="shared" si="13"/>
        <v>MISC.PMGRE</v>
      </c>
    </row>
    <row r="859" spans="1:11" x14ac:dyDescent="0.25">
      <c r="A859" s="26" t="s">
        <v>136</v>
      </c>
      <c r="B859" s="26" t="s">
        <v>111</v>
      </c>
      <c r="C859" s="26">
        <v>0</v>
      </c>
      <c r="D859" s="27">
        <v>43329</v>
      </c>
      <c r="E859" s="26">
        <v>238284.35</v>
      </c>
      <c r="F859" s="26" t="s">
        <v>2059</v>
      </c>
      <c r="G859" s="26" t="s">
        <v>8</v>
      </c>
      <c r="H859" s="26" t="s">
        <v>2060</v>
      </c>
      <c r="I859" s="26" t="s">
        <v>106</v>
      </c>
      <c r="J859" s="26">
        <v>0</v>
      </c>
      <c r="K859" s="8" t="str">
        <f t="shared" si="13"/>
        <v>MISC.PMGRE</v>
      </c>
    </row>
    <row r="860" spans="1:11" x14ac:dyDescent="0.25">
      <c r="A860" s="26" t="s">
        <v>136</v>
      </c>
      <c r="B860" s="26" t="s">
        <v>111</v>
      </c>
      <c r="C860" s="26">
        <v>0</v>
      </c>
      <c r="D860" s="27">
        <v>43329</v>
      </c>
      <c r="E860" s="26">
        <v>158856.24</v>
      </c>
      <c r="F860" s="26" t="s">
        <v>2061</v>
      </c>
      <c r="G860" s="26" t="s">
        <v>8</v>
      </c>
      <c r="H860" s="26" t="s">
        <v>2062</v>
      </c>
      <c r="I860" s="26" t="s">
        <v>106</v>
      </c>
      <c r="J860" s="26">
        <v>0</v>
      </c>
      <c r="K860" s="8" t="str">
        <f t="shared" si="13"/>
        <v>MISC.PMGRE</v>
      </c>
    </row>
    <row r="861" spans="1:11" x14ac:dyDescent="0.25">
      <c r="A861" s="26" t="s">
        <v>136</v>
      </c>
      <c r="B861" s="26" t="s">
        <v>111</v>
      </c>
      <c r="C861" s="26">
        <v>0</v>
      </c>
      <c r="D861" s="27">
        <v>43336</v>
      </c>
      <c r="E861" s="26">
        <v>111199.36</v>
      </c>
      <c r="F861" s="26" t="s">
        <v>2063</v>
      </c>
      <c r="G861" s="26" t="s">
        <v>8</v>
      </c>
      <c r="H861" s="26" t="s">
        <v>2064</v>
      </c>
      <c r="I861" s="26" t="s">
        <v>106</v>
      </c>
      <c r="J861" s="26">
        <v>0</v>
      </c>
      <c r="K861" s="8" t="str">
        <f t="shared" si="13"/>
        <v>MISC.PMGRE</v>
      </c>
    </row>
    <row r="862" spans="1:11" x14ac:dyDescent="0.25">
      <c r="A862" s="26" t="s">
        <v>136</v>
      </c>
      <c r="B862" s="26" t="s">
        <v>111</v>
      </c>
      <c r="C862" s="26">
        <v>0</v>
      </c>
      <c r="D862" s="27">
        <v>43336</v>
      </c>
      <c r="E862" s="26">
        <v>127084.99</v>
      </c>
      <c r="F862" s="26" t="s">
        <v>2065</v>
      </c>
      <c r="G862" s="26" t="s">
        <v>8</v>
      </c>
      <c r="H862" s="26" t="s">
        <v>2066</v>
      </c>
      <c r="I862" s="26" t="s">
        <v>106</v>
      </c>
      <c r="J862" s="26">
        <v>0</v>
      </c>
      <c r="K862" s="8" t="str">
        <f t="shared" si="13"/>
        <v>MISC.PMGRE</v>
      </c>
    </row>
    <row r="863" spans="1:11" x14ac:dyDescent="0.25">
      <c r="A863" s="26" t="s">
        <v>136</v>
      </c>
      <c r="B863" s="26" t="s">
        <v>111</v>
      </c>
      <c r="C863" s="26">
        <v>0</v>
      </c>
      <c r="D863" s="27">
        <v>43336</v>
      </c>
      <c r="E863" s="26">
        <v>138999.21</v>
      </c>
      <c r="F863" s="26" t="s">
        <v>2067</v>
      </c>
      <c r="G863" s="26" t="s">
        <v>8</v>
      </c>
      <c r="H863" s="26" t="s">
        <v>2068</v>
      </c>
      <c r="I863" s="26" t="s">
        <v>106</v>
      </c>
      <c r="J863" s="26">
        <v>0</v>
      </c>
      <c r="K863" s="8" t="str">
        <f t="shared" si="13"/>
        <v>MISC.PMGRE</v>
      </c>
    </row>
    <row r="864" spans="1:11" x14ac:dyDescent="0.25">
      <c r="A864" s="26" t="s">
        <v>136</v>
      </c>
      <c r="B864" s="26" t="s">
        <v>111</v>
      </c>
      <c r="C864" s="26">
        <v>0</v>
      </c>
      <c r="D864" s="27">
        <v>43339</v>
      </c>
      <c r="E864" s="26">
        <v>99285.15</v>
      </c>
      <c r="F864" s="26" t="s">
        <v>2069</v>
      </c>
      <c r="G864" s="26" t="s">
        <v>8</v>
      </c>
      <c r="H864" s="26" t="s">
        <v>2070</v>
      </c>
      <c r="I864" s="26" t="s">
        <v>106</v>
      </c>
      <c r="J864" s="26">
        <v>0</v>
      </c>
      <c r="K864" s="8" t="str">
        <f t="shared" si="13"/>
        <v>MISC.PMGRE</v>
      </c>
    </row>
    <row r="865" spans="1:11" x14ac:dyDescent="0.25">
      <c r="A865" s="26" t="s">
        <v>136</v>
      </c>
      <c r="B865" s="26" t="s">
        <v>111</v>
      </c>
      <c r="C865" s="26">
        <v>0</v>
      </c>
      <c r="D865" s="27">
        <v>43342</v>
      </c>
      <c r="E865" s="26">
        <v>103256.55</v>
      </c>
      <c r="F865" s="26" t="s">
        <v>2071</v>
      </c>
      <c r="G865" s="26" t="s">
        <v>8</v>
      </c>
      <c r="H865" s="26" t="s">
        <v>2072</v>
      </c>
      <c r="I865" s="26" t="s">
        <v>106</v>
      </c>
      <c r="J865" s="26">
        <v>0</v>
      </c>
      <c r="K865" s="8" t="str">
        <f t="shared" si="13"/>
        <v>MISC.PMGRE</v>
      </c>
    </row>
    <row r="866" spans="1:11" x14ac:dyDescent="0.25">
      <c r="A866" s="26" t="s">
        <v>136</v>
      </c>
      <c r="B866" s="26" t="s">
        <v>111</v>
      </c>
      <c r="C866" s="26">
        <v>0</v>
      </c>
      <c r="D866" s="27">
        <v>43343</v>
      </c>
      <c r="E866" s="26">
        <v>111199.36</v>
      </c>
      <c r="F866" s="26" t="s">
        <v>2073</v>
      </c>
      <c r="G866" s="26" t="s">
        <v>8</v>
      </c>
      <c r="H866" s="26" t="s">
        <v>2074</v>
      </c>
      <c r="I866" s="26" t="s">
        <v>106</v>
      </c>
      <c r="J866" s="26">
        <v>0</v>
      </c>
      <c r="K866" s="8" t="str">
        <f t="shared" si="13"/>
        <v>MISC.PMGRE</v>
      </c>
    </row>
    <row r="867" spans="1:11" x14ac:dyDescent="0.25">
      <c r="A867" s="26" t="s">
        <v>136</v>
      </c>
      <c r="B867" s="26" t="s">
        <v>111</v>
      </c>
      <c r="C867" s="26">
        <v>0</v>
      </c>
      <c r="D867" s="27">
        <v>43343</v>
      </c>
      <c r="E867" s="26">
        <v>123113.58</v>
      </c>
      <c r="F867" s="26" t="s">
        <v>2075</v>
      </c>
      <c r="G867" s="26" t="s">
        <v>8</v>
      </c>
      <c r="H867" s="26" t="s">
        <v>2076</v>
      </c>
      <c r="I867" s="26" t="s">
        <v>106</v>
      </c>
      <c r="J867" s="26">
        <v>0</v>
      </c>
      <c r="K867" s="8" t="str">
        <f t="shared" si="13"/>
        <v>MISC.PMGRE</v>
      </c>
    </row>
    <row r="868" spans="1:11" x14ac:dyDescent="0.25">
      <c r="A868" s="26" t="s">
        <v>136</v>
      </c>
      <c r="B868" s="26" t="s">
        <v>111</v>
      </c>
      <c r="C868" s="26">
        <v>0</v>
      </c>
      <c r="D868" s="27">
        <v>43343</v>
      </c>
      <c r="E868" s="26">
        <v>516282.76</v>
      </c>
      <c r="F868" s="26" t="s">
        <v>2077</v>
      </c>
      <c r="G868" s="26" t="s">
        <v>8</v>
      </c>
      <c r="H868" s="26" t="s">
        <v>2078</v>
      </c>
      <c r="I868" s="26" t="s">
        <v>106</v>
      </c>
      <c r="J868" s="26">
        <v>0</v>
      </c>
      <c r="K868" s="8" t="str">
        <f t="shared" si="13"/>
        <v>MISC.PMGRE</v>
      </c>
    </row>
    <row r="869" spans="1:11" x14ac:dyDescent="0.25">
      <c r="A869" s="26" t="s">
        <v>136</v>
      </c>
      <c r="B869" s="26" t="s">
        <v>111</v>
      </c>
      <c r="C869" s="26">
        <v>0</v>
      </c>
      <c r="D869" s="27">
        <v>43346</v>
      </c>
      <c r="E869" s="26">
        <v>135027.79999999999</v>
      </c>
      <c r="F869" s="26" t="s">
        <v>2079</v>
      </c>
      <c r="G869" s="26" t="s">
        <v>8</v>
      </c>
      <c r="H869" s="26" t="s">
        <v>2080</v>
      </c>
      <c r="I869" s="26" t="s">
        <v>106</v>
      </c>
      <c r="J869" s="26">
        <v>0</v>
      </c>
      <c r="K869" s="8" t="str">
        <f t="shared" si="13"/>
        <v>MISC.PMGRE</v>
      </c>
    </row>
    <row r="870" spans="1:11" x14ac:dyDescent="0.25">
      <c r="A870" s="26" t="s">
        <v>136</v>
      </c>
      <c r="B870" s="26" t="s">
        <v>111</v>
      </c>
      <c r="C870" s="26">
        <v>0</v>
      </c>
      <c r="D870" s="27">
        <v>43349</v>
      </c>
      <c r="E870" s="26">
        <v>146942.01999999999</v>
      </c>
      <c r="F870" s="26" t="s">
        <v>2081</v>
      </c>
      <c r="G870" s="26" t="s">
        <v>8</v>
      </c>
      <c r="H870" s="26" t="s">
        <v>2082</v>
      </c>
      <c r="I870" s="26" t="s">
        <v>106</v>
      </c>
      <c r="J870" s="26">
        <v>0</v>
      </c>
      <c r="K870" s="8" t="str">
        <f t="shared" si="13"/>
        <v>MISC.PMGRE</v>
      </c>
    </row>
    <row r="871" spans="1:11" x14ac:dyDescent="0.25">
      <c r="A871" s="26" t="s">
        <v>136</v>
      </c>
      <c r="B871" s="26" t="s">
        <v>111</v>
      </c>
      <c r="C871" s="26">
        <v>0</v>
      </c>
      <c r="D871" s="27">
        <v>43350</v>
      </c>
      <c r="E871" s="26">
        <v>111199.36</v>
      </c>
      <c r="F871" s="26" t="s">
        <v>2083</v>
      </c>
      <c r="G871" s="26" t="s">
        <v>8</v>
      </c>
      <c r="H871" s="26" t="s">
        <v>2084</v>
      </c>
      <c r="I871" s="26" t="s">
        <v>106</v>
      </c>
      <c r="J871" s="26">
        <v>0</v>
      </c>
      <c r="K871" s="8" t="str">
        <f t="shared" si="13"/>
        <v>MISC.PMGRE</v>
      </c>
    </row>
    <row r="872" spans="1:11" x14ac:dyDescent="0.25">
      <c r="A872" s="26" t="s">
        <v>136</v>
      </c>
      <c r="B872" s="26" t="s">
        <v>111</v>
      </c>
      <c r="C872" s="26">
        <v>0</v>
      </c>
      <c r="D872" s="27">
        <v>43350</v>
      </c>
      <c r="E872" s="26">
        <v>87370.93</v>
      </c>
      <c r="F872" s="26" t="s">
        <v>2085</v>
      </c>
      <c r="G872" s="26" t="s">
        <v>8</v>
      </c>
      <c r="H872" s="26" t="s">
        <v>2086</v>
      </c>
      <c r="I872" s="26" t="s">
        <v>106</v>
      </c>
      <c r="J872" s="26">
        <v>0</v>
      </c>
      <c r="K872" s="8" t="str">
        <f t="shared" si="13"/>
        <v>MISC.PMGRE</v>
      </c>
    </row>
    <row r="873" spans="1:11" x14ac:dyDescent="0.25">
      <c r="A873" s="26" t="s">
        <v>136</v>
      </c>
      <c r="B873" s="26" t="s">
        <v>111</v>
      </c>
      <c r="C873" s="26">
        <v>0</v>
      </c>
      <c r="D873" s="27">
        <v>43350</v>
      </c>
      <c r="E873" s="26">
        <v>103256.55</v>
      </c>
      <c r="F873" s="26" t="s">
        <v>2087</v>
      </c>
      <c r="G873" s="26" t="s">
        <v>8</v>
      </c>
      <c r="H873" s="26" t="s">
        <v>2088</v>
      </c>
      <c r="I873" s="26" t="s">
        <v>106</v>
      </c>
      <c r="J873" s="26">
        <v>0</v>
      </c>
      <c r="K873" s="8" t="str">
        <f t="shared" si="13"/>
        <v>MISC.PMGRE</v>
      </c>
    </row>
    <row r="874" spans="1:11" x14ac:dyDescent="0.25">
      <c r="A874" s="26" t="s">
        <v>136</v>
      </c>
      <c r="B874" s="26" t="s">
        <v>111</v>
      </c>
      <c r="C874" s="26">
        <v>0</v>
      </c>
      <c r="D874" s="27">
        <v>43353</v>
      </c>
      <c r="E874" s="26">
        <v>119142.18</v>
      </c>
      <c r="F874" s="26" t="s">
        <v>2089</v>
      </c>
      <c r="G874" s="26" t="s">
        <v>8</v>
      </c>
      <c r="H874" s="26" t="s">
        <v>2090</v>
      </c>
      <c r="I874" s="26" t="s">
        <v>106</v>
      </c>
      <c r="J874" s="26">
        <v>0</v>
      </c>
      <c r="K874" s="8" t="str">
        <f t="shared" si="13"/>
        <v>MISC.PMGRE</v>
      </c>
    </row>
    <row r="875" spans="1:11" x14ac:dyDescent="0.25">
      <c r="A875" s="26" t="s">
        <v>136</v>
      </c>
      <c r="B875" s="26" t="s">
        <v>111</v>
      </c>
      <c r="C875" s="26">
        <v>0</v>
      </c>
      <c r="D875" s="27">
        <v>43356</v>
      </c>
      <c r="E875" s="26">
        <v>127084.99</v>
      </c>
      <c r="F875" s="26" t="s">
        <v>2091</v>
      </c>
      <c r="G875" s="26" t="s">
        <v>8</v>
      </c>
      <c r="H875" s="26" t="s">
        <v>2092</v>
      </c>
      <c r="I875" s="26" t="s">
        <v>106</v>
      </c>
      <c r="J875" s="26">
        <v>0</v>
      </c>
      <c r="K875" s="8" t="str">
        <f t="shared" si="13"/>
        <v>MISC.PMGRE</v>
      </c>
    </row>
    <row r="876" spans="1:11" x14ac:dyDescent="0.25">
      <c r="A876" s="26" t="s">
        <v>136</v>
      </c>
      <c r="B876" s="26" t="s">
        <v>111</v>
      </c>
      <c r="C876" s="26">
        <v>0</v>
      </c>
      <c r="D876" s="27">
        <v>43357</v>
      </c>
      <c r="E876" s="26">
        <v>87370.93</v>
      </c>
      <c r="F876" s="26" t="s">
        <v>2093</v>
      </c>
      <c r="G876" s="26" t="s">
        <v>8</v>
      </c>
      <c r="H876" s="26" t="s">
        <v>2094</v>
      </c>
      <c r="I876" s="26" t="s">
        <v>106</v>
      </c>
      <c r="J876" s="26">
        <v>0</v>
      </c>
      <c r="K876" s="8" t="str">
        <f t="shared" si="13"/>
        <v>MISC.PMGRE</v>
      </c>
    </row>
    <row r="877" spans="1:11" x14ac:dyDescent="0.25">
      <c r="A877" s="26" t="s">
        <v>136</v>
      </c>
      <c r="B877" s="26" t="s">
        <v>111</v>
      </c>
      <c r="C877" s="26">
        <v>0</v>
      </c>
      <c r="D877" s="27">
        <v>43357</v>
      </c>
      <c r="E877" s="26">
        <v>99285.15</v>
      </c>
      <c r="F877" s="26" t="s">
        <v>2095</v>
      </c>
      <c r="G877" s="26" t="s">
        <v>8</v>
      </c>
      <c r="H877" s="26" t="s">
        <v>2096</v>
      </c>
      <c r="I877" s="26" t="s">
        <v>106</v>
      </c>
      <c r="J877" s="26">
        <v>0</v>
      </c>
      <c r="K877" s="8" t="str">
        <f t="shared" si="13"/>
        <v>MISC.PMGRE</v>
      </c>
    </row>
    <row r="878" spans="1:11" x14ac:dyDescent="0.25">
      <c r="A878" s="26" t="s">
        <v>136</v>
      </c>
      <c r="B878" s="26" t="s">
        <v>111</v>
      </c>
      <c r="C878" s="26">
        <v>0</v>
      </c>
      <c r="D878" s="27">
        <v>43357</v>
      </c>
      <c r="E878" s="26">
        <v>95313.74</v>
      </c>
      <c r="F878" s="26" t="s">
        <v>2097</v>
      </c>
      <c r="G878" s="26" t="s">
        <v>8</v>
      </c>
      <c r="H878" s="26" t="s">
        <v>2098</v>
      </c>
      <c r="I878" s="26" t="s">
        <v>106</v>
      </c>
      <c r="J878" s="26">
        <v>0</v>
      </c>
      <c r="K878" s="8" t="str">
        <f t="shared" si="13"/>
        <v>MISC.PMGRE</v>
      </c>
    </row>
    <row r="879" spans="1:11" x14ac:dyDescent="0.25">
      <c r="A879" s="26" t="s">
        <v>136</v>
      </c>
      <c r="B879" s="26" t="s">
        <v>111</v>
      </c>
      <c r="C879" s="26">
        <v>0</v>
      </c>
      <c r="D879" s="27">
        <v>43360</v>
      </c>
      <c r="E879" s="26">
        <v>158856.24</v>
      </c>
      <c r="F879" s="26" t="s">
        <v>2099</v>
      </c>
      <c r="G879" s="26" t="s">
        <v>8</v>
      </c>
      <c r="H879" s="26" t="s">
        <v>2100</v>
      </c>
      <c r="I879" s="26" t="s">
        <v>106</v>
      </c>
      <c r="J879" s="26">
        <v>0</v>
      </c>
      <c r="K879" s="8" t="str">
        <f t="shared" si="13"/>
        <v>MISC.PMGRE</v>
      </c>
    </row>
    <row r="880" spans="1:11" x14ac:dyDescent="0.25">
      <c r="A880" s="26" t="s">
        <v>117</v>
      </c>
      <c r="B880" s="26" t="s">
        <v>111</v>
      </c>
      <c r="C880" s="26">
        <v>0</v>
      </c>
      <c r="D880" s="27">
        <v>43244</v>
      </c>
      <c r="E880" s="26">
        <v>143129.47</v>
      </c>
      <c r="F880" s="26" t="s">
        <v>2101</v>
      </c>
      <c r="G880" s="26" t="s">
        <v>8</v>
      </c>
      <c r="H880" s="26" t="s">
        <v>2102</v>
      </c>
      <c r="I880" s="26" t="s">
        <v>106</v>
      </c>
      <c r="J880" s="26">
        <v>0</v>
      </c>
      <c r="K880" s="8" t="str">
        <f t="shared" si="13"/>
        <v>NWTOSHIP</v>
      </c>
    </row>
    <row r="881" spans="1:11" x14ac:dyDescent="0.25">
      <c r="A881" s="26" t="s">
        <v>117</v>
      </c>
      <c r="B881" s="26" t="s">
        <v>111</v>
      </c>
      <c r="C881" s="26">
        <v>0</v>
      </c>
      <c r="D881" s="27">
        <v>43245</v>
      </c>
      <c r="E881" s="26">
        <v>293884.03000000003</v>
      </c>
      <c r="F881" s="26" t="s">
        <v>2103</v>
      </c>
      <c r="G881" s="26" t="s">
        <v>8</v>
      </c>
      <c r="H881" s="26" t="s">
        <v>2104</v>
      </c>
      <c r="I881" s="26" t="s">
        <v>106</v>
      </c>
      <c r="J881" s="26">
        <v>0</v>
      </c>
      <c r="K881" s="8" t="str">
        <f t="shared" si="13"/>
        <v>NWTOSHIP</v>
      </c>
    </row>
    <row r="882" spans="1:11" x14ac:dyDescent="0.25">
      <c r="A882" s="26" t="s">
        <v>117</v>
      </c>
      <c r="B882" s="26" t="s">
        <v>111</v>
      </c>
      <c r="C882" s="26">
        <v>0</v>
      </c>
      <c r="D882" s="27">
        <v>43245</v>
      </c>
      <c r="E882" s="26">
        <v>40349.480000000003</v>
      </c>
      <c r="F882" s="26" t="s">
        <v>2105</v>
      </c>
      <c r="G882" s="26" t="s">
        <v>8</v>
      </c>
      <c r="H882" s="26" t="s">
        <v>2106</v>
      </c>
      <c r="I882" s="26" t="s">
        <v>106</v>
      </c>
      <c r="J882" s="26">
        <v>0</v>
      </c>
      <c r="K882" s="8" t="str">
        <f t="shared" si="13"/>
        <v>NWTOSHIP</v>
      </c>
    </row>
    <row r="883" spans="1:11" x14ac:dyDescent="0.25">
      <c r="A883" s="26" t="s">
        <v>117</v>
      </c>
      <c r="B883" s="26" t="s">
        <v>111</v>
      </c>
      <c r="C883" s="26">
        <v>0</v>
      </c>
      <c r="D883" s="27">
        <v>43245</v>
      </c>
      <c r="E883" s="26">
        <v>127402.7</v>
      </c>
      <c r="F883" s="26" t="s">
        <v>2107</v>
      </c>
      <c r="G883" s="26" t="s">
        <v>8</v>
      </c>
      <c r="H883" s="26" t="s">
        <v>2108</v>
      </c>
      <c r="I883" s="26" t="s">
        <v>106</v>
      </c>
      <c r="J883" s="26">
        <v>0</v>
      </c>
      <c r="K883" s="8" t="str">
        <f t="shared" si="13"/>
        <v>NWTOSHIP</v>
      </c>
    </row>
    <row r="884" spans="1:11" x14ac:dyDescent="0.25">
      <c r="A884" s="26" t="s">
        <v>117</v>
      </c>
      <c r="B884" s="26" t="s">
        <v>111</v>
      </c>
      <c r="C884" s="26">
        <v>0</v>
      </c>
      <c r="D884" s="27">
        <v>43248</v>
      </c>
      <c r="E884" s="26">
        <v>92295.47</v>
      </c>
      <c r="F884" s="26" t="s">
        <v>2109</v>
      </c>
      <c r="G884" s="26" t="s">
        <v>8</v>
      </c>
      <c r="H884" s="26" t="s">
        <v>2110</v>
      </c>
      <c r="I884" s="26" t="s">
        <v>106</v>
      </c>
      <c r="J884" s="26">
        <v>0</v>
      </c>
      <c r="K884" s="8" t="str">
        <f t="shared" si="13"/>
        <v>NWTOSHIP</v>
      </c>
    </row>
    <row r="885" spans="1:11" x14ac:dyDescent="0.25">
      <c r="A885" s="26" t="s">
        <v>117</v>
      </c>
      <c r="B885" s="26" t="s">
        <v>111</v>
      </c>
      <c r="C885" s="26">
        <v>0</v>
      </c>
      <c r="D885" s="27">
        <v>43251</v>
      </c>
      <c r="E885" s="26">
        <v>128355.84</v>
      </c>
      <c r="F885" s="26" t="s">
        <v>2111</v>
      </c>
      <c r="G885" s="26" t="s">
        <v>8</v>
      </c>
      <c r="H885" s="26" t="s">
        <v>2112</v>
      </c>
      <c r="I885" s="26" t="s">
        <v>106</v>
      </c>
      <c r="J885" s="26">
        <v>0</v>
      </c>
      <c r="K885" s="8" t="str">
        <f t="shared" si="13"/>
        <v>NWTOSHIP</v>
      </c>
    </row>
    <row r="886" spans="1:11" x14ac:dyDescent="0.25">
      <c r="A886" s="26" t="s">
        <v>117</v>
      </c>
      <c r="B886" s="26" t="s">
        <v>111</v>
      </c>
      <c r="C886" s="26">
        <v>0</v>
      </c>
      <c r="D886" s="27">
        <v>43252</v>
      </c>
      <c r="E886" s="26">
        <v>147259.73000000001</v>
      </c>
      <c r="F886" s="26" t="s">
        <v>2113</v>
      </c>
      <c r="G886" s="26" t="s">
        <v>8</v>
      </c>
      <c r="H886" s="26" t="s">
        <v>2114</v>
      </c>
      <c r="I886" s="26" t="s">
        <v>106</v>
      </c>
      <c r="J886" s="26">
        <v>0</v>
      </c>
      <c r="K886" s="8" t="str">
        <f t="shared" si="13"/>
        <v>NWTOSHIP</v>
      </c>
    </row>
    <row r="887" spans="1:11" x14ac:dyDescent="0.25">
      <c r="A887" s="26" t="s">
        <v>117</v>
      </c>
      <c r="B887" s="26" t="s">
        <v>111</v>
      </c>
      <c r="C887" s="26">
        <v>0</v>
      </c>
      <c r="D887" s="27">
        <v>43252</v>
      </c>
      <c r="E887" s="26">
        <v>137648.93</v>
      </c>
      <c r="F887" s="26" t="s">
        <v>2115</v>
      </c>
      <c r="G887" s="26" t="s">
        <v>8</v>
      </c>
      <c r="H887" s="26" t="s">
        <v>2116</v>
      </c>
      <c r="I887" s="26" t="s">
        <v>106</v>
      </c>
      <c r="J887" s="26">
        <v>0</v>
      </c>
      <c r="K887" s="8" t="str">
        <f t="shared" si="13"/>
        <v>NWTOSHIP</v>
      </c>
    </row>
    <row r="888" spans="1:11" x14ac:dyDescent="0.25">
      <c r="A888" s="26" t="s">
        <v>117</v>
      </c>
      <c r="B888" s="26" t="s">
        <v>111</v>
      </c>
      <c r="C888" s="26">
        <v>0</v>
      </c>
      <c r="D888" s="27">
        <v>43252</v>
      </c>
      <c r="E888" s="26">
        <v>197934.87</v>
      </c>
      <c r="F888" s="26" t="s">
        <v>2117</v>
      </c>
      <c r="G888" s="26" t="s">
        <v>8</v>
      </c>
      <c r="H888" s="26" t="s">
        <v>2118</v>
      </c>
      <c r="I888" s="26" t="s">
        <v>106</v>
      </c>
      <c r="J888" s="26">
        <v>0</v>
      </c>
      <c r="K888" s="8" t="str">
        <f t="shared" si="13"/>
        <v>NWTOSHIP</v>
      </c>
    </row>
    <row r="889" spans="1:11" x14ac:dyDescent="0.25">
      <c r="A889" s="26" t="s">
        <v>117</v>
      </c>
      <c r="B889" s="26" t="s">
        <v>111</v>
      </c>
      <c r="C889" s="26">
        <v>0</v>
      </c>
      <c r="D889" s="27">
        <v>43255</v>
      </c>
      <c r="E889" s="26">
        <v>194598.89</v>
      </c>
      <c r="F889" s="26" t="s">
        <v>2119</v>
      </c>
      <c r="G889" s="26" t="s">
        <v>8</v>
      </c>
      <c r="H889" s="26" t="s">
        <v>2120</v>
      </c>
      <c r="I889" s="26" t="s">
        <v>106</v>
      </c>
      <c r="J889" s="26">
        <v>0</v>
      </c>
      <c r="K889" s="8" t="str">
        <f t="shared" si="13"/>
        <v>NWTOSHIP</v>
      </c>
    </row>
    <row r="890" spans="1:11" x14ac:dyDescent="0.25">
      <c r="A890" s="26" t="s">
        <v>117</v>
      </c>
      <c r="B890" s="26" t="s">
        <v>111</v>
      </c>
      <c r="C890" s="26">
        <v>0</v>
      </c>
      <c r="D890" s="27">
        <v>43258</v>
      </c>
      <c r="E890" s="26">
        <v>204050.83</v>
      </c>
      <c r="F890" s="26" t="s">
        <v>2121</v>
      </c>
      <c r="G890" s="26" t="s">
        <v>8</v>
      </c>
      <c r="H890" s="26" t="s">
        <v>2122</v>
      </c>
      <c r="I890" s="26" t="s">
        <v>106</v>
      </c>
      <c r="J890" s="26">
        <v>0</v>
      </c>
      <c r="K890" s="8" t="str">
        <f t="shared" si="13"/>
        <v>NWTOSHIP</v>
      </c>
    </row>
    <row r="891" spans="1:11" x14ac:dyDescent="0.25">
      <c r="A891" s="26" t="s">
        <v>117</v>
      </c>
      <c r="B891" s="26" t="s">
        <v>111</v>
      </c>
      <c r="C891" s="26">
        <v>0</v>
      </c>
      <c r="D891" s="27">
        <v>43259</v>
      </c>
      <c r="E891" s="26">
        <v>331612.39</v>
      </c>
      <c r="F891" s="26" t="s">
        <v>2123</v>
      </c>
      <c r="G891" s="26" t="s">
        <v>8</v>
      </c>
      <c r="H891" s="26" t="s">
        <v>2124</v>
      </c>
      <c r="I891" s="26" t="s">
        <v>106</v>
      </c>
      <c r="J891" s="26">
        <v>0</v>
      </c>
      <c r="K891" s="8" t="str">
        <f t="shared" si="13"/>
        <v>NWTOSHIP</v>
      </c>
    </row>
    <row r="892" spans="1:11" x14ac:dyDescent="0.25">
      <c r="A892" s="26" t="s">
        <v>117</v>
      </c>
      <c r="B892" s="26" t="s">
        <v>111</v>
      </c>
      <c r="C892" s="26">
        <v>0</v>
      </c>
      <c r="D892" s="27">
        <v>43259</v>
      </c>
      <c r="E892" s="26">
        <v>361000.79</v>
      </c>
      <c r="F892" s="26" t="s">
        <v>2125</v>
      </c>
      <c r="G892" s="26" t="s">
        <v>8</v>
      </c>
      <c r="H892" s="26" t="s">
        <v>2126</v>
      </c>
      <c r="I892" s="26" t="s">
        <v>106</v>
      </c>
      <c r="J892" s="26">
        <v>0</v>
      </c>
      <c r="K892" s="8" t="str">
        <f t="shared" si="13"/>
        <v>NWTOSHIP</v>
      </c>
    </row>
    <row r="893" spans="1:11" x14ac:dyDescent="0.25">
      <c r="A893" s="26" t="s">
        <v>117</v>
      </c>
      <c r="B893" s="26" t="s">
        <v>111</v>
      </c>
      <c r="C893" s="26">
        <v>0</v>
      </c>
      <c r="D893" s="27">
        <v>43259</v>
      </c>
      <c r="E893" s="26">
        <v>389436.06</v>
      </c>
      <c r="F893" s="26" t="s">
        <v>2127</v>
      </c>
      <c r="G893" s="26" t="s">
        <v>8</v>
      </c>
      <c r="H893" s="26" t="s">
        <v>2128</v>
      </c>
      <c r="I893" s="26" t="s">
        <v>106</v>
      </c>
      <c r="J893" s="26">
        <v>0</v>
      </c>
      <c r="K893" s="8" t="str">
        <f t="shared" si="13"/>
        <v>NWTOSHIP</v>
      </c>
    </row>
    <row r="894" spans="1:11" x14ac:dyDescent="0.25">
      <c r="A894" s="26" t="s">
        <v>117</v>
      </c>
      <c r="B894" s="26" t="s">
        <v>111</v>
      </c>
      <c r="C894" s="26">
        <v>0</v>
      </c>
      <c r="D894" s="27">
        <v>43262</v>
      </c>
      <c r="E894" s="26">
        <v>375615.57</v>
      </c>
      <c r="F894" s="26" t="s">
        <v>2129</v>
      </c>
      <c r="G894" s="26" t="s">
        <v>8</v>
      </c>
      <c r="H894" s="26" t="s">
        <v>2130</v>
      </c>
      <c r="I894" s="26" t="s">
        <v>106</v>
      </c>
      <c r="J894" s="26">
        <v>0</v>
      </c>
      <c r="K894" s="8" t="str">
        <f t="shared" si="13"/>
        <v>NWTOSHIP</v>
      </c>
    </row>
    <row r="895" spans="1:11" x14ac:dyDescent="0.25">
      <c r="A895" s="26" t="s">
        <v>117</v>
      </c>
      <c r="B895" s="26" t="s">
        <v>111</v>
      </c>
      <c r="C895" s="26">
        <v>0</v>
      </c>
      <c r="D895" s="27">
        <v>43265</v>
      </c>
      <c r="E895" s="26">
        <v>260603.65</v>
      </c>
      <c r="F895" s="26" t="s">
        <v>2131</v>
      </c>
      <c r="G895" s="26" t="s">
        <v>8</v>
      </c>
      <c r="H895" s="26" t="s">
        <v>2132</v>
      </c>
      <c r="I895" s="26" t="s">
        <v>106</v>
      </c>
      <c r="J895" s="26">
        <v>0</v>
      </c>
      <c r="K895" s="8" t="str">
        <f t="shared" si="13"/>
        <v>NWTOSHIP</v>
      </c>
    </row>
    <row r="896" spans="1:11" x14ac:dyDescent="0.25">
      <c r="A896" s="26" t="s">
        <v>117</v>
      </c>
      <c r="B896" s="26" t="s">
        <v>111</v>
      </c>
      <c r="C896" s="26">
        <v>0</v>
      </c>
      <c r="D896" s="27">
        <v>43266</v>
      </c>
      <c r="E896" s="26">
        <v>402700.56</v>
      </c>
      <c r="F896" s="26" t="s">
        <v>2133</v>
      </c>
      <c r="G896" s="26" t="s">
        <v>8</v>
      </c>
      <c r="H896" s="26" t="s">
        <v>2134</v>
      </c>
      <c r="I896" s="26" t="s">
        <v>106</v>
      </c>
      <c r="J896" s="26">
        <v>0</v>
      </c>
      <c r="K896" s="8" t="str">
        <f t="shared" si="13"/>
        <v>NWTOSHIP</v>
      </c>
    </row>
    <row r="897" spans="1:11" x14ac:dyDescent="0.25">
      <c r="A897" s="26" t="s">
        <v>117</v>
      </c>
      <c r="B897" s="26" t="s">
        <v>111</v>
      </c>
      <c r="C897" s="26">
        <v>0</v>
      </c>
      <c r="D897" s="27">
        <v>43266</v>
      </c>
      <c r="E897" s="26">
        <v>280222.40000000002</v>
      </c>
      <c r="F897" s="26" t="s">
        <v>2135</v>
      </c>
      <c r="G897" s="26" t="s">
        <v>8</v>
      </c>
      <c r="H897" s="26" t="s">
        <v>2136</v>
      </c>
      <c r="I897" s="26" t="s">
        <v>106</v>
      </c>
      <c r="J897" s="26">
        <v>0</v>
      </c>
      <c r="K897" s="8" t="str">
        <f t="shared" si="13"/>
        <v>NWTOSHIP</v>
      </c>
    </row>
    <row r="898" spans="1:11" x14ac:dyDescent="0.25">
      <c r="A898" s="26" t="s">
        <v>117</v>
      </c>
      <c r="B898" s="26" t="s">
        <v>111</v>
      </c>
      <c r="C898" s="26">
        <v>0</v>
      </c>
      <c r="D898" s="27">
        <v>43266</v>
      </c>
      <c r="E898" s="26">
        <v>536695.79</v>
      </c>
      <c r="F898" s="26" t="s">
        <v>2137</v>
      </c>
      <c r="G898" s="26" t="s">
        <v>8</v>
      </c>
      <c r="H898" s="26" t="s">
        <v>2138</v>
      </c>
      <c r="I898" s="26" t="s">
        <v>106</v>
      </c>
      <c r="J898" s="26">
        <v>0</v>
      </c>
      <c r="K898" s="8" t="str">
        <f t="shared" si="13"/>
        <v>NWTOSHIP</v>
      </c>
    </row>
    <row r="899" spans="1:11" x14ac:dyDescent="0.25">
      <c r="A899" s="26" t="s">
        <v>117</v>
      </c>
      <c r="B899" s="26" t="s">
        <v>111</v>
      </c>
      <c r="C899" s="26">
        <v>0</v>
      </c>
      <c r="D899" s="27">
        <v>43269</v>
      </c>
      <c r="E899" s="26">
        <v>593089.75</v>
      </c>
      <c r="F899" s="26" t="s">
        <v>2139</v>
      </c>
      <c r="G899" s="26" t="s">
        <v>8</v>
      </c>
      <c r="H899" s="26" t="s">
        <v>2140</v>
      </c>
      <c r="I899" s="26" t="s">
        <v>106</v>
      </c>
      <c r="J899" s="26">
        <v>0</v>
      </c>
      <c r="K899" s="8" t="str">
        <f t="shared" ref="K899:K962" si="14">LEFT(A899,FIND("/",A899)-1)</f>
        <v>NWTOSHIP</v>
      </c>
    </row>
    <row r="900" spans="1:11" x14ac:dyDescent="0.25">
      <c r="A900" s="26" t="s">
        <v>117</v>
      </c>
      <c r="B900" s="26" t="s">
        <v>111</v>
      </c>
      <c r="C900" s="26">
        <v>0</v>
      </c>
      <c r="D900" s="27">
        <v>43272</v>
      </c>
      <c r="E900" s="26">
        <v>723113.58</v>
      </c>
      <c r="F900" s="26" t="s">
        <v>2141</v>
      </c>
      <c r="G900" s="26" t="s">
        <v>8</v>
      </c>
      <c r="H900" s="26" t="s">
        <v>2142</v>
      </c>
      <c r="I900" s="26" t="s">
        <v>106</v>
      </c>
      <c r="J900" s="26">
        <v>0</v>
      </c>
      <c r="K900" s="8" t="str">
        <f t="shared" si="14"/>
        <v>NWTOSHIP</v>
      </c>
    </row>
    <row r="901" spans="1:11" x14ac:dyDescent="0.25">
      <c r="A901" s="26" t="s">
        <v>117</v>
      </c>
      <c r="B901" s="26" t="s">
        <v>111</v>
      </c>
      <c r="C901" s="26">
        <v>0</v>
      </c>
      <c r="D901" s="27">
        <v>43273</v>
      </c>
      <c r="E901" s="26">
        <v>1175695</v>
      </c>
      <c r="F901" s="26" t="s">
        <v>2143</v>
      </c>
      <c r="G901" s="26" t="s">
        <v>8</v>
      </c>
      <c r="H901" s="26" t="s">
        <v>2144</v>
      </c>
      <c r="I901" s="26" t="s">
        <v>106</v>
      </c>
      <c r="J901" s="26">
        <v>0</v>
      </c>
      <c r="K901" s="8" t="str">
        <f t="shared" si="14"/>
        <v>NWTOSHIP</v>
      </c>
    </row>
    <row r="902" spans="1:11" x14ac:dyDescent="0.25">
      <c r="A902" s="26" t="s">
        <v>117</v>
      </c>
      <c r="B902" s="26" t="s">
        <v>111</v>
      </c>
      <c r="C902" s="26">
        <v>0</v>
      </c>
      <c r="D902" s="27">
        <v>43273</v>
      </c>
      <c r="E902" s="26">
        <v>372438.44</v>
      </c>
      <c r="F902" s="26" t="s">
        <v>2145</v>
      </c>
      <c r="G902" s="26" t="s">
        <v>8</v>
      </c>
      <c r="H902" s="26" t="s">
        <v>2146</v>
      </c>
      <c r="I902" s="26" t="s">
        <v>106</v>
      </c>
      <c r="J902" s="26">
        <v>0</v>
      </c>
      <c r="K902" s="8" t="str">
        <f t="shared" si="14"/>
        <v>NWTOSHIP</v>
      </c>
    </row>
    <row r="903" spans="1:11" x14ac:dyDescent="0.25">
      <c r="A903" s="26" t="s">
        <v>117</v>
      </c>
      <c r="B903" s="26" t="s">
        <v>111</v>
      </c>
      <c r="C903" s="26">
        <v>0</v>
      </c>
      <c r="D903" s="27">
        <v>43273</v>
      </c>
      <c r="E903" s="26">
        <v>361239.08</v>
      </c>
      <c r="F903" s="26" t="s">
        <v>2147</v>
      </c>
      <c r="G903" s="26" t="s">
        <v>8</v>
      </c>
      <c r="H903" s="26" t="s">
        <v>2148</v>
      </c>
      <c r="I903" s="26" t="s">
        <v>106</v>
      </c>
      <c r="J903" s="26">
        <v>0</v>
      </c>
      <c r="K903" s="8" t="str">
        <f t="shared" si="14"/>
        <v>NWTOSHIP</v>
      </c>
    </row>
    <row r="904" spans="1:11" x14ac:dyDescent="0.25">
      <c r="A904" s="26" t="s">
        <v>117</v>
      </c>
      <c r="B904" s="26" t="s">
        <v>111</v>
      </c>
      <c r="C904" s="26">
        <v>0</v>
      </c>
      <c r="D904" s="27">
        <v>43276</v>
      </c>
      <c r="E904" s="26">
        <v>174662.43</v>
      </c>
      <c r="F904" s="26" t="s">
        <v>2149</v>
      </c>
      <c r="G904" s="26" t="s">
        <v>8</v>
      </c>
      <c r="H904" s="26" t="s">
        <v>2150</v>
      </c>
      <c r="I904" s="26" t="s">
        <v>106</v>
      </c>
      <c r="J904" s="26">
        <v>0</v>
      </c>
      <c r="K904" s="8" t="str">
        <f t="shared" si="14"/>
        <v>NWTOSHIP</v>
      </c>
    </row>
    <row r="905" spans="1:11" x14ac:dyDescent="0.25">
      <c r="A905" s="26" t="s">
        <v>117</v>
      </c>
      <c r="B905" s="26" t="s">
        <v>111</v>
      </c>
      <c r="C905" s="26">
        <v>0</v>
      </c>
      <c r="D905" s="27">
        <v>43279</v>
      </c>
      <c r="E905" s="26">
        <v>148212.87</v>
      </c>
      <c r="F905" s="26" t="s">
        <v>2151</v>
      </c>
      <c r="G905" s="26" t="s">
        <v>8</v>
      </c>
      <c r="H905" s="26" t="s">
        <v>2152</v>
      </c>
      <c r="I905" s="26" t="s">
        <v>106</v>
      </c>
      <c r="J905" s="26">
        <v>0</v>
      </c>
      <c r="K905" s="8" t="str">
        <f t="shared" si="14"/>
        <v>NWTOSHIP</v>
      </c>
    </row>
    <row r="906" spans="1:11" x14ac:dyDescent="0.25">
      <c r="A906" s="26" t="s">
        <v>117</v>
      </c>
      <c r="B906" s="26" t="s">
        <v>111</v>
      </c>
      <c r="C906" s="26">
        <v>0</v>
      </c>
      <c r="D906" s="27">
        <v>43280</v>
      </c>
      <c r="E906" s="26">
        <v>111278.79</v>
      </c>
      <c r="F906" s="26" t="s">
        <v>2153</v>
      </c>
      <c r="G906" s="26" t="s">
        <v>8</v>
      </c>
      <c r="H906" s="26" t="s">
        <v>2154</v>
      </c>
      <c r="I906" s="26" t="s">
        <v>106</v>
      </c>
      <c r="J906" s="26">
        <v>0</v>
      </c>
      <c r="K906" s="8" t="str">
        <f t="shared" si="14"/>
        <v>NWTOSHIP</v>
      </c>
    </row>
    <row r="907" spans="1:11" x14ac:dyDescent="0.25">
      <c r="A907" s="26" t="s">
        <v>117</v>
      </c>
      <c r="B907" s="26" t="s">
        <v>111</v>
      </c>
      <c r="C907" s="26">
        <v>0</v>
      </c>
      <c r="D907" s="27">
        <v>43280</v>
      </c>
      <c r="E907" s="26">
        <v>128991.26</v>
      </c>
      <c r="F907" s="26" t="s">
        <v>2155</v>
      </c>
      <c r="G907" s="26" t="s">
        <v>8</v>
      </c>
      <c r="H907" s="26" t="s">
        <v>2156</v>
      </c>
      <c r="I907" s="26" t="s">
        <v>106</v>
      </c>
      <c r="J907" s="26">
        <v>0</v>
      </c>
      <c r="K907" s="8" t="str">
        <f t="shared" si="14"/>
        <v>NWTOSHIP</v>
      </c>
    </row>
    <row r="908" spans="1:11" x14ac:dyDescent="0.25">
      <c r="A908" s="26" t="s">
        <v>117</v>
      </c>
      <c r="B908" s="26" t="s">
        <v>111</v>
      </c>
      <c r="C908" s="26">
        <v>0</v>
      </c>
      <c r="D908" s="27">
        <v>43280</v>
      </c>
      <c r="E908" s="26">
        <v>79984.11</v>
      </c>
      <c r="F908" s="26" t="s">
        <v>2157</v>
      </c>
      <c r="G908" s="26" t="s">
        <v>8</v>
      </c>
      <c r="H908" s="26" t="s">
        <v>2158</v>
      </c>
      <c r="I908" s="26" t="s">
        <v>106</v>
      </c>
      <c r="J908" s="26">
        <v>0</v>
      </c>
      <c r="K908" s="8" t="str">
        <f t="shared" si="14"/>
        <v>NWTOSHIP</v>
      </c>
    </row>
    <row r="909" spans="1:11" x14ac:dyDescent="0.25">
      <c r="A909" s="26" t="s">
        <v>117</v>
      </c>
      <c r="B909" s="26" t="s">
        <v>111</v>
      </c>
      <c r="C909" s="26">
        <v>0</v>
      </c>
      <c r="D909" s="27">
        <v>43283</v>
      </c>
      <c r="E909" s="26">
        <v>94996.03</v>
      </c>
      <c r="F909" s="26" t="s">
        <v>2159</v>
      </c>
      <c r="G909" s="26" t="s">
        <v>8</v>
      </c>
      <c r="H909" s="26" t="s">
        <v>2160</v>
      </c>
      <c r="I909" s="26" t="s">
        <v>106</v>
      </c>
      <c r="J909" s="26">
        <v>0</v>
      </c>
      <c r="K909" s="8" t="str">
        <f t="shared" si="14"/>
        <v>NWTOSHIP</v>
      </c>
    </row>
    <row r="910" spans="1:11" x14ac:dyDescent="0.25">
      <c r="A910" s="26" t="s">
        <v>117</v>
      </c>
      <c r="B910" s="26" t="s">
        <v>111</v>
      </c>
      <c r="C910" s="26">
        <v>0</v>
      </c>
      <c r="D910" s="27">
        <v>43286</v>
      </c>
      <c r="E910" s="26">
        <v>83399.520000000004</v>
      </c>
      <c r="F910" s="26" t="s">
        <v>2161</v>
      </c>
      <c r="G910" s="26" t="s">
        <v>8</v>
      </c>
      <c r="H910" s="26" t="s">
        <v>2162</v>
      </c>
      <c r="I910" s="26" t="s">
        <v>106</v>
      </c>
      <c r="J910" s="26">
        <v>0</v>
      </c>
      <c r="K910" s="8" t="str">
        <f t="shared" si="14"/>
        <v>NWTOSHIP</v>
      </c>
    </row>
    <row r="911" spans="1:11" x14ac:dyDescent="0.25">
      <c r="A911" s="26" t="s">
        <v>117</v>
      </c>
      <c r="B911" s="26" t="s">
        <v>111</v>
      </c>
      <c r="C911" s="26">
        <v>0</v>
      </c>
      <c r="D911" s="27">
        <v>43287</v>
      </c>
      <c r="E911" s="26">
        <v>85782.37</v>
      </c>
      <c r="F911" s="26" t="s">
        <v>2163</v>
      </c>
      <c r="G911" s="26" t="s">
        <v>8</v>
      </c>
      <c r="H911" s="26" t="s">
        <v>2164</v>
      </c>
      <c r="I911" s="26" t="s">
        <v>106</v>
      </c>
      <c r="J911" s="26">
        <v>0</v>
      </c>
      <c r="K911" s="8" t="str">
        <f t="shared" si="14"/>
        <v>NWTOSHIP</v>
      </c>
    </row>
    <row r="912" spans="1:11" x14ac:dyDescent="0.25">
      <c r="A912" s="26" t="s">
        <v>117</v>
      </c>
      <c r="B912" s="26" t="s">
        <v>111</v>
      </c>
      <c r="C912" s="26">
        <v>0</v>
      </c>
      <c r="D912" s="27">
        <v>43287</v>
      </c>
      <c r="E912" s="26">
        <v>152740.26999999999</v>
      </c>
      <c r="F912" s="26" t="s">
        <v>2165</v>
      </c>
      <c r="G912" s="26" t="s">
        <v>8</v>
      </c>
      <c r="H912" s="26" t="s">
        <v>2166</v>
      </c>
      <c r="I912" s="26" t="s">
        <v>106</v>
      </c>
      <c r="J912" s="26">
        <v>0</v>
      </c>
      <c r="K912" s="8" t="str">
        <f t="shared" si="14"/>
        <v>NWTOSHIP</v>
      </c>
    </row>
    <row r="913" spans="1:11" x14ac:dyDescent="0.25">
      <c r="A913" s="26" t="s">
        <v>117</v>
      </c>
      <c r="B913" s="26" t="s">
        <v>111</v>
      </c>
      <c r="C913" s="26">
        <v>0</v>
      </c>
      <c r="D913" s="27">
        <v>43287</v>
      </c>
      <c r="E913" s="26">
        <v>107783.96</v>
      </c>
      <c r="F913" s="26" t="s">
        <v>2167</v>
      </c>
      <c r="G913" s="26" t="s">
        <v>8</v>
      </c>
      <c r="H913" s="26" t="s">
        <v>2168</v>
      </c>
      <c r="I913" s="26" t="s">
        <v>106</v>
      </c>
      <c r="J913" s="26">
        <v>0</v>
      </c>
      <c r="K913" s="8" t="str">
        <f t="shared" si="14"/>
        <v>NWTOSHIP</v>
      </c>
    </row>
    <row r="914" spans="1:11" x14ac:dyDescent="0.25">
      <c r="A914" s="26" t="s">
        <v>117</v>
      </c>
      <c r="B914" s="26" t="s">
        <v>111</v>
      </c>
      <c r="C914" s="26">
        <v>0</v>
      </c>
      <c r="D914" s="27">
        <v>43290</v>
      </c>
      <c r="E914" s="26">
        <v>193725.18</v>
      </c>
      <c r="F914" s="26" t="s">
        <v>2169</v>
      </c>
      <c r="G914" s="26" t="s">
        <v>8</v>
      </c>
      <c r="H914" s="26" t="s">
        <v>2170</v>
      </c>
      <c r="I914" s="26" t="s">
        <v>106</v>
      </c>
      <c r="J914" s="26">
        <v>0</v>
      </c>
      <c r="K914" s="8" t="str">
        <f t="shared" si="14"/>
        <v>NWTOSHIP</v>
      </c>
    </row>
    <row r="915" spans="1:11" x14ac:dyDescent="0.25">
      <c r="A915" s="26" t="s">
        <v>117</v>
      </c>
      <c r="B915" s="26" t="s">
        <v>111</v>
      </c>
      <c r="C915" s="26">
        <v>0</v>
      </c>
      <c r="D915" s="27">
        <v>43293</v>
      </c>
      <c r="E915" s="26">
        <v>204845.12</v>
      </c>
      <c r="F915" s="26" t="s">
        <v>2171</v>
      </c>
      <c r="G915" s="26" t="s">
        <v>8</v>
      </c>
      <c r="H915" s="26" t="s">
        <v>2172</v>
      </c>
      <c r="I915" s="26" t="s">
        <v>106</v>
      </c>
      <c r="J915" s="26">
        <v>0</v>
      </c>
      <c r="K915" s="8" t="str">
        <f t="shared" si="14"/>
        <v>NWTOSHIP</v>
      </c>
    </row>
    <row r="916" spans="1:11" x14ac:dyDescent="0.25">
      <c r="A916" s="26" t="s">
        <v>117</v>
      </c>
      <c r="B916" s="26" t="s">
        <v>111</v>
      </c>
      <c r="C916" s="26">
        <v>0</v>
      </c>
      <c r="D916" s="27">
        <v>43294</v>
      </c>
      <c r="E916" s="26">
        <v>218983.32</v>
      </c>
      <c r="F916" s="26" t="s">
        <v>2173</v>
      </c>
      <c r="G916" s="26" t="s">
        <v>8</v>
      </c>
      <c r="H916" s="26" t="s">
        <v>2174</v>
      </c>
      <c r="I916" s="26" t="s">
        <v>106</v>
      </c>
      <c r="J916" s="26">
        <v>0</v>
      </c>
      <c r="K916" s="8" t="str">
        <f t="shared" si="14"/>
        <v>NWTOSHIP</v>
      </c>
    </row>
    <row r="917" spans="1:11" x14ac:dyDescent="0.25">
      <c r="A917" s="26" t="s">
        <v>117</v>
      </c>
      <c r="B917" s="26" t="s">
        <v>111</v>
      </c>
      <c r="C917" s="26">
        <v>0</v>
      </c>
      <c r="D917" s="27">
        <v>43294</v>
      </c>
      <c r="E917" s="26">
        <v>172597.3</v>
      </c>
      <c r="F917" s="26" t="s">
        <v>2175</v>
      </c>
      <c r="G917" s="26" t="s">
        <v>8</v>
      </c>
      <c r="H917" s="26" t="s">
        <v>2176</v>
      </c>
      <c r="I917" s="26" t="s">
        <v>106</v>
      </c>
      <c r="J917" s="26">
        <v>0</v>
      </c>
      <c r="K917" s="8" t="str">
        <f t="shared" si="14"/>
        <v>NWTOSHIP</v>
      </c>
    </row>
    <row r="918" spans="1:11" x14ac:dyDescent="0.25">
      <c r="A918" s="26" t="s">
        <v>117</v>
      </c>
      <c r="B918" s="26" t="s">
        <v>111</v>
      </c>
      <c r="C918" s="26">
        <v>0</v>
      </c>
      <c r="D918" s="27">
        <v>43294</v>
      </c>
      <c r="E918" s="26">
        <v>83240.67</v>
      </c>
      <c r="F918" s="26" t="s">
        <v>2177</v>
      </c>
      <c r="G918" s="26" t="s">
        <v>8</v>
      </c>
      <c r="H918" s="26" t="s">
        <v>2178</v>
      </c>
      <c r="I918" s="26" t="s">
        <v>106</v>
      </c>
      <c r="J918" s="26">
        <v>0</v>
      </c>
      <c r="K918" s="8" t="str">
        <f t="shared" si="14"/>
        <v>NWTOSHIP</v>
      </c>
    </row>
    <row r="919" spans="1:11" x14ac:dyDescent="0.25">
      <c r="A919" s="26" t="s">
        <v>117</v>
      </c>
      <c r="B919" s="26" t="s">
        <v>111</v>
      </c>
      <c r="C919" s="26">
        <v>0</v>
      </c>
      <c r="D919" s="27">
        <v>43297</v>
      </c>
      <c r="E919" s="26">
        <v>104924.54</v>
      </c>
      <c r="F919" s="26" t="s">
        <v>2179</v>
      </c>
      <c r="G919" s="26" t="s">
        <v>8</v>
      </c>
      <c r="H919" s="26" t="s">
        <v>2180</v>
      </c>
      <c r="I919" s="26" t="s">
        <v>106</v>
      </c>
      <c r="J919" s="26">
        <v>0</v>
      </c>
      <c r="K919" s="8" t="str">
        <f t="shared" si="14"/>
        <v>NWTOSHIP</v>
      </c>
    </row>
    <row r="920" spans="1:11" x14ac:dyDescent="0.25">
      <c r="A920" s="26" t="s">
        <v>117</v>
      </c>
      <c r="B920" s="26" t="s">
        <v>111</v>
      </c>
      <c r="C920" s="26">
        <v>0</v>
      </c>
      <c r="D920" s="27">
        <v>43300</v>
      </c>
      <c r="E920" s="26">
        <v>105242.26</v>
      </c>
      <c r="F920" s="26" t="s">
        <v>2181</v>
      </c>
      <c r="G920" s="26" t="s">
        <v>8</v>
      </c>
      <c r="H920" s="26" t="s">
        <v>2182</v>
      </c>
      <c r="I920" s="26" t="s">
        <v>106</v>
      </c>
      <c r="J920" s="26">
        <v>0</v>
      </c>
      <c r="K920" s="8" t="str">
        <f t="shared" si="14"/>
        <v>NWTOSHIP</v>
      </c>
    </row>
    <row r="921" spans="1:11" x14ac:dyDescent="0.25">
      <c r="A921" s="26" t="s">
        <v>117</v>
      </c>
      <c r="B921" s="26" t="s">
        <v>111</v>
      </c>
      <c r="C921" s="26">
        <v>0</v>
      </c>
      <c r="D921" s="27">
        <v>43301</v>
      </c>
      <c r="E921" s="26">
        <v>148689.44</v>
      </c>
      <c r="F921" s="26" t="s">
        <v>2183</v>
      </c>
      <c r="G921" s="26" t="s">
        <v>8</v>
      </c>
      <c r="H921" s="26" t="s">
        <v>2184</v>
      </c>
      <c r="I921" s="26" t="s">
        <v>106</v>
      </c>
      <c r="J921" s="26">
        <v>0</v>
      </c>
      <c r="K921" s="8" t="str">
        <f t="shared" si="14"/>
        <v>NWTOSHIP</v>
      </c>
    </row>
    <row r="922" spans="1:11" x14ac:dyDescent="0.25">
      <c r="A922" s="26" t="s">
        <v>117</v>
      </c>
      <c r="B922" s="26" t="s">
        <v>111</v>
      </c>
      <c r="C922" s="26">
        <v>0</v>
      </c>
      <c r="D922" s="27">
        <v>43301</v>
      </c>
      <c r="E922" s="26">
        <v>76330.42</v>
      </c>
      <c r="F922" s="26" t="s">
        <v>2185</v>
      </c>
      <c r="G922" s="26" t="s">
        <v>8</v>
      </c>
      <c r="H922" s="26" t="s">
        <v>2186</v>
      </c>
      <c r="I922" s="26" t="s">
        <v>106</v>
      </c>
      <c r="J922" s="26">
        <v>0</v>
      </c>
      <c r="K922" s="8" t="str">
        <f t="shared" si="14"/>
        <v>NWTOSHIP</v>
      </c>
    </row>
    <row r="923" spans="1:11" x14ac:dyDescent="0.25">
      <c r="A923" s="26" t="s">
        <v>117</v>
      </c>
      <c r="B923" s="26" t="s">
        <v>111</v>
      </c>
      <c r="C923" s="26">
        <v>0</v>
      </c>
      <c r="D923" s="27">
        <v>43301</v>
      </c>
      <c r="E923" s="26">
        <v>66719.62</v>
      </c>
      <c r="F923" s="26" t="s">
        <v>2187</v>
      </c>
      <c r="G923" s="26" t="s">
        <v>8</v>
      </c>
      <c r="H923" s="26" t="s">
        <v>2188</v>
      </c>
      <c r="I923" s="26" t="s">
        <v>106</v>
      </c>
      <c r="J923" s="26">
        <v>0</v>
      </c>
      <c r="K923" s="8" t="str">
        <f t="shared" si="14"/>
        <v>NWTOSHIP</v>
      </c>
    </row>
    <row r="924" spans="1:11" x14ac:dyDescent="0.25">
      <c r="A924" s="26" t="s">
        <v>117</v>
      </c>
      <c r="B924" s="26" t="s">
        <v>111</v>
      </c>
      <c r="C924" s="26">
        <v>0</v>
      </c>
      <c r="D924" s="27">
        <v>43304</v>
      </c>
      <c r="E924" s="26">
        <v>90945.19</v>
      </c>
      <c r="F924" s="26" t="s">
        <v>2189</v>
      </c>
      <c r="G924" s="26" t="s">
        <v>8</v>
      </c>
      <c r="H924" s="26" t="s">
        <v>2190</v>
      </c>
      <c r="I924" s="26" t="s">
        <v>106</v>
      </c>
      <c r="J924" s="26">
        <v>0</v>
      </c>
      <c r="K924" s="8" t="str">
        <f t="shared" si="14"/>
        <v>NWTOSHIP</v>
      </c>
    </row>
    <row r="925" spans="1:11" x14ac:dyDescent="0.25">
      <c r="A925" s="26" t="s">
        <v>117</v>
      </c>
      <c r="B925" s="26" t="s">
        <v>111</v>
      </c>
      <c r="C925" s="26">
        <v>0</v>
      </c>
      <c r="D925" s="27">
        <v>43307</v>
      </c>
      <c r="E925" s="26">
        <v>61000.79</v>
      </c>
      <c r="F925" s="26" t="s">
        <v>2191</v>
      </c>
      <c r="G925" s="26" t="s">
        <v>8</v>
      </c>
      <c r="H925" s="26" t="s">
        <v>2192</v>
      </c>
      <c r="I925" s="26" t="s">
        <v>106</v>
      </c>
      <c r="J925" s="26">
        <v>0</v>
      </c>
      <c r="K925" s="8" t="str">
        <f t="shared" si="14"/>
        <v>NWTOSHIP</v>
      </c>
    </row>
    <row r="926" spans="1:11" x14ac:dyDescent="0.25">
      <c r="A926" s="26" t="s">
        <v>117</v>
      </c>
      <c r="B926" s="26" t="s">
        <v>111</v>
      </c>
      <c r="C926" s="26">
        <v>0</v>
      </c>
      <c r="D926" s="27">
        <v>43308</v>
      </c>
      <c r="E926" s="26">
        <v>105877.68</v>
      </c>
      <c r="F926" s="26" t="s">
        <v>2193</v>
      </c>
      <c r="G926" s="26" t="s">
        <v>8</v>
      </c>
      <c r="H926" s="26" t="s">
        <v>2194</v>
      </c>
      <c r="I926" s="26" t="s">
        <v>106</v>
      </c>
      <c r="J926" s="26">
        <v>0</v>
      </c>
      <c r="K926" s="8" t="str">
        <f t="shared" si="14"/>
        <v>NWTOSHIP</v>
      </c>
    </row>
    <row r="927" spans="1:11" x14ac:dyDescent="0.25">
      <c r="A927" s="26" t="s">
        <v>117</v>
      </c>
      <c r="B927" s="26" t="s">
        <v>111</v>
      </c>
      <c r="C927" s="26">
        <v>0</v>
      </c>
      <c r="D927" s="27">
        <v>43308</v>
      </c>
      <c r="E927" s="26">
        <v>33836.379999999997</v>
      </c>
      <c r="F927" s="26" t="s">
        <v>2195</v>
      </c>
      <c r="G927" s="26" t="s">
        <v>8</v>
      </c>
      <c r="H927" s="26" t="s">
        <v>2196</v>
      </c>
      <c r="I927" s="26" t="s">
        <v>106</v>
      </c>
      <c r="J927" s="26">
        <v>0</v>
      </c>
      <c r="K927" s="8" t="str">
        <f t="shared" si="14"/>
        <v>NWTOSHIP</v>
      </c>
    </row>
    <row r="928" spans="1:11" x14ac:dyDescent="0.25">
      <c r="A928" s="26" t="s">
        <v>117</v>
      </c>
      <c r="B928" s="26" t="s">
        <v>111</v>
      </c>
      <c r="C928" s="26">
        <v>0</v>
      </c>
      <c r="D928" s="27">
        <v>43308</v>
      </c>
      <c r="E928" s="26">
        <v>49245.43</v>
      </c>
      <c r="F928" s="26" t="s">
        <v>2197</v>
      </c>
      <c r="G928" s="26" t="s">
        <v>8</v>
      </c>
      <c r="H928" s="26" t="s">
        <v>2198</v>
      </c>
      <c r="I928" s="26" t="s">
        <v>106</v>
      </c>
      <c r="J928" s="26">
        <v>0</v>
      </c>
      <c r="K928" s="8" t="str">
        <f t="shared" si="14"/>
        <v>NWTOSHIP</v>
      </c>
    </row>
    <row r="929" spans="1:11" x14ac:dyDescent="0.25">
      <c r="A929" s="26" t="s">
        <v>117</v>
      </c>
      <c r="B929" s="26" t="s">
        <v>111</v>
      </c>
      <c r="C929" s="26">
        <v>0</v>
      </c>
      <c r="D929" s="27">
        <v>43311</v>
      </c>
      <c r="E929" s="26">
        <v>66640.19</v>
      </c>
      <c r="F929" s="26" t="s">
        <v>2199</v>
      </c>
      <c r="G929" s="26" t="s">
        <v>8</v>
      </c>
      <c r="H929" s="26" t="s">
        <v>2200</v>
      </c>
      <c r="I929" s="26" t="s">
        <v>106</v>
      </c>
      <c r="J929" s="26">
        <v>0</v>
      </c>
      <c r="K929" s="8" t="str">
        <f t="shared" si="14"/>
        <v>NWTOSHIP</v>
      </c>
    </row>
    <row r="930" spans="1:11" x14ac:dyDescent="0.25">
      <c r="A930" s="26" t="s">
        <v>117</v>
      </c>
      <c r="B930" s="26" t="s">
        <v>111</v>
      </c>
      <c r="C930" s="26">
        <v>0</v>
      </c>
      <c r="D930" s="27">
        <v>43314</v>
      </c>
      <c r="E930" s="26">
        <v>67752.179999999993</v>
      </c>
      <c r="F930" s="26" t="s">
        <v>2201</v>
      </c>
      <c r="G930" s="26" t="s">
        <v>8</v>
      </c>
      <c r="H930" s="26" t="s">
        <v>2202</v>
      </c>
      <c r="I930" s="26" t="s">
        <v>106</v>
      </c>
      <c r="J930" s="26">
        <v>0</v>
      </c>
      <c r="K930" s="8" t="str">
        <f t="shared" si="14"/>
        <v>NWTOSHIP</v>
      </c>
    </row>
    <row r="931" spans="1:11" x14ac:dyDescent="0.25">
      <c r="A931" s="26" t="s">
        <v>117</v>
      </c>
      <c r="B931" s="26" t="s">
        <v>111</v>
      </c>
      <c r="C931" s="26">
        <v>0</v>
      </c>
      <c r="D931" s="27">
        <v>43315</v>
      </c>
      <c r="E931" s="26">
        <v>85067.51</v>
      </c>
      <c r="F931" s="26" t="s">
        <v>2203</v>
      </c>
      <c r="G931" s="26" t="s">
        <v>8</v>
      </c>
      <c r="H931" s="26" t="s">
        <v>2204</v>
      </c>
      <c r="I931" s="26" t="s">
        <v>106</v>
      </c>
      <c r="J931" s="26">
        <v>0</v>
      </c>
      <c r="K931" s="8" t="str">
        <f t="shared" si="14"/>
        <v>NWTOSHIP</v>
      </c>
    </row>
    <row r="932" spans="1:11" x14ac:dyDescent="0.25">
      <c r="A932" s="26" t="s">
        <v>117</v>
      </c>
      <c r="B932" s="26" t="s">
        <v>111</v>
      </c>
      <c r="C932" s="26">
        <v>0</v>
      </c>
      <c r="D932" s="27">
        <v>43315</v>
      </c>
      <c r="E932" s="26">
        <v>122954.73</v>
      </c>
      <c r="F932" s="26" t="s">
        <v>2205</v>
      </c>
      <c r="G932" s="26" t="s">
        <v>8</v>
      </c>
      <c r="H932" s="26" t="s">
        <v>2206</v>
      </c>
      <c r="I932" s="26" t="s">
        <v>106</v>
      </c>
      <c r="J932" s="26">
        <v>0</v>
      </c>
      <c r="K932" s="8" t="str">
        <f t="shared" si="14"/>
        <v>NWTOSHIP</v>
      </c>
    </row>
    <row r="933" spans="1:11" x14ac:dyDescent="0.25">
      <c r="A933" s="26" t="s">
        <v>117</v>
      </c>
      <c r="B933" s="26" t="s">
        <v>111</v>
      </c>
      <c r="C933" s="26">
        <v>0</v>
      </c>
      <c r="D933" s="27">
        <v>43315</v>
      </c>
      <c r="E933" s="26">
        <v>152501.99</v>
      </c>
      <c r="F933" s="26" t="s">
        <v>2207</v>
      </c>
      <c r="G933" s="26" t="s">
        <v>8</v>
      </c>
      <c r="H933" s="26" t="s">
        <v>2208</v>
      </c>
      <c r="I933" s="26" t="s">
        <v>106</v>
      </c>
      <c r="J933" s="26">
        <v>0</v>
      </c>
      <c r="K933" s="8" t="str">
        <f t="shared" si="14"/>
        <v>NWTOSHIP</v>
      </c>
    </row>
    <row r="934" spans="1:11" x14ac:dyDescent="0.25">
      <c r="A934" s="26" t="s">
        <v>117</v>
      </c>
      <c r="B934" s="26" t="s">
        <v>111</v>
      </c>
      <c r="C934" s="26">
        <v>0</v>
      </c>
      <c r="D934" s="27">
        <v>43318</v>
      </c>
      <c r="E934" s="26">
        <v>177362.99</v>
      </c>
      <c r="F934" s="26" t="s">
        <v>2209</v>
      </c>
      <c r="G934" s="26" t="s">
        <v>8</v>
      </c>
      <c r="H934" s="26" t="s">
        <v>2210</v>
      </c>
      <c r="I934" s="26" t="s">
        <v>106</v>
      </c>
      <c r="J934" s="26">
        <v>0</v>
      </c>
      <c r="K934" s="8" t="str">
        <f t="shared" si="14"/>
        <v>NWTOSHIP</v>
      </c>
    </row>
    <row r="935" spans="1:11" x14ac:dyDescent="0.25">
      <c r="A935" s="26" t="s">
        <v>117</v>
      </c>
      <c r="B935" s="26" t="s">
        <v>111</v>
      </c>
      <c r="C935" s="26">
        <v>0</v>
      </c>
      <c r="D935" s="27">
        <v>43321</v>
      </c>
      <c r="E935" s="26">
        <v>187609.21</v>
      </c>
      <c r="F935" s="26" t="s">
        <v>2211</v>
      </c>
      <c r="G935" s="26" t="s">
        <v>8</v>
      </c>
      <c r="H935" s="26" t="s">
        <v>2212</v>
      </c>
      <c r="I935" s="26" t="s">
        <v>106</v>
      </c>
      <c r="J935" s="26">
        <v>0</v>
      </c>
      <c r="K935" s="8" t="str">
        <f t="shared" si="14"/>
        <v>NWTOSHIP</v>
      </c>
    </row>
    <row r="936" spans="1:11" x14ac:dyDescent="0.25">
      <c r="A936" s="26" t="s">
        <v>117</v>
      </c>
      <c r="B936" s="26" t="s">
        <v>111</v>
      </c>
      <c r="C936" s="26">
        <v>0</v>
      </c>
      <c r="D936" s="27">
        <v>43322</v>
      </c>
      <c r="E936" s="26">
        <v>225099.29</v>
      </c>
      <c r="F936" s="26" t="s">
        <v>2213</v>
      </c>
      <c r="G936" s="26" t="s">
        <v>8</v>
      </c>
      <c r="H936" s="26" t="s">
        <v>2214</v>
      </c>
      <c r="I936" s="26" t="s">
        <v>106</v>
      </c>
      <c r="J936" s="26">
        <v>0</v>
      </c>
      <c r="K936" s="8" t="str">
        <f t="shared" si="14"/>
        <v>NWTOSHIP</v>
      </c>
    </row>
    <row r="937" spans="1:11" x14ac:dyDescent="0.25">
      <c r="A937" s="26" t="s">
        <v>117</v>
      </c>
      <c r="B937" s="26" t="s">
        <v>111</v>
      </c>
      <c r="C937" s="26">
        <v>0</v>
      </c>
      <c r="D937" s="27">
        <v>43322</v>
      </c>
      <c r="E937" s="26">
        <v>176250.99</v>
      </c>
      <c r="F937" s="26" t="s">
        <v>2215</v>
      </c>
      <c r="G937" s="26" t="s">
        <v>8</v>
      </c>
      <c r="H937" s="26" t="s">
        <v>2216</v>
      </c>
      <c r="I937" s="26" t="s">
        <v>106</v>
      </c>
      <c r="J937" s="26">
        <v>0</v>
      </c>
      <c r="K937" s="8" t="str">
        <f t="shared" si="14"/>
        <v>NWTOSHIP</v>
      </c>
    </row>
    <row r="938" spans="1:11" x14ac:dyDescent="0.25">
      <c r="A938" s="26" t="s">
        <v>117</v>
      </c>
      <c r="B938" s="26" t="s">
        <v>111</v>
      </c>
      <c r="C938" s="26">
        <v>0</v>
      </c>
      <c r="D938" s="27">
        <v>43322</v>
      </c>
      <c r="E938" s="26">
        <v>82525.81</v>
      </c>
      <c r="F938" s="26" t="s">
        <v>2217</v>
      </c>
      <c r="G938" s="26" t="s">
        <v>8</v>
      </c>
      <c r="H938" s="26" t="s">
        <v>2218</v>
      </c>
      <c r="I938" s="26" t="s">
        <v>106</v>
      </c>
      <c r="J938" s="26">
        <v>0</v>
      </c>
      <c r="K938" s="8" t="str">
        <f t="shared" si="14"/>
        <v>NWTOSHIP</v>
      </c>
    </row>
    <row r="939" spans="1:11" x14ac:dyDescent="0.25">
      <c r="A939" s="26" t="s">
        <v>117</v>
      </c>
      <c r="B939" s="26" t="s">
        <v>111</v>
      </c>
      <c r="C939" s="26">
        <v>0</v>
      </c>
      <c r="D939" s="27">
        <v>43325</v>
      </c>
      <c r="E939" s="26">
        <v>94201.75</v>
      </c>
      <c r="F939" s="26" t="s">
        <v>2219</v>
      </c>
      <c r="G939" s="26" t="s">
        <v>8</v>
      </c>
      <c r="H939" s="26" t="s">
        <v>2220</v>
      </c>
      <c r="I939" s="26" t="s">
        <v>106</v>
      </c>
      <c r="J939" s="26">
        <v>0</v>
      </c>
      <c r="K939" s="8" t="str">
        <f t="shared" si="14"/>
        <v>NWTOSHIP</v>
      </c>
    </row>
    <row r="940" spans="1:11" x14ac:dyDescent="0.25">
      <c r="A940" s="26" t="s">
        <v>117</v>
      </c>
      <c r="B940" s="26" t="s">
        <v>111</v>
      </c>
      <c r="C940" s="26">
        <v>0</v>
      </c>
      <c r="D940" s="27">
        <v>43328</v>
      </c>
      <c r="E940" s="26">
        <v>80778.399999999994</v>
      </c>
      <c r="F940" s="26" t="s">
        <v>2221</v>
      </c>
      <c r="G940" s="26" t="s">
        <v>8</v>
      </c>
      <c r="H940" s="26" t="s">
        <v>2222</v>
      </c>
      <c r="I940" s="26" t="s">
        <v>106</v>
      </c>
      <c r="J940" s="26">
        <v>0</v>
      </c>
      <c r="K940" s="8" t="str">
        <f t="shared" si="14"/>
        <v>NWTOSHIP</v>
      </c>
    </row>
    <row r="941" spans="1:11" x14ac:dyDescent="0.25">
      <c r="A941" s="26" t="s">
        <v>117</v>
      </c>
      <c r="B941" s="26" t="s">
        <v>111</v>
      </c>
      <c r="C941" s="26">
        <v>0</v>
      </c>
      <c r="D941" s="27">
        <v>43329</v>
      </c>
      <c r="E941" s="26">
        <v>101111.99</v>
      </c>
      <c r="F941" s="26" t="s">
        <v>2223</v>
      </c>
      <c r="G941" s="26" t="s">
        <v>8</v>
      </c>
      <c r="H941" s="26" t="s">
        <v>2224</v>
      </c>
      <c r="I941" s="26" t="s">
        <v>106</v>
      </c>
      <c r="J941" s="26">
        <v>0</v>
      </c>
      <c r="K941" s="8" t="str">
        <f t="shared" si="14"/>
        <v>NWTOSHIP</v>
      </c>
    </row>
    <row r="942" spans="1:11" x14ac:dyDescent="0.25">
      <c r="A942" s="26" t="s">
        <v>117</v>
      </c>
      <c r="B942" s="26" t="s">
        <v>111</v>
      </c>
      <c r="C942" s="26">
        <v>0</v>
      </c>
      <c r="D942" s="27">
        <v>43329</v>
      </c>
      <c r="E942" s="26">
        <v>104130.26</v>
      </c>
      <c r="F942" s="26" t="s">
        <v>2225</v>
      </c>
      <c r="G942" s="26" t="s">
        <v>8</v>
      </c>
      <c r="H942" s="26" t="s">
        <v>2226</v>
      </c>
      <c r="I942" s="26" t="s">
        <v>106</v>
      </c>
      <c r="J942" s="26">
        <v>0</v>
      </c>
      <c r="K942" s="8" t="str">
        <f t="shared" si="14"/>
        <v>NWTOSHIP</v>
      </c>
    </row>
    <row r="943" spans="1:11" x14ac:dyDescent="0.25">
      <c r="A943" s="26" t="s">
        <v>117</v>
      </c>
      <c r="B943" s="26" t="s">
        <v>111</v>
      </c>
      <c r="C943" s="26">
        <v>0</v>
      </c>
      <c r="D943" s="27">
        <v>43329</v>
      </c>
      <c r="E943" s="26">
        <v>183478.95</v>
      </c>
      <c r="F943" s="26" t="s">
        <v>2227</v>
      </c>
      <c r="G943" s="26" t="s">
        <v>8</v>
      </c>
      <c r="H943" s="26" t="s">
        <v>2228</v>
      </c>
      <c r="I943" s="26" t="s">
        <v>106</v>
      </c>
      <c r="J943" s="26">
        <v>0</v>
      </c>
      <c r="K943" s="8" t="str">
        <f t="shared" si="14"/>
        <v>NWTOSHIP</v>
      </c>
    </row>
    <row r="944" spans="1:11" x14ac:dyDescent="0.25">
      <c r="A944" s="26" t="s">
        <v>117</v>
      </c>
      <c r="B944" s="26" t="s">
        <v>111</v>
      </c>
      <c r="C944" s="26">
        <v>0</v>
      </c>
      <c r="D944" s="27">
        <v>43336</v>
      </c>
      <c r="E944" s="26">
        <v>23113.58</v>
      </c>
      <c r="F944" s="26" t="s">
        <v>2229</v>
      </c>
      <c r="G944" s="26" t="s">
        <v>8</v>
      </c>
      <c r="H944" s="26" t="s">
        <v>2230</v>
      </c>
      <c r="I944" s="26" t="s">
        <v>106</v>
      </c>
      <c r="J944" s="26">
        <v>0</v>
      </c>
      <c r="K944" s="8" t="str">
        <f t="shared" si="14"/>
        <v>NWTOSHIP</v>
      </c>
    </row>
    <row r="945" spans="1:11" x14ac:dyDescent="0.25">
      <c r="A945" s="26" t="s">
        <v>117</v>
      </c>
      <c r="B945" s="26" t="s">
        <v>111</v>
      </c>
      <c r="C945" s="26">
        <v>0</v>
      </c>
      <c r="D945" s="27">
        <v>43336</v>
      </c>
      <c r="E945" s="26">
        <v>121048.45</v>
      </c>
      <c r="F945" s="26" t="s">
        <v>2231</v>
      </c>
      <c r="G945" s="26" t="s">
        <v>8</v>
      </c>
      <c r="H945" s="26" t="s">
        <v>2232</v>
      </c>
      <c r="I945" s="26" t="s">
        <v>106</v>
      </c>
      <c r="J945" s="26">
        <v>0</v>
      </c>
      <c r="K945" s="8" t="str">
        <f t="shared" si="14"/>
        <v>NWTOSHIP</v>
      </c>
    </row>
    <row r="946" spans="1:11" x14ac:dyDescent="0.25">
      <c r="A946" s="26" t="s">
        <v>117</v>
      </c>
      <c r="B946" s="26" t="s">
        <v>111</v>
      </c>
      <c r="C946" s="26">
        <v>0</v>
      </c>
      <c r="D946" s="27">
        <v>43336</v>
      </c>
      <c r="E946" s="26">
        <v>69896.740000000005</v>
      </c>
      <c r="F946" s="26" t="s">
        <v>2233</v>
      </c>
      <c r="G946" s="26" t="s">
        <v>8</v>
      </c>
      <c r="H946" s="26" t="s">
        <v>2234</v>
      </c>
      <c r="I946" s="26" t="s">
        <v>106</v>
      </c>
      <c r="J946" s="26">
        <v>0</v>
      </c>
      <c r="K946" s="8" t="str">
        <f t="shared" si="14"/>
        <v>NWTOSHIP</v>
      </c>
    </row>
    <row r="947" spans="1:11" x14ac:dyDescent="0.25">
      <c r="A947" s="26" t="s">
        <v>117</v>
      </c>
      <c r="B947" s="26" t="s">
        <v>111</v>
      </c>
      <c r="C947" s="26">
        <v>0</v>
      </c>
      <c r="D947" s="27">
        <v>43339</v>
      </c>
      <c r="E947" s="26">
        <v>71803.02</v>
      </c>
      <c r="F947" s="26" t="s">
        <v>2235</v>
      </c>
      <c r="G947" s="26" t="s">
        <v>8</v>
      </c>
      <c r="H947" s="26" t="s">
        <v>2236</v>
      </c>
      <c r="I947" s="26" t="s">
        <v>106</v>
      </c>
      <c r="J947" s="26">
        <v>0</v>
      </c>
      <c r="K947" s="8" t="str">
        <f t="shared" si="14"/>
        <v>NWTOSHIP</v>
      </c>
    </row>
    <row r="948" spans="1:11" x14ac:dyDescent="0.25">
      <c r="A948" s="26" t="s">
        <v>117</v>
      </c>
      <c r="B948" s="26" t="s">
        <v>111</v>
      </c>
      <c r="C948" s="26">
        <v>0</v>
      </c>
      <c r="D948" s="27">
        <v>43342</v>
      </c>
      <c r="E948" s="26">
        <v>87053.22</v>
      </c>
      <c r="F948" s="26" t="s">
        <v>2237</v>
      </c>
      <c r="G948" s="26" t="s">
        <v>8</v>
      </c>
      <c r="H948" s="26" t="s">
        <v>2238</v>
      </c>
      <c r="I948" s="26" t="s">
        <v>106</v>
      </c>
      <c r="J948" s="26">
        <v>0</v>
      </c>
      <c r="K948" s="8" t="str">
        <f t="shared" si="14"/>
        <v>NWTOSHIP</v>
      </c>
    </row>
    <row r="949" spans="1:11" x14ac:dyDescent="0.25">
      <c r="A949" s="26" t="s">
        <v>117</v>
      </c>
      <c r="B949" s="26" t="s">
        <v>111</v>
      </c>
      <c r="C949" s="26">
        <v>0</v>
      </c>
      <c r="D949" s="27">
        <v>43343</v>
      </c>
      <c r="E949" s="26">
        <v>92613.19</v>
      </c>
      <c r="F949" s="26" t="s">
        <v>2239</v>
      </c>
      <c r="G949" s="26" t="s">
        <v>8</v>
      </c>
      <c r="H949" s="26" t="s">
        <v>2240</v>
      </c>
      <c r="I949" s="26" t="s">
        <v>106</v>
      </c>
      <c r="J949" s="26">
        <v>0</v>
      </c>
      <c r="K949" s="8" t="str">
        <f t="shared" si="14"/>
        <v>NWTOSHIP</v>
      </c>
    </row>
    <row r="950" spans="1:11" x14ac:dyDescent="0.25">
      <c r="A950" s="26" t="s">
        <v>117</v>
      </c>
      <c r="B950" s="26" t="s">
        <v>111</v>
      </c>
      <c r="C950" s="26">
        <v>0</v>
      </c>
      <c r="D950" s="27">
        <v>43343</v>
      </c>
      <c r="E950" s="26">
        <v>125337.57</v>
      </c>
      <c r="F950" s="26" t="s">
        <v>2241</v>
      </c>
      <c r="G950" s="26" t="s">
        <v>8</v>
      </c>
      <c r="H950" s="26" t="s">
        <v>2242</v>
      </c>
      <c r="I950" s="26" t="s">
        <v>106</v>
      </c>
      <c r="J950" s="26">
        <v>0</v>
      </c>
      <c r="K950" s="8" t="str">
        <f t="shared" si="14"/>
        <v>NWTOSHIP</v>
      </c>
    </row>
    <row r="951" spans="1:11" x14ac:dyDescent="0.25">
      <c r="A951" s="26" t="s">
        <v>117</v>
      </c>
      <c r="B951" s="26" t="s">
        <v>111</v>
      </c>
      <c r="C951" s="26">
        <v>0</v>
      </c>
      <c r="D951" s="27">
        <v>43343</v>
      </c>
      <c r="E951" s="26">
        <v>151945.99</v>
      </c>
      <c r="F951" s="26" t="s">
        <v>2243</v>
      </c>
      <c r="G951" s="26" t="s">
        <v>8</v>
      </c>
      <c r="H951" s="26" t="s">
        <v>2244</v>
      </c>
      <c r="I951" s="26" t="s">
        <v>106</v>
      </c>
      <c r="J951" s="26">
        <v>0</v>
      </c>
      <c r="K951" s="8" t="str">
        <f t="shared" si="14"/>
        <v>NWTOSHIP</v>
      </c>
    </row>
    <row r="952" spans="1:11" x14ac:dyDescent="0.25">
      <c r="A952" s="26" t="s">
        <v>117</v>
      </c>
      <c r="B952" s="26" t="s">
        <v>111</v>
      </c>
      <c r="C952" s="26">
        <v>0</v>
      </c>
      <c r="D952" s="27">
        <v>43346</v>
      </c>
      <c r="E952" s="26">
        <v>190706.91</v>
      </c>
      <c r="F952" s="26" t="s">
        <v>2245</v>
      </c>
      <c r="G952" s="26" t="s">
        <v>8</v>
      </c>
      <c r="H952" s="26" t="s">
        <v>2246</v>
      </c>
      <c r="I952" s="26" t="s">
        <v>106</v>
      </c>
      <c r="J952" s="26">
        <v>0</v>
      </c>
      <c r="K952" s="8" t="str">
        <f t="shared" si="14"/>
        <v>NWTOSHIP</v>
      </c>
    </row>
    <row r="953" spans="1:11" x14ac:dyDescent="0.25">
      <c r="A953" s="26" t="s">
        <v>117</v>
      </c>
      <c r="B953" s="26" t="s">
        <v>111</v>
      </c>
      <c r="C953" s="26">
        <v>0</v>
      </c>
      <c r="D953" s="27">
        <v>43349</v>
      </c>
      <c r="E953" s="26">
        <v>208022.24</v>
      </c>
      <c r="F953" s="26" t="s">
        <v>2247</v>
      </c>
      <c r="G953" s="26" t="s">
        <v>8</v>
      </c>
      <c r="H953" s="26" t="s">
        <v>2248</v>
      </c>
      <c r="I953" s="26" t="s">
        <v>106</v>
      </c>
      <c r="J953" s="26">
        <v>0</v>
      </c>
      <c r="K953" s="8" t="str">
        <f t="shared" si="14"/>
        <v>NWTOSHIP</v>
      </c>
    </row>
    <row r="954" spans="1:11" x14ac:dyDescent="0.25">
      <c r="A954" s="26" t="s">
        <v>117</v>
      </c>
      <c r="B954" s="26" t="s">
        <v>111</v>
      </c>
      <c r="C954" s="26">
        <v>0</v>
      </c>
      <c r="D954" s="27">
        <v>43350</v>
      </c>
      <c r="E954" s="26">
        <v>238046.07</v>
      </c>
      <c r="F954" s="26" t="s">
        <v>2249</v>
      </c>
      <c r="G954" s="26" t="s">
        <v>8</v>
      </c>
      <c r="H954" s="26" t="s">
        <v>2250</v>
      </c>
      <c r="I954" s="26" t="s">
        <v>106</v>
      </c>
      <c r="J954" s="26">
        <v>0</v>
      </c>
      <c r="K954" s="8" t="str">
        <f t="shared" si="14"/>
        <v>NWTOSHIP</v>
      </c>
    </row>
    <row r="955" spans="1:11" x14ac:dyDescent="0.25">
      <c r="A955" s="26" t="s">
        <v>117</v>
      </c>
      <c r="B955" s="26" t="s">
        <v>111</v>
      </c>
      <c r="C955" s="26">
        <v>0</v>
      </c>
      <c r="D955" s="27">
        <v>43350</v>
      </c>
      <c r="E955" s="26">
        <v>483161.24</v>
      </c>
      <c r="F955" s="26" t="s">
        <v>2251</v>
      </c>
      <c r="G955" s="26" t="s">
        <v>8</v>
      </c>
      <c r="H955" s="26" t="s">
        <v>2252</v>
      </c>
      <c r="I955" s="26" t="s">
        <v>106</v>
      </c>
      <c r="J955" s="26">
        <v>0</v>
      </c>
      <c r="K955" s="8" t="str">
        <f t="shared" si="14"/>
        <v>NWTOSHIP</v>
      </c>
    </row>
    <row r="956" spans="1:11" x14ac:dyDescent="0.25">
      <c r="A956" s="26" t="s">
        <v>117</v>
      </c>
      <c r="B956" s="26" t="s">
        <v>111</v>
      </c>
      <c r="C956" s="26">
        <v>0</v>
      </c>
      <c r="D956" s="27">
        <v>43350</v>
      </c>
      <c r="E956" s="26">
        <v>163463.07</v>
      </c>
      <c r="F956" s="26" t="s">
        <v>2253</v>
      </c>
      <c r="G956" s="26" t="s">
        <v>8</v>
      </c>
      <c r="H956" s="26" t="s">
        <v>2254</v>
      </c>
      <c r="I956" s="26" t="s">
        <v>106</v>
      </c>
      <c r="J956" s="26">
        <v>0</v>
      </c>
      <c r="K956" s="8" t="str">
        <f t="shared" si="14"/>
        <v>NWTOSHIP</v>
      </c>
    </row>
    <row r="957" spans="1:11" x14ac:dyDescent="0.25">
      <c r="A957" s="26" t="s">
        <v>117</v>
      </c>
      <c r="B957" s="26" t="s">
        <v>111</v>
      </c>
      <c r="C957" s="26">
        <v>0</v>
      </c>
      <c r="D957" s="27">
        <v>43353</v>
      </c>
      <c r="E957" s="26">
        <v>129706.12</v>
      </c>
      <c r="F957" s="26" t="s">
        <v>2255</v>
      </c>
      <c r="G957" s="26" t="s">
        <v>8</v>
      </c>
      <c r="H957" s="26" t="s">
        <v>2256</v>
      </c>
      <c r="I957" s="26" t="s">
        <v>106</v>
      </c>
      <c r="J957" s="26">
        <v>0</v>
      </c>
      <c r="K957" s="8" t="str">
        <f t="shared" si="14"/>
        <v>NWTOSHIP</v>
      </c>
    </row>
    <row r="958" spans="1:11" x14ac:dyDescent="0.25">
      <c r="A958" s="26" t="s">
        <v>117</v>
      </c>
      <c r="B958" s="26" t="s">
        <v>111</v>
      </c>
      <c r="C958" s="26">
        <v>0</v>
      </c>
      <c r="D958" s="27">
        <v>43356</v>
      </c>
      <c r="E958" s="26">
        <v>107942.81</v>
      </c>
      <c r="F958" s="26" t="s">
        <v>2257</v>
      </c>
      <c r="G958" s="26" t="s">
        <v>8</v>
      </c>
      <c r="H958" s="26" t="s">
        <v>2258</v>
      </c>
      <c r="I958" s="26" t="s">
        <v>106</v>
      </c>
      <c r="J958" s="26">
        <v>0</v>
      </c>
      <c r="K958" s="8" t="str">
        <f t="shared" si="14"/>
        <v>NWTOSHIP</v>
      </c>
    </row>
    <row r="959" spans="1:11" x14ac:dyDescent="0.25">
      <c r="A959" s="26" t="s">
        <v>117</v>
      </c>
      <c r="B959" s="26" t="s">
        <v>111</v>
      </c>
      <c r="C959" s="26">
        <v>0</v>
      </c>
      <c r="D959" s="27">
        <v>43357</v>
      </c>
      <c r="E959" s="26">
        <v>74503.570000000007</v>
      </c>
      <c r="F959" s="26" t="s">
        <v>2259</v>
      </c>
      <c r="G959" s="26" t="s">
        <v>8</v>
      </c>
      <c r="H959" s="26" t="s">
        <v>2260</v>
      </c>
      <c r="I959" s="26" t="s">
        <v>106</v>
      </c>
      <c r="J959" s="26">
        <v>0</v>
      </c>
      <c r="K959" s="8" t="str">
        <f t="shared" si="14"/>
        <v>NWTOSHIP</v>
      </c>
    </row>
    <row r="960" spans="1:11" x14ac:dyDescent="0.25">
      <c r="A960" s="26" t="s">
        <v>117</v>
      </c>
      <c r="B960" s="26" t="s">
        <v>111</v>
      </c>
      <c r="C960" s="26">
        <v>0</v>
      </c>
      <c r="D960" s="27">
        <v>43357</v>
      </c>
      <c r="E960" s="26">
        <v>86100.08</v>
      </c>
      <c r="F960" s="26" t="s">
        <v>2261</v>
      </c>
      <c r="G960" s="26" t="s">
        <v>8</v>
      </c>
      <c r="H960" s="26" t="s">
        <v>2262</v>
      </c>
      <c r="I960" s="26" t="s">
        <v>106</v>
      </c>
      <c r="J960" s="26">
        <v>0</v>
      </c>
      <c r="K960" s="8" t="str">
        <f t="shared" si="14"/>
        <v>NWTOSHIP</v>
      </c>
    </row>
    <row r="961" spans="1:11" x14ac:dyDescent="0.25">
      <c r="A961" s="26" t="s">
        <v>117</v>
      </c>
      <c r="B961" s="26" t="s">
        <v>111</v>
      </c>
      <c r="C961" s="26">
        <v>0</v>
      </c>
      <c r="D961" s="27">
        <v>43357</v>
      </c>
      <c r="E961" s="26">
        <v>60841.94</v>
      </c>
      <c r="F961" s="26" t="s">
        <v>2263</v>
      </c>
      <c r="G961" s="26" t="s">
        <v>8</v>
      </c>
      <c r="H961" s="26" t="s">
        <v>2264</v>
      </c>
      <c r="I961" s="26" t="s">
        <v>106</v>
      </c>
      <c r="J961" s="26">
        <v>0</v>
      </c>
      <c r="K961" s="8" t="str">
        <f t="shared" si="14"/>
        <v>NWTOSHIP</v>
      </c>
    </row>
    <row r="962" spans="1:11" x14ac:dyDescent="0.25">
      <c r="A962" s="26" t="s">
        <v>120</v>
      </c>
      <c r="B962" s="26" t="s">
        <v>111</v>
      </c>
      <c r="C962" s="26">
        <v>0</v>
      </c>
      <c r="D962" s="27">
        <v>43244</v>
      </c>
      <c r="E962" s="26">
        <v>-317.70999999999998</v>
      </c>
      <c r="F962" s="26" t="s">
        <v>2265</v>
      </c>
      <c r="G962" s="26" t="s">
        <v>8</v>
      </c>
      <c r="H962" s="26" t="s">
        <v>2266</v>
      </c>
      <c r="I962" s="26" t="s">
        <v>106</v>
      </c>
      <c r="J962" s="26">
        <v>0</v>
      </c>
      <c r="K962" s="8" t="str">
        <f t="shared" si="14"/>
        <v>NICTONI</v>
      </c>
    </row>
    <row r="963" spans="1:11" x14ac:dyDescent="0.25">
      <c r="A963" s="26" t="s">
        <v>120</v>
      </c>
      <c r="B963" s="26" t="s">
        <v>111</v>
      </c>
      <c r="C963" s="26">
        <v>0</v>
      </c>
      <c r="D963" s="27">
        <v>43245</v>
      </c>
      <c r="E963" s="26">
        <v>-317.70999999999998</v>
      </c>
      <c r="F963" s="26" t="s">
        <v>2267</v>
      </c>
      <c r="G963" s="26" t="s">
        <v>8</v>
      </c>
      <c r="H963" s="26" t="s">
        <v>2268</v>
      </c>
      <c r="I963" s="26" t="s">
        <v>106</v>
      </c>
      <c r="J963" s="26">
        <v>0</v>
      </c>
      <c r="K963" s="8" t="str">
        <f t="shared" ref="K963:K1026" si="15">LEFT(A963,FIND("/",A963)-1)</f>
        <v>NICTONI</v>
      </c>
    </row>
    <row r="964" spans="1:11" x14ac:dyDescent="0.25">
      <c r="A964" s="26" t="s">
        <v>120</v>
      </c>
      <c r="B964" s="26" t="s">
        <v>111</v>
      </c>
      <c r="C964" s="26">
        <v>0</v>
      </c>
      <c r="D964" s="27">
        <v>43245</v>
      </c>
      <c r="E964" s="26">
        <v>-635.41999999999996</v>
      </c>
      <c r="F964" s="26" t="s">
        <v>2269</v>
      </c>
      <c r="G964" s="26" t="s">
        <v>8</v>
      </c>
      <c r="H964" s="26" t="s">
        <v>2270</v>
      </c>
      <c r="I964" s="26" t="s">
        <v>106</v>
      </c>
      <c r="J964" s="26">
        <v>0</v>
      </c>
      <c r="K964" s="8" t="str">
        <f t="shared" si="15"/>
        <v>NICTONI</v>
      </c>
    </row>
    <row r="965" spans="1:11" x14ac:dyDescent="0.25">
      <c r="A965" s="26" t="s">
        <v>120</v>
      </c>
      <c r="B965" s="26" t="s">
        <v>111</v>
      </c>
      <c r="C965" s="26">
        <v>0</v>
      </c>
      <c r="D965" s="27">
        <v>43245</v>
      </c>
      <c r="E965" s="26">
        <v>-158.86000000000001</v>
      </c>
      <c r="F965" s="26" t="s">
        <v>2271</v>
      </c>
      <c r="G965" s="26" t="s">
        <v>8</v>
      </c>
      <c r="H965" s="26" t="s">
        <v>2272</v>
      </c>
      <c r="I965" s="26" t="s">
        <v>106</v>
      </c>
      <c r="J965" s="26">
        <v>0</v>
      </c>
      <c r="K965" s="8" t="str">
        <f t="shared" si="15"/>
        <v>NICTONI</v>
      </c>
    </row>
    <row r="966" spans="1:11" x14ac:dyDescent="0.25">
      <c r="A966" s="26" t="s">
        <v>120</v>
      </c>
      <c r="B966" s="26" t="s">
        <v>111</v>
      </c>
      <c r="C966" s="26">
        <v>0</v>
      </c>
      <c r="D966" s="27">
        <v>43248</v>
      </c>
      <c r="E966" s="26">
        <v>-714.85</v>
      </c>
      <c r="F966" s="26" t="s">
        <v>2273</v>
      </c>
      <c r="G966" s="26" t="s">
        <v>8</v>
      </c>
      <c r="H966" s="26" t="s">
        <v>2274</v>
      </c>
      <c r="I966" s="26" t="s">
        <v>106</v>
      </c>
      <c r="J966" s="26">
        <v>0</v>
      </c>
      <c r="K966" s="8" t="str">
        <f t="shared" si="15"/>
        <v>NICTONI</v>
      </c>
    </row>
    <row r="967" spans="1:11" x14ac:dyDescent="0.25">
      <c r="A967" s="26" t="s">
        <v>120</v>
      </c>
      <c r="B967" s="26" t="s">
        <v>111</v>
      </c>
      <c r="C967" s="26">
        <v>0</v>
      </c>
      <c r="D967" s="27">
        <v>43251</v>
      </c>
      <c r="E967" s="26">
        <v>-556</v>
      </c>
      <c r="F967" s="26" t="s">
        <v>2275</v>
      </c>
      <c r="G967" s="26" t="s">
        <v>8</v>
      </c>
      <c r="H967" s="26" t="s">
        <v>2276</v>
      </c>
      <c r="I967" s="26" t="s">
        <v>106</v>
      </c>
      <c r="J967" s="26">
        <v>0</v>
      </c>
      <c r="K967" s="8" t="str">
        <f t="shared" si="15"/>
        <v>NICTONI</v>
      </c>
    </row>
    <row r="968" spans="1:11" x14ac:dyDescent="0.25">
      <c r="A968" s="26" t="s">
        <v>120</v>
      </c>
      <c r="B968" s="26" t="s">
        <v>111</v>
      </c>
      <c r="C968" s="26">
        <v>0</v>
      </c>
      <c r="D968" s="27">
        <v>43252</v>
      </c>
      <c r="E968" s="26">
        <v>-635.41999999999996</v>
      </c>
      <c r="F968" s="26" t="s">
        <v>2277</v>
      </c>
      <c r="G968" s="26" t="s">
        <v>8</v>
      </c>
      <c r="H968" s="26" t="s">
        <v>2278</v>
      </c>
      <c r="I968" s="26" t="s">
        <v>106</v>
      </c>
      <c r="J968" s="26">
        <v>0</v>
      </c>
      <c r="K968" s="8" t="str">
        <f t="shared" si="15"/>
        <v>NICTONI</v>
      </c>
    </row>
    <row r="969" spans="1:11" x14ac:dyDescent="0.25">
      <c r="A969" s="26" t="s">
        <v>120</v>
      </c>
      <c r="B969" s="26" t="s">
        <v>111</v>
      </c>
      <c r="C969" s="26">
        <v>0</v>
      </c>
      <c r="D969" s="27">
        <v>43252</v>
      </c>
      <c r="E969" s="26">
        <v>-635.41999999999996</v>
      </c>
      <c r="F969" s="26" t="s">
        <v>2279</v>
      </c>
      <c r="G969" s="26" t="s">
        <v>8</v>
      </c>
      <c r="H969" s="26" t="s">
        <v>2280</v>
      </c>
      <c r="I969" s="26" t="s">
        <v>106</v>
      </c>
      <c r="J969" s="26">
        <v>0</v>
      </c>
      <c r="K969" s="8" t="str">
        <f t="shared" si="15"/>
        <v>NICTONI</v>
      </c>
    </row>
    <row r="970" spans="1:11" x14ac:dyDescent="0.25">
      <c r="A970" s="26" t="s">
        <v>120</v>
      </c>
      <c r="B970" s="26" t="s">
        <v>111</v>
      </c>
      <c r="C970" s="26">
        <v>0</v>
      </c>
      <c r="D970" s="27">
        <v>43252</v>
      </c>
      <c r="E970" s="26">
        <v>-10802.22</v>
      </c>
      <c r="F970" s="26" t="s">
        <v>2281</v>
      </c>
      <c r="G970" s="26" t="s">
        <v>8</v>
      </c>
      <c r="H970" s="26" t="s">
        <v>2282</v>
      </c>
      <c r="I970" s="26" t="s">
        <v>106</v>
      </c>
      <c r="J970" s="26">
        <v>0</v>
      </c>
      <c r="K970" s="8" t="str">
        <f t="shared" si="15"/>
        <v>NICTONI</v>
      </c>
    </row>
    <row r="971" spans="1:11" x14ac:dyDescent="0.25">
      <c r="A971" s="26" t="s">
        <v>120</v>
      </c>
      <c r="B971" s="26" t="s">
        <v>111</v>
      </c>
      <c r="C971" s="26">
        <v>0</v>
      </c>
      <c r="D971" s="27">
        <v>43255</v>
      </c>
      <c r="E971" s="26">
        <v>-6354.25</v>
      </c>
      <c r="F971" s="26" t="s">
        <v>2283</v>
      </c>
      <c r="G971" s="26" t="s">
        <v>8</v>
      </c>
      <c r="H971" s="26" t="s">
        <v>2284</v>
      </c>
      <c r="I971" s="26" t="s">
        <v>106</v>
      </c>
      <c r="J971" s="26">
        <v>0</v>
      </c>
      <c r="K971" s="8" t="str">
        <f t="shared" si="15"/>
        <v>NICTONI</v>
      </c>
    </row>
    <row r="972" spans="1:11" x14ac:dyDescent="0.25">
      <c r="A972" s="26" t="s">
        <v>120</v>
      </c>
      <c r="B972" s="26" t="s">
        <v>111</v>
      </c>
      <c r="C972" s="26">
        <v>0</v>
      </c>
      <c r="D972" s="27">
        <v>43258</v>
      </c>
      <c r="E972" s="26">
        <v>-2700.56</v>
      </c>
      <c r="F972" s="26" t="s">
        <v>2285</v>
      </c>
      <c r="G972" s="26" t="s">
        <v>8</v>
      </c>
      <c r="H972" s="26" t="s">
        <v>2286</v>
      </c>
      <c r="I972" s="26" t="s">
        <v>106</v>
      </c>
      <c r="J972" s="26">
        <v>0</v>
      </c>
      <c r="K972" s="8" t="str">
        <f t="shared" si="15"/>
        <v>NICTONI</v>
      </c>
    </row>
    <row r="973" spans="1:11" x14ac:dyDescent="0.25">
      <c r="A973" s="26" t="s">
        <v>120</v>
      </c>
      <c r="B973" s="26" t="s">
        <v>111</v>
      </c>
      <c r="C973" s="26">
        <v>0</v>
      </c>
      <c r="D973" s="27">
        <v>43259</v>
      </c>
      <c r="E973" s="26">
        <v>-9293.09</v>
      </c>
      <c r="F973" s="26" t="s">
        <v>2287</v>
      </c>
      <c r="G973" s="26" t="s">
        <v>8</v>
      </c>
      <c r="H973" s="26" t="s">
        <v>2288</v>
      </c>
      <c r="I973" s="26" t="s">
        <v>106</v>
      </c>
      <c r="J973" s="26">
        <v>0</v>
      </c>
      <c r="K973" s="8" t="str">
        <f t="shared" si="15"/>
        <v>NICTONI</v>
      </c>
    </row>
    <row r="974" spans="1:11" x14ac:dyDescent="0.25">
      <c r="A974" s="26" t="s">
        <v>120</v>
      </c>
      <c r="B974" s="26" t="s">
        <v>111</v>
      </c>
      <c r="C974" s="26">
        <v>0</v>
      </c>
      <c r="D974" s="27">
        <v>43259</v>
      </c>
      <c r="E974" s="26">
        <v>-4606.83</v>
      </c>
      <c r="F974" s="26" t="s">
        <v>2289</v>
      </c>
      <c r="G974" s="26" t="s">
        <v>8</v>
      </c>
      <c r="H974" s="26" t="s">
        <v>2290</v>
      </c>
      <c r="I974" s="26" t="s">
        <v>106</v>
      </c>
      <c r="J974" s="26">
        <v>0</v>
      </c>
      <c r="K974" s="8" t="str">
        <f t="shared" si="15"/>
        <v>NICTONI</v>
      </c>
    </row>
    <row r="975" spans="1:11" x14ac:dyDescent="0.25">
      <c r="A975" s="26" t="s">
        <v>120</v>
      </c>
      <c r="B975" s="26" t="s">
        <v>111</v>
      </c>
      <c r="C975" s="26">
        <v>0</v>
      </c>
      <c r="D975" s="27">
        <v>43259</v>
      </c>
      <c r="E975" s="26">
        <v>-4845.12</v>
      </c>
      <c r="F975" s="26" t="s">
        <v>2291</v>
      </c>
      <c r="G975" s="26" t="s">
        <v>8</v>
      </c>
      <c r="H975" s="26" t="s">
        <v>2292</v>
      </c>
      <c r="I975" s="26" t="s">
        <v>106</v>
      </c>
      <c r="J975" s="26">
        <v>0</v>
      </c>
      <c r="K975" s="8" t="str">
        <f t="shared" si="15"/>
        <v>NICTONI</v>
      </c>
    </row>
    <row r="976" spans="1:11" x14ac:dyDescent="0.25">
      <c r="A976" s="26" t="s">
        <v>120</v>
      </c>
      <c r="B976" s="26" t="s">
        <v>111</v>
      </c>
      <c r="C976" s="26">
        <v>0</v>
      </c>
      <c r="D976" s="27">
        <v>43262</v>
      </c>
      <c r="E976" s="26">
        <v>-50834</v>
      </c>
      <c r="F976" s="26" t="s">
        <v>2293</v>
      </c>
      <c r="G976" s="26" t="s">
        <v>8</v>
      </c>
      <c r="H976" s="26" t="s">
        <v>2294</v>
      </c>
      <c r="I976" s="26" t="s">
        <v>106</v>
      </c>
      <c r="J976" s="26">
        <v>0</v>
      </c>
      <c r="K976" s="8" t="str">
        <f t="shared" si="15"/>
        <v>NICTONI</v>
      </c>
    </row>
    <row r="977" spans="1:11" x14ac:dyDescent="0.25">
      <c r="A977" s="26" t="s">
        <v>120</v>
      </c>
      <c r="B977" s="26" t="s">
        <v>111</v>
      </c>
      <c r="C977" s="26">
        <v>0</v>
      </c>
      <c r="D977" s="27">
        <v>43265</v>
      </c>
      <c r="E977" s="26">
        <v>-3335.98</v>
      </c>
      <c r="F977" s="26" t="s">
        <v>2295</v>
      </c>
      <c r="G977" s="26" t="s">
        <v>8</v>
      </c>
      <c r="H977" s="26" t="s">
        <v>2296</v>
      </c>
      <c r="I977" s="26" t="s">
        <v>106</v>
      </c>
      <c r="J977" s="26">
        <v>0</v>
      </c>
      <c r="K977" s="8" t="str">
        <f t="shared" si="15"/>
        <v>NICTONI</v>
      </c>
    </row>
    <row r="978" spans="1:11" x14ac:dyDescent="0.25">
      <c r="A978" s="26" t="s">
        <v>120</v>
      </c>
      <c r="B978" s="26" t="s">
        <v>111</v>
      </c>
      <c r="C978" s="26">
        <v>0</v>
      </c>
      <c r="D978" s="27">
        <v>43266</v>
      </c>
      <c r="E978" s="26">
        <v>-3256.55</v>
      </c>
      <c r="F978" s="26" t="s">
        <v>2297</v>
      </c>
      <c r="G978" s="26" t="s">
        <v>8</v>
      </c>
      <c r="H978" s="26" t="s">
        <v>2298</v>
      </c>
      <c r="I978" s="26" t="s">
        <v>106</v>
      </c>
      <c r="J978" s="26">
        <v>0</v>
      </c>
      <c r="K978" s="8" t="str">
        <f t="shared" si="15"/>
        <v>NICTONI</v>
      </c>
    </row>
    <row r="979" spans="1:11" x14ac:dyDescent="0.25">
      <c r="A979" s="26" t="s">
        <v>120</v>
      </c>
      <c r="B979" s="26" t="s">
        <v>111</v>
      </c>
      <c r="C979" s="26">
        <v>0</v>
      </c>
      <c r="D979" s="27">
        <v>43266</v>
      </c>
      <c r="E979" s="26">
        <v>-3018.27</v>
      </c>
      <c r="F979" s="26" t="s">
        <v>2299</v>
      </c>
      <c r="G979" s="26" t="s">
        <v>8</v>
      </c>
      <c r="H979" s="26" t="s">
        <v>2300</v>
      </c>
      <c r="I979" s="26" t="s">
        <v>106</v>
      </c>
      <c r="J979" s="26">
        <v>0</v>
      </c>
      <c r="K979" s="8" t="str">
        <f t="shared" si="15"/>
        <v>NICTONI</v>
      </c>
    </row>
    <row r="980" spans="1:11" x14ac:dyDescent="0.25">
      <c r="A980" s="26" t="s">
        <v>120</v>
      </c>
      <c r="B980" s="26" t="s">
        <v>111</v>
      </c>
      <c r="C980" s="26">
        <v>0</v>
      </c>
      <c r="D980" s="27">
        <v>43266</v>
      </c>
      <c r="E980" s="26">
        <v>-5162.83</v>
      </c>
      <c r="F980" s="26" t="s">
        <v>2301</v>
      </c>
      <c r="G980" s="26" t="s">
        <v>8</v>
      </c>
      <c r="H980" s="26" t="s">
        <v>2302</v>
      </c>
      <c r="I980" s="26" t="s">
        <v>106</v>
      </c>
      <c r="J980" s="26">
        <v>0</v>
      </c>
      <c r="K980" s="8" t="str">
        <f t="shared" si="15"/>
        <v>NICTONI</v>
      </c>
    </row>
    <row r="981" spans="1:11" x14ac:dyDescent="0.25">
      <c r="A981" s="26" t="s">
        <v>120</v>
      </c>
      <c r="B981" s="26" t="s">
        <v>111</v>
      </c>
      <c r="C981" s="26">
        <v>0</v>
      </c>
      <c r="D981" s="27">
        <v>43269</v>
      </c>
      <c r="E981" s="26">
        <v>-8498.81</v>
      </c>
      <c r="F981" s="26" t="s">
        <v>2303</v>
      </c>
      <c r="G981" s="26" t="s">
        <v>8</v>
      </c>
      <c r="H981" s="26" t="s">
        <v>2304</v>
      </c>
      <c r="I981" s="26" t="s">
        <v>106</v>
      </c>
      <c r="J981" s="26">
        <v>0</v>
      </c>
      <c r="K981" s="8" t="str">
        <f t="shared" si="15"/>
        <v>NICTONI</v>
      </c>
    </row>
    <row r="982" spans="1:11" x14ac:dyDescent="0.25">
      <c r="A982" s="26" t="s">
        <v>120</v>
      </c>
      <c r="B982" s="26" t="s">
        <v>111</v>
      </c>
      <c r="C982" s="26">
        <v>0</v>
      </c>
      <c r="D982" s="27">
        <v>43272</v>
      </c>
      <c r="E982" s="26">
        <v>-7704.53</v>
      </c>
      <c r="F982" s="26" t="s">
        <v>2305</v>
      </c>
      <c r="G982" s="26" t="s">
        <v>8</v>
      </c>
      <c r="H982" s="26" t="s">
        <v>2306</v>
      </c>
      <c r="I982" s="26" t="s">
        <v>106</v>
      </c>
      <c r="J982" s="26">
        <v>0</v>
      </c>
      <c r="K982" s="8" t="str">
        <f t="shared" si="15"/>
        <v>NICTONI</v>
      </c>
    </row>
    <row r="983" spans="1:11" x14ac:dyDescent="0.25">
      <c r="A983" s="26" t="s">
        <v>120</v>
      </c>
      <c r="B983" s="26" t="s">
        <v>111</v>
      </c>
      <c r="C983" s="26">
        <v>0</v>
      </c>
      <c r="D983" s="27">
        <v>43273</v>
      </c>
      <c r="E983" s="26">
        <v>-6274.82</v>
      </c>
      <c r="F983" s="26" t="s">
        <v>2307</v>
      </c>
      <c r="G983" s="26" t="s">
        <v>8</v>
      </c>
      <c r="H983" s="26" t="s">
        <v>2308</v>
      </c>
      <c r="I983" s="26" t="s">
        <v>106</v>
      </c>
      <c r="J983" s="26">
        <v>0</v>
      </c>
      <c r="K983" s="8" t="str">
        <f t="shared" si="15"/>
        <v>NICTONI</v>
      </c>
    </row>
    <row r="984" spans="1:11" x14ac:dyDescent="0.25">
      <c r="A984" s="26" t="s">
        <v>120</v>
      </c>
      <c r="B984" s="26" t="s">
        <v>111</v>
      </c>
      <c r="C984" s="26">
        <v>0</v>
      </c>
      <c r="D984" s="27">
        <v>43273</v>
      </c>
      <c r="E984" s="26">
        <v>-1826.85</v>
      </c>
      <c r="F984" s="26" t="s">
        <v>2309</v>
      </c>
      <c r="G984" s="26" t="s">
        <v>8</v>
      </c>
      <c r="H984" s="26" t="s">
        <v>2310</v>
      </c>
      <c r="I984" s="26" t="s">
        <v>106</v>
      </c>
      <c r="J984" s="26">
        <v>0</v>
      </c>
      <c r="K984" s="8" t="str">
        <f t="shared" si="15"/>
        <v>NICTONI</v>
      </c>
    </row>
    <row r="985" spans="1:11" x14ac:dyDescent="0.25">
      <c r="A985" s="26" t="s">
        <v>120</v>
      </c>
      <c r="B985" s="26" t="s">
        <v>111</v>
      </c>
      <c r="C985" s="26">
        <v>0</v>
      </c>
      <c r="D985" s="27">
        <v>43273</v>
      </c>
      <c r="E985" s="26">
        <v>-2223.9899999999998</v>
      </c>
      <c r="F985" s="26" t="s">
        <v>2311</v>
      </c>
      <c r="G985" s="26" t="s">
        <v>8</v>
      </c>
      <c r="H985" s="26" t="s">
        <v>2312</v>
      </c>
      <c r="I985" s="26" t="s">
        <v>106</v>
      </c>
      <c r="J985" s="26">
        <v>0</v>
      </c>
      <c r="K985" s="8" t="str">
        <f t="shared" si="15"/>
        <v>NICTONI</v>
      </c>
    </row>
    <row r="986" spans="1:11" x14ac:dyDescent="0.25">
      <c r="A986" s="26" t="s">
        <v>120</v>
      </c>
      <c r="B986" s="26" t="s">
        <v>111</v>
      </c>
      <c r="C986" s="26">
        <v>0</v>
      </c>
      <c r="D986" s="27">
        <v>43276</v>
      </c>
      <c r="E986" s="26">
        <v>-2144.56</v>
      </c>
      <c r="F986" s="26" t="s">
        <v>2313</v>
      </c>
      <c r="G986" s="26" t="s">
        <v>8</v>
      </c>
      <c r="H986" s="26" t="s">
        <v>2314</v>
      </c>
      <c r="I986" s="26" t="s">
        <v>106</v>
      </c>
      <c r="J986" s="26">
        <v>0</v>
      </c>
      <c r="K986" s="8" t="str">
        <f t="shared" si="15"/>
        <v>NICTONI</v>
      </c>
    </row>
    <row r="987" spans="1:11" x14ac:dyDescent="0.25">
      <c r="A987" s="26" t="s">
        <v>120</v>
      </c>
      <c r="B987" s="26" t="s">
        <v>111</v>
      </c>
      <c r="C987" s="26">
        <v>0</v>
      </c>
      <c r="D987" s="27">
        <v>43279</v>
      </c>
      <c r="E987" s="26">
        <v>-794.28</v>
      </c>
      <c r="F987" s="26" t="s">
        <v>2315</v>
      </c>
      <c r="G987" s="26" t="s">
        <v>8</v>
      </c>
      <c r="H987" s="26" t="s">
        <v>2316</v>
      </c>
      <c r="I987" s="26" t="s">
        <v>106</v>
      </c>
      <c r="J987" s="26">
        <v>0</v>
      </c>
      <c r="K987" s="8" t="str">
        <f t="shared" si="15"/>
        <v>NICTONI</v>
      </c>
    </row>
    <row r="988" spans="1:11" x14ac:dyDescent="0.25">
      <c r="A988" s="26" t="s">
        <v>120</v>
      </c>
      <c r="B988" s="26" t="s">
        <v>111</v>
      </c>
      <c r="C988" s="26">
        <v>0</v>
      </c>
      <c r="D988" s="27">
        <v>43280</v>
      </c>
      <c r="E988" s="26">
        <v>-317.70999999999998</v>
      </c>
      <c r="F988" s="26" t="s">
        <v>2317</v>
      </c>
      <c r="G988" s="26" t="s">
        <v>8</v>
      </c>
      <c r="H988" s="26" t="s">
        <v>2318</v>
      </c>
      <c r="I988" s="26" t="s">
        <v>106</v>
      </c>
      <c r="J988" s="26">
        <v>0</v>
      </c>
      <c r="K988" s="8" t="str">
        <f t="shared" si="15"/>
        <v>NICTONI</v>
      </c>
    </row>
    <row r="989" spans="1:11" x14ac:dyDescent="0.25">
      <c r="A989" s="26" t="s">
        <v>120</v>
      </c>
      <c r="B989" s="26" t="s">
        <v>111</v>
      </c>
      <c r="C989" s="26">
        <v>0</v>
      </c>
      <c r="D989" s="27">
        <v>43280</v>
      </c>
      <c r="E989" s="26">
        <v>-556</v>
      </c>
      <c r="F989" s="26" t="s">
        <v>2319</v>
      </c>
      <c r="G989" s="26" t="s">
        <v>8</v>
      </c>
      <c r="H989" s="26" t="s">
        <v>2320</v>
      </c>
      <c r="I989" s="26" t="s">
        <v>106</v>
      </c>
      <c r="J989" s="26">
        <v>0</v>
      </c>
      <c r="K989" s="8" t="str">
        <f t="shared" si="15"/>
        <v>NICTONI</v>
      </c>
    </row>
    <row r="990" spans="1:11" x14ac:dyDescent="0.25">
      <c r="A990" s="26" t="s">
        <v>120</v>
      </c>
      <c r="B990" s="26" t="s">
        <v>111</v>
      </c>
      <c r="C990" s="26">
        <v>0</v>
      </c>
      <c r="D990" s="27">
        <v>43280</v>
      </c>
      <c r="E990" s="26">
        <v>-476.57</v>
      </c>
      <c r="F990" s="26" t="s">
        <v>2321</v>
      </c>
      <c r="G990" s="26" t="s">
        <v>8</v>
      </c>
      <c r="H990" s="26" t="s">
        <v>2322</v>
      </c>
      <c r="I990" s="26" t="s">
        <v>106</v>
      </c>
      <c r="J990" s="26">
        <v>0</v>
      </c>
      <c r="K990" s="8" t="str">
        <f t="shared" si="15"/>
        <v>NICTONI</v>
      </c>
    </row>
    <row r="991" spans="1:11" x14ac:dyDescent="0.25">
      <c r="A991" s="26" t="s">
        <v>120</v>
      </c>
      <c r="B991" s="26" t="s">
        <v>111</v>
      </c>
      <c r="C991" s="26">
        <v>0</v>
      </c>
      <c r="D991" s="27">
        <v>43283</v>
      </c>
      <c r="E991" s="26">
        <v>-1032.57</v>
      </c>
      <c r="F991" s="26" t="s">
        <v>2323</v>
      </c>
      <c r="G991" s="26" t="s">
        <v>8</v>
      </c>
      <c r="H991" s="26" t="s">
        <v>2324</v>
      </c>
      <c r="I991" s="26" t="s">
        <v>106</v>
      </c>
      <c r="J991" s="26">
        <v>0</v>
      </c>
      <c r="K991" s="8" t="str">
        <f t="shared" si="15"/>
        <v>NICTONI</v>
      </c>
    </row>
    <row r="992" spans="1:11" x14ac:dyDescent="0.25">
      <c r="A992" s="26" t="s">
        <v>120</v>
      </c>
      <c r="B992" s="26" t="s">
        <v>111</v>
      </c>
      <c r="C992" s="26">
        <v>0</v>
      </c>
      <c r="D992" s="27">
        <v>43286</v>
      </c>
      <c r="E992" s="26">
        <v>-873.71</v>
      </c>
      <c r="F992" s="26" t="s">
        <v>2325</v>
      </c>
      <c r="G992" s="26" t="s">
        <v>8</v>
      </c>
      <c r="H992" s="26" t="s">
        <v>2326</v>
      </c>
      <c r="I992" s="26" t="s">
        <v>106</v>
      </c>
      <c r="J992" s="26">
        <v>0</v>
      </c>
      <c r="K992" s="8" t="str">
        <f t="shared" si="15"/>
        <v>NICTONI</v>
      </c>
    </row>
    <row r="993" spans="1:11" x14ac:dyDescent="0.25">
      <c r="A993" s="26" t="s">
        <v>120</v>
      </c>
      <c r="B993" s="26" t="s">
        <v>111</v>
      </c>
      <c r="C993" s="26">
        <v>0</v>
      </c>
      <c r="D993" s="27">
        <v>43287</v>
      </c>
      <c r="E993" s="26">
        <v>-1191.42</v>
      </c>
      <c r="F993" s="26" t="s">
        <v>2327</v>
      </c>
      <c r="G993" s="26" t="s">
        <v>8</v>
      </c>
      <c r="H993" s="26" t="s">
        <v>2328</v>
      </c>
      <c r="I993" s="26" t="s">
        <v>106</v>
      </c>
      <c r="J993" s="26">
        <v>0</v>
      </c>
      <c r="K993" s="8" t="str">
        <f t="shared" si="15"/>
        <v>NICTONI</v>
      </c>
    </row>
    <row r="994" spans="1:11" x14ac:dyDescent="0.25">
      <c r="A994" s="26" t="s">
        <v>120</v>
      </c>
      <c r="B994" s="26" t="s">
        <v>111</v>
      </c>
      <c r="C994" s="26">
        <v>0</v>
      </c>
      <c r="D994" s="27">
        <v>43287</v>
      </c>
      <c r="E994" s="26">
        <v>-2621.13</v>
      </c>
      <c r="F994" s="26" t="s">
        <v>2329</v>
      </c>
      <c r="G994" s="26" t="s">
        <v>8</v>
      </c>
      <c r="H994" s="26" t="s">
        <v>2330</v>
      </c>
      <c r="I994" s="26" t="s">
        <v>106</v>
      </c>
      <c r="J994" s="26">
        <v>0</v>
      </c>
      <c r="K994" s="8" t="str">
        <f t="shared" si="15"/>
        <v>NICTONI</v>
      </c>
    </row>
    <row r="995" spans="1:11" x14ac:dyDescent="0.25">
      <c r="A995" s="26" t="s">
        <v>120</v>
      </c>
      <c r="B995" s="26" t="s">
        <v>111</v>
      </c>
      <c r="C995" s="26">
        <v>0</v>
      </c>
      <c r="D995" s="27">
        <v>43287</v>
      </c>
      <c r="E995" s="26">
        <v>-4209.6899999999996</v>
      </c>
      <c r="F995" s="26" t="s">
        <v>2331</v>
      </c>
      <c r="G995" s="26" t="s">
        <v>8</v>
      </c>
      <c r="H995" s="26" t="s">
        <v>2332</v>
      </c>
      <c r="I995" s="26" t="s">
        <v>106</v>
      </c>
      <c r="J995" s="26">
        <v>0</v>
      </c>
      <c r="K995" s="8" t="str">
        <f t="shared" si="15"/>
        <v>NICTONI</v>
      </c>
    </row>
    <row r="996" spans="1:11" x14ac:dyDescent="0.25">
      <c r="A996" s="26" t="s">
        <v>120</v>
      </c>
      <c r="B996" s="26" t="s">
        <v>111</v>
      </c>
      <c r="C996" s="26">
        <v>0</v>
      </c>
      <c r="D996" s="27">
        <v>43290</v>
      </c>
      <c r="E996" s="26">
        <v>-18427.32</v>
      </c>
      <c r="F996" s="26" t="s">
        <v>2333</v>
      </c>
      <c r="G996" s="26" t="s">
        <v>8</v>
      </c>
      <c r="H996" s="26" t="s">
        <v>2334</v>
      </c>
      <c r="I996" s="26" t="s">
        <v>106</v>
      </c>
      <c r="J996" s="26">
        <v>0</v>
      </c>
      <c r="K996" s="8" t="str">
        <f t="shared" si="15"/>
        <v>NICTONI</v>
      </c>
    </row>
    <row r="997" spans="1:11" x14ac:dyDescent="0.25">
      <c r="A997" s="26" t="s">
        <v>120</v>
      </c>
      <c r="B997" s="26" t="s">
        <v>111</v>
      </c>
      <c r="C997" s="26">
        <v>0</v>
      </c>
      <c r="D997" s="27">
        <v>43293</v>
      </c>
      <c r="E997" s="26">
        <v>-50913.42</v>
      </c>
      <c r="F997" s="26" t="s">
        <v>2335</v>
      </c>
      <c r="G997" s="26" t="s">
        <v>8</v>
      </c>
      <c r="H997" s="26" t="s">
        <v>2336</v>
      </c>
      <c r="I997" s="26" t="s">
        <v>106</v>
      </c>
      <c r="J997" s="26">
        <v>0</v>
      </c>
      <c r="K997" s="8" t="str">
        <f t="shared" si="15"/>
        <v>NICTONI</v>
      </c>
    </row>
    <row r="998" spans="1:11" x14ac:dyDescent="0.25">
      <c r="A998" s="26" t="s">
        <v>120</v>
      </c>
      <c r="B998" s="26" t="s">
        <v>111</v>
      </c>
      <c r="C998" s="26">
        <v>0</v>
      </c>
      <c r="D998" s="27">
        <v>43294</v>
      </c>
      <c r="E998" s="26">
        <v>-3653.69</v>
      </c>
      <c r="F998" s="26" t="s">
        <v>2337</v>
      </c>
      <c r="G998" s="26" t="s">
        <v>8</v>
      </c>
      <c r="H998" s="26" t="s">
        <v>2338</v>
      </c>
      <c r="I998" s="26" t="s">
        <v>106</v>
      </c>
      <c r="J998" s="26">
        <v>0</v>
      </c>
      <c r="K998" s="8" t="str">
        <f t="shared" si="15"/>
        <v>NICTONI</v>
      </c>
    </row>
    <row r="999" spans="1:11" x14ac:dyDescent="0.25">
      <c r="A999" s="26" t="s">
        <v>120</v>
      </c>
      <c r="B999" s="26" t="s">
        <v>111</v>
      </c>
      <c r="C999" s="26">
        <v>0</v>
      </c>
      <c r="D999" s="27">
        <v>43294</v>
      </c>
      <c r="E999" s="26">
        <v>-635.41999999999996</v>
      </c>
      <c r="F999" s="26" t="s">
        <v>2339</v>
      </c>
      <c r="G999" s="26" t="s">
        <v>8</v>
      </c>
      <c r="H999" s="26" t="s">
        <v>2340</v>
      </c>
      <c r="I999" s="26" t="s">
        <v>106</v>
      </c>
      <c r="J999" s="26">
        <v>0</v>
      </c>
      <c r="K999" s="8" t="str">
        <f t="shared" si="15"/>
        <v>NICTONI</v>
      </c>
    </row>
    <row r="1000" spans="1:11" x14ac:dyDescent="0.25">
      <c r="A1000" s="26" t="s">
        <v>120</v>
      </c>
      <c r="B1000" s="26" t="s">
        <v>111</v>
      </c>
      <c r="C1000" s="26">
        <v>0</v>
      </c>
      <c r="D1000" s="27">
        <v>43294</v>
      </c>
      <c r="E1000" s="26">
        <v>-635.41999999999996</v>
      </c>
      <c r="F1000" s="26" t="s">
        <v>2341</v>
      </c>
      <c r="G1000" s="26" t="s">
        <v>8</v>
      </c>
      <c r="H1000" s="26" t="s">
        <v>2342</v>
      </c>
      <c r="I1000" s="26" t="s">
        <v>106</v>
      </c>
      <c r="J1000" s="26">
        <v>0</v>
      </c>
      <c r="K1000" s="8" t="str">
        <f t="shared" si="15"/>
        <v>NICTONI</v>
      </c>
    </row>
    <row r="1001" spans="1:11" x14ac:dyDescent="0.25">
      <c r="A1001" s="26" t="s">
        <v>120</v>
      </c>
      <c r="B1001" s="26" t="s">
        <v>111</v>
      </c>
      <c r="C1001" s="26">
        <v>0</v>
      </c>
      <c r="D1001" s="27">
        <v>43297</v>
      </c>
      <c r="E1001" s="26">
        <v>-714.85</v>
      </c>
      <c r="F1001" s="26" t="s">
        <v>2343</v>
      </c>
      <c r="G1001" s="26" t="s">
        <v>8</v>
      </c>
      <c r="H1001" s="26" t="s">
        <v>2344</v>
      </c>
      <c r="I1001" s="26" t="s">
        <v>106</v>
      </c>
      <c r="J1001" s="26">
        <v>0</v>
      </c>
      <c r="K1001" s="8" t="str">
        <f t="shared" si="15"/>
        <v>NICTONI</v>
      </c>
    </row>
    <row r="1002" spans="1:11" x14ac:dyDescent="0.25">
      <c r="A1002" s="26" t="s">
        <v>120</v>
      </c>
      <c r="B1002" s="26" t="s">
        <v>111</v>
      </c>
      <c r="C1002" s="26">
        <v>0</v>
      </c>
      <c r="D1002" s="27">
        <v>43300</v>
      </c>
      <c r="E1002" s="26">
        <v>-556</v>
      </c>
      <c r="F1002" s="26" t="s">
        <v>2345</v>
      </c>
      <c r="G1002" s="26" t="s">
        <v>8</v>
      </c>
      <c r="H1002" s="26" t="s">
        <v>2346</v>
      </c>
      <c r="I1002" s="26" t="s">
        <v>106</v>
      </c>
      <c r="J1002" s="26">
        <v>0</v>
      </c>
      <c r="K1002" s="8" t="str">
        <f t="shared" si="15"/>
        <v>NICTONI</v>
      </c>
    </row>
    <row r="1003" spans="1:11" x14ac:dyDescent="0.25">
      <c r="A1003" s="26" t="s">
        <v>120</v>
      </c>
      <c r="B1003" s="26" t="s">
        <v>111</v>
      </c>
      <c r="C1003" s="26">
        <v>0</v>
      </c>
      <c r="D1003" s="27">
        <v>43301</v>
      </c>
      <c r="E1003" s="26">
        <v>-635.41999999999996</v>
      </c>
      <c r="F1003" s="26" t="s">
        <v>2347</v>
      </c>
      <c r="G1003" s="26" t="s">
        <v>8</v>
      </c>
      <c r="H1003" s="26" t="s">
        <v>2348</v>
      </c>
      <c r="I1003" s="26" t="s">
        <v>106</v>
      </c>
      <c r="J1003" s="26">
        <v>0</v>
      </c>
      <c r="K1003" s="8" t="str">
        <f t="shared" si="15"/>
        <v>NICTONI</v>
      </c>
    </row>
    <row r="1004" spans="1:11" x14ac:dyDescent="0.25">
      <c r="A1004" s="26" t="s">
        <v>120</v>
      </c>
      <c r="B1004" s="26" t="s">
        <v>111</v>
      </c>
      <c r="C1004" s="26">
        <v>0</v>
      </c>
      <c r="D1004" s="27">
        <v>43301</v>
      </c>
      <c r="E1004" s="26">
        <v>-476.57</v>
      </c>
      <c r="F1004" s="26" t="s">
        <v>2349</v>
      </c>
      <c r="G1004" s="26" t="s">
        <v>8</v>
      </c>
      <c r="H1004" s="26" t="s">
        <v>2350</v>
      </c>
      <c r="I1004" s="26" t="s">
        <v>106</v>
      </c>
      <c r="J1004" s="26">
        <v>0</v>
      </c>
      <c r="K1004" s="8" t="str">
        <f t="shared" si="15"/>
        <v>NICTONI</v>
      </c>
    </row>
    <row r="1005" spans="1:11" x14ac:dyDescent="0.25">
      <c r="A1005" s="26" t="s">
        <v>120</v>
      </c>
      <c r="B1005" s="26" t="s">
        <v>111</v>
      </c>
      <c r="C1005" s="26">
        <v>0</v>
      </c>
      <c r="D1005" s="27">
        <v>43301</v>
      </c>
      <c r="E1005" s="26">
        <v>-317.70999999999998</v>
      </c>
      <c r="F1005" s="26" t="s">
        <v>2351</v>
      </c>
      <c r="G1005" s="26" t="s">
        <v>8</v>
      </c>
      <c r="H1005" s="26" t="s">
        <v>2352</v>
      </c>
      <c r="I1005" s="26" t="s">
        <v>106</v>
      </c>
      <c r="J1005" s="26">
        <v>0</v>
      </c>
      <c r="K1005" s="8" t="str">
        <f t="shared" si="15"/>
        <v>NICTONI</v>
      </c>
    </row>
    <row r="1006" spans="1:11" x14ac:dyDescent="0.25">
      <c r="A1006" s="26" t="s">
        <v>120</v>
      </c>
      <c r="B1006" s="26" t="s">
        <v>111</v>
      </c>
      <c r="C1006" s="26">
        <v>0</v>
      </c>
      <c r="D1006" s="27">
        <v>43304</v>
      </c>
      <c r="E1006" s="26">
        <v>-635.41999999999996</v>
      </c>
      <c r="F1006" s="26" t="s">
        <v>2353</v>
      </c>
      <c r="G1006" s="26" t="s">
        <v>8</v>
      </c>
      <c r="H1006" s="26" t="s">
        <v>2354</v>
      </c>
      <c r="I1006" s="26" t="s">
        <v>106</v>
      </c>
      <c r="J1006" s="26">
        <v>0</v>
      </c>
      <c r="K1006" s="8" t="str">
        <f t="shared" si="15"/>
        <v>NICTONI</v>
      </c>
    </row>
    <row r="1007" spans="1:11" x14ac:dyDescent="0.25">
      <c r="A1007" s="26" t="s">
        <v>120</v>
      </c>
      <c r="B1007" s="26" t="s">
        <v>111</v>
      </c>
      <c r="C1007" s="26">
        <v>0</v>
      </c>
      <c r="D1007" s="27">
        <v>43307</v>
      </c>
      <c r="E1007" s="26">
        <v>-556</v>
      </c>
      <c r="F1007" s="26" t="s">
        <v>2355</v>
      </c>
      <c r="G1007" s="26" t="s">
        <v>8</v>
      </c>
      <c r="H1007" s="26" t="s">
        <v>2356</v>
      </c>
      <c r="I1007" s="26" t="s">
        <v>106</v>
      </c>
      <c r="J1007" s="26">
        <v>0</v>
      </c>
      <c r="K1007" s="8" t="str">
        <f t="shared" si="15"/>
        <v>NICTONI</v>
      </c>
    </row>
    <row r="1008" spans="1:11" x14ac:dyDescent="0.25">
      <c r="A1008" s="26" t="s">
        <v>120</v>
      </c>
      <c r="B1008" s="26" t="s">
        <v>111</v>
      </c>
      <c r="C1008" s="26">
        <v>0</v>
      </c>
      <c r="D1008" s="27">
        <v>43308</v>
      </c>
      <c r="E1008" s="26">
        <v>-397.14</v>
      </c>
      <c r="F1008" s="26" t="s">
        <v>2357</v>
      </c>
      <c r="G1008" s="26" t="s">
        <v>8</v>
      </c>
      <c r="H1008" s="26" t="s">
        <v>2358</v>
      </c>
      <c r="I1008" s="26" t="s">
        <v>106</v>
      </c>
      <c r="J1008" s="26">
        <v>0</v>
      </c>
      <c r="K1008" s="8" t="str">
        <f t="shared" si="15"/>
        <v>NICTONI</v>
      </c>
    </row>
    <row r="1009" spans="1:11" x14ac:dyDescent="0.25">
      <c r="A1009" s="26" t="s">
        <v>120</v>
      </c>
      <c r="B1009" s="26" t="s">
        <v>111</v>
      </c>
      <c r="C1009" s="26">
        <v>0</v>
      </c>
      <c r="D1009" s="27">
        <v>43308</v>
      </c>
      <c r="E1009" s="26">
        <v>-476.57</v>
      </c>
      <c r="F1009" s="26" t="s">
        <v>2359</v>
      </c>
      <c r="G1009" s="26" t="s">
        <v>8</v>
      </c>
      <c r="H1009" s="26" t="s">
        <v>2360</v>
      </c>
      <c r="I1009" s="26" t="s">
        <v>106</v>
      </c>
      <c r="J1009" s="26">
        <v>0</v>
      </c>
      <c r="K1009" s="8" t="str">
        <f t="shared" si="15"/>
        <v>NICTONI</v>
      </c>
    </row>
    <row r="1010" spans="1:11" x14ac:dyDescent="0.25">
      <c r="A1010" s="26" t="s">
        <v>120</v>
      </c>
      <c r="B1010" s="26" t="s">
        <v>111</v>
      </c>
      <c r="C1010" s="26">
        <v>0</v>
      </c>
      <c r="D1010" s="27">
        <v>43308</v>
      </c>
      <c r="E1010" s="26">
        <v>-794.28</v>
      </c>
      <c r="F1010" s="26" t="s">
        <v>2361</v>
      </c>
      <c r="G1010" s="26" t="s">
        <v>8</v>
      </c>
      <c r="H1010" s="26" t="s">
        <v>2362</v>
      </c>
      <c r="I1010" s="26" t="s">
        <v>106</v>
      </c>
      <c r="J1010" s="26">
        <v>0</v>
      </c>
      <c r="K1010" s="8" t="str">
        <f t="shared" si="15"/>
        <v>NICTONI</v>
      </c>
    </row>
    <row r="1011" spans="1:11" x14ac:dyDescent="0.25">
      <c r="A1011" s="26" t="s">
        <v>120</v>
      </c>
      <c r="B1011" s="26" t="s">
        <v>111</v>
      </c>
      <c r="C1011" s="26">
        <v>0</v>
      </c>
      <c r="D1011" s="27">
        <v>43311</v>
      </c>
      <c r="E1011" s="26">
        <v>-1111.99</v>
      </c>
      <c r="F1011" s="26" t="s">
        <v>2363</v>
      </c>
      <c r="G1011" s="26" t="s">
        <v>8</v>
      </c>
      <c r="H1011" s="26" t="s">
        <v>2364</v>
      </c>
      <c r="I1011" s="26" t="s">
        <v>106</v>
      </c>
      <c r="J1011" s="26">
        <v>0</v>
      </c>
      <c r="K1011" s="8" t="str">
        <f t="shared" si="15"/>
        <v>NICTONI</v>
      </c>
    </row>
    <row r="1012" spans="1:11" x14ac:dyDescent="0.25">
      <c r="A1012" s="26" t="s">
        <v>120</v>
      </c>
      <c r="B1012" s="26" t="s">
        <v>111</v>
      </c>
      <c r="C1012" s="26">
        <v>0</v>
      </c>
      <c r="D1012" s="27">
        <v>43314</v>
      </c>
      <c r="E1012" s="26">
        <v>-1191.42</v>
      </c>
      <c r="F1012" s="26" t="s">
        <v>2365</v>
      </c>
      <c r="G1012" s="26" t="s">
        <v>8</v>
      </c>
      <c r="H1012" s="26" t="s">
        <v>2366</v>
      </c>
      <c r="I1012" s="26" t="s">
        <v>106</v>
      </c>
      <c r="J1012" s="26">
        <v>0</v>
      </c>
      <c r="K1012" s="8" t="str">
        <f t="shared" si="15"/>
        <v>NICTONI</v>
      </c>
    </row>
    <row r="1013" spans="1:11" x14ac:dyDescent="0.25">
      <c r="A1013" s="26" t="s">
        <v>120</v>
      </c>
      <c r="B1013" s="26" t="s">
        <v>111</v>
      </c>
      <c r="C1013" s="26">
        <v>0</v>
      </c>
      <c r="D1013" s="27">
        <v>43315</v>
      </c>
      <c r="E1013" s="26">
        <v>-1906.27</v>
      </c>
      <c r="F1013" s="26" t="s">
        <v>2367</v>
      </c>
      <c r="G1013" s="26" t="s">
        <v>8</v>
      </c>
      <c r="H1013" s="26" t="s">
        <v>2368</v>
      </c>
      <c r="I1013" s="26" t="s">
        <v>106</v>
      </c>
      <c r="J1013" s="26">
        <v>0</v>
      </c>
      <c r="K1013" s="8" t="str">
        <f t="shared" si="15"/>
        <v>NICTONI</v>
      </c>
    </row>
    <row r="1014" spans="1:11" x14ac:dyDescent="0.25">
      <c r="A1014" s="26" t="s">
        <v>120</v>
      </c>
      <c r="B1014" s="26" t="s">
        <v>111</v>
      </c>
      <c r="C1014" s="26">
        <v>0</v>
      </c>
      <c r="D1014" s="27">
        <v>43315</v>
      </c>
      <c r="E1014" s="26">
        <v>-11596.51</v>
      </c>
      <c r="F1014" s="26" t="s">
        <v>2369</v>
      </c>
      <c r="G1014" s="26" t="s">
        <v>8</v>
      </c>
      <c r="H1014" s="26" t="s">
        <v>2370</v>
      </c>
      <c r="I1014" s="26" t="s">
        <v>106</v>
      </c>
      <c r="J1014" s="26">
        <v>0</v>
      </c>
      <c r="K1014" s="8" t="str">
        <f t="shared" si="15"/>
        <v>NICTONI</v>
      </c>
    </row>
    <row r="1015" spans="1:11" x14ac:dyDescent="0.25">
      <c r="A1015" s="26" t="s">
        <v>120</v>
      </c>
      <c r="B1015" s="26" t="s">
        <v>111</v>
      </c>
      <c r="C1015" s="26">
        <v>0</v>
      </c>
      <c r="D1015" s="27">
        <v>43315</v>
      </c>
      <c r="E1015" s="26">
        <v>-4606.83</v>
      </c>
      <c r="F1015" s="26" t="s">
        <v>2371</v>
      </c>
      <c r="G1015" s="26" t="s">
        <v>8</v>
      </c>
      <c r="H1015" s="26" t="s">
        <v>2372</v>
      </c>
      <c r="I1015" s="26" t="s">
        <v>106</v>
      </c>
      <c r="J1015" s="26">
        <v>0</v>
      </c>
      <c r="K1015" s="8" t="str">
        <f t="shared" si="15"/>
        <v>NICTONI</v>
      </c>
    </row>
    <row r="1016" spans="1:11" x14ac:dyDescent="0.25">
      <c r="A1016" s="26" t="s">
        <v>120</v>
      </c>
      <c r="B1016" s="26" t="s">
        <v>111</v>
      </c>
      <c r="C1016" s="26">
        <v>0</v>
      </c>
      <c r="D1016" s="27">
        <v>43318</v>
      </c>
      <c r="E1016" s="26">
        <v>-23749.01</v>
      </c>
      <c r="F1016" s="26" t="s">
        <v>2373</v>
      </c>
      <c r="G1016" s="26" t="s">
        <v>8</v>
      </c>
      <c r="H1016" s="26" t="s">
        <v>2374</v>
      </c>
      <c r="I1016" s="26" t="s">
        <v>106</v>
      </c>
      <c r="J1016" s="26">
        <v>0</v>
      </c>
      <c r="K1016" s="8" t="str">
        <f t="shared" si="15"/>
        <v>NICTONI</v>
      </c>
    </row>
    <row r="1017" spans="1:11" x14ac:dyDescent="0.25">
      <c r="A1017" s="26" t="s">
        <v>120</v>
      </c>
      <c r="B1017" s="26" t="s">
        <v>111</v>
      </c>
      <c r="C1017" s="26">
        <v>0</v>
      </c>
      <c r="D1017" s="27">
        <v>43321</v>
      </c>
      <c r="E1017" s="26">
        <v>-48848.29</v>
      </c>
      <c r="F1017" s="26" t="s">
        <v>2375</v>
      </c>
      <c r="G1017" s="26" t="s">
        <v>8</v>
      </c>
      <c r="H1017" s="26" t="s">
        <v>2376</v>
      </c>
      <c r="I1017" s="26" t="s">
        <v>106</v>
      </c>
      <c r="J1017" s="26">
        <v>0</v>
      </c>
      <c r="K1017" s="8" t="str">
        <f t="shared" si="15"/>
        <v>NICTONI</v>
      </c>
    </row>
    <row r="1018" spans="1:11" x14ac:dyDescent="0.25">
      <c r="A1018" s="26" t="s">
        <v>120</v>
      </c>
      <c r="B1018" s="26" t="s">
        <v>111</v>
      </c>
      <c r="C1018" s="26">
        <v>0</v>
      </c>
      <c r="D1018" s="27">
        <v>43322</v>
      </c>
      <c r="E1018" s="26">
        <v>-4209.6899999999996</v>
      </c>
      <c r="F1018" s="26" t="s">
        <v>2377</v>
      </c>
      <c r="G1018" s="26" t="s">
        <v>8</v>
      </c>
      <c r="H1018" s="26" t="s">
        <v>2378</v>
      </c>
      <c r="I1018" s="26" t="s">
        <v>106</v>
      </c>
      <c r="J1018" s="26">
        <v>0</v>
      </c>
      <c r="K1018" s="8" t="str">
        <f t="shared" si="15"/>
        <v>NICTONI</v>
      </c>
    </row>
    <row r="1019" spans="1:11" x14ac:dyDescent="0.25">
      <c r="A1019" s="26" t="s">
        <v>120</v>
      </c>
      <c r="B1019" s="26" t="s">
        <v>111</v>
      </c>
      <c r="C1019" s="26">
        <v>0</v>
      </c>
      <c r="D1019" s="27">
        <v>43322</v>
      </c>
      <c r="E1019" s="26">
        <v>-1111.99</v>
      </c>
      <c r="F1019" s="26" t="s">
        <v>2379</v>
      </c>
      <c r="G1019" s="26" t="s">
        <v>8</v>
      </c>
      <c r="H1019" s="26" t="s">
        <v>2380</v>
      </c>
      <c r="I1019" s="26" t="s">
        <v>106</v>
      </c>
      <c r="J1019" s="26">
        <v>0</v>
      </c>
      <c r="K1019" s="8" t="str">
        <f t="shared" si="15"/>
        <v>NICTONI</v>
      </c>
    </row>
    <row r="1020" spans="1:11" x14ac:dyDescent="0.25">
      <c r="A1020" s="26" t="s">
        <v>120</v>
      </c>
      <c r="B1020" s="26" t="s">
        <v>111</v>
      </c>
      <c r="C1020" s="26">
        <v>0</v>
      </c>
      <c r="D1020" s="27">
        <v>43322</v>
      </c>
      <c r="E1020" s="26">
        <v>-794.28</v>
      </c>
      <c r="F1020" s="26" t="s">
        <v>2381</v>
      </c>
      <c r="G1020" s="26" t="s">
        <v>8</v>
      </c>
      <c r="H1020" s="26" t="s">
        <v>2382</v>
      </c>
      <c r="I1020" s="26" t="s">
        <v>106</v>
      </c>
      <c r="J1020" s="26">
        <v>0</v>
      </c>
      <c r="K1020" s="8" t="str">
        <f t="shared" si="15"/>
        <v>NICTONI</v>
      </c>
    </row>
    <row r="1021" spans="1:11" x14ac:dyDescent="0.25">
      <c r="A1021" s="26" t="s">
        <v>120</v>
      </c>
      <c r="B1021" s="26" t="s">
        <v>111</v>
      </c>
      <c r="C1021" s="26">
        <v>0</v>
      </c>
      <c r="D1021" s="27">
        <v>43325</v>
      </c>
      <c r="E1021" s="26">
        <v>-1032.57</v>
      </c>
      <c r="F1021" s="26" t="s">
        <v>2383</v>
      </c>
      <c r="G1021" s="26" t="s">
        <v>8</v>
      </c>
      <c r="H1021" s="26" t="s">
        <v>2384</v>
      </c>
      <c r="I1021" s="26" t="s">
        <v>106</v>
      </c>
      <c r="J1021" s="26">
        <v>0</v>
      </c>
      <c r="K1021" s="8" t="str">
        <f t="shared" si="15"/>
        <v>NICTONI</v>
      </c>
    </row>
    <row r="1022" spans="1:11" x14ac:dyDescent="0.25">
      <c r="A1022" s="26" t="s">
        <v>120</v>
      </c>
      <c r="B1022" s="26" t="s">
        <v>111</v>
      </c>
      <c r="C1022" s="26">
        <v>0</v>
      </c>
      <c r="D1022" s="27">
        <v>43328</v>
      </c>
      <c r="E1022" s="26">
        <v>-476.57</v>
      </c>
      <c r="F1022" s="26" t="s">
        <v>2385</v>
      </c>
      <c r="G1022" s="26" t="s">
        <v>8</v>
      </c>
      <c r="H1022" s="26" t="s">
        <v>2386</v>
      </c>
      <c r="I1022" s="26" t="s">
        <v>106</v>
      </c>
      <c r="J1022" s="26">
        <v>0</v>
      </c>
      <c r="K1022" s="8" t="str">
        <f t="shared" si="15"/>
        <v>NICTONI</v>
      </c>
    </row>
    <row r="1023" spans="1:11" x14ac:dyDescent="0.25">
      <c r="A1023" s="26" t="s">
        <v>120</v>
      </c>
      <c r="B1023" s="26" t="s">
        <v>111</v>
      </c>
      <c r="C1023" s="26">
        <v>0</v>
      </c>
      <c r="D1023" s="27">
        <v>43329</v>
      </c>
      <c r="E1023" s="26">
        <v>-238.28</v>
      </c>
      <c r="F1023" s="26" t="s">
        <v>2387</v>
      </c>
      <c r="G1023" s="26" t="s">
        <v>8</v>
      </c>
      <c r="H1023" s="26" t="s">
        <v>2388</v>
      </c>
      <c r="I1023" s="26" t="s">
        <v>106</v>
      </c>
      <c r="J1023" s="26">
        <v>0</v>
      </c>
      <c r="K1023" s="8" t="str">
        <f t="shared" si="15"/>
        <v>NICTONI</v>
      </c>
    </row>
    <row r="1024" spans="1:11" x14ac:dyDescent="0.25">
      <c r="A1024" s="26" t="s">
        <v>120</v>
      </c>
      <c r="B1024" s="26" t="s">
        <v>111</v>
      </c>
      <c r="C1024" s="26">
        <v>0</v>
      </c>
      <c r="D1024" s="27">
        <v>43329</v>
      </c>
      <c r="E1024" s="26">
        <v>-873.71</v>
      </c>
      <c r="F1024" s="26" t="s">
        <v>2389</v>
      </c>
      <c r="G1024" s="26" t="s">
        <v>8</v>
      </c>
      <c r="H1024" s="26" t="s">
        <v>2390</v>
      </c>
      <c r="I1024" s="26" t="s">
        <v>106</v>
      </c>
      <c r="J1024" s="26">
        <v>0</v>
      </c>
      <c r="K1024" s="8" t="str">
        <f t="shared" si="15"/>
        <v>NICTONI</v>
      </c>
    </row>
    <row r="1025" spans="1:11" x14ac:dyDescent="0.25">
      <c r="A1025" s="26" t="s">
        <v>120</v>
      </c>
      <c r="B1025" s="26" t="s">
        <v>111</v>
      </c>
      <c r="C1025" s="26">
        <v>0</v>
      </c>
      <c r="D1025" s="27">
        <v>43329</v>
      </c>
      <c r="E1025" s="26">
        <v>-238.28</v>
      </c>
      <c r="F1025" s="26" t="s">
        <v>2391</v>
      </c>
      <c r="G1025" s="26" t="s">
        <v>8</v>
      </c>
      <c r="H1025" s="26" t="s">
        <v>2392</v>
      </c>
      <c r="I1025" s="26" t="s">
        <v>106</v>
      </c>
      <c r="J1025" s="26">
        <v>0</v>
      </c>
      <c r="K1025" s="8" t="str">
        <f t="shared" si="15"/>
        <v>NICTONI</v>
      </c>
    </row>
    <row r="1026" spans="1:11" x14ac:dyDescent="0.25">
      <c r="A1026" s="26" t="s">
        <v>120</v>
      </c>
      <c r="B1026" s="26" t="s">
        <v>111</v>
      </c>
      <c r="C1026" s="26">
        <v>0</v>
      </c>
      <c r="D1026" s="27">
        <v>43336</v>
      </c>
      <c r="E1026" s="26">
        <v>-238.28</v>
      </c>
      <c r="F1026" s="26" t="s">
        <v>2393</v>
      </c>
      <c r="G1026" s="26" t="s">
        <v>8</v>
      </c>
      <c r="H1026" s="26" t="s">
        <v>2394</v>
      </c>
      <c r="I1026" s="26" t="s">
        <v>106</v>
      </c>
      <c r="J1026" s="26">
        <v>0</v>
      </c>
      <c r="K1026" s="8" t="str">
        <f t="shared" si="15"/>
        <v>NICTONI</v>
      </c>
    </row>
    <row r="1027" spans="1:11" x14ac:dyDescent="0.25">
      <c r="A1027" s="26" t="s">
        <v>120</v>
      </c>
      <c r="B1027" s="26" t="s">
        <v>111</v>
      </c>
      <c r="C1027" s="26">
        <v>0</v>
      </c>
      <c r="D1027" s="27">
        <v>43336</v>
      </c>
      <c r="E1027" s="26">
        <v>-556</v>
      </c>
      <c r="F1027" s="26" t="s">
        <v>2395</v>
      </c>
      <c r="G1027" s="26" t="s">
        <v>8</v>
      </c>
      <c r="H1027" s="26" t="s">
        <v>2396</v>
      </c>
      <c r="I1027" s="26" t="s">
        <v>106</v>
      </c>
      <c r="J1027" s="26">
        <v>0</v>
      </c>
      <c r="K1027" s="8" t="str">
        <f t="shared" ref="K1027:K1090" si="16">LEFT(A1027,FIND("/",A1027)-1)</f>
        <v>NICTONI</v>
      </c>
    </row>
    <row r="1028" spans="1:11" x14ac:dyDescent="0.25">
      <c r="A1028" s="26" t="s">
        <v>120</v>
      </c>
      <c r="B1028" s="26" t="s">
        <v>111</v>
      </c>
      <c r="C1028" s="26">
        <v>0</v>
      </c>
      <c r="D1028" s="27">
        <v>43336</v>
      </c>
      <c r="E1028" s="26">
        <v>-158.86000000000001</v>
      </c>
      <c r="F1028" s="26" t="s">
        <v>2397</v>
      </c>
      <c r="G1028" s="26" t="s">
        <v>8</v>
      </c>
      <c r="H1028" s="26" t="s">
        <v>2398</v>
      </c>
      <c r="I1028" s="26" t="s">
        <v>106</v>
      </c>
      <c r="J1028" s="26">
        <v>0</v>
      </c>
      <c r="K1028" s="8" t="str">
        <f t="shared" si="16"/>
        <v>NICTONI</v>
      </c>
    </row>
    <row r="1029" spans="1:11" x14ac:dyDescent="0.25">
      <c r="A1029" s="26" t="s">
        <v>120</v>
      </c>
      <c r="B1029" s="26" t="s">
        <v>111</v>
      </c>
      <c r="C1029" s="26">
        <v>0</v>
      </c>
      <c r="D1029" s="27">
        <v>43339</v>
      </c>
      <c r="E1029" s="26">
        <v>-1032.57</v>
      </c>
      <c r="F1029" s="26" t="s">
        <v>2399</v>
      </c>
      <c r="G1029" s="26" t="s">
        <v>8</v>
      </c>
      <c r="H1029" s="26" t="s">
        <v>2400</v>
      </c>
      <c r="I1029" s="26" t="s">
        <v>106</v>
      </c>
      <c r="J1029" s="26">
        <v>0</v>
      </c>
      <c r="K1029" s="8" t="str">
        <f t="shared" si="16"/>
        <v>NICTONI</v>
      </c>
    </row>
    <row r="1030" spans="1:11" x14ac:dyDescent="0.25">
      <c r="A1030" s="26" t="s">
        <v>120</v>
      </c>
      <c r="B1030" s="26" t="s">
        <v>111</v>
      </c>
      <c r="C1030" s="26">
        <v>0</v>
      </c>
      <c r="D1030" s="27">
        <v>43342</v>
      </c>
      <c r="E1030" s="26">
        <v>-873.71</v>
      </c>
      <c r="F1030" s="26" t="s">
        <v>2401</v>
      </c>
      <c r="G1030" s="26" t="s">
        <v>8</v>
      </c>
      <c r="H1030" s="26" t="s">
        <v>2402</v>
      </c>
      <c r="I1030" s="26" t="s">
        <v>106</v>
      </c>
      <c r="J1030" s="26">
        <v>0</v>
      </c>
      <c r="K1030" s="8" t="str">
        <f t="shared" si="16"/>
        <v>NICTONI</v>
      </c>
    </row>
    <row r="1031" spans="1:11" x14ac:dyDescent="0.25">
      <c r="A1031" s="26" t="s">
        <v>120</v>
      </c>
      <c r="B1031" s="26" t="s">
        <v>111</v>
      </c>
      <c r="C1031" s="26">
        <v>0</v>
      </c>
      <c r="D1031" s="27">
        <v>43343</v>
      </c>
      <c r="E1031" s="26">
        <v>-11119.94</v>
      </c>
      <c r="F1031" s="26" t="s">
        <v>2403</v>
      </c>
      <c r="G1031" s="26" t="s">
        <v>8</v>
      </c>
      <c r="H1031" s="26" t="s">
        <v>2404</v>
      </c>
      <c r="I1031" s="26" t="s">
        <v>106</v>
      </c>
      <c r="J1031" s="26">
        <v>0</v>
      </c>
      <c r="K1031" s="8" t="str">
        <f t="shared" si="16"/>
        <v>NICTONI</v>
      </c>
    </row>
    <row r="1032" spans="1:11" x14ac:dyDescent="0.25">
      <c r="A1032" s="26" t="s">
        <v>120</v>
      </c>
      <c r="B1032" s="26" t="s">
        <v>111</v>
      </c>
      <c r="C1032" s="26">
        <v>0</v>
      </c>
      <c r="D1032" s="27">
        <v>43343</v>
      </c>
      <c r="E1032" s="26">
        <v>-7227.96</v>
      </c>
      <c r="F1032" s="26" t="s">
        <v>2405</v>
      </c>
      <c r="G1032" s="26" t="s">
        <v>8</v>
      </c>
      <c r="H1032" s="26" t="s">
        <v>2406</v>
      </c>
      <c r="I1032" s="26" t="s">
        <v>106</v>
      </c>
      <c r="J1032" s="26">
        <v>0</v>
      </c>
      <c r="K1032" s="8" t="str">
        <f t="shared" si="16"/>
        <v>NICTONI</v>
      </c>
    </row>
    <row r="1033" spans="1:11" x14ac:dyDescent="0.25">
      <c r="A1033" s="26" t="s">
        <v>120</v>
      </c>
      <c r="B1033" s="26" t="s">
        <v>111</v>
      </c>
      <c r="C1033" s="26">
        <v>0</v>
      </c>
      <c r="D1033" s="27">
        <v>43346</v>
      </c>
      <c r="E1033" s="26">
        <v>-6115.97</v>
      </c>
      <c r="F1033" s="26" t="s">
        <v>2407</v>
      </c>
      <c r="G1033" s="26" t="s">
        <v>8</v>
      </c>
      <c r="H1033" s="26" t="s">
        <v>2408</v>
      </c>
      <c r="I1033" s="26" t="s">
        <v>106</v>
      </c>
      <c r="J1033" s="26">
        <v>0</v>
      </c>
      <c r="K1033" s="8" t="str">
        <f t="shared" si="16"/>
        <v>NICTONI</v>
      </c>
    </row>
    <row r="1034" spans="1:11" x14ac:dyDescent="0.25">
      <c r="A1034" s="26" t="s">
        <v>120</v>
      </c>
      <c r="B1034" s="26" t="s">
        <v>111</v>
      </c>
      <c r="C1034" s="26">
        <v>0</v>
      </c>
      <c r="D1034" s="27">
        <v>43349</v>
      </c>
      <c r="E1034" s="26">
        <v>-15250.2</v>
      </c>
      <c r="F1034" s="26" t="s">
        <v>2409</v>
      </c>
      <c r="G1034" s="26" t="s">
        <v>8</v>
      </c>
      <c r="H1034" s="26" t="s">
        <v>2410</v>
      </c>
      <c r="I1034" s="26" t="s">
        <v>106</v>
      </c>
      <c r="J1034" s="26">
        <v>0</v>
      </c>
      <c r="K1034" s="8" t="str">
        <f t="shared" si="16"/>
        <v>NICTONI</v>
      </c>
    </row>
    <row r="1035" spans="1:11" x14ac:dyDescent="0.25">
      <c r="A1035" s="26" t="s">
        <v>120</v>
      </c>
      <c r="B1035" s="26" t="s">
        <v>111</v>
      </c>
      <c r="C1035" s="26">
        <v>0</v>
      </c>
      <c r="D1035" s="27">
        <v>43350</v>
      </c>
      <c r="E1035" s="26">
        <v>-5321.68</v>
      </c>
      <c r="F1035" s="26" t="s">
        <v>2411</v>
      </c>
      <c r="G1035" s="26" t="s">
        <v>8</v>
      </c>
      <c r="H1035" s="26" t="s">
        <v>2412</v>
      </c>
      <c r="I1035" s="26" t="s">
        <v>106</v>
      </c>
      <c r="J1035" s="26">
        <v>0</v>
      </c>
      <c r="K1035" s="8" t="str">
        <f t="shared" si="16"/>
        <v>NICTONI</v>
      </c>
    </row>
    <row r="1036" spans="1:11" x14ac:dyDescent="0.25">
      <c r="A1036" s="26" t="s">
        <v>120</v>
      </c>
      <c r="B1036" s="26" t="s">
        <v>111</v>
      </c>
      <c r="C1036" s="26">
        <v>0</v>
      </c>
      <c r="D1036" s="27">
        <v>43350</v>
      </c>
      <c r="E1036" s="26">
        <v>-8339.9500000000007</v>
      </c>
      <c r="F1036" s="26" t="s">
        <v>2413</v>
      </c>
      <c r="G1036" s="26" t="s">
        <v>8</v>
      </c>
      <c r="H1036" s="26" t="s">
        <v>2414</v>
      </c>
      <c r="I1036" s="26" t="s">
        <v>106</v>
      </c>
      <c r="J1036" s="26">
        <v>0</v>
      </c>
      <c r="K1036" s="8" t="str">
        <f t="shared" si="16"/>
        <v>NICTONI</v>
      </c>
    </row>
    <row r="1037" spans="1:11" x14ac:dyDescent="0.25">
      <c r="A1037" s="26" t="s">
        <v>120</v>
      </c>
      <c r="B1037" s="26" t="s">
        <v>111</v>
      </c>
      <c r="C1037" s="26">
        <v>0</v>
      </c>
      <c r="D1037" s="27">
        <v>43350</v>
      </c>
      <c r="E1037" s="26">
        <v>-63621.919999999998</v>
      </c>
      <c r="F1037" s="26" t="s">
        <v>2415</v>
      </c>
      <c r="G1037" s="26" t="s">
        <v>8</v>
      </c>
      <c r="H1037" s="26" t="s">
        <v>2416</v>
      </c>
      <c r="I1037" s="26" t="s">
        <v>106</v>
      </c>
      <c r="J1037" s="26">
        <v>0</v>
      </c>
      <c r="K1037" s="8" t="str">
        <f t="shared" si="16"/>
        <v>NICTONI</v>
      </c>
    </row>
    <row r="1038" spans="1:11" x14ac:dyDescent="0.25">
      <c r="A1038" s="26" t="s">
        <v>120</v>
      </c>
      <c r="B1038" s="26" t="s">
        <v>111</v>
      </c>
      <c r="C1038" s="26">
        <v>0</v>
      </c>
      <c r="D1038" s="27">
        <v>43353</v>
      </c>
      <c r="E1038" s="26">
        <v>-1509.13</v>
      </c>
      <c r="F1038" s="26" t="s">
        <v>2417</v>
      </c>
      <c r="G1038" s="26" t="s">
        <v>8</v>
      </c>
      <c r="H1038" s="26" t="s">
        <v>2418</v>
      </c>
      <c r="I1038" s="26" t="s">
        <v>106</v>
      </c>
      <c r="J1038" s="26">
        <v>0</v>
      </c>
      <c r="K1038" s="8" t="str">
        <f t="shared" si="16"/>
        <v>NICTONI</v>
      </c>
    </row>
    <row r="1039" spans="1:11" x14ac:dyDescent="0.25">
      <c r="A1039" s="26" t="s">
        <v>120</v>
      </c>
      <c r="B1039" s="26" t="s">
        <v>111</v>
      </c>
      <c r="C1039" s="26">
        <v>0</v>
      </c>
      <c r="D1039" s="27">
        <v>43356</v>
      </c>
      <c r="E1039" s="26">
        <v>-1350.28</v>
      </c>
      <c r="F1039" s="26" t="s">
        <v>2419</v>
      </c>
      <c r="G1039" s="26" t="s">
        <v>8</v>
      </c>
      <c r="H1039" s="26" t="s">
        <v>2420</v>
      </c>
      <c r="I1039" s="26" t="s">
        <v>106</v>
      </c>
      <c r="J1039" s="26">
        <v>0</v>
      </c>
      <c r="K1039" s="8" t="str">
        <f t="shared" si="16"/>
        <v>NICTONI</v>
      </c>
    </row>
    <row r="1040" spans="1:11" x14ac:dyDescent="0.25">
      <c r="A1040" s="26" t="s">
        <v>120</v>
      </c>
      <c r="B1040" s="26" t="s">
        <v>111</v>
      </c>
      <c r="C1040" s="26">
        <v>0</v>
      </c>
      <c r="D1040" s="27">
        <v>43357</v>
      </c>
      <c r="E1040" s="26">
        <v>-1350.28</v>
      </c>
      <c r="F1040" s="26" t="s">
        <v>2421</v>
      </c>
      <c r="G1040" s="26" t="s">
        <v>8</v>
      </c>
      <c r="H1040" s="26" t="s">
        <v>2422</v>
      </c>
      <c r="I1040" s="26" t="s">
        <v>106</v>
      </c>
      <c r="J1040" s="26">
        <v>0</v>
      </c>
      <c r="K1040" s="8" t="str">
        <f t="shared" si="16"/>
        <v>NICTONI</v>
      </c>
    </row>
    <row r="1041" spans="1:11" x14ac:dyDescent="0.25">
      <c r="A1041" s="26" t="s">
        <v>120</v>
      </c>
      <c r="B1041" s="26" t="s">
        <v>111</v>
      </c>
      <c r="C1041" s="26">
        <v>0</v>
      </c>
      <c r="D1041" s="27">
        <v>43357</v>
      </c>
      <c r="E1041" s="26">
        <v>-476.57</v>
      </c>
      <c r="F1041" s="26" t="s">
        <v>2423</v>
      </c>
      <c r="G1041" s="26" t="s">
        <v>8</v>
      </c>
      <c r="H1041" s="26" t="s">
        <v>2424</v>
      </c>
      <c r="I1041" s="26" t="s">
        <v>106</v>
      </c>
      <c r="J1041" s="26">
        <v>0</v>
      </c>
      <c r="K1041" s="8" t="str">
        <f t="shared" si="16"/>
        <v>NICTONI</v>
      </c>
    </row>
    <row r="1042" spans="1:11" x14ac:dyDescent="0.25">
      <c r="A1042" s="26" t="s">
        <v>120</v>
      </c>
      <c r="B1042" s="26" t="s">
        <v>111</v>
      </c>
      <c r="C1042" s="26">
        <v>0</v>
      </c>
      <c r="D1042" s="27">
        <v>43357</v>
      </c>
      <c r="E1042" s="26">
        <v>-714.85</v>
      </c>
      <c r="F1042" s="26" t="s">
        <v>2425</v>
      </c>
      <c r="G1042" s="26" t="s">
        <v>8</v>
      </c>
      <c r="H1042" s="26" t="s">
        <v>2426</v>
      </c>
      <c r="I1042" s="26" t="s">
        <v>106</v>
      </c>
      <c r="J1042" s="26">
        <v>0</v>
      </c>
      <c r="K1042" s="8" t="str">
        <f t="shared" si="16"/>
        <v>NICTONI</v>
      </c>
    </row>
    <row r="1043" spans="1:11" x14ac:dyDescent="0.25">
      <c r="A1043" s="26" t="s">
        <v>120</v>
      </c>
      <c r="B1043" s="26" t="s">
        <v>111</v>
      </c>
      <c r="C1043" s="26">
        <v>0</v>
      </c>
      <c r="D1043" s="27">
        <v>43360</v>
      </c>
      <c r="E1043" s="26">
        <v>-635.41999999999996</v>
      </c>
      <c r="F1043" s="26" t="s">
        <v>2427</v>
      </c>
      <c r="G1043" s="26" t="s">
        <v>8</v>
      </c>
      <c r="H1043" s="26" t="s">
        <v>2428</v>
      </c>
      <c r="I1043" s="26" t="s">
        <v>106</v>
      </c>
      <c r="J1043" s="26">
        <v>0</v>
      </c>
      <c r="K1043" s="8" t="str">
        <f t="shared" si="16"/>
        <v>NICTONI</v>
      </c>
    </row>
    <row r="1044" spans="1:11" x14ac:dyDescent="0.25">
      <c r="A1044" s="26" t="s">
        <v>123</v>
      </c>
      <c r="B1044" s="26" t="s">
        <v>111</v>
      </c>
      <c r="C1044" s="26">
        <v>0</v>
      </c>
      <c r="D1044" s="27">
        <v>43244</v>
      </c>
      <c r="E1044" s="26">
        <v>-41302.620000000003</v>
      </c>
      <c r="F1044" s="26" t="s">
        <v>2429</v>
      </c>
      <c r="G1044" s="26" t="s">
        <v>8</v>
      </c>
      <c r="H1044" s="26" t="s">
        <v>2430</v>
      </c>
      <c r="I1044" s="26" t="s">
        <v>106</v>
      </c>
      <c r="J1044" s="26">
        <v>0</v>
      </c>
      <c r="K1044" s="8" t="str">
        <f t="shared" si="16"/>
        <v>NICSTONIF</v>
      </c>
    </row>
    <row r="1045" spans="1:11" x14ac:dyDescent="0.25">
      <c r="A1045" s="26" t="s">
        <v>123</v>
      </c>
      <c r="B1045" s="26" t="s">
        <v>111</v>
      </c>
      <c r="C1045" s="26">
        <v>0</v>
      </c>
      <c r="D1045" s="27">
        <v>43251</v>
      </c>
      <c r="E1045" s="26">
        <v>-65131.06</v>
      </c>
      <c r="F1045" s="26" t="s">
        <v>2431</v>
      </c>
      <c r="G1045" s="26" t="s">
        <v>8</v>
      </c>
      <c r="H1045" s="26" t="s">
        <v>2432</v>
      </c>
      <c r="I1045" s="26" t="s">
        <v>106</v>
      </c>
      <c r="J1045" s="26">
        <v>0</v>
      </c>
      <c r="K1045" s="8" t="str">
        <f t="shared" si="16"/>
        <v>NICSTONIF</v>
      </c>
    </row>
    <row r="1046" spans="1:11" x14ac:dyDescent="0.25">
      <c r="A1046" s="26" t="s">
        <v>123</v>
      </c>
      <c r="B1046" s="26" t="s">
        <v>111</v>
      </c>
      <c r="C1046" s="26">
        <v>0</v>
      </c>
      <c r="D1046" s="27">
        <v>43287</v>
      </c>
      <c r="E1046" s="26">
        <v>-199364.58</v>
      </c>
      <c r="F1046" s="26" t="s">
        <v>2433</v>
      </c>
      <c r="G1046" s="26" t="s">
        <v>8</v>
      </c>
      <c r="H1046" s="26" t="s">
        <v>2434</v>
      </c>
      <c r="I1046" s="26" t="s">
        <v>106</v>
      </c>
      <c r="J1046" s="26">
        <v>0</v>
      </c>
      <c r="K1046" s="8" t="str">
        <f t="shared" si="16"/>
        <v>NICSTONIF</v>
      </c>
    </row>
    <row r="1047" spans="1:11" x14ac:dyDescent="0.25">
      <c r="A1047" s="26" t="s">
        <v>123</v>
      </c>
      <c r="B1047" s="26" t="s">
        <v>111</v>
      </c>
      <c r="C1047" s="26">
        <v>0</v>
      </c>
      <c r="D1047" s="27">
        <v>43293</v>
      </c>
      <c r="E1047" s="26">
        <v>-888006.35</v>
      </c>
      <c r="F1047" s="26" t="s">
        <v>2435</v>
      </c>
      <c r="G1047" s="26" t="s">
        <v>8</v>
      </c>
      <c r="H1047" s="26" t="s">
        <v>2436</v>
      </c>
      <c r="I1047" s="26" t="s">
        <v>106</v>
      </c>
      <c r="J1047" s="26">
        <v>0</v>
      </c>
      <c r="K1047" s="8" t="str">
        <f t="shared" si="16"/>
        <v>NICSTONIF</v>
      </c>
    </row>
    <row r="1048" spans="1:11" x14ac:dyDescent="0.25">
      <c r="A1048" s="26" t="s">
        <v>138</v>
      </c>
      <c r="B1048" s="26" t="s">
        <v>111</v>
      </c>
      <c r="C1048" s="26">
        <v>0</v>
      </c>
      <c r="D1048" s="27">
        <v>43293</v>
      </c>
      <c r="E1048" s="26">
        <v>888006.35</v>
      </c>
      <c r="F1048" s="26" t="s">
        <v>2437</v>
      </c>
      <c r="G1048" s="26" t="s">
        <v>8</v>
      </c>
      <c r="H1048" s="26" t="s">
        <v>2438</v>
      </c>
      <c r="I1048" s="26" t="s">
        <v>106</v>
      </c>
      <c r="J1048" s="26">
        <v>0</v>
      </c>
      <c r="K1048" s="8" t="str">
        <f t="shared" si="16"/>
        <v>NICSTONIF</v>
      </c>
    </row>
    <row r="1049" spans="1:11" x14ac:dyDescent="0.25">
      <c r="A1049" s="26" t="s">
        <v>123</v>
      </c>
      <c r="B1049" s="26" t="s">
        <v>111</v>
      </c>
      <c r="C1049" s="26">
        <v>0</v>
      </c>
      <c r="D1049" s="27">
        <v>43297</v>
      </c>
      <c r="E1049" s="26">
        <v>-42096.9</v>
      </c>
      <c r="F1049" s="26" t="s">
        <v>2439</v>
      </c>
      <c r="G1049" s="26" t="s">
        <v>8</v>
      </c>
      <c r="H1049" s="26" t="s">
        <v>2440</v>
      </c>
      <c r="I1049" s="26" t="s">
        <v>106</v>
      </c>
      <c r="J1049" s="26">
        <v>0</v>
      </c>
      <c r="K1049" s="8" t="str">
        <f t="shared" si="16"/>
        <v>NICSTONIF</v>
      </c>
    </row>
    <row r="1050" spans="1:11" x14ac:dyDescent="0.25">
      <c r="A1050" s="26" t="s">
        <v>138</v>
      </c>
      <c r="B1050" s="26" t="s">
        <v>111</v>
      </c>
      <c r="C1050" s="26">
        <v>0</v>
      </c>
      <c r="D1050" s="27">
        <v>43297</v>
      </c>
      <c r="E1050" s="26">
        <v>42096.9</v>
      </c>
      <c r="F1050" s="26" t="s">
        <v>2441</v>
      </c>
      <c r="G1050" s="26" t="s">
        <v>8</v>
      </c>
      <c r="H1050" s="26" t="s">
        <v>2442</v>
      </c>
      <c r="I1050" s="26" t="s">
        <v>106</v>
      </c>
      <c r="J1050" s="26">
        <v>0</v>
      </c>
      <c r="K1050" s="8" t="str">
        <f t="shared" si="16"/>
        <v>NICSTONIF</v>
      </c>
    </row>
    <row r="1051" spans="1:11" x14ac:dyDescent="0.25">
      <c r="A1051" s="26" t="s">
        <v>123</v>
      </c>
      <c r="B1051" s="26" t="s">
        <v>111</v>
      </c>
      <c r="C1051" s="26">
        <v>0</v>
      </c>
      <c r="D1051" s="27">
        <v>43307</v>
      </c>
      <c r="E1051" s="26">
        <v>-46862.59</v>
      </c>
      <c r="F1051" s="26" t="s">
        <v>2443</v>
      </c>
      <c r="G1051" s="26" t="s">
        <v>8</v>
      </c>
      <c r="H1051" s="26" t="s">
        <v>2444</v>
      </c>
      <c r="I1051" s="26" t="s">
        <v>106</v>
      </c>
      <c r="J1051" s="26">
        <v>0</v>
      </c>
      <c r="K1051" s="8" t="str">
        <f t="shared" si="16"/>
        <v>NICSTONIF</v>
      </c>
    </row>
    <row r="1052" spans="1:11" x14ac:dyDescent="0.25">
      <c r="A1052" s="26" t="s">
        <v>138</v>
      </c>
      <c r="B1052" s="26" t="s">
        <v>111</v>
      </c>
      <c r="C1052" s="26">
        <v>0</v>
      </c>
      <c r="D1052" s="27">
        <v>43307</v>
      </c>
      <c r="E1052" s="26">
        <v>46862.59</v>
      </c>
      <c r="F1052" s="26" t="s">
        <v>2445</v>
      </c>
      <c r="G1052" s="26" t="s">
        <v>8</v>
      </c>
      <c r="H1052" s="26" t="s">
        <v>2446</v>
      </c>
      <c r="I1052" s="26" t="s">
        <v>106</v>
      </c>
      <c r="J1052" s="26">
        <v>0</v>
      </c>
      <c r="K1052" s="8" t="str">
        <f t="shared" si="16"/>
        <v>NICSTONIF</v>
      </c>
    </row>
    <row r="1053" spans="1:11" x14ac:dyDescent="0.25">
      <c r="A1053" s="26" t="s">
        <v>123</v>
      </c>
      <c r="B1053" s="26" t="s">
        <v>111</v>
      </c>
      <c r="C1053" s="26">
        <v>0</v>
      </c>
      <c r="D1053" s="27">
        <v>43314</v>
      </c>
      <c r="E1053" s="26">
        <v>-138999.21</v>
      </c>
      <c r="F1053" s="26" t="s">
        <v>2447</v>
      </c>
      <c r="G1053" s="26" t="s">
        <v>8</v>
      </c>
      <c r="H1053" s="26" t="s">
        <v>2448</v>
      </c>
      <c r="I1053" s="26" t="s">
        <v>106</v>
      </c>
      <c r="J1053" s="26">
        <v>0</v>
      </c>
      <c r="K1053" s="8" t="str">
        <f t="shared" si="16"/>
        <v>NICSTONIF</v>
      </c>
    </row>
    <row r="1054" spans="1:11" x14ac:dyDescent="0.25">
      <c r="A1054" s="26" t="s">
        <v>138</v>
      </c>
      <c r="B1054" s="26" t="s">
        <v>111</v>
      </c>
      <c r="C1054" s="26">
        <v>0</v>
      </c>
      <c r="D1054" s="27">
        <v>43314</v>
      </c>
      <c r="E1054" s="26">
        <v>138999.21</v>
      </c>
      <c r="F1054" s="26" t="s">
        <v>2449</v>
      </c>
      <c r="G1054" s="26" t="s">
        <v>8</v>
      </c>
      <c r="H1054" s="26" t="s">
        <v>2450</v>
      </c>
      <c r="I1054" s="26" t="s">
        <v>106</v>
      </c>
      <c r="J1054" s="26">
        <v>0</v>
      </c>
      <c r="K1054" s="8" t="str">
        <f t="shared" si="16"/>
        <v>NICSTONIF</v>
      </c>
    </row>
    <row r="1055" spans="1:11" x14ac:dyDescent="0.25">
      <c r="A1055" s="26" t="s">
        <v>123</v>
      </c>
      <c r="B1055" s="26" t="s">
        <v>111</v>
      </c>
      <c r="C1055" s="26">
        <v>0</v>
      </c>
      <c r="D1055" s="27">
        <v>43315</v>
      </c>
      <c r="E1055" s="26">
        <v>-247021.45</v>
      </c>
      <c r="F1055" s="26" t="s">
        <v>2451</v>
      </c>
      <c r="G1055" s="26" t="s">
        <v>8</v>
      </c>
      <c r="H1055" s="26" t="s">
        <v>2452</v>
      </c>
      <c r="I1055" s="26" t="s">
        <v>106</v>
      </c>
      <c r="J1055" s="26">
        <v>0</v>
      </c>
      <c r="K1055" s="8" t="str">
        <f t="shared" si="16"/>
        <v>NICSTONIF</v>
      </c>
    </row>
    <row r="1056" spans="1:11" x14ac:dyDescent="0.25">
      <c r="A1056" s="26" t="s">
        <v>138</v>
      </c>
      <c r="B1056" s="26" t="s">
        <v>111</v>
      </c>
      <c r="C1056" s="26">
        <v>0</v>
      </c>
      <c r="D1056" s="27">
        <v>43315</v>
      </c>
      <c r="E1056" s="26">
        <v>247021.45</v>
      </c>
      <c r="F1056" s="26" t="s">
        <v>2453</v>
      </c>
      <c r="G1056" s="26" t="s">
        <v>8</v>
      </c>
      <c r="H1056" s="26" t="s">
        <v>2454</v>
      </c>
      <c r="I1056" s="26" t="s">
        <v>106</v>
      </c>
      <c r="J1056" s="26">
        <v>0</v>
      </c>
      <c r="K1056" s="8" t="str">
        <f t="shared" si="16"/>
        <v>NICSTONIF</v>
      </c>
    </row>
    <row r="1057" spans="1:11" x14ac:dyDescent="0.25">
      <c r="A1057" s="26" t="s">
        <v>123</v>
      </c>
      <c r="B1057" s="26" t="s">
        <v>111</v>
      </c>
      <c r="C1057" s="26">
        <v>0</v>
      </c>
      <c r="D1057" s="27">
        <v>43315</v>
      </c>
      <c r="E1057" s="26">
        <v>-768069.9</v>
      </c>
      <c r="F1057" s="26" t="s">
        <v>2455</v>
      </c>
      <c r="G1057" s="26" t="s">
        <v>8</v>
      </c>
      <c r="H1057" s="26" t="s">
        <v>2456</v>
      </c>
      <c r="I1057" s="26" t="s">
        <v>106</v>
      </c>
      <c r="J1057" s="26">
        <v>0</v>
      </c>
      <c r="K1057" s="8" t="str">
        <f t="shared" si="16"/>
        <v>NICSTONIF</v>
      </c>
    </row>
    <row r="1058" spans="1:11" x14ac:dyDescent="0.25">
      <c r="A1058" s="26" t="s">
        <v>138</v>
      </c>
      <c r="B1058" s="26" t="s">
        <v>111</v>
      </c>
      <c r="C1058" s="26">
        <v>0</v>
      </c>
      <c r="D1058" s="27">
        <v>43315</v>
      </c>
      <c r="E1058" s="26">
        <v>768069.9</v>
      </c>
      <c r="F1058" s="26" t="s">
        <v>2457</v>
      </c>
      <c r="G1058" s="26" t="s">
        <v>8</v>
      </c>
      <c r="H1058" s="26" t="s">
        <v>2458</v>
      </c>
      <c r="I1058" s="26" t="s">
        <v>106</v>
      </c>
      <c r="J1058" s="26">
        <v>0</v>
      </c>
      <c r="K1058" s="8" t="str">
        <f t="shared" si="16"/>
        <v>NICSTONIF</v>
      </c>
    </row>
    <row r="1059" spans="1:11" x14ac:dyDescent="0.25">
      <c r="A1059" s="26" t="s">
        <v>123</v>
      </c>
      <c r="B1059" s="26" t="s">
        <v>111</v>
      </c>
      <c r="C1059" s="26">
        <v>0</v>
      </c>
      <c r="D1059" s="27">
        <v>43318</v>
      </c>
      <c r="E1059" s="26">
        <v>-1735504.37</v>
      </c>
      <c r="F1059" s="26" t="s">
        <v>2459</v>
      </c>
      <c r="G1059" s="26" t="s">
        <v>8</v>
      </c>
      <c r="H1059" s="26" t="s">
        <v>2460</v>
      </c>
      <c r="I1059" s="26" t="s">
        <v>106</v>
      </c>
      <c r="J1059" s="26">
        <v>0</v>
      </c>
      <c r="K1059" s="8" t="str">
        <f t="shared" si="16"/>
        <v>NICSTONIF</v>
      </c>
    </row>
    <row r="1060" spans="1:11" x14ac:dyDescent="0.25">
      <c r="A1060" s="26" t="s">
        <v>138</v>
      </c>
      <c r="B1060" s="26" t="s">
        <v>111</v>
      </c>
      <c r="C1060" s="26">
        <v>0</v>
      </c>
      <c r="D1060" s="27">
        <v>43318</v>
      </c>
      <c r="E1060" s="26">
        <v>1735504.37</v>
      </c>
      <c r="F1060" s="26" t="s">
        <v>2461</v>
      </c>
      <c r="G1060" s="26" t="s">
        <v>8</v>
      </c>
      <c r="H1060" s="26" t="s">
        <v>2462</v>
      </c>
      <c r="I1060" s="26" t="s">
        <v>106</v>
      </c>
      <c r="J1060" s="26">
        <v>0</v>
      </c>
      <c r="K1060" s="8" t="str">
        <f t="shared" si="16"/>
        <v>NICSTONIF</v>
      </c>
    </row>
    <row r="1061" spans="1:11" x14ac:dyDescent="0.25">
      <c r="A1061" s="26" t="s">
        <v>123</v>
      </c>
      <c r="B1061" s="26" t="s">
        <v>111</v>
      </c>
      <c r="C1061" s="26">
        <v>0</v>
      </c>
      <c r="D1061" s="27">
        <v>43322</v>
      </c>
      <c r="E1061" s="26">
        <v>-46862.59</v>
      </c>
      <c r="F1061" s="26" t="s">
        <v>2463</v>
      </c>
      <c r="G1061" s="26" t="s">
        <v>8</v>
      </c>
      <c r="H1061" s="26" t="s">
        <v>2464</v>
      </c>
      <c r="I1061" s="26" t="s">
        <v>106</v>
      </c>
      <c r="J1061" s="26">
        <v>0</v>
      </c>
      <c r="K1061" s="8" t="str">
        <f t="shared" si="16"/>
        <v>NICSTONIF</v>
      </c>
    </row>
    <row r="1062" spans="1:11" x14ac:dyDescent="0.25">
      <c r="A1062" s="26" t="s">
        <v>138</v>
      </c>
      <c r="B1062" s="26" t="s">
        <v>111</v>
      </c>
      <c r="C1062" s="26">
        <v>0</v>
      </c>
      <c r="D1062" s="27">
        <v>43322</v>
      </c>
      <c r="E1062" s="26">
        <v>46862.59</v>
      </c>
      <c r="F1062" s="26" t="s">
        <v>2465</v>
      </c>
      <c r="G1062" s="26" t="s">
        <v>8</v>
      </c>
      <c r="H1062" s="26" t="s">
        <v>2466</v>
      </c>
      <c r="I1062" s="26" t="s">
        <v>106</v>
      </c>
      <c r="J1062" s="26">
        <v>0</v>
      </c>
      <c r="K1062" s="8" t="str">
        <f t="shared" si="16"/>
        <v>NICSTONIF</v>
      </c>
    </row>
    <row r="1063" spans="1:11" x14ac:dyDescent="0.25">
      <c r="A1063" s="26" t="s">
        <v>123</v>
      </c>
      <c r="B1063" s="26" t="s">
        <v>111</v>
      </c>
      <c r="C1063" s="26">
        <v>0</v>
      </c>
      <c r="D1063" s="27">
        <v>43339</v>
      </c>
      <c r="E1063" s="26">
        <v>-67513.899999999994</v>
      </c>
      <c r="F1063" s="26" t="s">
        <v>2467</v>
      </c>
      <c r="G1063" s="26" t="s">
        <v>8</v>
      </c>
      <c r="H1063" s="26" t="s">
        <v>2468</v>
      </c>
      <c r="I1063" s="26" t="s">
        <v>106</v>
      </c>
      <c r="J1063" s="26">
        <v>0</v>
      </c>
      <c r="K1063" s="8" t="str">
        <f t="shared" si="16"/>
        <v>NICSTONIF</v>
      </c>
    </row>
    <row r="1064" spans="1:11" x14ac:dyDescent="0.25">
      <c r="A1064" s="26" t="s">
        <v>138</v>
      </c>
      <c r="B1064" s="26" t="s">
        <v>111</v>
      </c>
      <c r="C1064" s="26">
        <v>0</v>
      </c>
      <c r="D1064" s="27">
        <v>43339</v>
      </c>
      <c r="E1064" s="26">
        <v>67513.899999999994</v>
      </c>
      <c r="F1064" s="26" t="s">
        <v>2469</v>
      </c>
      <c r="G1064" s="26" t="s">
        <v>8</v>
      </c>
      <c r="H1064" s="26" t="s">
        <v>2470</v>
      </c>
      <c r="I1064" s="26" t="s">
        <v>106</v>
      </c>
      <c r="J1064" s="26">
        <v>0</v>
      </c>
      <c r="K1064" s="8" t="str">
        <f t="shared" si="16"/>
        <v>NICSTONIF</v>
      </c>
    </row>
    <row r="1065" spans="1:11" x14ac:dyDescent="0.25">
      <c r="A1065" s="26" t="s">
        <v>123</v>
      </c>
      <c r="B1065" s="26" t="s">
        <v>111</v>
      </c>
      <c r="C1065" s="26">
        <v>0</v>
      </c>
      <c r="D1065" s="27">
        <v>43343</v>
      </c>
      <c r="E1065" s="26">
        <v>-98490.87</v>
      </c>
      <c r="F1065" s="26" t="s">
        <v>2471</v>
      </c>
      <c r="G1065" s="26" t="s">
        <v>8</v>
      </c>
      <c r="H1065" s="26" t="s">
        <v>2472</v>
      </c>
      <c r="I1065" s="26" t="s">
        <v>106</v>
      </c>
      <c r="J1065" s="26">
        <v>0</v>
      </c>
      <c r="K1065" s="8" t="str">
        <f t="shared" si="16"/>
        <v>NICSTONIF</v>
      </c>
    </row>
    <row r="1066" spans="1:11" x14ac:dyDescent="0.25">
      <c r="A1066" s="26" t="s">
        <v>138</v>
      </c>
      <c r="B1066" s="26" t="s">
        <v>111</v>
      </c>
      <c r="C1066" s="26">
        <v>0</v>
      </c>
      <c r="D1066" s="27">
        <v>43343</v>
      </c>
      <c r="E1066" s="26">
        <v>98490.87</v>
      </c>
      <c r="F1066" s="26" t="s">
        <v>2473</v>
      </c>
      <c r="G1066" s="26" t="s">
        <v>8</v>
      </c>
      <c r="H1066" s="26" t="s">
        <v>2474</v>
      </c>
      <c r="I1066" s="26" t="s">
        <v>106</v>
      </c>
      <c r="J1066" s="26">
        <v>0</v>
      </c>
      <c r="K1066" s="8" t="str">
        <f t="shared" si="16"/>
        <v>NICSTONIF</v>
      </c>
    </row>
    <row r="1067" spans="1:11" x14ac:dyDescent="0.25">
      <c r="A1067" s="26" t="s">
        <v>123</v>
      </c>
      <c r="B1067" s="26" t="s">
        <v>111</v>
      </c>
      <c r="C1067" s="26">
        <v>0</v>
      </c>
      <c r="D1067" s="27">
        <v>43349</v>
      </c>
      <c r="E1067" s="26">
        <v>-635424.93999999994</v>
      </c>
      <c r="F1067" s="26" t="s">
        <v>2475</v>
      </c>
      <c r="G1067" s="26" t="s">
        <v>8</v>
      </c>
      <c r="H1067" s="26" t="s">
        <v>2476</v>
      </c>
      <c r="I1067" s="26" t="s">
        <v>106</v>
      </c>
      <c r="J1067" s="26">
        <v>0</v>
      </c>
      <c r="K1067" s="8" t="str">
        <f t="shared" si="16"/>
        <v>NICSTONIF</v>
      </c>
    </row>
    <row r="1068" spans="1:11" x14ac:dyDescent="0.25">
      <c r="A1068" s="26" t="s">
        <v>138</v>
      </c>
      <c r="B1068" s="26" t="s">
        <v>111</v>
      </c>
      <c r="C1068" s="26">
        <v>0</v>
      </c>
      <c r="D1068" s="27">
        <v>43349</v>
      </c>
      <c r="E1068" s="26">
        <v>635424.93999999994</v>
      </c>
      <c r="F1068" s="26" t="s">
        <v>2477</v>
      </c>
      <c r="G1068" s="26" t="s">
        <v>8</v>
      </c>
      <c r="H1068" s="26" t="s">
        <v>2478</v>
      </c>
      <c r="I1068" s="26" t="s">
        <v>106</v>
      </c>
      <c r="J1068" s="26">
        <v>0</v>
      </c>
      <c r="K1068" s="8" t="str">
        <f t="shared" si="16"/>
        <v>NICSTONIF</v>
      </c>
    </row>
    <row r="1069" spans="1:11" x14ac:dyDescent="0.25">
      <c r="A1069" s="26" t="s">
        <v>123</v>
      </c>
      <c r="B1069" s="26" t="s">
        <v>111</v>
      </c>
      <c r="C1069" s="26">
        <v>0</v>
      </c>
      <c r="D1069" s="27">
        <v>43357</v>
      </c>
      <c r="E1069" s="26">
        <v>-42096.9</v>
      </c>
      <c r="F1069" s="26" t="s">
        <v>2479</v>
      </c>
      <c r="G1069" s="26" t="s">
        <v>8</v>
      </c>
      <c r="H1069" s="26" t="s">
        <v>2480</v>
      </c>
      <c r="I1069" s="26" t="s">
        <v>106</v>
      </c>
      <c r="J1069" s="26">
        <v>0</v>
      </c>
      <c r="K1069" s="8" t="str">
        <f t="shared" si="16"/>
        <v>NICSTONIF</v>
      </c>
    </row>
    <row r="1070" spans="1:11" x14ac:dyDescent="0.25">
      <c r="A1070" s="26" t="s">
        <v>123</v>
      </c>
      <c r="B1070" s="26" t="s">
        <v>111</v>
      </c>
      <c r="C1070" s="26">
        <v>0</v>
      </c>
      <c r="D1070" s="27">
        <v>43357</v>
      </c>
      <c r="E1070" s="26">
        <v>-49245.43</v>
      </c>
      <c r="F1070" s="26" t="s">
        <v>2481</v>
      </c>
      <c r="G1070" s="26" t="s">
        <v>8</v>
      </c>
      <c r="H1070" s="26" t="s">
        <v>2482</v>
      </c>
      <c r="I1070" s="26" t="s">
        <v>106</v>
      </c>
      <c r="J1070" s="26">
        <v>0</v>
      </c>
      <c r="K1070" s="8" t="str">
        <f t="shared" si="16"/>
        <v>NICSTONIF</v>
      </c>
    </row>
    <row r="1071" spans="1:11" x14ac:dyDescent="0.25">
      <c r="A1071" s="26" t="s">
        <v>138</v>
      </c>
      <c r="B1071" s="26" t="s">
        <v>111</v>
      </c>
      <c r="C1071" s="26">
        <v>0</v>
      </c>
      <c r="D1071" s="27">
        <v>43357</v>
      </c>
      <c r="E1071" s="26">
        <v>49245.43</v>
      </c>
      <c r="F1071" s="26" t="s">
        <v>2483</v>
      </c>
      <c r="G1071" s="26" t="s">
        <v>8</v>
      </c>
      <c r="H1071" s="26" t="s">
        <v>2484</v>
      </c>
      <c r="I1071" s="26" t="s">
        <v>106</v>
      </c>
      <c r="J1071" s="26">
        <v>0</v>
      </c>
      <c r="K1071" s="8" t="str">
        <f t="shared" si="16"/>
        <v>NICSTONIF</v>
      </c>
    </row>
    <row r="1072" spans="1:11" x14ac:dyDescent="0.25">
      <c r="A1072" s="26" t="s">
        <v>139</v>
      </c>
      <c r="B1072" s="26" t="s">
        <v>111</v>
      </c>
      <c r="C1072" s="26">
        <v>0</v>
      </c>
      <c r="D1072" s="27">
        <v>43244</v>
      </c>
      <c r="E1072" s="26">
        <v>-41223.19</v>
      </c>
      <c r="F1072" s="26" t="s">
        <v>2485</v>
      </c>
      <c r="G1072" s="26" t="s">
        <v>8</v>
      </c>
      <c r="H1072" s="26" t="s">
        <v>2486</v>
      </c>
      <c r="I1072" s="26" t="s">
        <v>106</v>
      </c>
      <c r="J1072" s="26">
        <v>0</v>
      </c>
      <c r="K1072" s="8" t="str">
        <f t="shared" si="16"/>
        <v>NIFBENEFIT</v>
      </c>
    </row>
    <row r="1073" spans="1:11" x14ac:dyDescent="0.25">
      <c r="A1073" s="26" t="s">
        <v>139</v>
      </c>
      <c r="B1073" s="26" t="s">
        <v>111</v>
      </c>
      <c r="C1073" s="26">
        <v>0</v>
      </c>
      <c r="D1073" s="27">
        <v>43245</v>
      </c>
      <c r="E1073" s="26">
        <v>-6115.97</v>
      </c>
      <c r="F1073" s="26" t="s">
        <v>2487</v>
      </c>
      <c r="G1073" s="26" t="s">
        <v>8</v>
      </c>
      <c r="H1073" s="26" t="s">
        <v>2488</v>
      </c>
      <c r="I1073" s="26" t="s">
        <v>106</v>
      </c>
      <c r="J1073" s="26">
        <v>0</v>
      </c>
      <c r="K1073" s="8" t="str">
        <f t="shared" si="16"/>
        <v>NIFBENEFIT</v>
      </c>
    </row>
    <row r="1074" spans="1:11" x14ac:dyDescent="0.25">
      <c r="A1074" s="26" t="s">
        <v>139</v>
      </c>
      <c r="B1074" s="26" t="s">
        <v>111</v>
      </c>
      <c r="C1074" s="26">
        <v>0</v>
      </c>
      <c r="D1074" s="27">
        <v>43245</v>
      </c>
      <c r="E1074" s="26">
        <v>-10376.49</v>
      </c>
      <c r="F1074" s="26" t="s">
        <v>2489</v>
      </c>
      <c r="G1074" s="26" t="s">
        <v>8</v>
      </c>
      <c r="H1074" s="26" t="s">
        <v>2490</v>
      </c>
      <c r="I1074" s="26" t="s">
        <v>106</v>
      </c>
      <c r="J1074" s="26">
        <v>0</v>
      </c>
      <c r="K1074" s="8" t="str">
        <f t="shared" si="16"/>
        <v>NIFBENEFIT</v>
      </c>
    </row>
    <row r="1075" spans="1:11" x14ac:dyDescent="0.25">
      <c r="A1075" s="26" t="s">
        <v>139</v>
      </c>
      <c r="B1075" s="26" t="s">
        <v>111</v>
      </c>
      <c r="C1075" s="26">
        <v>0</v>
      </c>
      <c r="D1075" s="27">
        <v>43245</v>
      </c>
      <c r="E1075" s="26">
        <v>-6115.97</v>
      </c>
      <c r="F1075" s="26" t="s">
        <v>2491</v>
      </c>
      <c r="G1075" s="26" t="s">
        <v>8</v>
      </c>
      <c r="H1075" s="26" t="s">
        <v>2492</v>
      </c>
      <c r="I1075" s="26" t="s">
        <v>106</v>
      </c>
      <c r="J1075" s="26">
        <v>0</v>
      </c>
      <c r="K1075" s="8" t="str">
        <f t="shared" si="16"/>
        <v>NIFBENEFIT</v>
      </c>
    </row>
    <row r="1076" spans="1:11" x14ac:dyDescent="0.25">
      <c r="A1076" s="26" t="s">
        <v>139</v>
      </c>
      <c r="B1076" s="26" t="s">
        <v>111</v>
      </c>
      <c r="C1076" s="26">
        <v>0</v>
      </c>
      <c r="D1076" s="27">
        <v>43248</v>
      </c>
      <c r="E1076" s="26">
        <v>-7227.96</v>
      </c>
      <c r="F1076" s="26" t="s">
        <v>2493</v>
      </c>
      <c r="G1076" s="26" t="s">
        <v>8</v>
      </c>
      <c r="H1076" s="26" t="s">
        <v>2494</v>
      </c>
      <c r="I1076" s="26" t="s">
        <v>106</v>
      </c>
      <c r="J1076" s="26">
        <v>0</v>
      </c>
      <c r="K1076" s="8" t="str">
        <f t="shared" si="16"/>
        <v>NIFBENEFIT</v>
      </c>
    </row>
    <row r="1077" spans="1:11" x14ac:dyDescent="0.25">
      <c r="A1077" s="26" t="s">
        <v>139</v>
      </c>
      <c r="B1077" s="26" t="s">
        <v>111</v>
      </c>
      <c r="C1077" s="26">
        <v>0</v>
      </c>
      <c r="D1077" s="27">
        <v>43251</v>
      </c>
      <c r="E1077" s="26">
        <v>-6592.53</v>
      </c>
      <c r="F1077" s="26" t="s">
        <v>2495</v>
      </c>
      <c r="G1077" s="26" t="s">
        <v>8</v>
      </c>
      <c r="H1077" s="26" t="s">
        <v>2496</v>
      </c>
      <c r="I1077" s="26" t="s">
        <v>106</v>
      </c>
      <c r="J1077" s="26">
        <v>0</v>
      </c>
      <c r="K1077" s="8" t="str">
        <f t="shared" si="16"/>
        <v>NIFBENEFIT</v>
      </c>
    </row>
    <row r="1078" spans="1:11" x14ac:dyDescent="0.25">
      <c r="A1078" s="26" t="s">
        <v>139</v>
      </c>
      <c r="B1078" s="26" t="s">
        <v>111</v>
      </c>
      <c r="C1078" s="26">
        <v>0</v>
      </c>
      <c r="D1078" s="27">
        <v>43252</v>
      </c>
      <c r="E1078" s="26">
        <v>-6910.25</v>
      </c>
      <c r="F1078" s="26" t="s">
        <v>2497</v>
      </c>
      <c r="G1078" s="26" t="s">
        <v>8</v>
      </c>
      <c r="H1078" s="26" t="s">
        <v>2498</v>
      </c>
      <c r="I1078" s="26" t="s">
        <v>106</v>
      </c>
      <c r="J1078" s="26">
        <v>0</v>
      </c>
      <c r="K1078" s="8" t="str">
        <f t="shared" si="16"/>
        <v>NIFBENEFIT</v>
      </c>
    </row>
    <row r="1079" spans="1:11" x14ac:dyDescent="0.25">
      <c r="A1079" s="26" t="s">
        <v>139</v>
      </c>
      <c r="B1079" s="26" t="s">
        <v>111</v>
      </c>
      <c r="C1079" s="26">
        <v>0</v>
      </c>
      <c r="D1079" s="27">
        <v>43252</v>
      </c>
      <c r="E1079" s="26">
        <v>-5321.68</v>
      </c>
      <c r="F1079" s="26" t="s">
        <v>2499</v>
      </c>
      <c r="G1079" s="26" t="s">
        <v>8</v>
      </c>
      <c r="H1079" s="26" t="s">
        <v>2500</v>
      </c>
      <c r="I1079" s="26" t="s">
        <v>106</v>
      </c>
      <c r="J1079" s="26">
        <v>0</v>
      </c>
      <c r="K1079" s="8" t="str">
        <f t="shared" si="16"/>
        <v>NIFBENEFIT</v>
      </c>
    </row>
    <row r="1080" spans="1:11" x14ac:dyDescent="0.25">
      <c r="A1080" s="26" t="s">
        <v>139</v>
      </c>
      <c r="B1080" s="26" t="s">
        <v>111</v>
      </c>
      <c r="C1080" s="26">
        <v>0</v>
      </c>
      <c r="D1080" s="27">
        <v>43252</v>
      </c>
      <c r="E1080" s="26">
        <v>-6115.97</v>
      </c>
      <c r="F1080" s="26" t="s">
        <v>2501</v>
      </c>
      <c r="G1080" s="26" t="s">
        <v>8</v>
      </c>
      <c r="H1080" s="26" t="s">
        <v>2502</v>
      </c>
      <c r="I1080" s="26" t="s">
        <v>106</v>
      </c>
      <c r="J1080" s="26">
        <v>0</v>
      </c>
      <c r="K1080" s="8" t="str">
        <f t="shared" si="16"/>
        <v>NIFBENEFIT</v>
      </c>
    </row>
    <row r="1081" spans="1:11" x14ac:dyDescent="0.25">
      <c r="A1081" s="26" t="s">
        <v>139</v>
      </c>
      <c r="B1081" s="26" t="s">
        <v>111</v>
      </c>
      <c r="C1081" s="26">
        <v>0</v>
      </c>
      <c r="D1081" s="27">
        <v>43255</v>
      </c>
      <c r="E1081" s="26">
        <v>-6702.94</v>
      </c>
      <c r="F1081" s="26" t="s">
        <v>2503</v>
      </c>
      <c r="G1081" s="26" t="s">
        <v>8</v>
      </c>
      <c r="H1081" s="26" t="s">
        <v>2504</v>
      </c>
      <c r="I1081" s="26" t="s">
        <v>106</v>
      </c>
      <c r="J1081" s="26">
        <v>0</v>
      </c>
      <c r="K1081" s="8" t="str">
        <f t="shared" si="16"/>
        <v>NIFBENEFIT</v>
      </c>
    </row>
    <row r="1082" spans="1:11" x14ac:dyDescent="0.25">
      <c r="A1082" s="26" t="s">
        <v>139</v>
      </c>
      <c r="B1082" s="26" t="s">
        <v>111</v>
      </c>
      <c r="C1082" s="26">
        <v>0</v>
      </c>
      <c r="D1082" s="27">
        <v>43258</v>
      </c>
      <c r="E1082" s="26">
        <v>-7307.39</v>
      </c>
      <c r="F1082" s="26" t="s">
        <v>2505</v>
      </c>
      <c r="G1082" s="26" t="s">
        <v>8</v>
      </c>
      <c r="H1082" s="26" t="s">
        <v>2506</v>
      </c>
      <c r="I1082" s="26" t="s">
        <v>106</v>
      </c>
      <c r="J1082" s="26">
        <v>0</v>
      </c>
      <c r="K1082" s="8" t="str">
        <f t="shared" si="16"/>
        <v>NIFBENEFIT</v>
      </c>
    </row>
    <row r="1083" spans="1:11" x14ac:dyDescent="0.25">
      <c r="A1083" s="26" t="s">
        <v>139</v>
      </c>
      <c r="B1083" s="26" t="s">
        <v>111</v>
      </c>
      <c r="C1083" s="26">
        <v>0</v>
      </c>
      <c r="D1083" s="27">
        <v>43259</v>
      </c>
      <c r="E1083" s="26">
        <v>-5321.68</v>
      </c>
      <c r="F1083" s="26" t="s">
        <v>2507</v>
      </c>
      <c r="G1083" s="26" t="s">
        <v>8</v>
      </c>
      <c r="H1083" s="26" t="s">
        <v>2508</v>
      </c>
      <c r="I1083" s="26" t="s">
        <v>106</v>
      </c>
      <c r="J1083" s="26">
        <v>0</v>
      </c>
      <c r="K1083" s="8" t="str">
        <f t="shared" si="16"/>
        <v>NIFBENEFIT</v>
      </c>
    </row>
    <row r="1084" spans="1:11" x14ac:dyDescent="0.25">
      <c r="A1084" s="26" t="s">
        <v>139</v>
      </c>
      <c r="B1084" s="26" t="s">
        <v>111</v>
      </c>
      <c r="C1084" s="26">
        <v>0</v>
      </c>
      <c r="D1084" s="27">
        <v>43259</v>
      </c>
      <c r="E1084" s="26">
        <v>-11272.44</v>
      </c>
      <c r="F1084" s="26" t="s">
        <v>2509</v>
      </c>
      <c r="G1084" s="26" t="s">
        <v>8</v>
      </c>
      <c r="H1084" s="26" t="s">
        <v>2510</v>
      </c>
      <c r="I1084" s="26" t="s">
        <v>106</v>
      </c>
      <c r="J1084" s="26">
        <v>0</v>
      </c>
      <c r="K1084" s="8" t="str">
        <f t="shared" si="16"/>
        <v>NIFBENEFIT</v>
      </c>
    </row>
    <row r="1085" spans="1:11" x14ac:dyDescent="0.25">
      <c r="A1085" s="26" t="s">
        <v>139</v>
      </c>
      <c r="B1085" s="26" t="s">
        <v>111</v>
      </c>
      <c r="C1085" s="26">
        <v>0</v>
      </c>
      <c r="D1085" s="27">
        <v>43259</v>
      </c>
      <c r="E1085" s="26">
        <v>-10728.36</v>
      </c>
      <c r="F1085" s="26" t="s">
        <v>2511</v>
      </c>
      <c r="G1085" s="26" t="s">
        <v>8</v>
      </c>
      <c r="H1085" s="26" t="s">
        <v>2512</v>
      </c>
      <c r="I1085" s="26" t="s">
        <v>106</v>
      </c>
      <c r="J1085" s="26">
        <v>0</v>
      </c>
      <c r="K1085" s="8" t="str">
        <f t="shared" si="16"/>
        <v>NIFBENEFIT</v>
      </c>
    </row>
    <row r="1086" spans="1:11" x14ac:dyDescent="0.25">
      <c r="A1086" s="26" t="s">
        <v>139</v>
      </c>
      <c r="B1086" s="26" t="s">
        <v>111</v>
      </c>
      <c r="C1086" s="26">
        <v>0</v>
      </c>
      <c r="D1086" s="27">
        <v>43262</v>
      </c>
      <c r="E1086" s="26">
        <v>-6910.25</v>
      </c>
      <c r="F1086" s="26" t="s">
        <v>2513</v>
      </c>
      <c r="G1086" s="26" t="s">
        <v>8</v>
      </c>
      <c r="H1086" s="26" t="s">
        <v>2514</v>
      </c>
      <c r="I1086" s="26" t="s">
        <v>106</v>
      </c>
      <c r="J1086" s="26">
        <v>0</v>
      </c>
      <c r="K1086" s="8" t="str">
        <f t="shared" si="16"/>
        <v>NIFBENEFIT</v>
      </c>
    </row>
    <row r="1087" spans="1:11" x14ac:dyDescent="0.25">
      <c r="A1087" s="26" t="s">
        <v>139</v>
      </c>
      <c r="B1087" s="26" t="s">
        <v>111</v>
      </c>
      <c r="C1087" s="26">
        <v>0</v>
      </c>
      <c r="D1087" s="27">
        <v>43265</v>
      </c>
      <c r="E1087" s="26">
        <v>-16070.69</v>
      </c>
      <c r="F1087" s="26" t="s">
        <v>2515</v>
      </c>
      <c r="G1087" s="26" t="s">
        <v>8</v>
      </c>
      <c r="H1087" s="26" t="s">
        <v>2516</v>
      </c>
      <c r="I1087" s="26" t="s">
        <v>106</v>
      </c>
      <c r="J1087" s="26">
        <v>0</v>
      </c>
      <c r="K1087" s="8" t="str">
        <f t="shared" si="16"/>
        <v>NIFBENEFIT</v>
      </c>
    </row>
    <row r="1088" spans="1:11" x14ac:dyDescent="0.25">
      <c r="A1088" s="26" t="s">
        <v>139</v>
      </c>
      <c r="B1088" s="26" t="s">
        <v>111</v>
      </c>
      <c r="C1088" s="26">
        <v>0</v>
      </c>
      <c r="D1088" s="27">
        <v>43266</v>
      </c>
      <c r="E1088" s="26">
        <v>-9531.3700000000008</v>
      </c>
      <c r="F1088" s="26" t="s">
        <v>2517</v>
      </c>
      <c r="G1088" s="26" t="s">
        <v>8</v>
      </c>
      <c r="H1088" s="26" t="s">
        <v>2518</v>
      </c>
      <c r="I1088" s="26" t="s">
        <v>106</v>
      </c>
      <c r="J1088" s="26">
        <v>0</v>
      </c>
      <c r="K1088" s="8" t="str">
        <f t="shared" si="16"/>
        <v>NIFBENEFIT</v>
      </c>
    </row>
    <row r="1089" spans="1:11" x14ac:dyDescent="0.25">
      <c r="A1089" s="26" t="s">
        <v>139</v>
      </c>
      <c r="B1089" s="26" t="s">
        <v>111</v>
      </c>
      <c r="C1089" s="26">
        <v>0</v>
      </c>
      <c r="D1089" s="27">
        <v>43266</v>
      </c>
      <c r="E1089" s="26">
        <v>-6115.97</v>
      </c>
      <c r="F1089" s="26" t="s">
        <v>2519</v>
      </c>
      <c r="G1089" s="26" t="s">
        <v>8</v>
      </c>
      <c r="H1089" s="26" t="s">
        <v>2520</v>
      </c>
      <c r="I1089" s="26" t="s">
        <v>106</v>
      </c>
      <c r="J1089" s="26">
        <v>0</v>
      </c>
      <c r="K1089" s="8" t="str">
        <f t="shared" si="16"/>
        <v>NIFBENEFIT</v>
      </c>
    </row>
    <row r="1090" spans="1:11" x14ac:dyDescent="0.25">
      <c r="A1090" s="26" t="s">
        <v>139</v>
      </c>
      <c r="B1090" s="26" t="s">
        <v>111</v>
      </c>
      <c r="C1090" s="26">
        <v>0</v>
      </c>
      <c r="D1090" s="27">
        <v>43266</v>
      </c>
      <c r="E1090" s="26">
        <v>-6910.25</v>
      </c>
      <c r="F1090" s="26" t="s">
        <v>2521</v>
      </c>
      <c r="G1090" s="26" t="s">
        <v>8</v>
      </c>
      <c r="H1090" s="26" t="s">
        <v>2522</v>
      </c>
      <c r="I1090" s="26" t="s">
        <v>106</v>
      </c>
      <c r="J1090" s="26">
        <v>0</v>
      </c>
      <c r="K1090" s="8" t="str">
        <f t="shared" si="16"/>
        <v>NIFBENEFIT</v>
      </c>
    </row>
    <row r="1091" spans="1:11" x14ac:dyDescent="0.25">
      <c r="A1091" s="26" t="s">
        <v>139</v>
      </c>
      <c r="B1091" s="26" t="s">
        <v>111</v>
      </c>
      <c r="C1091" s="26">
        <v>0</v>
      </c>
      <c r="D1091" s="27">
        <v>43269</v>
      </c>
      <c r="E1091" s="26">
        <v>-7783.96</v>
      </c>
      <c r="F1091" s="26" t="s">
        <v>2523</v>
      </c>
      <c r="G1091" s="26" t="s">
        <v>8</v>
      </c>
      <c r="H1091" s="26" t="s">
        <v>2524</v>
      </c>
      <c r="I1091" s="26" t="s">
        <v>106</v>
      </c>
      <c r="J1091" s="26">
        <v>0</v>
      </c>
      <c r="K1091" s="8" t="str">
        <f t="shared" ref="K1091:K1154" si="17">LEFT(A1091,FIND("/",A1091)-1)</f>
        <v>NIFBENEFIT</v>
      </c>
    </row>
    <row r="1092" spans="1:11" x14ac:dyDescent="0.25">
      <c r="A1092" s="26" t="s">
        <v>139</v>
      </c>
      <c r="B1092" s="26" t="s">
        <v>111</v>
      </c>
      <c r="C1092" s="26">
        <v>0</v>
      </c>
      <c r="D1092" s="27">
        <v>43272</v>
      </c>
      <c r="E1092" s="26">
        <v>-36775.22</v>
      </c>
      <c r="F1092" s="26" t="s">
        <v>2525</v>
      </c>
      <c r="G1092" s="26" t="s">
        <v>8</v>
      </c>
      <c r="H1092" s="26" t="s">
        <v>2526</v>
      </c>
      <c r="I1092" s="26" t="s">
        <v>106</v>
      </c>
      <c r="J1092" s="26">
        <v>0</v>
      </c>
      <c r="K1092" s="8" t="str">
        <f t="shared" si="17"/>
        <v>NIFBENEFIT</v>
      </c>
    </row>
    <row r="1093" spans="1:11" x14ac:dyDescent="0.25">
      <c r="A1093" s="26" t="s">
        <v>139</v>
      </c>
      <c r="B1093" s="26" t="s">
        <v>111</v>
      </c>
      <c r="C1093" s="26">
        <v>0</v>
      </c>
      <c r="D1093" s="27">
        <v>43273</v>
      </c>
      <c r="E1093" s="26">
        <v>-4527.3999999999996</v>
      </c>
      <c r="F1093" s="26" t="s">
        <v>2527</v>
      </c>
      <c r="G1093" s="26" t="s">
        <v>8</v>
      </c>
      <c r="H1093" s="26" t="s">
        <v>2528</v>
      </c>
      <c r="I1093" s="26" t="s">
        <v>106</v>
      </c>
      <c r="J1093" s="26">
        <v>0</v>
      </c>
      <c r="K1093" s="8" t="str">
        <f t="shared" si="17"/>
        <v>NIFBENEFIT</v>
      </c>
    </row>
    <row r="1094" spans="1:11" x14ac:dyDescent="0.25">
      <c r="A1094" s="26" t="s">
        <v>139</v>
      </c>
      <c r="B1094" s="26" t="s">
        <v>111</v>
      </c>
      <c r="C1094" s="26">
        <v>0</v>
      </c>
      <c r="D1094" s="27">
        <v>43273</v>
      </c>
      <c r="E1094" s="26">
        <v>-8498.81</v>
      </c>
      <c r="F1094" s="26" t="s">
        <v>2529</v>
      </c>
      <c r="G1094" s="26" t="s">
        <v>8</v>
      </c>
      <c r="H1094" s="26" t="s">
        <v>2530</v>
      </c>
      <c r="I1094" s="26" t="s">
        <v>106</v>
      </c>
      <c r="J1094" s="26">
        <v>0</v>
      </c>
      <c r="K1094" s="8" t="str">
        <f t="shared" si="17"/>
        <v>NIFBENEFIT</v>
      </c>
    </row>
    <row r="1095" spans="1:11" x14ac:dyDescent="0.25">
      <c r="A1095" s="26" t="s">
        <v>139</v>
      </c>
      <c r="B1095" s="26" t="s">
        <v>111</v>
      </c>
      <c r="C1095" s="26">
        <v>0</v>
      </c>
      <c r="D1095" s="27">
        <v>43273</v>
      </c>
      <c r="E1095" s="26">
        <v>-6910.25</v>
      </c>
      <c r="F1095" s="26" t="s">
        <v>2531</v>
      </c>
      <c r="G1095" s="26" t="s">
        <v>8</v>
      </c>
      <c r="H1095" s="26" t="s">
        <v>2532</v>
      </c>
      <c r="I1095" s="26" t="s">
        <v>106</v>
      </c>
      <c r="J1095" s="26">
        <v>0</v>
      </c>
      <c r="K1095" s="8" t="str">
        <f t="shared" si="17"/>
        <v>NIFBENEFIT</v>
      </c>
    </row>
    <row r="1096" spans="1:11" x14ac:dyDescent="0.25">
      <c r="A1096" s="26" t="s">
        <v>139</v>
      </c>
      <c r="B1096" s="26" t="s">
        <v>111</v>
      </c>
      <c r="C1096" s="26">
        <v>0</v>
      </c>
      <c r="D1096" s="27">
        <v>43276</v>
      </c>
      <c r="E1096" s="26">
        <v>-4527.3999999999996</v>
      </c>
      <c r="F1096" s="26" t="s">
        <v>2533</v>
      </c>
      <c r="G1096" s="26" t="s">
        <v>8</v>
      </c>
      <c r="H1096" s="26" t="s">
        <v>2534</v>
      </c>
      <c r="I1096" s="26" t="s">
        <v>106</v>
      </c>
      <c r="J1096" s="26">
        <v>0</v>
      </c>
      <c r="K1096" s="8" t="str">
        <f t="shared" si="17"/>
        <v>NIFBENEFIT</v>
      </c>
    </row>
    <row r="1097" spans="1:11" x14ac:dyDescent="0.25">
      <c r="A1097" s="26" t="s">
        <v>139</v>
      </c>
      <c r="B1097" s="26" t="s">
        <v>111</v>
      </c>
      <c r="C1097" s="26">
        <v>0</v>
      </c>
      <c r="D1097" s="27">
        <v>43279</v>
      </c>
      <c r="E1097" s="26">
        <v>-12549.64</v>
      </c>
      <c r="F1097" s="26" t="s">
        <v>2535</v>
      </c>
      <c r="G1097" s="26" t="s">
        <v>8</v>
      </c>
      <c r="H1097" s="26" t="s">
        <v>2536</v>
      </c>
      <c r="I1097" s="26" t="s">
        <v>106</v>
      </c>
      <c r="J1097" s="26">
        <v>0</v>
      </c>
      <c r="K1097" s="8" t="str">
        <f t="shared" si="17"/>
        <v>NIFBENEFIT</v>
      </c>
    </row>
    <row r="1098" spans="1:11" x14ac:dyDescent="0.25">
      <c r="A1098" s="26" t="s">
        <v>139</v>
      </c>
      <c r="B1098" s="26" t="s">
        <v>111</v>
      </c>
      <c r="C1098" s="26">
        <v>0</v>
      </c>
      <c r="D1098" s="27">
        <v>43280</v>
      </c>
      <c r="E1098" s="26">
        <v>-6115.97</v>
      </c>
      <c r="F1098" s="26" t="s">
        <v>2537</v>
      </c>
      <c r="G1098" s="26" t="s">
        <v>8</v>
      </c>
      <c r="H1098" s="26" t="s">
        <v>2538</v>
      </c>
      <c r="I1098" s="26" t="s">
        <v>106</v>
      </c>
      <c r="J1098" s="26">
        <v>0</v>
      </c>
      <c r="K1098" s="8" t="str">
        <f t="shared" si="17"/>
        <v>NIFBENEFIT</v>
      </c>
    </row>
    <row r="1099" spans="1:11" x14ac:dyDescent="0.25">
      <c r="A1099" s="26" t="s">
        <v>139</v>
      </c>
      <c r="B1099" s="26" t="s">
        <v>111</v>
      </c>
      <c r="C1099" s="26">
        <v>0</v>
      </c>
      <c r="D1099" s="27">
        <v>43280</v>
      </c>
      <c r="E1099" s="26">
        <v>-8498.81</v>
      </c>
      <c r="F1099" s="26" t="s">
        <v>2539</v>
      </c>
      <c r="G1099" s="26" t="s">
        <v>8</v>
      </c>
      <c r="H1099" s="26" t="s">
        <v>2540</v>
      </c>
      <c r="I1099" s="26" t="s">
        <v>106</v>
      </c>
      <c r="J1099" s="26">
        <v>0</v>
      </c>
      <c r="K1099" s="8" t="str">
        <f t="shared" si="17"/>
        <v>NIFBENEFIT</v>
      </c>
    </row>
    <row r="1100" spans="1:11" x14ac:dyDescent="0.25">
      <c r="A1100" s="26" t="s">
        <v>139</v>
      </c>
      <c r="B1100" s="26" t="s">
        <v>111</v>
      </c>
      <c r="C1100" s="26">
        <v>0</v>
      </c>
      <c r="D1100" s="27">
        <v>43280</v>
      </c>
      <c r="E1100" s="26">
        <v>-4527.3999999999996</v>
      </c>
      <c r="F1100" s="26" t="s">
        <v>2541</v>
      </c>
      <c r="G1100" s="26" t="s">
        <v>8</v>
      </c>
      <c r="H1100" s="26" t="s">
        <v>2542</v>
      </c>
      <c r="I1100" s="26" t="s">
        <v>106</v>
      </c>
      <c r="J1100" s="26">
        <v>0</v>
      </c>
      <c r="K1100" s="8" t="str">
        <f t="shared" si="17"/>
        <v>NIFBENEFIT</v>
      </c>
    </row>
    <row r="1101" spans="1:11" x14ac:dyDescent="0.25">
      <c r="A1101" s="26" t="s">
        <v>139</v>
      </c>
      <c r="B1101" s="26" t="s">
        <v>111</v>
      </c>
      <c r="C1101" s="26">
        <v>0</v>
      </c>
      <c r="D1101" s="27">
        <v>43283</v>
      </c>
      <c r="E1101" s="26">
        <v>-4527.3999999999996</v>
      </c>
      <c r="F1101" s="26" t="s">
        <v>2543</v>
      </c>
      <c r="G1101" s="26" t="s">
        <v>8</v>
      </c>
      <c r="H1101" s="26" t="s">
        <v>2544</v>
      </c>
      <c r="I1101" s="26" t="s">
        <v>106</v>
      </c>
      <c r="J1101" s="26">
        <v>0</v>
      </c>
      <c r="K1101" s="8" t="str">
        <f t="shared" si="17"/>
        <v>NIFBENEFIT</v>
      </c>
    </row>
    <row r="1102" spans="1:11" x14ac:dyDescent="0.25">
      <c r="A1102" s="26" t="s">
        <v>139</v>
      </c>
      <c r="B1102" s="26" t="s">
        <v>111</v>
      </c>
      <c r="C1102" s="26">
        <v>0</v>
      </c>
      <c r="D1102" s="27">
        <v>43286</v>
      </c>
      <c r="E1102" s="26">
        <v>-10563.94</v>
      </c>
      <c r="F1102" s="26" t="s">
        <v>2545</v>
      </c>
      <c r="G1102" s="26" t="s">
        <v>8</v>
      </c>
      <c r="H1102" s="26" t="s">
        <v>2546</v>
      </c>
      <c r="I1102" s="26" t="s">
        <v>106</v>
      </c>
      <c r="J1102" s="26">
        <v>0</v>
      </c>
      <c r="K1102" s="8" t="str">
        <f t="shared" si="17"/>
        <v>NIFBENEFIT</v>
      </c>
    </row>
    <row r="1103" spans="1:11" x14ac:dyDescent="0.25">
      <c r="A1103" s="26" t="s">
        <v>139</v>
      </c>
      <c r="B1103" s="26" t="s">
        <v>111</v>
      </c>
      <c r="C1103" s="26">
        <v>0</v>
      </c>
      <c r="D1103" s="27">
        <v>43287</v>
      </c>
      <c r="E1103" s="26">
        <v>-3733.12</v>
      </c>
      <c r="F1103" s="26" t="s">
        <v>2547</v>
      </c>
      <c r="G1103" s="26" t="s">
        <v>8</v>
      </c>
      <c r="H1103" s="26" t="s">
        <v>2548</v>
      </c>
      <c r="I1103" s="26" t="s">
        <v>106</v>
      </c>
      <c r="J1103" s="26">
        <v>0</v>
      </c>
      <c r="K1103" s="8" t="str">
        <f t="shared" si="17"/>
        <v>NIFBENEFIT</v>
      </c>
    </row>
    <row r="1104" spans="1:11" x14ac:dyDescent="0.25">
      <c r="A1104" s="26" t="s">
        <v>139</v>
      </c>
      <c r="B1104" s="26" t="s">
        <v>111</v>
      </c>
      <c r="C1104" s="26">
        <v>0</v>
      </c>
      <c r="D1104" s="27">
        <v>43287</v>
      </c>
      <c r="E1104" s="26">
        <v>-9690.23</v>
      </c>
      <c r="F1104" s="26" t="s">
        <v>2549</v>
      </c>
      <c r="G1104" s="26" t="s">
        <v>8</v>
      </c>
      <c r="H1104" s="26" t="s">
        <v>2550</v>
      </c>
      <c r="I1104" s="26" t="s">
        <v>106</v>
      </c>
      <c r="J1104" s="26">
        <v>0</v>
      </c>
      <c r="K1104" s="8" t="str">
        <f t="shared" si="17"/>
        <v>NIFBENEFIT</v>
      </c>
    </row>
    <row r="1105" spans="1:11" x14ac:dyDescent="0.25">
      <c r="A1105" s="26" t="s">
        <v>139</v>
      </c>
      <c r="B1105" s="26" t="s">
        <v>111</v>
      </c>
      <c r="C1105" s="26">
        <v>0</v>
      </c>
      <c r="D1105" s="27">
        <v>43287</v>
      </c>
      <c r="E1105" s="26">
        <v>-7863.38</v>
      </c>
      <c r="F1105" s="26" t="s">
        <v>2551</v>
      </c>
      <c r="G1105" s="26" t="s">
        <v>8</v>
      </c>
      <c r="H1105" s="26" t="s">
        <v>2552</v>
      </c>
      <c r="I1105" s="26" t="s">
        <v>106</v>
      </c>
      <c r="J1105" s="26">
        <v>0</v>
      </c>
      <c r="K1105" s="8" t="str">
        <f t="shared" si="17"/>
        <v>NIFBENEFIT</v>
      </c>
    </row>
    <row r="1106" spans="1:11" x14ac:dyDescent="0.25">
      <c r="A1106" s="26" t="s">
        <v>139</v>
      </c>
      <c r="B1106" s="26" t="s">
        <v>111</v>
      </c>
      <c r="C1106" s="26">
        <v>0</v>
      </c>
      <c r="D1106" s="27">
        <v>43290</v>
      </c>
      <c r="E1106" s="26">
        <v>-6115.97</v>
      </c>
      <c r="F1106" s="26" t="s">
        <v>2553</v>
      </c>
      <c r="G1106" s="26" t="s">
        <v>8</v>
      </c>
      <c r="H1106" s="26" t="s">
        <v>2554</v>
      </c>
      <c r="I1106" s="26" t="s">
        <v>106</v>
      </c>
      <c r="J1106" s="26">
        <v>0</v>
      </c>
      <c r="K1106" s="8" t="str">
        <f t="shared" si="17"/>
        <v>NIFBENEFIT</v>
      </c>
    </row>
    <row r="1107" spans="1:11" x14ac:dyDescent="0.25">
      <c r="A1107" s="26" t="s">
        <v>139</v>
      </c>
      <c r="B1107" s="26" t="s">
        <v>111</v>
      </c>
      <c r="C1107" s="26">
        <v>0</v>
      </c>
      <c r="D1107" s="27">
        <v>43293</v>
      </c>
      <c r="E1107" s="26">
        <v>-24384.43</v>
      </c>
      <c r="F1107" s="26" t="s">
        <v>2555</v>
      </c>
      <c r="G1107" s="26" t="s">
        <v>8</v>
      </c>
      <c r="H1107" s="26" t="s">
        <v>2556</v>
      </c>
      <c r="I1107" s="26" t="s">
        <v>106</v>
      </c>
      <c r="J1107" s="26">
        <v>0</v>
      </c>
      <c r="K1107" s="8" t="str">
        <f t="shared" si="17"/>
        <v>NIFBENEFIT</v>
      </c>
    </row>
    <row r="1108" spans="1:11" x14ac:dyDescent="0.25">
      <c r="A1108" s="26" t="s">
        <v>139</v>
      </c>
      <c r="B1108" s="26" t="s">
        <v>111</v>
      </c>
      <c r="C1108" s="26">
        <v>0</v>
      </c>
      <c r="D1108" s="27">
        <v>43294</v>
      </c>
      <c r="E1108" s="26">
        <v>-6115.97</v>
      </c>
      <c r="F1108" s="26" t="s">
        <v>2557</v>
      </c>
      <c r="G1108" s="26" t="s">
        <v>8</v>
      </c>
      <c r="H1108" s="26" t="s">
        <v>2558</v>
      </c>
      <c r="I1108" s="26" t="s">
        <v>106</v>
      </c>
      <c r="J1108" s="26">
        <v>0</v>
      </c>
      <c r="K1108" s="8" t="str">
        <f t="shared" si="17"/>
        <v>NIFBENEFIT</v>
      </c>
    </row>
    <row r="1109" spans="1:11" x14ac:dyDescent="0.25">
      <c r="A1109" s="26" t="s">
        <v>139</v>
      </c>
      <c r="B1109" s="26" t="s">
        <v>111</v>
      </c>
      <c r="C1109" s="26">
        <v>0</v>
      </c>
      <c r="D1109" s="27">
        <v>43294</v>
      </c>
      <c r="E1109" s="26">
        <v>-17474.189999999999</v>
      </c>
      <c r="F1109" s="26" t="s">
        <v>2559</v>
      </c>
      <c r="G1109" s="26" t="s">
        <v>8</v>
      </c>
      <c r="H1109" s="26" t="s">
        <v>2560</v>
      </c>
      <c r="I1109" s="26" t="s">
        <v>106</v>
      </c>
      <c r="J1109" s="26">
        <v>0</v>
      </c>
      <c r="K1109" s="8" t="str">
        <f t="shared" si="17"/>
        <v>NIFBENEFIT</v>
      </c>
    </row>
    <row r="1110" spans="1:11" x14ac:dyDescent="0.25">
      <c r="A1110" s="26" t="s">
        <v>139</v>
      </c>
      <c r="B1110" s="26" t="s">
        <v>111</v>
      </c>
      <c r="C1110" s="26">
        <v>0</v>
      </c>
      <c r="D1110" s="27">
        <v>43294</v>
      </c>
      <c r="E1110" s="26">
        <v>-9369.34</v>
      </c>
      <c r="F1110" s="26" t="s">
        <v>2561</v>
      </c>
      <c r="G1110" s="26" t="s">
        <v>8</v>
      </c>
      <c r="H1110" s="26" t="s">
        <v>2562</v>
      </c>
      <c r="I1110" s="26" t="s">
        <v>106</v>
      </c>
      <c r="J1110" s="26">
        <v>0</v>
      </c>
      <c r="K1110" s="8" t="str">
        <f t="shared" si="17"/>
        <v>NIFBENEFIT</v>
      </c>
    </row>
    <row r="1111" spans="1:11" x14ac:dyDescent="0.25">
      <c r="A1111" s="26" t="s">
        <v>139</v>
      </c>
      <c r="B1111" s="26" t="s">
        <v>111</v>
      </c>
      <c r="C1111" s="26">
        <v>0</v>
      </c>
      <c r="D1111" s="27">
        <v>43297</v>
      </c>
      <c r="E1111" s="26">
        <v>-14455.92</v>
      </c>
      <c r="F1111" s="26" t="s">
        <v>2563</v>
      </c>
      <c r="G1111" s="26" t="s">
        <v>8</v>
      </c>
      <c r="H1111" s="26" t="s">
        <v>2564</v>
      </c>
      <c r="I1111" s="26" t="s">
        <v>106</v>
      </c>
      <c r="J1111" s="26">
        <v>0</v>
      </c>
      <c r="K1111" s="8" t="str">
        <f t="shared" si="17"/>
        <v>NIFBENEFIT</v>
      </c>
    </row>
    <row r="1112" spans="1:11" x14ac:dyDescent="0.25">
      <c r="A1112" s="26" t="s">
        <v>139</v>
      </c>
      <c r="B1112" s="26" t="s">
        <v>111</v>
      </c>
      <c r="C1112" s="26">
        <v>0</v>
      </c>
      <c r="D1112" s="27">
        <v>43300</v>
      </c>
      <c r="E1112" s="26">
        <v>-15091.34</v>
      </c>
      <c r="F1112" s="26" t="s">
        <v>2565</v>
      </c>
      <c r="G1112" s="26" t="s">
        <v>8</v>
      </c>
      <c r="H1112" s="26" t="s">
        <v>2566</v>
      </c>
      <c r="I1112" s="26" t="s">
        <v>106</v>
      </c>
      <c r="J1112" s="26">
        <v>0</v>
      </c>
      <c r="K1112" s="8" t="str">
        <f t="shared" si="17"/>
        <v>NIFBENEFIT</v>
      </c>
    </row>
    <row r="1113" spans="1:11" x14ac:dyDescent="0.25">
      <c r="A1113" s="26" t="s">
        <v>139</v>
      </c>
      <c r="B1113" s="26" t="s">
        <v>111</v>
      </c>
      <c r="C1113" s="26">
        <v>0</v>
      </c>
      <c r="D1113" s="27">
        <v>43301</v>
      </c>
      <c r="E1113" s="26">
        <v>-9441.6200000000008</v>
      </c>
      <c r="F1113" s="26" t="s">
        <v>2567</v>
      </c>
      <c r="G1113" s="26" t="s">
        <v>8</v>
      </c>
      <c r="H1113" s="26" t="s">
        <v>2568</v>
      </c>
      <c r="I1113" s="26" t="s">
        <v>106</v>
      </c>
      <c r="J1113" s="26">
        <v>0</v>
      </c>
      <c r="K1113" s="8" t="str">
        <f t="shared" si="17"/>
        <v>NIFBENEFIT</v>
      </c>
    </row>
    <row r="1114" spans="1:11" x14ac:dyDescent="0.25">
      <c r="A1114" s="26" t="s">
        <v>139</v>
      </c>
      <c r="B1114" s="26" t="s">
        <v>111</v>
      </c>
      <c r="C1114" s="26">
        <v>0</v>
      </c>
      <c r="D1114" s="27">
        <v>43301</v>
      </c>
      <c r="E1114" s="26">
        <v>-11119.94</v>
      </c>
      <c r="F1114" s="26" t="s">
        <v>2569</v>
      </c>
      <c r="G1114" s="26" t="s">
        <v>8</v>
      </c>
      <c r="H1114" s="26" t="s">
        <v>2570</v>
      </c>
      <c r="I1114" s="26" t="s">
        <v>106</v>
      </c>
      <c r="J1114" s="26">
        <v>0</v>
      </c>
      <c r="K1114" s="8" t="str">
        <f t="shared" si="17"/>
        <v>NIFBENEFIT</v>
      </c>
    </row>
    <row r="1115" spans="1:11" x14ac:dyDescent="0.25">
      <c r="A1115" s="26" t="s">
        <v>139</v>
      </c>
      <c r="B1115" s="26" t="s">
        <v>111</v>
      </c>
      <c r="C1115" s="26">
        <v>0</v>
      </c>
      <c r="D1115" s="27">
        <v>43301</v>
      </c>
      <c r="E1115" s="26">
        <v>-6354.25</v>
      </c>
      <c r="F1115" s="26" t="s">
        <v>2571</v>
      </c>
      <c r="G1115" s="26" t="s">
        <v>8</v>
      </c>
      <c r="H1115" s="26" t="s">
        <v>2572</v>
      </c>
      <c r="I1115" s="26" t="s">
        <v>106</v>
      </c>
      <c r="J1115" s="26">
        <v>0</v>
      </c>
      <c r="K1115" s="8" t="str">
        <f t="shared" si="17"/>
        <v>NIFBENEFIT</v>
      </c>
    </row>
    <row r="1116" spans="1:11" x14ac:dyDescent="0.25">
      <c r="A1116" s="26" t="s">
        <v>139</v>
      </c>
      <c r="B1116" s="26" t="s">
        <v>111</v>
      </c>
      <c r="C1116" s="26">
        <v>0</v>
      </c>
      <c r="D1116" s="27">
        <v>43304</v>
      </c>
      <c r="E1116" s="26">
        <v>-6354.25</v>
      </c>
      <c r="F1116" s="26" t="s">
        <v>2573</v>
      </c>
      <c r="G1116" s="26" t="s">
        <v>8</v>
      </c>
      <c r="H1116" s="26" t="s">
        <v>2574</v>
      </c>
      <c r="I1116" s="26" t="s">
        <v>106</v>
      </c>
      <c r="J1116" s="26">
        <v>0</v>
      </c>
      <c r="K1116" s="8" t="str">
        <f t="shared" si="17"/>
        <v>NIFBENEFIT</v>
      </c>
    </row>
    <row r="1117" spans="1:11" x14ac:dyDescent="0.25">
      <c r="A1117" s="26" t="s">
        <v>139</v>
      </c>
      <c r="B1117" s="26" t="s">
        <v>111</v>
      </c>
      <c r="C1117" s="26">
        <v>0</v>
      </c>
      <c r="D1117" s="27">
        <v>43307</v>
      </c>
      <c r="E1117" s="26">
        <v>-13502.78</v>
      </c>
      <c r="F1117" s="26" t="s">
        <v>2575</v>
      </c>
      <c r="G1117" s="26" t="s">
        <v>8</v>
      </c>
      <c r="H1117" s="26" t="s">
        <v>2576</v>
      </c>
      <c r="I1117" s="26" t="s">
        <v>106</v>
      </c>
      <c r="J1117" s="26">
        <v>0</v>
      </c>
      <c r="K1117" s="8" t="str">
        <f t="shared" si="17"/>
        <v>NIFBENEFIT</v>
      </c>
    </row>
    <row r="1118" spans="1:11" x14ac:dyDescent="0.25">
      <c r="A1118" s="26" t="s">
        <v>139</v>
      </c>
      <c r="B1118" s="26" t="s">
        <v>111</v>
      </c>
      <c r="C1118" s="26">
        <v>0</v>
      </c>
      <c r="D1118" s="27">
        <v>43308</v>
      </c>
      <c r="E1118" s="26">
        <v>-11119.94</v>
      </c>
      <c r="F1118" s="26" t="s">
        <v>2577</v>
      </c>
      <c r="G1118" s="26" t="s">
        <v>8</v>
      </c>
      <c r="H1118" s="26" t="s">
        <v>2578</v>
      </c>
      <c r="I1118" s="26" t="s">
        <v>106</v>
      </c>
      <c r="J1118" s="26">
        <v>0</v>
      </c>
      <c r="K1118" s="8" t="str">
        <f t="shared" si="17"/>
        <v>NIFBENEFIT</v>
      </c>
    </row>
    <row r="1119" spans="1:11" x14ac:dyDescent="0.25">
      <c r="A1119" s="26" t="s">
        <v>139</v>
      </c>
      <c r="B1119" s="26" t="s">
        <v>111</v>
      </c>
      <c r="C1119" s="26">
        <v>0</v>
      </c>
      <c r="D1119" s="27">
        <v>43308</v>
      </c>
      <c r="E1119" s="26">
        <v>-11119.94</v>
      </c>
      <c r="F1119" s="26" t="s">
        <v>2579</v>
      </c>
      <c r="G1119" s="26" t="s">
        <v>8</v>
      </c>
      <c r="H1119" s="26" t="s">
        <v>2580</v>
      </c>
      <c r="I1119" s="26" t="s">
        <v>106</v>
      </c>
      <c r="J1119" s="26">
        <v>0</v>
      </c>
      <c r="K1119" s="8" t="str">
        <f t="shared" si="17"/>
        <v>NIFBENEFIT</v>
      </c>
    </row>
    <row r="1120" spans="1:11" x14ac:dyDescent="0.25">
      <c r="A1120" s="26" t="s">
        <v>139</v>
      </c>
      <c r="B1120" s="26" t="s">
        <v>111</v>
      </c>
      <c r="C1120" s="26">
        <v>0</v>
      </c>
      <c r="D1120" s="27">
        <v>43308</v>
      </c>
      <c r="E1120" s="26">
        <v>-6354.25</v>
      </c>
      <c r="F1120" s="26" t="s">
        <v>2581</v>
      </c>
      <c r="G1120" s="26" t="s">
        <v>8</v>
      </c>
      <c r="H1120" s="26" t="s">
        <v>2582</v>
      </c>
      <c r="I1120" s="26" t="s">
        <v>106</v>
      </c>
      <c r="J1120" s="26">
        <v>0</v>
      </c>
      <c r="K1120" s="8" t="str">
        <f t="shared" si="17"/>
        <v>NIFBENEFIT</v>
      </c>
    </row>
    <row r="1121" spans="1:11" x14ac:dyDescent="0.25">
      <c r="A1121" s="26" t="s">
        <v>139</v>
      </c>
      <c r="B1121" s="26" t="s">
        <v>111</v>
      </c>
      <c r="C1121" s="26">
        <v>0</v>
      </c>
      <c r="D1121" s="27">
        <v>43311</v>
      </c>
      <c r="E1121" s="26">
        <v>-6354.25</v>
      </c>
      <c r="F1121" s="26" t="s">
        <v>2583</v>
      </c>
      <c r="G1121" s="26" t="s">
        <v>8</v>
      </c>
      <c r="H1121" s="26" t="s">
        <v>2584</v>
      </c>
      <c r="I1121" s="26" t="s">
        <v>106</v>
      </c>
      <c r="J1121" s="26">
        <v>0</v>
      </c>
      <c r="K1121" s="8" t="str">
        <f t="shared" si="17"/>
        <v>NIFBENEFIT</v>
      </c>
    </row>
    <row r="1122" spans="1:11" x14ac:dyDescent="0.25">
      <c r="A1122" s="26" t="s">
        <v>139</v>
      </c>
      <c r="B1122" s="26" t="s">
        <v>111</v>
      </c>
      <c r="C1122" s="26">
        <v>0</v>
      </c>
      <c r="D1122" s="27">
        <v>43314</v>
      </c>
      <c r="E1122" s="26">
        <v>-13502.78</v>
      </c>
      <c r="F1122" s="26" t="s">
        <v>2585</v>
      </c>
      <c r="G1122" s="26" t="s">
        <v>8</v>
      </c>
      <c r="H1122" s="26" t="s">
        <v>2586</v>
      </c>
      <c r="I1122" s="26" t="s">
        <v>106</v>
      </c>
      <c r="J1122" s="26">
        <v>0</v>
      </c>
      <c r="K1122" s="8" t="str">
        <f t="shared" si="17"/>
        <v>NIFBENEFIT</v>
      </c>
    </row>
    <row r="1123" spans="1:11" x14ac:dyDescent="0.25">
      <c r="A1123" s="26" t="s">
        <v>139</v>
      </c>
      <c r="B1123" s="26" t="s">
        <v>111</v>
      </c>
      <c r="C1123" s="26">
        <v>0</v>
      </c>
      <c r="D1123" s="27">
        <v>43315</v>
      </c>
      <c r="E1123" s="26">
        <v>-6354.25</v>
      </c>
      <c r="F1123" s="26" t="s">
        <v>2587</v>
      </c>
      <c r="G1123" s="26" t="s">
        <v>8</v>
      </c>
      <c r="H1123" s="26" t="s">
        <v>2588</v>
      </c>
      <c r="I1123" s="26" t="s">
        <v>106</v>
      </c>
      <c r="J1123" s="26">
        <v>0</v>
      </c>
      <c r="K1123" s="8" t="str">
        <f t="shared" si="17"/>
        <v>NIFBENEFIT</v>
      </c>
    </row>
    <row r="1124" spans="1:11" x14ac:dyDescent="0.25">
      <c r="A1124" s="26" t="s">
        <v>139</v>
      </c>
      <c r="B1124" s="26" t="s">
        <v>111</v>
      </c>
      <c r="C1124" s="26">
        <v>0</v>
      </c>
      <c r="D1124" s="27">
        <v>43315</v>
      </c>
      <c r="E1124" s="26">
        <v>-11517.08</v>
      </c>
      <c r="F1124" s="26" t="s">
        <v>2589</v>
      </c>
      <c r="G1124" s="26" t="s">
        <v>8</v>
      </c>
      <c r="H1124" s="26" t="s">
        <v>2590</v>
      </c>
      <c r="I1124" s="26" t="s">
        <v>106</v>
      </c>
      <c r="J1124" s="26">
        <v>0</v>
      </c>
      <c r="K1124" s="8" t="str">
        <f t="shared" si="17"/>
        <v>NIFBENEFIT</v>
      </c>
    </row>
    <row r="1125" spans="1:11" x14ac:dyDescent="0.25">
      <c r="A1125" s="26" t="s">
        <v>139</v>
      </c>
      <c r="B1125" s="26" t="s">
        <v>111</v>
      </c>
      <c r="C1125" s="26">
        <v>0</v>
      </c>
      <c r="D1125" s="27">
        <v>43315</v>
      </c>
      <c r="E1125" s="26">
        <v>-6433.68</v>
      </c>
      <c r="F1125" s="26" t="s">
        <v>2591</v>
      </c>
      <c r="G1125" s="26" t="s">
        <v>8</v>
      </c>
      <c r="H1125" s="26" t="s">
        <v>2592</v>
      </c>
      <c r="I1125" s="26" t="s">
        <v>106</v>
      </c>
      <c r="J1125" s="26">
        <v>0</v>
      </c>
      <c r="K1125" s="8" t="str">
        <f t="shared" si="17"/>
        <v>NIFBENEFIT</v>
      </c>
    </row>
    <row r="1126" spans="1:11" x14ac:dyDescent="0.25">
      <c r="A1126" s="26" t="s">
        <v>139</v>
      </c>
      <c r="B1126" s="26" t="s">
        <v>111</v>
      </c>
      <c r="C1126" s="26">
        <v>0</v>
      </c>
      <c r="D1126" s="27">
        <v>43318</v>
      </c>
      <c r="E1126" s="26">
        <v>-6354.25</v>
      </c>
      <c r="F1126" s="26" t="s">
        <v>2593</v>
      </c>
      <c r="G1126" s="26" t="s">
        <v>8</v>
      </c>
      <c r="H1126" s="26" t="s">
        <v>2594</v>
      </c>
      <c r="I1126" s="26" t="s">
        <v>106</v>
      </c>
      <c r="J1126" s="26">
        <v>0</v>
      </c>
      <c r="K1126" s="8" t="str">
        <f t="shared" si="17"/>
        <v>NIFBENEFIT</v>
      </c>
    </row>
    <row r="1127" spans="1:11" x14ac:dyDescent="0.25">
      <c r="A1127" s="26" t="s">
        <v>139</v>
      </c>
      <c r="B1127" s="26" t="s">
        <v>111</v>
      </c>
      <c r="C1127" s="26">
        <v>0</v>
      </c>
      <c r="D1127" s="27">
        <v>43321</v>
      </c>
      <c r="E1127" s="26">
        <v>-19380.46</v>
      </c>
      <c r="F1127" s="26" t="s">
        <v>2595</v>
      </c>
      <c r="G1127" s="26" t="s">
        <v>8</v>
      </c>
      <c r="H1127" s="26" t="s">
        <v>2596</v>
      </c>
      <c r="I1127" s="26" t="s">
        <v>106</v>
      </c>
      <c r="J1127" s="26">
        <v>0</v>
      </c>
      <c r="K1127" s="8" t="str">
        <f t="shared" si="17"/>
        <v>NIFBENEFIT</v>
      </c>
    </row>
    <row r="1128" spans="1:11" x14ac:dyDescent="0.25">
      <c r="A1128" s="26" t="s">
        <v>139</v>
      </c>
      <c r="B1128" s="26" t="s">
        <v>111</v>
      </c>
      <c r="C1128" s="26">
        <v>0</v>
      </c>
      <c r="D1128" s="27">
        <v>43322</v>
      </c>
      <c r="E1128" s="26">
        <v>-6354.25</v>
      </c>
      <c r="F1128" s="26" t="s">
        <v>2597</v>
      </c>
      <c r="G1128" s="26" t="s">
        <v>8</v>
      </c>
      <c r="H1128" s="26" t="s">
        <v>2598</v>
      </c>
      <c r="I1128" s="26" t="s">
        <v>106</v>
      </c>
      <c r="J1128" s="26">
        <v>0</v>
      </c>
      <c r="K1128" s="8" t="str">
        <f t="shared" si="17"/>
        <v>NIFBENEFIT</v>
      </c>
    </row>
    <row r="1129" spans="1:11" x14ac:dyDescent="0.25">
      <c r="A1129" s="26" t="s">
        <v>139</v>
      </c>
      <c r="B1129" s="26" t="s">
        <v>111</v>
      </c>
      <c r="C1129" s="26">
        <v>0</v>
      </c>
      <c r="D1129" s="27">
        <v>43322</v>
      </c>
      <c r="E1129" s="26">
        <v>-18590.150000000001</v>
      </c>
      <c r="F1129" s="26" t="s">
        <v>2599</v>
      </c>
      <c r="G1129" s="26" t="s">
        <v>8</v>
      </c>
      <c r="H1129" s="26" t="s">
        <v>2600</v>
      </c>
      <c r="I1129" s="26" t="s">
        <v>106</v>
      </c>
      <c r="J1129" s="26">
        <v>0</v>
      </c>
      <c r="K1129" s="8" t="str">
        <f t="shared" si="17"/>
        <v>NIFBENEFIT</v>
      </c>
    </row>
    <row r="1130" spans="1:11" x14ac:dyDescent="0.25">
      <c r="A1130" s="26" t="s">
        <v>139</v>
      </c>
      <c r="B1130" s="26" t="s">
        <v>111</v>
      </c>
      <c r="C1130" s="26">
        <v>0</v>
      </c>
      <c r="D1130" s="27">
        <v>43322</v>
      </c>
      <c r="E1130" s="26">
        <v>-10325.66</v>
      </c>
      <c r="F1130" s="26" t="s">
        <v>2601</v>
      </c>
      <c r="G1130" s="26" t="s">
        <v>8</v>
      </c>
      <c r="H1130" s="26" t="s">
        <v>2602</v>
      </c>
      <c r="I1130" s="26" t="s">
        <v>106</v>
      </c>
      <c r="J1130" s="26">
        <v>0</v>
      </c>
      <c r="K1130" s="8" t="str">
        <f t="shared" si="17"/>
        <v>NIFBENEFIT</v>
      </c>
    </row>
    <row r="1131" spans="1:11" x14ac:dyDescent="0.25">
      <c r="A1131" s="26" t="s">
        <v>139</v>
      </c>
      <c r="B1131" s="26" t="s">
        <v>111</v>
      </c>
      <c r="C1131" s="26">
        <v>0</v>
      </c>
      <c r="D1131" s="27">
        <v>43325</v>
      </c>
      <c r="E1131" s="26">
        <v>-21445.59</v>
      </c>
      <c r="F1131" s="26" t="s">
        <v>2603</v>
      </c>
      <c r="G1131" s="26" t="s">
        <v>8</v>
      </c>
      <c r="H1131" s="26" t="s">
        <v>2604</v>
      </c>
      <c r="I1131" s="26" t="s">
        <v>106</v>
      </c>
      <c r="J1131" s="26">
        <v>0</v>
      </c>
      <c r="K1131" s="8" t="str">
        <f t="shared" si="17"/>
        <v>NIFBENEFIT</v>
      </c>
    </row>
    <row r="1132" spans="1:11" x14ac:dyDescent="0.25">
      <c r="A1132" s="26" t="s">
        <v>139</v>
      </c>
      <c r="B1132" s="26" t="s">
        <v>111</v>
      </c>
      <c r="C1132" s="26">
        <v>0</v>
      </c>
      <c r="D1132" s="27">
        <v>43328</v>
      </c>
      <c r="E1132" s="26">
        <v>-15091.34</v>
      </c>
      <c r="F1132" s="26" t="s">
        <v>2605</v>
      </c>
      <c r="G1132" s="26" t="s">
        <v>8</v>
      </c>
      <c r="H1132" s="26" t="s">
        <v>2606</v>
      </c>
      <c r="I1132" s="26" t="s">
        <v>106</v>
      </c>
      <c r="J1132" s="26">
        <v>0</v>
      </c>
      <c r="K1132" s="8" t="str">
        <f t="shared" si="17"/>
        <v>NIFBENEFIT</v>
      </c>
    </row>
    <row r="1133" spans="1:11" x14ac:dyDescent="0.25">
      <c r="A1133" s="26" t="s">
        <v>139</v>
      </c>
      <c r="B1133" s="26" t="s">
        <v>111</v>
      </c>
      <c r="C1133" s="26">
        <v>0</v>
      </c>
      <c r="D1133" s="27">
        <v>43329</v>
      </c>
      <c r="E1133" s="26">
        <v>-7942.81</v>
      </c>
      <c r="F1133" s="26" t="s">
        <v>2607</v>
      </c>
      <c r="G1133" s="26" t="s">
        <v>8</v>
      </c>
      <c r="H1133" s="26" t="s">
        <v>2608</v>
      </c>
      <c r="I1133" s="26" t="s">
        <v>106</v>
      </c>
      <c r="J1133" s="26">
        <v>0</v>
      </c>
      <c r="K1133" s="8" t="str">
        <f t="shared" si="17"/>
        <v>NIFBENEFIT</v>
      </c>
    </row>
    <row r="1134" spans="1:11" x14ac:dyDescent="0.25">
      <c r="A1134" s="26" t="s">
        <v>139</v>
      </c>
      <c r="B1134" s="26" t="s">
        <v>111</v>
      </c>
      <c r="C1134" s="26">
        <v>0</v>
      </c>
      <c r="D1134" s="27">
        <v>43329</v>
      </c>
      <c r="E1134" s="26">
        <v>-11914.22</v>
      </c>
      <c r="F1134" s="26" t="s">
        <v>2609</v>
      </c>
      <c r="G1134" s="26" t="s">
        <v>8</v>
      </c>
      <c r="H1134" s="26" t="s">
        <v>2610</v>
      </c>
      <c r="I1134" s="26" t="s">
        <v>106</v>
      </c>
      <c r="J1134" s="26">
        <v>0</v>
      </c>
      <c r="K1134" s="8" t="str">
        <f t="shared" si="17"/>
        <v>NIFBENEFIT</v>
      </c>
    </row>
    <row r="1135" spans="1:11" x14ac:dyDescent="0.25">
      <c r="A1135" s="26" t="s">
        <v>139</v>
      </c>
      <c r="B1135" s="26" t="s">
        <v>111</v>
      </c>
      <c r="C1135" s="26">
        <v>0</v>
      </c>
      <c r="D1135" s="27">
        <v>43329</v>
      </c>
      <c r="E1135" s="26">
        <v>-10166.799999999999</v>
      </c>
      <c r="F1135" s="26" t="s">
        <v>2611</v>
      </c>
      <c r="G1135" s="26" t="s">
        <v>8</v>
      </c>
      <c r="H1135" s="26" t="s">
        <v>2612</v>
      </c>
      <c r="I1135" s="26" t="s">
        <v>106</v>
      </c>
      <c r="J1135" s="26">
        <v>0</v>
      </c>
      <c r="K1135" s="8" t="str">
        <f t="shared" si="17"/>
        <v>NIFBENEFIT</v>
      </c>
    </row>
    <row r="1136" spans="1:11" x14ac:dyDescent="0.25">
      <c r="A1136" s="26" t="s">
        <v>139</v>
      </c>
      <c r="B1136" s="26" t="s">
        <v>111</v>
      </c>
      <c r="C1136" s="26">
        <v>0</v>
      </c>
      <c r="D1136" s="27">
        <v>43336</v>
      </c>
      <c r="E1136" s="26">
        <v>-106751.39</v>
      </c>
      <c r="F1136" s="26" t="s">
        <v>2613</v>
      </c>
      <c r="G1136" s="26" t="s">
        <v>8</v>
      </c>
      <c r="H1136" s="26" t="s">
        <v>2614</v>
      </c>
      <c r="I1136" s="26" t="s">
        <v>106</v>
      </c>
      <c r="J1136" s="26">
        <v>0</v>
      </c>
      <c r="K1136" s="8" t="str">
        <f t="shared" si="17"/>
        <v>NIFBENEFIT</v>
      </c>
    </row>
    <row r="1137" spans="1:11" x14ac:dyDescent="0.25">
      <c r="A1137" s="26" t="s">
        <v>139</v>
      </c>
      <c r="B1137" s="26" t="s">
        <v>111</v>
      </c>
      <c r="C1137" s="26">
        <v>0</v>
      </c>
      <c r="D1137" s="27">
        <v>43336</v>
      </c>
      <c r="E1137" s="26">
        <v>-10961.08</v>
      </c>
      <c r="F1137" s="26" t="s">
        <v>2615</v>
      </c>
      <c r="G1137" s="26" t="s">
        <v>8</v>
      </c>
      <c r="H1137" s="26" t="s">
        <v>2616</v>
      </c>
      <c r="I1137" s="26" t="s">
        <v>106</v>
      </c>
      <c r="J1137" s="26">
        <v>0</v>
      </c>
      <c r="K1137" s="8" t="str">
        <f t="shared" si="17"/>
        <v>NIFBENEFIT</v>
      </c>
    </row>
    <row r="1138" spans="1:11" x14ac:dyDescent="0.25">
      <c r="A1138" s="26" t="s">
        <v>139</v>
      </c>
      <c r="B1138" s="26" t="s">
        <v>111</v>
      </c>
      <c r="C1138" s="26">
        <v>0</v>
      </c>
      <c r="D1138" s="27">
        <v>43336</v>
      </c>
      <c r="E1138" s="26">
        <v>-6989.67</v>
      </c>
      <c r="F1138" s="26" t="s">
        <v>2617</v>
      </c>
      <c r="G1138" s="26" t="s">
        <v>8</v>
      </c>
      <c r="H1138" s="26" t="s">
        <v>2618</v>
      </c>
      <c r="I1138" s="26" t="s">
        <v>106</v>
      </c>
      <c r="J1138" s="26">
        <v>0</v>
      </c>
      <c r="K1138" s="8" t="str">
        <f t="shared" si="17"/>
        <v>NIFBENEFIT</v>
      </c>
    </row>
    <row r="1139" spans="1:11" x14ac:dyDescent="0.25">
      <c r="A1139" s="26" t="s">
        <v>139</v>
      </c>
      <c r="B1139" s="26" t="s">
        <v>111</v>
      </c>
      <c r="C1139" s="26">
        <v>0</v>
      </c>
      <c r="D1139" s="27">
        <v>43339</v>
      </c>
      <c r="E1139" s="26">
        <v>-20525.810000000001</v>
      </c>
      <c r="F1139" s="26" t="s">
        <v>2619</v>
      </c>
      <c r="G1139" s="26" t="s">
        <v>8</v>
      </c>
      <c r="H1139" s="26" t="s">
        <v>2620</v>
      </c>
      <c r="I1139" s="26" t="s">
        <v>106</v>
      </c>
      <c r="J1139" s="26">
        <v>0</v>
      </c>
      <c r="K1139" s="8" t="str">
        <f t="shared" si="17"/>
        <v>NIFBENEFIT</v>
      </c>
    </row>
    <row r="1140" spans="1:11" x14ac:dyDescent="0.25">
      <c r="A1140" s="26" t="s">
        <v>139</v>
      </c>
      <c r="B1140" s="26" t="s">
        <v>111</v>
      </c>
      <c r="C1140" s="26">
        <v>0</v>
      </c>
      <c r="D1140" s="27">
        <v>43342</v>
      </c>
      <c r="E1140" s="26">
        <v>-26200.16</v>
      </c>
      <c r="F1140" s="26" t="s">
        <v>2621</v>
      </c>
      <c r="G1140" s="26" t="s">
        <v>8</v>
      </c>
      <c r="H1140" s="26" t="s">
        <v>2622</v>
      </c>
      <c r="I1140" s="26" t="s">
        <v>106</v>
      </c>
      <c r="J1140" s="26">
        <v>0</v>
      </c>
      <c r="K1140" s="8" t="str">
        <f t="shared" si="17"/>
        <v>NIFBENEFIT</v>
      </c>
    </row>
    <row r="1141" spans="1:11" x14ac:dyDescent="0.25">
      <c r="A1141" s="26" t="s">
        <v>139</v>
      </c>
      <c r="B1141" s="26" t="s">
        <v>111</v>
      </c>
      <c r="C1141" s="26">
        <v>0</v>
      </c>
      <c r="D1141" s="27">
        <v>43343</v>
      </c>
      <c r="E1141" s="26">
        <v>-6989.67</v>
      </c>
      <c r="F1141" s="26" t="s">
        <v>2623</v>
      </c>
      <c r="G1141" s="26" t="s">
        <v>8</v>
      </c>
      <c r="H1141" s="26" t="s">
        <v>2624</v>
      </c>
      <c r="I1141" s="26" t="s">
        <v>106</v>
      </c>
      <c r="J1141" s="26">
        <v>0</v>
      </c>
      <c r="K1141" s="8" t="str">
        <f t="shared" si="17"/>
        <v>NIFBENEFIT</v>
      </c>
    </row>
    <row r="1142" spans="1:11" x14ac:dyDescent="0.25">
      <c r="A1142" s="26" t="s">
        <v>139</v>
      </c>
      <c r="B1142" s="26" t="s">
        <v>111</v>
      </c>
      <c r="C1142" s="26">
        <v>0</v>
      </c>
      <c r="D1142" s="27">
        <v>43343</v>
      </c>
      <c r="E1142" s="26">
        <v>-10166.799999999999</v>
      </c>
      <c r="F1142" s="26" t="s">
        <v>2625</v>
      </c>
      <c r="G1142" s="26" t="s">
        <v>8</v>
      </c>
      <c r="H1142" s="26" t="s">
        <v>2626</v>
      </c>
      <c r="I1142" s="26" t="s">
        <v>106</v>
      </c>
      <c r="J1142" s="26">
        <v>0</v>
      </c>
      <c r="K1142" s="8" t="str">
        <f t="shared" si="17"/>
        <v>NIFBENEFIT</v>
      </c>
    </row>
    <row r="1143" spans="1:11" x14ac:dyDescent="0.25">
      <c r="A1143" s="26" t="s">
        <v>139</v>
      </c>
      <c r="B1143" s="26" t="s">
        <v>111</v>
      </c>
      <c r="C1143" s="26">
        <v>0</v>
      </c>
      <c r="D1143" s="27">
        <v>43343</v>
      </c>
      <c r="E1143" s="26">
        <v>-6989.67</v>
      </c>
      <c r="F1143" s="26" t="s">
        <v>2627</v>
      </c>
      <c r="G1143" s="26" t="s">
        <v>8</v>
      </c>
      <c r="H1143" s="26" t="s">
        <v>2628</v>
      </c>
      <c r="I1143" s="26" t="s">
        <v>106</v>
      </c>
      <c r="J1143" s="26">
        <v>0</v>
      </c>
      <c r="K1143" s="8" t="str">
        <f t="shared" si="17"/>
        <v>NIFBENEFIT</v>
      </c>
    </row>
    <row r="1144" spans="1:11" x14ac:dyDescent="0.25">
      <c r="A1144" s="26" t="s">
        <v>139</v>
      </c>
      <c r="B1144" s="26" t="s">
        <v>111</v>
      </c>
      <c r="C1144" s="26">
        <v>0</v>
      </c>
      <c r="D1144" s="27">
        <v>43346</v>
      </c>
      <c r="E1144" s="26">
        <v>-6989.67</v>
      </c>
      <c r="F1144" s="26" t="s">
        <v>2629</v>
      </c>
      <c r="G1144" s="26" t="s">
        <v>8</v>
      </c>
      <c r="H1144" s="26" t="s">
        <v>2630</v>
      </c>
      <c r="I1144" s="26" t="s">
        <v>106</v>
      </c>
      <c r="J1144" s="26">
        <v>0</v>
      </c>
      <c r="K1144" s="8" t="str">
        <f t="shared" si="17"/>
        <v>NIFBENEFIT</v>
      </c>
    </row>
    <row r="1145" spans="1:11" x14ac:dyDescent="0.25">
      <c r="A1145" s="26" t="s">
        <v>139</v>
      </c>
      <c r="B1145" s="26" t="s">
        <v>111</v>
      </c>
      <c r="C1145" s="26">
        <v>0</v>
      </c>
      <c r="D1145" s="27">
        <v>43349</v>
      </c>
      <c r="E1145" s="26">
        <v>-15806.2</v>
      </c>
      <c r="F1145" s="26" t="s">
        <v>2631</v>
      </c>
      <c r="G1145" s="26" t="s">
        <v>8</v>
      </c>
      <c r="H1145" s="26" t="s">
        <v>2632</v>
      </c>
      <c r="I1145" s="26" t="s">
        <v>106</v>
      </c>
      <c r="J1145" s="26">
        <v>0</v>
      </c>
      <c r="K1145" s="8" t="str">
        <f t="shared" si="17"/>
        <v>NIFBENEFIT</v>
      </c>
    </row>
    <row r="1146" spans="1:11" x14ac:dyDescent="0.25">
      <c r="A1146" s="26" t="s">
        <v>139</v>
      </c>
      <c r="B1146" s="26" t="s">
        <v>111</v>
      </c>
      <c r="C1146" s="26">
        <v>0</v>
      </c>
      <c r="D1146" s="27">
        <v>43350</v>
      </c>
      <c r="E1146" s="26">
        <v>-6195.39</v>
      </c>
      <c r="F1146" s="26" t="s">
        <v>2633</v>
      </c>
      <c r="G1146" s="26" t="s">
        <v>8</v>
      </c>
      <c r="H1146" s="26" t="s">
        <v>2634</v>
      </c>
      <c r="I1146" s="26" t="s">
        <v>106</v>
      </c>
      <c r="J1146" s="26">
        <v>0</v>
      </c>
      <c r="K1146" s="8" t="str">
        <f t="shared" si="17"/>
        <v>NIFBENEFIT</v>
      </c>
    </row>
    <row r="1147" spans="1:11" x14ac:dyDescent="0.25">
      <c r="A1147" s="26" t="s">
        <v>139</v>
      </c>
      <c r="B1147" s="26" t="s">
        <v>111</v>
      </c>
      <c r="C1147" s="26">
        <v>0</v>
      </c>
      <c r="D1147" s="27">
        <v>43350</v>
      </c>
      <c r="E1147" s="26">
        <v>-10961.08</v>
      </c>
      <c r="F1147" s="26" t="s">
        <v>2635</v>
      </c>
      <c r="G1147" s="26" t="s">
        <v>8</v>
      </c>
      <c r="H1147" s="26" t="s">
        <v>2636</v>
      </c>
      <c r="I1147" s="26" t="s">
        <v>106</v>
      </c>
      <c r="J1147" s="26">
        <v>0</v>
      </c>
      <c r="K1147" s="8" t="str">
        <f t="shared" si="17"/>
        <v>NIFBENEFIT</v>
      </c>
    </row>
    <row r="1148" spans="1:11" x14ac:dyDescent="0.25">
      <c r="A1148" s="26" t="s">
        <v>139</v>
      </c>
      <c r="B1148" s="26" t="s">
        <v>111</v>
      </c>
      <c r="C1148" s="26">
        <v>0</v>
      </c>
      <c r="D1148" s="27">
        <v>43350</v>
      </c>
      <c r="E1148" s="26">
        <v>-5401.11</v>
      </c>
      <c r="F1148" s="26" t="s">
        <v>2637</v>
      </c>
      <c r="G1148" s="26" t="s">
        <v>8</v>
      </c>
      <c r="H1148" s="26" t="s">
        <v>2638</v>
      </c>
      <c r="I1148" s="26" t="s">
        <v>106</v>
      </c>
      <c r="J1148" s="26">
        <v>0</v>
      </c>
      <c r="K1148" s="8" t="str">
        <f t="shared" si="17"/>
        <v>NIFBENEFIT</v>
      </c>
    </row>
    <row r="1149" spans="1:11" x14ac:dyDescent="0.25">
      <c r="A1149" s="26" t="s">
        <v>139</v>
      </c>
      <c r="B1149" s="26" t="s">
        <v>111</v>
      </c>
      <c r="C1149" s="26">
        <v>0</v>
      </c>
      <c r="D1149" s="27">
        <v>43353</v>
      </c>
      <c r="E1149" s="26">
        <v>-17315.330000000002</v>
      </c>
      <c r="F1149" s="26" t="s">
        <v>2639</v>
      </c>
      <c r="G1149" s="26" t="s">
        <v>8</v>
      </c>
      <c r="H1149" s="26" t="s">
        <v>2640</v>
      </c>
      <c r="I1149" s="26" t="s">
        <v>106</v>
      </c>
      <c r="J1149" s="26">
        <v>0</v>
      </c>
      <c r="K1149" s="8" t="str">
        <f t="shared" si="17"/>
        <v>NIFBENEFIT</v>
      </c>
    </row>
    <row r="1150" spans="1:11" x14ac:dyDescent="0.25">
      <c r="A1150" s="26" t="s">
        <v>139</v>
      </c>
      <c r="B1150" s="26" t="s">
        <v>111</v>
      </c>
      <c r="C1150" s="26">
        <v>0</v>
      </c>
      <c r="D1150" s="27">
        <v>43356</v>
      </c>
      <c r="E1150" s="26">
        <v>-17315.330000000002</v>
      </c>
      <c r="F1150" s="26" t="s">
        <v>2641</v>
      </c>
      <c r="G1150" s="26" t="s">
        <v>8</v>
      </c>
      <c r="H1150" s="26" t="s">
        <v>2642</v>
      </c>
      <c r="I1150" s="26" t="s">
        <v>106</v>
      </c>
      <c r="J1150" s="26">
        <v>0</v>
      </c>
      <c r="K1150" s="8" t="str">
        <f t="shared" si="17"/>
        <v>NIFBENEFIT</v>
      </c>
    </row>
    <row r="1151" spans="1:11" x14ac:dyDescent="0.25">
      <c r="A1151" s="26" t="s">
        <v>139</v>
      </c>
      <c r="B1151" s="26" t="s">
        <v>111</v>
      </c>
      <c r="C1151" s="26">
        <v>0</v>
      </c>
      <c r="D1151" s="27">
        <v>43357</v>
      </c>
      <c r="E1151" s="26">
        <v>-6513.11</v>
      </c>
      <c r="F1151" s="26" t="s">
        <v>2643</v>
      </c>
      <c r="G1151" s="26" t="s">
        <v>8</v>
      </c>
      <c r="H1151" s="26" t="s">
        <v>2644</v>
      </c>
      <c r="I1151" s="26" t="s">
        <v>106</v>
      </c>
      <c r="J1151" s="26">
        <v>0</v>
      </c>
      <c r="K1151" s="8" t="str">
        <f t="shared" si="17"/>
        <v>NIFBENEFIT</v>
      </c>
    </row>
    <row r="1152" spans="1:11" x14ac:dyDescent="0.25">
      <c r="A1152" s="26" t="s">
        <v>139</v>
      </c>
      <c r="B1152" s="26" t="s">
        <v>111</v>
      </c>
      <c r="C1152" s="26">
        <v>0</v>
      </c>
      <c r="D1152" s="27">
        <v>43357</v>
      </c>
      <c r="E1152" s="26">
        <v>-11914.22</v>
      </c>
      <c r="F1152" s="26" t="s">
        <v>2645</v>
      </c>
      <c r="G1152" s="26" t="s">
        <v>8</v>
      </c>
      <c r="H1152" s="26" t="s">
        <v>2646</v>
      </c>
      <c r="I1152" s="26" t="s">
        <v>106</v>
      </c>
      <c r="J1152" s="26">
        <v>0</v>
      </c>
      <c r="K1152" s="8" t="str">
        <f t="shared" si="17"/>
        <v>NIFBENEFIT</v>
      </c>
    </row>
    <row r="1153" spans="1:11" x14ac:dyDescent="0.25">
      <c r="A1153" s="26" t="s">
        <v>139</v>
      </c>
      <c r="B1153" s="26" t="s">
        <v>111</v>
      </c>
      <c r="C1153" s="26">
        <v>0</v>
      </c>
      <c r="D1153" s="27">
        <v>43357</v>
      </c>
      <c r="E1153" s="26">
        <v>-6989.67</v>
      </c>
      <c r="F1153" s="26" t="s">
        <v>2647</v>
      </c>
      <c r="G1153" s="26" t="s">
        <v>8</v>
      </c>
      <c r="H1153" s="26" t="s">
        <v>2648</v>
      </c>
      <c r="I1153" s="26" t="s">
        <v>106</v>
      </c>
      <c r="J1153" s="26">
        <v>0</v>
      </c>
      <c r="K1153" s="8" t="str">
        <f t="shared" si="17"/>
        <v>NIFBENEFIT</v>
      </c>
    </row>
    <row r="1154" spans="1:11" x14ac:dyDescent="0.25">
      <c r="A1154" s="26" t="s">
        <v>139</v>
      </c>
      <c r="B1154" s="26" t="s">
        <v>111</v>
      </c>
      <c r="C1154" s="26">
        <v>0</v>
      </c>
      <c r="D1154" s="27">
        <v>43360</v>
      </c>
      <c r="E1154" s="26">
        <v>-6989.67</v>
      </c>
      <c r="F1154" s="26" t="s">
        <v>2649</v>
      </c>
      <c r="G1154" s="26" t="s">
        <v>8</v>
      </c>
      <c r="H1154" s="26" t="s">
        <v>2650</v>
      </c>
      <c r="I1154" s="26" t="s">
        <v>106</v>
      </c>
      <c r="J1154" s="26">
        <v>0</v>
      </c>
      <c r="K1154" s="8" t="str">
        <f t="shared" si="17"/>
        <v>NIFBENEFIT</v>
      </c>
    </row>
    <row r="1155" spans="1:11" x14ac:dyDescent="0.25">
      <c r="A1155" s="26" t="s">
        <v>140</v>
      </c>
      <c r="B1155" s="26" t="s">
        <v>111</v>
      </c>
      <c r="C1155" s="26">
        <v>0</v>
      </c>
      <c r="D1155" s="27">
        <v>43245</v>
      </c>
      <c r="E1155" s="26">
        <v>57188.24</v>
      </c>
      <c r="F1155" s="26" t="s">
        <v>2651</v>
      </c>
      <c r="G1155" s="26" t="s">
        <v>8</v>
      </c>
      <c r="H1155" s="26" t="s">
        <v>2652</v>
      </c>
      <c r="I1155" s="26" t="s">
        <v>106</v>
      </c>
      <c r="J1155" s="26">
        <v>0</v>
      </c>
      <c r="K1155" s="8" t="str">
        <f t="shared" ref="K1155:K1218" si="18">LEFT(A1155,FIND("/",A1155)-1)</f>
        <v>NLFINTRPAY</v>
      </c>
    </row>
    <row r="1156" spans="1:11" x14ac:dyDescent="0.25">
      <c r="A1156" s="26" t="s">
        <v>140</v>
      </c>
      <c r="B1156" s="26" t="s">
        <v>111</v>
      </c>
      <c r="C1156" s="26">
        <v>0</v>
      </c>
      <c r="D1156" s="27">
        <v>43248</v>
      </c>
      <c r="E1156" s="26">
        <v>6103.26</v>
      </c>
      <c r="F1156" s="26" t="s">
        <v>2653</v>
      </c>
      <c r="G1156" s="26" t="s">
        <v>8</v>
      </c>
      <c r="H1156" s="26" t="s">
        <v>2654</v>
      </c>
      <c r="I1156" s="26" t="s">
        <v>106</v>
      </c>
      <c r="J1156" s="26">
        <v>0</v>
      </c>
      <c r="K1156" s="8" t="str">
        <f t="shared" si="18"/>
        <v>NLFINTRPAY</v>
      </c>
    </row>
    <row r="1157" spans="1:11" x14ac:dyDescent="0.25">
      <c r="A1157" s="26" t="s">
        <v>140</v>
      </c>
      <c r="B1157" s="26" t="s">
        <v>111</v>
      </c>
      <c r="C1157" s="26">
        <v>0</v>
      </c>
      <c r="D1157" s="27">
        <v>43265</v>
      </c>
      <c r="E1157" s="26">
        <v>4765.6899999999996</v>
      </c>
      <c r="F1157" s="26" t="s">
        <v>2655</v>
      </c>
      <c r="G1157" s="26" t="s">
        <v>8</v>
      </c>
      <c r="H1157" s="26" t="s">
        <v>2656</v>
      </c>
      <c r="I1157" s="26" t="s">
        <v>106</v>
      </c>
      <c r="J1157" s="26">
        <v>0</v>
      </c>
      <c r="K1157" s="8" t="str">
        <f t="shared" si="18"/>
        <v>NLFINTRPAY</v>
      </c>
    </row>
    <row r="1158" spans="1:11" x14ac:dyDescent="0.25">
      <c r="A1158" s="26" t="s">
        <v>140</v>
      </c>
      <c r="B1158" s="26" t="s">
        <v>111</v>
      </c>
      <c r="C1158" s="26">
        <v>0</v>
      </c>
      <c r="D1158" s="27">
        <v>43269</v>
      </c>
      <c r="E1158" s="26">
        <v>102462.27</v>
      </c>
      <c r="F1158" s="26" t="s">
        <v>2657</v>
      </c>
      <c r="G1158" s="26" t="s">
        <v>8</v>
      </c>
      <c r="H1158" s="26" t="s">
        <v>2658</v>
      </c>
      <c r="I1158" s="26" t="s">
        <v>106</v>
      </c>
      <c r="J1158" s="26">
        <v>0</v>
      </c>
      <c r="K1158" s="8" t="str">
        <f t="shared" si="18"/>
        <v>NLFINTRPAY</v>
      </c>
    </row>
    <row r="1159" spans="1:11" x14ac:dyDescent="0.25">
      <c r="A1159" s="26" t="s">
        <v>140</v>
      </c>
      <c r="B1159" s="26" t="s">
        <v>111</v>
      </c>
      <c r="C1159" s="26">
        <v>0</v>
      </c>
      <c r="D1159" s="27">
        <v>43272</v>
      </c>
      <c r="E1159" s="26">
        <v>85861.8</v>
      </c>
      <c r="F1159" s="26" t="s">
        <v>2659</v>
      </c>
      <c r="G1159" s="26" t="s">
        <v>8</v>
      </c>
      <c r="H1159" s="26" t="s">
        <v>2660</v>
      </c>
      <c r="I1159" s="26" t="s">
        <v>106</v>
      </c>
      <c r="J1159" s="26">
        <v>0</v>
      </c>
      <c r="K1159" s="8" t="str">
        <f t="shared" si="18"/>
        <v>NLFINTRPAY</v>
      </c>
    </row>
    <row r="1160" spans="1:11" x14ac:dyDescent="0.25">
      <c r="A1160" s="26" t="s">
        <v>140</v>
      </c>
      <c r="B1160" s="26" t="s">
        <v>111</v>
      </c>
      <c r="C1160" s="26">
        <v>0</v>
      </c>
      <c r="D1160" s="27">
        <v>43300</v>
      </c>
      <c r="E1160" s="26">
        <v>23828.44</v>
      </c>
      <c r="F1160" s="26" t="s">
        <v>2661</v>
      </c>
      <c r="G1160" s="26" t="s">
        <v>8</v>
      </c>
      <c r="H1160" s="26" t="s">
        <v>2662</v>
      </c>
      <c r="I1160" s="26" t="s">
        <v>106</v>
      </c>
      <c r="J1160" s="26">
        <v>0</v>
      </c>
      <c r="K1160" s="8" t="str">
        <f t="shared" si="18"/>
        <v>NLFINTRPAY</v>
      </c>
    </row>
    <row r="1161" spans="1:11" x14ac:dyDescent="0.25">
      <c r="A1161" s="26" t="s">
        <v>140</v>
      </c>
      <c r="B1161" s="26" t="s">
        <v>111</v>
      </c>
      <c r="C1161" s="26">
        <v>0</v>
      </c>
      <c r="D1161" s="27">
        <v>43304</v>
      </c>
      <c r="E1161" s="26">
        <v>31771.25</v>
      </c>
      <c r="F1161" s="26" t="s">
        <v>2663</v>
      </c>
      <c r="G1161" s="26" t="s">
        <v>8</v>
      </c>
      <c r="H1161" s="26" t="s">
        <v>2664</v>
      </c>
      <c r="I1161" s="26" t="s">
        <v>106</v>
      </c>
      <c r="J1161" s="26">
        <v>0</v>
      </c>
      <c r="K1161" s="8" t="str">
        <f t="shared" si="18"/>
        <v>NLFINTRPAY</v>
      </c>
    </row>
    <row r="1162" spans="1:11" x14ac:dyDescent="0.25">
      <c r="A1162" s="26" t="s">
        <v>140</v>
      </c>
      <c r="B1162" s="26" t="s">
        <v>111</v>
      </c>
      <c r="C1162" s="26">
        <v>0</v>
      </c>
      <c r="D1162" s="27">
        <v>43311</v>
      </c>
      <c r="E1162" s="26">
        <v>7942.81</v>
      </c>
      <c r="F1162" s="26" t="s">
        <v>2665</v>
      </c>
      <c r="G1162" s="26" t="s">
        <v>8</v>
      </c>
      <c r="H1162" s="26" t="s">
        <v>2666</v>
      </c>
      <c r="I1162" s="26" t="s">
        <v>106</v>
      </c>
      <c r="J1162" s="26">
        <v>0</v>
      </c>
      <c r="K1162" s="8" t="str">
        <f t="shared" si="18"/>
        <v>NLFINTRPAY</v>
      </c>
    </row>
    <row r="1163" spans="1:11" x14ac:dyDescent="0.25">
      <c r="A1163" s="26" t="s">
        <v>140</v>
      </c>
      <c r="B1163" s="26" t="s">
        <v>111</v>
      </c>
      <c r="C1163" s="26">
        <v>0</v>
      </c>
      <c r="D1163" s="27">
        <v>43314</v>
      </c>
      <c r="E1163" s="26">
        <v>9134.23</v>
      </c>
      <c r="F1163" s="26" t="s">
        <v>2667</v>
      </c>
      <c r="G1163" s="26" t="s">
        <v>8</v>
      </c>
      <c r="H1163" s="26" t="s">
        <v>2668</v>
      </c>
      <c r="I1163" s="26" t="s">
        <v>106</v>
      </c>
      <c r="J1163" s="26">
        <v>0</v>
      </c>
      <c r="K1163" s="8" t="str">
        <f t="shared" si="18"/>
        <v>NLFINTRPAY</v>
      </c>
    </row>
    <row r="1164" spans="1:11" x14ac:dyDescent="0.25">
      <c r="A1164" s="26" t="s">
        <v>140</v>
      </c>
      <c r="B1164" s="26" t="s">
        <v>111</v>
      </c>
      <c r="C1164" s="26">
        <v>0</v>
      </c>
      <c r="D1164" s="27">
        <v>43321</v>
      </c>
      <c r="E1164" s="26">
        <v>11596.51</v>
      </c>
      <c r="F1164" s="26" t="s">
        <v>2669</v>
      </c>
      <c r="G1164" s="26" t="s">
        <v>8</v>
      </c>
      <c r="H1164" s="26" t="s">
        <v>2670</v>
      </c>
      <c r="I1164" s="26" t="s">
        <v>106</v>
      </c>
      <c r="J1164" s="26">
        <v>0</v>
      </c>
      <c r="K1164" s="8" t="str">
        <f t="shared" si="18"/>
        <v>NLFINTRPAY</v>
      </c>
    </row>
    <row r="1165" spans="1:11" x14ac:dyDescent="0.25">
      <c r="A1165" s="26" t="s">
        <v>140</v>
      </c>
      <c r="B1165" s="26" t="s">
        <v>111</v>
      </c>
      <c r="C1165" s="26">
        <v>0</v>
      </c>
      <c r="D1165" s="27">
        <v>43328</v>
      </c>
      <c r="E1165" s="26">
        <v>7942.81</v>
      </c>
      <c r="F1165" s="26" t="s">
        <v>2671</v>
      </c>
      <c r="G1165" s="26" t="s">
        <v>8</v>
      </c>
      <c r="H1165" s="26" t="s">
        <v>2672</v>
      </c>
      <c r="I1165" s="26" t="s">
        <v>106</v>
      </c>
      <c r="J1165" s="26">
        <v>0</v>
      </c>
      <c r="K1165" s="8" t="str">
        <f t="shared" si="18"/>
        <v>NLFINTRPAY</v>
      </c>
    </row>
    <row r="1166" spans="1:11" x14ac:dyDescent="0.25">
      <c r="A1166" s="26" t="s">
        <v>140</v>
      </c>
      <c r="B1166" s="26" t="s">
        <v>111</v>
      </c>
      <c r="C1166" s="26">
        <v>0</v>
      </c>
      <c r="D1166" s="27">
        <v>43336</v>
      </c>
      <c r="E1166" s="26">
        <v>23828.44</v>
      </c>
      <c r="F1166" s="26" t="s">
        <v>2673</v>
      </c>
      <c r="G1166" s="26" t="s">
        <v>8</v>
      </c>
      <c r="H1166" s="26" t="s">
        <v>2674</v>
      </c>
      <c r="I1166" s="26" t="s">
        <v>106</v>
      </c>
      <c r="J1166" s="26">
        <v>0</v>
      </c>
      <c r="K1166" s="8" t="str">
        <f t="shared" si="18"/>
        <v>NLFINTRPAY</v>
      </c>
    </row>
    <row r="1167" spans="1:11" x14ac:dyDescent="0.25">
      <c r="A1167" s="26" t="s">
        <v>140</v>
      </c>
      <c r="B1167" s="26" t="s">
        <v>111</v>
      </c>
      <c r="C1167" s="26">
        <v>0</v>
      </c>
      <c r="D1167" s="27">
        <v>43342</v>
      </c>
      <c r="E1167" s="26">
        <v>19857.03</v>
      </c>
      <c r="F1167" s="26" t="s">
        <v>2675</v>
      </c>
      <c r="G1167" s="26" t="s">
        <v>8</v>
      </c>
      <c r="H1167" s="26" t="s">
        <v>2676</v>
      </c>
      <c r="I1167" s="26" t="s">
        <v>106</v>
      </c>
      <c r="J1167" s="26">
        <v>0</v>
      </c>
      <c r="K1167" s="8" t="str">
        <f t="shared" si="18"/>
        <v>NLFINTRPAY</v>
      </c>
    </row>
    <row r="1168" spans="1:11" x14ac:dyDescent="0.25">
      <c r="A1168" s="26" t="s">
        <v>140</v>
      </c>
      <c r="B1168" s="26" t="s">
        <v>111</v>
      </c>
      <c r="C1168" s="26">
        <v>0</v>
      </c>
      <c r="D1168" s="27">
        <v>43343</v>
      </c>
      <c r="E1168" s="26">
        <v>11914.22</v>
      </c>
      <c r="F1168" s="26" t="s">
        <v>2677</v>
      </c>
      <c r="G1168" s="26" t="s">
        <v>8</v>
      </c>
      <c r="H1168" s="26" t="s">
        <v>2678</v>
      </c>
      <c r="I1168" s="26" t="s">
        <v>106</v>
      </c>
      <c r="J1168" s="26">
        <v>0</v>
      </c>
      <c r="K1168" s="8" t="str">
        <f t="shared" si="18"/>
        <v>NLFINTRPAY</v>
      </c>
    </row>
    <row r="1169" spans="1:11" x14ac:dyDescent="0.25">
      <c r="A1169" s="26" t="s">
        <v>140</v>
      </c>
      <c r="B1169" s="26" t="s">
        <v>111</v>
      </c>
      <c r="C1169" s="26">
        <v>0</v>
      </c>
      <c r="D1169" s="27">
        <v>43343</v>
      </c>
      <c r="E1169" s="26">
        <v>6245.43</v>
      </c>
      <c r="F1169" s="26" t="s">
        <v>2679</v>
      </c>
      <c r="G1169" s="26" t="s">
        <v>8</v>
      </c>
      <c r="H1169" s="26" t="s">
        <v>2680</v>
      </c>
      <c r="I1169" s="26" t="s">
        <v>106</v>
      </c>
      <c r="J1169" s="26">
        <v>0</v>
      </c>
      <c r="K1169" s="8" t="str">
        <f t="shared" si="18"/>
        <v>NLFINTRPAY</v>
      </c>
    </row>
    <row r="1170" spans="1:11" x14ac:dyDescent="0.25">
      <c r="A1170" s="26" t="s">
        <v>140</v>
      </c>
      <c r="B1170" s="26" t="s">
        <v>111</v>
      </c>
      <c r="C1170" s="26">
        <v>0</v>
      </c>
      <c r="D1170" s="27">
        <v>43346</v>
      </c>
      <c r="E1170" s="26">
        <v>15885.62</v>
      </c>
      <c r="F1170" s="26" t="s">
        <v>2681</v>
      </c>
      <c r="G1170" s="26" t="s">
        <v>8</v>
      </c>
      <c r="H1170" s="26" t="s">
        <v>2682</v>
      </c>
      <c r="I1170" s="26" t="s">
        <v>106</v>
      </c>
      <c r="J1170" s="26">
        <v>0</v>
      </c>
      <c r="K1170" s="8" t="str">
        <f t="shared" si="18"/>
        <v>NLFINTRPAY</v>
      </c>
    </row>
    <row r="1171" spans="1:11" x14ac:dyDescent="0.25">
      <c r="A1171" s="26" t="s">
        <v>140</v>
      </c>
      <c r="B1171" s="26" t="s">
        <v>111</v>
      </c>
      <c r="C1171" s="26">
        <v>0</v>
      </c>
      <c r="D1171" s="27">
        <v>43350</v>
      </c>
      <c r="E1171" s="26">
        <v>7942.81</v>
      </c>
      <c r="F1171" s="26" t="s">
        <v>2683</v>
      </c>
      <c r="G1171" s="26" t="s">
        <v>8</v>
      </c>
      <c r="H1171" s="26" t="s">
        <v>2684</v>
      </c>
      <c r="I1171" s="26" t="s">
        <v>106</v>
      </c>
      <c r="J1171" s="26">
        <v>0</v>
      </c>
      <c r="K1171" s="8" t="str">
        <f t="shared" si="18"/>
        <v>NLFINTRPAY</v>
      </c>
    </row>
    <row r="1172" spans="1:11" x14ac:dyDescent="0.25">
      <c r="A1172" s="26" t="s">
        <v>140</v>
      </c>
      <c r="B1172" s="26" t="s">
        <v>111</v>
      </c>
      <c r="C1172" s="26">
        <v>0</v>
      </c>
      <c r="D1172" s="27">
        <v>43356</v>
      </c>
      <c r="E1172" s="26">
        <v>3971.41</v>
      </c>
      <c r="F1172" s="26" t="s">
        <v>2685</v>
      </c>
      <c r="G1172" s="26" t="s">
        <v>8</v>
      </c>
      <c r="H1172" s="26" t="s">
        <v>2686</v>
      </c>
      <c r="I1172" s="26" t="s">
        <v>106</v>
      </c>
      <c r="J1172" s="26">
        <v>0</v>
      </c>
      <c r="K1172" s="8" t="str">
        <f t="shared" si="18"/>
        <v>NLFINTRPAY</v>
      </c>
    </row>
    <row r="1173" spans="1:11" x14ac:dyDescent="0.25">
      <c r="A1173" s="26" t="s">
        <v>141</v>
      </c>
      <c r="B1173" s="26" t="s">
        <v>111</v>
      </c>
      <c r="C1173" s="26">
        <v>0</v>
      </c>
      <c r="D1173" s="27">
        <v>43276</v>
      </c>
      <c r="E1173" s="26">
        <v>79428.12</v>
      </c>
      <c r="F1173" s="26" t="s">
        <v>2687</v>
      </c>
      <c r="G1173" s="26" t="s">
        <v>8</v>
      </c>
      <c r="H1173" s="26" t="s">
        <v>2688</v>
      </c>
      <c r="I1173" s="26" t="s">
        <v>106</v>
      </c>
      <c r="J1173" s="26">
        <v>0</v>
      </c>
      <c r="K1173" s="8" t="str">
        <f t="shared" si="18"/>
        <v>NLFPRINCIP</v>
      </c>
    </row>
    <row r="1174" spans="1:11" x14ac:dyDescent="0.25">
      <c r="A1174" s="26" t="s">
        <v>141</v>
      </c>
      <c r="B1174" s="26" t="s">
        <v>111</v>
      </c>
      <c r="C1174" s="26">
        <v>0</v>
      </c>
      <c r="D1174" s="27">
        <v>43294</v>
      </c>
      <c r="E1174" s="26">
        <v>2382.84</v>
      </c>
      <c r="F1174" s="26" t="s">
        <v>2689</v>
      </c>
      <c r="G1174" s="26" t="s">
        <v>8</v>
      </c>
      <c r="H1174" s="26" t="s">
        <v>2690</v>
      </c>
      <c r="I1174" s="26" t="s">
        <v>106</v>
      </c>
      <c r="J1174" s="26">
        <v>0</v>
      </c>
      <c r="K1174" s="8" t="str">
        <f t="shared" si="18"/>
        <v>NLFPRINCIP</v>
      </c>
    </row>
    <row r="1175" spans="1:11" x14ac:dyDescent="0.25">
      <c r="A1175" s="26" t="s">
        <v>141</v>
      </c>
      <c r="B1175" s="26" t="s">
        <v>111</v>
      </c>
      <c r="C1175" s="26">
        <v>0</v>
      </c>
      <c r="D1175" s="27">
        <v>43314</v>
      </c>
      <c r="E1175" s="26">
        <v>635.41999999999996</v>
      </c>
      <c r="F1175" s="26" t="s">
        <v>2691</v>
      </c>
      <c r="G1175" s="26" t="s">
        <v>8</v>
      </c>
      <c r="H1175" s="26" t="s">
        <v>2692</v>
      </c>
      <c r="I1175" s="26" t="s">
        <v>106</v>
      </c>
      <c r="J1175" s="26">
        <v>0</v>
      </c>
      <c r="K1175" s="8" t="str">
        <f t="shared" si="18"/>
        <v>NLFPRINCIP</v>
      </c>
    </row>
    <row r="1176" spans="1:11" x14ac:dyDescent="0.25">
      <c r="A1176" s="26" t="s">
        <v>141</v>
      </c>
      <c r="B1176" s="26" t="s">
        <v>111</v>
      </c>
      <c r="C1176" s="26">
        <v>0</v>
      </c>
      <c r="D1176" s="27">
        <v>43322</v>
      </c>
      <c r="E1176" s="26">
        <v>3971.41</v>
      </c>
      <c r="F1176" s="26" t="s">
        <v>2693</v>
      </c>
      <c r="G1176" s="26" t="s">
        <v>8</v>
      </c>
      <c r="H1176" s="26" t="s">
        <v>2694</v>
      </c>
      <c r="I1176" s="26" t="s">
        <v>106</v>
      </c>
      <c r="J1176" s="26">
        <v>0</v>
      </c>
      <c r="K1176" s="8" t="str">
        <f t="shared" si="18"/>
        <v>NLFPRINCIP</v>
      </c>
    </row>
    <row r="1177" spans="1:11" x14ac:dyDescent="0.25">
      <c r="A1177" s="26" t="s">
        <v>141</v>
      </c>
      <c r="B1177" s="26" t="s">
        <v>111</v>
      </c>
      <c r="C1177" s="26">
        <v>0</v>
      </c>
      <c r="D1177" s="27">
        <v>43343</v>
      </c>
      <c r="E1177" s="26">
        <v>119142.18</v>
      </c>
      <c r="F1177" s="26" t="s">
        <v>2695</v>
      </c>
      <c r="G1177" s="26" t="s">
        <v>8</v>
      </c>
      <c r="H1177" s="26" t="s">
        <v>2696</v>
      </c>
      <c r="I1177" s="26" t="s">
        <v>106</v>
      </c>
      <c r="J1177" s="26">
        <v>0</v>
      </c>
      <c r="K1177" s="8" t="str">
        <f t="shared" si="18"/>
        <v>NLFPRINCIP</v>
      </c>
    </row>
    <row r="1178" spans="1:11" x14ac:dyDescent="0.25">
      <c r="A1178" s="26" t="s">
        <v>143</v>
      </c>
      <c r="B1178" s="26" t="s">
        <v>111</v>
      </c>
      <c r="C1178" s="26">
        <v>0</v>
      </c>
      <c r="D1178" s="27">
        <v>43244</v>
      </c>
      <c r="E1178" s="26">
        <v>30659.25</v>
      </c>
      <c r="F1178" s="26" t="s">
        <v>2697</v>
      </c>
      <c r="G1178" s="26" t="s">
        <v>8</v>
      </c>
      <c r="H1178" s="26" t="s">
        <v>2698</v>
      </c>
      <c r="I1178" s="26" t="s">
        <v>106</v>
      </c>
      <c r="J1178" s="26">
        <v>0</v>
      </c>
      <c r="K1178" s="8" t="str">
        <f t="shared" si="18"/>
        <v>OTHERRCPT</v>
      </c>
    </row>
    <row r="1179" spans="1:11" x14ac:dyDescent="0.25">
      <c r="A1179" s="26" t="s">
        <v>143</v>
      </c>
      <c r="B1179" s="26" t="s">
        <v>111</v>
      </c>
      <c r="C1179" s="26">
        <v>0</v>
      </c>
      <c r="D1179" s="27">
        <v>43245</v>
      </c>
      <c r="E1179" s="26">
        <v>16521.05</v>
      </c>
      <c r="F1179" s="26" t="s">
        <v>2699</v>
      </c>
      <c r="G1179" s="26" t="s">
        <v>8</v>
      </c>
      <c r="H1179" s="26" t="s">
        <v>2700</v>
      </c>
      <c r="I1179" s="26" t="s">
        <v>106</v>
      </c>
      <c r="J1179" s="26">
        <v>0</v>
      </c>
      <c r="K1179" s="8" t="str">
        <f t="shared" si="18"/>
        <v>OTHERRCPT</v>
      </c>
    </row>
    <row r="1180" spans="1:11" x14ac:dyDescent="0.25">
      <c r="A1180" s="26" t="s">
        <v>143</v>
      </c>
      <c r="B1180" s="26" t="s">
        <v>111</v>
      </c>
      <c r="C1180" s="26">
        <v>0</v>
      </c>
      <c r="D1180" s="27">
        <v>43245</v>
      </c>
      <c r="E1180" s="26">
        <v>8419.3799999999992</v>
      </c>
      <c r="F1180" s="26" t="s">
        <v>2701</v>
      </c>
      <c r="G1180" s="26" t="s">
        <v>8</v>
      </c>
      <c r="H1180" s="26" t="s">
        <v>2702</v>
      </c>
      <c r="I1180" s="26" t="s">
        <v>106</v>
      </c>
      <c r="J1180" s="26">
        <v>0</v>
      </c>
      <c r="K1180" s="8" t="str">
        <f t="shared" si="18"/>
        <v>OTHERRCPT</v>
      </c>
    </row>
    <row r="1181" spans="1:11" x14ac:dyDescent="0.25">
      <c r="A1181" s="26" t="s">
        <v>143</v>
      </c>
      <c r="B1181" s="26" t="s">
        <v>111</v>
      </c>
      <c r="C1181" s="26">
        <v>0</v>
      </c>
      <c r="D1181" s="27">
        <v>43248</v>
      </c>
      <c r="E1181" s="26">
        <v>10166.799999999999</v>
      </c>
      <c r="F1181" s="26" t="s">
        <v>2703</v>
      </c>
      <c r="G1181" s="26" t="s">
        <v>8</v>
      </c>
      <c r="H1181" s="26" t="s">
        <v>2704</v>
      </c>
      <c r="I1181" s="26" t="s">
        <v>106</v>
      </c>
      <c r="J1181" s="26">
        <v>0</v>
      </c>
      <c r="K1181" s="8" t="str">
        <f t="shared" si="18"/>
        <v>OTHERRCPT</v>
      </c>
    </row>
    <row r="1182" spans="1:11" x14ac:dyDescent="0.25">
      <c r="A1182" s="26" t="s">
        <v>143</v>
      </c>
      <c r="B1182" s="26" t="s">
        <v>111</v>
      </c>
      <c r="C1182" s="26">
        <v>0</v>
      </c>
      <c r="D1182" s="27">
        <v>43251</v>
      </c>
      <c r="E1182" s="26">
        <v>41858.620000000003</v>
      </c>
      <c r="F1182" s="26" t="s">
        <v>2705</v>
      </c>
      <c r="G1182" s="26" t="s">
        <v>8</v>
      </c>
      <c r="H1182" s="26" t="s">
        <v>2706</v>
      </c>
      <c r="I1182" s="26" t="s">
        <v>106</v>
      </c>
      <c r="J1182" s="26">
        <v>0</v>
      </c>
      <c r="K1182" s="8" t="str">
        <f t="shared" si="18"/>
        <v>OTHERRCPT</v>
      </c>
    </row>
    <row r="1183" spans="1:11" x14ac:dyDescent="0.25">
      <c r="A1183" s="26" t="s">
        <v>143</v>
      </c>
      <c r="B1183" s="26" t="s">
        <v>111</v>
      </c>
      <c r="C1183" s="26">
        <v>0</v>
      </c>
      <c r="D1183" s="27">
        <v>43252</v>
      </c>
      <c r="E1183" s="26">
        <v>7783.96</v>
      </c>
      <c r="F1183" s="26" t="s">
        <v>2707</v>
      </c>
      <c r="G1183" s="26" t="s">
        <v>8</v>
      </c>
      <c r="H1183" s="26" t="s">
        <v>2708</v>
      </c>
      <c r="I1183" s="26" t="s">
        <v>106</v>
      </c>
      <c r="J1183" s="26">
        <v>0</v>
      </c>
      <c r="K1183" s="8" t="str">
        <f t="shared" si="18"/>
        <v>OTHERRCPT</v>
      </c>
    </row>
    <row r="1184" spans="1:11" x14ac:dyDescent="0.25">
      <c r="A1184" s="26" t="s">
        <v>143</v>
      </c>
      <c r="B1184" s="26" t="s">
        <v>111</v>
      </c>
      <c r="C1184" s="26">
        <v>0</v>
      </c>
      <c r="D1184" s="27">
        <v>43252</v>
      </c>
      <c r="E1184" s="26">
        <v>6671.96</v>
      </c>
      <c r="F1184" s="26" t="s">
        <v>2709</v>
      </c>
      <c r="G1184" s="26" t="s">
        <v>8</v>
      </c>
      <c r="H1184" s="26" t="s">
        <v>2710</v>
      </c>
      <c r="I1184" s="26" t="s">
        <v>106</v>
      </c>
      <c r="J1184" s="26">
        <v>0</v>
      </c>
      <c r="K1184" s="8" t="str">
        <f t="shared" si="18"/>
        <v>OTHERRCPT</v>
      </c>
    </row>
    <row r="1185" spans="1:11" x14ac:dyDescent="0.25">
      <c r="A1185" s="26" t="s">
        <v>143</v>
      </c>
      <c r="B1185" s="26" t="s">
        <v>111</v>
      </c>
      <c r="C1185" s="26">
        <v>0</v>
      </c>
      <c r="D1185" s="27">
        <v>43255</v>
      </c>
      <c r="E1185" s="26">
        <v>116362.19</v>
      </c>
      <c r="F1185" s="26" t="s">
        <v>2711</v>
      </c>
      <c r="G1185" s="26" t="s">
        <v>8</v>
      </c>
      <c r="H1185" s="26" t="s">
        <v>2712</v>
      </c>
      <c r="I1185" s="26" t="s">
        <v>106</v>
      </c>
      <c r="J1185" s="26">
        <v>0</v>
      </c>
      <c r="K1185" s="8" t="str">
        <f t="shared" si="18"/>
        <v>OTHERRCPT</v>
      </c>
    </row>
    <row r="1186" spans="1:11" x14ac:dyDescent="0.25">
      <c r="A1186" s="26" t="s">
        <v>143</v>
      </c>
      <c r="B1186" s="26" t="s">
        <v>111</v>
      </c>
      <c r="C1186" s="26">
        <v>0</v>
      </c>
      <c r="D1186" s="27">
        <v>43258</v>
      </c>
      <c r="E1186" s="26">
        <v>2541.6999999999998</v>
      </c>
      <c r="F1186" s="26" t="s">
        <v>2713</v>
      </c>
      <c r="G1186" s="26" t="s">
        <v>8</v>
      </c>
      <c r="H1186" s="26" t="s">
        <v>2714</v>
      </c>
      <c r="I1186" s="26" t="s">
        <v>106</v>
      </c>
      <c r="J1186" s="26">
        <v>0</v>
      </c>
      <c r="K1186" s="8" t="str">
        <f t="shared" si="18"/>
        <v>OTHERRCPT</v>
      </c>
    </row>
    <row r="1187" spans="1:11" x14ac:dyDescent="0.25">
      <c r="A1187" s="26" t="s">
        <v>143</v>
      </c>
      <c r="B1187" s="26" t="s">
        <v>111</v>
      </c>
      <c r="C1187" s="26">
        <v>0</v>
      </c>
      <c r="D1187" s="27">
        <v>43259</v>
      </c>
      <c r="E1187" s="26">
        <v>2700.56</v>
      </c>
      <c r="F1187" s="26" t="s">
        <v>2715</v>
      </c>
      <c r="G1187" s="26" t="s">
        <v>8</v>
      </c>
      <c r="H1187" s="26" t="s">
        <v>2716</v>
      </c>
      <c r="I1187" s="26" t="s">
        <v>106</v>
      </c>
      <c r="J1187" s="26">
        <v>0</v>
      </c>
      <c r="K1187" s="8" t="str">
        <f t="shared" si="18"/>
        <v>OTHERRCPT</v>
      </c>
    </row>
    <row r="1188" spans="1:11" x14ac:dyDescent="0.25">
      <c r="A1188" s="26" t="s">
        <v>143</v>
      </c>
      <c r="B1188" s="26" t="s">
        <v>111</v>
      </c>
      <c r="C1188" s="26">
        <v>0</v>
      </c>
      <c r="D1188" s="27">
        <v>43259</v>
      </c>
      <c r="E1188" s="26">
        <v>3574.27</v>
      </c>
      <c r="F1188" s="26" t="s">
        <v>2717</v>
      </c>
      <c r="G1188" s="26" t="s">
        <v>8</v>
      </c>
      <c r="H1188" s="26" t="s">
        <v>2718</v>
      </c>
      <c r="I1188" s="26" t="s">
        <v>106</v>
      </c>
      <c r="J1188" s="26">
        <v>0</v>
      </c>
      <c r="K1188" s="8" t="str">
        <f t="shared" si="18"/>
        <v>OTHERRCPT</v>
      </c>
    </row>
    <row r="1189" spans="1:11" x14ac:dyDescent="0.25">
      <c r="A1189" s="26" t="s">
        <v>143</v>
      </c>
      <c r="B1189" s="26" t="s">
        <v>111</v>
      </c>
      <c r="C1189" s="26">
        <v>0</v>
      </c>
      <c r="D1189" s="27">
        <v>43262</v>
      </c>
      <c r="E1189" s="26">
        <v>58379.67</v>
      </c>
      <c r="F1189" s="26" t="s">
        <v>2719</v>
      </c>
      <c r="G1189" s="26" t="s">
        <v>8</v>
      </c>
      <c r="H1189" s="26" t="s">
        <v>2720</v>
      </c>
      <c r="I1189" s="26" t="s">
        <v>106</v>
      </c>
      <c r="J1189" s="26">
        <v>0</v>
      </c>
      <c r="K1189" s="8" t="str">
        <f t="shared" si="18"/>
        <v>OTHERRCPT</v>
      </c>
    </row>
    <row r="1190" spans="1:11" x14ac:dyDescent="0.25">
      <c r="A1190" s="26" t="s">
        <v>143</v>
      </c>
      <c r="B1190" s="26" t="s">
        <v>111</v>
      </c>
      <c r="C1190" s="26">
        <v>0</v>
      </c>
      <c r="D1190" s="27">
        <v>43265</v>
      </c>
      <c r="E1190" s="26">
        <v>12152.5</v>
      </c>
      <c r="F1190" s="26" t="s">
        <v>2721</v>
      </c>
      <c r="G1190" s="26" t="s">
        <v>8</v>
      </c>
      <c r="H1190" s="26" t="s">
        <v>2722</v>
      </c>
      <c r="I1190" s="26" t="s">
        <v>106</v>
      </c>
      <c r="J1190" s="26">
        <v>0</v>
      </c>
      <c r="K1190" s="8" t="str">
        <f t="shared" si="18"/>
        <v>OTHERRCPT</v>
      </c>
    </row>
    <row r="1191" spans="1:11" x14ac:dyDescent="0.25">
      <c r="A1191" s="26" t="s">
        <v>143</v>
      </c>
      <c r="B1191" s="26" t="s">
        <v>111</v>
      </c>
      <c r="C1191" s="26">
        <v>0</v>
      </c>
      <c r="D1191" s="27">
        <v>43266</v>
      </c>
      <c r="E1191" s="26">
        <v>7386.81</v>
      </c>
      <c r="F1191" s="26" t="s">
        <v>2723</v>
      </c>
      <c r="G1191" s="26" t="s">
        <v>8</v>
      </c>
      <c r="H1191" s="26" t="s">
        <v>2724</v>
      </c>
      <c r="I1191" s="26" t="s">
        <v>106</v>
      </c>
      <c r="J1191" s="26">
        <v>0</v>
      </c>
      <c r="K1191" s="8" t="str">
        <f t="shared" si="18"/>
        <v>OTHERRCPT</v>
      </c>
    </row>
    <row r="1192" spans="1:11" x14ac:dyDescent="0.25">
      <c r="A1192" s="26" t="s">
        <v>143</v>
      </c>
      <c r="B1192" s="26" t="s">
        <v>111</v>
      </c>
      <c r="C1192" s="26">
        <v>0</v>
      </c>
      <c r="D1192" s="27">
        <v>43266</v>
      </c>
      <c r="E1192" s="26">
        <v>15806.2</v>
      </c>
      <c r="F1192" s="26" t="s">
        <v>2725</v>
      </c>
      <c r="G1192" s="26" t="s">
        <v>8</v>
      </c>
      <c r="H1192" s="26" t="s">
        <v>2726</v>
      </c>
      <c r="I1192" s="26" t="s">
        <v>106</v>
      </c>
      <c r="J1192" s="26">
        <v>0</v>
      </c>
      <c r="K1192" s="8" t="str">
        <f t="shared" si="18"/>
        <v>OTHERRCPT</v>
      </c>
    </row>
    <row r="1193" spans="1:11" x14ac:dyDescent="0.25">
      <c r="A1193" s="26" t="s">
        <v>143</v>
      </c>
      <c r="B1193" s="26" t="s">
        <v>111</v>
      </c>
      <c r="C1193" s="26">
        <v>0</v>
      </c>
      <c r="D1193" s="27">
        <v>43266</v>
      </c>
      <c r="E1193" s="26">
        <v>1032.57</v>
      </c>
      <c r="F1193" s="26" t="s">
        <v>2727</v>
      </c>
      <c r="G1193" s="26" t="s">
        <v>8</v>
      </c>
      <c r="H1193" s="26" t="s">
        <v>2728</v>
      </c>
      <c r="I1193" s="26" t="s">
        <v>106</v>
      </c>
      <c r="J1193" s="26">
        <v>0</v>
      </c>
      <c r="K1193" s="8" t="str">
        <f t="shared" si="18"/>
        <v>OTHERRCPT</v>
      </c>
    </row>
    <row r="1194" spans="1:11" x14ac:dyDescent="0.25">
      <c r="A1194" s="26" t="s">
        <v>143</v>
      </c>
      <c r="B1194" s="26" t="s">
        <v>111</v>
      </c>
      <c r="C1194" s="26">
        <v>0</v>
      </c>
      <c r="D1194" s="27">
        <v>43269</v>
      </c>
      <c r="E1194" s="26">
        <v>14217.63</v>
      </c>
      <c r="F1194" s="26" t="s">
        <v>2729</v>
      </c>
      <c r="G1194" s="26" t="s">
        <v>8</v>
      </c>
      <c r="H1194" s="26" t="s">
        <v>2730</v>
      </c>
      <c r="I1194" s="26" t="s">
        <v>106</v>
      </c>
      <c r="J1194" s="26">
        <v>0</v>
      </c>
      <c r="K1194" s="8" t="str">
        <f t="shared" si="18"/>
        <v>OTHERRCPT</v>
      </c>
    </row>
    <row r="1195" spans="1:11" x14ac:dyDescent="0.25">
      <c r="A1195" s="26" t="s">
        <v>143</v>
      </c>
      <c r="B1195" s="26" t="s">
        <v>111</v>
      </c>
      <c r="C1195" s="26">
        <v>0</v>
      </c>
      <c r="D1195" s="27">
        <v>43272</v>
      </c>
      <c r="E1195" s="26">
        <v>20015.89</v>
      </c>
      <c r="F1195" s="26" t="s">
        <v>2731</v>
      </c>
      <c r="G1195" s="26" t="s">
        <v>8</v>
      </c>
      <c r="H1195" s="26" t="s">
        <v>2732</v>
      </c>
      <c r="I1195" s="26" t="s">
        <v>106</v>
      </c>
      <c r="J1195" s="26">
        <v>0</v>
      </c>
      <c r="K1195" s="8" t="str">
        <f t="shared" si="18"/>
        <v>OTHERRCPT</v>
      </c>
    </row>
    <row r="1196" spans="1:11" x14ac:dyDescent="0.25">
      <c r="A1196" s="26" t="s">
        <v>143</v>
      </c>
      <c r="B1196" s="26" t="s">
        <v>111</v>
      </c>
      <c r="C1196" s="26">
        <v>0</v>
      </c>
      <c r="D1196" s="27">
        <v>43273</v>
      </c>
      <c r="E1196" s="26">
        <v>8498.81</v>
      </c>
      <c r="F1196" s="26" t="s">
        <v>2733</v>
      </c>
      <c r="G1196" s="26" t="s">
        <v>8</v>
      </c>
      <c r="H1196" s="26" t="s">
        <v>2734</v>
      </c>
      <c r="I1196" s="26" t="s">
        <v>106</v>
      </c>
      <c r="J1196" s="26">
        <v>0</v>
      </c>
      <c r="K1196" s="8" t="str">
        <f t="shared" si="18"/>
        <v>OTHERRCPT</v>
      </c>
    </row>
    <row r="1197" spans="1:11" x14ac:dyDescent="0.25">
      <c r="A1197" s="26" t="s">
        <v>143</v>
      </c>
      <c r="B1197" s="26" t="s">
        <v>111</v>
      </c>
      <c r="C1197" s="26">
        <v>0</v>
      </c>
      <c r="D1197" s="27">
        <v>43276</v>
      </c>
      <c r="E1197" s="26">
        <v>48451.15</v>
      </c>
      <c r="F1197" s="26" t="s">
        <v>2735</v>
      </c>
      <c r="G1197" s="26" t="s">
        <v>8</v>
      </c>
      <c r="H1197" s="26" t="s">
        <v>2736</v>
      </c>
      <c r="I1197" s="26" t="s">
        <v>106</v>
      </c>
      <c r="J1197" s="26">
        <v>0</v>
      </c>
      <c r="K1197" s="8" t="str">
        <f t="shared" si="18"/>
        <v>OTHERRCPT</v>
      </c>
    </row>
    <row r="1198" spans="1:11" x14ac:dyDescent="0.25">
      <c r="A1198" s="26" t="s">
        <v>143</v>
      </c>
      <c r="B1198" s="26" t="s">
        <v>111</v>
      </c>
      <c r="C1198" s="26">
        <v>0</v>
      </c>
      <c r="D1198" s="27">
        <v>43279</v>
      </c>
      <c r="E1198" s="26">
        <v>9054.81</v>
      </c>
      <c r="F1198" s="26" t="s">
        <v>2737</v>
      </c>
      <c r="G1198" s="26" t="s">
        <v>8</v>
      </c>
      <c r="H1198" s="26" t="s">
        <v>2738</v>
      </c>
      <c r="I1198" s="26" t="s">
        <v>106</v>
      </c>
      <c r="J1198" s="26">
        <v>0</v>
      </c>
      <c r="K1198" s="8" t="str">
        <f t="shared" si="18"/>
        <v>OTHERRCPT</v>
      </c>
    </row>
    <row r="1199" spans="1:11" x14ac:dyDescent="0.25">
      <c r="A1199" s="26" t="s">
        <v>143</v>
      </c>
      <c r="B1199" s="26" t="s">
        <v>111</v>
      </c>
      <c r="C1199" s="26">
        <v>0</v>
      </c>
      <c r="D1199" s="27">
        <v>43280</v>
      </c>
      <c r="E1199" s="26">
        <v>7863.38</v>
      </c>
      <c r="F1199" s="26" t="s">
        <v>2739</v>
      </c>
      <c r="G1199" s="26" t="s">
        <v>8</v>
      </c>
      <c r="H1199" s="26" t="s">
        <v>2740</v>
      </c>
      <c r="I1199" s="26" t="s">
        <v>106</v>
      </c>
      <c r="J1199" s="26">
        <v>0</v>
      </c>
      <c r="K1199" s="8" t="str">
        <f t="shared" si="18"/>
        <v>OTHERRCPT</v>
      </c>
    </row>
    <row r="1200" spans="1:11" x14ac:dyDescent="0.25">
      <c r="A1200" s="26" t="s">
        <v>143</v>
      </c>
      <c r="B1200" s="26" t="s">
        <v>111</v>
      </c>
      <c r="C1200" s="26">
        <v>0</v>
      </c>
      <c r="D1200" s="27">
        <v>43280</v>
      </c>
      <c r="E1200" s="26">
        <v>10802.22</v>
      </c>
      <c r="F1200" s="26" t="s">
        <v>2741</v>
      </c>
      <c r="G1200" s="26" t="s">
        <v>8</v>
      </c>
      <c r="H1200" s="26" t="s">
        <v>2742</v>
      </c>
      <c r="I1200" s="26" t="s">
        <v>106</v>
      </c>
      <c r="J1200" s="26">
        <v>0</v>
      </c>
      <c r="K1200" s="8" t="str">
        <f t="shared" si="18"/>
        <v>OTHERRCPT</v>
      </c>
    </row>
    <row r="1201" spans="1:11" x14ac:dyDescent="0.25">
      <c r="A1201" s="26" t="s">
        <v>143</v>
      </c>
      <c r="B1201" s="26" t="s">
        <v>111</v>
      </c>
      <c r="C1201" s="26">
        <v>0</v>
      </c>
      <c r="D1201" s="27">
        <v>43283</v>
      </c>
      <c r="E1201" s="26">
        <v>19062.75</v>
      </c>
      <c r="F1201" s="26" t="s">
        <v>2743</v>
      </c>
      <c r="G1201" s="26" t="s">
        <v>8</v>
      </c>
      <c r="H1201" s="26" t="s">
        <v>2744</v>
      </c>
      <c r="I1201" s="26" t="s">
        <v>106</v>
      </c>
      <c r="J1201" s="26">
        <v>0</v>
      </c>
      <c r="K1201" s="8" t="str">
        <f t="shared" si="18"/>
        <v>OTHERRCPT</v>
      </c>
    </row>
    <row r="1202" spans="1:11" x14ac:dyDescent="0.25">
      <c r="A1202" s="26" t="s">
        <v>143</v>
      </c>
      <c r="B1202" s="26" t="s">
        <v>111</v>
      </c>
      <c r="C1202" s="26">
        <v>0</v>
      </c>
      <c r="D1202" s="27">
        <v>43286</v>
      </c>
      <c r="E1202" s="26">
        <v>6274.82</v>
      </c>
      <c r="F1202" s="26" t="s">
        <v>2745</v>
      </c>
      <c r="G1202" s="26" t="s">
        <v>8</v>
      </c>
      <c r="H1202" s="26" t="s">
        <v>2746</v>
      </c>
      <c r="I1202" s="26" t="s">
        <v>106</v>
      </c>
      <c r="J1202" s="26">
        <v>0</v>
      </c>
      <c r="K1202" s="8" t="str">
        <f t="shared" si="18"/>
        <v>OTHERRCPT</v>
      </c>
    </row>
    <row r="1203" spans="1:11" x14ac:dyDescent="0.25">
      <c r="A1203" s="26" t="s">
        <v>143</v>
      </c>
      <c r="B1203" s="26" t="s">
        <v>111</v>
      </c>
      <c r="C1203" s="26">
        <v>0</v>
      </c>
      <c r="D1203" s="27">
        <v>43287</v>
      </c>
      <c r="E1203" s="26">
        <v>7783.96</v>
      </c>
      <c r="F1203" s="26" t="s">
        <v>2747</v>
      </c>
      <c r="G1203" s="26" t="s">
        <v>8</v>
      </c>
      <c r="H1203" s="26" t="s">
        <v>2748</v>
      </c>
      <c r="I1203" s="26" t="s">
        <v>106</v>
      </c>
      <c r="J1203" s="26">
        <v>0</v>
      </c>
      <c r="K1203" s="8" t="str">
        <f t="shared" si="18"/>
        <v>OTHERRCPT</v>
      </c>
    </row>
    <row r="1204" spans="1:11" x14ac:dyDescent="0.25">
      <c r="A1204" s="26" t="s">
        <v>143</v>
      </c>
      <c r="B1204" s="26" t="s">
        <v>111</v>
      </c>
      <c r="C1204" s="26">
        <v>0</v>
      </c>
      <c r="D1204" s="27">
        <v>43287</v>
      </c>
      <c r="E1204" s="26">
        <v>83081.81</v>
      </c>
      <c r="F1204" s="26" t="s">
        <v>2749</v>
      </c>
      <c r="G1204" s="26" t="s">
        <v>8</v>
      </c>
      <c r="H1204" s="26" t="s">
        <v>2750</v>
      </c>
      <c r="I1204" s="26" t="s">
        <v>106</v>
      </c>
      <c r="J1204" s="26">
        <v>0</v>
      </c>
      <c r="K1204" s="8" t="str">
        <f t="shared" si="18"/>
        <v>OTHERRCPT</v>
      </c>
    </row>
    <row r="1205" spans="1:11" x14ac:dyDescent="0.25">
      <c r="A1205" s="26" t="s">
        <v>143</v>
      </c>
      <c r="B1205" s="26" t="s">
        <v>111</v>
      </c>
      <c r="C1205" s="26">
        <v>0</v>
      </c>
      <c r="D1205" s="27">
        <v>43290</v>
      </c>
      <c r="E1205" s="26">
        <v>24463.86</v>
      </c>
      <c r="F1205" s="26" t="s">
        <v>2751</v>
      </c>
      <c r="G1205" s="26" t="s">
        <v>8</v>
      </c>
      <c r="H1205" s="26" t="s">
        <v>2752</v>
      </c>
      <c r="I1205" s="26" t="s">
        <v>106</v>
      </c>
      <c r="J1205" s="26">
        <v>0</v>
      </c>
      <c r="K1205" s="8" t="str">
        <f t="shared" si="18"/>
        <v>OTHERRCPT</v>
      </c>
    </row>
    <row r="1206" spans="1:11" x14ac:dyDescent="0.25">
      <c r="A1206" s="26" t="s">
        <v>143</v>
      </c>
      <c r="B1206" s="26" t="s">
        <v>111</v>
      </c>
      <c r="C1206" s="26">
        <v>0</v>
      </c>
      <c r="D1206" s="27">
        <v>43294</v>
      </c>
      <c r="E1206" s="26">
        <v>4924.54</v>
      </c>
      <c r="F1206" s="26" t="s">
        <v>2753</v>
      </c>
      <c r="G1206" s="26" t="s">
        <v>8</v>
      </c>
      <c r="H1206" s="26" t="s">
        <v>2754</v>
      </c>
      <c r="I1206" s="26" t="s">
        <v>106</v>
      </c>
      <c r="J1206" s="26">
        <v>0</v>
      </c>
      <c r="K1206" s="8" t="str">
        <f t="shared" si="18"/>
        <v>OTHERRCPT</v>
      </c>
    </row>
    <row r="1207" spans="1:11" x14ac:dyDescent="0.25">
      <c r="A1207" s="26" t="s">
        <v>143</v>
      </c>
      <c r="B1207" s="26" t="s">
        <v>111</v>
      </c>
      <c r="C1207" s="26">
        <v>0</v>
      </c>
      <c r="D1207" s="27">
        <v>43294</v>
      </c>
      <c r="E1207" s="26">
        <v>3097.7</v>
      </c>
      <c r="F1207" s="26" t="s">
        <v>2755</v>
      </c>
      <c r="G1207" s="26" t="s">
        <v>8</v>
      </c>
      <c r="H1207" s="26" t="s">
        <v>2756</v>
      </c>
      <c r="I1207" s="26" t="s">
        <v>106</v>
      </c>
      <c r="J1207" s="26">
        <v>0</v>
      </c>
      <c r="K1207" s="8" t="str">
        <f t="shared" si="18"/>
        <v>OTHERRCPT</v>
      </c>
    </row>
    <row r="1208" spans="1:11" x14ac:dyDescent="0.25">
      <c r="A1208" s="26" t="s">
        <v>143</v>
      </c>
      <c r="B1208" s="26" t="s">
        <v>111</v>
      </c>
      <c r="C1208" s="26">
        <v>0</v>
      </c>
      <c r="D1208" s="27">
        <v>43294</v>
      </c>
      <c r="E1208" s="26">
        <v>7148.53</v>
      </c>
      <c r="F1208" s="26" t="s">
        <v>2757</v>
      </c>
      <c r="G1208" s="26" t="s">
        <v>8</v>
      </c>
      <c r="H1208" s="26" t="s">
        <v>2758</v>
      </c>
      <c r="I1208" s="26" t="s">
        <v>106</v>
      </c>
      <c r="J1208" s="26">
        <v>0</v>
      </c>
      <c r="K1208" s="8" t="str">
        <f t="shared" si="18"/>
        <v>OTHERRCPT</v>
      </c>
    </row>
    <row r="1209" spans="1:11" x14ac:dyDescent="0.25">
      <c r="A1209" s="26" t="s">
        <v>143</v>
      </c>
      <c r="B1209" s="26" t="s">
        <v>111</v>
      </c>
      <c r="C1209" s="26">
        <v>0</v>
      </c>
      <c r="D1209" s="27">
        <v>43297</v>
      </c>
      <c r="E1209" s="26">
        <v>41461.480000000003</v>
      </c>
      <c r="F1209" s="26" t="s">
        <v>2759</v>
      </c>
      <c r="G1209" s="26" t="s">
        <v>8</v>
      </c>
      <c r="H1209" s="26" t="s">
        <v>2760</v>
      </c>
      <c r="I1209" s="26" t="s">
        <v>106</v>
      </c>
      <c r="J1209" s="26">
        <v>0</v>
      </c>
      <c r="K1209" s="8" t="str">
        <f t="shared" si="18"/>
        <v>OTHERRCPT</v>
      </c>
    </row>
    <row r="1210" spans="1:11" x14ac:dyDescent="0.25">
      <c r="A1210" s="26" t="s">
        <v>143</v>
      </c>
      <c r="B1210" s="26" t="s">
        <v>111</v>
      </c>
      <c r="C1210" s="26">
        <v>0</v>
      </c>
      <c r="D1210" s="27">
        <v>43300</v>
      </c>
      <c r="E1210" s="26">
        <v>11278.79</v>
      </c>
      <c r="F1210" s="26" t="s">
        <v>2761</v>
      </c>
      <c r="G1210" s="26" t="s">
        <v>8</v>
      </c>
      <c r="H1210" s="26" t="s">
        <v>2762</v>
      </c>
      <c r="I1210" s="26" t="s">
        <v>106</v>
      </c>
      <c r="J1210" s="26">
        <v>0</v>
      </c>
      <c r="K1210" s="8" t="str">
        <f t="shared" si="18"/>
        <v>OTHERRCPT</v>
      </c>
    </row>
    <row r="1211" spans="1:11" x14ac:dyDescent="0.25">
      <c r="A1211" s="26" t="s">
        <v>143</v>
      </c>
      <c r="B1211" s="26" t="s">
        <v>111</v>
      </c>
      <c r="C1211" s="26">
        <v>0</v>
      </c>
      <c r="D1211" s="27">
        <v>43301</v>
      </c>
      <c r="E1211" s="26">
        <v>7704.53</v>
      </c>
      <c r="F1211" s="26" t="s">
        <v>2763</v>
      </c>
      <c r="G1211" s="26" t="s">
        <v>8</v>
      </c>
      <c r="H1211" s="26" t="s">
        <v>2764</v>
      </c>
      <c r="I1211" s="26" t="s">
        <v>106</v>
      </c>
      <c r="J1211" s="26">
        <v>0</v>
      </c>
      <c r="K1211" s="8" t="str">
        <f t="shared" si="18"/>
        <v>OTHERRCPT</v>
      </c>
    </row>
    <row r="1212" spans="1:11" x14ac:dyDescent="0.25">
      <c r="A1212" s="26" t="s">
        <v>143</v>
      </c>
      <c r="B1212" s="26" t="s">
        <v>111</v>
      </c>
      <c r="C1212" s="26">
        <v>0</v>
      </c>
      <c r="D1212" s="27">
        <v>43301</v>
      </c>
      <c r="E1212" s="26">
        <v>17235.900000000001</v>
      </c>
      <c r="F1212" s="26" t="s">
        <v>2765</v>
      </c>
      <c r="G1212" s="26" t="s">
        <v>8</v>
      </c>
      <c r="H1212" s="26" t="s">
        <v>2766</v>
      </c>
      <c r="I1212" s="26" t="s">
        <v>106</v>
      </c>
      <c r="J1212" s="26">
        <v>0</v>
      </c>
      <c r="K1212" s="8" t="str">
        <f t="shared" si="18"/>
        <v>OTHERRCPT</v>
      </c>
    </row>
    <row r="1213" spans="1:11" x14ac:dyDescent="0.25">
      <c r="A1213" s="26" t="s">
        <v>143</v>
      </c>
      <c r="B1213" s="26" t="s">
        <v>111</v>
      </c>
      <c r="C1213" s="26">
        <v>0</v>
      </c>
      <c r="D1213" s="27">
        <v>43301</v>
      </c>
      <c r="E1213" s="26">
        <v>12629.07</v>
      </c>
      <c r="F1213" s="26" t="s">
        <v>2767</v>
      </c>
      <c r="G1213" s="26" t="s">
        <v>8</v>
      </c>
      <c r="H1213" s="26" t="s">
        <v>2768</v>
      </c>
      <c r="I1213" s="26" t="s">
        <v>106</v>
      </c>
      <c r="J1213" s="26">
        <v>0</v>
      </c>
      <c r="K1213" s="8" t="str">
        <f t="shared" si="18"/>
        <v>OTHERRCPT</v>
      </c>
    </row>
    <row r="1214" spans="1:11" x14ac:dyDescent="0.25">
      <c r="A1214" s="26" t="s">
        <v>143</v>
      </c>
      <c r="B1214" s="26" t="s">
        <v>111</v>
      </c>
      <c r="C1214" s="26">
        <v>0</v>
      </c>
      <c r="D1214" s="27">
        <v>43304</v>
      </c>
      <c r="E1214" s="26">
        <v>9213.66</v>
      </c>
      <c r="F1214" s="26" t="s">
        <v>2769</v>
      </c>
      <c r="G1214" s="26" t="s">
        <v>8</v>
      </c>
      <c r="H1214" s="26" t="s">
        <v>2770</v>
      </c>
      <c r="I1214" s="26" t="s">
        <v>106</v>
      </c>
      <c r="J1214" s="26">
        <v>0</v>
      </c>
      <c r="K1214" s="8" t="str">
        <f t="shared" si="18"/>
        <v>OTHERRCPT</v>
      </c>
    </row>
    <row r="1215" spans="1:11" x14ac:dyDescent="0.25">
      <c r="A1215" s="26" t="s">
        <v>143</v>
      </c>
      <c r="B1215" s="26" t="s">
        <v>111</v>
      </c>
      <c r="C1215" s="26">
        <v>0</v>
      </c>
      <c r="D1215" s="27">
        <v>43307</v>
      </c>
      <c r="E1215" s="26">
        <v>9690.23</v>
      </c>
      <c r="F1215" s="26" t="s">
        <v>2771</v>
      </c>
      <c r="G1215" s="26" t="s">
        <v>8</v>
      </c>
      <c r="H1215" s="26" t="s">
        <v>2772</v>
      </c>
      <c r="I1215" s="26" t="s">
        <v>106</v>
      </c>
      <c r="J1215" s="26">
        <v>0</v>
      </c>
      <c r="K1215" s="8" t="str">
        <f t="shared" si="18"/>
        <v>OTHERRCPT</v>
      </c>
    </row>
    <row r="1216" spans="1:11" x14ac:dyDescent="0.25">
      <c r="A1216" s="26" t="s">
        <v>143</v>
      </c>
      <c r="B1216" s="26" t="s">
        <v>111</v>
      </c>
      <c r="C1216" s="26">
        <v>0</v>
      </c>
      <c r="D1216" s="27">
        <v>43308</v>
      </c>
      <c r="E1216" s="26">
        <v>4845.12</v>
      </c>
      <c r="F1216" s="26" t="s">
        <v>2773</v>
      </c>
      <c r="G1216" s="26" t="s">
        <v>8</v>
      </c>
      <c r="H1216" s="26" t="s">
        <v>2774</v>
      </c>
      <c r="I1216" s="26" t="s">
        <v>106</v>
      </c>
      <c r="J1216" s="26">
        <v>0</v>
      </c>
      <c r="K1216" s="8" t="str">
        <f t="shared" si="18"/>
        <v>OTHERRCPT</v>
      </c>
    </row>
    <row r="1217" spans="1:11" x14ac:dyDescent="0.25">
      <c r="A1217" s="26" t="s">
        <v>143</v>
      </c>
      <c r="B1217" s="26" t="s">
        <v>111</v>
      </c>
      <c r="C1217" s="26">
        <v>0</v>
      </c>
      <c r="D1217" s="27">
        <v>43308</v>
      </c>
      <c r="E1217" s="26">
        <v>11040.51</v>
      </c>
      <c r="F1217" s="26" t="s">
        <v>2775</v>
      </c>
      <c r="G1217" s="26" t="s">
        <v>8</v>
      </c>
      <c r="H1217" s="26" t="s">
        <v>2776</v>
      </c>
      <c r="I1217" s="26" t="s">
        <v>106</v>
      </c>
      <c r="J1217" s="26">
        <v>0</v>
      </c>
      <c r="K1217" s="8" t="str">
        <f t="shared" si="18"/>
        <v>OTHERRCPT</v>
      </c>
    </row>
    <row r="1218" spans="1:11" x14ac:dyDescent="0.25">
      <c r="A1218" s="26" t="s">
        <v>143</v>
      </c>
      <c r="B1218" s="26" t="s">
        <v>111</v>
      </c>
      <c r="C1218" s="26">
        <v>0</v>
      </c>
      <c r="D1218" s="27">
        <v>43311</v>
      </c>
      <c r="E1218" s="26">
        <v>317.70999999999998</v>
      </c>
      <c r="F1218" s="26" t="s">
        <v>2777</v>
      </c>
      <c r="G1218" s="26" t="s">
        <v>8</v>
      </c>
      <c r="H1218" s="26" t="s">
        <v>2778</v>
      </c>
      <c r="I1218" s="26" t="s">
        <v>106</v>
      </c>
      <c r="J1218" s="26">
        <v>0</v>
      </c>
      <c r="K1218" s="8" t="str">
        <f t="shared" si="18"/>
        <v>OTHERRCPT</v>
      </c>
    </row>
    <row r="1219" spans="1:11" x14ac:dyDescent="0.25">
      <c r="A1219" s="26" t="s">
        <v>143</v>
      </c>
      <c r="B1219" s="26" t="s">
        <v>111</v>
      </c>
      <c r="C1219" s="26">
        <v>0</v>
      </c>
      <c r="D1219" s="27">
        <v>43314</v>
      </c>
      <c r="E1219" s="26">
        <v>15488.48</v>
      </c>
      <c r="F1219" s="26" t="s">
        <v>2779</v>
      </c>
      <c r="G1219" s="26" t="s">
        <v>8</v>
      </c>
      <c r="H1219" s="26" t="s">
        <v>2780</v>
      </c>
      <c r="I1219" s="26" t="s">
        <v>106</v>
      </c>
      <c r="J1219" s="26">
        <v>0</v>
      </c>
      <c r="K1219" s="8" t="str">
        <f t="shared" ref="K1219:K1282" si="19">LEFT(A1219,FIND("/",A1219)-1)</f>
        <v>OTHERRCPT</v>
      </c>
    </row>
    <row r="1220" spans="1:11" x14ac:dyDescent="0.25">
      <c r="A1220" s="26" t="s">
        <v>143</v>
      </c>
      <c r="B1220" s="26" t="s">
        <v>111</v>
      </c>
      <c r="C1220" s="26">
        <v>0</v>
      </c>
      <c r="D1220" s="27">
        <v>43315</v>
      </c>
      <c r="E1220" s="26">
        <v>9134.23</v>
      </c>
      <c r="F1220" s="26" t="s">
        <v>2781</v>
      </c>
      <c r="G1220" s="26" t="s">
        <v>8</v>
      </c>
      <c r="H1220" s="26" t="s">
        <v>2782</v>
      </c>
      <c r="I1220" s="26" t="s">
        <v>106</v>
      </c>
      <c r="J1220" s="26">
        <v>0</v>
      </c>
      <c r="K1220" s="8" t="str">
        <f t="shared" si="19"/>
        <v>OTHERRCPT</v>
      </c>
    </row>
    <row r="1221" spans="1:11" x14ac:dyDescent="0.25">
      <c r="A1221" s="26" t="s">
        <v>143</v>
      </c>
      <c r="B1221" s="26" t="s">
        <v>111</v>
      </c>
      <c r="C1221" s="26">
        <v>0</v>
      </c>
      <c r="D1221" s="27">
        <v>43318</v>
      </c>
      <c r="E1221" s="26">
        <v>12549.64</v>
      </c>
      <c r="F1221" s="26" t="s">
        <v>2783</v>
      </c>
      <c r="G1221" s="26" t="s">
        <v>8</v>
      </c>
      <c r="H1221" s="26" t="s">
        <v>2784</v>
      </c>
      <c r="I1221" s="26" t="s">
        <v>106</v>
      </c>
      <c r="J1221" s="26">
        <v>0</v>
      </c>
      <c r="K1221" s="8" t="str">
        <f t="shared" si="19"/>
        <v>OTHERRCPT</v>
      </c>
    </row>
    <row r="1222" spans="1:11" x14ac:dyDescent="0.25">
      <c r="A1222" s="26" t="s">
        <v>143</v>
      </c>
      <c r="B1222" s="26" t="s">
        <v>111</v>
      </c>
      <c r="C1222" s="26">
        <v>0</v>
      </c>
      <c r="D1222" s="27">
        <v>43321</v>
      </c>
      <c r="E1222" s="26">
        <v>11596.51</v>
      </c>
      <c r="F1222" s="26" t="s">
        <v>2785</v>
      </c>
      <c r="G1222" s="26" t="s">
        <v>8</v>
      </c>
      <c r="H1222" s="26" t="s">
        <v>2786</v>
      </c>
      <c r="I1222" s="26" t="s">
        <v>106</v>
      </c>
      <c r="J1222" s="26">
        <v>0</v>
      </c>
      <c r="K1222" s="8" t="str">
        <f t="shared" si="19"/>
        <v>OTHERRCPT</v>
      </c>
    </row>
    <row r="1223" spans="1:11" x14ac:dyDescent="0.25">
      <c r="A1223" s="26" t="s">
        <v>143</v>
      </c>
      <c r="B1223" s="26" t="s">
        <v>111</v>
      </c>
      <c r="C1223" s="26">
        <v>0</v>
      </c>
      <c r="D1223" s="27">
        <v>43322</v>
      </c>
      <c r="E1223" s="26">
        <v>1429.71</v>
      </c>
      <c r="F1223" s="26" t="s">
        <v>2787</v>
      </c>
      <c r="G1223" s="26" t="s">
        <v>8</v>
      </c>
      <c r="H1223" s="26" t="s">
        <v>2788</v>
      </c>
      <c r="I1223" s="26" t="s">
        <v>106</v>
      </c>
      <c r="J1223" s="26">
        <v>0</v>
      </c>
      <c r="K1223" s="8" t="str">
        <f t="shared" si="19"/>
        <v>OTHERRCPT</v>
      </c>
    </row>
    <row r="1224" spans="1:11" x14ac:dyDescent="0.25">
      <c r="A1224" s="26" t="s">
        <v>143</v>
      </c>
      <c r="B1224" s="26" t="s">
        <v>111</v>
      </c>
      <c r="C1224" s="26">
        <v>0</v>
      </c>
      <c r="D1224" s="27">
        <v>43322</v>
      </c>
      <c r="E1224" s="26">
        <v>3097.7</v>
      </c>
      <c r="F1224" s="26" t="s">
        <v>2789</v>
      </c>
      <c r="G1224" s="26" t="s">
        <v>8</v>
      </c>
      <c r="H1224" s="26" t="s">
        <v>2790</v>
      </c>
      <c r="I1224" s="26" t="s">
        <v>106</v>
      </c>
      <c r="J1224" s="26">
        <v>0</v>
      </c>
      <c r="K1224" s="8" t="str">
        <f t="shared" si="19"/>
        <v>OTHERRCPT</v>
      </c>
    </row>
    <row r="1225" spans="1:11" x14ac:dyDescent="0.25">
      <c r="A1225" s="26" t="s">
        <v>143</v>
      </c>
      <c r="B1225" s="26" t="s">
        <v>111</v>
      </c>
      <c r="C1225" s="26">
        <v>0</v>
      </c>
      <c r="D1225" s="27">
        <v>43322</v>
      </c>
      <c r="E1225" s="26">
        <v>158776.81</v>
      </c>
      <c r="F1225" s="26" t="s">
        <v>2791</v>
      </c>
      <c r="G1225" s="26" t="s">
        <v>8</v>
      </c>
      <c r="H1225" s="26" t="s">
        <v>2792</v>
      </c>
      <c r="I1225" s="26" t="s">
        <v>106</v>
      </c>
      <c r="J1225" s="26">
        <v>0</v>
      </c>
      <c r="K1225" s="8" t="str">
        <f t="shared" si="19"/>
        <v>OTHERRCPT</v>
      </c>
    </row>
    <row r="1226" spans="1:11" x14ac:dyDescent="0.25">
      <c r="A1226" s="26" t="s">
        <v>143</v>
      </c>
      <c r="B1226" s="26" t="s">
        <v>111</v>
      </c>
      <c r="C1226" s="26">
        <v>0</v>
      </c>
      <c r="D1226" s="27">
        <v>43325</v>
      </c>
      <c r="E1226" s="26">
        <v>225575.85</v>
      </c>
      <c r="F1226" s="26" t="s">
        <v>2793</v>
      </c>
      <c r="G1226" s="26" t="s">
        <v>8</v>
      </c>
      <c r="H1226" s="26" t="s">
        <v>2794</v>
      </c>
      <c r="I1226" s="26" t="s">
        <v>106</v>
      </c>
      <c r="J1226" s="26">
        <v>0</v>
      </c>
      <c r="K1226" s="8" t="str">
        <f t="shared" si="19"/>
        <v>OTHERRCPT</v>
      </c>
    </row>
    <row r="1227" spans="1:11" x14ac:dyDescent="0.25">
      <c r="A1227" s="26" t="s">
        <v>143</v>
      </c>
      <c r="B1227" s="26" t="s">
        <v>111</v>
      </c>
      <c r="C1227" s="26">
        <v>0</v>
      </c>
      <c r="D1227" s="27">
        <v>43329</v>
      </c>
      <c r="E1227" s="26">
        <v>11755.36</v>
      </c>
      <c r="F1227" s="26" t="s">
        <v>2795</v>
      </c>
      <c r="G1227" s="26" t="s">
        <v>8</v>
      </c>
      <c r="H1227" s="26" t="s">
        <v>2796</v>
      </c>
      <c r="I1227" s="26" t="s">
        <v>106</v>
      </c>
      <c r="J1227" s="26">
        <v>0</v>
      </c>
      <c r="K1227" s="8" t="str">
        <f t="shared" si="19"/>
        <v>OTHERRCPT</v>
      </c>
    </row>
    <row r="1228" spans="1:11" x14ac:dyDescent="0.25">
      <c r="A1228" s="26" t="s">
        <v>143</v>
      </c>
      <c r="B1228" s="26" t="s">
        <v>111</v>
      </c>
      <c r="C1228" s="26">
        <v>0</v>
      </c>
      <c r="D1228" s="27">
        <v>43329</v>
      </c>
      <c r="E1228" s="26">
        <v>409531.37</v>
      </c>
      <c r="F1228" s="26" t="s">
        <v>2797</v>
      </c>
      <c r="G1228" s="26" t="s">
        <v>8</v>
      </c>
      <c r="H1228" s="26" t="s">
        <v>2798</v>
      </c>
      <c r="I1228" s="26" t="s">
        <v>106</v>
      </c>
      <c r="J1228" s="26">
        <v>0</v>
      </c>
      <c r="K1228" s="8" t="str">
        <f t="shared" si="19"/>
        <v>OTHERRCPT</v>
      </c>
    </row>
    <row r="1229" spans="1:11" x14ac:dyDescent="0.25">
      <c r="A1229" s="26" t="s">
        <v>143</v>
      </c>
      <c r="B1229" s="26" t="s">
        <v>111</v>
      </c>
      <c r="C1229" s="26">
        <v>0</v>
      </c>
      <c r="D1229" s="27">
        <v>43329</v>
      </c>
      <c r="E1229" s="26">
        <v>75456.710000000006</v>
      </c>
      <c r="F1229" s="26" t="s">
        <v>2799</v>
      </c>
      <c r="G1229" s="26" t="s">
        <v>8</v>
      </c>
      <c r="H1229" s="26" t="s">
        <v>2800</v>
      </c>
      <c r="I1229" s="26" t="s">
        <v>106</v>
      </c>
      <c r="J1229" s="26">
        <v>0</v>
      </c>
      <c r="K1229" s="8" t="str">
        <f t="shared" si="19"/>
        <v>OTHERRCPT</v>
      </c>
    </row>
    <row r="1230" spans="1:11" x14ac:dyDescent="0.25">
      <c r="A1230" s="26" t="s">
        <v>143</v>
      </c>
      <c r="B1230" s="26" t="s">
        <v>111</v>
      </c>
      <c r="C1230" s="26">
        <v>0</v>
      </c>
      <c r="D1230" s="27">
        <v>43336</v>
      </c>
      <c r="E1230" s="26">
        <v>7783.96</v>
      </c>
      <c r="F1230" s="26" t="s">
        <v>2801</v>
      </c>
      <c r="G1230" s="26" t="s">
        <v>8</v>
      </c>
      <c r="H1230" s="26" t="s">
        <v>2802</v>
      </c>
      <c r="I1230" s="26" t="s">
        <v>106</v>
      </c>
      <c r="J1230" s="26">
        <v>0</v>
      </c>
      <c r="K1230" s="8" t="str">
        <f t="shared" si="19"/>
        <v>OTHERRCPT</v>
      </c>
    </row>
    <row r="1231" spans="1:11" x14ac:dyDescent="0.25">
      <c r="A1231" s="26" t="s">
        <v>143</v>
      </c>
      <c r="B1231" s="26" t="s">
        <v>111</v>
      </c>
      <c r="C1231" s="26">
        <v>0</v>
      </c>
      <c r="D1231" s="27">
        <v>43339</v>
      </c>
      <c r="E1231" s="26">
        <v>1985.7</v>
      </c>
      <c r="F1231" s="26" t="s">
        <v>2803</v>
      </c>
      <c r="G1231" s="26" t="s">
        <v>8</v>
      </c>
      <c r="H1231" s="26" t="s">
        <v>2804</v>
      </c>
      <c r="I1231" s="26" t="s">
        <v>106</v>
      </c>
      <c r="J1231" s="26">
        <v>0</v>
      </c>
      <c r="K1231" s="8" t="str">
        <f t="shared" si="19"/>
        <v>OTHERRCPT</v>
      </c>
    </row>
    <row r="1232" spans="1:11" x14ac:dyDescent="0.25">
      <c r="A1232" s="26" t="s">
        <v>143</v>
      </c>
      <c r="B1232" s="26" t="s">
        <v>111</v>
      </c>
      <c r="C1232" s="26">
        <v>0</v>
      </c>
      <c r="D1232" s="27">
        <v>43342</v>
      </c>
      <c r="E1232" s="26">
        <v>7386.81</v>
      </c>
      <c r="F1232" s="26" t="s">
        <v>2805</v>
      </c>
      <c r="G1232" s="26" t="s">
        <v>8</v>
      </c>
      <c r="H1232" s="26" t="s">
        <v>2806</v>
      </c>
      <c r="I1232" s="26" t="s">
        <v>106</v>
      </c>
      <c r="J1232" s="26">
        <v>0</v>
      </c>
      <c r="K1232" s="8" t="str">
        <f t="shared" si="19"/>
        <v>OTHERRCPT</v>
      </c>
    </row>
    <row r="1233" spans="1:11" x14ac:dyDescent="0.25">
      <c r="A1233" s="26" t="s">
        <v>143</v>
      </c>
      <c r="B1233" s="26" t="s">
        <v>111</v>
      </c>
      <c r="C1233" s="26">
        <v>0</v>
      </c>
      <c r="D1233" s="27">
        <v>43343</v>
      </c>
      <c r="E1233" s="26">
        <v>6513.11</v>
      </c>
      <c r="F1233" s="26" t="s">
        <v>2807</v>
      </c>
      <c r="G1233" s="26" t="s">
        <v>8</v>
      </c>
      <c r="H1233" s="26" t="s">
        <v>2808</v>
      </c>
      <c r="I1233" s="26" t="s">
        <v>106</v>
      </c>
      <c r="J1233" s="26">
        <v>0</v>
      </c>
      <c r="K1233" s="8" t="str">
        <f t="shared" si="19"/>
        <v>OTHERRCPT</v>
      </c>
    </row>
    <row r="1234" spans="1:11" x14ac:dyDescent="0.25">
      <c r="A1234" s="26" t="s">
        <v>143</v>
      </c>
      <c r="B1234" s="26" t="s">
        <v>111</v>
      </c>
      <c r="C1234" s="26">
        <v>0</v>
      </c>
      <c r="D1234" s="27">
        <v>43343</v>
      </c>
      <c r="E1234" s="26">
        <v>1032.57</v>
      </c>
      <c r="F1234" s="26" t="s">
        <v>2809</v>
      </c>
      <c r="G1234" s="26" t="s">
        <v>8</v>
      </c>
      <c r="H1234" s="26" t="s">
        <v>2810</v>
      </c>
      <c r="I1234" s="26" t="s">
        <v>106</v>
      </c>
      <c r="J1234" s="26">
        <v>0</v>
      </c>
      <c r="K1234" s="8" t="str">
        <f t="shared" si="19"/>
        <v>OTHERRCPT</v>
      </c>
    </row>
    <row r="1235" spans="1:11" x14ac:dyDescent="0.25">
      <c r="A1235" s="26" t="s">
        <v>143</v>
      </c>
      <c r="B1235" s="26" t="s">
        <v>111</v>
      </c>
      <c r="C1235" s="26">
        <v>0</v>
      </c>
      <c r="D1235" s="27">
        <v>43346</v>
      </c>
      <c r="E1235" s="26">
        <v>6671.96</v>
      </c>
      <c r="F1235" s="26" t="s">
        <v>2811</v>
      </c>
      <c r="G1235" s="26" t="s">
        <v>8</v>
      </c>
      <c r="H1235" s="26" t="s">
        <v>2812</v>
      </c>
      <c r="I1235" s="26" t="s">
        <v>106</v>
      </c>
      <c r="J1235" s="26">
        <v>0</v>
      </c>
      <c r="K1235" s="8" t="str">
        <f t="shared" si="19"/>
        <v>OTHERRCPT</v>
      </c>
    </row>
    <row r="1236" spans="1:11" x14ac:dyDescent="0.25">
      <c r="A1236" s="26" t="s">
        <v>143</v>
      </c>
      <c r="B1236" s="26" t="s">
        <v>111</v>
      </c>
      <c r="C1236" s="26">
        <v>0</v>
      </c>
      <c r="D1236" s="27">
        <v>43349</v>
      </c>
      <c r="E1236" s="26">
        <v>7307.39</v>
      </c>
      <c r="F1236" s="26" t="s">
        <v>2813</v>
      </c>
      <c r="G1236" s="26" t="s">
        <v>8</v>
      </c>
      <c r="H1236" s="26" t="s">
        <v>2814</v>
      </c>
      <c r="I1236" s="26" t="s">
        <v>106</v>
      </c>
      <c r="J1236" s="26">
        <v>0</v>
      </c>
      <c r="K1236" s="8" t="str">
        <f t="shared" si="19"/>
        <v>OTHERRCPT</v>
      </c>
    </row>
    <row r="1237" spans="1:11" x14ac:dyDescent="0.25">
      <c r="A1237" s="26" t="s">
        <v>143</v>
      </c>
      <c r="B1237" s="26" t="s">
        <v>111</v>
      </c>
      <c r="C1237" s="26">
        <v>0</v>
      </c>
      <c r="D1237" s="27">
        <v>43350</v>
      </c>
      <c r="E1237" s="26">
        <v>3494.84</v>
      </c>
      <c r="F1237" s="26" t="s">
        <v>2815</v>
      </c>
      <c r="G1237" s="26" t="s">
        <v>8</v>
      </c>
      <c r="H1237" s="26" t="s">
        <v>2816</v>
      </c>
      <c r="I1237" s="26" t="s">
        <v>106</v>
      </c>
      <c r="J1237" s="26">
        <v>0</v>
      </c>
      <c r="K1237" s="8" t="str">
        <f t="shared" si="19"/>
        <v>OTHERRCPT</v>
      </c>
    </row>
    <row r="1238" spans="1:11" x14ac:dyDescent="0.25">
      <c r="A1238" s="26" t="s">
        <v>143</v>
      </c>
      <c r="B1238" s="26" t="s">
        <v>111</v>
      </c>
      <c r="C1238" s="26">
        <v>0</v>
      </c>
      <c r="D1238" s="27">
        <v>43350</v>
      </c>
      <c r="E1238" s="26">
        <v>794.28</v>
      </c>
      <c r="F1238" s="26" t="s">
        <v>2817</v>
      </c>
      <c r="G1238" s="26" t="s">
        <v>8</v>
      </c>
      <c r="H1238" s="26" t="s">
        <v>2818</v>
      </c>
      <c r="I1238" s="26" t="s">
        <v>106</v>
      </c>
      <c r="J1238" s="26">
        <v>0</v>
      </c>
      <c r="K1238" s="8" t="str">
        <f t="shared" si="19"/>
        <v>OTHERRCPT</v>
      </c>
    </row>
    <row r="1239" spans="1:11" x14ac:dyDescent="0.25">
      <c r="A1239" s="26" t="s">
        <v>143</v>
      </c>
      <c r="B1239" s="26" t="s">
        <v>111</v>
      </c>
      <c r="C1239" s="26">
        <v>0</v>
      </c>
      <c r="D1239" s="27">
        <v>43353</v>
      </c>
      <c r="E1239" s="26">
        <v>31771.25</v>
      </c>
      <c r="F1239" s="26" t="s">
        <v>2819</v>
      </c>
      <c r="G1239" s="26" t="s">
        <v>8</v>
      </c>
      <c r="H1239" s="26" t="s">
        <v>2820</v>
      </c>
      <c r="I1239" s="26" t="s">
        <v>106</v>
      </c>
      <c r="J1239" s="26">
        <v>0</v>
      </c>
      <c r="K1239" s="8" t="str">
        <f t="shared" si="19"/>
        <v>OTHERRCPT</v>
      </c>
    </row>
    <row r="1240" spans="1:11" x14ac:dyDescent="0.25">
      <c r="A1240" s="26" t="s">
        <v>143</v>
      </c>
      <c r="B1240" s="26" t="s">
        <v>111</v>
      </c>
      <c r="C1240" s="26">
        <v>0</v>
      </c>
      <c r="D1240" s="27">
        <v>43356</v>
      </c>
      <c r="E1240" s="26">
        <v>10881.65</v>
      </c>
      <c r="F1240" s="26" t="s">
        <v>2821</v>
      </c>
      <c r="G1240" s="26" t="s">
        <v>8</v>
      </c>
      <c r="H1240" s="26" t="s">
        <v>2822</v>
      </c>
      <c r="I1240" s="26" t="s">
        <v>106</v>
      </c>
      <c r="J1240" s="26">
        <v>0</v>
      </c>
      <c r="K1240" s="8" t="str">
        <f t="shared" si="19"/>
        <v>OTHERRCPT</v>
      </c>
    </row>
    <row r="1241" spans="1:11" x14ac:dyDescent="0.25">
      <c r="A1241" s="26" t="s">
        <v>143</v>
      </c>
      <c r="B1241" s="26" t="s">
        <v>111</v>
      </c>
      <c r="C1241" s="26">
        <v>0</v>
      </c>
      <c r="D1241" s="27">
        <v>43357</v>
      </c>
      <c r="E1241" s="26">
        <v>16838.759999999998</v>
      </c>
      <c r="F1241" s="26" t="s">
        <v>2823</v>
      </c>
      <c r="G1241" s="26" t="s">
        <v>8</v>
      </c>
      <c r="H1241" s="26" t="s">
        <v>2824</v>
      </c>
      <c r="I1241" s="26" t="s">
        <v>106</v>
      </c>
      <c r="J1241" s="26">
        <v>0</v>
      </c>
      <c r="K1241" s="8" t="str">
        <f t="shared" si="19"/>
        <v>OTHERRCPT</v>
      </c>
    </row>
    <row r="1242" spans="1:11" x14ac:dyDescent="0.25">
      <c r="A1242" s="26" t="s">
        <v>143</v>
      </c>
      <c r="B1242" s="26" t="s">
        <v>111</v>
      </c>
      <c r="C1242" s="26">
        <v>0</v>
      </c>
      <c r="D1242" s="27">
        <v>43357</v>
      </c>
      <c r="E1242" s="26">
        <v>873.71</v>
      </c>
      <c r="F1242" s="26" t="s">
        <v>2825</v>
      </c>
      <c r="G1242" s="26" t="s">
        <v>8</v>
      </c>
      <c r="H1242" s="26" t="s">
        <v>2826</v>
      </c>
      <c r="I1242" s="26" t="s">
        <v>106</v>
      </c>
      <c r="J1242" s="26">
        <v>0</v>
      </c>
      <c r="K1242" s="8" t="str">
        <f t="shared" si="19"/>
        <v>OTHERRCPT</v>
      </c>
    </row>
    <row r="1243" spans="1:11" x14ac:dyDescent="0.25">
      <c r="A1243" s="26" t="s">
        <v>143</v>
      </c>
      <c r="B1243" s="26" t="s">
        <v>111</v>
      </c>
      <c r="C1243" s="26">
        <v>0</v>
      </c>
      <c r="D1243" s="27">
        <v>43357</v>
      </c>
      <c r="E1243" s="26">
        <v>2223.9899999999998</v>
      </c>
      <c r="F1243" s="26" t="s">
        <v>2827</v>
      </c>
      <c r="G1243" s="26" t="s">
        <v>8</v>
      </c>
      <c r="H1243" s="26" t="s">
        <v>2828</v>
      </c>
      <c r="I1243" s="26" t="s">
        <v>106</v>
      </c>
      <c r="J1243" s="26">
        <v>0</v>
      </c>
      <c r="K1243" s="8" t="str">
        <f t="shared" si="19"/>
        <v>OTHERRCPT</v>
      </c>
    </row>
    <row r="1244" spans="1:11" x14ac:dyDescent="0.25">
      <c r="A1244" s="26" t="s">
        <v>143</v>
      </c>
      <c r="B1244" s="26" t="s">
        <v>111</v>
      </c>
      <c r="C1244" s="26">
        <v>0</v>
      </c>
      <c r="D1244" s="27">
        <v>43360</v>
      </c>
      <c r="E1244" s="26">
        <v>53216.84</v>
      </c>
      <c r="F1244" s="26" t="s">
        <v>2829</v>
      </c>
      <c r="G1244" s="26" t="s">
        <v>8</v>
      </c>
      <c r="H1244" s="26" t="s">
        <v>2830</v>
      </c>
      <c r="I1244" s="26" t="s">
        <v>106</v>
      </c>
      <c r="J1244" s="26">
        <v>0</v>
      </c>
      <c r="K1244" s="8" t="str">
        <f t="shared" si="19"/>
        <v>OTHERRCPT</v>
      </c>
    </row>
    <row r="1245" spans="1:11" x14ac:dyDescent="0.25">
      <c r="A1245" s="26" t="s">
        <v>144</v>
      </c>
      <c r="B1245" s="26" t="s">
        <v>111</v>
      </c>
      <c r="C1245" s="26">
        <v>0</v>
      </c>
      <c r="D1245" s="27">
        <v>43244</v>
      </c>
      <c r="E1245" s="26">
        <v>-11914.22</v>
      </c>
      <c r="F1245" s="26" t="s">
        <v>2831</v>
      </c>
      <c r="G1245" s="26" t="s">
        <v>8</v>
      </c>
      <c r="H1245" s="26" t="s">
        <v>2832</v>
      </c>
      <c r="I1245" s="26" t="s">
        <v>106</v>
      </c>
      <c r="J1245" s="26">
        <v>0</v>
      </c>
      <c r="K1245" s="8" t="str">
        <f t="shared" si="19"/>
        <v>PAYMASTER</v>
      </c>
    </row>
    <row r="1246" spans="1:11" x14ac:dyDescent="0.25">
      <c r="A1246" s="26" t="s">
        <v>144</v>
      </c>
      <c r="B1246" s="26" t="s">
        <v>111</v>
      </c>
      <c r="C1246" s="26">
        <v>0</v>
      </c>
      <c r="D1246" s="27">
        <v>43245</v>
      </c>
      <c r="E1246" s="26">
        <v>-11914.22</v>
      </c>
      <c r="F1246" s="26" t="s">
        <v>2833</v>
      </c>
      <c r="G1246" s="26" t="s">
        <v>8</v>
      </c>
      <c r="H1246" s="26" t="s">
        <v>2834</v>
      </c>
      <c r="I1246" s="26" t="s">
        <v>106</v>
      </c>
      <c r="J1246" s="26">
        <v>0</v>
      </c>
      <c r="K1246" s="8" t="str">
        <f t="shared" si="19"/>
        <v>PAYMASTER</v>
      </c>
    </row>
    <row r="1247" spans="1:11" x14ac:dyDescent="0.25">
      <c r="A1247" s="26" t="s">
        <v>144</v>
      </c>
      <c r="B1247" s="26" t="s">
        <v>111</v>
      </c>
      <c r="C1247" s="26">
        <v>0</v>
      </c>
      <c r="D1247" s="27">
        <v>43245</v>
      </c>
      <c r="E1247" s="26">
        <v>-11914.22</v>
      </c>
      <c r="F1247" s="26" t="s">
        <v>2835</v>
      </c>
      <c r="G1247" s="26" t="s">
        <v>8</v>
      </c>
      <c r="H1247" s="26" t="s">
        <v>2836</v>
      </c>
      <c r="I1247" s="26" t="s">
        <v>106</v>
      </c>
      <c r="J1247" s="26">
        <v>0</v>
      </c>
      <c r="K1247" s="8" t="str">
        <f t="shared" si="19"/>
        <v>PAYMASTER</v>
      </c>
    </row>
    <row r="1248" spans="1:11" x14ac:dyDescent="0.25">
      <c r="A1248" s="26" t="s">
        <v>144</v>
      </c>
      <c r="B1248" s="26" t="s">
        <v>111</v>
      </c>
      <c r="C1248" s="26">
        <v>0</v>
      </c>
      <c r="D1248" s="27">
        <v>43245</v>
      </c>
      <c r="E1248" s="26">
        <v>-11914.22</v>
      </c>
      <c r="F1248" s="26" t="s">
        <v>2837</v>
      </c>
      <c r="G1248" s="26" t="s">
        <v>8</v>
      </c>
      <c r="H1248" s="26" t="s">
        <v>2838</v>
      </c>
      <c r="I1248" s="26" t="s">
        <v>106</v>
      </c>
      <c r="J1248" s="26">
        <v>0</v>
      </c>
      <c r="K1248" s="8" t="str">
        <f t="shared" si="19"/>
        <v>PAYMASTER</v>
      </c>
    </row>
    <row r="1249" spans="1:11" x14ac:dyDescent="0.25">
      <c r="A1249" s="26" t="s">
        <v>144</v>
      </c>
      <c r="B1249" s="26" t="s">
        <v>111</v>
      </c>
      <c r="C1249" s="26">
        <v>0</v>
      </c>
      <c r="D1249" s="27">
        <v>43248</v>
      </c>
      <c r="E1249" s="26">
        <v>-11914.22</v>
      </c>
      <c r="F1249" s="26" t="s">
        <v>2839</v>
      </c>
      <c r="G1249" s="26" t="s">
        <v>8</v>
      </c>
      <c r="H1249" s="26" t="s">
        <v>2840</v>
      </c>
      <c r="I1249" s="26" t="s">
        <v>106</v>
      </c>
      <c r="J1249" s="26">
        <v>0</v>
      </c>
      <c r="K1249" s="8" t="str">
        <f t="shared" si="19"/>
        <v>PAYMASTER</v>
      </c>
    </row>
    <row r="1250" spans="1:11" x14ac:dyDescent="0.25">
      <c r="A1250" s="26" t="s">
        <v>144</v>
      </c>
      <c r="B1250" s="26" t="s">
        <v>111</v>
      </c>
      <c r="C1250" s="26">
        <v>0</v>
      </c>
      <c r="D1250" s="27">
        <v>43251</v>
      </c>
      <c r="E1250" s="26">
        <v>-11914.22</v>
      </c>
      <c r="F1250" s="26" t="s">
        <v>2841</v>
      </c>
      <c r="G1250" s="26" t="s">
        <v>8</v>
      </c>
      <c r="H1250" s="26" t="s">
        <v>2842</v>
      </c>
      <c r="I1250" s="26" t="s">
        <v>106</v>
      </c>
      <c r="J1250" s="26">
        <v>0</v>
      </c>
      <c r="K1250" s="8" t="str">
        <f t="shared" si="19"/>
        <v>PAYMASTER</v>
      </c>
    </row>
    <row r="1251" spans="1:11" x14ac:dyDescent="0.25">
      <c r="A1251" s="26" t="s">
        <v>144</v>
      </c>
      <c r="B1251" s="26" t="s">
        <v>111</v>
      </c>
      <c r="C1251" s="26">
        <v>0</v>
      </c>
      <c r="D1251" s="27">
        <v>43252</v>
      </c>
      <c r="E1251" s="26">
        <v>-11914.22</v>
      </c>
      <c r="F1251" s="26" t="s">
        <v>2843</v>
      </c>
      <c r="G1251" s="26" t="s">
        <v>8</v>
      </c>
      <c r="H1251" s="26" t="s">
        <v>2844</v>
      </c>
      <c r="I1251" s="26" t="s">
        <v>106</v>
      </c>
      <c r="J1251" s="26">
        <v>0</v>
      </c>
      <c r="K1251" s="8" t="str">
        <f t="shared" si="19"/>
        <v>PAYMASTER</v>
      </c>
    </row>
    <row r="1252" spans="1:11" x14ac:dyDescent="0.25">
      <c r="A1252" s="26" t="s">
        <v>144</v>
      </c>
      <c r="B1252" s="26" t="s">
        <v>111</v>
      </c>
      <c r="C1252" s="26">
        <v>0</v>
      </c>
      <c r="D1252" s="27">
        <v>43252</v>
      </c>
      <c r="E1252" s="26">
        <v>-11914.22</v>
      </c>
      <c r="F1252" s="26" t="s">
        <v>2845</v>
      </c>
      <c r="G1252" s="26" t="s">
        <v>8</v>
      </c>
      <c r="H1252" s="26" t="s">
        <v>2846</v>
      </c>
      <c r="I1252" s="26" t="s">
        <v>106</v>
      </c>
      <c r="J1252" s="26">
        <v>0</v>
      </c>
      <c r="K1252" s="8" t="str">
        <f t="shared" si="19"/>
        <v>PAYMASTER</v>
      </c>
    </row>
    <row r="1253" spans="1:11" x14ac:dyDescent="0.25">
      <c r="A1253" s="26" t="s">
        <v>144</v>
      </c>
      <c r="B1253" s="26" t="s">
        <v>111</v>
      </c>
      <c r="C1253" s="26">
        <v>0</v>
      </c>
      <c r="D1253" s="27">
        <v>43252</v>
      </c>
      <c r="E1253" s="26">
        <v>-11914.22</v>
      </c>
      <c r="F1253" s="26" t="s">
        <v>2847</v>
      </c>
      <c r="G1253" s="26" t="s">
        <v>8</v>
      </c>
      <c r="H1253" s="26" t="s">
        <v>2848</v>
      </c>
      <c r="I1253" s="26" t="s">
        <v>106</v>
      </c>
      <c r="J1253" s="26">
        <v>0</v>
      </c>
      <c r="K1253" s="8" t="str">
        <f t="shared" si="19"/>
        <v>PAYMASTER</v>
      </c>
    </row>
    <row r="1254" spans="1:11" x14ac:dyDescent="0.25">
      <c r="A1254" s="26" t="s">
        <v>144</v>
      </c>
      <c r="B1254" s="26" t="s">
        <v>111</v>
      </c>
      <c r="C1254" s="26">
        <v>0</v>
      </c>
      <c r="D1254" s="27">
        <v>43255</v>
      </c>
      <c r="E1254" s="26">
        <v>-11914.22</v>
      </c>
      <c r="F1254" s="26" t="s">
        <v>2849</v>
      </c>
      <c r="G1254" s="26" t="s">
        <v>8</v>
      </c>
      <c r="H1254" s="26" t="s">
        <v>2850</v>
      </c>
      <c r="I1254" s="26" t="s">
        <v>106</v>
      </c>
      <c r="J1254" s="26">
        <v>0</v>
      </c>
      <c r="K1254" s="8" t="str">
        <f t="shared" si="19"/>
        <v>PAYMASTER</v>
      </c>
    </row>
    <row r="1255" spans="1:11" x14ac:dyDescent="0.25">
      <c r="A1255" s="26" t="s">
        <v>144</v>
      </c>
      <c r="B1255" s="26" t="s">
        <v>111</v>
      </c>
      <c r="C1255" s="26">
        <v>0</v>
      </c>
      <c r="D1255" s="27">
        <v>43258</v>
      </c>
      <c r="E1255" s="26">
        <v>-11914.22</v>
      </c>
      <c r="F1255" s="26" t="s">
        <v>2851</v>
      </c>
      <c r="G1255" s="26" t="s">
        <v>8</v>
      </c>
      <c r="H1255" s="26" t="s">
        <v>2852</v>
      </c>
      <c r="I1255" s="26" t="s">
        <v>106</v>
      </c>
      <c r="J1255" s="26">
        <v>0</v>
      </c>
      <c r="K1255" s="8" t="str">
        <f t="shared" si="19"/>
        <v>PAYMASTER</v>
      </c>
    </row>
    <row r="1256" spans="1:11" x14ac:dyDescent="0.25">
      <c r="A1256" s="26" t="s">
        <v>144</v>
      </c>
      <c r="B1256" s="26" t="s">
        <v>111</v>
      </c>
      <c r="C1256" s="26">
        <v>0</v>
      </c>
      <c r="D1256" s="27">
        <v>43259</v>
      </c>
      <c r="E1256" s="26">
        <v>-11914.22</v>
      </c>
      <c r="F1256" s="26" t="s">
        <v>2853</v>
      </c>
      <c r="G1256" s="26" t="s">
        <v>8</v>
      </c>
      <c r="H1256" s="26" t="s">
        <v>2854</v>
      </c>
      <c r="I1256" s="26" t="s">
        <v>106</v>
      </c>
      <c r="J1256" s="26">
        <v>0</v>
      </c>
      <c r="K1256" s="8" t="str">
        <f t="shared" si="19"/>
        <v>PAYMASTER</v>
      </c>
    </row>
    <row r="1257" spans="1:11" x14ac:dyDescent="0.25">
      <c r="A1257" s="26" t="s">
        <v>144</v>
      </c>
      <c r="B1257" s="26" t="s">
        <v>111</v>
      </c>
      <c r="C1257" s="26">
        <v>0</v>
      </c>
      <c r="D1257" s="27">
        <v>43259</v>
      </c>
      <c r="E1257" s="26">
        <v>-11914.22</v>
      </c>
      <c r="F1257" s="26" t="s">
        <v>2855</v>
      </c>
      <c r="G1257" s="26" t="s">
        <v>8</v>
      </c>
      <c r="H1257" s="26" t="s">
        <v>2856</v>
      </c>
      <c r="I1257" s="26" t="s">
        <v>106</v>
      </c>
      <c r="J1257" s="26">
        <v>0</v>
      </c>
      <c r="K1257" s="8" t="str">
        <f t="shared" si="19"/>
        <v>PAYMASTER</v>
      </c>
    </row>
    <row r="1258" spans="1:11" x14ac:dyDescent="0.25">
      <c r="A1258" s="26" t="s">
        <v>144</v>
      </c>
      <c r="B1258" s="26" t="s">
        <v>111</v>
      </c>
      <c r="C1258" s="26">
        <v>0</v>
      </c>
      <c r="D1258" s="27">
        <v>43259</v>
      </c>
      <c r="E1258" s="26">
        <v>-11914.22</v>
      </c>
      <c r="F1258" s="26" t="s">
        <v>2857</v>
      </c>
      <c r="G1258" s="26" t="s">
        <v>8</v>
      </c>
      <c r="H1258" s="26" t="s">
        <v>2858</v>
      </c>
      <c r="I1258" s="26" t="s">
        <v>106</v>
      </c>
      <c r="J1258" s="26">
        <v>0</v>
      </c>
      <c r="K1258" s="8" t="str">
        <f t="shared" si="19"/>
        <v>PAYMASTER</v>
      </c>
    </row>
    <row r="1259" spans="1:11" x14ac:dyDescent="0.25">
      <c r="A1259" s="26" t="s">
        <v>144</v>
      </c>
      <c r="B1259" s="26" t="s">
        <v>111</v>
      </c>
      <c r="C1259" s="26">
        <v>0</v>
      </c>
      <c r="D1259" s="27">
        <v>43262</v>
      </c>
      <c r="E1259" s="26">
        <v>-11914.22</v>
      </c>
      <c r="F1259" s="26" t="s">
        <v>2859</v>
      </c>
      <c r="G1259" s="26" t="s">
        <v>8</v>
      </c>
      <c r="H1259" s="26" t="s">
        <v>2860</v>
      </c>
      <c r="I1259" s="26" t="s">
        <v>106</v>
      </c>
      <c r="J1259" s="26">
        <v>0</v>
      </c>
      <c r="K1259" s="8" t="str">
        <f t="shared" si="19"/>
        <v>PAYMASTER</v>
      </c>
    </row>
    <row r="1260" spans="1:11" x14ac:dyDescent="0.25">
      <c r="A1260" s="26" t="s">
        <v>144</v>
      </c>
      <c r="B1260" s="26" t="s">
        <v>111</v>
      </c>
      <c r="C1260" s="26">
        <v>0</v>
      </c>
      <c r="D1260" s="27">
        <v>43265</v>
      </c>
      <c r="E1260" s="26">
        <v>-11914.22</v>
      </c>
      <c r="F1260" s="26" t="s">
        <v>2861</v>
      </c>
      <c r="G1260" s="26" t="s">
        <v>8</v>
      </c>
      <c r="H1260" s="26" t="s">
        <v>2862</v>
      </c>
      <c r="I1260" s="26" t="s">
        <v>106</v>
      </c>
      <c r="J1260" s="26">
        <v>0</v>
      </c>
      <c r="K1260" s="8" t="str">
        <f t="shared" si="19"/>
        <v>PAYMASTER</v>
      </c>
    </row>
    <row r="1261" spans="1:11" x14ac:dyDescent="0.25">
      <c r="A1261" s="26" t="s">
        <v>144</v>
      </c>
      <c r="B1261" s="26" t="s">
        <v>111</v>
      </c>
      <c r="C1261" s="26">
        <v>0</v>
      </c>
      <c r="D1261" s="27">
        <v>43266</v>
      </c>
      <c r="E1261" s="26">
        <v>-11914.22</v>
      </c>
      <c r="F1261" s="26" t="s">
        <v>2863</v>
      </c>
      <c r="G1261" s="26" t="s">
        <v>8</v>
      </c>
      <c r="H1261" s="26" t="s">
        <v>2864</v>
      </c>
      <c r="I1261" s="26" t="s">
        <v>106</v>
      </c>
      <c r="J1261" s="26">
        <v>0</v>
      </c>
      <c r="K1261" s="8" t="str">
        <f t="shared" si="19"/>
        <v>PAYMASTER</v>
      </c>
    </row>
    <row r="1262" spans="1:11" x14ac:dyDescent="0.25">
      <c r="A1262" s="26" t="s">
        <v>144</v>
      </c>
      <c r="B1262" s="26" t="s">
        <v>111</v>
      </c>
      <c r="C1262" s="26">
        <v>0</v>
      </c>
      <c r="D1262" s="27">
        <v>43266</v>
      </c>
      <c r="E1262" s="26">
        <v>-11914.22</v>
      </c>
      <c r="F1262" s="26" t="s">
        <v>2865</v>
      </c>
      <c r="G1262" s="26" t="s">
        <v>8</v>
      </c>
      <c r="H1262" s="26" t="s">
        <v>2866</v>
      </c>
      <c r="I1262" s="26" t="s">
        <v>106</v>
      </c>
      <c r="J1262" s="26">
        <v>0</v>
      </c>
      <c r="K1262" s="8" t="str">
        <f t="shared" si="19"/>
        <v>PAYMASTER</v>
      </c>
    </row>
    <row r="1263" spans="1:11" x14ac:dyDescent="0.25">
      <c r="A1263" s="26" t="s">
        <v>144</v>
      </c>
      <c r="B1263" s="26" t="s">
        <v>111</v>
      </c>
      <c r="C1263" s="26">
        <v>0</v>
      </c>
      <c r="D1263" s="27">
        <v>43266</v>
      </c>
      <c r="E1263" s="26">
        <v>-11914.22</v>
      </c>
      <c r="F1263" s="26" t="s">
        <v>2867</v>
      </c>
      <c r="G1263" s="26" t="s">
        <v>8</v>
      </c>
      <c r="H1263" s="26" t="s">
        <v>2868</v>
      </c>
      <c r="I1263" s="26" t="s">
        <v>106</v>
      </c>
      <c r="J1263" s="26">
        <v>0</v>
      </c>
      <c r="K1263" s="8" t="str">
        <f t="shared" si="19"/>
        <v>PAYMASTER</v>
      </c>
    </row>
    <row r="1264" spans="1:11" x14ac:dyDescent="0.25">
      <c r="A1264" s="26" t="s">
        <v>144</v>
      </c>
      <c r="B1264" s="26" t="s">
        <v>111</v>
      </c>
      <c r="C1264" s="26">
        <v>0</v>
      </c>
      <c r="D1264" s="27">
        <v>43269</v>
      </c>
      <c r="E1264" s="26">
        <v>-11914.22</v>
      </c>
      <c r="F1264" s="26" t="s">
        <v>2869</v>
      </c>
      <c r="G1264" s="26" t="s">
        <v>8</v>
      </c>
      <c r="H1264" s="26" t="s">
        <v>2870</v>
      </c>
      <c r="I1264" s="26" t="s">
        <v>106</v>
      </c>
      <c r="J1264" s="26">
        <v>0</v>
      </c>
      <c r="K1264" s="8" t="str">
        <f t="shared" si="19"/>
        <v>PAYMASTER</v>
      </c>
    </row>
    <row r="1265" spans="1:11" x14ac:dyDescent="0.25">
      <c r="A1265" s="26" t="s">
        <v>144</v>
      </c>
      <c r="B1265" s="26" t="s">
        <v>111</v>
      </c>
      <c r="C1265" s="26">
        <v>0</v>
      </c>
      <c r="D1265" s="27">
        <v>43272</v>
      </c>
      <c r="E1265" s="26">
        <v>-11914.22</v>
      </c>
      <c r="F1265" s="26" t="s">
        <v>2871</v>
      </c>
      <c r="G1265" s="26" t="s">
        <v>8</v>
      </c>
      <c r="H1265" s="26" t="s">
        <v>2872</v>
      </c>
      <c r="I1265" s="26" t="s">
        <v>106</v>
      </c>
      <c r="J1265" s="26">
        <v>0</v>
      </c>
      <c r="K1265" s="8" t="str">
        <f t="shared" si="19"/>
        <v>PAYMASTER</v>
      </c>
    </row>
    <row r="1266" spans="1:11" x14ac:dyDescent="0.25">
      <c r="A1266" s="26" t="s">
        <v>144</v>
      </c>
      <c r="B1266" s="26" t="s">
        <v>111</v>
      </c>
      <c r="C1266" s="26">
        <v>0</v>
      </c>
      <c r="D1266" s="27">
        <v>43273</v>
      </c>
      <c r="E1266" s="26">
        <v>-11517.08</v>
      </c>
      <c r="F1266" s="26" t="s">
        <v>2873</v>
      </c>
      <c r="G1266" s="26" t="s">
        <v>8</v>
      </c>
      <c r="H1266" s="26" t="s">
        <v>2874</v>
      </c>
      <c r="I1266" s="26" t="s">
        <v>106</v>
      </c>
      <c r="J1266" s="26">
        <v>0</v>
      </c>
      <c r="K1266" s="8" t="str">
        <f t="shared" si="19"/>
        <v>PAYMASTER</v>
      </c>
    </row>
    <row r="1267" spans="1:11" x14ac:dyDescent="0.25">
      <c r="A1267" s="26" t="s">
        <v>144</v>
      </c>
      <c r="B1267" s="26" t="s">
        <v>111</v>
      </c>
      <c r="C1267" s="26">
        <v>0</v>
      </c>
      <c r="D1267" s="27">
        <v>43273</v>
      </c>
      <c r="E1267" s="26">
        <v>-11914.22</v>
      </c>
      <c r="F1267" s="26" t="s">
        <v>2875</v>
      </c>
      <c r="G1267" s="26" t="s">
        <v>8</v>
      </c>
      <c r="H1267" s="26" t="s">
        <v>2876</v>
      </c>
      <c r="I1267" s="26" t="s">
        <v>106</v>
      </c>
      <c r="J1267" s="26">
        <v>0</v>
      </c>
      <c r="K1267" s="8" t="str">
        <f t="shared" si="19"/>
        <v>PAYMASTER</v>
      </c>
    </row>
    <row r="1268" spans="1:11" x14ac:dyDescent="0.25">
      <c r="A1268" s="26" t="s">
        <v>144</v>
      </c>
      <c r="B1268" s="26" t="s">
        <v>111</v>
      </c>
      <c r="C1268" s="26">
        <v>0</v>
      </c>
      <c r="D1268" s="27">
        <v>43273</v>
      </c>
      <c r="E1268" s="26">
        <v>-11914.22</v>
      </c>
      <c r="F1268" s="26" t="s">
        <v>2877</v>
      </c>
      <c r="G1268" s="26" t="s">
        <v>8</v>
      </c>
      <c r="H1268" s="26" t="s">
        <v>2878</v>
      </c>
      <c r="I1268" s="26" t="s">
        <v>106</v>
      </c>
      <c r="J1268" s="26">
        <v>0</v>
      </c>
      <c r="K1268" s="8" t="str">
        <f t="shared" si="19"/>
        <v>PAYMASTER</v>
      </c>
    </row>
    <row r="1269" spans="1:11" x14ac:dyDescent="0.25">
      <c r="A1269" s="26" t="s">
        <v>144</v>
      </c>
      <c r="B1269" s="26" t="s">
        <v>111</v>
      </c>
      <c r="C1269" s="26">
        <v>0</v>
      </c>
      <c r="D1269" s="27">
        <v>43276</v>
      </c>
      <c r="E1269" s="26">
        <v>-11914.22</v>
      </c>
      <c r="F1269" s="26" t="s">
        <v>2879</v>
      </c>
      <c r="G1269" s="26" t="s">
        <v>8</v>
      </c>
      <c r="H1269" s="26" t="s">
        <v>2880</v>
      </c>
      <c r="I1269" s="26" t="s">
        <v>106</v>
      </c>
      <c r="J1269" s="26">
        <v>0</v>
      </c>
      <c r="K1269" s="8" t="str">
        <f t="shared" si="19"/>
        <v>PAYMASTER</v>
      </c>
    </row>
    <row r="1270" spans="1:11" x14ac:dyDescent="0.25">
      <c r="A1270" s="26" t="s">
        <v>144</v>
      </c>
      <c r="B1270" s="26" t="s">
        <v>111</v>
      </c>
      <c r="C1270" s="26">
        <v>0</v>
      </c>
      <c r="D1270" s="27">
        <v>43279</v>
      </c>
      <c r="E1270" s="26">
        <v>-11914.22</v>
      </c>
      <c r="F1270" s="26" t="s">
        <v>2881</v>
      </c>
      <c r="G1270" s="26" t="s">
        <v>8</v>
      </c>
      <c r="H1270" s="26" t="s">
        <v>2882</v>
      </c>
      <c r="I1270" s="26" t="s">
        <v>106</v>
      </c>
      <c r="J1270" s="26">
        <v>0</v>
      </c>
      <c r="K1270" s="8" t="str">
        <f t="shared" si="19"/>
        <v>PAYMASTER</v>
      </c>
    </row>
    <row r="1271" spans="1:11" x14ac:dyDescent="0.25">
      <c r="A1271" s="26" t="s">
        <v>144</v>
      </c>
      <c r="B1271" s="26" t="s">
        <v>111</v>
      </c>
      <c r="C1271" s="26">
        <v>0</v>
      </c>
      <c r="D1271" s="27">
        <v>43280</v>
      </c>
      <c r="E1271" s="26">
        <v>-11914.22</v>
      </c>
      <c r="F1271" s="26" t="s">
        <v>2883</v>
      </c>
      <c r="G1271" s="26" t="s">
        <v>8</v>
      </c>
      <c r="H1271" s="26" t="s">
        <v>2884</v>
      </c>
      <c r="I1271" s="26" t="s">
        <v>106</v>
      </c>
      <c r="J1271" s="26">
        <v>0</v>
      </c>
      <c r="K1271" s="8" t="str">
        <f t="shared" si="19"/>
        <v>PAYMASTER</v>
      </c>
    </row>
    <row r="1272" spans="1:11" x14ac:dyDescent="0.25">
      <c r="A1272" s="26" t="s">
        <v>144</v>
      </c>
      <c r="B1272" s="26" t="s">
        <v>111</v>
      </c>
      <c r="C1272" s="26">
        <v>0</v>
      </c>
      <c r="D1272" s="27">
        <v>43280</v>
      </c>
      <c r="E1272" s="26">
        <v>-11914.22</v>
      </c>
      <c r="F1272" s="26" t="s">
        <v>2885</v>
      </c>
      <c r="G1272" s="26" t="s">
        <v>8</v>
      </c>
      <c r="H1272" s="26" t="s">
        <v>2886</v>
      </c>
      <c r="I1272" s="26" t="s">
        <v>106</v>
      </c>
      <c r="J1272" s="26">
        <v>0</v>
      </c>
      <c r="K1272" s="8" t="str">
        <f t="shared" si="19"/>
        <v>PAYMASTER</v>
      </c>
    </row>
    <row r="1273" spans="1:11" x14ac:dyDescent="0.25">
      <c r="A1273" s="26" t="s">
        <v>144</v>
      </c>
      <c r="B1273" s="26" t="s">
        <v>111</v>
      </c>
      <c r="C1273" s="26">
        <v>0</v>
      </c>
      <c r="D1273" s="27">
        <v>43280</v>
      </c>
      <c r="E1273" s="26">
        <v>-11914.22</v>
      </c>
      <c r="F1273" s="26" t="s">
        <v>2887</v>
      </c>
      <c r="G1273" s="26" t="s">
        <v>8</v>
      </c>
      <c r="H1273" s="26" t="s">
        <v>2888</v>
      </c>
      <c r="I1273" s="26" t="s">
        <v>106</v>
      </c>
      <c r="J1273" s="26">
        <v>0</v>
      </c>
      <c r="K1273" s="8" t="str">
        <f t="shared" si="19"/>
        <v>PAYMASTER</v>
      </c>
    </row>
    <row r="1274" spans="1:11" x14ac:dyDescent="0.25">
      <c r="A1274" s="26" t="s">
        <v>144</v>
      </c>
      <c r="B1274" s="26" t="s">
        <v>111</v>
      </c>
      <c r="C1274" s="26">
        <v>0</v>
      </c>
      <c r="D1274" s="27">
        <v>43283</v>
      </c>
      <c r="E1274" s="26">
        <v>-11914.22</v>
      </c>
      <c r="F1274" s="26" t="s">
        <v>2889</v>
      </c>
      <c r="G1274" s="26" t="s">
        <v>8</v>
      </c>
      <c r="H1274" s="26" t="s">
        <v>2890</v>
      </c>
      <c r="I1274" s="26" t="s">
        <v>106</v>
      </c>
      <c r="J1274" s="26">
        <v>0</v>
      </c>
      <c r="K1274" s="8" t="str">
        <f t="shared" si="19"/>
        <v>PAYMASTER</v>
      </c>
    </row>
    <row r="1275" spans="1:11" x14ac:dyDescent="0.25">
      <c r="A1275" s="26" t="s">
        <v>144</v>
      </c>
      <c r="B1275" s="26" t="s">
        <v>111</v>
      </c>
      <c r="C1275" s="26">
        <v>0</v>
      </c>
      <c r="D1275" s="27">
        <v>43286</v>
      </c>
      <c r="E1275" s="26">
        <v>-11914.22</v>
      </c>
      <c r="F1275" s="26" t="s">
        <v>2891</v>
      </c>
      <c r="G1275" s="26" t="s">
        <v>8</v>
      </c>
      <c r="H1275" s="26" t="s">
        <v>2892</v>
      </c>
      <c r="I1275" s="26" t="s">
        <v>106</v>
      </c>
      <c r="J1275" s="26">
        <v>0</v>
      </c>
      <c r="K1275" s="8" t="str">
        <f t="shared" si="19"/>
        <v>PAYMASTER</v>
      </c>
    </row>
    <row r="1276" spans="1:11" x14ac:dyDescent="0.25">
      <c r="A1276" s="26" t="s">
        <v>144</v>
      </c>
      <c r="B1276" s="26" t="s">
        <v>111</v>
      </c>
      <c r="C1276" s="26">
        <v>0</v>
      </c>
      <c r="D1276" s="27">
        <v>43287</v>
      </c>
      <c r="E1276" s="26">
        <v>-11914.22</v>
      </c>
      <c r="F1276" s="26" t="s">
        <v>2893</v>
      </c>
      <c r="G1276" s="26" t="s">
        <v>8</v>
      </c>
      <c r="H1276" s="26" t="s">
        <v>2894</v>
      </c>
      <c r="I1276" s="26" t="s">
        <v>106</v>
      </c>
      <c r="J1276" s="26">
        <v>0</v>
      </c>
      <c r="K1276" s="8" t="str">
        <f t="shared" si="19"/>
        <v>PAYMASTER</v>
      </c>
    </row>
    <row r="1277" spans="1:11" x14ac:dyDescent="0.25">
      <c r="A1277" s="26" t="s">
        <v>144</v>
      </c>
      <c r="B1277" s="26" t="s">
        <v>111</v>
      </c>
      <c r="C1277" s="26">
        <v>0</v>
      </c>
      <c r="D1277" s="27">
        <v>43287</v>
      </c>
      <c r="E1277" s="26">
        <v>-11914.22</v>
      </c>
      <c r="F1277" s="26" t="s">
        <v>2895</v>
      </c>
      <c r="G1277" s="26" t="s">
        <v>8</v>
      </c>
      <c r="H1277" s="26" t="s">
        <v>2896</v>
      </c>
      <c r="I1277" s="26" t="s">
        <v>106</v>
      </c>
      <c r="J1277" s="26">
        <v>0</v>
      </c>
      <c r="K1277" s="8" t="str">
        <f t="shared" si="19"/>
        <v>PAYMASTER</v>
      </c>
    </row>
    <row r="1278" spans="1:11" x14ac:dyDescent="0.25">
      <c r="A1278" s="26" t="s">
        <v>144</v>
      </c>
      <c r="B1278" s="26" t="s">
        <v>111</v>
      </c>
      <c r="C1278" s="26">
        <v>0</v>
      </c>
      <c r="D1278" s="27">
        <v>43287</v>
      </c>
      <c r="E1278" s="26">
        <v>-11914.22</v>
      </c>
      <c r="F1278" s="26" t="s">
        <v>2897</v>
      </c>
      <c r="G1278" s="26" t="s">
        <v>8</v>
      </c>
      <c r="H1278" s="26" t="s">
        <v>2898</v>
      </c>
      <c r="I1278" s="26" t="s">
        <v>106</v>
      </c>
      <c r="J1278" s="26">
        <v>0</v>
      </c>
      <c r="K1278" s="8" t="str">
        <f t="shared" si="19"/>
        <v>PAYMASTER</v>
      </c>
    </row>
    <row r="1279" spans="1:11" x14ac:dyDescent="0.25">
      <c r="A1279" s="26" t="s">
        <v>144</v>
      </c>
      <c r="B1279" s="26" t="s">
        <v>111</v>
      </c>
      <c r="C1279" s="26">
        <v>0</v>
      </c>
      <c r="D1279" s="27">
        <v>43290</v>
      </c>
      <c r="E1279" s="26">
        <v>-11914.22</v>
      </c>
      <c r="F1279" s="26" t="s">
        <v>2899</v>
      </c>
      <c r="G1279" s="26" t="s">
        <v>8</v>
      </c>
      <c r="H1279" s="26" t="s">
        <v>2900</v>
      </c>
      <c r="I1279" s="26" t="s">
        <v>106</v>
      </c>
      <c r="J1279" s="26">
        <v>0</v>
      </c>
      <c r="K1279" s="8" t="str">
        <f t="shared" si="19"/>
        <v>PAYMASTER</v>
      </c>
    </row>
    <row r="1280" spans="1:11" x14ac:dyDescent="0.25">
      <c r="A1280" s="26" t="s">
        <v>144</v>
      </c>
      <c r="B1280" s="26" t="s">
        <v>111</v>
      </c>
      <c r="C1280" s="26">
        <v>0</v>
      </c>
      <c r="D1280" s="27">
        <v>43293</v>
      </c>
      <c r="E1280" s="26">
        <v>-11914.22</v>
      </c>
      <c r="F1280" s="26" t="s">
        <v>2901</v>
      </c>
      <c r="G1280" s="26" t="s">
        <v>8</v>
      </c>
      <c r="H1280" s="26" t="s">
        <v>2902</v>
      </c>
      <c r="I1280" s="26" t="s">
        <v>106</v>
      </c>
      <c r="J1280" s="26">
        <v>0</v>
      </c>
      <c r="K1280" s="8" t="str">
        <f t="shared" si="19"/>
        <v>PAYMASTER</v>
      </c>
    </row>
    <row r="1281" spans="1:11" x14ac:dyDescent="0.25">
      <c r="A1281" s="26" t="s">
        <v>144</v>
      </c>
      <c r="B1281" s="26" t="s">
        <v>111</v>
      </c>
      <c r="C1281" s="26">
        <v>0</v>
      </c>
      <c r="D1281" s="27">
        <v>43294</v>
      </c>
      <c r="E1281" s="26">
        <v>-11914.22</v>
      </c>
      <c r="F1281" s="26" t="s">
        <v>2903</v>
      </c>
      <c r="G1281" s="26" t="s">
        <v>8</v>
      </c>
      <c r="H1281" s="26" t="s">
        <v>2904</v>
      </c>
      <c r="I1281" s="26" t="s">
        <v>106</v>
      </c>
      <c r="J1281" s="26">
        <v>0</v>
      </c>
      <c r="K1281" s="8" t="str">
        <f t="shared" si="19"/>
        <v>PAYMASTER</v>
      </c>
    </row>
    <row r="1282" spans="1:11" x14ac:dyDescent="0.25">
      <c r="A1282" s="26" t="s">
        <v>144</v>
      </c>
      <c r="B1282" s="26" t="s">
        <v>111</v>
      </c>
      <c r="C1282" s="26">
        <v>0</v>
      </c>
      <c r="D1282" s="27">
        <v>43294</v>
      </c>
      <c r="E1282" s="26">
        <v>-15885.62</v>
      </c>
      <c r="F1282" s="26" t="s">
        <v>2905</v>
      </c>
      <c r="G1282" s="26" t="s">
        <v>8</v>
      </c>
      <c r="H1282" s="26" t="s">
        <v>2906</v>
      </c>
      <c r="I1282" s="26" t="s">
        <v>106</v>
      </c>
      <c r="J1282" s="26">
        <v>0</v>
      </c>
      <c r="K1282" s="8" t="str">
        <f t="shared" si="19"/>
        <v>PAYMASTER</v>
      </c>
    </row>
    <row r="1283" spans="1:11" x14ac:dyDescent="0.25">
      <c r="A1283" s="26" t="s">
        <v>144</v>
      </c>
      <c r="B1283" s="26" t="s">
        <v>111</v>
      </c>
      <c r="C1283" s="26">
        <v>0</v>
      </c>
      <c r="D1283" s="27">
        <v>43294</v>
      </c>
      <c r="E1283" s="26">
        <v>-19857.03</v>
      </c>
      <c r="F1283" s="26" t="s">
        <v>2907</v>
      </c>
      <c r="G1283" s="26" t="s">
        <v>8</v>
      </c>
      <c r="H1283" s="26" t="s">
        <v>2908</v>
      </c>
      <c r="I1283" s="26" t="s">
        <v>106</v>
      </c>
      <c r="J1283" s="26">
        <v>0</v>
      </c>
      <c r="K1283" s="8" t="str">
        <f t="shared" ref="K1283:K1346" si="20">LEFT(A1283,FIND("/",A1283)-1)</f>
        <v>PAYMASTER</v>
      </c>
    </row>
    <row r="1284" spans="1:11" x14ac:dyDescent="0.25">
      <c r="A1284" s="26" t="s">
        <v>144</v>
      </c>
      <c r="B1284" s="26" t="s">
        <v>111</v>
      </c>
      <c r="C1284" s="26">
        <v>0</v>
      </c>
      <c r="D1284" s="27">
        <v>43297</v>
      </c>
      <c r="E1284" s="26">
        <v>-11914.22</v>
      </c>
      <c r="F1284" s="26" t="s">
        <v>2909</v>
      </c>
      <c r="G1284" s="26" t="s">
        <v>8</v>
      </c>
      <c r="H1284" s="26" t="s">
        <v>2910</v>
      </c>
      <c r="I1284" s="26" t="s">
        <v>106</v>
      </c>
      <c r="J1284" s="26">
        <v>0</v>
      </c>
      <c r="K1284" s="8" t="str">
        <f t="shared" si="20"/>
        <v>PAYMASTER</v>
      </c>
    </row>
    <row r="1285" spans="1:11" x14ac:dyDescent="0.25">
      <c r="A1285" s="26" t="s">
        <v>144</v>
      </c>
      <c r="B1285" s="26" t="s">
        <v>111</v>
      </c>
      <c r="C1285" s="26">
        <v>0</v>
      </c>
      <c r="D1285" s="27">
        <v>43300</v>
      </c>
      <c r="E1285" s="26">
        <v>-11914.22</v>
      </c>
      <c r="F1285" s="26" t="s">
        <v>2911</v>
      </c>
      <c r="G1285" s="26" t="s">
        <v>8</v>
      </c>
      <c r="H1285" s="26" t="s">
        <v>2912</v>
      </c>
      <c r="I1285" s="26" t="s">
        <v>106</v>
      </c>
      <c r="J1285" s="26">
        <v>0</v>
      </c>
      <c r="K1285" s="8" t="str">
        <f t="shared" si="20"/>
        <v>PAYMASTER</v>
      </c>
    </row>
    <row r="1286" spans="1:11" x14ac:dyDescent="0.25">
      <c r="A1286" s="26" t="s">
        <v>144</v>
      </c>
      <c r="B1286" s="26" t="s">
        <v>111</v>
      </c>
      <c r="C1286" s="26">
        <v>0</v>
      </c>
      <c r="D1286" s="27">
        <v>43301</v>
      </c>
      <c r="E1286" s="26">
        <v>-11914.22</v>
      </c>
      <c r="F1286" s="26" t="s">
        <v>2913</v>
      </c>
      <c r="G1286" s="26" t="s">
        <v>8</v>
      </c>
      <c r="H1286" s="26" t="s">
        <v>2914</v>
      </c>
      <c r="I1286" s="26" t="s">
        <v>106</v>
      </c>
      <c r="J1286" s="26">
        <v>0</v>
      </c>
      <c r="K1286" s="8" t="str">
        <f t="shared" si="20"/>
        <v>PAYMASTER</v>
      </c>
    </row>
    <row r="1287" spans="1:11" x14ac:dyDescent="0.25">
      <c r="A1287" s="26" t="s">
        <v>144</v>
      </c>
      <c r="B1287" s="26" t="s">
        <v>111</v>
      </c>
      <c r="C1287" s="26">
        <v>0</v>
      </c>
      <c r="D1287" s="27">
        <v>43301</v>
      </c>
      <c r="E1287" s="26">
        <v>-11914.22</v>
      </c>
      <c r="F1287" s="26" t="s">
        <v>2915</v>
      </c>
      <c r="G1287" s="26" t="s">
        <v>8</v>
      </c>
      <c r="H1287" s="26" t="s">
        <v>2916</v>
      </c>
      <c r="I1287" s="26" t="s">
        <v>106</v>
      </c>
      <c r="J1287" s="26">
        <v>0</v>
      </c>
      <c r="K1287" s="8" t="str">
        <f t="shared" si="20"/>
        <v>PAYMASTER</v>
      </c>
    </row>
    <row r="1288" spans="1:11" x14ac:dyDescent="0.25">
      <c r="A1288" s="26" t="s">
        <v>144</v>
      </c>
      <c r="B1288" s="26" t="s">
        <v>111</v>
      </c>
      <c r="C1288" s="26">
        <v>0</v>
      </c>
      <c r="D1288" s="27">
        <v>43301</v>
      </c>
      <c r="E1288" s="26">
        <v>-19857.03</v>
      </c>
      <c r="F1288" s="26" t="s">
        <v>2917</v>
      </c>
      <c r="G1288" s="26" t="s">
        <v>8</v>
      </c>
      <c r="H1288" s="26" t="s">
        <v>2918</v>
      </c>
      <c r="I1288" s="26" t="s">
        <v>106</v>
      </c>
      <c r="J1288" s="26">
        <v>0</v>
      </c>
      <c r="K1288" s="8" t="str">
        <f t="shared" si="20"/>
        <v>PAYMASTER</v>
      </c>
    </row>
    <row r="1289" spans="1:11" x14ac:dyDescent="0.25">
      <c r="A1289" s="26" t="s">
        <v>144</v>
      </c>
      <c r="B1289" s="26" t="s">
        <v>111</v>
      </c>
      <c r="C1289" s="26">
        <v>0</v>
      </c>
      <c r="D1289" s="27">
        <v>43304</v>
      </c>
      <c r="E1289" s="26">
        <v>-19857.03</v>
      </c>
      <c r="F1289" s="26" t="s">
        <v>2919</v>
      </c>
      <c r="G1289" s="26" t="s">
        <v>8</v>
      </c>
      <c r="H1289" s="26" t="s">
        <v>2920</v>
      </c>
      <c r="I1289" s="26" t="s">
        <v>106</v>
      </c>
      <c r="J1289" s="26">
        <v>0</v>
      </c>
      <c r="K1289" s="8" t="str">
        <f t="shared" si="20"/>
        <v>PAYMASTER</v>
      </c>
    </row>
    <row r="1290" spans="1:11" x14ac:dyDescent="0.25">
      <c r="A1290" s="26" t="s">
        <v>144</v>
      </c>
      <c r="B1290" s="26" t="s">
        <v>111</v>
      </c>
      <c r="C1290" s="26">
        <v>0</v>
      </c>
      <c r="D1290" s="27">
        <v>43307</v>
      </c>
      <c r="E1290" s="26">
        <v>-9531.3700000000008</v>
      </c>
      <c r="F1290" s="26" t="s">
        <v>2921</v>
      </c>
      <c r="G1290" s="26" t="s">
        <v>8</v>
      </c>
      <c r="H1290" s="26" t="s">
        <v>2922</v>
      </c>
      <c r="I1290" s="26" t="s">
        <v>106</v>
      </c>
      <c r="J1290" s="26">
        <v>0</v>
      </c>
      <c r="K1290" s="8" t="str">
        <f t="shared" si="20"/>
        <v>PAYMASTER</v>
      </c>
    </row>
    <row r="1291" spans="1:11" x14ac:dyDescent="0.25">
      <c r="A1291" s="26" t="s">
        <v>144</v>
      </c>
      <c r="B1291" s="26" t="s">
        <v>111</v>
      </c>
      <c r="C1291" s="26">
        <v>0</v>
      </c>
      <c r="D1291" s="27">
        <v>43308</v>
      </c>
      <c r="E1291" s="26">
        <v>-11914.22</v>
      </c>
      <c r="F1291" s="26" t="s">
        <v>2923</v>
      </c>
      <c r="G1291" s="26" t="s">
        <v>8</v>
      </c>
      <c r="H1291" s="26" t="s">
        <v>2924</v>
      </c>
      <c r="I1291" s="26" t="s">
        <v>106</v>
      </c>
      <c r="J1291" s="26">
        <v>0</v>
      </c>
      <c r="K1291" s="8" t="str">
        <f t="shared" si="20"/>
        <v>PAYMASTER</v>
      </c>
    </row>
    <row r="1292" spans="1:11" x14ac:dyDescent="0.25">
      <c r="A1292" s="26" t="s">
        <v>144</v>
      </c>
      <c r="B1292" s="26" t="s">
        <v>111</v>
      </c>
      <c r="C1292" s="26">
        <v>0</v>
      </c>
      <c r="D1292" s="27">
        <v>43308</v>
      </c>
      <c r="E1292" s="26">
        <v>-11914.22</v>
      </c>
      <c r="F1292" s="26" t="s">
        <v>2925</v>
      </c>
      <c r="G1292" s="26" t="s">
        <v>8</v>
      </c>
      <c r="H1292" s="26" t="s">
        <v>2926</v>
      </c>
      <c r="I1292" s="26" t="s">
        <v>106</v>
      </c>
      <c r="J1292" s="26">
        <v>0</v>
      </c>
      <c r="K1292" s="8" t="str">
        <f t="shared" si="20"/>
        <v>PAYMASTER</v>
      </c>
    </row>
    <row r="1293" spans="1:11" x14ac:dyDescent="0.25">
      <c r="A1293" s="26" t="s">
        <v>144</v>
      </c>
      <c r="B1293" s="26" t="s">
        <v>111</v>
      </c>
      <c r="C1293" s="26">
        <v>0</v>
      </c>
      <c r="D1293" s="27">
        <v>43308</v>
      </c>
      <c r="E1293" s="26">
        <v>-15885.62</v>
      </c>
      <c r="F1293" s="26" t="s">
        <v>2927</v>
      </c>
      <c r="G1293" s="26" t="s">
        <v>8</v>
      </c>
      <c r="H1293" s="26" t="s">
        <v>2928</v>
      </c>
      <c r="I1293" s="26" t="s">
        <v>106</v>
      </c>
      <c r="J1293" s="26">
        <v>0</v>
      </c>
      <c r="K1293" s="8" t="str">
        <f t="shared" si="20"/>
        <v>PAYMASTER</v>
      </c>
    </row>
    <row r="1294" spans="1:11" x14ac:dyDescent="0.25">
      <c r="A1294" s="26" t="s">
        <v>144</v>
      </c>
      <c r="B1294" s="26" t="s">
        <v>111</v>
      </c>
      <c r="C1294" s="26">
        <v>0</v>
      </c>
      <c r="D1294" s="27">
        <v>43311</v>
      </c>
      <c r="E1294" s="26">
        <v>-15885.62</v>
      </c>
      <c r="F1294" s="26" t="s">
        <v>2929</v>
      </c>
      <c r="G1294" s="26" t="s">
        <v>8</v>
      </c>
      <c r="H1294" s="26" t="s">
        <v>2930</v>
      </c>
      <c r="I1294" s="26" t="s">
        <v>106</v>
      </c>
      <c r="J1294" s="26">
        <v>0</v>
      </c>
      <c r="K1294" s="8" t="str">
        <f t="shared" si="20"/>
        <v>PAYMASTER</v>
      </c>
    </row>
    <row r="1295" spans="1:11" x14ac:dyDescent="0.25">
      <c r="A1295" s="26" t="s">
        <v>144</v>
      </c>
      <c r="B1295" s="26" t="s">
        <v>111</v>
      </c>
      <c r="C1295" s="26">
        <v>0</v>
      </c>
      <c r="D1295" s="27">
        <v>43314</v>
      </c>
      <c r="E1295" s="26">
        <v>-15885.62</v>
      </c>
      <c r="F1295" s="26" t="s">
        <v>2931</v>
      </c>
      <c r="G1295" s="26" t="s">
        <v>8</v>
      </c>
      <c r="H1295" s="26" t="s">
        <v>2932</v>
      </c>
      <c r="I1295" s="26" t="s">
        <v>106</v>
      </c>
      <c r="J1295" s="26">
        <v>0</v>
      </c>
      <c r="K1295" s="8" t="str">
        <f t="shared" si="20"/>
        <v>PAYMASTER</v>
      </c>
    </row>
    <row r="1296" spans="1:11" x14ac:dyDescent="0.25">
      <c r="A1296" s="26" t="s">
        <v>144</v>
      </c>
      <c r="B1296" s="26" t="s">
        <v>111</v>
      </c>
      <c r="C1296" s="26">
        <v>0</v>
      </c>
      <c r="D1296" s="27">
        <v>43315</v>
      </c>
      <c r="E1296" s="26">
        <v>-15885.62</v>
      </c>
      <c r="F1296" s="26" t="s">
        <v>2933</v>
      </c>
      <c r="G1296" s="26" t="s">
        <v>8</v>
      </c>
      <c r="H1296" s="26" t="s">
        <v>2934</v>
      </c>
      <c r="I1296" s="26" t="s">
        <v>106</v>
      </c>
      <c r="J1296" s="26">
        <v>0</v>
      </c>
      <c r="K1296" s="8" t="str">
        <f t="shared" si="20"/>
        <v>PAYMASTER</v>
      </c>
    </row>
    <row r="1297" spans="1:11" x14ac:dyDescent="0.25">
      <c r="A1297" s="26" t="s">
        <v>144</v>
      </c>
      <c r="B1297" s="26" t="s">
        <v>111</v>
      </c>
      <c r="C1297" s="26">
        <v>0</v>
      </c>
      <c r="D1297" s="27">
        <v>43315</v>
      </c>
      <c r="E1297" s="26">
        <v>-15885.62</v>
      </c>
      <c r="F1297" s="26" t="s">
        <v>2935</v>
      </c>
      <c r="G1297" s="26" t="s">
        <v>8</v>
      </c>
      <c r="H1297" s="26" t="s">
        <v>2936</v>
      </c>
      <c r="I1297" s="26" t="s">
        <v>106</v>
      </c>
      <c r="J1297" s="26">
        <v>0</v>
      </c>
      <c r="K1297" s="8" t="str">
        <f t="shared" si="20"/>
        <v>PAYMASTER</v>
      </c>
    </row>
    <row r="1298" spans="1:11" x14ac:dyDescent="0.25">
      <c r="A1298" s="26" t="s">
        <v>144</v>
      </c>
      <c r="B1298" s="26" t="s">
        <v>111</v>
      </c>
      <c r="C1298" s="26">
        <v>0</v>
      </c>
      <c r="D1298" s="27">
        <v>43315</v>
      </c>
      <c r="E1298" s="26">
        <v>-15885.62</v>
      </c>
      <c r="F1298" s="26" t="s">
        <v>2937</v>
      </c>
      <c r="G1298" s="26" t="s">
        <v>8</v>
      </c>
      <c r="H1298" s="26" t="s">
        <v>2938</v>
      </c>
      <c r="I1298" s="26" t="s">
        <v>106</v>
      </c>
      <c r="J1298" s="26">
        <v>0</v>
      </c>
      <c r="K1298" s="8" t="str">
        <f t="shared" si="20"/>
        <v>PAYMASTER</v>
      </c>
    </row>
    <row r="1299" spans="1:11" x14ac:dyDescent="0.25">
      <c r="A1299" s="26" t="s">
        <v>144</v>
      </c>
      <c r="B1299" s="26" t="s">
        <v>111</v>
      </c>
      <c r="C1299" s="26">
        <v>0</v>
      </c>
      <c r="D1299" s="27">
        <v>43318</v>
      </c>
      <c r="E1299" s="26">
        <v>-15885.62</v>
      </c>
      <c r="F1299" s="26" t="s">
        <v>2939</v>
      </c>
      <c r="G1299" s="26" t="s">
        <v>8</v>
      </c>
      <c r="H1299" s="26" t="s">
        <v>2940</v>
      </c>
      <c r="I1299" s="26" t="s">
        <v>106</v>
      </c>
      <c r="J1299" s="26">
        <v>0</v>
      </c>
      <c r="K1299" s="8" t="str">
        <f t="shared" si="20"/>
        <v>PAYMASTER</v>
      </c>
    </row>
    <row r="1300" spans="1:11" x14ac:dyDescent="0.25">
      <c r="A1300" s="26" t="s">
        <v>144</v>
      </c>
      <c r="B1300" s="26" t="s">
        <v>111</v>
      </c>
      <c r="C1300" s="26">
        <v>0</v>
      </c>
      <c r="D1300" s="27">
        <v>43321</v>
      </c>
      <c r="E1300" s="26">
        <v>-15885.62</v>
      </c>
      <c r="F1300" s="26" t="s">
        <v>2941</v>
      </c>
      <c r="G1300" s="26" t="s">
        <v>8</v>
      </c>
      <c r="H1300" s="26" t="s">
        <v>2942</v>
      </c>
      <c r="I1300" s="26" t="s">
        <v>106</v>
      </c>
      <c r="J1300" s="26">
        <v>0</v>
      </c>
      <c r="K1300" s="8" t="str">
        <f t="shared" si="20"/>
        <v>PAYMASTER</v>
      </c>
    </row>
    <row r="1301" spans="1:11" x14ac:dyDescent="0.25">
      <c r="A1301" s="26" t="s">
        <v>144</v>
      </c>
      <c r="B1301" s="26" t="s">
        <v>111</v>
      </c>
      <c r="C1301" s="26">
        <v>0</v>
      </c>
      <c r="D1301" s="27">
        <v>43322</v>
      </c>
      <c r="E1301" s="26">
        <v>-15885.62</v>
      </c>
      <c r="F1301" s="26" t="s">
        <v>2943</v>
      </c>
      <c r="G1301" s="26" t="s">
        <v>8</v>
      </c>
      <c r="H1301" s="26" t="s">
        <v>2944</v>
      </c>
      <c r="I1301" s="26" t="s">
        <v>106</v>
      </c>
      <c r="J1301" s="26">
        <v>0</v>
      </c>
      <c r="K1301" s="8" t="str">
        <f t="shared" si="20"/>
        <v>PAYMASTER</v>
      </c>
    </row>
    <row r="1302" spans="1:11" x14ac:dyDescent="0.25">
      <c r="A1302" s="26" t="s">
        <v>144</v>
      </c>
      <c r="B1302" s="26" t="s">
        <v>111</v>
      </c>
      <c r="C1302" s="26">
        <v>0</v>
      </c>
      <c r="D1302" s="27">
        <v>43322</v>
      </c>
      <c r="E1302" s="26">
        <v>-15885.62</v>
      </c>
      <c r="F1302" s="26" t="s">
        <v>2945</v>
      </c>
      <c r="G1302" s="26" t="s">
        <v>8</v>
      </c>
      <c r="H1302" s="26" t="s">
        <v>2946</v>
      </c>
      <c r="I1302" s="26" t="s">
        <v>106</v>
      </c>
      <c r="J1302" s="26">
        <v>0</v>
      </c>
      <c r="K1302" s="8" t="str">
        <f t="shared" si="20"/>
        <v>PAYMASTER</v>
      </c>
    </row>
    <row r="1303" spans="1:11" x14ac:dyDescent="0.25">
      <c r="A1303" s="26" t="s">
        <v>144</v>
      </c>
      <c r="B1303" s="26" t="s">
        <v>111</v>
      </c>
      <c r="C1303" s="26">
        <v>0</v>
      </c>
      <c r="D1303" s="27">
        <v>43322</v>
      </c>
      <c r="E1303" s="26">
        <v>-15885.62</v>
      </c>
      <c r="F1303" s="26" t="s">
        <v>2947</v>
      </c>
      <c r="G1303" s="26" t="s">
        <v>8</v>
      </c>
      <c r="H1303" s="26" t="s">
        <v>2948</v>
      </c>
      <c r="I1303" s="26" t="s">
        <v>106</v>
      </c>
      <c r="J1303" s="26">
        <v>0</v>
      </c>
      <c r="K1303" s="8" t="str">
        <f t="shared" si="20"/>
        <v>PAYMASTER</v>
      </c>
    </row>
    <row r="1304" spans="1:11" x14ac:dyDescent="0.25">
      <c r="A1304" s="26" t="s">
        <v>144</v>
      </c>
      <c r="B1304" s="26" t="s">
        <v>111</v>
      </c>
      <c r="C1304" s="26">
        <v>0</v>
      </c>
      <c r="D1304" s="27">
        <v>43325</v>
      </c>
      <c r="E1304" s="26">
        <v>-15885.62</v>
      </c>
      <c r="F1304" s="26" t="s">
        <v>2949</v>
      </c>
      <c r="G1304" s="26" t="s">
        <v>8</v>
      </c>
      <c r="H1304" s="26" t="s">
        <v>2950</v>
      </c>
      <c r="I1304" s="26" t="s">
        <v>106</v>
      </c>
      <c r="J1304" s="26">
        <v>0</v>
      </c>
      <c r="K1304" s="8" t="str">
        <f t="shared" si="20"/>
        <v>PAYMASTER</v>
      </c>
    </row>
    <row r="1305" spans="1:11" x14ac:dyDescent="0.25">
      <c r="A1305" s="26" t="s">
        <v>144</v>
      </c>
      <c r="B1305" s="26" t="s">
        <v>111</v>
      </c>
      <c r="C1305" s="26">
        <v>0</v>
      </c>
      <c r="D1305" s="27">
        <v>43328</v>
      </c>
      <c r="E1305" s="26">
        <v>-15885.62</v>
      </c>
      <c r="F1305" s="26" t="s">
        <v>2951</v>
      </c>
      <c r="G1305" s="26" t="s">
        <v>8</v>
      </c>
      <c r="H1305" s="26" t="s">
        <v>2952</v>
      </c>
      <c r="I1305" s="26" t="s">
        <v>106</v>
      </c>
      <c r="J1305" s="26">
        <v>0</v>
      </c>
      <c r="K1305" s="8" t="str">
        <f t="shared" si="20"/>
        <v>PAYMASTER</v>
      </c>
    </row>
    <row r="1306" spans="1:11" x14ac:dyDescent="0.25">
      <c r="A1306" s="26" t="s">
        <v>144</v>
      </c>
      <c r="B1306" s="26" t="s">
        <v>111</v>
      </c>
      <c r="C1306" s="26">
        <v>0</v>
      </c>
      <c r="D1306" s="27">
        <v>43329</v>
      </c>
      <c r="E1306" s="26">
        <v>-15885.62</v>
      </c>
      <c r="F1306" s="26" t="s">
        <v>2953</v>
      </c>
      <c r="G1306" s="26" t="s">
        <v>8</v>
      </c>
      <c r="H1306" s="26" t="s">
        <v>2954</v>
      </c>
      <c r="I1306" s="26" t="s">
        <v>106</v>
      </c>
      <c r="J1306" s="26">
        <v>0</v>
      </c>
      <c r="K1306" s="8" t="str">
        <f t="shared" si="20"/>
        <v>PAYMASTER</v>
      </c>
    </row>
    <row r="1307" spans="1:11" x14ac:dyDescent="0.25">
      <c r="A1307" s="26" t="s">
        <v>144</v>
      </c>
      <c r="B1307" s="26" t="s">
        <v>111</v>
      </c>
      <c r="C1307" s="26">
        <v>0</v>
      </c>
      <c r="D1307" s="27">
        <v>43329</v>
      </c>
      <c r="E1307" s="26">
        <v>-15885.62</v>
      </c>
      <c r="F1307" s="26" t="s">
        <v>2955</v>
      </c>
      <c r="G1307" s="26" t="s">
        <v>8</v>
      </c>
      <c r="H1307" s="26" t="s">
        <v>2956</v>
      </c>
      <c r="I1307" s="26" t="s">
        <v>106</v>
      </c>
      <c r="J1307" s="26">
        <v>0</v>
      </c>
      <c r="K1307" s="8" t="str">
        <f t="shared" si="20"/>
        <v>PAYMASTER</v>
      </c>
    </row>
    <row r="1308" spans="1:11" x14ac:dyDescent="0.25">
      <c r="A1308" s="26" t="s">
        <v>144</v>
      </c>
      <c r="B1308" s="26" t="s">
        <v>111</v>
      </c>
      <c r="C1308" s="26">
        <v>0</v>
      </c>
      <c r="D1308" s="27">
        <v>43329</v>
      </c>
      <c r="E1308" s="26">
        <v>-15885.62</v>
      </c>
      <c r="F1308" s="26" t="s">
        <v>2957</v>
      </c>
      <c r="G1308" s="26" t="s">
        <v>8</v>
      </c>
      <c r="H1308" s="26" t="s">
        <v>2958</v>
      </c>
      <c r="I1308" s="26" t="s">
        <v>106</v>
      </c>
      <c r="J1308" s="26">
        <v>0</v>
      </c>
      <c r="K1308" s="8" t="str">
        <f t="shared" si="20"/>
        <v>PAYMASTER</v>
      </c>
    </row>
    <row r="1309" spans="1:11" x14ac:dyDescent="0.25">
      <c r="A1309" s="26" t="s">
        <v>144</v>
      </c>
      <c r="B1309" s="26" t="s">
        <v>111</v>
      </c>
      <c r="C1309" s="26">
        <v>0</v>
      </c>
      <c r="D1309" s="27">
        <v>43336</v>
      </c>
      <c r="E1309" s="26">
        <v>-15885.62</v>
      </c>
      <c r="F1309" s="26" t="s">
        <v>2959</v>
      </c>
      <c r="G1309" s="26" t="s">
        <v>8</v>
      </c>
      <c r="H1309" s="26" t="s">
        <v>2960</v>
      </c>
      <c r="I1309" s="26" t="s">
        <v>106</v>
      </c>
      <c r="J1309" s="26">
        <v>0</v>
      </c>
      <c r="K1309" s="8" t="str">
        <f t="shared" si="20"/>
        <v>PAYMASTER</v>
      </c>
    </row>
    <row r="1310" spans="1:11" x14ac:dyDescent="0.25">
      <c r="A1310" s="26" t="s">
        <v>144</v>
      </c>
      <c r="B1310" s="26" t="s">
        <v>111</v>
      </c>
      <c r="C1310" s="26">
        <v>0</v>
      </c>
      <c r="D1310" s="27">
        <v>43336</v>
      </c>
      <c r="E1310" s="26">
        <v>-15885.62</v>
      </c>
      <c r="F1310" s="26" t="s">
        <v>2961</v>
      </c>
      <c r="G1310" s="26" t="s">
        <v>8</v>
      </c>
      <c r="H1310" s="26" t="s">
        <v>2962</v>
      </c>
      <c r="I1310" s="26" t="s">
        <v>106</v>
      </c>
      <c r="J1310" s="26">
        <v>0</v>
      </c>
      <c r="K1310" s="8" t="str">
        <f t="shared" si="20"/>
        <v>PAYMASTER</v>
      </c>
    </row>
    <row r="1311" spans="1:11" x14ac:dyDescent="0.25">
      <c r="A1311" s="26" t="s">
        <v>144</v>
      </c>
      <c r="B1311" s="26" t="s">
        <v>111</v>
      </c>
      <c r="C1311" s="26">
        <v>0</v>
      </c>
      <c r="D1311" s="27">
        <v>43336</v>
      </c>
      <c r="E1311" s="26">
        <v>-15885.62</v>
      </c>
      <c r="F1311" s="26" t="s">
        <v>2963</v>
      </c>
      <c r="G1311" s="26" t="s">
        <v>8</v>
      </c>
      <c r="H1311" s="26" t="s">
        <v>2964</v>
      </c>
      <c r="I1311" s="26" t="s">
        <v>106</v>
      </c>
      <c r="J1311" s="26">
        <v>0</v>
      </c>
      <c r="K1311" s="8" t="str">
        <f t="shared" si="20"/>
        <v>PAYMASTER</v>
      </c>
    </row>
    <row r="1312" spans="1:11" x14ac:dyDescent="0.25">
      <c r="A1312" s="26" t="s">
        <v>144</v>
      </c>
      <c r="B1312" s="26" t="s">
        <v>111</v>
      </c>
      <c r="C1312" s="26">
        <v>0</v>
      </c>
      <c r="D1312" s="27">
        <v>43339</v>
      </c>
      <c r="E1312" s="26">
        <v>-18268.47</v>
      </c>
      <c r="F1312" s="26" t="s">
        <v>2965</v>
      </c>
      <c r="G1312" s="26" t="s">
        <v>8</v>
      </c>
      <c r="H1312" s="26" t="s">
        <v>2966</v>
      </c>
      <c r="I1312" s="26" t="s">
        <v>106</v>
      </c>
      <c r="J1312" s="26">
        <v>0</v>
      </c>
      <c r="K1312" s="8" t="str">
        <f t="shared" si="20"/>
        <v>PAYMASTER</v>
      </c>
    </row>
    <row r="1313" spans="1:11" x14ac:dyDescent="0.25">
      <c r="A1313" s="26" t="s">
        <v>144</v>
      </c>
      <c r="B1313" s="26" t="s">
        <v>111</v>
      </c>
      <c r="C1313" s="26">
        <v>0</v>
      </c>
      <c r="D1313" s="27">
        <v>43342</v>
      </c>
      <c r="E1313" s="26">
        <v>-15885.62</v>
      </c>
      <c r="F1313" s="26" t="s">
        <v>2967</v>
      </c>
      <c r="G1313" s="26" t="s">
        <v>8</v>
      </c>
      <c r="H1313" s="26" t="s">
        <v>2968</v>
      </c>
      <c r="I1313" s="26" t="s">
        <v>106</v>
      </c>
      <c r="J1313" s="26">
        <v>0</v>
      </c>
      <c r="K1313" s="8" t="str">
        <f t="shared" si="20"/>
        <v>PAYMASTER</v>
      </c>
    </row>
    <row r="1314" spans="1:11" x14ac:dyDescent="0.25">
      <c r="A1314" s="26" t="s">
        <v>144</v>
      </c>
      <c r="B1314" s="26" t="s">
        <v>111</v>
      </c>
      <c r="C1314" s="26">
        <v>0</v>
      </c>
      <c r="D1314" s="27">
        <v>43343</v>
      </c>
      <c r="E1314" s="26">
        <v>-15885.62</v>
      </c>
      <c r="F1314" s="26" t="s">
        <v>2969</v>
      </c>
      <c r="G1314" s="26" t="s">
        <v>8</v>
      </c>
      <c r="H1314" s="26" t="s">
        <v>2970</v>
      </c>
      <c r="I1314" s="26" t="s">
        <v>106</v>
      </c>
      <c r="J1314" s="26">
        <v>0</v>
      </c>
      <c r="K1314" s="8" t="str">
        <f t="shared" si="20"/>
        <v>PAYMASTER</v>
      </c>
    </row>
    <row r="1315" spans="1:11" x14ac:dyDescent="0.25">
      <c r="A1315" s="26" t="s">
        <v>144</v>
      </c>
      <c r="B1315" s="26" t="s">
        <v>111</v>
      </c>
      <c r="C1315" s="26">
        <v>0</v>
      </c>
      <c r="D1315" s="27">
        <v>43343</v>
      </c>
      <c r="E1315" s="26">
        <v>-15885.62</v>
      </c>
      <c r="F1315" s="26" t="s">
        <v>2971</v>
      </c>
      <c r="G1315" s="26" t="s">
        <v>8</v>
      </c>
      <c r="H1315" s="26" t="s">
        <v>2972</v>
      </c>
      <c r="I1315" s="26" t="s">
        <v>106</v>
      </c>
      <c r="J1315" s="26">
        <v>0</v>
      </c>
      <c r="K1315" s="8" t="str">
        <f t="shared" si="20"/>
        <v>PAYMASTER</v>
      </c>
    </row>
    <row r="1316" spans="1:11" x14ac:dyDescent="0.25">
      <c r="A1316" s="26" t="s">
        <v>144</v>
      </c>
      <c r="B1316" s="26" t="s">
        <v>111</v>
      </c>
      <c r="C1316" s="26">
        <v>0</v>
      </c>
      <c r="D1316" s="27">
        <v>43343</v>
      </c>
      <c r="E1316" s="26">
        <v>-15885.62</v>
      </c>
      <c r="F1316" s="26" t="s">
        <v>2973</v>
      </c>
      <c r="G1316" s="26" t="s">
        <v>8</v>
      </c>
      <c r="H1316" s="26" t="s">
        <v>2974</v>
      </c>
      <c r="I1316" s="26" t="s">
        <v>106</v>
      </c>
      <c r="J1316" s="26">
        <v>0</v>
      </c>
      <c r="K1316" s="8" t="str">
        <f t="shared" si="20"/>
        <v>PAYMASTER</v>
      </c>
    </row>
    <row r="1317" spans="1:11" x14ac:dyDescent="0.25">
      <c r="A1317" s="26" t="s">
        <v>144</v>
      </c>
      <c r="B1317" s="26" t="s">
        <v>111</v>
      </c>
      <c r="C1317" s="26">
        <v>0</v>
      </c>
      <c r="D1317" s="27">
        <v>43346</v>
      </c>
      <c r="E1317" s="26">
        <v>-15885.62</v>
      </c>
      <c r="F1317" s="26" t="s">
        <v>2975</v>
      </c>
      <c r="G1317" s="26" t="s">
        <v>8</v>
      </c>
      <c r="H1317" s="26" t="s">
        <v>2976</v>
      </c>
      <c r="I1317" s="26" t="s">
        <v>106</v>
      </c>
      <c r="J1317" s="26">
        <v>0</v>
      </c>
      <c r="K1317" s="8" t="str">
        <f t="shared" si="20"/>
        <v>PAYMASTER</v>
      </c>
    </row>
    <row r="1318" spans="1:11" x14ac:dyDescent="0.25">
      <c r="A1318" s="26" t="s">
        <v>144</v>
      </c>
      <c r="B1318" s="26" t="s">
        <v>111</v>
      </c>
      <c r="C1318" s="26">
        <v>0</v>
      </c>
      <c r="D1318" s="27">
        <v>43349</v>
      </c>
      <c r="E1318" s="26">
        <v>-15885.62</v>
      </c>
      <c r="F1318" s="26" t="s">
        <v>2977</v>
      </c>
      <c r="G1318" s="26" t="s">
        <v>8</v>
      </c>
      <c r="H1318" s="26" t="s">
        <v>2978</v>
      </c>
      <c r="I1318" s="26" t="s">
        <v>106</v>
      </c>
      <c r="J1318" s="26">
        <v>0</v>
      </c>
      <c r="K1318" s="8" t="str">
        <f t="shared" si="20"/>
        <v>PAYMASTER</v>
      </c>
    </row>
    <row r="1319" spans="1:11" x14ac:dyDescent="0.25">
      <c r="A1319" s="26" t="s">
        <v>144</v>
      </c>
      <c r="B1319" s="26" t="s">
        <v>111</v>
      </c>
      <c r="C1319" s="26">
        <v>0</v>
      </c>
      <c r="D1319" s="27">
        <v>43350</v>
      </c>
      <c r="E1319" s="26">
        <v>-15885.62</v>
      </c>
      <c r="F1319" s="26" t="s">
        <v>2979</v>
      </c>
      <c r="G1319" s="26" t="s">
        <v>8</v>
      </c>
      <c r="H1319" s="26" t="s">
        <v>2980</v>
      </c>
      <c r="I1319" s="26" t="s">
        <v>106</v>
      </c>
      <c r="J1319" s="26">
        <v>0</v>
      </c>
      <c r="K1319" s="8" t="str">
        <f t="shared" si="20"/>
        <v>PAYMASTER</v>
      </c>
    </row>
    <row r="1320" spans="1:11" x14ac:dyDescent="0.25">
      <c r="A1320" s="26" t="s">
        <v>144</v>
      </c>
      <c r="B1320" s="26" t="s">
        <v>111</v>
      </c>
      <c r="C1320" s="26">
        <v>0</v>
      </c>
      <c r="D1320" s="27">
        <v>43350</v>
      </c>
      <c r="E1320" s="26">
        <v>-15885.62</v>
      </c>
      <c r="F1320" s="26" t="s">
        <v>2981</v>
      </c>
      <c r="G1320" s="26" t="s">
        <v>8</v>
      </c>
      <c r="H1320" s="26" t="s">
        <v>2982</v>
      </c>
      <c r="I1320" s="26" t="s">
        <v>106</v>
      </c>
      <c r="J1320" s="26">
        <v>0</v>
      </c>
      <c r="K1320" s="8" t="str">
        <f t="shared" si="20"/>
        <v>PAYMASTER</v>
      </c>
    </row>
    <row r="1321" spans="1:11" x14ac:dyDescent="0.25">
      <c r="A1321" s="26" t="s">
        <v>144</v>
      </c>
      <c r="B1321" s="26" t="s">
        <v>111</v>
      </c>
      <c r="C1321" s="26">
        <v>0</v>
      </c>
      <c r="D1321" s="27">
        <v>43350</v>
      </c>
      <c r="E1321" s="26">
        <v>-15885.62</v>
      </c>
      <c r="F1321" s="26" t="s">
        <v>2983</v>
      </c>
      <c r="G1321" s="26" t="s">
        <v>8</v>
      </c>
      <c r="H1321" s="26" t="s">
        <v>2984</v>
      </c>
      <c r="I1321" s="26" t="s">
        <v>106</v>
      </c>
      <c r="J1321" s="26">
        <v>0</v>
      </c>
      <c r="K1321" s="8" t="str">
        <f t="shared" si="20"/>
        <v>PAYMASTER</v>
      </c>
    </row>
    <row r="1322" spans="1:11" x14ac:dyDescent="0.25">
      <c r="A1322" s="26" t="s">
        <v>144</v>
      </c>
      <c r="B1322" s="26" t="s">
        <v>111</v>
      </c>
      <c r="C1322" s="26">
        <v>0</v>
      </c>
      <c r="D1322" s="27">
        <v>43353</v>
      </c>
      <c r="E1322" s="26">
        <v>-15885.62</v>
      </c>
      <c r="F1322" s="26" t="s">
        <v>2985</v>
      </c>
      <c r="G1322" s="26" t="s">
        <v>8</v>
      </c>
      <c r="H1322" s="26" t="s">
        <v>2986</v>
      </c>
      <c r="I1322" s="26" t="s">
        <v>106</v>
      </c>
      <c r="J1322" s="26">
        <v>0</v>
      </c>
      <c r="K1322" s="8" t="str">
        <f t="shared" si="20"/>
        <v>PAYMASTER</v>
      </c>
    </row>
    <row r="1323" spans="1:11" x14ac:dyDescent="0.25">
      <c r="A1323" s="26" t="s">
        <v>144</v>
      </c>
      <c r="B1323" s="26" t="s">
        <v>111</v>
      </c>
      <c r="C1323" s="26">
        <v>0</v>
      </c>
      <c r="D1323" s="27">
        <v>43356</v>
      </c>
      <c r="E1323" s="26">
        <v>-15885.62</v>
      </c>
      <c r="F1323" s="26" t="s">
        <v>2987</v>
      </c>
      <c r="G1323" s="26" t="s">
        <v>8</v>
      </c>
      <c r="H1323" s="26" t="s">
        <v>2988</v>
      </c>
      <c r="I1323" s="26" t="s">
        <v>106</v>
      </c>
      <c r="J1323" s="26">
        <v>0</v>
      </c>
      <c r="K1323" s="8" t="str">
        <f t="shared" si="20"/>
        <v>PAYMASTER</v>
      </c>
    </row>
    <row r="1324" spans="1:11" x14ac:dyDescent="0.25">
      <c r="A1324" s="26" t="s">
        <v>144</v>
      </c>
      <c r="B1324" s="26" t="s">
        <v>111</v>
      </c>
      <c r="C1324" s="26">
        <v>0</v>
      </c>
      <c r="D1324" s="27">
        <v>43357</v>
      </c>
      <c r="E1324" s="26">
        <v>-15885.62</v>
      </c>
      <c r="F1324" s="26" t="s">
        <v>2989</v>
      </c>
      <c r="G1324" s="26" t="s">
        <v>8</v>
      </c>
      <c r="H1324" s="26" t="s">
        <v>2990</v>
      </c>
      <c r="I1324" s="26" t="s">
        <v>106</v>
      </c>
      <c r="J1324" s="26">
        <v>0</v>
      </c>
      <c r="K1324" s="8" t="str">
        <f t="shared" si="20"/>
        <v>PAYMASTER</v>
      </c>
    </row>
    <row r="1325" spans="1:11" x14ac:dyDescent="0.25">
      <c r="A1325" s="26" t="s">
        <v>144</v>
      </c>
      <c r="B1325" s="26" t="s">
        <v>111</v>
      </c>
      <c r="C1325" s="26">
        <v>0</v>
      </c>
      <c r="D1325" s="27">
        <v>43357</v>
      </c>
      <c r="E1325" s="26">
        <v>-15885.62</v>
      </c>
      <c r="F1325" s="26" t="s">
        <v>2991</v>
      </c>
      <c r="G1325" s="26" t="s">
        <v>8</v>
      </c>
      <c r="H1325" s="26" t="s">
        <v>2992</v>
      </c>
      <c r="I1325" s="26" t="s">
        <v>106</v>
      </c>
      <c r="J1325" s="26">
        <v>0</v>
      </c>
      <c r="K1325" s="8" t="str">
        <f t="shared" si="20"/>
        <v>PAYMASTER</v>
      </c>
    </row>
    <row r="1326" spans="1:11" x14ac:dyDescent="0.25">
      <c r="A1326" s="26" t="s">
        <v>144</v>
      </c>
      <c r="B1326" s="26" t="s">
        <v>111</v>
      </c>
      <c r="C1326" s="26">
        <v>0</v>
      </c>
      <c r="D1326" s="27">
        <v>43357</v>
      </c>
      <c r="E1326" s="26">
        <v>-15885.62</v>
      </c>
      <c r="F1326" s="26" t="s">
        <v>2993</v>
      </c>
      <c r="G1326" s="26" t="s">
        <v>8</v>
      </c>
      <c r="H1326" s="26" t="s">
        <v>2994</v>
      </c>
      <c r="I1326" s="26" t="s">
        <v>106</v>
      </c>
      <c r="J1326" s="26">
        <v>0</v>
      </c>
      <c r="K1326" s="8" t="str">
        <f t="shared" si="20"/>
        <v>PAYMASTER</v>
      </c>
    </row>
    <row r="1327" spans="1:11" x14ac:dyDescent="0.25">
      <c r="A1327" s="26" t="s">
        <v>144</v>
      </c>
      <c r="B1327" s="26" t="s">
        <v>111</v>
      </c>
      <c r="C1327" s="26">
        <v>0</v>
      </c>
      <c r="D1327" s="27">
        <v>43360</v>
      </c>
      <c r="E1327" s="26">
        <v>-15885.62</v>
      </c>
      <c r="F1327" s="26" t="s">
        <v>2995</v>
      </c>
      <c r="G1327" s="26" t="s">
        <v>8</v>
      </c>
      <c r="H1327" s="26" t="s">
        <v>2996</v>
      </c>
      <c r="I1327" s="26" t="s">
        <v>106</v>
      </c>
      <c r="J1327" s="26">
        <v>0</v>
      </c>
      <c r="K1327" s="8" t="str">
        <f t="shared" si="20"/>
        <v>PAYMASTER</v>
      </c>
    </row>
    <row r="1328" spans="1:11" x14ac:dyDescent="0.25">
      <c r="A1328" s="26" t="s">
        <v>145</v>
      </c>
      <c r="B1328" s="26" t="s">
        <v>111</v>
      </c>
      <c r="C1328" s="26">
        <v>0</v>
      </c>
      <c r="D1328" s="27">
        <v>43252</v>
      </c>
      <c r="E1328" s="26">
        <v>7942.81</v>
      </c>
      <c r="F1328" s="26" t="s">
        <v>2997</v>
      </c>
      <c r="G1328" s="26" t="s">
        <v>8</v>
      </c>
      <c r="H1328" s="26" t="s">
        <v>2998</v>
      </c>
      <c r="I1328" s="26" t="s">
        <v>106</v>
      </c>
      <c r="J1328" s="26">
        <v>0</v>
      </c>
      <c r="K1328" s="8" t="str">
        <f t="shared" si="20"/>
        <v>PROFITSOFI</v>
      </c>
    </row>
    <row r="1329" spans="1:11" x14ac:dyDescent="0.25">
      <c r="A1329" s="26" t="s">
        <v>145</v>
      </c>
      <c r="B1329" s="26" t="s">
        <v>111</v>
      </c>
      <c r="C1329" s="26">
        <v>0</v>
      </c>
      <c r="D1329" s="27">
        <v>43259</v>
      </c>
      <c r="E1329" s="26">
        <v>7942.81</v>
      </c>
      <c r="F1329" s="26" t="s">
        <v>2999</v>
      </c>
      <c r="G1329" s="26" t="s">
        <v>8</v>
      </c>
      <c r="H1329" s="26" t="s">
        <v>3000</v>
      </c>
      <c r="I1329" s="26" t="s">
        <v>106</v>
      </c>
      <c r="J1329" s="26">
        <v>0</v>
      </c>
      <c r="K1329" s="8" t="str">
        <f t="shared" si="20"/>
        <v>PROFITSOFI</v>
      </c>
    </row>
    <row r="1330" spans="1:11" x14ac:dyDescent="0.25">
      <c r="A1330" s="26" t="s">
        <v>146</v>
      </c>
      <c r="B1330" s="26" t="s">
        <v>111</v>
      </c>
      <c r="C1330" s="26">
        <v>0</v>
      </c>
      <c r="D1330" s="27">
        <v>43266</v>
      </c>
      <c r="E1330" s="26">
        <v>10722.8</v>
      </c>
      <c r="F1330" s="26" t="s">
        <v>3001</v>
      </c>
      <c r="G1330" s="26" t="s">
        <v>8</v>
      </c>
      <c r="H1330" s="26" t="s">
        <v>3002</v>
      </c>
      <c r="I1330" s="26" t="s">
        <v>106</v>
      </c>
      <c r="J1330" s="26">
        <v>0</v>
      </c>
      <c r="K1330" s="8" t="str">
        <f t="shared" si="20"/>
        <v>RBSCUMBERN</v>
      </c>
    </row>
    <row r="1331" spans="1:11" x14ac:dyDescent="0.25">
      <c r="A1331" s="26" t="s">
        <v>146</v>
      </c>
      <c r="B1331" s="26" t="s">
        <v>111</v>
      </c>
      <c r="C1331" s="26">
        <v>0</v>
      </c>
      <c r="D1331" s="27">
        <v>43315</v>
      </c>
      <c r="E1331" s="26">
        <v>3494.84</v>
      </c>
      <c r="F1331" s="26" t="s">
        <v>3003</v>
      </c>
      <c r="G1331" s="26" t="s">
        <v>8</v>
      </c>
      <c r="H1331" s="26" t="s">
        <v>3004</v>
      </c>
      <c r="I1331" s="26" t="s">
        <v>106</v>
      </c>
      <c r="J1331" s="26">
        <v>0</v>
      </c>
      <c r="K1331" s="8" t="str">
        <f t="shared" si="20"/>
        <v>RBSCUMBERN</v>
      </c>
    </row>
    <row r="1332" spans="1:11" x14ac:dyDescent="0.25">
      <c r="A1332" s="26" t="s">
        <v>146</v>
      </c>
      <c r="B1332" s="26" t="s">
        <v>111</v>
      </c>
      <c r="C1332" s="26">
        <v>0</v>
      </c>
      <c r="D1332" s="27">
        <v>43318</v>
      </c>
      <c r="E1332" s="26">
        <v>15806.2</v>
      </c>
      <c r="F1332" s="26" t="s">
        <v>3005</v>
      </c>
      <c r="G1332" s="26" t="s">
        <v>8</v>
      </c>
      <c r="H1332" s="26" t="s">
        <v>3006</v>
      </c>
      <c r="I1332" s="26" t="s">
        <v>106</v>
      </c>
      <c r="J1332" s="26">
        <v>0</v>
      </c>
      <c r="K1332" s="8" t="str">
        <f t="shared" si="20"/>
        <v>RBSCUMBERN</v>
      </c>
    </row>
    <row r="1333" spans="1:11" x14ac:dyDescent="0.25">
      <c r="A1333" s="26" t="s">
        <v>119</v>
      </c>
      <c r="B1333" s="26" t="s">
        <v>111</v>
      </c>
      <c r="C1333" s="26">
        <v>0</v>
      </c>
      <c r="D1333" s="27">
        <v>43244</v>
      </c>
      <c r="E1333" s="26">
        <v>7942.81</v>
      </c>
      <c r="F1333" s="26" t="s">
        <v>3007</v>
      </c>
      <c r="G1333" s="26" t="s">
        <v>8</v>
      </c>
      <c r="H1333" s="26" t="s">
        <v>3008</v>
      </c>
      <c r="I1333" s="26" t="s">
        <v>106</v>
      </c>
      <c r="J1333" s="26">
        <v>0</v>
      </c>
      <c r="K1333" s="8" t="str">
        <f t="shared" si="20"/>
        <v>RESIDUAL</v>
      </c>
    </row>
    <row r="1334" spans="1:11" x14ac:dyDescent="0.25">
      <c r="A1334" s="26" t="s">
        <v>119</v>
      </c>
      <c r="B1334" s="26" t="s">
        <v>111</v>
      </c>
      <c r="C1334" s="26">
        <v>0</v>
      </c>
      <c r="D1334" s="27">
        <v>43245</v>
      </c>
      <c r="E1334" s="26">
        <v>7942.81</v>
      </c>
      <c r="F1334" s="26" t="s">
        <v>3009</v>
      </c>
      <c r="G1334" s="26" t="s">
        <v>8</v>
      </c>
      <c r="H1334" s="26" t="s">
        <v>3010</v>
      </c>
      <c r="I1334" s="26" t="s">
        <v>106</v>
      </c>
      <c r="J1334" s="26">
        <v>0</v>
      </c>
      <c r="K1334" s="8" t="str">
        <f t="shared" si="20"/>
        <v>RESIDUAL</v>
      </c>
    </row>
    <row r="1335" spans="1:11" x14ac:dyDescent="0.25">
      <c r="A1335" s="26" t="s">
        <v>119</v>
      </c>
      <c r="B1335" s="26" t="s">
        <v>111</v>
      </c>
      <c r="C1335" s="26">
        <v>0</v>
      </c>
      <c r="D1335" s="27">
        <v>43245</v>
      </c>
      <c r="E1335" s="26">
        <v>7942.81</v>
      </c>
      <c r="F1335" s="26" t="s">
        <v>3011</v>
      </c>
      <c r="G1335" s="26" t="s">
        <v>8</v>
      </c>
      <c r="H1335" s="26" t="s">
        <v>3012</v>
      </c>
      <c r="I1335" s="26" t="s">
        <v>106</v>
      </c>
      <c r="J1335" s="26">
        <v>0</v>
      </c>
      <c r="K1335" s="8" t="str">
        <f t="shared" si="20"/>
        <v>RESIDUAL</v>
      </c>
    </row>
    <row r="1336" spans="1:11" x14ac:dyDescent="0.25">
      <c r="A1336" s="26" t="s">
        <v>119</v>
      </c>
      <c r="B1336" s="26" t="s">
        <v>111</v>
      </c>
      <c r="C1336" s="26">
        <v>0</v>
      </c>
      <c r="D1336" s="27">
        <v>43245</v>
      </c>
      <c r="E1336" s="26">
        <v>3971.41</v>
      </c>
      <c r="F1336" s="26" t="s">
        <v>3013</v>
      </c>
      <c r="G1336" s="26" t="s">
        <v>8</v>
      </c>
      <c r="H1336" s="26" t="s">
        <v>3014</v>
      </c>
      <c r="I1336" s="26" t="s">
        <v>106</v>
      </c>
      <c r="J1336" s="26">
        <v>0</v>
      </c>
      <c r="K1336" s="8" t="str">
        <f t="shared" si="20"/>
        <v>RESIDUAL</v>
      </c>
    </row>
    <row r="1337" spans="1:11" x14ac:dyDescent="0.25">
      <c r="A1337" s="26" t="s">
        <v>119</v>
      </c>
      <c r="B1337" s="26" t="s">
        <v>111</v>
      </c>
      <c r="C1337" s="26">
        <v>0</v>
      </c>
      <c r="D1337" s="27">
        <v>43248</v>
      </c>
      <c r="E1337" s="26">
        <v>7942.81</v>
      </c>
      <c r="F1337" s="26" t="s">
        <v>3015</v>
      </c>
      <c r="G1337" s="26" t="s">
        <v>8</v>
      </c>
      <c r="H1337" s="26" t="s">
        <v>3016</v>
      </c>
      <c r="I1337" s="26" t="s">
        <v>106</v>
      </c>
      <c r="J1337" s="26">
        <v>0</v>
      </c>
      <c r="K1337" s="8" t="str">
        <f t="shared" si="20"/>
        <v>RESIDUAL</v>
      </c>
    </row>
    <row r="1338" spans="1:11" x14ac:dyDescent="0.25">
      <c r="A1338" s="26" t="s">
        <v>119</v>
      </c>
      <c r="B1338" s="26" t="s">
        <v>111</v>
      </c>
      <c r="C1338" s="26">
        <v>0</v>
      </c>
      <c r="D1338" s="27">
        <v>43251</v>
      </c>
      <c r="E1338" s="26">
        <v>7942.81</v>
      </c>
      <c r="F1338" s="26" t="s">
        <v>3017</v>
      </c>
      <c r="G1338" s="26" t="s">
        <v>8</v>
      </c>
      <c r="H1338" s="26" t="s">
        <v>3018</v>
      </c>
      <c r="I1338" s="26" t="s">
        <v>106</v>
      </c>
      <c r="J1338" s="26">
        <v>0</v>
      </c>
      <c r="K1338" s="8" t="str">
        <f t="shared" si="20"/>
        <v>RESIDUAL</v>
      </c>
    </row>
    <row r="1339" spans="1:11" x14ac:dyDescent="0.25">
      <c r="A1339" s="26" t="s">
        <v>119</v>
      </c>
      <c r="B1339" s="26" t="s">
        <v>111</v>
      </c>
      <c r="C1339" s="26">
        <v>0</v>
      </c>
      <c r="D1339" s="27">
        <v>43252</v>
      </c>
      <c r="E1339" s="26">
        <v>7942.81</v>
      </c>
      <c r="F1339" s="26" t="s">
        <v>3019</v>
      </c>
      <c r="G1339" s="26" t="s">
        <v>8</v>
      </c>
      <c r="H1339" s="26" t="s">
        <v>3020</v>
      </c>
      <c r="I1339" s="26" t="s">
        <v>106</v>
      </c>
      <c r="J1339" s="26">
        <v>0</v>
      </c>
      <c r="K1339" s="8" t="str">
        <f t="shared" si="20"/>
        <v>RESIDUAL</v>
      </c>
    </row>
    <row r="1340" spans="1:11" x14ac:dyDescent="0.25">
      <c r="A1340" s="26" t="s">
        <v>119</v>
      </c>
      <c r="B1340" s="26" t="s">
        <v>111</v>
      </c>
      <c r="C1340" s="26">
        <v>0</v>
      </c>
      <c r="D1340" s="27">
        <v>43252</v>
      </c>
      <c r="E1340" s="26">
        <v>7942.81</v>
      </c>
      <c r="F1340" s="26" t="s">
        <v>3021</v>
      </c>
      <c r="G1340" s="26" t="s">
        <v>8</v>
      </c>
      <c r="H1340" s="26" t="s">
        <v>3022</v>
      </c>
      <c r="I1340" s="26" t="s">
        <v>106</v>
      </c>
      <c r="J1340" s="26">
        <v>0</v>
      </c>
      <c r="K1340" s="8" t="str">
        <f t="shared" si="20"/>
        <v>RESIDUAL</v>
      </c>
    </row>
    <row r="1341" spans="1:11" x14ac:dyDescent="0.25">
      <c r="A1341" s="26" t="s">
        <v>119</v>
      </c>
      <c r="B1341" s="26" t="s">
        <v>111</v>
      </c>
      <c r="C1341" s="26">
        <v>0</v>
      </c>
      <c r="D1341" s="27">
        <v>43252</v>
      </c>
      <c r="E1341" s="26">
        <v>4765.6899999999996</v>
      </c>
      <c r="F1341" s="26" t="s">
        <v>3023</v>
      </c>
      <c r="G1341" s="26" t="s">
        <v>8</v>
      </c>
      <c r="H1341" s="26" t="s">
        <v>3024</v>
      </c>
      <c r="I1341" s="26" t="s">
        <v>106</v>
      </c>
      <c r="J1341" s="26">
        <v>0</v>
      </c>
      <c r="K1341" s="8" t="str">
        <f t="shared" si="20"/>
        <v>RESIDUAL</v>
      </c>
    </row>
    <row r="1342" spans="1:11" x14ac:dyDescent="0.25">
      <c r="A1342" s="26" t="s">
        <v>119</v>
      </c>
      <c r="B1342" s="26" t="s">
        <v>111</v>
      </c>
      <c r="C1342" s="26">
        <v>0</v>
      </c>
      <c r="D1342" s="27">
        <v>43255</v>
      </c>
      <c r="E1342" s="26">
        <v>4765.6899999999996</v>
      </c>
      <c r="F1342" s="26" t="s">
        <v>3025</v>
      </c>
      <c r="G1342" s="26" t="s">
        <v>8</v>
      </c>
      <c r="H1342" s="26" t="s">
        <v>3026</v>
      </c>
      <c r="I1342" s="26" t="s">
        <v>106</v>
      </c>
      <c r="J1342" s="26">
        <v>0</v>
      </c>
      <c r="K1342" s="8" t="str">
        <f t="shared" si="20"/>
        <v>RESIDUAL</v>
      </c>
    </row>
    <row r="1343" spans="1:11" x14ac:dyDescent="0.25">
      <c r="A1343" s="26" t="s">
        <v>119</v>
      </c>
      <c r="B1343" s="26" t="s">
        <v>111</v>
      </c>
      <c r="C1343" s="26">
        <v>0</v>
      </c>
      <c r="D1343" s="27">
        <v>43258</v>
      </c>
      <c r="E1343" s="26">
        <v>7942.81</v>
      </c>
      <c r="F1343" s="26" t="s">
        <v>3027</v>
      </c>
      <c r="G1343" s="26" t="s">
        <v>8</v>
      </c>
      <c r="H1343" s="26" t="s">
        <v>3028</v>
      </c>
      <c r="I1343" s="26" t="s">
        <v>106</v>
      </c>
      <c r="J1343" s="26">
        <v>0</v>
      </c>
      <c r="K1343" s="8" t="str">
        <f t="shared" si="20"/>
        <v>RESIDUAL</v>
      </c>
    </row>
    <row r="1344" spans="1:11" x14ac:dyDescent="0.25">
      <c r="A1344" s="26" t="s">
        <v>119</v>
      </c>
      <c r="B1344" s="26" t="s">
        <v>111</v>
      </c>
      <c r="C1344" s="26">
        <v>0</v>
      </c>
      <c r="D1344" s="27">
        <v>43259</v>
      </c>
      <c r="E1344" s="26">
        <v>7942.81</v>
      </c>
      <c r="F1344" s="26" t="s">
        <v>3029</v>
      </c>
      <c r="G1344" s="26" t="s">
        <v>8</v>
      </c>
      <c r="H1344" s="26" t="s">
        <v>3030</v>
      </c>
      <c r="I1344" s="26" t="s">
        <v>106</v>
      </c>
      <c r="J1344" s="26">
        <v>0</v>
      </c>
      <c r="K1344" s="8" t="str">
        <f t="shared" si="20"/>
        <v>RESIDUAL</v>
      </c>
    </row>
    <row r="1345" spans="1:11" x14ac:dyDescent="0.25">
      <c r="A1345" s="26" t="s">
        <v>119</v>
      </c>
      <c r="B1345" s="26" t="s">
        <v>111</v>
      </c>
      <c r="C1345" s="26">
        <v>0</v>
      </c>
      <c r="D1345" s="27">
        <v>43259</v>
      </c>
      <c r="E1345" s="26">
        <v>7942.81</v>
      </c>
      <c r="F1345" s="26" t="s">
        <v>3031</v>
      </c>
      <c r="G1345" s="26" t="s">
        <v>8</v>
      </c>
      <c r="H1345" s="26" t="s">
        <v>3032</v>
      </c>
      <c r="I1345" s="26" t="s">
        <v>106</v>
      </c>
      <c r="J1345" s="26">
        <v>0</v>
      </c>
      <c r="K1345" s="8" t="str">
        <f t="shared" si="20"/>
        <v>RESIDUAL</v>
      </c>
    </row>
    <row r="1346" spans="1:11" x14ac:dyDescent="0.25">
      <c r="A1346" s="26" t="s">
        <v>119</v>
      </c>
      <c r="B1346" s="26" t="s">
        <v>111</v>
      </c>
      <c r="C1346" s="26">
        <v>0</v>
      </c>
      <c r="D1346" s="27">
        <v>43259</v>
      </c>
      <c r="E1346" s="26">
        <v>7942.81</v>
      </c>
      <c r="F1346" s="26" t="s">
        <v>3033</v>
      </c>
      <c r="G1346" s="26" t="s">
        <v>8</v>
      </c>
      <c r="H1346" s="26" t="s">
        <v>3034</v>
      </c>
      <c r="I1346" s="26" t="s">
        <v>106</v>
      </c>
      <c r="J1346" s="26">
        <v>0</v>
      </c>
      <c r="K1346" s="8" t="str">
        <f t="shared" si="20"/>
        <v>RESIDUAL</v>
      </c>
    </row>
    <row r="1347" spans="1:11" x14ac:dyDescent="0.25">
      <c r="A1347" s="26" t="s">
        <v>119</v>
      </c>
      <c r="B1347" s="26" t="s">
        <v>111</v>
      </c>
      <c r="C1347" s="26">
        <v>0</v>
      </c>
      <c r="D1347" s="27">
        <v>43262</v>
      </c>
      <c r="E1347" s="26">
        <v>9531.3700000000008</v>
      </c>
      <c r="F1347" s="26" t="s">
        <v>3035</v>
      </c>
      <c r="G1347" s="26" t="s">
        <v>8</v>
      </c>
      <c r="H1347" s="26" t="s">
        <v>3036</v>
      </c>
      <c r="I1347" s="26" t="s">
        <v>106</v>
      </c>
      <c r="J1347" s="26">
        <v>0</v>
      </c>
      <c r="K1347" s="8" t="str">
        <f t="shared" ref="K1347:K1410" si="21">LEFT(A1347,FIND("/",A1347)-1)</f>
        <v>RESIDUAL</v>
      </c>
    </row>
    <row r="1348" spans="1:11" x14ac:dyDescent="0.25">
      <c r="A1348" s="26" t="s">
        <v>119</v>
      </c>
      <c r="B1348" s="26" t="s">
        <v>111</v>
      </c>
      <c r="C1348" s="26">
        <v>0</v>
      </c>
      <c r="D1348" s="27">
        <v>43265</v>
      </c>
      <c r="E1348" s="26">
        <v>7942.81</v>
      </c>
      <c r="F1348" s="26" t="s">
        <v>3037</v>
      </c>
      <c r="G1348" s="26" t="s">
        <v>8</v>
      </c>
      <c r="H1348" s="26" t="s">
        <v>3038</v>
      </c>
      <c r="I1348" s="26" t="s">
        <v>106</v>
      </c>
      <c r="J1348" s="26">
        <v>0</v>
      </c>
      <c r="K1348" s="8" t="str">
        <f t="shared" si="21"/>
        <v>RESIDUAL</v>
      </c>
    </row>
    <row r="1349" spans="1:11" x14ac:dyDescent="0.25">
      <c r="A1349" s="26" t="s">
        <v>119</v>
      </c>
      <c r="B1349" s="26" t="s">
        <v>111</v>
      </c>
      <c r="C1349" s="26">
        <v>0</v>
      </c>
      <c r="D1349" s="27">
        <v>43266</v>
      </c>
      <c r="E1349" s="26">
        <v>7942.81</v>
      </c>
      <c r="F1349" s="26" t="s">
        <v>3039</v>
      </c>
      <c r="G1349" s="26" t="s">
        <v>8</v>
      </c>
      <c r="H1349" s="26" t="s">
        <v>3040</v>
      </c>
      <c r="I1349" s="26" t="s">
        <v>106</v>
      </c>
      <c r="J1349" s="26">
        <v>0</v>
      </c>
      <c r="K1349" s="8" t="str">
        <f t="shared" si="21"/>
        <v>RESIDUAL</v>
      </c>
    </row>
    <row r="1350" spans="1:11" x14ac:dyDescent="0.25">
      <c r="A1350" s="26" t="s">
        <v>119</v>
      </c>
      <c r="B1350" s="26" t="s">
        <v>111</v>
      </c>
      <c r="C1350" s="26">
        <v>0</v>
      </c>
      <c r="D1350" s="27">
        <v>43266</v>
      </c>
      <c r="E1350" s="26">
        <v>6354.25</v>
      </c>
      <c r="F1350" s="26" t="s">
        <v>3041</v>
      </c>
      <c r="G1350" s="26" t="s">
        <v>8</v>
      </c>
      <c r="H1350" s="26" t="s">
        <v>3042</v>
      </c>
      <c r="I1350" s="26" t="s">
        <v>106</v>
      </c>
      <c r="J1350" s="26">
        <v>0</v>
      </c>
      <c r="K1350" s="8" t="str">
        <f t="shared" si="21"/>
        <v>RESIDUAL</v>
      </c>
    </row>
    <row r="1351" spans="1:11" x14ac:dyDescent="0.25">
      <c r="A1351" s="26" t="s">
        <v>119</v>
      </c>
      <c r="B1351" s="26" t="s">
        <v>111</v>
      </c>
      <c r="C1351" s="26">
        <v>0</v>
      </c>
      <c r="D1351" s="27">
        <v>43266</v>
      </c>
      <c r="E1351" s="26">
        <v>7942.81</v>
      </c>
      <c r="F1351" s="26" t="s">
        <v>3043</v>
      </c>
      <c r="G1351" s="26" t="s">
        <v>8</v>
      </c>
      <c r="H1351" s="26" t="s">
        <v>3044</v>
      </c>
      <c r="I1351" s="26" t="s">
        <v>106</v>
      </c>
      <c r="J1351" s="26">
        <v>0</v>
      </c>
      <c r="K1351" s="8" t="str">
        <f t="shared" si="21"/>
        <v>RESIDUAL</v>
      </c>
    </row>
    <row r="1352" spans="1:11" x14ac:dyDescent="0.25">
      <c r="A1352" s="26" t="s">
        <v>119</v>
      </c>
      <c r="B1352" s="26" t="s">
        <v>111</v>
      </c>
      <c r="C1352" s="26">
        <v>0</v>
      </c>
      <c r="D1352" s="27">
        <v>43269</v>
      </c>
      <c r="E1352" s="26">
        <v>7942.81</v>
      </c>
      <c r="F1352" s="26" t="s">
        <v>3045</v>
      </c>
      <c r="G1352" s="26" t="s">
        <v>8</v>
      </c>
      <c r="H1352" s="26" t="s">
        <v>3046</v>
      </c>
      <c r="I1352" s="26" t="s">
        <v>106</v>
      </c>
      <c r="J1352" s="26">
        <v>0</v>
      </c>
      <c r="K1352" s="8" t="str">
        <f t="shared" si="21"/>
        <v>RESIDUAL</v>
      </c>
    </row>
    <row r="1353" spans="1:11" x14ac:dyDescent="0.25">
      <c r="A1353" s="26" t="s">
        <v>119</v>
      </c>
      <c r="B1353" s="26" t="s">
        <v>111</v>
      </c>
      <c r="C1353" s="26">
        <v>0</v>
      </c>
      <c r="D1353" s="27">
        <v>43272</v>
      </c>
      <c r="E1353" s="26">
        <v>7942.81</v>
      </c>
      <c r="F1353" s="26" t="s">
        <v>3047</v>
      </c>
      <c r="G1353" s="26" t="s">
        <v>8</v>
      </c>
      <c r="H1353" s="26" t="s">
        <v>3048</v>
      </c>
      <c r="I1353" s="26" t="s">
        <v>106</v>
      </c>
      <c r="J1353" s="26">
        <v>0</v>
      </c>
      <c r="K1353" s="8" t="str">
        <f t="shared" si="21"/>
        <v>RESIDUAL</v>
      </c>
    </row>
    <row r="1354" spans="1:11" x14ac:dyDescent="0.25">
      <c r="A1354" s="26" t="s">
        <v>119</v>
      </c>
      <c r="B1354" s="26" t="s">
        <v>111</v>
      </c>
      <c r="C1354" s="26">
        <v>0</v>
      </c>
      <c r="D1354" s="27">
        <v>43273</v>
      </c>
      <c r="E1354" s="26">
        <v>7942.81</v>
      </c>
      <c r="F1354" s="26" t="s">
        <v>3049</v>
      </c>
      <c r="G1354" s="26" t="s">
        <v>8</v>
      </c>
      <c r="H1354" s="26" t="s">
        <v>3050</v>
      </c>
      <c r="I1354" s="26" t="s">
        <v>106</v>
      </c>
      <c r="J1354" s="26">
        <v>0</v>
      </c>
      <c r="K1354" s="8" t="str">
        <f t="shared" si="21"/>
        <v>RESIDUAL</v>
      </c>
    </row>
    <row r="1355" spans="1:11" x14ac:dyDescent="0.25">
      <c r="A1355" s="26" t="s">
        <v>119</v>
      </c>
      <c r="B1355" s="26" t="s">
        <v>111</v>
      </c>
      <c r="C1355" s="26">
        <v>0</v>
      </c>
      <c r="D1355" s="27">
        <v>43273</v>
      </c>
      <c r="E1355" s="26">
        <v>7148.53</v>
      </c>
      <c r="F1355" s="26" t="s">
        <v>3051</v>
      </c>
      <c r="G1355" s="26" t="s">
        <v>8</v>
      </c>
      <c r="H1355" s="26" t="s">
        <v>3052</v>
      </c>
      <c r="I1355" s="26" t="s">
        <v>106</v>
      </c>
      <c r="J1355" s="26">
        <v>0</v>
      </c>
      <c r="K1355" s="8" t="str">
        <f t="shared" si="21"/>
        <v>RESIDUAL</v>
      </c>
    </row>
    <row r="1356" spans="1:11" x14ac:dyDescent="0.25">
      <c r="A1356" s="26" t="s">
        <v>119</v>
      </c>
      <c r="B1356" s="26" t="s">
        <v>111</v>
      </c>
      <c r="C1356" s="26">
        <v>0</v>
      </c>
      <c r="D1356" s="27">
        <v>43273</v>
      </c>
      <c r="E1356" s="26">
        <v>7942.81</v>
      </c>
      <c r="F1356" s="26" t="s">
        <v>3053</v>
      </c>
      <c r="G1356" s="26" t="s">
        <v>8</v>
      </c>
      <c r="H1356" s="26" t="s">
        <v>3054</v>
      </c>
      <c r="I1356" s="26" t="s">
        <v>106</v>
      </c>
      <c r="J1356" s="26">
        <v>0</v>
      </c>
      <c r="K1356" s="8" t="str">
        <f t="shared" si="21"/>
        <v>RESIDUAL</v>
      </c>
    </row>
    <row r="1357" spans="1:11" x14ac:dyDescent="0.25">
      <c r="A1357" s="26" t="s">
        <v>119</v>
      </c>
      <c r="B1357" s="26" t="s">
        <v>111</v>
      </c>
      <c r="C1357" s="26">
        <v>0</v>
      </c>
      <c r="D1357" s="27">
        <v>43276</v>
      </c>
      <c r="E1357" s="26">
        <v>7942.81</v>
      </c>
      <c r="F1357" s="26" t="s">
        <v>3055</v>
      </c>
      <c r="G1357" s="26" t="s">
        <v>8</v>
      </c>
      <c r="H1357" s="26" t="s">
        <v>3056</v>
      </c>
      <c r="I1357" s="26" t="s">
        <v>106</v>
      </c>
      <c r="J1357" s="26">
        <v>0</v>
      </c>
      <c r="K1357" s="8" t="str">
        <f t="shared" si="21"/>
        <v>RESIDUAL</v>
      </c>
    </row>
    <row r="1358" spans="1:11" x14ac:dyDescent="0.25">
      <c r="A1358" s="26" t="s">
        <v>119</v>
      </c>
      <c r="B1358" s="26" t="s">
        <v>111</v>
      </c>
      <c r="C1358" s="26">
        <v>0</v>
      </c>
      <c r="D1358" s="27">
        <v>43279</v>
      </c>
      <c r="E1358" s="26">
        <v>4765.6899999999996</v>
      </c>
      <c r="F1358" s="26" t="s">
        <v>3057</v>
      </c>
      <c r="G1358" s="26" t="s">
        <v>8</v>
      </c>
      <c r="H1358" s="26" t="s">
        <v>3058</v>
      </c>
      <c r="I1358" s="26" t="s">
        <v>106</v>
      </c>
      <c r="J1358" s="26">
        <v>0</v>
      </c>
      <c r="K1358" s="8" t="str">
        <f t="shared" si="21"/>
        <v>RESIDUAL</v>
      </c>
    </row>
    <row r="1359" spans="1:11" x14ac:dyDescent="0.25">
      <c r="A1359" s="26" t="s">
        <v>119</v>
      </c>
      <c r="B1359" s="26" t="s">
        <v>111</v>
      </c>
      <c r="C1359" s="26">
        <v>0</v>
      </c>
      <c r="D1359" s="27">
        <v>43280</v>
      </c>
      <c r="E1359" s="26">
        <v>7942.81</v>
      </c>
      <c r="F1359" s="26" t="s">
        <v>3059</v>
      </c>
      <c r="G1359" s="26" t="s">
        <v>8</v>
      </c>
      <c r="H1359" s="26" t="s">
        <v>3060</v>
      </c>
      <c r="I1359" s="26" t="s">
        <v>106</v>
      </c>
      <c r="J1359" s="26">
        <v>0</v>
      </c>
      <c r="K1359" s="8" t="str">
        <f t="shared" si="21"/>
        <v>RESIDUAL</v>
      </c>
    </row>
    <row r="1360" spans="1:11" x14ac:dyDescent="0.25">
      <c r="A1360" s="26" t="s">
        <v>119</v>
      </c>
      <c r="B1360" s="26" t="s">
        <v>111</v>
      </c>
      <c r="C1360" s="26">
        <v>0</v>
      </c>
      <c r="D1360" s="27">
        <v>43280</v>
      </c>
      <c r="E1360" s="26">
        <v>7942.81</v>
      </c>
      <c r="F1360" s="26" t="s">
        <v>3061</v>
      </c>
      <c r="G1360" s="26" t="s">
        <v>8</v>
      </c>
      <c r="H1360" s="26" t="s">
        <v>3062</v>
      </c>
      <c r="I1360" s="26" t="s">
        <v>106</v>
      </c>
      <c r="J1360" s="26">
        <v>0</v>
      </c>
      <c r="K1360" s="8" t="str">
        <f t="shared" si="21"/>
        <v>RESIDUAL</v>
      </c>
    </row>
    <row r="1361" spans="1:11" x14ac:dyDescent="0.25">
      <c r="A1361" s="26" t="s">
        <v>119</v>
      </c>
      <c r="B1361" s="26" t="s">
        <v>111</v>
      </c>
      <c r="C1361" s="26">
        <v>0</v>
      </c>
      <c r="D1361" s="27">
        <v>43280</v>
      </c>
      <c r="E1361" s="26">
        <v>7942.81</v>
      </c>
      <c r="F1361" s="26" t="s">
        <v>3063</v>
      </c>
      <c r="G1361" s="26" t="s">
        <v>8</v>
      </c>
      <c r="H1361" s="26" t="s">
        <v>3064</v>
      </c>
      <c r="I1361" s="26" t="s">
        <v>106</v>
      </c>
      <c r="J1361" s="26">
        <v>0</v>
      </c>
      <c r="K1361" s="8" t="str">
        <f t="shared" si="21"/>
        <v>RESIDUAL</v>
      </c>
    </row>
    <row r="1362" spans="1:11" x14ac:dyDescent="0.25">
      <c r="A1362" s="26" t="s">
        <v>119</v>
      </c>
      <c r="B1362" s="26" t="s">
        <v>111</v>
      </c>
      <c r="C1362" s="26">
        <v>0</v>
      </c>
      <c r="D1362" s="27">
        <v>43283</v>
      </c>
      <c r="E1362" s="26">
        <v>7942.81</v>
      </c>
      <c r="F1362" s="26" t="s">
        <v>3065</v>
      </c>
      <c r="G1362" s="26" t="s">
        <v>8</v>
      </c>
      <c r="H1362" s="26" t="s">
        <v>3066</v>
      </c>
      <c r="I1362" s="26" t="s">
        <v>106</v>
      </c>
      <c r="J1362" s="26">
        <v>0</v>
      </c>
      <c r="K1362" s="8" t="str">
        <f t="shared" si="21"/>
        <v>RESIDUAL</v>
      </c>
    </row>
    <row r="1363" spans="1:11" x14ac:dyDescent="0.25">
      <c r="A1363" s="26" t="s">
        <v>119</v>
      </c>
      <c r="B1363" s="26" t="s">
        <v>111</v>
      </c>
      <c r="C1363" s="26">
        <v>0</v>
      </c>
      <c r="D1363" s="27">
        <v>43286</v>
      </c>
      <c r="E1363" s="26">
        <v>158.86000000000001</v>
      </c>
      <c r="F1363" s="26" t="s">
        <v>3067</v>
      </c>
      <c r="G1363" s="26" t="s">
        <v>8</v>
      </c>
      <c r="H1363" s="26" t="s">
        <v>3068</v>
      </c>
      <c r="I1363" s="26" t="s">
        <v>106</v>
      </c>
      <c r="J1363" s="26">
        <v>0</v>
      </c>
      <c r="K1363" s="8" t="str">
        <f t="shared" si="21"/>
        <v>RESIDUAL</v>
      </c>
    </row>
    <row r="1364" spans="1:11" x14ac:dyDescent="0.25">
      <c r="A1364" s="26" t="s">
        <v>119</v>
      </c>
      <c r="B1364" s="26" t="s">
        <v>111</v>
      </c>
      <c r="C1364" s="26">
        <v>0</v>
      </c>
      <c r="D1364" s="27">
        <v>43287</v>
      </c>
      <c r="E1364" s="26">
        <v>7942.81</v>
      </c>
      <c r="F1364" s="26" t="s">
        <v>3069</v>
      </c>
      <c r="G1364" s="26" t="s">
        <v>8</v>
      </c>
      <c r="H1364" s="26" t="s">
        <v>3070</v>
      </c>
      <c r="I1364" s="26" t="s">
        <v>106</v>
      </c>
      <c r="J1364" s="26">
        <v>0</v>
      </c>
      <c r="K1364" s="8" t="str">
        <f t="shared" si="21"/>
        <v>RESIDUAL</v>
      </c>
    </row>
    <row r="1365" spans="1:11" x14ac:dyDescent="0.25">
      <c r="A1365" s="26" t="s">
        <v>119</v>
      </c>
      <c r="B1365" s="26" t="s">
        <v>111</v>
      </c>
      <c r="C1365" s="26">
        <v>0</v>
      </c>
      <c r="D1365" s="27">
        <v>43287</v>
      </c>
      <c r="E1365" s="26">
        <v>7942.81</v>
      </c>
      <c r="F1365" s="26" t="s">
        <v>3071</v>
      </c>
      <c r="G1365" s="26" t="s">
        <v>8</v>
      </c>
      <c r="H1365" s="26" t="s">
        <v>3072</v>
      </c>
      <c r="I1365" s="26" t="s">
        <v>106</v>
      </c>
      <c r="J1365" s="26">
        <v>0</v>
      </c>
      <c r="K1365" s="8" t="str">
        <f t="shared" si="21"/>
        <v>RESIDUAL</v>
      </c>
    </row>
    <row r="1366" spans="1:11" x14ac:dyDescent="0.25">
      <c r="A1366" s="26" t="s">
        <v>119</v>
      </c>
      <c r="B1366" s="26" t="s">
        <v>111</v>
      </c>
      <c r="C1366" s="26">
        <v>0</v>
      </c>
      <c r="D1366" s="27">
        <v>43287</v>
      </c>
      <c r="E1366" s="26">
        <v>5559.97</v>
      </c>
      <c r="F1366" s="26" t="s">
        <v>3073</v>
      </c>
      <c r="G1366" s="26" t="s">
        <v>8</v>
      </c>
      <c r="H1366" s="26" t="s">
        <v>3074</v>
      </c>
      <c r="I1366" s="26" t="s">
        <v>106</v>
      </c>
      <c r="J1366" s="26">
        <v>0</v>
      </c>
      <c r="K1366" s="8" t="str">
        <f t="shared" si="21"/>
        <v>RESIDUAL</v>
      </c>
    </row>
    <row r="1367" spans="1:11" x14ac:dyDescent="0.25">
      <c r="A1367" s="26" t="s">
        <v>119</v>
      </c>
      <c r="B1367" s="26" t="s">
        <v>111</v>
      </c>
      <c r="C1367" s="26">
        <v>0</v>
      </c>
      <c r="D1367" s="27">
        <v>43290</v>
      </c>
      <c r="E1367" s="26">
        <v>6354.25</v>
      </c>
      <c r="F1367" s="26" t="s">
        <v>3075</v>
      </c>
      <c r="G1367" s="26" t="s">
        <v>8</v>
      </c>
      <c r="H1367" s="26" t="s">
        <v>3076</v>
      </c>
      <c r="I1367" s="26" t="s">
        <v>106</v>
      </c>
      <c r="J1367" s="26">
        <v>0</v>
      </c>
      <c r="K1367" s="8" t="str">
        <f t="shared" si="21"/>
        <v>RESIDUAL</v>
      </c>
    </row>
    <row r="1368" spans="1:11" x14ac:dyDescent="0.25">
      <c r="A1368" s="26" t="s">
        <v>119</v>
      </c>
      <c r="B1368" s="26" t="s">
        <v>111</v>
      </c>
      <c r="C1368" s="26">
        <v>0</v>
      </c>
      <c r="D1368" s="27">
        <v>43293</v>
      </c>
      <c r="E1368" s="26">
        <v>7942.81</v>
      </c>
      <c r="F1368" s="26" t="s">
        <v>3077</v>
      </c>
      <c r="G1368" s="26" t="s">
        <v>8</v>
      </c>
      <c r="H1368" s="26" t="s">
        <v>3078</v>
      </c>
      <c r="I1368" s="26" t="s">
        <v>106</v>
      </c>
      <c r="J1368" s="26">
        <v>0</v>
      </c>
      <c r="K1368" s="8" t="str">
        <f t="shared" si="21"/>
        <v>RESIDUAL</v>
      </c>
    </row>
    <row r="1369" spans="1:11" x14ac:dyDescent="0.25">
      <c r="A1369" s="26" t="s">
        <v>119</v>
      </c>
      <c r="B1369" s="26" t="s">
        <v>111</v>
      </c>
      <c r="C1369" s="26">
        <v>0</v>
      </c>
      <c r="D1369" s="27">
        <v>43294</v>
      </c>
      <c r="E1369" s="26">
        <v>6354.25</v>
      </c>
      <c r="F1369" s="26" t="s">
        <v>3079</v>
      </c>
      <c r="G1369" s="26" t="s">
        <v>8</v>
      </c>
      <c r="H1369" s="26" t="s">
        <v>3080</v>
      </c>
      <c r="I1369" s="26" t="s">
        <v>106</v>
      </c>
      <c r="J1369" s="26">
        <v>0</v>
      </c>
      <c r="K1369" s="8" t="str">
        <f t="shared" si="21"/>
        <v>RESIDUAL</v>
      </c>
    </row>
    <row r="1370" spans="1:11" x14ac:dyDescent="0.25">
      <c r="A1370" s="26" t="s">
        <v>119</v>
      </c>
      <c r="B1370" s="26" t="s">
        <v>111</v>
      </c>
      <c r="C1370" s="26">
        <v>0</v>
      </c>
      <c r="D1370" s="27">
        <v>43294</v>
      </c>
      <c r="E1370" s="26">
        <v>5559.97</v>
      </c>
      <c r="F1370" s="26" t="s">
        <v>3081</v>
      </c>
      <c r="G1370" s="26" t="s">
        <v>8</v>
      </c>
      <c r="H1370" s="26" t="s">
        <v>3082</v>
      </c>
      <c r="I1370" s="26" t="s">
        <v>106</v>
      </c>
      <c r="J1370" s="26">
        <v>0</v>
      </c>
      <c r="K1370" s="8" t="str">
        <f t="shared" si="21"/>
        <v>RESIDUAL</v>
      </c>
    </row>
    <row r="1371" spans="1:11" x14ac:dyDescent="0.25">
      <c r="A1371" s="26" t="s">
        <v>119</v>
      </c>
      <c r="B1371" s="26" t="s">
        <v>111</v>
      </c>
      <c r="C1371" s="26">
        <v>0</v>
      </c>
      <c r="D1371" s="27">
        <v>43294</v>
      </c>
      <c r="E1371" s="26">
        <v>7942.81</v>
      </c>
      <c r="F1371" s="26" t="s">
        <v>3083</v>
      </c>
      <c r="G1371" s="26" t="s">
        <v>8</v>
      </c>
      <c r="H1371" s="26" t="s">
        <v>3084</v>
      </c>
      <c r="I1371" s="26" t="s">
        <v>106</v>
      </c>
      <c r="J1371" s="26">
        <v>0</v>
      </c>
      <c r="K1371" s="8" t="str">
        <f t="shared" si="21"/>
        <v>RESIDUAL</v>
      </c>
    </row>
    <row r="1372" spans="1:11" x14ac:dyDescent="0.25">
      <c r="A1372" s="26" t="s">
        <v>119</v>
      </c>
      <c r="B1372" s="26" t="s">
        <v>111</v>
      </c>
      <c r="C1372" s="26">
        <v>0</v>
      </c>
      <c r="D1372" s="27">
        <v>43297</v>
      </c>
      <c r="E1372" s="26">
        <v>7942.81</v>
      </c>
      <c r="F1372" s="26" t="s">
        <v>3085</v>
      </c>
      <c r="G1372" s="26" t="s">
        <v>8</v>
      </c>
      <c r="H1372" s="26" t="s">
        <v>3086</v>
      </c>
      <c r="I1372" s="26" t="s">
        <v>106</v>
      </c>
      <c r="J1372" s="26">
        <v>0</v>
      </c>
      <c r="K1372" s="8" t="str">
        <f t="shared" si="21"/>
        <v>RESIDUAL</v>
      </c>
    </row>
    <row r="1373" spans="1:11" x14ac:dyDescent="0.25">
      <c r="A1373" s="26" t="s">
        <v>119</v>
      </c>
      <c r="B1373" s="26" t="s">
        <v>111</v>
      </c>
      <c r="C1373" s="26">
        <v>0</v>
      </c>
      <c r="D1373" s="27">
        <v>43300</v>
      </c>
      <c r="E1373" s="26">
        <v>6354.25</v>
      </c>
      <c r="F1373" s="26" t="s">
        <v>3087</v>
      </c>
      <c r="G1373" s="26" t="s">
        <v>8</v>
      </c>
      <c r="H1373" s="26" t="s">
        <v>3088</v>
      </c>
      <c r="I1373" s="26" t="s">
        <v>106</v>
      </c>
      <c r="J1373" s="26">
        <v>0</v>
      </c>
      <c r="K1373" s="8" t="str">
        <f t="shared" si="21"/>
        <v>RESIDUAL</v>
      </c>
    </row>
    <row r="1374" spans="1:11" x14ac:dyDescent="0.25">
      <c r="A1374" s="26" t="s">
        <v>119</v>
      </c>
      <c r="B1374" s="26" t="s">
        <v>111</v>
      </c>
      <c r="C1374" s="26">
        <v>0</v>
      </c>
      <c r="D1374" s="27">
        <v>43301</v>
      </c>
      <c r="E1374" s="26">
        <v>6354.25</v>
      </c>
      <c r="F1374" s="26" t="s">
        <v>3089</v>
      </c>
      <c r="G1374" s="26" t="s">
        <v>8</v>
      </c>
      <c r="H1374" s="26" t="s">
        <v>3090</v>
      </c>
      <c r="I1374" s="26" t="s">
        <v>106</v>
      </c>
      <c r="J1374" s="26">
        <v>0</v>
      </c>
      <c r="K1374" s="8" t="str">
        <f t="shared" si="21"/>
        <v>RESIDUAL</v>
      </c>
    </row>
    <row r="1375" spans="1:11" x14ac:dyDescent="0.25">
      <c r="A1375" s="26" t="s">
        <v>119</v>
      </c>
      <c r="B1375" s="26" t="s">
        <v>111</v>
      </c>
      <c r="C1375" s="26">
        <v>0</v>
      </c>
      <c r="D1375" s="27">
        <v>43301</v>
      </c>
      <c r="E1375" s="26">
        <v>5559.97</v>
      </c>
      <c r="F1375" s="26" t="s">
        <v>3091</v>
      </c>
      <c r="G1375" s="26" t="s">
        <v>8</v>
      </c>
      <c r="H1375" s="26" t="s">
        <v>3092</v>
      </c>
      <c r="I1375" s="26" t="s">
        <v>106</v>
      </c>
      <c r="J1375" s="26">
        <v>0</v>
      </c>
      <c r="K1375" s="8" t="str">
        <f t="shared" si="21"/>
        <v>RESIDUAL</v>
      </c>
    </row>
    <row r="1376" spans="1:11" x14ac:dyDescent="0.25">
      <c r="A1376" s="26" t="s">
        <v>119</v>
      </c>
      <c r="B1376" s="26" t="s">
        <v>111</v>
      </c>
      <c r="C1376" s="26">
        <v>0</v>
      </c>
      <c r="D1376" s="27">
        <v>43301</v>
      </c>
      <c r="E1376" s="26">
        <v>7942.81</v>
      </c>
      <c r="F1376" s="26" t="s">
        <v>3093</v>
      </c>
      <c r="G1376" s="26" t="s">
        <v>8</v>
      </c>
      <c r="H1376" s="26" t="s">
        <v>3094</v>
      </c>
      <c r="I1376" s="26" t="s">
        <v>106</v>
      </c>
      <c r="J1376" s="26">
        <v>0</v>
      </c>
      <c r="K1376" s="8" t="str">
        <f t="shared" si="21"/>
        <v>RESIDUAL</v>
      </c>
    </row>
    <row r="1377" spans="1:11" x14ac:dyDescent="0.25">
      <c r="A1377" s="26" t="s">
        <v>119</v>
      </c>
      <c r="B1377" s="26" t="s">
        <v>111</v>
      </c>
      <c r="C1377" s="26">
        <v>0</v>
      </c>
      <c r="D1377" s="27">
        <v>43304</v>
      </c>
      <c r="E1377" s="26">
        <v>7942.81</v>
      </c>
      <c r="F1377" s="26" t="s">
        <v>3095</v>
      </c>
      <c r="G1377" s="26" t="s">
        <v>8</v>
      </c>
      <c r="H1377" s="26" t="s">
        <v>3096</v>
      </c>
      <c r="I1377" s="26" t="s">
        <v>106</v>
      </c>
      <c r="J1377" s="26">
        <v>0</v>
      </c>
      <c r="K1377" s="8" t="str">
        <f t="shared" si="21"/>
        <v>RESIDUAL</v>
      </c>
    </row>
    <row r="1378" spans="1:11" x14ac:dyDescent="0.25">
      <c r="A1378" s="26" t="s">
        <v>119</v>
      </c>
      <c r="B1378" s="26" t="s">
        <v>111</v>
      </c>
      <c r="C1378" s="26">
        <v>0</v>
      </c>
      <c r="D1378" s="27">
        <v>43307</v>
      </c>
      <c r="E1378" s="26">
        <v>7942.81</v>
      </c>
      <c r="F1378" s="26" t="s">
        <v>3097</v>
      </c>
      <c r="G1378" s="26" t="s">
        <v>8</v>
      </c>
      <c r="H1378" s="26" t="s">
        <v>3098</v>
      </c>
      <c r="I1378" s="26" t="s">
        <v>106</v>
      </c>
      <c r="J1378" s="26">
        <v>0</v>
      </c>
      <c r="K1378" s="8" t="str">
        <f t="shared" si="21"/>
        <v>RESIDUAL</v>
      </c>
    </row>
    <row r="1379" spans="1:11" x14ac:dyDescent="0.25">
      <c r="A1379" s="26" t="s">
        <v>119</v>
      </c>
      <c r="B1379" s="26" t="s">
        <v>111</v>
      </c>
      <c r="C1379" s="26">
        <v>0</v>
      </c>
      <c r="D1379" s="27">
        <v>43308</v>
      </c>
      <c r="E1379" s="26">
        <v>3971.41</v>
      </c>
      <c r="F1379" s="26" t="s">
        <v>3099</v>
      </c>
      <c r="G1379" s="26" t="s">
        <v>8</v>
      </c>
      <c r="H1379" s="26" t="s">
        <v>3100</v>
      </c>
      <c r="I1379" s="26" t="s">
        <v>106</v>
      </c>
      <c r="J1379" s="26">
        <v>0</v>
      </c>
      <c r="K1379" s="8" t="str">
        <f t="shared" si="21"/>
        <v>RESIDUAL</v>
      </c>
    </row>
    <row r="1380" spans="1:11" x14ac:dyDescent="0.25">
      <c r="A1380" s="26" t="s">
        <v>119</v>
      </c>
      <c r="B1380" s="26" t="s">
        <v>111</v>
      </c>
      <c r="C1380" s="26">
        <v>0</v>
      </c>
      <c r="D1380" s="27">
        <v>43308</v>
      </c>
      <c r="E1380" s="26">
        <v>7942.81</v>
      </c>
      <c r="F1380" s="26" t="s">
        <v>3101</v>
      </c>
      <c r="G1380" s="26" t="s">
        <v>8</v>
      </c>
      <c r="H1380" s="26" t="s">
        <v>3102</v>
      </c>
      <c r="I1380" s="26" t="s">
        <v>106</v>
      </c>
      <c r="J1380" s="26">
        <v>0</v>
      </c>
      <c r="K1380" s="8" t="str">
        <f t="shared" si="21"/>
        <v>RESIDUAL</v>
      </c>
    </row>
    <row r="1381" spans="1:11" x14ac:dyDescent="0.25">
      <c r="A1381" s="26" t="s">
        <v>119</v>
      </c>
      <c r="B1381" s="26" t="s">
        <v>111</v>
      </c>
      <c r="C1381" s="26">
        <v>0</v>
      </c>
      <c r="D1381" s="27">
        <v>43308</v>
      </c>
      <c r="E1381" s="26">
        <v>7942.81</v>
      </c>
      <c r="F1381" s="26" t="s">
        <v>3103</v>
      </c>
      <c r="G1381" s="26" t="s">
        <v>8</v>
      </c>
      <c r="H1381" s="26" t="s">
        <v>3104</v>
      </c>
      <c r="I1381" s="26" t="s">
        <v>106</v>
      </c>
      <c r="J1381" s="26">
        <v>0</v>
      </c>
      <c r="K1381" s="8" t="str">
        <f t="shared" si="21"/>
        <v>RESIDUAL</v>
      </c>
    </row>
    <row r="1382" spans="1:11" x14ac:dyDescent="0.25">
      <c r="A1382" s="26" t="s">
        <v>119</v>
      </c>
      <c r="B1382" s="26" t="s">
        <v>111</v>
      </c>
      <c r="C1382" s="26">
        <v>0</v>
      </c>
      <c r="D1382" s="27">
        <v>43311</v>
      </c>
      <c r="E1382" s="26">
        <v>5559.97</v>
      </c>
      <c r="F1382" s="26" t="s">
        <v>3105</v>
      </c>
      <c r="G1382" s="26" t="s">
        <v>8</v>
      </c>
      <c r="H1382" s="26" t="s">
        <v>3106</v>
      </c>
      <c r="I1382" s="26" t="s">
        <v>106</v>
      </c>
      <c r="J1382" s="26">
        <v>0</v>
      </c>
      <c r="K1382" s="8" t="str">
        <f t="shared" si="21"/>
        <v>RESIDUAL</v>
      </c>
    </row>
    <row r="1383" spans="1:11" x14ac:dyDescent="0.25">
      <c r="A1383" s="26" t="s">
        <v>119</v>
      </c>
      <c r="B1383" s="26" t="s">
        <v>111</v>
      </c>
      <c r="C1383" s="26">
        <v>0</v>
      </c>
      <c r="D1383" s="27">
        <v>43314</v>
      </c>
      <c r="E1383" s="26">
        <v>6354.25</v>
      </c>
      <c r="F1383" s="26" t="s">
        <v>3107</v>
      </c>
      <c r="G1383" s="26" t="s">
        <v>8</v>
      </c>
      <c r="H1383" s="26" t="s">
        <v>3108</v>
      </c>
      <c r="I1383" s="26" t="s">
        <v>106</v>
      </c>
      <c r="J1383" s="26">
        <v>0</v>
      </c>
      <c r="K1383" s="8" t="str">
        <f t="shared" si="21"/>
        <v>RESIDUAL</v>
      </c>
    </row>
    <row r="1384" spans="1:11" x14ac:dyDescent="0.25">
      <c r="A1384" s="26" t="s">
        <v>119</v>
      </c>
      <c r="B1384" s="26" t="s">
        <v>111</v>
      </c>
      <c r="C1384" s="26">
        <v>0</v>
      </c>
      <c r="D1384" s="27">
        <v>43315</v>
      </c>
      <c r="E1384" s="26">
        <v>7942.81</v>
      </c>
      <c r="F1384" s="26" t="s">
        <v>3109</v>
      </c>
      <c r="G1384" s="26" t="s">
        <v>8</v>
      </c>
      <c r="H1384" s="26" t="s">
        <v>3110</v>
      </c>
      <c r="I1384" s="26" t="s">
        <v>106</v>
      </c>
      <c r="J1384" s="26">
        <v>0</v>
      </c>
      <c r="K1384" s="8" t="str">
        <f t="shared" si="21"/>
        <v>RESIDUAL</v>
      </c>
    </row>
    <row r="1385" spans="1:11" x14ac:dyDescent="0.25">
      <c r="A1385" s="26" t="s">
        <v>119</v>
      </c>
      <c r="B1385" s="26" t="s">
        <v>111</v>
      </c>
      <c r="C1385" s="26">
        <v>0</v>
      </c>
      <c r="D1385" s="27">
        <v>43315</v>
      </c>
      <c r="E1385" s="26">
        <v>6354.25</v>
      </c>
      <c r="F1385" s="26" t="s">
        <v>3111</v>
      </c>
      <c r="G1385" s="26" t="s">
        <v>8</v>
      </c>
      <c r="H1385" s="26" t="s">
        <v>3112</v>
      </c>
      <c r="I1385" s="26" t="s">
        <v>106</v>
      </c>
      <c r="J1385" s="26">
        <v>0</v>
      </c>
      <c r="K1385" s="8" t="str">
        <f t="shared" si="21"/>
        <v>RESIDUAL</v>
      </c>
    </row>
    <row r="1386" spans="1:11" x14ac:dyDescent="0.25">
      <c r="A1386" s="26" t="s">
        <v>119</v>
      </c>
      <c r="B1386" s="26" t="s">
        <v>111</v>
      </c>
      <c r="C1386" s="26">
        <v>0</v>
      </c>
      <c r="D1386" s="27">
        <v>43315</v>
      </c>
      <c r="E1386" s="26">
        <v>6354.25</v>
      </c>
      <c r="F1386" s="26" t="s">
        <v>3113</v>
      </c>
      <c r="G1386" s="26" t="s">
        <v>8</v>
      </c>
      <c r="H1386" s="26" t="s">
        <v>3114</v>
      </c>
      <c r="I1386" s="26" t="s">
        <v>106</v>
      </c>
      <c r="J1386" s="26">
        <v>0</v>
      </c>
      <c r="K1386" s="8" t="str">
        <f t="shared" si="21"/>
        <v>RESIDUAL</v>
      </c>
    </row>
    <row r="1387" spans="1:11" x14ac:dyDescent="0.25">
      <c r="A1387" s="26" t="s">
        <v>119</v>
      </c>
      <c r="B1387" s="26" t="s">
        <v>111</v>
      </c>
      <c r="C1387" s="26">
        <v>0</v>
      </c>
      <c r="D1387" s="27">
        <v>43318</v>
      </c>
      <c r="E1387" s="26">
        <v>5559.97</v>
      </c>
      <c r="F1387" s="26" t="s">
        <v>3115</v>
      </c>
      <c r="G1387" s="26" t="s">
        <v>8</v>
      </c>
      <c r="H1387" s="26" t="s">
        <v>3116</v>
      </c>
      <c r="I1387" s="26" t="s">
        <v>106</v>
      </c>
      <c r="J1387" s="26">
        <v>0</v>
      </c>
      <c r="K1387" s="8" t="str">
        <f t="shared" si="21"/>
        <v>RESIDUAL</v>
      </c>
    </row>
    <row r="1388" spans="1:11" x14ac:dyDescent="0.25">
      <c r="A1388" s="26" t="s">
        <v>119</v>
      </c>
      <c r="B1388" s="26" t="s">
        <v>111</v>
      </c>
      <c r="C1388" s="26">
        <v>0</v>
      </c>
      <c r="D1388" s="27">
        <v>43321</v>
      </c>
      <c r="E1388" s="26">
        <v>7942.81</v>
      </c>
      <c r="F1388" s="26" t="s">
        <v>3117</v>
      </c>
      <c r="G1388" s="26" t="s">
        <v>8</v>
      </c>
      <c r="H1388" s="26" t="s">
        <v>3118</v>
      </c>
      <c r="I1388" s="26" t="s">
        <v>106</v>
      </c>
      <c r="J1388" s="26">
        <v>0</v>
      </c>
      <c r="K1388" s="8" t="str">
        <f t="shared" si="21"/>
        <v>RESIDUAL</v>
      </c>
    </row>
    <row r="1389" spans="1:11" x14ac:dyDescent="0.25">
      <c r="A1389" s="26" t="s">
        <v>119</v>
      </c>
      <c r="B1389" s="26" t="s">
        <v>111</v>
      </c>
      <c r="C1389" s="26">
        <v>0</v>
      </c>
      <c r="D1389" s="27">
        <v>43322</v>
      </c>
      <c r="E1389" s="26">
        <v>7942.81</v>
      </c>
      <c r="F1389" s="26" t="s">
        <v>3119</v>
      </c>
      <c r="G1389" s="26" t="s">
        <v>8</v>
      </c>
      <c r="H1389" s="26" t="s">
        <v>3120</v>
      </c>
      <c r="I1389" s="26" t="s">
        <v>106</v>
      </c>
      <c r="J1389" s="26">
        <v>0</v>
      </c>
      <c r="K1389" s="8" t="str">
        <f t="shared" si="21"/>
        <v>RESIDUAL</v>
      </c>
    </row>
    <row r="1390" spans="1:11" x14ac:dyDescent="0.25">
      <c r="A1390" s="26" t="s">
        <v>119</v>
      </c>
      <c r="B1390" s="26" t="s">
        <v>111</v>
      </c>
      <c r="C1390" s="26">
        <v>0</v>
      </c>
      <c r="D1390" s="27">
        <v>43322</v>
      </c>
      <c r="E1390" s="26">
        <v>7942.81</v>
      </c>
      <c r="F1390" s="26" t="s">
        <v>3121</v>
      </c>
      <c r="G1390" s="26" t="s">
        <v>8</v>
      </c>
      <c r="H1390" s="26" t="s">
        <v>3122</v>
      </c>
      <c r="I1390" s="26" t="s">
        <v>106</v>
      </c>
      <c r="J1390" s="26">
        <v>0</v>
      </c>
      <c r="K1390" s="8" t="str">
        <f t="shared" si="21"/>
        <v>RESIDUAL</v>
      </c>
    </row>
    <row r="1391" spans="1:11" x14ac:dyDescent="0.25">
      <c r="A1391" s="26" t="s">
        <v>119</v>
      </c>
      <c r="B1391" s="26" t="s">
        <v>111</v>
      </c>
      <c r="C1391" s="26">
        <v>0</v>
      </c>
      <c r="D1391" s="27">
        <v>43322</v>
      </c>
      <c r="E1391" s="26">
        <v>5559.97</v>
      </c>
      <c r="F1391" s="26" t="s">
        <v>3123</v>
      </c>
      <c r="G1391" s="26" t="s">
        <v>8</v>
      </c>
      <c r="H1391" s="26" t="s">
        <v>3124</v>
      </c>
      <c r="I1391" s="26" t="s">
        <v>106</v>
      </c>
      <c r="J1391" s="26">
        <v>0</v>
      </c>
      <c r="K1391" s="8" t="str">
        <f t="shared" si="21"/>
        <v>RESIDUAL</v>
      </c>
    </row>
    <row r="1392" spans="1:11" x14ac:dyDescent="0.25">
      <c r="A1392" s="26" t="s">
        <v>119</v>
      </c>
      <c r="B1392" s="26" t="s">
        <v>111</v>
      </c>
      <c r="C1392" s="26">
        <v>0</v>
      </c>
      <c r="D1392" s="27">
        <v>43325</v>
      </c>
      <c r="E1392" s="26">
        <v>7942.81</v>
      </c>
      <c r="F1392" s="26" t="s">
        <v>3125</v>
      </c>
      <c r="G1392" s="26" t="s">
        <v>8</v>
      </c>
      <c r="H1392" s="26" t="s">
        <v>3126</v>
      </c>
      <c r="I1392" s="26" t="s">
        <v>106</v>
      </c>
      <c r="J1392" s="26">
        <v>0</v>
      </c>
      <c r="K1392" s="8" t="str">
        <f t="shared" si="21"/>
        <v>RESIDUAL</v>
      </c>
    </row>
    <row r="1393" spans="1:11" x14ac:dyDescent="0.25">
      <c r="A1393" s="26" t="s">
        <v>119</v>
      </c>
      <c r="B1393" s="26" t="s">
        <v>111</v>
      </c>
      <c r="C1393" s="26">
        <v>0</v>
      </c>
      <c r="D1393" s="27">
        <v>43328</v>
      </c>
      <c r="E1393" s="26">
        <v>7942.81</v>
      </c>
      <c r="F1393" s="26" t="s">
        <v>3127</v>
      </c>
      <c r="G1393" s="26" t="s">
        <v>8</v>
      </c>
      <c r="H1393" s="26" t="s">
        <v>3128</v>
      </c>
      <c r="I1393" s="26" t="s">
        <v>106</v>
      </c>
      <c r="J1393" s="26">
        <v>0</v>
      </c>
      <c r="K1393" s="8" t="str">
        <f t="shared" si="21"/>
        <v>RESIDUAL</v>
      </c>
    </row>
    <row r="1394" spans="1:11" x14ac:dyDescent="0.25">
      <c r="A1394" s="26" t="s">
        <v>119</v>
      </c>
      <c r="B1394" s="26" t="s">
        <v>111</v>
      </c>
      <c r="C1394" s="26">
        <v>0</v>
      </c>
      <c r="D1394" s="27">
        <v>43329</v>
      </c>
      <c r="E1394" s="26">
        <v>9531.3700000000008</v>
      </c>
      <c r="F1394" s="26" t="s">
        <v>3129</v>
      </c>
      <c r="G1394" s="26" t="s">
        <v>8</v>
      </c>
      <c r="H1394" s="26" t="s">
        <v>3130</v>
      </c>
      <c r="I1394" s="26" t="s">
        <v>106</v>
      </c>
      <c r="J1394" s="26">
        <v>0</v>
      </c>
      <c r="K1394" s="8" t="str">
        <f t="shared" si="21"/>
        <v>RESIDUAL</v>
      </c>
    </row>
    <row r="1395" spans="1:11" x14ac:dyDescent="0.25">
      <c r="A1395" s="26" t="s">
        <v>119</v>
      </c>
      <c r="B1395" s="26" t="s">
        <v>111</v>
      </c>
      <c r="C1395" s="26">
        <v>0</v>
      </c>
      <c r="D1395" s="27">
        <v>43329</v>
      </c>
      <c r="E1395" s="26">
        <v>7942.81</v>
      </c>
      <c r="F1395" s="26" t="s">
        <v>3131</v>
      </c>
      <c r="G1395" s="26" t="s">
        <v>8</v>
      </c>
      <c r="H1395" s="26" t="s">
        <v>3132</v>
      </c>
      <c r="I1395" s="26" t="s">
        <v>106</v>
      </c>
      <c r="J1395" s="26">
        <v>0</v>
      </c>
      <c r="K1395" s="8" t="str">
        <f t="shared" si="21"/>
        <v>RESIDUAL</v>
      </c>
    </row>
    <row r="1396" spans="1:11" x14ac:dyDescent="0.25">
      <c r="A1396" s="26" t="s">
        <v>119</v>
      </c>
      <c r="B1396" s="26" t="s">
        <v>111</v>
      </c>
      <c r="C1396" s="26">
        <v>0</v>
      </c>
      <c r="D1396" s="27">
        <v>43329</v>
      </c>
      <c r="E1396" s="26">
        <v>7942.81</v>
      </c>
      <c r="F1396" s="26" t="s">
        <v>3133</v>
      </c>
      <c r="G1396" s="26" t="s">
        <v>8</v>
      </c>
      <c r="H1396" s="26" t="s">
        <v>3134</v>
      </c>
      <c r="I1396" s="26" t="s">
        <v>106</v>
      </c>
      <c r="J1396" s="26">
        <v>0</v>
      </c>
      <c r="K1396" s="8" t="str">
        <f t="shared" si="21"/>
        <v>RESIDUAL</v>
      </c>
    </row>
    <row r="1397" spans="1:11" x14ac:dyDescent="0.25">
      <c r="A1397" s="26" t="s">
        <v>119</v>
      </c>
      <c r="B1397" s="26" t="s">
        <v>111</v>
      </c>
      <c r="C1397" s="26">
        <v>0</v>
      </c>
      <c r="D1397" s="27">
        <v>43336</v>
      </c>
      <c r="E1397" s="26">
        <v>7942.81</v>
      </c>
      <c r="F1397" s="26" t="s">
        <v>3135</v>
      </c>
      <c r="G1397" s="26" t="s">
        <v>8</v>
      </c>
      <c r="H1397" s="26" t="s">
        <v>3136</v>
      </c>
      <c r="I1397" s="26" t="s">
        <v>106</v>
      </c>
      <c r="J1397" s="26">
        <v>0</v>
      </c>
      <c r="K1397" s="8" t="str">
        <f t="shared" si="21"/>
        <v>RESIDUAL</v>
      </c>
    </row>
    <row r="1398" spans="1:11" x14ac:dyDescent="0.25">
      <c r="A1398" s="26" t="s">
        <v>119</v>
      </c>
      <c r="B1398" s="26" t="s">
        <v>111</v>
      </c>
      <c r="C1398" s="26">
        <v>0</v>
      </c>
      <c r="D1398" s="27">
        <v>43336</v>
      </c>
      <c r="E1398" s="26">
        <v>7942.81</v>
      </c>
      <c r="F1398" s="26" t="s">
        <v>3137</v>
      </c>
      <c r="G1398" s="26" t="s">
        <v>8</v>
      </c>
      <c r="H1398" s="26" t="s">
        <v>3138</v>
      </c>
      <c r="I1398" s="26" t="s">
        <v>106</v>
      </c>
      <c r="J1398" s="26">
        <v>0</v>
      </c>
      <c r="K1398" s="8" t="str">
        <f t="shared" si="21"/>
        <v>RESIDUAL</v>
      </c>
    </row>
    <row r="1399" spans="1:11" x14ac:dyDescent="0.25">
      <c r="A1399" s="26" t="s">
        <v>119</v>
      </c>
      <c r="B1399" s="26" t="s">
        <v>111</v>
      </c>
      <c r="C1399" s="26">
        <v>0</v>
      </c>
      <c r="D1399" s="27">
        <v>43336</v>
      </c>
      <c r="E1399" s="26">
        <v>7942.81</v>
      </c>
      <c r="F1399" s="26" t="s">
        <v>3139</v>
      </c>
      <c r="G1399" s="26" t="s">
        <v>8</v>
      </c>
      <c r="H1399" s="26" t="s">
        <v>3140</v>
      </c>
      <c r="I1399" s="26" t="s">
        <v>106</v>
      </c>
      <c r="J1399" s="26">
        <v>0</v>
      </c>
      <c r="K1399" s="8" t="str">
        <f t="shared" si="21"/>
        <v>RESIDUAL</v>
      </c>
    </row>
    <row r="1400" spans="1:11" x14ac:dyDescent="0.25">
      <c r="A1400" s="26" t="s">
        <v>119</v>
      </c>
      <c r="B1400" s="26" t="s">
        <v>111</v>
      </c>
      <c r="C1400" s="26">
        <v>0</v>
      </c>
      <c r="D1400" s="27">
        <v>43339</v>
      </c>
      <c r="E1400" s="26">
        <v>7942.81</v>
      </c>
      <c r="F1400" s="26" t="s">
        <v>3141</v>
      </c>
      <c r="G1400" s="26" t="s">
        <v>8</v>
      </c>
      <c r="H1400" s="26" t="s">
        <v>3142</v>
      </c>
      <c r="I1400" s="26" t="s">
        <v>106</v>
      </c>
      <c r="J1400" s="26">
        <v>0</v>
      </c>
      <c r="K1400" s="8" t="str">
        <f t="shared" si="21"/>
        <v>RESIDUAL</v>
      </c>
    </row>
    <row r="1401" spans="1:11" x14ac:dyDescent="0.25">
      <c r="A1401" s="26" t="s">
        <v>119</v>
      </c>
      <c r="B1401" s="26" t="s">
        <v>111</v>
      </c>
      <c r="C1401" s="26">
        <v>0</v>
      </c>
      <c r="D1401" s="27">
        <v>43342</v>
      </c>
      <c r="E1401" s="26">
        <v>7942.81</v>
      </c>
      <c r="F1401" s="26" t="s">
        <v>3143</v>
      </c>
      <c r="G1401" s="26" t="s">
        <v>8</v>
      </c>
      <c r="H1401" s="26" t="s">
        <v>3144</v>
      </c>
      <c r="I1401" s="26" t="s">
        <v>106</v>
      </c>
      <c r="J1401" s="26">
        <v>0</v>
      </c>
      <c r="K1401" s="8" t="str">
        <f t="shared" si="21"/>
        <v>RESIDUAL</v>
      </c>
    </row>
    <row r="1402" spans="1:11" x14ac:dyDescent="0.25">
      <c r="A1402" s="26" t="s">
        <v>119</v>
      </c>
      <c r="B1402" s="26" t="s">
        <v>111</v>
      </c>
      <c r="C1402" s="26">
        <v>0</v>
      </c>
      <c r="D1402" s="27">
        <v>43343</v>
      </c>
      <c r="E1402" s="26">
        <v>7148.53</v>
      </c>
      <c r="F1402" s="26" t="s">
        <v>3145</v>
      </c>
      <c r="G1402" s="26" t="s">
        <v>8</v>
      </c>
      <c r="H1402" s="26" t="s">
        <v>3146</v>
      </c>
      <c r="I1402" s="26" t="s">
        <v>106</v>
      </c>
      <c r="J1402" s="26">
        <v>0</v>
      </c>
      <c r="K1402" s="8" t="str">
        <f t="shared" si="21"/>
        <v>RESIDUAL</v>
      </c>
    </row>
    <row r="1403" spans="1:11" x14ac:dyDescent="0.25">
      <c r="A1403" s="26" t="s">
        <v>119</v>
      </c>
      <c r="B1403" s="26" t="s">
        <v>111</v>
      </c>
      <c r="C1403" s="26">
        <v>0</v>
      </c>
      <c r="D1403" s="27">
        <v>43343</v>
      </c>
      <c r="E1403" s="26">
        <v>7942.81</v>
      </c>
      <c r="F1403" s="26" t="s">
        <v>3147</v>
      </c>
      <c r="G1403" s="26" t="s">
        <v>8</v>
      </c>
      <c r="H1403" s="26" t="s">
        <v>3148</v>
      </c>
      <c r="I1403" s="26" t="s">
        <v>106</v>
      </c>
      <c r="J1403" s="26">
        <v>0</v>
      </c>
      <c r="K1403" s="8" t="str">
        <f t="shared" si="21"/>
        <v>RESIDUAL</v>
      </c>
    </row>
    <row r="1404" spans="1:11" x14ac:dyDescent="0.25">
      <c r="A1404" s="26" t="s">
        <v>119</v>
      </c>
      <c r="B1404" s="26" t="s">
        <v>111</v>
      </c>
      <c r="C1404" s="26">
        <v>0</v>
      </c>
      <c r="D1404" s="27">
        <v>43343</v>
      </c>
      <c r="E1404" s="26">
        <v>7942.81</v>
      </c>
      <c r="F1404" s="26" t="s">
        <v>3149</v>
      </c>
      <c r="G1404" s="26" t="s">
        <v>8</v>
      </c>
      <c r="H1404" s="26" t="s">
        <v>3150</v>
      </c>
      <c r="I1404" s="26" t="s">
        <v>106</v>
      </c>
      <c r="J1404" s="26">
        <v>0</v>
      </c>
      <c r="K1404" s="8" t="str">
        <f t="shared" si="21"/>
        <v>RESIDUAL</v>
      </c>
    </row>
    <row r="1405" spans="1:11" x14ac:dyDescent="0.25">
      <c r="A1405" s="26" t="s">
        <v>119</v>
      </c>
      <c r="B1405" s="26" t="s">
        <v>111</v>
      </c>
      <c r="C1405" s="26">
        <v>0</v>
      </c>
      <c r="D1405" s="27">
        <v>43346</v>
      </c>
      <c r="E1405" s="26">
        <v>7942.81</v>
      </c>
      <c r="F1405" s="26" t="s">
        <v>3151</v>
      </c>
      <c r="G1405" s="26" t="s">
        <v>8</v>
      </c>
      <c r="H1405" s="26" t="s">
        <v>3152</v>
      </c>
      <c r="I1405" s="26" t="s">
        <v>106</v>
      </c>
      <c r="J1405" s="26">
        <v>0</v>
      </c>
      <c r="K1405" s="8" t="str">
        <f t="shared" si="21"/>
        <v>RESIDUAL</v>
      </c>
    </row>
    <row r="1406" spans="1:11" x14ac:dyDescent="0.25">
      <c r="A1406" s="26" t="s">
        <v>119</v>
      </c>
      <c r="B1406" s="26" t="s">
        <v>111</v>
      </c>
      <c r="C1406" s="26">
        <v>0</v>
      </c>
      <c r="D1406" s="27">
        <v>43349</v>
      </c>
      <c r="E1406" s="26">
        <v>7942.81</v>
      </c>
      <c r="F1406" s="26" t="s">
        <v>3153</v>
      </c>
      <c r="G1406" s="26" t="s">
        <v>8</v>
      </c>
      <c r="H1406" s="26" t="s">
        <v>3154</v>
      </c>
      <c r="I1406" s="26" t="s">
        <v>106</v>
      </c>
      <c r="J1406" s="26">
        <v>0</v>
      </c>
      <c r="K1406" s="8" t="str">
        <f t="shared" si="21"/>
        <v>RESIDUAL</v>
      </c>
    </row>
    <row r="1407" spans="1:11" x14ac:dyDescent="0.25">
      <c r="A1407" s="26" t="s">
        <v>119</v>
      </c>
      <c r="B1407" s="26" t="s">
        <v>111</v>
      </c>
      <c r="C1407" s="26">
        <v>0</v>
      </c>
      <c r="D1407" s="27">
        <v>43350</v>
      </c>
      <c r="E1407" s="26">
        <v>7942.81</v>
      </c>
      <c r="F1407" s="26" t="s">
        <v>3155</v>
      </c>
      <c r="G1407" s="26" t="s">
        <v>8</v>
      </c>
      <c r="H1407" s="26" t="s">
        <v>3156</v>
      </c>
      <c r="I1407" s="26" t="s">
        <v>106</v>
      </c>
      <c r="J1407" s="26">
        <v>0</v>
      </c>
      <c r="K1407" s="8" t="str">
        <f t="shared" si="21"/>
        <v>RESIDUAL</v>
      </c>
    </row>
    <row r="1408" spans="1:11" x14ac:dyDescent="0.25">
      <c r="A1408" s="26" t="s">
        <v>119</v>
      </c>
      <c r="B1408" s="26" t="s">
        <v>111</v>
      </c>
      <c r="C1408" s="26">
        <v>0</v>
      </c>
      <c r="D1408" s="27">
        <v>43350</v>
      </c>
      <c r="E1408" s="26">
        <v>7942.81</v>
      </c>
      <c r="F1408" s="26" t="s">
        <v>3157</v>
      </c>
      <c r="G1408" s="26" t="s">
        <v>8</v>
      </c>
      <c r="H1408" s="26" t="s">
        <v>3158</v>
      </c>
      <c r="I1408" s="26" t="s">
        <v>106</v>
      </c>
      <c r="J1408" s="26">
        <v>0</v>
      </c>
      <c r="K1408" s="8" t="str">
        <f t="shared" si="21"/>
        <v>RESIDUAL</v>
      </c>
    </row>
    <row r="1409" spans="1:11" x14ac:dyDescent="0.25">
      <c r="A1409" s="26" t="s">
        <v>119</v>
      </c>
      <c r="B1409" s="26" t="s">
        <v>111</v>
      </c>
      <c r="C1409" s="26">
        <v>0</v>
      </c>
      <c r="D1409" s="27">
        <v>43350</v>
      </c>
      <c r="E1409" s="26">
        <v>7942.81</v>
      </c>
      <c r="F1409" s="26" t="s">
        <v>3159</v>
      </c>
      <c r="G1409" s="26" t="s">
        <v>8</v>
      </c>
      <c r="H1409" s="26" t="s">
        <v>3160</v>
      </c>
      <c r="I1409" s="26" t="s">
        <v>106</v>
      </c>
      <c r="J1409" s="26">
        <v>0</v>
      </c>
      <c r="K1409" s="8" t="str">
        <f t="shared" si="21"/>
        <v>RESIDUAL</v>
      </c>
    </row>
    <row r="1410" spans="1:11" x14ac:dyDescent="0.25">
      <c r="A1410" s="26" t="s">
        <v>119</v>
      </c>
      <c r="B1410" s="26" t="s">
        <v>111</v>
      </c>
      <c r="C1410" s="26">
        <v>0</v>
      </c>
      <c r="D1410" s="27">
        <v>43353</v>
      </c>
      <c r="E1410" s="26">
        <v>7942.81</v>
      </c>
      <c r="F1410" s="26" t="s">
        <v>3161</v>
      </c>
      <c r="G1410" s="26" t="s">
        <v>8</v>
      </c>
      <c r="H1410" s="26" t="s">
        <v>3162</v>
      </c>
      <c r="I1410" s="26" t="s">
        <v>106</v>
      </c>
      <c r="J1410" s="26">
        <v>0</v>
      </c>
      <c r="K1410" s="8" t="str">
        <f t="shared" si="21"/>
        <v>RESIDUAL</v>
      </c>
    </row>
    <row r="1411" spans="1:11" x14ac:dyDescent="0.25">
      <c r="A1411" s="26" t="s">
        <v>119</v>
      </c>
      <c r="B1411" s="26" t="s">
        <v>111</v>
      </c>
      <c r="C1411" s="26">
        <v>0</v>
      </c>
      <c r="D1411" s="27">
        <v>43356</v>
      </c>
      <c r="E1411" s="26">
        <v>7942.81</v>
      </c>
      <c r="F1411" s="26" t="s">
        <v>3163</v>
      </c>
      <c r="G1411" s="26" t="s">
        <v>8</v>
      </c>
      <c r="H1411" s="26" t="s">
        <v>3164</v>
      </c>
      <c r="I1411" s="26" t="s">
        <v>106</v>
      </c>
      <c r="J1411" s="26">
        <v>0</v>
      </c>
      <c r="K1411" s="8" t="str">
        <f t="shared" ref="K1411:K1474" si="22">LEFT(A1411,FIND("/",A1411)-1)</f>
        <v>RESIDUAL</v>
      </c>
    </row>
    <row r="1412" spans="1:11" x14ac:dyDescent="0.25">
      <c r="A1412" s="26" t="s">
        <v>119</v>
      </c>
      <c r="B1412" s="26" t="s">
        <v>111</v>
      </c>
      <c r="C1412" s="26">
        <v>0</v>
      </c>
      <c r="D1412" s="27">
        <v>43357</v>
      </c>
      <c r="E1412" s="26">
        <v>7942.81</v>
      </c>
      <c r="F1412" s="26" t="s">
        <v>3165</v>
      </c>
      <c r="G1412" s="26" t="s">
        <v>8</v>
      </c>
      <c r="H1412" s="26" t="s">
        <v>3166</v>
      </c>
      <c r="I1412" s="26" t="s">
        <v>106</v>
      </c>
      <c r="J1412" s="26">
        <v>0</v>
      </c>
      <c r="K1412" s="8" t="str">
        <f t="shared" si="22"/>
        <v>RESIDUAL</v>
      </c>
    </row>
    <row r="1413" spans="1:11" x14ac:dyDescent="0.25">
      <c r="A1413" s="26" t="s">
        <v>119</v>
      </c>
      <c r="B1413" s="26" t="s">
        <v>111</v>
      </c>
      <c r="C1413" s="26">
        <v>0</v>
      </c>
      <c r="D1413" s="27">
        <v>43357</v>
      </c>
      <c r="E1413" s="26">
        <v>7942.81</v>
      </c>
      <c r="F1413" s="26" t="s">
        <v>3167</v>
      </c>
      <c r="G1413" s="26" t="s">
        <v>8</v>
      </c>
      <c r="H1413" s="26" t="s">
        <v>3168</v>
      </c>
      <c r="I1413" s="26" t="s">
        <v>106</v>
      </c>
      <c r="J1413" s="26">
        <v>0</v>
      </c>
      <c r="K1413" s="8" t="str">
        <f t="shared" si="22"/>
        <v>RESIDUAL</v>
      </c>
    </row>
    <row r="1414" spans="1:11" x14ac:dyDescent="0.25">
      <c r="A1414" s="26" t="s">
        <v>119</v>
      </c>
      <c r="B1414" s="26" t="s">
        <v>111</v>
      </c>
      <c r="C1414" s="26">
        <v>0</v>
      </c>
      <c r="D1414" s="27">
        <v>43357</v>
      </c>
      <c r="E1414" s="26">
        <v>4765.6899999999996</v>
      </c>
      <c r="F1414" s="26" t="s">
        <v>3169</v>
      </c>
      <c r="G1414" s="26" t="s">
        <v>8</v>
      </c>
      <c r="H1414" s="26" t="s">
        <v>3170</v>
      </c>
      <c r="I1414" s="26" t="s">
        <v>106</v>
      </c>
      <c r="J1414" s="26">
        <v>0</v>
      </c>
      <c r="K1414" s="8" t="str">
        <f t="shared" si="22"/>
        <v>RESIDUAL</v>
      </c>
    </row>
    <row r="1415" spans="1:11" x14ac:dyDescent="0.25">
      <c r="A1415" s="26" t="s">
        <v>119</v>
      </c>
      <c r="B1415" s="26" t="s">
        <v>111</v>
      </c>
      <c r="C1415" s="26">
        <v>0</v>
      </c>
      <c r="D1415" s="27">
        <v>43360</v>
      </c>
      <c r="E1415" s="26">
        <v>7942.81</v>
      </c>
      <c r="F1415" s="26" t="s">
        <v>3171</v>
      </c>
      <c r="G1415" s="26" t="s">
        <v>8</v>
      </c>
      <c r="H1415" s="26" t="s">
        <v>3172</v>
      </c>
      <c r="I1415" s="26" t="s">
        <v>106</v>
      </c>
      <c r="J1415" s="26">
        <v>0</v>
      </c>
      <c r="K1415" s="8" t="str">
        <f t="shared" si="22"/>
        <v>RESIDUAL</v>
      </c>
    </row>
    <row r="1416" spans="1:11" x14ac:dyDescent="0.25">
      <c r="A1416" s="26" t="s">
        <v>147</v>
      </c>
      <c r="B1416" s="26" t="s">
        <v>111</v>
      </c>
      <c r="C1416" s="26">
        <v>0</v>
      </c>
      <c r="D1416" s="27">
        <v>43318</v>
      </c>
      <c r="E1416" s="26">
        <v>3177.12</v>
      </c>
      <c r="F1416" s="26" t="s">
        <v>3173</v>
      </c>
      <c r="G1416" s="26" t="s">
        <v>8</v>
      </c>
      <c r="H1416" s="26" t="s">
        <v>3174</v>
      </c>
      <c r="I1416" s="26" t="s">
        <v>106</v>
      </c>
      <c r="J1416" s="26">
        <v>0</v>
      </c>
      <c r="K1416" s="8" t="str">
        <f t="shared" si="22"/>
        <v>SCOTTISHRE</v>
      </c>
    </row>
    <row r="1417" spans="1:11" x14ac:dyDescent="0.25">
      <c r="A1417" s="26" t="s">
        <v>147</v>
      </c>
      <c r="B1417" s="26" t="s">
        <v>111</v>
      </c>
      <c r="C1417" s="26">
        <v>0</v>
      </c>
      <c r="D1417" s="27">
        <v>43339</v>
      </c>
      <c r="E1417" s="26">
        <v>397.14</v>
      </c>
      <c r="F1417" s="26" t="s">
        <v>3175</v>
      </c>
      <c r="G1417" s="26" t="s">
        <v>8</v>
      </c>
      <c r="H1417" s="26" t="s">
        <v>3176</v>
      </c>
      <c r="I1417" s="26" t="s">
        <v>106</v>
      </c>
      <c r="J1417" s="26">
        <v>0</v>
      </c>
      <c r="K1417" s="8" t="str">
        <f t="shared" si="22"/>
        <v>SCOTTISHRE</v>
      </c>
    </row>
    <row r="1418" spans="1:11" x14ac:dyDescent="0.25">
      <c r="A1418" s="26" t="s">
        <v>148</v>
      </c>
      <c r="B1418" s="26" t="s">
        <v>111</v>
      </c>
      <c r="C1418" s="26">
        <v>0</v>
      </c>
      <c r="D1418" s="27">
        <v>43244</v>
      </c>
      <c r="E1418" s="26">
        <v>-64495.63</v>
      </c>
      <c r="F1418" s="26" t="s">
        <v>3177</v>
      </c>
      <c r="G1418" s="26" t="s">
        <v>8</v>
      </c>
      <c r="H1418" s="26" t="s">
        <v>3178</v>
      </c>
      <c r="I1418" s="26" t="s">
        <v>106</v>
      </c>
      <c r="J1418" s="26">
        <v>0</v>
      </c>
      <c r="K1418" s="8" t="str">
        <f t="shared" si="22"/>
        <v>VATBACSREP</v>
      </c>
    </row>
    <row r="1419" spans="1:11" x14ac:dyDescent="0.25">
      <c r="A1419" s="26" t="s">
        <v>148</v>
      </c>
      <c r="B1419" s="26" t="s">
        <v>111</v>
      </c>
      <c r="C1419" s="26">
        <v>0</v>
      </c>
      <c r="D1419" s="27">
        <v>43245</v>
      </c>
      <c r="E1419" s="26">
        <v>-103971.41</v>
      </c>
      <c r="F1419" s="26" t="s">
        <v>3179</v>
      </c>
      <c r="G1419" s="26" t="s">
        <v>8</v>
      </c>
      <c r="H1419" s="26" t="s">
        <v>3180</v>
      </c>
      <c r="I1419" s="26" t="s">
        <v>106</v>
      </c>
      <c r="J1419" s="26">
        <v>0</v>
      </c>
      <c r="K1419" s="8" t="str">
        <f t="shared" si="22"/>
        <v>VATBACSREP</v>
      </c>
    </row>
    <row r="1420" spans="1:11" x14ac:dyDescent="0.25">
      <c r="A1420" s="26" t="s">
        <v>148</v>
      </c>
      <c r="B1420" s="26" t="s">
        <v>111</v>
      </c>
      <c r="C1420" s="26">
        <v>0</v>
      </c>
      <c r="D1420" s="27">
        <v>43245</v>
      </c>
      <c r="E1420" s="26">
        <v>-64257.35</v>
      </c>
      <c r="F1420" s="26" t="s">
        <v>3181</v>
      </c>
      <c r="G1420" s="26" t="s">
        <v>8</v>
      </c>
      <c r="H1420" s="26" t="s">
        <v>3182</v>
      </c>
      <c r="I1420" s="26" t="s">
        <v>106</v>
      </c>
      <c r="J1420" s="26">
        <v>0</v>
      </c>
      <c r="K1420" s="8" t="str">
        <f t="shared" si="22"/>
        <v>VATBACSREP</v>
      </c>
    </row>
    <row r="1421" spans="1:11" x14ac:dyDescent="0.25">
      <c r="A1421" s="26" t="s">
        <v>148</v>
      </c>
      <c r="B1421" s="26" t="s">
        <v>111</v>
      </c>
      <c r="C1421" s="26">
        <v>0</v>
      </c>
      <c r="D1421" s="27">
        <v>43248</v>
      </c>
      <c r="E1421" s="26">
        <v>-286338.36</v>
      </c>
      <c r="F1421" s="26" t="s">
        <v>3183</v>
      </c>
      <c r="G1421" s="26" t="s">
        <v>8</v>
      </c>
      <c r="H1421" s="26" t="s">
        <v>3184</v>
      </c>
      <c r="I1421" s="26" t="s">
        <v>106</v>
      </c>
      <c r="J1421" s="26">
        <v>0</v>
      </c>
      <c r="K1421" s="8" t="str">
        <f t="shared" si="22"/>
        <v>VATBACSREP</v>
      </c>
    </row>
    <row r="1422" spans="1:11" x14ac:dyDescent="0.25">
      <c r="A1422" s="26" t="s">
        <v>148</v>
      </c>
      <c r="B1422" s="26" t="s">
        <v>111</v>
      </c>
      <c r="C1422" s="26">
        <v>0</v>
      </c>
      <c r="D1422" s="27">
        <v>43251</v>
      </c>
      <c r="E1422" s="26">
        <v>-68467.039999999994</v>
      </c>
      <c r="F1422" s="26" t="s">
        <v>3185</v>
      </c>
      <c r="G1422" s="26" t="s">
        <v>8</v>
      </c>
      <c r="H1422" s="26" t="s">
        <v>3186</v>
      </c>
      <c r="I1422" s="26" t="s">
        <v>106</v>
      </c>
      <c r="J1422" s="26">
        <v>0</v>
      </c>
      <c r="K1422" s="8" t="str">
        <f t="shared" si="22"/>
        <v>VATBACSREP</v>
      </c>
    </row>
    <row r="1423" spans="1:11" x14ac:dyDescent="0.25">
      <c r="A1423" s="26" t="s">
        <v>148</v>
      </c>
      <c r="B1423" s="26" t="s">
        <v>111</v>
      </c>
      <c r="C1423" s="26">
        <v>0</v>
      </c>
      <c r="D1423" s="27">
        <v>43252</v>
      </c>
      <c r="E1423" s="26">
        <v>-114376.49</v>
      </c>
      <c r="F1423" s="26" t="s">
        <v>3187</v>
      </c>
      <c r="G1423" s="26" t="s">
        <v>8</v>
      </c>
      <c r="H1423" s="26" t="s">
        <v>3188</v>
      </c>
      <c r="I1423" s="26" t="s">
        <v>106</v>
      </c>
      <c r="J1423" s="26">
        <v>0</v>
      </c>
      <c r="K1423" s="8" t="str">
        <f t="shared" si="22"/>
        <v>VATBACSREP</v>
      </c>
    </row>
    <row r="1424" spans="1:11" x14ac:dyDescent="0.25">
      <c r="A1424" s="26" t="s">
        <v>148</v>
      </c>
      <c r="B1424" s="26" t="s">
        <v>111</v>
      </c>
      <c r="C1424" s="26">
        <v>0</v>
      </c>
      <c r="D1424" s="27">
        <v>43252</v>
      </c>
      <c r="E1424" s="26">
        <v>-66560.759999999995</v>
      </c>
      <c r="F1424" s="26" t="s">
        <v>3189</v>
      </c>
      <c r="G1424" s="26" t="s">
        <v>8</v>
      </c>
      <c r="H1424" s="26" t="s">
        <v>3190</v>
      </c>
      <c r="I1424" s="26" t="s">
        <v>106</v>
      </c>
      <c r="J1424" s="26">
        <v>0</v>
      </c>
      <c r="K1424" s="8" t="str">
        <f t="shared" si="22"/>
        <v>VATBACSREP</v>
      </c>
    </row>
    <row r="1425" spans="1:11" x14ac:dyDescent="0.25">
      <c r="A1425" s="26" t="s">
        <v>148</v>
      </c>
      <c r="B1425" s="26" t="s">
        <v>111</v>
      </c>
      <c r="C1425" s="26">
        <v>0</v>
      </c>
      <c r="D1425" s="27">
        <v>43252</v>
      </c>
      <c r="E1425" s="26">
        <v>-119698.17</v>
      </c>
      <c r="F1425" s="26" t="s">
        <v>3191</v>
      </c>
      <c r="G1425" s="26" t="s">
        <v>8</v>
      </c>
      <c r="H1425" s="26" t="s">
        <v>3192</v>
      </c>
      <c r="I1425" s="26" t="s">
        <v>106</v>
      </c>
      <c r="J1425" s="26">
        <v>0</v>
      </c>
      <c r="K1425" s="8" t="str">
        <f t="shared" si="22"/>
        <v>VATBACSREP</v>
      </c>
    </row>
    <row r="1426" spans="1:11" x14ac:dyDescent="0.25">
      <c r="A1426" s="26" t="s">
        <v>148</v>
      </c>
      <c r="B1426" s="26" t="s">
        <v>111</v>
      </c>
      <c r="C1426" s="26">
        <v>0</v>
      </c>
      <c r="D1426" s="27">
        <v>43255</v>
      </c>
      <c r="E1426" s="26">
        <v>-120571.88</v>
      </c>
      <c r="F1426" s="26" t="s">
        <v>3193</v>
      </c>
      <c r="G1426" s="26" t="s">
        <v>8</v>
      </c>
      <c r="H1426" s="26" t="s">
        <v>3194</v>
      </c>
      <c r="I1426" s="26" t="s">
        <v>106</v>
      </c>
      <c r="J1426" s="26">
        <v>0</v>
      </c>
      <c r="K1426" s="8" t="str">
        <f t="shared" si="22"/>
        <v>VATBACSREP</v>
      </c>
    </row>
    <row r="1427" spans="1:11" x14ac:dyDescent="0.25">
      <c r="A1427" s="26" t="s">
        <v>148</v>
      </c>
      <c r="B1427" s="26" t="s">
        <v>111</v>
      </c>
      <c r="C1427" s="26">
        <v>0</v>
      </c>
      <c r="D1427" s="27">
        <v>43258</v>
      </c>
      <c r="E1427" s="26">
        <v>-132327.24</v>
      </c>
      <c r="F1427" s="26" t="s">
        <v>3195</v>
      </c>
      <c r="G1427" s="26" t="s">
        <v>8</v>
      </c>
      <c r="H1427" s="26" t="s">
        <v>3196</v>
      </c>
      <c r="I1427" s="26" t="s">
        <v>106</v>
      </c>
      <c r="J1427" s="26">
        <v>0</v>
      </c>
      <c r="K1427" s="8" t="str">
        <f t="shared" si="22"/>
        <v>VATBACSREP</v>
      </c>
    </row>
    <row r="1428" spans="1:11" x14ac:dyDescent="0.25">
      <c r="A1428" s="26" t="s">
        <v>148</v>
      </c>
      <c r="B1428" s="26" t="s">
        <v>111</v>
      </c>
      <c r="C1428" s="26">
        <v>0</v>
      </c>
      <c r="D1428" s="27">
        <v>43259</v>
      </c>
      <c r="E1428" s="26">
        <v>-102938.84</v>
      </c>
      <c r="F1428" s="26" t="s">
        <v>3197</v>
      </c>
      <c r="G1428" s="26" t="s">
        <v>8</v>
      </c>
      <c r="H1428" s="26" t="s">
        <v>3198</v>
      </c>
      <c r="I1428" s="26" t="s">
        <v>106</v>
      </c>
      <c r="J1428" s="26">
        <v>0</v>
      </c>
      <c r="K1428" s="8" t="str">
        <f t="shared" si="22"/>
        <v>VATBACSREP</v>
      </c>
    </row>
    <row r="1429" spans="1:11" x14ac:dyDescent="0.25">
      <c r="A1429" s="26" t="s">
        <v>148</v>
      </c>
      <c r="B1429" s="26" t="s">
        <v>111</v>
      </c>
      <c r="C1429" s="26">
        <v>0</v>
      </c>
      <c r="D1429" s="27">
        <v>43259</v>
      </c>
      <c r="E1429" s="26">
        <v>-122795.87</v>
      </c>
      <c r="F1429" s="26" t="s">
        <v>3199</v>
      </c>
      <c r="G1429" s="26" t="s">
        <v>8</v>
      </c>
      <c r="H1429" s="26" t="s">
        <v>3200</v>
      </c>
      <c r="I1429" s="26" t="s">
        <v>106</v>
      </c>
      <c r="J1429" s="26">
        <v>0</v>
      </c>
      <c r="K1429" s="8" t="str">
        <f t="shared" si="22"/>
        <v>VATBACSREP</v>
      </c>
    </row>
    <row r="1430" spans="1:11" x14ac:dyDescent="0.25">
      <c r="A1430" s="26" t="s">
        <v>148</v>
      </c>
      <c r="B1430" s="26" t="s">
        <v>111</v>
      </c>
      <c r="C1430" s="26">
        <v>0</v>
      </c>
      <c r="D1430" s="27">
        <v>43259</v>
      </c>
      <c r="E1430" s="26">
        <v>-121445.59</v>
      </c>
      <c r="F1430" s="26" t="s">
        <v>3201</v>
      </c>
      <c r="G1430" s="26" t="s">
        <v>8</v>
      </c>
      <c r="H1430" s="26" t="s">
        <v>3202</v>
      </c>
      <c r="I1430" s="26" t="s">
        <v>106</v>
      </c>
      <c r="J1430" s="26">
        <v>0</v>
      </c>
      <c r="K1430" s="8" t="str">
        <f t="shared" si="22"/>
        <v>VATBACSREP</v>
      </c>
    </row>
    <row r="1431" spans="1:11" x14ac:dyDescent="0.25">
      <c r="A1431" s="26" t="s">
        <v>148</v>
      </c>
      <c r="B1431" s="26" t="s">
        <v>111</v>
      </c>
      <c r="C1431" s="26">
        <v>0</v>
      </c>
      <c r="D1431" s="27">
        <v>43262</v>
      </c>
      <c r="E1431" s="26">
        <v>-91342.34</v>
      </c>
      <c r="F1431" s="26" t="s">
        <v>3203</v>
      </c>
      <c r="G1431" s="26" t="s">
        <v>8</v>
      </c>
      <c r="H1431" s="26" t="s">
        <v>3204</v>
      </c>
      <c r="I1431" s="26" t="s">
        <v>106</v>
      </c>
      <c r="J1431" s="26">
        <v>0</v>
      </c>
      <c r="K1431" s="8" t="str">
        <f t="shared" si="22"/>
        <v>VATBACSREP</v>
      </c>
    </row>
    <row r="1432" spans="1:11" x14ac:dyDescent="0.25">
      <c r="A1432" s="26" t="s">
        <v>148</v>
      </c>
      <c r="B1432" s="26" t="s">
        <v>111</v>
      </c>
      <c r="C1432" s="26">
        <v>0</v>
      </c>
      <c r="D1432" s="27">
        <v>43265</v>
      </c>
      <c r="E1432" s="26">
        <v>-82128.67</v>
      </c>
      <c r="F1432" s="26" t="s">
        <v>3205</v>
      </c>
      <c r="G1432" s="26" t="s">
        <v>8</v>
      </c>
      <c r="H1432" s="26" t="s">
        <v>3206</v>
      </c>
      <c r="I1432" s="26" t="s">
        <v>106</v>
      </c>
      <c r="J1432" s="26">
        <v>0</v>
      </c>
      <c r="K1432" s="8" t="str">
        <f t="shared" si="22"/>
        <v>VATBACSREP</v>
      </c>
    </row>
    <row r="1433" spans="1:11" x14ac:dyDescent="0.25">
      <c r="A1433" s="26" t="s">
        <v>148</v>
      </c>
      <c r="B1433" s="26" t="s">
        <v>111</v>
      </c>
      <c r="C1433" s="26">
        <v>0</v>
      </c>
      <c r="D1433" s="27">
        <v>43266</v>
      </c>
      <c r="E1433" s="26">
        <v>-150278</v>
      </c>
      <c r="F1433" s="26" t="s">
        <v>3207</v>
      </c>
      <c r="G1433" s="26" t="s">
        <v>8</v>
      </c>
      <c r="H1433" s="26" t="s">
        <v>3208</v>
      </c>
      <c r="I1433" s="26" t="s">
        <v>106</v>
      </c>
      <c r="J1433" s="26">
        <v>0</v>
      </c>
      <c r="K1433" s="8" t="str">
        <f t="shared" si="22"/>
        <v>VATBACSREP</v>
      </c>
    </row>
    <row r="1434" spans="1:11" x14ac:dyDescent="0.25">
      <c r="A1434" s="26" t="s">
        <v>148</v>
      </c>
      <c r="B1434" s="26" t="s">
        <v>111</v>
      </c>
      <c r="C1434" s="26">
        <v>0</v>
      </c>
      <c r="D1434" s="27">
        <v>43266</v>
      </c>
      <c r="E1434" s="26">
        <v>-117394.76</v>
      </c>
      <c r="F1434" s="26" t="s">
        <v>3209</v>
      </c>
      <c r="G1434" s="26" t="s">
        <v>8</v>
      </c>
      <c r="H1434" s="26" t="s">
        <v>3210</v>
      </c>
      <c r="I1434" s="26" t="s">
        <v>106</v>
      </c>
      <c r="J1434" s="26">
        <v>0</v>
      </c>
      <c r="K1434" s="8" t="str">
        <f t="shared" si="22"/>
        <v>VATBACSREP</v>
      </c>
    </row>
    <row r="1435" spans="1:11" x14ac:dyDescent="0.25">
      <c r="A1435" s="26" t="s">
        <v>148</v>
      </c>
      <c r="B1435" s="26" t="s">
        <v>111</v>
      </c>
      <c r="C1435" s="26">
        <v>0</v>
      </c>
      <c r="D1435" s="27">
        <v>43266</v>
      </c>
      <c r="E1435" s="26">
        <v>-213185.07</v>
      </c>
      <c r="F1435" s="26" t="s">
        <v>3211</v>
      </c>
      <c r="G1435" s="26" t="s">
        <v>8</v>
      </c>
      <c r="H1435" s="26" t="s">
        <v>3212</v>
      </c>
      <c r="I1435" s="26" t="s">
        <v>106</v>
      </c>
      <c r="J1435" s="26">
        <v>0</v>
      </c>
      <c r="K1435" s="8" t="str">
        <f t="shared" si="22"/>
        <v>VATBACSREP</v>
      </c>
    </row>
    <row r="1436" spans="1:11" x14ac:dyDescent="0.25">
      <c r="A1436" s="26" t="s">
        <v>148</v>
      </c>
      <c r="B1436" s="26" t="s">
        <v>111</v>
      </c>
      <c r="C1436" s="26">
        <v>0</v>
      </c>
      <c r="D1436" s="27">
        <v>43269</v>
      </c>
      <c r="E1436" s="26">
        <v>-114138.2</v>
      </c>
      <c r="F1436" s="26" t="s">
        <v>3213</v>
      </c>
      <c r="G1436" s="26" t="s">
        <v>8</v>
      </c>
      <c r="H1436" s="26" t="s">
        <v>3214</v>
      </c>
      <c r="I1436" s="26" t="s">
        <v>106</v>
      </c>
      <c r="J1436" s="26">
        <v>0</v>
      </c>
      <c r="K1436" s="8" t="str">
        <f t="shared" si="22"/>
        <v>VATBACSREP</v>
      </c>
    </row>
    <row r="1437" spans="1:11" x14ac:dyDescent="0.25">
      <c r="A1437" s="26" t="s">
        <v>148</v>
      </c>
      <c r="B1437" s="26" t="s">
        <v>111</v>
      </c>
      <c r="C1437" s="26">
        <v>0</v>
      </c>
      <c r="D1437" s="27">
        <v>43272</v>
      </c>
      <c r="E1437" s="26">
        <v>-109054.81</v>
      </c>
      <c r="F1437" s="26" t="s">
        <v>3215</v>
      </c>
      <c r="G1437" s="26" t="s">
        <v>8</v>
      </c>
      <c r="H1437" s="26" t="s">
        <v>3216</v>
      </c>
      <c r="I1437" s="26" t="s">
        <v>106</v>
      </c>
      <c r="J1437" s="26">
        <v>0</v>
      </c>
      <c r="K1437" s="8" t="str">
        <f t="shared" si="22"/>
        <v>VATBACSREP</v>
      </c>
    </row>
    <row r="1438" spans="1:11" x14ac:dyDescent="0.25">
      <c r="A1438" s="26" t="s">
        <v>148</v>
      </c>
      <c r="B1438" s="26" t="s">
        <v>111</v>
      </c>
      <c r="C1438" s="26">
        <v>0</v>
      </c>
      <c r="D1438" s="27">
        <v>43273</v>
      </c>
      <c r="E1438" s="26">
        <v>-88562.35</v>
      </c>
      <c r="F1438" s="26" t="s">
        <v>3217</v>
      </c>
      <c r="G1438" s="26" t="s">
        <v>8</v>
      </c>
      <c r="H1438" s="26" t="s">
        <v>3218</v>
      </c>
      <c r="I1438" s="26" t="s">
        <v>106</v>
      </c>
      <c r="J1438" s="26">
        <v>0</v>
      </c>
      <c r="K1438" s="8" t="str">
        <f t="shared" si="22"/>
        <v>VATBACSREP</v>
      </c>
    </row>
    <row r="1439" spans="1:11" x14ac:dyDescent="0.25">
      <c r="A1439" s="26" t="s">
        <v>148</v>
      </c>
      <c r="B1439" s="26" t="s">
        <v>111</v>
      </c>
      <c r="C1439" s="26">
        <v>0</v>
      </c>
      <c r="D1439" s="27">
        <v>43273</v>
      </c>
      <c r="E1439" s="26">
        <v>-115011.91</v>
      </c>
      <c r="F1439" s="26" t="s">
        <v>3219</v>
      </c>
      <c r="G1439" s="26" t="s">
        <v>8</v>
      </c>
      <c r="H1439" s="26" t="s">
        <v>3220</v>
      </c>
      <c r="I1439" s="26" t="s">
        <v>106</v>
      </c>
      <c r="J1439" s="26">
        <v>0</v>
      </c>
      <c r="K1439" s="8" t="str">
        <f t="shared" si="22"/>
        <v>VATBACSREP</v>
      </c>
    </row>
    <row r="1440" spans="1:11" x14ac:dyDescent="0.25">
      <c r="A1440" s="26" t="s">
        <v>148</v>
      </c>
      <c r="B1440" s="26" t="s">
        <v>111</v>
      </c>
      <c r="C1440" s="26">
        <v>0</v>
      </c>
      <c r="D1440" s="27">
        <v>43273</v>
      </c>
      <c r="E1440" s="26">
        <v>-111596.51</v>
      </c>
      <c r="F1440" s="26" t="s">
        <v>3221</v>
      </c>
      <c r="G1440" s="26" t="s">
        <v>8</v>
      </c>
      <c r="H1440" s="26" t="s">
        <v>3222</v>
      </c>
      <c r="I1440" s="26" t="s">
        <v>106</v>
      </c>
      <c r="J1440" s="26">
        <v>0</v>
      </c>
      <c r="K1440" s="8" t="str">
        <f t="shared" si="22"/>
        <v>VATBACSREP</v>
      </c>
    </row>
    <row r="1441" spans="1:11" x14ac:dyDescent="0.25">
      <c r="A1441" s="26" t="s">
        <v>148</v>
      </c>
      <c r="B1441" s="26" t="s">
        <v>111</v>
      </c>
      <c r="C1441" s="26">
        <v>0</v>
      </c>
      <c r="D1441" s="27">
        <v>43276</v>
      </c>
      <c r="E1441" s="26">
        <v>-156235.10999999999</v>
      </c>
      <c r="F1441" s="26" t="s">
        <v>3223</v>
      </c>
      <c r="G1441" s="26" t="s">
        <v>8</v>
      </c>
      <c r="H1441" s="26" t="s">
        <v>3224</v>
      </c>
      <c r="I1441" s="26" t="s">
        <v>106</v>
      </c>
      <c r="J1441" s="26">
        <v>0</v>
      </c>
      <c r="K1441" s="8" t="str">
        <f t="shared" si="22"/>
        <v>VATBACSREP</v>
      </c>
    </row>
    <row r="1442" spans="1:11" x14ac:dyDescent="0.25">
      <c r="A1442" s="26" t="s">
        <v>148</v>
      </c>
      <c r="B1442" s="26" t="s">
        <v>111</v>
      </c>
      <c r="C1442" s="26">
        <v>0</v>
      </c>
      <c r="D1442" s="27">
        <v>43279</v>
      </c>
      <c r="E1442" s="26">
        <v>-95949.17</v>
      </c>
      <c r="F1442" s="26" t="s">
        <v>3225</v>
      </c>
      <c r="G1442" s="26" t="s">
        <v>8</v>
      </c>
      <c r="H1442" s="26" t="s">
        <v>3226</v>
      </c>
      <c r="I1442" s="26" t="s">
        <v>106</v>
      </c>
      <c r="J1442" s="26">
        <v>0</v>
      </c>
      <c r="K1442" s="8" t="str">
        <f t="shared" si="22"/>
        <v>VATBACSREP</v>
      </c>
    </row>
    <row r="1443" spans="1:11" x14ac:dyDescent="0.25">
      <c r="A1443" s="26" t="s">
        <v>148</v>
      </c>
      <c r="B1443" s="26" t="s">
        <v>111</v>
      </c>
      <c r="C1443" s="26">
        <v>0</v>
      </c>
      <c r="D1443" s="27">
        <v>43280</v>
      </c>
      <c r="E1443" s="26">
        <v>-139555.20000000001</v>
      </c>
      <c r="F1443" s="26" t="s">
        <v>3227</v>
      </c>
      <c r="G1443" s="26" t="s">
        <v>8</v>
      </c>
      <c r="H1443" s="26" t="s">
        <v>3228</v>
      </c>
      <c r="I1443" s="26" t="s">
        <v>106</v>
      </c>
      <c r="J1443" s="26">
        <v>0</v>
      </c>
      <c r="K1443" s="8" t="str">
        <f t="shared" si="22"/>
        <v>VATBACSREP</v>
      </c>
    </row>
    <row r="1444" spans="1:11" x14ac:dyDescent="0.25">
      <c r="A1444" s="26" t="s">
        <v>148</v>
      </c>
      <c r="B1444" s="26" t="s">
        <v>111</v>
      </c>
      <c r="C1444" s="26">
        <v>0</v>
      </c>
      <c r="D1444" s="27">
        <v>43280</v>
      </c>
      <c r="E1444" s="26">
        <v>-163383.64000000001</v>
      </c>
      <c r="F1444" s="26" t="s">
        <v>3229</v>
      </c>
      <c r="G1444" s="26" t="s">
        <v>8</v>
      </c>
      <c r="H1444" s="26" t="s">
        <v>3230</v>
      </c>
      <c r="I1444" s="26" t="s">
        <v>106</v>
      </c>
      <c r="J1444" s="26">
        <v>0</v>
      </c>
      <c r="K1444" s="8" t="str">
        <f t="shared" si="22"/>
        <v>VATBACSREP</v>
      </c>
    </row>
    <row r="1445" spans="1:11" x14ac:dyDescent="0.25">
      <c r="A1445" s="26" t="s">
        <v>148</v>
      </c>
      <c r="B1445" s="26" t="s">
        <v>111</v>
      </c>
      <c r="C1445" s="26">
        <v>0</v>
      </c>
      <c r="D1445" s="27">
        <v>43280</v>
      </c>
      <c r="E1445" s="26">
        <v>-165369.34</v>
      </c>
      <c r="F1445" s="26" t="s">
        <v>3231</v>
      </c>
      <c r="G1445" s="26" t="s">
        <v>8</v>
      </c>
      <c r="H1445" s="26" t="s">
        <v>3232</v>
      </c>
      <c r="I1445" s="26" t="s">
        <v>106</v>
      </c>
      <c r="J1445" s="26">
        <v>0</v>
      </c>
      <c r="K1445" s="8" t="str">
        <f t="shared" si="22"/>
        <v>VATBACSREP</v>
      </c>
    </row>
    <row r="1446" spans="1:11" x14ac:dyDescent="0.25">
      <c r="A1446" s="26" t="s">
        <v>148</v>
      </c>
      <c r="B1446" s="26" t="s">
        <v>111</v>
      </c>
      <c r="C1446" s="26">
        <v>0</v>
      </c>
      <c r="D1446" s="27">
        <v>43283</v>
      </c>
      <c r="E1446" s="26">
        <v>-122081.02</v>
      </c>
      <c r="F1446" s="26" t="s">
        <v>3233</v>
      </c>
      <c r="G1446" s="26" t="s">
        <v>8</v>
      </c>
      <c r="H1446" s="26" t="s">
        <v>3234</v>
      </c>
      <c r="I1446" s="26" t="s">
        <v>106</v>
      </c>
      <c r="J1446" s="26">
        <v>0</v>
      </c>
      <c r="K1446" s="8" t="str">
        <f t="shared" si="22"/>
        <v>VATBACSREP</v>
      </c>
    </row>
    <row r="1447" spans="1:11" x14ac:dyDescent="0.25">
      <c r="A1447" s="26" t="s">
        <v>148</v>
      </c>
      <c r="B1447" s="26" t="s">
        <v>111</v>
      </c>
      <c r="C1447" s="26">
        <v>0</v>
      </c>
      <c r="D1447" s="27">
        <v>43286</v>
      </c>
      <c r="E1447" s="26">
        <v>-143685.46</v>
      </c>
      <c r="F1447" s="26" t="s">
        <v>3235</v>
      </c>
      <c r="G1447" s="26" t="s">
        <v>8</v>
      </c>
      <c r="H1447" s="26" t="s">
        <v>3236</v>
      </c>
      <c r="I1447" s="26" t="s">
        <v>106</v>
      </c>
      <c r="J1447" s="26">
        <v>0</v>
      </c>
      <c r="K1447" s="8" t="str">
        <f t="shared" si="22"/>
        <v>VATBACSREP</v>
      </c>
    </row>
    <row r="1448" spans="1:11" x14ac:dyDescent="0.25">
      <c r="A1448" s="26" t="s">
        <v>148</v>
      </c>
      <c r="B1448" s="26" t="s">
        <v>111</v>
      </c>
      <c r="C1448" s="26">
        <v>0</v>
      </c>
      <c r="D1448" s="27">
        <v>43287</v>
      </c>
      <c r="E1448" s="26">
        <v>-133995.23000000001</v>
      </c>
      <c r="F1448" s="26" t="s">
        <v>3237</v>
      </c>
      <c r="G1448" s="26" t="s">
        <v>8</v>
      </c>
      <c r="H1448" s="26" t="s">
        <v>3238</v>
      </c>
      <c r="I1448" s="26" t="s">
        <v>106</v>
      </c>
      <c r="J1448" s="26">
        <v>0</v>
      </c>
      <c r="K1448" s="8" t="str">
        <f t="shared" si="22"/>
        <v>VATBACSREP</v>
      </c>
    </row>
    <row r="1449" spans="1:11" x14ac:dyDescent="0.25">
      <c r="A1449" s="26" t="s">
        <v>148</v>
      </c>
      <c r="B1449" s="26" t="s">
        <v>111</v>
      </c>
      <c r="C1449" s="26">
        <v>0</v>
      </c>
      <c r="D1449" s="27">
        <v>43287</v>
      </c>
      <c r="E1449" s="26">
        <v>-111596.51</v>
      </c>
      <c r="F1449" s="26" t="s">
        <v>3239</v>
      </c>
      <c r="G1449" s="26" t="s">
        <v>8</v>
      </c>
      <c r="H1449" s="26" t="s">
        <v>3240</v>
      </c>
      <c r="I1449" s="26" t="s">
        <v>106</v>
      </c>
      <c r="J1449" s="26">
        <v>0</v>
      </c>
      <c r="K1449" s="8" t="str">
        <f t="shared" si="22"/>
        <v>VATBACSREP</v>
      </c>
    </row>
    <row r="1450" spans="1:11" x14ac:dyDescent="0.25">
      <c r="A1450" s="26" t="s">
        <v>148</v>
      </c>
      <c r="B1450" s="26" t="s">
        <v>111</v>
      </c>
      <c r="C1450" s="26">
        <v>0</v>
      </c>
      <c r="D1450" s="27">
        <v>43287</v>
      </c>
      <c r="E1450" s="26">
        <v>-99920.57</v>
      </c>
      <c r="F1450" s="26" t="s">
        <v>3241</v>
      </c>
      <c r="G1450" s="26" t="s">
        <v>8</v>
      </c>
      <c r="H1450" s="26" t="s">
        <v>3242</v>
      </c>
      <c r="I1450" s="26" t="s">
        <v>106</v>
      </c>
      <c r="J1450" s="26">
        <v>0</v>
      </c>
      <c r="K1450" s="8" t="str">
        <f t="shared" si="22"/>
        <v>VATBACSREP</v>
      </c>
    </row>
    <row r="1451" spans="1:11" x14ac:dyDescent="0.25">
      <c r="A1451" s="26" t="s">
        <v>148</v>
      </c>
      <c r="B1451" s="26" t="s">
        <v>111</v>
      </c>
      <c r="C1451" s="26">
        <v>0</v>
      </c>
      <c r="D1451" s="27">
        <v>43290</v>
      </c>
      <c r="E1451" s="26">
        <v>-113105.64</v>
      </c>
      <c r="F1451" s="26" t="s">
        <v>3243</v>
      </c>
      <c r="G1451" s="26" t="s">
        <v>8</v>
      </c>
      <c r="H1451" s="26" t="s">
        <v>3244</v>
      </c>
      <c r="I1451" s="26" t="s">
        <v>106</v>
      </c>
      <c r="J1451" s="26">
        <v>0</v>
      </c>
      <c r="K1451" s="8" t="str">
        <f t="shared" si="22"/>
        <v>VATBACSREP</v>
      </c>
    </row>
    <row r="1452" spans="1:11" x14ac:dyDescent="0.25">
      <c r="A1452" s="26" t="s">
        <v>148</v>
      </c>
      <c r="B1452" s="26" t="s">
        <v>111</v>
      </c>
      <c r="C1452" s="26">
        <v>0</v>
      </c>
      <c r="D1452" s="27">
        <v>43293</v>
      </c>
      <c r="E1452" s="26">
        <v>-130976.97</v>
      </c>
      <c r="F1452" s="26" t="s">
        <v>3245</v>
      </c>
      <c r="G1452" s="26" t="s">
        <v>8</v>
      </c>
      <c r="H1452" s="26" t="s">
        <v>3246</v>
      </c>
      <c r="I1452" s="26" t="s">
        <v>106</v>
      </c>
      <c r="J1452" s="26">
        <v>0</v>
      </c>
      <c r="K1452" s="8" t="str">
        <f t="shared" si="22"/>
        <v>VATBACSREP</v>
      </c>
    </row>
    <row r="1453" spans="1:11" x14ac:dyDescent="0.25">
      <c r="A1453" s="26" t="s">
        <v>148</v>
      </c>
      <c r="B1453" s="26" t="s">
        <v>111</v>
      </c>
      <c r="C1453" s="26">
        <v>0</v>
      </c>
      <c r="D1453" s="27">
        <v>43294</v>
      </c>
      <c r="E1453" s="26">
        <v>-157982.53</v>
      </c>
      <c r="F1453" s="26" t="s">
        <v>3247</v>
      </c>
      <c r="G1453" s="26" t="s">
        <v>8</v>
      </c>
      <c r="H1453" s="26" t="s">
        <v>3248</v>
      </c>
      <c r="I1453" s="26" t="s">
        <v>106</v>
      </c>
      <c r="J1453" s="26">
        <v>0</v>
      </c>
      <c r="K1453" s="8" t="str">
        <f t="shared" si="22"/>
        <v>VATBACSREP</v>
      </c>
    </row>
    <row r="1454" spans="1:11" x14ac:dyDescent="0.25">
      <c r="A1454" s="26" t="s">
        <v>148</v>
      </c>
      <c r="B1454" s="26" t="s">
        <v>111</v>
      </c>
      <c r="C1454" s="26">
        <v>0</v>
      </c>
      <c r="D1454" s="27">
        <v>43294</v>
      </c>
      <c r="E1454" s="26">
        <v>-294996.03000000003</v>
      </c>
      <c r="F1454" s="26" t="s">
        <v>3249</v>
      </c>
      <c r="G1454" s="26" t="s">
        <v>8</v>
      </c>
      <c r="H1454" s="26" t="s">
        <v>3250</v>
      </c>
      <c r="I1454" s="26" t="s">
        <v>106</v>
      </c>
      <c r="J1454" s="26">
        <v>0</v>
      </c>
      <c r="K1454" s="8" t="str">
        <f t="shared" si="22"/>
        <v>VATBACSREP</v>
      </c>
    </row>
    <row r="1455" spans="1:11" x14ac:dyDescent="0.25">
      <c r="A1455" s="26" t="s">
        <v>148</v>
      </c>
      <c r="B1455" s="26" t="s">
        <v>111</v>
      </c>
      <c r="C1455" s="26">
        <v>0</v>
      </c>
      <c r="D1455" s="27">
        <v>43294</v>
      </c>
      <c r="E1455" s="26">
        <v>-118427.32</v>
      </c>
      <c r="F1455" s="26" t="s">
        <v>3251</v>
      </c>
      <c r="G1455" s="26" t="s">
        <v>8</v>
      </c>
      <c r="H1455" s="26" t="s">
        <v>3252</v>
      </c>
      <c r="I1455" s="26" t="s">
        <v>106</v>
      </c>
      <c r="J1455" s="26">
        <v>0</v>
      </c>
      <c r="K1455" s="8" t="str">
        <f t="shared" si="22"/>
        <v>VATBACSREP</v>
      </c>
    </row>
    <row r="1456" spans="1:11" x14ac:dyDescent="0.25">
      <c r="A1456" s="26" t="s">
        <v>148</v>
      </c>
      <c r="B1456" s="26" t="s">
        <v>111</v>
      </c>
      <c r="C1456" s="26">
        <v>0</v>
      </c>
      <c r="D1456" s="27">
        <v>43297</v>
      </c>
      <c r="E1456" s="26">
        <v>-151707.70000000001</v>
      </c>
      <c r="F1456" s="26" t="s">
        <v>3253</v>
      </c>
      <c r="G1456" s="26" t="s">
        <v>8</v>
      </c>
      <c r="H1456" s="26" t="s">
        <v>3254</v>
      </c>
      <c r="I1456" s="26" t="s">
        <v>106</v>
      </c>
      <c r="J1456" s="26">
        <v>0</v>
      </c>
      <c r="K1456" s="8" t="str">
        <f t="shared" si="22"/>
        <v>VATBACSREP</v>
      </c>
    </row>
    <row r="1457" spans="1:11" x14ac:dyDescent="0.25">
      <c r="A1457" s="26" t="s">
        <v>148</v>
      </c>
      <c r="B1457" s="26" t="s">
        <v>111</v>
      </c>
      <c r="C1457" s="26">
        <v>0</v>
      </c>
      <c r="D1457" s="27">
        <v>43300</v>
      </c>
      <c r="E1457" s="26">
        <v>-91024.62</v>
      </c>
      <c r="F1457" s="26" t="s">
        <v>3255</v>
      </c>
      <c r="G1457" s="26" t="s">
        <v>8</v>
      </c>
      <c r="H1457" s="26" t="s">
        <v>3256</v>
      </c>
      <c r="I1457" s="26" t="s">
        <v>106</v>
      </c>
      <c r="J1457" s="26">
        <v>0</v>
      </c>
      <c r="K1457" s="8" t="str">
        <f t="shared" si="22"/>
        <v>VATBACSREP</v>
      </c>
    </row>
    <row r="1458" spans="1:11" x14ac:dyDescent="0.25">
      <c r="A1458" s="26" t="s">
        <v>148</v>
      </c>
      <c r="B1458" s="26" t="s">
        <v>111</v>
      </c>
      <c r="C1458" s="26">
        <v>0</v>
      </c>
      <c r="D1458" s="27">
        <v>43301</v>
      </c>
      <c r="E1458" s="26">
        <v>-145353.46</v>
      </c>
      <c r="F1458" s="26" t="s">
        <v>3257</v>
      </c>
      <c r="G1458" s="26" t="s">
        <v>8</v>
      </c>
      <c r="H1458" s="26" t="s">
        <v>3258</v>
      </c>
      <c r="I1458" s="26" t="s">
        <v>106</v>
      </c>
      <c r="J1458" s="26">
        <v>0</v>
      </c>
      <c r="K1458" s="8" t="str">
        <f t="shared" si="22"/>
        <v>VATBACSREP</v>
      </c>
    </row>
    <row r="1459" spans="1:11" x14ac:dyDescent="0.25">
      <c r="A1459" s="26" t="s">
        <v>148</v>
      </c>
      <c r="B1459" s="26" t="s">
        <v>111</v>
      </c>
      <c r="C1459" s="26">
        <v>0</v>
      </c>
      <c r="D1459" s="27">
        <v>43301</v>
      </c>
      <c r="E1459" s="26">
        <v>-144320.89000000001</v>
      </c>
      <c r="F1459" s="26" t="s">
        <v>3259</v>
      </c>
      <c r="G1459" s="26" t="s">
        <v>8</v>
      </c>
      <c r="H1459" s="26" t="s">
        <v>3260</v>
      </c>
      <c r="I1459" s="26" t="s">
        <v>106</v>
      </c>
      <c r="J1459" s="26">
        <v>0</v>
      </c>
      <c r="K1459" s="8" t="str">
        <f t="shared" si="22"/>
        <v>VATBACSREP</v>
      </c>
    </row>
    <row r="1460" spans="1:11" x14ac:dyDescent="0.25">
      <c r="A1460" s="26" t="s">
        <v>148</v>
      </c>
      <c r="B1460" s="26" t="s">
        <v>111</v>
      </c>
      <c r="C1460" s="26">
        <v>0</v>
      </c>
      <c r="D1460" s="27">
        <v>43301</v>
      </c>
      <c r="E1460" s="26">
        <v>-90150.91</v>
      </c>
      <c r="F1460" s="26" t="s">
        <v>3261</v>
      </c>
      <c r="G1460" s="26" t="s">
        <v>8</v>
      </c>
      <c r="H1460" s="26" t="s">
        <v>3262</v>
      </c>
      <c r="I1460" s="26" t="s">
        <v>106</v>
      </c>
      <c r="J1460" s="26">
        <v>0</v>
      </c>
      <c r="K1460" s="8" t="str">
        <f t="shared" si="22"/>
        <v>VATBACSREP</v>
      </c>
    </row>
    <row r="1461" spans="1:11" x14ac:dyDescent="0.25">
      <c r="A1461" s="26" t="s">
        <v>148</v>
      </c>
      <c r="B1461" s="26" t="s">
        <v>111</v>
      </c>
      <c r="C1461" s="26">
        <v>0</v>
      </c>
      <c r="D1461" s="27">
        <v>43304</v>
      </c>
      <c r="E1461" s="26">
        <v>-111596.51</v>
      </c>
      <c r="F1461" s="26" t="s">
        <v>3263</v>
      </c>
      <c r="G1461" s="26" t="s">
        <v>8</v>
      </c>
      <c r="H1461" s="26" t="s">
        <v>3264</v>
      </c>
      <c r="I1461" s="26" t="s">
        <v>106</v>
      </c>
      <c r="J1461" s="26">
        <v>0</v>
      </c>
      <c r="K1461" s="8" t="str">
        <f t="shared" si="22"/>
        <v>VATBACSREP</v>
      </c>
    </row>
    <row r="1462" spans="1:11" x14ac:dyDescent="0.25">
      <c r="A1462" s="26" t="s">
        <v>148</v>
      </c>
      <c r="B1462" s="26" t="s">
        <v>111</v>
      </c>
      <c r="C1462" s="26">
        <v>0</v>
      </c>
      <c r="D1462" s="27">
        <v>43307</v>
      </c>
      <c r="E1462" s="26">
        <v>-179348.69</v>
      </c>
      <c r="F1462" s="26" t="s">
        <v>3265</v>
      </c>
      <c r="G1462" s="26" t="s">
        <v>8</v>
      </c>
      <c r="H1462" s="26" t="s">
        <v>3266</v>
      </c>
      <c r="I1462" s="26" t="s">
        <v>106</v>
      </c>
      <c r="J1462" s="26">
        <v>0</v>
      </c>
      <c r="K1462" s="8" t="str">
        <f t="shared" si="22"/>
        <v>VATBACSREP</v>
      </c>
    </row>
    <row r="1463" spans="1:11" x14ac:dyDescent="0.25">
      <c r="A1463" s="26" t="s">
        <v>148</v>
      </c>
      <c r="B1463" s="26" t="s">
        <v>111</v>
      </c>
      <c r="C1463" s="26">
        <v>0</v>
      </c>
      <c r="D1463" s="27">
        <v>43308</v>
      </c>
      <c r="E1463" s="26">
        <v>-196981.73</v>
      </c>
      <c r="F1463" s="26" t="s">
        <v>3267</v>
      </c>
      <c r="G1463" s="26" t="s">
        <v>8</v>
      </c>
      <c r="H1463" s="26" t="s">
        <v>3268</v>
      </c>
      <c r="I1463" s="26" t="s">
        <v>106</v>
      </c>
      <c r="J1463" s="26">
        <v>0</v>
      </c>
      <c r="K1463" s="8" t="str">
        <f t="shared" si="22"/>
        <v>VATBACSREP</v>
      </c>
    </row>
    <row r="1464" spans="1:11" x14ac:dyDescent="0.25">
      <c r="A1464" s="26" t="s">
        <v>148</v>
      </c>
      <c r="B1464" s="26" t="s">
        <v>111</v>
      </c>
      <c r="C1464" s="26">
        <v>0</v>
      </c>
      <c r="D1464" s="27">
        <v>43308</v>
      </c>
      <c r="E1464" s="26">
        <v>-169023.03</v>
      </c>
      <c r="F1464" s="26" t="s">
        <v>3269</v>
      </c>
      <c r="G1464" s="26" t="s">
        <v>8</v>
      </c>
      <c r="H1464" s="26" t="s">
        <v>3270</v>
      </c>
      <c r="I1464" s="26" t="s">
        <v>106</v>
      </c>
      <c r="J1464" s="26">
        <v>0</v>
      </c>
      <c r="K1464" s="8" t="str">
        <f t="shared" si="22"/>
        <v>VATBACSREP</v>
      </c>
    </row>
    <row r="1465" spans="1:11" x14ac:dyDescent="0.25">
      <c r="A1465" s="26" t="s">
        <v>148</v>
      </c>
      <c r="B1465" s="26" t="s">
        <v>111</v>
      </c>
      <c r="C1465" s="26">
        <v>0</v>
      </c>
      <c r="D1465" s="27">
        <v>43308</v>
      </c>
      <c r="E1465" s="26">
        <v>-1826.85</v>
      </c>
      <c r="F1465" s="26" t="s">
        <v>3271</v>
      </c>
      <c r="G1465" s="26" t="s">
        <v>8</v>
      </c>
      <c r="H1465" s="26" t="s">
        <v>3272</v>
      </c>
      <c r="I1465" s="26" t="s">
        <v>106</v>
      </c>
      <c r="J1465" s="26">
        <v>0</v>
      </c>
      <c r="K1465" s="8" t="str">
        <f t="shared" si="22"/>
        <v>VATBACSREP</v>
      </c>
    </row>
    <row r="1466" spans="1:11" x14ac:dyDescent="0.25">
      <c r="A1466" s="26" t="s">
        <v>148</v>
      </c>
      <c r="B1466" s="26" t="s">
        <v>111</v>
      </c>
      <c r="C1466" s="26">
        <v>0</v>
      </c>
      <c r="D1466" s="27">
        <v>43311</v>
      </c>
      <c r="E1466" s="26">
        <v>-218506.75</v>
      </c>
      <c r="F1466" s="26" t="s">
        <v>3273</v>
      </c>
      <c r="G1466" s="26" t="s">
        <v>8</v>
      </c>
      <c r="H1466" s="26" t="s">
        <v>3274</v>
      </c>
      <c r="I1466" s="26" t="s">
        <v>106</v>
      </c>
      <c r="J1466" s="26">
        <v>0</v>
      </c>
      <c r="K1466" s="8" t="str">
        <f t="shared" si="22"/>
        <v>VATBACSREP</v>
      </c>
    </row>
    <row r="1467" spans="1:11" x14ac:dyDescent="0.25">
      <c r="A1467" s="26" t="s">
        <v>148</v>
      </c>
      <c r="B1467" s="26" t="s">
        <v>111</v>
      </c>
      <c r="C1467" s="26">
        <v>0</v>
      </c>
      <c r="D1467" s="27">
        <v>43314</v>
      </c>
      <c r="E1467" s="26">
        <v>-308895.95</v>
      </c>
      <c r="F1467" s="26" t="s">
        <v>3275</v>
      </c>
      <c r="G1467" s="26" t="s">
        <v>8</v>
      </c>
      <c r="H1467" s="26" t="s">
        <v>3276</v>
      </c>
      <c r="I1467" s="26" t="s">
        <v>106</v>
      </c>
      <c r="J1467" s="26">
        <v>0</v>
      </c>
      <c r="K1467" s="8" t="str">
        <f t="shared" si="22"/>
        <v>VATBACSREP</v>
      </c>
    </row>
    <row r="1468" spans="1:11" x14ac:dyDescent="0.25">
      <c r="A1468" s="26" t="s">
        <v>148</v>
      </c>
      <c r="B1468" s="26" t="s">
        <v>111</v>
      </c>
      <c r="C1468" s="26">
        <v>0</v>
      </c>
      <c r="D1468" s="27">
        <v>43315</v>
      </c>
      <c r="E1468" s="26">
        <v>-164575.06</v>
      </c>
      <c r="F1468" s="26" t="s">
        <v>3277</v>
      </c>
      <c r="G1468" s="26" t="s">
        <v>8</v>
      </c>
      <c r="H1468" s="26" t="s">
        <v>3278</v>
      </c>
      <c r="I1468" s="26" t="s">
        <v>106</v>
      </c>
      <c r="J1468" s="26">
        <v>0</v>
      </c>
      <c r="K1468" s="8" t="str">
        <f t="shared" si="22"/>
        <v>VATBACSREP</v>
      </c>
    </row>
    <row r="1469" spans="1:11" x14ac:dyDescent="0.25">
      <c r="A1469" s="26" t="s">
        <v>148</v>
      </c>
      <c r="B1469" s="26" t="s">
        <v>111</v>
      </c>
      <c r="C1469" s="26">
        <v>0</v>
      </c>
      <c r="D1469" s="27">
        <v>43315</v>
      </c>
      <c r="E1469" s="26">
        <v>-185305.8</v>
      </c>
      <c r="F1469" s="26" t="s">
        <v>3279</v>
      </c>
      <c r="G1469" s="26" t="s">
        <v>8</v>
      </c>
      <c r="H1469" s="26" t="s">
        <v>3280</v>
      </c>
      <c r="I1469" s="26" t="s">
        <v>106</v>
      </c>
      <c r="J1469" s="26">
        <v>0</v>
      </c>
      <c r="K1469" s="8" t="str">
        <f t="shared" si="22"/>
        <v>VATBACSREP</v>
      </c>
    </row>
    <row r="1470" spans="1:11" x14ac:dyDescent="0.25">
      <c r="A1470" s="26" t="s">
        <v>148</v>
      </c>
      <c r="B1470" s="26" t="s">
        <v>111</v>
      </c>
      <c r="C1470" s="26">
        <v>0</v>
      </c>
      <c r="D1470" s="27">
        <v>43315</v>
      </c>
      <c r="E1470" s="26">
        <v>-180381.25</v>
      </c>
      <c r="F1470" s="26" t="s">
        <v>3281</v>
      </c>
      <c r="G1470" s="26" t="s">
        <v>8</v>
      </c>
      <c r="H1470" s="26" t="s">
        <v>3282</v>
      </c>
      <c r="I1470" s="26" t="s">
        <v>106</v>
      </c>
      <c r="J1470" s="26">
        <v>0</v>
      </c>
      <c r="K1470" s="8" t="str">
        <f t="shared" si="22"/>
        <v>VATBACSREP</v>
      </c>
    </row>
    <row r="1471" spans="1:11" x14ac:dyDescent="0.25">
      <c r="A1471" s="26" t="s">
        <v>148</v>
      </c>
      <c r="B1471" s="26" t="s">
        <v>111</v>
      </c>
      <c r="C1471" s="26">
        <v>0</v>
      </c>
      <c r="D1471" s="27">
        <v>43318</v>
      </c>
      <c r="E1471" s="26">
        <v>-109293.09</v>
      </c>
      <c r="F1471" s="26" t="s">
        <v>3283</v>
      </c>
      <c r="G1471" s="26" t="s">
        <v>8</v>
      </c>
      <c r="H1471" s="26" t="s">
        <v>3284</v>
      </c>
      <c r="I1471" s="26" t="s">
        <v>106</v>
      </c>
      <c r="J1471" s="26">
        <v>0</v>
      </c>
      <c r="K1471" s="8" t="str">
        <f t="shared" si="22"/>
        <v>VATBACSREP</v>
      </c>
    </row>
    <row r="1472" spans="1:11" x14ac:dyDescent="0.25">
      <c r="A1472" s="26" t="s">
        <v>148</v>
      </c>
      <c r="B1472" s="26" t="s">
        <v>111</v>
      </c>
      <c r="C1472" s="26">
        <v>0</v>
      </c>
      <c r="D1472" s="27">
        <v>43321</v>
      </c>
      <c r="E1472" s="26">
        <v>-97140.59</v>
      </c>
      <c r="F1472" s="26" t="s">
        <v>3285</v>
      </c>
      <c r="G1472" s="26" t="s">
        <v>8</v>
      </c>
      <c r="H1472" s="26" t="s">
        <v>3286</v>
      </c>
      <c r="I1472" s="26" t="s">
        <v>106</v>
      </c>
      <c r="J1472" s="26">
        <v>0</v>
      </c>
      <c r="K1472" s="8" t="str">
        <f t="shared" si="22"/>
        <v>VATBACSREP</v>
      </c>
    </row>
    <row r="1473" spans="1:11" x14ac:dyDescent="0.25">
      <c r="A1473" s="26" t="s">
        <v>148</v>
      </c>
      <c r="B1473" s="26" t="s">
        <v>111</v>
      </c>
      <c r="C1473" s="26">
        <v>0</v>
      </c>
      <c r="D1473" s="27">
        <v>43322</v>
      </c>
      <c r="E1473" s="26">
        <v>-81493.25</v>
      </c>
      <c r="F1473" s="26" t="s">
        <v>3287</v>
      </c>
      <c r="G1473" s="26" t="s">
        <v>8</v>
      </c>
      <c r="H1473" s="26" t="s">
        <v>3288</v>
      </c>
      <c r="I1473" s="26" t="s">
        <v>106</v>
      </c>
      <c r="J1473" s="26">
        <v>0</v>
      </c>
      <c r="K1473" s="8" t="str">
        <f t="shared" si="22"/>
        <v>VATBACSREP</v>
      </c>
    </row>
    <row r="1474" spans="1:11" x14ac:dyDescent="0.25">
      <c r="A1474" s="26" t="s">
        <v>148</v>
      </c>
      <c r="B1474" s="26" t="s">
        <v>111</v>
      </c>
      <c r="C1474" s="26">
        <v>0</v>
      </c>
      <c r="D1474" s="27">
        <v>43322</v>
      </c>
      <c r="E1474" s="26">
        <v>-144797.46</v>
      </c>
      <c r="F1474" s="26" t="s">
        <v>3289</v>
      </c>
      <c r="G1474" s="26" t="s">
        <v>8</v>
      </c>
      <c r="H1474" s="26" t="s">
        <v>3290</v>
      </c>
      <c r="I1474" s="26" t="s">
        <v>106</v>
      </c>
      <c r="J1474" s="26">
        <v>0</v>
      </c>
      <c r="K1474" s="8" t="str">
        <f t="shared" si="22"/>
        <v>VATBACSREP</v>
      </c>
    </row>
    <row r="1475" spans="1:11" x14ac:dyDescent="0.25">
      <c r="A1475" s="26" t="s">
        <v>148</v>
      </c>
      <c r="B1475" s="26" t="s">
        <v>111</v>
      </c>
      <c r="C1475" s="26">
        <v>0</v>
      </c>
      <c r="D1475" s="27">
        <v>43322</v>
      </c>
      <c r="E1475" s="26">
        <v>-110722.8</v>
      </c>
      <c r="F1475" s="26" t="s">
        <v>3291</v>
      </c>
      <c r="G1475" s="26" t="s">
        <v>8</v>
      </c>
      <c r="H1475" s="26" t="s">
        <v>3292</v>
      </c>
      <c r="I1475" s="26" t="s">
        <v>106</v>
      </c>
      <c r="J1475" s="26">
        <v>0</v>
      </c>
      <c r="K1475" s="8" t="str">
        <f t="shared" ref="K1475:K1538" si="23">LEFT(A1475,FIND("/",A1475)-1)</f>
        <v>VATBACSREP</v>
      </c>
    </row>
    <row r="1476" spans="1:11" x14ac:dyDescent="0.25">
      <c r="A1476" s="26" t="s">
        <v>148</v>
      </c>
      <c r="B1476" s="26" t="s">
        <v>111</v>
      </c>
      <c r="C1476" s="26">
        <v>0</v>
      </c>
      <c r="D1476" s="27">
        <v>43325</v>
      </c>
      <c r="E1476" s="26">
        <v>-257982.53</v>
      </c>
      <c r="F1476" s="26" t="s">
        <v>3293</v>
      </c>
      <c r="G1476" s="26" t="s">
        <v>8</v>
      </c>
      <c r="H1476" s="26" t="s">
        <v>3294</v>
      </c>
      <c r="I1476" s="26" t="s">
        <v>106</v>
      </c>
      <c r="J1476" s="26">
        <v>0</v>
      </c>
      <c r="K1476" s="8" t="str">
        <f t="shared" si="23"/>
        <v>VATBACSREP</v>
      </c>
    </row>
    <row r="1477" spans="1:11" x14ac:dyDescent="0.25">
      <c r="A1477" s="26" t="s">
        <v>148</v>
      </c>
      <c r="B1477" s="26" t="s">
        <v>111</v>
      </c>
      <c r="C1477" s="26">
        <v>0</v>
      </c>
      <c r="D1477" s="27">
        <v>43328</v>
      </c>
      <c r="E1477" s="26">
        <v>-69181.89</v>
      </c>
      <c r="F1477" s="26" t="s">
        <v>3295</v>
      </c>
      <c r="G1477" s="26" t="s">
        <v>8</v>
      </c>
      <c r="H1477" s="26" t="s">
        <v>3296</v>
      </c>
      <c r="I1477" s="26" t="s">
        <v>106</v>
      </c>
      <c r="J1477" s="26">
        <v>0</v>
      </c>
      <c r="K1477" s="8" t="str">
        <f t="shared" si="23"/>
        <v>VATBACSREP</v>
      </c>
    </row>
    <row r="1478" spans="1:11" x14ac:dyDescent="0.25">
      <c r="A1478" s="26" t="s">
        <v>148</v>
      </c>
      <c r="B1478" s="26" t="s">
        <v>111</v>
      </c>
      <c r="C1478" s="26">
        <v>0</v>
      </c>
      <c r="D1478" s="27">
        <v>43329</v>
      </c>
      <c r="E1478" s="26">
        <v>-142494.04</v>
      </c>
      <c r="F1478" s="26" t="s">
        <v>3297</v>
      </c>
      <c r="G1478" s="26" t="s">
        <v>8</v>
      </c>
      <c r="H1478" s="26" t="s">
        <v>3298</v>
      </c>
      <c r="I1478" s="26" t="s">
        <v>106</v>
      </c>
      <c r="J1478" s="26">
        <v>0</v>
      </c>
      <c r="K1478" s="8" t="str">
        <f t="shared" si="23"/>
        <v>VATBACSREP</v>
      </c>
    </row>
    <row r="1479" spans="1:11" x14ac:dyDescent="0.25">
      <c r="A1479" s="26" t="s">
        <v>148</v>
      </c>
      <c r="B1479" s="26" t="s">
        <v>111</v>
      </c>
      <c r="C1479" s="26">
        <v>0</v>
      </c>
      <c r="D1479" s="27">
        <v>43329</v>
      </c>
      <c r="E1479" s="26">
        <v>-91660.05</v>
      </c>
      <c r="F1479" s="26" t="s">
        <v>3299</v>
      </c>
      <c r="G1479" s="26" t="s">
        <v>8</v>
      </c>
      <c r="H1479" s="26" t="s">
        <v>3300</v>
      </c>
      <c r="I1479" s="26" t="s">
        <v>106</v>
      </c>
      <c r="J1479" s="26">
        <v>0</v>
      </c>
      <c r="K1479" s="8" t="str">
        <f t="shared" si="23"/>
        <v>VATBACSREP</v>
      </c>
    </row>
    <row r="1480" spans="1:11" x14ac:dyDescent="0.25">
      <c r="A1480" s="26" t="s">
        <v>148</v>
      </c>
      <c r="B1480" s="26" t="s">
        <v>111</v>
      </c>
      <c r="C1480" s="26">
        <v>0</v>
      </c>
      <c r="D1480" s="27">
        <v>43329</v>
      </c>
      <c r="E1480" s="26">
        <v>-88165.21</v>
      </c>
      <c r="F1480" s="26" t="s">
        <v>3301</v>
      </c>
      <c r="G1480" s="26" t="s">
        <v>8</v>
      </c>
      <c r="H1480" s="26" t="s">
        <v>3302</v>
      </c>
      <c r="I1480" s="26" t="s">
        <v>106</v>
      </c>
      <c r="J1480" s="26">
        <v>0</v>
      </c>
      <c r="K1480" s="8" t="str">
        <f t="shared" si="23"/>
        <v>VATBACSREP</v>
      </c>
    </row>
    <row r="1481" spans="1:11" x14ac:dyDescent="0.25">
      <c r="A1481" s="26" t="s">
        <v>148</v>
      </c>
      <c r="B1481" s="26" t="s">
        <v>111</v>
      </c>
      <c r="C1481" s="26">
        <v>0</v>
      </c>
      <c r="D1481" s="27">
        <v>43336</v>
      </c>
      <c r="E1481" s="26">
        <v>-132327.24</v>
      </c>
      <c r="F1481" s="26" t="s">
        <v>3303</v>
      </c>
      <c r="G1481" s="26" t="s">
        <v>8</v>
      </c>
      <c r="H1481" s="26" t="s">
        <v>3304</v>
      </c>
      <c r="I1481" s="26" t="s">
        <v>106</v>
      </c>
      <c r="J1481" s="26">
        <v>0</v>
      </c>
      <c r="K1481" s="8" t="str">
        <f t="shared" si="23"/>
        <v>VATBACSREP</v>
      </c>
    </row>
    <row r="1482" spans="1:11" x14ac:dyDescent="0.25">
      <c r="A1482" s="26" t="s">
        <v>148</v>
      </c>
      <c r="B1482" s="26" t="s">
        <v>111</v>
      </c>
      <c r="C1482" s="26">
        <v>0</v>
      </c>
      <c r="D1482" s="27">
        <v>43336</v>
      </c>
      <c r="E1482" s="26">
        <v>-170691.02</v>
      </c>
      <c r="F1482" s="26" t="s">
        <v>3305</v>
      </c>
      <c r="G1482" s="26" t="s">
        <v>8</v>
      </c>
      <c r="H1482" s="26" t="s">
        <v>3306</v>
      </c>
      <c r="I1482" s="26" t="s">
        <v>106</v>
      </c>
      <c r="J1482" s="26">
        <v>0</v>
      </c>
      <c r="K1482" s="8" t="str">
        <f t="shared" si="23"/>
        <v>VATBACSREP</v>
      </c>
    </row>
    <row r="1483" spans="1:11" x14ac:dyDescent="0.25">
      <c r="A1483" s="26" t="s">
        <v>148</v>
      </c>
      <c r="B1483" s="26" t="s">
        <v>111</v>
      </c>
      <c r="C1483" s="26">
        <v>0</v>
      </c>
      <c r="D1483" s="27">
        <v>43336</v>
      </c>
      <c r="E1483" s="26">
        <v>-171644.16</v>
      </c>
      <c r="F1483" s="26" t="s">
        <v>3307</v>
      </c>
      <c r="G1483" s="26" t="s">
        <v>8</v>
      </c>
      <c r="H1483" s="26" t="s">
        <v>3308</v>
      </c>
      <c r="I1483" s="26" t="s">
        <v>106</v>
      </c>
      <c r="J1483" s="26">
        <v>0</v>
      </c>
      <c r="K1483" s="8" t="str">
        <f t="shared" si="23"/>
        <v>VATBACSREP</v>
      </c>
    </row>
    <row r="1484" spans="1:11" x14ac:dyDescent="0.25">
      <c r="A1484" s="26" t="s">
        <v>148</v>
      </c>
      <c r="B1484" s="26" t="s">
        <v>111</v>
      </c>
      <c r="C1484" s="26">
        <v>0</v>
      </c>
      <c r="D1484" s="27">
        <v>43339</v>
      </c>
      <c r="E1484" s="26">
        <v>-77601.27</v>
      </c>
      <c r="F1484" s="26" t="s">
        <v>3309</v>
      </c>
      <c r="G1484" s="26" t="s">
        <v>8</v>
      </c>
      <c r="H1484" s="26" t="s">
        <v>3310</v>
      </c>
      <c r="I1484" s="26" t="s">
        <v>106</v>
      </c>
      <c r="J1484" s="26">
        <v>0</v>
      </c>
      <c r="K1484" s="8" t="str">
        <f t="shared" si="23"/>
        <v>VATBACSREP</v>
      </c>
    </row>
    <row r="1485" spans="1:11" x14ac:dyDescent="0.25">
      <c r="A1485" s="26" t="s">
        <v>148</v>
      </c>
      <c r="B1485" s="26" t="s">
        <v>111</v>
      </c>
      <c r="C1485" s="26">
        <v>0</v>
      </c>
      <c r="D1485" s="27">
        <v>43342</v>
      </c>
      <c r="E1485" s="26">
        <v>-125972.99</v>
      </c>
      <c r="F1485" s="26" t="s">
        <v>3311</v>
      </c>
      <c r="G1485" s="26" t="s">
        <v>8</v>
      </c>
      <c r="H1485" s="26" t="s">
        <v>3312</v>
      </c>
      <c r="I1485" s="26" t="s">
        <v>106</v>
      </c>
      <c r="J1485" s="26">
        <v>0</v>
      </c>
      <c r="K1485" s="8" t="str">
        <f t="shared" si="23"/>
        <v>VATBACSREP</v>
      </c>
    </row>
    <row r="1486" spans="1:11" x14ac:dyDescent="0.25">
      <c r="A1486" s="26" t="s">
        <v>148</v>
      </c>
      <c r="B1486" s="26" t="s">
        <v>111</v>
      </c>
      <c r="C1486" s="26">
        <v>0</v>
      </c>
      <c r="D1486" s="27">
        <v>43343</v>
      </c>
      <c r="E1486" s="26">
        <v>-117553.61</v>
      </c>
      <c r="F1486" s="26" t="s">
        <v>3313</v>
      </c>
      <c r="G1486" s="26" t="s">
        <v>8</v>
      </c>
      <c r="H1486" s="26" t="s">
        <v>3314</v>
      </c>
      <c r="I1486" s="26" t="s">
        <v>106</v>
      </c>
      <c r="J1486" s="26">
        <v>0</v>
      </c>
      <c r="K1486" s="8" t="str">
        <f t="shared" si="23"/>
        <v>VATBACSREP</v>
      </c>
    </row>
    <row r="1487" spans="1:11" x14ac:dyDescent="0.25">
      <c r="A1487" s="26" t="s">
        <v>148</v>
      </c>
      <c r="B1487" s="26" t="s">
        <v>111</v>
      </c>
      <c r="C1487" s="26">
        <v>0</v>
      </c>
      <c r="D1487" s="27">
        <v>43343</v>
      </c>
      <c r="E1487" s="26">
        <v>-133598.09</v>
      </c>
      <c r="F1487" s="26" t="s">
        <v>3315</v>
      </c>
      <c r="G1487" s="26" t="s">
        <v>8</v>
      </c>
      <c r="H1487" s="26" t="s">
        <v>3316</v>
      </c>
      <c r="I1487" s="26" t="s">
        <v>106</v>
      </c>
      <c r="J1487" s="26">
        <v>0</v>
      </c>
      <c r="K1487" s="8" t="str">
        <f t="shared" si="23"/>
        <v>VATBACSREP</v>
      </c>
    </row>
    <row r="1488" spans="1:11" x14ac:dyDescent="0.25">
      <c r="A1488" s="26" t="s">
        <v>148</v>
      </c>
      <c r="B1488" s="26" t="s">
        <v>111</v>
      </c>
      <c r="C1488" s="26">
        <v>0</v>
      </c>
      <c r="D1488" s="27">
        <v>43343</v>
      </c>
      <c r="E1488" s="26">
        <v>-100873.71</v>
      </c>
      <c r="F1488" s="26" t="s">
        <v>3317</v>
      </c>
      <c r="G1488" s="26" t="s">
        <v>8</v>
      </c>
      <c r="H1488" s="26" t="s">
        <v>3318</v>
      </c>
      <c r="I1488" s="26" t="s">
        <v>106</v>
      </c>
      <c r="J1488" s="26">
        <v>0</v>
      </c>
      <c r="K1488" s="8" t="str">
        <f t="shared" si="23"/>
        <v>VATBACSREP</v>
      </c>
    </row>
    <row r="1489" spans="1:11" x14ac:dyDescent="0.25">
      <c r="A1489" s="26" t="s">
        <v>148</v>
      </c>
      <c r="B1489" s="26" t="s">
        <v>111</v>
      </c>
      <c r="C1489" s="26">
        <v>0</v>
      </c>
      <c r="D1489" s="27">
        <v>43346</v>
      </c>
      <c r="E1489" s="26">
        <v>-150278</v>
      </c>
      <c r="F1489" s="26" t="s">
        <v>3319</v>
      </c>
      <c r="G1489" s="26" t="s">
        <v>8</v>
      </c>
      <c r="H1489" s="26" t="s">
        <v>3320</v>
      </c>
      <c r="I1489" s="26" t="s">
        <v>106</v>
      </c>
      <c r="J1489" s="26">
        <v>0</v>
      </c>
      <c r="K1489" s="8" t="str">
        <f t="shared" si="23"/>
        <v>VATBACSREP</v>
      </c>
    </row>
    <row r="1490" spans="1:11" x14ac:dyDescent="0.25">
      <c r="A1490" s="26" t="s">
        <v>148</v>
      </c>
      <c r="B1490" s="26" t="s">
        <v>111</v>
      </c>
      <c r="C1490" s="26">
        <v>0</v>
      </c>
      <c r="D1490" s="27">
        <v>43349</v>
      </c>
      <c r="E1490" s="26">
        <v>-181731.53</v>
      </c>
      <c r="F1490" s="26" t="s">
        <v>3321</v>
      </c>
      <c r="G1490" s="26" t="s">
        <v>8</v>
      </c>
      <c r="H1490" s="26" t="s">
        <v>3322</v>
      </c>
      <c r="I1490" s="26" t="s">
        <v>106</v>
      </c>
      <c r="J1490" s="26">
        <v>0</v>
      </c>
      <c r="K1490" s="8" t="str">
        <f t="shared" si="23"/>
        <v>VATBACSREP</v>
      </c>
    </row>
    <row r="1491" spans="1:11" x14ac:dyDescent="0.25">
      <c r="A1491" s="26" t="s">
        <v>148</v>
      </c>
      <c r="B1491" s="26" t="s">
        <v>111</v>
      </c>
      <c r="C1491" s="26">
        <v>0</v>
      </c>
      <c r="D1491" s="27">
        <v>43350</v>
      </c>
      <c r="E1491" s="26">
        <v>-152660.84</v>
      </c>
      <c r="F1491" s="26" t="s">
        <v>3323</v>
      </c>
      <c r="G1491" s="26" t="s">
        <v>8</v>
      </c>
      <c r="H1491" s="26" t="s">
        <v>3324</v>
      </c>
      <c r="I1491" s="26" t="s">
        <v>106</v>
      </c>
      <c r="J1491" s="26">
        <v>0</v>
      </c>
      <c r="K1491" s="8" t="str">
        <f t="shared" si="23"/>
        <v>VATBACSREP</v>
      </c>
    </row>
    <row r="1492" spans="1:11" x14ac:dyDescent="0.25">
      <c r="A1492" s="26" t="s">
        <v>148</v>
      </c>
      <c r="B1492" s="26" t="s">
        <v>111</v>
      </c>
      <c r="C1492" s="26">
        <v>0</v>
      </c>
      <c r="D1492" s="27">
        <v>43350</v>
      </c>
      <c r="E1492" s="26">
        <v>-120095.31</v>
      </c>
      <c r="F1492" s="26" t="s">
        <v>3325</v>
      </c>
      <c r="G1492" s="26" t="s">
        <v>8</v>
      </c>
      <c r="H1492" s="26" t="s">
        <v>3326</v>
      </c>
      <c r="I1492" s="26" t="s">
        <v>106</v>
      </c>
      <c r="J1492" s="26">
        <v>0</v>
      </c>
      <c r="K1492" s="8" t="str">
        <f t="shared" si="23"/>
        <v>VATBACSREP</v>
      </c>
    </row>
    <row r="1493" spans="1:11" x14ac:dyDescent="0.25">
      <c r="A1493" s="26" t="s">
        <v>148</v>
      </c>
      <c r="B1493" s="26" t="s">
        <v>111</v>
      </c>
      <c r="C1493" s="26">
        <v>0</v>
      </c>
      <c r="D1493" s="27">
        <v>43350</v>
      </c>
      <c r="E1493" s="26">
        <v>-136854.65</v>
      </c>
      <c r="F1493" s="26" t="s">
        <v>3327</v>
      </c>
      <c r="G1493" s="26" t="s">
        <v>8</v>
      </c>
      <c r="H1493" s="26" t="s">
        <v>3328</v>
      </c>
      <c r="I1493" s="26" t="s">
        <v>106</v>
      </c>
      <c r="J1493" s="26">
        <v>0</v>
      </c>
      <c r="K1493" s="8" t="str">
        <f t="shared" si="23"/>
        <v>VATBACSREP</v>
      </c>
    </row>
    <row r="1494" spans="1:11" x14ac:dyDescent="0.25">
      <c r="A1494" s="26" t="s">
        <v>148</v>
      </c>
      <c r="B1494" s="26" t="s">
        <v>111</v>
      </c>
      <c r="C1494" s="26">
        <v>0</v>
      </c>
      <c r="D1494" s="27">
        <v>43353</v>
      </c>
      <c r="E1494" s="26">
        <v>-118109.61</v>
      </c>
      <c r="F1494" s="26" t="s">
        <v>3329</v>
      </c>
      <c r="G1494" s="26" t="s">
        <v>8</v>
      </c>
      <c r="H1494" s="26" t="s">
        <v>3330</v>
      </c>
      <c r="I1494" s="26" t="s">
        <v>106</v>
      </c>
      <c r="J1494" s="26">
        <v>0</v>
      </c>
      <c r="K1494" s="8" t="str">
        <f t="shared" si="23"/>
        <v>VATBACSREP</v>
      </c>
    </row>
    <row r="1495" spans="1:11" x14ac:dyDescent="0.25">
      <c r="A1495" s="26" t="s">
        <v>148</v>
      </c>
      <c r="B1495" s="26" t="s">
        <v>111</v>
      </c>
      <c r="C1495" s="26">
        <v>0</v>
      </c>
      <c r="D1495" s="27">
        <v>43356</v>
      </c>
      <c r="E1495" s="26">
        <v>-169102.46</v>
      </c>
      <c r="F1495" s="26" t="s">
        <v>3331</v>
      </c>
      <c r="G1495" s="26" t="s">
        <v>8</v>
      </c>
      <c r="H1495" s="26" t="s">
        <v>3332</v>
      </c>
      <c r="I1495" s="26" t="s">
        <v>106</v>
      </c>
      <c r="J1495" s="26">
        <v>0</v>
      </c>
      <c r="K1495" s="8" t="str">
        <f t="shared" si="23"/>
        <v>VATBACSREP</v>
      </c>
    </row>
    <row r="1496" spans="1:11" x14ac:dyDescent="0.25">
      <c r="A1496" s="26" t="s">
        <v>148</v>
      </c>
      <c r="B1496" s="26" t="s">
        <v>111</v>
      </c>
      <c r="C1496" s="26">
        <v>0</v>
      </c>
      <c r="D1496" s="27">
        <v>43357</v>
      </c>
      <c r="E1496" s="26">
        <v>-151310.56</v>
      </c>
      <c r="F1496" s="26" t="s">
        <v>3333</v>
      </c>
      <c r="G1496" s="26" t="s">
        <v>8</v>
      </c>
      <c r="H1496" s="26" t="s">
        <v>3334</v>
      </c>
      <c r="I1496" s="26" t="s">
        <v>106</v>
      </c>
      <c r="J1496" s="26">
        <v>0</v>
      </c>
      <c r="K1496" s="8" t="str">
        <f t="shared" si="23"/>
        <v>VATBACSREP</v>
      </c>
    </row>
    <row r="1497" spans="1:11" x14ac:dyDescent="0.25">
      <c r="A1497" s="26" t="s">
        <v>148</v>
      </c>
      <c r="B1497" s="26" t="s">
        <v>111</v>
      </c>
      <c r="C1497" s="26">
        <v>0</v>
      </c>
      <c r="D1497" s="27">
        <v>43357</v>
      </c>
      <c r="E1497" s="26">
        <v>-190786.34</v>
      </c>
      <c r="F1497" s="26" t="s">
        <v>3335</v>
      </c>
      <c r="G1497" s="26" t="s">
        <v>8</v>
      </c>
      <c r="H1497" s="26" t="s">
        <v>3336</v>
      </c>
      <c r="I1497" s="26" t="s">
        <v>106</v>
      </c>
      <c r="J1497" s="26">
        <v>0</v>
      </c>
      <c r="K1497" s="8" t="str">
        <f t="shared" si="23"/>
        <v>VATBACSREP</v>
      </c>
    </row>
    <row r="1498" spans="1:11" x14ac:dyDescent="0.25">
      <c r="A1498" s="26" t="s">
        <v>148</v>
      </c>
      <c r="B1498" s="26" t="s">
        <v>111</v>
      </c>
      <c r="C1498" s="26">
        <v>0</v>
      </c>
      <c r="D1498" s="27">
        <v>43357</v>
      </c>
      <c r="E1498" s="26">
        <v>-164733.92000000001</v>
      </c>
      <c r="F1498" s="26" t="s">
        <v>3337</v>
      </c>
      <c r="G1498" s="26" t="s">
        <v>8</v>
      </c>
      <c r="H1498" s="26" t="s">
        <v>3338</v>
      </c>
      <c r="I1498" s="26" t="s">
        <v>106</v>
      </c>
      <c r="J1498" s="26">
        <v>0</v>
      </c>
      <c r="K1498" s="8" t="str">
        <f t="shared" si="23"/>
        <v>VATBACSREP</v>
      </c>
    </row>
    <row r="1499" spans="1:11" x14ac:dyDescent="0.25">
      <c r="A1499" s="26" t="s">
        <v>148</v>
      </c>
      <c r="B1499" s="26" t="s">
        <v>111</v>
      </c>
      <c r="C1499" s="26">
        <v>0</v>
      </c>
      <c r="D1499" s="27">
        <v>43360</v>
      </c>
      <c r="E1499" s="26">
        <v>-206433.68</v>
      </c>
      <c r="F1499" s="26" t="s">
        <v>3339</v>
      </c>
      <c r="G1499" s="26" t="s">
        <v>8</v>
      </c>
      <c r="H1499" s="26" t="s">
        <v>3340</v>
      </c>
      <c r="I1499" s="26" t="s">
        <v>106</v>
      </c>
      <c r="J1499" s="26">
        <v>0</v>
      </c>
      <c r="K1499" s="8" t="str">
        <f t="shared" si="23"/>
        <v>VATBACSREP</v>
      </c>
    </row>
    <row r="1500" spans="1:11" x14ac:dyDescent="0.25">
      <c r="A1500" s="26" t="s">
        <v>149</v>
      </c>
      <c r="B1500" s="26" t="s">
        <v>111</v>
      </c>
      <c r="C1500" s="26">
        <v>0</v>
      </c>
      <c r="D1500" s="27">
        <v>43244</v>
      </c>
      <c r="E1500" s="26">
        <v>223193.01</v>
      </c>
      <c r="F1500" s="26" t="s">
        <v>3341</v>
      </c>
      <c r="G1500" s="26" t="s">
        <v>8</v>
      </c>
      <c r="H1500" s="26" t="s">
        <v>3342</v>
      </c>
      <c r="I1500" s="26" t="s">
        <v>106</v>
      </c>
      <c r="J1500" s="26">
        <v>0</v>
      </c>
      <c r="K1500" s="8" t="str">
        <f t="shared" si="23"/>
        <v>VATCHPSREC</v>
      </c>
    </row>
    <row r="1501" spans="1:11" x14ac:dyDescent="0.25">
      <c r="A1501" s="26" t="s">
        <v>149</v>
      </c>
      <c r="B1501" s="26" t="s">
        <v>111</v>
      </c>
      <c r="C1501" s="26">
        <v>0</v>
      </c>
      <c r="D1501" s="27">
        <v>43245</v>
      </c>
      <c r="E1501" s="26">
        <v>238284.35</v>
      </c>
      <c r="F1501" s="26" t="s">
        <v>3343</v>
      </c>
      <c r="G1501" s="26" t="s">
        <v>8</v>
      </c>
      <c r="H1501" s="26" t="s">
        <v>3344</v>
      </c>
      <c r="I1501" s="26" t="s">
        <v>106</v>
      </c>
      <c r="J1501" s="26">
        <v>0</v>
      </c>
      <c r="K1501" s="8" t="str">
        <f t="shared" si="23"/>
        <v>VATCHPSREC</v>
      </c>
    </row>
    <row r="1502" spans="1:11" x14ac:dyDescent="0.25">
      <c r="A1502" s="26" t="s">
        <v>149</v>
      </c>
      <c r="B1502" s="26" t="s">
        <v>111</v>
      </c>
      <c r="C1502" s="26">
        <v>0</v>
      </c>
      <c r="D1502" s="27">
        <v>43245</v>
      </c>
      <c r="E1502" s="26">
        <v>99285.15</v>
      </c>
      <c r="F1502" s="26" t="s">
        <v>3345</v>
      </c>
      <c r="G1502" s="26" t="s">
        <v>8</v>
      </c>
      <c r="H1502" s="26" t="s">
        <v>3346</v>
      </c>
      <c r="I1502" s="26" t="s">
        <v>106</v>
      </c>
      <c r="J1502" s="26">
        <v>0</v>
      </c>
      <c r="K1502" s="8" t="str">
        <f t="shared" si="23"/>
        <v>VATCHPSREC</v>
      </c>
    </row>
    <row r="1503" spans="1:11" x14ac:dyDescent="0.25">
      <c r="A1503" s="26" t="s">
        <v>149</v>
      </c>
      <c r="B1503" s="26" t="s">
        <v>111</v>
      </c>
      <c r="C1503" s="26">
        <v>0</v>
      </c>
      <c r="D1503" s="27">
        <v>43245</v>
      </c>
      <c r="E1503" s="26">
        <v>269261.32</v>
      </c>
      <c r="F1503" s="26" t="s">
        <v>3347</v>
      </c>
      <c r="G1503" s="26" t="s">
        <v>8</v>
      </c>
      <c r="H1503" s="26" t="s">
        <v>3348</v>
      </c>
      <c r="I1503" s="26" t="s">
        <v>106</v>
      </c>
      <c r="J1503" s="26">
        <v>0</v>
      </c>
      <c r="K1503" s="8" t="str">
        <f t="shared" si="23"/>
        <v>VATCHPSREC</v>
      </c>
    </row>
    <row r="1504" spans="1:11" x14ac:dyDescent="0.25">
      <c r="A1504" s="26" t="s">
        <v>149</v>
      </c>
      <c r="B1504" s="26" t="s">
        <v>111</v>
      </c>
      <c r="C1504" s="26">
        <v>0</v>
      </c>
      <c r="D1504" s="27">
        <v>43248</v>
      </c>
      <c r="E1504" s="26">
        <v>79428.12</v>
      </c>
      <c r="F1504" s="26" t="s">
        <v>3349</v>
      </c>
      <c r="G1504" s="26" t="s">
        <v>8</v>
      </c>
      <c r="H1504" s="26" t="s">
        <v>3350</v>
      </c>
      <c r="I1504" s="26" t="s">
        <v>106</v>
      </c>
      <c r="J1504" s="26">
        <v>0</v>
      </c>
      <c r="K1504" s="8" t="str">
        <f t="shared" si="23"/>
        <v>VATCHPSREC</v>
      </c>
    </row>
    <row r="1505" spans="1:11" x14ac:dyDescent="0.25">
      <c r="A1505" s="26" t="s">
        <v>149</v>
      </c>
      <c r="B1505" s="26" t="s">
        <v>111</v>
      </c>
      <c r="C1505" s="26">
        <v>0</v>
      </c>
      <c r="D1505" s="27">
        <v>43251</v>
      </c>
      <c r="E1505" s="26">
        <v>43685.46</v>
      </c>
      <c r="F1505" s="26" t="s">
        <v>3351</v>
      </c>
      <c r="G1505" s="26" t="s">
        <v>8</v>
      </c>
      <c r="H1505" s="26" t="s">
        <v>3352</v>
      </c>
      <c r="I1505" s="26" t="s">
        <v>106</v>
      </c>
      <c r="J1505" s="26">
        <v>0</v>
      </c>
      <c r="K1505" s="8" t="str">
        <f t="shared" si="23"/>
        <v>VATCHPSREC</v>
      </c>
    </row>
    <row r="1506" spans="1:11" x14ac:dyDescent="0.25">
      <c r="A1506" s="26" t="s">
        <v>149</v>
      </c>
      <c r="B1506" s="26" t="s">
        <v>111</v>
      </c>
      <c r="C1506" s="26">
        <v>0</v>
      </c>
      <c r="D1506" s="27">
        <v>43252</v>
      </c>
      <c r="E1506" s="26">
        <v>31771.25</v>
      </c>
      <c r="F1506" s="26" t="s">
        <v>3353</v>
      </c>
      <c r="G1506" s="26" t="s">
        <v>8</v>
      </c>
      <c r="H1506" s="26" t="s">
        <v>3354</v>
      </c>
      <c r="I1506" s="26" t="s">
        <v>106</v>
      </c>
      <c r="J1506" s="26">
        <v>0</v>
      </c>
      <c r="K1506" s="8" t="str">
        <f t="shared" si="23"/>
        <v>VATCHPSREC</v>
      </c>
    </row>
    <row r="1507" spans="1:11" x14ac:dyDescent="0.25">
      <c r="A1507" s="26" t="s">
        <v>149</v>
      </c>
      <c r="B1507" s="26" t="s">
        <v>111</v>
      </c>
      <c r="C1507" s="26">
        <v>0</v>
      </c>
      <c r="D1507" s="27">
        <v>43252</v>
      </c>
      <c r="E1507" s="26">
        <v>31771.25</v>
      </c>
      <c r="F1507" s="26" t="s">
        <v>3355</v>
      </c>
      <c r="G1507" s="26" t="s">
        <v>8</v>
      </c>
      <c r="H1507" s="26" t="s">
        <v>3356</v>
      </c>
      <c r="I1507" s="26" t="s">
        <v>106</v>
      </c>
      <c r="J1507" s="26">
        <v>0</v>
      </c>
      <c r="K1507" s="8" t="str">
        <f t="shared" si="23"/>
        <v>VATCHPSREC</v>
      </c>
    </row>
    <row r="1508" spans="1:11" x14ac:dyDescent="0.25">
      <c r="A1508" s="26" t="s">
        <v>149</v>
      </c>
      <c r="B1508" s="26" t="s">
        <v>111</v>
      </c>
      <c r="C1508" s="26">
        <v>0</v>
      </c>
      <c r="D1508" s="27">
        <v>43252</v>
      </c>
      <c r="E1508" s="26">
        <v>25417</v>
      </c>
      <c r="F1508" s="26" t="s">
        <v>3357</v>
      </c>
      <c r="G1508" s="26" t="s">
        <v>8</v>
      </c>
      <c r="H1508" s="26" t="s">
        <v>3358</v>
      </c>
      <c r="I1508" s="26" t="s">
        <v>106</v>
      </c>
      <c r="J1508" s="26">
        <v>0</v>
      </c>
      <c r="K1508" s="8" t="str">
        <f t="shared" si="23"/>
        <v>VATCHPSREC</v>
      </c>
    </row>
    <row r="1509" spans="1:11" x14ac:dyDescent="0.25">
      <c r="A1509" s="26" t="s">
        <v>149</v>
      </c>
      <c r="B1509" s="26" t="s">
        <v>111</v>
      </c>
      <c r="C1509" s="26">
        <v>0</v>
      </c>
      <c r="D1509" s="27">
        <v>43255</v>
      </c>
      <c r="E1509" s="26">
        <v>27799.84</v>
      </c>
      <c r="F1509" s="26" t="s">
        <v>3359</v>
      </c>
      <c r="G1509" s="26" t="s">
        <v>8</v>
      </c>
      <c r="H1509" s="26" t="s">
        <v>3360</v>
      </c>
      <c r="I1509" s="26" t="s">
        <v>106</v>
      </c>
      <c r="J1509" s="26">
        <v>0</v>
      </c>
      <c r="K1509" s="8" t="str">
        <f t="shared" si="23"/>
        <v>VATCHPSREC</v>
      </c>
    </row>
    <row r="1510" spans="1:11" x14ac:dyDescent="0.25">
      <c r="A1510" s="26" t="s">
        <v>149</v>
      </c>
      <c r="B1510" s="26" t="s">
        <v>111</v>
      </c>
      <c r="C1510" s="26">
        <v>0</v>
      </c>
      <c r="D1510" s="27">
        <v>43258</v>
      </c>
      <c r="E1510" s="26">
        <v>67513.899999999994</v>
      </c>
      <c r="F1510" s="26" t="s">
        <v>3361</v>
      </c>
      <c r="G1510" s="26" t="s">
        <v>8</v>
      </c>
      <c r="H1510" s="26" t="s">
        <v>3362</v>
      </c>
      <c r="I1510" s="26" t="s">
        <v>106</v>
      </c>
      <c r="J1510" s="26">
        <v>0</v>
      </c>
      <c r="K1510" s="8" t="str">
        <f t="shared" si="23"/>
        <v>VATCHPSREC</v>
      </c>
    </row>
    <row r="1511" spans="1:11" x14ac:dyDescent="0.25">
      <c r="A1511" s="26" t="s">
        <v>149</v>
      </c>
      <c r="B1511" s="26" t="s">
        <v>111</v>
      </c>
      <c r="C1511" s="26">
        <v>0</v>
      </c>
      <c r="D1511" s="27">
        <v>43259</v>
      </c>
      <c r="E1511" s="26">
        <v>33359.81</v>
      </c>
      <c r="F1511" s="26" t="s">
        <v>3363</v>
      </c>
      <c r="G1511" s="26" t="s">
        <v>8</v>
      </c>
      <c r="H1511" s="26" t="s">
        <v>3364</v>
      </c>
      <c r="I1511" s="26" t="s">
        <v>106</v>
      </c>
      <c r="J1511" s="26">
        <v>0</v>
      </c>
      <c r="K1511" s="8" t="str">
        <f t="shared" si="23"/>
        <v>VATCHPSREC</v>
      </c>
    </row>
    <row r="1512" spans="1:11" x14ac:dyDescent="0.25">
      <c r="A1512" s="26" t="s">
        <v>149</v>
      </c>
      <c r="B1512" s="26" t="s">
        <v>111</v>
      </c>
      <c r="C1512" s="26">
        <v>0</v>
      </c>
      <c r="D1512" s="27">
        <v>43259</v>
      </c>
      <c r="E1512" s="26">
        <v>39714.06</v>
      </c>
      <c r="F1512" s="26" t="s">
        <v>3365</v>
      </c>
      <c r="G1512" s="26" t="s">
        <v>8</v>
      </c>
      <c r="H1512" s="26" t="s">
        <v>3366</v>
      </c>
      <c r="I1512" s="26" t="s">
        <v>106</v>
      </c>
      <c r="J1512" s="26">
        <v>0</v>
      </c>
      <c r="K1512" s="8" t="str">
        <f t="shared" si="23"/>
        <v>VATCHPSREC</v>
      </c>
    </row>
    <row r="1513" spans="1:11" x14ac:dyDescent="0.25">
      <c r="A1513" s="26" t="s">
        <v>149</v>
      </c>
      <c r="B1513" s="26" t="s">
        <v>111</v>
      </c>
      <c r="C1513" s="26">
        <v>0</v>
      </c>
      <c r="D1513" s="27">
        <v>43259</v>
      </c>
      <c r="E1513" s="26">
        <v>59571.09</v>
      </c>
      <c r="F1513" s="26" t="s">
        <v>3367</v>
      </c>
      <c r="G1513" s="26" t="s">
        <v>8</v>
      </c>
      <c r="H1513" s="26" t="s">
        <v>3368</v>
      </c>
      <c r="I1513" s="26" t="s">
        <v>106</v>
      </c>
      <c r="J1513" s="26">
        <v>0</v>
      </c>
      <c r="K1513" s="8" t="str">
        <f t="shared" si="23"/>
        <v>VATCHPSREC</v>
      </c>
    </row>
    <row r="1514" spans="1:11" x14ac:dyDescent="0.25">
      <c r="A1514" s="26" t="s">
        <v>149</v>
      </c>
      <c r="B1514" s="26" t="s">
        <v>111</v>
      </c>
      <c r="C1514" s="26">
        <v>0</v>
      </c>
      <c r="D1514" s="27">
        <v>43262</v>
      </c>
      <c r="E1514" s="26">
        <v>67513.899999999994</v>
      </c>
      <c r="F1514" s="26" t="s">
        <v>3369</v>
      </c>
      <c r="G1514" s="26" t="s">
        <v>8</v>
      </c>
      <c r="H1514" s="26" t="s">
        <v>3370</v>
      </c>
      <c r="I1514" s="26" t="s">
        <v>106</v>
      </c>
      <c r="J1514" s="26">
        <v>0</v>
      </c>
      <c r="K1514" s="8" t="str">
        <f t="shared" si="23"/>
        <v>VATCHPSREC</v>
      </c>
    </row>
    <row r="1515" spans="1:11" x14ac:dyDescent="0.25">
      <c r="A1515" s="26" t="s">
        <v>149</v>
      </c>
      <c r="B1515" s="26" t="s">
        <v>111</v>
      </c>
      <c r="C1515" s="26">
        <v>0</v>
      </c>
      <c r="D1515" s="27">
        <v>43265</v>
      </c>
      <c r="E1515" s="26">
        <v>79428.12</v>
      </c>
      <c r="F1515" s="26" t="s">
        <v>3371</v>
      </c>
      <c r="G1515" s="26" t="s">
        <v>8</v>
      </c>
      <c r="H1515" s="26" t="s">
        <v>3372</v>
      </c>
      <c r="I1515" s="26" t="s">
        <v>106</v>
      </c>
      <c r="J1515" s="26">
        <v>0</v>
      </c>
      <c r="K1515" s="8" t="str">
        <f t="shared" si="23"/>
        <v>VATCHPSREC</v>
      </c>
    </row>
    <row r="1516" spans="1:11" x14ac:dyDescent="0.25">
      <c r="A1516" s="26" t="s">
        <v>149</v>
      </c>
      <c r="B1516" s="26" t="s">
        <v>111</v>
      </c>
      <c r="C1516" s="26">
        <v>0</v>
      </c>
      <c r="D1516" s="27">
        <v>43266</v>
      </c>
      <c r="E1516" s="26">
        <v>269261.32</v>
      </c>
      <c r="F1516" s="26" t="s">
        <v>3373</v>
      </c>
      <c r="G1516" s="26" t="s">
        <v>8</v>
      </c>
      <c r="H1516" s="26" t="s">
        <v>3374</v>
      </c>
      <c r="I1516" s="26" t="s">
        <v>106</v>
      </c>
      <c r="J1516" s="26">
        <v>0</v>
      </c>
      <c r="K1516" s="8" t="str">
        <f t="shared" si="23"/>
        <v>VATCHPSREC</v>
      </c>
    </row>
    <row r="1517" spans="1:11" x14ac:dyDescent="0.25">
      <c r="A1517" s="26" t="s">
        <v>149</v>
      </c>
      <c r="B1517" s="26" t="s">
        <v>111</v>
      </c>
      <c r="C1517" s="26">
        <v>0</v>
      </c>
      <c r="D1517" s="27">
        <v>43266</v>
      </c>
      <c r="E1517" s="26">
        <v>328832.40999999997</v>
      </c>
      <c r="F1517" s="26" t="s">
        <v>3375</v>
      </c>
      <c r="G1517" s="26" t="s">
        <v>8</v>
      </c>
      <c r="H1517" s="26" t="s">
        <v>3376</v>
      </c>
      <c r="I1517" s="26" t="s">
        <v>106</v>
      </c>
      <c r="J1517" s="26">
        <v>0</v>
      </c>
      <c r="K1517" s="8" t="str">
        <f t="shared" si="23"/>
        <v>VATCHPSREC</v>
      </c>
    </row>
    <row r="1518" spans="1:11" x14ac:dyDescent="0.25">
      <c r="A1518" s="26" t="s">
        <v>149</v>
      </c>
      <c r="B1518" s="26" t="s">
        <v>111</v>
      </c>
      <c r="C1518" s="26">
        <v>0</v>
      </c>
      <c r="D1518" s="27">
        <v>43266</v>
      </c>
      <c r="E1518" s="26">
        <v>563939.63</v>
      </c>
      <c r="F1518" s="26" t="s">
        <v>3377</v>
      </c>
      <c r="G1518" s="26" t="s">
        <v>8</v>
      </c>
      <c r="H1518" s="26" t="s">
        <v>3378</v>
      </c>
      <c r="I1518" s="26" t="s">
        <v>106</v>
      </c>
      <c r="J1518" s="26">
        <v>0</v>
      </c>
      <c r="K1518" s="8" t="str">
        <f t="shared" si="23"/>
        <v>VATCHPSREC</v>
      </c>
    </row>
    <row r="1519" spans="1:11" x14ac:dyDescent="0.25">
      <c r="A1519" s="26" t="s">
        <v>149</v>
      </c>
      <c r="B1519" s="26" t="s">
        <v>111</v>
      </c>
      <c r="C1519" s="26">
        <v>0</v>
      </c>
      <c r="D1519" s="27">
        <v>43269</v>
      </c>
      <c r="E1519" s="26">
        <v>3415409.05</v>
      </c>
      <c r="F1519" s="26" t="s">
        <v>3379</v>
      </c>
      <c r="G1519" s="26" t="s">
        <v>8</v>
      </c>
      <c r="H1519" s="26" t="s">
        <v>3380</v>
      </c>
      <c r="I1519" s="26" t="s">
        <v>106</v>
      </c>
      <c r="J1519" s="26">
        <v>0</v>
      </c>
      <c r="K1519" s="8" t="str">
        <f t="shared" si="23"/>
        <v>VATCHPSREC</v>
      </c>
    </row>
    <row r="1520" spans="1:11" x14ac:dyDescent="0.25">
      <c r="A1520" s="26" t="s">
        <v>149</v>
      </c>
      <c r="B1520" s="26" t="s">
        <v>111</v>
      </c>
      <c r="C1520" s="26">
        <v>0</v>
      </c>
      <c r="D1520" s="27">
        <v>43272</v>
      </c>
      <c r="E1520" s="26">
        <v>397140.59</v>
      </c>
      <c r="F1520" s="26" t="s">
        <v>3381</v>
      </c>
      <c r="G1520" s="26" t="s">
        <v>8</v>
      </c>
      <c r="H1520" s="26" t="s">
        <v>3382</v>
      </c>
      <c r="I1520" s="26" t="s">
        <v>106</v>
      </c>
      <c r="J1520" s="26">
        <v>0</v>
      </c>
      <c r="K1520" s="8" t="str">
        <f t="shared" si="23"/>
        <v>VATCHPSREC</v>
      </c>
    </row>
    <row r="1521" spans="1:11" x14ac:dyDescent="0.25">
      <c r="A1521" s="26" t="s">
        <v>149</v>
      </c>
      <c r="B1521" s="26" t="s">
        <v>111</v>
      </c>
      <c r="C1521" s="26">
        <v>0</v>
      </c>
      <c r="D1521" s="27">
        <v>43273</v>
      </c>
      <c r="E1521" s="26">
        <v>436854.65</v>
      </c>
      <c r="F1521" s="26" t="s">
        <v>3383</v>
      </c>
      <c r="G1521" s="26" t="s">
        <v>8</v>
      </c>
      <c r="H1521" s="26" t="s">
        <v>3384</v>
      </c>
      <c r="I1521" s="26" t="s">
        <v>106</v>
      </c>
      <c r="J1521" s="26">
        <v>0</v>
      </c>
      <c r="K1521" s="8" t="str">
        <f t="shared" si="23"/>
        <v>VATCHPSREC</v>
      </c>
    </row>
    <row r="1522" spans="1:11" x14ac:dyDescent="0.25">
      <c r="A1522" s="26" t="s">
        <v>149</v>
      </c>
      <c r="B1522" s="26" t="s">
        <v>111</v>
      </c>
      <c r="C1522" s="26">
        <v>0</v>
      </c>
      <c r="D1522" s="27">
        <v>43273</v>
      </c>
      <c r="E1522" s="26">
        <v>337569.5</v>
      </c>
      <c r="F1522" s="26" t="s">
        <v>3385</v>
      </c>
      <c r="G1522" s="26" t="s">
        <v>8</v>
      </c>
      <c r="H1522" s="26" t="s">
        <v>3386</v>
      </c>
      <c r="I1522" s="26" t="s">
        <v>106</v>
      </c>
      <c r="J1522" s="26">
        <v>0</v>
      </c>
      <c r="K1522" s="8" t="str">
        <f t="shared" si="23"/>
        <v>VATCHPSREC</v>
      </c>
    </row>
    <row r="1523" spans="1:11" x14ac:dyDescent="0.25">
      <c r="A1523" s="26" t="s">
        <v>149</v>
      </c>
      <c r="B1523" s="26" t="s">
        <v>111</v>
      </c>
      <c r="C1523" s="26">
        <v>0</v>
      </c>
      <c r="D1523" s="27">
        <v>43273</v>
      </c>
      <c r="E1523" s="26">
        <v>189833.2</v>
      </c>
      <c r="F1523" s="26" t="s">
        <v>3387</v>
      </c>
      <c r="G1523" s="26" t="s">
        <v>8</v>
      </c>
      <c r="H1523" s="26" t="s">
        <v>3388</v>
      </c>
      <c r="I1523" s="26" t="s">
        <v>106</v>
      </c>
      <c r="J1523" s="26">
        <v>0</v>
      </c>
      <c r="K1523" s="8" t="str">
        <f t="shared" si="23"/>
        <v>VATCHPSREC</v>
      </c>
    </row>
    <row r="1524" spans="1:11" x14ac:dyDescent="0.25">
      <c r="A1524" s="26" t="s">
        <v>149</v>
      </c>
      <c r="B1524" s="26" t="s">
        <v>111</v>
      </c>
      <c r="C1524" s="26">
        <v>0</v>
      </c>
      <c r="D1524" s="27">
        <v>43276</v>
      </c>
      <c r="E1524" s="26">
        <v>349483.72</v>
      </c>
      <c r="F1524" s="26" t="s">
        <v>3389</v>
      </c>
      <c r="G1524" s="26" t="s">
        <v>8</v>
      </c>
      <c r="H1524" s="26" t="s">
        <v>3390</v>
      </c>
      <c r="I1524" s="26" t="s">
        <v>106</v>
      </c>
      <c r="J1524" s="26">
        <v>0</v>
      </c>
      <c r="K1524" s="8" t="str">
        <f t="shared" si="23"/>
        <v>VATCHPSREC</v>
      </c>
    </row>
    <row r="1525" spans="1:11" x14ac:dyDescent="0.25">
      <c r="A1525" s="26" t="s">
        <v>149</v>
      </c>
      <c r="B1525" s="26" t="s">
        <v>111</v>
      </c>
      <c r="C1525" s="26">
        <v>0</v>
      </c>
      <c r="D1525" s="27">
        <v>43279</v>
      </c>
      <c r="E1525" s="26">
        <v>83399.520000000004</v>
      </c>
      <c r="F1525" s="26" t="s">
        <v>3391</v>
      </c>
      <c r="G1525" s="26" t="s">
        <v>8</v>
      </c>
      <c r="H1525" s="26" t="s">
        <v>3392</v>
      </c>
      <c r="I1525" s="26" t="s">
        <v>106</v>
      </c>
      <c r="J1525" s="26">
        <v>0</v>
      </c>
      <c r="K1525" s="8" t="str">
        <f t="shared" si="23"/>
        <v>VATCHPSREC</v>
      </c>
    </row>
    <row r="1526" spans="1:11" x14ac:dyDescent="0.25">
      <c r="A1526" s="26" t="s">
        <v>149</v>
      </c>
      <c r="B1526" s="26" t="s">
        <v>111</v>
      </c>
      <c r="C1526" s="26">
        <v>0</v>
      </c>
      <c r="D1526" s="27">
        <v>43280</v>
      </c>
      <c r="E1526" s="26">
        <v>59571.09</v>
      </c>
      <c r="F1526" s="26" t="s">
        <v>3393</v>
      </c>
      <c r="G1526" s="26" t="s">
        <v>8</v>
      </c>
      <c r="H1526" s="26" t="s">
        <v>3394</v>
      </c>
      <c r="I1526" s="26" t="s">
        <v>106</v>
      </c>
      <c r="J1526" s="26">
        <v>0</v>
      </c>
      <c r="K1526" s="8" t="str">
        <f t="shared" si="23"/>
        <v>VATCHPSREC</v>
      </c>
    </row>
    <row r="1527" spans="1:11" x14ac:dyDescent="0.25">
      <c r="A1527" s="26" t="s">
        <v>149</v>
      </c>
      <c r="B1527" s="26" t="s">
        <v>111</v>
      </c>
      <c r="C1527" s="26">
        <v>0</v>
      </c>
      <c r="D1527" s="27">
        <v>43280</v>
      </c>
      <c r="E1527" s="26">
        <v>55599.68</v>
      </c>
      <c r="F1527" s="26" t="s">
        <v>3395</v>
      </c>
      <c r="G1527" s="26" t="s">
        <v>8</v>
      </c>
      <c r="H1527" s="26" t="s">
        <v>3396</v>
      </c>
      <c r="I1527" s="26" t="s">
        <v>106</v>
      </c>
      <c r="J1527" s="26">
        <v>0</v>
      </c>
      <c r="K1527" s="8" t="str">
        <f t="shared" si="23"/>
        <v>VATCHPSREC</v>
      </c>
    </row>
    <row r="1528" spans="1:11" x14ac:dyDescent="0.25">
      <c r="A1528" s="26" t="s">
        <v>149</v>
      </c>
      <c r="B1528" s="26" t="s">
        <v>111</v>
      </c>
      <c r="C1528" s="26">
        <v>0</v>
      </c>
      <c r="D1528" s="27">
        <v>43280</v>
      </c>
      <c r="E1528" s="26">
        <v>39714.06</v>
      </c>
      <c r="F1528" s="26" t="s">
        <v>3397</v>
      </c>
      <c r="G1528" s="26" t="s">
        <v>8</v>
      </c>
      <c r="H1528" s="26" t="s">
        <v>3398</v>
      </c>
      <c r="I1528" s="26" t="s">
        <v>106</v>
      </c>
      <c r="J1528" s="26">
        <v>0</v>
      </c>
      <c r="K1528" s="8" t="str">
        <f t="shared" si="23"/>
        <v>VATCHPSREC</v>
      </c>
    </row>
    <row r="1529" spans="1:11" x14ac:dyDescent="0.25">
      <c r="A1529" s="26" t="s">
        <v>149</v>
      </c>
      <c r="B1529" s="26" t="s">
        <v>111</v>
      </c>
      <c r="C1529" s="26">
        <v>0</v>
      </c>
      <c r="D1529" s="27">
        <v>43283</v>
      </c>
      <c r="E1529" s="26">
        <v>59571.09</v>
      </c>
      <c r="F1529" s="26" t="s">
        <v>3399</v>
      </c>
      <c r="G1529" s="26" t="s">
        <v>8</v>
      </c>
      <c r="H1529" s="26" t="s">
        <v>3400</v>
      </c>
      <c r="I1529" s="26" t="s">
        <v>106</v>
      </c>
      <c r="J1529" s="26">
        <v>0</v>
      </c>
      <c r="K1529" s="8" t="str">
        <f t="shared" si="23"/>
        <v>VATCHPSREC</v>
      </c>
    </row>
    <row r="1530" spans="1:11" x14ac:dyDescent="0.25">
      <c r="A1530" s="26" t="s">
        <v>149</v>
      </c>
      <c r="B1530" s="26" t="s">
        <v>111</v>
      </c>
      <c r="C1530" s="26">
        <v>0</v>
      </c>
      <c r="D1530" s="27">
        <v>43286</v>
      </c>
      <c r="E1530" s="26">
        <v>26211.279999999999</v>
      </c>
      <c r="F1530" s="26" t="s">
        <v>3401</v>
      </c>
      <c r="G1530" s="26" t="s">
        <v>8</v>
      </c>
      <c r="H1530" s="26" t="s">
        <v>3402</v>
      </c>
      <c r="I1530" s="26" t="s">
        <v>106</v>
      </c>
      <c r="J1530" s="26">
        <v>0</v>
      </c>
      <c r="K1530" s="8" t="str">
        <f t="shared" si="23"/>
        <v>VATCHPSREC</v>
      </c>
    </row>
    <row r="1531" spans="1:11" x14ac:dyDescent="0.25">
      <c r="A1531" s="26" t="s">
        <v>149</v>
      </c>
      <c r="B1531" s="26" t="s">
        <v>111</v>
      </c>
      <c r="C1531" s="26">
        <v>0</v>
      </c>
      <c r="D1531" s="27">
        <v>43287</v>
      </c>
      <c r="E1531" s="26">
        <v>31771.25</v>
      </c>
      <c r="F1531" s="26" t="s">
        <v>3403</v>
      </c>
      <c r="G1531" s="26" t="s">
        <v>8</v>
      </c>
      <c r="H1531" s="26" t="s">
        <v>3404</v>
      </c>
      <c r="I1531" s="26" t="s">
        <v>106</v>
      </c>
      <c r="J1531" s="26">
        <v>0</v>
      </c>
      <c r="K1531" s="8" t="str">
        <f t="shared" si="23"/>
        <v>VATCHPSREC</v>
      </c>
    </row>
    <row r="1532" spans="1:11" x14ac:dyDescent="0.25">
      <c r="A1532" s="26" t="s">
        <v>149</v>
      </c>
      <c r="B1532" s="26" t="s">
        <v>111</v>
      </c>
      <c r="C1532" s="26">
        <v>0</v>
      </c>
      <c r="D1532" s="27">
        <v>43287</v>
      </c>
      <c r="E1532" s="26">
        <v>38125.5</v>
      </c>
      <c r="F1532" s="26" t="s">
        <v>3405</v>
      </c>
      <c r="G1532" s="26" t="s">
        <v>8</v>
      </c>
      <c r="H1532" s="26" t="s">
        <v>3406</v>
      </c>
      <c r="I1532" s="26" t="s">
        <v>106</v>
      </c>
      <c r="J1532" s="26">
        <v>0</v>
      </c>
      <c r="K1532" s="8" t="str">
        <f t="shared" si="23"/>
        <v>VATCHPSREC</v>
      </c>
    </row>
    <row r="1533" spans="1:11" x14ac:dyDescent="0.25">
      <c r="A1533" s="26" t="s">
        <v>149</v>
      </c>
      <c r="B1533" s="26" t="s">
        <v>111</v>
      </c>
      <c r="C1533" s="26">
        <v>0</v>
      </c>
      <c r="D1533" s="27">
        <v>43287</v>
      </c>
      <c r="E1533" s="26">
        <v>41302.620000000003</v>
      </c>
      <c r="F1533" s="26" t="s">
        <v>3407</v>
      </c>
      <c r="G1533" s="26" t="s">
        <v>8</v>
      </c>
      <c r="H1533" s="26" t="s">
        <v>3408</v>
      </c>
      <c r="I1533" s="26" t="s">
        <v>106</v>
      </c>
      <c r="J1533" s="26">
        <v>0</v>
      </c>
      <c r="K1533" s="8" t="str">
        <f t="shared" si="23"/>
        <v>VATCHPSREC</v>
      </c>
    </row>
    <row r="1534" spans="1:11" x14ac:dyDescent="0.25">
      <c r="A1534" s="26" t="s">
        <v>149</v>
      </c>
      <c r="B1534" s="26" t="s">
        <v>111</v>
      </c>
      <c r="C1534" s="26">
        <v>0</v>
      </c>
      <c r="D1534" s="27">
        <v>43290</v>
      </c>
      <c r="E1534" s="26">
        <v>39714.06</v>
      </c>
      <c r="F1534" s="26" t="s">
        <v>3409</v>
      </c>
      <c r="G1534" s="26" t="s">
        <v>8</v>
      </c>
      <c r="H1534" s="26" t="s">
        <v>3410</v>
      </c>
      <c r="I1534" s="26" t="s">
        <v>106</v>
      </c>
      <c r="J1534" s="26">
        <v>0</v>
      </c>
      <c r="K1534" s="8" t="str">
        <f t="shared" si="23"/>
        <v>VATCHPSREC</v>
      </c>
    </row>
    <row r="1535" spans="1:11" x14ac:dyDescent="0.25">
      <c r="A1535" s="26" t="s">
        <v>149</v>
      </c>
      <c r="B1535" s="26" t="s">
        <v>111</v>
      </c>
      <c r="C1535" s="26">
        <v>0</v>
      </c>
      <c r="D1535" s="27">
        <v>43293</v>
      </c>
      <c r="E1535" s="26">
        <v>39714.06</v>
      </c>
      <c r="F1535" s="26" t="s">
        <v>3411</v>
      </c>
      <c r="G1535" s="26" t="s">
        <v>8</v>
      </c>
      <c r="H1535" s="26" t="s">
        <v>3412</v>
      </c>
      <c r="I1535" s="26" t="s">
        <v>106</v>
      </c>
      <c r="J1535" s="26">
        <v>0</v>
      </c>
      <c r="K1535" s="8" t="str">
        <f t="shared" si="23"/>
        <v>VATCHPSREC</v>
      </c>
    </row>
    <row r="1536" spans="1:11" x14ac:dyDescent="0.25">
      <c r="A1536" s="26" t="s">
        <v>149</v>
      </c>
      <c r="B1536" s="26" t="s">
        <v>111</v>
      </c>
      <c r="C1536" s="26">
        <v>0</v>
      </c>
      <c r="D1536" s="27">
        <v>43294</v>
      </c>
      <c r="E1536" s="26">
        <v>47656.87</v>
      </c>
      <c r="F1536" s="26" t="s">
        <v>3413</v>
      </c>
      <c r="G1536" s="26" t="s">
        <v>8</v>
      </c>
      <c r="H1536" s="26" t="s">
        <v>3414</v>
      </c>
      <c r="I1536" s="26" t="s">
        <v>106</v>
      </c>
      <c r="J1536" s="26">
        <v>0</v>
      </c>
      <c r="K1536" s="8" t="str">
        <f t="shared" si="23"/>
        <v>VATCHPSREC</v>
      </c>
    </row>
    <row r="1537" spans="1:11" x14ac:dyDescent="0.25">
      <c r="A1537" s="26" t="s">
        <v>149</v>
      </c>
      <c r="B1537" s="26" t="s">
        <v>111</v>
      </c>
      <c r="C1537" s="26">
        <v>0</v>
      </c>
      <c r="D1537" s="27">
        <v>43294</v>
      </c>
      <c r="E1537" s="26">
        <v>119142.18</v>
      </c>
      <c r="F1537" s="26" t="s">
        <v>3415</v>
      </c>
      <c r="G1537" s="26" t="s">
        <v>8</v>
      </c>
      <c r="H1537" s="26" t="s">
        <v>3416</v>
      </c>
      <c r="I1537" s="26" t="s">
        <v>106</v>
      </c>
      <c r="J1537" s="26">
        <v>0</v>
      </c>
      <c r="K1537" s="8" t="str">
        <f t="shared" si="23"/>
        <v>VATCHPSREC</v>
      </c>
    </row>
    <row r="1538" spans="1:11" x14ac:dyDescent="0.25">
      <c r="A1538" s="26" t="s">
        <v>149</v>
      </c>
      <c r="B1538" s="26" t="s">
        <v>111</v>
      </c>
      <c r="C1538" s="26">
        <v>0</v>
      </c>
      <c r="D1538" s="27">
        <v>43294</v>
      </c>
      <c r="E1538" s="26">
        <v>325655.28000000003</v>
      </c>
      <c r="F1538" s="26" t="s">
        <v>3417</v>
      </c>
      <c r="G1538" s="26" t="s">
        <v>8</v>
      </c>
      <c r="H1538" s="26" t="s">
        <v>3418</v>
      </c>
      <c r="I1538" s="26" t="s">
        <v>106</v>
      </c>
      <c r="J1538" s="26">
        <v>0</v>
      </c>
      <c r="K1538" s="8" t="str">
        <f t="shared" si="23"/>
        <v>VATCHPSREC</v>
      </c>
    </row>
    <row r="1539" spans="1:11" x14ac:dyDescent="0.25">
      <c r="A1539" s="26" t="s">
        <v>149</v>
      </c>
      <c r="B1539" s="26" t="s">
        <v>111</v>
      </c>
      <c r="C1539" s="26">
        <v>0</v>
      </c>
      <c r="D1539" s="27">
        <v>43297</v>
      </c>
      <c r="E1539" s="26">
        <v>1985702.94</v>
      </c>
      <c r="F1539" s="26" t="s">
        <v>3419</v>
      </c>
      <c r="G1539" s="26" t="s">
        <v>8</v>
      </c>
      <c r="H1539" s="26" t="s">
        <v>3420</v>
      </c>
      <c r="I1539" s="26" t="s">
        <v>106</v>
      </c>
      <c r="J1539" s="26">
        <v>0</v>
      </c>
      <c r="K1539" s="8" t="str">
        <f t="shared" ref="K1539:K1602" si="24">LEFT(A1539,FIND("/",A1539)-1)</f>
        <v>VATCHPSREC</v>
      </c>
    </row>
    <row r="1540" spans="1:11" x14ac:dyDescent="0.25">
      <c r="A1540" s="26" t="s">
        <v>149</v>
      </c>
      <c r="B1540" s="26" t="s">
        <v>111</v>
      </c>
      <c r="C1540" s="26">
        <v>0</v>
      </c>
      <c r="D1540" s="27">
        <v>43300</v>
      </c>
      <c r="E1540" s="26">
        <v>232724.38</v>
      </c>
      <c r="F1540" s="26" t="s">
        <v>3421</v>
      </c>
      <c r="G1540" s="26" t="s">
        <v>8</v>
      </c>
      <c r="H1540" s="26" t="s">
        <v>3422</v>
      </c>
      <c r="I1540" s="26" t="s">
        <v>106</v>
      </c>
      <c r="J1540" s="26">
        <v>0</v>
      </c>
      <c r="K1540" s="8" t="str">
        <f t="shared" si="24"/>
        <v>VATCHPSREC</v>
      </c>
    </row>
    <row r="1541" spans="1:11" x14ac:dyDescent="0.25">
      <c r="A1541" s="26" t="s">
        <v>149</v>
      </c>
      <c r="B1541" s="26" t="s">
        <v>111</v>
      </c>
      <c r="C1541" s="26">
        <v>0</v>
      </c>
      <c r="D1541" s="27">
        <v>43301</v>
      </c>
      <c r="E1541" s="26">
        <v>198570.29</v>
      </c>
      <c r="F1541" s="26" t="s">
        <v>3423</v>
      </c>
      <c r="G1541" s="26" t="s">
        <v>8</v>
      </c>
      <c r="H1541" s="26" t="s">
        <v>3424</v>
      </c>
      <c r="I1541" s="26" t="s">
        <v>106</v>
      </c>
      <c r="J1541" s="26">
        <v>0</v>
      </c>
      <c r="K1541" s="8" t="str">
        <f t="shared" si="24"/>
        <v>VATCHPSREC</v>
      </c>
    </row>
    <row r="1542" spans="1:11" x14ac:dyDescent="0.25">
      <c r="A1542" s="26" t="s">
        <v>149</v>
      </c>
      <c r="B1542" s="26" t="s">
        <v>111</v>
      </c>
      <c r="C1542" s="26">
        <v>0</v>
      </c>
      <c r="D1542" s="27">
        <v>43301</v>
      </c>
      <c r="E1542" s="26">
        <v>296266.88</v>
      </c>
      <c r="F1542" s="26" t="s">
        <v>3425</v>
      </c>
      <c r="G1542" s="26" t="s">
        <v>8</v>
      </c>
      <c r="H1542" s="26" t="s">
        <v>3426</v>
      </c>
      <c r="I1542" s="26" t="s">
        <v>106</v>
      </c>
      <c r="J1542" s="26">
        <v>0</v>
      </c>
      <c r="K1542" s="8" t="str">
        <f t="shared" si="24"/>
        <v>VATCHPSREC</v>
      </c>
    </row>
    <row r="1543" spans="1:11" x14ac:dyDescent="0.25">
      <c r="A1543" s="26" t="s">
        <v>149</v>
      </c>
      <c r="B1543" s="26" t="s">
        <v>111</v>
      </c>
      <c r="C1543" s="26">
        <v>0</v>
      </c>
      <c r="D1543" s="27">
        <v>43301</v>
      </c>
      <c r="E1543" s="26">
        <v>238284.35</v>
      </c>
      <c r="F1543" s="26" t="s">
        <v>3427</v>
      </c>
      <c r="G1543" s="26" t="s">
        <v>8</v>
      </c>
      <c r="H1543" s="26" t="s">
        <v>3428</v>
      </c>
      <c r="I1543" s="26" t="s">
        <v>106</v>
      </c>
      <c r="J1543" s="26">
        <v>0</v>
      </c>
      <c r="K1543" s="8" t="str">
        <f t="shared" si="24"/>
        <v>VATCHPSREC</v>
      </c>
    </row>
    <row r="1544" spans="1:11" x14ac:dyDescent="0.25">
      <c r="A1544" s="26" t="s">
        <v>149</v>
      </c>
      <c r="B1544" s="26" t="s">
        <v>111</v>
      </c>
      <c r="C1544" s="26">
        <v>0</v>
      </c>
      <c r="D1544" s="27">
        <v>43304</v>
      </c>
      <c r="E1544" s="26">
        <v>297061.15999999997</v>
      </c>
      <c r="F1544" s="26" t="s">
        <v>3429</v>
      </c>
      <c r="G1544" s="26" t="s">
        <v>8</v>
      </c>
      <c r="H1544" s="26" t="s">
        <v>3430</v>
      </c>
      <c r="I1544" s="26" t="s">
        <v>106</v>
      </c>
      <c r="J1544" s="26">
        <v>0</v>
      </c>
      <c r="K1544" s="8" t="str">
        <f t="shared" si="24"/>
        <v>VATCHPSREC</v>
      </c>
    </row>
    <row r="1545" spans="1:11" x14ac:dyDescent="0.25">
      <c r="A1545" s="26" t="s">
        <v>149</v>
      </c>
      <c r="B1545" s="26" t="s">
        <v>111</v>
      </c>
      <c r="C1545" s="26">
        <v>0</v>
      </c>
      <c r="D1545" s="27">
        <v>43307</v>
      </c>
      <c r="E1545" s="26">
        <v>43685.46</v>
      </c>
      <c r="F1545" s="26" t="s">
        <v>3431</v>
      </c>
      <c r="G1545" s="26" t="s">
        <v>8</v>
      </c>
      <c r="H1545" s="26" t="s">
        <v>3432</v>
      </c>
      <c r="I1545" s="26" t="s">
        <v>106</v>
      </c>
      <c r="J1545" s="26">
        <v>0</v>
      </c>
      <c r="K1545" s="8" t="str">
        <f t="shared" si="24"/>
        <v>VATCHPSREC</v>
      </c>
    </row>
    <row r="1546" spans="1:11" x14ac:dyDescent="0.25">
      <c r="A1546" s="26" t="s">
        <v>149</v>
      </c>
      <c r="B1546" s="26" t="s">
        <v>111</v>
      </c>
      <c r="C1546" s="26">
        <v>0</v>
      </c>
      <c r="D1546" s="27">
        <v>43308</v>
      </c>
      <c r="E1546" s="26">
        <v>45274.03</v>
      </c>
      <c r="F1546" s="26" t="s">
        <v>3433</v>
      </c>
      <c r="G1546" s="26" t="s">
        <v>8</v>
      </c>
      <c r="H1546" s="26" t="s">
        <v>3434</v>
      </c>
      <c r="I1546" s="26" t="s">
        <v>106</v>
      </c>
      <c r="J1546" s="26">
        <v>0</v>
      </c>
      <c r="K1546" s="8" t="str">
        <f t="shared" si="24"/>
        <v>VATCHPSREC</v>
      </c>
    </row>
    <row r="1547" spans="1:11" x14ac:dyDescent="0.25">
      <c r="A1547" s="26" t="s">
        <v>149</v>
      </c>
      <c r="B1547" s="26" t="s">
        <v>111</v>
      </c>
      <c r="C1547" s="26">
        <v>0</v>
      </c>
      <c r="D1547" s="27">
        <v>43308</v>
      </c>
      <c r="E1547" s="26">
        <v>26211.279999999999</v>
      </c>
      <c r="F1547" s="26" t="s">
        <v>3435</v>
      </c>
      <c r="G1547" s="26" t="s">
        <v>8</v>
      </c>
      <c r="H1547" s="26" t="s">
        <v>3436</v>
      </c>
      <c r="I1547" s="26" t="s">
        <v>106</v>
      </c>
      <c r="J1547" s="26">
        <v>0</v>
      </c>
      <c r="K1547" s="8" t="str">
        <f t="shared" si="24"/>
        <v>VATCHPSREC</v>
      </c>
    </row>
    <row r="1548" spans="1:11" x14ac:dyDescent="0.25">
      <c r="A1548" s="26" t="s">
        <v>149</v>
      </c>
      <c r="B1548" s="26" t="s">
        <v>111</v>
      </c>
      <c r="C1548" s="26">
        <v>0</v>
      </c>
      <c r="D1548" s="27">
        <v>43308</v>
      </c>
      <c r="E1548" s="26">
        <v>19857.03</v>
      </c>
      <c r="F1548" s="26" t="s">
        <v>3437</v>
      </c>
      <c r="G1548" s="26" t="s">
        <v>8</v>
      </c>
      <c r="H1548" s="26" t="s">
        <v>3438</v>
      </c>
      <c r="I1548" s="26" t="s">
        <v>106</v>
      </c>
      <c r="J1548" s="26">
        <v>0</v>
      </c>
      <c r="K1548" s="8" t="str">
        <f t="shared" si="24"/>
        <v>VATCHPSREC</v>
      </c>
    </row>
    <row r="1549" spans="1:11" x14ac:dyDescent="0.25">
      <c r="A1549" s="26" t="s">
        <v>149</v>
      </c>
      <c r="B1549" s="26" t="s">
        <v>111</v>
      </c>
      <c r="C1549" s="26">
        <v>0</v>
      </c>
      <c r="D1549" s="27">
        <v>43311</v>
      </c>
      <c r="E1549" s="26">
        <v>27799.84</v>
      </c>
      <c r="F1549" s="26" t="s">
        <v>3439</v>
      </c>
      <c r="G1549" s="26" t="s">
        <v>8</v>
      </c>
      <c r="H1549" s="26" t="s">
        <v>3440</v>
      </c>
      <c r="I1549" s="26" t="s">
        <v>106</v>
      </c>
      <c r="J1549" s="26">
        <v>0</v>
      </c>
      <c r="K1549" s="8" t="str">
        <f t="shared" si="24"/>
        <v>VATCHPSREC</v>
      </c>
    </row>
    <row r="1550" spans="1:11" x14ac:dyDescent="0.25">
      <c r="A1550" s="26" t="s">
        <v>149</v>
      </c>
      <c r="B1550" s="26" t="s">
        <v>111</v>
      </c>
      <c r="C1550" s="26">
        <v>0</v>
      </c>
      <c r="D1550" s="27">
        <v>43314</v>
      </c>
      <c r="E1550" s="26">
        <v>39714.06</v>
      </c>
      <c r="F1550" s="26" t="s">
        <v>3441</v>
      </c>
      <c r="G1550" s="26" t="s">
        <v>8</v>
      </c>
      <c r="H1550" s="26" t="s">
        <v>3442</v>
      </c>
      <c r="I1550" s="26" t="s">
        <v>106</v>
      </c>
      <c r="J1550" s="26">
        <v>0</v>
      </c>
      <c r="K1550" s="8" t="str">
        <f t="shared" si="24"/>
        <v>VATCHPSREC</v>
      </c>
    </row>
    <row r="1551" spans="1:11" x14ac:dyDescent="0.25">
      <c r="A1551" s="26" t="s">
        <v>149</v>
      </c>
      <c r="B1551" s="26" t="s">
        <v>111</v>
      </c>
      <c r="C1551" s="26">
        <v>0</v>
      </c>
      <c r="D1551" s="27">
        <v>43315</v>
      </c>
      <c r="E1551" s="26">
        <v>30976.97</v>
      </c>
      <c r="F1551" s="26" t="s">
        <v>3443</v>
      </c>
      <c r="G1551" s="26" t="s">
        <v>8</v>
      </c>
      <c r="H1551" s="26" t="s">
        <v>3444</v>
      </c>
      <c r="I1551" s="26" t="s">
        <v>106</v>
      </c>
      <c r="J1551" s="26">
        <v>0</v>
      </c>
      <c r="K1551" s="8" t="str">
        <f t="shared" si="24"/>
        <v>VATCHPSREC</v>
      </c>
    </row>
    <row r="1552" spans="1:11" x14ac:dyDescent="0.25">
      <c r="A1552" s="26" t="s">
        <v>149</v>
      </c>
      <c r="B1552" s="26" t="s">
        <v>111</v>
      </c>
      <c r="C1552" s="26">
        <v>0</v>
      </c>
      <c r="D1552" s="27">
        <v>43315</v>
      </c>
      <c r="E1552" s="26">
        <v>30182.68</v>
      </c>
      <c r="F1552" s="26" t="s">
        <v>3445</v>
      </c>
      <c r="G1552" s="26" t="s">
        <v>8</v>
      </c>
      <c r="H1552" s="26" t="s">
        <v>3446</v>
      </c>
      <c r="I1552" s="26" t="s">
        <v>106</v>
      </c>
      <c r="J1552" s="26">
        <v>0</v>
      </c>
      <c r="K1552" s="8" t="str">
        <f t="shared" si="24"/>
        <v>VATCHPSREC</v>
      </c>
    </row>
    <row r="1553" spans="1:11" x14ac:dyDescent="0.25">
      <c r="A1553" s="26" t="s">
        <v>149</v>
      </c>
      <c r="B1553" s="26" t="s">
        <v>111</v>
      </c>
      <c r="C1553" s="26">
        <v>0</v>
      </c>
      <c r="D1553" s="27">
        <v>43315</v>
      </c>
      <c r="E1553" s="26">
        <v>38125.5</v>
      </c>
      <c r="F1553" s="26" t="s">
        <v>3447</v>
      </c>
      <c r="G1553" s="26" t="s">
        <v>8</v>
      </c>
      <c r="H1553" s="26" t="s">
        <v>3448</v>
      </c>
      <c r="I1553" s="26" t="s">
        <v>106</v>
      </c>
      <c r="J1553" s="26">
        <v>0</v>
      </c>
      <c r="K1553" s="8" t="str">
        <f t="shared" si="24"/>
        <v>VATCHPSREC</v>
      </c>
    </row>
    <row r="1554" spans="1:11" x14ac:dyDescent="0.25">
      <c r="A1554" s="26" t="s">
        <v>149</v>
      </c>
      <c r="B1554" s="26" t="s">
        <v>111</v>
      </c>
      <c r="C1554" s="26">
        <v>0</v>
      </c>
      <c r="D1554" s="27">
        <v>43318</v>
      </c>
      <c r="E1554" s="26">
        <v>27799.84</v>
      </c>
      <c r="F1554" s="26" t="s">
        <v>3449</v>
      </c>
      <c r="G1554" s="26" t="s">
        <v>8</v>
      </c>
      <c r="H1554" s="26" t="s">
        <v>3450</v>
      </c>
      <c r="I1554" s="26" t="s">
        <v>106</v>
      </c>
      <c r="J1554" s="26">
        <v>0</v>
      </c>
      <c r="K1554" s="8" t="str">
        <f t="shared" si="24"/>
        <v>VATCHPSREC</v>
      </c>
    </row>
    <row r="1555" spans="1:11" x14ac:dyDescent="0.25">
      <c r="A1555" s="26" t="s">
        <v>149</v>
      </c>
      <c r="B1555" s="26" t="s">
        <v>111</v>
      </c>
      <c r="C1555" s="26">
        <v>0</v>
      </c>
      <c r="D1555" s="27">
        <v>43321</v>
      </c>
      <c r="E1555" s="26">
        <v>84193.8</v>
      </c>
      <c r="F1555" s="26" t="s">
        <v>3451</v>
      </c>
      <c r="G1555" s="26" t="s">
        <v>8</v>
      </c>
      <c r="H1555" s="26" t="s">
        <v>3452</v>
      </c>
      <c r="I1555" s="26" t="s">
        <v>106</v>
      </c>
      <c r="J1555" s="26">
        <v>0</v>
      </c>
      <c r="K1555" s="8" t="str">
        <f t="shared" si="24"/>
        <v>VATCHPSREC</v>
      </c>
    </row>
    <row r="1556" spans="1:11" x14ac:dyDescent="0.25">
      <c r="A1556" s="26" t="s">
        <v>149</v>
      </c>
      <c r="B1556" s="26" t="s">
        <v>111</v>
      </c>
      <c r="C1556" s="26">
        <v>0</v>
      </c>
      <c r="D1556" s="27">
        <v>43322</v>
      </c>
      <c r="E1556" s="26">
        <v>39714.06</v>
      </c>
      <c r="F1556" s="26" t="s">
        <v>3453</v>
      </c>
      <c r="G1556" s="26" t="s">
        <v>8</v>
      </c>
      <c r="H1556" s="26" t="s">
        <v>3454</v>
      </c>
      <c r="I1556" s="26" t="s">
        <v>106</v>
      </c>
      <c r="J1556" s="26">
        <v>0</v>
      </c>
      <c r="K1556" s="8" t="str">
        <f t="shared" si="24"/>
        <v>VATCHPSREC</v>
      </c>
    </row>
    <row r="1557" spans="1:11" x14ac:dyDescent="0.25">
      <c r="A1557" s="26" t="s">
        <v>149</v>
      </c>
      <c r="B1557" s="26" t="s">
        <v>111</v>
      </c>
      <c r="C1557" s="26">
        <v>0</v>
      </c>
      <c r="D1557" s="27">
        <v>43322</v>
      </c>
      <c r="E1557" s="26">
        <v>75456.710000000006</v>
      </c>
      <c r="F1557" s="26" t="s">
        <v>3455</v>
      </c>
      <c r="G1557" s="26" t="s">
        <v>8</v>
      </c>
      <c r="H1557" s="26" t="s">
        <v>3456</v>
      </c>
      <c r="I1557" s="26" t="s">
        <v>106</v>
      </c>
      <c r="J1557" s="26">
        <v>0</v>
      </c>
      <c r="K1557" s="8" t="str">
        <f t="shared" si="24"/>
        <v>VATCHPSREC</v>
      </c>
    </row>
    <row r="1558" spans="1:11" x14ac:dyDescent="0.25">
      <c r="A1558" s="26" t="s">
        <v>149</v>
      </c>
      <c r="B1558" s="26" t="s">
        <v>111</v>
      </c>
      <c r="C1558" s="26">
        <v>0</v>
      </c>
      <c r="D1558" s="27">
        <v>43322</v>
      </c>
      <c r="E1558" s="26">
        <v>106433.68</v>
      </c>
      <c r="F1558" s="26" t="s">
        <v>3457</v>
      </c>
      <c r="G1558" s="26" t="s">
        <v>8</v>
      </c>
      <c r="H1558" s="26" t="s">
        <v>3458</v>
      </c>
      <c r="I1558" s="26" t="s">
        <v>106</v>
      </c>
      <c r="J1558" s="26">
        <v>0</v>
      </c>
      <c r="K1558" s="8" t="str">
        <f t="shared" si="24"/>
        <v>VATCHPSREC</v>
      </c>
    </row>
    <row r="1559" spans="1:11" x14ac:dyDescent="0.25">
      <c r="A1559" s="26" t="s">
        <v>149</v>
      </c>
      <c r="B1559" s="26" t="s">
        <v>111</v>
      </c>
      <c r="C1559" s="26">
        <v>0</v>
      </c>
      <c r="D1559" s="27">
        <v>43325</v>
      </c>
      <c r="E1559" s="26">
        <v>59571.09</v>
      </c>
      <c r="F1559" s="26" t="s">
        <v>3459</v>
      </c>
      <c r="G1559" s="26" t="s">
        <v>8</v>
      </c>
      <c r="H1559" s="26" t="s">
        <v>3460</v>
      </c>
      <c r="I1559" s="26" t="s">
        <v>106</v>
      </c>
      <c r="J1559" s="26">
        <v>0</v>
      </c>
      <c r="K1559" s="8" t="str">
        <f t="shared" si="24"/>
        <v>VATCHPSREC</v>
      </c>
    </row>
    <row r="1560" spans="1:11" x14ac:dyDescent="0.25">
      <c r="A1560" s="26" t="s">
        <v>149</v>
      </c>
      <c r="B1560" s="26" t="s">
        <v>111</v>
      </c>
      <c r="C1560" s="26">
        <v>0</v>
      </c>
      <c r="D1560" s="27">
        <v>43328</v>
      </c>
      <c r="E1560" s="26">
        <v>184273.23</v>
      </c>
      <c r="F1560" s="26" t="s">
        <v>3461</v>
      </c>
      <c r="G1560" s="26" t="s">
        <v>8</v>
      </c>
      <c r="H1560" s="26" t="s">
        <v>3462</v>
      </c>
      <c r="I1560" s="26" t="s">
        <v>106</v>
      </c>
      <c r="J1560" s="26">
        <v>0</v>
      </c>
      <c r="K1560" s="8" t="str">
        <f t="shared" si="24"/>
        <v>VATCHPSREC</v>
      </c>
    </row>
    <row r="1561" spans="1:11" x14ac:dyDescent="0.25">
      <c r="A1561" s="26" t="s">
        <v>149</v>
      </c>
      <c r="B1561" s="26" t="s">
        <v>111</v>
      </c>
      <c r="C1561" s="26">
        <v>0</v>
      </c>
      <c r="D1561" s="27">
        <v>43329</v>
      </c>
      <c r="E1561" s="26">
        <v>363780.78</v>
      </c>
      <c r="F1561" s="26" t="s">
        <v>3463</v>
      </c>
      <c r="G1561" s="26" t="s">
        <v>8</v>
      </c>
      <c r="H1561" s="26" t="s">
        <v>3464</v>
      </c>
      <c r="I1561" s="26" t="s">
        <v>106</v>
      </c>
      <c r="J1561" s="26">
        <v>0</v>
      </c>
      <c r="K1561" s="8" t="str">
        <f t="shared" si="24"/>
        <v>VATCHPSREC</v>
      </c>
    </row>
    <row r="1562" spans="1:11" x14ac:dyDescent="0.25">
      <c r="A1562" s="26" t="s">
        <v>149</v>
      </c>
      <c r="B1562" s="26" t="s">
        <v>111</v>
      </c>
      <c r="C1562" s="26">
        <v>0</v>
      </c>
      <c r="D1562" s="27">
        <v>43329</v>
      </c>
      <c r="E1562" s="26">
        <v>1941223.19</v>
      </c>
      <c r="F1562" s="26" t="s">
        <v>3465</v>
      </c>
      <c r="G1562" s="26" t="s">
        <v>8</v>
      </c>
      <c r="H1562" s="26" t="s">
        <v>3466</v>
      </c>
      <c r="I1562" s="26" t="s">
        <v>106</v>
      </c>
      <c r="J1562" s="26">
        <v>0</v>
      </c>
      <c r="K1562" s="8" t="str">
        <f t="shared" si="24"/>
        <v>VATCHPSREC</v>
      </c>
    </row>
    <row r="1563" spans="1:11" x14ac:dyDescent="0.25">
      <c r="A1563" s="26" t="s">
        <v>149</v>
      </c>
      <c r="B1563" s="26" t="s">
        <v>111</v>
      </c>
      <c r="C1563" s="26">
        <v>0</v>
      </c>
      <c r="D1563" s="27">
        <v>43329</v>
      </c>
      <c r="E1563" s="26">
        <v>238284.35</v>
      </c>
      <c r="F1563" s="26" t="s">
        <v>3467</v>
      </c>
      <c r="G1563" s="26" t="s">
        <v>8</v>
      </c>
      <c r="H1563" s="26" t="s">
        <v>3468</v>
      </c>
      <c r="I1563" s="26" t="s">
        <v>106</v>
      </c>
      <c r="J1563" s="26">
        <v>0</v>
      </c>
      <c r="K1563" s="8" t="str">
        <f t="shared" si="24"/>
        <v>VATCHPSREC</v>
      </c>
    </row>
    <row r="1564" spans="1:11" x14ac:dyDescent="0.25">
      <c r="A1564" s="26" t="s">
        <v>149</v>
      </c>
      <c r="B1564" s="26" t="s">
        <v>111</v>
      </c>
      <c r="C1564" s="26">
        <v>0</v>
      </c>
      <c r="D1564" s="27">
        <v>43336</v>
      </c>
      <c r="E1564" s="26">
        <v>39714.06</v>
      </c>
      <c r="F1564" s="26" t="s">
        <v>3469</v>
      </c>
      <c r="G1564" s="26" t="s">
        <v>8</v>
      </c>
      <c r="H1564" s="26" t="s">
        <v>3470</v>
      </c>
      <c r="I1564" s="26" t="s">
        <v>106</v>
      </c>
      <c r="J1564" s="26">
        <v>0</v>
      </c>
      <c r="K1564" s="8" t="str">
        <f t="shared" si="24"/>
        <v>VATCHPSREC</v>
      </c>
    </row>
    <row r="1565" spans="1:11" x14ac:dyDescent="0.25">
      <c r="A1565" s="26" t="s">
        <v>149</v>
      </c>
      <c r="B1565" s="26" t="s">
        <v>111</v>
      </c>
      <c r="C1565" s="26">
        <v>0</v>
      </c>
      <c r="D1565" s="27">
        <v>43336</v>
      </c>
      <c r="E1565" s="26">
        <v>198570.29</v>
      </c>
      <c r="F1565" s="26" t="s">
        <v>3471</v>
      </c>
      <c r="G1565" s="26" t="s">
        <v>8</v>
      </c>
      <c r="H1565" s="26" t="s">
        <v>3472</v>
      </c>
      <c r="I1565" s="26" t="s">
        <v>106</v>
      </c>
      <c r="J1565" s="26">
        <v>0</v>
      </c>
      <c r="K1565" s="8" t="str">
        <f t="shared" si="24"/>
        <v>VATCHPSREC</v>
      </c>
    </row>
    <row r="1566" spans="1:11" x14ac:dyDescent="0.25">
      <c r="A1566" s="26" t="s">
        <v>149</v>
      </c>
      <c r="B1566" s="26" t="s">
        <v>111</v>
      </c>
      <c r="C1566" s="26">
        <v>0</v>
      </c>
      <c r="D1566" s="27">
        <v>43336</v>
      </c>
      <c r="E1566" s="26">
        <v>31771.25</v>
      </c>
      <c r="F1566" s="26" t="s">
        <v>3473</v>
      </c>
      <c r="G1566" s="26" t="s">
        <v>8</v>
      </c>
      <c r="H1566" s="26" t="s">
        <v>3474</v>
      </c>
      <c r="I1566" s="26" t="s">
        <v>106</v>
      </c>
      <c r="J1566" s="26">
        <v>0</v>
      </c>
      <c r="K1566" s="8" t="str">
        <f t="shared" si="24"/>
        <v>VATCHPSREC</v>
      </c>
    </row>
    <row r="1567" spans="1:11" x14ac:dyDescent="0.25">
      <c r="A1567" s="26" t="s">
        <v>149</v>
      </c>
      <c r="B1567" s="26" t="s">
        <v>111</v>
      </c>
      <c r="C1567" s="26">
        <v>0</v>
      </c>
      <c r="D1567" s="27">
        <v>43339</v>
      </c>
      <c r="E1567" s="26">
        <v>39714.06</v>
      </c>
      <c r="F1567" s="26" t="s">
        <v>3475</v>
      </c>
      <c r="G1567" s="26" t="s">
        <v>8</v>
      </c>
      <c r="H1567" s="26" t="s">
        <v>3476</v>
      </c>
      <c r="I1567" s="26" t="s">
        <v>106</v>
      </c>
      <c r="J1567" s="26">
        <v>0</v>
      </c>
      <c r="K1567" s="8" t="str">
        <f t="shared" si="24"/>
        <v>VATCHPSREC</v>
      </c>
    </row>
    <row r="1568" spans="1:11" x14ac:dyDescent="0.25">
      <c r="A1568" s="26" t="s">
        <v>149</v>
      </c>
      <c r="B1568" s="26" t="s">
        <v>111</v>
      </c>
      <c r="C1568" s="26">
        <v>0</v>
      </c>
      <c r="D1568" s="27">
        <v>43342</v>
      </c>
      <c r="E1568" s="26">
        <v>31771.25</v>
      </c>
      <c r="F1568" s="26" t="s">
        <v>3477</v>
      </c>
      <c r="G1568" s="26" t="s">
        <v>8</v>
      </c>
      <c r="H1568" s="26" t="s">
        <v>3478</v>
      </c>
      <c r="I1568" s="26" t="s">
        <v>106</v>
      </c>
      <c r="J1568" s="26">
        <v>0</v>
      </c>
      <c r="K1568" s="8" t="str">
        <f t="shared" si="24"/>
        <v>VATCHPSREC</v>
      </c>
    </row>
    <row r="1569" spans="1:11" x14ac:dyDescent="0.25">
      <c r="A1569" s="26" t="s">
        <v>149</v>
      </c>
      <c r="B1569" s="26" t="s">
        <v>111</v>
      </c>
      <c r="C1569" s="26">
        <v>0</v>
      </c>
      <c r="D1569" s="27">
        <v>43343</v>
      </c>
      <c r="E1569" s="26">
        <v>59571.09</v>
      </c>
      <c r="F1569" s="26" t="s">
        <v>3479</v>
      </c>
      <c r="G1569" s="26" t="s">
        <v>8</v>
      </c>
      <c r="H1569" s="26" t="s">
        <v>3480</v>
      </c>
      <c r="I1569" s="26" t="s">
        <v>106</v>
      </c>
      <c r="J1569" s="26">
        <v>0</v>
      </c>
      <c r="K1569" s="8" t="str">
        <f t="shared" si="24"/>
        <v>VATCHPSREC</v>
      </c>
    </row>
    <row r="1570" spans="1:11" x14ac:dyDescent="0.25">
      <c r="A1570" s="26" t="s">
        <v>149</v>
      </c>
      <c r="B1570" s="26" t="s">
        <v>111</v>
      </c>
      <c r="C1570" s="26">
        <v>0</v>
      </c>
      <c r="D1570" s="27">
        <v>43343</v>
      </c>
      <c r="E1570" s="26">
        <v>59571.09</v>
      </c>
      <c r="F1570" s="26" t="s">
        <v>3481</v>
      </c>
      <c r="G1570" s="26" t="s">
        <v>8</v>
      </c>
      <c r="H1570" s="26" t="s">
        <v>3482</v>
      </c>
      <c r="I1570" s="26" t="s">
        <v>106</v>
      </c>
      <c r="J1570" s="26">
        <v>0</v>
      </c>
      <c r="K1570" s="8" t="str">
        <f t="shared" si="24"/>
        <v>VATCHPSREC</v>
      </c>
    </row>
    <row r="1571" spans="1:11" x14ac:dyDescent="0.25">
      <c r="A1571" s="26" t="s">
        <v>149</v>
      </c>
      <c r="B1571" s="26" t="s">
        <v>111</v>
      </c>
      <c r="C1571" s="26">
        <v>0</v>
      </c>
      <c r="D1571" s="27">
        <v>43343</v>
      </c>
      <c r="E1571" s="26">
        <v>25417</v>
      </c>
      <c r="F1571" s="26" t="s">
        <v>3483</v>
      </c>
      <c r="G1571" s="26" t="s">
        <v>8</v>
      </c>
      <c r="H1571" s="26" t="s">
        <v>3484</v>
      </c>
      <c r="I1571" s="26" t="s">
        <v>106</v>
      </c>
      <c r="J1571" s="26">
        <v>0</v>
      </c>
      <c r="K1571" s="8" t="str">
        <f t="shared" si="24"/>
        <v>VATCHPSREC</v>
      </c>
    </row>
    <row r="1572" spans="1:11" x14ac:dyDescent="0.25">
      <c r="A1572" s="26" t="s">
        <v>149</v>
      </c>
      <c r="B1572" s="26" t="s">
        <v>111</v>
      </c>
      <c r="C1572" s="26">
        <v>0</v>
      </c>
      <c r="D1572" s="27">
        <v>43346</v>
      </c>
      <c r="E1572" s="26">
        <v>27799.84</v>
      </c>
      <c r="F1572" s="26" t="s">
        <v>3485</v>
      </c>
      <c r="G1572" s="26" t="s">
        <v>8</v>
      </c>
      <c r="H1572" s="26" t="s">
        <v>3486</v>
      </c>
      <c r="I1572" s="26" t="s">
        <v>106</v>
      </c>
      <c r="J1572" s="26">
        <v>0</v>
      </c>
      <c r="K1572" s="8" t="str">
        <f t="shared" si="24"/>
        <v>VATCHPSREC</v>
      </c>
    </row>
    <row r="1573" spans="1:11" x14ac:dyDescent="0.25">
      <c r="A1573" s="26" t="s">
        <v>149</v>
      </c>
      <c r="B1573" s="26" t="s">
        <v>111</v>
      </c>
      <c r="C1573" s="26">
        <v>0</v>
      </c>
      <c r="D1573" s="27">
        <v>43349</v>
      </c>
      <c r="E1573" s="26">
        <v>35742.65</v>
      </c>
      <c r="F1573" s="26" t="s">
        <v>3487</v>
      </c>
      <c r="G1573" s="26" t="s">
        <v>8</v>
      </c>
      <c r="H1573" s="26" t="s">
        <v>3488</v>
      </c>
      <c r="I1573" s="26" t="s">
        <v>106</v>
      </c>
      <c r="J1573" s="26">
        <v>0</v>
      </c>
      <c r="K1573" s="8" t="str">
        <f t="shared" si="24"/>
        <v>VATCHPSREC</v>
      </c>
    </row>
    <row r="1574" spans="1:11" x14ac:dyDescent="0.25">
      <c r="A1574" s="26" t="s">
        <v>149</v>
      </c>
      <c r="B1574" s="26" t="s">
        <v>111</v>
      </c>
      <c r="C1574" s="26">
        <v>0</v>
      </c>
      <c r="D1574" s="27">
        <v>43350</v>
      </c>
      <c r="E1574" s="26">
        <v>23828.44</v>
      </c>
      <c r="F1574" s="26" t="s">
        <v>3489</v>
      </c>
      <c r="G1574" s="26" t="s">
        <v>8</v>
      </c>
      <c r="H1574" s="26" t="s">
        <v>3490</v>
      </c>
      <c r="I1574" s="26" t="s">
        <v>106</v>
      </c>
      <c r="J1574" s="26">
        <v>0</v>
      </c>
      <c r="K1574" s="8" t="str">
        <f t="shared" si="24"/>
        <v>VATCHPSREC</v>
      </c>
    </row>
    <row r="1575" spans="1:11" x14ac:dyDescent="0.25">
      <c r="A1575" s="26" t="s">
        <v>149</v>
      </c>
      <c r="B1575" s="26" t="s">
        <v>111</v>
      </c>
      <c r="C1575" s="26">
        <v>0</v>
      </c>
      <c r="D1575" s="27">
        <v>43350</v>
      </c>
      <c r="E1575" s="26">
        <v>37331.22</v>
      </c>
      <c r="F1575" s="26" t="s">
        <v>3491</v>
      </c>
      <c r="G1575" s="26" t="s">
        <v>8</v>
      </c>
      <c r="H1575" s="26" t="s">
        <v>3492</v>
      </c>
      <c r="I1575" s="26" t="s">
        <v>106</v>
      </c>
      <c r="J1575" s="26">
        <v>0</v>
      </c>
      <c r="K1575" s="8" t="str">
        <f t="shared" si="24"/>
        <v>VATCHPSREC</v>
      </c>
    </row>
    <row r="1576" spans="1:11" x14ac:dyDescent="0.25">
      <c r="A1576" s="26" t="s">
        <v>149</v>
      </c>
      <c r="B1576" s="26" t="s">
        <v>111</v>
      </c>
      <c r="C1576" s="26">
        <v>0</v>
      </c>
      <c r="D1576" s="27">
        <v>43350</v>
      </c>
      <c r="E1576" s="26">
        <v>47656.87</v>
      </c>
      <c r="F1576" s="26" t="s">
        <v>3493</v>
      </c>
      <c r="G1576" s="26" t="s">
        <v>8</v>
      </c>
      <c r="H1576" s="26" t="s">
        <v>3494</v>
      </c>
      <c r="I1576" s="26" t="s">
        <v>106</v>
      </c>
      <c r="J1576" s="26">
        <v>0</v>
      </c>
      <c r="K1576" s="8" t="str">
        <f t="shared" si="24"/>
        <v>VATCHPSREC</v>
      </c>
    </row>
    <row r="1577" spans="1:11" x14ac:dyDescent="0.25">
      <c r="A1577" s="26" t="s">
        <v>149</v>
      </c>
      <c r="B1577" s="26" t="s">
        <v>111</v>
      </c>
      <c r="C1577" s="26">
        <v>0</v>
      </c>
      <c r="D1577" s="27">
        <v>43353</v>
      </c>
      <c r="E1577" s="26">
        <v>43685.46</v>
      </c>
      <c r="F1577" s="26" t="s">
        <v>3495</v>
      </c>
      <c r="G1577" s="26" t="s">
        <v>8</v>
      </c>
      <c r="H1577" s="26" t="s">
        <v>3496</v>
      </c>
      <c r="I1577" s="26" t="s">
        <v>106</v>
      </c>
      <c r="J1577" s="26">
        <v>0</v>
      </c>
      <c r="K1577" s="8" t="str">
        <f t="shared" si="24"/>
        <v>VATCHPSREC</v>
      </c>
    </row>
    <row r="1578" spans="1:11" x14ac:dyDescent="0.25">
      <c r="A1578" s="26" t="s">
        <v>149</v>
      </c>
      <c r="B1578" s="26" t="s">
        <v>111</v>
      </c>
      <c r="C1578" s="26">
        <v>0</v>
      </c>
      <c r="D1578" s="27">
        <v>43356</v>
      </c>
      <c r="E1578" s="26">
        <v>81016.679999999993</v>
      </c>
      <c r="F1578" s="26" t="s">
        <v>3497</v>
      </c>
      <c r="G1578" s="26" t="s">
        <v>8</v>
      </c>
      <c r="H1578" s="26" t="s">
        <v>3498</v>
      </c>
      <c r="I1578" s="26" t="s">
        <v>106</v>
      </c>
      <c r="J1578" s="26">
        <v>0</v>
      </c>
      <c r="K1578" s="8" t="str">
        <f t="shared" si="24"/>
        <v>VATCHPSREC</v>
      </c>
    </row>
    <row r="1579" spans="1:11" x14ac:dyDescent="0.25">
      <c r="A1579" s="26" t="s">
        <v>149</v>
      </c>
      <c r="B1579" s="26" t="s">
        <v>111</v>
      </c>
      <c r="C1579" s="26">
        <v>0</v>
      </c>
      <c r="D1579" s="27">
        <v>43357</v>
      </c>
      <c r="E1579" s="26">
        <v>155679.10999999999</v>
      </c>
      <c r="F1579" s="26" t="s">
        <v>3499</v>
      </c>
      <c r="G1579" s="26" t="s">
        <v>8</v>
      </c>
      <c r="H1579" s="26" t="s">
        <v>3500</v>
      </c>
      <c r="I1579" s="26" t="s">
        <v>106</v>
      </c>
      <c r="J1579" s="26">
        <v>0</v>
      </c>
      <c r="K1579" s="8" t="str">
        <f t="shared" si="24"/>
        <v>VATCHPSREC</v>
      </c>
    </row>
    <row r="1580" spans="1:11" x14ac:dyDescent="0.25">
      <c r="A1580" s="26" t="s">
        <v>149</v>
      </c>
      <c r="B1580" s="26" t="s">
        <v>111</v>
      </c>
      <c r="C1580" s="26">
        <v>0</v>
      </c>
      <c r="D1580" s="27">
        <v>43357</v>
      </c>
      <c r="E1580" s="26">
        <v>289118.34999999998</v>
      </c>
      <c r="F1580" s="26" t="s">
        <v>3501</v>
      </c>
      <c r="G1580" s="26" t="s">
        <v>8</v>
      </c>
      <c r="H1580" s="26" t="s">
        <v>3502</v>
      </c>
      <c r="I1580" s="26" t="s">
        <v>106</v>
      </c>
      <c r="J1580" s="26">
        <v>0</v>
      </c>
      <c r="K1580" s="8" t="str">
        <f t="shared" si="24"/>
        <v>VATCHPSREC</v>
      </c>
    </row>
    <row r="1581" spans="1:11" x14ac:dyDescent="0.25">
      <c r="A1581" s="26" t="s">
        <v>149</v>
      </c>
      <c r="B1581" s="26" t="s">
        <v>111</v>
      </c>
      <c r="C1581" s="26">
        <v>0</v>
      </c>
      <c r="D1581" s="27">
        <v>43357</v>
      </c>
      <c r="E1581" s="26">
        <v>675139</v>
      </c>
      <c r="F1581" s="26" t="s">
        <v>3503</v>
      </c>
      <c r="G1581" s="26" t="s">
        <v>8</v>
      </c>
      <c r="H1581" s="26" t="s">
        <v>3504</v>
      </c>
      <c r="I1581" s="26" t="s">
        <v>106</v>
      </c>
      <c r="J1581" s="26">
        <v>0</v>
      </c>
      <c r="K1581" s="8" t="str">
        <f t="shared" si="24"/>
        <v>VATCHPSREC</v>
      </c>
    </row>
    <row r="1582" spans="1:11" x14ac:dyDescent="0.25">
      <c r="A1582" s="26" t="s">
        <v>149</v>
      </c>
      <c r="B1582" s="26" t="s">
        <v>111</v>
      </c>
      <c r="C1582" s="26">
        <v>0</v>
      </c>
      <c r="D1582" s="27">
        <v>43360</v>
      </c>
      <c r="E1582" s="26">
        <v>4077045.27</v>
      </c>
      <c r="F1582" s="26" t="s">
        <v>3505</v>
      </c>
      <c r="G1582" s="26" t="s">
        <v>8</v>
      </c>
      <c r="H1582" s="26" t="s">
        <v>3506</v>
      </c>
      <c r="I1582" s="26" t="s">
        <v>106</v>
      </c>
      <c r="J1582" s="26">
        <v>0</v>
      </c>
      <c r="K1582" s="8" t="str">
        <f t="shared" si="24"/>
        <v>VATCHPSREC</v>
      </c>
    </row>
    <row r="1583" spans="1:11" x14ac:dyDescent="0.25">
      <c r="A1583" s="26" t="s">
        <v>150</v>
      </c>
      <c r="B1583" s="26" t="s">
        <v>111</v>
      </c>
      <c r="C1583" s="26">
        <v>0</v>
      </c>
      <c r="D1583" s="27">
        <v>43318</v>
      </c>
      <c r="E1583" s="26">
        <v>-1588.56</v>
      </c>
      <c r="F1583" s="26" t="s">
        <v>3507</v>
      </c>
      <c r="G1583" s="26" t="s">
        <v>8</v>
      </c>
      <c r="H1583" s="26" t="s">
        <v>3508</v>
      </c>
      <c r="I1583" s="26" t="s">
        <v>106</v>
      </c>
      <c r="J1583" s="26">
        <v>0</v>
      </c>
      <c r="K1583" s="8" t="str">
        <f t="shared" si="24"/>
        <v>VATCHPSREP</v>
      </c>
    </row>
    <row r="1584" spans="1:11" x14ac:dyDescent="0.25">
      <c r="A1584" s="26" t="s">
        <v>150</v>
      </c>
      <c r="B1584" s="26" t="s">
        <v>111</v>
      </c>
      <c r="C1584" s="26">
        <v>0</v>
      </c>
      <c r="D1584" s="27">
        <v>43328</v>
      </c>
      <c r="E1584" s="26">
        <v>-7942.81</v>
      </c>
      <c r="F1584" s="26" t="s">
        <v>3509</v>
      </c>
      <c r="G1584" s="26" t="s">
        <v>8</v>
      </c>
      <c r="H1584" s="26" t="s">
        <v>3510</v>
      </c>
      <c r="I1584" s="26" t="s">
        <v>106</v>
      </c>
      <c r="J1584" s="26">
        <v>0</v>
      </c>
      <c r="K1584" s="8" t="str">
        <f t="shared" si="24"/>
        <v>VATCHPSREP</v>
      </c>
    </row>
    <row r="1585" spans="1:11" x14ac:dyDescent="0.25">
      <c r="A1585" s="26" t="s">
        <v>150</v>
      </c>
      <c r="B1585" s="26" t="s">
        <v>111</v>
      </c>
      <c r="C1585" s="26">
        <v>0</v>
      </c>
      <c r="D1585" s="27">
        <v>43357</v>
      </c>
      <c r="E1585" s="26">
        <v>-6354.25</v>
      </c>
      <c r="F1585" s="26" t="s">
        <v>3511</v>
      </c>
      <c r="G1585" s="26" t="s">
        <v>8</v>
      </c>
      <c r="H1585" s="26" t="s">
        <v>3512</v>
      </c>
      <c r="I1585" s="26" t="s">
        <v>106</v>
      </c>
      <c r="J1585" s="26">
        <v>0</v>
      </c>
      <c r="K1585" s="8" t="str">
        <f t="shared" si="24"/>
        <v>VATCHPSREP</v>
      </c>
    </row>
    <row r="1586" spans="1:11" x14ac:dyDescent="0.25">
      <c r="A1586" s="26" t="s">
        <v>151</v>
      </c>
      <c r="B1586" s="26" t="s">
        <v>111</v>
      </c>
      <c r="C1586" s="26">
        <v>0</v>
      </c>
      <c r="D1586" s="27">
        <v>43244</v>
      </c>
      <c r="E1586" s="26">
        <v>-4765.6899999999996</v>
      </c>
      <c r="F1586" s="26" t="s">
        <v>3513</v>
      </c>
      <c r="G1586" s="26" t="s">
        <v>8</v>
      </c>
      <c r="H1586" s="26" t="s">
        <v>3514</v>
      </c>
      <c r="I1586" s="26" t="s">
        <v>106</v>
      </c>
      <c r="J1586" s="26">
        <v>0</v>
      </c>
      <c r="K1586" s="8" t="str">
        <f t="shared" si="24"/>
        <v>VATPAYABLE</v>
      </c>
    </row>
    <row r="1587" spans="1:11" x14ac:dyDescent="0.25">
      <c r="A1587" s="26" t="s">
        <v>151</v>
      </c>
      <c r="B1587" s="26" t="s">
        <v>111</v>
      </c>
      <c r="C1587" s="26">
        <v>0</v>
      </c>
      <c r="D1587" s="27">
        <v>43245</v>
      </c>
      <c r="E1587" s="26">
        <v>-5559.97</v>
      </c>
      <c r="F1587" s="26" t="s">
        <v>3515</v>
      </c>
      <c r="G1587" s="26" t="s">
        <v>8</v>
      </c>
      <c r="H1587" s="26" t="s">
        <v>3516</v>
      </c>
      <c r="I1587" s="26" t="s">
        <v>106</v>
      </c>
      <c r="J1587" s="26">
        <v>0</v>
      </c>
      <c r="K1587" s="8" t="str">
        <f t="shared" si="24"/>
        <v>VATPAYABLE</v>
      </c>
    </row>
    <row r="1588" spans="1:11" x14ac:dyDescent="0.25">
      <c r="A1588" s="26" t="s">
        <v>151</v>
      </c>
      <c r="B1588" s="26" t="s">
        <v>111</v>
      </c>
      <c r="C1588" s="26">
        <v>0</v>
      </c>
      <c r="D1588" s="27">
        <v>43245</v>
      </c>
      <c r="E1588" s="26">
        <v>-5559.97</v>
      </c>
      <c r="F1588" s="26" t="s">
        <v>3517</v>
      </c>
      <c r="G1588" s="26" t="s">
        <v>8</v>
      </c>
      <c r="H1588" s="26" t="s">
        <v>3518</v>
      </c>
      <c r="I1588" s="26" t="s">
        <v>106</v>
      </c>
      <c r="J1588" s="26">
        <v>0</v>
      </c>
      <c r="K1588" s="8" t="str">
        <f t="shared" si="24"/>
        <v>VATPAYABLE</v>
      </c>
    </row>
    <row r="1589" spans="1:11" x14ac:dyDescent="0.25">
      <c r="A1589" s="26" t="s">
        <v>151</v>
      </c>
      <c r="B1589" s="26" t="s">
        <v>111</v>
      </c>
      <c r="C1589" s="26">
        <v>0</v>
      </c>
      <c r="D1589" s="27">
        <v>43245</v>
      </c>
      <c r="E1589" s="26">
        <v>-9531.3700000000008</v>
      </c>
      <c r="F1589" s="26" t="s">
        <v>3519</v>
      </c>
      <c r="G1589" s="26" t="s">
        <v>8</v>
      </c>
      <c r="H1589" s="26" t="s">
        <v>3520</v>
      </c>
      <c r="I1589" s="26" t="s">
        <v>106</v>
      </c>
      <c r="J1589" s="26">
        <v>0</v>
      </c>
      <c r="K1589" s="8" t="str">
        <f t="shared" si="24"/>
        <v>VATPAYABLE</v>
      </c>
    </row>
    <row r="1590" spans="1:11" x14ac:dyDescent="0.25">
      <c r="A1590" s="26" t="s">
        <v>151</v>
      </c>
      <c r="B1590" s="26" t="s">
        <v>111</v>
      </c>
      <c r="C1590" s="26">
        <v>0</v>
      </c>
      <c r="D1590" s="27">
        <v>43248</v>
      </c>
      <c r="E1590" s="26">
        <v>-7942.81</v>
      </c>
      <c r="F1590" s="26" t="s">
        <v>3521</v>
      </c>
      <c r="G1590" s="26" t="s">
        <v>8</v>
      </c>
      <c r="H1590" s="26" t="s">
        <v>3522</v>
      </c>
      <c r="I1590" s="26" t="s">
        <v>106</v>
      </c>
      <c r="J1590" s="26">
        <v>0</v>
      </c>
      <c r="K1590" s="8" t="str">
        <f t="shared" si="24"/>
        <v>VATPAYABLE</v>
      </c>
    </row>
    <row r="1591" spans="1:11" x14ac:dyDescent="0.25">
      <c r="A1591" s="26" t="s">
        <v>151</v>
      </c>
      <c r="B1591" s="26" t="s">
        <v>111</v>
      </c>
      <c r="C1591" s="26">
        <v>0</v>
      </c>
      <c r="D1591" s="27">
        <v>43251</v>
      </c>
      <c r="E1591" s="26">
        <v>-11914.22</v>
      </c>
      <c r="F1591" s="26" t="s">
        <v>3523</v>
      </c>
      <c r="G1591" s="26" t="s">
        <v>8</v>
      </c>
      <c r="H1591" s="26" t="s">
        <v>3524</v>
      </c>
      <c r="I1591" s="26" t="s">
        <v>106</v>
      </c>
      <c r="J1591" s="26">
        <v>0</v>
      </c>
      <c r="K1591" s="8" t="str">
        <f t="shared" si="24"/>
        <v>VATPAYABLE</v>
      </c>
    </row>
    <row r="1592" spans="1:11" x14ac:dyDescent="0.25">
      <c r="A1592" s="26" t="s">
        <v>151</v>
      </c>
      <c r="B1592" s="26" t="s">
        <v>111</v>
      </c>
      <c r="C1592" s="26">
        <v>0</v>
      </c>
      <c r="D1592" s="27">
        <v>43252</v>
      </c>
      <c r="E1592" s="26">
        <v>-7942.81</v>
      </c>
      <c r="F1592" s="26" t="s">
        <v>3525</v>
      </c>
      <c r="G1592" s="26" t="s">
        <v>8</v>
      </c>
      <c r="H1592" s="26" t="s">
        <v>3526</v>
      </c>
      <c r="I1592" s="26" t="s">
        <v>106</v>
      </c>
      <c r="J1592" s="26">
        <v>0</v>
      </c>
      <c r="K1592" s="8" t="str">
        <f t="shared" si="24"/>
        <v>VATPAYABLE</v>
      </c>
    </row>
    <row r="1593" spans="1:11" x14ac:dyDescent="0.25">
      <c r="A1593" s="26" t="s">
        <v>151</v>
      </c>
      <c r="B1593" s="26" t="s">
        <v>111</v>
      </c>
      <c r="C1593" s="26">
        <v>0</v>
      </c>
      <c r="D1593" s="27">
        <v>43252</v>
      </c>
      <c r="E1593" s="26">
        <v>-7942.81</v>
      </c>
      <c r="F1593" s="26" t="s">
        <v>3527</v>
      </c>
      <c r="G1593" s="26" t="s">
        <v>8</v>
      </c>
      <c r="H1593" s="26" t="s">
        <v>3528</v>
      </c>
      <c r="I1593" s="26" t="s">
        <v>106</v>
      </c>
      <c r="J1593" s="26">
        <v>0</v>
      </c>
      <c r="K1593" s="8" t="str">
        <f t="shared" si="24"/>
        <v>VATPAYABLE</v>
      </c>
    </row>
    <row r="1594" spans="1:11" x14ac:dyDescent="0.25">
      <c r="A1594" s="26" t="s">
        <v>151</v>
      </c>
      <c r="B1594" s="26" t="s">
        <v>111</v>
      </c>
      <c r="C1594" s="26">
        <v>0</v>
      </c>
      <c r="D1594" s="27">
        <v>43252</v>
      </c>
      <c r="E1594" s="26">
        <v>-7942.81</v>
      </c>
      <c r="F1594" s="26" t="s">
        <v>3529</v>
      </c>
      <c r="G1594" s="26" t="s">
        <v>8</v>
      </c>
      <c r="H1594" s="26" t="s">
        <v>3530</v>
      </c>
      <c r="I1594" s="26" t="s">
        <v>106</v>
      </c>
      <c r="J1594" s="26">
        <v>0</v>
      </c>
      <c r="K1594" s="8" t="str">
        <f t="shared" si="24"/>
        <v>VATPAYABLE</v>
      </c>
    </row>
    <row r="1595" spans="1:11" x14ac:dyDescent="0.25">
      <c r="A1595" s="26" t="s">
        <v>151</v>
      </c>
      <c r="B1595" s="26" t="s">
        <v>111</v>
      </c>
      <c r="C1595" s="26">
        <v>0</v>
      </c>
      <c r="D1595" s="27">
        <v>43255</v>
      </c>
      <c r="E1595" s="26">
        <v>-7148.53</v>
      </c>
      <c r="F1595" s="26" t="s">
        <v>3531</v>
      </c>
      <c r="G1595" s="26" t="s">
        <v>8</v>
      </c>
      <c r="H1595" s="26" t="s">
        <v>3532</v>
      </c>
      <c r="I1595" s="26" t="s">
        <v>106</v>
      </c>
      <c r="J1595" s="26">
        <v>0</v>
      </c>
      <c r="K1595" s="8" t="str">
        <f t="shared" si="24"/>
        <v>VATPAYABLE</v>
      </c>
    </row>
    <row r="1596" spans="1:11" x14ac:dyDescent="0.25">
      <c r="A1596" s="26" t="s">
        <v>151</v>
      </c>
      <c r="B1596" s="26" t="s">
        <v>111</v>
      </c>
      <c r="C1596" s="26">
        <v>0</v>
      </c>
      <c r="D1596" s="27">
        <v>43258</v>
      </c>
      <c r="E1596" s="26">
        <v>-3971.41</v>
      </c>
      <c r="F1596" s="26" t="s">
        <v>3533</v>
      </c>
      <c r="G1596" s="26" t="s">
        <v>8</v>
      </c>
      <c r="H1596" s="26" t="s">
        <v>3534</v>
      </c>
      <c r="I1596" s="26" t="s">
        <v>106</v>
      </c>
      <c r="J1596" s="26">
        <v>0</v>
      </c>
      <c r="K1596" s="8" t="str">
        <f t="shared" si="24"/>
        <v>VATPAYABLE</v>
      </c>
    </row>
    <row r="1597" spans="1:11" x14ac:dyDescent="0.25">
      <c r="A1597" s="26" t="s">
        <v>151</v>
      </c>
      <c r="B1597" s="26" t="s">
        <v>111</v>
      </c>
      <c r="C1597" s="26">
        <v>0</v>
      </c>
      <c r="D1597" s="27">
        <v>43259</v>
      </c>
      <c r="E1597" s="26">
        <v>-6354.25</v>
      </c>
      <c r="F1597" s="26" t="s">
        <v>3535</v>
      </c>
      <c r="G1597" s="26" t="s">
        <v>8</v>
      </c>
      <c r="H1597" s="26" t="s">
        <v>3536</v>
      </c>
      <c r="I1597" s="26" t="s">
        <v>106</v>
      </c>
      <c r="J1597" s="26">
        <v>0</v>
      </c>
      <c r="K1597" s="8" t="str">
        <f t="shared" si="24"/>
        <v>VATPAYABLE</v>
      </c>
    </row>
    <row r="1598" spans="1:11" x14ac:dyDescent="0.25">
      <c r="A1598" s="26" t="s">
        <v>151</v>
      </c>
      <c r="B1598" s="26" t="s">
        <v>111</v>
      </c>
      <c r="C1598" s="26">
        <v>0</v>
      </c>
      <c r="D1598" s="27">
        <v>43259</v>
      </c>
      <c r="E1598" s="26">
        <v>-15885.62</v>
      </c>
      <c r="F1598" s="26" t="s">
        <v>3537</v>
      </c>
      <c r="G1598" s="26" t="s">
        <v>8</v>
      </c>
      <c r="H1598" s="26" t="s">
        <v>3538</v>
      </c>
      <c r="I1598" s="26" t="s">
        <v>106</v>
      </c>
      <c r="J1598" s="26">
        <v>0</v>
      </c>
      <c r="K1598" s="8" t="str">
        <f t="shared" si="24"/>
        <v>VATPAYABLE</v>
      </c>
    </row>
    <row r="1599" spans="1:11" x14ac:dyDescent="0.25">
      <c r="A1599" s="26" t="s">
        <v>151</v>
      </c>
      <c r="B1599" s="26" t="s">
        <v>111</v>
      </c>
      <c r="C1599" s="26">
        <v>0</v>
      </c>
      <c r="D1599" s="27">
        <v>43259</v>
      </c>
      <c r="E1599" s="26">
        <v>-7942.81</v>
      </c>
      <c r="F1599" s="26" t="s">
        <v>3539</v>
      </c>
      <c r="G1599" s="26" t="s">
        <v>8</v>
      </c>
      <c r="H1599" s="26" t="s">
        <v>3540</v>
      </c>
      <c r="I1599" s="26" t="s">
        <v>106</v>
      </c>
      <c r="J1599" s="26">
        <v>0</v>
      </c>
      <c r="K1599" s="8" t="str">
        <f t="shared" si="24"/>
        <v>VATPAYABLE</v>
      </c>
    </row>
    <row r="1600" spans="1:11" x14ac:dyDescent="0.25">
      <c r="A1600" s="26" t="s">
        <v>151</v>
      </c>
      <c r="B1600" s="26" t="s">
        <v>111</v>
      </c>
      <c r="C1600" s="26">
        <v>0</v>
      </c>
      <c r="D1600" s="27">
        <v>43262</v>
      </c>
      <c r="E1600" s="26">
        <v>-7942.81</v>
      </c>
      <c r="F1600" s="26" t="s">
        <v>3541</v>
      </c>
      <c r="G1600" s="26" t="s">
        <v>8</v>
      </c>
      <c r="H1600" s="26" t="s">
        <v>3542</v>
      </c>
      <c r="I1600" s="26" t="s">
        <v>106</v>
      </c>
      <c r="J1600" s="26">
        <v>0</v>
      </c>
      <c r="K1600" s="8" t="str">
        <f t="shared" si="24"/>
        <v>VATPAYABLE</v>
      </c>
    </row>
    <row r="1601" spans="1:11" x14ac:dyDescent="0.25">
      <c r="A1601" s="26" t="s">
        <v>151</v>
      </c>
      <c r="B1601" s="26" t="s">
        <v>111</v>
      </c>
      <c r="C1601" s="26">
        <v>0</v>
      </c>
      <c r="D1601" s="27">
        <v>43265</v>
      </c>
      <c r="E1601" s="26">
        <v>-3971.41</v>
      </c>
      <c r="F1601" s="26" t="s">
        <v>3543</v>
      </c>
      <c r="G1601" s="26" t="s">
        <v>8</v>
      </c>
      <c r="H1601" s="26" t="s">
        <v>3544</v>
      </c>
      <c r="I1601" s="26" t="s">
        <v>106</v>
      </c>
      <c r="J1601" s="26">
        <v>0</v>
      </c>
      <c r="K1601" s="8" t="str">
        <f t="shared" si="24"/>
        <v>VATPAYABLE</v>
      </c>
    </row>
    <row r="1602" spans="1:11" x14ac:dyDescent="0.25">
      <c r="A1602" s="26" t="s">
        <v>151</v>
      </c>
      <c r="B1602" s="26" t="s">
        <v>111</v>
      </c>
      <c r="C1602" s="26">
        <v>0</v>
      </c>
      <c r="D1602" s="27">
        <v>43266</v>
      </c>
      <c r="E1602" s="26">
        <v>-7942.81</v>
      </c>
      <c r="F1602" s="26" t="s">
        <v>3545</v>
      </c>
      <c r="G1602" s="26" t="s">
        <v>8</v>
      </c>
      <c r="H1602" s="26" t="s">
        <v>3546</v>
      </c>
      <c r="I1602" s="26" t="s">
        <v>106</v>
      </c>
      <c r="J1602" s="26">
        <v>0</v>
      </c>
      <c r="K1602" s="8" t="str">
        <f t="shared" si="24"/>
        <v>VATPAYABLE</v>
      </c>
    </row>
    <row r="1603" spans="1:11" x14ac:dyDescent="0.25">
      <c r="A1603" s="26" t="s">
        <v>151</v>
      </c>
      <c r="B1603" s="26" t="s">
        <v>111</v>
      </c>
      <c r="C1603" s="26">
        <v>0</v>
      </c>
      <c r="D1603" s="27">
        <v>43266</v>
      </c>
      <c r="E1603" s="26">
        <v>-9531.3700000000008</v>
      </c>
      <c r="F1603" s="26" t="s">
        <v>3547</v>
      </c>
      <c r="G1603" s="26" t="s">
        <v>8</v>
      </c>
      <c r="H1603" s="26" t="s">
        <v>3548</v>
      </c>
      <c r="I1603" s="26" t="s">
        <v>106</v>
      </c>
      <c r="J1603" s="26">
        <v>0</v>
      </c>
      <c r="K1603" s="8" t="str">
        <f t="shared" ref="K1603:K1666" si="25">LEFT(A1603,FIND("/",A1603)-1)</f>
        <v>VATPAYABLE</v>
      </c>
    </row>
    <row r="1604" spans="1:11" x14ac:dyDescent="0.25">
      <c r="A1604" s="26" t="s">
        <v>151</v>
      </c>
      <c r="B1604" s="26" t="s">
        <v>111</v>
      </c>
      <c r="C1604" s="26">
        <v>0</v>
      </c>
      <c r="D1604" s="27">
        <v>43266</v>
      </c>
      <c r="E1604" s="26">
        <v>-6354.25</v>
      </c>
      <c r="F1604" s="26" t="s">
        <v>3549</v>
      </c>
      <c r="G1604" s="26" t="s">
        <v>8</v>
      </c>
      <c r="H1604" s="26" t="s">
        <v>3550</v>
      </c>
      <c r="I1604" s="26" t="s">
        <v>106</v>
      </c>
      <c r="J1604" s="26">
        <v>0</v>
      </c>
      <c r="K1604" s="8" t="str">
        <f t="shared" si="25"/>
        <v>VATPAYABLE</v>
      </c>
    </row>
    <row r="1605" spans="1:11" x14ac:dyDescent="0.25">
      <c r="A1605" s="26" t="s">
        <v>151</v>
      </c>
      <c r="B1605" s="26" t="s">
        <v>111</v>
      </c>
      <c r="C1605" s="26">
        <v>0</v>
      </c>
      <c r="D1605" s="27">
        <v>43269</v>
      </c>
      <c r="E1605" s="26">
        <v>-7942.81</v>
      </c>
      <c r="F1605" s="26" t="s">
        <v>3551</v>
      </c>
      <c r="G1605" s="26" t="s">
        <v>8</v>
      </c>
      <c r="H1605" s="26" t="s">
        <v>3552</v>
      </c>
      <c r="I1605" s="26" t="s">
        <v>106</v>
      </c>
      <c r="J1605" s="26">
        <v>0</v>
      </c>
      <c r="K1605" s="8" t="str">
        <f t="shared" si="25"/>
        <v>VATPAYABLE</v>
      </c>
    </row>
    <row r="1606" spans="1:11" x14ac:dyDescent="0.25">
      <c r="A1606" s="26" t="s">
        <v>151</v>
      </c>
      <c r="B1606" s="26" t="s">
        <v>111</v>
      </c>
      <c r="C1606" s="26">
        <v>0</v>
      </c>
      <c r="D1606" s="27">
        <v>43272</v>
      </c>
      <c r="E1606" s="26">
        <v>-6354.25</v>
      </c>
      <c r="F1606" s="26" t="s">
        <v>3553</v>
      </c>
      <c r="G1606" s="26" t="s">
        <v>8</v>
      </c>
      <c r="H1606" s="26" t="s">
        <v>3554</v>
      </c>
      <c r="I1606" s="26" t="s">
        <v>106</v>
      </c>
      <c r="J1606" s="26">
        <v>0</v>
      </c>
      <c r="K1606" s="8" t="str">
        <f t="shared" si="25"/>
        <v>VATPAYABLE</v>
      </c>
    </row>
    <row r="1607" spans="1:11" x14ac:dyDescent="0.25">
      <c r="A1607" s="26" t="s">
        <v>151</v>
      </c>
      <c r="B1607" s="26" t="s">
        <v>111</v>
      </c>
      <c r="C1607" s="26">
        <v>0</v>
      </c>
      <c r="D1607" s="27">
        <v>43273</v>
      </c>
      <c r="E1607" s="26">
        <v>-10325.66</v>
      </c>
      <c r="F1607" s="26" t="s">
        <v>3555</v>
      </c>
      <c r="G1607" s="26" t="s">
        <v>8</v>
      </c>
      <c r="H1607" s="26" t="s">
        <v>3556</v>
      </c>
      <c r="I1607" s="26" t="s">
        <v>106</v>
      </c>
      <c r="J1607" s="26">
        <v>0</v>
      </c>
      <c r="K1607" s="8" t="str">
        <f t="shared" si="25"/>
        <v>VATPAYABLE</v>
      </c>
    </row>
    <row r="1608" spans="1:11" x14ac:dyDescent="0.25">
      <c r="A1608" s="26" t="s">
        <v>151</v>
      </c>
      <c r="B1608" s="26" t="s">
        <v>111</v>
      </c>
      <c r="C1608" s="26">
        <v>0</v>
      </c>
      <c r="D1608" s="27">
        <v>43273</v>
      </c>
      <c r="E1608" s="26">
        <v>-5559.97</v>
      </c>
      <c r="F1608" s="26" t="s">
        <v>3557</v>
      </c>
      <c r="G1608" s="26" t="s">
        <v>8</v>
      </c>
      <c r="H1608" s="26" t="s">
        <v>3558</v>
      </c>
      <c r="I1608" s="26" t="s">
        <v>106</v>
      </c>
      <c r="J1608" s="26">
        <v>0</v>
      </c>
      <c r="K1608" s="8" t="str">
        <f t="shared" si="25"/>
        <v>VATPAYABLE</v>
      </c>
    </row>
    <row r="1609" spans="1:11" x14ac:dyDescent="0.25">
      <c r="A1609" s="26" t="s">
        <v>151</v>
      </c>
      <c r="B1609" s="26" t="s">
        <v>111</v>
      </c>
      <c r="C1609" s="26">
        <v>0</v>
      </c>
      <c r="D1609" s="27">
        <v>43273</v>
      </c>
      <c r="E1609" s="26">
        <v>-11914.22</v>
      </c>
      <c r="F1609" s="26" t="s">
        <v>3559</v>
      </c>
      <c r="G1609" s="26" t="s">
        <v>8</v>
      </c>
      <c r="H1609" s="26" t="s">
        <v>3560</v>
      </c>
      <c r="I1609" s="26" t="s">
        <v>106</v>
      </c>
      <c r="J1609" s="26">
        <v>0</v>
      </c>
      <c r="K1609" s="8" t="str">
        <f t="shared" si="25"/>
        <v>VATPAYABLE</v>
      </c>
    </row>
    <row r="1610" spans="1:11" x14ac:dyDescent="0.25">
      <c r="A1610" s="26" t="s">
        <v>151</v>
      </c>
      <c r="B1610" s="26" t="s">
        <v>111</v>
      </c>
      <c r="C1610" s="26">
        <v>0</v>
      </c>
      <c r="D1610" s="27">
        <v>43276</v>
      </c>
      <c r="E1610" s="26">
        <v>-7942.81</v>
      </c>
      <c r="F1610" s="26" t="s">
        <v>3561</v>
      </c>
      <c r="G1610" s="26" t="s">
        <v>8</v>
      </c>
      <c r="H1610" s="26" t="s">
        <v>3562</v>
      </c>
      <c r="I1610" s="26" t="s">
        <v>106</v>
      </c>
      <c r="J1610" s="26">
        <v>0</v>
      </c>
      <c r="K1610" s="8" t="str">
        <f t="shared" si="25"/>
        <v>VATPAYABLE</v>
      </c>
    </row>
    <row r="1611" spans="1:11" x14ac:dyDescent="0.25">
      <c r="A1611" s="26" t="s">
        <v>151</v>
      </c>
      <c r="B1611" s="26" t="s">
        <v>111</v>
      </c>
      <c r="C1611" s="26">
        <v>0</v>
      </c>
      <c r="D1611" s="27">
        <v>43279</v>
      </c>
      <c r="E1611" s="26">
        <v>-6354.25</v>
      </c>
      <c r="F1611" s="26" t="s">
        <v>3563</v>
      </c>
      <c r="G1611" s="26" t="s">
        <v>8</v>
      </c>
      <c r="H1611" s="26" t="s">
        <v>3564</v>
      </c>
      <c r="I1611" s="26" t="s">
        <v>106</v>
      </c>
      <c r="J1611" s="26">
        <v>0</v>
      </c>
      <c r="K1611" s="8" t="str">
        <f t="shared" si="25"/>
        <v>VATPAYABLE</v>
      </c>
    </row>
    <row r="1612" spans="1:11" x14ac:dyDescent="0.25">
      <c r="A1612" s="26" t="s">
        <v>151</v>
      </c>
      <c r="B1612" s="26" t="s">
        <v>111</v>
      </c>
      <c r="C1612" s="26">
        <v>0</v>
      </c>
      <c r="D1612" s="27">
        <v>43280</v>
      </c>
      <c r="E1612" s="26">
        <v>-7942.81</v>
      </c>
      <c r="F1612" s="26" t="s">
        <v>3565</v>
      </c>
      <c r="G1612" s="26" t="s">
        <v>8</v>
      </c>
      <c r="H1612" s="26" t="s">
        <v>3566</v>
      </c>
      <c r="I1612" s="26" t="s">
        <v>106</v>
      </c>
      <c r="J1612" s="26">
        <v>0</v>
      </c>
      <c r="K1612" s="8" t="str">
        <f t="shared" si="25"/>
        <v>VATPAYABLE</v>
      </c>
    </row>
    <row r="1613" spans="1:11" x14ac:dyDescent="0.25">
      <c r="A1613" s="26" t="s">
        <v>151</v>
      </c>
      <c r="B1613" s="26" t="s">
        <v>111</v>
      </c>
      <c r="C1613" s="26">
        <v>0</v>
      </c>
      <c r="D1613" s="27">
        <v>43280</v>
      </c>
      <c r="E1613" s="26">
        <v>-7942.81</v>
      </c>
      <c r="F1613" s="26" t="s">
        <v>3567</v>
      </c>
      <c r="G1613" s="26" t="s">
        <v>8</v>
      </c>
      <c r="H1613" s="26" t="s">
        <v>3568</v>
      </c>
      <c r="I1613" s="26" t="s">
        <v>106</v>
      </c>
      <c r="J1613" s="26">
        <v>0</v>
      </c>
      <c r="K1613" s="8" t="str">
        <f t="shared" si="25"/>
        <v>VATPAYABLE</v>
      </c>
    </row>
    <row r="1614" spans="1:11" x14ac:dyDescent="0.25">
      <c r="A1614" s="26" t="s">
        <v>151</v>
      </c>
      <c r="B1614" s="26" t="s">
        <v>111</v>
      </c>
      <c r="C1614" s="26">
        <v>0</v>
      </c>
      <c r="D1614" s="27">
        <v>43280</v>
      </c>
      <c r="E1614" s="26">
        <v>-7942.81</v>
      </c>
      <c r="F1614" s="26" t="s">
        <v>3569</v>
      </c>
      <c r="G1614" s="26" t="s">
        <v>8</v>
      </c>
      <c r="H1614" s="26" t="s">
        <v>3570</v>
      </c>
      <c r="I1614" s="26" t="s">
        <v>106</v>
      </c>
      <c r="J1614" s="26">
        <v>0</v>
      </c>
      <c r="K1614" s="8" t="str">
        <f t="shared" si="25"/>
        <v>VATPAYABLE</v>
      </c>
    </row>
    <row r="1615" spans="1:11" x14ac:dyDescent="0.25">
      <c r="A1615" s="26" t="s">
        <v>151</v>
      </c>
      <c r="B1615" s="26" t="s">
        <v>111</v>
      </c>
      <c r="C1615" s="26">
        <v>0</v>
      </c>
      <c r="D1615" s="27">
        <v>43283</v>
      </c>
      <c r="E1615" s="26">
        <v>-12708.5</v>
      </c>
      <c r="F1615" s="26" t="s">
        <v>3571</v>
      </c>
      <c r="G1615" s="26" t="s">
        <v>8</v>
      </c>
      <c r="H1615" s="26" t="s">
        <v>3572</v>
      </c>
      <c r="I1615" s="26" t="s">
        <v>106</v>
      </c>
      <c r="J1615" s="26">
        <v>0</v>
      </c>
      <c r="K1615" s="8" t="str">
        <f t="shared" si="25"/>
        <v>VATPAYABLE</v>
      </c>
    </row>
    <row r="1616" spans="1:11" x14ac:dyDescent="0.25">
      <c r="A1616" s="26" t="s">
        <v>151</v>
      </c>
      <c r="B1616" s="26" t="s">
        <v>111</v>
      </c>
      <c r="C1616" s="26">
        <v>0</v>
      </c>
      <c r="D1616" s="27">
        <v>43286</v>
      </c>
      <c r="E1616" s="26">
        <v>-11119.94</v>
      </c>
      <c r="F1616" s="26" t="s">
        <v>3573</v>
      </c>
      <c r="G1616" s="26" t="s">
        <v>8</v>
      </c>
      <c r="H1616" s="26" t="s">
        <v>3574</v>
      </c>
      <c r="I1616" s="26" t="s">
        <v>106</v>
      </c>
      <c r="J1616" s="26">
        <v>0</v>
      </c>
      <c r="K1616" s="8" t="str">
        <f t="shared" si="25"/>
        <v>VATPAYABLE</v>
      </c>
    </row>
    <row r="1617" spans="1:11" x14ac:dyDescent="0.25">
      <c r="A1617" s="26" t="s">
        <v>151</v>
      </c>
      <c r="B1617" s="26" t="s">
        <v>111</v>
      </c>
      <c r="C1617" s="26">
        <v>0</v>
      </c>
      <c r="D1617" s="27">
        <v>43287</v>
      </c>
      <c r="E1617" s="26">
        <v>-7148.53</v>
      </c>
      <c r="F1617" s="26" t="s">
        <v>3575</v>
      </c>
      <c r="G1617" s="26" t="s">
        <v>8</v>
      </c>
      <c r="H1617" s="26" t="s">
        <v>3576</v>
      </c>
      <c r="I1617" s="26" t="s">
        <v>106</v>
      </c>
      <c r="J1617" s="26">
        <v>0</v>
      </c>
      <c r="K1617" s="8" t="str">
        <f t="shared" si="25"/>
        <v>VATPAYABLE</v>
      </c>
    </row>
    <row r="1618" spans="1:11" x14ac:dyDescent="0.25">
      <c r="A1618" s="26" t="s">
        <v>151</v>
      </c>
      <c r="B1618" s="26" t="s">
        <v>111</v>
      </c>
      <c r="C1618" s="26">
        <v>0</v>
      </c>
      <c r="D1618" s="27">
        <v>43287</v>
      </c>
      <c r="E1618" s="26">
        <v>-9531.3700000000008</v>
      </c>
      <c r="F1618" s="26" t="s">
        <v>3577</v>
      </c>
      <c r="G1618" s="26" t="s">
        <v>8</v>
      </c>
      <c r="H1618" s="26" t="s">
        <v>3578</v>
      </c>
      <c r="I1618" s="26" t="s">
        <v>106</v>
      </c>
      <c r="J1618" s="26">
        <v>0</v>
      </c>
      <c r="K1618" s="8" t="str">
        <f t="shared" si="25"/>
        <v>VATPAYABLE</v>
      </c>
    </row>
    <row r="1619" spans="1:11" x14ac:dyDescent="0.25">
      <c r="A1619" s="26" t="s">
        <v>151</v>
      </c>
      <c r="B1619" s="26" t="s">
        <v>111</v>
      </c>
      <c r="C1619" s="26">
        <v>0</v>
      </c>
      <c r="D1619" s="27">
        <v>43287</v>
      </c>
      <c r="E1619" s="26">
        <v>-4765.6899999999996</v>
      </c>
      <c r="F1619" s="26" t="s">
        <v>3579</v>
      </c>
      <c r="G1619" s="26" t="s">
        <v>8</v>
      </c>
      <c r="H1619" s="26" t="s">
        <v>3580</v>
      </c>
      <c r="I1619" s="26" t="s">
        <v>106</v>
      </c>
      <c r="J1619" s="26">
        <v>0</v>
      </c>
      <c r="K1619" s="8" t="str">
        <f t="shared" si="25"/>
        <v>VATPAYABLE</v>
      </c>
    </row>
    <row r="1620" spans="1:11" x14ac:dyDescent="0.25">
      <c r="A1620" s="26" t="s">
        <v>151</v>
      </c>
      <c r="B1620" s="26" t="s">
        <v>111</v>
      </c>
      <c r="C1620" s="26">
        <v>0</v>
      </c>
      <c r="D1620" s="27">
        <v>43290</v>
      </c>
      <c r="E1620" s="26">
        <v>-5559.97</v>
      </c>
      <c r="F1620" s="26" t="s">
        <v>3581</v>
      </c>
      <c r="G1620" s="26" t="s">
        <v>8</v>
      </c>
      <c r="H1620" s="26" t="s">
        <v>3582</v>
      </c>
      <c r="I1620" s="26" t="s">
        <v>106</v>
      </c>
      <c r="J1620" s="26">
        <v>0</v>
      </c>
      <c r="K1620" s="8" t="str">
        <f t="shared" si="25"/>
        <v>VATPAYABLE</v>
      </c>
    </row>
    <row r="1621" spans="1:11" x14ac:dyDescent="0.25">
      <c r="A1621" s="26" t="s">
        <v>151</v>
      </c>
      <c r="B1621" s="26" t="s">
        <v>111</v>
      </c>
      <c r="C1621" s="26">
        <v>0</v>
      </c>
      <c r="D1621" s="27">
        <v>43293</v>
      </c>
      <c r="E1621" s="26">
        <v>-6354.25</v>
      </c>
      <c r="F1621" s="26" t="s">
        <v>3583</v>
      </c>
      <c r="G1621" s="26" t="s">
        <v>8</v>
      </c>
      <c r="H1621" s="26" t="s">
        <v>3584</v>
      </c>
      <c r="I1621" s="26" t="s">
        <v>106</v>
      </c>
      <c r="J1621" s="26">
        <v>0</v>
      </c>
      <c r="K1621" s="8" t="str">
        <f t="shared" si="25"/>
        <v>VATPAYABLE</v>
      </c>
    </row>
    <row r="1622" spans="1:11" x14ac:dyDescent="0.25">
      <c r="A1622" s="26" t="s">
        <v>151</v>
      </c>
      <c r="B1622" s="26" t="s">
        <v>111</v>
      </c>
      <c r="C1622" s="26">
        <v>0</v>
      </c>
      <c r="D1622" s="27">
        <v>43294</v>
      </c>
      <c r="E1622" s="26">
        <v>-7942.81</v>
      </c>
      <c r="F1622" s="26" t="s">
        <v>3585</v>
      </c>
      <c r="G1622" s="26" t="s">
        <v>8</v>
      </c>
      <c r="H1622" s="26" t="s">
        <v>3586</v>
      </c>
      <c r="I1622" s="26" t="s">
        <v>106</v>
      </c>
      <c r="J1622" s="26">
        <v>0</v>
      </c>
      <c r="K1622" s="8" t="str">
        <f t="shared" si="25"/>
        <v>VATPAYABLE</v>
      </c>
    </row>
    <row r="1623" spans="1:11" x14ac:dyDescent="0.25">
      <c r="A1623" s="26" t="s">
        <v>151</v>
      </c>
      <c r="B1623" s="26" t="s">
        <v>111</v>
      </c>
      <c r="C1623" s="26">
        <v>0</v>
      </c>
      <c r="D1623" s="27">
        <v>43294</v>
      </c>
      <c r="E1623" s="26">
        <v>-11914.22</v>
      </c>
      <c r="F1623" s="26" t="s">
        <v>3587</v>
      </c>
      <c r="G1623" s="26" t="s">
        <v>8</v>
      </c>
      <c r="H1623" s="26" t="s">
        <v>3588</v>
      </c>
      <c r="I1623" s="26" t="s">
        <v>106</v>
      </c>
      <c r="J1623" s="26">
        <v>0</v>
      </c>
      <c r="K1623" s="8" t="str">
        <f t="shared" si="25"/>
        <v>VATPAYABLE</v>
      </c>
    </row>
    <row r="1624" spans="1:11" x14ac:dyDescent="0.25">
      <c r="A1624" s="26" t="s">
        <v>151</v>
      </c>
      <c r="B1624" s="26" t="s">
        <v>111</v>
      </c>
      <c r="C1624" s="26">
        <v>0</v>
      </c>
      <c r="D1624" s="27">
        <v>43297</v>
      </c>
      <c r="E1624" s="26">
        <v>-4606.83</v>
      </c>
      <c r="F1624" s="26" t="s">
        <v>3589</v>
      </c>
      <c r="G1624" s="26" t="s">
        <v>8</v>
      </c>
      <c r="H1624" s="26" t="s">
        <v>3590</v>
      </c>
      <c r="I1624" s="26" t="s">
        <v>106</v>
      </c>
      <c r="J1624" s="26">
        <v>0</v>
      </c>
      <c r="K1624" s="8" t="str">
        <f t="shared" si="25"/>
        <v>VATPAYABLE</v>
      </c>
    </row>
    <row r="1625" spans="1:11" x14ac:dyDescent="0.25">
      <c r="A1625" s="26" t="s">
        <v>151</v>
      </c>
      <c r="B1625" s="26" t="s">
        <v>111</v>
      </c>
      <c r="C1625" s="26">
        <v>0</v>
      </c>
      <c r="D1625" s="27">
        <v>43300</v>
      </c>
      <c r="E1625" s="26">
        <v>-7148.53</v>
      </c>
      <c r="F1625" s="26" t="s">
        <v>3591</v>
      </c>
      <c r="G1625" s="26" t="s">
        <v>8</v>
      </c>
      <c r="H1625" s="26" t="s">
        <v>3592</v>
      </c>
      <c r="I1625" s="26" t="s">
        <v>106</v>
      </c>
      <c r="J1625" s="26">
        <v>0</v>
      </c>
      <c r="K1625" s="8" t="str">
        <f t="shared" si="25"/>
        <v>VATPAYABLE</v>
      </c>
    </row>
    <row r="1626" spans="1:11" x14ac:dyDescent="0.25">
      <c r="A1626" s="26" t="s">
        <v>151</v>
      </c>
      <c r="B1626" s="26" t="s">
        <v>111</v>
      </c>
      <c r="C1626" s="26">
        <v>0</v>
      </c>
      <c r="D1626" s="27">
        <v>43301</v>
      </c>
      <c r="E1626" s="26">
        <v>-7942.81</v>
      </c>
      <c r="F1626" s="26" t="s">
        <v>3593</v>
      </c>
      <c r="G1626" s="26" t="s">
        <v>8</v>
      </c>
      <c r="H1626" s="26" t="s">
        <v>3594</v>
      </c>
      <c r="I1626" s="26" t="s">
        <v>106</v>
      </c>
      <c r="J1626" s="26">
        <v>0</v>
      </c>
      <c r="K1626" s="8" t="str">
        <f t="shared" si="25"/>
        <v>VATPAYABLE</v>
      </c>
    </row>
    <row r="1627" spans="1:11" x14ac:dyDescent="0.25">
      <c r="A1627" s="26" t="s">
        <v>151</v>
      </c>
      <c r="B1627" s="26" t="s">
        <v>111</v>
      </c>
      <c r="C1627" s="26">
        <v>0</v>
      </c>
      <c r="D1627" s="27">
        <v>43301</v>
      </c>
      <c r="E1627" s="26">
        <v>-6354.25</v>
      </c>
      <c r="F1627" s="26" t="s">
        <v>3595</v>
      </c>
      <c r="G1627" s="26" t="s">
        <v>8</v>
      </c>
      <c r="H1627" s="26" t="s">
        <v>3596</v>
      </c>
      <c r="I1627" s="26" t="s">
        <v>106</v>
      </c>
      <c r="J1627" s="26">
        <v>0</v>
      </c>
      <c r="K1627" s="8" t="str">
        <f t="shared" si="25"/>
        <v>VATPAYABLE</v>
      </c>
    </row>
    <row r="1628" spans="1:11" x14ac:dyDescent="0.25">
      <c r="A1628" s="26" t="s">
        <v>151</v>
      </c>
      <c r="B1628" s="26" t="s">
        <v>111</v>
      </c>
      <c r="C1628" s="26">
        <v>0</v>
      </c>
      <c r="D1628" s="27">
        <v>43301</v>
      </c>
      <c r="E1628" s="26">
        <v>-7942.81</v>
      </c>
      <c r="F1628" s="26" t="s">
        <v>3597</v>
      </c>
      <c r="G1628" s="26" t="s">
        <v>8</v>
      </c>
      <c r="H1628" s="26" t="s">
        <v>3598</v>
      </c>
      <c r="I1628" s="26" t="s">
        <v>106</v>
      </c>
      <c r="J1628" s="26">
        <v>0</v>
      </c>
      <c r="K1628" s="8" t="str">
        <f t="shared" si="25"/>
        <v>VATPAYABLE</v>
      </c>
    </row>
    <row r="1629" spans="1:11" x14ac:dyDescent="0.25">
      <c r="A1629" s="26" t="s">
        <v>151</v>
      </c>
      <c r="B1629" s="26" t="s">
        <v>111</v>
      </c>
      <c r="C1629" s="26">
        <v>0</v>
      </c>
      <c r="D1629" s="27">
        <v>43304</v>
      </c>
      <c r="E1629" s="26">
        <v>-7942.81</v>
      </c>
      <c r="F1629" s="26" t="s">
        <v>3599</v>
      </c>
      <c r="G1629" s="26" t="s">
        <v>8</v>
      </c>
      <c r="H1629" s="26" t="s">
        <v>3600</v>
      </c>
      <c r="I1629" s="26" t="s">
        <v>106</v>
      </c>
      <c r="J1629" s="26">
        <v>0</v>
      </c>
      <c r="K1629" s="8" t="str">
        <f t="shared" si="25"/>
        <v>VATPAYABLE</v>
      </c>
    </row>
    <row r="1630" spans="1:11" x14ac:dyDescent="0.25">
      <c r="A1630" s="26" t="s">
        <v>151</v>
      </c>
      <c r="B1630" s="26" t="s">
        <v>111</v>
      </c>
      <c r="C1630" s="26">
        <v>0</v>
      </c>
      <c r="D1630" s="27">
        <v>43307</v>
      </c>
      <c r="E1630" s="26">
        <v>-3971.41</v>
      </c>
      <c r="F1630" s="26" t="s">
        <v>3601</v>
      </c>
      <c r="G1630" s="26" t="s">
        <v>8</v>
      </c>
      <c r="H1630" s="26" t="s">
        <v>3602</v>
      </c>
      <c r="I1630" s="26" t="s">
        <v>106</v>
      </c>
      <c r="J1630" s="26">
        <v>0</v>
      </c>
      <c r="K1630" s="8" t="str">
        <f t="shared" si="25"/>
        <v>VATPAYABLE</v>
      </c>
    </row>
    <row r="1631" spans="1:11" x14ac:dyDescent="0.25">
      <c r="A1631" s="26" t="s">
        <v>151</v>
      </c>
      <c r="B1631" s="26" t="s">
        <v>111</v>
      </c>
      <c r="C1631" s="26">
        <v>0</v>
      </c>
      <c r="D1631" s="27">
        <v>43308</v>
      </c>
      <c r="E1631" s="26">
        <v>-7148.53</v>
      </c>
      <c r="F1631" s="26" t="s">
        <v>3603</v>
      </c>
      <c r="G1631" s="26" t="s">
        <v>8</v>
      </c>
      <c r="H1631" s="26" t="s">
        <v>3604</v>
      </c>
      <c r="I1631" s="26" t="s">
        <v>106</v>
      </c>
      <c r="J1631" s="26">
        <v>0</v>
      </c>
      <c r="K1631" s="8" t="str">
        <f t="shared" si="25"/>
        <v>VATPAYABLE</v>
      </c>
    </row>
    <row r="1632" spans="1:11" x14ac:dyDescent="0.25">
      <c r="A1632" s="26" t="s">
        <v>151</v>
      </c>
      <c r="B1632" s="26" t="s">
        <v>111</v>
      </c>
      <c r="C1632" s="26">
        <v>0</v>
      </c>
      <c r="D1632" s="27">
        <v>43308</v>
      </c>
      <c r="E1632" s="26">
        <v>-8737.09</v>
      </c>
      <c r="F1632" s="26" t="s">
        <v>3605</v>
      </c>
      <c r="G1632" s="26" t="s">
        <v>8</v>
      </c>
      <c r="H1632" s="26" t="s">
        <v>3606</v>
      </c>
      <c r="I1632" s="26" t="s">
        <v>106</v>
      </c>
      <c r="J1632" s="26">
        <v>0</v>
      </c>
      <c r="K1632" s="8" t="str">
        <f t="shared" si="25"/>
        <v>VATPAYABLE</v>
      </c>
    </row>
    <row r="1633" spans="1:11" x14ac:dyDescent="0.25">
      <c r="A1633" s="26" t="s">
        <v>151</v>
      </c>
      <c r="B1633" s="26" t="s">
        <v>111</v>
      </c>
      <c r="C1633" s="26">
        <v>0</v>
      </c>
      <c r="D1633" s="27">
        <v>43308</v>
      </c>
      <c r="E1633" s="26">
        <v>-7148.53</v>
      </c>
      <c r="F1633" s="26" t="s">
        <v>3607</v>
      </c>
      <c r="G1633" s="26" t="s">
        <v>8</v>
      </c>
      <c r="H1633" s="26" t="s">
        <v>3608</v>
      </c>
      <c r="I1633" s="26" t="s">
        <v>106</v>
      </c>
      <c r="J1633" s="26">
        <v>0</v>
      </c>
      <c r="K1633" s="8" t="str">
        <f t="shared" si="25"/>
        <v>VATPAYABLE</v>
      </c>
    </row>
    <row r="1634" spans="1:11" x14ac:dyDescent="0.25">
      <c r="A1634" s="26" t="s">
        <v>151</v>
      </c>
      <c r="B1634" s="26" t="s">
        <v>111</v>
      </c>
      <c r="C1634" s="26">
        <v>0</v>
      </c>
      <c r="D1634" s="27">
        <v>43311</v>
      </c>
      <c r="E1634" s="26">
        <v>-12708.5</v>
      </c>
      <c r="F1634" s="26" t="s">
        <v>3609</v>
      </c>
      <c r="G1634" s="26" t="s">
        <v>8</v>
      </c>
      <c r="H1634" s="26" t="s">
        <v>3610</v>
      </c>
      <c r="I1634" s="26" t="s">
        <v>106</v>
      </c>
      <c r="J1634" s="26">
        <v>0</v>
      </c>
      <c r="K1634" s="8" t="str">
        <f t="shared" si="25"/>
        <v>VATPAYABLE</v>
      </c>
    </row>
    <row r="1635" spans="1:11" x14ac:dyDescent="0.25">
      <c r="A1635" s="26" t="s">
        <v>151</v>
      </c>
      <c r="B1635" s="26" t="s">
        <v>111</v>
      </c>
      <c r="C1635" s="26">
        <v>0</v>
      </c>
      <c r="D1635" s="27">
        <v>43314</v>
      </c>
      <c r="E1635" s="26">
        <v>-7942.81</v>
      </c>
      <c r="F1635" s="26" t="s">
        <v>3611</v>
      </c>
      <c r="G1635" s="26" t="s">
        <v>8</v>
      </c>
      <c r="H1635" s="26" t="s">
        <v>3612</v>
      </c>
      <c r="I1635" s="26" t="s">
        <v>106</v>
      </c>
      <c r="J1635" s="26">
        <v>0</v>
      </c>
      <c r="K1635" s="8" t="str">
        <f t="shared" si="25"/>
        <v>VATPAYABLE</v>
      </c>
    </row>
    <row r="1636" spans="1:11" x14ac:dyDescent="0.25">
      <c r="A1636" s="26" t="s">
        <v>151</v>
      </c>
      <c r="B1636" s="26" t="s">
        <v>111</v>
      </c>
      <c r="C1636" s="26">
        <v>0</v>
      </c>
      <c r="D1636" s="27">
        <v>43315</v>
      </c>
      <c r="E1636" s="26">
        <v>-7942.81</v>
      </c>
      <c r="F1636" s="26" t="s">
        <v>3613</v>
      </c>
      <c r="G1636" s="26" t="s">
        <v>8</v>
      </c>
      <c r="H1636" s="26" t="s">
        <v>3614</v>
      </c>
      <c r="I1636" s="26" t="s">
        <v>106</v>
      </c>
      <c r="J1636" s="26">
        <v>0</v>
      </c>
      <c r="K1636" s="8" t="str">
        <f t="shared" si="25"/>
        <v>VATPAYABLE</v>
      </c>
    </row>
    <row r="1637" spans="1:11" x14ac:dyDescent="0.25">
      <c r="A1637" s="26" t="s">
        <v>151</v>
      </c>
      <c r="B1637" s="26" t="s">
        <v>111</v>
      </c>
      <c r="C1637" s="26">
        <v>0</v>
      </c>
      <c r="D1637" s="27">
        <v>43315</v>
      </c>
      <c r="E1637" s="26">
        <v>-9531.3700000000008</v>
      </c>
      <c r="F1637" s="26" t="s">
        <v>3615</v>
      </c>
      <c r="G1637" s="26" t="s">
        <v>8</v>
      </c>
      <c r="H1637" s="26" t="s">
        <v>3616</v>
      </c>
      <c r="I1637" s="26" t="s">
        <v>106</v>
      </c>
      <c r="J1637" s="26">
        <v>0</v>
      </c>
      <c r="K1637" s="8" t="str">
        <f t="shared" si="25"/>
        <v>VATPAYABLE</v>
      </c>
    </row>
    <row r="1638" spans="1:11" x14ac:dyDescent="0.25">
      <c r="A1638" s="26" t="s">
        <v>151</v>
      </c>
      <c r="B1638" s="26" t="s">
        <v>111</v>
      </c>
      <c r="C1638" s="26">
        <v>0</v>
      </c>
      <c r="D1638" s="27">
        <v>43315</v>
      </c>
      <c r="E1638" s="26">
        <v>-7942.81</v>
      </c>
      <c r="F1638" s="26" t="s">
        <v>3617</v>
      </c>
      <c r="G1638" s="26" t="s">
        <v>8</v>
      </c>
      <c r="H1638" s="26" t="s">
        <v>3618</v>
      </c>
      <c r="I1638" s="26" t="s">
        <v>106</v>
      </c>
      <c r="J1638" s="26">
        <v>0</v>
      </c>
      <c r="K1638" s="8" t="str">
        <f t="shared" si="25"/>
        <v>VATPAYABLE</v>
      </c>
    </row>
    <row r="1639" spans="1:11" x14ac:dyDescent="0.25">
      <c r="A1639" s="26" t="s">
        <v>151</v>
      </c>
      <c r="B1639" s="26" t="s">
        <v>111</v>
      </c>
      <c r="C1639" s="26">
        <v>0</v>
      </c>
      <c r="D1639" s="27">
        <v>43318</v>
      </c>
      <c r="E1639" s="26">
        <v>-7148.53</v>
      </c>
      <c r="F1639" s="26" t="s">
        <v>3619</v>
      </c>
      <c r="G1639" s="26" t="s">
        <v>8</v>
      </c>
      <c r="H1639" s="26" t="s">
        <v>3620</v>
      </c>
      <c r="I1639" s="26" t="s">
        <v>106</v>
      </c>
      <c r="J1639" s="26">
        <v>0</v>
      </c>
      <c r="K1639" s="8" t="str">
        <f t="shared" si="25"/>
        <v>VATPAYABLE</v>
      </c>
    </row>
    <row r="1640" spans="1:11" x14ac:dyDescent="0.25">
      <c r="A1640" s="26" t="s">
        <v>151</v>
      </c>
      <c r="B1640" s="26" t="s">
        <v>111</v>
      </c>
      <c r="C1640" s="26">
        <v>0</v>
      </c>
      <c r="D1640" s="27">
        <v>43321</v>
      </c>
      <c r="E1640" s="26">
        <v>-4765.6899999999996</v>
      </c>
      <c r="F1640" s="26" t="s">
        <v>3621</v>
      </c>
      <c r="G1640" s="26" t="s">
        <v>8</v>
      </c>
      <c r="H1640" s="26" t="s">
        <v>3622</v>
      </c>
      <c r="I1640" s="26" t="s">
        <v>106</v>
      </c>
      <c r="J1640" s="26">
        <v>0</v>
      </c>
      <c r="K1640" s="8" t="str">
        <f t="shared" si="25"/>
        <v>VATPAYABLE</v>
      </c>
    </row>
    <row r="1641" spans="1:11" x14ac:dyDescent="0.25">
      <c r="A1641" s="26" t="s">
        <v>151</v>
      </c>
      <c r="B1641" s="26" t="s">
        <v>111</v>
      </c>
      <c r="C1641" s="26">
        <v>0</v>
      </c>
      <c r="D1641" s="27">
        <v>43322</v>
      </c>
      <c r="E1641" s="26">
        <v>-7942.81</v>
      </c>
      <c r="F1641" s="26" t="s">
        <v>3623</v>
      </c>
      <c r="G1641" s="26" t="s">
        <v>8</v>
      </c>
      <c r="H1641" s="26" t="s">
        <v>3624</v>
      </c>
      <c r="I1641" s="26" t="s">
        <v>106</v>
      </c>
      <c r="J1641" s="26">
        <v>0</v>
      </c>
      <c r="K1641" s="8" t="str">
        <f t="shared" si="25"/>
        <v>VATPAYABLE</v>
      </c>
    </row>
    <row r="1642" spans="1:11" x14ac:dyDescent="0.25">
      <c r="A1642" s="26" t="s">
        <v>151</v>
      </c>
      <c r="B1642" s="26" t="s">
        <v>111</v>
      </c>
      <c r="C1642" s="26">
        <v>0</v>
      </c>
      <c r="D1642" s="27">
        <v>43322</v>
      </c>
      <c r="E1642" s="26">
        <v>-7942.81</v>
      </c>
      <c r="F1642" s="26" t="s">
        <v>3625</v>
      </c>
      <c r="G1642" s="26" t="s">
        <v>8</v>
      </c>
      <c r="H1642" s="26" t="s">
        <v>3626</v>
      </c>
      <c r="I1642" s="26" t="s">
        <v>106</v>
      </c>
      <c r="J1642" s="26">
        <v>0</v>
      </c>
      <c r="K1642" s="8" t="str">
        <f t="shared" si="25"/>
        <v>VATPAYABLE</v>
      </c>
    </row>
    <row r="1643" spans="1:11" x14ac:dyDescent="0.25">
      <c r="A1643" s="26" t="s">
        <v>151</v>
      </c>
      <c r="B1643" s="26" t="s">
        <v>111</v>
      </c>
      <c r="C1643" s="26">
        <v>0</v>
      </c>
      <c r="D1643" s="27">
        <v>43322</v>
      </c>
      <c r="E1643" s="26">
        <v>-8737.09</v>
      </c>
      <c r="F1643" s="26" t="s">
        <v>3627</v>
      </c>
      <c r="G1643" s="26" t="s">
        <v>8</v>
      </c>
      <c r="H1643" s="26" t="s">
        <v>3628</v>
      </c>
      <c r="I1643" s="26" t="s">
        <v>106</v>
      </c>
      <c r="J1643" s="26">
        <v>0</v>
      </c>
      <c r="K1643" s="8" t="str">
        <f t="shared" si="25"/>
        <v>VATPAYABLE</v>
      </c>
    </row>
    <row r="1644" spans="1:11" x14ac:dyDescent="0.25">
      <c r="A1644" s="26" t="s">
        <v>151</v>
      </c>
      <c r="B1644" s="26" t="s">
        <v>111</v>
      </c>
      <c r="C1644" s="26">
        <v>0</v>
      </c>
      <c r="D1644" s="27">
        <v>43325</v>
      </c>
      <c r="E1644" s="26">
        <v>-5559.97</v>
      </c>
      <c r="F1644" s="26" t="s">
        <v>3629</v>
      </c>
      <c r="G1644" s="26" t="s">
        <v>8</v>
      </c>
      <c r="H1644" s="26" t="s">
        <v>3630</v>
      </c>
      <c r="I1644" s="26" t="s">
        <v>106</v>
      </c>
      <c r="J1644" s="26">
        <v>0</v>
      </c>
      <c r="K1644" s="8" t="str">
        <f t="shared" si="25"/>
        <v>VATPAYABLE</v>
      </c>
    </row>
    <row r="1645" spans="1:11" x14ac:dyDescent="0.25">
      <c r="A1645" s="26" t="s">
        <v>151</v>
      </c>
      <c r="B1645" s="26" t="s">
        <v>111</v>
      </c>
      <c r="C1645" s="26">
        <v>0</v>
      </c>
      <c r="D1645" s="27">
        <v>43329</v>
      </c>
      <c r="E1645" s="26">
        <v>-7148.53</v>
      </c>
      <c r="F1645" s="26" t="s">
        <v>3631</v>
      </c>
      <c r="G1645" s="26" t="s">
        <v>8</v>
      </c>
      <c r="H1645" s="26" t="s">
        <v>3632</v>
      </c>
      <c r="I1645" s="26" t="s">
        <v>106</v>
      </c>
      <c r="J1645" s="26">
        <v>0</v>
      </c>
      <c r="K1645" s="8" t="str">
        <f t="shared" si="25"/>
        <v>VATPAYABLE</v>
      </c>
    </row>
    <row r="1646" spans="1:11" x14ac:dyDescent="0.25">
      <c r="A1646" s="26" t="s">
        <v>151</v>
      </c>
      <c r="B1646" s="26" t="s">
        <v>111</v>
      </c>
      <c r="C1646" s="26">
        <v>0</v>
      </c>
      <c r="D1646" s="27">
        <v>43329</v>
      </c>
      <c r="E1646" s="26">
        <v>-7148.53</v>
      </c>
      <c r="F1646" s="26" t="s">
        <v>3633</v>
      </c>
      <c r="G1646" s="26" t="s">
        <v>8</v>
      </c>
      <c r="H1646" s="26" t="s">
        <v>3634</v>
      </c>
      <c r="I1646" s="26" t="s">
        <v>106</v>
      </c>
      <c r="J1646" s="26">
        <v>0</v>
      </c>
      <c r="K1646" s="8" t="str">
        <f t="shared" si="25"/>
        <v>VATPAYABLE</v>
      </c>
    </row>
    <row r="1647" spans="1:11" x14ac:dyDescent="0.25">
      <c r="A1647" s="26" t="s">
        <v>151</v>
      </c>
      <c r="B1647" s="26" t="s">
        <v>111</v>
      </c>
      <c r="C1647" s="26">
        <v>0</v>
      </c>
      <c r="D1647" s="27">
        <v>43329</v>
      </c>
      <c r="E1647" s="26">
        <v>-5559.97</v>
      </c>
      <c r="F1647" s="26" t="s">
        <v>3635</v>
      </c>
      <c r="G1647" s="26" t="s">
        <v>8</v>
      </c>
      <c r="H1647" s="26" t="s">
        <v>3636</v>
      </c>
      <c r="I1647" s="26" t="s">
        <v>106</v>
      </c>
      <c r="J1647" s="26">
        <v>0</v>
      </c>
      <c r="K1647" s="8" t="str">
        <f t="shared" si="25"/>
        <v>VATPAYABLE</v>
      </c>
    </row>
    <row r="1648" spans="1:11" x14ac:dyDescent="0.25">
      <c r="A1648" s="26" t="s">
        <v>151</v>
      </c>
      <c r="B1648" s="26" t="s">
        <v>111</v>
      </c>
      <c r="C1648" s="26">
        <v>0</v>
      </c>
      <c r="D1648" s="27">
        <v>43336</v>
      </c>
      <c r="E1648" s="26">
        <v>-7942.81</v>
      </c>
      <c r="F1648" s="26" t="s">
        <v>3637</v>
      </c>
      <c r="G1648" s="26" t="s">
        <v>8</v>
      </c>
      <c r="H1648" s="26" t="s">
        <v>3638</v>
      </c>
      <c r="I1648" s="26" t="s">
        <v>106</v>
      </c>
      <c r="J1648" s="26">
        <v>0</v>
      </c>
      <c r="K1648" s="8" t="str">
        <f t="shared" si="25"/>
        <v>VATPAYABLE</v>
      </c>
    </row>
    <row r="1649" spans="1:11" x14ac:dyDescent="0.25">
      <c r="A1649" s="26" t="s">
        <v>151</v>
      </c>
      <c r="B1649" s="26" t="s">
        <v>111</v>
      </c>
      <c r="C1649" s="26">
        <v>0</v>
      </c>
      <c r="D1649" s="27">
        <v>43336</v>
      </c>
      <c r="E1649" s="26">
        <v>-7942.81</v>
      </c>
      <c r="F1649" s="26" t="s">
        <v>3639</v>
      </c>
      <c r="G1649" s="26" t="s">
        <v>8</v>
      </c>
      <c r="H1649" s="26" t="s">
        <v>3640</v>
      </c>
      <c r="I1649" s="26" t="s">
        <v>106</v>
      </c>
      <c r="J1649" s="26">
        <v>0</v>
      </c>
      <c r="K1649" s="8" t="str">
        <f t="shared" si="25"/>
        <v>VATPAYABLE</v>
      </c>
    </row>
    <row r="1650" spans="1:11" x14ac:dyDescent="0.25">
      <c r="A1650" s="26" t="s">
        <v>151</v>
      </c>
      <c r="B1650" s="26" t="s">
        <v>111</v>
      </c>
      <c r="C1650" s="26">
        <v>0</v>
      </c>
      <c r="D1650" s="27">
        <v>43336</v>
      </c>
      <c r="E1650" s="26">
        <v>-7942.81</v>
      </c>
      <c r="F1650" s="26" t="s">
        <v>3641</v>
      </c>
      <c r="G1650" s="26" t="s">
        <v>8</v>
      </c>
      <c r="H1650" s="26" t="s">
        <v>3642</v>
      </c>
      <c r="I1650" s="26" t="s">
        <v>106</v>
      </c>
      <c r="J1650" s="26">
        <v>0</v>
      </c>
      <c r="K1650" s="8" t="str">
        <f t="shared" si="25"/>
        <v>VATPAYABLE</v>
      </c>
    </row>
    <row r="1651" spans="1:11" x14ac:dyDescent="0.25">
      <c r="A1651" s="26" t="s">
        <v>151</v>
      </c>
      <c r="B1651" s="26" t="s">
        <v>111</v>
      </c>
      <c r="C1651" s="26">
        <v>0</v>
      </c>
      <c r="D1651" s="27">
        <v>43339</v>
      </c>
      <c r="E1651" s="26">
        <v>-6354.25</v>
      </c>
      <c r="F1651" s="26" t="s">
        <v>3643</v>
      </c>
      <c r="G1651" s="26" t="s">
        <v>8</v>
      </c>
      <c r="H1651" s="26" t="s">
        <v>3644</v>
      </c>
      <c r="I1651" s="26" t="s">
        <v>106</v>
      </c>
      <c r="J1651" s="26">
        <v>0</v>
      </c>
      <c r="K1651" s="8" t="str">
        <f t="shared" si="25"/>
        <v>VATPAYABLE</v>
      </c>
    </row>
    <row r="1652" spans="1:11" x14ac:dyDescent="0.25">
      <c r="A1652" s="26" t="s">
        <v>151</v>
      </c>
      <c r="B1652" s="26" t="s">
        <v>111</v>
      </c>
      <c r="C1652" s="26">
        <v>0</v>
      </c>
      <c r="D1652" s="27">
        <v>43342</v>
      </c>
      <c r="E1652" s="26">
        <v>-3971.41</v>
      </c>
      <c r="F1652" s="26" t="s">
        <v>3645</v>
      </c>
      <c r="G1652" s="26" t="s">
        <v>8</v>
      </c>
      <c r="H1652" s="26" t="s">
        <v>3646</v>
      </c>
      <c r="I1652" s="26" t="s">
        <v>106</v>
      </c>
      <c r="J1652" s="26">
        <v>0</v>
      </c>
      <c r="K1652" s="8" t="str">
        <f t="shared" si="25"/>
        <v>VATPAYABLE</v>
      </c>
    </row>
    <row r="1653" spans="1:11" x14ac:dyDescent="0.25">
      <c r="A1653" s="26" t="s">
        <v>151</v>
      </c>
      <c r="B1653" s="26" t="s">
        <v>111</v>
      </c>
      <c r="C1653" s="26">
        <v>0</v>
      </c>
      <c r="D1653" s="27">
        <v>43343</v>
      </c>
      <c r="E1653" s="26">
        <v>-10325.66</v>
      </c>
      <c r="F1653" s="26" t="s">
        <v>3647</v>
      </c>
      <c r="G1653" s="26" t="s">
        <v>8</v>
      </c>
      <c r="H1653" s="26" t="s">
        <v>3648</v>
      </c>
      <c r="I1653" s="26" t="s">
        <v>106</v>
      </c>
      <c r="J1653" s="26">
        <v>0</v>
      </c>
      <c r="K1653" s="8" t="str">
        <f t="shared" si="25"/>
        <v>VATPAYABLE</v>
      </c>
    </row>
    <row r="1654" spans="1:11" x14ac:dyDescent="0.25">
      <c r="A1654" s="26" t="s">
        <v>151</v>
      </c>
      <c r="B1654" s="26" t="s">
        <v>111</v>
      </c>
      <c r="C1654" s="26">
        <v>0</v>
      </c>
      <c r="D1654" s="27">
        <v>43343</v>
      </c>
      <c r="E1654" s="26">
        <v>-11914.22</v>
      </c>
      <c r="F1654" s="26" t="s">
        <v>3649</v>
      </c>
      <c r="G1654" s="26" t="s">
        <v>8</v>
      </c>
      <c r="H1654" s="26" t="s">
        <v>3650</v>
      </c>
      <c r="I1654" s="26" t="s">
        <v>106</v>
      </c>
      <c r="J1654" s="26">
        <v>0</v>
      </c>
      <c r="K1654" s="8" t="str">
        <f t="shared" si="25"/>
        <v>VATPAYABLE</v>
      </c>
    </row>
    <row r="1655" spans="1:11" x14ac:dyDescent="0.25">
      <c r="A1655" s="26" t="s">
        <v>151</v>
      </c>
      <c r="B1655" s="26" t="s">
        <v>111</v>
      </c>
      <c r="C1655" s="26">
        <v>0</v>
      </c>
      <c r="D1655" s="27">
        <v>43343</v>
      </c>
      <c r="E1655" s="26">
        <v>-6354.25</v>
      </c>
      <c r="F1655" s="26" t="s">
        <v>3651</v>
      </c>
      <c r="G1655" s="26" t="s">
        <v>8</v>
      </c>
      <c r="H1655" s="26" t="s">
        <v>3652</v>
      </c>
      <c r="I1655" s="26" t="s">
        <v>106</v>
      </c>
      <c r="J1655" s="26">
        <v>0</v>
      </c>
      <c r="K1655" s="8" t="str">
        <f t="shared" si="25"/>
        <v>VATPAYABLE</v>
      </c>
    </row>
    <row r="1656" spans="1:11" x14ac:dyDescent="0.25">
      <c r="A1656" s="26" t="s">
        <v>151</v>
      </c>
      <c r="B1656" s="26" t="s">
        <v>111</v>
      </c>
      <c r="C1656" s="26">
        <v>0</v>
      </c>
      <c r="D1656" s="27">
        <v>43346</v>
      </c>
      <c r="E1656" s="26">
        <v>-7942.81</v>
      </c>
      <c r="F1656" s="26" t="s">
        <v>3653</v>
      </c>
      <c r="G1656" s="26" t="s">
        <v>8</v>
      </c>
      <c r="H1656" s="26" t="s">
        <v>3654</v>
      </c>
      <c r="I1656" s="26" t="s">
        <v>106</v>
      </c>
      <c r="J1656" s="26">
        <v>0</v>
      </c>
      <c r="K1656" s="8" t="str">
        <f t="shared" si="25"/>
        <v>VATPAYABLE</v>
      </c>
    </row>
    <row r="1657" spans="1:11" x14ac:dyDescent="0.25">
      <c r="A1657" s="26" t="s">
        <v>151</v>
      </c>
      <c r="B1657" s="26" t="s">
        <v>111</v>
      </c>
      <c r="C1657" s="26">
        <v>0</v>
      </c>
      <c r="D1657" s="27">
        <v>43349</v>
      </c>
      <c r="E1657" s="26">
        <v>-7942.81</v>
      </c>
      <c r="F1657" s="26" t="s">
        <v>3655</v>
      </c>
      <c r="G1657" s="26" t="s">
        <v>8</v>
      </c>
      <c r="H1657" s="26" t="s">
        <v>3656</v>
      </c>
      <c r="I1657" s="26" t="s">
        <v>106</v>
      </c>
      <c r="J1657" s="26">
        <v>0</v>
      </c>
      <c r="K1657" s="8" t="str">
        <f t="shared" si="25"/>
        <v>VATPAYABLE</v>
      </c>
    </row>
    <row r="1658" spans="1:11" x14ac:dyDescent="0.25">
      <c r="A1658" s="26" t="s">
        <v>151</v>
      </c>
      <c r="B1658" s="26" t="s">
        <v>111</v>
      </c>
      <c r="C1658" s="26">
        <v>0</v>
      </c>
      <c r="D1658" s="27">
        <v>43350</v>
      </c>
      <c r="E1658" s="26">
        <v>-6354.25</v>
      </c>
      <c r="F1658" s="26" t="s">
        <v>3657</v>
      </c>
      <c r="G1658" s="26" t="s">
        <v>8</v>
      </c>
      <c r="H1658" s="26" t="s">
        <v>3658</v>
      </c>
      <c r="I1658" s="26" t="s">
        <v>106</v>
      </c>
      <c r="J1658" s="26">
        <v>0</v>
      </c>
      <c r="K1658" s="8" t="str">
        <f t="shared" si="25"/>
        <v>VATPAYABLE</v>
      </c>
    </row>
    <row r="1659" spans="1:11" x14ac:dyDescent="0.25">
      <c r="A1659" s="26" t="s">
        <v>151</v>
      </c>
      <c r="B1659" s="26" t="s">
        <v>111</v>
      </c>
      <c r="C1659" s="26">
        <v>0</v>
      </c>
      <c r="D1659" s="27">
        <v>43350</v>
      </c>
      <c r="E1659" s="26">
        <v>-4765.6899999999996</v>
      </c>
      <c r="F1659" s="26" t="s">
        <v>3659</v>
      </c>
      <c r="G1659" s="26" t="s">
        <v>8</v>
      </c>
      <c r="H1659" s="26" t="s">
        <v>3660</v>
      </c>
      <c r="I1659" s="26" t="s">
        <v>106</v>
      </c>
      <c r="J1659" s="26">
        <v>0</v>
      </c>
      <c r="K1659" s="8" t="str">
        <f t="shared" si="25"/>
        <v>VATPAYABLE</v>
      </c>
    </row>
    <row r="1660" spans="1:11" x14ac:dyDescent="0.25">
      <c r="A1660" s="26" t="s">
        <v>151</v>
      </c>
      <c r="B1660" s="26" t="s">
        <v>111</v>
      </c>
      <c r="C1660" s="26">
        <v>0</v>
      </c>
      <c r="D1660" s="27">
        <v>43350</v>
      </c>
      <c r="E1660" s="26">
        <v>-5559.97</v>
      </c>
      <c r="F1660" s="26" t="s">
        <v>3661</v>
      </c>
      <c r="G1660" s="26" t="s">
        <v>8</v>
      </c>
      <c r="H1660" s="26" t="s">
        <v>3662</v>
      </c>
      <c r="I1660" s="26" t="s">
        <v>106</v>
      </c>
      <c r="J1660" s="26">
        <v>0</v>
      </c>
      <c r="K1660" s="8" t="str">
        <f t="shared" si="25"/>
        <v>VATPAYABLE</v>
      </c>
    </row>
    <row r="1661" spans="1:11" x14ac:dyDescent="0.25">
      <c r="A1661" s="26" t="s">
        <v>151</v>
      </c>
      <c r="B1661" s="26" t="s">
        <v>111</v>
      </c>
      <c r="C1661" s="26">
        <v>0</v>
      </c>
      <c r="D1661" s="27">
        <v>43353</v>
      </c>
      <c r="E1661" s="26">
        <v>-6354.25</v>
      </c>
      <c r="F1661" s="26" t="s">
        <v>3663</v>
      </c>
      <c r="G1661" s="26" t="s">
        <v>8</v>
      </c>
      <c r="H1661" s="26" t="s">
        <v>3664</v>
      </c>
      <c r="I1661" s="26" t="s">
        <v>106</v>
      </c>
      <c r="J1661" s="26">
        <v>0</v>
      </c>
      <c r="K1661" s="8" t="str">
        <f t="shared" si="25"/>
        <v>VATPAYABLE</v>
      </c>
    </row>
    <row r="1662" spans="1:11" x14ac:dyDescent="0.25">
      <c r="A1662" s="26" t="s">
        <v>151</v>
      </c>
      <c r="B1662" s="26" t="s">
        <v>111</v>
      </c>
      <c r="C1662" s="26">
        <v>0</v>
      </c>
      <c r="D1662" s="27">
        <v>43356</v>
      </c>
      <c r="E1662" s="26">
        <v>-5559.97</v>
      </c>
      <c r="F1662" s="26" t="s">
        <v>3665</v>
      </c>
      <c r="G1662" s="26" t="s">
        <v>8</v>
      </c>
      <c r="H1662" s="26" t="s">
        <v>3666</v>
      </c>
      <c r="I1662" s="26" t="s">
        <v>106</v>
      </c>
      <c r="J1662" s="26">
        <v>0</v>
      </c>
      <c r="K1662" s="8" t="str">
        <f t="shared" si="25"/>
        <v>VATPAYABLE</v>
      </c>
    </row>
    <row r="1663" spans="1:11" x14ac:dyDescent="0.25">
      <c r="A1663" s="26" t="s">
        <v>151</v>
      </c>
      <c r="B1663" s="26" t="s">
        <v>111</v>
      </c>
      <c r="C1663" s="26">
        <v>0</v>
      </c>
      <c r="D1663" s="27">
        <v>43357</v>
      </c>
      <c r="E1663" s="26">
        <v>-5559.97</v>
      </c>
      <c r="F1663" s="26" t="s">
        <v>3667</v>
      </c>
      <c r="G1663" s="26" t="s">
        <v>8</v>
      </c>
      <c r="H1663" s="26" t="s">
        <v>3668</v>
      </c>
      <c r="I1663" s="26" t="s">
        <v>106</v>
      </c>
      <c r="J1663" s="26">
        <v>0</v>
      </c>
      <c r="K1663" s="8" t="str">
        <f t="shared" si="25"/>
        <v>VATPAYABLE</v>
      </c>
    </row>
    <row r="1664" spans="1:11" x14ac:dyDescent="0.25">
      <c r="A1664" s="26" t="s">
        <v>151</v>
      </c>
      <c r="B1664" s="26" t="s">
        <v>111</v>
      </c>
      <c r="C1664" s="26">
        <v>0</v>
      </c>
      <c r="D1664" s="27">
        <v>43357</v>
      </c>
      <c r="E1664" s="26">
        <v>-5559.97</v>
      </c>
      <c r="F1664" s="26" t="s">
        <v>3669</v>
      </c>
      <c r="G1664" s="26" t="s">
        <v>8</v>
      </c>
      <c r="H1664" s="26" t="s">
        <v>3670</v>
      </c>
      <c r="I1664" s="26" t="s">
        <v>106</v>
      </c>
      <c r="J1664" s="26">
        <v>0</v>
      </c>
      <c r="K1664" s="8" t="str">
        <f t="shared" si="25"/>
        <v>VATPAYABLE</v>
      </c>
    </row>
    <row r="1665" spans="1:11" x14ac:dyDescent="0.25">
      <c r="A1665" s="26" t="s">
        <v>151</v>
      </c>
      <c r="B1665" s="26" t="s">
        <v>111</v>
      </c>
      <c r="C1665" s="26">
        <v>0</v>
      </c>
      <c r="D1665" s="27">
        <v>43357</v>
      </c>
      <c r="E1665" s="26">
        <v>-7942.81</v>
      </c>
      <c r="F1665" s="26" t="s">
        <v>3671</v>
      </c>
      <c r="G1665" s="26" t="s">
        <v>8</v>
      </c>
      <c r="H1665" s="26" t="s">
        <v>3672</v>
      </c>
      <c r="I1665" s="26" t="s">
        <v>106</v>
      </c>
      <c r="J1665" s="26">
        <v>0</v>
      </c>
      <c r="K1665" s="8" t="str">
        <f t="shared" si="25"/>
        <v>VATPAYABLE</v>
      </c>
    </row>
    <row r="1666" spans="1:11" x14ac:dyDescent="0.25">
      <c r="A1666" s="26" t="s">
        <v>151</v>
      </c>
      <c r="B1666" s="26" t="s">
        <v>111</v>
      </c>
      <c r="C1666" s="26">
        <v>0</v>
      </c>
      <c r="D1666" s="27">
        <v>43360</v>
      </c>
      <c r="E1666" s="26">
        <v>-4765.6899999999996</v>
      </c>
      <c r="F1666" s="26" t="s">
        <v>3673</v>
      </c>
      <c r="G1666" s="26" t="s">
        <v>8</v>
      </c>
      <c r="H1666" s="26" t="s">
        <v>3674</v>
      </c>
      <c r="I1666" s="26" t="s">
        <v>106</v>
      </c>
      <c r="J1666" s="26">
        <v>0</v>
      </c>
      <c r="K1666" s="8" t="str">
        <f t="shared" si="25"/>
        <v>VATPAYABLE</v>
      </c>
    </row>
    <row r="1667" spans="1:11" x14ac:dyDescent="0.25">
      <c r="K1667" s="8" t="e">
        <f t="shared" ref="K1667:K1730" si="26">LEFT(A1667,FIND("/",A1667)-1)</f>
        <v>#VALUE!</v>
      </c>
    </row>
    <row r="1668" spans="1:11" x14ac:dyDescent="0.25">
      <c r="K1668" s="8" t="e">
        <f t="shared" si="26"/>
        <v>#VALUE!</v>
      </c>
    </row>
    <row r="1669" spans="1:11" x14ac:dyDescent="0.25">
      <c r="K1669" s="8" t="e">
        <f t="shared" si="26"/>
        <v>#VALUE!</v>
      </c>
    </row>
    <row r="1670" spans="1:11" x14ac:dyDescent="0.25">
      <c r="K1670" s="8" t="e">
        <f t="shared" si="26"/>
        <v>#VALUE!</v>
      </c>
    </row>
    <row r="1671" spans="1:11" x14ac:dyDescent="0.25">
      <c r="K1671" s="8" t="e">
        <f t="shared" si="26"/>
        <v>#VALUE!</v>
      </c>
    </row>
    <row r="1672" spans="1:11" x14ac:dyDescent="0.25">
      <c r="K1672" s="8" t="e">
        <f t="shared" si="26"/>
        <v>#VALUE!</v>
      </c>
    </row>
    <row r="1673" spans="1:11" x14ac:dyDescent="0.25">
      <c r="K1673" s="8" t="e">
        <f t="shared" si="26"/>
        <v>#VALUE!</v>
      </c>
    </row>
    <row r="1674" spans="1:11" x14ac:dyDescent="0.25">
      <c r="K1674" s="8" t="e">
        <f t="shared" si="26"/>
        <v>#VALUE!</v>
      </c>
    </row>
    <row r="1675" spans="1:11" x14ac:dyDescent="0.25">
      <c r="K1675" s="8" t="e">
        <f t="shared" si="26"/>
        <v>#VALUE!</v>
      </c>
    </row>
    <row r="1676" spans="1:11" x14ac:dyDescent="0.25">
      <c r="K1676" s="8" t="e">
        <f t="shared" si="26"/>
        <v>#VALUE!</v>
      </c>
    </row>
    <row r="1677" spans="1:11" x14ac:dyDescent="0.25">
      <c r="K1677" s="8" t="e">
        <f t="shared" si="26"/>
        <v>#VALUE!</v>
      </c>
    </row>
    <row r="1678" spans="1:11" x14ac:dyDescent="0.25">
      <c r="K1678" s="8" t="e">
        <f t="shared" si="26"/>
        <v>#VALUE!</v>
      </c>
    </row>
    <row r="1679" spans="1:11" x14ac:dyDescent="0.25">
      <c r="K1679" s="8" t="e">
        <f t="shared" si="26"/>
        <v>#VALUE!</v>
      </c>
    </row>
    <row r="1680" spans="1:11" x14ac:dyDescent="0.25">
      <c r="K1680" s="8" t="e">
        <f t="shared" si="26"/>
        <v>#VALUE!</v>
      </c>
    </row>
    <row r="1681" spans="11:11" x14ac:dyDescent="0.25">
      <c r="K1681" s="8" t="e">
        <f t="shared" si="26"/>
        <v>#VALUE!</v>
      </c>
    </row>
    <row r="1682" spans="11:11" x14ac:dyDescent="0.25">
      <c r="K1682" s="8" t="e">
        <f t="shared" si="26"/>
        <v>#VALUE!</v>
      </c>
    </row>
    <row r="1683" spans="11:11" x14ac:dyDescent="0.25">
      <c r="K1683" s="8" t="e">
        <f t="shared" si="26"/>
        <v>#VALUE!</v>
      </c>
    </row>
    <row r="1684" spans="11:11" x14ac:dyDescent="0.25">
      <c r="K1684" s="8" t="e">
        <f t="shared" si="26"/>
        <v>#VALUE!</v>
      </c>
    </row>
    <row r="1685" spans="11:11" x14ac:dyDescent="0.25">
      <c r="K1685" s="8" t="e">
        <f t="shared" si="26"/>
        <v>#VALUE!</v>
      </c>
    </row>
    <row r="1686" spans="11:11" x14ac:dyDescent="0.25">
      <c r="K1686" s="8" t="e">
        <f t="shared" si="26"/>
        <v>#VALUE!</v>
      </c>
    </row>
    <row r="1687" spans="11:11" x14ac:dyDescent="0.25">
      <c r="K1687" s="8" t="e">
        <f t="shared" si="26"/>
        <v>#VALUE!</v>
      </c>
    </row>
    <row r="1688" spans="11:11" x14ac:dyDescent="0.25">
      <c r="K1688" s="8" t="e">
        <f t="shared" si="26"/>
        <v>#VALUE!</v>
      </c>
    </row>
    <row r="1689" spans="11:11" x14ac:dyDescent="0.25">
      <c r="K1689" s="8" t="e">
        <f t="shared" si="26"/>
        <v>#VALUE!</v>
      </c>
    </row>
    <row r="1690" spans="11:11" x14ac:dyDescent="0.25">
      <c r="K1690" s="8" t="e">
        <f t="shared" si="26"/>
        <v>#VALUE!</v>
      </c>
    </row>
    <row r="1691" spans="11:11" x14ac:dyDescent="0.25">
      <c r="K1691" s="8" t="e">
        <f t="shared" si="26"/>
        <v>#VALUE!</v>
      </c>
    </row>
    <row r="1692" spans="11:11" x14ac:dyDescent="0.25">
      <c r="K1692" s="8" t="e">
        <f t="shared" si="26"/>
        <v>#VALUE!</v>
      </c>
    </row>
    <row r="1693" spans="11:11" x14ac:dyDescent="0.25">
      <c r="K1693" s="8" t="e">
        <f t="shared" si="26"/>
        <v>#VALUE!</v>
      </c>
    </row>
    <row r="1694" spans="11:11" x14ac:dyDescent="0.25">
      <c r="K1694" s="8" t="e">
        <f t="shared" si="26"/>
        <v>#VALUE!</v>
      </c>
    </row>
    <row r="1695" spans="11:11" x14ac:dyDescent="0.25">
      <c r="K1695" s="8" t="e">
        <f t="shared" si="26"/>
        <v>#VALUE!</v>
      </c>
    </row>
    <row r="1696" spans="11:11" x14ac:dyDescent="0.25">
      <c r="K1696" s="8" t="e">
        <f t="shared" si="26"/>
        <v>#VALUE!</v>
      </c>
    </row>
    <row r="1697" spans="11:11" x14ac:dyDescent="0.25">
      <c r="K1697" s="8" t="e">
        <f t="shared" si="26"/>
        <v>#VALUE!</v>
      </c>
    </row>
    <row r="1698" spans="11:11" x14ac:dyDescent="0.25">
      <c r="K1698" s="8" t="e">
        <f t="shared" si="26"/>
        <v>#VALUE!</v>
      </c>
    </row>
    <row r="1699" spans="11:11" x14ac:dyDescent="0.25">
      <c r="K1699" s="8" t="e">
        <f t="shared" si="26"/>
        <v>#VALUE!</v>
      </c>
    </row>
    <row r="1700" spans="11:11" x14ac:dyDescent="0.25">
      <c r="K1700" s="8" t="e">
        <f t="shared" si="26"/>
        <v>#VALUE!</v>
      </c>
    </row>
    <row r="1701" spans="11:11" x14ac:dyDescent="0.25">
      <c r="K1701" s="8" t="e">
        <f t="shared" si="26"/>
        <v>#VALUE!</v>
      </c>
    </row>
    <row r="1702" spans="11:11" x14ac:dyDescent="0.25">
      <c r="K1702" s="8" t="e">
        <f t="shared" si="26"/>
        <v>#VALUE!</v>
      </c>
    </row>
    <row r="1703" spans="11:11" x14ac:dyDescent="0.25">
      <c r="K1703" s="8" t="e">
        <f t="shared" si="26"/>
        <v>#VALUE!</v>
      </c>
    </row>
    <row r="1704" spans="11:11" x14ac:dyDescent="0.25">
      <c r="K1704" s="8" t="e">
        <f t="shared" si="26"/>
        <v>#VALUE!</v>
      </c>
    </row>
    <row r="1705" spans="11:11" x14ac:dyDescent="0.25">
      <c r="K1705" s="8" t="e">
        <f t="shared" si="26"/>
        <v>#VALUE!</v>
      </c>
    </row>
    <row r="1706" spans="11:11" x14ac:dyDescent="0.25">
      <c r="K1706" s="8" t="e">
        <f t="shared" si="26"/>
        <v>#VALUE!</v>
      </c>
    </row>
    <row r="1707" spans="11:11" x14ac:dyDescent="0.25">
      <c r="K1707" s="8" t="e">
        <f t="shared" si="26"/>
        <v>#VALUE!</v>
      </c>
    </row>
    <row r="1708" spans="11:11" x14ac:dyDescent="0.25">
      <c r="K1708" s="8" t="e">
        <f t="shared" si="26"/>
        <v>#VALUE!</v>
      </c>
    </row>
    <row r="1709" spans="11:11" x14ac:dyDescent="0.25">
      <c r="K1709" s="8" t="e">
        <f t="shared" si="26"/>
        <v>#VALUE!</v>
      </c>
    </row>
    <row r="1710" spans="11:11" x14ac:dyDescent="0.25">
      <c r="K1710" s="8" t="e">
        <f t="shared" si="26"/>
        <v>#VALUE!</v>
      </c>
    </row>
    <row r="1711" spans="11:11" x14ac:dyDescent="0.25">
      <c r="K1711" s="8" t="e">
        <f t="shared" si="26"/>
        <v>#VALUE!</v>
      </c>
    </row>
    <row r="1712" spans="11:11" x14ac:dyDescent="0.25">
      <c r="K1712" s="8" t="e">
        <f t="shared" si="26"/>
        <v>#VALUE!</v>
      </c>
    </row>
    <row r="1713" spans="11:11" x14ac:dyDescent="0.25">
      <c r="K1713" s="8" t="e">
        <f t="shared" si="26"/>
        <v>#VALUE!</v>
      </c>
    </row>
    <row r="1714" spans="11:11" x14ac:dyDescent="0.25">
      <c r="K1714" s="8" t="e">
        <f t="shared" si="26"/>
        <v>#VALUE!</v>
      </c>
    </row>
    <row r="1715" spans="11:11" x14ac:dyDescent="0.25">
      <c r="K1715" s="8" t="e">
        <f t="shared" si="26"/>
        <v>#VALUE!</v>
      </c>
    </row>
    <row r="1716" spans="11:11" x14ac:dyDescent="0.25">
      <c r="K1716" s="8" t="e">
        <f t="shared" si="26"/>
        <v>#VALUE!</v>
      </c>
    </row>
    <row r="1717" spans="11:11" x14ac:dyDescent="0.25">
      <c r="K1717" s="8" t="e">
        <f t="shared" si="26"/>
        <v>#VALUE!</v>
      </c>
    </row>
    <row r="1718" spans="11:11" x14ac:dyDescent="0.25">
      <c r="K1718" s="8" t="e">
        <f t="shared" si="26"/>
        <v>#VALUE!</v>
      </c>
    </row>
    <row r="1719" spans="11:11" x14ac:dyDescent="0.25">
      <c r="K1719" s="8" t="e">
        <f t="shared" si="26"/>
        <v>#VALUE!</v>
      </c>
    </row>
    <row r="1720" spans="11:11" x14ac:dyDescent="0.25">
      <c r="K1720" s="8" t="e">
        <f t="shared" si="26"/>
        <v>#VALUE!</v>
      </c>
    </row>
    <row r="1721" spans="11:11" x14ac:dyDescent="0.25">
      <c r="K1721" s="8" t="e">
        <f t="shared" si="26"/>
        <v>#VALUE!</v>
      </c>
    </row>
    <row r="1722" spans="11:11" x14ac:dyDescent="0.25">
      <c r="K1722" s="8" t="e">
        <f t="shared" si="26"/>
        <v>#VALUE!</v>
      </c>
    </row>
    <row r="1723" spans="11:11" x14ac:dyDescent="0.25">
      <c r="K1723" s="8" t="e">
        <f t="shared" si="26"/>
        <v>#VALUE!</v>
      </c>
    </row>
    <row r="1724" spans="11:11" x14ac:dyDescent="0.25">
      <c r="K1724" s="8" t="e">
        <f t="shared" si="26"/>
        <v>#VALUE!</v>
      </c>
    </row>
    <row r="1725" spans="11:11" x14ac:dyDescent="0.25">
      <c r="K1725" s="8" t="e">
        <f t="shared" si="26"/>
        <v>#VALUE!</v>
      </c>
    </row>
    <row r="1726" spans="11:11" x14ac:dyDescent="0.25">
      <c r="K1726" s="8" t="e">
        <f t="shared" si="26"/>
        <v>#VALUE!</v>
      </c>
    </row>
    <row r="1727" spans="11:11" x14ac:dyDescent="0.25">
      <c r="K1727" s="8" t="e">
        <f t="shared" si="26"/>
        <v>#VALUE!</v>
      </c>
    </row>
    <row r="1728" spans="11:11" x14ac:dyDescent="0.25">
      <c r="K1728" s="8" t="e">
        <f t="shared" si="26"/>
        <v>#VALUE!</v>
      </c>
    </row>
    <row r="1729" spans="11:11" x14ac:dyDescent="0.25">
      <c r="K1729" s="8" t="e">
        <f t="shared" si="26"/>
        <v>#VALUE!</v>
      </c>
    </row>
    <row r="1730" spans="11:11" x14ac:dyDescent="0.25">
      <c r="K1730" s="8" t="e">
        <f t="shared" si="26"/>
        <v>#VALUE!</v>
      </c>
    </row>
    <row r="1731" spans="11:11" x14ac:dyDescent="0.25">
      <c r="K1731" s="8" t="e">
        <f t="shared" ref="K1731:K1794" si="27">LEFT(A1731,FIND("/",A1731)-1)</f>
        <v>#VALUE!</v>
      </c>
    </row>
    <row r="1732" spans="11:11" x14ac:dyDescent="0.25">
      <c r="K1732" s="8" t="e">
        <f t="shared" si="27"/>
        <v>#VALUE!</v>
      </c>
    </row>
    <row r="1733" spans="11:11" x14ac:dyDescent="0.25">
      <c r="K1733" s="8" t="e">
        <f t="shared" si="27"/>
        <v>#VALUE!</v>
      </c>
    </row>
    <row r="1734" spans="11:11" x14ac:dyDescent="0.25">
      <c r="K1734" s="8" t="e">
        <f t="shared" si="27"/>
        <v>#VALUE!</v>
      </c>
    </row>
    <row r="1735" spans="11:11" x14ac:dyDescent="0.25">
      <c r="K1735" s="8" t="e">
        <f t="shared" si="27"/>
        <v>#VALUE!</v>
      </c>
    </row>
    <row r="1736" spans="11:11" x14ac:dyDescent="0.25">
      <c r="K1736" s="8" t="e">
        <f t="shared" si="27"/>
        <v>#VALUE!</v>
      </c>
    </row>
    <row r="1737" spans="11:11" x14ac:dyDescent="0.25">
      <c r="K1737" s="8" t="e">
        <f t="shared" si="27"/>
        <v>#VALUE!</v>
      </c>
    </row>
    <row r="1738" spans="11:11" x14ac:dyDescent="0.25">
      <c r="K1738" s="8" t="e">
        <f t="shared" si="27"/>
        <v>#VALUE!</v>
      </c>
    </row>
    <row r="1739" spans="11:11" x14ac:dyDescent="0.25">
      <c r="K1739" s="8" t="e">
        <f t="shared" si="27"/>
        <v>#VALUE!</v>
      </c>
    </row>
    <row r="1740" spans="11:11" x14ac:dyDescent="0.25">
      <c r="K1740" s="8" t="e">
        <f t="shared" si="27"/>
        <v>#VALUE!</v>
      </c>
    </row>
    <row r="1741" spans="11:11" x14ac:dyDescent="0.25">
      <c r="K1741" s="8" t="e">
        <f t="shared" si="27"/>
        <v>#VALUE!</v>
      </c>
    </row>
    <row r="1742" spans="11:11" x14ac:dyDescent="0.25">
      <c r="K1742" s="8" t="e">
        <f t="shared" si="27"/>
        <v>#VALUE!</v>
      </c>
    </row>
    <row r="1743" spans="11:11" x14ac:dyDescent="0.25">
      <c r="K1743" s="8" t="e">
        <f t="shared" si="27"/>
        <v>#VALUE!</v>
      </c>
    </row>
    <row r="1744" spans="11:11" x14ac:dyDescent="0.25">
      <c r="K1744" s="8" t="e">
        <f t="shared" si="27"/>
        <v>#VALUE!</v>
      </c>
    </row>
    <row r="1745" spans="11:11" x14ac:dyDescent="0.25">
      <c r="K1745" s="8" t="e">
        <f t="shared" si="27"/>
        <v>#VALUE!</v>
      </c>
    </row>
    <row r="1746" spans="11:11" x14ac:dyDescent="0.25">
      <c r="K1746" s="8" t="e">
        <f t="shared" si="27"/>
        <v>#VALUE!</v>
      </c>
    </row>
    <row r="1747" spans="11:11" x14ac:dyDescent="0.25">
      <c r="K1747" s="8" t="e">
        <f t="shared" si="27"/>
        <v>#VALUE!</v>
      </c>
    </row>
    <row r="1748" spans="11:11" x14ac:dyDescent="0.25">
      <c r="K1748" s="8" t="e">
        <f t="shared" si="27"/>
        <v>#VALUE!</v>
      </c>
    </row>
    <row r="1749" spans="11:11" x14ac:dyDescent="0.25">
      <c r="K1749" s="8" t="e">
        <f t="shared" si="27"/>
        <v>#VALUE!</v>
      </c>
    </row>
    <row r="1750" spans="11:11" x14ac:dyDescent="0.25">
      <c r="K1750" s="8" t="e">
        <f t="shared" si="27"/>
        <v>#VALUE!</v>
      </c>
    </row>
    <row r="1751" spans="11:11" x14ac:dyDescent="0.25">
      <c r="K1751" s="8" t="e">
        <f t="shared" si="27"/>
        <v>#VALUE!</v>
      </c>
    </row>
    <row r="1752" spans="11:11" x14ac:dyDescent="0.25">
      <c r="K1752" s="8" t="e">
        <f t="shared" si="27"/>
        <v>#VALUE!</v>
      </c>
    </row>
    <row r="1753" spans="11:11" x14ac:dyDescent="0.25">
      <c r="K1753" s="8" t="e">
        <f t="shared" si="27"/>
        <v>#VALUE!</v>
      </c>
    </row>
    <row r="1754" spans="11:11" x14ac:dyDescent="0.25">
      <c r="K1754" s="8" t="e">
        <f t="shared" si="27"/>
        <v>#VALUE!</v>
      </c>
    </row>
    <row r="1755" spans="11:11" x14ac:dyDescent="0.25">
      <c r="K1755" s="8" t="e">
        <f t="shared" si="27"/>
        <v>#VALUE!</v>
      </c>
    </row>
    <row r="1756" spans="11:11" x14ac:dyDescent="0.25">
      <c r="K1756" s="8" t="e">
        <f t="shared" si="27"/>
        <v>#VALUE!</v>
      </c>
    </row>
    <row r="1757" spans="11:11" x14ac:dyDescent="0.25">
      <c r="K1757" s="8" t="e">
        <f t="shared" si="27"/>
        <v>#VALUE!</v>
      </c>
    </row>
    <row r="1758" spans="11:11" x14ac:dyDescent="0.25">
      <c r="K1758" s="8" t="e">
        <f t="shared" si="27"/>
        <v>#VALUE!</v>
      </c>
    </row>
    <row r="1759" spans="11:11" x14ac:dyDescent="0.25">
      <c r="K1759" s="8" t="e">
        <f t="shared" si="27"/>
        <v>#VALUE!</v>
      </c>
    </row>
    <row r="1760" spans="11:11" x14ac:dyDescent="0.25">
      <c r="K1760" s="8" t="e">
        <f t="shared" si="27"/>
        <v>#VALUE!</v>
      </c>
    </row>
    <row r="1761" spans="11:11" x14ac:dyDescent="0.25">
      <c r="K1761" s="8" t="e">
        <f t="shared" si="27"/>
        <v>#VALUE!</v>
      </c>
    </row>
    <row r="1762" spans="11:11" x14ac:dyDescent="0.25">
      <c r="K1762" s="8" t="e">
        <f t="shared" si="27"/>
        <v>#VALUE!</v>
      </c>
    </row>
    <row r="1763" spans="11:11" x14ac:dyDescent="0.25">
      <c r="K1763" s="8" t="e">
        <f t="shared" si="27"/>
        <v>#VALUE!</v>
      </c>
    </row>
    <row r="1764" spans="11:11" x14ac:dyDescent="0.25">
      <c r="K1764" s="8" t="e">
        <f t="shared" si="27"/>
        <v>#VALUE!</v>
      </c>
    </row>
    <row r="1765" spans="11:11" x14ac:dyDescent="0.25">
      <c r="K1765" s="8" t="e">
        <f t="shared" si="27"/>
        <v>#VALUE!</v>
      </c>
    </row>
    <row r="1766" spans="11:11" x14ac:dyDescent="0.25">
      <c r="K1766" s="8" t="e">
        <f t="shared" si="27"/>
        <v>#VALUE!</v>
      </c>
    </row>
    <row r="1767" spans="11:11" x14ac:dyDescent="0.25">
      <c r="K1767" s="8" t="e">
        <f t="shared" si="27"/>
        <v>#VALUE!</v>
      </c>
    </row>
    <row r="1768" spans="11:11" x14ac:dyDescent="0.25">
      <c r="K1768" s="8" t="e">
        <f t="shared" si="27"/>
        <v>#VALUE!</v>
      </c>
    </row>
    <row r="1769" spans="11:11" x14ac:dyDescent="0.25">
      <c r="K1769" s="8" t="e">
        <f t="shared" si="27"/>
        <v>#VALUE!</v>
      </c>
    </row>
    <row r="1770" spans="11:11" x14ac:dyDescent="0.25">
      <c r="K1770" s="8" t="e">
        <f t="shared" si="27"/>
        <v>#VALUE!</v>
      </c>
    </row>
    <row r="1771" spans="11:11" x14ac:dyDescent="0.25">
      <c r="K1771" s="8" t="e">
        <f t="shared" si="27"/>
        <v>#VALUE!</v>
      </c>
    </row>
    <row r="1772" spans="11:11" x14ac:dyDescent="0.25">
      <c r="K1772" s="8" t="e">
        <f t="shared" si="27"/>
        <v>#VALUE!</v>
      </c>
    </row>
    <row r="1773" spans="11:11" x14ac:dyDescent="0.25">
      <c r="K1773" s="8" t="e">
        <f t="shared" si="27"/>
        <v>#VALUE!</v>
      </c>
    </row>
    <row r="1774" spans="11:11" x14ac:dyDescent="0.25">
      <c r="K1774" s="8" t="e">
        <f t="shared" si="27"/>
        <v>#VALUE!</v>
      </c>
    </row>
    <row r="1775" spans="11:11" x14ac:dyDescent="0.25">
      <c r="K1775" s="8" t="e">
        <f t="shared" si="27"/>
        <v>#VALUE!</v>
      </c>
    </row>
    <row r="1776" spans="11:11" x14ac:dyDescent="0.25">
      <c r="K1776" s="8" t="e">
        <f t="shared" si="27"/>
        <v>#VALUE!</v>
      </c>
    </row>
    <row r="1777" spans="11:11" x14ac:dyDescent="0.25">
      <c r="K1777" s="8" t="e">
        <f t="shared" si="27"/>
        <v>#VALUE!</v>
      </c>
    </row>
    <row r="1778" spans="11:11" x14ac:dyDescent="0.25">
      <c r="K1778" s="8" t="e">
        <f t="shared" si="27"/>
        <v>#VALUE!</v>
      </c>
    </row>
    <row r="1779" spans="11:11" x14ac:dyDescent="0.25">
      <c r="K1779" s="8" t="e">
        <f t="shared" si="27"/>
        <v>#VALUE!</v>
      </c>
    </row>
    <row r="1780" spans="11:11" x14ac:dyDescent="0.25">
      <c r="K1780" s="8" t="e">
        <f t="shared" si="27"/>
        <v>#VALUE!</v>
      </c>
    </row>
    <row r="1781" spans="11:11" x14ac:dyDescent="0.25">
      <c r="K1781" s="8" t="e">
        <f t="shared" si="27"/>
        <v>#VALUE!</v>
      </c>
    </row>
    <row r="1782" spans="11:11" x14ac:dyDescent="0.25">
      <c r="K1782" s="8" t="e">
        <f t="shared" si="27"/>
        <v>#VALUE!</v>
      </c>
    </row>
    <row r="1783" spans="11:11" x14ac:dyDescent="0.25">
      <c r="K1783" s="8" t="e">
        <f t="shared" si="27"/>
        <v>#VALUE!</v>
      </c>
    </row>
    <row r="1784" spans="11:11" x14ac:dyDescent="0.25">
      <c r="K1784" s="8" t="e">
        <f t="shared" si="27"/>
        <v>#VALUE!</v>
      </c>
    </row>
    <row r="1785" spans="11:11" x14ac:dyDescent="0.25">
      <c r="K1785" s="8" t="e">
        <f t="shared" si="27"/>
        <v>#VALUE!</v>
      </c>
    </row>
    <row r="1786" spans="11:11" x14ac:dyDescent="0.25">
      <c r="K1786" s="8" t="e">
        <f t="shared" si="27"/>
        <v>#VALUE!</v>
      </c>
    </row>
    <row r="1787" spans="11:11" x14ac:dyDescent="0.25">
      <c r="K1787" s="8" t="e">
        <f t="shared" si="27"/>
        <v>#VALUE!</v>
      </c>
    </row>
    <row r="1788" spans="11:11" x14ac:dyDescent="0.25">
      <c r="K1788" s="8" t="e">
        <f t="shared" si="27"/>
        <v>#VALUE!</v>
      </c>
    </row>
    <row r="1789" spans="11:11" x14ac:dyDescent="0.25">
      <c r="K1789" s="8" t="e">
        <f t="shared" si="27"/>
        <v>#VALUE!</v>
      </c>
    </row>
    <row r="1790" spans="11:11" x14ac:dyDescent="0.25">
      <c r="K1790" s="8" t="e">
        <f t="shared" si="27"/>
        <v>#VALUE!</v>
      </c>
    </row>
    <row r="1791" spans="11:11" x14ac:dyDescent="0.25">
      <c r="K1791" s="8" t="e">
        <f t="shared" si="27"/>
        <v>#VALUE!</v>
      </c>
    </row>
    <row r="1792" spans="11:11" x14ac:dyDescent="0.25">
      <c r="K1792" s="8" t="e">
        <f t="shared" si="27"/>
        <v>#VALUE!</v>
      </c>
    </row>
    <row r="1793" spans="11:11" x14ac:dyDescent="0.25">
      <c r="K1793" s="8" t="e">
        <f t="shared" si="27"/>
        <v>#VALUE!</v>
      </c>
    </row>
    <row r="1794" spans="11:11" x14ac:dyDescent="0.25">
      <c r="K1794" s="8" t="e">
        <f t="shared" si="27"/>
        <v>#VALUE!</v>
      </c>
    </row>
    <row r="1795" spans="11:11" x14ac:dyDescent="0.25">
      <c r="K1795" s="8" t="e">
        <f t="shared" ref="K1795:K1858" si="28">LEFT(A1795,FIND("/",A1795)-1)</f>
        <v>#VALUE!</v>
      </c>
    </row>
    <row r="1796" spans="11:11" x14ac:dyDescent="0.25">
      <c r="K1796" s="8" t="e">
        <f t="shared" si="28"/>
        <v>#VALUE!</v>
      </c>
    </row>
    <row r="1797" spans="11:11" x14ac:dyDescent="0.25">
      <c r="K1797" s="8" t="e">
        <f t="shared" si="28"/>
        <v>#VALUE!</v>
      </c>
    </row>
    <row r="1798" spans="11:11" x14ac:dyDescent="0.25">
      <c r="K1798" s="8" t="e">
        <f t="shared" si="28"/>
        <v>#VALUE!</v>
      </c>
    </row>
    <row r="1799" spans="11:11" x14ac:dyDescent="0.25">
      <c r="K1799" s="8" t="e">
        <f t="shared" si="28"/>
        <v>#VALUE!</v>
      </c>
    </row>
    <row r="1800" spans="11:11" x14ac:dyDescent="0.25">
      <c r="K1800" s="8" t="e">
        <f t="shared" si="28"/>
        <v>#VALUE!</v>
      </c>
    </row>
    <row r="1801" spans="11:11" x14ac:dyDescent="0.25">
      <c r="K1801" s="8" t="e">
        <f t="shared" si="28"/>
        <v>#VALUE!</v>
      </c>
    </row>
    <row r="1802" spans="11:11" x14ac:dyDescent="0.25">
      <c r="K1802" s="8" t="e">
        <f t="shared" si="28"/>
        <v>#VALUE!</v>
      </c>
    </row>
    <row r="1803" spans="11:11" x14ac:dyDescent="0.25">
      <c r="K1803" s="8" t="e">
        <f t="shared" si="28"/>
        <v>#VALUE!</v>
      </c>
    </row>
    <row r="1804" spans="11:11" x14ac:dyDescent="0.25">
      <c r="K1804" s="8" t="e">
        <f t="shared" si="28"/>
        <v>#VALUE!</v>
      </c>
    </row>
    <row r="1805" spans="11:11" x14ac:dyDescent="0.25">
      <c r="K1805" s="8" t="e">
        <f t="shared" si="28"/>
        <v>#VALUE!</v>
      </c>
    </row>
    <row r="1806" spans="11:11" x14ac:dyDescent="0.25">
      <c r="K1806" s="8" t="e">
        <f t="shared" si="28"/>
        <v>#VALUE!</v>
      </c>
    </row>
    <row r="1807" spans="11:11" x14ac:dyDescent="0.25">
      <c r="K1807" s="8" t="e">
        <f t="shared" si="28"/>
        <v>#VALUE!</v>
      </c>
    </row>
    <row r="1808" spans="11:11" x14ac:dyDescent="0.25">
      <c r="K1808" s="8" t="e">
        <f t="shared" si="28"/>
        <v>#VALUE!</v>
      </c>
    </row>
    <row r="1809" spans="11:11" x14ac:dyDescent="0.25">
      <c r="K1809" s="8" t="e">
        <f t="shared" si="28"/>
        <v>#VALUE!</v>
      </c>
    </row>
    <row r="1810" spans="11:11" x14ac:dyDescent="0.25">
      <c r="K1810" s="8" t="e">
        <f t="shared" si="28"/>
        <v>#VALUE!</v>
      </c>
    </row>
    <row r="1811" spans="11:11" x14ac:dyDescent="0.25">
      <c r="K1811" s="8" t="e">
        <f t="shared" si="28"/>
        <v>#VALUE!</v>
      </c>
    </row>
    <row r="1812" spans="11:11" x14ac:dyDescent="0.25">
      <c r="K1812" s="8" t="e">
        <f t="shared" si="28"/>
        <v>#VALUE!</v>
      </c>
    </row>
    <row r="1813" spans="11:11" x14ac:dyDescent="0.25">
      <c r="K1813" s="8" t="e">
        <f t="shared" si="28"/>
        <v>#VALUE!</v>
      </c>
    </row>
    <row r="1814" spans="11:11" x14ac:dyDescent="0.25">
      <c r="K1814" s="8" t="e">
        <f t="shared" si="28"/>
        <v>#VALUE!</v>
      </c>
    </row>
    <row r="1815" spans="11:11" x14ac:dyDescent="0.25">
      <c r="K1815" s="8" t="e">
        <f t="shared" si="28"/>
        <v>#VALUE!</v>
      </c>
    </row>
    <row r="1816" spans="11:11" x14ac:dyDescent="0.25">
      <c r="K1816" s="8" t="e">
        <f t="shared" si="28"/>
        <v>#VALUE!</v>
      </c>
    </row>
    <row r="1817" spans="11:11" x14ac:dyDescent="0.25">
      <c r="K1817" s="8" t="e">
        <f t="shared" si="28"/>
        <v>#VALUE!</v>
      </c>
    </row>
    <row r="1818" spans="11:11" x14ac:dyDescent="0.25">
      <c r="K1818" s="8" t="e">
        <f t="shared" si="28"/>
        <v>#VALUE!</v>
      </c>
    </row>
    <row r="1819" spans="11:11" x14ac:dyDescent="0.25">
      <c r="K1819" s="8" t="e">
        <f t="shared" si="28"/>
        <v>#VALUE!</v>
      </c>
    </row>
    <row r="1820" spans="11:11" x14ac:dyDescent="0.25">
      <c r="K1820" s="8" t="e">
        <f t="shared" si="28"/>
        <v>#VALUE!</v>
      </c>
    </row>
    <row r="1821" spans="11:11" x14ac:dyDescent="0.25">
      <c r="K1821" s="8" t="e">
        <f t="shared" si="28"/>
        <v>#VALUE!</v>
      </c>
    </row>
    <row r="1822" spans="11:11" x14ac:dyDescent="0.25">
      <c r="K1822" s="8" t="e">
        <f t="shared" si="28"/>
        <v>#VALUE!</v>
      </c>
    </row>
    <row r="1823" spans="11:11" x14ac:dyDescent="0.25">
      <c r="K1823" s="8" t="e">
        <f t="shared" si="28"/>
        <v>#VALUE!</v>
      </c>
    </row>
    <row r="1824" spans="11:11" x14ac:dyDescent="0.25">
      <c r="K1824" s="8" t="e">
        <f t="shared" si="28"/>
        <v>#VALUE!</v>
      </c>
    </row>
    <row r="1825" spans="11:11" x14ac:dyDescent="0.25">
      <c r="K1825" s="8" t="e">
        <f t="shared" si="28"/>
        <v>#VALUE!</v>
      </c>
    </row>
    <row r="1826" spans="11:11" x14ac:dyDescent="0.25">
      <c r="K1826" s="8" t="e">
        <f t="shared" si="28"/>
        <v>#VALUE!</v>
      </c>
    </row>
    <row r="1827" spans="11:11" x14ac:dyDescent="0.25">
      <c r="K1827" s="8" t="e">
        <f t="shared" si="28"/>
        <v>#VALUE!</v>
      </c>
    </row>
    <row r="1828" spans="11:11" x14ac:dyDescent="0.25">
      <c r="K1828" s="8" t="e">
        <f t="shared" si="28"/>
        <v>#VALUE!</v>
      </c>
    </row>
    <row r="1829" spans="11:11" x14ac:dyDescent="0.25">
      <c r="K1829" s="8" t="e">
        <f t="shared" si="28"/>
        <v>#VALUE!</v>
      </c>
    </row>
    <row r="1830" spans="11:11" x14ac:dyDescent="0.25">
      <c r="K1830" s="8" t="e">
        <f t="shared" si="28"/>
        <v>#VALUE!</v>
      </c>
    </row>
    <row r="1831" spans="11:11" x14ac:dyDescent="0.25">
      <c r="K1831" s="8" t="e">
        <f t="shared" si="28"/>
        <v>#VALUE!</v>
      </c>
    </row>
    <row r="1832" spans="11:11" x14ac:dyDescent="0.25">
      <c r="K1832" s="8" t="e">
        <f t="shared" si="28"/>
        <v>#VALUE!</v>
      </c>
    </row>
    <row r="1833" spans="11:11" x14ac:dyDescent="0.25">
      <c r="K1833" s="8" t="e">
        <f t="shared" si="28"/>
        <v>#VALUE!</v>
      </c>
    </row>
    <row r="1834" spans="11:11" x14ac:dyDescent="0.25">
      <c r="K1834" s="8" t="e">
        <f t="shared" si="28"/>
        <v>#VALUE!</v>
      </c>
    </row>
    <row r="1835" spans="11:11" x14ac:dyDescent="0.25">
      <c r="K1835" s="8" t="e">
        <f t="shared" si="28"/>
        <v>#VALUE!</v>
      </c>
    </row>
    <row r="1836" spans="11:11" x14ac:dyDescent="0.25">
      <c r="K1836" s="8" t="e">
        <f t="shared" si="28"/>
        <v>#VALUE!</v>
      </c>
    </row>
    <row r="1837" spans="11:11" x14ac:dyDescent="0.25">
      <c r="K1837" s="8" t="e">
        <f t="shared" si="28"/>
        <v>#VALUE!</v>
      </c>
    </row>
    <row r="1838" spans="11:11" x14ac:dyDescent="0.25">
      <c r="K1838" s="8" t="e">
        <f t="shared" si="28"/>
        <v>#VALUE!</v>
      </c>
    </row>
    <row r="1839" spans="11:11" x14ac:dyDescent="0.25">
      <c r="K1839" s="8" t="e">
        <f t="shared" si="28"/>
        <v>#VALUE!</v>
      </c>
    </row>
    <row r="1840" spans="11:11" x14ac:dyDescent="0.25">
      <c r="K1840" s="8" t="e">
        <f t="shared" si="28"/>
        <v>#VALUE!</v>
      </c>
    </row>
    <row r="1841" spans="11:11" x14ac:dyDescent="0.25">
      <c r="K1841" s="8" t="e">
        <f t="shared" si="28"/>
        <v>#VALUE!</v>
      </c>
    </row>
    <row r="1842" spans="11:11" x14ac:dyDescent="0.25">
      <c r="K1842" s="8" t="e">
        <f t="shared" si="28"/>
        <v>#VALUE!</v>
      </c>
    </row>
    <row r="1843" spans="11:11" x14ac:dyDescent="0.25">
      <c r="K1843" s="8" t="e">
        <f t="shared" si="28"/>
        <v>#VALUE!</v>
      </c>
    </row>
    <row r="1844" spans="11:11" x14ac:dyDescent="0.25">
      <c r="K1844" s="8" t="e">
        <f t="shared" si="28"/>
        <v>#VALUE!</v>
      </c>
    </row>
    <row r="1845" spans="11:11" x14ac:dyDescent="0.25">
      <c r="K1845" s="8" t="e">
        <f t="shared" si="28"/>
        <v>#VALUE!</v>
      </c>
    </row>
    <row r="1846" spans="11:11" x14ac:dyDescent="0.25">
      <c r="K1846" s="8" t="e">
        <f t="shared" si="28"/>
        <v>#VALUE!</v>
      </c>
    </row>
    <row r="1847" spans="11:11" x14ac:dyDescent="0.25">
      <c r="K1847" s="8" t="e">
        <f t="shared" si="28"/>
        <v>#VALUE!</v>
      </c>
    </row>
    <row r="1848" spans="11:11" x14ac:dyDescent="0.25">
      <c r="K1848" s="8" t="e">
        <f t="shared" si="28"/>
        <v>#VALUE!</v>
      </c>
    </row>
    <row r="1849" spans="11:11" x14ac:dyDescent="0.25">
      <c r="K1849" s="8" t="e">
        <f t="shared" si="28"/>
        <v>#VALUE!</v>
      </c>
    </row>
    <row r="1850" spans="11:11" x14ac:dyDescent="0.25">
      <c r="K1850" s="8" t="e">
        <f t="shared" si="28"/>
        <v>#VALUE!</v>
      </c>
    </row>
    <row r="1851" spans="11:11" x14ac:dyDescent="0.25">
      <c r="K1851" s="8" t="e">
        <f t="shared" si="28"/>
        <v>#VALUE!</v>
      </c>
    </row>
    <row r="1852" spans="11:11" x14ac:dyDescent="0.25">
      <c r="K1852" s="8" t="e">
        <f t="shared" si="28"/>
        <v>#VALUE!</v>
      </c>
    </row>
    <row r="1853" spans="11:11" x14ac:dyDescent="0.25">
      <c r="K1853" s="8" t="e">
        <f t="shared" si="28"/>
        <v>#VALUE!</v>
      </c>
    </row>
    <row r="1854" spans="11:11" x14ac:dyDescent="0.25">
      <c r="K1854" s="8" t="e">
        <f t="shared" si="28"/>
        <v>#VALUE!</v>
      </c>
    </row>
    <row r="1855" spans="11:11" x14ac:dyDescent="0.25">
      <c r="K1855" s="8" t="e">
        <f t="shared" si="28"/>
        <v>#VALUE!</v>
      </c>
    </row>
    <row r="1856" spans="11:11" x14ac:dyDescent="0.25">
      <c r="K1856" s="8" t="e">
        <f t="shared" si="28"/>
        <v>#VALUE!</v>
      </c>
    </row>
    <row r="1857" spans="11:11" x14ac:dyDescent="0.25">
      <c r="K1857" s="8" t="e">
        <f t="shared" si="28"/>
        <v>#VALUE!</v>
      </c>
    </row>
    <row r="1858" spans="11:11" x14ac:dyDescent="0.25">
      <c r="K1858" s="8" t="e">
        <f t="shared" si="28"/>
        <v>#VALUE!</v>
      </c>
    </row>
    <row r="1859" spans="11:11" x14ac:dyDescent="0.25">
      <c r="K1859" s="8" t="e">
        <f t="shared" ref="K1859:K1922" si="29">LEFT(A1859,FIND("/",A1859)-1)</f>
        <v>#VALUE!</v>
      </c>
    </row>
    <row r="1860" spans="11:11" x14ac:dyDescent="0.25">
      <c r="K1860" s="8" t="e">
        <f t="shared" si="29"/>
        <v>#VALUE!</v>
      </c>
    </row>
    <row r="1861" spans="11:11" x14ac:dyDescent="0.25">
      <c r="K1861" s="8" t="e">
        <f t="shared" si="29"/>
        <v>#VALUE!</v>
      </c>
    </row>
    <row r="1862" spans="11:11" x14ac:dyDescent="0.25">
      <c r="K1862" s="8" t="e">
        <f t="shared" si="29"/>
        <v>#VALUE!</v>
      </c>
    </row>
    <row r="1863" spans="11:11" x14ac:dyDescent="0.25">
      <c r="K1863" s="8" t="e">
        <f t="shared" si="29"/>
        <v>#VALUE!</v>
      </c>
    </row>
    <row r="1864" spans="11:11" x14ac:dyDescent="0.25">
      <c r="K1864" s="8" t="e">
        <f t="shared" si="29"/>
        <v>#VALUE!</v>
      </c>
    </row>
    <row r="1865" spans="11:11" x14ac:dyDescent="0.25">
      <c r="K1865" s="8" t="e">
        <f t="shared" si="29"/>
        <v>#VALUE!</v>
      </c>
    </row>
    <row r="1866" spans="11:11" x14ac:dyDescent="0.25">
      <c r="K1866" s="8" t="e">
        <f t="shared" si="29"/>
        <v>#VALUE!</v>
      </c>
    </row>
    <row r="1867" spans="11:11" x14ac:dyDescent="0.25">
      <c r="K1867" s="8" t="e">
        <f t="shared" si="29"/>
        <v>#VALUE!</v>
      </c>
    </row>
    <row r="1868" spans="11:11" x14ac:dyDescent="0.25">
      <c r="K1868" s="8" t="e">
        <f t="shared" si="29"/>
        <v>#VALUE!</v>
      </c>
    </row>
    <row r="1869" spans="11:11" x14ac:dyDescent="0.25">
      <c r="K1869" s="8" t="e">
        <f t="shared" si="29"/>
        <v>#VALUE!</v>
      </c>
    </row>
    <row r="1870" spans="11:11" x14ac:dyDescent="0.25">
      <c r="K1870" s="8" t="e">
        <f t="shared" si="29"/>
        <v>#VALUE!</v>
      </c>
    </row>
    <row r="1871" spans="11:11" x14ac:dyDescent="0.25">
      <c r="K1871" s="8" t="e">
        <f t="shared" si="29"/>
        <v>#VALUE!</v>
      </c>
    </row>
    <row r="1872" spans="11:11" x14ac:dyDescent="0.25">
      <c r="K1872" s="8" t="e">
        <f t="shared" si="29"/>
        <v>#VALUE!</v>
      </c>
    </row>
    <row r="1873" spans="11:11" x14ac:dyDescent="0.25">
      <c r="K1873" s="8" t="e">
        <f t="shared" si="29"/>
        <v>#VALUE!</v>
      </c>
    </row>
    <row r="1874" spans="11:11" x14ac:dyDescent="0.25">
      <c r="K1874" s="8" t="e">
        <f t="shared" si="29"/>
        <v>#VALUE!</v>
      </c>
    </row>
    <row r="1875" spans="11:11" x14ac:dyDescent="0.25">
      <c r="K1875" s="8" t="e">
        <f t="shared" si="29"/>
        <v>#VALUE!</v>
      </c>
    </row>
    <row r="1876" spans="11:11" x14ac:dyDescent="0.25">
      <c r="K1876" s="8" t="e">
        <f t="shared" si="29"/>
        <v>#VALUE!</v>
      </c>
    </row>
    <row r="1877" spans="11:11" x14ac:dyDescent="0.25">
      <c r="K1877" s="8" t="e">
        <f t="shared" si="29"/>
        <v>#VALUE!</v>
      </c>
    </row>
    <row r="1878" spans="11:11" x14ac:dyDescent="0.25">
      <c r="K1878" s="8" t="e">
        <f t="shared" si="29"/>
        <v>#VALUE!</v>
      </c>
    </row>
    <row r="1879" spans="11:11" x14ac:dyDescent="0.25">
      <c r="K1879" s="8" t="e">
        <f t="shared" si="29"/>
        <v>#VALUE!</v>
      </c>
    </row>
    <row r="1880" spans="11:11" x14ac:dyDescent="0.25">
      <c r="K1880" s="8" t="e">
        <f t="shared" si="29"/>
        <v>#VALUE!</v>
      </c>
    </row>
    <row r="1881" spans="11:11" x14ac:dyDescent="0.25">
      <c r="K1881" s="8" t="e">
        <f t="shared" si="29"/>
        <v>#VALUE!</v>
      </c>
    </row>
    <row r="1882" spans="11:11" x14ac:dyDescent="0.25">
      <c r="K1882" s="8" t="e">
        <f t="shared" si="29"/>
        <v>#VALUE!</v>
      </c>
    </row>
    <row r="1883" spans="11:11" x14ac:dyDescent="0.25">
      <c r="K1883" s="8" t="e">
        <f t="shared" si="29"/>
        <v>#VALUE!</v>
      </c>
    </row>
    <row r="1884" spans="11:11" x14ac:dyDescent="0.25">
      <c r="K1884" s="8" t="e">
        <f t="shared" si="29"/>
        <v>#VALUE!</v>
      </c>
    </row>
    <row r="1885" spans="11:11" x14ac:dyDescent="0.25">
      <c r="K1885" s="8" t="e">
        <f t="shared" si="29"/>
        <v>#VALUE!</v>
      </c>
    </row>
    <row r="1886" spans="11:11" x14ac:dyDescent="0.25">
      <c r="K1886" s="8" t="e">
        <f t="shared" si="29"/>
        <v>#VALUE!</v>
      </c>
    </row>
    <row r="1887" spans="11:11" x14ac:dyDescent="0.25">
      <c r="K1887" s="8" t="e">
        <f t="shared" si="29"/>
        <v>#VALUE!</v>
      </c>
    </row>
    <row r="1888" spans="11:11" x14ac:dyDescent="0.25">
      <c r="K1888" s="8" t="e">
        <f t="shared" si="29"/>
        <v>#VALUE!</v>
      </c>
    </row>
    <row r="1889" spans="11:11" x14ac:dyDescent="0.25">
      <c r="K1889" s="8" t="e">
        <f t="shared" si="29"/>
        <v>#VALUE!</v>
      </c>
    </row>
    <row r="1890" spans="11:11" x14ac:dyDescent="0.25">
      <c r="K1890" s="8" t="e">
        <f t="shared" si="29"/>
        <v>#VALUE!</v>
      </c>
    </row>
    <row r="1891" spans="11:11" x14ac:dyDescent="0.25">
      <c r="K1891" s="8" t="e">
        <f t="shared" si="29"/>
        <v>#VALUE!</v>
      </c>
    </row>
    <row r="1892" spans="11:11" x14ac:dyDescent="0.25">
      <c r="K1892" s="8" t="e">
        <f t="shared" si="29"/>
        <v>#VALUE!</v>
      </c>
    </row>
    <row r="1893" spans="11:11" x14ac:dyDescent="0.25">
      <c r="K1893" s="8" t="e">
        <f t="shared" si="29"/>
        <v>#VALUE!</v>
      </c>
    </row>
    <row r="1894" spans="11:11" x14ac:dyDescent="0.25">
      <c r="K1894" s="8" t="e">
        <f t="shared" si="29"/>
        <v>#VALUE!</v>
      </c>
    </row>
    <row r="1895" spans="11:11" x14ac:dyDescent="0.25">
      <c r="K1895" s="8" t="e">
        <f t="shared" si="29"/>
        <v>#VALUE!</v>
      </c>
    </row>
    <row r="1896" spans="11:11" x14ac:dyDescent="0.25">
      <c r="K1896" s="8" t="e">
        <f t="shared" si="29"/>
        <v>#VALUE!</v>
      </c>
    </row>
    <row r="1897" spans="11:11" x14ac:dyDescent="0.25">
      <c r="K1897" s="8" t="e">
        <f t="shared" si="29"/>
        <v>#VALUE!</v>
      </c>
    </row>
    <row r="1898" spans="11:11" x14ac:dyDescent="0.25">
      <c r="K1898" s="8" t="e">
        <f t="shared" si="29"/>
        <v>#VALUE!</v>
      </c>
    </row>
    <row r="1899" spans="11:11" x14ac:dyDescent="0.25">
      <c r="K1899" s="8" t="e">
        <f t="shared" si="29"/>
        <v>#VALUE!</v>
      </c>
    </row>
    <row r="1900" spans="11:11" x14ac:dyDescent="0.25">
      <c r="K1900" s="8" t="e">
        <f t="shared" si="29"/>
        <v>#VALUE!</v>
      </c>
    </row>
    <row r="1901" spans="11:11" x14ac:dyDescent="0.25">
      <c r="K1901" s="8" t="e">
        <f t="shared" si="29"/>
        <v>#VALUE!</v>
      </c>
    </row>
    <row r="1902" spans="11:11" x14ac:dyDescent="0.25">
      <c r="K1902" s="8" t="e">
        <f t="shared" si="29"/>
        <v>#VALUE!</v>
      </c>
    </row>
    <row r="1903" spans="11:11" x14ac:dyDescent="0.25">
      <c r="K1903" s="8" t="e">
        <f t="shared" si="29"/>
        <v>#VALUE!</v>
      </c>
    </row>
    <row r="1904" spans="11:11" x14ac:dyDescent="0.25">
      <c r="K1904" s="8" t="e">
        <f t="shared" si="29"/>
        <v>#VALUE!</v>
      </c>
    </row>
    <row r="1905" spans="11:11" x14ac:dyDescent="0.25">
      <c r="K1905" s="8" t="e">
        <f t="shared" si="29"/>
        <v>#VALUE!</v>
      </c>
    </row>
    <row r="1906" spans="11:11" x14ac:dyDescent="0.25">
      <c r="K1906" s="8" t="e">
        <f t="shared" si="29"/>
        <v>#VALUE!</v>
      </c>
    </row>
    <row r="1907" spans="11:11" x14ac:dyDescent="0.25">
      <c r="K1907" s="8" t="e">
        <f t="shared" si="29"/>
        <v>#VALUE!</v>
      </c>
    </row>
    <row r="1908" spans="11:11" x14ac:dyDescent="0.25">
      <c r="K1908" s="8" t="e">
        <f t="shared" si="29"/>
        <v>#VALUE!</v>
      </c>
    </row>
    <row r="1909" spans="11:11" x14ac:dyDescent="0.25">
      <c r="K1909" s="8" t="e">
        <f t="shared" si="29"/>
        <v>#VALUE!</v>
      </c>
    </row>
    <row r="1910" spans="11:11" x14ac:dyDescent="0.25">
      <c r="K1910" s="8" t="e">
        <f t="shared" si="29"/>
        <v>#VALUE!</v>
      </c>
    </row>
    <row r="1911" spans="11:11" x14ac:dyDescent="0.25">
      <c r="K1911" s="8" t="e">
        <f t="shared" si="29"/>
        <v>#VALUE!</v>
      </c>
    </row>
    <row r="1912" spans="11:11" x14ac:dyDescent="0.25">
      <c r="K1912" s="8" t="e">
        <f t="shared" si="29"/>
        <v>#VALUE!</v>
      </c>
    </row>
    <row r="1913" spans="11:11" x14ac:dyDescent="0.25">
      <c r="K1913" s="8" t="e">
        <f t="shared" si="29"/>
        <v>#VALUE!</v>
      </c>
    </row>
    <row r="1914" spans="11:11" x14ac:dyDescent="0.25">
      <c r="K1914" s="8" t="e">
        <f t="shared" si="29"/>
        <v>#VALUE!</v>
      </c>
    </row>
    <row r="1915" spans="11:11" x14ac:dyDescent="0.25">
      <c r="K1915" s="8" t="e">
        <f t="shared" si="29"/>
        <v>#VALUE!</v>
      </c>
    </row>
    <row r="1916" spans="11:11" x14ac:dyDescent="0.25">
      <c r="K1916" s="8" t="e">
        <f t="shared" si="29"/>
        <v>#VALUE!</v>
      </c>
    </row>
    <row r="1917" spans="11:11" x14ac:dyDescent="0.25">
      <c r="K1917" s="8" t="e">
        <f t="shared" si="29"/>
        <v>#VALUE!</v>
      </c>
    </row>
    <row r="1918" spans="11:11" x14ac:dyDescent="0.25">
      <c r="K1918" s="8" t="e">
        <f t="shared" si="29"/>
        <v>#VALUE!</v>
      </c>
    </row>
    <row r="1919" spans="11:11" x14ac:dyDescent="0.25">
      <c r="K1919" s="8" t="e">
        <f t="shared" si="29"/>
        <v>#VALUE!</v>
      </c>
    </row>
    <row r="1920" spans="11:11" x14ac:dyDescent="0.25">
      <c r="K1920" s="8" t="e">
        <f t="shared" si="29"/>
        <v>#VALUE!</v>
      </c>
    </row>
    <row r="1921" spans="11:11" x14ac:dyDescent="0.25">
      <c r="K1921" s="8" t="e">
        <f t="shared" si="29"/>
        <v>#VALUE!</v>
      </c>
    </row>
    <row r="1922" spans="11:11" x14ac:dyDescent="0.25">
      <c r="K1922" s="8" t="e">
        <f t="shared" si="29"/>
        <v>#VALUE!</v>
      </c>
    </row>
    <row r="1923" spans="11:11" x14ac:dyDescent="0.25">
      <c r="K1923" s="8" t="e">
        <f t="shared" ref="K1923:K1986" si="30">LEFT(A1923,FIND("/",A1923)-1)</f>
        <v>#VALUE!</v>
      </c>
    </row>
    <row r="1924" spans="11:11" x14ac:dyDescent="0.25">
      <c r="K1924" s="8" t="e">
        <f t="shared" si="30"/>
        <v>#VALUE!</v>
      </c>
    </row>
    <row r="1925" spans="11:11" x14ac:dyDescent="0.25">
      <c r="K1925" s="8" t="e">
        <f t="shared" si="30"/>
        <v>#VALUE!</v>
      </c>
    </row>
    <row r="1926" spans="11:11" x14ac:dyDescent="0.25">
      <c r="K1926" s="8" t="e">
        <f t="shared" si="30"/>
        <v>#VALUE!</v>
      </c>
    </row>
    <row r="1927" spans="11:11" x14ac:dyDescent="0.25">
      <c r="K1927" s="8" t="e">
        <f t="shared" si="30"/>
        <v>#VALUE!</v>
      </c>
    </row>
    <row r="1928" spans="11:11" x14ac:dyDescent="0.25">
      <c r="K1928" s="8" t="e">
        <f t="shared" si="30"/>
        <v>#VALUE!</v>
      </c>
    </row>
    <row r="1929" spans="11:11" x14ac:dyDescent="0.25">
      <c r="K1929" s="8" t="e">
        <f t="shared" si="30"/>
        <v>#VALUE!</v>
      </c>
    </row>
    <row r="1930" spans="11:11" x14ac:dyDescent="0.25">
      <c r="K1930" s="8" t="e">
        <f t="shared" si="30"/>
        <v>#VALUE!</v>
      </c>
    </row>
    <row r="1931" spans="11:11" x14ac:dyDescent="0.25">
      <c r="K1931" s="8" t="e">
        <f t="shared" si="30"/>
        <v>#VALUE!</v>
      </c>
    </row>
    <row r="1932" spans="11:11" x14ac:dyDescent="0.25">
      <c r="K1932" s="8" t="e">
        <f t="shared" si="30"/>
        <v>#VALUE!</v>
      </c>
    </row>
    <row r="1933" spans="11:11" x14ac:dyDescent="0.25">
      <c r="K1933" s="8" t="e">
        <f t="shared" si="30"/>
        <v>#VALUE!</v>
      </c>
    </row>
    <row r="1934" spans="11:11" x14ac:dyDescent="0.25">
      <c r="K1934" s="8" t="e">
        <f t="shared" si="30"/>
        <v>#VALUE!</v>
      </c>
    </row>
    <row r="1935" spans="11:11" x14ac:dyDescent="0.25">
      <c r="K1935" s="8" t="e">
        <f t="shared" si="30"/>
        <v>#VALUE!</v>
      </c>
    </row>
    <row r="1936" spans="11:11" x14ac:dyDescent="0.25">
      <c r="K1936" s="8" t="e">
        <f t="shared" si="30"/>
        <v>#VALUE!</v>
      </c>
    </row>
    <row r="1937" spans="11:11" x14ac:dyDescent="0.25">
      <c r="K1937" s="8" t="e">
        <f t="shared" si="30"/>
        <v>#VALUE!</v>
      </c>
    </row>
    <row r="1938" spans="11:11" x14ac:dyDescent="0.25">
      <c r="K1938" s="8" t="e">
        <f t="shared" si="30"/>
        <v>#VALUE!</v>
      </c>
    </row>
    <row r="1939" spans="11:11" x14ac:dyDescent="0.25">
      <c r="K1939" s="8" t="e">
        <f t="shared" si="30"/>
        <v>#VALUE!</v>
      </c>
    </row>
    <row r="1940" spans="11:11" x14ac:dyDescent="0.25">
      <c r="K1940" s="8" t="e">
        <f t="shared" si="30"/>
        <v>#VALUE!</v>
      </c>
    </row>
    <row r="1941" spans="11:11" x14ac:dyDescent="0.25">
      <c r="K1941" s="8" t="e">
        <f t="shared" si="30"/>
        <v>#VALUE!</v>
      </c>
    </row>
    <row r="1942" spans="11:11" x14ac:dyDescent="0.25">
      <c r="K1942" s="8" t="e">
        <f t="shared" si="30"/>
        <v>#VALUE!</v>
      </c>
    </row>
    <row r="1943" spans="11:11" x14ac:dyDescent="0.25">
      <c r="K1943" s="8" t="e">
        <f t="shared" si="30"/>
        <v>#VALUE!</v>
      </c>
    </row>
    <row r="1944" spans="11:11" x14ac:dyDescent="0.25">
      <c r="K1944" s="8" t="e">
        <f t="shared" si="30"/>
        <v>#VALUE!</v>
      </c>
    </row>
    <row r="1945" spans="11:11" x14ac:dyDescent="0.25">
      <c r="K1945" s="8" t="e">
        <f t="shared" si="30"/>
        <v>#VALUE!</v>
      </c>
    </row>
    <row r="1946" spans="11:11" x14ac:dyDescent="0.25">
      <c r="K1946" s="8" t="e">
        <f t="shared" si="30"/>
        <v>#VALUE!</v>
      </c>
    </row>
    <row r="1947" spans="11:11" x14ac:dyDescent="0.25">
      <c r="K1947" s="8" t="e">
        <f t="shared" si="30"/>
        <v>#VALUE!</v>
      </c>
    </row>
    <row r="1948" spans="11:11" x14ac:dyDescent="0.25">
      <c r="K1948" s="8" t="e">
        <f t="shared" si="30"/>
        <v>#VALUE!</v>
      </c>
    </row>
    <row r="1949" spans="11:11" x14ac:dyDescent="0.25">
      <c r="K1949" s="8" t="e">
        <f t="shared" si="30"/>
        <v>#VALUE!</v>
      </c>
    </row>
    <row r="1950" spans="11:11" x14ac:dyDescent="0.25">
      <c r="K1950" s="8" t="e">
        <f t="shared" si="30"/>
        <v>#VALUE!</v>
      </c>
    </row>
    <row r="1951" spans="11:11" x14ac:dyDescent="0.25">
      <c r="K1951" s="8" t="e">
        <f t="shared" si="30"/>
        <v>#VALUE!</v>
      </c>
    </row>
    <row r="1952" spans="11:11" x14ac:dyDescent="0.25">
      <c r="K1952" s="8" t="e">
        <f t="shared" si="30"/>
        <v>#VALUE!</v>
      </c>
    </row>
    <row r="1953" spans="11:11" x14ac:dyDescent="0.25">
      <c r="K1953" s="8" t="e">
        <f t="shared" si="30"/>
        <v>#VALUE!</v>
      </c>
    </row>
    <row r="1954" spans="11:11" x14ac:dyDescent="0.25">
      <c r="K1954" s="8" t="e">
        <f t="shared" si="30"/>
        <v>#VALUE!</v>
      </c>
    </row>
    <row r="1955" spans="11:11" x14ac:dyDescent="0.25">
      <c r="K1955" s="8" t="e">
        <f t="shared" si="30"/>
        <v>#VALUE!</v>
      </c>
    </row>
    <row r="1956" spans="11:11" x14ac:dyDescent="0.25">
      <c r="K1956" s="8" t="e">
        <f t="shared" si="30"/>
        <v>#VALUE!</v>
      </c>
    </row>
    <row r="1957" spans="11:11" x14ac:dyDescent="0.25">
      <c r="K1957" s="8" t="e">
        <f t="shared" si="30"/>
        <v>#VALUE!</v>
      </c>
    </row>
    <row r="1958" spans="11:11" x14ac:dyDescent="0.25">
      <c r="K1958" s="8" t="e">
        <f t="shared" si="30"/>
        <v>#VALUE!</v>
      </c>
    </row>
    <row r="1959" spans="11:11" x14ac:dyDescent="0.25">
      <c r="K1959" s="8" t="e">
        <f t="shared" si="30"/>
        <v>#VALUE!</v>
      </c>
    </row>
    <row r="1960" spans="11:11" x14ac:dyDescent="0.25">
      <c r="K1960" s="8" t="e">
        <f t="shared" si="30"/>
        <v>#VALUE!</v>
      </c>
    </row>
    <row r="1961" spans="11:11" x14ac:dyDescent="0.25">
      <c r="K1961" s="8" t="e">
        <f t="shared" si="30"/>
        <v>#VALUE!</v>
      </c>
    </row>
    <row r="1962" spans="11:11" x14ac:dyDescent="0.25">
      <c r="K1962" s="8" t="e">
        <f t="shared" si="30"/>
        <v>#VALUE!</v>
      </c>
    </row>
    <row r="1963" spans="11:11" x14ac:dyDescent="0.25">
      <c r="K1963" s="8" t="e">
        <f t="shared" si="30"/>
        <v>#VALUE!</v>
      </c>
    </row>
    <row r="1964" spans="11:11" x14ac:dyDescent="0.25">
      <c r="K1964" s="8" t="e">
        <f t="shared" si="30"/>
        <v>#VALUE!</v>
      </c>
    </row>
    <row r="1965" spans="11:11" x14ac:dyDescent="0.25">
      <c r="K1965" s="8" t="e">
        <f t="shared" si="30"/>
        <v>#VALUE!</v>
      </c>
    </row>
    <row r="1966" spans="11:11" x14ac:dyDescent="0.25">
      <c r="K1966" s="8" t="e">
        <f t="shared" si="30"/>
        <v>#VALUE!</v>
      </c>
    </row>
    <row r="1967" spans="11:11" x14ac:dyDescent="0.25">
      <c r="K1967" s="8" t="e">
        <f t="shared" si="30"/>
        <v>#VALUE!</v>
      </c>
    </row>
    <row r="1968" spans="11:11" x14ac:dyDescent="0.25">
      <c r="K1968" s="8" t="e">
        <f t="shared" si="30"/>
        <v>#VALUE!</v>
      </c>
    </row>
    <row r="1969" spans="11:11" x14ac:dyDescent="0.25">
      <c r="K1969" s="8" t="e">
        <f t="shared" si="30"/>
        <v>#VALUE!</v>
      </c>
    </row>
    <row r="1970" spans="11:11" x14ac:dyDescent="0.25">
      <c r="K1970" s="8" t="e">
        <f t="shared" si="30"/>
        <v>#VALUE!</v>
      </c>
    </row>
    <row r="1971" spans="11:11" x14ac:dyDescent="0.25">
      <c r="K1971" s="8" t="e">
        <f t="shared" si="30"/>
        <v>#VALUE!</v>
      </c>
    </row>
    <row r="1972" spans="11:11" x14ac:dyDescent="0.25">
      <c r="K1972" s="8" t="e">
        <f t="shared" si="30"/>
        <v>#VALUE!</v>
      </c>
    </row>
    <row r="1973" spans="11:11" x14ac:dyDescent="0.25">
      <c r="K1973" s="8" t="e">
        <f t="shared" si="30"/>
        <v>#VALUE!</v>
      </c>
    </row>
    <row r="1974" spans="11:11" x14ac:dyDescent="0.25">
      <c r="K1974" s="8" t="e">
        <f t="shared" si="30"/>
        <v>#VALUE!</v>
      </c>
    </row>
    <row r="1975" spans="11:11" x14ac:dyDescent="0.25">
      <c r="K1975" s="8" t="e">
        <f t="shared" si="30"/>
        <v>#VALUE!</v>
      </c>
    </row>
    <row r="1976" spans="11:11" x14ac:dyDescent="0.25">
      <c r="K1976" s="8" t="e">
        <f t="shared" si="30"/>
        <v>#VALUE!</v>
      </c>
    </row>
    <row r="1977" spans="11:11" x14ac:dyDescent="0.25">
      <c r="K1977" s="8" t="e">
        <f t="shared" si="30"/>
        <v>#VALUE!</v>
      </c>
    </row>
    <row r="1978" spans="11:11" x14ac:dyDescent="0.25">
      <c r="K1978" s="8" t="e">
        <f t="shared" si="30"/>
        <v>#VALUE!</v>
      </c>
    </row>
    <row r="1979" spans="11:11" x14ac:dyDescent="0.25">
      <c r="K1979" s="8" t="e">
        <f t="shared" si="30"/>
        <v>#VALUE!</v>
      </c>
    </row>
    <row r="1980" spans="11:11" x14ac:dyDescent="0.25">
      <c r="K1980" s="8" t="e">
        <f t="shared" si="30"/>
        <v>#VALUE!</v>
      </c>
    </row>
    <row r="1981" spans="11:11" x14ac:dyDescent="0.25">
      <c r="K1981" s="8" t="e">
        <f t="shared" si="30"/>
        <v>#VALUE!</v>
      </c>
    </row>
    <row r="1982" spans="11:11" x14ac:dyDescent="0.25">
      <c r="K1982" s="8" t="e">
        <f t="shared" si="30"/>
        <v>#VALUE!</v>
      </c>
    </row>
    <row r="1983" spans="11:11" x14ac:dyDescent="0.25">
      <c r="K1983" s="8" t="e">
        <f t="shared" si="30"/>
        <v>#VALUE!</v>
      </c>
    </row>
    <row r="1984" spans="11:11" x14ac:dyDescent="0.25">
      <c r="K1984" s="8" t="e">
        <f t="shared" si="30"/>
        <v>#VALUE!</v>
      </c>
    </row>
    <row r="1985" spans="11:11" x14ac:dyDescent="0.25">
      <c r="K1985" s="8" t="e">
        <f t="shared" si="30"/>
        <v>#VALUE!</v>
      </c>
    </row>
    <row r="1986" spans="11:11" x14ac:dyDescent="0.25">
      <c r="K1986" s="8" t="e">
        <f t="shared" si="30"/>
        <v>#VALUE!</v>
      </c>
    </row>
    <row r="1987" spans="11:11" x14ac:dyDescent="0.25">
      <c r="K1987" s="8" t="e">
        <f t="shared" ref="K1987:K2050" si="31">LEFT(A1987,FIND("/",A1987)-1)</f>
        <v>#VALUE!</v>
      </c>
    </row>
    <row r="1988" spans="11:11" x14ac:dyDescent="0.25">
      <c r="K1988" s="8" t="e">
        <f t="shared" si="31"/>
        <v>#VALUE!</v>
      </c>
    </row>
    <row r="1989" spans="11:11" x14ac:dyDescent="0.25">
      <c r="K1989" s="8" t="e">
        <f t="shared" si="31"/>
        <v>#VALUE!</v>
      </c>
    </row>
    <row r="1990" spans="11:11" x14ac:dyDescent="0.25">
      <c r="K1990" s="8" t="e">
        <f t="shared" si="31"/>
        <v>#VALUE!</v>
      </c>
    </row>
    <row r="1991" spans="11:11" x14ac:dyDescent="0.25">
      <c r="K1991" s="8" t="e">
        <f t="shared" si="31"/>
        <v>#VALUE!</v>
      </c>
    </row>
    <row r="1992" spans="11:11" x14ac:dyDescent="0.25">
      <c r="K1992" s="8" t="e">
        <f t="shared" si="31"/>
        <v>#VALUE!</v>
      </c>
    </row>
    <row r="1993" spans="11:11" x14ac:dyDescent="0.25">
      <c r="K1993" s="8" t="e">
        <f t="shared" si="31"/>
        <v>#VALUE!</v>
      </c>
    </row>
    <row r="1994" spans="11:11" x14ac:dyDescent="0.25">
      <c r="K1994" s="8" t="e">
        <f t="shared" si="31"/>
        <v>#VALUE!</v>
      </c>
    </row>
    <row r="1995" spans="11:11" x14ac:dyDescent="0.25">
      <c r="K1995" s="8" t="e">
        <f t="shared" si="31"/>
        <v>#VALUE!</v>
      </c>
    </row>
    <row r="1996" spans="11:11" x14ac:dyDescent="0.25">
      <c r="K1996" s="8" t="e">
        <f t="shared" si="31"/>
        <v>#VALUE!</v>
      </c>
    </row>
    <row r="1997" spans="11:11" x14ac:dyDescent="0.25">
      <c r="K1997" s="8" t="e">
        <f t="shared" si="31"/>
        <v>#VALUE!</v>
      </c>
    </row>
    <row r="1998" spans="11:11" x14ac:dyDescent="0.25">
      <c r="K1998" s="8" t="e">
        <f t="shared" si="31"/>
        <v>#VALUE!</v>
      </c>
    </row>
    <row r="1999" spans="11:11" x14ac:dyDescent="0.25">
      <c r="K1999" s="8" t="e">
        <f t="shared" si="31"/>
        <v>#VALUE!</v>
      </c>
    </row>
    <row r="2000" spans="11:11" x14ac:dyDescent="0.25">
      <c r="K2000" s="8" t="e">
        <f t="shared" si="31"/>
        <v>#VALUE!</v>
      </c>
    </row>
    <row r="2001" spans="11:11" x14ac:dyDescent="0.25">
      <c r="K2001" s="8" t="e">
        <f t="shared" si="31"/>
        <v>#VALUE!</v>
      </c>
    </row>
    <row r="2002" spans="11:11" x14ac:dyDescent="0.25">
      <c r="K2002" s="8" t="e">
        <f t="shared" si="31"/>
        <v>#VALUE!</v>
      </c>
    </row>
    <row r="2003" spans="11:11" x14ac:dyDescent="0.25">
      <c r="K2003" s="8" t="e">
        <f t="shared" si="31"/>
        <v>#VALUE!</v>
      </c>
    </row>
    <row r="2004" spans="11:11" x14ac:dyDescent="0.25">
      <c r="K2004" s="8" t="e">
        <f t="shared" si="31"/>
        <v>#VALUE!</v>
      </c>
    </row>
    <row r="2005" spans="11:11" x14ac:dyDescent="0.25">
      <c r="K2005" s="8" t="e">
        <f t="shared" si="31"/>
        <v>#VALUE!</v>
      </c>
    </row>
    <row r="2006" spans="11:11" x14ac:dyDescent="0.25">
      <c r="K2006" s="8" t="e">
        <f t="shared" si="31"/>
        <v>#VALUE!</v>
      </c>
    </row>
    <row r="2007" spans="11:11" x14ac:dyDescent="0.25">
      <c r="K2007" s="8" t="e">
        <f t="shared" si="31"/>
        <v>#VALUE!</v>
      </c>
    </row>
    <row r="2008" spans="11:11" x14ac:dyDescent="0.25">
      <c r="K2008" s="8" t="e">
        <f t="shared" si="31"/>
        <v>#VALUE!</v>
      </c>
    </row>
    <row r="2009" spans="11:11" x14ac:dyDescent="0.25">
      <c r="K2009" s="8" t="e">
        <f t="shared" si="31"/>
        <v>#VALUE!</v>
      </c>
    </row>
    <row r="2010" spans="11:11" x14ac:dyDescent="0.25">
      <c r="K2010" s="8" t="e">
        <f t="shared" si="31"/>
        <v>#VALUE!</v>
      </c>
    </row>
    <row r="2011" spans="11:11" x14ac:dyDescent="0.25">
      <c r="K2011" s="8" t="e">
        <f t="shared" si="31"/>
        <v>#VALUE!</v>
      </c>
    </row>
    <row r="2012" spans="11:11" x14ac:dyDescent="0.25">
      <c r="K2012" s="8" t="e">
        <f t="shared" si="31"/>
        <v>#VALUE!</v>
      </c>
    </row>
    <row r="2013" spans="11:11" x14ac:dyDescent="0.25">
      <c r="K2013" s="8" t="e">
        <f t="shared" si="31"/>
        <v>#VALUE!</v>
      </c>
    </row>
    <row r="2014" spans="11:11" x14ac:dyDescent="0.25">
      <c r="K2014" s="8" t="e">
        <f t="shared" si="31"/>
        <v>#VALUE!</v>
      </c>
    </row>
    <row r="2015" spans="11:11" x14ac:dyDescent="0.25">
      <c r="K2015" s="8" t="e">
        <f t="shared" si="31"/>
        <v>#VALUE!</v>
      </c>
    </row>
    <row r="2016" spans="11:11" x14ac:dyDescent="0.25">
      <c r="K2016" s="8" t="e">
        <f t="shared" si="31"/>
        <v>#VALUE!</v>
      </c>
    </row>
    <row r="2017" spans="11:11" x14ac:dyDescent="0.25">
      <c r="K2017" s="8" t="e">
        <f t="shared" si="31"/>
        <v>#VALUE!</v>
      </c>
    </row>
    <row r="2018" spans="11:11" x14ac:dyDescent="0.25">
      <c r="K2018" s="8" t="e">
        <f t="shared" si="31"/>
        <v>#VALUE!</v>
      </c>
    </row>
    <row r="2019" spans="11:11" x14ac:dyDescent="0.25">
      <c r="K2019" s="8" t="e">
        <f t="shared" si="31"/>
        <v>#VALUE!</v>
      </c>
    </row>
    <row r="2020" spans="11:11" x14ac:dyDescent="0.25">
      <c r="K2020" s="8" t="e">
        <f t="shared" si="31"/>
        <v>#VALUE!</v>
      </c>
    </row>
    <row r="2021" spans="11:11" x14ac:dyDescent="0.25">
      <c r="K2021" s="8" t="e">
        <f t="shared" si="31"/>
        <v>#VALUE!</v>
      </c>
    </row>
    <row r="2022" spans="11:11" x14ac:dyDescent="0.25">
      <c r="K2022" s="8" t="e">
        <f t="shared" si="31"/>
        <v>#VALUE!</v>
      </c>
    </row>
    <row r="2023" spans="11:11" x14ac:dyDescent="0.25">
      <c r="K2023" s="8" t="e">
        <f t="shared" si="31"/>
        <v>#VALUE!</v>
      </c>
    </row>
    <row r="2024" spans="11:11" x14ac:dyDescent="0.25">
      <c r="K2024" s="8" t="e">
        <f t="shared" si="31"/>
        <v>#VALUE!</v>
      </c>
    </row>
    <row r="2025" spans="11:11" x14ac:dyDescent="0.25">
      <c r="K2025" s="8" t="e">
        <f t="shared" si="31"/>
        <v>#VALUE!</v>
      </c>
    </row>
    <row r="2026" spans="11:11" x14ac:dyDescent="0.25">
      <c r="K2026" s="8" t="e">
        <f t="shared" si="31"/>
        <v>#VALUE!</v>
      </c>
    </row>
    <row r="2027" spans="11:11" x14ac:dyDescent="0.25">
      <c r="K2027" s="8" t="e">
        <f t="shared" si="31"/>
        <v>#VALUE!</v>
      </c>
    </row>
    <row r="2028" spans="11:11" x14ac:dyDescent="0.25">
      <c r="K2028" s="8" t="e">
        <f t="shared" si="31"/>
        <v>#VALUE!</v>
      </c>
    </row>
    <row r="2029" spans="11:11" x14ac:dyDescent="0.25">
      <c r="K2029" s="8" t="e">
        <f t="shared" si="31"/>
        <v>#VALUE!</v>
      </c>
    </row>
    <row r="2030" spans="11:11" x14ac:dyDescent="0.25">
      <c r="K2030" s="8" t="e">
        <f t="shared" si="31"/>
        <v>#VALUE!</v>
      </c>
    </row>
    <row r="2031" spans="11:11" x14ac:dyDescent="0.25">
      <c r="K2031" s="8" t="e">
        <f t="shared" si="31"/>
        <v>#VALUE!</v>
      </c>
    </row>
    <row r="2032" spans="11:11" x14ac:dyDescent="0.25">
      <c r="K2032" s="8" t="e">
        <f t="shared" si="31"/>
        <v>#VALUE!</v>
      </c>
    </row>
    <row r="2033" spans="11:11" x14ac:dyDescent="0.25">
      <c r="K2033" s="8" t="e">
        <f t="shared" si="31"/>
        <v>#VALUE!</v>
      </c>
    </row>
    <row r="2034" spans="11:11" x14ac:dyDescent="0.25">
      <c r="K2034" s="8" t="e">
        <f t="shared" si="31"/>
        <v>#VALUE!</v>
      </c>
    </row>
    <row r="2035" spans="11:11" x14ac:dyDescent="0.25">
      <c r="K2035" s="8" t="e">
        <f t="shared" si="31"/>
        <v>#VALUE!</v>
      </c>
    </row>
    <row r="2036" spans="11:11" x14ac:dyDescent="0.25">
      <c r="K2036" s="8" t="e">
        <f t="shared" si="31"/>
        <v>#VALUE!</v>
      </c>
    </row>
    <row r="2037" spans="11:11" x14ac:dyDescent="0.25">
      <c r="K2037" s="8" t="e">
        <f t="shared" si="31"/>
        <v>#VALUE!</v>
      </c>
    </row>
    <row r="2038" spans="11:11" x14ac:dyDescent="0.25">
      <c r="K2038" s="8" t="e">
        <f t="shared" si="31"/>
        <v>#VALUE!</v>
      </c>
    </row>
    <row r="2039" spans="11:11" x14ac:dyDescent="0.25">
      <c r="K2039" s="8" t="e">
        <f t="shared" si="31"/>
        <v>#VALUE!</v>
      </c>
    </row>
    <row r="2040" spans="11:11" x14ac:dyDescent="0.25">
      <c r="K2040" s="8" t="e">
        <f t="shared" si="31"/>
        <v>#VALUE!</v>
      </c>
    </row>
    <row r="2041" spans="11:11" x14ac:dyDescent="0.25">
      <c r="K2041" s="8" t="e">
        <f t="shared" si="31"/>
        <v>#VALUE!</v>
      </c>
    </row>
    <row r="2042" spans="11:11" x14ac:dyDescent="0.25">
      <c r="K2042" s="8" t="e">
        <f t="shared" si="31"/>
        <v>#VALUE!</v>
      </c>
    </row>
    <row r="2043" spans="11:11" x14ac:dyDescent="0.25">
      <c r="K2043" s="8" t="e">
        <f t="shared" si="31"/>
        <v>#VALUE!</v>
      </c>
    </row>
    <row r="2044" spans="11:11" x14ac:dyDescent="0.25">
      <c r="K2044" s="8" t="e">
        <f t="shared" si="31"/>
        <v>#VALUE!</v>
      </c>
    </row>
    <row r="2045" spans="11:11" x14ac:dyDescent="0.25">
      <c r="K2045" s="8" t="e">
        <f t="shared" si="31"/>
        <v>#VALUE!</v>
      </c>
    </row>
    <row r="2046" spans="11:11" x14ac:dyDescent="0.25">
      <c r="K2046" s="8" t="e">
        <f t="shared" si="31"/>
        <v>#VALUE!</v>
      </c>
    </row>
    <row r="2047" spans="11:11" x14ac:dyDescent="0.25">
      <c r="K2047" s="8" t="e">
        <f t="shared" si="31"/>
        <v>#VALUE!</v>
      </c>
    </row>
    <row r="2048" spans="11:11" x14ac:dyDescent="0.25">
      <c r="K2048" s="8" t="e">
        <f t="shared" si="31"/>
        <v>#VALUE!</v>
      </c>
    </row>
    <row r="2049" spans="11:11" x14ac:dyDescent="0.25">
      <c r="K2049" s="8" t="e">
        <f t="shared" si="31"/>
        <v>#VALUE!</v>
      </c>
    </row>
    <row r="2050" spans="11:11" x14ac:dyDescent="0.25">
      <c r="K2050" s="8" t="e">
        <f t="shared" si="31"/>
        <v>#VALUE!</v>
      </c>
    </row>
    <row r="2051" spans="11:11" x14ac:dyDescent="0.25">
      <c r="K2051" s="8" t="e">
        <f t="shared" ref="K2051:K2114" si="32">LEFT(A2051,FIND("/",A2051)-1)</f>
        <v>#VALUE!</v>
      </c>
    </row>
    <row r="2052" spans="11:11" x14ac:dyDescent="0.25">
      <c r="K2052" s="8" t="e">
        <f t="shared" si="32"/>
        <v>#VALUE!</v>
      </c>
    </row>
    <row r="2053" spans="11:11" x14ac:dyDescent="0.25">
      <c r="K2053" s="8" t="e">
        <f t="shared" si="32"/>
        <v>#VALUE!</v>
      </c>
    </row>
    <row r="2054" spans="11:11" x14ac:dyDescent="0.25">
      <c r="K2054" s="8" t="e">
        <f t="shared" si="32"/>
        <v>#VALUE!</v>
      </c>
    </row>
    <row r="2055" spans="11:11" x14ac:dyDescent="0.25">
      <c r="K2055" s="8" t="e">
        <f t="shared" si="32"/>
        <v>#VALUE!</v>
      </c>
    </row>
    <row r="2056" spans="11:11" x14ac:dyDescent="0.25">
      <c r="K2056" s="8" t="e">
        <f t="shared" si="32"/>
        <v>#VALUE!</v>
      </c>
    </row>
    <row r="2057" spans="11:11" x14ac:dyDescent="0.25">
      <c r="K2057" s="8" t="e">
        <f t="shared" si="32"/>
        <v>#VALUE!</v>
      </c>
    </row>
    <row r="2058" spans="11:11" x14ac:dyDescent="0.25">
      <c r="K2058" s="8" t="e">
        <f t="shared" si="32"/>
        <v>#VALUE!</v>
      </c>
    </row>
    <row r="2059" spans="11:11" x14ac:dyDescent="0.25">
      <c r="K2059" s="8" t="e">
        <f t="shared" si="32"/>
        <v>#VALUE!</v>
      </c>
    </row>
    <row r="2060" spans="11:11" x14ac:dyDescent="0.25">
      <c r="K2060" s="8" t="e">
        <f t="shared" si="32"/>
        <v>#VALUE!</v>
      </c>
    </row>
    <row r="2061" spans="11:11" x14ac:dyDescent="0.25">
      <c r="K2061" s="8" t="e">
        <f t="shared" si="32"/>
        <v>#VALUE!</v>
      </c>
    </row>
    <row r="2062" spans="11:11" x14ac:dyDescent="0.25">
      <c r="K2062" s="8" t="e">
        <f t="shared" si="32"/>
        <v>#VALUE!</v>
      </c>
    </row>
    <row r="2063" spans="11:11" x14ac:dyDescent="0.25">
      <c r="K2063" s="8" t="e">
        <f t="shared" si="32"/>
        <v>#VALUE!</v>
      </c>
    </row>
    <row r="2064" spans="11:11" x14ac:dyDescent="0.25">
      <c r="K2064" s="8" t="e">
        <f t="shared" si="32"/>
        <v>#VALUE!</v>
      </c>
    </row>
    <row r="2065" spans="11:11" x14ac:dyDescent="0.25">
      <c r="K2065" s="8" t="e">
        <f t="shared" si="32"/>
        <v>#VALUE!</v>
      </c>
    </row>
    <row r="2066" spans="11:11" x14ac:dyDescent="0.25">
      <c r="K2066" s="8" t="e">
        <f t="shared" si="32"/>
        <v>#VALUE!</v>
      </c>
    </row>
    <row r="2067" spans="11:11" x14ac:dyDescent="0.25">
      <c r="K2067" s="8" t="e">
        <f t="shared" si="32"/>
        <v>#VALUE!</v>
      </c>
    </row>
    <row r="2068" spans="11:11" x14ac:dyDescent="0.25">
      <c r="K2068" s="8" t="e">
        <f t="shared" si="32"/>
        <v>#VALUE!</v>
      </c>
    </row>
    <row r="2069" spans="11:11" x14ac:dyDescent="0.25">
      <c r="K2069" s="8" t="e">
        <f t="shared" si="32"/>
        <v>#VALUE!</v>
      </c>
    </row>
    <row r="2070" spans="11:11" x14ac:dyDescent="0.25">
      <c r="K2070" s="8" t="e">
        <f t="shared" si="32"/>
        <v>#VALUE!</v>
      </c>
    </row>
    <row r="2071" spans="11:11" x14ac:dyDescent="0.25">
      <c r="K2071" s="8" t="e">
        <f t="shared" si="32"/>
        <v>#VALUE!</v>
      </c>
    </row>
    <row r="2072" spans="11:11" x14ac:dyDescent="0.25">
      <c r="K2072" s="8" t="e">
        <f t="shared" si="32"/>
        <v>#VALUE!</v>
      </c>
    </row>
    <row r="2073" spans="11:11" x14ac:dyDescent="0.25">
      <c r="K2073" s="8" t="e">
        <f t="shared" si="32"/>
        <v>#VALUE!</v>
      </c>
    </row>
    <row r="2074" spans="11:11" x14ac:dyDescent="0.25">
      <c r="K2074" s="8" t="e">
        <f t="shared" si="32"/>
        <v>#VALUE!</v>
      </c>
    </row>
    <row r="2075" spans="11:11" x14ac:dyDescent="0.25">
      <c r="K2075" s="8" t="e">
        <f t="shared" si="32"/>
        <v>#VALUE!</v>
      </c>
    </row>
    <row r="2076" spans="11:11" x14ac:dyDescent="0.25">
      <c r="K2076" s="8" t="e">
        <f t="shared" si="32"/>
        <v>#VALUE!</v>
      </c>
    </row>
    <row r="2077" spans="11:11" x14ac:dyDescent="0.25">
      <c r="K2077" s="8" t="e">
        <f t="shared" si="32"/>
        <v>#VALUE!</v>
      </c>
    </row>
    <row r="2078" spans="11:11" x14ac:dyDescent="0.25">
      <c r="K2078" s="8" t="e">
        <f t="shared" si="32"/>
        <v>#VALUE!</v>
      </c>
    </row>
    <row r="2079" spans="11:11" x14ac:dyDescent="0.25">
      <c r="K2079" s="8" t="e">
        <f t="shared" si="32"/>
        <v>#VALUE!</v>
      </c>
    </row>
    <row r="2080" spans="11:11" x14ac:dyDescent="0.25">
      <c r="K2080" s="8" t="e">
        <f t="shared" si="32"/>
        <v>#VALUE!</v>
      </c>
    </row>
    <row r="2081" spans="11:11" x14ac:dyDescent="0.25">
      <c r="K2081" s="8" t="e">
        <f t="shared" si="32"/>
        <v>#VALUE!</v>
      </c>
    </row>
    <row r="2082" spans="11:11" x14ac:dyDescent="0.25">
      <c r="K2082" s="8" t="e">
        <f t="shared" si="32"/>
        <v>#VALUE!</v>
      </c>
    </row>
    <row r="2083" spans="11:11" x14ac:dyDescent="0.25">
      <c r="K2083" s="8" t="e">
        <f t="shared" si="32"/>
        <v>#VALUE!</v>
      </c>
    </row>
    <row r="2084" spans="11:11" x14ac:dyDescent="0.25">
      <c r="K2084" s="8" t="e">
        <f t="shared" si="32"/>
        <v>#VALUE!</v>
      </c>
    </row>
    <row r="2085" spans="11:11" x14ac:dyDescent="0.25">
      <c r="K2085" s="8" t="e">
        <f t="shared" si="32"/>
        <v>#VALUE!</v>
      </c>
    </row>
    <row r="2086" spans="11:11" x14ac:dyDescent="0.25">
      <c r="K2086" s="8" t="e">
        <f t="shared" si="32"/>
        <v>#VALUE!</v>
      </c>
    </row>
    <row r="2087" spans="11:11" x14ac:dyDescent="0.25">
      <c r="K2087" s="8" t="e">
        <f t="shared" si="32"/>
        <v>#VALUE!</v>
      </c>
    </row>
    <row r="2088" spans="11:11" x14ac:dyDescent="0.25">
      <c r="K2088" s="8" t="e">
        <f t="shared" si="32"/>
        <v>#VALUE!</v>
      </c>
    </row>
    <row r="2089" spans="11:11" x14ac:dyDescent="0.25">
      <c r="K2089" s="8" t="e">
        <f t="shared" si="32"/>
        <v>#VALUE!</v>
      </c>
    </row>
    <row r="2090" spans="11:11" x14ac:dyDescent="0.25">
      <c r="K2090" s="8" t="e">
        <f t="shared" si="32"/>
        <v>#VALUE!</v>
      </c>
    </row>
    <row r="2091" spans="11:11" x14ac:dyDescent="0.25">
      <c r="K2091" s="8" t="e">
        <f t="shared" si="32"/>
        <v>#VALUE!</v>
      </c>
    </row>
    <row r="2092" spans="11:11" x14ac:dyDescent="0.25">
      <c r="K2092" s="8" t="e">
        <f t="shared" si="32"/>
        <v>#VALUE!</v>
      </c>
    </row>
    <row r="2093" spans="11:11" x14ac:dyDescent="0.25">
      <c r="K2093" s="8" t="e">
        <f t="shared" si="32"/>
        <v>#VALUE!</v>
      </c>
    </row>
    <row r="2094" spans="11:11" x14ac:dyDescent="0.25">
      <c r="K2094" s="8" t="e">
        <f t="shared" si="32"/>
        <v>#VALUE!</v>
      </c>
    </row>
    <row r="2095" spans="11:11" x14ac:dyDescent="0.25">
      <c r="K2095" s="8" t="e">
        <f t="shared" si="32"/>
        <v>#VALUE!</v>
      </c>
    </row>
    <row r="2096" spans="11:11" x14ac:dyDescent="0.25">
      <c r="K2096" s="8" t="e">
        <f t="shared" si="32"/>
        <v>#VALUE!</v>
      </c>
    </row>
    <row r="2097" spans="11:11" x14ac:dyDescent="0.25">
      <c r="K2097" s="8" t="e">
        <f t="shared" si="32"/>
        <v>#VALUE!</v>
      </c>
    </row>
    <row r="2098" spans="11:11" x14ac:dyDescent="0.25">
      <c r="K2098" s="8" t="e">
        <f t="shared" si="32"/>
        <v>#VALUE!</v>
      </c>
    </row>
    <row r="2099" spans="11:11" x14ac:dyDescent="0.25">
      <c r="K2099" s="8" t="e">
        <f t="shared" si="32"/>
        <v>#VALUE!</v>
      </c>
    </row>
    <row r="2100" spans="11:11" x14ac:dyDescent="0.25">
      <c r="K2100" s="8" t="e">
        <f t="shared" si="32"/>
        <v>#VALUE!</v>
      </c>
    </row>
    <row r="2101" spans="11:11" x14ac:dyDescent="0.25">
      <c r="K2101" s="8" t="e">
        <f t="shared" si="32"/>
        <v>#VALUE!</v>
      </c>
    </row>
    <row r="2102" spans="11:11" x14ac:dyDescent="0.25">
      <c r="K2102" s="8" t="e">
        <f t="shared" si="32"/>
        <v>#VALUE!</v>
      </c>
    </row>
    <row r="2103" spans="11:11" x14ac:dyDescent="0.25">
      <c r="K2103" s="8" t="e">
        <f t="shared" si="32"/>
        <v>#VALUE!</v>
      </c>
    </row>
    <row r="2104" spans="11:11" x14ac:dyDescent="0.25">
      <c r="K2104" s="8" t="e">
        <f t="shared" si="32"/>
        <v>#VALUE!</v>
      </c>
    </row>
    <row r="2105" spans="11:11" x14ac:dyDescent="0.25">
      <c r="K2105" s="8" t="e">
        <f t="shared" si="32"/>
        <v>#VALUE!</v>
      </c>
    </row>
    <row r="2106" spans="11:11" x14ac:dyDescent="0.25">
      <c r="K2106" s="8" t="e">
        <f t="shared" si="32"/>
        <v>#VALUE!</v>
      </c>
    </row>
    <row r="2107" spans="11:11" x14ac:dyDescent="0.25">
      <c r="K2107" s="8" t="e">
        <f t="shared" si="32"/>
        <v>#VALUE!</v>
      </c>
    </row>
    <row r="2108" spans="11:11" x14ac:dyDescent="0.25">
      <c r="K2108" s="8" t="e">
        <f t="shared" si="32"/>
        <v>#VALUE!</v>
      </c>
    </row>
    <row r="2109" spans="11:11" x14ac:dyDescent="0.25">
      <c r="K2109" s="8" t="e">
        <f t="shared" si="32"/>
        <v>#VALUE!</v>
      </c>
    </row>
    <row r="2110" spans="11:11" x14ac:dyDescent="0.25">
      <c r="K2110" s="8" t="e">
        <f t="shared" si="32"/>
        <v>#VALUE!</v>
      </c>
    </row>
    <row r="2111" spans="11:11" x14ac:dyDescent="0.25">
      <c r="K2111" s="8" t="e">
        <f t="shared" si="32"/>
        <v>#VALUE!</v>
      </c>
    </row>
    <row r="2112" spans="11:11" x14ac:dyDescent="0.25">
      <c r="K2112" s="8" t="e">
        <f t="shared" si="32"/>
        <v>#VALUE!</v>
      </c>
    </row>
    <row r="2113" spans="11:11" x14ac:dyDescent="0.25">
      <c r="K2113" s="8" t="e">
        <f t="shared" si="32"/>
        <v>#VALUE!</v>
      </c>
    </row>
    <row r="2114" spans="11:11" x14ac:dyDescent="0.25">
      <c r="K2114" s="8" t="e">
        <f t="shared" si="32"/>
        <v>#VALUE!</v>
      </c>
    </row>
    <row r="2115" spans="11:11" x14ac:dyDescent="0.25">
      <c r="K2115" s="8" t="e">
        <f t="shared" ref="K2115:K2178" si="33">LEFT(A2115,FIND("/",A2115)-1)</f>
        <v>#VALUE!</v>
      </c>
    </row>
    <row r="2116" spans="11:11" x14ac:dyDescent="0.25">
      <c r="K2116" s="8" t="e">
        <f t="shared" si="33"/>
        <v>#VALUE!</v>
      </c>
    </row>
    <row r="2117" spans="11:11" x14ac:dyDescent="0.25">
      <c r="K2117" s="8" t="e">
        <f t="shared" si="33"/>
        <v>#VALUE!</v>
      </c>
    </row>
    <row r="2118" spans="11:11" x14ac:dyDescent="0.25">
      <c r="K2118" s="8" t="e">
        <f t="shared" si="33"/>
        <v>#VALUE!</v>
      </c>
    </row>
    <row r="2119" spans="11:11" x14ac:dyDescent="0.25">
      <c r="K2119" s="8" t="e">
        <f t="shared" si="33"/>
        <v>#VALUE!</v>
      </c>
    </row>
    <row r="2120" spans="11:11" x14ac:dyDescent="0.25">
      <c r="K2120" s="8" t="e">
        <f t="shared" si="33"/>
        <v>#VALUE!</v>
      </c>
    </row>
    <row r="2121" spans="11:11" x14ac:dyDescent="0.25">
      <c r="K2121" s="8" t="e">
        <f t="shared" si="33"/>
        <v>#VALUE!</v>
      </c>
    </row>
    <row r="2122" spans="11:11" x14ac:dyDescent="0.25">
      <c r="K2122" s="8" t="e">
        <f t="shared" si="33"/>
        <v>#VALUE!</v>
      </c>
    </row>
    <row r="2123" spans="11:11" x14ac:dyDescent="0.25">
      <c r="K2123" s="8" t="e">
        <f t="shared" si="33"/>
        <v>#VALUE!</v>
      </c>
    </row>
    <row r="2124" spans="11:11" x14ac:dyDescent="0.25">
      <c r="K2124" s="8" t="e">
        <f t="shared" si="33"/>
        <v>#VALUE!</v>
      </c>
    </row>
    <row r="2125" spans="11:11" x14ac:dyDescent="0.25">
      <c r="K2125" s="8" t="e">
        <f t="shared" si="33"/>
        <v>#VALUE!</v>
      </c>
    </row>
    <row r="2126" spans="11:11" x14ac:dyDescent="0.25">
      <c r="K2126" s="8" t="e">
        <f t="shared" si="33"/>
        <v>#VALUE!</v>
      </c>
    </row>
    <row r="2127" spans="11:11" x14ac:dyDescent="0.25">
      <c r="K2127" s="8" t="e">
        <f t="shared" si="33"/>
        <v>#VALUE!</v>
      </c>
    </row>
    <row r="2128" spans="11:11" x14ac:dyDescent="0.25">
      <c r="K2128" s="8" t="e">
        <f t="shared" si="33"/>
        <v>#VALUE!</v>
      </c>
    </row>
    <row r="2129" spans="11:11" x14ac:dyDescent="0.25">
      <c r="K2129" s="8" t="e">
        <f t="shared" si="33"/>
        <v>#VALUE!</v>
      </c>
    </row>
    <row r="2130" spans="11:11" x14ac:dyDescent="0.25">
      <c r="K2130" s="8" t="e">
        <f t="shared" si="33"/>
        <v>#VALUE!</v>
      </c>
    </row>
    <row r="2131" spans="11:11" x14ac:dyDescent="0.25">
      <c r="K2131" s="8" t="e">
        <f t="shared" si="33"/>
        <v>#VALUE!</v>
      </c>
    </row>
    <row r="2132" spans="11:11" x14ac:dyDescent="0.25">
      <c r="K2132" s="8" t="e">
        <f t="shared" si="33"/>
        <v>#VALUE!</v>
      </c>
    </row>
    <row r="2133" spans="11:11" x14ac:dyDescent="0.25">
      <c r="K2133" s="8" t="e">
        <f t="shared" si="33"/>
        <v>#VALUE!</v>
      </c>
    </row>
    <row r="2134" spans="11:11" x14ac:dyDescent="0.25">
      <c r="K2134" s="8" t="e">
        <f t="shared" si="33"/>
        <v>#VALUE!</v>
      </c>
    </row>
    <row r="2135" spans="11:11" x14ac:dyDescent="0.25">
      <c r="K2135" s="8" t="e">
        <f t="shared" si="33"/>
        <v>#VALUE!</v>
      </c>
    </row>
    <row r="2136" spans="11:11" x14ac:dyDescent="0.25">
      <c r="K2136" s="8" t="e">
        <f t="shared" si="33"/>
        <v>#VALUE!</v>
      </c>
    </row>
    <row r="2137" spans="11:11" x14ac:dyDescent="0.25">
      <c r="K2137" s="8" t="e">
        <f t="shared" si="33"/>
        <v>#VALUE!</v>
      </c>
    </row>
    <row r="2138" spans="11:11" x14ac:dyDescent="0.25">
      <c r="K2138" s="8" t="e">
        <f t="shared" si="33"/>
        <v>#VALUE!</v>
      </c>
    </row>
    <row r="2139" spans="11:11" x14ac:dyDescent="0.25">
      <c r="K2139" s="8" t="e">
        <f t="shared" si="33"/>
        <v>#VALUE!</v>
      </c>
    </row>
    <row r="2140" spans="11:11" x14ac:dyDescent="0.25">
      <c r="K2140" s="8" t="e">
        <f t="shared" si="33"/>
        <v>#VALUE!</v>
      </c>
    </row>
    <row r="2141" spans="11:11" x14ac:dyDescent="0.25">
      <c r="K2141" s="8" t="e">
        <f t="shared" si="33"/>
        <v>#VALUE!</v>
      </c>
    </row>
    <row r="2142" spans="11:11" x14ac:dyDescent="0.25">
      <c r="K2142" s="8" t="e">
        <f t="shared" si="33"/>
        <v>#VALUE!</v>
      </c>
    </row>
    <row r="2143" spans="11:11" x14ac:dyDescent="0.25">
      <c r="K2143" s="8" t="e">
        <f t="shared" si="33"/>
        <v>#VALUE!</v>
      </c>
    </row>
    <row r="2144" spans="11:11" x14ac:dyDescent="0.25">
      <c r="K2144" s="8" t="e">
        <f t="shared" si="33"/>
        <v>#VALUE!</v>
      </c>
    </row>
    <row r="2145" spans="11:11" x14ac:dyDescent="0.25">
      <c r="K2145" s="8" t="e">
        <f t="shared" si="33"/>
        <v>#VALUE!</v>
      </c>
    </row>
    <row r="2146" spans="11:11" x14ac:dyDescent="0.25">
      <c r="K2146" s="8" t="e">
        <f t="shared" si="33"/>
        <v>#VALUE!</v>
      </c>
    </row>
    <row r="2147" spans="11:11" x14ac:dyDescent="0.25">
      <c r="K2147" s="8" t="e">
        <f t="shared" si="33"/>
        <v>#VALUE!</v>
      </c>
    </row>
    <row r="2148" spans="11:11" x14ac:dyDescent="0.25">
      <c r="K2148" s="8" t="e">
        <f t="shared" si="33"/>
        <v>#VALUE!</v>
      </c>
    </row>
    <row r="2149" spans="11:11" x14ac:dyDescent="0.25">
      <c r="K2149" s="8" t="e">
        <f t="shared" si="33"/>
        <v>#VALUE!</v>
      </c>
    </row>
    <row r="2150" spans="11:11" x14ac:dyDescent="0.25">
      <c r="K2150" s="8" t="e">
        <f t="shared" si="33"/>
        <v>#VALUE!</v>
      </c>
    </row>
    <row r="2151" spans="11:11" x14ac:dyDescent="0.25">
      <c r="K2151" s="8" t="e">
        <f t="shared" si="33"/>
        <v>#VALUE!</v>
      </c>
    </row>
    <row r="2152" spans="11:11" x14ac:dyDescent="0.25">
      <c r="K2152" s="8" t="e">
        <f t="shared" si="33"/>
        <v>#VALUE!</v>
      </c>
    </row>
    <row r="2153" spans="11:11" x14ac:dyDescent="0.25">
      <c r="K2153" s="8" t="e">
        <f t="shared" si="33"/>
        <v>#VALUE!</v>
      </c>
    </row>
    <row r="2154" spans="11:11" x14ac:dyDescent="0.25">
      <c r="K2154" s="8" t="e">
        <f t="shared" si="33"/>
        <v>#VALUE!</v>
      </c>
    </row>
    <row r="2155" spans="11:11" x14ac:dyDescent="0.25">
      <c r="K2155" s="8" t="e">
        <f t="shared" si="33"/>
        <v>#VALUE!</v>
      </c>
    </row>
    <row r="2156" spans="11:11" x14ac:dyDescent="0.25">
      <c r="K2156" s="8" t="e">
        <f t="shared" si="33"/>
        <v>#VALUE!</v>
      </c>
    </row>
    <row r="2157" spans="11:11" x14ac:dyDescent="0.25">
      <c r="K2157" s="8" t="e">
        <f t="shared" si="33"/>
        <v>#VALUE!</v>
      </c>
    </row>
    <row r="2158" spans="11:11" x14ac:dyDescent="0.25">
      <c r="K2158" s="8" t="e">
        <f t="shared" si="33"/>
        <v>#VALUE!</v>
      </c>
    </row>
    <row r="2159" spans="11:11" x14ac:dyDescent="0.25">
      <c r="K2159" s="8" t="e">
        <f t="shared" si="33"/>
        <v>#VALUE!</v>
      </c>
    </row>
    <row r="2160" spans="11:11" x14ac:dyDescent="0.25">
      <c r="K2160" s="8" t="e">
        <f t="shared" si="33"/>
        <v>#VALUE!</v>
      </c>
    </row>
    <row r="2161" spans="11:11" x14ac:dyDescent="0.25">
      <c r="K2161" s="8" t="e">
        <f t="shared" si="33"/>
        <v>#VALUE!</v>
      </c>
    </row>
    <row r="2162" spans="11:11" x14ac:dyDescent="0.25">
      <c r="K2162" s="8" t="e">
        <f t="shared" si="33"/>
        <v>#VALUE!</v>
      </c>
    </row>
    <row r="2163" spans="11:11" x14ac:dyDescent="0.25">
      <c r="K2163" s="8" t="e">
        <f t="shared" si="33"/>
        <v>#VALUE!</v>
      </c>
    </row>
    <row r="2164" spans="11:11" x14ac:dyDescent="0.25">
      <c r="K2164" s="8" t="e">
        <f t="shared" si="33"/>
        <v>#VALUE!</v>
      </c>
    </row>
    <row r="2165" spans="11:11" x14ac:dyDescent="0.25">
      <c r="K2165" s="8" t="e">
        <f t="shared" si="33"/>
        <v>#VALUE!</v>
      </c>
    </row>
    <row r="2166" spans="11:11" x14ac:dyDescent="0.25">
      <c r="K2166" s="8" t="e">
        <f t="shared" si="33"/>
        <v>#VALUE!</v>
      </c>
    </row>
    <row r="2167" spans="11:11" x14ac:dyDescent="0.25">
      <c r="K2167" s="8" t="e">
        <f t="shared" si="33"/>
        <v>#VALUE!</v>
      </c>
    </row>
    <row r="2168" spans="11:11" x14ac:dyDescent="0.25">
      <c r="K2168" s="8" t="e">
        <f t="shared" si="33"/>
        <v>#VALUE!</v>
      </c>
    </row>
    <row r="2169" spans="11:11" x14ac:dyDescent="0.25">
      <c r="K2169" s="8" t="e">
        <f t="shared" si="33"/>
        <v>#VALUE!</v>
      </c>
    </row>
    <row r="2170" spans="11:11" x14ac:dyDescent="0.25">
      <c r="K2170" s="8" t="e">
        <f t="shared" si="33"/>
        <v>#VALUE!</v>
      </c>
    </row>
    <row r="2171" spans="11:11" x14ac:dyDescent="0.25">
      <c r="K2171" s="8" t="e">
        <f t="shared" si="33"/>
        <v>#VALUE!</v>
      </c>
    </row>
    <row r="2172" spans="11:11" x14ac:dyDescent="0.25">
      <c r="K2172" s="8" t="e">
        <f t="shared" si="33"/>
        <v>#VALUE!</v>
      </c>
    </row>
    <row r="2173" spans="11:11" x14ac:dyDescent="0.25">
      <c r="K2173" s="8" t="e">
        <f t="shared" si="33"/>
        <v>#VALUE!</v>
      </c>
    </row>
    <row r="2174" spans="11:11" x14ac:dyDescent="0.25">
      <c r="K2174" s="8" t="e">
        <f t="shared" si="33"/>
        <v>#VALUE!</v>
      </c>
    </row>
    <row r="2175" spans="11:11" x14ac:dyDescent="0.25">
      <c r="K2175" s="8" t="e">
        <f t="shared" si="33"/>
        <v>#VALUE!</v>
      </c>
    </row>
    <row r="2176" spans="11:11" x14ac:dyDescent="0.25">
      <c r="K2176" s="8" t="e">
        <f t="shared" si="33"/>
        <v>#VALUE!</v>
      </c>
    </row>
    <row r="2177" spans="11:11" x14ac:dyDescent="0.25">
      <c r="K2177" s="8" t="e">
        <f t="shared" si="33"/>
        <v>#VALUE!</v>
      </c>
    </row>
    <row r="2178" spans="11:11" x14ac:dyDescent="0.25">
      <c r="K2178" s="8" t="e">
        <f t="shared" si="33"/>
        <v>#VALUE!</v>
      </c>
    </row>
    <row r="2179" spans="11:11" x14ac:dyDescent="0.25">
      <c r="K2179" s="8" t="e">
        <f t="shared" ref="K2179:K2242" si="34">LEFT(A2179,FIND("/",A2179)-1)</f>
        <v>#VALUE!</v>
      </c>
    </row>
    <row r="2180" spans="11:11" x14ac:dyDescent="0.25">
      <c r="K2180" s="8" t="e">
        <f t="shared" si="34"/>
        <v>#VALUE!</v>
      </c>
    </row>
    <row r="2181" spans="11:11" x14ac:dyDescent="0.25">
      <c r="K2181" s="8" t="e">
        <f t="shared" si="34"/>
        <v>#VALUE!</v>
      </c>
    </row>
    <row r="2182" spans="11:11" x14ac:dyDescent="0.25">
      <c r="K2182" s="8" t="e">
        <f t="shared" si="34"/>
        <v>#VALUE!</v>
      </c>
    </row>
    <row r="2183" spans="11:11" x14ac:dyDescent="0.25">
      <c r="K2183" s="8" t="e">
        <f t="shared" si="34"/>
        <v>#VALUE!</v>
      </c>
    </row>
    <row r="2184" spans="11:11" x14ac:dyDescent="0.25">
      <c r="K2184" s="8" t="e">
        <f t="shared" si="34"/>
        <v>#VALUE!</v>
      </c>
    </row>
    <row r="2185" spans="11:11" x14ac:dyDescent="0.25">
      <c r="K2185" s="8" t="e">
        <f t="shared" si="34"/>
        <v>#VALUE!</v>
      </c>
    </row>
    <row r="2186" spans="11:11" x14ac:dyDescent="0.25">
      <c r="K2186" s="8" t="e">
        <f t="shared" si="34"/>
        <v>#VALUE!</v>
      </c>
    </row>
    <row r="2187" spans="11:11" x14ac:dyDescent="0.25">
      <c r="K2187" s="8" t="e">
        <f t="shared" si="34"/>
        <v>#VALUE!</v>
      </c>
    </row>
    <row r="2188" spans="11:11" x14ac:dyDescent="0.25">
      <c r="K2188" s="8" t="e">
        <f t="shared" si="34"/>
        <v>#VALUE!</v>
      </c>
    </row>
    <row r="2189" spans="11:11" x14ac:dyDescent="0.25">
      <c r="K2189" s="8" t="e">
        <f t="shared" si="34"/>
        <v>#VALUE!</v>
      </c>
    </row>
    <row r="2190" spans="11:11" x14ac:dyDescent="0.25">
      <c r="K2190" s="8" t="e">
        <f t="shared" si="34"/>
        <v>#VALUE!</v>
      </c>
    </row>
    <row r="2191" spans="11:11" x14ac:dyDescent="0.25">
      <c r="K2191" s="8" t="e">
        <f t="shared" si="34"/>
        <v>#VALUE!</v>
      </c>
    </row>
    <row r="2192" spans="11:11" x14ac:dyDescent="0.25">
      <c r="K2192" s="8" t="e">
        <f t="shared" si="34"/>
        <v>#VALUE!</v>
      </c>
    </row>
    <row r="2193" spans="11:11" x14ac:dyDescent="0.25">
      <c r="K2193" s="8" t="e">
        <f t="shared" si="34"/>
        <v>#VALUE!</v>
      </c>
    </row>
    <row r="2194" spans="11:11" x14ac:dyDescent="0.25">
      <c r="K2194" s="8" t="e">
        <f t="shared" si="34"/>
        <v>#VALUE!</v>
      </c>
    </row>
    <row r="2195" spans="11:11" x14ac:dyDescent="0.25">
      <c r="K2195" s="8" t="e">
        <f t="shared" si="34"/>
        <v>#VALUE!</v>
      </c>
    </row>
    <row r="2196" spans="11:11" x14ac:dyDescent="0.25">
      <c r="K2196" s="8" t="e">
        <f t="shared" si="34"/>
        <v>#VALUE!</v>
      </c>
    </row>
    <row r="2197" spans="11:11" x14ac:dyDescent="0.25">
      <c r="K2197" s="8" t="e">
        <f t="shared" si="34"/>
        <v>#VALUE!</v>
      </c>
    </row>
    <row r="2198" spans="11:11" x14ac:dyDescent="0.25">
      <c r="K2198" s="8" t="e">
        <f t="shared" si="34"/>
        <v>#VALUE!</v>
      </c>
    </row>
    <row r="2199" spans="11:11" x14ac:dyDescent="0.25">
      <c r="K2199" s="8" t="e">
        <f t="shared" si="34"/>
        <v>#VALUE!</v>
      </c>
    </row>
    <row r="2200" spans="11:11" x14ac:dyDescent="0.25">
      <c r="K2200" s="8" t="e">
        <f t="shared" si="34"/>
        <v>#VALUE!</v>
      </c>
    </row>
    <row r="2201" spans="11:11" x14ac:dyDescent="0.25">
      <c r="K2201" s="8" t="e">
        <f t="shared" si="34"/>
        <v>#VALUE!</v>
      </c>
    </row>
    <row r="2202" spans="11:11" x14ac:dyDescent="0.25">
      <c r="K2202" s="8" t="e">
        <f t="shared" si="34"/>
        <v>#VALUE!</v>
      </c>
    </row>
    <row r="2203" spans="11:11" x14ac:dyDescent="0.25">
      <c r="K2203" s="8" t="e">
        <f t="shared" si="34"/>
        <v>#VALUE!</v>
      </c>
    </row>
    <row r="2204" spans="11:11" x14ac:dyDescent="0.25">
      <c r="K2204" s="8" t="e">
        <f t="shared" si="34"/>
        <v>#VALUE!</v>
      </c>
    </row>
    <row r="2205" spans="11:11" x14ac:dyDescent="0.25">
      <c r="K2205" s="8" t="e">
        <f t="shared" si="34"/>
        <v>#VALUE!</v>
      </c>
    </row>
    <row r="2206" spans="11:11" x14ac:dyDescent="0.25">
      <c r="K2206" s="8" t="e">
        <f t="shared" si="34"/>
        <v>#VALUE!</v>
      </c>
    </row>
    <row r="2207" spans="11:11" x14ac:dyDescent="0.25">
      <c r="K2207" s="8" t="e">
        <f t="shared" si="34"/>
        <v>#VALUE!</v>
      </c>
    </row>
    <row r="2208" spans="11:11" x14ac:dyDescent="0.25">
      <c r="K2208" s="8" t="e">
        <f t="shared" si="34"/>
        <v>#VALUE!</v>
      </c>
    </row>
    <row r="2209" spans="11:11" x14ac:dyDescent="0.25">
      <c r="K2209" s="8" t="e">
        <f t="shared" si="34"/>
        <v>#VALUE!</v>
      </c>
    </row>
    <row r="2210" spans="11:11" x14ac:dyDescent="0.25">
      <c r="K2210" s="8" t="e">
        <f t="shared" si="34"/>
        <v>#VALUE!</v>
      </c>
    </row>
    <row r="2211" spans="11:11" x14ac:dyDescent="0.25">
      <c r="K2211" s="8" t="e">
        <f t="shared" si="34"/>
        <v>#VALUE!</v>
      </c>
    </row>
    <row r="2212" spans="11:11" x14ac:dyDescent="0.25">
      <c r="K2212" s="8" t="e">
        <f t="shared" si="34"/>
        <v>#VALUE!</v>
      </c>
    </row>
    <row r="2213" spans="11:11" x14ac:dyDescent="0.25">
      <c r="K2213" s="8" t="e">
        <f t="shared" si="34"/>
        <v>#VALUE!</v>
      </c>
    </row>
    <row r="2214" spans="11:11" x14ac:dyDescent="0.25">
      <c r="K2214" s="8" t="e">
        <f t="shared" si="34"/>
        <v>#VALUE!</v>
      </c>
    </row>
    <row r="2215" spans="11:11" x14ac:dyDescent="0.25">
      <c r="K2215" s="8" t="e">
        <f t="shared" si="34"/>
        <v>#VALUE!</v>
      </c>
    </row>
    <row r="2216" spans="11:11" x14ac:dyDescent="0.25">
      <c r="K2216" s="8" t="e">
        <f t="shared" si="34"/>
        <v>#VALUE!</v>
      </c>
    </row>
    <row r="2217" spans="11:11" x14ac:dyDescent="0.25">
      <c r="K2217" s="8" t="e">
        <f t="shared" si="34"/>
        <v>#VALUE!</v>
      </c>
    </row>
    <row r="2218" spans="11:11" x14ac:dyDescent="0.25">
      <c r="K2218" s="8" t="e">
        <f t="shared" si="34"/>
        <v>#VALUE!</v>
      </c>
    </row>
    <row r="2219" spans="11:11" x14ac:dyDescent="0.25">
      <c r="K2219" s="8" t="e">
        <f t="shared" si="34"/>
        <v>#VALUE!</v>
      </c>
    </row>
    <row r="2220" spans="11:11" x14ac:dyDescent="0.25">
      <c r="K2220" s="8" t="e">
        <f t="shared" si="34"/>
        <v>#VALUE!</v>
      </c>
    </row>
    <row r="2221" spans="11:11" x14ac:dyDescent="0.25">
      <c r="K2221" s="8" t="e">
        <f t="shared" si="34"/>
        <v>#VALUE!</v>
      </c>
    </row>
    <row r="2222" spans="11:11" x14ac:dyDescent="0.25">
      <c r="K2222" s="8" t="e">
        <f t="shared" si="34"/>
        <v>#VALUE!</v>
      </c>
    </row>
    <row r="2223" spans="11:11" x14ac:dyDescent="0.25">
      <c r="K2223" s="8" t="e">
        <f t="shared" si="34"/>
        <v>#VALUE!</v>
      </c>
    </row>
    <row r="2224" spans="11:11" x14ac:dyDescent="0.25">
      <c r="K2224" s="8" t="e">
        <f t="shared" si="34"/>
        <v>#VALUE!</v>
      </c>
    </row>
    <row r="2225" spans="11:11" x14ac:dyDescent="0.25">
      <c r="K2225" s="8" t="e">
        <f t="shared" si="34"/>
        <v>#VALUE!</v>
      </c>
    </row>
    <row r="2226" spans="11:11" x14ac:dyDescent="0.25">
      <c r="K2226" s="8" t="e">
        <f t="shared" si="34"/>
        <v>#VALUE!</v>
      </c>
    </row>
    <row r="2227" spans="11:11" x14ac:dyDescent="0.25">
      <c r="K2227" s="8" t="e">
        <f t="shared" si="34"/>
        <v>#VALUE!</v>
      </c>
    </row>
    <row r="2228" spans="11:11" x14ac:dyDescent="0.25">
      <c r="K2228" s="8" t="e">
        <f t="shared" si="34"/>
        <v>#VALUE!</v>
      </c>
    </row>
    <row r="2229" spans="11:11" x14ac:dyDescent="0.25">
      <c r="K2229" s="8" t="e">
        <f t="shared" si="34"/>
        <v>#VALUE!</v>
      </c>
    </row>
    <row r="2230" spans="11:11" x14ac:dyDescent="0.25">
      <c r="K2230" s="8" t="e">
        <f t="shared" si="34"/>
        <v>#VALUE!</v>
      </c>
    </row>
    <row r="2231" spans="11:11" x14ac:dyDescent="0.25">
      <c r="K2231" s="8" t="e">
        <f t="shared" si="34"/>
        <v>#VALUE!</v>
      </c>
    </row>
    <row r="2232" spans="11:11" x14ac:dyDescent="0.25">
      <c r="K2232" s="8" t="e">
        <f t="shared" si="34"/>
        <v>#VALUE!</v>
      </c>
    </row>
    <row r="2233" spans="11:11" x14ac:dyDescent="0.25">
      <c r="K2233" s="8" t="e">
        <f t="shared" si="34"/>
        <v>#VALUE!</v>
      </c>
    </row>
    <row r="2234" spans="11:11" x14ac:dyDescent="0.25">
      <c r="K2234" s="8" t="e">
        <f t="shared" si="34"/>
        <v>#VALUE!</v>
      </c>
    </row>
    <row r="2235" spans="11:11" x14ac:dyDescent="0.25">
      <c r="K2235" s="8" t="e">
        <f t="shared" si="34"/>
        <v>#VALUE!</v>
      </c>
    </row>
    <row r="2236" spans="11:11" x14ac:dyDescent="0.25">
      <c r="K2236" s="8" t="e">
        <f t="shared" si="34"/>
        <v>#VALUE!</v>
      </c>
    </row>
    <row r="2237" spans="11:11" x14ac:dyDescent="0.25">
      <c r="K2237" s="8" t="e">
        <f t="shared" si="34"/>
        <v>#VALUE!</v>
      </c>
    </row>
    <row r="2238" spans="11:11" x14ac:dyDescent="0.25">
      <c r="K2238" s="8" t="e">
        <f t="shared" si="34"/>
        <v>#VALUE!</v>
      </c>
    </row>
    <row r="2239" spans="11:11" x14ac:dyDescent="0.25">
      <c r="K2239" s="8" t="e">
        <f t="shared" si="34"/>
        <v>#VALUE!</v>
      </c>
    </row>
    <row r="2240" spans="11:11" x14ac:dyDescent="0.25">
      <c r="K2240" s="8" t="e">
        <f t="shared" si="34"/>
        <v>#VALUE!</v>
      </c>
    </row>
    <row r="2241" spans="11:11" x14ac:dyDescent="0.25">
      <c r="K2241" s="8" t="e">
        <f t="shared" si="34"/>
        <v>#VALUE!</v>
      </c>
    </row>
    <row r="2242" spans="11:11" x14ac:dyDescent="0.25">
      <c r="K2242" s="8" t="e">
        <f t="shared" si="34"/>
        <v>#VALUE!</v>
      </c>
    </row>
    <row r="2243" spans="11:11" x14ac:dyDescent="0.25">
      <c r="K2243" s="8" t="e">
        <f t="shared" ref="K2243:K2306" si="35">LEFT(A2243,FIND("/",A2243)-1)</f>
        <v>#VALUE!</v>
      </c>
    </row>
    <row r="2244" spans="11:11" x14ac:dyDescent="0.25">
      <c r="K2244" s="8" t="e">
        <f t="shared" si="35"/>
        <v>#VALUE!</v>
      </c>
    </row>
    <row r="2245" spans="11:11" x14ac:dyDescent="0.25">
      <c r="K2245" s="8" t="e">
        <f t="shared" si="35"/>
        <v>#VALUE!</v>
      </c>
    </row>
    <row r="2246" spans="11:11" x14ac:dyDescent="0.25">
      <c r="K2246" s="8" t="e">
        <f t="shared" si="35"/>
        <v>#VALUE!</v>
      </c>
    </row>
    <row r="2247" spans="11:11" x14ac:dyDescent="0.25">
      <c r="K2247" s="8" t="e">
        <f t="shared" si="35"/>
        <v>#VALUE!</v>
      </c>
    </row>
    <row r="2248" spans="11:11" x14ac:dyDescent="0.25">
      <c r="K2248" s="8" t="e">
        <f t="shared" si="35"/>
        <v>#VALUE!</v>
      </c>
    </row>
    <row r="2249" spans="11:11" x14ac:dyDescent="0.25">
      <c r="K2249" s="8" t="e">
        <f t="shared" si="35"/>
        <v>#VALUE!</v>
      </c>
    </row>
    <row r="2250" spans="11:11" x14ac:dyDescent="0.25">
      <c r="K2250" s="8" t="e">
        <f t="shared" si="35"/>
        <v>#VALUE!</v>
      </c>
    </row>
    <row r="2251" spans="11:11" x14ac:dyDescent="0.25">
      <c r="K2251" s="8" t="e">
        <f t="shared" si="35"/>
        <v>#VALUE!</v>
      </c>
    </row>
    <row r="2252" spans="11:11" x14ac:dyDescent="0.25">
      <c r="K2252" s="8" t="e">
        <f t="shared" si="35"/>
        <v>#VALUE!</v>
      </c>
    </row>
    <row r="2253" spans="11:11" x14ac:dyDescent="0.25">
      <c r="K2253" s="8" t="e">
        <f t="shared" si="35"/>
        <v>#VALUE!</v>
      </c>
    </row>
    <row r="2254" spans="11:11" x14ac:dyDescent="0.25">
      <c r="K2254" s="8" t="e">
        <f t="shared" si="35"/>
        <v>#VALUE!</v>
      </c>
    </row>
    <row r="2255" spans="11:11" x14ac:dyDescent="0.25">
      <c r="K2255" s="8" t="e">
        <f t="shared" si="35"/>
        <v>#VALUE!</v>
      </c>
    </row>
    <row r="2256" spans="11:11" x14ac:dyDescent="0.25">
      <c r="K2256" s="8" t="e">
        <f t="shared" si="35"/>
        <v>#VALUE!</v>
      </c>
    </row>
    <row r="2257" spans="11:11" x14ac:dyDescent="0.25">
      <c r="K2257" s="8" t="e">
        <f t="shared" si="35"/>
        <v>#VALUE!</v>
      </c>
    </row>
    <row r="2258" spans="11:11" x14ac:dyDescent="0.25">
      <c r="K2258" s="8" t="e">
        <f t="shared" si="35"/>
        <v>#VALUE!</v>
      </c>
    </row>
    <row r="2259" spans="11:11" x14ac:dyDescent="0.25">
      <c r="K2259" s="8" t="e">
        <f t="shared" si="35"/>
        <v>#VALUE!</v>
      </c>
    </row>
    <row r="2260" spans="11:11" x14ac:dyDescent="0.25">
      <c r="K2260" s="8" t="e">
        <f t="shared" si="35"/>
        <v>#VALUE!</v>
      </c>
    </row>
    <row r="2261" spans="11:11" x14ac:dyDescent="0.25">
      <c r="K2261" s="8" t="e">
        <f t="shared" si="35"/>
        <v>#VALUE!</v>
      </c>
    </row>
    <row r="2262" spans="11:11" x14ac:dyDescent="0.25">
      <c r="K2262" s="8" t="e">
        <f t="shared" si="35"/>
        <v>#VALUE!</v>
      </c>
    </row>
    <row r="2263" spans="11:11" x14ac:dyDescent="0.25">
      <c r="K2263" s="8" t="e">
        <f t="shared" si="35"/>
        <v>#VALUE!</v>
      </c>
    </row>
    <row r="2264" spans="11:11" x14ac:dyDescent="0.25">
      <c r="K2264" s="8" t="e">
        <f t="shared" si="35"/>
        <v>#VALUE!</v>
      </c>
    </row>
    <row r="2265" spans="11:11" x14ac:dyDescent="0.25">
      <c r="K2265" s="8" t="e">
        <f t="shared" si="35"/>
        <v>#VALUE!</v>
      </c>
    </row>
    <row r="2266" spans="11:11" x14ac:dyDescent="0.25">
      <c r="K2266" s="8" t="e">
        <f t="shared" si="35"/>
        <v>#VALUE!</v>
      </c>
    </row>
    <row r="2267" spans="11:11" x14ac:dyDescent="0.25">
      <c r="K2267" s="8" t="e">
        <f t="shared" si="35"/>
        <v>#VALUE!</v>
      </c>
    </row>
    <row r="2268" spans="11:11" x14ac:dyDescent="0.25">
      <c r="K2268" s="8" t="e">
        <f t="shared" si="35"/>
        <v>#VALUE!</v>
      </c>
    </row>
    <row r="2269" spans="11:11" x14ac:dyDescent="0.25">
      <c r="K2269" s="8" t="e">
        <f t="shared" si="35"/>
        <v>#VALUE!</v>
      </c>
    </row>
    <row r="2270" spans="11:11" x14ac:dyDescent="0.25">
      <c r="K2270" s="8" t="e">
        <f t="shared" si="35"/>
        <v>#VALUE!</v>
      </c>
    </row>
    <row r="2271" spans="11:11" x14ac:dyDescent="0.25">
      <c r="K2271" s="8" t="e">
        <f t="shared" si="35"/>
        <v>#VALUE!</v>
      </c>
    </row>
    <row r="2272" spans="11:11" x14ac:dyDescent="0.25">
      <c r="K2272" s="8" t="e">
        <f t="shared" si="35"/>
        <v>#VALUE!</v>
      </c>
    </row>
    <row r="2273" spans="11:11" x14ac:dyDescent="0.25">
      <c r="K2273" s="8" t="e">
        <f t="shared" si="35"/>
        <v>#VALUE!</v>
      </c>
    </row>
    <row r="2274" spans="11:11" x14ac:dyDescent="0.25">
      <c r="K2274" s="8" t="e">
        <f t="shared" si="35"/>
        <v>#VALUE!</v>
      </c>
    </row>
    <row r="2275" spans="11:11" x14ac:dyDescent="0.25">
      <c r="K2275" s="8" t="e">
        <f t="shared" si="35"/>
        <v>#VALUE!</v>
      </c>
    </row>
    <row r="2276" spans="11:11" x14ac:dyDescent="0.25">
      <c r="K2276" s="8" t="e">
        <f t="shared" si="35"/>
        <v>#VALUE!</v>
      </c>
    </row>
    <row r="2277" spans="11:11" x14ac:dyDescent="0.25">
      <c r="K2277" s="8" t="e">
        <f t="shared" si="35"/>
        <v>#VALUE!</v>
      </c>
    </row>
    <row r="2278" spans="11:11" x14ac:dyDescent="0.25">
      <c r="K2278" s="8" t="e">
        <f t="shared" si="35"/>
        <v>#VALUE!</v>
      </c>
    </row>
    <row r="2279" spans="11:11" x14ac:dyDescent="0.25">
      <c r="K2279" s="8" t="e">
        <f t="shared" si="35"/>
        <v>#VALUE!</v>
      </c>
    </row>
    <row r="2280" spans="11:11" x14ac:dyDescent="0.25">
      <c r="K2280" s="8" t="e">
        <f t="shared" si="35"/>
        <v>#VALUE!</v>
      </c>
    </row>
    <row r="2281" spans="11:11" x14ac:dyDescent="0.25">
      <c r="K2281" s="8" t="e">
        <f t="shared" si="35"/>
        <v>#VALUE!</v>
      </c>
    </row>
    <row r="2282" spans="11:11" x14ac:dyDescent="0.25">
      <c r="K2282" s="8" t="e">
        <f t="shared" si="35"/>
        <v>#VALUE!</v>
      </c>
    </row>
    <row r="2283" spans="11:11" x14ac:dyDescent="0.25">
      <c r="K2283" s="8" t="e">
        <f t="shared" si="35"/>
        <v>#VALUE!</v>
      </c>
    </row>
    <row r="2284" spans="11:11" x14ac:dyDescent="0.25">
      <c r="K2284" s="8" t="e">
        <f t="shared" si="35"/>
        <v>#VALUE!</v>
      </c>
    </row>
    <row r="2285" spans="11:11" x14ac:dyDescent="0.25">
      <c r="K2285" s="8" t="e">
        <f t="shared" si="35"/>
        <v>#VALUE!</v>
      </c>
    </row>
    <row r="2286" spans="11:11" x14ac:dyDescent="0.25">
      <c r="K2286" s="8" t="e">
        <f t="shared" si="35"/>
        <v>#VALUE!</v>
      </c>
    </row>
    <row r="2287" spans="11:11" x14ac:dyDescent="0.25">
      <c r="K2287" s="8" t="e">
        <f t="shared" si="35"/>
        <v>#VALUE!</v>
      </c>
    </row>
    <row r="2288" spans="11:11" x14ac:dyDescent="0.25">
      <c r="K2288" s="8" t="e">
        <f t="shared" si="35"/>
        <v>#VALUE!</v>
      </c>
    </row>
    <row r="2289" spans="11:11" x14ac:dyDescent="0.25">
      <c r="K2289" s="8" t="e">
        <f t="shared" si="35"/>
        <v>#VALUE!</v>
      </c>
    </row>
    <row r="2290" spans="11:11" x14ac:dyDescent="0.25">
      <c r="K2290" s="8" t="e">
        <f t="shared" si="35"/>
        <v>#VALUE!</v>
      </c>
    </row>
    <row r="2291" spans="11:11" x14ac:dyDescent="0.25">
      <c r="K2291" s="8" t="e">
        <f t="shared" si="35"/>
        <v>#VALUE!</v>
      </c>
    </row>
    <row r="2292" spans="11:11" x14ac:dyDescent="0.25">
      <c r="K2292" s="8" t="e">
        <f t="shared" si="35"/>
        <v>#VALUE!</v>
      </c>
    </row>
    <row r="2293" spans="11:11" x14ac:dyDescent="0.25">
      <c r="K2293" s="8" t="e">
        <f t="shared" si="35"/>
        <v>#VALUE!</v>
      </c>
    </row>
    <row r="2294" spans="11:11" x14ac:dyDescent="0.25">
      <c r="K2294" s="8" t="e">
        <f t="shared" si="35"/>
        <v>#VALUE!</v>
      </c>
    </row>
    <row r="2295" spans="11:11" x14ac:dyDescent="0.25">
      <c r="K2295" s="8" t="e">
        <f t="shared" si="35"/>
        <v>#VALUE!</v>
      </c>
    </row>
    <row r="2296" spans="11:11" x14ac:dyDescent="0.25">
      <c r="K2296" s="8" t="e">
        <f t="shared" si="35"/>
        <v>#VALUE!</v>
      </c>
    </row>
    <row r="2297" spans="11:11" x14ac:dyDescent="0.25">
      <c r="K2297" s="8" t="e">
        <f t="shared" si="35"/>
        <v>#VALUE!</v>
      </c>
    </row>
    <row r="2298" spans="11:11" x14ac:dyDescent="0.25">
      <c r="K2298" s="8" t="e">
        <f t="shared" si="35"/>
        <v>#VALUE!</v>
      </c>
    </row>
    <row r="2299" spans="11:11" x14ac:dyDescent="0.25">
      <c r="K2299" s="8" t="e">
        <f t="shared" si="35"/>
        <v>#VALUE!</v>
      </c>
    </row>
    <row r="2300" spans="11:11" x14ac:dyDescent="0.25">
      <c r="K2300" s="8" t="e">
        <f t="shared" si="35"/>
        <v>#VALUE!</v>
      </c>
    </row>
    <row r="2301" spans="11:11" x14ac:dyDescent="0.25">
      <c r="K2301" s="8" t="e">
        <f t="shared" si="35"/>
        <v>#VALUE!</v>
      </c>
    </row>
    <row r="2302" spans="11:11" x14ac:dyDescent="0.25">
      <c r="K2302" s="8" t="e">
        <f t="shared" si="35"/>
        <v>#VALUE!</v>
      </c>
    </row>
    <row r="2303" spans="11:11" x14ac:dyDescent="0.25">
      <c r="K2303" s="8" t="e">
        <f t="shared" si="35"/>
        <v>#VALUE!</v>
      </c>
    </row>
    <row r="2304" spans="11:11" x14ac:dyDescent="0.25">
      <c r="K2304" s="8" t="e">
        <f t="shared" si="35"/>
        <v>#VALUE!</v>
      </c>
    </row>
    <row r="2305" spans="11:11" x14ac:dyDescent="0.25">
      <c r="K2305" s="8" t="e">
        <f t="shared" si="35"/>
        <v>#VALUE!</v>
      </c>
    </row>
    <row r="2306" spans="11:11" x14ac:dyDescent="0.25">
      <c r="K2306" s="8" t="e">
        <f t="shared" si="35"/>
        <v>#VALUE!</v>
      </c>
    </row>
    <row r="2307" spans="11:11" x14ac:dyDescent="0.25">
      <c r="K2307" s="8" t="e">
        <f t="shared" ref="K2307:K2370" si="36">LEFT(A2307,FIND("/",A2307)-1)</f>
        <v>#VALUE!</v>
      </c>
    </row>
    <row r="2308" spans="11:11" x14ac:dyDescent="0.25">
      <c r="K2308" s="8" t="e">
        <f t="shared" si="36"/>
        <v>#VALUE!</v>
      </c>
    </row>
    <row r="2309" spans="11:11" x14ac:dyDescent="0.25">
      <c r="K2309" s="8" t="e">
        <f t="shared" si="36"/>
        <v>#VALUE!</v>
      </c>
    </row>
    <row r="2310" spans="11:11" x14ac:dyDescent="0.25">
      <c r="K2310" s="8" t="e">
        <f t="shared" si="36"/>
        <v>#VALUE!</v>
      </c>
    </row>
    <row r="2311" spans="11:11" x14ac:dyDescent="0.25">
      <c r="K2311" s="8" t="e">
        <f t="shared" si="36"/>
        <v>#VALUE!</v>
      </c>
    </row>
    <row r="2312" spans="11:11" x14ac:dyDescent="0.25">
      <c r="K2312" s="8" t="e">
        <f t="shared" si="36"/>
        <v>#VALUE!</v>
      </c>
    </row>
    <row r="2313" spans="11:11" x14ac:dyDescent="0.25">
      <c r="K2313" s="8" t="e">
        <f t="shared" si="36"/>
        <v>#VALUE!</v>
      </c>
    </row>
    <row r="2314" spans="11:11" x14ac:dyDescent="0.25">
      <c r="K2314" s="8" t="e">
        <f t="shared" si="36"/>
        <v>#VALUE!</v>
      </c>
    </row>
    <row r="2315" spans="11:11" x14ac:dyDescent="0.25">
      <c r="K2315" s="8" t="e">
        <f t="shared" si="36"/>
        <v>#VALUE!</v>
      </c>
    </row>
    <row r="2316" spans="11:11" x14ac:dyDescent="0.25">
      <c r="K2316" s="8" t="e">
        <f t="shared" si="36"/>
        <v>#VALUE!</v>
      </c>
    </row>
    <row r="2317" spans="11:11" x14ac:dyDescent="0.25">
      <c r="K2317" s="8" t="e">
        <f t="shared" si="36"/>
        <v>#VALUE!</v>
      </c>
    </row>
    <row r="2318" spans="11:11" x14ac:dyDescent="0.25">
      <c r="K2318" s="8" t="e">
        <f t="shared" si="36"/>
        <v>#VALUE!</v>
      </c>
    </row>
    <row r="2319" spans="11:11" x14ac:dyDescent="0.25">
      <c r="K2319" s="8" t="e">
        <f t="shared" si="36"/>
        <v>#VALUE!</v>
      </c>
    </row>
    <row r="2320" spans="11:11" x14ac:dyDescent="0.25">
      <c r="K2320" s="8" t="e">
        <f t="shared" si="36"/>
        <v>#VALUE!</v>
      </c>
    </row>
    <row r="2321" spans="11:11" x14ac:dyDescent="0.25">
      <c r="K2321" s="8" t="e">
        <f t="shared" si="36"/>
        <v>#VALUE!</v>
      </c>
    </row>
    <row r="2322" spans="11:11" x14ac:dyDescent="0.25">
      <c r="K2322" s="8" t="e">
        <f t="shared" si="36"/>
        <v>#VALUE!</v>
      </c>
    </row>
    <row r="2323" spans="11:11" x14ac:dyDescent="0.25">
      <c r="K2323" s="8" t="e">
        <f t="shared" si="36"/>
        <v>#VALUE!</v>
      </c>
    </row>
    <row r="2324" spans="11:11" x14ac:dyDescent="0.25">
      <c r="K2324" s="8" t="e">
        <f t="shared" si="36"/>
        <v>#VALUE!</v>
      </c>
    </row>
    <row r="2325" spans="11:11" x14ac:dyDescent="0.25">
      <c r="K2325" s="8" t="e">
        <f t="shared" si="36"/>
        <v>#VALUE!</v>
      </c>
    </row>
    <row r="2326" spans="11:11" x14ac:dyDescent="0.25">
      <c r="K2326" s="8" t="e">
        <f t="shared" si="36"/>
        <v>#VALUE!</v>
      </c>
    </row>
    <row r="2327" spans="11:11" x14ac:dyDescent="0.25">
      <c r="K2327" s="8" t="e">
        <f t="shared" si="36"/>
        <v>#VALUE!</v>
      </c>
    </row>
    <row r="2328" spans="11:11" x14ac:dyDescent="0.25">
      <c r="K2328" s="8" t="e">
        <f t="shared" si="36"/>
        <v>#VALUE!</v>
      </c>
    </row>
    <row r="2329" spans="11:11" x14ac:dyDescent="0.25">
      <c r="K2329" s="8" t="e">
        <f t="shared" si="36"/>
        <v>#VALUE!</v>
      </c>
    </row>
    <row r="2330" spans="11:11" x14ac:dyDescent="0.25">
      <c r="K2330" s="8" t="e">
        <f t="shared" si="36"/>
        <v>#VALUE!</v>
      </c>
    </row>
    <row r="2331" spans="11:11" x14ac:dyDescent="0.25">
      <c r="K2331" s="8" t="e">
        <f t="shared" si="36"/>
        <v>#VALUE!</v>
      </c>
    </row>
    <row r="2332" spans="11:11" x14ac:dyDescent="0.25">
      <c r="K2332" s="8" t="e">
        <f t="shared" si="36"/>
        <v>#VALUE!</v>
      </c>
    </row>
    <row r="2333" spans="11:11" x14ac:dyDescent="0.25">
      <c r="K2333" s="8" t="e">
        <f t="shared" si="36"/>
        <v>#VALUE!</v>
      </c>
    </row>
    <row r="2334" spans="11:11" x14ac:dyDescent="0.25">
      <c r="K2334" s="8" t="e">
        <f t="shared" si="36"/>
        <v>#VALUE!</v>
      </c>
    </row>
    <row r="2335" spans="11:11" x14ac:dyDescent="0.25">
      <c r="K2335" s="8" t="e">
        <f t="shared" si="36"/>
        <v>#VALUE!</v>
      </c>
    </row>
    <row r="2336" spans="11:11" x14ac:dyDescent="0.25">
      <c r="K2336" s="8" t="e">
        <f t="shared" si="36"/>
        <v>#VALUE!</v>
      </c>
    </row>
    <row r="2337" spans="11:11" x14ac:dyDescent="0.25">
      <c r="K2337" s="8" t="e">
        <f t="shared" si="36"/>
        <v>#VALUE!</v>
      </c>
    </row>
    <row r="2338" spans="11:11" x14ac:dyDescent="0.25">
      <c r="K2338" s="8" t="e">
        <f t="shared" si="36"/>
        <v>#VALUE!</v>
      </c>
    </row>
    <row r="2339" spans="11:11" x14ac:dyDescent="0.25">
      <c r="K2339" s="8" t="e">
        <f t="shared" si="36"/>
        <v>#VALUE!</v>
      </c>
    </row>
    <row r="2340" spans="11:11" x14ac:dyDescent="0.25">
      <c r="K2340" s="8" t="e">
        <f t="shared" si="36"/>
        <v>#VALUE!</v>
      </c>
    </row>
    <row r="2341" spans="11:11" x14ac:dyDescent="0.25">
      <c r="K2341" s="8" t="e">
        <f t="shared" si="36"/>
        <v>#VALUE!</v>
      </c>
    </row>
    <row r="2342" spans="11:11" x14ac:dyDescent="0.25">
      <c r="K2342" s="8" t="e">
        <f t="shared" si="36"/>
        <v>#VALUE!</v>
      </c>
    </row>
    <row r="2343" spans="11:11" x14ac:dyDescent="0.25">
      <c r="K2343" s="8" t="e">
        <f t="shared" si="36"/>
        <v>#VALUE!</v>
      </c>
    </row>
    <row r="2344" spans="11:11" x14ac:dyDescent="0.25">
      <c r="K2344" s="8" t="e">
        <f t="shared" si="36"/>
        <v>#VALUE!</v>
      </c>
    </row>
    <row r="2345" spans="11:11" x14ac:dyDescent="0.25">
      <c r="K2345" s="8" t="e">
        <f t="shared" si="36"/>
        <v>#VALUE!</v>
      </c>
    </row>
    <row r="2346" spans="11:11" x14ac:dyDescent="0.25">
      <c r="K2346" s="8" t="e">
        <f t="shared" si="36"/>
        <v>#VALUE!</v>
      </c>
    </row>
    <row r="2347" spans="11:11" x14ac:dyDescent="0.25">
      <c r="K2347" s="8" t="e">
        <f t="shared" si="36"/>
        <v>#VALUE!</v>
      </c>
    </row>
    <row r="2348" spans="11:11" x14ac:dyDescent="0.25">
      <c r="K2348" s="8" t="e">
        <f t="shared" si="36"/>
        <v>#VALUE!</v>
      </c>
    </row>
    <row r="2349" spans="11:11" x14ac:dyDescent="0.25">
      <c r="K2349" s="8" t="e">
        <f t="shared" si="36"/>
        <v>#VALUE!</v>
      </c>
    </row>
    <row r="2350" spans="11:11" x14ac:dyDescent="0.25">
      <c r="K2350" s="8" t="e">
        <f t="shared" si="36"/>
        <v>#VALUE!</v>
      </c>
    </row>
    <row r="2351" spans="11:11" x14ac:dyDescent="0.25">
      <c r="K2351" s="8" t="e">
        <f t="shared" si="36"/>
        <v>#VALUE!</v>
      </c>
    </row>
    <row r="2352" spans="11:11" x14ac:dyDescent="0.25">
      <c r="K2352" s="8" t="e">
        <f t="shared" si="36"/>
        <v>#VALUE!</v>
      </c>
    </row>
    <row r="2353" spans="11:11" x14ac:dyDescent="0.25">
      <c r="K2353" s="8" t="e">
        <f t="shared" si="36"/>
        <v>#VALUE!</v>
      </c>
    </row>
    <row r="2354" spans="11:11" x14ac:dyDescent="0.25">
      <c r="K2354" s="8" t="e">
        <f t="shared" si="36"/>
        <v>#VALUE!</v>
      </c>
    </row>
    <row r="2355" spans="11:11" x14ac:dyDescent="0.25">
      <c r="K2355" s="8" t="e">
        <f t="shared" si="36"/>
        <v>#VALUE!</v>
      </c>
    </row>
    <row r="2356" spans="11:11" x14ac:dyDescent="0.25">
      <c r="K2356" s="8" t="e">
        <f t="shared" si="36"/>
        <v>#VALUE!</v>
      </c>
    </row>
    <row r="2357" spans="11:11" x14ac:dyDescent="0.25">
      <c r="K2357" s="8" t="e">
        <f t="shared" si="36"/>
        <v>#VALUE!</v>
      </c>
    </row>
    <row r="2358" spans="11:11" x14ac:dyDescent="0.25">
      <c r="K2358" s="8" t="e">
        <f t="shared" si="36"/>
        <v>#VALUE!</v>
      </c>
    </row>
    <row r="2359" spans="11:11" x14ac:dyDescent="0.25">
      <c r="K2359" s="8" t="e">
        <f t="shared" si="36"/>
        <v>#VALUE!</v>
      </c>
    </row>
    <row r="2360" spans="11:11" x14ac:dyDescent="0.25">
      <c r="K2360" s="8" t="e">
        <f t="shared" si="36"/>
        <v>#VALUE!</v>
      </c>
    </row>
    <row r="2361" spans="11:11" x14ac:dyDescent="0.25">
      <c r="K2361" s="8" t="e">
        <f t="shared" si="36"/>
        <v>#VALUE!</v>
      </c>
    </row>
    <row r="2362" spans="11:11" x14ac:dyDescent="0.25">
      <c r="K2362" s="8" t="e">
        <f t="shared" si="36"/>
        <v>#VALUE!</v>
      </c>
    </row>
    <row r="2363" spans="11:11" x14ac:dyDescent="0.25">
      <c r="K2363" s="8" t="e">
        <f t="shared" si="36"/>
        <v>#VALUE!</v>
      </c>
    </row>
    <row r="2364" spans="11:11" x14ac:dyDescent="0.25">
      <c r="K2364" s="8" t="e">
        <f t="shared" si="36"/>
        <v>#VALUE!</v>
      </c>
    </row>
    <row r="2365" spans="11:11" x14ac:dyDescent="0.25">
      <c r="K2365" s="8" t="e">
        <f t="shared" si="36"/>
        <v>#VALUE!</v>
      </c>
    </row>
    <row r="2366" spans="11:11" x14ac:dyDescent="0.25">
      <c r="K2366" s="8" t="e">
        <f t="shared" si="36"/>
        <v>#VALUE!</v>
      </c>
    </row>
    <row r="2367" spans="11:11" x14ac:dyDescent="0.25">
      <c r="K2367" s="8" t="e">
        <f t="shared" si="36"/>
        <v>#VALUE!</v>
      </c>
    </row>
    <row r="2368" spans="11:11" x14ac:dyDescent="0.25">
      <c r="K2368" s="8" t="e">
        <f t="shared" si="36"/>
        <v>#VALUE!</v>
      </c>
    </row>
    <row r="2369" spans="11:11" x14ac:dyDescent="0.25">
      <c r="K2369" s="8" t="e">
        <f t="shared" si="36"/>
        <v>#VALUE!</v>
      </c>
    </row>
    <row r="2370" spans="11:11" x14ac:dyDescent="0.25">
      <c r="K2370" s="8" t="e">
        <f t="shared" si="36"/>
        <v>#VALUE!</v>
      </c>
    </row>
    <row r="2371" spans="11:11" x14ac:dyDescent="0.25">
      <c r="K2371" s="8" t="e">
        <f t="shared" ref="K2371:K2434" si="37">LEFT(A2371,FIND("/",A2371)-1)</f>
        <v>#VALUE!</v>
      </c>
    </row>
    <row r="2372" spans="11:11" x14ac:dyDescent="0.25">
      <c r="K2372" s="8" t="e">
        <f t="shared" si="37"/>
        <v>#VALUE!</v>
      </c>
    </row>
    <row r="2373" spans="11:11" x14ac:dyDescent="0.25">
      <c r="K2373" s="8" t="e">
        <f t="shared" si="37"/>
        <v>#VALUE!</v>
      </c>
    </row>
    <row r="2374" spans="11:11" x14ac:dyDescent="0.25">
      <c r="K2374" s="8" t="e">
        <f t="shared" si="37"/>
        <v>#VALUE!</v>
      </c>
    </row>
    <row r="2375" spans="11:11" x14ac:dyDescent="0.25">
      <c r="K2375" s="8" t="e">
        <f t="shared" si="37"/>
        <v>#VALUE!</v>
      </c>
    </row>
    <row r="2376" spans="11:11" x14ac:dyDescent="0.25">
      <c r="K2376" s="8" t="e">
        <f t="shared" si="37"/>
        <v>#VALUE!</v>
      </c>
    </row>
    <row r="2377" spans="11:11" x14ac:dyDescent="0.25">
      <c r="K2377" s="8" t="e">
        <f t="shared" si="37"/>
        <v>#VALUE!</v>
      </c>
    </row>
    <row r="2378" spans="11:11" x14ac:dyDescent="0.25">
      <c r="K2378" s="8" t="e">
        <f t="shared" si="37"/>
        <v>#VALUE!</v>
      </c>
    </row>
    <row r="2379" spans="11:11" x14ac:dyDescent="0.25">
      <c r="K2379" s="8" t="e">
        <f t="shared" si="37"/>
        <v>#VALUE!</v>
      </c>
    </row>
    <row r="2380" spans="11:11" x14ac:dyDescent="0.25">
      <c r="K2380" s="8" t="e">
        <f t="shared" si="37"/>
        <v>#VALUE!</v>
      </c>
    </row>
    <row r="2381" spans="11:11" x14ac:dyDescent="0.25">
      <c r="K2381" s="8" t="e">
        <f t="shared" si="37"/>
        <v>#VALUE!</v>
      </c>
    </row>
    <row r="2382" spans="11:11" x14ac:dyDescent="0.25">
      <c r="K2382" s="8" t="e">
        <f t="shared" si="37"/>
        <v>#VALUE!</v>
      </c>
    </row>
    <row r="2383" spans="11:11" x14ac:dyDescent="0.25">
      <c r="K2383" s="8" t="e">
        <f t="shared" si="37"/>
        <v>#VALUE!</v>
      </c>
    </row>
    <row r="2384" spans="11:11" x14ac:dyDescent="0.25">
      <c r="K2384" s="8" t="e">
        <f t="shared" si="37"/>
        <v>#VALUE!</v>
      </c>
    </row>
    <row r="2385" spans="11:11" x14ac:dyDescent="0.25">
      <c r="K2385" s="8" t="e">
        <f t="shared" si="37"/>
        <v>#VALUE!</v>
      </c>
    </row>
    <row r="2386" spans="11:11" x14ac:dyDescent="0.25">
      <c r="K2386" s="8" t="e">
        <f t="shared" si="37"/>
        <v>#VALUE!</v>
      </c>
    </row>
    <row r="2387" spans="11:11" x14ac:dyDescent="0.25">
      <c r="K2387" s="8" t="e">
        <f t="shared" si="37"/>
        <v>#VALUE!</v>
      </c>
    </row>
    <row r="2388" spans="11:11" x14ac:dyDescent="0.25">
      <c r="K2388" s="8" t="e">
        <f t="shared" si="37"/>
        <v>#VALUE!</v>
      </c>
    </row>
    <row r="2389" spans="11:11" x14ac:dyDescent="0.25">
      <c r="K2389" s="8" t="e">
        <f t="shared" si="37"/>
        <v>#VALUE!</v>
      </c>
    </row>
    <row r="2390" spans="11:11" x14ac:dyDescent="0.25">
      <c r="K2390" s="8" t="e">
        <f t="shared" si="37"/>
        <v>#VALUE!</v>
      </c>
    </row>
    <row r="2391" spans="11:11" x14ac:dyDescent="0.25">
      <c r="K2391" s="8" t="e">
        <f t="shared" si="37"/>
        <v>#VALUE!</v>
      </c>
    </row>
    <row r="2392" spans="11:11" x14ac:dyDescent="0.25">
      <c r="K2392" s="8" t="e">
        <f t="shared" si="37"/>
        <v>#VALUE!</v>
      </c>
    </row>
    <row r="2393" spans="11:11" x14ac:dyDescent="0.25">
      <c r="K2393" s="8" t="e">
        <f t="shared" si="37"/>
        <v>#VALUE!</v>
      </c>
    </row>
    <row r="2394" spans="11:11" x14ac:dyDescent="0.25">
      <c r="K2394" s="8" t="e">
        <f t="shared" si="37"/>
        <v>#VALUE!</v>
      </c>
    </row>
    <row r="2395" spans="11:11" x14ac:dyDescent="0.25">
      <c r="K2395" s="8" t="e">
        <f t="shared" si="37"/>
        <v>#VALUE!</v>
      </c>
    </row>
    <row r="2396" spans="11:11" x14ac:dyDescent="0.25">
      <c r="K2396" s="8" t="e">
        <f t="shared" si="37"/>
        <v>#VALUE!</v>
      </c>
    </row>
    <row r="2397" spans="11:11" x14ac:dyDescent="0.25">
      <c r="K2397" s="8" t="e">
        <f t="shared" si="37"/>
        <v>#VALUE!</v>
      </c>
    </row>
    <row r="2398" spans="11:11" x14ac:dyDescent="0.25">
      <c r="K2398" s="8" t="e">
        <f t="shared" si="37"/>
        <v>#VALUE!</v>
      </c>
    </row>
    <row r="2399" spans="11:11" x14ac:dyDescent="0.25">
      <c r="K2399" s="8" t="e">
        <f t="shared" si="37"/>
        <v>#VALUE!</v>
      </c>
    </row>
    <row r="2400" spans="11:11" x14ac:dyDescent="0.25">
      <c r="K2400" s="8" t="e">
        <f t="shared" si="37"/>
        <v>#VALUE!</v>
      </c>
    </row>
    <row r="2401" spans="11:11" x14ac:dyDescent="0.25">
      <c r="K2401" s="8" t="e">
        <f t="shared" si="37"/>
        <v>#VALUE!</v>
      </c>
    </row>
    <row r="2402" spans="11:11" x14ac:dyDescent="0.25">
      <c r="K2402" s="8" t="e">
        <f t="shared" si="37"/>
        <v>#VALUE!</v>
      </c>
    </row>
    <row r="2403" spans="11:11" x14ac:dyDescent="0.25">
      <c r="K2403" s="8" t="e">
        <f t="shared" si="37"/>
        <v>#VALUE!</v>
      </c>
    </row>
    <row r="2404" spans="11:11" x14ac:dyDescent="0.25">
      <c r="K2404" s="8" t="e">
        <f t="shared" si="37"/>
        <v>#VALUE!</v>
      </c>
    </row>
    <row r="2405" spans="11:11" x14ac:dyDescent="0.25">
      <c r="K2405" s="8" t="e">
        <f t="shared" si="37"/>
        <v>#VALUE!</v>
      </c>
    </row>
    <row r="2406" spans="11:11" x14ac:dyDescent="0.25">
      <c r="K2406" s="8" t="e">
        <f t="shared" si="37"/>
        <v>#VALUE!</v>
      </c>
    </row>
    <row r="2407" spans="11:11" x14ac:dyDescent="0.25">
      <c r="K2407" s="8" t="e">
        <f t="shared" si="37"/>
        <v>#VALUE!</v>
      </c>
    </row>
    <row r="2408" spans="11:11" x14ac:dyDescent="0.25">
      <c r="K2408" s="8" t="e">
        <f t="shared" si="37"/>
        <v>#VALUE!</v>
      </c>
    </row>
    <row r="2409" spans="11:11" x14ac:dyDescent="0.25">
      <c r="K2409" s="8" t="e">
        <f t="shared" si="37"/>
        <v>#VALUE!</v>
      </c>
    </row>
    <row r="2410" spans="11:11" x14ac:dyDescent="0.25">
      <c r="K2410" s="8" t="e">
        <f t="shared" si="37"/>
        <v>#VALUE!</v>
      </c>
    </row>
    <row r="2411" spans="11:11" x14ac:dyDescent="0.25">
      <c r="K2411" s="8" t="e">
        <f t="shared" si="37"/>
        <v>#VALUE!</v>
      </c>
    </row>
    <row r="2412" spans="11:11" x14ac:dyDescent="0.25">
      <c r="K2412" s="8" t="e">
        <f t="shared" si="37"/>
        <v>#VALUE!</v>
      </c>
    </row>
    <row r="2413" spans="11:11" x14ac:dyDescent="0.25">
      <c r="K2413" s="8" t="e">
        <f t="shared" si="37"/>
        <v>#VALUE!</v>
      </c>
    </row>
    <row r="2414" spans="11:11" x14ac:dyDescent="0.25">
      <c r="K2414" s="8" t="e">
        <f t="shared" si="37"/>
        <v>#VALUE!</v>
      </c>
    </row>
    <row r="2415" spans="11:11" x14ac:dyDescent="0.25">
      <c r="K2415" s="8" t="e">
        <f t="shared" si="37"/>
        <v>#VALUE!</v>
      </c>
    </row>
    <row r="2416" spans="11:11" x14ac:dyDescent="0.25">
      <c r="K2416" s="8" t="e">
        <f t="shared" si="37"/>
        <v>#VALUE!</v>
      </c>
    </row>
    <row r="2417" spans="11:11" x14ac:dyDescent="0.25">
      <c r="K2417" s="8" t="e">
        <f t="shared" si="37"/>
        <v>#VALUE!</v>
      </c>
    </row>
    <row r="2418" spans="11:11" x14ac:dyDescent="0.25">
      <c r="K2418" s="8" t="e">
        <f t="shared" si="37"/>
        <v>#VALUE!</v>
      </c>
    </row>
    <row r="2419" spans="11:11" x14ac:dyDescent="0.25">
      <c r="K2419" s="8" t="e">
        <f t="shared" si="37"/>
        <v>#VALUE!</v>
      </c>
    </row>
    <row r="2420" spans="11:11" x14ac:dyDescent="0.25">
      <c r="K2420" s="8" t="e">
        <f t="shared" si="37"/>
        <v>#VALUE!</v>
      </c>
    </row>
    <row r="2421" spans="11:11" x14ac:dyDescent="0.25">
      <c r="K2421" s="8" t="e">
        <f t="shared" si="37"/>
        <v>#VALUE!</v>
      </c>
    </row>
    <row r="2422" spans="11:11" x14ac:dyDescent="0.25">
      <c r="K2422" s="8" t="e">
        <f t="shared" si="37"/>
        <v>#VALUE!</v>
      </c>
    </row>
    <row r="2423" spans="11:11" x14ac:dyDescent="0.25">
      <c r="K2423" s="8" t="e">
        <f t="shared" si="37"/>
        <v>#VALUE!</v>
      </c>
    </row>
    <row r="2424" spans="11:11" x14ac:dyDescent="0.25">
      <c r="K2424" s="8" t="e">
        <f t="shared" si="37"/>
        <v>#VALUE!</v>
      </c>
    </row>
    <row r="2425" spans="11:11" x14ac:dyDescent="0.25">
      <c r="K2425" s="8" t="e">
        <f t="shared" si="37"/>
        <v>#VALUE!</v>
      </c>
    </row>
    <row r="2426" spans="11:11" x14ac:dyDescent="0.25">
      <c r="K2426" s="8" t="e">
        <f t="shared" si="37"/>
        <v>#VALUE!</v>
      </c>
    </row>
    <row r="2427" spans="11:11" x14ac:dyDescent="0.25">
      <c r="K2427" s="8" t="e">
        <f t="shared" si="37"/>
        <v>#VALUE!</v>
      </c>
    </row>
    <row r="2428" spans="11:11" x14ac:dyDescent="0.25">
      <c r="K2428" s="8" t="e">
        <f t="shared" si="37"/>
        <v>#VALUE!</v>
      </c>
    </row>
    <row r="2429" spans="11:11" x14ac:dyDescent="0.25">
      <c r="K2429" s="8" t="e">
        <f t="shared" si="37"/>
        <v>#VALUE!</v>
      </c>
    </row>
    <row r="2430" spans="11:11" x14ac:dyDescent="0.25">
      <c r="K2430" s="8" t="e">
        <f t="shared" si="37"/>
        <v>#VALUE!</v>
      </c>
    </row>
    <row r="2431" spans="11:11" x14ac:dyDescent="0.25">
      <c r="K2431" s="8" t="e">
        <f t="shared" si="37"/>
        <v>#VALUE!</v>
      </c>
    </row>
    <row r="2432" spans="11:11" x14ac:dyDescent="0.25">
      <c r="K2432" s="8" t="e">
        <f t="shared" si="37"/>
        <v>#VALUE!</v>
      </c>
    </row>
    <row r="2433" spans="11:11" x14ac:dyDescent="0.25">
      <c r="K2433" s="8" t="e">
        <f t="shared" si="37"/>
        <v>#VALUE!</v>
      </c>
    </row>
    <row r="2434" spans="11:11" x14ac:dyDescent="0.25">
      <c r="K2434" s="8" t="e">
        <f t="shared" si="37"/>
        <v>#VALUE!</v>
      </c>
    </row>
    <row r="2435" spans="11:11" x14ac:dyDescent="0.25">
      <c r="K2435" s="8" t="e">
        <f t="shared" ref="K2435:K2498" si="38">LEFT(A2435,FIND("/",A2435)-1)</f>
        <v>#VALUE!</v>
      </c>
    </row>
    <row r="2436" spans="11:11" x14ac:dyDescent="0.25">
      <c r="K2436" s="8" t="e">
        <f t="shared" si="38"/>
        <v>#VALUE!</v>
      </c>
    </row>
    <row r="2437" spans="11:11" x14ac:dyDescent="0.25">
      <c r="K2437" s="8" t="e">
        <f t="shared" si="38"/>
        <v>#VALUE!</v>
      </c>
    </row>
    <row r="2438" spans="11:11" x14ac:dyDescent="0.25">
      <c r="K2438" s="8" t="e">
        <f t="shared" si="38"/>
        <v>#VALUE!</v>
      </c>
    </row>
    <row r="2439" spans="11:11" x14ac:dyDescent="0.25">
      <c r="K2439" s="8" t="e">
        <f t="shared" si="38"/>
        <v>#VALUE!</v>
      </c>
    </row>
    <row r="2440" spans="11:11" x14ac:dyDescent="0.25">
      <c r="K2440" s="8" t="e">
        <f t="shared" si="38"/>
        <v>#VALUE!</v>
      </c>
    </row>
    <row r="2441" spans="11:11" x14ac:dyDescent="0.25">
      <c r="K2441" s="8" t="e">
        <f t="shared" si="38"/>
        <v>#VALUE!</v>
      </c>
    </row>
    <row r="2442" spans="11:11" x14ac:dyDescent="0.25">
      <c r="K2442" s="8" t="e">
        <f t="shared" si="38"/>
        <v>#VALUE!</v>
      </c>
    </row>
    <row r="2443" spans="11:11" x14ac:dyDescent="0.25">
      <c r="K2443" s="8" t="e">
        <f t="shared" si="38"/>
        <v>#VALUE!</v>
      </c>
    </row>
    <row r="2444" spans="11:11" x14ac:dyDescent="0.25">
      <c r="K2444" s="8" t="e">
        <f t="shared" si="38"/>
        <v>#VALUE!</v>
      </c>
    </row>
    <row r="2445" spans="11:11" x14ac:dyDescent="0.25">
      <c r="K2445" s="8" t="e">
        <f t="shared" si="38"/>
        <v>#VALUE!</v>
      </c>
    </row>
    <row r="2446" spans="11:11" x14ac:dyDescent="0.25">
      <c r="K2446" s="8" t="e">
        <f t="shared" si="38"/>
        <v>#VALUE!</v>
      </c>
    </row>
    <row r="2447" spans="11:11" x14ac:dyDescent="0.25">
      <c r="K2447" s="8" t="e">
        <f t="shared" si="38"/>
        <v>#VALUE!</v>
      </c>
    </row>
    <row r="2448" spans="11:11" x14ac:dyDescent="0.25">
      <c r="K2448" s="8" t="e">
        <f t="shared" si="38"/>
        <v>#VALUE!</v>
      </c>
    </row>
    <row r="2449" spans="11:11" x14ac:dyDescent="0.25">
      <c r="K2449" s="8" t="e">
        <f t="shared" si="38"/>
        <v>#VALUE!</v>
      </c>
    </row>
    <row r="2450" spans="11:11" x14ac:dyDescent="0.25">
      <c r="K2450" s="8" t="e">
        <f t="shared" si="38"/>
        <v>#VALUE!</v>
      </c>
    </row>
    <row r="2451" spans="11:11" x14ac:dyDescent="0.25">
      <c r="K2451" s="8" t="e">
        <f t="shared" si="38"/>
        <v>#VALUE!</v>
      </c>
    </row>
    <row r="2452" spans="11:11" x14ac:dyDescent="0.25">
      <c r="K2452" s="8" t="e">
        <f t="shared" si="38"/>
        <v>#VALUE!</v>
      </c>
    </row>
    <row r="2453" spans="11:11" x14ac:dyDescent="0.25">
      <c r="K2453" s="8" t="e">
        <f t="shared" si="38"/>
        <v>#VALUE!</v>
      </c>
    </row>
    <row r="2454" spans="11:11" x14ac:dyDescent="0.25">
      <c r="K2454" s="8" t="e">
        <f t="shared" si="38"/>
        <v>#VALUE!</v>
      </c>
    </row>
    <row r="2455" spans="11:11" x14ac:dyDescent="0.25">
      <c r="K2455" s="8" t="e">
        <f t="shared" si="38"/>
        <v>#VALUE!</v>
      </c>
    </row>
    <row r="2456" spans="11:11" x14ac:dyDescent="0.25">
      <c r="K2456" s="8" t="e">
        <f t="shared" si="38"/>
        <v>#VALUE!</v>
      </c>
    </row>
    <row r="2457" spans="11:11" x14ac:dyDescent="0.25">
      <c r="K2457" s="8" t="e">
        <f t="shared" si="38"/>
        <v>#VALUE!</v>
      </c>
    </row>
    <row r="2458" spans="11:11" x14ac:dyDescent="0.25">
      <c r="K2458" s="8" t="e">
        <f t="shared" si="38"/>
        <v>#VALUE!</v>
      </c>
    </row>
    <row r="2459" spans="11:11" x14ac:dyDescent="0.25">
      <c r="K2459" s="8" t="e">
        <f t="shared" si="38"/>
        <v>#VALUE!</v>
      </c>
    </row>
    <row r="2460" spans="11:11" x14ac:dyDescent="0.25">
      <c r="K2460" s="8" t="e">
        <f t="shared" si="38"/>
        <v>#VALUE!</v>
      </c>
    </row>
    <row r="2461" spans="11:11" x14ac:dyDescent="0.25">
      <c r="K2461" s="8" t="e">
        <f t="shared" si="38"/>
        <v>#VALUE!</v>
      </c>
    </row>
    <row r="2462" spans="11:11" x14ac:dyDescent="0.25">
      <c r="K2462" s="8" t="e">
        <f t="shared" si="38"/>
        <v>#VALUE!</v>
      </c>
    </row>
    <row r="2463" spans="11:11" x14ac:dyDescent="0.25">
      <c r="K2463" s="8" t="e">
        <f t="shared" si="38"/>
        <v>#VALUE!</v>
      </c>
    </row>
    <row r="2464" spans="11:11" x14ac:dyDescent="0.25">
      <c r="K2464" s="8" t="e">
        <f t="shared" si="38"/>
        <v>#VALUE!</v>
      </c>
    </row>
    <row r="2465" spans="11:11" x14ac:dyDescent="0.25">
      <c r="K2465" s="8" t="e">
        <f t="shared" si="38"/>
        <v>#VALUE!</v>
      </c>
    </row>
    <row r="2466" spans="11:11" x14ac:dyDescent="0.25">
      <c r="K2466" s="8" t="e">
        <f t="shared" si="38"/>
        <v>#VALUE!</v>
      </c>
    </row>
    <row r="2467" spans="11:11" x14ac:dyDescent="0.25">
      <c r="K2467" s="8" t="e">
        <f t="shared" si="38"/>
        <v>#VALUE!</v>
      </c>
    </row>
    <row r="2468" spans="11:11" x14ac:dyDescent="0.25">
      <c r="K2468" s="8" t="e">
        <f t="shared" si="38"/>
        <v>#VALUE!</v>
      </c>
    </row>
    <row r="2469" spans="11:11" x14ac:dyDescent="0.25">
      <c r="K2469" s="8" t="e">
        <f t="shared" si="38"/>
        <v>#VALUE!</v>
      </c>
    </row>
    <row r="2470" spans="11:11" x14ac:dyDescent="0.25">
      <c r="K2470" s="8" t="e">
        <f t="shared" si="38"/>
        <v>#VALUE!</v>
      </c>
    </row>
    <row r="2471" spans="11:11" x14ac:dyDescent="0.25">
      <c r="K2471" s="8" t="e">
        <f t="shared" si="38"/>
        <v>#VALUE!</v>
      </c>
    </row>
    <row r="2472" spans="11:11" x14ac:dyDescent="0.25">
      <c r="K2472" s="8" t="e">
        <f t="shared" si="38"/>
        <v>#VALUE!</v>
      </c>
    </row>
    <row r="2473" spans="11:11" x14ac:dyDescent="0.25">
      <c r="K2473" s="8" t="e">
        <f t="shared" si="38"/>
        <v>#VALUE!</v>
      </c>
    </row>
    <row r="2474" spans="11:11" x14ac:dyDescent="0.25">
      <c r="K2474" s="8" t="e">
        <f t="shared" si="38"/>
        <v>#VALUE!</v>
      </c>
    </row>
    <row r="2475" spans="11:11" x14ac:dyDescent="0.25">
      <c r="K2475" s="8" t="e">
        <f t="shared" si="38"/>
        <v>#VALUE!</v>
      </c>
    </row>
    <row r="2476" spans="11:11" x14ac:dyDescent="0.25">
      <c r="K2476" s="8" t="e">
        <f t="shared" si="38"/>
        <v>#VALUE!</v>
      </c>
    </row>
    <row r="2477" spans="11:11" x14ac:dyDescent="0.25">
      <c r="K2477" s="8" t="e">
        <f t="shared" si="38"/>
        <v>#VALUE!</v>
      </c>
    </row>
    <row r="2478" spans="11:11" x14ac:dyDescent="0.25">
      <c r="K2478" s="8" t="e">
        <f t="shared" si="38"/>
        <v>#VALUE!</v>
      </c>
    </row>
    <row r="2479" spans="11:11" x14ac:dyDescent="0.25">
      <c r="K2479" s="8" t="e">
        <f t="shared" si="38"/>
        <v>#VALUE!</v>
      </c>
    </row>
    <row r="2480" spans="11:11" x14ac:dyDescent="0.25">
      <c r="K2480" s="8" t="e">
        <f t="shared" si="38"/>
        <v>#VALUE!</v>
      </c>
    </row>
    <row r="2481" spans="11:11" x14ac:dyDescent="0.25">
      <c r="K2481" s="8" t="e">
        <f t="shared" si="38"/>
        <v>#VALUE!</v>
      </c>
    </row>
    <row r="2482" spans="11:11" x14ac:dyDescent="0.25">
      <c r="K2482" s="8" t="e">
        <f t="shared" si="38"/>
        <v>#VALUE!</v>
      </c>
    </row>
    <row r="2483" spans="11:11" x14ac:dyDescent="0.25">
      <c r="K2483" s="8" t="e">
        <f t="shared" si="38"/>
        <v>#VALUE!</v>
      </c>
    </row>
    <row r="2484" spans="11:11" x14ac:dyDescent="0.25">
      <c r="K2484" s="8" t="e">
        <f t="shared" si="38"/>
        <v>#VALUE!</v>
      </c>
    </row>
    <row r="2485" spans="11:11" x14ac:dyDescent="0.25">
      <c r="K2485" s="8" t="e">
        <f t="shared" si="38"/>
        <v>#VALUE!</v>
      </c>
    </row>
    <row r="2486" spans="11:11" x14ac:dyDescent="0.25">
      <c r="K2486" s="8" t="e">
        <f t="shared" si="38"/>
        <v>#VALUE!</v>
      </c>
    </row>
    <row r="2487" spans="11:11" x14ac:dyDescent="0.25">
      <c r="K2487" s="8" t="e">
        <f t="shared" si="38"/>
        <v>#VALUE!</v>
      </c>
    </row>
    <row r="2488" spans="11:11" x14ac:dyDescent="0.25">
      <c r="K2488" s="8" t="e">
        <f t="shared" si="38"/>
        <v>#VALUE!</v>
      </c>
    </row>
    <row r="2489" spans="11:11" x14ac:dyDescent="0.25">
      <c r="K2489" s="8" t="e">
        <f t="shared" si="38"/>
        <v>#VALUE!</v>
      </c>
    </row>
    <row r="2490" spans="11:11" x14ac:dyDescent="0.25">
      <c r="K2490" s="8" t="e">
        <f t="shared" si="38"/>
        <v>#VALUE!</v>
      </c>
    </row>
    <row r="2491" spans="11:11" x14ac:dyDescent="0.25">
      <c r="K2491" s="8" t="e">
        <f t="shared" si="38"/>
        <v>#VALUE!</v>
      </c>
    </row>
    <row r="2492" spans="11:11" x14ac:dyDescent="0.25">
      <c r="K2492" s="8" t="e">
        <f t="shared" si="38"/>
        <v>#VALUE!</v>
      </c>
    </row>
    <row r="2493" spans="11:11" x14ac:dyDescent="0.25">
      <c r="K2493" s="8" t="e">
        <f t="shared" si="38"/>
        <v>#VALUE!</v>
      </c>
    </row>
    <row r="2494" spans="11:11" x14ac:dyDescent="0.25">
      <c r="K2494" s="8" t="e">
        <f t="shared" si="38"/>
        <v>#VALUE!</v>
      </c>
    </row>
    <row r="2495" spans="11:11" x14ac:dyDescent="0.25">
      <c r="K2495" s="8" t="e">
        <f t="shared" si="38"/>
        <v>#VALUE!</v>
      </c>
    </row>
    <row r="2496" spans="11:11" x14ac:dyDescent="0.25">
      <c r="K2496" s="8" t="e">
        <f t="shared" si="38"/>
        <v>#VALUE!</v>
      </c>
    </row>
    <row r="2497" spans="11:11" x14ac:dyDescent="0.25">
      <c r="K2497" s="8" t="e">
        <f t="shared" si="38"/>
        <v>#VALUE!</v>
      </c>
    </row>
    <row r="2498" spans="11:11" x14ac:dyDescent="0.25">
      <c r="K2498" s="8" t="e">
        <f t="shared" si="38"/>
        <v>#VALUE!</v>
      </c>
    </row>
    <row r="2499" spans="11:11" x14ac:dyDescent="0.25">
      <c r="K2499" s="8" t="e">
        <f t="shared" ref="K2499:K2562" si="39">LEFT(A2499,FIND("/",A2499)-1)</f>
        <v>#VALUE!</v>
      </c>
    </row>
    <row r="2500" spans="11:11" x14ac:dyDescent="0.25">
      <c r="K2500" s="8" t="e">
        <f t="shared" si="39"/>
        <v>#VALUE!</v>
      </c>
    </row>
    <row r="2501" spans="11:11" x14ac:dyDescent="0.25">
      <c r="K2501" s="8" t="e">
        <f t="shared" si="39"/>
        <v>#VALUE!</v>
      </c>
    </row>
    <row r="2502" spans="11:11" x14ac:dyDescent="0.25">
      <c r="K2502" s="8" t="e">
        <f t="shared" si="39"/>
        <v>#VALUE!</v>
      </c>
    </row>
    <row r="2503" spans="11:11" x14ac:dyDescent="0.25">
      <c r="K2503" s="8" t="e">
        <f t="shared" si="39"/>
        <v>#VALUE!</v>
      </c>
    </row>
    <row r="2504" spans="11:11" x14ac:dyDescent="0.25">
      <c r="K2504" s="8" t="e">
        <f t="shared" si="39"/>
        <v>#VALUE!</v>
      </c>
    </row>
    <row r="2505" spans="11:11" x14ac:dyDescent="0.25">
      <c r="K2505" s="8" t="e">
        <f t="shared" si="39"/>
        <v>#VALUE!</v>
      </c>
    </row>
    <row r="2506" spans="11:11" x14ac:dyDescent="0.25">
      <c r="K2506" s="8" t="e">
        <f t="shared" si="39"/>
        <v>#VALUE!</v>
      </c>
    </row>
    <row r="2507" spans="11:11" x14ac:dyDescent="0.25">
      <c r="K2507" s="8" t="e">
        <f t="shared" si="39"/>
        <v>#VALUE!</v>
      </c>
    </row>
    <row r="2508" spans="11:11" x14ac:dyDescent="0.25">
      <c r="K2508" s="8" t="e">
        <f t="shared" si="39"/>
        <v>#VALUE!</v>
      </c>
    </row>
    <row r="2509" spans="11:11" x14ac:dyDescent="0.25">
      <c r="K2509" s="8" t="e">
        <f t="shared" si="39"/>
        <v>#VALUE!</v>
      </c>
    </row>
    <row r="2510" spans="11:11" x14ac:dyDescent="0.25">
      <c r="K2510" s="8" t="e">
        <f t="shared" si="39"/>
        <v>#VALUE!</v>
      </c>
    </row>
    <row r="2511" spans="11:11" x14ac:dyDescent="0.25">
      <c r="K2511" s="8" t="e">
        <f t="shared" si="39"/>
        <v>#VALUE!</v>
      </c>
    </row>
    <row r="2512" spans="11:11" x14ac:dyDescent="0.25">
      <c r="K2512" s="8" t="e">
        <f t="shared" si="39"/>
        <v>#VALUE!</v>
      </c>
    </row>
    <row r="2513" spans="11:11" x14ac:dyDescent="0.25">
      <c r="K2513" s="8" t="e">
        <f t="shared" si="39"/>
        <v>#VALUE!</v>
      </c>
    </row>
    <row r="2514" spans="11:11" x14ac:dyDescent="0.25">
      <c r="K2514" s="8" t="e">
        <f t="shared" si="39"/>
        <v>#VALUE!</v>
      </c>
    </row>
    <row r="2515" spans="11:11" x14ac:dyDescent="0.25">
      <c r="K2515" s="8" t="e">
        <f t="shared" si="39"/>
        <v>#VALUE!</v>
      </c>
    </row>
    <row r="2516" spans="11:11" x14ac:dyDescent="0.25">
      <c r="K2516" s="8" t="e">
        <f t="shared" si="39"/>
        <v>#VALUE!</v>
      </c>
    </row>
    <row r="2517" spans="11:11" x14ac:dyDescent="0.25">
      <c r="K2517" s="8" t="e">
        <f t="shared" si="39"/>
        <v>#VALUE!</v>
      </c>
    </row>
    <row r="2518" spans="11:11" x14ac:dyDescent="0.25">
      <c r="K2518" s="8" t="e">
        <f t="shared" si="39"/>
        <v>#VALUE!</v>
      </c>
    </row>
    <row r="2519" spans="11:11" x14ac:dyDescent="0.25">
      <c r="K2519" s="8" t="e">
        <f t="shared" si="39"/>
        <v>#VALUE!</v>
      </c>
    </row>
    <row r="2520" spans="11:11" x14ac:dyDescent="0.25">
      <c r="K2520" s="8" t="e">
        <f t="shared" si="39"/>
        <v>#VALUE!</v>
      </c>
    </row>
    <row r="2521" spans="11:11" x14ac:dyDescent="0.25">
      <c r="K2521" s="8" t="e">
        <f t="shared" si="39"/>
        <v>#VALUE!</v>
      </c>
    </row>
    <row r="2522" spans="11:11" x14ac:dyDescent="0.25">
      <c r="K2522" s="8" t="e">
        <f t="shared" si="39"/>
        <v>#VALUE!</v>
      </c>
    </row>
    <row r="2523" spans="11:11" x14ac:dyDescent="0.25">
      <c r="K2523" s="8" t="e">
        <f t="shared" si="39"/>
        <v>#VALUE!</v>
      </c>
    </row>
    <row r="2524" spans="11:11" x14ac:dyDescent="0.25">
      <c r="K2524" s="8" t="e">
        <f t="shared" si="39"/>
        <v>#VALUE!</v>
      </c>
    </row>
    <row r="2525" spans="11:11" x14ac:dyDescent="0.25">
      <c r="K2525" s="8" t="e">
        <f t="shared" si="39"/>
        <v>#VALUE!</v>
      </c>
    </row>
    <row r="2526" spans="11:11" x14ac:dyDescent="0.25">
      <c r="K2526" s="8" t="e">
        <f t="shared" si="39"/>
        <v>#VALUE!</v>
      </c>
    </row>
    <row r="2527" spans="11:11" x14ac:dyDescent="0.25">
      <c r="K2527" s="8" t="e">
        <f t="shared" si="39"/>
        <v>#VALUE!</v>
      </c>
    </row>
    <row r="2528" spans="11:11" x14ac:dyDescent="0.25">
      <c r="K2528" s="8" t="e">
        <f t="shared" si="39"/>
        <v>#VALUE!</v>
      </c>
    </row>
    <row r="2529" spans="11:11" x14ac:dyDescent="0.25">
      <c r="K2529" s="8" t="e">
        <f t="shared" si="39"/>
        <v>#VALUE!</v>
      </c>
    </row>
    <row r="2530" spans="11:11" x14ac:dyDescent="0.25">
      <c r="K2530" s="8" t="e">
        <f t="shared" si="39"/>
        <v>#VALUE!</v>
      </c>
    </row>
    <row r="2531" spans="11:11" x14ac:dyDescent="0.25">
      <c r="K2531" s="8" t="e">
        <f t="shared" si="39"/>
        <v>#VALUE!</v>
      </c>
    </row>
    <row r="2532" spans="11:11" x14ac:dyDescent="0.25">
      <c r="K2532" s="8" t="e">
        <f t="shared" si="39"/>
        <v>#VALUE!</v>
      </c>
    </row>
    <row r="2533" spans="11:11" x14ac:dyDescent="0.25">
      <c r="K2533" s="8" t="e">
        <f t="shared" si="39"/>
        <v>#VALUE!</v>
      </c>
    </row>
    <row r="2534" spans="11:11" x14ac:dyDescent="0.25">
      <c r="K2534" s="8" t="e">
        <f t="shared" si="39"/>
        <v>#VALUE!</v>
      </c>
    </row>
    <row r="2535" spans="11:11" x14ac:dyDescent="0.25">
      <c r="K2535" s="8" t="e">
        <f t="shared" si="39"/>
        <v>#VALUE!</v>
      </c>
    </row>
    <row r="2536" spans="11:11" x14ac:dyDescent="0.25">
      <c r="K2536" s="8" t="e">
        <f t="shared" si="39"/>
        <v>#VALUE!</v>
      </c>
    </row>
    <row r="2537" spans="11:11" x14ac:dyDescent="0.25">
      <c r="K2537" s="8" t="e">
        <f t="shared" si="39"/>
        <v>#VALUE!</v>
      </c>
    </row>
    <row r="2538" spans="11:11" x14ac:dyDescent="0.25">
      <c r="K2538" s="8" t="e">
        <f t="shared" si="39"/>
        <v>#VALUE!</v>
      </c>
    </row>
    <row r="2539" spans="11:11" x14ac:dyDescent="0.25">
      <c r="K2539" s="8" t="e">
        <f t="shared" si="39"/>
        <v>#VALUE!</v>
      </c>
    </row>
    <row r="2540" spans="11:11" x14ac:dyDescent="0.25">
      <c r="K2540" s="8" t="e">
        <f t="shared" si="39"/>
        <v>#VALUE!</v>
      </c>
    </row>
    <row r="2541" spans="11:11" x14ac:dyDescent="0.25">
      <c r="K2541" s="8" t="e">
        <f t="shared" si="39"/>
        <v>#VALUE!</v>
      </c>
    </row>
    <row r="2542" spans="11:11" x14ac:dyDescent="0.25">
      <c r="K2542" s="8" t="e">
        <f t="shared" si="39"/>
        <v>#VALUE!</v>
      </c>
    </row>
    <row r="2543" spans="11:11" x14ac:dyDescent="0.25">
      <c r="K2543" s="8" t="e">
        <f t="shared" si="39"/>
        <v>#VALUE!</v>
      </c>
    </row>
    <row r="2544" spans="11:11" x14ac:dyDescent="0.25">
      <c r="K2544" s="8" t="e">
        <f t="shared" si="39"/>
        <v>#VALUE!</v>
      </c>
    </row>
    <row r="2545" spans="11:11" x14ac:dyDescent="0.25">
      <c r="K2545" s="8" t="e">
        <f t="shared" si="39"/>
        <v>#VALUE!</v>
      </c>
    </row>
    <row r="2546" spans="11:11" x14ac:dyDescent="0.25">
      <c r="K2546" s="8" t="e">
        <f t="shared" si="39"/>
        <v>#VALUE!</v>
      </c>
    </row>
    <row r="2547" spans="11:11" x14ac:dyDescent="0.25">
      <c r="K2547" s="8" t="e">
        <f t="shared" si="39"/>
        <v>#VALUE!</v>
      </c>
    </row>
    <row r="2548" spans="11:11" x14ac:dyDescent="0.25">
      <c r="K2548" s="8" t="e">
        <f t="shared" si="39"/>
        <v>#VALUE!</v>
      </c>
    </row>
    <row r="2549" spans="11:11" x14ac:dyDescent="0.25">
      <c r="K2549" s="8" t="e">
        <f t="shared" si="39"/>
        <v>#VALUE!</v>
      </c>
    </row>
    <row r="2550" spans="11:11" x14ac:dyDescent="0.25">
      <c r="K2550" s="8" t="e">
        <f t="shared" si="39"/>
        <v>#VALUE!</v>
      </c>
    </row>
    <row r="2551" spans="11:11" x14ac:dyDescent="0.25">
      <c r="K2551" s="8" t="e">
        <f t="shared" si="39"/>
        <v>#VALUE!</v>
      </c>
    </row>
    <row r="2552" spans="11:11" x14ac:dyDescent="0.25">
      <c r="K2552" s="8" t="e">
        <f t="shared" si="39"/>
        <v>#VALUE!</v>
      </c>
    </row>
    <row r="2553" spans="11:11" x14ac:dyDescent="0.25">
      <c r="K2553" s="8" t="e">
        <f t="shared" si="39"/>
        <v>#VALUE!</v>
      </c>
    </row>
    <row r="2554" spans="11:11" x14ac:dyDescent="0.25">
      <c r="K2554" s="8" t="e">
        <f t="shared" si="39"/>
        <v>#VALUE!</v>
      </c>
    </row>
    <row r="2555" spans="11:11" x14ac:dyDescent="0.25">
      <c r="K2555" s="8" t="e">
        <f t="shared" si="39"/>
        <v>#VALUE!</v>
      </c>
    </row>
    <row r="2556" spans="11:11" x14ac:dyDescent="0.25">
      <c r="K2556" s="8" t="e">
        <f t="shared" si="39"/>
        <v>#VALUE!</v>
      </c>
    </row>
    <row r="2557" spans="11:11" x14ac:dyDescent="0.25">
      <c r="K2557" s="8" t="e">
        <f t="shared" si="39"/>
        <v>#VALUE!</v>
      </c>
    </row>
    <row r="2558" spans="11:11" x14ac:dyDescent="0.25">
      <c r="K2558" s="8" t="e">
        <f t="shared" si="39"/>
        <v>#VALUE!</v>
      </c>
    </row>
    <row r="2559" spans="11:11" x14ac:dyDescent="0.25">
      <c r="K2559" s="8" t="e">
        <f t="shared" si="39"/>
        <v>#VALUE!</v>
      </c>
    </row>
    <row r="2560" spans="11:11" x14ac:dyDescent="0.25">
      <c r="K2560" s="8" t="e">
        <f t="shared" si="39"/>
        <v>#VALUE!</v>
      </c>
    </row>
    <row r="2561" spans="11:11" x14ac:dyDescent="0.25">
      <c r="K2561" s="8" t="e">
        <f t="shared" si="39"/>
        <v>#VALUE!</v>
      </c>
    </row>
    <row r="2562" spans="11:11" x14ac:dyDescent="0.25">
      <c r="K2562" s="8" t="e">
        <f t="shared" si="39"/>
        <v>#VALUE!</v>
      </c>
    </row>
    <row r="2563" spans="11:11" x14ac:dyDescent="0.25">
      <c r="K2563" s="8" t="e">
        <f t="shared" ref="K2563:K2626" si="40">LEFT(A2563,FIND("/",A2563)-1)</f>
        <v>#VALUE!</v>
      </c>
    </row>
    <row r="2564" spans="11:11" x14ac:dyDescent="0.25">
      <c r="K2564" s="8" t="e">
        <f t="shared" si="40"/>
        <v>#VALUE!</v>
      </c>
    </row>
    <row r="2565" spans="11:11" x14ac:dyDescent="0.25">
      <c r="K2565" s="8" t="e">
        <f t="shared" si="40"/>
        <v>#VALUE!</v>
      </c>
    </row>
    <row r="2566" spans="11:11" x14ac:dyDescent="0.25">
      <c r="K2566" s="8" t="e">
        <f t="shared" si="40"/>
        <v>#VALUE!</v>
      </c>
    </row>
    <row r="2567" spans="11:11" x14ac:dyDescent="0.25">
      <c r="K2567" s="8" t="e">
        <f t="shared" si="40"/>
        <v>#VALUE!</v>
      </c>
    </row>
    <row r="2568" spans="11:11" x14ac:dyDescent="0.25">
      <c r="K2568" s="8" t="e">
        <f t="shared" si="40"/>
        <v>#VALUE!</v>
      </c>
    </row>
    <row r="2569" spans="11:11" x14ac:dyDescent="0.25">
      <c r="K2569" s="8" t="e">
        <f t="shared" si="40"/>
        <v>#VALUE!</v>
      </c>
    </row>
    <row r="2570" spans="11:11" x14ac:dyDescent="0.25">
      <c r="K2570" s="8" t="e">
        <f t="shared" si="40"/>
        <v>#VALUE!</v>
      </c>
    </row>
    <row r="2571" spans="11:11" x14ac:dyDescent="0.25">
      <c r="K2571" s="8" t="e">
        <f t="shared" si="40"/>
        <v>#VALUE!</v>
      </c>
    </row>
    <row r="2572" spans="11:11" x14ac:dyDescent="0.25">
      <c r="K2572" s="8" t="e">
        <f t="shared" si="40"/>
        <v>#VALUE!</v>
      </c>
    </row>
    <row r="2573" spans="11:11" x14ac:dyDescent="0.25">
      <c r="K2573" s="8" t="e">
        <f t="shared" si="40"/>
        <v>#VALUE!</v>
      </c>
    </row>
    <row r="2574" spans="11:11" x14ac:dyDescent="0.25">
      <c r="K2574" s="8" t="e">
        <f t="shared" si="40"/>
        <v>#VALUE!</v>
      </c>
    </row>
    <row r="2575" spans="11:11" x14ac:dyDescent="0.25">
      <c r="K2575" s="8" t="e">
        <f t="shared" si="40"/>
        <v>#VALUE!</v>
      </c>
    </row>
    <row r="2576" spans="11:11" x14ac:dyDescent="0.25">
      <c r="K2576" s="8" t="e">
        <f t="shared" si="40"/>
        <v>#VALUE!</v>
      </c>
    </row>
    <row r="2577" spans="11:11" x14ac:dyDescent="0.25">
      <c r="K2577" s="8" t="e">
        <f t="shared" si="40"/>
        <v>#VALUE!</v>
      </c>
    </row>
    <row r="2578" spans="11:11" x14ac:dyDescent="0.25">
      <c r="K2578" s="8" t="e">
        <f t="shared" si="40"/>
        <v>#VALUE!</v>
      </c>
    </row>
    <row r="2579" spans="11:11" x14ac:dyDescent="0.25">
      <c r="K2579" s="8" t="e">
        <f t="shared" si="40"/>
        <v>#VALUE!</v>
      </c>
    </row>
    <row r="2580" spans="11:11" x14ac:dyDescent="0.25">
      <c r="K2580" s="8" t="e">
        <f t="shared" si="40"/>
        <v>#VALUE!</v>
      </c>
    </row>
    <row r="2581" spans="11:11" x14ac:dyDescent="0.25">
      <c r="K2581" s="8" t="e">
        <f t="shared" si="40"/>
        <v>#VALUE!</v>
      </c>
    </row>
    <row r="2582" spans="11:11" x14ac:dyDescent="0.25">
      <c r="K2582" s="8" t="e">
        <f t="shared" si="40"/>
        <v>#VALUE!</v>
      </c>
    </row>
    <row r="2583" spans="11:11" x14ac:dyDescent="0.25">
      <c r="K2583" s="8" t="e">
        <f t="shared" si="40"/>
        <v>#VALUE!</v>
      </c>
    </row>
    <row r="2584" spans="11:11" x14ac:dyDescent="0.25">
      <c r="K2584" s="8" t="e">
        <f t="shared" si="40"/>
        <v>#VALUE!</v>
      </c>
    </row>
    <row r="2585" spans="11:11" x14ac:dyDescent="0.25">
      <c r="K2585" s="8" t="e">
        <f t="shared" si="40"/>
        <v>#VALUE!</v>
      </c>
    </row>
    <row r="2586" spans="11:11" x14ac:dyDescent="0.25">
      <c r="K2586" s="8" t="e">
        <f t="shared" si="40"/>
        <v>#VALUE!</v>
      </c>
    </row>
    <row r="2587" spans="11:11" x14ac:dyDescent="0.25">
      <c r="K2587" s="8" t="e">
        <f t="shared" si="40"/>
        <v>#VALUE!</v>
      </c>
    </row>
    <row r="2588" spans="11:11" x14ac:dyDescent="0.25">
      <c r="K2588" s="8" t="e">
        <f t="shared" si="40"/>
        <v>#VALUE!</v>
      </c>
    </row>
    <row r="2589" spans="11:11" x14ac:dyDescent="0.25">
      <c r="K2589" s="8" t="e">
        <f t="shared" si="40"/>
        <v>#VALUE!</v>
      </c>
    </row>
    <row r="2590" spans="11:11" x14ac:dyDescent="0.25">
      <c r="K2590" s="8" t="e">
        <f t="shared" si="40"/>
        <v>#VALUE!</v>
      </c>
    </row>
    <row r="2591" spans="11:11" x14ac:dyDescent="0.25">
      <c r="K2591" s="8" t="e">
        <f t="shared" si="40"/>
        <v>#VALUE!</v>
      </c>
    </row>
    <row r="2592" spans="11:11" x14ac:dyDescent="0.25">
      <c r="K2592" s="8" t="e">
        <f t="shared" si="40"/>
        <v>#VALUE!</v>
      </c>
    </row>
    <row r="2593" spans="11:11" x14ac:dyDescent="0.25">
      <c r="K2593" s="8" t="e">
        <f t="shared" si="40"/>
        <v>#VALUE!</v>
      </c>
    </row>
    <row r="2594" spans="11:11" x14ac:dyDescent="0.25">
      <c r="K2594" s="8" t="e">
        <f t="shared" si="40"/>
        <v>#VALUE!</v>
      </c>
    </row>
    <row r="2595" spans="11:11" x14ac:dyDescent="0.25">
      <c r="K2595" s="8" t="e">
        <f t="shared" si="40"/>
        <v>#VALUE!</v>
      </c>
    </row>
    <row r="2596" spans="11:11" x14ac:dyDescent="0.25">
      <c r="K2596" s="8" t="e">
        <f t="shared" si="40"/>
        <v>#VALUE!</v>
      </c>
    </row>
    <row r="2597" spans="11:11" x14ac:dyDescent="0.25">
      <c r="K2597" s="8" t="e">
        <f t="shared" si="40"/>
        <v>#VALUE!</v>
      </c>
    </row>
    <row r="2598" spans="11:11" x14ac:dyDescent="0.25">
      <c r="K2598" s="8" t="e">
        <f t="shared" si="40"/>
        <v>#VALUE!</v>
      </c>
    </row>
    <row r="2599" spans="11:11" x14ac:dyDescent="0.25">
      <c r="K2599" s="8" t="e">
        <f t="shared" si="40"/>
        <v>#VALUE!</v>
      </c>
    </row>
    <row r="2600" spans="11:11" x14ac:dyDescent="0.25">
      <c r="K2600" s="8" t="e">
        <f t="shared" si="40"/>
        <v>#VALUE!</v>
      </c>
    </row>
    <row r="2601" spans="11:11" x14ac:dyDescent="0.25">
      <c r="K2601" s="8" t="e">
        <f t="shared" si="40"/>
        <v>#VALUE!</v>
      </c>
    </row>
    <row r="2602" spans="11:11" x14ac:dyDescent="0.25">
      <c r="K2602" s="8" t="e">
        <f t="shared" si="40"/>
        <v>#VALUE!</v>
      </c>
    </row>
    <row r="2603" spans="11:11" x14ac:dyDescent="0.25">
      <c r="K2603" s="8" t="e">
        <f t="shared" si="40"/>
        <v>#VALUE!</v>
      </c>
    </row>
    <row r="2604" spans="11:11" x14ac:dyDescent="0.25">
      <c r="K2604" s="8" t="e">
        <f t="shared" si="40"/>
        <v>#VALUE!</v>
      </c>
    </row>
    <row r="2605" spans="11:11" x14ac:dyDescent="0.25">
      <c r="K2605" s="8" t="e">
        <f t="shared" si="40"/>
        <v>#VALUE!</v>
      </c>
    </row>
    <row r="2606" spans="11:11" x14ac:dyDescent="0.25">
      <c r="K2606" s="8" t="e">
        <f t="shared" si="40"/>
        <v>#VALUE!</v>
      </c>
    </row>
    <row r="2607" spans="11:11" x14ac:dyDescent="0.25">
      <c r="K2607" s="8" t="e">
        <f t="shared" si="40"/>
        <v>#VALUE!</v>
      </c>
    </row>
    <row r="2608" spans="11:11" x14ac:dyDescent="0.25">
      <c r="K2608" s="8" t="e">
        <f t="shared" si="40"/>
        <v>#VALUE!</v>
      </c>
    </row>
    <row r="2609" spans="11:11" x14ac:dyDescent="0.25">
      <c r="K2609" s="8" t="e">
        <f t="shared" si="40"/>
        <v>#VALUE!</v>
      </c>
    </row>
    <row r="2610" spans="11:11" x14ac:dyDescent="0.25">
      <c r="K2610" s="8" t="e">
        <f t="shared" si="40"/>
        <v>#VALUE!</v>
      </c>
    </row>
    <row r="2611" spans="11:11" x14ac:dyDescent="0.25">
      <c r="K2611" s="8" t="e">
        <f t="shared" si="40"/>
        <v>#VALUE!</v>
      </c>
    </row>
    <row r="2612" spans="11:11" x14ac:dyDescent="0.25">
      <c r="K2612" s="8" t="e">
        <f t="shared" si="40"/>
        <v>#VALUE!</v>
      </c>
    </row>
    <row r="2613" spans="11:11" x14ac:dyDescent="0.25">
      <c r="K2613" s="8" t="e">
        <f t="shared" si="40"/>
        <v>#VALUE!</v>
      </c>
    </row>
    <row r="2614" spans="11:11" x14ac:dyDescent="0.25">
      <c r="K2614" s="8" t="e">
        <f t="shared" si="40"/>
        <v>#VALUE!</v>
      </c>
    </row>
    <row r="2615" spans="11:11" x14ac:dyDescent="0.25">
      <c r="K2615" s="8" t="e">
        <f t="shared" si="40"/>
        <v>#VALUE!</v>
      </c>
    </row>
    <row r="2616" spans="11:11" x14ac:dyDescent="0.25">
      <c r="K2616" s="8" t="e">
        <f t="shared" si="40"/>
        <v>#VALUE!</v>
      </c>
    </row>
    <row r="2617" spans="11:11" x14ac:dyDescent="0.25">
      <c r="K2617" s="8" t="e">
        <f t="shared" si="40"/>
        <v>#VALUE!</v>
      </c>
    </row>
    <row r="2618" spans="11:11" x14ac:dyDescent="0.25">
      <c r="K2618" s="8" t="e">
        <f t="shared" si="40"/>
        <v>#VALUE!</v>
      </c>
    </row>
    <row r="2619" spans="11:11" x14ac:dyDescent="0.25">
      <c r="K2619" s="8" t="e">
        <f t="shared" si="40"/>
        <v>#VALUE!</v>
      </c>
    </row>
    <row r="2620" spans="11:11" x14ac:dyDescent="0.25">
      <c r="K2620" s="8" t="e">
        <f t="shared" si="40"/>
        <v>#VALUE!</v>
      </c>
    </row>
    <row r="2621" spans="11:11" x14ac:dyDescent="0.25">
      <c r="K2621" s="8" t="e">
        <f t="shared" si="40"/>
        <v>#VALUE!</v>
      </c>
    </row>
    <row r="2622" spans="11:11" x14ac:dyDescent="0.25">
      <c r="K2622" s="8" t="e">
        <f t="shared" si="40"/>
        <v>#VALUE!</v>
      </c>
    </row>
    <row r="2623" spans="11:11" x14ac:dyDescent="0.25">
      <c r="K2623" s="8" t="e">
        <f t="shared" si="40"/>
        <v>#VALUE!</v>
      </c>
    </row>
    <row r="2624" spans="11:11" x14ac:dyDescent="0.25">
      <c r="K2624" s="8" t="e">
        <f t="shared" si="40"/>
        <v>#VALUE!</v>
      </c>
    </row>
    <row r="2625" spans="11:11" x14ac:dyDescent="0.25">
      <c r="K2625" s="8" t="e">
        <f t="shared" si="40"/>
        <v>#VALUE!</v>
      </c>
    </row>
    <row r="2626" spans="11:11" x14ac:dyDescent="0.25">
      <c r="K2626" s="8" t="e">
        <f t="shared" si="40"/>
        <v>#VALUE!</v>
      </c>
    </row>
    <row r="2627" spans="11:11" x14ac:dyDescent="0.25">
      <c r="K2627" s="8" t="e">
        <f t="shared" ref="K2627:K2690" si="41">LEFT(A2627,FIND("/",A2627)-1)</f>
        <v>#VALUE!</v>
      </c>
    </row>
    <row r="2628" spans="11:11" x14ac:dyDescent="0.25">
      <c r="K2628" s="8" t="e">
        <f t="shared" si="41"/>
        <v>#VALUE!</v>
      </c>
    </row>
    <row r="2629" spans="11:11" x14ac:dyDescent="0.25">
      <c r="K2629" s="8" t="e">
        <f t="shared" si="41"/>
        <v>#VALUE!</v>
      </c>
    </row>
    <row r="2630" spans="11:11" x14ac:dyDescent="0.25">
      <c r="K2630" s="8" t="e">
        <f t="shared" si="41"/>
        <v>#VALUE!</v>
      </c>
    </row>
    <row r="2631" spans="11:11" x14ac:dyDescent="0.25">
      <c r="K2631" s="8" t="e">
        <f t="shared" si="41"/>
        <v>#VALUE!</v>
      </c>
    </row>
    <row r="2632" spans="11:11" x14ac:dyDescent="0.25">
      <c r="K2632" s="8" t="e">
        <f t="shared" si="41"/>
        <v>#VALUE!</v>
      </c>
    </row>
    <row r="2633" spans="11:11" x14ac:dyDescent="0.25">
      <c r="K2633" s="8" t="e">
        <f t="shared" si="41"/>
        <v>#VALUE!</v>
      </c>
    </row>
    <row r="2634" spans="11:11" x14ac:dyDescent="0.25">
      <c r="K2634" s="8" t="e">
        <f t="shared" si="41"/>
        <v>#VALUE!</v>
      </c>
    </row>
    <row r="2635" spans="11:11" x14ac:dyDescent="0.25">
      <c r="K2635" s="8" t="e">
        <f t="shared" si="41"/>
        <v>#VALUE!</v>
      </c>
    </row>
    <row r="2636" spans="11:11" x14ac:dyDescent="0.25">
      <c r="K2636" s="8" t="e">
        <f t="shared" si="41"/>
        <v>#VALUE!</v>
      </c>
    </row>
    <row r="2637" spans="11:11" x14ac:dyDescent="0.25">
      <c r="K2637" s="8" t="e">
        <f t="shared" si="41"/>
        <v>#VALUE!</v>
      </c>
    </row>
    <row r="2638" spans="11:11" x14ac:dyDescent="0.25">
      <c r="K2638" s="8" t="e">
        <f t="shared" si="41"/>
        <v>#VALUE!</v>
      </c>
    </row>
    <row r="2639" spans="11:11" x14ac:dyDescent="0.25">
      <c r="K2639" s="8" t="e">
        <f t="shared" si="41"/>
        <v>#VALUE!</v>
      </c>
    </row>
    <row r="2640" spans="11:11" x14ac:dyDescent="0.25">
      <c r="K2640" s="8" t="e">
        <f t="shared" si="41"/>
        <v>#VALUE!</v>
      </c>
    </row>
    <row r="2641" spans="11:11" x14ac:dyDescent="0.25">
      <c r="K2641" s="8" t="e">
        <f t="shared" si="41"/>
        <v>#VALUE!</v>
      </c>
    </row>
    <row r="2642" spans="11:11" x14ac:dyDescent="0.25">
      <c r="K2642" s="8" t="e">
        <f t="shared" si="41"/>
        <v>#VALUE!</v>
      </c>
    </row>
    <row r="2643" spans="11:11" x14ac:dyDescent="0.25">
      <c r="K2643" s="8" t="e">
        <f t="shared" si="41"/>
        <v>#VALUE!</v>
      </c>
    </row>
    <row r="2644" spans="11:11" x14ac:dyDescent="0.25">
      <c r="K2644" s="8" t="e">
        <f t="shared" si="41"/>
        <v>#VALUE!</v>
      </c>
    </row>
    <row r="2645" spans="11:11" x14ac:dyDescent="0.25">
      <c r="K2645" s="8" t="e">
        <f t="shared" si="41"/>
        <v>#VALUE!</v>
      </c>
    </row>
    <row r="2646" spans="11:11" x14ac:dyDescent="0.25">
      <c r="K2646" s="8" t="e">
        <f t="shared" si="41"/>
        <v>#VALUE!</v>
      </c>
    </row>
    <row r="2647" spans="11:11" x14ac:dyDescent="0.25">
      <c r="K2647" s="8" t="e">
        <f t="shared" si="41"/>
        <v>#VALUE!</v>
      </c>
    </row>
    <row r="2648" spans="11:11" x14ac:dyDescent="0.25">
      <c r="K2648" s="8" t="e">
        <f t="shared" si="41"/>
        <v>#VALUE!</v>
      </c>
    </row>
    <row r="2649" spans="11:11" x14ac:dyDescent="0.25">
      <c r="K2649" s="8" t="e">
        <f t="shared" si="41"/>
        <v>#VALUE!</v>
      </c>
    </row>
    <row r="2650" spans="11:11" x14ac:dyDescent="0.25">
      <c r="K2650" s="8" t="e">
        <f t="shared" si="41"/>
        <v>#VALUE!</v>
      </c>
    </row>
    <row r="2651" spans="11:11" x14ac:dyDescent="0.25">
      <c r="K2651" s="8" t="e">
        <f t="shared" si="41"/>
        <v>#VALUE!</v>
      </c>
    </row>
    <row r="2652" spans="11:11" x14ac:dyDescent="0.25">
      <c r="K2652" s="8" t="e">
        <f t="shared" si="41"/>
        <v>#VALUE!</v>
      </c>
    </row>
    <row r="2653" spans="11:11" x14ac:dyDescent="0.25">
      <c r="K2653" s="8" t="e">
        <f t="shared" si="41"/>
        <v>#VALUE!</v>
      </c>
    </row>
    <row r="2654" spans="11:11" x14ac:dyDescent="0.25">
      <c r="K2654" s="8" t="e">
        <f t="shared" si="41"/>
        <v>#VALUE!</v>
      </c>
    </row>
    <row r="2655" spans="11:11" x14ac:dyDescent="0.25">
      <c r="K2655" s="8" t="e">
        <f t="shared" si="41"/>
        <v>#VALUE!</v>
      </c>
    </row>
    <row r="2656" spans="11:11" x14ac:dyDescent="0.25">
      <c r="K2656" s="8" t="e">
        <f t="shared" si="41"/>
        <v>#VALUE!</v>
      </c>
    </row>
    <row r="2657" spans="11:11" x14ac:dyDescent="0.25">
      <c r="K2657" s="8" t="e">
        <f t="shared" si="41"/>
        <v>#VALUE!</v>
      </c>
    </row>
    <row r="2658" spans="11:11" x14ac:dyDescent="0.25">
      <c r="K2658" s="8" t="e">
        <f t="shared" si="41"/>
        <v>#VALUE!</v>
      </c>
    </row>
    <row r="2659" spans="11:11" x14ac:dyDescent="0.25">
      <c r="K2659" s="8" t="e">
        <f t="shared" si="41"/>
        <v>#VALUE!</v>
      </c>
    </row>
    <row r="2660" spans="11:11" x14ac:dyDescent="0.25">
      <c r="K2660" s="8" t="e">
        <f t="shared" si="41"/>
        <v>#VALUE!</v>
      </c>
    </row>
    <row r="2661" spans="11:11" x14ac:dyDescent="0.25">
      <c r="K2661" s="8" t="e">
        <f t="shared" si="41"/>
        <v>#VALUE!</v>
      </c>
    </row>
    <row r="2662" spans="11:11" x14ac:dyDescent="0.25">
      <c r="K2662" s="8" t="e">
        <f t="shared" si="41"/>
        <v>#VALUE!</v>
      </c>
    </row>
    <row r="2663" spans="11:11" x14ac:dyDescent="0.25">
      <c r="K2663" s="8" t="e">
        <f t="shared" si="41"/>
        <v>#VALUE!</v>
      </c>
    </row>
    <row r="2664" spans="11:11" x14ac:dyDescent="0.25">
      <c r="K2664" s="8" t="e">
        <f t="shared" si="41"/>
        <v>#VALUE!</v>
      </c>
    </row>
    <row r="2665" spans="11:11" x14ac:dyDescent="0.25">
      <c r="K2665" s="8" t="e">
        <f t="shared" si="41"/>
        <v>#VALUE!</v>
      </c>
    </row>
    <row r="2666" spans="11:11" x14ac:dyDescent="0.25">
      <c r="K2666" s="8" t="e">
        <f t="shared" si="41"/>
        <v>#VALUE!</v>
      </c>
    </row>
    <row r="2667" spans="11:11" x14ac:dyDescent="0.25">
      <c r="K2667" s="8" t="e">
        <f t="shared" si="41"/>
        <v>#VALUE!</v>
      </c>
    </row>
    <row r="2668" spans="11:11" x14ac:dyDescent="0.25">
      <c r="K2668" s="8" t="e">
        <f t="shared" si="41"/>
        <v>#VALUE!</v>
      </c>
    </row>
    <row r="2669" spans="11:11" x14ac:dyDescent="0.25">
      <c r="K2669" s="8" t="e">
        <f t="shared" si="41"/>
        <v>#VALUE!</v>
      </c>
    </row>
    <row r="2670" spans="11:11" x14ac:dyDescent="0.25">
      <c r="K2670" s="8" t="e">
        <f t="shared" si="41"/>
        <v>#VALUE!</v>
      </c>
    </row>
    <row r="2671" spans="11:11" x14ac:dyDescent="0.25">
      <c r="K2671" s="8" t="e">
        <f t="shared" si="41"/>
        <v>#VALUE!</v>
      </c>
    </row>
    <row r="2672" spans="11:11" x14ac:dyDescent="0.25">
      <c r="K2672" s="8" t="e">
        <f t="shared" si="41"/>
        <v>#VALUE!</v>
      </c>
    </row>
    <row r="2673" spans="11:11" x14ac:dyDescent="0.25">
      <c r="K2673" s="8" t="e">
        <f t="shared" si="41"/>
        <v>#VALUE!</v>
      </c>
    </row>
    <row r="2674" spans="11:11" x14ac:dyDescent="0.25">
      <c r="K2674" s="8" t="e">
        <f t="shared" si="41"/>
        <v>#VALUE!</v>
      </c>
    </row>
    <row r="2675" spans="11:11" x14ac:dyDescent="0.25">
      <c r="K2675" s="8" t="e">
        <f t="shared" si="41"/>
        <v>#VALUE!</v>
      </c>
    </row>
    <row r="2676" spans="11:11" x14ac:dyDescent="0.25">
      <c r="K2676" s="8" t="e">
        <f t="shared" si="41"/>
        <v>#VALUE!</v>
      </c>
    </row>
    <row r="2677" spans="11:11" x14ac:dyDescent="0.25">
      <c r="K2677" s="8" t="e">
        <f t="shared" si="41"/>
        <v>#VALUE!</v>
      </c>
    </row>
    <row r="2678" spans="11:11" x14ac:dyDescent="0.25">
      <c r="K2678" s="8" t="e">
        <f t="shared" si="41"/>
        <v>#VALUE!</v>
      </c>
    </row>
    <row r="2679" spans="11:11" x14ac:dyDescent="0.25">
      <c r="K2679" s="8" t="e">
        <f t="shared" si="41"/>
        <v>#VALUE!</v>
      </c>
    </row>
    <row r="2680" spans="11:11" x14ac:dyDescent="0.25">
      <c r="K2680" s="8" t="e">
        <f t="shared" si="41"/>
        <v>#VALUE!</v>
      </c>
    </row>
    <row r="2681" spans="11:11" x14ac:dyDescent="0.25">
      <c r="K2681" s="8" t="e">
        <f t="shared" si="41"/>
        <v>#VALUE!</v>
      </c>
    </row>
    <row r="2682" spans="11:11" x14ac:dyDescent="0.25">
      <c r="K2682" s="8" t="e">
        <f t="shared" si="41"/>
        <v>#VALUE!</v>
      </c>
    </row>
    <row r="2683" spans="11:11" x14ac:dyDescent="0.25">
      <c r="K2683" s="8" t="e">
        <f t="shared" si="41"/>
        <v>#VALUE!</v>
      </c>
    </row>
    <row r="2684" spans="11:11" x14ac:dyDescent="0.25">
      <c r="K2684" s="8" t="e">
        <f t="shared" si="41"/>
        <v>#VALUE!</v>
      </c>
    </row>
    <row r="2685" spans="11:11" x14ac:dyDescent="0.25">
      <c r="K2685" s="8" t="e">
        <f t="shared" si="41"/>
        <v>#VALUE!</v>
      </c>
    </row>
    <row r="2686" spans="11:11" x14ac:dyDescent="0.25">
      <c r="K2686" s="8" t="e">
        <f t="shared" si="41"/>
        <v>#VALUE!</v>
      </c>
    </row>
    <row r="2687" spans="11:11" x14ac:dyDescent="0.25">
      <c r="K2687" s="8" t="e">
        <f t="shared" si="41"/>
        <v>#VALUE!</v>
      </c>
    </row>
    <row r="2688" spans="11:11" x14ac:dyDescent="0.25">
      <c r="K2688" s="8" t="e">
        <f t="shared" si="41"/>
        <v>#VALUE!</v>
      </c>
    </row>
    <row r="2689" spans="11:11" x14ac:dyDescent="0.25">
      <c r="K2689" s="8" t="e">
        <f t="shared" si="41"/>
        <v>#VALUE!</v>
      </c>
    </row>
    <row r="2690" spans="11:11" x14ac:dyDescent="0.25">
      <c r="K2690" s="8" t="e">
        <f t="shared" si="41"/>
        <v>#VALUE!</v>
      </c>
    </row>
    <row r="2691" spans="11:11" x14ac:dyDescent="0.25">
      <c r="K2691" s="8" t="e">
        <f t="shared" ref="K2691:K2754" si="42">LEFT(A2691,FIND("/",A2691)-1)</f>
        <v>#VALUE!</v>
      </c>
    </row>
    <row r="2692" spans="11:11" x14ac:dyDescent="0.25">
      <c r="K2692" s="8" t="e">
        <f t="shared" si="42"/>
        <v>#VALUE!</v>
      </c>
    </row>
    <row r="2693" spans="11:11" x14ac:dyDescent="0.25">
      <c r="K2693" s="8" t="e">
        <f t="shared" si="42"/>
        <v>#VALUE!</v>
      </c>
    </row>
    <row r="2694" spans="11:11" x14ac:dyDescent="0.25">
      <c r="K2694" s="8" t="e">
        <f t="shared" si="42"/>
        <v>#VALUE!</v>
      </c>
    </row>
    <row r="2695" spans="11:11" x14ac:dyDescent="0.25">
      <c r="K2695" s="8" t="e">
        <f t="shared" si="42"/>
        <v>#VALUE!</v>
      </c>
    </row>
    <row r="2696" spans="11:11" x14ac:dyDescent="0.25">
      <c r="K2696" s="8" t="e">
        <f t="shared" si="42"/>
        <v>#VALUE!</v>
      </c>
    </row>
    <row r="2697" spans="11:11" x14ac:dyDescent="0.25">
      <c r="K2697" s="8" t="e">
        <f t="shared" si="42"/>
        <v>#VALUE!</v>
      </c>
    </row>
    <row r="2698" spans="11:11" x14ac:dyDescent="0.25">
      <c r="K2698" s="8" t="e">
        <f t="shared" si="42"/>
        <v>#VALUE!</v>
      </c>
    </row>
    <row r="2699" spans="11:11" x14ac:dyDescent="0.25">
      <c r="K2699" s="8" t="e">
        <f t="shared" si="42"/>
        <v>#VALUE!</v>
      </c>
    </row>
    <row r="2700" spans="11:11" x14ac:dyDescent="0.25">
      <c r="K2700" s="8" t="e">
        <f t="shared" si="42"/>
        <v>#VALUE!</v>
      </c>
    </row>
    <row r="2701" spans="11:11" x14ac:dyDescent="0.25">
      <c r="K2701" s="8" t="e">
        <f t="shared" si="42"/>
        <v>#VALUE!</v>
      </c>
    </row>
    <row r="2702" spans="11:11" x14ac:dyDescent="0.25">
      <c r="K2702" s="8" t="e">
        <f t="shared" si="42"/>
        <v>#VALUE!</v>
      </c>
    </row>
    <row r="2703" spans="11:11" x14ac:dyDescent="0.25">
      <c r="K2703" s="8" t="e">
        <f t="shared" si="42"/>
        <v>#VALUE!</v>
      </c>
    </row>
    <row r="2704" spans="11:11" x14ac:dyDescent="0.25">
      <c r="K2704" s="8" t="e">
        <f t="shared" si="42"/>
        <v>#VALUE!</v>
      </c>
    </row>
    <row r="2705" spans="11:11" x14ac:dyDescent="0.25">
      <c r="K2705" s="8" t="e">
        <f t="shared" si="42"/>
        <v>#VALUE!</v>
      </c>
    </row>
    <row r="2706" spans="11:11" x14ac:dyDescent="0.25">
      <c r="K2706" s="8" t="e">
        <f t="shared" si="42"/>
        <v>#VALUE!</v>
      </c>
    </row>
    <row r="2707" spans="11:11" x14ac:dyDescent="0.25">
      <c r="K2707" s="8" t="e">
        <f t="shared" si="42"/>
        <v>#VALUE!</v>
      </c>
    </row>
    <row r="2708" spans="11:11" x14ac:dyDescent="0.25">
      <c r="K2708" s="8" t="e">
        <f t="shared" si="42"/>
        <v>#VALUE!</v>
      </c>
    </row>
    <row r="2709" spans="11:11" x14ac:dyDescent="0.25">
      <c r="K2709" s="8" t="e">
        <f t="shared" si="42"/>
        <v>#VALUE!</v>
      </c>
    </row>
    <row r="2710" spans="11:11" x14ac:dyDescent="0.25">
      <c r="K2710" s="8" t="e">
        <f t="shared" si="42"/>
        <v>#VALUE!</v>
      </c>
    </row>
    <row r="2711" spans="11:11" x14ac:dyDescent="0.25">
      <c r="K2711" s="8" t="e">
        <f t="shared" si="42"/>
        <v>#VALUE!</v>
      </c>
    </row>
    <row r="2712" spans="11:11" x14ac:dyDescent="0.25">
      <c r="K2712" s="8" t="e">
        <f t="shared" si="42"/>
        <v>#VALUE!</v>
      </c>
    </row>
    <row r="2713" spans="11:11" x14ac:dyDescent="0.25">
      <c r="K2713" s="8" t="e">
        <f t="shared" si="42"/>
        <v>#VALUE!</v>
      </c>
    </row>
    <row r="2714" spans="11:11" x14ac:dyDescent="0.25">
      <c r="K2714" s="8" t="e">
        <f t="shared" si="42"/>
        <v>#VALUE!</v>
      </c>
    </row>
    <row r="2715" spans="11:11" x14ac:dyDescent="0.25">
      <c r="K2715" s="8" t="e">
        <f t="shared" si="42"/>
        <v>#VALUE!</v>
      </c>
    </row>
    <row r="2716" spans="11:11" x14ac:dyDescent="0.25">
      <c r="K2716" s="8" t="e">
        <f t="shared" si="42"/>
        <v>#VALUE!</v>
      </c>
    </row>
    <row r="2717" spans="11:11" x14ac:dyDescent="0.25">
      <c r="K2717" s="8" t="e">
        <f t="shared" si="42"/>
        <v>#VALUE!</v>
      </c>
    </row>
    <row r="2718" spans="11:11" x14ac:dyDescent="0.25">
      <c r="K2718" s="8" t="e">
        <f t="shared" si="42"/>
        <v>#VALUE!</v>
      </c>
    </row>
    <row r="2719" spans="11:11" x14ac:dyDescent="0.25">
      <c r="K2719" s="8" t="e">
        <f t="shared" si="42"/>
        <v>#VALUE!</v>
      </c>
    </row>
    <row r="2720" spans="11:11" x14ac:dyDescent="0.25">
      <c r="K2720" s="8" t="e">
        <f t="shared" si="42"/>
        <v>#VALUE!</v>
      </c>
    </row>
    <row r="2721" spans="11:11" x14ac:dyDescent="0.25">
      <c r="K2721" s="8" t="e">
        <f t="shared" si="42"/>
        <v>#VALUE!</v>
      </c>
    </row>
    <row r="2722" spans="11:11" x14ac:dyDescent="0.25">
      <c r="K2722" s="8" t="e">
        <f t="shared" si="42"/>
        <v>#VALUE!</v>
      </c>
    </row>
    <row r="2723" spans="11:11" x14ac:dyDescent="0.25">
      <c r="K2723" s="8" t="e">
        <f t="shared" si="42"/>
        <v>#VALUE!</v>
      </c>
    </row>
    <row r="2724" spans="11:11" x14ac:dyDescent="0.25">
      <c r="K2724" s="8" t="e">
        <f t="shared" si="42"/>
        <v>#VALUE!</v>
      </c>
    </row>
    <row r="2725" spans="11:11" x14ac:dyDescent="0.25">
      <c r="K2725" s="8" t="e">
        <f t="shared" si="42"/>
        <v>#VALUE!</v>
      </c>
    </row>
    <row r="2726" spans="11:11" x14ac:dyDescent="0.25">
      <c r="K2726" s="8" t="e">
        <f t="shared" si="42"/>
        <v>#VALUE!</v>
      </c>
    </row>
    <row r="2727" spans="11:11" x14ac:dyDescent="0.25">
      <c r="K2727" s="8" t="e">
        <f t="shared" si="42"/>
        <v>#VALUE!</v>
      </c>
    </row>
    <row r="2728" spans="11:11" x14ac:dyDescent="0.25">
      <c r="K2728" s="8" t="e">
        <f t="shared" si="42"/>
        <v>#VALUE!</v>
      </c>
    </row>
    <row r="2729" spans="11:11" x14ac:dyDescent="0.25">
      <c r="K2729" s="8" t="e">
        <f t="shared" si="42"/>
        <v>#VALUE!</v>
      </c>
    </row>
    <row r="2730" spans="11:11" x14ac:dyDescent="0.25">
      <c r="K2730" s="8" t="e">
        <f t="shared" si="42"/>
        <v>#VALUE!</v>
      </c>
    </row>
    <row r="2731" spans="11:11" x14ac:dyDescent="0.25">
      <c r="K2731" s="8" t="e">
        <f t="shared" si="42"/>
        <v>#VALUE!</v>
      </c>
    </row>
    <row r="2732" spans="11:11" x14ac:dyDescent="0.25">
      <c r="K2732" s="8" t="e">
        <f t="shared" si="42"/>
        <v>#VALUE!</v>
      </c>
    </row>
    <row r="2733" spans="11:11" x14ac:dyDescent="0.25">
      <c r="K2733" s="8" t="e">
        <f t="shared" si="42"/>
        <v>#VALUE!</v>
      </c>
    </row>
    <row r="2734" spans="11:11" x14ac:dyDescent="0.25">
      <c r="K2734" s="8" t="e">
        <f t="shared" si="42"/>
        <v>#VALUE!</v>
      </c>
    </row>
    <row r="2735" spans="11:11" x14ac:dyDescent="0.25">
      <c r="K2735" s="8" t="e">
        <f t="shared" si="42"/>
        <v>#VALUE!</v>
      </c>
    </row>
    <row r="2736" spans="11:11" x14ac:dyDescent="0.25">
      <c r="K2736" s="8" t="e">
        <f t="shared" si="42"/>
        <v>#VALUE!</v>
      </c>
    </row>
    <row r="2737" spans="11:11" x14ac:dyDescent="0.25">
      <c r="K2737" s="8" t="e">
        <f t="shared" si="42"/>
        <v>#VALUE!</v>
      </c>
    </row>
    <row r="2738" spans="11:11" x14ac:dyDescent="0.25">
      <c r="K2738" s="8" t="e">
        <f t="shared" si="42"/>
        <v>#VALUE!</v>
      </c>
    </row>
    <row r="2739" spans="11:11" x14ac:dyDescent="0.25">
      <c r="K2739" s="8" t="e">
        <f t="shared" si="42"/>
        <v>#VALUE!</v>
      </c>
    </row>
    <row r="2740" spans="11:11" x14ac:dyDescent="0.25">
      <c r="K2740" s="8" t="e">
        <f t="shared" si="42"/>
        <v>#VALUE!</v>
      </c>
    </row>
    <row r="2741" spans="11:11" x14ac:dyDescent="0.25">
      <c r="K2741" s="8" t="e">
        <f t="shared" si="42"/>
        <v>#VALUE!</v>
      </c>
    </row>
    <row r="2742" spans="11:11" x14ac:dyDescent="0.25">
      <c r="K2742" s="8" t="e">
        <f t="shared" si="42"/>
        <v>#VALUE!</v>
      </c>
    </row>
    <row r="2743" spans="11:11" x14ac:dyDescent="0.25">
      <c r="K2743" s="8" t="e">
        <f t="shared" si="42"/>
        <v>#VALUE!</v>
      </c>
    </row>
    <row r="2744" spans="11:11" x14ac:dyDescent="0.25">
      <c r="K2744" s="8" t="e">
        <f t="shared" si="42"/>
        <v>#VALUE!</v>
      </c>
    </row>
    <row r="2745" spans="11:11" x14ac:dyDescent="0.25">
      <c r="K2745" s="8" t="e">
        <f t="shared" si="42"/>
        <v>#VALUE!</v>
      </c>
    </row>
    <row r="2746" spans="11:11" x14ac:dyDescent="0.25">
      <c r="K2746" s="8" t="e">
        <f t="shared" si="42"/>
        <v>#VALUE!</v>
      </c>
    </row>
    <row r="2747" spans="11:11" x14ac:dyDescent="0.25">
      <c r="K2747" s="8" t="e">
        <f t="shared" si="42"/>
        <v>#VALUE!</v>
      </c>
    </row>
    <row r="2748" spans="11:11" x14ac:dyDescent="0.25">
      <c r="K2748" s="8" t="e">
        <f t="shared" si="42"/>
        <v>#VALUE!</v>
      </c>
    </row>
    <row r="2749" spans="11:11" x14ac:dyDescent="0.25">
      <c r="K2749" s="8" t="e">
        <f t="shared" si="42"/>
        <v>#VALUE!</v>
      </c>
    </row>
    <row r="2750" spans="11:11" x14ac:dyDescent="0.25">
      <c r="K2750" s="8" t="e">
        <f t="shared" si="42"/>
        <v>#VALUE!</v>
      </c>
    </row>
    <row r="2751" spans="11:11" x14ac:dyDescent="0.25">
      <c r="K2751" s="8" t="e">
        <f t="shared" si="42"/>
        <v>#VALUE!</v>
      </c>
    </row>
    <row r="2752" spans="11:11" x14ac:dyDescent="0.25">
      <c r="K2752" s="8" t="e">
        <f t="shared" si="42"/>
        <v>#VALUE!</v>
      </c>
    </row>
    <row r="2753" spans="11:11" x14ac:dyDescent="0.25">
      <c r="K2753" s="8" t="e">
        <f t="shared" si="42"/>
        <v>#VALUE!</v>
      </c>
    </row>
    <row r="2754" spans="11:11" x14ac:dyDescent="0.25">
      <c r="K2754" s="8" t="e">
        <f t="shared" si="42"/>
        <v>#VALUE!</v>
      </c>
    </row>
    <row r="2755" spans="11:11" x14ac:dyDescent="0.25">
      <c r="K2755" s="8" t="e">
        <f t="shared" ref="K2755:K2818" si="43">LEFT(A2755,FIND("/",A2755)-1)</f>
        <v>#VALUE!</v>
      </c>
    </row>
    <row r="2756" spans="11:11" x14ac:dyDescent="0.25">
      <c r="K2756" s="8" t="e">
        <f t="shared" si="43"/>
        <v>#VALUE!</v>
      </c>
    </row>
    <row r="2757" spans="11:11" x14ac:dyDescent="0.25">
      <c r="K2757" s="8" t="e">
        <f t="shared" si="43"/>
        <v>#VALUE!</v>
      </c>
    </row>
    <row r="2758" spans="11:11" x14ac:dyDescent="0.25">
      <c r="K2758" s="8" t="e">
        <f t="shared" si="43"/>
        <v>#VALUE!</v>
      </c>
    </row>
    <row r="2759" spans="11:11" x14ac:dyDescent="0.25">
      <c r="K2759" s="8" t="e">
        <f t="shared" si="43"/>
        <v>#VALUE!</v>
      </c>
    </row>
    <row r="2760" spans="11:11" x14ac:dyDescent="0.25">
      <c r="K2760" s="8" t="e">
        <f t="shared" si="43"/>
        <v>#VALUE!</v>
      </c>
    </row>
    <row r="2761" spans="11:11" x14ac:dyDescent="0.25">
      <c r="K2761" s="8" t="e">
        <f t="shared" si="43"/>
        <v>#VALUE!</v>
      </c>
    </row>
    <row r="2762" spans="11:11" x14ac:dyDescent="0.25">
      <c r="K2762" s="8" t="e">
        <f t="shared" si="43"/>
        <v>#VALUE!</v>
      </c>
    </row>
    <row r="2763" spans="11:11" x14ac:dyDescent="0.25">
      <c r="K2763" s="8" t="e">
        <f t="shared" si="43"/>
        <v>#VALUE!</v>
      </c>
    </row>
    <row r="2764" spans="11:11" x14ac:dyDescent="0.25">
      <c r="K2764" s="8" t="e">
        <f t="shared" si="43"/>
        <v>#VALUE!</v>
      </c>
    </row>
    <row r="2765" spans="11:11" x14ac:dyDescent="0.25">
      <c r="K2765" s="8" t="e">
        <f t="shared" si="43"/>
        <v>#VALUE!</v>
      </c>
    </row>
    <row r="2766" spans="11:11" x14ac:dyDescent="0.25">
      <c r="K2766" s="8" t="e">
        <f t="shared" si="43"/>
        <v>#VALUE!</v>
      </c>
    </row>
    <row r="2767" spans="11:11" x14ac:dyDescent="0.25">
      <c r="K2767" s="8" t="e">
        <f t="shared" si="43"/>
        <v>#VALUE!</v>
      </c>
    </row>
    <row r="2768" spans="11:11" x14ac:dyDescent="0.25">
      <c r="K2768" s="8" t="e">
        <f t="shared" si="43"/>
        <v>#VALUE!</v>
      </c>
    </row>
    <row r="2769" spans="11:11" x14ac:dyDescent="0.25">
      <c r="K2769" s="8" t="e">
        <f t="shared" si="43"/>
        <v>#VALUE!</v>
      </c>
    </row>
    <row r="2770" spans="11:11" x14ac:dyDescent="0.25">
      <c r="K2770" s="8" t="e">
        <f t="shared" si="43"/>
        <v>#VALUE!</v>
      </c>
    </row>
    <row r="2771" spans="11:11" x14ac:dyDescent="0.25">
      <c r="K2771" s="8" t="e">
        <f t="shared" si="43"/>
        <v>#VALUE!</v>
      </c>
    </row>
    <row r="2772" spans="11:11" x14ac:dyDescent="0.25">
      <c r="K2772" s="8" t="e">
        <f t="shared" si="43"/>
        <v>#VALUE!</v>
      </c>
    </row>
    <row r="2773" spans="11:11" x14ac:dyDescent="0.25">
      <c r="K2773" s="8" t="e">
        <f t="shared" si="43"/>
        <v>#VALUE!</v>
      </c>
    </row>
    <row r="2774" spans="11:11" x14ac:dyDescent="0.25">
      <c r="K2774" s="8" t="e">
        <f t="shared" si="43"/>
        <v>#VALUE!</v>
      </c>
    </row>
    <row r="2775" spans="11:11" x14ac:dyDescent="0.25">
      <c r="K2775" s="8" t="e">
        <f t="shared" si="43"/>
        <v>#VALUE!</v>
      </c>
    </row>
    <row r="2776" spans="11:11" x14ac:dyDescent="0.25">
      <c r="K2776" s="8" t="e">
        <f t="shared" si="43"/>
        <v>#VALUE!</v>
      </c>
    </row>
    <row r="2777" spans="11:11" x14ac:dyDescent="0.25">
      <c r="K2777" s="8" t="e">
        <f t="shared" si="43"/>
        <v>#VALUE!</v>
      </c>
    </row>
    <row r="2778" spans="11:11" x14ac:dyDescent="0.25">
      <c r="K2778" s="8" t="e">
        <f t="shared" si="43"/>
        <v>#VALUE!</v>
      </c>
    </row>
    <row r="2779" spans="11:11" x14ac:dyDescent="0.25">
      <c r="K2779" s="8" t="e">
        <f t="shared" si="43"/>
        <v>#VALUE!</v>
      </c>
    </row>
    <row r="2780" spans="11:11" x14ac:dyDescent="0.25">
      <c r="K2780" s="8" t="e">
        <f t="shared" si="43"/>
        <v>#VALUE!</v>
      </c>
    </row>
    <row r="2781" spans="11:11" x14ac:dyDescent="0.25">
      <c r="K2781" s="8" t="e">
        <f t="shared" si="43"/>
        <v>#VALUE!</v>
      </c>
    </row>
    <row r="2782" spans="11:11" x14ac:dyDescent="0.25">
      <c r="K2782" s="8" t="e">
        <f t="shared" si="43"/>
        <v>#VALUE!</v>
      </c>
    </row>
    <row r="2783" spans="11:11" x14ac:dyDescent="0.25">
      <c r="K2783" s="8" t="e">
        <f t="shared" si="43"/>
        <v>#VALUE!</v>
      </c>
    </row>
    <row r="2784" spans="11:11" x14ac:dyDescent="0.25">
      <c r="K2784" s="8" t="e">
        <f t="shared" si="43"/>
        <v>#VALUE!</v>
      </c>
    </row>
    <row r="2785" spans="11:11" x14ac:dyDescent="0.25">
      <c r="K2785" s="8" t="e">
        <f t="shared" si="43"/>
        <v>#VALUE!</v>
      </c>
    </row>
    <row r="2786" spans="11:11" x14ac:dyDescent="0.25">
      <c r="K2786" s="8" t="e">
        <f t="shared" si="43"/>
        <v>#VALUE!</v>
      </c>
    </row>
    <row r="2787" spans="11:11" x14ac:dyDescent="0.25">
      <c r="K2787" s="8" t="e">
        <f t="shared" si="43"/>
        <v>#VALUE!</v>
      </c>
    </row>
    <row r="2788" spans="11:11" x14ac:dyDescent="0.25">
      <c r="K2788" s="8" t="e">
        <f t="shared" si="43"/>
        <v>#VALUE!</v>
      </c>
    </row>
    <row r="2789" spans="11:11" x14ac:dyDescent="0.25">
      <c r="K2789" s="8" t="e">
        <f t="shared" si="43"/>
        <v>#VALUE!</v>
      </c>
    </row>
    <row r="2790" spans="11:11" x14ac:dyDescent="0.25">
      <c r="K2790" s="8" t="e">
        <f t="shared" si="43"/>
        <v>#VALUE!</v>
      </c>
    </row>
    <row r="2791" spans="11:11" x14ac:dyDescent="0.25">
      <c r="K2791" s="8" t="e">
        <f t="shared" si="43"/>
        <v>#VALUE!</v>
      </c>
    </row>
    <row r="2792" spans="11:11" x14ac:dyDescent="0.25">
      <c r="K2792" s="8" t="e">
        <f t="shared" si="43"/>
        <v>#VALUE!</v>
      </c>
    </row>
    <row r="2793" spans="11:11" x14ac:dyDescent="0.25">
      <c r="K2793" s="8" t="e">
        <f t="shared" si="43"/>
        <v>#VALUE!</v>
      </c>
    </row>
    <row r="2794" spans="11:11" x14ac:dyDescent="0.25">
      <c r="K2794" s="8" t="e">
        <f t="shared" si="43"/>
        <v>#VALUE!</v>
      </c>
    </row>
    <row r="2795" spans="11:11" x14ac:dyDescent="0.25">
      <c r="K2795" s="8" t="e">
        <f t="shared" si="43"/>
        <v>#VALUE!</v>
      </c>
    </row>
    <row r="2796" spans="11:11" x14ac:dyDescent="0.25">
      <c r="K2796" s="8" t="e">
        <f t="shared" si="43"/>
        <v>#VALUE!</v>
      </c>
    </row>
    <row r="2797" spans="11:11" x14ac:dyDescent="0.25">
      <c r="K2797" s="8" t="e">
        <f t="shared" si="43"/>
        <v>#VALUE!</v>
      </c>
    </row>
    <row r="2798" spans="11:11" x14ac:dyDescent="0.25">
      <c r="K2798" s="8" t="e">
        <f t="shared" si="43"/>
        <v>#VALUE!</v>
      </c>
    </row>
    <row r="2799" spans="11:11" x14ac:dyDescent="0.25">
      <c r="K2799" s="8" t="e">
        <f t="shared" si="43"/>
        <v>#VALUE!</v>
      </c>
    </row>
    <row r="2800" spans="11:11" x14ac:dyDescent="0.25">
      <c r="K2800" s="8" t="e">
        <f t="shared" si="43"/>
        <v>#VALUE!</v>
      </c>
    </row>
    <row r="2801" spans="11:11" x14ac:dyDescent="0.25">
      <c r="K2801" s="8" t="e">
        <f t="shared" si="43"/>
        <v>#VALUE!</v>
      </c>
    </row>
    <row r="2802" spans="11:11" x14ac:dyDescent="0.25">
      <c r="K2802" s="8" t="e">
        <f t="shared" si="43"/>
        <v>#VALUE!</v>
      </c>
    </row>
    <row r="2803" spans="11:11" x14ac:dyDescent="0.25">
      <c r="K2803" s="8" t="e">
        <f t="shared" si="43"/>
        <v>#VALUE!</v>
      </c>
    </row>
    <row r="2804" spans="11:11" x14ac:dyDescent="0.25">
      <c r="K2804" s="8" t="e">
        <f t="shared" si="43"/>
        <v>#VALUE!</v>
      </c>
    </row>
    <row r="2805" spans="11:11" x14ac:dyDescent="0.25">
      <c r="K2805" s="8" t="e">
        <f t="shared" si="43"/>
        <v>#VALUE!</v>
      </c>
    </row>
    <row r="2806" spans="11:11" x14ac:dyDescent="0.25">
      <c r="K2806" s="8" t="e">
        <f t="shared" si="43"/>
        <v>#VALUE!</v>
      </c>
    </row>
    <row r="2807" spans="11:11" x14ac:dyDescent="0.25">
      <c r="K2807" s="8" t="e">
        <f t="shared" si="43"/>
        <v>#VALUE!</v>
      </c>
    </row>
    <row r="2808" spans="11:11" x14ac:dyDescent="0.25">
      <c r="K2808" s="8" t="e">
        <f t="shared" si="43"/>
        <v>#VALUE!</v>
      </c>
    </row>
    <row r="2809" spans="11:11" x14ac:dyDescent="0.25">
      <c r="K2809" s="8" t="e">
        <f t="shared" si="43"/>
        <v>#VALUE!</v>
      </c>
    </row>
    <row r="2810" spans="11:11" x14ac:dyDescent="0.25">
      <c r="K2810" s="8" t="e">
        <f t="shared" si="43"/>
        <v>#VALUE!</v>
      </c>
    </row>
    <row r="2811" spans="11:11" x14ac:dyDescent="0.25">
      <c r="K2811" s="8" t="e">
        <f t="shared" si="43"/>
        <v>#VALUE!</v>
      </c>
    </row>
    <row r="2812" spans="11:11" x14ac:dyDescent="0.25">
      <c r="K2812" s="8" t="e">
        <f t="shared" si="43"/>
        <v>#VALUE!</v>
      </c>
    </row>
    <row r="2813" spans="11:11" x14ac:dyDescent="0.25">
      <c r="K2813" s="8" t="e">
        <f t="shared" si="43"/>
        <v>#VALUE!</v>
      </c>
    </row>
    <row r="2814" spans="11:11" x14ac:dyDescent="0.25">
      <c r="K2814" s="8" t="e">
        <f t="shared" si="43"/>
        <v>#VALUE!</v>
      </c>
    </row>
    <row r="2815" spans="11:11" x14ac:dyDescent="0.25">
      <c r="K2815" s="8" t="e">
        <f t="shared" si="43"/>
        <v>#VALUE!</v>
      </c>
    </row>
    <row r="2816" spans="11:11" x14ac:dyDescent="0.25">
      <c r="K2816" s="8" t="e">
        <f t="shared" si="43"/>
        <v>#VALUE!</v>
      </c>
    </row>
    <row r="2817" spans="11:11" x14ac:dyDescent="0.25">
      <c r="K2817" s="8" t="e">
        <f t="shared" si="43"/>
        <v>#VALUE!</v>
      </c>
    </row>
    <row r="2818" spans="11:11" x14ac:dyDescent="0.25">
      <c r="K2818" s="8" t="e">
        <f t="shared" si="43"/>
        <v>#VALUE!</v>
      </c>
    </row>
    <row r="2819" spans="11:11" x14ac:dyDescent="0.25">
      <c r="K2819" s="8" t="e">
        <f t="shared" ref="K2819:K2882" si="44">LEFT(A2819,FIND("/",A2819)-1)</f>
        <v>#VALUE!</v>
      </c>
    </row>
    <row r="2820" spans="11:11" x14ac:dyDescent="0.25">
      <c r="K2820" s="8" t="e">
        <f t="shared" si="44"/>
        <v>#VALUE!</v>
      </c>
    </row>
    <row r="2821" spans="11:11" x14ac:dyDescent="0.25">
      <c r="K2821" s="8" t="e">
        <f t="shared" si="44"/>
        <v>#VALUE!</v>
      </c>
    </row>
    <row r="2822" spans="11:11" x14ac:dyDescent="0.25">
      <c r="K2822" s="8" t="e">
        <f t="shared" si="44"/>
        <v>#VALUE!</v>
      </c>
    </row>
    <row r="2823" spans="11:11" x14ac:dyDescent="0.25">
      <c r="K2823" s="8" t="e">
        <f t="shared" si="44"/>
        <v>#VALUE!</v>
      </c>
    </row>
    <row r="2824" spans="11:11" x14ac:dyDescent="0.25">
      <c r="K2824" s="8" t="e">
        <f t="shared" si="44"/>
        <v>#VALUE!</v>
      </c>
    </row>
    <row r="2825" spans="11:11" x14ac:dyDescent="0.25">
      <c r="K2825" s="8" t="e">
        <f t="shared" si="44"/>
        <v>#VALUE!</v>
      </c>
    </row>
    <row r="2826" spans="11:11" x14ac:dyDescent="0.25">
      <c r="K2826" s="8" t="e">
        <f t="shared" si="44"/>
        <v>#VALUE!</v>
      </c>
    </row>
    <row r="2827" spans="11:11" x14ac:dyDescent="0.25">
      <c r="K2827" s="8" t="e">
        <f t="shared" si="44"/>
        <v>#VALUE!</v>
      </c>
    </row>
    <row r="2828" spans="11:11" x14ac:dyDescent="0.25">
      <c r="K2828" s="8" t="e">
        <f t="shared" si="44"/>
        <v>#VALUE!</v>
      </c>
    </row>
    <row r="2829" spans="11:11" x14ac:dyDescent="0.25">
      <c r="K2829" s="8" t="e">
        <f t="shared" si="44"/>
        <v>#VALUE!</v>
      </c>
    </row>
    <row r="2830" spans="11:11" x14ac:dyDescent="0.25">
      <c r="K2830" s="8" t="e">
        <f t="shared" si="44"/>
        <v>#VALUE!</v>
      </c>
    </row>
    <row r="2831" spans="11:11" x14ac:dyDescent="0.25">
      <c r="K2831" s="8" t="e">
        <f t="shared" si="44"/>
        <v>#VALUE!</v>
      </c>
    </row>
    <row r="2832" spans="11:11" x14ac:dyDescent="0.25">
      <c r="K2832" s="8" t="e">
        <f t="shared" si="44"/>
        <v>#VALUE!</v>
      </c>
    </row>
    <row r="2833" spans="11:11" x14ac:dyDescent="0.25">
      <c r="K2833" s="8" t="e">
        <f t="shared" si="44"/>
        <v>#VALUE!</v>
      </c>
    </row>
    <row r="2834" spans="11:11" x14ac:dyDescent="0.25">
      <c r="K2834" s="8" t="e">
        <f t="shared" si="44"/>
        <v>#VALUE!</v>
      </c>
    </row>
    <row r="2835" spans="11:11" x14ac:dyDescent="0.25">
      <c r="K2835" s="8" t="e">
        <f t="shared" si="44"/>
        <v>#VALUE!</v>
      </c>
    </row>
    <row r="2836" spans="11:11" x14ac:dyDescent="0.25">
      <c r="K2836" s="8" t="e">
        <f t="shared" si="44"/>
        <v>#VALUE!</v>
      </c>
    </row>
    <row r="2837" spans="11:11" x14ac:dyDescent="0.25">
      <c r="K2837" s="8" t="e">
        <f t="shared" si="44"/>
        <v>#VALUE!</v>
      </c>
    </row>
    <row r="2838" spans="11:11" x14ac:dyDescent="0.25">
      <c r="K2838" s="8" t="e">
        <f t="shared" si="44"/>
        <v>#VALUE!</v>
      </c>
    </row>
    <row r="2839" spans="11:11" x14ac:dyDescent="0.25">
      <c r="K2839" s="8" t="e">
        <f t="shared" si="44"/>
        <v>#VALUE!</v>
      </c>
    </row>
    <row r="2840" spans="11:11" x14ac:dyDescent="0.25">
      <c r="K2840" s="8" t="e">
        <f t="shared" si="44"/>
        <v>#VALUE!</v>
      </c>
    </row>
    <row r="2841" spans="11:11" x14ac:dyDescent="0.25">
      <c r="K2841" s="8" t="e">
        <f t="shared" si="44"/>
        <v>#VALUE!</v>
      </c>
    </row>
    <row r="2842" spans="11:11" x14ac:dyDescent="0.25">
      <c r="K2842" s="8" t="e">
        <f t="shared" si="44"/>
        <v>#VALUE!</v>
      </c>
    </row>
    <row r="2843" spans="11:11" x14ac:dyDescent="0.25">
      <c r="K2843" s="8" t="e">
        <f t="shared" si="44"/>
        <v>#VALUE!</v>
      </c>
    </row>
    <row r="2844" spans="11:11" x14ac:dyDescent="0.25">
      <c r="K2844" s="8" t="e">
        <f t="shared" si="44"/>
        <v>#VALUE!</v>
      </c>
    </row>
    <row r="2845" spans="11:11" x14ac:dyDescent="0.25">
      <c r="K2845" s="8" t="e">
        <f t="shared" si="44"/>
        <v>#VALUE!</v>
      </c>
    </row>
    <row r="2846" spans="11:11" x14ac:dyDescent="0.25">
      <c r="K2846" s="8" t="e">
        <f t="shared" si="44"/>
        <v>#VALUE!</v>
      </c>
    </row>
    <row r="2847" spans="11:11" x14ac:dyDescent="0.25">
      <c r="K2847" s="8" t="e">
        <f t="shared" si="44"/>
        <v>#VALUE!</v>
      </c>
    </row>
    <row r="2848" spans="11:11" x14ac:dyDescent="0.25">
      <c r="K2848" s="8" t="e">
        <f t="shared" si="44"/>
        <v>#VALUE!</v>
      </c>
    </row>
    <row r="2849" spans="11:11" x14ac:dyDescent="0.25">
      <c r="K2849" s="8" t="e">
        <f t="shared" si="44"/>
        <v>#VALUE!</v>
      </c>
    </row>
    <row r="2850" spans="11:11" x14ac:dyDescent="0.25">
      <c r="K2850" s="8" t="e">
        <f t="shared" si="44"/>
        <v>#VALUE!</v>
      </c>
    </row>
    <row r="2851" spans="11:11" x14ac:dyDescent="0.25">
      <c r="K2851" s="8" t="e">
        <f t="shared" si="44"/>
        <v>#VALUE!</v>
      </c>
    </row>
    <row r="2852" spans="11:11" x14ac:dyDescent="0.25">
      <c r="K2852" s="8" t="e">
        <f t="shared" si="44"/>
        <v>#VALUE!</v>
      </c>
    </row>
    <row r="2853" spans="11:11" x14ac:dyDescent="0.25">
      <c r="K2853" s="8" t="e">
        <f t="shared" si="44"/>
        <v>#VALUE!</v>
      </c>
    </row>
    <row r="2854" spans="11:11" x14ac:dyDescent="0.25">
      <c r="K2854" s="8" t="e">
        <f t="shared" si="44"/>
        <v>#VALUE!</v>
      </c>
    </row>
    <row r="2855" spans="11:11" x14ac:dyDescent="0.25">
      <c r="K2855" s="8" t="e">
        <f t="shared" si="44"/>
        <v>#VALUE!</v>
      </c>
    </row>
    <row r="2856" spans="11:11" x14ac:dyDescent="0.25">
      <c r="K2856" s="8" t="e">
        <f t="shared" si="44"/>
        <v>#VALUE!</v>
      </c>
    </row>
    <row r="2857" spans="11:11" x14ac:dyDescent="0.25">
      <c r="K2857" s="8" t="e">
        <f t="shared" si="44"/>
        <v>#VALUE!</v>
      </c>
    </row>
    <row r="2858" spans="11:11" x14ac:dyDescent="0.25">
      <c r="K2858" s="8" t="e">
        <f t="shared" si="44"/>
        <v>#VALUE!</v>
      </c>
    </row>
    <row r="2859" spans="11:11" x14ac:dyDescent="0.25">
      <c r="K2859" s="8" t="e">
        <f t="shared" si="44"/>
        <v>#VALUE!</v>
      </c>
    </row>
    <row r="2860" spans="11:11" x14ac:dyDescent="0.25">
      <c r="K2860" s="8" t="e">
        <f t="shared" si="44"/>
        <v>#VALUE!</v>
      </c>
    </row>
    <row r="2861" spans="11:11" x14ac:dyDescent="0.25">
      <c r="K2861" s="8" t="e">
        <f t="shared" si="44"/>
        <v>#VALUE!</v>
      </c>
    </row>
    <row r="2862" spans="11:11" x14ac:dyDescent="0.25">
      <c r="K2862" s="8" t="e">
        <f t="shared" si="44"/>
        <v>#VALUE!</v>
      </c>
    </row>
    <row r="2863" spans="11:11" x14ac:dyDescent="0.25">
      <c r="K2863" s="8" t="e">
        <f t="shared" si="44"/>
        <v>#VALUE!</v>
      </c>
    </row>
    <row r="2864" spans="11:11" x14ac:dyDescent="0.25">
      <c r="K2864" s="8" t="e">
        <f t="shared" si="44"/>
        <v>#VALUE!</v>
      </c>
    </row>
    <row r="2865" spans="11:11" x14ac:dyDescent="0.25">
      <c r="K2865" s="8" t="e">
        <f t="shared" si="44"/>
        <v>#VALUE!</v>
      </c>
    </row>
    <row r="2866" spans="11:11" x14ac:dyDescent="0.25">
      <c r="K2866" s="8" t="e">
        <f t="shared" si="44"/>
        <v>#VALUE!</v>
      </c>
    </row>
    <row r="2867" spans="11:11" x14ac:dyDescent="0.25">
      <c r="K2867" s="8" t="e">
        <f t="shared" si="44"/>
        <v>#VALUE!</v>
      </c>
    </row>
    <row r="2868" spans="11:11" x14ac:dyDescent="0.25">
      <c r="K2868" s="8" t="e">
        <f t="shared" si="44"/>
        <v>#VALUE!</v>
      </c>
    </row>
    <row r="2869" spans="11:11" x14ac:dyDescent="0.25">
      <c r="K2869" s="8" t="e">
        <f t="shared" si="44"/>
        <v>#VALUE!</v>
      </c>
    </row>
    <row r="2870" spans="11:11" x14ac:dyDescent="0.25">
      <c r="K2870" s="8" t="e">
        <f t="shared" si="44"/>
        <v>#VALUE!</v>
      </c>
    </row>
    <row r="2871" spans="11:11" x14ac:dyDescent="0.25">
      <c r="K2871" s="8" t="e">
        <f t="shared" si="44"/>
        <v>#VALUE!</v>
      </c>
    </row>
    <row r="2872" spans="11:11" x14ac:dyDescent="0.25">
      <c r="K2872" s="8" t="e">
        <f t="shared" si="44"/>
        <v>#VALUE!</v>
      </c>
    </row>
    <row r="2873" spans="11:11" x14ac:dyDescent="0.25">
      <c r="K2873" s="8" t="e">
        <f t="shared" si="44"/>
        <v>#VALUE!</v>
      </c>
    </row>
    <row r="2874" spans="11:11" x14ac:dyDescent="0.25">
      <c r="K2874" s="8" t="e">
        <f t="shared" si="44"/>
        <v>#VALUE!</v>
      </c>
    </row>
    <row r="2875" spans="11:11" x14ac:dyDescent="0.25">
      <c r="K2875" s="8" t="e">
        <f t="shared" si="44"/>
        <v>#VALUE!</v>
      </c>
    </row>
    <row r="2876" spans="11:11" x14ac:dyDescent="0.25">
      <c r="K2876" s="8" t="e">
        <f t="shared" si="44"/>
        <v>#VALUE!</v>
      </c>
    </row>
    <row r="2877" spans="11:11" x14ac:dyDescent="0.25">
      <c r="K2877" s="8" t="e">
        <f t="shared" si="44"/>
        <v>#VALUE!</v>
      </c>
    </row>
    <row r="2878" spans="11:11" x14ac:dyDescent="0.25">
      <c r="K2878" s="8" t="e">
        <f t="shared" si="44"/>
        <v>#VALUE!</v>
      </c>
    </row>
    <row r="2879" spans="11:11" x14ac:dyDescent="0.25">
      <c r="K2879" s="8" t="e">
        <f t="shared" si="44"/>
        <v>#VALUE!</v>
      </c>
    </row>
    <row r="2880" spans="11:11" x14ac:dyDescent="0.25">
      <c r="K2880" s="8" t="e">
        <f t="shared" si="44"/>
        <v>#VALUE!</v>
      </c>
    </row>
    <row r="2881" spans="11:11" x14ac:dyDescent="0.25">
      <c r="K2881" s="8" t="e">
        <f t="shared" si="44"/>
        <v>#VALUE!</v>
      </c>
    </row>
    <row r="2882" spans="11:11" x14ac:dyDescent="0.25">
      <c r="K2882" s="8" t="e">
        <f t="shared" si="44"/>
        <v>#VALUE!</v>
      </c>
    </row>
    <row r="2883" spans="11:11" x14ac:dyDescent="0.25">
      <c r="K2883" s="8" t="e">
        <f t="shared" ref="K2883:K2946" si="45">LEFT(A2883,FIND("/",A2883)-1)</f>
        <v>#VALUE!</v>
      </c>
    </row>
    <row r="2884" spans="11:11" x14ac:dyDescent="0.25">
      <c r="K2884" s="8" t="e">
        <f t="shared" si="45"/>
        <v>#VALUE!</v>
      </c>
    </row>
    <row r="2885" spans="11:11" x14ac:dyDescent="0.25">
      <c r="K2885" s="8" t="e">
        <f t="shared" si="45"/>
        <v>#VALUE!</v>
      </c>
    </row>
    <row r="2886" spans="11:11" x14ac:dyDescent="0.25">
      <c r="K2886" s="8" t="e">
        <f t="shared" si="45"/>
        <v>#VALUE!</v>
      </c>
    </row>
    <row r="2887" spans="11:11" x14ac:dyDescent="0.25">
      <c r="K2887" s="8" t="e">
        <f t="shared" si="45"/>
        <v>#VALUE!</v>
      </c>
    </row>
    <row r="2888" spans="11:11" x14ac:dyDescent="0.25">
      <c r="K2888" s="8" t="e">
        <f t="shared" si="45"/>
        <v>#VALUE!</v>
      </c>
    </row>
    <row r="2889" spans="11:11" x14ac:dyDescent="0.25">
      <c r="K2889" s="8" t="e">
        <f t="shared" si="45"/>
        <v>#VALUE!</v>
      </c>
    </row>
    <row r="2890" spans="11:11" x14ac:dyDescent="0.25">
      <c r="K2890" s="8" t="e">
        <f t="shared" si="45"/>
        <v>#VALUE!</v>
      </c>
    </row>
    <row r="2891" spans="11:11" x14ac:dyDescent="0.25">
      <c r="K2891" s="8" t="e">
        <f t="shared" si="45"/>
        <v>#VALUE!</v>
      </c>
    </row>
    <row r="2892" spans="11:11" x14ac:dyDescent="0.25">
      <c r="K2892" s="8" t="e">
        <f t="shared" si="45"/>
        <v>#VALUE!</v>
      </c>
    </row>
    <row r="2893" spans="11:11" x14ac:dyDescent="0.25">
      <c r="K2893" s="8" t="e">
        <f t="shared" si="45"/>
        <v>#VALUE!</v>
      </c>
    </row>
    <row r="2894" spans="11:11" x14ac:dyDescent="0.25">
      <c r="K2894" s="8" t="e">
        <f t="shared" si="45"/>
        <v>#VALUE!</v>
      </c>
    </row>
    <row r="2895" spans="11:11" x14ac:dyDescent="0.25">
      <c r="K2895" s="8" t="e">
        <f t="shared" si="45"/>
        <v>#VALUE!</v>
      </c>
    </row>
    <row r="2896" spans="11:11" x14ac:dyDescent="0.25">
      <c r="K2896" s="8" t="e">
        <f t="shared" si="45"/>
        <v>#VALUE!</v>
      </c>
    </row>
    <row r="2897" spans="11:11" x14ac:dyDescent="0.25">
      <c r="K2897" s="8" t="e">
        <f t="shared" si="45"/>
        <v>#VALUE!</v>
      </c>
    </row>
    <row r="2898" spans="11:11" x14ac:dyDescent="0.25">
      <c r="K2898" s="8" t="e">
        <f t="shared" si="45"/>
        <v>#VALUE!</v>
      </c>
    </row>
    <row r="2899" spans="11:11" x14ac:dyDescent="0.25">
      <c r="K2899" s="8" t="e">
        <f t="shared" si="45"/>
        <v>#VALUE!</v>
      </c>
    </row>
    <row r="2900" spans="11:11" x14ac:dyDescent="0.25">
      <c r="K2900" s="8" t="e">
        <f t="shared" si="45"/>
        <v>#VALUE!</v>
      </c>
    </row>
    <row r="2901" spans="11:11" x14ac:dyDescent="0.25">
      <c r="K2901" s="8" t="e">
        <f t="shared" si="45"/>
        <v>#VALUE!</v>
      </c>
    </row>
    <row r="2902" spans="11:11" x14ac:dyDescent="0.25">
      <c r="K2902" s="8" t="e">
        <f t="shared" si="45"/>
        <v>#VALUE!</v>
      </c>
    </row>
    <row r="2903" spans="11:11" x14ac:dyDescent="0.25">
      <c r="K2903" s="8" t="e">
        <f t="shared" si="45"/>
        <v>#VALUE!</v>
      </c>
    </row>
    <row r="2904" spans="11:11" x14ac:dyDescent="0.25">
      <c r="K2904" s="8" t="e">
        <f t="shared" si="45"/>
        <v>#VALUE!</v>
      </c>
    </row>
    <row r="2905" spans="11:11" x14ac:dyDescent="0.25">
      <c r="K2905" s="8" t="e">
        <f t="shared" si="45"/>
        <v>#VALUE!</v>
      </c>
    </row>
    <row r="2906" spans="11:11" x14ac:dyDescent="0.25">
      <c r="K2906" s="8" t="e">
        <f t="shared" si="45"/>
        <v>#VALUE!</v>
      </c>
    </row>
    <row r="2907" spans="11:11" x14ac:dyDescent="0.25">
      <c r="K2907" s="8" t="e">
        <f t="shared" si="45"/>
        <v>#VALUE!</v>
      </c>
    </row>
    <row r="2908" spans="11:11" x14ac:dyDescent="0.25">
      <c r="K2908" s="8" t="e">
        <f t="shared" si="45"/>
        <v>#VALUE!</v>
      </c>
    </row>
    <row r="2909" spans="11:11" x14ac:dyDescent="0.25">
      <c r="K2909" s="8" t="e">
        <f t="shared" si="45"/>
        <v>#VALUE!</v>
      </c>
    </row>
    <row r="2910" spans="11:11" x14ac:dyDescent="0.25">
      <c r="K2910" s="8" t="e">
        <f t="shared" si="45"/>
        <v>#VALUE!</v>
      </c>
    </row>
    <row r="2911" spans="11:11" x14ac:dyDescent="0.25">
      <c r="K2911" s="8" t="e">
        <f t="shared" si="45"/>
        <v>#VALUE!</v>
      </c>
    </row>
    <row r="2912" spans="11:11" x14ac:dyDescent="0.25">
      <c r="K2912" s="8" t="e">
        <f t="shared" si="45"/>
        <v>#VALUE!</v>
      </c>
    </row>
    <row r="2913" spans="11:11" x14ac:dyDescent="0.25">
      <c r="K2913" s="8" t="e">
        <f t="shared" si="45"/>
        <v>#VALUE!</v>
      </c>
    </row>
    <row r="2914" spans="11:11" x14ac:dyDescent="0.25">
      <c r="K2914" s="8" t="e">
        <f t="shared" si="45"/>
        <v>#VALUE!</v>
      </c>
    </row>
    <row r="2915" spans="11:11" x14ac:dyDescent="0.25">
      <c r="K2915" s="8" t="e">
        <f t="shared" si="45"/>
        <v>#VALUE!</v>
      </c>
    </row>
    <row r="2916" spans="11:11" x14ac:dyDescent="0.25">
      <c r="K2916" s="8" t="e">
        <f t="shared" si="45"/>
        <v>#VALUE!</v>
      </c>
    </row>
    <row r="2917" spans="11:11" x14ac:dyDescent="0.25">
      <c r="K2917" s="8" t="e">
        <f t="shared" si="45"/>
        <v>#VALUE!</v>
      </c>
    </row>
    <row r="2918" spans="11:11" x14ac:dyDescent="0.25">
      <c r="K2918" s="8" t="e">
        <f t="shared" si="45"/>
        <v>#VALUE!</v>
      </c>
    </row>
    <row r="2919" spans="11:11" x14ac:dyDescent="0.25">
      <c r="K2919" s="8" t="e">
        <f t="shared" si="45"/>
        <v>#VALUE!</v>
      </c>
    </row>
    <row r="2920" spans="11:11" x14ac:dyDescent="0.25">
      <c r="K2920" s="8" t="e">
        <f t="shared" si="45"/>
        <v>#VALUE!</v>
      </c>
    </row>
    <row r="2921" spans="11:11" x14ac:dyDescent="0.25">
      <c r="K2921" s="8" t="e">
        <f t="shared" si="45"/>
        <v>#VALUE!</v>
      </c>
    </row>
    <row r="2922" spans="11:11" x14ac:dyDescent="0.25">
      <c r="K2922" s="8" t="e">
        <f t="shared" si="45"/>
        <v>#VALUE!</v>
      </c>
    </row>
    <row r="2923" spans="11:11" x14ac:dyDescent="0.25">
      <c r="K2923" s="8" t="e">
        <f t="shared" si="45"/>
        <v>#VALUE!</v>
      </c>
    </row>
    <row r="2924" spans="11:11" x14ac:dyDescent="0.25">
      <c r="K2924" s="8" t="e">
        <f t="shared" si="45"/>
        <v>#VALUE!</v>
      </c>
    </row>
    <row r="2925" spans="11:11" x14ac:dyDescent="0.25">
      <c r="K2925" s="8" t="e">
        <f t="shared" si="45"/>
        <v>#VALUE!</v>
      </c>
    </row>
    <row r="2926" spans="11:11" x14ac:dyDescent="0.25">
      <c r="K2926" s="8" t="e">
        <f t="shared" si="45"/>
        <v>#VALUE!</v>
      </c>
    </row>
    <row r="2927" spans="11:11" x14ac:dyDescent="0.25">
      <c r="K2927" s="8" t="e">
        <f t="shared" si="45"/>
        <v>#VALUE!</v>
      </c>
    </row>
    <row r="2928" spans="11:11" x14ac:dyDescent="0.25">
      <c r="K2928" s="8" t="e">
        <f t="shared" si="45"/>
        <v>#VALUE!</v>
      </c>
    </row>
    <row r="2929" spans="11:11" x14ac:dyDescent="0.25">
      <c r="K2929" s="8" t="e">
        <f t="shared" si="45"/>
        <v>#VALUE!</v>
      </c>
    </row>
    <row r="2930" spans="11:11" x14ac:dyDescent="0.25">
      <c r="K2930" s="8" t="e">
        <f t="shared" si="45"/>
        <v>#VALUE!</v>
      </c>
    </row>
    <row r="2931" spans="11:11" x14ac:dyDescent="0.25">
      <c r="K2931" s="8" t="e">
        <f t="shared" si="45"/>
        <v>#VALUE!</v>
      </c>
    </row>
    <row r="2932" spans="11:11" x14ac:dyDescent="0.25">
      <c r="K2932" s="8" t="e">
        <f t="shared" si="45"/>
        <v>#VALUE!</v>
      </c>
    </row>
    <row r="2933" spans="11:11" x14ac:dyDescent="0.25">
      <c r="K2933" s="8" t="e">
        <f t="shared" si="45"/>
        <v>#VALUE!</v>
      </c>
    </row>
    <row r="2934" spans="11:11" x14ac:dyDescent="0.25">
      <c r="K2934" s="8" t="e">
        <f t="shared" si="45"/>
        <v>#VALUE!</v>
      </c>
    </row>
    <row r="2935" spans="11:11" x14ac:dyDescent="0.25">
      <c r="K2935" s="8" t="e">
        <f t="shared" si="45"/>
        <v>#VALUE!</v>
      </c>
    </row>
    <row r="2936" spans="11:11" x14ac:dyDescent="0.25">
      <c r="K2936" s="8" t="e">
        <f t="shared" si="45"/>
        <v>#VALUE!</v>
      </c>
    </row>
    <row r="2937" spans="11:11" x14ac:dyDescent="0.25">
      <c r="K2937" s="8" t="e">
        <f t="shared" si="45"/>
        <v>#VALUE!</v>
      </c>
    </row>
    <row r="2938" spans="11:11" x14ac:dyDescent="0.25">
      <c r="K2938" s="8" t="e">
        <f t="shared" si="45"/>
        <v>#VALUE!</v>
      </c>
    </row>
    <row r="2939" spans="11:11" x14ac:dyDescent="0.25">
      <c r="K2939" s="8" t="e">
        <f t="shared" si="45"/>
        <v>#VALUE!</v>
      </c>
    </row>
    <row r="2940" spans="11:11" x14ac:dyDescent="0.25">
      <c r="K2940" s="8" t="e">
        <f t="shared" si="45"/>
        <v>#VALUE!</v>
      </c>
    </row>
    <row r="2941" spans="11:11" x14ac:dyDescent="0.25">
      <c r="K2941" s="8" t="e">
        <f t="shared" si="45"/>
        <v>#VALUE!</v>
      </c>
    </row>
    <row r="2942" spans="11:11" x14ac:dyDescent="0.25">
      <c r="K2942" s="8" t="e">
        <f t="shared" si="45"/>
        <v>#VALUE!</v>
      </c>
    </row>
    <row r="2943" spans="11:11" x14ac:dyDescent="0.25">
      <c r="K2943" s="8" t="e">
        <f t="shared" si="45"/>
        <v>#VALUE!</v>
      </c>
    </row>
    <row r="2944" spans="11:11" x14ac:dyDescent="0.25">
      <c r="K2944" s="8" t="e">
        <f t="shared" si="45"/>
        <v>#VALUE!</v>
      </c>
    </row>
    <row r="2945" spans="11:11" x14ac:dyDescent="0.25">
      <c r="K2945" s="8" t="e">
        <f t="shared" si="45"/>
        <v>#VALUE!</v>
      </c>
    </row>
    <row r="2946" spans="11:11" x14ac:dyDescent="0.25">
      <c r="K2946" s="8" t="e">
        <f t="shared" si="45"/>
        <v>#VALUE!</v>
      </c>
    </row>
    <row r="2947" spans="11:11" x14ac:dyDescent="0.25">
      <c r="K2947" s="8" t="e">
        <f t="shared" ref="K2947:K3010" si="46">LEFT(A2947,FIND("/",A2947)-1)</f>
        <v>#VALUE!</v>
      </c>
    </row>
    <row r="2948" spans="11:11" x14ac:dyDescent="0.25">
      <c r="K2948" s="8" t="e">
        <f t="shared" si="46"/>
        <v>#VALUE!</v>
      </c>
    </row>
    <row r="2949" spans="11:11" x14ac:dyDescent="0.25">
      <c r="K2949" s="8" t="e">
        <f t="shared" si="46"/>
        <v>#VALUE!</v>
      </c>
    </row>
    <row r="2950" spans="11:11" x14ac:dyDescent="0.25">
      <c r="K2950" s="8" t="e">
        <f t="shared" si="46"/>
        <v>#VALUE!</v>
      </c>
    </row>
    <row r="2951" spans="11:11" x14ac:dyDescent="0.25">
      <c r="K2951" s="8" t="e">
        <f t="shared" si="46"/>
        <v>#VALUE!</v>
      </c>
    </row>
    <row r="2952" spans="11:11" x14ac:dyDescent="0.25">
      <c r="K2952" s="8" t="e">
        <f t="shared" si="46"/>
        <v>#VALUE!</v>
      </c>
    </row>
    <row r="2953" spans="11:11" x14ac:dyDescent="0.25">
      <c r="K2953" s="8" t="e">
        <f t="shared" si="46"/>
        <v>#VALUE!</v>
      </c>
    </row>
    <row r="2954" spans="11:11" x14ac:dyDescent="0.25">
      <c r="K2954" s="8" t="e">
        <f t="shared" si="46"/>
        <v>#VALUE!</v>
      </c>
    </row>
    <row r="2955" spans="11:11" x14ac:dyDescent="0.25">
      <c r="K2955" s="8" t="e">
        <f t="shared" si="46"/>
        <v>#VALUE!</v>
      </c>
    </row>
    <row r="2956" spans="11:11" x14ac:dyDescent="0.25">
      <c r="K2956" s="8" t="e">
        <f t="shared" si="46"/>
        <v>#VALUE!</v>
      </c>
    </row>
    <row r="2957" spans="11:11" x14ac:dyDescent="0.25">
      <c r="K2957" s="8" t="e">
        <f t="shared" si="46"/>
        <v>#VALUE!</v>
      </c>
    </row>
    <row r="2958" spans="11:11" x14ac:dyDescent="0.25">
      <c r="K2958" s="8" t="e">
        <f t="shared" si="46"/>
        <v>#VALUE!</v>
      </c>
    </row>
    <row r="2959" spans="11:11" x14ac:dyDescent="0.25">
      <c r="K2959" s="8" t="e">
        <f t="shared" si="46"/>
        <v>#VALUE!</v>
      </c>
    </row>
    <row r="2960" spans="11:11" x14ac:dyDescent="0.25">
      <c r="K2960" s="8" t="e">
        <f t="shared" si="46"/>
        <v>#VALUE!</v>
      </c>
    </row>
    <row r="2961" spans="11:11" x14ac:dyDescent="0.25">
      <c r="K2961" s="8" t="e">
        <f t="shared" si="46"/>
        <v>#VALUE!</v>
      </c>
    </row>
    <row r="2962" spans="11:11" x14ac:dyDescent="0.25">
      <c r="K2962" s="8" t="e">
        <f t="shared" si="46"/>
        <v>#VALUE!</v>
      </c>
    </row>
    <row r="2963" spans="11:11" x14ac:dyDescent="0.25">
      <c r="K2963" s="8" t="e">
        <f t="shared" si="46"/>
        <v>#VALUE!</v>
      </c>
    </row>
    <row r="2964" spans="11:11" x14ac:dyDescent="0.25">
      <c r="K2964" s="8" t="e">
        <f t="shared" si="46"/>
        <v>#VALUE!</v>
      </c>
    </row>
    <row r="2965" spans="11:11" x14ac:dyDescent="0.25">
      <c r="K2965" s="8" t="e">
        <f t="shared" si="46"/>
        <v>#VALUE!</v>
      </c>
    </row>
    <row r="2966" spans="11:11" x14ac:dyDescent="0.25">
      <c r="K2966" s="8" t="e">
        <f t="shared" si="46"/>
        <v>#VALUE!</v>
      </c>
    </row>
    <row r="2967" spans="11:11" x14ac:dyDescent="0.25">
      <c r="K2967" s="8" t="e">
        <f t="shared" si="46"/>
        <v>#VALUE!</v>
      </c>
    </row>
    <row r="2968" spans="11:11" x14ac:dyDescent="0.25">
      <c r="K2968" s="8" t="e">
        <f t="shared" si="46"/>
        <v>#VALUE!</v>
      </c>
    </row>
    <row r="2969" spans="11:11" x14ac:dyDescent="0.25">
      <c r="K2969" s="8" t="e">
        <f t="shared" si="46"/>
        <v>#VALUE!</v>
      </c>
    </row>
    <row r="2970" spans="11:11" x14ac:dyDescent="0.25">
      <c r="K2970" s="8" t="e">
        <f t="shared" si="46"/>
        <v>#VALUE!</v>
      </c>
    </row>
    <row r="2971" spans="11:11" x14ac:dyDescent="0.25">
      <c r="K2971" s="8" t="e">
        <f t="shared" si="46"/>
        <v>#VALUE!</v>
      </c>
    </row>
    <row r="2972" spans="11:11" x14ac:dyDescent="0.25">
      <c r="K2972" s="8" t="e">
        <f t="shared" si="46"/>
        <v>#VALUE!</v>
      </c>
    </row>
    <row r="2973" spans="11:11" x14ac:dyDescent="0.25">
      <c r="K2973" s="8" t="e">
        <f t="shared" si="46"/>
        <v>#VALUE!</v>
      </c>
    </row>
    <row r="2974" spans="11:11" x14ac:dyDescent="0.25">
      <c r="K2974" s="8" t="e">
        <f t="shared" si="46"/>
        <v>#VALUE!</v>
      </c>
    </row>
    <row r="2975" spans="11:11" x14ac:dyDescent="0.25">
      <c r="K2975" s="8" t="e">
        <f t="shared" si="46"/>
        <v>#VALUE!</v>
      </c>
    </row>
    <row r="2976" spans="11:11" x14ac:dyDescent="0.25">
      <c r="K2976" s="8" t="e">
        <f t="shared" si="46"/>
        <v>#VALUE!</v>
      </c>
    </row>
    <row r="2977" spans="11:11" x14ac:dyDescent="0.25">
      <c r="K2977" s="8" t="e">
        <f t="shared" si="46"/>
        <v>#VALUE!</v>
      </c>
    </row>
    <row r="2978" spans="11:11" x14ac:dyDescent="0.25">
      <c r="K2978" s="8" t="e">
        <f t="shared" si="46"/>
        <v>#VALUE!</v>
      </c>
    </row>
    <row r="2979" spans="11:11" x14ac:dyDescent="0.25">
      <c r="K2979" s="8" t="e">
        <f t="shared" si="46"/>
        <v>#VALUE!</v>
      </c>
    </row>
    <row r="2980" spans="11:11" x14ac:dyDescent="0.25">
      <c r="K2980" s="8" t="e">
        <f t="shared" si="46"/>
        <v>#VALUE!</v>
      </c>
    </row>
    <row r="2981" spans="11:11" x14ac:dyDescent="0.25">
      <c r="K2981" s="8" t="e">
        <f t="shared" si="46"/>
        <v>#VALUE!</v>
      </c>
    </row>
    <row r="2982" spans="11:11" x14ac:dyDescent="0.25">
      <c r="K2982" s="8" t="e">
        <f t="shared" si="46"/>
        <v>#VALUE!</v>
      </c>
    </row>
    <row r="2983" spans="11:11" x14ac:dyDescent="0.25">
      <c r="K2983" s="8" t="e">
        <f t="shared" si="46"/>
        <v>#VALUE!</v>
      </c>
    </row>
    <row r="2984" spans="11:11" x14ac:dyDescent="0.25">
      <c r="K2984" s="8" t="e">
        <f t="shared" si="46"/>
        <v>#VALUE!</v>
      </c>
    </row>
    <row r="2985" spans="11:11" x14ac:dyDescent="0.25">
      <c r="K2985" s="8" t="e">
        <f t="shared" si="46"/>
        <v>#VALUE!</v>
      </c>
    </row>
    <row r="2986" spans="11:11" x14ac:dyDescent="0.25">
      <c r="K2986" s="8" t="e">
        <f t="shared" si="46"/>
        <v>#VALUE!</v>
      </c>
    </row>
    <row r="2987" spans="11:11" x14ac:dyDescent="0.25">
      <c r="K2987" s="8" t="e">
        <f t="shared" si="46"/>
        <v>#VALUE!</v>
      </c>
    </row>
    <row r="2988" spans="11:11" x14ac:dyDescent="0.25">
      <c r="K2988" s="8" t="e">
        <f t="shared" si="46"/>
        <v>#VALUE!</v>
      </c>
    </row>
    <row r="2989" spans="11:11" x14ac:dyDescent="0.25">
      <c r="K2989" s="8" t="e">
        <f t="shared" si="46"/>
        <v>#VALUE!</v>
      </c>
    </row>
    <row r="2990" spans="11:11" x14ac:dyDescent="0.25">
      <c r="K2990" s="8" t="e">
        <f t="shared" si="46"/>
        <v>#VALUE!</v>
      </c>
    </row>
    <row r="2991" spans="11:11" x14ac:dyDescent="0.25">
      <c r="K2991" s="8" t="e">
        <f t="shared" si="46"/>
        <v>#VALUE!</v>
      </c>
    </row>
    <row r="2992" spans="11:11" x14ac:dyDescent="0.25">
      <c r="K2992" s="8" t="e">
        <f t="shared" si="46"/>
        <v>#VALUE!</v>
      </c>
    </row>
    <row r="2993" spans="11:11" x14ac:dyDescent="0.25">
      <c r="K2993" s="8" t="e">
        <f t="shared" si="46"/>
        <v>#VALUE!</v>
      </c>
    </row>
    <row r="2994" spans="11:11" x14ac:dyDescent="0.25">
      <c r="K2994" s="8" t="e">
        <f t="shared" si="46"/>
        <v>#VALUE!</v>
      </c>
    </row>
    <row r="2995" spans="11:11" x14ac:dyDescent="0.25">
      <c r="K2995" s="8" t="e">
        <f t="shared" si="46"/>
        <v>#VALUE!</v>
      </c>
    </row>
    <row r="2996" spans="11:11" x14ac:dyDescent="0.25">
      <c r="K2996" s="8" t="e">
        <f t="shared" si="46"/>
        <v>#VALUE!</v>
      </c>
    </row>
    <row r="2997" spans="11:11" x14ac:dyDescent="0.25">
      <c r="K2997" s="8" t="e">
        <f t="shared" si="46"/>
        <v>#VALUE!</v>
      </c>
    </row>
    <row r="2998" spans="11:11" x14ac:dyDescent="0.25">
      <c r="K2998" s="8" t="e">
        <f t="shared" si="46"/>
        <v>#VALUE!</v>
      </c>
    </row>
    <row r="2999" spans="11:11" x14ac:dyDescent="0.25">
      <c r="K2999" s="8" t="e">
        <f t="shared" si="46"/>
        <v>#VALUE!</v>
      </c>
    </row>
    <row r="3000" spans="11:11" x14ac:dyDescent="0.25">
      <c r="K3000" s="8" t="e">
        <f t="shared" si="46"/>
        <v>#VALUE!</v>
      </c>
    </row>
    <row r="3001" spans="11:11" x14ac:dyDescent="0.25">
      <c r="K3001" s="8" t="e">
        <f t="shared" si="46"/>
        <v>#VALUE!</v>
      </c>
    </row>
    <row r="3002" spans="11:11" x14ac:dyDescent="0.25">
      <c r="K3002" s="8" t="e">
        <f t="shared" si="46"/>
        <v>#VALUE!</v>
      </c>
    </row>
    <row r="3003" spans="11:11" x14ac:dyDescent="0.25">
      <c r="K3003" s="8" t="e">
        <f t="shared" si="46"/>
        <v>#VALUE!</v>
      </c>
    </row>
    <row r="3004" spans="11:11" x14ac:dyDescent="0.25">
      <c r="K3004" s="8" t="e">
        <f t="shared" si="46"/>
        <v>#VALUE!</v>
      </c>
    </row>
    <row r="3005" spans="11:11" x14ac:dyDescent="0.25">
      <c r="K3005" s="8" t="e">
        <f t="shared" si="46"/>
        <v>#VALUE!</v>
      </c>
    </row>
    <row r="3006" spans="11:11" x14ac:dyDescent="0.25">
      <c r="K3006" s="8" t="e">
        <f t="shared" si="46"/>
        <v>#VALUE!</v>
      </c>
    </row>
    <row r="3007" spans="11:11" x14ac:dyDescent="0.25">
      <c r="K3007" s="8" t="e">
        <f t="shared" si="46"/>
        <v>#VALUE!</v>
      </c>
    </row>
    <row r="3008" spans="11:11" x14ac:dyDescent="0.25">
      <c r="K3008" s="8" t="e">
        <f t="shared" si="46"/>
        <v>#VALUE!</v>
      </c>
    </row>
    <row r="3009" spans="11:11" x14ac:dyDescent="0.25">
      <c r="K3009" s="8" t="e">
        <f t="shared" si="46"/>
        <v>#VALUE!</v>
      </c>
    </row>
    <row r="3010" spans="11:11" x14ac:dyDescent="0.25">
      <c r="K3010" s="8" t="e">
        <f t="shared" si="46"/>
        <v>#VALUE!</v>
      </c>
    </row>
    <row r="3011" spans="11:11" x14ac:dyDescent="0.25">
      <c r="K3011" s="8" t="e">
        <f t="shared" ref="K3011:K3074" si="47">LEFT(A3011,FIND("/",A3011)-1)</f>
        <v>#VALUE!</v>
      </c>
    </row>
    <row r="3012" spans="11:11" x14ac:dyDescent="0.25">
      <c r="K3012" s="8" t="e">
        <f t="shared" si="47"/>
        <v>#VALUE!</v>
      </c>
    </row>
    <row r="3013" spans="11:11" x14ac:dyDescent="0.25">
      <c r="K3013" s="8" t="e">
        <f t="shared" si="47"/>
        <v>#VALUE!</v>
      </c>
    </row>
    <row r="3014" spans="11:11" x14ac:dyDescent="0.25">
      <c r="K3014" s="8" t="e">
        <f t="shared" si="47"/>
        <v>#VALUE!</v>
      </c>
    </row>
    <row r="3015" spans="11:11" x14ac:dyDescent="0.25">
      <c r="K3015" s="8" t="e">
        <f t="shared" si="47"/>
        <v>#VALUE!</v>
      </c>
    </row>
    <row r="3016" spans="11:11" x14ac:dyDescent="0.25">
      <c r="K3016" s="8" t="e">
        <f t="shared" si="47"/>
        <v>#VALUE!</v>
      </c>
    </row>
    <row r="3017" spans="11:11" x14ac:dyDescent="0.25">
      <c r="K3017" s="8" t="e">
        <f t="shared" si="47"/>
        <v>#VALUE!</v>
      </c>
    </row>
    <row r="3018" spans="11:11" x14ac:dyDescent="0.25">
      <c r="K3018" s="8" t="e">
        <f t="shared" si="47"/>
        <v>#VALUE!</v>
      </c>
    </row>
    <row r="3019" spans="11:11" x14ac:dyDescent="0.25">
      <c r="K3019" s="8" t="e">
        <f t="shared" si="47"/>
        <v>#VALUE!</v>
      </c>
    </row>
    <row r="3020" spans="11:11" x14ac:dyDescent="0.25">
      <c r="K3020" s="8" t="e">
        <f t="shared" si="47"/>
        <v>#VALUE!</v>
      </c>
    </row>
    <row r="3021" spans="11:11" x14ac:dyDescent="0.25">
      <c r="K3021" s="8" t="e">
        <f t="shared" si="47"/>
        <v>#VALUE!</v>
      </c>
    </row>
    <row r="3022" spans="11:11" x14ac:dyDescent="0.25">
      <c r="K3022" s="8" t="e">
        <f t="shared" si="47"/>
        <v>#VALUE!</v>
      </c>
    </row>
    <row r="3023" spans="11:11" x14ac:dyDescent="0.25">
      <c r="K3023" s="8" t="e">
        <f t="shared" si="47"/>
        <v>#VALUE!</v>
      </c>
    </row>
    <row r="3024" spans="11:11" x14ac:dyDescent="0.25">
      <c r="K3024" s="8" t="e">
        <f t="shared" si="47"/>
        <v>#VALUE!</v>
      </c>
    </row>
    <row r="3025" spans="11:11" x14ac:dyDescent="0.25">
      <c r="K3025" s="8" t="e">
        <f t="shared" si="47"/>
        <v>#VALUE!</v>
      </c>
    </row>
    <row r="3026" spans="11:11" x14ac:dyDescent="0.25">
      <c r="K3026" s="8" t="e">
        <f t="shared" si="47"/>
        <v>#VALUE!</v>
      </c>
    </row>
    <row r="3027" spans="11:11" x14ac:dyDescent="0.25">
      <c r="K3027" s="8" t="e">
        <f t="shared" si="47"/>
        <v>#VALUE!</v>
      </c>
    </row>
    <row r="3028" spans="11:11" x14ac:dyDescent="0.25">
      <c r="K3028" s="8" t="e">
        <f t="shared" si="47"/>
        <v>#VALUE!</v>
      </c>
    </row>
    <row r="3029" spans="11:11" x14ac:dyDescent="0.25">
      <c r="K3029" s="8" t="e">
        <f t="shared" si="47"/>
        <v>#VALUE!</v>
      </c>
    </row>
    <row r="3030" spans="11:11" x14ac:dyDescent="0.25">
      <c r="K3030" s="8" t="e">
        <f t="shared" si="47"/>
        <v>#VALUE!</v>
      </c>
    </row>
    <row r="3031" spans="11:11" x14ac:dyDescent="0.25">
      <c r="K3031" s="8" t="e">
        <f t="shared" si="47"/>
        <v>#VALUE!</v>
      </c>
    </row>
    <row r="3032" spans="11:11" x14ac:dyDescent="0.25">
      <c r="K3032" s="8" t="e">
        <f t="shared" si="47"/>
        <v>#VALUE!</v>
      </c>
    </row>
    <row r="3033" spans="11:11" x14ac:dyDescent="0.25">
      <c r="K3033" s="8" t="e">
        <f t="shared" si="47"/>
        <v>#VALUE!</v>
      </c>
    </row>
    <row r="3034" spans="11:11" x14ac:dyDescent="0.25">
      <c r="K3034" s="8" t="e">
        <f t="shared" si="47"/>
        <v>#VALUE!</v>
      </c>
    </row>
    <row r="3035" spans="11:11" x14ac:dyDescent="0.25">
      <c r="K3035" s="8" t="e">
        <f t="shared" si="47"/>
        <v>#VALUE!</v>
      </c>
    </row>
    <row r="3036" spans="11:11" x14ac:dyDescent="0.25">
      <c r="K3036" s="8" t="e">
        <f t="shared" si="47"/>
        <v>#VALUE!</v>
      </c>
    </row>
    <row r="3037" spans="11:11" x14ac:dyDescent="0.25">
      <c r="K3037" s="8" t="e">
        <f t="shared" si="47"/>
        <v>#VALUE!</v>
      </c>
    </row>
    <row r="3038" spans="11:11" x14ac:dyDescent="0.25">
      <c r="K3038" s="8" t="e">
        <f t="shared" si="47"/>
        <v>#VALUE!</v>
      </c>
    </row>
    <row r="3039" spans="11:11" x14ac:dyDescent="0.25">
      <c r="K3039" s="8" t="e">
        <f t="shared" si="47"/>
        <v>#VALUE!</v>
      </c>
    </row>
    <row r="3040" spans="11:11" x14ac:dyDescent="0.25">
      <c r="K3040" s="8" t="e">
        <f t="shared" si="47"/>
        <v>#VALUE!</v>
      </c>
    </row>
    <row r="3041" spans="11:11" x14ac:dyDescent="0.25">
      <c r="K3041" s="8" t="e">
        <f t="shared" si="47"/>
        <v>#VALUE!</v>
      </c>
    </row>
    <row r="3042" spans="11:11" x14ac:dyDescent="0.25">
      <c r="K3042" s="8" t="e">
        <f t="shared" si="47"/>
        <v>#VALUE!</v>
      </c>
    </row>
    <row r="3043" spans="11:11" x14ac:dyDescent="0.25">
      <c r="K3043" s="8" t="e">
        <f t="shared" si="47"/>
        <v>#VALUE!</v>
      </c>
    </row>
    <row r="3044" spans="11:11" x14ac:dyDescent="0.25">
      <c r="K3044" s="8" t="e">
        <f t="shared" si="47"/>
        <v>#VALUE!</v>
      </c>
    </row>
    <row r="3045" spans="11:11" x14ac:dyDescent="0.25">
      <c r="K3045" s="8" t="e">
        <f t="shared" si="47"/>
        <v>#VALUE!</v>
      </c>
    </row>
    <row r="3046" spans="11:11" x14ac:dyDescent="0.25">
      <c r="K3046" s="8" t="e">
        <f t="shared" si="47"/>
        <v>#VALUE!</v>
      </c>
    </row>
    <row r="3047" spans="11:11" x14ac:dyDescent="0.25">
      <c r="K3047" s="8" t="e">
        <f t="shared" si="47"/>
        <v>#VALUE!</v>
      </c>
    </row>
    <row r="3048" spans="11:11" x14ac:dyDescent="0.25">
      <c r="K3048" s="8" t="e">
        <f t="shared" si="47"/>
        <v>#VALUE!</v>
      </c>
    </row>
    <row r="3049" spans="11:11" x14ac:dyDescent="0.25">
      <c r="K3049" s="8" t="e">
        <f t="shared" si="47"/>
        <v>#VALUE!</v>
      </c>
    </row>
    <row r="3050" spans="11:11" x14ac:dyDescent="0.25">
      <c r="K3050" s="8" t="e">
        <f t="shared" si="47"/>
        <v>#VALUE!</v>
      </c>
    </row>
    <row r="3051" spans="11:11" x14ac:dyDescent="0.25">
      <c r="K3051" s="8" t="e">
        <f t="shared" si="47"/>
        <v>#VALUE!</v>
      </c>
    </row>
    <row r="3052" spans="11:11" x14ac:dyDescent="0.25">
      <c r="K3052" s="8" t="e">
        <f t="shared" si="47"/>
        <v>#VALUE!</v>
      </c>
    </row>
    <row r="3053" spans="11:11" x14ac:dyDescent="0.25">
      <c r="K3053" s="8" t="e">
        <f t="shared" si="47"/>
        <v>#VALUE!</v>
      </c>
    </row>
    <row r="3054" spans="11:11" x14ac:dyDescent="0.25">
      <c r="K3054" s="8" t="e">
        <f t="shared" si="47"/>
        <v>#VALUE!</v>
      </c>
    </row>
    <row r="3055" spans="11:11" x14ac:dyDescent="0.25">
      <c r="K3055" s="8" t="e">
        <f t="shared" si="47"/>
        <v>#VALUE!</v>
      </c>
    </row>
    <row r="3056" spans="11:11" x14ac:dyDescent="0.25">
      <c r="K3056" s="8" t="e">
        <f t="shared" si="47"/>
        <v>#VALUE!</v>
      </c>
    </row>
    <row r="3057" spans="11:11" x14ac:dyDescent="0.25">
      <c r="K3057" s="8" t="e">
        <f t="shared" si="47"/>
        <v>#VALUE!</v>
      </c>
    </row>
    <row r="3058" spans="11:11" x14ac:dyDescent="0.25">
      <c r="K3058" s="8" t="e">
        <f t="shared" si="47"/>
        <v>#VALUE!</v>
      </c>
    </row>
    <row r="3059" spans="11:11" x14ac:dyDescent="0.25">
      <c r="K3059" s="8" t="e">
        <f t="shared" si="47"/>
        <v>#VALUE!</v>
      </c>
    </row>
    <row r="3060" spans="11:11" x14ac:dyDescent="0.25">
      <c r="K3060" s="8" t="e">
        <f t="shared" si="47"/>
        <v>#VALUE!</v>
      </c>
    </row>
    <row r="3061" spans="11:11" x14ac:dyDescent="0.25">
      <c r="K3061" s="8" t="e">
        <f t="shared" si="47"/>
        <v>#VALUE!</v>
      </c>
    </row>
    <row r="3062" spans="11:11" x14ac:dyDescent="0.25">
      <c r="K3062" s="8" t="e">
        <f t="shared" si="47"/>
        <v>#VALUE!</v>
      </c>
    </row>
    <row r="3063" spans="11:11" x14ac:dyDescent="0.25">
      <c r="K3063" s="8" t="e">
        <f t="shared" si="47"/>
        <v>#VALUE!</v>
      </c>
    </row>
    <row r="3064" spans="11:11" x14ac:dyDescent="0.25">
      <c r="K3064" s="8" t="e">
        <f t="shared" si="47"/>
        <v>#VALUE!</v>
      </c>
    </row>
    <row r="3065" spans="11:11" x14ac:dyDescent="0.25">
      <c r="K3065" s="8" t="e">
        <f t="shared" si="47"/>
        <v>#VALUE!</v>
      </c>
    </row>
    <row r="3066" spans="11:11" x14ac:dyDescent="0.25">
      <c r="K3066" s="8" t="e">
        <f t="shared" si="47"/>
        <v>#VALUE!</v>
      </c>
    </row>
    <row r="3067" spans="11:11" x14ac:dyDescent="0.25">
      <c r="K3067" s="8" t="e">
        <f t="shared" si="47"/>
        <v>#VALUE!</v>
      </c>
    </row>
    <row r="3068" spans="11:11" x14ac:dyDescent="0.25">
      <c r="K3068" s="8" t="e">
        <f t="shared" si="47"/>
        <v>#VALUE!</v>
      </c>
    </row>
    <row r="3069" spans="11:11" x14ac:dyDescent="0.25">
      <c r="K3069" s="8" t="e">
        <f t="shared" si="47"/>
        <v>#VALUE!</v>
      </c>
    </row>
    <row r="3070" spans="11:11" x14ac:dyDescent="0.25">
      <c r="K3070" s="8" t="e">
        <f t="shared" si="47"/>
        <v>#VALUE!</v>
      </c>
    </row>
    <row r="3071" spans="11:11" x14ac:dyDescent="0.25">
      <c r="K3071" s="8" t="e">
        <f t="shared" si="47"/>
        <v>#VALUE!</v>
      </c>
    </row>
    <row r="3072" spans="11:11" x14ac:dyDescent="0.25">
      <c r="K3072" s="8" t="e">
        <f t="shared" si="47"/>
        <v>#VALUE!</v>
      </c>
    </row>
    <row r="3073" spans="11:11" x14ac:dyDescent="0.25">
      <c r="K3073" s="8" t="e">
        <f t="shared" si="47"/>
        <v>#VALUE!</v>
      </c>
    </row>
    <row r="3074" spans="11:11" x14ac:dyDescent="0.25">
      <c r="K3074" s="8" t="e">
        <f t="shared" si="47"/>
        <v>#VALUE!</v>
      </c>
    </row>
    <row r="3075" spans="11:11" x14ac:dyDescent="0.25">
      <c r="K3075" s="8" t="e">
        <f t="shared" ref="K3075:K3138" si="48">LEFT(A3075,FIND("/",A3075)-1)</f>
        <v>#VALUE!</v>
      </c>
    </row>
    <row r="3076" spans="11:11" x14ac:dyDescent="0.25">
      <c r="K3076" s="8" t="e">
        <f t="shared" si="48"/>
        <v>#VALUE!</v>
      </c>
    </row>
    <row r="3077" spans="11:11" x14ac:dyDescent="0.25">
      <c r="K3077" s="8" t="e">
        <f t="shared" si="48"/>
        <v>#VALUE!</v>
      </c>
    </row>
    <row r="3078" spans="11:11" x14ac:dyDescent="0.25">
      <c r="K3078" s="8" t="e">
        <f t="shared" si="48"/>
        <v>#VALUE!</v>
      </c>
    </row>
    <row r="3079" spans="11:11" x14ac:dyDescent="0.25">
      <c r="K3079" s="8" t="e">
        <f t="shared" si="48"/>
        <v>#VALUE!</v>
      </c>
    </row>
    <row r="3080" spans="11:11" x14ac:dyDescent="0.25">
      <c r="K3080" s="8" t="e">
        <f t="shared" si="48"/>
        <v>#VALUE!</v>
      </c>
    </row>
    <row r="3081" spans="11:11" x14ac:dyDescent="0.25">
      <c r="K3081" s="8" t="e">
        <f t="shared" si="48"/>
        <v>#VALUE!</v>
      </c>
    </row>
    <row r="3082" spans="11:11" x14ac:dyDescent="0.25">
      <c r="K3082" s="8" t="e">
        <f t="shared" si="48"/>
        <v>#VALUE!</v>
      </c>
    </row>
    <row r="3083" spans="11:11" x14ac:dyDescent="0.25">
      <c r="K3083" s="8" t="e">
        <f t="shared" si="48"/>
        <v>#VALUE!</v>
      </c>
    </row>
    <row r="3084" spans="11:11" x14ac:dyDescent="0.25">
      <c r="K3084" s="8" t="e">
        <f t="shared" si="48"/>
        <v>#VALUE!</v>
      </c>
    </row>
    <row r="3085" spans="11:11" x14ac:dyDescent="0.25">
      <c r="K3085" s="8" t="e">
        <f t="shared" si="48"/>
        <v>#VALUE!</v>
      </c>
    </row>
    <row r="3086" spans="11:11" x14ac:dyDescent="0.25">
      <c r="K3086" s="8" t="e">
        <f t="shared" si="48"/>
        <v>#VALUE!</v>
      </c>
    </row>
    <row r="3087" spans="11:11" x14ac:dyDescent="0.25">
      <c r="K3087" s="8" t="e">
        <f t="shared" si="48"/>
        <v>#VALUE!</v>
      </c>
    </row>
    <row r="3088" spans="11:11" x14ac:dyDescent="0.25">
      <c r="K3088" s="8" t="e">
        <f t="shared" si="48"/>
        <v>#VALUE!</v>
      </c>
    </row>
    <row r="3089" spans="11:11" x14ac:dyDescent="0.25">
      <c r="K3089" s="8" t="e">
        <f t="shared" si="48"/>
        <v>#VALUE!</v>
      </c>
    </row>
    <row r="3090" spans="11:11" x14ac:dyDescent="0.25">
      <c r="K3090" s="8" t="e">
        <f t="shared" si="48"/>
        <v>#VALUE!</v>
      </c>
    </row>
    <row r="3091" spans="11:11" x14ac:dyDescent="0.25">
      <c r="K3091" s="8" t="e">
        <f t="shared" si="48"/>
        <v>#VALUE!</v>
      </c>
    </row>
    <row r="3092" spans="11:11" x14ac:dyDescent="0.25">
      <c r="K3092" s="8" t="e">
        <f t="shared" si="48"/>
        <v>#VALUE!</v>
      </c>
    </row>
    <row r="3093" spans="11:11" x14ac:dyDescent="0.25">
      <c r="K3093" s="8" t="e">
        <f t="shared" si="48"/>
        <v>#VALUE!</v>
      </c>
    </row>
    <row r="3094" spans="11:11" x14ac:dyDescent="0.25">
      <c r="K3094" s="8" t="e">
        <f t="shared" si="48"/>
        <v>#VALUE!</v>
      </c>
    </row>
    <row r="3095" spans="11:11" x14ac:dyDescent="0.25">
      <c r="K3095" s="8" t="e">
        <f t="shared" si="48"/>
        <v>#VALUE!</v>
      </c>
    </row>
    <row r="3096" spans="11:11" x14ac:dyDescent="0.25">
      <c r="K3096" s="8" t="e">
        <f t="shared" si="48"/>
        <v>#VALUE!</v>
      </c>
    </row>
    <row r="3097" spans="11:11" x14ac:dyDescent="0.25">
      <c r="K3097" s="8" t="e">
        <f t="shared" si="48"/>
        <v>#VALUE!</v>
      </c>
    </row>
    <row r="3098" spans="11:11" x14ac:dyDescent="0.25">
      <c r="K3098" s="8" t="e">
        <f t="shared" si="48"/>
        <v>#VALUE!</v>
      </c>
    </row>
    <row r="3099" spans="11:11" x14ac:dyDescent="0.25">
      <c r="K3099" s="8" t="e">
        <f t="shared" si="48"/>
        <v>#VALUE!</v>
      </c>
    </row>
    <row r="3100" spans="11:11" x14ac:dyDescent="0.25">
      <c r="K3100" s="8" t="e">
        <f t="shared" si="48"/>
        <v>#VALUE!</v>
      </c>
    </row>
    <row r="3101" spans="11:11" x14ac:dyDescent="0.25">
      <c r="K3101" s="8" t="e">
        <f t="shared" si="48"/>
        <v>#VALUE!</v>
      </c>
    </row>
    <row r="3102" spans="11:11" x14ac:dyDescent="0.25">
      <c r="K3102" s="8" t="e">
        <f t="shared" si="48"/>
        <v>#VALUE!</v>
      </c>
    </row>
    <row r="3103" spans="11:11" x14ac:dyDescent="0.25">
      <c r="K3103" s="8" t="e">
        <f t="shared" si="48"/>
        <v>#VALUE!</v>
      </c>
    </row>
    <row r="3104" spans="11:11" x14ac:dyDescent="0.25">
      <c r="K3104" s="8" t="e">
        <f t="shared" si="48"/>
        <v>#VALUE!</v>
      </c>
    </row>
    <row r="3105" spans="11:11" x14ac:dyDescent="0.25">
      <c r="K3105" s="8" t="e">
        <f t="shared" si="48"/>
        <v>#VALUE!</v>
      </c>
    </row>
    <row r="3106" spans="11:11" x14ac:dyDescent="0.25">
      <c r="K3106" s="8" t="e">
        <f t="shared" si="48"/>
        <v>#VALUE!</v>
      </c>
    </row>
    <row r="3107" spans="11:11" x14ac:dyDescent="0.25">
      <c r="K3107" s="8" t="e">
        <f t="shared" si="48"/>
        <v>#VALUE!</v>
      </c>
    </row>
    <row r="3108" spans="11:11" x14ac:dyDescent="0.25">
      <c r="K3108" s="8" t="e">
        <f t="shared" si="48"/>
        <v>#VALUE!</v>
      </c>
    </row>
    <row r="3109" spans="11:11" x14ac:dyDescent="0.25">
      <c r="K3109" s="8" t="e">
        <f t="shared" si="48"/>
        <v>#VALUE!</v>
      </c>
    </row>
    <row r="3110" spans="11:11" x14ac:dyDescent="0.25">
      <c r="K3110" s="8" t="e">
        <f t="shared" si="48"/>
        <v>#VALUE!</v>
      </c>
    </row>
    <row r="3111" spans="11:11" x14ac:dyDescent="0.25">
      <c r="K3111" s="8" t="e">
        <f t="shared" si="48"/>
        <v>#VALUE!</v>
      </c>
    </row>
    <row r="3112" spans="11:11" x14ac:dyDescent="0.25">
      <c r="K3112" s="8" t="e">
        <f t="shared" si="48"/>
        <v>#VALUE!</v>
      </c>
    </row>
    <row r="3113" spans="11:11" x14ac:dyDescent="0.25">
      <c r="K3113" s="8" t="e">
        <f t="shared" si="48"/>
        <v>#VALUE!</v>
      </c>
    </row>
    <row r="3114" spans="11:11" x14ac:dyDescent="0.25">
      <c r="K3114" s="8" t="e">
        <f t="shared" si="48"/>
        <v>#VALUE!</v>
      </c>
    </row>
    <row r="3115" spans="11:11" x14ac:dyDescent="0.25">
      <c r="K3115" s="8" t="e">
        <f t="shared" si="48"/>
        <v>#VALUE!</v>
      </c>
    </row>
    <row r="3116" spans="11:11" x14ac:dyDescent="0.25">
      <c r="K3116" s="8" t="e">
        <f t="shared" si="48"/>
        <v>#VALUE!</v>
      </c>
    </row>
    <row r="3117" spans="11:11" x14ac:dyDescent="0.25">
      <c r="K3117" s="8" t="e">
        <f t="shared" si="48"/>
        <v>#VALUE!</v>
      </c>
    </row>
    <row r="3118" spans="11:11" x14ac:dyDescent="0.25">
      <c r="K3118" s="8" t="e">
        <f t="shared" si="48"/>
        <v>#VALUE!</v>
      </c>
    </row>
    <row r="3119" spans="11:11" x14ac:dyDescent="0.25">
      <c r="K3119" s="8" t="e">
        <f t="shared" si="48"/>
        <v>#VALUE!</v>
      </c>
    </row>
    <row r="3120" spans="11:11" x14ac:dyDescent="0.25">
      <c r="K3120" s="8" t="e">
        <f t="shared" si="48"/>
        <v>#VALUE!</v>
      </c>
    </row>
    <row r="3121" spans="11:11" x14ac:dyDescent="0.25">
      <c r="K3121" s="8" t="e">
        <f t="shared" si="48"/>
        <v>#VALUE!</v>
      </c>
    </row>
    <row r="3122" spans="11:11" x14ac:dyDescent="0.25">
      <c r="K3122" s="8" t="e">
        <f t="shared" si="48"/>
        <v>#VALUE!</v>
      </c>
    </row>
    <row r="3123" spans="11:11" x14ac:dyDescent="0.25">
      <c r="K3123" s="8" t="e">
        <f t="shared" si="48"/>
        <v>#VALUE!</v>
      </c>
    </row>
    <row r="3124" spans="11:11" x14ac:dyDescent="0.25">
      <c r="K3124" s="8" t="e">
        <f t="shared" si="48"/>
        <v>#VALUE!</v>
      </c>
    </row>
    <row r="3125" spans="11:11" x14ac:dyDescent="0.25">
      <c r="K3125" s="8" t="e">
        <f t="shared" si="48"/>
        <v>#VALUE!</v>
      </c>
    </row>
    <row r="3126" spans="11:11" x14ac:dyDescent="0.25">
      <c r="K3126" s="8" t="e">
        <f t="shared" si="48"/>
        <v>#VALUE!</v>
      </c>
    </row>
    <row r="3127" spans="11:11" x14ac:dyDescent="0.25">
      <c r="K3127" s="8" t="e">
        <f t="shared" si="48"/>
        <v>#VALUE!</v>
      </c>
    </row>
    <row r="3128" spans="11:11" x14ac:dyDescent="0.25">
      <c r="K3128" s="8" t="e">
        <f t="shared" si="48"/>
        <v>#VALUE!</v>
      </c>
    </row>
    <row r="3129" spans="11:11" x14ac:dyDescent="0.25">
      <c r="K3129" s="8" t="e">
        <f t="shared" si="48"/>
        <v>#VALUE!</v>
      </c>
    </row>
    <row r="3130" spans="11:11" x14ac:dyDescent="0.25">
      <c r="K3130" s="8" t="e">
        <f t="shared" si="48"/>
        <v>#VALUE!</v>
      </c>
    </row>
    <row r="3131" spans="11:11" x14ac:dyDescent="0.25">
      <c r="K3131" s="8" t="e">
        <f t="shared" si="48"/>
        <v>#VALUE!</v>
      </c>
    </row>
    <row r="3132" spans="11:11" x14ac:dyDescent="0.25">
      <c r="K3132" s="8" t="e">
        <f t="shared" si="48"/>
        <v>#VALUE!</v>
      </c>
    </row>
    <row r="3133" spans="11:11" x14ac:dyDescent="0.25">
      <c r="K3133" s="8" t="e">
        <f t="shared" si="48"/>
        <v>#VALUE!</v>
      </c>
    </row>
    <row r="3134" spans="11:11" x14ac:dyDescent="0.25">
      <c r="K3134" s="8" t="e">
        <f t="shared" si="48"/>
        <v>#VALUE!</v>
      </c>
    </row>
    <row r="3135" spans="11:11" x14ac:dyDescent="0.25">
      <c r="K3135" s="8" t="e">
        <f t="shared" si="48"/>
        <v>#VALUE!</v>
      </c>
    </row>
    <row r="3136" spans="11:11" x14ac:dyDescent="0.25">
      <c r="K3136" s="8" t="e">
        <f t="shared" si="48"/>
        <v>#VALUE!</v>
      </c>
    </row>
    <row r="3137" spans="11:11" x14ac:dyDescent="0.25">
      <c r="K3137" s="8" t="e">
        <f t="shared" si="48"/>
        <v>#VALUE!</v>
      </c>
    </row>
    <row r="3138" spans="11:11" x14ac:dyDescent="0.25">
      <c r="K3138" s="8" t="e">
        <f t="shared" si="48"/>
        <v>#VALUE!</v>
      </c>
    </row>
    <row r="3139" spans="11:11" x14ac:dyDescent="0.25">
      <c r="K3139" s="8" t="e">
        <f t="shared" ref="K3139:K3202" si="49">LEFT(A3139,FIND("/",A3139)-1)</f>
        <v>#VALUE!</v>
      </c>
    </row>
    <row r="3140" spans="11:11" x14ac:dyDescent="0.25">
      <c r="K3140" s="8" t="e">
        <f t="shared" si="49"/>
        <v>#VALUE!</v>
      </c>
    </row>
    <row r="3141" spans="11:11" x14ac:dyDescent="0.25">
      <c r="K3141" s="8" t="e">
        <f t="shared" si="49"/>
        <v>#VALUE!</v>
      </c>
    </row>
    <row r="3142" spans="11:11" x14ac:dyDescent="0.25">
      <c r="K3142" s="8" t="e">
        <f t="shared" si="49"/>
        <v>#VALUE!</v>
      </c>
    </row>
    <row r="3143" spans="11:11" x14ac:dyDescent="0.25">
      <c r="K3143" s="8" t="e">
        <f t="shared" si="49"/>
        <v>#VALUE!</v>
      </c>
    </row>
    <row r="3144" spans="11:11" x14ac:dyDescent="0.25">
      <c r="K3144" s="8" t="e">
        <f t="shared" si="49"/>
        <v>#VALUE!</v>
      </c>
    </row>
    <row r="3145" spans="11:11" x14ac:dyDescent="0.25">
      <c r="K3145" s="8" t="e">
        <f t="shared" si="49"/>
        <v>#VALUE!</v>
      </c>
    </row>
    <row r="3146" spans="11:11" x14ac:dyDescent="0.25">
      <c r="K3146" s="8" t="e">
        <f t="shared" si="49"/>
        <v>#VALUE!</v>
      </c>
    </row>
    <row r="3147" spans="11:11" x14ac:dyDescent="0.25">
      <c r="K3147" s="8" t="e">
        <f t="shared" si="49"/>
        <v>#VALUE!</v>
      </c>
    </row>
    <row r="3148" spans="11:11" x14ac:dyDescent="0.25">
      <c r="K3148" s="8" t="e">
        <f t="shared" si="49"/>
        <v>#VALUE!</v>
      </c>
    </row>
    <row r="3149" spans="11:11" x14ac:dyDescent="0.25">
      <c r="K3149" s="8" t="e">
        <f t="shared" si="49"/>
        <v>#VALUE!</v>
      </c>
    </row>
    <row r="3150" spans="11:11" x14ac:dyDescent="0.25">
      <c r="K3150" s="8" t="e">
        <f t="shared" si="49"/>
        <v>#VALUE!</v>
      </c>
    </row>
    <row r="3151" spans="11:11" x14ac:dyDescent="0.25">
      <c r="K3151" s="8" t="e">
        <f t="shared" si="49"/>
        <v>#VALUE!</v>
      </c>
    </row>
    <row r="3152" spans="11:11" x14ac:dyDescent="0.25">
      <c r="K3152" s="8" t="e">
        <f t="shared" si="49"/>
        <v>#VALUE!</v>
      </c>
    </row>
    <row r="3153" spans="11:11" x14ac:dyDescent="0.25">
      <c r="K3153" s="8" t="e">
        <f t="shared" si="49"/>
        <v>#VALUE!</v>
      </c>
    </row>
    <row r="3154" spans="11:11" x14ac:dyDescent="0.25">
      <c r="K3154" s="8" t="e">
        <f t="shared" si="49"/>
        <v>#VALUE!</v>
      </c>
    </row>
    <row r="3155" spans="11:11" x14ac:dyDescent="0.25">
      <c r="K3155" s="8" t="e">
        <f t="shared" si="49"/>
        <v>#VALUE!</v>
      </c>
    </row>
    <row r="3156" spans="11:11" x14ac:dyDescent="0.25">
      <c r="K3156" s="8" t="e">
        <f t="shared" si="49"/>
        <v>#VALUE!</v>
      </c>
    </row>
    <row r="3157" spans="11:11" x14ac:dyDescent="0.25">
      <c r="K3157" s="8" t="e">
        <f t="shared" si="49"/>
        <v>#VALUE!</v>
      </c>
    </row>
    <row r="3158" spans="11:11" x14ac:dyDescent="0.25">
      <c r="K3158" s="8" t="e">
        <f t="shared" si="49"/>
        <v>#VALUE!</v>
      </c>
    </row>
    <row r="3159" spans="11:11" x14ac:dyDescent="0.25">
      <c r="K3159" s="8" t="e">
        <f t="shared" si="49"/>
        <v>#VALUE!</v>
      </c>
    </row>
    <row r="3160" spans="11:11" x14ac:dyDescent="0.25">
      <c r="K3160" s="8" t="e">
        <f t="shared" si="49"/>
        <v>#VALUE!</v>
      </c>
    </row>
    <row r="3161" spans="11:11" x14ac:dyDescent="0.25">
      <c r="K3161" s="8" t="e">
        <f t="shared" si="49"/>
        <v>#VALUE!</v>
      </c>
    </row>
    <row r="3162" spans="11:11" x14ac:dyDescent="0.25">
      <c r="K3162" s="8" t="e">
        <f t="shared" si="49"/>
        <v>#VALUE!</v>
      </c>
    </row>
    <row r="3163" spans="11:11" x14ac:dyDescent="0.25">
      <c r="K3163" s="8" t="e">
        <f t="shared" si="49"/>
        <v>#VALUE!</v>
      </c>
    </row>
    <row r="3164" spans="11:11" x14ac:dyDescent="0.25">
      <c r="K3164" s="8" t="e">
        <f t="shared" si="49"/>
        <v>#VALUE!</v>
      </c>
    </row>
    <row r="3165" spans="11:11" x14ac:dyDescent="0.25">
      <c r="K3165" s="8" t="e">
        <f t="shared" si="49"/>
        <v>#VALUE!</v>
      </c>
    </row>
    <row r="3166" spans="11:11" x14ac:dyDescent="0.25">
      <c r="K3166" s="8" t="e">
        <f t="shared" si="49"/>
        <v>#VALUE!</v>
      </c>
    </row>
    <row r="3167" spans="11:11" x14ac:dyDescent="0.25">
      <c r="K3167" s="8" t="e">
        <f t="shared" si="49"/>
        <v>#VALUE!</v>
      </c>
    </row>
    <row r="3168" spans="11:11" x14ac:dyDescent="0.25">
      <c r="K3168" s="8" t="e">
        <f t="shared" si="49"/>
        <v>#VALUE!</v>
      </c>
    </row>
    <row r="3169" spans="11:11" x14ac:dyDescent="0.25">
      <c r="K3169" s="8" t="e">
        <f t="shared" si="49"/>
        <v>#VALUE!</v>
      </c>
    </row>
    <row r="3170" spans="11:11" x14ac:dyDescent="0.25">
      <c r="K3170" s="8" t="e">
        <f t="shared" si="49"/>
        <v>#VALUE!</v>
      </c>
    </row>
    <row r="3171" spans="11:11" x14ac:dyDescent="0.25">
      <c r="K3171" s="8" t="e">
        <f t="shared" si="49"/>
        <v>#VALUE!</v>
      </c>
    </row>
    <row r="3172" spans="11:11" x14ac:dyDescent="0.25">
      <c r="K3172" s="8" t="e">
        <f t="shared" si="49"/>
        <v>#VALUE!</v>
      </c>
    </row>
    <row r="3173" spans="11:11" x14ac:dyDescent="0.25">
      <c r="K3173" s="8" t="e">
        <f t="shared" si="49"/>
        <v>#VALUE!</v>
      </c>
    </row>
    <row r="3174" spans="11:11" x14ac:dyDescent="0.25">
      <c r="K3174" s="8" t="e">
        <f t="shared" si="49"/>
        <v>#VALUE!</v>
      </c>
    </row>
    <row r="3175" spans="11:11" x14ac:dyDescent="0.25">
      <c r="K3175" s="8" t="e">
        <f t="shared" si="49"/>
        <v>#VALUE!</v>
      </c>
    </row>
    <row r="3176" spans="11:11" x14ac:dyDescent="0.25">
      <c r="K3176" s="8" t="e">
        <f t="shared" si="49"/>
        <v>#VALUE!</v>
      </c>
    </row>
    <row r="3177" spans="11:11" x14ac:dyDescent="0.25">
      <c r="K3177" s="8" t="e">
        <f t="shared" si="49"/>
        <v>#VALUE!</v>
      </c>
    </row>
    <row r="3178" spans="11:11" x14ac:dyDescent="0.25">
      <c r="K3178" s="8" t="e">
        <f t="shared" si="49"/>
        <v>#VALUE!</v>
      </c>
    </row>
    <row r="3179" spans="11:11" x14ac:dyDescent="0.25">
      <c r="K3179" s="8" t="e">
        <f t="shared" si="49"/>
        <v>#VALUE!</v>
      </c>
    </row>
    <row r="3180" spans="11:11" x14ac:dyDescent="0.25">
      <c r="K3180" s="8" t="e">
        <f t="shared" si="49"/>
        <v>#VALUE!</v>
      </c>
    </row>
    <row r="3181" spans="11:11" x14ac:dyDescent="0.25">
      <c r="K3181" s="8" t="e">
        <f t="shared" si="49"/>
        <v>#VALUE!</v>
      </c>
    </row>
    <row r="3182" spans="11:11" x14ac:dyDescent="0.25">
      <c r="K3182" s="8" t="e">
        <f t="shared" si="49"/>
        <v>#VALUE!</v>
      </c>
    </row>
    <row r="3183" spans="11:11" x14ac:dyDescent="0.25">
      <c r="K3183" s="8" t="e">
        <f t="shared" si="49"/>
        <v>#VALUE!</v>
      </c>
    </row>
    <row r="3184" spans="11:11" x14ac:dyDescent="0.25">
      <c r="K3184" s="8" t="e">
        <f t="shared" si="49"/>
        <v>#VALUE!</v>
      </c>
    </row>
    <row r="3185" spans="11:11" x14ac:dyDescent="0.25">
      <c r="K3185" s="8" t="e">
        <f t="shared" si="49"/>
        <v>#VALUE!</v>
      </c>
    </row>
    <row r="3186" spans="11:11" x14ac:dyDescent="0.25">
      <c r="K3186" s="8" t="e">
        <f t="shared" si="49"/>
        <v>#VALUE!</v>
      </c>
    </row>
    <row r="3187" spans="11:11" x14ac:dyDescent="0.25">
      <c r="K3187" s="8" t="e">
        <f t="shared" si="49"/>
        <v>#VALUE!</v>
      </c>
    </row>
    <row r="3188" spans="11:11" x14ac:dyDescent="0.25">
      <c r="K3188" s="8" t="e">
        <f t="shared" si="49"/>
        <v>#VALUE!</v>
      </c>
    </row>
    <row r="3189" spans="11:11" x14ac:dyDescent="0.25">
      <c r="K3189" s="8" t="e">
        <f t="shared" si="49"/>
        <v>#VALUE!</v>
      </c>
    </row>
    <row r="3190" spans="11:11" x14ac:dyDescent="0.25">
      <c r="K3190" s="8" t="e">
        <f t="shared" si="49"/>
        <v>#VALUE!</v>
      </c>
    </row>
    <row r="3191" spans="11:11" x14ac:dyDescent="0.25">
      <c r="K3191" s="8" t="e">
        <f t="shared" si="49"/>
        <v>#VALUE!</v>
      </c>
    </row>
    <row r="3192" spans="11:11" x14ac:dyDescent="0.25">
      <c r="K3192" s="8" t="e">
        <f t="shared" si="49"/>
        <v>#VALUE!</v>
      </c>
    </row>
    <row r="3193" spans="11:11" x14ac:dyDescent="0.25">
      <c r="K3193" s="8" t="e">
        <f t="shared" si="49"/>
        <v>#VALUE!</v>
      </c>
    </row>
    <row r="3194" spans="11:11" x14ac:dyDescent="0.25">
      <c r="K3194" s="8" t="e">
        <f t="shared" si="49"/>
        <v>#VALUE!</v>
      </c>
    </row>
    <row r="3195" spans="11:11" x14ac:dyDescent="0.25">
      <c r="K3195" s="8" t="e">
        <f t="shared" si="49"/>
        <v>#VALUE!</v>
      </c>
    </row>
    <row r="3196" spans="11:11" x14ac:dyDescent="0.25">
      <c r="K3196" s="8" t="e">
        <f t="shared" si="49"/>
        <v>#VALUE!</v>
      </c>
    </row>
    <row r="3197" spans="11:11" x14ac:dyDescent="0.25">
      <c r="K3197" s="8" t="e">
        <f t="shared" si="49"/>
        <v>#VALUE!</v>
      </c>
    </row>
    <row r="3198" spans="11:11" x14ac:dyDescent="0.25">
      <c r="K3198" s="8" t="e">
        <f t="shared" si="49"/>
        <v>#VALUE!</v>
      </c>
    </row>
    <row r="3199" spans="11:11" x14ac:dyDescent="0.25">
      <c r="K3199" s="8" t="e">
        <f t="shared" si="49"/>
        <v>#VALUE!</v>
      </c>
    </row>
    <row r="3200" spans="11:11" x14ac:dyDescent="0.25">
      <c r="K3200" s="8" t="e">
        <f t="shared" si="49"/>
        <v>#VALUE!</v>
      </c>
    </row>
    <row r="3201" spans="11:11" x14ac:dyDescent="0.25">
      <c r="K3201" s="8" t="e">
        <f t="shared" si="49"/>
        <v>#VALUE!</v>
      </c>
    </row>
    <row r="3202" spans="11:11" x14ac:dyDescent="0.25">
      <c r="K3202" s="8" t="e">
        <f t="shared" si="49"/>
        <v>#VALUE!</v>
      </c>
    </row>
    <row r="3203" spans="11:11" x14ac:dyDescent="0.25">
      <c r="K3203" s="8" t="e">
        <f t="shared" ref="K3203:K3266" si="50">LEFT(A3203,FIND("/",A3203)-1)</f>
        <v>#VALUE!</v>
      </c>
    </row>
    <row r="3204" spans="11:11" x14ac:dyDescent="0.25">
      <c r="K3204" s="8" t="e">
        <f t="shared" si="50"/>
        <v>#VALUE!</v>
      </c>
    </row>
    <row r="3205" spans="11:11" x14ac:dyDescent="0.25">
      <c r="K3205" s="8" t="e">
        <f t="shared" si="50"/>
        <v>#VALUE!</v>
      </c>
    </row>
    <row r="3206" spans="11:11" x14ac:dyDescent="0.25">
      <c r="K3206" s="8" t="e">
        <f t="shared" si="50"/>
        <v>#VALUE!</v>
      </c>
    </row>
    <row r="3207" spans="11:11" x14ac:dyDescent="0.25">
      <c r="K3207" s="8" t="e">
        <f t="shared" si="50"/>
        <v>#VALUE!</v>
      </c>
    </row>
    <row r="3208" spans="11:11" x14ac:dyDescent="0.25">
      <c r="K3208" s="8" t="e">
        <f t="shared" si="50"/>
        <v>#VALUE!</v>
      </c>
    </row>
    <row r="3209" spans="11:11" x14ac:dyDescent="0.25">
      <c r="K3209" s="8" t="e">
        <f t="shared" si="50"/>
        <v>#VALUE!</v>
      </c>
    </row>
    <row r="3210" spans="11:11" x14ac:dyDescent="0.25">
      <c r="K3210" s="8" t="e">
        <f t="shared" si="50"/>
        <v>#VALUE!</v>
      </c>
    </row>
    <row r="3211" spans="11:11" x14ac:dyDescent="0.25">
      <c r="K3211" s="8" t="e">
        <f t="shared" si="50"/>
        <v>#VALUE!</v>
      </c>
    </row>
    <row r="3212" spans="11:11" x14ac:dyDescent="0.25">
      <c r="K3212" s="8" t="e">
        <f t="shared" si="50"/>
        <v>#VALUE!</v>
      </c>
    </row>
    <row r="3213" spans="11:11" x14ac:dyDescent="0.25">
      <c r="K3213" s="8" t="e">
        <f t="shared" si="50"/>
        <v>#VALUE!</v>
      </c>
    </row>
    <row r="3214" spans="11:11" x14ac:dyDescent="0.25">
      <c r="K3214" s="8" t="e">
        <f t="shared" si="50"/>
        <v>#VALUE!</v>
      </c>
    </row>
    <row r="3215" spans="11:11" x14ac:dyDescent="0.25">
      <c r="K3215" s="8" t="e">
        <f t="shared" si="50"/>
        <v>#VALUE!</v>
      </c>
    </row>
    <row r="3216" spans="11:11" x14ac:dyDescent="0.25">
      <c r="K3216" s="8" t="e">
        <f t="shared" si="50"/>
        <v>#VALUE!</v>
      </c>
    </row>
    <row r="3217" spans="11:11" x14ac:dyDescent="0.25">
      <c r="K3217" s="8" t="e">
        <f t="shared" si="50"/>
        <v>#VALUE!</v>
      </c>
    </row>
    <row r="3218" spans="11:11" x14ac:dyDescent="0.25">
      <c r="K3218" s="8" t="e">
        <f t="shared" si="50"/>
        <v>#VALUE!</v>
      </c>
    </row>
    <row r="3219" spans="11:11" x14ac:dyDescent="0.25">
      <c r="K3219" s="8" t="e">
        <f t="shared" si="50"/>
        <v>#VALUE!</v>
      </c>
    </row>
    <row r="3220" spans="11:11" x14ac:dyDescent="0.25">
      <c r="K3220" s="8" t="e">
        <f t="shared" si="50"/>
        <v>#VALUE!</v>
      </c>
    </row>
    <row r="3221" spans="11:11" x14ac:dyDescent="0.25">
      <c r="K3221" s="8" t="e">
        <f t="shared" si="50"/>
        <v>#VALUE!</v>
      </c>
    </row>
    <row r="3222" spans="11:11" x14ac:dyDescent="0.25">
      <c r="K3222" s="8" t="e">
        <f t="shared" si="50"/>
        <v>#VALUE!</v>
      </c>
    </row>
    <row r="3223" spans="11:11" x14ac:dyDescent="0.25">
      <c r="K3223" s="8" t="e">
        <f t="shared" si="50"/>
        <v>#VALUE!</v>
      </c>
    </row>
    <row r="3224" spans="11:11" x14ac:dyDescent="0.25">
      <c r="K3224" s="8" t="e">
        <f t="shared" si="50"/>
        <v>#VALUE!</v>
      </c>
    </row>
    <row r="3225" spans="11:11" x14ac:dyDescent="0.25">
      <c r="K3225" s="8" t="e">
        <f t="shared" si="50"/>
        <v>#VALUE!</v>
      </c>
    </row>
    <row r="3226" spans="11:11" x14ac:dyDescent="0.25">
      <c r="K3226" s="8" t="e">
        <f t="shared" si="50"/>
        <v>#VALUE!</v>
      </c>
    </row>
    <row r="3227" spans="11:11" x14ac:dyDescent="0.25">
      <c r="K3227" s="8" t="e">
        <f t="shared" si="50"/>
        <v>#VALUE!</v>
      </c>
    </row>
    <row r="3228" spans="11:11" x14ac:dyDescent="0.25">
      <c r="K3228" s="8" t="e">
        <f t="shared" si="50"/>
        <v>#VALUE!</v>
      </c>
    </row>
    <row r="3229" spans="11:11" x14ac:dyDescent="0.25">
      <c r="K3229" s="8" t="e">
        <f t="shared" si="50"/>
        <v>#VALUE!</v>
      </c>
    </row>
    <row r="3230" spans="11:11" x14ac:dyDescent="0.25">
      <c r="K3230" s="8" t="e">
        <f t="shared" si="50"/>
        <v>#VALUE!</v>
      </c>
    </row>
    <row r="3231" spans="11:11" x14ac:dyDescent="0.25">
      <c r="K3231" s="8" t="e">
        <f t="shared" si="50"/>
        <v>#VALUE!</v>
      </c>
    </row>
    <row r="3232" spans="11:11" x14ac:dyDescent="0.25">
      <c r="K3232" s="8" t="e">
        <f t="shared" si="50"/>
        <v>#VALUE!</v>
      </c>
    </row>
    <row r="3233" spans="11:11" x14ac:dyDescent="0.25">
      <c r="K3233" s="8" t="e">
        <f t="shared" si="50"/>
        <v>#VALUE!</v>
      </c>
    </row>
    <row r="3234" spans="11:11" x14ac:dyDescent="0.25">
      <c r="K3234" s="8" t="e">
        <f t="shared" si="50"/>
        <v>#VALUE!</v>
      </c>
    </row>
    <row r="3235" spans="11:11" x14ac:dyDescent="0.25">
      <c r="K3235" s="8" t="e">
        <f t="shared" si="50"/>
        <v>#VALUE!</v>
      </c>
    </row>
    <row r="3236" spans="11:11" x14ac:dyDescent="0.25">
      <c r="K3236" s="8" t="e">
        <f t="shared" si="50"/>
        <v>#VALUE!</v>
      </c>
    </row>
    <row r="3237" spans="11:11" x14ac:dyDescent="0.25">
      <c r="K3237" s="8" t="e">
        <f t="shared" si="50"/>
        <v>#VALUE!</v>
      </c>
    </row>
    <row r="3238" spans="11:11" x14ac:dyDescent="0.25">
      <c r="K3238" s="8" t="e">
        <f t="shared" si="50"/>
        <v>#VALUE!</v>
      </c>
    </row>
    <row r="3239" spans="11:11" x14ac:dyDescent="0.25">
      <c r="K3239" s="8" t="e">
        <f t="shared" si="50"/>
        <v>#VALUE!</v>
      </c>
    </row>
    <row r="3240" spans="11:11" x14ac:dyDescent="0.25">
      <c r="K3240" s="8" t="e">
        <f t="shared" si="50"/>
        <v>#VALUE!</v>
      </c>
    </row>
    <row r="3241" spans="11:11" x14ac:dyDescent="0.25">
      <c r="K3241" s="8" t="e">
        <f t="shared" si="50"/>
        <v>#VALUE!</v>
      </c>
    </row>
    <row r="3242" spans="11:11" x14ac:dyDescent="0.25">
      <c r="K3242" s="8" t="e">
        <f t="shared" si="50"/>
        <v>#VALUE!</v>
      </c>
    </row>
    <row r="3243" spans="11:11" x14ac:dyDescent="0.25">
      <c r="K3243" s="8" t="e">
        <f t="shared" si="50"/>
        <v>#VALUE!</v>
      </c>
    </row>
    <row r="3244" spans="11:11" x14ac:dyDescent="0.25">
      <c r="K3244" s="8" t="e">
        <f t="shared" si="50"/>
        <v>#VALUE!</v>
      </c>
    </row>
    <row r="3245" spans="11:11" x14ac:dyDescent="0.25">
      <c r="K3245" s="8" t="e">
        <f t="shared" si="50"/>
        <v>#VALUE!</v>
      </c>
    </row>
    <row r="3246" spans="11:11" x14ac:dyDescent="0.25">
      <c r="K3246" s="8" t="e">
        <f t="shared" si="50"/>
        <v>#VALUE!</v>
      </c>
    </row>
    <row r="3247" spans="11:11" x14ac:dyDescent="0.25">
      <c r="K3247" s="8" t="e">
        <f t="shared" si="50"/>
        <v>#VALUE!</v>
      </c>
    </row>
    <row r="3248" spans="11:11" x14ac:dyDescent="0.25">
      <c r="K3248" s="8" t="e">
        <f t="shared" si="50"/>
        <v>#VALUE!</v>
      </c>
    </row>
    <row r="3249" spans="11:11" x14ac:dyDescent="0.25">
      <c r="K3249" s="8" t="e">
        <f t="shared" si="50"/>
        <v>#VALUE!</v>
      </c>
    </row>
    <row r="3250" spans="11:11" x14ac:dyDescent="0.25">
      <c r="K3250" s="8" t="e">
        <f t="shared" si="50"/>
        <v>#VALUE!</v>
      </c>
    </row>
    <row r="3251" spans="11:11" x14ac:dyDescent="0.25">
      <c r="K3251" s="8" t="e">
        <f t="shared" si="50"/>
        <v>#VALUE!</v>
      </c>
    </row>
    <row r="3252" spans="11:11" x14ac:dyDescent="0.25">
      <c r="K3252" s="8" t="e">
        <f t="shared" si="50"/>
        <v>#VALUE!</v>
      </c>
    </row>
    <row r="3253" spans="11:11" x14ac:dyDescent="0.25">
      <c r="K3253" s="8" t="e">
        <f t="shared" si="50"/>
        <v>#VALUE!</v>
      </c>
    </row>
    <row r="3254" spans="11:11" x14ac:dyDescent="0.25">
      <c r="K3254" s="8" t="e">
        <f t="shared" si="50"/>
        <v>#VALUE!</v>
      </c>
    </row>
    <row r="3255" spans="11:11" x14ac:dyDescent="0.25">
      <c r="K3255" s="8" t="e">
        <f t="shared" si="50"/>
        <v>#VALUE!</v>
      </c>
    </row>
    <row r="3256" spans="11:11" x14ac:dyDescent="0.25">
      <c r="K3256" s="8" t="e">
        <f t="shared" si="50"/>
        <v>#VALUE!</v>
      </c>
    </row>
    <row r="3257" spans="11:11" x14ac:dyDescent="0.25">
      <c r="K3257" s="8" t="e">
        <f t="shared" si="50"/>
        <v>#VALUE!</v>
      </c>
    </row>
    <row r="3258" spans="11:11" x14ac:dyDescent="0.25">
      <c r="K3258" s="8" t="e">
        <f t="shared" si="50"/>
        <v>#VALUE!</v>
      </c>
    </row>
    <row r="3259" spans="11:11" x14ac:dyDescent="0.25">
      <c r="K3259" s="8" t="e">
        <f t="shared" si="50"/>
        <v>#VALUE!</v>
      </c>
    </row>
    <row r="3260" spans="11:11" x14ac:dyDescent="0.25">
      <c r="K3260" s="8" t="e">
        <f t="shared" si="50"/>
        <v>#VALUE!</v>
      </c>
    </row>
    <row r="3261" spans="11:11" x14ac:dyDescent="0.25">
      <c r="K3261" s="8" t="e">
        <f t="shared" si="50"/>
        <v>#VALUE!</v>
      </c>
    </row>
    <row r="3262" spans="11:11" x14ac:dyDescent="0.25">
      <c r="K3262" s="8" t="e">
        <f t="shared" si="50"/>
        <v>#VALUE!</v>
      </c>
    </row>
    <row r="3263" spans="11:11" x14ac:dyDescent="0.25">
      <c r="K3263" s="8" t="e">
        <f t="shared" si="50"/>
        <v>#VALUE!</v>
      </c>
    </row>
    <row r="3264" spans="11:11" x14ac:dyDescent="0.25">
      <c r="K3264" s="8" t="e">
        <f t="shared" si="50"/>
        <v>#VALUE!</v>
      </c>
    </row>
    <row r="3265" spans="11:11" x14ac:dyDescent="0.25">
      <c r="K3265" s="8" t="e">
        <f t="shared" si="50"/>
        <v>#VALUE!</v>
      </c>
    </row>
    <row r="3266" spans="11:11" x14ac:dyDescent="0.25">
      <c r="K3266" s="8" t="e">
        <f t="shared" si="50"/>
        <v>#VALUE!</v>
      </c>
    </row>
    <row r="3267" spans="11:11" x14ac:dyDescent="0.25">
      <c r="K3267" s="8" t="e">
        <f t="shared" ref="K3267:K3330" si="51">LEFT(A3267,FIND("/",A3267)-1)</f>
        <v>#VALUE!</v>
      </c>
    </row>
    <row r="3268" spans="11:11" x14ac:dyDescent="0.25">
      <c r="K3268" s="8" t="e">
        <f t="shared" si="51"/>
        <v>#VALUE!</v>
      </c>
    </row>
    <row r="3269" spans="11:11" x14ac:dyDescent="0.25">
      <c r="K3269" s="8" t="e">
        <f t="shared" si="51"/>
        <v>#VALUE!</v>
      </c>
    </row>
    <row r="3270" spans="11:11" x14ac:dyDescent="0.25">
      <c r="K3270" s="8" t="e">
        <f t="shared" si="51"/>
        <v>#VALUE!</v>
      </c>
    </row>
    <row r="3271" spans="11:11" x14ac:dyDescent="0.25">
      <c r="K3271" s="8" t="e">
        <f t="shared" si="51"/>
        <v>#VALUE!</v>
      </c>
    </row>
    <row r="3272" spans="11:11" x14ac:dyDescent="0.25">
      <c r="K3272" s="8" t="e">
        <f t="shared" si="51"/>
        <v>#VALUE!</v>
      </c>
    </row>
    <row r="3273" spans="11:11" x14ac:dyDescent="0.25">
      <c r="K3273" s="8" t="e">
        <f t="shared" si="51"/>
        <v>#VALUE!</v>
      </c>
    </row>
    <row r="3274" spans="11:11" x14ac:dyDescent="0.25">
      <c r="K3274" s="8" t="e">
        <f t="shared" si="51"/>
        <v>#VALUE!</v>
      </c>
    </row>
    <row r="3275" spans="11:11" x14ac:dyDescent="0.25">
      <c r="K3275" s="8" t="e">
        <f t="shared" si="51"/>
        <v>#VALUE!</v>
      </c>
    </row>
    <row r="3276" spans="11:11" x14ac:dyDescent="0.25">
      <c r="K3276" s="8" t="e">
        <f t="shared" si="51"/>
        <v>#VALUE!</v>
      </c>
    </row>
    <row r="3277" spans="11:11" x14ac:dyDescent="0.25">
      <c r="K3277" s="8" t="e">
        <f t="shared" si="51"/>
        <v>#VALUE!</v>
      </c>
    </row>
    <row r="3278" spans="11:11" x14ac:dyDescent="0.25">
      <c r="K3278" s="8" t="e">
        <f t="shared" si="51"/>
        <v>#VALUE!</v>
      </c>
    </row>
    <row r="3279" spans="11:11" x14ac:dyDescent="0.25">
      <c r="K3279" s="8" t="e">
        <f t="shared" si="51"/>
        <v>#VALUE!</v>
      </c>
    </row>
    <row r="3280" spans="11:11" x14ac:dyDescent="0.25">
      <c r="K3280" s="8" t="e">
        <f t="shared" si="51"/>
        <v>#VALUE!</v>
      </c>
    </row>
    <row r="3281" spans="11:11" x14ac:dyDescent="0.25">
      <c r="K3281" s="8" t="e">
        <f t="shared" si="51"/>
        <v>#VALUE!</v>
      </c>
    </row>
    <row r="3282" spans="11:11" x14ac:dyDescent="0.25">
      <c r="K3282" s="8" t="e">
        <f t="shared" si="51"/>
        <v>#VALUE!</v>
      </c>
    </row>
    <row r="3283" spans="11:11" x14ac:dyDescent="0.25">
      <c r="K3283" s="8" t="e">
        <f t="shared" si="51"/>
        <v>#VALUE!</v>
      </c>
    </row>
    <row r="3284" spans="11:11" x14ac:dyDescent="0.25">
      <c r="K3284" s="8" t="e">
        <f t="shared" si="51"/>
        <v>#VALUE!</v>
      </c>
    </row>
    <row r="3285" spans="11:11" x14ac:dyDescent="0.25">
      <c r="K3285" s="8" t="e">
        <f t="shared" si="51"/>
        <v>#VALUE!</v>
      </c>
    </row>
    <row r="3286" spans="11:11" x14ac:dyDescent="0.25">
      <c r="K3286" s="8" t="e">
        <f t="shared" si="51"/>
        <v>#VALUE!</v>
      </c>
    </row>
    <row r="3287" spans="11:11" x14ac:dyDescent="0.25">
      <c r="K3287" s="8" t="e">
        <f t="shared" si="51"/>
        <v>#VALUE!</v>
      </c>
    </row>
    <row r="3288" spans="11:11" x14ac:dyDescent="0.25">
      <c r="K3288" s="8" t="e">
        <f t="shared" si="51"/>
        <v>#VALUE!</v>
      </c>
    </row>
    <row r="3289" spans="11:11" x14ac:dyDescent="0.25">
      <c r="K3289" s="8" t="e">
        <f t="shared" si="51"/>
        <v>#VALUE!</v>
      </c>
    </row>
    <row r="3290" spans="11:11" x14ac:dyDescent="0.25">
      <c r="K3290" s="8" t="e">
        <f t="shared" si="51"/>
        <v>#VALUE!</v>
      </c>
    </row>
    <row r="3291" spans="11:11" x14ac:dyDescent="0.25">
      <c r="K3291" s="8" t="e">
        <f t="shared" si="51"/>
        <v>#VALUE!</v>
      </c>
    </row>
    <row r="3292" spans="11:11" x14ac:dyDescent="0.25">
      <c r="K3292" s="8" t="e">
        <f t="shared" si="51"/>
        <v>#VALUE!</v>
      </c>
    </row>
    <row r="3293" spans="11:11" x14ac:dyDescent="0.25">
      <c r="K3293" s="8" t="e">
        <f t="shared" si="51"/>
        <v>#VALUE!</v>
      </c>
    </row>
    <row r="3294" spans="11:11" x14ac:dyDescent="0.25">
      <c r="K3294" s="8" t="e">
        <f t="shared" si="51"/>
        <v>#VALUE!</v>
      </c>
    </row>
    <row r="3295" spans="11:11" x14ac:dyDescent="0.25">
      <c r="K3295" s="8" t="e">
        <f t="shared" si="51"/>
        <v>#VALUE!</v>
      </c>
    </row>
    <row r="3296" spans="11:11" x14ac:dyDescent="0.25">
      <c r="K3296" s="8" t="e">
        <f t="shared" si="51"/>
        <v>#VALUE!</v>
      </c>
    </row>
    <row r="3297" spans="11:11" x14ac:dyDescent="0.25">
      <c r="K3297" s="8" t="e">
        <f t="shared" si="51"/>
        <v>#VALUE!</v>
      </c>
    </row>
    <row r="3298" spans="11:11" x14ac:dyDescent="0.25">
      <c r="K3298" s="8" t="e">
        <f t="shared" si="51"/>
        <v>#VALUE!</v>
      </c>
    </row>
    <row r="3299" spans="11:11" x14ac:dyDescent="0.25">
      <c r="K3299" s="8" t="e">
        <f t="shared" si="51"/>
        <v>#VALUE!</v>
      </c>
    </row>
    <row r="3300" spans="11:11" x14ac:dyDescent="0.25">
      <c r="K3300" s="8" t="e">
        <f t="shared" si="51"/>
        <v>#VALUE!</v>
      </c>
    </row>
    <row r="3301" spans="11:11" x14ac:dyDescent="0.25">
      <c r="K3301" s="8" t="e">
        <f t="shared" si="51"/>
        <v>#VALUE!</v>
      </c>
    </row>
    <row r="3302" spans="11:11" x14ac:dyDescent="0.25">
      <c r="K3302" s="8" t="e">
        <f t="shared" si="51"/>
        <v>#VALUE!</v>
      </c>
    </row>
    <row r="3303" spans="11:11" x14ac:dyDescent="0.25">
      <c r="K3303" s="8" t="e">
        <f t="shared" si="51"/>
        <v>#VALUE!</v>
      </c>
    </row>
    <row r="3304" spans="11:11" x14ac:dyDescent="0.25">
      <c r="K3304" s="8" t="e">
        <f t="shared" si="51"/>
        <v>#VALUE!</v>
      </c>
    </row>
    <row r="3305" spans="11:11" x14ac:dyDescent="0.25">
      <c r="K3305" s="8" t="e">
        <f t="shared" si="51"/>
        <v>#VALUE!</v>
      </c>
    </row>
    <row r="3306" spans="11:11" x14ac:dyDescent="0.25">
      <c r="K3306" s="8" t="e">
        <f t="shared" si="51"/>
        <v>#VALUE!</v>
      </c>
    </row>
    <row r="3307" spans="11:11" x14ac:dyDescent="0.25">
      <c r="K3307" s="8" t="e">
        <f t="shared" si="51"/>
        <v>#VALUE!</v>
      </c>
    </row>
    <row r="3308" spans="11:11" x14ac:dyDescent="0.25">
      <c r="K3308" s="8" t="e">
        <f t="shared" si="51"/>
        <v>#VALUE!</v>
      </c>
    </row>
    <row r="3309" spans="11:11" x14ac:dyDescent="0.25">
      <c r="K3309" s="8" t="e">
        <f t="shared" si="51"/>
        <v>#VALUE!</v>
      </c>
    </row>
    <row r="3310" spans="11:11" x14ac:dyDescent="0.25">
      <c r="K3310" s="8" t="e">
        <f t="shared" si="51"/>
        <v>#VALUE!</v>
      </c>
    </row>
    <row r="3311" spans="11:11" x14ac:dyDescent="0.25">
      <c r="K3311" s="8" t="e">
        <f t="shared" si="51"/>
        <v>#VALUE!</v>
      </c>
    </row>
    <row r="3312" spans="11:11" x14ac:dyDescent="0.25">
      <c r="K3312" s="8" t="e">
        <f t="shared" si="51"/>
        <v>#VALUE!</v>
      </c>
    </row>
    <row r="3313" spans="11:11" x14ac:dyDescent="0.25">
      <c r="K3313" s="8" t="e">
        <f t="shared" si="51"/>
        <v>#VALUE!</v>
      </c>
    </row>
    <row r="3314" spans="11:11" x14ac:dyDescent="0.25">
      <c r="K3314" s="8" t="e">
        <f t="shared" si="51"/>
        <v>#VALUE!</v>
      </c>
    </row>
    <row r="3315" spans="11:11" x14ac:dyDescent="0.25">
      <c r="K3315" s="8" t="e">
        <f t="shared" si="51"/>
        <v>#VALUE!</v>
      </c>
    </row>
    <row r="3316" spans="11:11" x14ac:dyDescent="0.25">
      <c r="K3316" s="8" t="e">
        <f t="shared" si="51"/>
        <v>#VALUE!</v>
      </c>
    </row>
    <row r="3317" spans="11:11" x14ac:dyDescent="0.25">
      <c r="K3317" s="8" t="e">
        <f t="shared" si="51"/>
        <v>#VALUE!</v>
      </c>
    </row>
    <row r="3318" spans="11:11" x14ac:dyDescent="0.25">
      <c r="K3318" s="8" t="e">
        <f t="shared" si="51"/>
        <v>#VALUE!</v>
      </c>
    </row>
    <row r="3319" spans="11:11" x14ac:dyDescent="0.25">
      <c r="K3319" s="8" t="e">
        <f t="shared" si="51"/>
        <v>#VALUE!</v>
      </c>
    </row>
    <row r="3320" spans="11:11" x14ac:dyDescent="0.25">
      <c r="K3320" s="8" t="e">
        <f t="shared" si="51"/>
        <v>#VALUE!</v>
      </c>
    </row>
    <row r="3321" spans="11:11" x14ac:dyDescent="0.25">
      <c r="K3321" s="8" t="e">
        <f t="shared" si="51"/>
        <v>#VALUE!</v>
      </c>
    </row>
    <row r="3322" spans="11:11" x14ac:dyDescent="0.25">
      <c r="K3322" s="8" t="e">
        <f t="shared" si="51"/>
        <v>#VALUE!</v>
      </c>
    </row>
    <row r="3323" spans="11:11" x14ac:dyDescent="0.25">
      <c r="K3323" s="8" t="e">
        <f t="shared" si="51"/>
        <v>#VALUE!</v>
      </c>
    </row>
    <row r="3324" spans="11:11" x14ac:dyDescent="0.25">
      <c r="K3324" s="8" t="e">
        <f t="shared" si="51"/>
        <v>#VALUE!</v>
      </c>
    </row>
    <row r="3325" spans="11:11" x14ac:dyDescent="0.25">
      <c r="K3325" s="8" t="e">
        <f t="shared" si="51"/>
        <v>#VALUE!</v>
      </c>
    </row>
    <row r="3326" spans="11:11" x14ac:dyDescent="0.25">
      <c r="K3326" s="8" t="e">
        <f t="shared" si="51"/>
        <v>#VALUE!</v>
      </c>
    </row>
    <row r="3327" spans="11:11" x14ac:dyDescent="0.25">
      <c r="K3327" s="8" t="e">
        <f t="shared" si="51"/>
        <v>#VALUE!</v>
      </c>
    </row>
    <row r="3328" spans="11:11" x14ac:dyDescent="0.25">
      <c r="K3328" s="8" t="e">
        <f t="shared" si="51"/>
        <v>#VALUE!</v>
      </c>
    </row>
    <row r="3329" spans="11:11" x14ac:dyDescent="0.25">
      <c r="K3329" s="8" t="e">
        <f t="shared" si="51"/>
        <v>#VALUE!</v>
      </c>
    </row>
    <row r="3330" spans="11:11" x14ac:dyDescent="0.25">
      <c r="K3330" s="8" t="e">
        <f t="shared" si="51"/>
        <v>#VALUE!</v>
      </c>
    </row>
    <row r="3331" spans="11:11" x14ac:dyDescent="0.25">
      <c r="K3331" s="8" t="e">
        <f t="shared" ref="K3331:K3394" si="52">LEFT(A3331,FIND("/",A3331)-1)</f>
        <v>#VALUE!</v>
      </c>
    </row>
    <row r="3332" spans="11:11" x14ac:dyDescent="0.25">
      <c r="K3332" s="8" t="e">
        <f t="shared" si="52"/>
        <v>#VALUE!</v>
      </c>
    </row>
    <row r="3333" spans="11:11" x14ac:dyDescent="0.25">
      <c r="K3333" s="8" t="e">
        <f t="shared" si="52"/>
        <v>#VALUE!</v>
      </c>
    </row>
    <row r="3334" spans="11:11" x14ac:dyDescent="0.25">
      <c r="K3334" s="8" t="e">
        <f t="shared" si="52"/>
        <v>#VALUE!</v>
      </c>
    </row>
    <row r="3335" spans="11:11" x14ac:dyDescent="0.25">
      <c r="K3335" s="8" t="e">
        <f t="shared" si="52"/>
        <v>#VALUE!</v>
      </c>
    </row>
    <row r="3336" spans="11:11" x14ac:dyDescent="0.25">
      <c r="K3336" s="8" t="e">
        <f t="shared" si="52"/>
        <v>#VALUE!</v>
      </c>
    </row>
    <row r="3337" spans="11:11" x14ac:dyDescent="0.25">
      <c r="K3337" s="8" t="e">
        <f t="shared" si="52"/>
        <v>#VALUE!</v>
      </c>
    </row>
    <row r="3338" spans="11:11" x14ac:dyDescent="0.25">
      <c r="K3338" s="8" t="e">
        <f t="shared" si="52"/>
        <v>#VALUE!</v>
      </c>
    </row>
    <row r="3339" spans="11:11" x14ac:dyDescent="0.25">
      <c r="K3339" s="8" t="e">
        <f t="shared" si="52"/>
        <v>#VALUE!</v>
      </c>
    </row>
    <row r="3340" spans="11:11" x14ac:dyDescent="0.25">
      <c r="K3340" s="8" t="e">
        <f t="shared" si="52"/>
        <v>#VALUE!</v>
      </c>
    </row>
    <row r="3341" spans="11:11" x14ac:dyDescent="0.25">
      <c r="K3341" s="8" t="e">
        <f t="shared" si="52"/>
        <v>#VALUE!</v>
      </c>
    </row>
    <row r="3342" spans="11:11" x14ac:dyDescent="0.25">
      <c r="K3342" s="8" t="e">
        <f t="shared" si="52"/>
        <v>#VALUE!</v>
      </c>
    </row>
    <row r="3343" spans="11:11" x14ac:dyDescent="0.25">
      <c r="K3343" s="8" t="e">
        <f t="shared" si="52"/>
        <v>#VALUE!</v>
      </c>
    </row>
    <row r="3344" spans="11:11" x14ac:dyDescent="0.25">
      <c r="K3344" s="8" t="e">
        <f t="shared" si="52"/>
        <v>#VALUE!</v>
      </c>
    </row>
    <row r="3345" spans="11:11" x14ac:dyDescent="0.25">
      <c r="K3345" s="8" t="e">
        <f t="shared" si="52"/>
        <v>#VALUE!</v>
      </c>
    </row>
    <row r="3346" spans="11:11" x14ac:dyDescent="0.25">
      <c r="K3346" s="8" t="e">
        <f t="shared" si="52"/>
        <v>#VALUE!</v>
      </c>
    </row>
    <row r="3347" spans="11:11" x14ac:dyDescent="0.25">
      <c r="K3347" s="8" t="e">
        <f t="shared" si="52"/>
        <v>#VALUE!</v>
      </c>
    </row>
    <row r="3348" spans="11:11" x14ac:dyDescent="0.25">
      <c r="K3348" s="8" t="e">
        <f t="shared" si="52"/>
        <v>#VALUE!</v>
      </c>
    </row>
    <row r="3349" spans="11:11" x14ac:dyDescent="0.25">
      <c r="K3349" s="8" t="e">
        <f t="shared" si="52"/>
        <v>#VALUE!</v>
      </c>
    </row>
    <row r="3350" spans="11:11" x14ac:dyDescent="0.25">
      <c r="K3350" s="8" t="e">
        <f t="shared" si="52"/>
        <v>#VALUE!</v>
      </c>
    </row>
    <row r="3351" spans="11:11" x14ac:dyDescent="0.25">
      <c r="K3351" s="8" t="e">
        <f t="shared" si="52"/>
        <v>#VALUE!</v>
      </c>
    </row>
    <row r="3352" spans="11:11" x14ac:dyDescent="0.25">
      <c r="K3352" s="8" t="e">
        <f t="shared" si="52"/>
        <v>#VALUE!</v>
      </c>
    </row>
    <row r="3353" spans="11:11" x14ac:dyDescent="0.25">
      <c r="K3353" s="8" t="e">
        <f t="shared" si="52"/>
        <v>#VALUE!</v>
      </c>
    </row>
    <row r="3354" spans="11:11" x14ac:dyDescent="0.25">
      <c r="K3354" s="8" t="e">
        <f t="shared" si="52"/>
        <v>#VALUE!</v>
      </c>
    </row>
    <row r="3355" spans="11:11" x14ac:dyDescent="0.25">
      <c r="K3355" s="8" t="e">
        <f t="shared" si="52"/>
        <v>#VALUE!</v>
      </c>
    </row>
    <row r="3356" spans="11:11" x14ac:dyDescent="0.25">
      <c r="K3356" s="8" t="e">
        <f t="shared" si="52"/>
        <v>#VALUE!</v>
      </c>
    </row>
    <row r="3357" spans="11:11" x14ac:dyDescent="0.25">
      <c r="K3357" s="8" t="e">
        <f t="shared" si="52"/>
        <v>#VALUE!</v>
      </c>
    </row>
    <row r="3358" spans="11:11" x14ac:dyDescent="0.25">
      <c r="K3358" s="8" t="e">
        <f t="shared" si="52"/>
        <v>#VALUE!</v>
      </c>
    </row>
    <row r="3359" spans="11:11" x14ac:dyDescent="0.25">
      <c r="K3359" s="8" t="e">
        <f t="shared" si="52"/>
        <v>#VALUE!</v>
      </c>
    </row>
    <row r="3360" spans="11:11" x14ac:dyDescent="0.25">
      <c r="K3360" s="8" t="e">
        <f t="shared" si="52"/>
        <v>#VALUE!</v>
      </c>
    </row>
    <row r="3361" spans="11:11" x14ac:dyDescent="0.25">
      <c r="K3361" s="8" t="e">
        <f t="shared" si="52"/>
        <v>#VALUE!</v>
      </c>
    </row>
    <row r="3362" spans="11:11" x14ac:dyDescent="0.25">
      <c r="K3362" s="8" t="e">
        <f t="shared" si="52"/>
        <v>#VALUE!</v>
      </c>
    </row>
    <row r="3363" spans="11:11" x14ac:dyDescent="0.25">
      <c r="K3363" s="8" t="e">
        <f t="shared" si="52"/>
        <v>#VALUE!</v>
      </c>
    </row>
    <row r="3364" spans="11:11" x14ac:dyDescent="0.25">
      <c r="K3364" s="8" t="e">
        <f t="shared" si="52"/>
        <v>#VALUE!</v>
      </c>
    </row>
    <row r="3365" spans="11:11" x14ac:dyDescent="0.25">
      <c r="K3365" s="8" t="e">
        <f t="shared" si="52"/>
        <v>#VALUE!</v>
      </c>
    </row>
    <row r="3366" spans="11:11" x14ac:dyDescent="0.25">
      <c r="K3366" s="8" t="e">
        <f t="shared" si="52"/>
        <v>#VALUE!</v>
      </c>
    </row>
    <row r="3367" spans="11:11" x14ac:dyDescent="0.25">
      <c r="K3367" s="8" t="e">
        <f t="shared" si="52"/>
        <v>#VALUE!</v>
      </c>
    </row>
    <row r="3368" spans="11:11" x14ac:dyDescent="0.25">
      <c r="K3368" s="8" t="e">
        <f t="shared" si="52"/>
        <v>#VALUE!</v>
      </c>
    </row>
    <row r="3369" spans="11:11" x14ac:dyDescent="0.25">
      <c r="K3369" s="8" t="e">
        <f t="shared" si="52"/>
        <v>#VALUE!</v>
      </c>
    </row>
    <row r="3370" spans="11:11" x14ac:dyDescent="0.25">
      <c r="K3370" s="8" t="e">
        <f t="shared" si="52"/>
        <v>#VALUE!</v>
      </c>
    </row>
    <row r="3371" spans="11:11" x14ac:dyDescent="0.25">
      <c r="K3371" s="8" t="e">
        <f t="shared" si="52"/>
        <v>#VALUE!</v>
      </c>
    </row>
    <row r="3372" spans="11:11" x14ac:dyDescent="0.25">
      <c r="K3372" s="8" t="e">
        <f t="shared" si="52"/>
        <v>#VALUE!</v>
      </c>
    </row>
    <row r="3373" spans="11:11" x14ac:dyDescent="0.25">
      <c r="K3373" s="8" t="e">
        <f t="shared" si="52"/>
        <v>#VALUE!</v>
      </c>
    </row>
    <row r="3374" spans="11:11" x14ac:dyDescent="0.25">
      <c r="K3374" s="8" t="e">
        <f t="shared" si="52"/>
        <v>#VALUE!</v>
      </c>
    </row>
    <row r="3375" spans="11:11" x14ac:dyDescent="0.25">
      <c r="K3375" s="8" t="e">
        <f t="shared" si="52"/>
        <v>#VALUE!</v>
      </c>
    </row>
    <row r="3376" spans="11:11" x14ac:dyDescent="0.25">
      <c r="K3376" s="8" t="e">
        <f t="shared" si="52"/>
        <v>#VALUE!</v>
      </c>
    </row>
    <row r="3377" spans="11:11" x14ac:dyDescent="0.25">
      <c r="K3377" s="8" t="e">
        <f t="shared" si="52"/>
        <v>#VALUE!</v>
      </c>
    </row>
    <row r="3378" spans="11:11" x14ac:dyDescent="0.25">
      <c r="K3378" s="8" t="e">
        <f t="shared" si="52"/>
        <v>#VALUE!</v>
      </c>
    </row>
    <row r="3379" spans="11:11" x14ac:dyDescent="0.25">
      <c r="K3379" s="8" t="e">
        <f t="shared" si="52"/>
        <v>#VALUE!</v>
      </c>
    </row>
    <row r="3380" spans="11:11" x14ac:dyDescent="0.25">
      <c r="K3380" s="8" t="e">
        <f t="shared" si="52"/>
        <v>#VALUE!</v>
      </c>
    </row>
    <row r="3381" spans="11:11" x14ac:dyDescent="0.25">
      <c r="K3381" s="8" t="e">
        <f t="shared" si="52"/>
        <v>#VALUE!</v>
      </c>
    </row>
    <row r="3382" spans="11:11" x14ac:dyDescent="0.25">
      <c r="K3382" s="8" t="e">
        <f t="shared" si="52"/>
        <v>#VALUE!</v>
      </c>
    </row>
    <row r="3383" spans="11:11" x14ac:dyDescent="0.25">
      <c r="K3383" s="8" t="e">
        <f t="shared" si="52"/>
        <v>#VALUE!</v>
      </c>
    </row>
    <row r="3384" spans="11:11" x14ac:dyDescent="0.25">
      <c r="K3384" s="8" t="e">
        <f t="shared" si="52"/>
        <v>#VALUE!</v>
      </c>
    </row>
    <row r="3385" spans="11:11" x14ac:dyDescent="0.25">
      <c r="K3385" s="8" t="e">
        <f t="shared" si="52"/>
        <v>#VALUE!</v>
      </c>
    </row>
    <row r="3386" spans="11:11" x14ac:dyDescent="0.25">
      <c r="K3386" s="8" t="e">
        <f t="shared" si="52"/>
        <v>#VALUE!</v>
      </c>
    </row>
    <row r="3387" spans="11:11" x14ac:dyDescent="0.25">
      <c r="K3387" s="8" t="e">
        <f t="shared" si="52"/>
        <v>#VALUE!</v>
      </c>
    </row>
    <row r="3388" spans="11:11" x14ac:dyDescent="0.25">
      <c r="K3388" s="8" t="e">
        <f t="shared" si="52"/>
        <v>#VALUE!</v>
      </c>
    </row>
    <row r="3389" spans="11:11" x14ac:dyDescent="0.25">
      <c r="K3389" s="8" t="e">
        <f t="shared" si="52"/>
        <v>#VALUE!</v>
      </c>
    </row>
    <row r="3390" spans="11:11" x14ac:dyDescent="0.25">
      <c r="K3390" s="8" t="e">
        <f t="shared" si="52"/>
        <v>#VALUE!</v>
      </c>
    </row>
    <row r="3391" spans="11:11" x14ac:dyDescent="0.25">
      <c r="K3391" s="8" t="e">
        <f t="shared" si="52"/>
        <v>#VALUE!</v>
      </c>
    </row>
    <row r="3392" spans="11:11" x14ac:dyDescent="0.25">
      <c r="K3392" s="8" t="e">
        <f t="shared" si="52"/>
        <v>#VALUE!</v>
      </c>
    </row>
    <row r="3393" spans="11:11" x14ac:dyDescent="0.25">
      <c r="K3393" s="8" t="e">
        <f t="shared" si="52"/>
        <v>#VALUE!</v>
      </c>
    </row>
    <row r="3394" spans="11:11" x14ac:dyDescent="0.25">
      <c r="K3394" s="8" t="e">
        <f t="shared" si="52"/>
        <v>#VALUE!</v>
      </c>
    </row>
    <row r="3395" spans="11:11" x14ac:dyDescent="0.25">
      <c r="K3395" s="8" t="e">
        <f t="shared" ref="K3395:K3458" si="53">LEFT(A3395,FIND("/",A3395)-1)</f>
        <v>#VALUE!</v>
      </c>
    </row>
    <row r="3396" spans="11:11" x14ac:dyDescent="0.25">
      <c r="K3396" s="8" t="e">
        <f t="shared" si="53"/>
        <v>#VALUE!</v>
      </c>
    </row>
    <row r="3397" spans="11:11" x14ac:dyDescent="0.25">
      <c r="K3397" s="8" t="e">
        <f t="shared" si="53"/>
        <v>#VALUE!</v>
      </c>
    </row>
    <row r="3398" spans="11:11" x14ac:dyDescent="0.25">
      <c r="K3398" s="8" t="e">
        <f t="shared" si="53"/>
        <v>#VALUE!</v>
      </c>
    </row>
    <row r="3399" spans="11:11" x14ac:dyDescent="0.25">
      <c r="K3399" s="8" t="e">
        <f t="shared" si="53"/>
        <v>#VALUE!</v>
      </c>
    </row>
    <row r="3400" spans="11:11" x14ac:dyDescent="0.25">
      <c r="K3400" s="8" t="e">
        <f t="shared" si="53"/>
        <v>#VALUE!</v>
      </c>
    </row>
    <row r="3401" spans="11:11" x14ac:dyDescent="0.25">
      <c r="K3401" s="8" t="e">
        <f t="shared" si="53"/>
        <v>#VALUE!</v>
      </c>
    </row>
    <row r="3402" spans="11:11" x14ac:dyDescent="0.25">
      <c r="K3402" s="8" t="e">
        <f t="shared" si="53"/>
        <v>#VALUE!</v>
      </c>
    </row>
    <row r="3403" spans="11:11" x14ac:dyDescent="0.25">
      <c r="K3403" s="8" t="e">
        <f t="shared" si="53"/>
        <v>#VALUE!</v>
      </c>
    </row>
    <row r="3404" spans="11:11" x14ac:dyDescent="0.25">
      <c r="K3404" s="8" t="e">
        <f t="shared" si="53"/>
        <v>#VALUE!</v>
      </c>
    </row>
    <row r="3405" spans="11:11" x14ac:dyDescent="0.25">
      <c r="K3405" s="8" t="e">
        <f t="shared" si="53"/>
        <v>#VALUE!</v>
      </c>
    </row>
    <row r="3406" spans="11:11" x14ac:dyDescent="0.25">
      <c r="K3406" s="8" t="e">
        <f t="shared" si="53"/>
        <v>#VALUE!</v>
      </c>
    </row>
    <row r="3407" spans="11:11" x14ac:dyDescent="0.25">
      <c r="K3407" s="8" t="e">
        <f t="shared" si="53"/>
        <v>#VALUE!</v>
      </c>
    </row>
    <row r="3408" spans="11:11" x14ac:dyDescent="0.25">
      <c r="K3408" s="8" t="e">
        <f t="shared" si="53"/>
        <v>#VALUE!</v>
      </c>
    </row>
    <row r="3409" spans="11:11" x14ac:dyDescent="0.25">
      <c r="K3409" s="8" t="e">
        <f t="shared" si="53"/>
        <v>#VALUE!</v>
      </c>
    </row>
    <row r="3410" spans="11:11" x14ac:dyDescent="0.25">
      <c r="K3410" s="8" t="e">
        <f t="shared" si="53"/>
        <v>#VALUE!</v>
      </c>
    </row>
    <row r="3411" spans="11:11" x14ac:dyDescent="0.25">
      <c r="K3411" s="8" t="e">
        <f t="shared" si="53"/>
        <v>#VALUE!</v>
      </c>
    </row>
    <row r="3412" spans="11:11" x14ac:dyDescent="0.25">
      <c r="K3412" s="8" t="e">
        <f t="shared" si="53"/>
        <v>#VALUE!</v>
      </c>
    </row>
    <row r="3413" spans="11:11" x14ac:dyDescent="0.25">
      <c r="K3413" s="8" t="e">
        <f t="shared" si="53"/>
        <v>#VALUE!</v>
      </c>
    </row>
    <row r="3414" spans="11:11" x14ac:dyDescent="0.25">
      <c r="K3414" s="8" t="e">
        <f t="shared" si="53"/>
        <v>#VALUE!</v>
      </c>
    </row>
    <row r="3415" spans="11:11" x14ac:dyDescent="0.25">
      <c r="K3415" s="8" t="e">
        <f t="shared" si="53"/>
        <v>#VALUE!</v>
      </c>
    </row>
    <row r="3416" spans="11:11" x14ac:dyDescent="0.25">
      <c r="K3416" s="8" t="e">
        <f t="shared" si="53"/>
        <v>#VALUE!</v>
      </c>
    </row>
    <row r="3417" spans="11:11" x14ac:dyDescent="0.25">
      <c r="K3417" s="8" t="e">
        <f t="shared" si="53"/>
        <v>#VALUE!</v>
      </c>
    </row>
    <row r="3418" spans="11:11" x14ac:dyDescent="0.25">
      <c r="K3418" s="8" t="e">
        <f t="shared" si="53"/>
        <v>#VALUE!</v>
      </c>
    </row>
    <row r="3419" spans="11:11" x14ac:dyDescent="0.25">
      <c r="K3419" s="8" t="e">
        <f t="shared" si="53"/>
        <v>#VALUE!</v>
      </c>
    </row>
    <row r="3420" spans="11:11" x14ac:dyDescent="0.25">
      <c r="K3420" s="8" t="e">
        <f t="shared" si="53"/>
        <v>#VALUE!</v>
      </c>
    </row>
    <row r="3421" spans="11:11" x14ac:dyDescent="0.25">
      <c r="K3421" s="8" t="e">
        <f t="shared" si="53"/>
        <v>#VALUE!</v>
      </c>
    </row>
    <row r="3422" spans="11:11" x14ac:dyDescent="0.25">
      <c r="K3422" s="8" t="e">
        <f t="shared" si="53"/>
        <v>#VALUE!</v>
      </c>
    </row>
    <row r="3423" spans="11:11" x14ac:dyDescent="0.25">
      <c r="K3423" s="8" t="e">
        <f t="shared" si="53"/>
        <v>#VALUE!</v>
      </c>
    </row>
    <row r="3424" spans="11:11" x14ac:dyDescent="0.25">
      <c r="K3424" s="8" t="e">
        <f t="shared" si="53"/>
        <v>#VALUE!</v>
      </c>
    </row>
    <row r="3425" spans="11:11" x14ac:dyDescent="0.25">
      <c r="K3425" s="8" t="e">
        <f t="shared" si="53"/>
        <v>#VALUE!</v>
      </c>
    </row>
    <row r="3426" spans="11:11" x14ac:dyDescent="0.25">
      <c r="K3426" s="8" t="e">
        <f t="shared" si="53"/>
        <v>#VALUE!</v>
      </c>
    </row>
    <row r="3427" spans="11:11" x14ac:dyDescent="0.25">
      <c r="K3427" s="8" t="e">
        <f t="shared" si="53"/>
        <v>#VALUE!</v>
      </c>
    </row>
    <row r="3428" spans="11:11" x14ac:dyDescent="0.25">
      <c r="K3428" s="8" t="e">
        <f t="shared" si="53"/>
        <v>#VALUE!</v>
      </c>
    </row>
    <row r="3429" spans="11:11" x14ac:dyDescent="0.25">
      <c r="K3429" s="8" t="e">
        <f t="shared" si="53"/>
        <v>#VALUE!</v>
      </c>
    </row>
    <row r="3430" spans="11:11" x14ac:dyDescent="0.25">
      <c r="K3430" s="8" t="e">
        <f t="shared" si="53"/>
        <v>#VALUE!</v>
      </c>
    </row>
    <row r="3431" spans="11:11" x14ac:dyDescent="0.25">
      <c r="K3431" s="8" t="e">
        <f t="shared" si="53"/>
        <v>#VALUE!</v>
      </c>
    </row>
    <row r="3432" spans="11:11" x14ac:dyDescent="0.25">
      <c r="K3432" s="8" t="e">
        <f t="shared" si="53"/>
        <v>#VALUE!</v>
      </c>
    </row>
    <row r="3433" spans="11:11" x14ac:dyDescent="0.25">
      <c r="K3433" s="8" t="e">
        <f t="shared" si="53"/>
        <v>#VALUE!</v>
      </c>
    </row>
    <row r="3434" spans="11:11" x14ac:dyDescent="0.25">
      <c r="K3434" s="8" t="e">
        <f t="shared" si="53"/>
        <v>#VALUE!</v>
      </c>
    </row>
    <row r="3435" spans="11:11" x14ac:dyDescent="0.25">
      <c r="K3435" s="8" t="e">
        <f t="shared" si="53"/>
        <v>#VALUE!</v>
      </c>
    </row>
    <row r="3436" spans="11:11" x14ac:dyDescent="0.25">
      <c r="K3436" s="8" t="e">
        <f t="shared" si="53"/>
        <v>#VALUE!</v>
      </c>
    </row>
    <row r="3437" spans="11:11" x14ac:dyDescent="0.25">
      <c r="K3437" s="8" t="e">
        <f t="shared" si="53"/>
        <v>#VALUE!</v>
      </c>
    </row>
    <row r="3438" spans="11:11" x14ac:dyDescent="0.25">
      <c r="K3438" s="8" t="e">
        <f t="shared" si="53"/>
        <v>#VALUE!</v>
      </c>
    </row>
    <row r="3439" spans="11:11" x14ac:dyDescent="0.25">
      <c r="K3439" s="8" t="e">
        <f t="shared" si="53"/>
        <v>#VALUE!</v>
      </c>
    </row>
    <row r="3440" spans="11:11" x14ac:dyDescent="0.25">
      <c r="K3440" s="8" t="e">
        <f t="shared" si="53"/>
        <v>#VALUE!</v>
      </c>
    </row>
    <row r="3441" spans="11:11" x14ac:dyDescent="0.25">
      <c r="K3441" s="8" t="e">
        <f t="shared" si="53"/>
        <v>#VALUE!</v>
      </c>
    </row>
    <row r="3442" spans="11:11" x14ac:dyDescent="0.25">
      <c r="K3442" s="8" t="e">
        <f t="shared" si="53"/>
        <v>#VALUE!</v>
      </c>
    </row>
    <row r="3443" spans="11:11" x14ac:dyDescent="0.25">
      <c r="K3443" s="8" t="e">
        <f t="shared" si="53"/>
        <v>#VALUE!</v>
      </c>
    </row>
    <row r="3444" spans="11:11" x14ac:dyDescent="0.25">
      <c r="K3444" s="8" t="e">
        <f t="shared" si="53"/>
        <v>#VALUE!</v>
      </c>
    </row>
    <row r="3445" spans="11:11" x14ac:dyDescent="0.25">
      <c r="K3445" s="8" t="e">
        <f t="shared" si="53"/>
        <v>#VALUE!</v>
      </c>
    </row>
    <row r="3446" spans="11:11" x14ac:dyDescent="0.25">
      <c r="K3446" s="8" t="e">
        <f t="shared" si="53"/>
        <v>#VALUE!</v>
      </c>
    </row>
    <row r="3447" spans="11:11" x14ac:dyDescent="0.25">
      <c r="K3447" s="8" t="e">
        <f t="shared" si="53"/>
        <v>#VALUE!</v>
      </c>
    </row>
    <row r="3448" spans="11:11" x14ac:dyDescent="0.25">
      <c r="K3448" s="8" t="e">
        <f t="shared" si="53"/>
        <v>#VALUE!</v>
      </c>
    </row>
    <row r="3449" spans="11:11" x14ac:dyDescent="0.25">
      <c r="K3449" s="8" t="e">
        <f t="shared" si="53"/>
        <v>#VALUE!</v>
      </c>
    </row>
    <row r="3450" spans="11:11" x14ac:dyDescent="0.25">
      <c r="K3450" s="8" t="e">
        <f t="shared" si="53"/>
        <v>#VALUE!</v>
      </c>
    </row>
    <row r="3451" spans="11:11" x14ac:dyDescent="0.25">
      <c r="K3451" s="8" t="e">
        <f t="shared" si="53"/>
        <v>#VALUE!</v>
      </c>
    </row>
    <row r="3452" spans="11:11" x14ac:dyDescent="0.25">
      <c r="K3452" s="8" t="e">
        <f t="shared" si="53"/>
        <v>#VALUE!</v>
      </c>
    </row>
    <row r="3453" spans="11:11" x14ac:dyDescent="0.25">
      <c r="K3453" s="8" t="e">
        <f t="shared" si="53"/>
        <v>#VALUE!</v>
      </c>
    </row>
    <row r="3454" spans="11:11" x14ac:dyDescent="0.25">
      <c r="K3454" s="8" t="e">
        <f t="shared" si="53"/>
        <v>#VALUE!</v>
      </c>
    </row>
    <row r="3455" spans="11:11" x14ac:dyDescent="0.25">
      <c r="K3455" s="8" t="e">
        <f t="shared" si="53"/>
        <v>#VALUE!</v>
      </c>
    </row>
    <row r="3456" spans="11:11" x14ac:dyDescent="0.25">
      <c r="K3456" s="8" t="e">
        <f t="shared" si="53"/>
        <v>#VALUE!</v>
      </c>
    </row>
    <row r="3457" spans="11:11" x14ac:dyDescent="0.25">
      <c r="K3457" s="8" t="e">
        <f t="shared" si="53"/>
        <v>#VALUE!</v>
      </c>
    </row>
    <row r="3458" spans="11:11" x14ac:dyDescent="0.25">
      <c r="K3458" s="8" t="e">
        <f t="shared" si="53"/>
        <v>#VALUE!</v>
      </c>
    </row>
    <row r="3459" spans="11:11" x14ac:dyDescent="0.25">
      <c r="K3459" s="8" t="e">
        <f t="shared" ref="K3459:K3522" si="54">LEFT(A3459,FIND("/",A3459)-1)</f>
        <v>#VALUE!</v>
      </c>
    </row>
    <row r="3460" spans="11:11" x14ac:dyDescent="0.25">
      <c r="K3460" s="8" t="e">
        <f t="shared" si="54"/>
        <v>#VALUE!</v>
      </c>
    </row>
    <row r="3461" spans="11:11" x14ac:dyDescent="0.25">
      <c r="K3461" s="8" t="e">
        <f t="shared" si="54"/>
        <v>#VALUE!</v>
      </c>
    </row>
    <row r="3462" spans="11:11" x14ac:dyDescent="0.25">
      <c r="K3462" s="8" t="e">
        <f t="shared" si="54"/>
        <v>#VALUE!</v>
      </c>
    </row>
    <row r="3463" spans="11:11" x14ac:dyDescent="0.25">
      <c r="K3463" s="8" t="e">
        <f t="shared" si="54"/>
        <v>#VALUE!</v>
      </c>
    </row>
    <row r="3464" spans="11:11" x14ac:dyDescent="0.25">
      <c r="K3464" s="8" t="e">
        <f t="shared" si="54"/>
        <v>#VALUE!</v>
      </c>
    </row>
    <row r="3465" spans="11:11" x14ac:dyDescent="0.25">
      <c r="K3465" s="8" t="e">
        <f t="shared" si="54"/>
        <v>#VALUE!</v>
      </c>
    </row>
    <row r="3466" spans="11:11" x14ac:dyDescent="0.25">
      <c r="K3466" s="8" t="e">
        <f t="shared" si="54"/>
        <v>#VALUE!</v>
      </c>
    </row>
    <row r="3467" spans="11:11" x14ac:dyDescent="0.25">
      <c r="K3467" s="8" t="e">
        <f t="shared" si="54"/>
        <v>#VALUE!</v>
      </c>
    </row>
    <row r="3468" spans="11:11" x14ac:dyDescent="0.25">
      <c r="K3468" s="8" t="e">
        <f t="shared" si="54"/>
        <v>#VALUE!</v>
      </c>
    </row>
    <row r="3469" spans="11:11" x14ac:dyDescent="0.25">
      <c r="K3469" s="8" t="e">
        <f t="shared" si="54"/>
        <v>#VALUE!</v>
      </c>
    </row>
    <row r="3470" spans="11:11" x14ac:dyDescent="0.25">
      <c r="K3470" s="8" t="e">
        <f t="shared" si="54"/>
        <v>#VALUE!</v>
      </c>
    </row>
    <row r="3471" spans="11:11" x14ac:dyDescent="0.25">
      <c r="K3471" s="8" t="e">
        <f t="shared" si="54"/>
        <v>#VALUE!</v>
      </c>
    </row>
    <row r="3472" spans="11:11" x14ac:dyDescent="0.25">
      <c r="K3472" s="8" t="e">
        <f t="shared" si="54"/>
        <v>#VALUE!</v>
      </c>
    </row>
    <row r="3473" spans="11:11" x14ac:dyDescent="0.25">
      <c r="K3473" s="8" t="e">
        <f t="shared" si="54"/>
        <v>#VALUE!</v>
      </c>
    </row>
    <row r="3474" spans="11:11" x14ac:dyDescent="0.25">
      <c r="K3474" s="8" t="e">
        <f t="shared" si="54"/>
        <v>#VALUE!</v>
      </c>
    </row>
    <row r="3475" spans="11:11" x14ac:dyDescent="0.25">
      <c r="K3475" s="8" t="e">
        <f t="shared" si="54"/>
        <v>#VALUE!</v>
      </c>
    </row>
    <row r="3476" spans="11:11" x14ac:dyDescent="0.25">
      <c r="K3476" s="8" t="e">
        <f t="shared" si="54"/>
        <v>#VALUE!</v>
      </c>
    </row>
    <row r="3477" spans="11:11" x14ac:dyDescent="0.25">
      <c r="K3477" s="8" t="e">
        <f t="shared" si="54"/>
        <v>#VALUE!</v>
      </c>
    </row>
    <row r="3478" spans="11:11" x14ac:dyDescent="0.25">
      <c r="K3478" s="8" t="e">
        <f t="shared" si="54"/>
        <v>#VALUE!</v>
      </c>
    </row>
    <row r="3479" spans="11:11" x14ac:dyDescent="0.25">
      <c r="K3479" s="8" t="e">
        <f t="shared" si="54"/>
        <v>#VALUE!</v>
      </c>
    </row>
    <row r="3480" spans="11:11" x14ac:dyDescent="0.25">
      <c r="K3480" s="8" t="e">
        <f t="shared" si="54"/>
        <v>#VALUE!</v>
      </c>
    </row>
    <row r="3481" spans="11:11" x14ac:dyDescent="0.25">
      <c r="K3481" s="8" t="e">
        <f t="shared" si="54"/>
        <v>#VALUE!</v>
      </c>
    </row>
    <row r="3482" spans="11:11" x14ac:dyDescent="0.25">
      <c r="K3482" s="8" t="e">
        <f t="shared" si="54"/>
        <v>#VALUE!</v>
      </c>
    </row>
    <row r="3483" spans="11:11" x14ac:dyDescent="0.25">
      <c r="K3483" s="8" t="e">
        <f t="shared" si="54"/>
        <v>#VALUE!</v>
      </c>
    </row>
    <row r="3484" spans="11:11" x14ac:dyDescent="0.25">
      <c r="K3484" s="8" t="e">
        <f t="shared" si="54"/>
        <v>#VALUE!</v>
      </c>
    </row>
    <row r="3485" spans="11:11" x14ac:dyDescent="0.25">
      <c r="K3485" s="8" t="e">
        <f t="shared" si="54"/>
        <v>#VALUE!</v>
      </c>
    </row>
    <row r="3486" spans="11:11" x14ac:dyDescent="0.25">
      <c r="K3486" s="8" t="e">
        <f t="shared" si="54"/>
        <v>#VALUE!</v>
      </c>
    </row>
    <row r="3487" spans="11:11" x14ac:dyDescent="0.25">
      <c r="K3487" s="8" t="e">
        <f t="shared" si="54"/>
        <v>#VALUE!</v>
      </c>
    </row>
    <row r="3488" spans="11:11" x14ac:dyDescent="0.25">
      <c r="K3488" s="8" t="e">
        <f t="shared" si="54"/>
        <v>#VALUE!</v>
      </c>
    </row>
    <row r="3489" spans="11:11" x14ac:dyDescent="0.25">
      <c r="K3489" s="8" t="e">
        <f t="shared" si="54"/>
        <v>#VALUE!</v>
      </c>
    </row>
    <row r="3490" spans="11:11" x14ac:dyDescent="0.25">
      <c r="K3490" s="8" t="e">
        <f t="shared" si="54"/>
        <v>#VALUE!</v>
      </c>
    </row>
    <row r="3491" spans="11:11" x14ac:dyDescent="0.25">
      <c r="K3491" s="8" t="e">
        <f t="shared" si="54"/>
        <v>#VALUE!</v>
      </c>
    </row>
    <row r="3492" spans="11:11" x14ac:dyDescent="0.25">
      <c r="K3492" s="8" t="e">
        <f t="shared" si="54"/>
        <v>#VALUE!</v>
      </c>
    </row>
    <row r="3493" spans="11:11" x14ac:dyDescent="0.25">
      <c r="K3493" s="8" t="e">
        <f t="shared" si="54"/>
        <v>#VALUE!</v>
      </c>
    </row>
    <row r="3494" spans="11:11" x14ac:dyDescent="0.25">
      <c r="K3494" s="8" t="e">
        <f t="shared" si="54"/>
        <v>#VALUE!</v>
      </c>
    </row>
    <row r="3495" spans="11:11" x14ac:dyDescent="0.25">
      <c r="K3495" s="8" t="e">
        <f t="shared" si="54"/>
        <v>#VALUE!</v>
      </c>
    </row>
    <row r="3496" spans="11:11" x14ac:dyDescent="0.25">
      <c r="K3496" s="8" t="e">
        <f t="shared" si="54"/>
        <v>#VALUE!</v>
      </c>
    </row>
    <row r="3497" spans="11:11" x14ac:dyDescent="0.25">
      <c r="K3497" s="8" t="e">
        <f t="shared" si="54"/>
        <v>#VALUE!</v>
      </c>
    </row>
    <row r="3498" spans="11:11" x14ac:dyDescent="0.25">
      <c r="K3498" s="8" t="e">
        <f t="shared" si="54"/>
        <v>#VALUE!</v>
      </c>
    </row>
    <row r="3499" spans="11:11" x14ac:dyDescent="0.25">
      <c r="K3499" s="8" t="e">
        <f t="shared" si="54"/>
        <v>#VALUE!</v>
      </c>
    </row>
    <row r="3500" spans="11:11" x14ac:dyDescent="0.25">
      <c r="K3500" s="8" t="e">
        <f t="shared" si="54"/>
        <v>#VALUE!</v>
      </c>
    </row>
    <row r="3501" spans="11:11" x14ac:dyDescent="0.25">
      <c r="K3501" s="8" t="e">
        <f t="shared" si="54"/>
        <v>#VALUE!</v>
      </c>
    </row>
    <row r="3502" spans="11:11" x14ac:dyDescent="0.25">
      <c r="K3502" s="8" t="e">
        <f t="shared" si="54"/>
        <v>#VALUE!</v>
      </c>
    </row>
    <row r="3503" spans="11:11" x14ac:dyDescent="0.25">
      <c r="K3503" s="8" t="e">
        <f t="shared" si="54"/>
        <v>#VALUE!</v>
      </c>
    </row>
    <row r="3504" spans="11:11" x14ac:dyDescent="0.25">
      <c r="K3504" s="8" t="e">
        <f t="shared" si="54"/>
        <v>#VALUE!</v>
      </c>
    </row>
    <row r="3505" spans="11:11" x14ac:dyDescent="0.25">
      <c r="K3505" s="8" t="e">
        <f t="shared" si="54"/>
        <v>#VALUE!</v>
      </c>
    </row>
    <row r="3506" spans="11:11" x14ac:dyDescent="0.25">
      <c r="K3506" s="8" t="e">
        <f t="shared" si="54"/>
        <v>#VALUE!</v>
      </c>
    </row>
    <row r="3507" spans="11:11" x14ac:dyDescent="0.25">
      <c r="K3507" s="8" t="e">
        <f t="shared" si="54"/>
        <v>#VALUE!</v>
      </c>
    </row>
    <row r="3508" spans="11:11" x14ac:dyDescent="0.25">
      <c r="K3508" s="8" t="e">
        <f t="shared" si="54"/>
        <v>#VALUE!</v>
      </c>
    </row>
    <row r="3509" spans="11:11" x14ac:dyDescent="0.25">
      <c r="K3509" s="8" t="e">
        <f t="shared" si="54"/>
        <v>#VALUE!</v>
      </c>
    </row>
    <row r="3510" spans="11:11" x14ac:dyDescent="0.25">
      <c r="K3510" s="8" t="e">
        <f t="shared" si="54"/>
        <v>#VALUE!</v>
      </c>
    </row>
    <row r="3511" spans="11:11" x14ac:dyDescent="0.25">
      <c r="K3511" s="8" t="e">
        <f t="shared" si="54"/>
        <v>#VALUE!</v>
      </c>
    </row>
    <row r="3512" spans="11:11" x14ac:dyDescent="0.25">
      <c r="K3512" s="8" t="e">
        <f t="shared" si="54"/>
        <v>#VALUE!</v>
      </c>
    </row>
    <row r="3513" spans="11:11" x14ac:dyDescent="0.25">
      <c r="K3513" s="8" t="e">
        <f t="shared" si="54"/>
        <v>#VALUE!</v>
      </c>
    </row>
    <row r="3514" spans="11:11" x14ac:dyDescent="0.25">
      <c r="K3514" s="8" t="e">
        <f t="shared" si="54"/>
        <v>#VALUE!</v>
      </c>
    </row>
    <row r="3515" spans="11:11" x14ac:dyDescent="0.25">
      <c r="K3515" s="8" t="e">
        <f t="shared" si="54"/>
        <v>#VALUE!</v>
      </c>
    </row>
    <row r="3516" spans="11:11" x14ac:dyDescent="0.25">
      <c r="K3516" s="8" t="e">
        <f t="shared" si="54"/>
        <v>#VALUE!</v>
      </c>
    </row>
    <row r="3517" spans="11:11" x14ac:dyDescent="0.25">
      <c r="K3517" s="8" t="e">
        <f t="shared" si="54"/>
        <v>#VALUE!</v>
      </c>
    </row>
    <row r="3518" spans="11:11" x14ac:dyDescent="0.25">
      <c r="K3518" s="8" t="e">
        <f t="shared" si="54"/>
        <v>#VALUE!</v>
      </c>
    </row>
    <row r="3519" spans="11:11" x14ac:dyDescent="0.25">
      <c r="K3519" s="8" t="e">
        <f t="shared" si="54"/>
        <v>#VALUE!</v>
      </c>
    </row>
    <row r="3520" spans="11:11" x14ac:dyDescent="0.25">
      <c r="K3520" s="8" t="e">
        <f t="shared" si="54"/>
        <v>#VALUE!</v>
      </c>
    </row>
    <row r="3521" spans="11:11" x14ac:dyDescent="0.25">
      <c r="K3521" s="8" t="e">
        <f t="shared" si="54"/>
        <v>#VALUE!</v>
      </c>
    </row>
    <row r="3522" spans="11:11" x14ac:dyDescent="0.25">
      <c r="K3522" s="8" t="e">
        <f t="shared" si="54"/>
        <v>#VALUE!</v>
      </c>
    </row>
    <row r="3523" spans="11:11" x14ac:dyDescent="0.25">
      <c r="K3523" s="8" t="e">
        <f t="shared" ref="K3523:K3586" si="55">LEFT(A3523,FIND("/",A3523)-1)</f>
        <v>#VALUE!</v>
      </c>
    </row>
    <row r="3524" spans="11:11" x14ac:dyDescent="0.25">
      <c r="K3524" s="8" t="e">
        <f t="shared" si="55"/>
        <v>#VALUE!</v>
      </c>
    </row>
    <row r="3525" spans="11:11" x14ac:dyDescent="0.25">
      <c r="K3525" s="8" t="e">
        <f t="shared" si="55"/>
        <v>#VALUE!</v>
      </c>
    </row>
    <row r="3526" spans="11:11" x14ac:dyDescent="0.25">
      <c r="K3526" s="8" t="e">
        <f t="shared" si="55"/>
        <v>#VALUE!</v>
      </c>
    </row>
    <row r="3527" spans="11:11" x14ac:dyDescent="0.25">
      <c r="K3527" s="8" t="e">
        <f t="shared" si="55"/>
        <v>#VALUE!</v>
      </c>
    </row>
    <row r="3528" spans="11:11" x14ac:dyDescent="0.25">
      <c r="K3528" s="8" t="e">
        <f t="shared" si="55"/>
        <v>#VALUE!</v>
      </c>
    </row>
    <row r="3529" spans="11:11" x14ac:dyDescent="0.25">
      <c r="K3529" s="8" t="e">
        <f t="shared" si="55"/>
        <v>#VALUE!</v>
      </c>
    </row>
    <row r="3530" spans="11:11" x14ac:dyDescent="0.25">
      <c r="K3530" s="8" t="e">
        <f t="shared" si="55"/>
        <v>#VALUE!</v>
      </c>
    </row>
    <row r="3531" spans="11:11" x14ac:dyDescent="0.25">
      <c r="K3531" s="8" t="e">
        <f t="shared" si="55"/>
        <v>#VALUE!</v>
      </c>
    </row>
    <row r="3532" spans="11:11" x14ac:dyDescent="0.25">
      <c r="K3532" s="8" t="e">
        <f t="shared" si="55"/>
        <v>#VALUE!</v>
      </c>
    </row>
    <row r="3533" spans="11:11" x14ac:dyDescent="0.25">
      <c r="K3533" s="8" t="e">
        <f t="shared" si="55"/>
        <v>#VALUE!</v>
      </c>
    </row>
    <row r="3534" spans="11:11" x14ac:dyDescent="0.25">
      <c r="K3534" s="8" t="e">
        <f t="shared" si="55"/>
        <v>#VALUE!</v>
      </c>
    </row>
    <row r="3535" spans="11:11" x14ac:dyDescent="0.25">
      <c r="K3535" s="8" t="e">
        <f t="shared" si="55"/>
        <v>#VALUE!</v>
      </c>
    </row>
    <row r="3536" spans="11:11" x14ac:dyDescent="0.25">
      <c r="K3536" s="8" t="e">
        <f t="shared" si="55"/>
        <v>#VALUE!</v>
      </c>
    </row>
    <row r="3537" spans="11:11" x14ac:dyDescent="0.25">
      <c r="K3537" s="8" t="e">
        <f t="shared" si="55"/>
        <v>#VALUE!</v>
      </c>
    </row>
    <row r="3538" spans="11:11" x14ac:dyDescent="0.25">
      <c r="K3538" s="8" t="e">
        <f t="shared" si="55"/>
        <v>#VALUE!</v>
      </c>
    </row>
    <row r="3539" spans="11:11" x14ac:dyDescent="0.25">
      <c r="K3539" s="8" t="e">
        <f t="shared" si="55"/>
        <v>#VALUE!</v>
      </c>
    </row>
    <row r="3540" spans="11:11" x14ac:dyDescent="0.25">
      <c r="K3540" s="8" t="e">
        <f t="shared" si="55"/>
        <v>#VALUE!</v>
      </c>
    </row>
    <row r="3541" spans="11:11" x14ac:dyDescent="0.25">
      <c r="K3541" s="8" t="e">
        <f t="shared" si="55"/>
        <v>#VALUE!</v>
      </c>
    </row>
    <row r="3542" spans="11:11" x14ac:dyDescent="0.25">
      <c r="K3542" s="8" t="e">
        <f t="shared" si="55"/>
        <v>#VALUE!</v>
      </c>
    </row>
    <row r="3543" spans="11:11" x14ac:dyDescent="0.25">
      <c r="K3543" s="8" t="e">
        <f t="shared" si="55"/>
        <v>#VALUE!</v>
      </c>
    </row>
    <row r="3544" spans="11:11" x14ac:dyDescent="0.25">
      <c r="K3544" s="8" t="e">
        <f t="shared" si="55"/>
        <v>#VALUE!</v>
      </c>
    </row>
    <row r="3545" spans="11:11" x14ac:dyDescent="0.25">
      <c r="K3545" s="8" t="e">
        <f t="shared" si="55"/>
        <v>#VALUE!</v>
      </c>
    </row>
    <row r="3546" spans="11:11" x14ac:dyDescent="0.25">
      <c r="K3546" s="8" t="e">
        <f t="shared" si="55"/>
        <v>#VALUE!</v>
      </c>
    </row>
    <row r="3547" spans="11:11" x14ac:dyDescent="0.25">
      <c r="K3547" s="8" t="e">
        <f t="shared" si="55"/>
        <v>#VALUE!</v>
      </c>
    </row>
    <row r="3548" spans="11:11" x14ac:dyDescent="0.25">
      <c r="K3548" s="8" t="e">
        <f t="shared" si="55"/>
        <v>#VALUE!</v>
      </c>
    </row>
    <row r="3549" spans="11:11" x14ac:dyDescent="0.25">
      <c r="K3549" s="8" t="e">
        <f t="shared" si="55"/>
        <v>#VALUE!</v>
      </c>
    </row>
    <row r="3550" spans="11:11" x14ac:dyDescent="0.25">
      <c r="K3550" s="8" t="e">
        <f t="shared" si="55"/>
        <v>#VALUE!</v>
      </c>
    </row>
    <row r="3551" spans="11:11" x14ac:dyDescent="0.25">
      <c r="K3551" s="8" t="e">
        <f t="shared" si="55"/>
        <v>#VALUE!</v>
      </c>
    </row>
    <row r="3552" spans="11:11" x14ac:dyDescent="0.25">
      <c r="K3552" s="8" t="e">
        <f t="shared" si="55"/>
        <v>#VALUE!</v>
      </c>
    </row>
    <row r="3553" spans="11:11" x14ac:dyDescent="0.25">
      <c r="K3553" s="8" t="e">
        <f t="shared" si="55"/>
        <v>#VALUE!</v>
      </c>
    </row>
    <row r="3554" spans="11:11" x14ac:dyDescent="0.25">
      <c r="K3554" s="8" t="e">
        <f t="shared" si="55"/>
        <v>#VALUE!</v>
      </c>
    </row>
    <row r="3555" spans="11:11" x14ac:dyDescent="0.25">
      <c r="K3555" s="8" t="e">
        <f t="shared" si="55"/>
        <v>#VALUE!</v>
      </c>
    </row>
    <row r="3556" spans="11:11" x14ac:dyDescent="0.25">
      <c r="K3556" s="8" t="e">
        <f t="shared" si="55"/>
        <v>#VALUE!</v>
      </c>
    </row>
    <row r="3557" spans="11:11" x14ac:dyDescent="0.25">
      <c r="K3557" s="8" t="e">
        <f t="shared" si="55"/>
        <v>#VALUE!</v>
      </c>
    </row>
    <row r="3558" spans="11:11" x14ac:dyDescent="0.25">
      <c r="K3558" s="8" t="e">
        <f t="shared" si="55"/>
        <v>#VALUE!</v>
      </c>
    </row>
    <row r="3559" spans="11:11" x14ac:dyDescent="0.25">
      <c r="K3559" s="8" t="e">
        <f t="shared" si="55"/>
        <v>#VALUE!</v>
      </c>
    </row>
    <row r="3560" spans="11:11" x14ac:dyDescent="0.25">
      <c r="K3560" s="8" t="e">
        <f t="shared" si="55"/>
        <v>#VALUE!</v>
      </c>
    </row>
    <row r="3561" spans="11:11" x14ac:dyDescent="0.25">
      <c r="K3561" s="8" t="e">
        <f t="shared" si="55"/>
        <v>#VALUE!</v>
      </c>
    </row>
    <row r="3562" spans="11:11" x14ac:dyDescent="0.25">
      <c r="K3562" s="8" t="e">
        <f t="shared" si="55"/>
        <v>#VALUE!</v>
      </c>
    </row>
    <row r="3563" spans="11:11" x14ac:dyDescent="0.25">
      <c r="K3563" s="8" t="e">
        <f t="shared" si="55"/>
        <v>#VALUE!</v>
      </c>
    </row>
    <row r="3564" spans="11:11" x14ac:dyDescent="0.25">
      <c r="K3564" s="8" t="e">
        <f t="shared" si="55"/>
        <v>#VALUE!</v>
      </c>
    </row>
    <row r="3565" spans="11:11" x14ac:dyDescent="0.25">
      <c r="K3565" s="8" t="e">
        <f t="shared" si="55"/>
        <v>#VALUE!</v>
      </c>
    </row>
    <row r="3566" spans="11:11" x14ac:dyDescent="0.25">
      <c r="K3566" s="8" t="e">
        <f t="shared" si="55"/>
        <v>#VALUE!</v>
      </c>
    </row>
    <row r="3567" spans="11:11" x14ac:dyDescent="0.25">
      <c r="K3567" s="8" t="e">
        <f t="shared" si="55"/>
        <v>#VALUE!</v>
      </c>
    </row>
    <row r="3568" spans="11:11" x14ac:dyDescent="0.25">
      <c r="K3568" s="8" t="e">
        <f t="shared" si="55"/>
        <v>#VALUE!</v>
      </c>
    </row>
    <row r="3569" spans="11:11" x14ac:dyDescent="0.25">
      <c r="K3569" s="8" t="e">
        <f t="shared" si="55"/>
        <v>#VALUE!</v>
      </c>
    </row>
    <row r="3570" spans="11:11" x14ac:dyDescent="0.25">
      <c r="K3570" s="8" t="e">
        <f t="shared" si="55"/>
        <v>#VALUE!</v>
      </c>
    </row>
    <row r="3571" spans="11:11" x14ac:dyDescent="0.25">
      <c r="K3571" s="8" t="e">
        <f t="shared" si="55"/>
        <v>#VALUE!</v>
      </c>
    </row>
    <row r="3572" spans="11:11" x14ac:dyDescent="0.25">
      <c r="K3572" s="8" t="e">
        <f t="shared" si="55"/>
        <v>#VALUE!</v>
      </c>
    </row>
    <row r="3573" spans="11:11" x14ac:dyDescent="0.25">
      <c r="K3573" s="8" t="e">
        <f t="shared" si="55"/>
        <v>#VALUE!</v>
      </c>
    </row>
    <row r="3574" spans="11:11" x14ac:dyDescent="0.25">
      <c r="K3574" s="8" t="e">
        <f t="shared" si="55"/>
        <v>#VALUE!</v>
      </c>
    </row>
    <row r="3575" spans="11:11" x14ac:dyDescent="0.25">
      <c r="K3575" s="8" t="e">
        <f t="shared" si="55"/>
        <v>#VALUE!</v>
      </c>
    </row>
    <row r="3576" spans="11:11" x14ac:dyDescent="0.25">
      <c r="K3576" s="8" t="e">
        <f t="shared" si="55"/>
        <v>#VALUE!</v>
      </c>
    </row>
    <row r="3577" spans="11:11" x14ac:dyDescent="0.25">
      <c r="K3577" s="8" t="e">
        <f t="shared" si="55"/>
        <v>#VALUE!</v>
      </c>
    </row>
    <row r="3578" spans="11:11" x14ac:dyDescent="0.25">
      <c r="K3578" s="8" t="e">
        <f t="shared" si="55"/>
        <v>#VALUE!</v>
      </c>
    </row>
    <row r="3579" spans="11:11" x14ac:dyDescent="0.25">
      <c r="K3579" s="8" t="e">
        <f t="shared" si="55"/>
        <v>#VALUE!</v>
      </c>
    </row>
    <row r="3580" spans="11:11" x14ac:dyDescent="0.25">
      <c r="K3580" s="8" t="e">
        <f t="shared" si="55"/>
        <v>#VALUE!</v>
      </c>
    </row>
    <row r="3581" spans="11:11" x14ac:dyDescent="0.25">
      <c r="K3581" s="8" t="e">
        <f t="shared" si="55"/>
        <v>#VALUE!</v>
      </c>
    </row>
    <row r="3582" spans="11:11" x14ac:dyDescent="0.25">
      <c r="K3582" s="8" t="e">
        <f t="shared" si="55"/>
        <v>#VALUE!</v>
      </c>
    </row>
    <row r="3583" spans="11:11" x14ac:dyDescent="0.25">
      <c r="K3583" s="8" t="e">
        <f t="shared" si="55"/>
        <v>#VALUE!</v>
      </c>
    </row>
    <row r="3584" spans="11:11" x14ac:dyDescent="0.25">
      <c r="K3584" s="8" t="e">
        <f t="shared" si="55"/>
        <v>#VALUE!</v>
      </c>
    </row>
    <row r="3585" spans="11:11" x14ac:dyDescent="0.25">
      <c r="K3585" s="8" t="e">
        <f t="shared" si="55"/>
        <v>#VALUE!</v>
      </c>
    </row>
    <row r="3586" spans="11:11" x14ac:dyDescent="0.25">
      <c r="K3586" s="8" t="e">
        <f t="shared" si="55"/>
        <v>#VALUE!</v>
      </c>
    </row>
    <row r="3587" spans="11:11" x14ac:dyDescent="0.25">
      <c r="K3587" s="8" t="e">
        <f t="shared" ref="K3587:K3650" si="56">LEFT(A3587,FIND("/",A3587)-1)</f>
        <v>#VALUE!</v>
      </c>
    </row>
    <row r="3588" spans="11:11" x14ac:dyDescent="0.25">
      <c r="K3588" s="8" t="e">
        <f t="shared" si="56"/>
        <v>#VALUE!</v>
      </c>
    </row>
    <row r="3589" spans="11:11" x14ac:dyDescent="0.25">
      <c r="K3589" s="8" t="e">
        <f t="shared" si="56"/>
        <v>#VALUE!</v>
      </c>
    </row>
    <row r="3590" spans="11:11" x14ac:dyDescent="0.25">
      <c r="K3590" s="8" t="e">
        <f t="shared" si="56"/>
        <v>#VALUE!</v>
      </c>
    </row>
    <row r="3591" spans="11:11" x14ac:dyDescent="0.25">
      <c r="K3591" s="8" t="e">
        <f t="shared" si="56"/>
        <v>#VALUE!</v>
      </c>
    </row>
    <row r="3592" spans="11:11" x14ac:dyDescent="0.25">
      <c r="K3592" s="8" t="e">
        <f t="shared" si="56"/>
        <v>#VALUE!</v>
      </c>
    </row>
    <row r="3593" spans="11:11" x14ac:dyDescent="0.25">
      <c r="K3593" s="8" t="e">
        <f t="shared" si="56"/>
        <v>#VALUE!</v>
      </c>
    </row>
    <row r="3594" spans="11:11" x14ac:dyDescent="0.25">
      <c r="K3594" s="8" t="e">
        <f t="shared" si="56"/>
        <v>#VALUE!</v>
      </c>
    </row>
    <row r="3595" spans="11:11" x14ac:dyDescent="0.25">
      <c r="K3595" s="8" t="e">
        <f t="shared" si="56"/>
        <v>#VALUE!</v>
      </c>
    </row>
    <row r="3596" spans="11:11" x14ac:dyDescent="0.25">
      <c r="K3596" s="8" t="e">
        <f t="shared" si="56"/>
        <v>#VALUE!</v>
      </c>
    </row>
    <row r="3597" spans="11:11" x14ac:dyDescent="0.25">
      <c r="K3597" s="8" t="e">
        <f t="shared" si="56"/>
        <v>#VALUE!</v>
      </c>
    </row>
    <row r="3598" spans="11:11" x14ac:dyDescent="0.25">
      <c r="K3598" s="8" t="e">
        <f t="shared" si="56"/>
        <v>#VALUE!</v>
      </c>
    </row>
    <row r="3599" spans="11:11" x14ac:dyDescent="0.25">
      <c r="K3599" s="8" t="e">
        <f t="shared" si="56"/>
        <v>#VALUE!</v>
      </c>
    </row>
    <row r="3600" spans="11:11" x14ac:dyDescent="0.25">
      <c r="K3600" s="8" t="e">
        <f t="shared" si="56"/>
        <v>#VALUE!</v>
      </c>
    </row>
    <row r="3601" spans="11:11" x14ac:dyDescent="0.25">
      <c r="K3601" s="8" t="e">
        <f t="shared" si="56"/>
        <v>#VALUE!</v>
      </c>
    </row>
    <row r="3602" spans="11:11" x14ac:dyDescent="0.25">
      <c r="K3602" s="8" t="e">
        <f t="shared" si="56"/>
        <v>#VALUE!</v>
      </c>
    </row>
    <row r="3603" spans="11:11" x14ac:dyDescent="0.25">
      <c r="K3603" s="8" t="e">
        <f t="shared" si="56"/>
        <v>#VALUE!</v>
      </c>
    </row>
    <row r="3604" spans="11:11" x14ac:dyDescent="0.25">
      <c r="K3604" s="8" t="e">
        <f t="shared" si="56"/>
        <v>#VALUE!</v>
      </c>
    </row>
    <row r="3605" spans="11:11" x14ac:dyDescent="0.25">
      <c r="K3605" s="8" t="e">
        <f t="shared" si="56"/>
        <v>#VALUE!</v>
      </c>
    </row>
    <row r="3606" spans="11:11" x14ac:dyDescent="0.25">
      <c r="K3606" s="8" t="e">
        <f t="shared" si="56"/>
        <v>#VALUE!</v>
      </c>
    </row>
    <row r="3607" spans="11:11" x14ac:dyDescent="0.25">
      <c r="K3607" s="8" t="e">
        <f t="shared" si="56"/>
        <v>#VALUE!</v>
      </c>
    </row>
    <row r="3608" spans="11:11" x14ac:dyDescent="0.25">
      <c r="K3608" s="8" t="e">
        <f t="shared" si="56"/>
        <v>#VALUE!</v>
      </c>
    </row>
    <row r="3609" spans="11:11" x14ac:dyDescent="0.25">
      <c r="K3609" s="8" t="e">
        <f t="shared" si="56"/>
        <v>#VALUE!</v>
      </c>
    </row>
    <row r="3610" spans="11:11" x14ac:dyDescent="0.25">
      <c r="K3610" s="8" t="e">
        <f t="shared" si="56"/>
        <v>#VALUE!</v>
      </c>
    </row>
    <row r="3611" spans="11:11" x14ac:dyDescent="0.25">
      <c r="K3611" s="8" t="e">
        <f t="shared" si="56"/>
        <v>#VALUE!</v>
      </c>
    </row>
    <row r="3612" spans="11:11" x14ac:dyDescent="0.25">
      <c r="K3612" s="8" t="e">
        <f t="shared" si="56"/>
        <v>#VALUE!</v>
      </c>
    </row>
    <row r="3613" spans="11:11" x14ac:dyDescent="0.25">
      <c r="K3613" s="8" t="e">
        <f t="shared" si="56"/>
        <v>#VALUE!</v>
      </c>
    </row>
    <row r="3614" spans="11:11" x14ac:dyDescent="0.25">
      <c r="K3614" s="8" t="e">
        <f t="shared" si="56"/>
        <v>#VALUE!</v>
      </c>
    </row>
    <row r="3615" spans="11:11" x14ac:dyDescent="0.25">
      <c r="K3615" s="8" t="e">
        <f t="shared" si="56"/>
        <v>#VALUE!</v>
      </c>
    </row>
    <row r="3616" spans="11:11" x14ac:dyDescent="0.25">
      <c r="K3616" s="8" t="e">
        <f t="shared" si="56"/>
        <v>#VALUE!</v>
      </c>
    </row>
    <row r="3617" spans="11:11" x14ac:dyDescent="0.25">
      <c r="K3617" s="8" t="e">
        <f t="shared" si="56"/>
        <v>#VALUE!</v>
      </c>
    </row>
    <row r="3618" spans="11:11" x14ac:dyDescent="0.25">
      <c r="K3618" s="8" t="e">
        <f t="shared" si="56"/>
        <v>#VALUE!</v>
      </c>
    </row>
    <row r="3619" spans="11:11" x14ac:dyDescent="0.25">
      <c r="K3619" s="8" t="e">
        <f t="shared" si="56"/>
        <v>#VALUE!</v>
      </c>
    </row>
    <row r="3620" spans="11:11" x14ac:dyDescent="0.25">
      <c r="K3620" s="8" t="e">
        <f t="shared" si="56"/>
        <v>#VALUE!</v>
      </c>
    </row>
    <row r="3621" spans="11:11" x14ac:dyDescent="0.25">
      <c r="K3621" s="8" t="e">
        <f t="shared" si="56"/>
        <v>#VALUE!</v>
      </c>
    </row>
    <row r="3622" spans="11:11" x14ac:dyDescent="0.25">
      <c r="K3622" s="8" t="e">
        <f t="shared" si="56"/>
        <v>#VALUE!</v>
      </c>
    </row>
    <row r="3623" spans="11:11" x14ac:dyDescent="0.25">
      <c r="K3623" s="8" t="e">
        <f t="shared" si="56"/>
        <v>#VALUE!</v>
      </c>
    </row>
    <row r="3624" spans="11:11" x14ac:dyDescent="0.25">
      <c r="K3624" s="8" t="e">
        <f t="shared" si="56"/>
        <v>#VALUE!</v>
      </c>
    </row>
    <row r="3625" spans="11:11" x14ac:dyDescent="0.25">
      <c r="K3625" s="8" t="e">
        <f t="shared" si="56"/>
        <v>#VALUE!</v>
      </c>
    </row>
    <row r="3626" spans="11:11" x14ac:dyDescent="0.25">
      <c r="K3626" s="8" t="e">
        <f t="shared" si="56"/>
        <v>#VALUE!</v>
      </c>
    </row>
    <row r="3627" spans="11:11" x14ac:dyDescent="0.25">
      <c r="K3627" s="8" t="e">
        <f t="shared" si="56"/>
        <v>#VALUE!</v>
      </c>
    </row>
    <row r="3628" spans="11:11" x14ac:dyDescent="0.25">
      <c r="K3628" s="8" t="e">
        <f t="shared" si="56"/>
        <v>#VALUE!</v>
      </c>
    </row>
    <row r="3629" spans="11:11" x14ac:dyDescent="0.25">
      <c r="K3629" s="8" t="e">
        <f t="shared" si="56"/>
        <v>#VALUE!</v>
      </c>
    </row>
    <row r="3630" spans="11:11" x14ac:dyDescent="0.25">
      <c r="K3630" s="8" t="e">
        <f t="shared" si="56"/>
        <v>#VALUE!</v>
      </c>
    </row>
    <row r="3631" spans="11:11" x14ac:dyDescent="0.25">
      <c r="K3631" s="8" t="e">
        <f t="shared" si="56"/>
        <v>#VALUE!</v>
      </c>
    </row>
    <row r="3632" spans="11:11" x14ac:dyDescent="0.25">
      <c r="K3632" s="8" t="e">
        <f t="shared" si="56"/>
        <v>#VALUE!</v>
      </c>
    </row>
    <row r="3633" spans="11:11" x14ac:dyDescent="0.25">
      <c r="K3633" s="8" t="e">
        <f t="shared" si="56"/>
        <v>#VALUE!</v>
      </c>
    </row>
    <row r="3634" spans="11:11" x14ac:dyDescent="0.25">
      <c r="K3634" s="8" t="e">
        <f t="shared" si="56"/>
        <v>#VALUE!</v>
      </c>
    </row>
    <row r="3635" spans="11:11" x14ac:dyDescent="0.25">
      <c r="K3635" s="8" t="e">
        <f t="shared" si="56"/>
        <v>#VALUE!</v>
      </c>
    </row>
    <row r="3636" spans="11:11" x14ac:dyDescent="0.25">
      <c r="K3636" s="8" t="e">
        <f t="shared" si="56"/>
        <v>#VALUE!</v>
      </c>
    </row>
    <row r="3637" spans="11:11" x14ac:dyDescent="0.25">
      <c r="K3637" s="8" t="e">
        <f t="shared" si="56"/>
        <v>#VALUE!</v>
      </c>
    </row>
    <row r="3638" spans="11:11" x14ac:dyDescent="0.25">
      <c r="K3638" s="8" t="e">
        <f t="shared" si="56"/>
        <v>#VALUE!</v>
      </c>
    </row>
    <row r="3639" spans="11:11" x14ac:dyDescent="0.25">
      <c r="K3639" s="8" t="e">
        <f t="shared" si="56"/>
        <v>#VALUE!</v>
      </c>
    </row>
    <row r="3640" spans="11:11" x14ac:dyDescent="0.25">
      <c r="K3640" s="8" t="e">
        <f t="shared" si="56"/>
        <v>#VALUE!</v>
      </c>
    </row>
    <row r="3641" spans="11:11" x14ac:dyDescent="0.25">
      <c r="K3641" s="8" t="e">
        <f t="shared" si="56"/>
        <v>#VALUE!</v>
      </c>
    </row>
    <row r="3642" spans="11:11" x14ac:dyDescent="0.25">
      <c r="K3642" s="8" t="e">
        <f t="shared" si="56"/>
        <v>#VALUE!</v>
      </c>
    </row>
    <row r="3643" spans="11:11" x14ac:dyDescent="0.25">
      <c r="K3643" s="8" t="e">
        <f t="shared" si="56"/>
        <v>#VALUE!</v>
      </c>
    </row>
    <row r="3644" spans="11:11" x14ac:dyDescent="0.25">
      <c r="K3644" s="8" t="e">
        <f t="shared" si="56"/>
        <v>#VALUE!</v>
      </c>
    </row>
    <row r="3645" spans="11:11" x14ac:dyDescent="0.25">
      <c r="K3645" s="8" t="e">
        <f t="shared" si="56"/>
        <v>#VALUE!</v>
      </c>
    </row>
    <row r="3646" spans="11:11" x14ac:dyDescent="0.25">
      <c r="K3646" s="8" t="e">
        <f t="shared" si="56"/>
        <v>#VALUE!</v>
      </c>
    </row>
    <row r="3647" spans="11:11" x14ac:dyDescent="0.25">
      <c r="K3647" s="8" t="e">
        <f t="shared" si="56"/>
        <v>#VALUE!</v>
      </c>
    </row>
    <row r="3648" spans="11:11" x14ac:dyDescent="0.25">
      <c r="K3648" s="8" t="e">
        <f t="shared" si="56"/>
        <v>#VALUE!</v>
      </c>
    </row>
    <row r="3649" spans="11:11" x14ac:dyDescent="0.25">
      <c r="K3649" s="8" t="e">
        <f t="shared" si="56"/>
        <v>#VALUE!</v>
      </c>
    </row>
    <row r="3650" spans="11:11" x14ac:dyDescent="0.25">
      <c r="K3650" s="8" t="e">
        <f t="shared" si="56"/>
        <v>#VALUE!</v>
      </c>
    </row>
    <row r="3651" spans="11:11" x14ac:dyDescent="0.25">
      <c r="K3651" s="8" t="e">
        <f t="shared" ref="K3651:K3714" si="57">LEFT(A3651,FIND("/",A3651)-1)</f>
        <v>#VALUE!</v>
      </c>
    </row>
    <row r="3652" spans="11:11" x14ac:dyDescent="0.25">
      <c r="K3652" s="8" t="e">
        <f t="shared" si="57"/>
        <v>#VALUE!</v>
      </c>
    </row>
    <row r="3653" spans="11:11" x14ac:dyDescent="0.25">
      <c r="K3653" s="8" t="e">
        <f t="shared" si="57"/>
        <v>#VALUE!</v>
      </c>
    </row>
    <row r="3654" spans="11:11" x14ac:dyDescent="0.25">
      <c r="K3654" s="8" t="e">
        <f t="shared" si="57"/>
        <v>#VALUE!</v>
      </c>
    </row>
    <row r="3655" spans="11:11" x14ac:dyDescent="0.25">
      <c r="K3655" s="8" t="e">
        <f t="shared" si="57"/>
        <v>#VALUE!</v>
      </c>
    </row>
    <row r="3656" spans="11:11" x14ac:dyDescent="0.25">
      <c r="K3656" s="8" t="e">
        <f t="shared" si="57"/>
        <v>#VALUE!</v>
      </c>
    </row>
    <row r="3657" spans="11:11" x14ac:dyDescent="0.25">
      <c r="K3657" s="8" t="e">
        <f t="shared" si="57"/>
        <v>#VALUE!</v>
      </c>
    </row>
    <row r="3658" spans="11:11" x14ac:dyDescent="0.25">
      <c r="K3658" s="8" t="e">
        <f t="shared" si="57"/>
        <v>#VALUE!</v>
      </c>
    </row>
    <row r="3659" spans="11:11" x14ac:dyDescent="0.25">
      <c r="K3659" s="8" t="e">
        <f t="shared" si="57"/>
        <v>#VALUE!</v>
      </c>
    </row>
    <row r="3660" spans="11:11" x14ac:dyDescent="0.25">
      <c r="K3660" s="8" t="e">
        <f t="shared" si="57"/>
        <v>#VALUE!</v>
      </c>
    </row>
    <row r="3661" spans="11:11" x14ac:dyDescent="0.25">
      <c r="K3661" s="8" t="e">
        <f t="shared" si="57"/>
        <v>#VALUE!</v>
      </c>
    </row>
    <row r="3662" spans="11:11" x14ac:dyDescent="0.25">
      <c r="K3662" s="8" t="e">
        <f t="shared" si="57"/>
        <v>#VALUE!</v>
      </c>
    </row>
    <row r="3663" spans="11:11" x14ac:dyDescent="0.25">
      <c r="K3663" s="8" t="e">
        <f t="shared" si="57"/>
        <v>#VALUE!</v>
      </c>
    </row>
    <row r="3664" spans="11:11" x14ac:dyDescent="0.25">
      <c r="K3664" s="8" t="e">
        <f t="shared" si="57"/>
        <v>#VALUE!</v>
      </c>
    </row>
    <row r="3665" spans="11:11" x14ac:dyDescent="0.25">
      <c r="K3665" s="8" t="e">
        <f t="shared" si="57"/>
        <v>#VALUE!</v>
      </c>
    </row>
    <row r="3666" spans="11:11" x14ac:dyDescent="0.25">
      <c r="K3666" s="8" t="e">
        <f t="shared" si="57"/>
        <v>#VALUE!</v>
      </c>
    </row>
    <row r="3667" spans="11:11" x14ac:dyDescent="0.25">
      <c r="K3667" s="8" t="e">
        <f t="shared" si="57"/>
        <v>#VALUE!</v>
      </c>
    </row>
    <row r="3668" spans="11:11" x14ac:dyDescent="0.25">
      <c r="K3668" s="8" t="e">
        <f t="shared" si="57"/>
        <v>#VALUE!</v>
      </c>
    </row>
    <row r="3669" spans="11:11" x14ac:dyDescent="0.25">
      <c r="K3669" s="8" t="e">
        <f t="shared" si="57"/>
        <v>#VALUE!</v>
      </c>
    </row>
    <row r="3670" spans="11:11" x14ac:dyDescent="0.25">
      <c r="K3670" s="8" t="e">
        <f t="shared" si="57"/>
        <v>#VALUE!</v>
      </c>
    </row>
    <row r="3671" spans="11:11" x14ac:dyDescent="0.25">
      <c r="K3671" s="8" t="e">
        <f t="shared" si="57"/>
        <v>#VALUE!</v>
      </c>
    </row>
    <row r="3672" spans="11:11" x14ac:dyDescent="0.25">
      <c r="K3672" s="8" t="e">
        <f t="shared" si="57"/>
        <v>#VALUE!</v>
      </c>
    </row>
    <row r="3673" spans="11:11" x14ac:dyDescent="0.25">
      <c r="K3673" s="8" t="e">
        <f t="shared" si="57"/>
        <v>#VALUE!</v>
      </c>
    </row>
    <row r="3674" spans="11:11" x14ac:dyDescent="0.25">
      <c r="K3674" s="8" t="e">
        <f t="shared" si="57"/>
        <v>#VALUE!</v>
      </c>
    </row>
    <row r="3675" spans="11:11" x14ac:dyDescent="0.25">
      <c r="K3675" s="8" t="e">
        <f t="shared" si="57"/>
        <v>#VALUE!</v>
      </c>
    </row>
    <row r="3676" spans="11:11" x14ac:dyDescent="0.25">
      <c r="K3676" s="8" t="e">
        <f t="shared" si="57"/>
        <v>#VALUE!</v>
      </c>
    </row>
    <row r="3677" spans="11:11" x14ac:dyDescent="0.25">
      <c r="K3677" s="8" t="e">
        <f t="shared" si="57"/>
        <v>#VALUE!</v>
      </c>
    </row>
    <row r="3678" spans="11:11" x14ac:dyDescent="0.25">
      <c r="K3678" s="8" t="e">
        <f t="shared" si="57"/>
        <v>#VALUE!</v>
      </c>
    </row>
    <row r="3679" spans="11:11" x14ac:dyDescent="0.25">
      <c r="K3679" s="8" t="e">
        <f t="shared" si="57"/>
        <v>#VALUE!</v>
      </c>
    </row>
    <row r="3680" spans="11:11" x14ac:dyDescent="0.25">
      <c r="K3680" s="8" t="e">
        <f t="shared" si="57"/>
        <v>#VALUE!</v>
      </c>
    </row>
    <row r="3681" spans="11:11" x14ac:dyDescent="0.25">
      <c r="K3681" s="8" t="e">
        <f t="shared" si="57"/>
        <v>#VALUE!</v>
      </c>
    </row>
    <row r="3682" spans="11:11" x14ac:dyDescent="0.25">
      <c r="K3682" s="8" t="e">
        <f t="shared" si="57"/>
        <v>#VALUE!</v>
      </c>
    </row>
    <row r="3683" spans="11:11" x14ac:dyDescent="0.25">
      <c r="K3683" s="8" t="e">
        <f t="shared" si="57"/>
        <v>#VALUE!</v>
      </c>
    </row>
    <row r="3684" spans="11:11" x14ac:dyDescent="0.25">
      <c r="K3684" s="8" t="e">
        <f t="shared" si="57"/>
        <v>#VALUE!</v>
      </c>
    </row>
    <row r="3685" spans="11:11" x14ac:dyDescent="0.25">
      <c r="K3685" s="8" t="e">
        <f t="shared" si="57"/>
        <v>#VALUE!</v>
      </c>
    </row>
    <row r="3686" spans="11:11" x14ac:dyDescent="0.25">
      <c r="K3686" s="8" t="e">
        <f t="shared" si="57"/>
        <v>#VALUE!</v>
      </c>
    </row>
    <row r="3687" spans="11:11" x14ac:dyDescent="0.25">
      <c r="K3687" s="8" t="e">
        <f t="shared" si="57"/>
        <v>#VALUE!</v>
      </c>
    </row>
    <row r="3688" spans="11:11" x14ac:dyDescent="0.25">
      <c r="K3688" s="8" t="e">
        <f t="shared" si="57"/>
        <v>#VALUE!</v>
      </c>
    </row>
    <row r="3689" spans="11:11" x14ac:dyDescent="0.25">
      <c r="K3689" s="8" t="e">
        <f t="shared" si="57"/>
        <v>#VALUE!</v>
      </c>
    </row>
    <row r="3690" spans="11:11" x14ac:dyDescent="0.25">
      <c r="K3690" s="8" t="e">
        <f t="shared" si="57"/>
        <v>#VALUE!</v>
      </c>
    </row>
    <row r="3691" spans="11:11" x14ac:dyDescent="0.25">
      <c r="K3691" s="8" t="e">
        <f t="shared" si="57"/>
        <v>#VALUE!</v>
      </c>
    </row>
    <row r="3692" spans="11:11" x14ac:dyDescent="0.25">
      <c r="K3692" s="8" t="e">
        <f t="shared" si="57"/>
        <v>#VALUE!</v>
      </c>
    </row>
    <row r="3693" spans="11:11" x14ac:dyDescent="0.25">
      <c r="K3693" s="8" t="e">
        <f t="shared" si="57"/>
        <v>#VALUE!</v>
      </c>
    </row>
    <row r="3694" spans="11:11" x14ac:dyDescent="0.25">
      <c r="K3694" s="8" t="e">
        <f t="shared" si="57"/>
        <v>#VALUE!</v>
      </c>
    </row>
    <row r="3695" spans="11:11" x14ac:dyDescent="0.25">
      <c r="K3695" s="8" t="e">
        <f t="shared" si="57"/>
        <v>#VALUE!</v>
      </c>
    </row>
    <row r="3696" spans="11:11" x14ac:dyDescent="0.25">
      <c r="K3696" s="8" t="e">
        <f t="shared" si="57"/>
        <v>#VALUE!</v>
      </c>
    </row>
    <row r="3697" spans="11:11" x14ac:dyDescent="0.25">
      <c r="K3697" s="8" t="e">
        <f t="shared" si="57"/>
        <v>#VALUE!</v>
      </c>
    </row>
    <row r="3698" spans="11:11" x14ac:dyDescent="0.25">
      <c r="K3698" s="8" t="e">
        <f t="shared" si="57"/>
        <v>#VALUE!</v>
      </c>
    </row>
    <row r="3699" spans="11:11" x14ac:dyDescent="0.25">
      <c r="K3699" s="8" t="e">
        <f t="shared" si="57"/>
        <v>#VALUE!</v>
      </c>
    </row>
    <row r="3700" spans="11:11" x14ac:dyDescent="0.25">
      <c r="K3700" s="8" t="e">
        <f t="shared" si="57"/>
        <v>#VALUE!</v>
      </c>
    </row>
    <row r="3701" spans="11:11" x14ac:dyDescent="0.25">
      <c r="K3701" s="8" t="e">
        <f t="shared" si="57"/>
        <v>#VALUE!</v>
      </c>
    </row>
    <row r="3702" spans="11:11" x14ac:dyDescent="0.25">
      <c r="K3702" s="8" t="e">
        <f t="shared" si="57"/>
        <v>#VALUE!</v>
      </c>
    </row>
    <row r="3703" spans="11:11" x14ac:dyDescent="0.25">
      <c r="K3703" s="8" t="e">
        <f t="shared" si="57"/>
        <v>#VALUE!</v>
      </c>
    </row>
    <row r="3704" spans="11:11" x14ac:dyDescent="0.25">
      <c r="K3704" s="8" t="e">
        <f t="shared" si="57"/>
        <v>#VALUE!</v>
      </c>
    </row>
    <row r="3705" spans="11:11" x14ac:dyDescent="0.25">
      <c r="K3705" s="8" t="e">
        <f t="shared" si="57"/>
        <v>#VALUE!</v>
      </c>
    </row>
    <row r="3706" spans="11:11" x14ac:dyDescent="0.25">
      <c r="K3706" s="8" t="e">
        <f t="shared" si="57"/>
        <v>#VALUE!</v>
      </c>
    </row>
    <row r="3707" spans="11:11" x14ac:dyDescent="0.25">
      <c r="K3707" s="8" t="e">
        <f t="shared" si="57"/>
        <v>#VALUE!</v>
      </c>
    </row>
    <row r="3708" spans="11:11" x14ac:dyDescent="0.25">
      <c r="K3708" s="8" t="e">
        <f t="shared" si="57"/>
        <v>#VALUE!</v>
      </c>
    </row>
    <row r="3709" spans="11:11" x14ac:dyDescent="0.25">
      <c r="K3709" s="8" t="e">
        <f t="shared" si="57"/>
        <v>#VALUE!</v>
      </c>
    </row>
    <row r="3710" spans="11:11" x14ac:dyDescent="0.25">
      <c r="K3710" s="8" t="e">
        <f t="shared" si="57"/>
        <v>#VALUE!</v>
      </c>
    </row>
    <row r="3711" spans="11:11" x14ac:dyDescent="0.25">
      <c r="K3711" s="8" t="e">
        <f t="shared" si="57"/>
        <v>#VALUE!</v>
      </c>
    </row>
    <row r="3712" spans="11:11" x14ac:dyDescent="0.25">
      <c r="K3712" s="8" t="e">
        <f t="shared" si="57"/>
        <v>#VALUE!</v>
      </c>
    </row>
    <row r="3713" spans="11:11" x14ac:dyDescent="0.25">
      <c r="K3713" s="8" t="e">
        <f t="shared" si="57"/>
        <v>#VALUE!</v>
      </c>
    </row>
    <row r="3714" spans="11:11" x14ac:dyDescent="0.25">
      <c r="K3714" s="8" t="e">
        <f t="shared" si="57"/>
        <v>#VALUE!</v>
      </c>
    </row>
    <row r="3715" spans="11:11" x14ac:dyDescent="0.25">
      <c r="K3715" s="8" t="e">
        <f t="shared" ref="K3715:K3778" si="58">LEFT(A3715,FIND("/",A3715)-1)</f>
        <v>#VALUE!</v>
      </c>
    </row>
    <row r="3716" spans="11:11" x14ac:dyDescent="0.25">
      <c r="K3716" s="8" t="e">
        <f t="shared" si="58"/>
        <v>#VALUE!</v>
      </c>
    </row>
    <row r="3717" spans="11:11" x14ac:dyDescent="0.25">
      <c r="K3717" s="8" t="e">
        <f t="shared" si="58"/>
        <v>#VALUE!</v>
      </c>
    </row>
    <row r="3718" spans="11:11" x14ac:dyDescent="0.25">
      <c r="K3718" s="8" t="e">
        <f t="shared" si="58"/>
        <v>#VALUE!</v>
      </c>
    </row>
    <row r="3719" spans="11:11" x14ac:dyDescent="0.25">
      <c r="K3719" s="8" t="e">
        <f t="shared" si="58"/>
        <v>#VALUE!</v>
      </c>
    </row>
    <row r="3720" spans="11:11" x14ac:dyDescent="0.25">
      <c r="K3720" s="8" t="e">
        <f t="shared" si="58"/>
        <v>#VALUE!</v>
      </c>
    </row>
    <row r="3721" spans="11:11" x14ac:dyDescent="0.25">
      <c r="K3721" s="8" t="e">
        <f t="shared" si="58"/>
        <v>#VALUE!</v>
      </c>
    </row>
    <row r="3722" spans="11:11" x14ac:dyDescent="0.25">
      <c r="K3722" s="8" t="e">
        <f t="shared" si="58"/>
        <v>#VALUE!</v>
      </c>
    </row>
    <row r="3723" spans="11:11" x14ac:dyDescent="0.25">
      <c r="K3723" s="8" t="e">
        <f t="shared" si="58"/>
        <v>#VALUE!</v>
      </c>
    </row>
    <row r="3724" spans="11:11" x14ac:dyDescent="0.25">
      <c r="K3724" s="8" t="e">
        <f t="shared" si="58"/>
        <v>#VALUE!</v>
      </c>
    </row>
    <row r="3725" spans="11:11" x14ac:dyDescent="0.25">
      <c r="K3725" s="8" t="e">
        <f t="shared" si="58"/>
        <v>#VALUE!</v>
      </c>
    </row>
    <row r="3726" spans="11:11" x14ac:dyDescent="0.25">
      <c r="K3726" s="8" t="e">
        <f t="shared" si="58"/>
        <v>#VALUE!</v>
      </c>
    </row>
    <row r="3727" spans="11:11" x14ac:dyDescent="0.25">
      <c r="K3727" s="8" t="e">
        <f t="shared" si="58"/>
        <v>#VALUE!</v>
      </c>
    </row>
    <row r="3728" spans="11:11" x14ac:dyDescent="0.25">
      <c r="K3728" s="8" t="e">
        <f t="shared" si="58"/>
        <v>#VALUE!</v>
      </c>
    </row>
    <row r="3729" spans="11:11" x14ac:dyDescent="0.25">
      <c r="K3729" s="8" t="e">
        <f t="shared" si="58"/>
        <v>#VALUE!</v>
      </c>
    </row>
    <row r="3730" spans="11:11" x14ac:dyDescent="0.25">
      <c r="K3730" s="8" t="e">
        <f t="shared" si="58"/>
        <v>#VALUE!</v>
      </c>
    </row>
    <row r="3731" spans="11:11" x14ac:dyDescent="0.25">
      <c r="K3731" s="8" t="e">
        <f t="shared" si="58"/>
        <v>#VALUE!</v>
      </c>
    </row>
    <row r="3732" spans="11:11" x14ac:dyDescent="0.25">
      <c r="K3732" s="8" t="e">
        <f t="shared" si="58"/>
        <v>#VALUE!</v>
      </c>
    </row>
    <row r="3733" spans="11:11" x14ac:dyDescent="0.25">
      <c r="K3733" s="8" t="e">
        <f t="shared" si="58"/>
        <v>#VALUE!</v>
      </c>
    </row>
    <row r="3734" spans="11:11" x14ac:dyDescent="0.25">
      <c r="K3734" s="8" t="e">
        <f t="shared" si="58"/>
        <v>#VALUE!</v>
      </c>
    </row>
    <row r="3735" spans="11:11" x14ac:dyDescent="0.25">
      <c r="K3735" s="8" t="e">
        <f t="shared" si="58"/>
        <v>#VALUE!</v>
      </c>
    </row>
    <row r="3736" spans="11:11" x14ac:dyDescent="0.25">
      <c r="K3736" s="8" t="e">
        <f t="shared" si="58"/>
        <v>#VALUE!</v>
      </c>
    </row>
    <row r="3737" spans="11:11" x14ac:dyDescent="0.25">
      <c r="K3737" s="8" t="e">
        <f t="shared" si="58"/>
        <v>#VALUE!</v>
      </c>
    </row>
    <row r="3738" spans="11:11" x14ac:dyDescent="0.25">
      <c r="K3738" s="8" t="e">
        <f t="shared" si="58"/>
        <v>#VALUE!</v>
      </c>
    </row>
    <row r="3739" spans="11:11" x14ac:dyDescent="0.25">
      <c r="K3739" s="8" t="e">
        <f t="shared" si="58"/>
        <v>#VALUE!</v>
      </c>
    </row>
    <row r="3740" spans="11:11" x14ac:dyDescent="0.25">
      <c r="K3740" s="8" t="e">
        <f t="shared" si="58"/>
        <v>#VALUE!</v>
      </c>
    </row>
    <row r="3741" spans="11:11" x14ac:dyDescent="0.25">
      <c r="K3741" s="8" t="e">
        <f t="shared" si="58"/>
        <v>#VALUE!</v>
      </c>
    </row>
    <row r="3742" spans="11:11" x14ac:dyDescent="0.25">
      <c r="K3742" s="8" t="e">
        <f t="shared" si="58"/>
        <v>#VALUE!</v>
      </c>
    </row>
    <row r="3743" spans="11:11" x14ac:dyDescent="0.25">
      <c r="K3743" s="8" t="e">
        <f t="shared" si="58"/>
        <v>#VALUE!</v>
      </c>
    </row>
    <row r="3744" spans="11:11" x14ac:dyDescent="0.25">
      <c r="K3744" s="8" t="e">
        <f t="shared" si="58"/>
        <v>#VALUE!</v>
      </c>
    </row>
    <row r="3745" spans="11:11" x14ac:dyDescent="0.25">
      <c r="K3745" s="8" t="e">
        <f t="shared" si="58"/>
        <v>#VALUE!</v>
      </c>
    </row>
    <row r="3746" spans="11:11" x14ac:dyDescent="0.25">
      <c r="K3746" s="8" t="e">
        <f t="shared" si="58"/>
        <v>#VALUE!</v>
      </c>
    </row>
    <row r="3747" spans="11:11" x14ac:dyDescent="0.25">
      <c r="K3747" s="8" t="e">
        <f t="shared" si="58"/>
        <v>#VALUE!</v>
      </c>
    </row>
    <row r="3748" spans="11:11" x14ac:dyDescent="0.25">
      <c r="K3748" s="8" t="e">
        <f t="shared" si="58"/>
        <v>#VALUE!</v>
      </c>
    </row>
    <row r="3749" spans="11:11" x14ac:dyDescent="0.25">
      <c r="K3749" s="8" t="e">
        <f t="shared" si="58"/>
        <v>#VALUE!</v>
      </c>
    </row>
    <row r="3750" spans="11:11" x14ac:dyDescent="0.25">
      <c r="K3750" s="8" t="e">
        <f t="shared" si="58"/>
        <v>#VALUE!</v>
      </c>
    </row>
    <row r="3751" spans="11:11" x14ac:dyDescent="0.25">
      <c r="K3751" s="8" t="e">
        <f t="shared" si="58"/>
        <v>#VALUE!</v>
      </c>
    </row>
    <row r="3752" spans="11:11" x14ac:dyDescent="0.25">
      <c r="K3752" s="8" t="e">
        <f t="shared" si="58"/>
        <v>#VALUE!</v>
      </c>
    </row>
    <row r="3753" spans="11:11" x14ac:dyDescent="0.25">
      <c r="K3753" s="8" t="e">
        <f t="shared" si="58"/>
        <v>#VALUE!</v>
      </c>
    </row>
    <row r="3754" spans="11:11" x14ac:dyDescent="0.25">
      <c r="K3754" s="8" t="e">
        <f t="shared" si="58"/>
        <v>#VALUE!</v>
      </c>
    </row>
    <row r="3755" spans="11:11" x14ac:dyDescent="0.25">
      <c r="K3755" s="8" t="e">
        <f t="shared" si="58"/>
        <v>#VALUE!</v>
      </c>
    </row>
    <row r="3756" spans="11:11" x14ac:dyDescent="0.25">
      <c r="K3756" s="8" t="e">
        <f t="shared" si="58"/>
        <v>#VALUE!</v>
      </c>
    </row>
    <row r="3757" spans="11:11" x14ac:dyDescent="0.25">
      <c r="K3757" s="8" t="e">
        <f t="shared" si="58"/>
        <v>#VALUE!</v>
      </c>
    </row>
    <row r="3758" spans="11:11" x14ac:dyDescent="0.25">
      <c r="K3758" s="8" t="e">
        <f t="shared" si="58"/>
        <v>#VALUE!</v>
      </c>
    </row>
    <row r="3759" spans="11:11" x14ac:dyDescent="0.25">
      <c r="K3759" s="8" t="e">
        <f t="shared" si="58"/>
        <v>#VALUE!</v>
      </c>
    </row>
    <row r="3760" spans="11:11" x14ac:dyDescent="0.25">
      <c r="K3760" s="8" t="e">
        <f t="shared" si="58"/>
        <v>#VALUE!</v>
      </c>
    </row>
    <row r="3761" spans="11:11" x14ac:dyDescent="0.25">
      <c r="K3761" s="8" t="e">
        <f t="shared" si="58"/>
        <v>#VALUE!</v>
      </c>
    </row>
    <row r="3762" spans="11:11" x14ac:dyDescent="0.25">
      <c r="K3762" s="8" t="e">
        <f t="shared" si="58"/>
        <v>#VALUE!</v>
      </c>
    </row>
    <row r="3763" spans="11:11" x14ac:dyDescent="0.25">
      <c r="K3763" s="8" t="e">
        <f t="shared" si="58"/>
        <v>#VALUE!</v>
      </c>
    </row>
    <row r="3764" spans="11:11" x14ac:dyDescent="0.25">
      <c r="K3764" s="8" t="e">
        <f t="shared" si="58"/>
        <v>#VALUE!</v>
      </c>
    </row>
    <row r="3765" spans="11:11" x14ac:dyDescent="0.25">
      <c r="K3765" s="8" t="e">
        <f t="shared" si="58"/>
        <v>#VALUE!</v>
      </c>
    </row>
    <row r="3766" spans="11:11" x14ac:dyDescent="0.25">
      <c r="K3766" s="8" t="e">
        <f t="shared" si="58"/>
        <v>#VALUE!</v>
      </c>
    </row>
    <row r="3767" spans="11:11" x14ac:dyDescent="0.25">
      <c r="K3767" s="8" t="e">
        <f t="shared" si="58"/>
        <v>#VALUE!</v>
      </c>
    </row>
    <row r="3768" spans="11:11" x14ac:dyDescent="0.25">
      <c r="K3768" s="8" t="e">
        <f t="shared" si="58"/>
        <v>#VALUE!</v>
      </c>
    </row>
    <row r="3769" spans="11:11" x14ac:dyDescent="0.25">
      <c r="K3769" s="8" t="e">
        <f t="shared" si="58"/>
        <v>#VALUE!</v>
      </c>
    </row>
    <row r="3770" spans="11:11" x14ac:dyDescent="0.25">
      <c r="K3770" s="8" t="e">
        <f t="shared" si="58"/>
        <v>#VALUE!</v>
      </c>
    </row>
    <row r="3771" spans="11:11" x14ac:dyDescent="0.25">
      <c r="K3771" s="8" t="e">
        <f t="shared" si="58"/>
        <v>#VALUE!</v>
      </c>
    </row>
    <row r="3772" spans="11:11" x14ac:dyDescent="0.25">
      <c r="K3772" s="8" t="e">
        <f t="shared" si="58"/>
        <v>#VALUE!</v>
      </c>
    </row>
    <row r="3773" spans="11:11" x14ac:dyDescent="0.25">
      <c r="K3773" s="8" t="e">
        <f t="shared" si="58"/>
        <v>#VALUE!</v>
      </c>
    </row>
    <row r="3774" spans="11:11" x14ac:dyDescent="0.25">
      <c r="K3774" s="8" t="e">
        <f t="shared" si="58"/>
        <v>#VALUE!</v>
      </c>
    </row>
    <row r="3775" spans="11:11" x14ac:dyDescent="0.25">
      <c r="K3775" s="8" t="e">
        <f t="shared" si="58"/>
        <v>#VALUE!</v>
      </c>
    </row>
    <row r="3776" spans="11:11" x14ac:dyDescent="0.25">
      <c r="K3776" s="8" t="e">
        <f t="shared" si="58"/>
        <v>#VALUE!</v>
      </c>
    </row>
    <row r="3777" spans="11:11" x14ac:dyDescent="0.25">
      <c r="K3777" s="8" t="e">
        <f t="shared" si="58"/>
        <v>#VALUE!</v>
      </c>
    </row>
    <row r="3778" spans="11:11" x14ac:dyDescent="0.25">
      <c r="K3778" s="8" t="e">
        <f t="shared" si="58"/>
        <v>#VALUE!</v>
      </c>
    </row>
    <row r="3779" spans="11:11" x14ac:dyDescent="0.25">
      <c r="K3779" s="8" t="e">
        <f t="shared" ref="K3779:K3842" si="59">LEFT(A3779,FIND("/",A3779)-1)</f>
        <v>#VALUE!</v>
      </c>
    </row>
    <row r="3780" spans="11:11" x14ac:dyDescent="0.25">
      <c r="K3780" s="8" t="e">
        <f t="shared" si="59"/>
        <v>#VALUE!</v>
      </c>
    </row>
    <row r="3781" spans="11:11" x14ac:dyDescent="0.25">
      <c r="K3781" s="8" t="e">
        <f t="shared" si="59"/>
        <v>#VALUE!</v>
      </c>
    </row>
    <row r="3782" spans="11:11" x14ac:dyDescent="0.25">
      <c r="K3782" s="8" t="e">
        <f t="shared" si="59"/>
        <v>#VALUE!</v>
      </c>
    </row>
    <row r="3783" spans="11:11" x14ac:dyDescent="0.25">
      <c r="K3783" s="8" t="e">
        <f t="shared" si="59"/>
        <v>#VALUE!</v>
      </c>
    </row>
    <row r="3784" spans="11:11" x14ac:dyDescent="0.25">
      <c r="K3784" s="8" t="e">
        <f t="shared" si="59"/>
        <v>#VALUE!</v>
      </c>
    </row>
    <row r="3785" spans="11:11" x14ac:dyDescent="0.25">
      <c r="K3785" s="8" t="e">
        <f t="shared" si="59"/>
        <v>#VALUE!</v>
      </c>
    </row>
    <row r="3786" spans="11:11" x14ac:dyDescent="0.25">
      <c r="K3786" s="8" t="e">
        <f t="shared" si="59"/>
        <v>#VALUE!</v>
      </c>
    </row>
    <row r="3787" spans="11:11" x14ac:dyDescent="0.25">
      <c r="K3787" s="8" t="e">
        <f t="shared" si="59"/>
        <v>#VALUE!</v>
      </c>
    </row>
    <row r="3788" spans="11:11" x14ac:dyDescent="0.25">
      <c r="K3788" s="8" t="e">
        <f t="shared" si="59"/>
        <v>#VALUE!</v>
      </c>
    </row>
    <row r="3789" spans="11:11" x14ac:dyDescent="0.25">
      <c r="K3789" s="8" t="e">
        <f t="shared" si="59"/>
        <v>#VALUE!</v>
      </c>
    </row>
    <row r="3790" spans="11:11" x14ac:dyDescent="0.25">
      <c r="K3790" s="8" t="e">
        <f t="shared" si="59"/>
        <v>#VALUE!</v>
      </c>
    </row>
    <row r="3791" spans="11:11" x14ac:dyDescent="0.25">
      <c r="K3791" s="8" t="e">
        <f t="shared" si="59"/>
        <v>#VALUE!</v>
      </c>
    </row>
    <row r="3792" spans="11:11" x14ac:dyDescent="0.25">
      <c r="K3792" s="8" t="e">
        <f t="shared" si="59"/>
        <v>#VALUE!</v>
      </c>
    </row>
    <row r="3793" spans="11:11" x14ac:dyDescent="0.25">
      <c r="K3793" s="8" t="e">
        <f t="shared" si="59"/>
        <v>#VALUE!</v>
      </c>
    </row>
    <row r="3794" spans="11:11" x14ac:dyDescent="0.25">
      <c r="K3794" s="8" t="e">
        <f t="shared" si="59"/>
        <v>#VALUE!</v>
      </c>
    </row>
    <row r="3795" spans="11:11" x14ac:dyDescent="0.25">
      <c r="K3795" s="8" t="e">
        <f t="shared" si="59"/>
        <v>#VALUE!</v>
      </c>
    </row>
    <row r="3796" spans="11:11" x14ac:dyDescent="0.25">
      <c r="K3796" s="8" t="e">
        <f t="shared" si="59"/>
        <v>#VALUE!</v>
      </c>
    </row>
    <row r="3797" spans="11:11" x14ac:dyDescent="0.25">
      <c r="K3797" s="8" t="e">
        <f t="shared" si="59"/>
        <v>#VALUE!</v>
      </c>
    </row>
    <row r="3798" spans="11:11" x14ac:dyDescent="0.25">
      <c r="K3798" s="8" t="e">
        <f t="shared" si="59"/>
        <v>#VALUE!</v>
      </c>
    </row>
    <row r="3799" spans="11:11" x14ac:dyDescent="0.25">
      <c r="K3799" s="8" t="e">
        <f t="shared" si="59"/>
        <v>#VALUE!</v>
      </c>
    </row>
    <row r="3800" spans="11:11" x14ac:dyDescent="0.25">
      <c r="K3800" s="8" t="e">
        <f t="shared" si="59"/>
        <v>#VALUE!</v>
      </c>
    </row>
    <row r="3801" spans="11:11" x14ac:dyDescent="0.25">
      <c r="K3801" s="8" t="e">
        <f t="shared" si="59"/>
        <v>#VALUE!</v>
      </c>
    </row>
    <row r="3802" spans="11:11" x14ac:dyDescent="0.25">
      <c r="K3802" s="8" t="e">
        <f t="shared" si="59"/>
        <v>#VALUE!</v>
      </c>
    </row>
    <row r="3803" spans="11:11" x14ac:dyDescent="0.25">
      <c r="K3803" s="8" t="e">
        <f t="shared" si="59"/>
        <v>#VALUE!</v>
      </c>
    </row>
    <row r="3804" spans="11:11" x14ac:dyDescent="0.25">
      <c r="K3804" s="8" t="e">
        <f t="shared" si="59"/>
        <v>#VALUE!</v>
      </c>
    </row>
    <row r="3805" spans="11:11" x14ac:dyDescent="0.25">
      <c r="K3805" s="8" t="e">
        <f t="shared" si="59"/>
        <v>#VALUE!</v>
      </c>
    </row>
    <row r="3806" spans="11:11" x14ac:dyDescent="0.25">
      <c r="K3806" s="8" t="e">
        <f t="shared" si="59"/>
        <v>#VALUE!</v>
      </c>
    </row>
    <row r="3807" spans="11:11" x14ac:dyDescent="0.25">
      <c r="K3807" s="8" t="e">
        <f t="shared" si="59"/>
        <v>#VALUE!</v>
      </c>
    </row>
    <row r="3808" spans="11:11" x14ac:dyDescent="0.25">
      <c r="K3808" s="8" t="e">
        <f t="shared" si="59"/>
        <v>#VALUE!</v>
      </c>
    </row>
    <row r="3809" spans="11:11" x14ac:dyDescent="0.25">
      <c r="K3809" s="8" t="e">
        <f t="shared" si="59"/>
        <v>#VALUE!</v>
      </c>
    </row>
    <row r="3810" spans="11:11" x14ac:dyDescent="0.25">
      <c r="K3810" s="8" t="e">
        <f t="shared" si="59"/>
        <v>#VALUE!</v>
      </c>
    </row>
    <row r="3811" spans="11:11" x14ac:dyDescent="0.25">
      <c r="K3811" s="8" t="e">
        <f t="shared" si="59"/>
        <v>#VALUE!</v>
      </c>
    </row>
    <row r="3812" spans="11:11" x14ac:dyDescent="0.25">
      <c r="K3812" s="8" t="e">
        <f t="shared" si="59"/>
        <v>#VALUE!</v>
      </c>
    </row>
    <row r="3813" spans="11:11" x14ac:dyDescent="0.25">
      <c r="K3813" s="8" t="e">
        <f t="shared" si="59"/>
        <v>#VALUE!</v>
      </c>
    </row>
    <row r="3814" spans="11:11" x14ac:dyDescent="0.25">
      <c r="K3814" s="8" t="e">
        <f t="shared" si="59"/>
        <v>#VALUE!</v>
      </c>
    </row>
    <row r="3815" spans="11:11" x14ac:dyDescent="0.25">
      <c r="K3815" s="8" t="e">
        <f t="shared" si="59"/>
        <v>#VALUE!</v>
      </c>
    </row>
    <row r="3816" spans="11:11" x14ac:dyDescent="0.25">
      <c r="K3816" s="8" t="e">
        <f t="shared" si="59"/>
        <v>#VALUE!</v>
      </c>
    </row>
    <row r="3817" spans="11:11" x14ac:dyDescent="0.25">
      <c r="K3817" s="8" t="e">
        <f t="shared" si="59"/>
        <v>#VALUE!</v>
      </c>
    </row>
    <row r="3818" spans="11:11" x14ac:dyDescent="0.25">
      <c r="K3818" s="8" t="e">
        <f t="shared" si="59"/>
        <v>#VALUE!</v>
      </c>
    </row>
    <row r="3819" spans="11:11" x14ac:dyDescent="0.25">
      <c r="K3819" s="8" t="e">
        <f t="shared" si="59"/>
        <v>#VALUE!</v>
      </c>
    </row>
    <row r="3820" spans="11:11" x14ac:dyDescent="0.25">
      <c r="K3820" s="8" t="e">
        <f t="shared" si="59"/>
        <v>#VALUE!</v>
      </c>
    </row>
    <row r="3821" spans="11:11" x14ac:dyDescent="0.25">
      <c r="K3821" s="8" t="e">
        <f t="shared" si="59"/>
        <v>#VALUE!</v>
      </c>
    </row>
    <row r="3822" spans="11:11" x14ac:dyDescent="0.25">
      <c r="K3822" s="8" t="e">
        <f t="shared" si="59"/>
        <v>#VALUE!</v>
      </c>
    </row>
    <row r="3823" spans="11:11" x14ac:dyDescent="0.25">
      <c r="K3823" s="8" t="e">
        <f t="shared" si="59"/>
        <v>#VALUE!</v>
      </c>
    </row>
    <row r="3824" spans="11:11" x14ac:dyDescent="0.25">
      <c r="K3824" s="8" t="e">
        <f t="shared" si="59"/>
        <v>#VALUE!</v>
      </c>
    </row>
    <row r="3825" spans="11:11" x14ac:dyDescent="0.25">
      <c r="K3825" s="8" t="e">
        <f t="shared" si="59"/>
        <v>#VALUE!</v>
      </c>
    </row>
    <row r="3826" spans="11:11" x14ac:dyDescent="0.25">
      <c r="K3826" s="8" t="e">
        <f t="shared" si="59"/>
        <v>#VALUE!</v>
      </c>
    </row>
    <row r="3827" spans="11:11" x14ac:dyDescent="0.25">
      <c r="K3827" s="8" t="e">
        <f t="shared" si="59"/>
        <v>#VALUE!</v>
      </c>
    </row>
    <row r="3828" spans="11:11" x14ac:dyDescent="0.25">
      <c r="K3828" s="8" t="e">
        <f t="shared" si="59"/>
        <v>#VALUE!</v>
      </c>
    </row>
    <row r="3829" spans="11:11" x14ac:dyDescent="0.25">
      <c r="K3829" s="8" t="e">
        <f t="shared" si="59"/>
        <v>#VALUE!</v>
      </c>
    </row>
    <row r="3830" spans="11:11" x14ac:dyDescent="0.25">
      <c r="K3830" s="8" t="e">
        <f t="shared" si="59"/>
        <v>#VALUE!</v>
      </c>
    </row>
    <row r="3831" spans="11:11" x14ac:dyDescent="0.25">
      <c r="K3831" s="8" t="e">
        <f t="shared" si="59"/>
        <v>#VALUE!</v>
      </c>
    </row>
    <row r="3832" spans="11:11" x14ac:dyDescent="0.25">
      <c r="K3832" s="8" t="e">
        <f t="shared" si="59"/>
        <v>#VALUE!</v>
      </c>
    </row>
    <row r="3833" spans="11:11" x14ac:dyDescent="0.25">
      <c r="K3833" s="8" t="e">
        <f t="shared" si="59"/>
        <v>#VALUE!</v>
      </c>
    </row>
    <row r="3834" spans="11:11" x14ac:dyDescent="0.25">
      <c r="K3834" s="8" t="e">
        <f t="shared" si="59"/>
        <v>#VALUE!</v>
      </c>
    </row>
    <row r="3835" spans="11:11" x14ac:dyDescent="0.25">
      <c r="K3835" s="8" t="e">
        <f t="shared" si="59"/>
        <v>#VALUE!</v>
      </c>
    </row>
    <row r="3836" spans="11:11" x14ac:dyDescent="0.25">
      <c r="K3836" s="8" t="e">
        <f t="shared" si="59"/>
        <v>#VALUE!</v>
      </c>
    </row>
    <row r="3837" spans="11:11" x14ac:dyDescent="0.25">
      <c r="K3837" s="8" t="e">
        <f t="shared" si="59"/>
        <v>#VALUE!</v>
      </c>
    </row>
    <row r="3838" spans="11:11" x14ac:dyDescent="0.25">
      <c r="K3838" s="8" t="e">
        <f t="shared" si="59"/>
        <v>#VALUE!</v>
      </c>
    </row>
    <row r="3839" spans="11:11" x14ac:dyDescent="0.25">
      <c r="K3839" s="8" t="e">
        <f t="shared" si="59"/>
        <v>#VALUE!</v>
      </c>
    </row>
    <row r="3840" spans="11:11" x14ac:dyDescent="0.25">
      <c r="K3840" s="8" t="e">
        <f t="shared" si="59"/>
        <v>#VALUE!</v>
      </c>
    </row>
    <row r="3841" spans="11:11" x14ac:dyDescent="0.25">
      <c r="K3841" s="8" t="e">
        <f t="shared" si="59"/>
        <v>#VALUE!</v>
      </c>
    </row>
    <row r="3842" spans="11:11" x14ac:dyDescent="0.25">
      <c r="K3842" s="8" t="e">
        <f t="shared" si="59"/>
        <v>#VALUE!</v>
      </c>
    </row>
    <row r="3843" spans="11:11" x14ac:dyDescent="0.25">
      <c r="K3843" s="8" t="e">
        <f t="shared" ref="K3843:K3906" si="60">LEFT(A3843,FIND("/",A3843)-1)</f>
        <v>#VALUE!</v>
      </c>
    </row>
    <row r="3844" spans="11:11" x14ac:dyDescent="0.25">
      <c r="K3844" s="8" t="e">
        <f t="shared" si="60"/>
        <v>#VALUE!</v>
      </c>
    </row>
    <row r="3845" spans="11:11" x14ac:dyDescent="0.25">
      <c r="K3845" s="8" t="e">
        <f t="shared" si="60"/>
        <v>#VALUE!</v>
      </c>
    </row>
    <row r="3846" spans="11:11" x14ac:dyDescent="0.25">
      <c r="K3846" s="8" t="e">
        <f t="shared" si="60"/>
        <v>#VALUE!</v>
      </c>
    </row>
    <row r="3847" spans="11:11" x14ac:dyDescent="0.25">
      <c r="K3847" s="8" t="e">
        <f t="shared" si="60"/>
        <v>#VALUE!</v>
      </c>
    </row>
    <row r="3848" spans="11:11" x14ac:dyDescent="0.25">
      <c r="K3848" s="8" t="e">
        <f t="shared" si="60"/>
        <v>#VALUE!</v>
      </c>
    </row>
    <row r="3849" spans="11:11" x14ac:dyDescent="0.25">
      <c r="K3849" s="8" t="e">
        <f t="shared" si="60"/>
        <v>#VALUE!</v>
      </c>
    </row>
    <row r="3850" spans="11:11" x14ac:dyDescent="0.25">
      <c r="K3850" s="8" t="e">
        <f t="shared" si="60"/>
        <v>#VALUE!</v>
      </c>
    </row>
    <row r="3851" spans="11:11" x14ac:dyDescent="0.25">
      <c r="K3851" s="8" t="e">
        <f t="shared" si="60"/>
        <v>#VALUE!</v>
      </c>
    </row>
    <row r="3852" spans="11:11" x14ac:dyDescent="0.25">
      <c r="K3852" s="8" t="e">
        <f t="shared" si="60"/>
        <v>#VALUE!</v>
      </c>
    </row>
    <row r="3853" spans="11:11" x14ac:dyDescent="0.25">
      <c r="K3853" s="8" t="e">
        <f t="shared" si="60"/>
        <v>#VALUE!</v>
      </c>
    </row>
    <row r="3854" spans="11:11" x14ac:dyDescent="0.25">
      <c r="K3854" s="8" t="e">
        <f t="shared" si="60"/>
        <v>#VALUE!</v>
      </c>
    </row>
    <row r="3855" spans="11:11" x14ac:dyDescent="0.25">
      <c r="K3855" s="8" t="e">
        <f t="shared" si="60"/>
        <v>#VALUE!</v>
      </c>
    </row>
    <row r="3856" spans="11:11" x14ac:dyDescent="0.25">
      <c r="K3856" s="8" t="e">
        <f t="shared" si="60"/>
        <v>#VALUE!</v>
      </c>
    </row>
    <row r="3857" spans="11:11" x14ac:dyDescent="0.25">
      <c r="K3857" s="8" t="e">
        <f t="shared" si="60"/>
        <v>#VALUE!</v>
      </c>
    </row>
    <row r="3858" spans="11:11" x14ac:dyDescent="0.25">
      <c r="K3858" s="8" t="e">
        <f t="shared" si="60"/>
        <v>#VALUE!</v>
      </c>
    </row>
    <row r="3859" spans="11:11" x14ac:dyDescent="0.25">
      <c r="K3859" s="8" t="e">
        <f t="shared" si="60"/>
        <v>#VALUE!</v>
      </c>
    </row>
    <row r="3860" spans="11:11" x14ac:dyDescent="0.25">
      <c r="K3860" s="8" t="e">
        <f t="shared" si="60"/>
        <v>#VALUE!</v>
      </c>
    </row>
    <row r="3861" spans="11:11" x14ac:dyDescent="0.25">
      <c r="K3861" s="8" t="e">
        <f t="shared" si="60"/>
        <v>#VALUE!</v>
      </c>
    </row>
    <row r="3862" spans="11:11" x14ac:dyDescent="0.25">
      <c r="K3862" s="8" t="e">
        <f t="shared" si="60"/>
        <v>#VALUE!</v>
      </c>
    </row>
    <row r="3863" spans="11:11" x14ac:dyDescent="0.25">
      <c r="K3863" s="8" t="e">
        <f t="shared" si="60"/>
        <v>#VALUE!</v>
      </c>
    </row>
    <row r="3864" spans="11:11" x14ac:dyDescent="0.25">
      <c r="K3864" s="8" t="e">
        <f t="shared" si="60"/>
        <v>#VALUE!</v>
      </c>
    </row>
    <row r="3865" spans="11:11" x14ac:dyDescent="0.25">
      <c r="K3865" s="8" t="e">
        <f t="shared" si="60"/>
        <v>#VALUE!</v>
      </c>
    </row>
    <row r="3866" spans="11:11" x14ac:dyDescent="0.25">
      <c r="K3866" s="8" t="e">
        <f t="shared" si="60"/>
        <v>#VALUE!</v>
      </c>
    </row>
    <row r="3867" spans="11:11" x14ac:dyDescent="0.25">
      <c r="K3867" s="8" t="e">
        <f t="shared" si="60"/>
        <v>#VALUE!</v>
      </c>
    </row>
    <row r="3868" spans="11:11" x14ac:dyDescent="0.25">
      <c r="K3868" s="8" t="e">
        <f t="shared" si="60"/>
        <v>#VALUE!</v>
      </c>
    </row>
    <row r="3869" spans="11:11" x14ac:dyDescent="0.25">
      <c r="K3869" s="8" t="e">
        <f t="shared" si="60"/>
        <v>#VALUE!</v>
      </c>
    </row>
    <row r="3870" spans="11:11" x14ac:dyDescent="0.25">
      <c r="K3870" s="8" t="e">
        <f t="shared" si="60"/>
        <v>#VALUE!</v>
      </c>
    </row>
    <row r="3871" spans="11:11" x14ac:dyDescent="0.25">
      <c r="K3871" s="8" t="e">
        <f t="shared" si="60"/>
        <v>#VALUE!</v>
      </c>
    </row>
    <row r="3872" spans="11:11" x14ac:dyDescent="0.25">
      <c r="K3872" s="8" t="e">
        <f t="shared" si="60"/>
        <v>#VALUE!</v>
      </c>
    </row>
    <row r="3873" spans="11:11" x14ac:dyDescent="0.25">
      <c r="K3873" s="8" t="e">
        <f t="shared" si="60"/>
        <v>#VALUE!</v>
      </c>
    </row>
    <row r="3874" spans="11:11" x14ac:dyDescent="0.25">
      <c r="K3874" s="8" t="e">
        <f t="shared" si="60"/>
        <v>#VALUE!</v>
      </c>
    </row>
    <row r="3875" spans="11:11" x14ac:dyDescent="0.25">
      <c r="K3875" s="8" t="e">
        <f t="shared" si="60"/>
        <v>#VALUE!</v>
      </c>
    </row>
    <row r="3876" spans="11:11" x14ac:dyDescent="0.25">
      <c r="K3876" s="8" t="e">
        <f t="shared" si="60"/>
        <v>#VALUE!</v>
      </c>
    </row>
    <row r="3877" spans="11:11" x14ac:dyDescent="0.25">
      <c r="K3877" s="8" t="e">
        <f t="shared" si="60"/>
        <v>#VALUE!</v>
      </c>
    </row>
    <row r="3878" spans="11:11" x14ac:dyDescent="0.25">
      <c r="K3878" s="8" t="e">
        <f t="shared" si="60"/>
        <v>#VALUE!</v>
      </c>
    </row>
    <row r="3879" spans="11:11" x14ac:dyDescent="0.25">
      <c r="K3879" s="8" t="e">
        <f t="shared" si="60"/>
        <v>#VALUE!</v>
      </c>
    </row>
    <row r="3880" spans="11:11" x14ac:dyDescent="0.25">
      <c r="K3880" s="8" t="e">
        <f t="shared" si="60"/>
        <v>#VALUE!</v>
      </c>
    </row>
    <row r="3881" spans="11:11" x14ac:dyDescent="0.25">
      <c r="K3881" s="8" t="e">
        <f t="shared" si="60"/>
        <v>#VALUE!</v>
      </c>
    </row>
    <row r="3882" spans="11:11" x14ac:dyDescent="0.25">
      <c r="K3882" s="8" t="e">
        <f t="shared" si="60"/>
        <v>#VALUE!</v>
      </c>
    </row>
    <row r="3883" spans="11:11" x14ac:dyDescent="0.25">
      <c r="K3883" s="8" t="e">
        <f t="shared" si="60"/>
        <v>#VALUE!</v>
      </c>
    </row>
    <row r="3884" spans="11:11" x14ac:dyDescent="0.25">
      <c r="K3884" s="8" t="e">
        <f t="shared" si="60"/>
        <v>#VALUE!</v>
      </c>
    </row>
    <row r="3885" spans="11:11" x14ac:dyDescent="0.25">
      <c r="K3885" s="8" t="e">
        <f t="shared" si="60"/>
        <v>#VALUE!</v>
      </c>
    </row>
    <row r="3886" spans="11:11" x14ac:dyDescent="0.25">
      <c r="K3886" s="8" t="e">
        <f t="shared" si="60"/>
        <v>#VALUE!</v>
      </c>
    </row>
    <row r="3887" spans="11:11" x14ac:dyDescent="0.25">
      <c r="K3887" s="8" t="e">
        <f t="shared" si="60"/>
        <v>#VALUE!</v>
      </c>
    </row>
    <row r="3888" spans="11:11" x14ac:dyDescent="0.25">
      <c r="K3888" s="8" t="e">
        <f t="shared" si="60"/>
        <v>#VALUE!</v>
      </c>
    </row>
    <row r="3889" spans="11:11" x14ac:dyDescent="0.25">
      <c r="K3889" s="8" t="e">
        <f t="shared" si="60"/>
        <v>#VALUE!</v>
      </c>
    </row>
    <row r="3890" spans="11:11" x14ac:dyDescent="0.25">
      <c r="K3890" s="8" t="e">
        <f t="shared" si="60"/>
        <v>#VALUE!</v>
      </c>
    </row>
    <row r="3891" spans="11:11" x14ac:dyDescent="0.25">
      <c r="K3891" s="8" t="e">
        <f t="shared" si="60"/>
        <v>#VALUE!</v>
      </c>
    </row>
    <row r="3892" spans="11:11" x14ac:dyDescent="0.25">
      <c r="K3892" s="8" t="e">
        <f t="shared" si="60"/>
        <v>#VALUE!</v>
      </c>
    </row>
    <row r="3893" spans="11:11" x14ac:dyDescent="0.25">
      <c r="K3893" s="8" t="e">
        <f t="shared" si="60"/>
        <v>#VALUE!</v>
      </c>
    </row>
    <row r="3894" spans="11:11" x14ac:dyDescent="0.25">
      <c r="K3894" s="8" t="e">
        <f t="shared" si="60"/>
        <v>#VALUE!</v>
      </c>
    </row>
    <row r="3895" spans="11:11" x14ac:dyDescent="0.25">
      <c r="K3895" s="8" t="e">
        <f t="shared" si="60"/>
        <v>#VALUE!</v>
      </c>
    </row>
    <row r="3896" spans="11:11" x14ac:dyDescent="0.25">
      <c r="K3896" s="8" t="e">
        <f t="shared" si="60"/>
        <v>#VALUE!</v>
      </c>
    </row>
    <row r="3897" spans="11:11" x14ac:dyDescent="0.25">
      <c r="K3897" s="8" t="e">
        <f t="shared" si="60"/>
        <v>#VALUE!</v>
      </c>
    </row>
    <row r="3898" spans="11:11" x14ac:dyDescent="0.25">
      <c r="K3898" s="8" t="e">
        <f t="shared" si="60"/>
        <v>#VALUE!</v>
      </c>
    </row>
    <row r="3899" spans="11:11" x14ac:dyDescent="0.25">
      <c r="K3899" s="8" t="e">
        <f t="shared" si="60"/>
        <v>#VALUE!</v>
      </c>
    </row>
    <row r="3900" spans="11:11" x14ac:dyDescent="0.25">
      <c r="K3900" s="8" t="e">
        <f t="shared" si="60"/>
        <v>#VALUE!</v>
      </c>
    </row>
    <row r="3901" spans="11:11" x14ac:dyDescent="0.25">
      <c r="K3901" s="8" t="e">
        <f t="shared" si="60"/>
        <v>#VALUE!</v>
      </c>
    </row>
    <row r="3902" spans="11:11" x14ac:dyDescent="0.25">
      <c r="K3902" s="8" t="e">
        <f t="shared" si="60"/>
        <v>#VALUE!</v>
      </c>
    </row>
    <row r="3903" spans="11:11" x14ac:dyDescent="0.25">
      <c r="K3903" s="8" t="e">
        <f t="shared" si="60"/>
        <v>#VALUE!</v>
      </c>
    </row>
    <row r="3904" spans="11:11" x14ac:dyDescent="0.25">
      <c r="K3904" s="8" t="e">
        <f t="shared" si="60"/>
        <v>#VALUE!</v>
      </c>
    </row>
    <row r="3905" spans="11:11" x14ac:dyDescent="0.25">
      <c r="K3905" s="8" t="e">
        <f t="shared" si="60"/>
        <v>#VALUE!</v>
      </c>
    </row>
    <row r="3906" spans="11:11" x14ac:dyDescent="0.25">
      <c r="K3906" s="8" t="e">
        <f t="shared" si="60"/>
        <v>#VALUE!</v>
      </c>
    </row>
    <row r="3907" spans="11:11" x14ac:dyDescent="0.25">
      <c r="K3907" s="8" t="e">
        <f t="shared" ref="K3907:K3970" si="61">LEFT(A3907,FIND("/",A3907)-1)</f>
        <v>#VALUE!</v>
      </c>
    </row>
    <row r="3908" spans="11:11" x14ac:dyDescent="0.25">
      <c r="K3908" s="8" t="e">
        <f t="shared" si="61"/>
        <v>#VALUE!</v>
      </c>
    </row>
    <row r="3909" spans="11:11" x14ac:dyDescent="0.25">
      <c r="K3909" s="8" t="e">
        <f t="shared" si="61"/>
        <v>#VALUE!</v>
      </c>
    </row>
    <row r="3910" spans="11:11" x14ac:dyDescent="0.25">
      <c r="K3910" s="8" t="e">
        <f t="shared" si="61"/>
        <v>#VALUE!</v>
      </c>
    </row>
    <row r="3911" spans="11:11" x14ac:dyDescent="0.25">
      <c r="K3911" s="8" t="e">
        <f t="shared" si="61"/>
        <v>#VALUE!</v>
      </c>
    </row>
    <row r="3912" spans="11:11" x14ac:dyDescent="0.25">
      <c r="K3912" s="8" t="e">
        <f t="shared" si="61"/>
        <v>#VALUE!</v>
      </c>
    </row>
    <row r="3913" spans="11:11" x14ac:dyDescent="0.25">
      <c r="K3913" s="8" t="e">
        <f t="shared" si="61"/>
        <v>#VALUE!</v>
      </c>
    </row>
    <row r="3914" spans="11:11" x14ac:dyDescent="0.25">
      <c r="K3914" s="8" t="e">
        <f t="shared" si="61"/>
        <v>#VALUE!</v>
      </c>
    </row>
    <row r="3915" spans="11:11" x14ac:dyDescent="0.25">
      <c r="K3915" s="8" t="e">
        <f t="shared" si="61"/>
        <v>#VALUE!</v>
      </c>
    </row>
    <row r="3916" spans="11:11" x14ac:dyDescent="0.25">
      <c r="K3916" s="8" t="e">
        <f t="shared" si="61"/>
        <v>#VALUE!</v>
      </c>
    </row>
    <row r="3917" spans="11:11" x14ac:dyDescent="0.25">
      <c r="K3917" s="8" t="e">
        <f t="shared" si="61"/>
        <v>#VALUE!</v>
      </c>
    </row>
    <row r="3918" spans="11:11" x14ac:dyDescent="0.25">
      <c r="K3918" s="8" t="e">
        <f t="shared" si="61"/>
        <v>#VALUE!</v>
      </c>
    </row>
    <row r="3919" spans="11:11" x14ac:dyDescent="0.25">
      <c r="K3919" s="8" t="e">
        <f t="shared" si="61"/>
        <v>#VALUE!</v>
      </c>
    </row>
    <row r="3920" spans="11:11" x14ac:dyDescent="0.25">
      <c r="K3920" s="8" t="e">
        <f t="shared" si="61"/>
        <v>#VALUE!</v>
      </c>
    </row>
    <row r="3921" spans="11:11" x14ac:dyDescent="0.25">
      <c r="K3921" s="8" t="e">
        <f t="shared" si="61"/>
        <v>#VALUE!</v>
      </c>
    </row>
    <row r="3922" spans="11:11" x14ac:dyDescent="0.25">
      <c r="K3922" s="8" t="e">
        <f t="shared" si="61"/>
        <v>#VALUE!</v>
      </c>
    </row>
    <row r="3923" spans="11:11" x14ac:dyDescent="0.25">
      <c r="K3923" s="8" t="e">
        <f t="shared" si="61"/>
        <v>#VALUE!</v>
      </c>
    </row>
    <row r="3924" spans="11:11" x14ac:dyDescent="0.25">
      <c r="K3924" s="8" t="e">
        <f t="shared" si="61"/>
        <v>#VALUE!</v>
      </c>
    </row>
    <row r="3925" spans="11:11" x14ac:dyDescent="0.25">
      <c r="K3925" s="8" t="e">
        <f t="shared" si="61"/>
        <v>#VALUE!</v>
      </c>
    </row>
    <row r="3926" spans="11:11" x14ac:dyDescent="0.25">
      <c r="K3926" s="8" t="e">
        <f t="shared" si="61"/>
        <v>#VALUE!</v>
      </c>
    </row>
    <row r="3927" spans="11:11" x14ac:dyDescent="0.25">
      <c r="K3927" s="8" t="e">
        <f t="shared" si="61"/>
        <v>#VALUE!</v>
      </c>
    </row>
    <row r="3928" spans="11:11" x14ac:dyDescent="0.25">
      <c r="K3928" s="8" t="e">
        <f t="shared" si="61"/>
        <v>#VALUE!</v>
      </c>
    </row>
    <row r="3929" spans="11:11" x14ac:dyDescent="0.25">
      <c r="K3929" s="8" t="e">
        <f t="shared" si="61"/>
        <v>#VALUE!</v>
      </c>
    </row>
    <row r="3930" spans="11:11" x14ac:dyDescent="0.25">
      <c r="K3930" s="8" t="e">
        <f t="shared" si="61"/>
        <v>#VALUE!</v>
      </c>
    </row>
    <row r="3931" spans="11:11" x14ac:dyDescent="0.25">
      <c r="K3931" s="8" t="e">
        <f t="shared" si="61"/>
        <v>#VALUE!</v>
      </c>
    </row>
    <row r="3932" spans="11:11" x14ac:dyDescent="0.25">
      <c r="K3932" s="8" t="e">
        <f t="shared" si="61"/>
        <v>#VALUE!</v>
      </c>
    </row>
    <row r="3933" spans="11:11" x14ac:dyDescent="0.25">
      <c r="K3933" s="8" t="e">
        <f t="shared" si="61"/>
        <v>#VALUE!</v>
      </c>
    </row>
    <row r="3934" spans="11:11" x14ac:dyDescent="0.25">
      <c r="K3934" s="8" t="e">
        <f t="shared" si="61"/>
        <v>#VALUE!</v>
      </c>
    </row>
    <row r="3935" spans="11:11" x14ac:dyDescent="0.25">
      <c r="K3935" s="8" t="e">
        <f t="shared" si="61"/>
        <v>#VALUE!</v>
      </c>
    </row>
    <row r="3936" spans="11:11" x14ac:dyDescent="0.25">
      <c r="K3936" s="8" t="e">
        <f t="shared" si="61"/>
        <v>#VALUE!</v>
      </c>
    </row>
    <row r="3937" spans="11:11" x14ac:dyDescent="0.25">
      <c r="K3937" s="8" t="e">
        <f t="shared" si="61"/>
        <v>#VALUE!</v>
      </c>
    </row>
    <row r="3938" spans="11:11" x14ac:dyDescent="0.25">
      <c r="K3938" s="8" t="e">
        <f t="shared" si="61"/>
        <v>#VALUE!</v>
      </c>
    </row>
    <row r="3939" spans="11:11" x14ac:dyDescent="0.25">
      <c r="K3939" s="8" t="e">
        <f t="shared" si="61"/>
        <v>#VALUE!</v>
      </c>
    </row>
    <row r="3940" spans="11:11" x14ac:dyDescent="0.25">
      <c r="K3940" s="8" t="e">
        <f t="shared" si="61"/>
        <v>#VALUE!</v>
      </c>
    </row>
    <row r="3941" spans="11:11" x14ac:dyDescent="0.25">
      <c r="K3941" s="8" t="e">
        <f t="shared" si="61"/>
        <v>#VALUE!</v>
      </c>
    </row>
    <row r="3942" spans="11:11" x14ac:dyDescent="0.25">
      <c r="K3942" s="8" t="e">
        <f t="shared" si="61"/>
        <v>#VALUE!</v>
      </c>
    </row>
    <row r="3943" spans="11:11" x14ac:dyDescent="0.25">
      <c r="K3943" s="8" t="e">
        <f t="shared" si="61"/>
        <v>#VALUE!</v>
      </c>
    </row>
    <row r="3944" spans="11:11" x14ac:dyDescent="0.25">
      <c r="K3944" s="8" t="e">
        <f t="shared" si="61"/>
        <v>#VALUE!</v>
      </c>
    </row>
    <row r="3945" spans="11:11" x14ac:dyDescent="0.25">
      <c r="K3945" s="8" t="e">
        <f t="shared" si="61"/>
        <v>#VALUE!</v>
      </c>
    </row>
    <row r="3946" spans="11:11" x14ac:dyDescent="0.25">
      <c r="K3946" s="8" t="e">
        <f t="shared" si="61"/>
        <v>#VALUE!</v>
      </c>
    </row>
    <row r="3947" spans="11:11" x14ac:dyDescent="0.25">
      <c r="K3947" s="8" t="e">
        <f t="shared" si="61"/>
        <v>#VALUE!</v>
      </c>
    </row>
    <row r="3948" spans="11:11" x14ac:dyDescent="0.25">
      <c r="K3948" s="8" t="e">
        <f t="shared" si="61"/>
        <v>#VALUE!</v>
      </c>
    </row>
    <row r="3949" spans="11:11" x14ac:dyDescent="0.25">
      <c r="K3949" s="8" t="e">
        <f t="shared" si="61"/>
        <v>#VALUE!</v>
      </c>
    </row>
    <row r="3950" spans="11:11" x14ac:dyDescent="0.25">
      <c r="K3950" s="8" t="e">
        <f t="shared" si="61"/>
        <v>#VALUE!</v>
      </c>
    </row>
    <row r="3951" spans="11:11" x14ac:dyDescent="0.25">
      <c r="K3951" s="8" t="e">
        <f t="shared" si="61"/>
        <v>#VALUE!</v>
      </c>
    </row>
    <row r="3952" spans="11:11" x14ac:dyDescent="0.25">
      <c r="K3952" s="8" t="e">
        <f t="shared" si="61"/>
        <v>#VALUE!</v>
      </c>
    </row>
    <row r="3953" spans="11:11" x14ac:dyDescent="0.25">
      <c r="K3953" s="8" t="e">
        <f t="shared" si="61"/>
        <v>#VALUE!</v>
      </c>
    </row>
    <row r="3954" spans="11:11" x14ac:dyDescent="0.25">
      <c r="K3954" s="8" t="e">
        <f t="shared" si="61"/>
        <v>#VALUE!</v>
      </c>
    </row>
    <row r="3955" spans="11:11" x14ac:dyDescent="0.25">
      <c r="K3955" s="8" t="e">
        <f t="shared" si="61"/>
        <v>#VALUE!</v>
      </c>
    </row>
    <row r="3956" spans="11:11" x14ac:dyDescent="0.25">
      <c r="K3956" s="8" t="e">
        <f t="shared" si="61"/>
        <v>#VALUE!</v>
      </c>
    </row>
    <row r="3957" spans="11:11" x14ac:dyDescent="0.25">
      <c r="K3957" s="8" t="e">
        <f t="shared" si="61"/>
        <v>#VALUE!</v>
      </c>
    </row>
    <row r="3958" spans="11:11" x14ac:dyDescent="0.25">
      <c r="K3958" s="8" t="e">
        <f t="shared" si="61"/>
        <v>#VALUE!</v>
      </c>
    </row>
    <row r="3959" spans="11:11" x14ac:dyDescent="0.25">
      <c r="K3959" s="8" t="e">
        <f t="shared" si="61"/>
        <v>#VALUE!</v>
      </c>
    </row>
    <row r="3960" spans="11:11" x14ac:dyDescent="0.25">
      <c r="K3960" s="8" t="e">
        <f t="shared" si="61"/>
        <v>#VALUE!</v>
      </c>
    </row>
    <row r="3961" spans="11:11" x14ac:dyDescent="0.25">
      <c r="K3961" s="8" t="e">
        <f t="shared" si="61"/>
        <v>#VALUE!</v>
      </c>
    </row>
    <row r="3962" spans="11:11" x14ac:dyDescent="0.25">
      <c r="K3962" s="8" t="e">
        <f t="shared" si="61"/>
        <v>#VALUE!</v>
      </c>
    </row>
    <row r="3963" spans="11:11" x14ac:dyDescent="0.25">
      <c r="K3963" s="8" t="e">
        <f t="shared" si="61"/>
        <v>#VALUE!</v>
      </c>
    </row>
    <row r="3964" spans="11:11" x14ac:dyDescent="0.25">
      <c r="K3964" s="8" t="e">
        <f t="shared" si="61"/>
        <v>#VALUE!</v>
      </c>
    </row>
    <row r="3965" spans="11:11" x14ac:dyDescent="0.25">
      <c r="K3965" s="8" t="e">
        <f t="shared" si="61"/>
        <v>#VALUE!</v>
      </c>
    </row>
    <row r="3966" spans="11:11" x14ac:dyDescent="0.25">
      <c r="K3966" s="8" t="e">
        <f t="shared" si="61"/>
        <v>#VALUE!</v>
      </c>
    </row>
    <row r="3967" spans="11:11" x14ac:dyDescent="0.25">
      <c r="K3967" s="8" t="e">
        <f t="shared" si="61"/>
        <v>#VALUE!</v>
      </c>
    </row>
    <row r="3968" spans="11:11" x14ac:dyDescent="0.25">
      <c r="K3968" s="8" t="e">
        <f t="shared" si="61"/>
        <v>#VALUE!</v>
      </c>
    </row>
    <row r="3969" spans="11:11" x14ac:dyDescent="0.25">
      <c r="K3969" s="8" t="e">
        <f t="shared" si="61"/>
        <v>#VALUE!</v>
      </c>
    </row>
    <row r="3970" spans="11:11" x14ac:dyDescent="0.25">
      <c r="K3970" s="8" t="e">
        <f t="shared" si="61"/>
        <v>#VALUE!</v>
      </c>
    </row>
    <row r="3971" spans="11:11" x14ac:dyDescent="0.25">
      <c r="K3971" s="8" t="e">
        <f t="shared" ref="K3971:K4034" si="62">LEFT(A3971,FIND("/",A3971)-1)</f>
        <v>#VALUE!</v>
      </c>
    </row>
    <row r="3972" spans="11:11" x14ac:dyDescent="0.25">
      <c r="K3972" s="8" t="e">
        <f t="shared" si="62"/>
        <v>#VALUE!</v>
      </c>
    </row>
    <row r="3973" spans="11:11" x14ac:dyDescent="0.25">
      <c r="K3973" s="8" t="e">
        <f t="shared" si="62"/>
        <v>#VALUE!</v>
      </c>
    </row>
    <row r="3974" spans="11:11" x14ac:dyDescent="0.25">
      <c r="K3974" s="8" t="e">
        <f t="shared" si="62"/>
        <v>#VALUE!</v>
      </c>
    </row>
    <row r="3975" spans="11:11" x14ac:dyDescent="0.25">
      <c r="K3975" s="8" t="e">
        <f t="shared" si="62"/>
        <v>#VALUE!</v>
      </c>
    </row>
    <row r="3976" spans="11:11" x14ac:dyDescent="0.25">
      <c r="K3976" s="8" t="e">
        <f t="shared" si="62"/>
        <v>#VALUE!</v>
      </c>
    </row>
    <row r="3977" spans="11:11" x14ac:dyDescent="0.25">
      <c r="K3977" s="8" t="e">
        <f t="shared" si="62"/>
        <v>#VALUE!</v>
      </c>
    </row>
    <row r="3978" spans="11:11" x14ac:dyDescent="0.25">
      <c r="K3978" s="8" t="e">
        <f t="shared" si="62"/>
        <v>#VALUE!</v>
      </c>
    </row>
    <row r="3979" spans="11:11" x14ac:dyDescent="0.25">
      <c r="K3979" s="8" t="e">
        <f t="shared" si="62"/>
        <v>#VALUE!</v>
      </c>
    </row>
    <row r="3980" spans="11:11" x14ac:dyDescent="0.25">
      <c r="K3980" s="8" t="e">
        <f t="shared" si="62"/>
        <v>#VALUE!</v>
      </c>
    </row>
    <row r="3981" spans="11:11" x14ac:dyDescent="0.25">
      <c r="K3981" s="8" t="e">
        <f t="shared" si="62"/>
        <v>#VALUE!</v>
      </c>
    </row>
    <row r="3982" spans="11:11" x14ac:dyDescent="0.25">
      <c r="K3982" s="8" t="e">
        <f t="shared" si="62"/>
        <v>#VALUE!</v>
      </c>
    </row>
    <row r="3983" spans="11:11" x14ac:dyDescent="0.25">
      <c r="K3983" s="8" t="e">
        <f t="shared" si="62"/>
        <v>#VALUE!</v>
      </c>
    </row>
    <row r="3984" spans="11:11" x14ac:dyDescent="0.25">
      <c r="K3984" s="8" t="e">
        <f t="shared" si="62"/>
        <v>#VALUE!</v>
      </c>
    </row>
    <row r="3985" spans="11:11" x14ac:dyDescent="0.25">
      <c r="K3985" s="8" t="e">
        <f t="shared" si="62"/>
        <v>#VALUE!</v>
      </c>
    </row>
    <row r="3986" spans="11:11" x14ac:dyDescent="0.25">
      <c r="K3986" s="8" t="e">
        <f t="shared" si="62"/>
        <v>#VALUE!</v>
      </c>
    </row>
    <row r="3987" spans="11:11" x14ac:dyDescent="0.25">
      <c r="K3987" s="8" t="e">
        <f t="shared" si="62"/>
        <v>#VALUE!</v>
      </c>
    </row>
    <row r="3988" spans="11:11" x14ac:dyDescent="0.25">
      <c r="K3988" s="8" t="e">
        <f t="shared" si="62"/>
        <v>#VALUE!</v>
      </c>
    </row>
    <row r="3989" spans="11:11" x14ac:dyDescent="0.25">
      <c r="K3989" s="8" t="e">
        <f t="shared" si="62"/>
        <v>#VALUE!</v>
      </c>
    </row>
    <row r="3990" spans="11:11" x14ac:dyDescent="0.25">
      <c r="K3990" s="8" t="e">
        <f t="shared" si="62"/>
        <v>#VALUE!</v>
      </c>
    </row>
    <row r="3991" spans="11:11" x14ac:dyDescent="0.25">
      <c r="K3991" s="8" t="e">
        <f t="shared" si="62"/>
        <v>#VALUE!</v>
      </c>
    </row>
    <row r="3992" spans="11:11" x14ac:dyDescent="0.25">
      <c r="K3992" s="8" t="e">
        <f t="shared" si="62"/>
        <v>#VALUE!</v>
      </c>
    </row>
    <row r="3993" spans="11:11" x14ac:dyDescent="0.25">
      <c r="K3993" s="8" t="e">
        <f t="shared" si="62"/>
        <v>#VALUE!</v>
      </c>
    </row>
    <row r="3994" spans="11:11" x14ac:dyDescent="0.25">
      <c r="K3994" s="8" t="e">
        <f t="shared" si="62"/>
        <v>#VALUE!</v>
      </c>
    </row>
    <row r="3995" spans="11:11" x14ac:dyDescent="0.25">
      <c r="K3995" s="8" t="e">
        <f t="shared" si="62"/>
        <v>#VALUE!</v>
      </c>
    </row>
    <row r="3996" spans="11:11" x14ac:dyDescent="0.25">
      <c r="K3996" s="8" t="e">
        <f t="shared" si="62"/>
        <v>#VALUE!</v>
      </c>
    </row>
    <row r="3997" spans="11:11" x14ac:dyDescent="0.25">
      <c r="K3997" s="8" t="e">
        <f t="shared" si="62"/>
        <v>#VALUE!</v>
      </c>
    </row>
    <row r="3998" spans="11:11" x14ac:dyDescent="0.25">
      <c r="K3998" s="8" t="e">
        <f t="shared" si="62"/>
        <v>#VALUE!</v>
      </c>
    </row>
    <row r="3999" spans="11:11" x14ac:dyDescent="0.25">
      <c r="K3999" s="8" t="e">
        <f t="shared" si="62"/>
        <v>#VALUE!</v>
      </c>
    </row>
    <row r="4000" spans="11:11" x14ac:dyDescent="0.25">
      <c r="K4000" s="8" t="e">
        <f t="shared" si="62"/>
        <v>#VALUE!</v>
      </c>
    </row>
    <row r="4001" spans="11:11" x14ac:dyDescent="0.25">
      <c r="K4001" s="8" t="e">
        <f t="shared" si="62"/>
        <v>#VALUE!</v>
      </c>
    </row>
    <row r="4002" spans="11:11" x14ac:dyDescent="0.25">
      <c r="K4002" s="8" t="e">
        <f t="shared" si="62"/>
        <v>#VALUE!</v>
      </c>
    </row>
    <row r="4003" spans="11:11" x14ac:dyDescent="0.25">
      <c r="K4003" s="8" t="e">
        <f t="shared" si="62"/>
        <v>#VALUE!</v>
      </c>
    </row>
    <row r="4004" spans="11:11" x14ac:dyDescent="0.25">
      <c r="K4004" s="8" t="e">
        <f t="shared" si="62"/>
        <v>#VALUE!</v>
      </c>
    </row>
    <row r="4005" spans="11:11" x14ac:dyDescent="0.25">
      <c r="K4005" s="8" t="e">
        <f t="shared" si="62"/>
        <v>#VALUE!</v>
      </c>
    </row>
    <row r="4006" spans="11:11" x14ac:dyDescent="0.25">
      <c r="K4006" s="8" t="e">
        <f t="shared" si="62"/>
        <v>#VALUE!</v>
      </c>
    </row>
    <row r="4007" spans="11:11" x14ac:dyDescent="0.25">
      <c r="K4007" s="8" t="e">
        <f t="shared" si="62"/>
        <v>#VALUE!</v>
      </c>
    </row>
    <row r="4008" spans="11:11" x14ac:dyDescent="0.25">
      <c r="K4008" s="8" t="e">
        <f t="shared" si="62"/>
        <v>#VALUE!</v>
      </c>
    </row>
    <row r="4009" spans="11:11" x14ac:dyDescent="0.25">
      <c r="K4009" s="8" t="e">
        <f t="shared" si="62"/>
        <v>#VALUE!</v>
      </c>
    </row>
    <row r="4010" spans="11:11" x14ac:dyDescent="0.25">
      <c r="K4010" s="8" t="e">
        <f t="shared" si="62"/>
        <v>#VALUE!</v>
      </c>
    </row>
    <row r="4011" spans="11:11" x14ac:dyDescent="0.25">
      <c r="K4011" s="8" t="e">
        <f t="shared" si="62"/>
        <v>#VALUE!</v>
      </c>
    </row>
    <row r="4012" spans="11:11" x14ac:dyDescent="0.25">
      <c r="K4012" s="8" t="e">
        <f t="shared" si="62"/>
        <v>#VALUE!</v>
      </c>
    </row>
    <row r="4013" spans="11:11" x14ac:dyDescent="0.25">
      <c r="K4013" s="8" t="e">
        <f t="shared" si="62"/>
        <v>#VALUE!</v>
      </c>
    </row>
    <row r="4014" spans="11:11" x14ac:dyDescent="0.25">
      <c r="K4014" s="8" t="e">
        <f t="shared" si="62"/>
        <v>#VALUE!</v>
      </c>
    </row>
    <row r="4015" spans="11:11" x14ac:dyDescent="0.25">
      <c r="K4015" s="8" t="e">
        <f t="shared" si="62"/>
        <v>#VALUE!</v>
      </c>
    </row>
    <row r="4016" spans="11:11" x14ac:dyDescent="0.25">
      <c r="K4016" s="8" t="e">
        <f t="shared" si="62"/>
        <v>#VALUE!</v>
      </c>
    </row>
    <row r="4017" spans="11:11" x14ac:dyDescent="0.25">
      <c r="K4017" s="8" t="e">
        <f t="shared" si="62"/>
        <v>#VALUE!</v>
      </c>
    </row>
    <row r="4018" spans="11:11" x14ac:dyDescent="0.25">
      <c r="K4018" s="8" t="e">
        <f t="shared" si="62"/>
        <v>#VALUE!</v>
      </c>
    </row>
    <row r="4019" spans="11:11" x14ac:dyDescent="0.25">
      <c r="K4019" s="8" t="e">
        <f t="shared" si="62"/>
        <v>#VALUE!</v>
      </c>
    </row>
    <row r="4020" spans="11:11" x14ac:dyDescent="0.25">
      <c r="K4020" s="8" t="e">
        <f t="shared" si="62"/>
        <v>#VALUE!</v>
      </c>
    </row>
    <row r="4021" spans="11:11" x14ac:dyDescent="0.25">
      <c r="K4021" s="8" t="e">
        <f t="shared" si="62"/>
        <v>#VALUE!</v>
      </c>
    </row>
    <row r="4022" spans="11:11" x14ac:dyDescent="0.25">
      <c r="K4022" s="8" t="e">
        <f t="shared" si="62"/>
        <v>#VALUE!</v>
      </c>
    </row>
    <row r="4023" spans="11:11" x14ac:dyDescent="0.25">
      <c r="K4023" s="8" t="e">
        <f t="shared" si="62"/>
        <v>#VALUE!</v>
      </c>
    </row>
    <row r="4024" spans="11:11" x14ac:dyDescent="0.25">
      <c r="K4024" s="8" t="e">
        <f t="shared" si="62"/>
        <v>#VALUE!</v>
      </c>
    </row>
    <row r="4025" spans="11:11" x14ac:dyDescent="0.25">
      <c r="K4025" s="8" t="e">
        <f t="shared" si="62"/>
        <v>#VALUE!</v>
      </c>
    </row>
    <row r="4026" spans="11:11" x14ac:dyDescent="0.25">
      <c r="K4026" s="8" t="e">
        <f t="shared" si="62"/>
        <v>#VALUE!</v>
      </c>
    </row>
    <row r="4027" spans="11:11" x14ac:dyDescent="0.25">
      <c r="K4027" s="8" t="e">
        <f t="shared" si="62"/>
        <v>#VALUE!</v>
      </c>
    </row>
    <row r="4028" spans="11:11" x14ac:dyDescent="0.25">
      <c r="K4028" s="8" t="e">
        <f t="shared" si="62"/>
        <v>#VALUE!</v>
      </c>
    </row>
    <row r="4029" spans="11:11" x14ac:dyDescent="0.25">
      <c r="K4029" s="8" t="e">
        <f t="shared" si="62"/>
        <v>#VALUE!</v>
      </c>
    </row>
    <row r="4030" spans="11:11" x14ac:dyDescent="0.25">
      <c r="K4030" s="8" t="e">
        <f t="shared" si="62"/>
        <v>#VALUE!</v>
      </c>
    </row>
    <row r="4031" spans="11:11" x14ac:dyDescent="0.25">
      <c r="K4031" s="8" t="e">
        <f t="shared" si="62"/>
        <v>#VALUE!</v>
      </c>
    </row>
    <row r="4032" spans="11:11" x14ac:dyDescent="0.25">
      <c r="K4032" s="8" t="e">
        <f t="shared" si="62"/>
        <v>#VALUE!</v>
      </c>
    </row>
    <row r="4033" spans="11:11" x14ac:dyDescent="0.25">
      <c r="K4033" s="8" t="e">
        <f t="shared" si="62"/>
        <v>#VALUE!</v>
      </c>
    </row>
    <row r="4034" spans="11:11" x14ac:dyDescent="0.25">
      <c r="K4034" s="8" t="e">
        <f t="shared" si="62"/>
        <v>#VALUE!</v>
      </c>
    </row>
    <row r="4035" spans="11:11" x14ac:dyDescent="0.25">
      <c r="K4035" s="8" t="e">
        <f t="shared" ref="K4035:K4098" si="63">LEFT(A4035,FIND("/",A4035)-1)</f>
        <v>#VALUE!</v>
      </c>
    </row>
    <row r="4036" spans="11:11" x14ac:dyDescent="0.25">
      <c r="K4036" s="8" t="e">
        <f t="shared" si="63"/>
        <v>#VALUE!</v>
      </c>
    </row>
    <row r="4037" spans="11:11" x14ac:dyDescent="0.25">
      <c r="K4037" s="8" t="e">
        <f t="shared" si="63"/>
        <v>#VALUE!</v>
      </c>
    </row>
    <row r="4038" spans="11:11" x14ac:dyDescent="0.25">
      <c r="K4038" s="8" t="e">
        <f t="shared" si="63"/>
        <v>#VALUE!</v>
      </c>
    </row>
    <row r="4039" spans="11:11" x14ac:dyDescent="0.25">
      <c r="K4039" s="8" t="e">
        <f t="shared" si="63"/>
        <v>#VALUE!</v>
      </c>
    </row>
    <row r="4040" spans="11:11" x14ac:dyDescent="0.25">
      <c r="K4040" s="8" t="e">
        <f t="shared" si="63"/>
        <v>#VALUE!</v>
      </c>
    </row>
    <row r="4041" spans="11:11" x14ac:dyDescent="0.25">
      <c r="K4041" s="8" t="e">
        <f t="shared" si="63"/>
        <v>#VALUE!</v>
      </c>
    </row>
    <row r="4042" spans="11:11" x14ac:dyDescent="0.25">
      <c r="K4042" s="8" t="e">
        <f t="shared" si="63"/>
        <v>#VALUE!</v>
      </c>
    </row>
    <row r="4043" spans="11:11" x14ac:dyDescent="0.25">
      <c r="K4043" s="8" t="e">
        <f t="shared" si="63"/>
        <v>#VALUE!</v>
      </c>
    </row>
    <row r="4044" spans="11:11" x14ac:dyDescent="0.25">
      <c r="K4044" s="8" t="e">
        <f t="shared" si="63"/>
        <v>#VALUE!</v>
      </c>
    </row>
    <row r="4045" spans="11:11" x14ac:dyDescent="0.25">
      <c r="K4045" s="8" t="e">
        <f t="shared" si="63"/>
        <v>#VALUE!</v>
      </c>
    </row>
    <row r="4046" spans="11:11" x14ac:dyDescent="0.25">
      <c r="K4046" s="8" t="e">
        <f t="shared" si="63"/>
        <v>#VALUE!</v>
      </c>
    </row>
    <row r="4047" spans="11:11" x14ac:dyDescent="0.25">
      <c r="K4047" s="8" t="e">
        <f t="shared" si="63"/>
        <v>#VALUE!</v>
      </c>
    </row>
    <row r="4048" spans="11:11" x14ac:dyDescent="0.25">
      <c r="K4048" s="8" t="e">
        <f t="shared" si="63"/>
        <v>#VALUE!</v>
      </c>
    </row>
    <row r="4049" spans="11:11" x14ac:dyDescent="0.25">
      <c r="K4049" s="8" t="e">
        <f t="shared" si="63"/>
        <v>#VALUE!</v>
      </c>
    </row>
    <row r="4050" spans="11:11" x14ac:dyDescent="0.25">
      <c r="K4050" s="8" t="e">
        <f t="shared" si="63"/>
        <v>#VALUE!</v>
      </c>
    </row>
    <row r="4051" spans="11:11" x14ac:dyDescent="0.25">
      <c r="K4051" s="8" t="e">
        <f t="shared" si="63"/>
        <v>#VALUE!</v>
      </c>
    </row>
    <row r="4052" spans="11:11" x14ac:dyDescent="0.25">
      <c r="K4052" s="8" t="e">
        <f t="shared" si="63"/>
        <v>#VALUE!</v>
      </c>
    </row>
    <row r="4053" spans="11:11" x14ac:dyDescent="0.25">
      <c r="K4053" s="8" t="e">
        <f t="shared" si="63"/>
        <v>#VALUE!</v>
      </c>
    </row>
    <row r="4054" spans="11:11" x14ac:dyDescent="0.25">
      <c r="K4054" s="8" t="e">
        <f t="shared" si="63"/>
        <v>#VALUE!</v>
      </c>
    </row>
    <row r="4055" spans="11:11" x14ac:dyDescent="0.25">
      <c r="K4055" s="8" t="e">
        <f t="shared" si="63"/>
        <v>#VALUE!</v>
      </c>
    </row>
    <row r="4056" spans="11:11" x14ac:dyDescent="0.25">
      <c r="K4056" s="8" t="e">
        <f t="shared" si="63"/>
        <v>#VALUE!</v>
      </c>
    </row>
    <row r="4057" spans="11:11" x14ac:dyDescent="0.25">
      <c r="K4057" s="8" t="e">
        <f t="shared" si="63"/>
        <v>#VALUE!</v>
      </c>
    </row>
    <row r="4058" spans="11:11" x14ac:dyDescent="0.25">
      <c r="K4058" s="8" t="e">
        <f t="shared" si="63"/>
        <v>#VALUE!</v>
      </c>
    </row>
    <row r="4059" spans="11:11" x14ac:dyDescent="0.25">
      <c r="K4059" s="8" t="e">
        <f t="shared" si="63"/>
        <v>#VALUE!</v>
      </c>
    </row>
    <row r="4060" spans="11:11" x14ac:dyDescent="0.25">
      <c r="K4060" s="8" t="e">
        <f t="shared" si="63"/>
        <v>#VALUE!</v>
      </c>
    </row>
    <row r="4061" spans="11:11" x14ac:dyDescent="0.25">
      <c r="K4061" s="8" t="e">
        <f t="shared" si="63"/>
        <v>#VALUE!</v>
      </c>
    </row>
    <row r="4062" spans="11:11" x14ac:dyDescent="0.25">
      <c r="K4062" s="8" t="e">
        <f t="shared" si="63"/>
        <v>#VALUE!</v>
      </c>
    </row>
    <row r="4063" spans="11:11" x14ac:dyDescent="0.25">
      <c r="K4063" s="8" t="e">
        <f t="shared" si="63"/>
        <v>#VALUE!</v>
      </c>
    </row>
    <row r="4064" spans="11:11" x14ac:dyDescent="0.25">
      <c r="K4064" s="8" t="e">
        <f t="shared" si="63"/>
        <v>#VALUE!</v>
      </c>
    </row>
    <row r="4065" spans="11:11" x14ac:dyDescent="0.25">
      <c r="K4065" s="8" t="e">
        <f t="shared" si="63"/>
        <v>#VALUE!</v>
      </c>
    </row>
    <row r="4066" spans="11:11" x14ac:dyDescent="0.25">
      <c r="K4066" s="8" t="e">
        <f t="shared" si="63"/>
        <v>#VALUE!</v>
      </c>
    </row>
    <row r="4067" spans="11:11" x14ac:dyDescent="0.25">
      <c r="K4067" s="8" t="e">
        <f t="shared" si="63"/>
        <v>#VALUE!</v>
      </c>
    </row>
    <row r="4068" spans="11:11" x14ac:dyDescent="0.25">
      <c r="K4068" s="8" t="e">
        <f t="shared" si="63"/>
        <v>#VALUE!</v>
      </c>
    </row>
    <row r="4069" spans="11:11" x14ac:dyDescent="0.25">
      <c r="K4069" s="8" t="e">
        <f t="shared" si="63"/>
        <v>#VALUE!</v>
      </c>
    </row>
    <row r="4070" spans="11:11" x14ac:dyDescent="0.25">
      <c r="K4070" s="8" t="e">
        <f t="shared" si="63"/>
        <v>#VALUE!</v>
      </c>
    </row>
    <row r="4071" spans="11:11" x14ac:dyDescent="0.25">
      <c r="K4071" s="8" t="e">
        <f t="shared" si="63"/>
        <v>#VALUE!</v>
      </c>
    </row>
    <row r="4072" spans="11:11" x14ac:dyDescent="0.25">
      <c r="K4072" s="8" t="e">
        <f t="shared" si="63"/>
        <v>#VALUE!</v>
      </c>
    </row>
    <row r="4073" spans="11:11" x14ac:dyDescent="0.25">
      <c r="K4073" s="8" t="e">
        <f t="shared" si="63"/>
        <v>#VALUE!</v>
      </c>
    </row>
    <row r="4074" spans="11:11" x14ac:dyDescent="0.25">
      <c r="K4074" s="8" t="e">
        <f t="shared" si="63"/>
        <v>#VALUE!</v>
      </c>
    </row>
    <row r="4075" spans="11:11" x14ac:dyDescent="0.25">
      <c r="K4075" s="8" t="e">
        <f t="shared" si="63"/>
        <v>#VALUE!</v>
      </c>
    </row>
    <row r="4076" spans="11:11" x14ac:dyDescent="0.25">
      <c r="K4076" s="8" t="e">
        <f t="shared" si="63"/>
        <v>#VALUE!</v>
      </c>
    </row>
    <row r="4077" spans="11:11" x14ac:dyDescent="0.25">
      <c r="K4077" s="8" t="e">
        <f t="shared" si="63"/>
        <v>#VALUE!</v>
      </c>
    </row>
    <row r="4078" spans="11:11" x14ac:dyDescent="0.25">
      <c r="K4078" s="8" t="e">
        <f t="shared" si="63"/>
        <v>#VALUE!</v>
      </c>
    </row>
    <row r="4079" spans="11:11" x14ac:dyDescent="0.25">
      <c r="K4079" s="8" t="e">
        <f t="shared" si="63"/>
        <v>#VALUE!</v>
      </c>
    </row>
    <row r="4080" spans="11:11" x14ac:dyDescent="0.25">
      <c r="K4080" s="8" t="e">
        <f t="shared" si="63"/>
        <v>#VALUE!</v>
      </c>
    </row>
    <row r="4081" spans="11:11" x14ac:dyDescent="0.25">
      <c r="K4081" s="8" t="e">
        <f t="shared" si="63"/>
        <v>#VALUE!</v>
      </c>
    </row>
    <row r="4082" spans="11:11" x14ac:dyDescent="0.25">
      <c r="K4082" s="8" t="e">
        <f t="shared" si="63"/>
        <v>#VALUE!</v>
      </c>
    </row>
    <row r="4083" spans="11:11" x14ac:dyDescent="0.25">
      <c r="K4083" s="8" t="e">
        <f t="shared" si="63"/>
        <v>#VALUE!</v>
      </c>
    </row>
    <row r="4084" spans="11:11" x14ac:dyDescent="0.25">
      <c r="K4084" s="8" t="e">
        <f t="shared" si="63"/>
        <v>#VALUE!</v>
      </c>
    </row>
    <row r="4085" spans="11:11" x14ac:dyDescent="0.25">
      <c r="K4085" s="8" t="e">
        <f t="shared" si="63"/>
        <v>#VALUE!</v>
      </c>
    </row>
    <row r="4086" spans="11:11" x14ac:dyDescent="0.25">
      <c r="K4086" s="8" t="e">
        <f t="shared" si="63"/>
        <v>#VALUE!</v>
      </c>
    </row>
    <row r="4087" spans="11:11" x14ac:dyDescent="0.25">
      <c r="K4087" s="8" t="e">
        <f t="shared" si="63"/>
        <v>#VALUE!</v>
      </c>
    </row>
    <row r="4088" spans="11:11" x14ac:dyDescent="0.25">
      <c r="K4088" s="8" t="e">
        <f t="shared" si="63"/>
        <v>#VALUE!</v>
      </c>
    </row>
    <row r="4089" spans="11:11" x14ac:dyDescent="0.25">
      <c r="K4089" s="8" t="e">
        <f t="shared" si="63"/>
        <v>#VALUE!</v>
      </c>
    </row>
    <row r="4090" spans="11:11" x14ac:dyDescent="0.25">
      <c r="K4090" s="8" t="e">
        <f t="shared" si="63"/>
        <v>#VALUE!</v>
      </c>
    </row>
    <row r="4091" spans="11:11" x14ac:dyDescent="0.25">
      <c r="K4091" s="8" t="e">
        <f t="shared" si="63"/>
        <v>#VALUE!</v>
      </c>
    </row>
    <row r="4092" spans="11:11" x14ac:dyDescent="0.25">
      <c r="K4092" s="8" t="e">
        <f t="shared" si="63"/>
        <v>#VALUE!</v>
      </c>
    </row>
    <row r="4093" spans="11:11" x14ac:dyDescent="0.25">
      <c r="K4093" s="8" t="e">
        <f t="shared" si="63"/>
        <v>#VALUE!</v>
      </c>
    </row>
    <row r="4094" spans="11:11" x14ac:dyDescent="0.25">
      <c r="K4094" s="8" t="e">
        <f t="shared" si="63"/>
        <v>#VALUE!</v>
      </c>
    </row>
    <row r="4095" spans="11:11" x14ac:dyDescent="0.25">
      <c r="K4095" s="8" t="e">
        <f t="shared" si="63"/>
        <v>#VALUE!</v>
      </c>
    </row>
    <row r="4096" spans="11:11" x14ac:dyDescent="0.25">
      <c r="K4096" s="8" t="e">
        <f t="shared" si="63"/>
        <v>#VALUE!</v>
      </c>
    </row>
    <row r="4097" spans="11:11" x14ac:dyDescent="0.25">
      <c r="K4097" s="8" t="e">
        <f t="shared" si="63"/>
        <v>#VALUE!</v>
      </c>
    </row>
    <row r="4098" spans="11:11" x14ac:dyDescent="0.25">
      <c r="K4098" s="8" t="e">
        <f t="shared" si="63"/>
        <v>#VALUE!</v>
      </c>
    </row>
    <row r="4099" spans="11:11" x14ac:dyDescent="0.25">
      <c r="K4099" s="8" t="e">
        <f t="shared" ref="K4099:K4162" si="64">LEFT(A4099,FIND("/",A4099)-1)</f>
        <v>#VALUE!</v>
      </c>
    </row>
    <row r="4100" spans="11:11" x14ac:dyDescent="0.25">
      <c r="K4100" s="8" t="e">
        <f t="shared" si="64"/>
        <v>#VALUE!</v>
      </c>
    </row>
    <row r="4101" spans="11:11" x14ac:dyDescent="0.25">
      <c r="K4101" s="8" t="e">
        <f t="shared" si="64"/>
        <v>#VALUE!</v>
      </c>
    </row>
    <row r="4102" spans="11:11" x14ac:dyDescent="0.25">
      <c r="K4102" s="8" t="e">
        <f t="shared" si="64"/>
        <v>#VALUE!</v>
      </c>
    </row>
    <row r="4103" spans="11:11" x14ac:dyDescent="0.25">
      <c r="K4103" s="8" t="e">
        <f t="shared" si="64"/>
        <v>#VALUE!</v>
      </c>
    </row>
    <row r="4104" spans="11:11" x14ac:dyDescent="0.25">
      <c r="K4104" s="8" t="e">
        <f t="shared" si="64"/>
        <v>#VALUE!</v>
      </c>
    </row>
    <row r="4105" spans="11:11" x14ac:dyDescent="0.25">
      <c r="K4105" s="8" t="e">
        <f t="shared" si="64"/>
        <v>#VALUE!</v>
      </c>
    </row>
    <row r="4106" spans="11:11" x14ac:dyDescent="0.25">
      <c r="K4106" s="8" t="e">
        <f t="shared" si="64"/>
        <v>#VALUE!</v>
      </c>
    </row>
    <row r="4107" spans="11:11" x14ac:dyDescent="0.25">
      <c r="K4107" s="8" t="e">
        <f t="shared" si="64"/>
        <v>#VALUE!</v>
      </c>
    </row>
    <row r="4108" spans="11:11" x14ac:dyDescent="0.25">
      <c r="K4108" s="8" t="e">
        <f t="shared" si="64"/>
        <v>#VALUE!</v>
      </c>
    </row>
    <row r="4109" spans="11:11" x14ac:dyDescent="0.25">
      <c r="K4109" s="8" t="e">
        <f t="shared" si="64"/>
        <v>#VALUE!</v>
      </c>
    </row>
    <row r="4110" spans="11:11" x14ac:dyDescent="0.25">
      <c r="K4110" s="8" t="e">
        <f t="shared" si="64"/>
        <v>#VALUE!</v>
      </c>
    </row>
    <row r="4111" spans="11:11" x14ac:dyDescent="0.25">
      <c r="K4111" s="8" t="e">
        <f t="shared" si="64"/>
        <v>#VALUE!</v>
      </c>
    </row>
    <row r="4112" spans="11:11" x14ac:dyDescent="0.25">
      <c r="K4112" s="8" t="e">
        <f t="shared" si="64"/>
        <v>#VALUE!</v>
      </c>
    </row>
    <row r="4113" spans="11:11" x14ac:dyDescent="0.25">
      <c r="K4113" s="8" t="e">
        <f t="shared" si="64"/>
        <v>#VALUE!</v>
      </c>
    </row>
    <row r="4114" spans="11:11" x14ac:dyDescent="0.25">
      <c r="K4114" s="8" t="e">
        <f t="shared" si="64"/>
        <v>#VALUE!</v>
      </c>
    </row>
    <row r="4115" spans="11:11" x14ac:dyDescent="0.25">
      <c r="K4115" s="8" t="e">
        <f t="shared" si="64"/>
        <v>#VALUE!</v>
      </c>
    </row>
    <row r="4116" spans="11:11" x14ac:dyDescent="0.25">
      <c r="K4116" s="8" t="e">
        <f t="shared" si="64"/>
        <v>#VALUE!</v>
      </c>
    </row>
    <row r="4117" spans="11:11" x14ac:dyDescent="0.25">
      <c r="K4117" s="8" t="e">
        <f t="shared" si="64"/>
        <v>#VALUE!</v>
      </c>
    </row>
    <row r="4118" spans="11:11" x14ac:dyDescent="0.25">
      <c r="K4118" s="8" t="e">
        <f t="shared" si="64"/>
        <v>#VALUE!</v>
      </c>
    </row>
    <row r="4119" spans="11:11" x14ac:dyDescent="0.25">
      <c r="K4119" s="8" t="e">
        <f t="shared" si="64"/>
        <v>#VALUE!</v>
      </c>
    </row>
    <row r="4120" spans="11:11" x14ac:dyDescent="0.25">
      <c r="K4120" s="8" t="e">
        <f t="shared" si="64"/>
        <v>#VALUE!</v>
      </c>
    </row>
    <row r="4121" spans="11:11" x14ac:dyDescent="0.25">
      <c r="K4121" s="8" t="e">
        <f t="shared" si="64"/>
        <v>#VALUE!</v>
      </c>
    </row>
    <row r="4122" spans="11:11" x14ac:dyDescent="0.25">
      <c r="K4122" s="8" t="e">
        <f t="shared" si="64"/>
        <v>#VALUE!</v>
      </c>
    </row>
    <row r="4123" spans="11:11" x14ac:dyDescent="0.25">
      <c r="K4123" s="8" t="e">
        <f t="shared" si="64"/>
        <v>#VALUE!</v>
      </c>
    </row>
    <row r="4124" spans="11:11" x14ac:dyDescent="0.25">
      <c r="K4124" s="8" t="e">
        <f t="shared" si="64"/>
        <v>#VALUE!</v>
      </c>
    </row>
    <row r="4125" spans="11:11" x14ac:dyDescent="0.25">
      <c r="K4125" s="8" t="e">
        <f t="shared" si="64"/>
        <v>#VALUE!</v>
      </c>
    </row>
    <row r="4126" spans="11:11" x14ac:dyDescent="0.25">
      <c r="K4126" s="8" t="e">
        <f t="shared" si="64"/>
        <v>#VALUE!</v>
      </c>
    </row>
    <row r="4127" spans="11:11" x14ac:dyDescent="0.25">
      <c r="K4127" s="8" t="e">
        <f t="shared" si="64"/>
        <v>#VALUE!</v>
      </c>
    </row>
    <row r="4128" spans="11:11" x14ac:dyDescent="0.25">
      <c r="K4128" s="8" t="e">
        <f t="shared" si="64"/>
        <v>#VALUE!</v>
      </c>
    </row>
    <row r="4129" spans="11:11" x14ac:dyDescent="0.25">
      <c r="K4129" s="8" t="e">
        <f t="shared" si="64"/>
        <v>#VALUE!</v>
      </c>
    </row>
    <row r="4130" spans="11:11" x14ac:dyDescent="0.25">
      <c r="K4130" s="8" t="e">
        <f t="shared" si="64"/>
        <v>#VALUE!</v>
      </c>
    </row>
    <row r="4131" spans="11:11" x14ac:dyDescent="0.25">
      <c r="K4131" s="8" t="e">
        <f t="shared" si="64"/>
        <v>#VALUE!</v>
      </c>
    </row>
    <row r="4132" spans="11:11" x14ac:dyDescent="0.25">
      <c r="K4132" s="8" t="e">
        <f t="shared" si="64"/>
        <v>#VALUE!</v>
      </c>
    </row>
    <row r="4133" spans="11:11" x14ac:dyDescent="0.25">
      <c r="K4133" s="8" t="e">
        <f t="shared" si="64"/>
        <v>#VALUE!</v>
      </c>
    </row>
    <row r="4134" spans="11:11" x14ac:dyDescent="0.25">
      <c r="K4134" s="8" t="e">
        <f t="shared" si="64"/>
        <v>#VALUE!</v>
      </c>
    </row>
    <row r="4135" spans="11:11" x14ac:dyDescent="0.25">
      <c r="K4135" s="8" t="e">
        <f t="shared" si="64"/>
        <v>#VALUE!</v>
      </c>
    </row>
    <row r="4136" spans="11:11" x14ac:dyDescent="0.25">
      <c r="K4136" s="8" t="e">
        <f t="shared" si="64"/>
        <v>#VALUE!</v>
      </c>
    </row>
    <row r="4137" spans="11:11" x14ac:dyDescent="0.25">
      <c r="K4137" s="8" t="e">
        <f t="shared" si="64"/>
        <v>#VALUE!</v>
      </c>
    </row>
    <row r="4138" spans="11:11" x14ac:dyDescent="0.25">
      <c r="K4138" s="8" t="e">
        <f t="shared" si="64"/>
        <v>#VALUE!</v>
      </c>
    </row>
    <row r="4139" spans="11:11" x14ac:dyDescent="0.25">
      <c r="K4139" s="8" t="e">
        <f t="shared" si="64"/>
        <v>#VALUE!</v>
      </c>
    </row>
    <row r="4140" spans="11:11" x14ac:dyDescent="0.25">
      <c r="K4140" s="8" t="e">
        <f t="shared" si="64"/>
        <v>#VALUE!</v>
      </c>
    </row>
    <row r="4141" spans="11:11" x14ac:dyDescent="0.25">
      <c r="K4141" s="8" t="e">
        <f t="shared" si="64"/>
        <v>#VALUE!</v>
      </c>
    </row>
    <row r="4142" spans="11:11" x14ac:dyDescent="0.25">
      <c r="K4142" s="8" t="e">
        <f t="shared" si="64"/>
        <v>#VALUE!</v>
      </c>
    </row>
    <row r="4143" spans="11:11" x14ac:dyDescent="0.25">
      <c r="K4143" s="8" t="e">
        <f t="shared" si="64"/>
        <v>#VALUE!</v>
      </c>
    </row>
    <row r="4144" spans="11:11" x14ac:dyDescent="0.25">
      <c r="K4144" s="8" t="e">
        <f t="shared" si="64"/>
        <v>#VALUE!</v>
      </c>
    </row>
    <row r="4145" spans="11:11" x14ac:dyDescent="0.25">
      <c r="K4145" s="8" t="e">
        <f t="shared" si="64"/>
        <v>#VALUE!</v>
      </c>
    </row>
    <row r="4146" spans="11:11" x14ac:dyDescent="0.25">
      <c r="K4146" s="8" t="e">
        <f t="shared" si="64"/>
        <v>#VALUE!</v>
      </c>
    </row>
    <row r="4147" spans="11:11" x14ac:dyDescent="0.25">
      <c r="K4147" s="8" t="e">
        <f t="shared" si="64"/>
        <v>#VALUE!</v>
      </c>
    </row>
    <row r="4148" spans="11:11" x14ac:dyDescent="0.25">
      <c r="K4148" s="8" t="e">
        <f t="shared" si="64"/>
        <v>#VALUE!</v>
      </c>
    </row>
    <row r="4149" spans="11:11" x14ac:dyDescent="0.25">
      <c r="K4149" s="8" t="e">
        <f t="shared" si="64"/>
        <v>#VALUE!</v>
      </c>
    </row>
    <row r="4150" spans="11:11" x14ac:dyDescent="0.25">
      <c r="K4150" s="8" t="e">
        <f t="shared" si="64"/>
        <v>#VALUE!</v>
      </c>
    </row>
    <row r="4151" spans="11:11" x14ac:dyDescent="0.25">
      <c r="K4151" s="8" t="e">
        <f t="shared" si="64"/>
        <v>#VALUE!</v>
      </c>
    </row>
    <row r="4152" spans="11:11" x14ac:dyDescent="0.25">
      <c r="K4152" s="8" t="e">
        <f t="shared" si="64"/>
        <v>#VALUE!</v>
      </c>
    </row>
    <row r="4153" spans="11:11" x14ac:dyDescent="0.25">
      <c r="K4153" s="8" t="e">
        <f t="shared" si="64"/>
        <v>#VALUE!</v>
      </c>
    </row>
    <row r="4154" spans="11:11" x14ac:dyDescent="0.25">
      <c r="K4154" s="8" t="e">
        <f t="shared" si="64"/>
        <v>#VALUE!</v>
      </c>
    </row>
    <row r="4155" spans="11:11" x14ac:dyDescent="0.25">
      <c r="K4155" s="8" t="e">
        <f t="shared" si="64"/>
        <v>#VALUE!</v>
      </c>
    </row>
    <row r="4156" spans="11:11" x14ac:dyDescent="0.25">
      <c r="K4156" s="8" t="e">
        <f t="shared" si="64"/>
        <v>#VALUE!</v>
      </c>
    </row>
    <row r="4157" spans="11:11" x14ac:dyDescent="0.25">
      <c r="K4157" s="8" t="e">
        <f t="shared" si="64"/>
        <v>#VALUE!</v>
      </c>
    </row>
    <row r="4158" spans="11:11" x14ac:dyDescent="0.25">
      <c r="K4158" s="8" t="e">
        <f t="shared" si="64"/>
        <v>#VALUE!</v>
      </c>
    </row>
    <row r="4159" spans="11:11" x14ac:dyDescent="0.25">
      <c r="K4159" s="8" t="e">
        <f t="shared" si="64"/>
        <v>#VALUE!</v>
      </c>
    </row>
    <row r="4160" spans="11:11" x14ac:dyDescent="0.25">
      <c r="K4160" s="8" t="e">
        <f t="shared" si="64"/>
        <v>#VALUE!</v>
      </c>
    </row>
    <row r="4161" spans="11:11" x14ac:dyDescent="0.25">
      <c r="K4161" s="8" t="e">
        <f t="shared" si="64"/>
        <v>#VALUE!</v>
      </c>
    </row>
    <row r="4162" spans="11:11" x14ac:dyDescent="0.25">
      <c r="K4162" s="8" t="e">
        <f t="shared" si="64"/>
        <v>#VALUE!</v>
      </c>
    </row>
    <row r="4163" spans="11:11" x14ac:dyDescent="0.25">
      <c r="K4163" s="8" t="e">
        <f t="shared" ref="K4163:K4226" si="65">LEFT(A4163,FIND("/",A4163)-1)</f>
        <v>#VALUE!</v>
      </c>
    </row>
    <row r="4164" spans="11:11" x14ac:dyDescent="0.25">
      <c r="K4164" s="8" t="e">
        <f t="shared" si="65"/>
        <v>#VALUE!</v>
      </c>
    </row>
    <row r="4165" spans="11:11" x14ac:dyDescent="0.25">
      <c r="K4165" s="8" t="e">
        <f t="shared" si="65"/>
        <v>#VALUE!</v>
      </c>
    </row>
    <row r="4166" spans="11:11" x14ac:dyDescent="0.25">
      <c r="K4166" s="8" t="e">
        <f t="shared" si="65"/>
        <v>#VALUE!</v>
      </c>
    </row>
    <row r="4167" spans="11:11" x14ac:dyDescent="0.25">
      <c r="K4167" s="8" t="e">
        <f t="shared" si="65"/>
        <v>#VALUE!</v>
      </c>
    </row>
    <row r="4168" spans="11:11" x14ac:dyDescent="0.25">
      <c r="K4168" s="8" t="e">
        <f t="shared" si="65"/>
        <v>#VALUE!</v>
      </c>
    </row>
    <row r="4169" spans="11:11" x14ac:dyDescent="0.25">
      <c r="K4169" s="8" t="e">
        <f t="shared" si="65"/>
        <v>#VALUE!</v>
      </c>
    </row>
    <row r="4170" spans="11:11" x14ac:dyDescent="0.25">
      <c r="K4170" s="8" t="e">
        <f t="shared" si="65"/>
        <v>#VALUE!</v>
      </c>
    </row>
    <row r="4171" spans="11:11" x14ac:dyDescent="0.25">
      <c r="K4171" s="8" t="e">
        <f t="shared" si="65"/>
        <v>#VALUE!</v>
      </c>
    </row>
    <row r="4172" spans="11:11" x14ac:dyDescent="0.25">
      <c r="K4172" s="8" t="e">
        <f t="shared" si="65"/>
        <v>#VALUE!</v>
      </c>
    </row>
    <row r="4173" spans="11:11" x14ac:dyDescent="0.25">
      <c r="K4173" s="8" t="e">
        <f t="shared" si="65"/>
        <v>#VALUE!</v>
      </c>
    </row>
    <row r="4174" spans="11:11" x14ac:dyDescent="0.25">
      <c r="K4174" s="8" t="e">
        <f t="shared" si="65"/>
        <v>#VALUE!</v>
      </c>
    </row>
    <row r="4175" spans="11:11" x14ac:dyDescent="0.25">
      <c r="K4175" s="8" t="e">
        <f t="shared" si="65"/>
        <v>#VALUE!</v>
      </c>
    </row>
    <row r="4176" spans="11:11" x14ac:dyDescent="0.25">
      <c r="K4176" s="8" t="e">
        <f t="shared" si="65"/>
        <v>#VALUE!</v>
      </c>
    </row>
    <row r="4177" spans="11:11" x14ac:dyDescent="0.25">
      <c r="K4177" s="8" t="e">
        <f t="shared" si="65"/>
        <v>#VALUE!</v>
      </c>
    </row>
    <row r="4178" spans="11:11" x14ac:dyDescent="0.25">
      <c r="K4178" s="8" t="e">
        <f t="shared" si="65"/>
        <v>#VALUE!</v>
      </c>
    </row>
    <row r="4179" spans="11:11" x14ac:dyDescent="0.25">
      <c r="K4179" s="8" t="e">
        <f t="shared" si="65"/>
        <v>#VALUE!</v>
      </c>
    </row>
    <row r="4180" spans="11:11" x14ac:dyDescent="0.25">
      <c r="K4180" s="8" t="e">
        <f t="shared" si="65"/>
        <v>#VALUE!</v>
      </c>
    </row>
    <row r="4181" spans="11:11" x14ac:dyDescent="0.25">
      <c r="K4181" s="8" t="e">
        <f t="shared" si="65"/>
        <v>#VALUE!</v>
      </c>
    </row>
    <row r="4182" spans="11:11" x14ac:dyDescent="0.25">
      <c r="K4182" s="8" t="e">
        <f t="shared" si="65"/>
        <v>#VALUE!</v>
      </c>
    </row>
    <row r="4183" spans="11:11" x14ac:dyDescent="0.25">
      <c r="K4183" s="8" t="e">
        <f t="shared" si="65"/>
        <v>#VALUE!</v>
      </c>
    </row>
    <row r="4184" spans="11:11" x14ac:dyDescent="0.25">
      <c r="K4184" s="8" t="e">
        <f t="shared" si="65"/>
        <v>#VALUE!</v>
      </c>
    </row>
    <row r="4185" spans="11:11" x14ac:dyDescent="0.25">
      <c r="K4185" s="8" t="e">
        <f t="shared" si="65"/>
        <v>#VALUE!</v>
      </c>
    </row>
    <row r="4186" spans="11:11" x14ac:dyDescent="0.25">
      <c r="K4186" s="8" t="e">
        <f t="shared" si="65"/>
        <v>#VALUE!</v>
      </c>
    </row>
    <row r="4187" spans="11:11" x14ac:dyDescent="0.25">
      <c r="K4187" s="8" t="e">
        <f t="shared" si="65"/>
        <v>#VALUE!</v>
      </c>
    </row>
    <row r="4188" spans="11:11" x14ac:dyDescent="0.25">
      <c r="K4188" s="8" t="e">
        <f t="shared" si="65"/>
        <v>#VALUE!</v>
      </c>
    </row>
    <row r="4189" spans="11:11" x14ac:dyDescent="0.25">
      <c r="K4189" s="8" t="e">
        <f t="shared" si="65"/>
        <v>#VALUE!</v>
      </c>
    </row>
    <row r="4190" spans="11:11" x14ac:dyDescent="0.25">
      <c r="K4190" s="8" t="e">
        <f t="shared" si="65"/>
        <v>#VALUE!</v>
      </c>
    </row>
    <row r="4191" spans="11:11" x14ac:dyDescent="0.25">
      <c r="K4191" s="8" t="e">
        <f t="shared" si="65"/>
        <v>#VALUE!</v>
      </c>
    </row>
    <row r="4192" spans="11:11" x14ac:dyDescent="0.25">
      <c r="K4192" s="8" t="e">
        <f t="shared" si="65"/>
        <v>#VALUE!</v>
      </c>
    </row>
    <row r="4193" spans="11:11" x14ac:dyDescent="0.25">
      <c r="K4193" s="8" t="e">
        <f t="shared" si="65"/>
        <v>#VALUE!</v>
      </c>
    </row>
    <row r="4194" spans="11:11" x14ac:dyDescent="0.25">
      <c r="K4194" s="8" t="e">
        <f t="shared" si="65"/>
        <v>#VALUE!</v>
      </c>
    </row>
    <row r="4195" spans="11:11" x14ac:dyDescent="0.25">
      <c r="K4195" s="8" t="e">
        <f t="shared" si="65"/>
        <v>#VALUE!</v>
      </c>
    </row>
    <row r="4196" spans="11:11" x14ac:dyDescent="0.25">
      <c r="K4196" s="8" t="e">
        <f t="shared" si="65"/>
        <v>#VALUE!</v>
      </c>
    </row>
    <row r="4197" spans="11:11" x14ac:dyDescent="0.25">
      <c r="K4197" s="8" t="e">
        <f t="shared" si="65"/>
        <v>#VALUE!</v>
      </c>
    </row>
    <row r="4198" spans="11:11" x14ac:dyDescent="0.25">
      <c r="K4198" s="8" t="e">
        <f t="shared" si="65"/>
        <v>#VALUE!</v>
      </c>
    </row>
    <row r="4199" spans="11:11" x14ac:dyDescent="0.25">
      <c r="K4199" s="8" t="e">
        <f t="shared" si="65"/>
        <v>#VALUE!</v>
      </c>
    </row>
    <row r="4200" spans="11:11" x14ac:dyDescent="0.25">
      <c r="K4200" s="8" t="e">
        <f t="shared" si="65"/>
        <v>#VALUE!</v>
      </c>
    </row>
    <row r="4201" spans="11:11" x14ac:dyDescent="0.25">
      <c r="K4201" s="8" t="e">
        <f t="shared" si="65"/>
        <v>#VALUE!</v>
      </c>
    </row>
    <row r="4202" spans="11:11" x14ac:dyDescent="0.25">
      <c r="K4202" s="8" t="e">
        <f t="shared" si="65"/>
        <v>#VALUE!</v>
      </c>
    </row>
    <row r="4203" spans="11:11" x14ac:dyDescent="0.25">
      <c r="K4203" s="8" t="e">
        <f t="shared" si="65"/>
        <v>#VALUE!</v>
      </c>
    </row>
    <row r="4204" spans="11:11" x14ac:dyDescent="0.25">
      <c r="K4204" s="8" t="e">
        <f t="shared" si="65"/>
        <v>#VALUE!</v>
      </c>
    </row>
    <row r="4205" spans="11:11" x14ac:dyDescent="0.25">
      <c r="K4205" s="8" t="e">
        <f t="shared" si="65"/>
        <v>#VALUE!</v>
      </c>
    </row>
    <row r="4206" spans="11:11" x14ac:dyDescent="0.25">
      <c r="K4206" s="8" t="e">
        <f t="shared" si="65"/>
        <v>#VALUE!</v>
      </c>
    </row>
    <row r="4207" spans="11:11" x14ac:dyDescent="0.25">
      <c r="K4207" s="8" t="e">
        <f t="shared" si="65"/>
        <v>#VALUE!</v>
      </c>
    </row>
    <row r="4208" spans="11:11" x14ac:dyDescent="0.25">
      <c r="K4208" s="8" t="e">
        <f t="shared" si="65"/>
        <v>#VALUE!</v>
      </c>
    </row>
    <row r="4209" spans="11:11" x14ac:dyDescent="0.25">
      <c r="K4209" s="8" t="e">
        <f t="shared" si="65"/>
        <v>#VALUE!</v>
      </c>
    </row>
    <row r="4210" spans="11:11" x14ac:dyDescent="0.25">
      <c r="K4210" s="8" t="e">
        <f t="shared" si="65"/>
        <v>#VALUE!</v>
      </c>
    </row>
    <row r="4211" spans="11:11" x14ac:dyDescent="0.25">
      <c r="K4211" s="8" t="e">
        <f t="shared" si="65"/>
        <v>#VALUE!</v>
      </c>
    </row>
    <row r="4212" spans="11:11" x14ac:dyDescent="0.25">
      <c r="K4212" s="8" t="e">
        <f t="shared" si="65"/>
        <v>#VALUE!</v>
      </c>
    </row>
    <row r="4213" spans="11:11" x14ac:dyDescent="0.25">
      <c r="K4213" s="8" t="e">
        <f t="shared" si="65"/>
        <v>#VALUE!</v>
      </c>
    </row>
    <row r="4214" spans="11:11" x14ac:dyDescent="0.25">
      <c r="K4214" s="8" t="e">
        <f t="shared" si="65"/>
        <v>#VALUE!</v>
      </c>
    </row>
    <row r="4215" spans="11:11" x14ac:dyDescent="0.25">
      <c r="K4215" s="8" t="e">
        <f t="shared" si="65"/>
        <v>#VALUE!</v>
      </c>
    </row>
    <row r="4216" spans="11:11" x14ac:dyDescent="0.25">
      <c r="K4216" s="8" t="e">
        <f t="shared" si="65"/>
        <v>#VALUE!</v>
      </c>
    </row>
    <row r="4217" spans="11:11" x14ac:dyDescent="0.25">
      <c r="K4217" s="8" t="e">
        <f t="shared" si="65"/>
        <v>#VALUE!</v>
      </c>
    </row>
    <row r="4218" spans="11:11" x14ac:dyDescent="0.25">
      <c r="K4218" s="8" t="e">
        <f t="shared" si="65"/>
        <v>#VALUE!</v>
      </c>
    </row>
    <row r="4219" spans="11:11" x14ac:dyDescent="0.25">
      <c r="K4219" s="8" t="e">
        <f t="shared" si="65"/>
        <v>#VALUE!</v>
      </c>
    </row>
    <row r="4220" spans="11:11" x14ac:dyDescent="0.25">
      <c r="K4220" s="8" t="e">
        <f t="shared" si="65"/>
        <v>#VALUE!</v>
      </c>
    </row>
    <row r="4221" spans="11:11" x14ac:dyDescent="0.25">
      <c r="K4221" s="8" t="e">
        <f t="shared" si="65"/>
        <v>#VALUE!</v>
      </c>
    </row>
    <row r="4222" spans="11:11" x14ac:dyDescent="0.25">
      <c r="K4222" s="8" t="e">
        <f t="shared" si="65"/>
        <v>#VALUE!</v>
      </c>
    </row>
    <row r="4223" spans="11:11" x14ac:dyDescent="0.25">
      <c r="K4223" s="8" t="e">
        <f t="shared" si="65"/>
        <v>#VALUE!</v>
      </c>
    </row>
    <row r="4224" spans="11:11" x14ac:dyDescent="0.25">
      <c r="K4224" s="8" t="e">
        <f t="shared" si="65"/>
        <v>#VALUE!</v>
      </c>
    </row>
    <row r="4225" spans="11:11" x14ac:dyDescent="0.25">
      <c r="K4225" s="8" t="e">
        <f t="shared" si="65"/>
        <v>#VALUE!</v>
      </c>
    </row>
    <row r="4226" spans="11:11" x14ac:dyDescent="0.25">
      <c r="K4226" s="8" t="e">
        <f t="shared" si="65"/>
        <v>#VALUE!</v>
      </c>
    </row>
    <row r="4227" spans="11:11" x14ac:dyDescent="0.25">
      <c r="K4227" s="8" t="e">
        <f t="shared" ref="K4227:K4290" si="66">LEFT(A4227,FIND("/",A4227)-1)</f>
        <v>#VALUE!</v>
      </c>
    </row>
    <row r="4228" spans="11:11" x14ac:dyDescent="0.25">
      <c r="K4228" s="8" t="e">
        <f t="shared" si="66"/>
        <v>#VALUE!</v>
      </c>
    </row>
    <row r="4229" spans="11:11" x14ac:dyDescent="0.25">
      <c r="K4229" s="8" t="e">
        <f t="shared" si="66"/>
        <v>#VALUE!</v>
      </c>
    </row>
    <row r="4230" spans="11:11" x14ac:dyDescent="0.25">
      <c r="K4230" s="8" t="e">
        <f t="shared" si="66"/>
        <v>#VALUE!</v>
      </c>
    </row>
    <row r="4231" spans="11:11" x14ac:dyDescent="0.25">
      <c r="K4231" s="8" t="e">
        <f t="shared" si="66"/>
        <v>#VALUE!</v>
      </c>
    </row>
    <row r="4232" spans="11:11" x14ac:dyDescent="0.25">
      <c r="K4232" s="8" t="e">
        <f t="shared" si="66"/>
        <v>#VALUE!</v>
      </c>
    </row>
    <row r="4233" spans="11:11" x14ac:dyDescent="0.25">
      <c r="K4233" s="8" t="e">
        <f t="shared" si="66"/>
        <v>#VALUE!</v>
      </c>
    </row>
    <row r="4234" spans="11:11" x14ac:dyDescent="0.25">
      <c r="K4234" s="8" t="e">
        <f t="shared" si="66"/>
        <v>#VALUE!</v>
      </c>
    </row>
    <row r="4235" spans="11:11" x14ac:dyDescent="0.25">
      <c r="K4235" s="8" t="e">
        <f t="shared" si="66"/>
        <v>#VALUE!</v>
      </c>
    </row>
    <row r="4236" spans="11:11" x14ac:dyDescent="0.25">
      <c r="K4236" s="8" t="e">
        <f t="shared" si="66"/>
        <v>#VALUE!</v>
      </c>
    </row>
    <row r="4237" spans="11:11" x14ac:dyDescent="0.25">
      <c r="K4237" s="8" t="e">
        <f t="shared" si="66"/>
        <v>#VALUE!</v>
      </c>
    </row>
    <row r="4238" spans="11:11" x14ac:dyDescent="0.25">
      <c r="K4238" s="8" t="e">
        <f t="shared" si="66"/>
        <v>#VALUE!</v>
      </c>
    </row>
    <row r="4239" spans="11:11" x14ac:dyDescent="0.25">
      <c r="K4239" s="8" t="e">
        <f t="shared" si="66"/>
        <v>#VALUE!</v>
      </c>
    </row>
    <row r="4240" spans="11:11" x14ac:dyDescent="0.25">
      <c r="K4240" s="8" t="e">
        <f t="shared" si="66"/>
        <v>#VALUE!</v>
      </c>
    </row>
    <row r="4241" spans="11:11" x14ac:dyDescent="0.25">
      <c r="K4241" s="8" t="e">
        <f t="shared" si="66"/>
        <v>#VALUE!</v>
      </c>
    </row>
    <row r="4242" spans="11:11" x14ac:dyDescent="0.25">
      <c r="K4242" s="8" t="e">
        <f t="shared" si="66"/>
        <v>#VALUE!</v>
      </c>
    </row>
    <row r="4243" spans="11:11" x14ac:dyDescent="0.25">
      <c r="K4243" s="8" t="e">
        <f t="shared" si="66"/>
        <v>#VALUE!</v>
      </c>
    </row>
    <row r="4244" spans="11:11" x14ac:dyDescent="0.25">
      <c r="K4244" s="8" t="e">
        <f t="shared" si="66"/>
        <v>#VALUE!</v>
      </c>
    </row>
    <row r="4245" spans="11:11" x14ac:dyDescent="0.25">
      <c r="K4245" s="8" t="e">
        <f t="shared" si="66"/>
        <v>#VALUE!</v>
      </c>
    </row>
    <row r="4246" spans="11:11" x14ac:dyDescent="0.25">
      <c r="K4246" s="8" t="e">
        <f t="shared" si="66"/>
        <v>#VALUE!</v>
      </c>
    </row>
    <row r="4247" spans="11:11" x14ac:dyDescent="0.25">
      <c r="K4247" s="8" t="e">
        <f t="shared" si="66"/>
        <v>#VALUE!</v>
      </c>
    </row>
    <row r="4248" spans="11:11" x14ac:dyDescent="0.25">
      <c r="K4248" s="8" t="e">
        <f t="shared" si="66"/>
        <v>#VALUE!</v>
      </c>
    </row>
    <row r="4249" spans="11:11" x14ac:dyDescent="0.25">
      <c r="K4249" s="8" t="e">
        <f t="shared" si="66"/>
        <v>#VALUE!</v>
      </c>
    </row>
    <row r="4250" spans="11:11" x14ac:dyDescent="0.25">
      <c r="K4250" s="8" t="e">
        <f t="shared" si="66"/>
        <v>#VALUE!</v>
      </c>
    </row>
    <row r="4251" spans="11:11" x14ac:dyDescent="0.25">
      <c r="K4251" s="8" t="e">
        <f t="shared" si="66"/>
        <v>#VALUE!</v>
      </c>
    </row>
    <row r="4252" spans="11:11" x14ac:dyDescent="0.25">
      <c r="K4252" s="8" t="e">
        <f t="shared" si="66"/>
        <v>#VALUE!</v>
      </c>
    </row>
    <row r="4253" spans="11:11" x14ac:dyDescent="0.25">
      <c r="K4253" s="8" t="e">
        <f t="shared" si="66"/>
        <v>#VALUE!</v>
      </c>
    </row>
    <row r="4254" spans="11:11" x14ac:dyDescent="0.25">
      <c r="K4254" s="8" t="e">
        <f t="shared" si="66"/>
        <v>#VALUE!</v>
      </c>
    </row>
    <row r="4255" spans="11:11" x14ac:dyDescent="0.25">
      <c r="K4255" s="8" t="e">
        <f t="shared" si="66"/>
        <v>#VALUE!</v>
      </c>
    </row>
    <row r="4256" spans="11:11" x14ac:dyDescent="0.25">
      <c r="K4256" s="8" t="e">
        <f t="shared" si="66"/>
        <v>#VALUE!</v>
      </c>
    </row>
    <row r="4257" spans="11:11" x14ac:dyDescent="0.25">
      <c r="K4257" s="8" t="e">
        <f t="shared" si="66"/>
        <v>#VALUE!</v>
      </c>
    </row>
    <row r="4258" spans="11:11" x14ac:dyDescent="0.25">
      <c r="K4258" s="8" t="e">
        <f t="shared" si="66"/>
        <v>#VALUE!</v>
      </c>
    </row>
    <row r="4259" spans="11:11" x14ac:dyDescent="0.25">
      <c r="K4259" s="8" t="e">
        <f t="shared" si="66"/>
        <v>#VALUE!</v>
      </c>
    </row>
    <row r="4260" spans="11:11" x14ac:dyDescent="0.25">
      <c r="K4260" s="8" t="e">
        <f t="shared" si="66"/>
        <v>#VALUE!</v>
      </c>
    </row>
    <row r="4261" spans="11:11" x14ac:dyDescent="0.25">
      <c r="K4261" s="8" t="e">
        <f t="shared" si="66"/>
        <v>#VALUE!</v>
      </c>
    </row>
    <row r="4262" spans="11:11" x14ac:dyDescent="0.25">
      <c r="K4262" s="8" t="e">
        <f t="shared" si="66"/>
        <v>#VALUE!</v>
      </c>
    </row>
    <row r="4263" spans="11:11" x14ac:dyDescent="0.25">
      <c r="K4263" s="8" t="e">
        <f t="shared" si="66"/>
        <v>#VALUE!</v>
      </c>
    </row>
    <row r="4264" spans="11:11" x14ac:dyDescent="0.25">
      <c r="K4264" s="8" t="e">
        <f t="shared" si="66"/>
        <v>#VALUE!</v>
      </c>
    </row>
    <row r="4265" spans="11:11" x14ac:dyDescent="0.25">
      <c r="K4265" s="8" t="e">
        <f t="shared" si="66"/>
        <v>#VALUE!</v>
      </c>
    </row>
    <row r="4266" spans="11:11" x14ac:dyDescent="0.25">
      <c r="K4266" s="8" t="e">
        <f t="shared" si="66"/>
        <v>#VALUE!</v>
      </c>
    </row>
    <row r="4267" spans="11:11" x14ac:dyDescent="0.25">
      <c r="K4267" s="8" t="e">
        <f t="shared" si="66"/>
        <v>#VALUE!</v>
      </c>
    </row>
    <row r="4268" spans="11:11" x14ac:dyDescent="0.25">
      <c r="K4268" s="8" t="e">
        <f t="shared" si="66"/>
        <v>#VALUE!</v>
      </c>
    </row>
    <row r="4269" spans="11:11" x14ac:dyDescent="0.25">
      <c r="K4269" s="8" t="e">
        <f t="shared" si="66"/>
        <v>#VALUE!</v>
      </c>
    </row>
    <row r="4270" spans="11:11" x14ac:dyDescent="0.25">
      <c r="K4270" s="8" t="e">
        <f t="shared" si="66"/>
        <v>#VALUE!</v>
      </c>
    </row>
    <row r="4271" spans="11:11" x14ac:dyDescent="0.25">
      <c r="K4271" s="8" t="e">
        <f t="shared" si="66"/>
        <v>#VALUE!</v>
      </c>
    </row>
    <row r="4272" spans="11:11" x14ac:dyDescent="0.25">
      <c r="K4272" s="8" t="e">
        <f t="shared" si="66"/>
        <v>#VALUE!</v>
      </c>
    </row>
    <row r="4273" spans="11:11" x14ac:dyDescent="0.25">
      <c r="K4273" s="8" t="e">
        <f t="shared" si="66"/>
        <v>#VALUE!</v>
      </c>
    </row>
    <row r="4274" spans="11:11" x14ac:dyDescent="0.25">
      <c r="K4274" s="8" t="e">
        <f t="shared" si="66"/>
        <v>#VALUE!</v>
      </c>
    </row>
    <row r="4275" spans="11:11" x14ac:dyDescent="0.25">
      <c r="K4275" s="8" t="e">
        <f t="shared" si="66"/>
        <v>#VALUE!</v>
      </c>
    </row>
    <row r="4276" spans="11:11" x14ac:dyDescent="0.25">
      <c r="K4276" s="8" t="e">
        <f t="shared" si="66"/>
        <v>#VALUE!</v>
      </c>
    </row>
    <row r="4277" spans="11:11" x14ac:dyDescent="0.25">
      <c r="K4277" s="8" t="e">
        <f t="shared" si="66"/>
        <v>#VALUE!</v>
      </c>
    </row>
    <row r="4278" spans="11:11" x14ac:dyDescent="0.25">
      <c r="K4278" s="8" t="e">
        <f t="shared" si="66"/>
        <v>#VALUE!</v>
      </c>
    </row>
    <row r="4279" spans="11:11" x14ac:dyDescent="0.25">
      <c r="K4279" s="8" t="e">
        <f t="shared" si="66"/>
        <v>#VALUE!</v>
      </c>
    </row>
    <row r="4280" spans="11:11" x14ac:dyDescent="0.25">
      <c r="K4280" s="8" t="e">
        <f t="shared" si="66"/>
        <v>#VALUE!</v>
      </c>
    </row>
    <row r="4281" spans="11:11" x14ac:dyDescent="0.25">
      <c r="K4281" s="8" t="e">
        <f t="shared" si="66"/>
        <v>#VALUE!</v>
      </c>
    </row>
    <row r="4282" spans="11:11" x14ac:dyDescent="0.25">
      <c r="K4282" s="8" t="e">
        <f t="shared" si="66"/>
        <v>#VALUE!</v>
      </c>
    </row>
    <row r="4283" spans="11:11" x14ac:dyDescent="0.25">
      <c r="K4283" s="8" t="e">
        <f t="shared" si="66"/>
        <v>#VALUE!</v>
      </c>
    </row>
    <row r="4284" spans="11:11" x14ac:dyDescent="0.25">
      <c r="K4284" s="8" t="e">
        <f t="shared" si="66"/>
        <v>#VALUE!</v>
      </c>
    </row>
    <row r="4285" spans="11:11" x14ac:dyDescent="0.25">
      <c r="K4285" s="8" t="e">
        <f t="shared" si="66"/>
        <v>#VALUE!</v>
      </c>
    </row>
    <row r="4286" spans="11:11" x14ac:dyDescent="0.25">
      <c r="K4286" s="8" t="e">
        <f t="shared" si="66"/>
        <v>#VALUE!</v>
      </c>
    </row>
    <row r="4287" spans="11:11" x14ac:dyDescent="0.25">
      <c r="K4287" s="8" t="e">
        <f t="shared" si="66"/>
        <v>#VALUE!</v>
      </c>
    </row>
    <row r="4288" spans="11:11" x14ac:dyDescent="0.25">
      <c r="K4288" s="8" t="e">
        <f t="shared" si="66"/>
        <v>#VALUE!</v>
      </c>
    </row>
    <row r="4289" spans="11:11" x14ac:dyDescent="0.25">
      <c r="K4289" s="8" t="e">
        <f t="shared" si="66"/>
        <v>#VALUE!</v>
      </c>
    </row>
    <row r="4290" spans="11:11" x14ac:dyDescent="0.25">
      <c r="K4290" s="8" t="e">
        <f t="shared" si="66"/>
        <v>#VALUE!</v>
      </c>
    </row>
    <row r="4291" spans="11:11" x14ac:dyDescent="0.25">
      <c r="K4291" s="8" t="e">
        <f t="shared" ref="K4291:K4354" si="67">LEFT(A4291,FIND("/",A4291)-1)</f>
        <v>#VALUE!</v>
      </c>
    </row>
    <row r="4292" spans="11:11" x14ac:dyDescent="0.25">
      <c r="K4292" s="8" t="e">
        <f t="shared" si="67"/>
        <v>#VALUE!</v>
      </c>
    </row>
    <row r="4293" spans="11:11" x14ac:dyDescent="0.25">
      <c r="K4293" s="8" t="e">
        <f t="shared" si="67"/>
        <v>#VALUE!</v>
      </c>
    </row>
    <row r="4294" spans="11:11" x14ac:dyDescent="0.25">
      <c r="K4294" s="8" t="e">
        <f t="shared" si="67"/>
        <v>#VALUE!</v>
      </c>
    </row>
    <row r="4295" spans="11:11" x14ac:dyDescent="0.25">
      <c r="K4295" s="8" t="e">
        <f t="shared" si="67"/>
        <v>#VALUE!</v>
      </c>
    </row>
    <row r="4296" spans="11:11" x14ac:dyDescent="0.25">
      <c r="K4296" s="8" t="e">
        <f t="shared" si="67"/>
        <v>#VALUE!</v>
      </c>
    </row>
    <row r="4297" spans="11:11" x14ac:dyDescent="0.25">
      <c r="K4297" s="8" t="e">
        <f t="shared" si="67"/>
        <v>#VALUE!</v>
      </c>
    </row>
    <row r="4298" spans="11:11" x14ac:dyDescent="0.25">
      <c r="K4298" s="8" t="e">
        <f t="shared" si="67"/>
        <v>#VALUE!</v>
      </c>
    </row>
    <row r="4299" spans="11:11" x14ac:dyDescent="0.25">
      <c r="K4299" s="8" t="e">
        <f t="shared" si="67"/>
        <v>#VALUE!</v>
      </c>
    </row>
    <row r="4300" spans="11:11" x14ac:dyDescent="0.25">
      <c r="K4300" s="8" t="e">
        <f t="shared" si="67"/>
        <v>#VALUE!</v>
      </c>
    </row>
    <row r="4301" spans="11:11" x14ac:dyDescent="0.25">
      <c r="K4301" s="8" t="e">
        <f t="shared" si="67"/>
        <v>#VALUE!</v>
      </c>
    </row>
    <row r="4302" spans="11:11" x14ac:dyDescent="0.25">
      <c r="K4302" s="8" t="e">
        <f t="shared" si="67"/>
        <v>#VALUE!</v>
      </c>
    </row>
    <row r="4303" spans="11:11" x14ac:dyDescent="0.25">
      <c r="K4303" s="8" t="e">
        <f t="shared" si="67"/>
        <v>#VALUE!</v>
      </c>
    </row>
    <row r="4304" spans="11:11" x14ac:dyDescent="0.25">
      <c r="K4304" s="8" t="e">
        <f t="shared" si="67"/>
        <v>#VALUE!</v>
      </c>
    </row>
    <row r="4305" spans="11:11" x14ac:dyDescent="0.25">
      <c r="K4305" s="8" t="e">
        <f t="shared" si="67"/>
        <v>#VALUE!</v>
      </c>
    </row>
    <row r="4306" spans="11:11" x14ac:dyDescent="0.25">
      <c r="K4306" s="8" t="e">
        <f t="shared" si="67"/>
        <v>#VALUE!</v>
      </c>
    </row>
    <row r="4307" spans="11:11" x14ac:dyDescent="0.25">
      <c r="K4307" s="8" t="e">
        <f t="shared" si="67"/>
        <v>#VALUE!</v>
      </c>
    </row>
    <row r="4308" spans="11:11" x14ac:dyDescent="0.25">
      <c r="K4308" s="8" t="e">
        <f t="shared" si="67"/>
        <v>#VALUE!</v>
      </c>
    </row>
    <row r="4309" spans="11:11" x14ac:dyDescent="0.25">
      <c r="K4309" s="8" t="e">
        <f t="shared" si="67"/>
        <v>#VALUE!</v>
      </c>
    </row>
    <row r="4310" spans="11:11" x14ac:dyDescent="0.25">
      <c r="K4310" s="8" t="e">
        <f t="shared" si="67"/>
        <v>#VALUE!</v>
      </c>
    </row>
    <row r="4311" spans="11:11" x14ac:dyDescent="0.25">
      <c r="K4311" s="8" t="e">
        <f t="shared" si="67"/>
        <v>#VALUE!</v>
      </c>
    </row>
    <row r="4312" spans="11:11" x14ac:dyDescent="0.25">
      <c r="K4312" s="8" t="e">
        <f t="shared" si="67"/>
        <v>#VALUE!</v>
      </c>
    </row>
    <row r="4313" spans="11:11" x14ac:dyDescent="0.25">
      <c r="K4313" s="8" t="e">
        <f t="shared" si="67"/>
        <v>#VALUE!</v>
      </c>
    </row>
    <row r="4314" spans="11:11" x14ac:dyDescent="0.25">
      <c r="K4314" s="8" t="e">
        <f t="shared" si="67"/>
        <v>#VALUE!</v>
      </c>
    </row>
    <row r="4315" spans="11:11" x14ac:dyDescent="0.25">
      <c r="K4315" s="8" t="e">
        <f t="shared" si="67"/>
        <v>#VALUE!</v>
      </c>
    </row>
    <row r="4316" spans="11:11" x14ac:dyDescent="0.25">
      <c r="K4316" s="8" t="e">
        <f t="shared" si="67"/>
        <v>#VALUE!</v>
      </c>
    </row>
    <row r="4317" spans="11:11" x14ac:dyDescent="0.25">
      <c r="K4317" s="8" t="e">
        <f t="shared" si="67"/>
        <v>#VALUE!</v>
      </c>
    </row>
    <row r="4318" spans="11:11" x14ac:dyDescent="0.25">
      <c r="K4318" s="8" t="e">
        <f t="shared" si="67"/>
        <v>#VALUE!</v>
      </c>
    </row>
    <row r="4319" spans="11:11" x14ac:dyDescent="0.25">
      <c r="K4319" s="8" t="e">
        <f t="shared" si="67"/>
        <v>#VALUE!</v>
      </c>
    </row>
    <row r="4320" spans="11:11" x14ac:dyDescent="0.25">
      <c r="K4320" s="8" t="e">
        <f t="shared" si="67"/>
        <v>#VALUE!</v>
      </c>
    </row>
    <row r="4321" spans="11:11" x14ac:dyDescent="0.25">
      <c r="K4321" s="8" t="e">
        <f t="shared" si="67"/>
        <v>#VALUE!</v>
      </c>
    </row>
    <row r="4322" spans="11:11" x14ac:dyDescent="0.25">
      <c r="K4322" s="8" t="e">
        <f t="shared" si="67"/>
        <v>#VALUE!</v>
      </c>
    </row>
    <row r="4323" spans="11:11" x14ac:dyDescent="0.25">
      <c r="K4323" s="8" t="e">
        <f t="shared" si="67"/>
        <v>#VALUE!</v>
      </c>
    </row>
    <row r="4324" spans="11:11" x14ac:dyDescent="0.25">
      <c r="K4324" s="8" t="e">
        <f t="shared" si="67"/>
        <v>#VALUE!</v>
      </c>
    </row>
    <row r="4325" spans="11:11" x14ac:dyDescent="0.25">
      <c r="K4325" s="8" t="e">
        <f t="shared" si="67"/>
        <v>#VALUE!</v>
      </c>
    </row>
    <row r="4326" spans="11:11" x14ac:dyDescent="0.25">
      <c r="K4326" s="8" t="e">
        <f t="shared" si="67"/>
        <v>#VALUE!</v>
      </c>
    </row>
    <row r="4327" spans="11:11" x14ac:dyDescent="0.25">
      <c r="K4327" s="8" t="e">
        <f t="shared" si="67"/>
        <v>#VALUE!</v>
      </c>
    </row>
    <row r="4328" spans="11:11" x14ac:dyDescent="0.25">
      <c r="K4328" s="8" t="e">
        <f t="shared" si="67"/>
        <v>#VALUE!</v>
      </c>
    </row>
    <row r="4329" spans="11:11" x14ac:dyDescent="0.25">
      <c r="K4329" s="8" t="e">
        <f t="shared" si="67"/>
        <v>#VALUE!</v>
      </c>
    </row>
    <row r="4330" spans="11:11" x14ac:dyDescent="0.25">
      <c r="K4330" s="8" t="e">
        <f t="shared" si="67"/>
        <v>#VALUE!</v>
      </c>
    </row>
    <row r="4331" spans="11:11" x14ac:dyDescent="0.25">
      <c r="K4331" s="8" t="e">
        <f t="shared" si="67"/>
        <v>#VALUE!</v>
      </c>
    </row>
    <row r="4332" spans="11:11" x14ac:dyDescent="0.25">
      <c r="K4332" s="8" t="e">
        <f t="shared" si="67"/>
        <v>#VALUE!</v>
      </c>
    </row>
    <row r="4333" spans="11:11" x14ac:dyDescent="0.25">
      <c r="K4333" s="8" t="e">
        <f t="shared" si="67"/>
        <v>#VALUE!</v>
      </c>
    </row>
    <row r="4334" spans="11:11" x14ac:dyDescent="0.25">
      <c r="K4334" s="8" t="e">
        <f t="shared" si="67"/>
        <v>#VALUE!</v>
      </c>
    </row>
    <row r="4335" spans="11:11" x14ac:dyDescent="0.25">
      <c r="K4335" s="8" t="e">
        <f t="shared" si="67"/>
        <v>#VALUE!</v>
      </c>
    </row>
    <row r="4336" spans="11:11" x14ac:dyDescent="0.25">
      <c r="K4336" s="8" t="e">
        <f t="shared" si="67"/>
        <v>#VALUE!</v>
      </c>
    </row>
    <row r="4337" spans="11:11" x14ac:dyDescent="0.25">
      <c r="K4337" s="8" t="e">
        <f t="shared" si="67"/>
        <v>#VALUE!</v>
      </c>
    </row>
    <row r="4338" spans="11:11" x14ac:dyDescent="0.25">
      <c r="K4338" s="8" t="e">
        <f t="shared" si="67"/>
        <v>#VALUE!</v>
      </c>
    </row>
    <row r="4339" spans="11:11" x14ac:dyDescent="0.25">
      <c r="K4339" s="8" t="e">
        <f t="shared" si="67"/>
        <v>#VALUE!</v>
      </c>
    </row>
    <row r="4340" spans="11:11" x14ac:dyDescent="0.25">
      <c r="K4340" s="8" t="e">
        <f t="shared" si="67"/>
        <v>#VALUE!</v>
      </c>
    </row>
    <row r="4341" spans="11:11" x14ac:dyDescent="0.25">
      <c r="K4341" s="8" t="e">
        <f t="shared" si="67"/>
        <v>#VALUE!</v>
      </c>
    </row>
    <row r="4342" spans="11:11" x14ac:dyDescent="0.25">
      <c r="K4342" s="8" t="e">
        <f t="shared" si="67"/>
        <v>#VALUE!</v>
      </c>
    </row>
    <row r="4343" spans="11:11" x14ac:dyDescent="0.25">
      <c r="K4343" s="8" t="e">
        <f t="shared" si="67"/>
        <v>#VALUE!</v>
      </c>
    </row>
    <row r="4344" spans="11:11" x14ac:dyDescent="0.25">
      <c r="K4344" s="8" t="e">
        <f t="shared" si="67"/>
        <v>#VALUE!</v>
      </c>
    </row>
    <row r="4345" spans="11:11" x14ac:dyDescent="0.25">
      <c r="K4345" s="8" t="e">
        <f t="shared" si="67"/>
        <v>#VALUE!</v>
      </c>
    </row>
    <row r="4346" spans="11:11" x14ac:dyDescent="0.25">
      <c r="K4346" s="8" t="e">
        <f t="shared" si="67"/>
        <v>#VALUE!</v>
      </c>
    </row>
    <row r="4347" spans="11:11" x14ac:dyDescent="0.25">
      <c r="K4347" s="8" t="e">
        <f t="shared" si="67"/>
        <v>#VALUE!</v>
      </c>
    </row>
    <row r="4348" spans="11:11" x14ac:dyDescent="0.25">
      <c r="K4348" s="8" t="e">
        <f t="shared" si="67"/>
        <v>#VALUE!</v>
      </c>
    </row>
    <row r="4349" spans="11:11" x14ac:dyDescent="0.25">
      <c r="K4349" s="8" t="e">
        <f t="shared" si="67"/>
        <v>#VALUE!</v>
      </c>
    </row>
    <row r="4350" spans="11:11" x14ac:dyDescent="0.25">
      <c r="K4350" s="8" t="e">
        <f t="shared" si="67"/>
        <v>#VALUE!</v>
      </c>
    </row>
    <row r="4351" spans="11:11" x14ac:dyDescent="0.25">
      <c r="K4351" s="8" t="e">
        <f t="shared" si="67"/>
        <v>#VALUE!</v>
      </c>
    </row>
    <row r="4352" spans="11:11" x14ac:dyDescent="0.25">
      <c r="K4352" s="8" t="e">
        <f t="shared" si="67"/>
        <v>#VALUE!</v>
      </c>
    </row>
    <row r="4353" spans="11:11" x14ac:dyDescent="0.25">
      <c r="K4353" s="8" t="e">
        <f t="shared" si="67"/>
        <v>#VALUE!</v>
      </c>
    </row>
    <row r="4354" spans="11:11" x14ac:dyDescent="0.25">
      <c r="K4354" s="8" t="e">
        <f t="shared" si="67"/>
        <v>#VALUE!</v>
      </c>
    </row>
    <row r="4355" spans="11:11" x14ac:dyDescent="0.25">
      <c r="K4355" s="8" t="e">
        <f t="shared" ref="K4355:K4418" si="68">LEFT(A4355,FIND("/",A4355)-1)</f>
        <v>#VALUE!</v>
      </c>
    </row>
    <row r="4356" spans="11:11" x14ac:dyDescent="0.25">
      <c r="K4356" s="8" t="e">
        <f t="shared" si="68"/>
        <v>#VALUE!</v>
      </c>
    </row>
    <row r="4357" spans="11:11" x14ac:dyDescent="0.25">
      <c r="K4357" s="8" t="e">
        <f t="shared" si="68"/>
        <v>#VALUE!</v>
      </c>
    </row>
    <row r="4358" spans="11:11" x14ac:dyDescent="0.25">
      <c r="K4358" s="8" t="e">
        <f t="shared" si="68"/>
        <v>#VALUE!</v>
      </c>
    </row>
    <row r="4359" spans="11:11" x14ac:dyDescent="0.25">
      <c r="K4359" s="8" t="e">
        <f t="shared" si="68"/>
        <v>#VALUE!</v>
      </c>
    </row>
    <row r="4360" spans="11:11" x14ac:dyDescent="0.25">
      <c r="K4360" s="8" t="e">
        <f t="shared" si="68"/>
        <v>#VALUE!</v>
      </c>
    </row>
    <row r="4361" spans="11:11" x14ac:dyDescent="0.25">
      <c r="K4361" s="8" t="e">
        <f t="shared" si="68"/>
        <v>#VALUE!</v>
      </c>
    </row>
    <row r="4362" spans="11:11" x14ac:dyDescent="0.25">
      <c r="K4362" s="8" t="e">
        <f t="shared" si="68"/>
        <v>#VALUE!</v>
      </c>
    </row>
    <row r="4363" spans="11:11" x14ac:dyDescent="0.25">
      <c r="K4363" s="8" t="e">
        <f t="shared" si="68"/>
        <v>#VALUE!</v>
      </c>
    </row>
    <row r="4364" spans="11:11" x14ac:dyDescent="0.25">
      <c r="K4364" s="8" t="e">
        <f t="shared" si="68"/>
        <v>#VALUE!</v>
      </c>
    </row>
    <row r="4365" spans="11:11" x14ac:dyDescent="0.25">
      <c r="K4365" s="8" t="e">
        <f t="shared" si="68"/>
        <v>#VALUE!</v>
      </c>
    </row>
    <row r="4366" spans="11:11" x14ac:dyDescent="0.25">
      <c r="K4366" s="8" t="e">
        <f t="shared" si="68"/>
        <v>#VALUE!</v>
      </c>
    </row>
    <row r="4367" spans="11:11" x14ac:dyDescent="0.25">
      <c r="K4367" s="8" t="e">
        <f t="shared" si="68"/>
        <v>#VALUE!</v>
      </c>
    </row>
    <row r="4368" spans="11:11" x14ac:dyDescent="0.25">
      <c r="K4368" s="8" t="e">
        <f t="shared" si="68"/>
        <v>#VALUE!</v>
      </c>
    </row>
    <row r="4369" spans="11:11" x14ac:dyDescent="0.25">
      <c r="K4369" s="8" t="e">
        <f t="shared" si="68"/>
        <v>#VALUE!</v>
      </c>
    </row>
    <row r="4370" spans="11:11" x14ac:dyDescent="0.25">
      <c r="K4370" s="8" t="e">
        <f t="shared" si="68"/>
        <v>#VALUE!</v>
      </c>
    </row>
    <row r="4371" spans="11:11" x14ac:dyDescent="0.25">
      <c r="K4371" s="8" t="e">
        <f t="shared" si="68"/>
        <v>#VALUE!</v>
      </c>
    </row>
    <row r="4372" spans="11:11" x14ac:dyDescent="0.25">
      <c r="K4372" s="8" t="e">
        <f t="shared" si="68"/>
        <v>#VALUE!</v>
      </c>
    </row>
    <row r="4373" spans="11:11" x14ac:dyDescent="0.25">
      <c r="K4373" s="8" t="e">
        <f t="shared" si="68"/>
        <v>#VALUE!</v>
      </c>
    </row>
    <row r="4374" spans="11:11" x14ac:dyDescent="0.25">
      <c r="K4374" s="8" t="e">
        <f t="shared" si="68"/>
        <v>#VALUE!</v>
      </c>
    </row>
    <row r="4375" spans="11:11" x14ac:dyDescent="0.25">
      <c r="K4375" s="8" t="e">
        <f t="shared" si="68"/>
        <v>#VALUE!</v>
      </c>
    </row>
    <row r="4376" spans="11:11" x14ac:dyDescent="0.25">
      <c r="K4376" s="8" t="e">
        <f t="shared" si="68"/>
        <v>#VALUE!</v>
      </c>
    </row>
    <row r="4377" spans="11:11" x14ac:dyDescent="0.25">
      <c r="K4377" s="8" t="e">
        <f t="shared" si="68"/>
        <v>#VALUE!</v>
      </c>
    </row>
    <row r="4378" spans="11:11" x14ac:dyDescent="0.25">
      <c r="K4378" s="8" t="e">
        <f t="shared" si="68"/>
        <v>#VALUE!</v>
      </c>
    </row>
    <row r="4379" spans="11:11" x14ac:dyDescent="0.25">
      <c r="K4379" s="8" t="e">
        <f t="shared" si="68"/>
        <v>#VALUE!</v>
      </c>
    </row>
    <row r="4380" spans="11:11" x14ac:dyDescent="0.25">
      <c r="K4380" s="8" t="e">
        <f t="shared" si="68"/>
        <v>#VALUE!</v>
      </c>
    </row>
    <row r="4381" spans="11:11" x14ac:dyDescent="0.25">
      <c r="K4381" s="8" t="e">
        <f t="shared" si="68"/>
        <v>#VALUE!</v>
      </c>
    </row>
    <row r="4382" spans="11:11" x14ac:dyDescent="0.25">
      <c r="K4382" s="8" t="e">
        <f t="shared" si="68"/>
        <v>#VALUE!</v>
      </c>
    </row>
    <row r="4383" spans="11:11" x14ac:dyDescent="0.25">
      <c r="K4383" s="8" t="e">
        <f t="shared" si="68"/>
        <v>#VALUE!</v>
      </c>
    </row>
    <row r="4384" spans="11:11" x14ac:dyDescent="0.25">
      <c r="K4384" s="8" t="e">
        <f t="shared" si="68"/>
        <v>#VALUE!</v>
      </c>
    </row>
    <row r="4385" spans="11:11" x14ac:dyDescent="0.25">
      <c r="K4385" s="8" t="e">
        <f t="shared" si="68"/>
        <v>#VALUE!</v>
      </c>
    </row>
    <row r="4386" spans="11:11" x14ac:dyDescent="0.25">
      <c r="K4386" s="8" t="e">
        <f t="shared" si="68"/>
        <v>#VALUE!</v>
      </c>
    </row>
    <row r="4387" spans="11:11" x14ac:dyDescent="0.25">
      <c r="K4387" s="8" t="e">
        <f t="shared" si="68"/>
        <v>#VALUE!</v>
      </c>
    </row>
    <row r="4388" spans="11:11" x14ac:dyDescent="0.25">
      <c r="K4388" s="8" t="e">
        <f t="shared" si="68"/>
        <v>#VALUE!</v>
      </c>
    </row>
    <row r="4389" spans="11:11" x14ac:dyDescent="0.25">
      <c r="K4389" s="8" t="e">
        <f t="shared" si="68"/>
        <v>#VALUE!</v>
      </c>
    </row>
    <row r="4390" spans="11:11" x14ac:dyDescent="0.25">
      <c r="K4390" s="8" t="e">
        <f t="shared" si="68"/>
        <v>#VALUE!</v>
      </c>
    </row>
    <row r="4391" spans="11:11" x14ac:dyDescent="0.25">
      <c r="K4391" s="8" t="e">
        <f t="shared" si="68"/>
        <v>#VALUE!</v>
      </c>
    </row>
    <row r="4392" spans="11:11" x14ac:dyDescent="0.25">
      <c r="K4392" s="8" t="e">
        <f t="shared" si="68"/>
        <v>#VALUE!</v>
      </c>
    </row>
    <row r="4393" spans="11:11" x14ac:dyDescent="0.25">
      <c r="K4393" s="8" t="e">
        <f t="shared" si="68"/>
        <v>#VALUE!</v>
      </c>
    </row>
    <row r="4394" spans="11:11" x14ac:dyDescent="0.25">
      <c r="K4394" s="8" t="e">
        <f t="shared" si="68"/>
        <v>#VALUE!</v>
      </c>
    </row>
    <row r="4395" spans="11:11" x14ac:dyDescent="0.25">
      <c r="K4395" s="8" t="e">
        <f t="shared" si="68"/>
        <v>#VALUE!</v>
      </c>
    </row>
    <row r="4396" spans="11:11" x14ac:dyDescent="0.25">
      <c r="K4396" s="8" t="e">
        <f t="shared" si="68"/>
        <v>#VALUE!</v>
      </c>
    </row>
    <row r="4397" spans="11:11" x14ac:dyDescent="0.25">
      <c r="K4397" s="8" t="e">
        <f t="shared" si="68"/>
        <v>#VALUE!</v>
      </c>
    </row>
    <row r="4398" spans="11:11" x14ac:dyDescent="0.25">
      <c r="K4398" s="8" t="e">
        <f t="shared" si="68"/>
        <v>#VALUE!</v>
      </c>
    </row>
    <row r="4399" spans="11:11" x14ac:dyDescent="0.25">
      <c r="K4399" s="8" t="e">
        <f t="shared" si="68"/>
        <v>#VALUE!</v>
      </c>
    </row>
    <row r="4400" spans="11:11" x14ac:dyDescent="0.25">
      <c r="K4400" s="8" t="e">
        <f t="shared" si="68"/>
        <v>#VALUE!</v>
      </c>
    </row>
    <row r="4401" spans="11:11" x14ac:dyDescent="0.25">
      <c r="K4401" s="8" t="e">
        <f t="shared" si="68"/>
        <v>#VALUE!</v>
      </c>
    </row>
    <row r="4402" spans="11:11" x14ac:dyDescent="0.25">
      <c r="K4402" s="8" t="e">
        <f t="shared" si="68"/>
        <v>#VALUE!</v>
      </c>
    </row>
    <row r="4403" spans="11:11" x14ac:dyDescent="0.25">
      <c r="K4403" s="8" t="e">
        <f t="shared" si="68"/>
        <v>#VALUE!</v>
      </c>
    </row>
    <row r="4404" spans="11:11" x14ac:dyDescent="0.25">
      <c r="K4404" s="8" t="e">
        <f t="shared" si="68"/>
        <v>#VALUE!</v>
      </c>
    </row>
    <row r="4405" spans="11:11" x14ac:dyDescent="0.25">
      <c r="K4405" s="8" t="e">
        <f t="shared" si="68"/>
        <v>#VALUE!</v>
      </c>
    </row>
    <row r="4406" spans="11:11" x14ac:dyDescent="0.25">
      <c r="K4406" s="8" t="e">
        <f t="shared" si="68"/>
        <v>#VALUE!</v>
      </c>
    </row>
    <row r="4407" spans="11:11" x14ac:dyDescent="0.25">
      <c r="K4407" s="8" t="e">
        <f t="shared" si="68"/>
        <v>#VALUE!</v>
      </c>
    </row>
    <row r="4408" spans="11:11" x14ac:dyDescent="0.25">
      <c r="K4408" s="8" t="e">
        <f t="shared" si="68"/>
        <v>#VALUE!</v>
      </c>
    </row>
    <row r="4409" spans="11:11" x14ac:dyDescent="0.25">
      <c r="K4409" s="8" t="e">
        <f t="shared" si="68"/>
        <v>#VALUE!</v>
      </c>
    </row>
    <row r="4410" spans="11:11" x14ac:dyDescent="0.25">
      <c r="K4410" s="8" t="e">
        <f t="shared" si="68"/>
        <v>#VALUE!</v>
      </c>
    </row>
    <row r="4411" spans="11:11" x14ac:dyDescent="0.25">
      <c r="K4411" s="8" t="e">
        <f t="shared" si="68"/>
        <v>#VALUE!</v>
      </c>
    </row>
    <row r="4412" spans="11:11" x14ac:dyDescent="0.25">
      <c r="K4412" s="8" t="e">
        <f t="shared" si="68"/>
        <v>#VALUE!</v>
      </c>
    </row>
    <row r="4413" spans="11:11" x14ac:dyDescent="0.25">
      <c r="K4413" s="8" t="e">
        <f t="shared" si="68"/>
        <v>#VALUE!</v>
      </c>
    </row>
    <row r="4414" spans="11:11" x14ac:dyDescent="0.25">
      <c r="K4414" s="8" t="e">
        <f t="shared" si="68"/>
        <v>#VALUE!</v>
      </c>
    </row>
    <row r="4415" spans="11:11" x14ac:dyDescent="0.25">
      <c r="K4415" s="8" t="e">
        <f t="shared" si="68"/>
        <v>#VALUE!</v>
      </c>
    </row>
    <row r="4416" spans="11:11" x14ac:dyDescent="0.25">
      <c r="K4416" s="8" t="e">
        <f t="shared" si="68"/>
        <v>#VALUE!</v>
      </c>
    </row>
    <row r="4417" spans="11:11" x14ac:dyDescent="0.25">
      <c r="K4417" s="8" t="e">
        <f t="shared" si="68"/>
        <v>#VALUE!</v>
      </c>
    </row>
    <row r="4418" spans="11:11" x14ac:dyDescent="0.25">
      <c r="K4418" s="8" t="e">
        <f t="shared" si="68"/>
        <v>#VALUE!</v>
      </c>
    </row>
    <row r="4419" spans="11:11" x14ac:dyDescent="0.25">
      <c r="K4419" s="8" t="e">
        <f t="shared" ref="K4419:K4482" si="69">LEFT(A4419,FIND("/",A4419)-1)</f>
        <v>#VALUE!</v>
      </c>
    </row>
    <row r="4420" spans="11:11" x14ac:dyDescent="0.25">
      <c r="K4420" s="8" t="e">
        <f t="shared" si="69"/>
        <v>#VALUE!</v>
      </c>
    </row>
    <row r="4421" spans="11:11" x14ac:dyDescent="0.25">
      <c r="K4421" s="8" t="e">
        <f t="shared" si="69"/>
        <v>#VALUE!</v>
      </c>
    </row>
    <row r="4422" spans="11:11" x14ac:dyDescent="0.25">
      <c r="K4422" s="8" t="e">
        <f t="shared" si="69"/>
        <v>#VALUE!</v>
      </c>
    </row>
    <row r="4423" spans="11:11" x14ac:dyDescent="0.25">
      <c r="K4423" s="8" t="e">
        <f t="shared" si="69"/>
        <v>#VALUE!</v>
      </c>
    </row>
    <row r="4424" spans="11:11" x14ac:dyDescent="0.25">
      <c r="K4424" s="8" t="e">
        <f t="shared" si="69"/>
        <v>#VALUE!</v>
      </c>
    </row>
    <row r="4425" spans="11:11" x14ac:dyDescent="0.25">
      <c r="K4425" s="8" t="e">
        <f t="shared" si="69"/>
        <v>#VALUE!</v>
      </c>
    </row>
    <row r="4426" spans="11:11" x14ac:dyDescent="0.25">
      <c r="K4426" s="8" t="e">
        <f t="shared" si="69"/>
        <v>#VALUE!</v>
      </c>
    </row>
    <row r="4427" spans="11:11" x14ac:dyDescent="0.25">
      <c r="K4427" s="8" t="e">
        <f t="shared" si="69"/>
        <v>#VALUE!</v>
      </c>
    </row>
    <row r="4428" spans="11:11" x14ac:dyDescent="0.25">
      <c r="K4428" s="8" t="e">
        <f t="shared" si="69"/>
        <v>#VALUE!</v>
      </c>
    </row>
    <row r="4429" spans="11:11" x14ac:dyDescent="0.25">
      <c r="K4429" s="8" t="e">
        <f t="shared" si="69"/>
        <v>#VALUE!</v>
      </c>
    </row>
    <row r="4430" spans="11:11" x14ac:dyDescent="0.25">
      <c r="K4430" s="8" t="e">
        <f t="shared" si="69"/>
        <v>#VALUE!</v>
      </c>
    </row>
    <row r="4431" spans="11:11" x14ac:dyDescent="0.25">
      <c r="K4431" s="8" t="e">
        <f t="shared" si="69"/>
        <v>#VALUE!</v>
      </c>
    </row>
    <row r="4432" spans="11:11" x14ac:dyDescent="0.25">
      <c r="K4432" s="8" t="e">
        <f t="shared" si="69"/>
        <v>#VALUE!</v>
      </c>
    </row>
    <row r="4433" spans="11:11" x14ac:dyDescent="0.25">
      <c r="K4433" s="8" t="e">
        <f t="shared" si="69"/>
        <v>#VALUE!</v>
      </c>
    </row>
    <row r="4434" spans="11:11" x14ac:dyDescent="0.25">
      <c r="K4434" s="8" t="e">
        <f t="shared" si="69"/>
        <v>#VALUE!</v>
      </c>
    </row>
    <row r="4435" spans="11:11" x14ac:dyDescent="0.25">
      <c r="K4435" s="8" t="e">
        <f t="shared" si="69"/>
        <v>#VALUE!</v>
      </c>
    </row>
    <row r="4436" spans="11:11" x14ac:dyDescent="0.25">
      <c r="K4436" s="8" t="e">
        <f t="shared" si="69"/>
        <v>#VALUE!</v>
      </c>
    </row>
    <row r="4437" spans="11:11" x14ac:dyDescent="0.25">
      <c r="K4437" s="8" t="e">
        <f t="shared" si="69"/>
        <v>#VALUE!</v>
      </c>
    </row>
    <row r="4438" spans="11:11" x14ac:dyDescent="0.25">
      <c r="K4438" s="8" t="e">
        <f t="shared" si="69"/>
        <v>#VALUE!</v>
      </c>
    </row>
    <row r="4439" spans="11:11" x14ac:dyDescent="0.25">
      <c r="K4439" s="8" t="e">
        <f t="shared" si="69"/>
        <v>#VALUE!</v>
      </c>
    </row>
    <row r="4440" spans="11:11" x14ac:dyDescent="0.25">
      <c r="K4440" s="8" t="e">
        <f t="shared" si="69"/>
        <v>#VALUE!</v>
      </c>
    </row>
    <row r="4441" spans="11:11" x14ac:dyDescent="0.25">
      <c r="K4441" s="8" t="e">
        <f t="shared" si="69"/>
        <v>#VALUE!</v>
      </c>
    </row>
    <row r="4442" spans="11:11" x14ac:dyDescent="0.25">
      <c r="K4442" s="8" t="e">
        <f t="shared" si="69"/>
        <v>#VALUE!</v>
      </c>
    </row>
    <row r="4443" spans="11:11" x14ac:dyDescent="0.25">
      <c r="K4443" s="8" t="e">
        <f t="shared" si="69"/>
        <v>#VALUE!</v>
      </c>
    </row>
    <row r="4444" spans="11:11" x14ac:dyDescent="0.25">
      <c r="K4444" s="8" t="e">
        <f t="shared" si="69"/>
        <v>#VALUE!</v>
      </c>
    </row>
    <row r="4445" spans="11:11" x14ac:dyDescent="0.25">
      <c r="K4445" s="8" t="e">
        <f t="shared" si="69"/>
        <v>#VALUE!</v>
      </c>
    </row>
    <row r="4446" spans="11:11" x14ac:dyDescent="0.25">
      <c r="K4446" s="8" t="e">
        <f t="shared" si="69"/>
        <v>#VALUE!</v>
      </c>
    </row>
    <row r="4447" spans="11:11" x14ac:dyDescent="0.25">
      <c r="K4447" s="8" t="e">
        <f t="shared" si="69"/>
        <v>#VALUE!</v>
      </c>
    </row>
    <row r="4448" spans="11:11" x14ac:dyDescent="0.25">
      <c r="K4448" s="8" t="e">
        <f t="shared" si="69"/>
        <v>#VALUE!</v>
      </c>
    </row>
    <row r="4449" spans="11:11" x14ac:dyDescent="0.25">
      <c r="K4449" s="8" t="e">
        <f t="shared" si="69"/>
        <v>#VALUE!</v>
      </c>
    </row>
    <row r="4450" spans="11:11" x14ac:dyDescent="0.25">
      <c r="K4450" s="8" t="e">
        <f t="shared" si="69"/>
        <v>#VALUE!</v>
      </c>
    </row>
    <row r="4451" spans="11:11" x14ac:dyDescent="0.25">
      <c r="K4451" s="8" t="e">
        <f t="shared" si="69"/>
        <v>#VALUE!</v>
      </c>
    </row>
    <row r="4452" spans="11:11" x14ac:dyDescent="0.25">
      <c r="K4452" s="8" t="e">
        <f t="shared" si="69"/>
        <v>#VALUE!</v>
      </c>
    </row>
    <row r="4453" spans="11:11" x14ac:dyDescent="0.25">
      <c r="K4453" s="8" t="e">
        <f t="shared" si="69"/>
        <v>#VALUE!</v>
      </c>
    </row>
    <row r="4454" spans="11:11" x14ac:dyDescent="0.25">
      <c r="K4454" s="8" t="e">
        <f t="shared" si="69"/>
        <v>#VALUE!</v>
      </c>
    </row>
    <row r="4455" spans="11:11" x14ac:dyDescent="0.25">
      <c r="K4455" s="8" t="e">
        <f t="shared" si="69"/>
        <v>#VALUE!</v>
      </c>
    </row>
    <row r="4456" spans="11:11" x14ac:dyDescent="0.25">
      <c r="K4456" s="8" t="e">
        <f t="shared" si="69"/>
        <v>#VALUE!</v>
      </c>
    </row>
    <row r="4457" spans="11:11" x14ac:dyDescent="0.25">
      <c r="K4457" s="8" t="e">
        <f t="shared" si="69"/>
        <v>#VALUE!</v>
      </c>
    </row>
    <row r="4458" spans="11:11" x14ac:dyDescent="0.25">
      <c r="K4458" s="8" t="e">
        <f t="shared" si="69"/>
        <v>#VALUE!</v>
      </c>
    </row>
    <row r="4459" spans="11:11" x14ac:dyDescent="0.25">
      <c r="K4459" s="8" t="e">
        <f t="shared" si="69"/>
        <v>#VALUE!</v>
      </c>
    </row>
    <row r="4460" spans="11:11" x14ac:dyDescent="0.25">
      <c r="K4460" s="8" t="e">
        <f t="shared" si="69"/>
        <v>#VALUE!</v>
      </c>
    </row>
    <row r="4461" spans="11:11" x14ac:dyDescent="0.25">
      <c r="K4461" s="8" t="e">
        <f t="shared" si="69"/>
        <v>#VALUE!</v>
      </c>
    </row>
    <row r="4462" spans="11:11" x14ac:dyDescent="0.25">
      <c r="K4462" s="8" t="e">
        <f t="shared" si="69"/>
        <v>#VALUE!</v>
      </c>
    </row>
    <row r="4463" spans="11:11" x14ac:dyDescent="0.25">
      <c r="K4463" s="8" t="e">
        <f t="shared" si="69"/>
        <v>#VALUE!</v>
      </c>
    </row>
    <row r="4464" spans="11:11" x14ac:dyDescent="0.25">
      <c r="K4464" s="8" t="e">
        <f t="shared" si="69"/>
        <v>#VALUE!</v>
      </c>
    </row>
    <row r="4465" spans="11:11" x14ac:dyDescent="0.25">
      <c r="K4465" s="8" t="e">
        <f t="shared" si="69"/>
        <v>#VALUE!</v>
      </c>
    </row>
    <row r="4466" spans="11:11" x14ac:dyDescent="0.25">
      <c r="K4466" s="8" t="e">
        <f t="shared" si="69"/>
        <v>#VALUE!</v>
      </c>
    </row>
    <row r="4467" spans="11:11" x14ac:dyDescent="0.25">
      <c r="K4467" s="8" t="e">
        <f t="shared" si="69"/>
        <v>#VALUE!</v>
      </c>
    </row>
    <row r="4468" spans="11:11" x14ac:dyDescent="0.25">
      <c r="K4468" s="8" t="e">
        <f t="shared" si="69"/>
        <v>#VALUE!</v>
      </c>
    </row>
    <row r="4469" spans="11:11" x14ac:dyDescent="0.25">
      <c r="K4469" s="8" t="e">
        <f t="shared" si="69"/>
        <v>#VALUE!</v>
      </c>
    </row>
    <row r="4470" spans="11:11" x14ac:dyDescent="0.25">
      <c r="K4470" s="8" t="e">
        <f t="shared" si="69"/>
        <v>#VALUE!</v>
      </c>
    </row>
    <row r="4471" spans="11:11" x14ac:dyDescent="0.25">
      <c r="K4471" s="8" t="e">
        <f t="shared" si="69"/>
        <v>#VALUE!</v>
      </c>
    </row>
    <row r="4472" spans="11:11" x14ac:dyDescent="0.25">
      <c r="K4472" s="8" t="e">
        <f t="shared" si="69"/>
        <v>#VALUE!</v>
      </c>
    </row>
    <row r="4473" spans="11:11" x14ac:dyDescent="0.25">
      <c r="K4473" s="8" t="e">
        <f t="shared" si="69"/>
        <v>#VALUE!</v>
      </c>
    </row>
    <row r="4474" spans="11:11" x14ac:dyDescent="0.25">
      <c r="K4474" s="8" t="e">
        <f t="shared" si="69"/>
        <v>#VALUE!</v>
      </c>
    </row>
    <row r="4475" spans="11:11" x14ac:dyDescent="0.25">
      <c r="K4475" s="8" t="e">
        <f t="shared" si="69"/>
        <v>#VALUE!</v>
      </c>
    </row>
    <row r="4476" spans="11:11" x14ac:dyDescent="0.25">
      <c r="K4476" s="8" t="e">
        <f t="shared" si="69"/>
        <v>#VALUE!</v>
      </c>
    </row>
    <row r="4477" spans="11:11" x14ac:dyDescent="0.25">
      <c r="K4477" s="8" t="e">
        <f t="shared" si="69"/>
        <v>#VALUE!</v>
      </c>
    </row>
    <row r="4478" spans="11:11" x14ac:dyDescent="0.25">
      <c r="K4478" s="8" t="e">
        <f t="shared" si="69"/>
        <v>#VALUE!</v>
      </c>
    </row>
    <row r="4479" spans="11:11" x14ac:dyDescent="0.25">
      <c r="K4479" s="8" t="e">
        <f t="shared" si="69"/>
        <v>#VALUE!</v>
      </c>
    </row>
    <row r="4480" spans="11:11" x14ac:dyDescent="0.25">
      <c r="K4480" s="8" t="e">
        <f t="shared" si="69"/>
        <v>#VALUE!</v>
      </c>
    </row>
    <row r="4481" spans="11:11" x14ac:dyDescent="0.25">
      <c r="K4481" s="8" t="e">
        <f t="shared" si="69"/>
        <v>#VALUE!</v>
      </c>
    </row>
    <row r="4482" spans="11:11" x14ac:dyDescent="0.25">
      <c r="K4482" s="8" t="e">
        <f t="shared" si="69"/>
        <v>#VALUE!</v>
      </c>
    </row>
    <row r="4483" spans="11:11" x14ac:dyDescent="0.25">
      <c r="K4483" s="8" t="e">
        <f t="shared" ref="K4483:K4546" si="70">LEFT(A4483,FIND("/",A4483)-1)</f>
        <v>#VALUE!</v>
      </c>
    </row>
    <row r="4484" spans="11:11" x14ac:dyDescent="0.25">
      <c r="K4484" s="8" t="e">
        <f t="shared" si="70"/>
        <v>#VALUE!</v>
      </c>
    </row>
    <row r="4485" spans="11:11" x14ac:dyDescent="0.25">
      <c r="K4485" s="8" t="e">
        <f t="shared" si="70"/>
        <v>#VALUE!</v>
      </c>
    </row>
    <row r="4486" spans="11:11" x14ac:dyDescent="0.25">
      <c r="K4486" s="8" t="e">
        <f t="shared" si="70"/>
        <v>#VALUE!</v>
      </c>
    </row>
    <row r="4487" spans="11:11" x14ac:dyDescent="0.25">
      <c r="K4487" s="8" t="e">
        <f t="shared" si="70"/>
        <v>#VALUE!</v>
      </c>
    </row>
    <row r="4488" spans="11:11" x14ac:dyDescent="0.25">
      <c r="K4488" s="8" t="e">
        <f t="shared" si="70"/>
        <v>#VALUE!</v>
      </c>
    </row>
    <row r="4489" spans="11:11" x14ac:dyDescent="0.25">
      <c r="K4489" s="8" t="e">
        <f t="shared" si="70"/>
        <v>#VALUE!</v>
      </c>
    </row>
    <row r="4490" spans="11:11" x14ac:dyDescent="0.25">
      <c r="K4490" s="8" t="e">
        <f t="shared" si="70"/>
        <v>#VALUE!</v>
      </c>
    </row>
    <row r="4491" spans="11:11" x14ac:dyDescent="0.25">
      <c r="K4491" s="8" t="e">
        <f t="shared" si="70"/>
        <v>#VALUE!</v>
      </c>
    </row>
    <row r="4492" spans="11:11" x14ac:dyDescent="0.25">
      <c r="K4492" s="8" t="e">
        <f t="shared" si="70"/>
        <v>#VALUE!</v>
      </c>
    </row>
    <row r="4493" spans="11:11" x14ac:dyDescent="0.25">
      <c r="K4493" s="8" t="e">
        <f t="shared" si="70"/>
        <v>#VALUE!</v>
      </c>
    </row>
    <row r="4494" spans="11:11" x14ac:dyDescent="0.25">
      <c r="K4494" s="8" t="e">
        <f t="shared" si="70"/>
        <v>#VALUE!</v>
      </c>
    </row>
    <row r="4495" spans="11:11" x14ac:dyDescent="0.25">
      <c r="K4495" s="8" t="e">
        <f t="shared" si="70"/>
        <v>#VALUE!</v>
      </c>
    </row>
    <row r="4496" spans="11:11" x14ac:dyDescent="0.25">
      <c r="K4496" s="8" t="e">
        <f t="shared" si="70"/>
        <v>#VALUE!</v>
      </c>
    </row>
    <row r="4497" spans="11:11" x14ac:dyDescent="0.25">
      <c r="K4497" s="8" t="e">
        <f t="shared" si="70"/>
        <v>#VALUE!</v>
      </c>
    </row>
    <row r="4498" spans="11:11" x14ac:dyDescent="0.25">
      <c r="K4498" s="8" t="e">
        <f t="shared" si="70"/>
        <v>#VALUE!</v>
      </c>
    </row>
    <row r="4499" spans="11:11" x14ac:dyDescent="0.25">
      <c r="K4499" s="8" t="e">
        <f t="shared" si="70"/>
        <v>#VALUE!</v>
      </c>
    </row>
    <row r="4500" spans="11:11" x14ac:dyDescent="0.25">
      <c r="K4500" s="8" t="e">
        <f t="shared" si="70"/>
        <v>#VALUE!</v>
      </c>
    </row>
    <row r="4501" spans="11:11" x14ac:dyDescent="0.25">
      <c r="K4501" s="8" t="e">
        <f t="shared" si="70"/>
        <v>#VALUE!</v>
      </c>
    </row>
    <row r="4502" spans="11:11" x14ac:dyDescent="0.25">
      <c r="K4502" s="8" t="e">
        <f t="shared" si="70"/>
        <v>#VALUE!</v>
      </c>
    </row>
    <row r="4503" spans="11:11" x14ac:dyDescent="0.25">
      <c r="K4503" s="8" t="e">
        <f t="shared" si="70"/>
        <v>#VALUE!</v>
      </c>
    </row>
    <row r="4504" spans="11:11" x14ac:dyDescent="0.25">
      <c r="K4504" s="8" t="e">
        <f t="shared" si="70"/>
        <v>#VALUE!</v>
      </c>
    </row>
    <row r="4505" spans="11:11" x14ac:dyDescent="0.25">
      <c r="K4505" s="8" t="e">
        <f t="shared" si="70"/>
        <v>#VALUE!</v>
      </c>
    </row>
    <row r="4506" spans="11:11" x14ac:dyDescent="0.25">
      <c r="K4506" s="8" t="e">
        <f t="shared" si="70"/>
        <v>#VALUE!</v>
      </c>
    </row>
    <row r="4507" spans="11:11" x14ac:dyDescent="0.25">
      <c r="K4507" s="8" t="e">
        <f t="shared" si="70"/>
        <v>#VALUE!</v>
      </c>
    </row>
    <row r="4508" spans="11:11" x14ac:dyDescent="0.25">
      <c r="K4508" s="8" t="e">
        <f t="shared" si="70"/>
        <v>#VALUE!</v>
      </c>
    </row>
    <row r="4509" spans="11:11" x14ac:dyDescent="0.25">
      <c r="K4509" s="8" t="e">
        <f t="shared" si="70"/>
        <v>#VALUE!</v>
      </c>
    </row>
    <row r="4510" spans="11:11" x14ac:dyDescent="0.25">
      <c r="K4510" s="8" t="e">
        <f t="shared" si="70"/>
        <v>#VALUE!</v>
      </c>
    </row>
    <row r="4511" spans="11:11" x14ac:dyDescent="0.25">
      <c r="K4511" s="8" t="e">
        <f t="shared" si="70"/>
        <v>#VALUE!</v>
      </c>
    </row>
    <row r="4512" spans="11:11" x14ac:dyDescent="0.25">
      <c r="K4512" s="8" t="e">
        <f t="shared" si="70"/>
        <v>#VALUE!</v>
      </c>
    </row>
    <row r="4513" spans="11:11" x14ac:dyDescent="0.25">
      <c r="K4513" s="8" t="e">
        <f t="shared" si="70"/>
        <v>#VALUE!</v>
      </c>
    </row>
    <row r="4514" spans="11:11" x14ac:dyDescent="0.25">
      <c r="K4514" s="8" t="e">
        <f t="shared" si="70"/>
        <v>#VALUE!</v>
      </c>
    </row>
    <row r="4515" spans="11:11" x14ac:dyDescent="0.25">
      <c r="K4515" s="8" t="e">
        <f t="shared" si="70"/>
        <v>#VALUE!</v>
      </c>
    </row>
    <row r="4516" spans="11:11" x14ac:dyDescent="0.25">
      <c r="K4516" s="8" t="e">
        <f t="shared" si="70"/>
        <v>#VALUE!</v>
      </c>
    </row>
    <row r="4517" spans="11:11" x14ac:dyDescent="0.25">
      <c r="K4517" s="8" t="e">
        <f t="shared" si="70"/>
        <v>#VALUE!</v>
      </c>
    </row>
    <row r="4518" spans="11:11" x14ac:dyDescent="0.25">
      <c r="K4518" s="8" t="e">
        <f t="shared" si="70"/>
        <v>#VALUE!</v>
      </c>
    </row>
    <row r="4519" spans="11:11" x14ac:dyDescent="0.25">
      <c r="K4519" s="8" t="e">
        <f t="shared" si="70"/>
        <v>#VALUE!</v>
      </c>
    </row>
    <row r="4520" spans="11:11" x14ac:dyDescent="0.25">
      <c r="K4520" s="8" t="e">
        <f t="shared" si="70"/>
        <v>#VALUE!</v>
      </c>
    </row>
    <row r="4521" spans="11:11" x14ac:dyDescent="0.25">
      <c r="K4521" s="8" t="e">
        <f t="shared" si="70"/>
        <v>#VALUE!</v>
      </c>
    </row>
    <row r="4522" spans="11:11" x14ac:dyDescent="0.25">
      <c r="K4522" s="8" t="e">
        <f t="shared" si="70"/>
        <v>#VALUE!</v>
      </c>
    </row>
    <row r="4523" spans="11:11" x14ac:dyDescent="0.25">
      <c r="K4523" s="8" t="e">
        <f t="shared" si="70"/>
        <v>#VALUE!</v>
      </c>
    </row>
    <row r="4524" spans="11:11" x14ac:dyDescent="0.25">
      <c r="K4524" s="8" t="e">
        <f t="shared" si="70"/>
        <v>#VALUE!</v>
      </c>
    </row>
    <row r="4525" spans="11:11" x14ac:dyDescent="0.25">
      <c r="K4525" s="8" t="e">
        <f t="shared" si="70"/>
        <v>#VALUE!</v>
      </c>
    </row>
    <row r="4526" spans="11:11" x14ac:dyDescent="0.25">
      <c r="K4526" s="8" t="e">
        <f t="shared" si="70"/>
        <v>#VALUE!</v>
      </c>
    </row>
    <row r="4527" spans="11:11" x14ac:dyDescent="0.25">
      <c r="K4527" s="8" t="e">
        <f t="shared" si="70"/>
        <v>#VALUE!</v>
      </c>
    </row>
    <row r="4528" spans="11:11" x14ac:dyDescent="0.25">
      <c r="K4528" s="8" t="e">
        <f t="shared" si="70"/>
        <v>#VALUE!</v>
      </c>
    </row>
    <row r="4529" spans="11:11" x14ac:dyDescent="0.25">
      <c r="K4529" s="8" t="e">
        <f t="shared" si="70"/>
        <v>#VALUE!</v>
      </c>
    </row>
    <row r="4530" spans="11:11" x14ac:dyDescent="0.25">
      <c r="K4530" s="8" t="e">
        <f t="shared" si="70"/>
        <v>#VALUE!</v>
      </c>
    </row>
    <row r="4531" spans="11:11" x14ac:dyDescent="0.25">
      <c r="K4531" s="8" t="e">
        <f t="shared" si="70"/>
        <v>#VALUE!</v>
      </c>
    </row>
    <row r="4532" spans="11:11" x14ac:dyDescent="0.25">
      <c r="K4532" s="8" t="e">
        <f t="shared" si="70"/>
        <v>#VALUE!</v>
      </c>
    </row>
    <row r="4533" spans="11:11" x14ac:dyDescent="0.25">
      <c r="K4533" s="8" t="e">
        <f t="shared" si="70"/>
        <v>#VALUE!</v>
      </c>
    </row>
    <row r="4534" spans="11:11" x14ac:dyDescent="0.25">
      <c r="K4534" s="8" t="e">
        <f t="shared" si="70"/>
        <v>#VALUE!</v>
      </c>
    </row>
    <row r="4535" spans="11:11" x14ac:dyDescent="0.25">
      <c r="K4535" s="8" t="e">
        <f t="shared" si="70"/>
        <v>#VALUE!</v>
      </c>
    </row>
    <row r="4536" spans="11:11" x14ac:dyDescent="0.25">
      <c r="K4536" s="8" t="e">
        <f t="shared" si="70"/>
        <v>#VALUE!</v>
      </c>
    </row>
    <row r="4537" spans="11:11" x14ac:dyDescent="0.25">
      <c r="K4537" s="8" t="e">
        <f t="shared" si="70"/>
        <v>#VALUE!</v>
      </c>
    </row>
    <row r="4538" spans="11:11" x14ac:dyDescent="0.25">
      <c r="K4538" s="8" t="e">
        <f t="shared" si="70"/>
        <v>#VALUE!</v>
      </c>
    </row>
    <row r="4539" spans="11:11" x14ac:dyDescent="0.25">
      <c r="K4539" s="8" t="e">
        <f t="shared" si="70"/>
        <v>#VALUE!</v>
      </c>
    </row>
    <row r="4540" spans="11:11" x14ac:dyDescent="0.25">
      <c r="K4540" s="8" t="e">
        <f t="shared" si="70"/>
        <v>#VALUE!</v>
      </c>
    </row>
    <row r="4541" spans="11:11" x14ac:dyDescent="0.25">
      <c r="K4541" s="8" t="e">
        <f t="shared" si="70"/>
        <v>#VALUE!</v>
      </c>
    </row>
    <row r="4542" spans="11:11" x14ac:dyDescent="0.25">
      <c r="K4542" s="8" t="e">
        <f t="shared" si="70"/>
        <v>#VALUE!</v>
      </c>
    </row>
    <row r="4543" spans="11:11" x14ac:dyDescent="0.25">
      <c r="K4543" s="8" t="e">
        <f t="shared" si="70"/>
        <v>#VALUE!</v>
      </c>
    </row>
    <row r="4544" spans="11:11" x14ac:dyDescent="0.25">
      <c r="K4544" s="8" t="e">
        <f t="shared" si="70"/>
        <v>#VALUE!</v>
      </c>
    </row>
    <row r="4545" spans="11:11" x14ac:dyDescent="0.25">
      <c r="K4545" s="8" t="e">
        <f t="shared" si="70"/>
        <v>#VALUE!</v>
      </c>
    </row>
    <row r="4546" spans="11:11" x14ac:dyDescent="0.25">
      <c r="K4546" s="8" t="e">
        <f t="shared" si="70"/>
        <v>#VALUE!</v>
      </c>
    </row>
    <row r="4547" spans="11:11" x14ac:dyDescent="0.25">
      <c r="K4547" s="8" t="e">
        <f t="shared" ref="K4547:K4610" si="71">LEFT(A4547,FIND("/",A4547)-1)</f>
        <v>#VALUE!</v>
      </c>
    </row>
    <row r="4548" spans="11:11" x14ac:dyDescent="0.25">
      <c r="K4548" s="8" t="e">
        <f t="shared" si="71"/>
        <v>#VALUE!</v>
      </c>
    </row>
    <row r="4549" spans="11:11" x14ac:dyDescent="0.25">
      <c r="K4549" s="8" t="e">
        <f t="shared" si="71"/>
        <v>#VALUE!</v>
      </c>
    </row>
    <row r="4550" spans="11:11" x14ac:dyDescent="0.25">
      <c r="K4550" s="8" t="e">
        <f t="shared" si="71"/>
        <v>#VALUE!</v>
      </c>
    </row>
    <row r="4551" spans="11:11" x14ac:dyDescent="0.25">
      <c r="K4551" s="8" t="e">
        <f t="shared" si="71"/>
        <v>#VALUE!</v>
      </c>
    </row>
    <row r="4552" spans="11:11" x14ac:dyDescent="0.25">
      <c r="K4552" s="8" t="e">
        <f t="shared" si="71"/>
        <v>#VALUE!</v>
      </c>
    </row>
    <row r="4553" spans="11:11" x14ac:dyDescent="0.25">
      <c r="K4553" s="8" t="e">
        <f t="shared" si="71"/>
        <v>#VALUE!</v>
      </c>
    </row>
    <row r="4554" spans="11:11" x14ac:dyDescent="0.25">
      <c r="K4554" s="8" t="e">
        <f t="shared" si="71"/>
        <v>#VALUE!</v>
      </c>
    </row>
    <row r="4555" spans="11:11" x14ac:dyDescent="0.25">
      <c r="K4555" s="8" t="e">
        <f t="shared" si="71"/>
        <v>#VALUE!</v>
      </c>
    </row>
    <row r="4556" spans="11:11" x14ac:dyDescent="0.25">
      <c r="K4556" s="8" t="e">
        <f t="shared" si="71"/>
        <v>#VALUE!</v>
      </c>
    </row>
    <row r="4557" spans="11:11" x14ac:dyDescent="0.25">
      <c r="K4557" s="8" t="e">
        <f t="shared" si="71"/>
        <v>#VALUE!</v>
      </c>
    </row>
    <row r="4558" spans="11:11" x14ac:dyDescent="0.25">
      <c r="K4558" s="8" t="e">
        <f t="shared" si="71"/>
        <v>#VALUE!</v>
      </c>
    </row>
    <row r="4559" spans="11:11" x14ac:dyDescent="0.25">
      <c r="K4559" s="8" t="e">
        <f t="shared" si="71"/>
        <v>#VALUE!</v>
      </c>
    </row>
    <row r="4560" spans="11:11" x14ac:dyDescent="0.25">
      <c r="K4560" s="8" t="e">
        <f t="shared" si="71"/>
        <v>#VALUE!</v>
      </c>
    </row>
    <row r="4561" spans="11:11" x14ac:dyDescent="0.25">
      <c r="K4561" s="8" t="e">
        <f t="shared" si="71"/>
        <v>#VALUE!</v>
      </c>
    </row>
    <row r="4562" spans="11:11" x14ac:dyDescent="0.25">
      <c r="K4562" s="8" t="e">
        <f t="shared" si="71"/>
        <v>#VALUE!</v>
      </c>
    </row>
    <row r="4563" spans="11:11" x14ac:dyDescent="0.25">
      <c r="K4563" s="8" t="e">
        <f t="shared" si="71"/>
        <v>#VALUE!</v>
      </c>
    </row>
    <row r="4564" spans="11:11" x14ac:dyDescent="0.25">
      <c r="K4564" s="8" t="e">
        <f t="shared" si="71"/>
        <v>#VALUE!</v>
      </c>
    </row>
    <row r="4565" spans="11:11" x14ac:dyDescent="0.25">
      <c r="K4565" s="8" t="e">
        <f t="shared" si="71"/>
        <v>#VALUE!</v>
      </c>
    </row>
    <row r="4566" spans="11:11" x14ac:dyDescent="0.25">
      <c r="K4566" s="8" t="e">
        <f t="shared" si="71"/>
        <v>#VALUE!</v>
      </c>
    </row>
    <row r="4567" spans="11:11" x14ac:dyDescent="0.25">
      <c r="K4567" s="8" t="e">
        <f t="shared" si="71"/>
        <v>#VALUE!</v>
      </c>
    </row>
    <row r="4568" spans="11:11" x14ac:dyDescent="0.25">
      <c r="K4568" s="8" t="e">
        <f t="shared" si="71"/>
        <v>#VALUE!</v>
      </c>
    </row>
    <row r="4569" spans="11:11" x14ac:dyDescent="0.25">
      <c r="K4569" s="8" t="e">
        <f t="shared" si="71"/>
        <v>#VALUE!</v>
      </c>
    </row>
    <row r="4570" spans="11:11" x14ac:dyDescent="0.25">
      <c r="K4570" s="8" t="e">
        <f t="shared" si="71"/>
        <v>#VALUE!</v>
      </c>
    </row>
    <row r="4571" spans="11:11" x14ac:dyDescent="0.25">
      <c r="K4571" s="8" t="e">
        <f t="shared" si="71"/>
        <v>#VALUE!</v>
      </c>
    </row>
    <row r="4572" spans="11:11" x14ac:dyDescent="0.25">
      <c r="K4572" s="8" t="e">
        <f t="shared" si="71"/>
        <v>#VALUE!</v>
      </c>
    </row>
    <row r="4573" spans="11:11" x14ac:dyDescent="0.25">
      <c r="K4573" s="8" t="e">
        <f t="shared" si="71"/>
        <v>#VALUE!</v>
      </c>
    </row>
    <row r="4574" spans="11:11" x14ac:dyDescent="0.25">
      <c r="K4574" s="8" t="e">
        <f t="shared" si="71"/>
        <v>#VALUE!</v>
      </c>
    </row>
    <row r="4575" spans="11:11" x14ac:dyDescent="0.25">
      <c r="K4575" s="8" t="e">
        <f t="shared" si="71"/>
        <v>#VALUE!</v>
      </c>
    </row>
    <row r="4576" spans="11:11" x14ac:dyDescent="0.25">
      <c r="K4576" s="8" t="e">
        <f t="shared" si="71"/>
        <v>#VALUE!</v>
      </c>
    </row>
    <row r="4577" spans="11:11" x14ac:dyDescent="0.25">
      <c r="K4577" s="8" t="e">
        <f t="shared" si="71"/>
        <v>#VALUE!</v>
      </c>
    </row>
    <row r="4578" spans="11:11" x14ac:dyDescent="0.25">
      <c r="K4578" s="8" t="e">
        <f t="shared" si="71"/>
        <v>#VALUE!</v>
      </c>
    </row>
    <row r="4579" spans="11:11" x14ac:dyDescent="0.25">
      <c r="K4579" s="8" t="e">
        <f t="shared" si="71"/>
        <v>#VALUE!</v>
      </c>
    </row>
    <row r="4580" spans="11:11" x14ac:dyDescent="0.25">
      <c r="K4580" s="8" t="e">
        <f t="shared" si="71"/>
        <v>#VALUE!</v>
      </c>
    </row>
    <row r="4581" spans="11:11" x14ac:dyDescent="0.25">
      <c r="K4581" s="8" t="e">
        <f t="shared" si="71"/>
        <v>#VALUE!</v>
      </c>
    </row>
    <row r="4582" spans="11:11" x14ac:dyDescent="0.25">
      <c r="K4582" s="8" t="e">
        <f t="shared" si="71"/>
        <v>#VALUE!</v>
      </c>
    </row>
    <row r="4583" spans="11:11" x14ac:dyDescent="0.25">
      <c r="K4583" s="8" t="e">
        <f t="shared" si="71"/>
        <v>#VALUE!</v>
      </c>
    </row>
    <row r="4584" spans="11:11" x14ac:dyDescent="0.25">
      <c r="K4584" s="8" t="e">
        <f t="shared" si="71"/>
        <v>#VALUE!</v>
      </c>
    </row>
    <row r="4585" spans="11:11" x14ac:dyDescent="0.25">
      <c r="K4585" s="8" t="e">
        <f t="shared" si="71"/>
        <v>#VALUE!</v>
      </c>
    </row>
    <row r="4586" spans="11:11" x14ac:dyDescent="0.25">
      <c r="K4586" s="8" t="e">
        <f t="shared" si="71"/>
        <v>#VALUE!</v>
      </c>
    </row>
    <row r="4587" spans="11:11" x14ac:dyDescent="0.25">
      <c r="K4587" s="8" t="e">
        <f t="shared" si="71"/>
        <v>#VALUE!</v>
      </c>
    </row>
    <row r="4588" spans="11:11" x14ac:dyDescent="0.25">
      <c r="K4588" s="8" t="e">
        <f t="shared" si="71"/>
        <v>#VALUE!</v>
      </c>
    </row>
    <row r="4589" spans="11:11" x14ac:dyDescent="0.25">
      <c r="K4589" s="8" t="e">
        <f t="shared" si="71"/>
        <v>#VALUE!</v>
      </c>
    </row>
    <row r="4590" spans="11:11" x14ac:dyDescent="0.25">
      <c r="K4590" s="8" t="e">
        <f t="shared" si="71"/>
        <v>#VALUE!</v>
      </c>
    </row>
    <row r="4591" spans="11:11" x14ac:dyDescent="0.25">
      <c r="K4591" s="8" t="e">
        <f t="shared" si="71"/>
        <v>#VALUE!</v>
      </c>
    </row>
    <row r="4592" spans="11:11" x14ac:dyDescent="0.25">
      <c r="K4592" s="8" t="e">
        <f t="shared" si="71"/>
        <v>#VALUE!</v>
      </c>
    </row>
    <row r="4593" spans="11:11" x14ac:dyDescent="0.25">
      <c r="K4593" s="8" t="e">
        <f t="shared" si="71"/>
        <v>#VALUE!</v>
      </c>
    </row>
    <row r="4594" spans="11:11" x14ac:dyDescent="0.25">
      <c r="K4594" s="8" t="e">
        <f t="shared" si="71"/>
        <v>#VALUE!</v>
      </c>
    </row>
    <row r="4595" spans="11:11" x14ac:dyDescent="0.25">
      <c r="K4595" s="8" t="e">
        <f t="shared" si="71"/>
        <v>#VALUE!</v>
      </c>
    </row>
    <row r="4596" spans="11:11" x14ac:dyDescent="0.25">
      <c r="K4596" s="8" t="e">
        <f t="shared" si="71"/>
        <v>#VALUE!</v>
      </c>
    </row>
    <row r="4597" spans="11:11" x14ac:dyDescent="0.25">
      <c r="K4597" s="8" t="e">
        <f t="shared" si="71"/>
        <v>#VALUE!</v>
      </c>
    </row>
    <row r="4598" spans="11:11" x14ac:dyDescent="0.25">
      <c r="K4598" s="8" t="e">
        <f t="shared" si="71"/>
        <v>#VALUE!</v>
      </c>
    </row>
    <row r="4599" spans="11:11" x14ac:dyDescent="0.25">
      <c r="K4599" s="8" t="e">
        <f t="shared" si="71"/>
        <v>#VALUE!</v>
      </c>
    </row>
    <row r="4600" spans="11:11" x14ac:dyDescent="0.25">
      <c r="K4600" s="8" t="e">
        <f t="shared" si="71"/>
        <v>#VALUE!</v>
      </c>
    </row>
    <row r="4601" spans="11:11" x14ac:dyDescent="0.25">
      <c r="K4601" s="8" t="e">
        <f t="shared" si="71"/>
        <v>#VALUE!</v>
      </c>
    </row>
    <row r="4602" spans="11:11" x14ac:dyDescent="0.25">
      <c r="K4602" s="8" t="e">
        <f t="shared" si="71"/>
        <v>#VALUE!</v>
      </c>
    </row>
    <row r="4603" spans="11:11" x14ac:dyDescent="0.25">
      <c r="K4603" s="8" t="e">
        <f t="shared" si="71"/>
        <v>#VALUE!</v>
      </c>
    </row>
    <row r="4604" spans="11:11" x14ac:dyDescent="0.25">
      <c r="K4604" s="8" t="e">
        <f t="shared" si="71"/>
        <v>#VALUE!</v>
      </c>
    </row>
    <row r="4605" spans="11:11" x14ac:dyDescent="0.25">
      <c r="K4605" s="8" t="e">
        <f t="shared" si="71"/>
        <v>#VALUE!</v>
      </c>
    </row>
    <row r="4606" spans="11:11" x14ac:dyDescent="0.25">
      <c r="K4606" s="8" t="e">
        <f t="shared" si="71"/>
        <v>#VALUE!</v>
      </c>
    </row>
    <row r="4607" spans="11:11" x14ac:dyDescent="0.25">
      <c r="K4607" s="8" t="e">
        <f t="shared" si="71"/>
        <v>#VALUE!</v>
      </c>
    </row>
    <row r="4608" spans="11:11" x14ac:dyDescent="0.25">
      <c r="K4608" s="8" t="e">
        <f t="shared" si="71"/>
        <v>#VALUE!</v>
      </c>
    </row>
    <row r="4609" spans="11:11" x14ac:dyDescent="0.25">
      <c r="K4609" s="8" t="e">
        <f t="shared" si="71"/>
        <v>#VALUE!</v>
      </c>
    </row>
    <row r="4610" spans="11:11" x14ac:dyDescent="0.25">
      <c r="K4610" s="8" t="e">
        <f t="shared" si="71"/>
        <v>#VALUE!</v>
      </c>
    </row>
    <row r="4611" spans="11:11" x14ac:dyDescent="0.25">
      <c r="K4611" s="8" t="e">
        <f t="shared" ref="K4611:K4674" si="72">LEFT(A4611,FIND("/",A4611)-1)</f>
        <v>#VALUE!</v>
      </c>
    </row>
    <row r="4612" spans="11:11" x14ac:dyDescent="0.25">
      <c r="K4612" s="8" t="e">
        <f t="shared" si="72"/>
        <v>#VALUE!</v>
      </c>
    </row>
    <row r="4613" spans="11:11" x14ac:dyDescent="0.25">
      <c r="K4613" s="8" t="e">
        <f t="shared" si="72"/>
        <v>#VALUE!</v>
      </c>
    </row>
    <row r="4614" spans="11:11" x14ac:dyDescent="0.25">
      <c r="K4614" s="8" t="e">
        <f t="shared" si="72"/>
        <v>#VALUE!</v>
      </c>
    </row>
    <row r="4615" spans="11:11" x14ac:dyDescent="0.25">
      <c r="K4615" s="8" t="e">
        <f t="shared" si="72"/>
        <v>#VALUE!</v>
      </c>
    </row>
    <row r="4616" spans="11:11" x14ac:dyDescent="0.25">
      <c r="K4616" s="8" t="e">
        <f t="shared" si="72"/>
        <v>#VALUE!</v>
      </c>
    </row>
    <row r="4617" spans="11:11" x14ac:dyDescent="0.25">
      <c r="K4617" s="8" t="e">
        <f t="shared" si="72"/>
        <v>#VALUE!</v>
      </c>
    </row>
    <row r="4618" spans="11:11" x14ac:dyDescent="0.25">
      <c r="K4618" s="8" t="e">
        <f t="shared" si="72"/>
        <v>#VALUE!</v>
      </c>
    </row>
    <row r="4619" spans="11:11" x14ac:dyDescent="0.25">
      <c r="K4619" s="8" t="e">
        <f t="shared" si="72"/>
        <v>#VALUE!</v>
      </c>
    </row>
    <row r="4620" spans="11:11" x14ac:dyDescent="0.25">
      <c r="K4620" s="8" t="e">
        <f t="shared" si="72"/>
        <v>#VALUE!</v>
      </c>
    </row>
    <row r="4621" spans="11:11" x14ac:dyDescent="0.25">
      <c r="K4621" s="8" t="e">
        <f t="shared" si="72"/>
        <v>#VALUE!</v>
      </c>
    </row>
    <row r="4622" spans="11:11" x14ac:dyDescent="0.25">
      <c r="K4622" s="8" t="e">
        <f t="shared" si="72"/>
        <v>#VALUE!</v>
      </c>
    </row>
    <row r="4623" spans="11:11" x14ac:dyDescent="0.25">
      <c r="K4623" s="8" t="e">
        <f t="shared" si="72"/>
        <v>#VALUE!</v>
      </c>
    </row>
    <row r="4624" spans="11:11" x14ac:dyDescent="0.25">
      <c r="K4624" s="8" t="e">
        <f t="shared" si="72"/>
        <v>#VALUE!</v>
      </c>
    </row>
    <row r="4625" spans="11:11" x14ac:dyDescent="0.25">
      <c r="K4625" s="8" t="e">
        <f t="shared" si="72"/>
        <v>#VALUE!</v>
      </c>
    </row>
    <row r="4626" spans="11:11" x14ac:dyDescent="0.25">
      <c r="K4626" s="8" t="e">
        <f t="shared" si="72"/>
        <v>#VALUE!</v>
      </c>
    </row>
    <row r="4627" spans="11:11" x14ac:dyDescent="0.25">
      <c r="K4627" s="8" t="e">
        <f t="shared" si="72"/>
        <v>#VALUE!</v>
      </c>
    </row>
    <row r="4628" spans="11:11" x14ac:dyDescent="0.25">
      <c r="K4628" s="8" t="e">
        <f t="shared" si="72"/>
        <v>#VALUE!</v>
      </c>
    </row>
    <row r="4629" spans="11:11" x14ac:dyDescent="0.25">
      <c r="K4629" s="8" t="e">
        <f t="shared" si="72"/>
        <v>#VALUE!</v>
      </c>
    </row>
    <row r="4630" spans="11:11" x14ac:dyDescent="0.25">
      <c r="K4630" s="8" t="e">
        <f t="shared" si="72"/>
        <v>#VALUE!</v>
      </c>
    </row>
    <row r="4631" spans="11:11" x14ac:dyDescent="0.25">
      <c r="K4631" s="8" t="e">
        <f t="shared" si="72"/>
        <v>#VALUE!</v>
      </c>
    </row>
    <row r="4632" spans="11:11" x14ac:dyDescent="0.25">
      <c r="K4632" s="8" t="e">
        <f t="shared" si="72"/>
        <v>#VALUE!</v>
      </c>
    </row>
    <row r="4633" spans="11:11" x14ac:dyDescent="0.25">
      <c r="K4633" s="8" t="e">
        <f t="shared" si="72"/>
        <v>#VALUE!</v>
      </c>
    </row>
    <row r="4634" spans="11:11" x14ac:dyDescent="0.25">
      <c r="K4634" s="8" t="e">
        <f t="shared" si="72"/>
        <v>#VALUE!</v>
      </c>
    </row>
    <row r="4635" spans="11:11" x14ac:dyDescent="0.25">
      <c r="K4635" s="8" t="e">
        <f t="shared" si="72"/>
        <v>#VALUE!</v>
      </c>
    </row>
    <row r="4636" spans="11:11" x14ac:dyDescent="0.25">
      <c r="K4636" s="8" t="e">
        <f t="shared" si="72"/>
        <v>#VALUE!</v>
      </c>
    </row>
    <row r="4637" spans="11:11" x14ac:dyDescent="0.25">
      <c r="K4637" s="8" t="e">
        <f t="shared" si="72"/>
        <v>#VALUE!</v>
      </c>
    </row>
    <row r="4638" spans="11:11" x14ac:dyDescent="0.25">
      <c r="K4638" s="8" t="e">
        <f t="shared" si="72"/>
        <v>#VALUE!</v>
      </c>
    </row>
    <row r="4639" spans="11:11" x14ac:dyDescent="0.25">
      <c r="K4639" s="8" t="e">
        <f t="shared" si="72"/>
        <v>#VALUE!</v>
      </c>
    </row>
    <row r="4640" spans="11:11" x14ac:dyDescent="0.25">
      <c r="K4640" s="8" t="e">
        <f t="shared" si="72"/>
        <v>#VALUE!</v>
      </c>
    </row>
    <row r="4641" spans="11:11" x14ac:dyDescent="0.25">
      <c r="K4641" s="8" t="e">
        <f t="shared" si="72"/>
        <v>#VALUE!</v>
      </c>
    </row>
    <row r="4642" spans="11:11" x14ac:dyDescent="0.25">
      <c r="K4642" s="8" t="e">
        <f t="shared" si="72"/>
        <v>#VALUE!</v>
      </c>
    </row>
    <row r="4643" spans="11:11" x14ac:dyDescent="0.25">
      <c r="K4643" s="8" t="e">
        <f t="shared" si="72"/>
        <v>#VALUE!</v>
      </c>
    </row>
    <row r="4644" spans="11:11" x14ac:dyDescent="0.25">
      <c r="K4644" s="8" t="e">
        <f t="shared" si="72"/>
        <v>#VALUE!</v>
      </c>
    </row>
    <row r="4645" spans="11:11" x14ac:dyDescent="0.25">
      <c r="K4645" s="8" t="e">
        <f t="shared" si="72"/>
        <v>#VALUE!</v>
      </c>
    </row>
    <row r="4646" spans="11:11" x14ac:dyDescent="0.25">
      <c r="K4646" s="8" t="e">
        <f t="shared" si="72"/>
        <v>#VALUE!</v>
      </c>
    </row>
    <row r="4647" spans="11:11" x14ac:dyDescent="0.25">
      <c r="K4647" s="8" t="e">
        <f t="shared" si="72"/>
        <v>#VALUE!</v>
      </c>
    </row>
    <row r="4648" spans="11:11" x14ac:dyDescent="0.25">
      <c r="K4648" s="8" t="e">
        <f t="shared" si="72"/>
        <v>#VALUE!</v>
      </c>
    </row>
    <row r="4649" spans="11:11" x14ac:dyDescent="0.25">
      <c r="K4649" s="8" t="e">
        <f t="shared" si="72"/>
        <v>#VALUE!</v>
      </c>
    </row>
    <row r="4650" spans="11:11" x14ac:dyDescent="0.25">
      <c r="K4650" s="8" t="e">
        <f t="shared" si="72"/>
        <v>#VALUE!</v>
      </c>
    </row>
    <row r="4651" spans="11:11" x14ac:dyDescent="0.25">
      <c r="K4651" s="8" t="e">
        <f t="shared" si="72"/>
        <v>#VALUE!</v>
      </c>
    </row>
    <row r="4652" spans="11:11" x14ac:dyDescent="0.25">
      <c r="K4652" s="8" t="e">
        <f t="shared" si="72"/>
        <v>#VALUE!</v>
      </c>
    </row>
    <row r="4653" spans="11:11" x14ac:dyDescent="0.25">
      <c r="K4653" s="8" t="e">
        <f t="shared" si="72"/>
        <v>#VALUE!</v>
      </c>
    </row>
    <row r="4654" spans="11:11" x14ac:dyDescent="0.25">
      <c r="K4654" s="8" t="e">
        <f t="shared" si="72"/>
        <v>#VALUE!</v>
      </c>
    </row>
    <row r="4655" spans="11:11" x14ac:dyDescent="0.25">
      <c r="K4655" s="8" t="e">
        <f t="shared" si="72"/>
        <v>#VALUE!</v>
      </c>
    </row>
    <row r="4656" spans="11:11" x14ac:dyDescent="0.25">
      <c r="K4656" s="8" t="e">
        <f t="shared" si="72"/>
        <v>#VALUE!</v>
      </c>
    </row>
    <row r="4657" spans="11:11" x14ac:dyDescent="0.25">
      <c r="K4657" s="8" t="e">
        <f t="shared" si="72"/>
        <v>#VALUE!</v>
      </c>
    </row>
    <row r="4658" spans="11:11" x14ac:dyDescent="0.25">
      <c r="K4658" s="8" t="e">
        <f t="shared" si="72"/>
        <v>#VALUE!</v>
      </c>
    </row>
    <row r="4659" spans="11:11" x14ac:dyDescent="0.25">
      <c r="K4659" s="8" t="e">
        <f t="shared" si="72"/>
        <v>#VALUE!</v>
      </c>
    </row>
    <row r="4660" spans="11:11" x14ac:dyDescent="0.25">
      <c r="K4660" s="8" t="e">
        <f t="shared" si="72"/>
        <v>#VALUE!</v>
      </c>
    </row>
    <row r="4661" spans="11:11" x14ac:dyDescent="0.25">
      <c r="K4661" s="8" t="e">
        <f t="shared" si="72"/>
        <v>#VALUE!</v>
      </c>
    </row>
    <row r="4662" spans="11:11" x14ac:dyDescent="0.25">
      <c r="K4662" s="8" t="e">
        <f t="shared" si="72"/>
        <v>#VALUE!</v>
      </c>
    </row>
    <row r="4663" spans="11:11" x14ac:dyDescent="0.25">
      <c r="K4663" s="8" t="e">
        <f t="shared" si="72"/>
        <v>#VALUE!</v>
      </c>
    </row>
    <row r="4664" spans="11:11" x14ac:dyDescent="0.25">
      <c r="K4664" s="8" t="e">
        <f t="shared" si="72"/>
        <v>#VALUE!</v>
      </c>
    </row>
    <row r="4665" spans="11:11" x14ac:dyDescent="0.25">
      <c r="K4665" s="8" t="e">
        <f t="shared" si="72"/>
        <v>#VALUE!</v>
      </c>
    </row>
    <row r="4666" spans="11:11" x14ac:dyDescent="0.25">
      <c r="K4666" s="8" t="e">
        <f t="shared" si="72"/>
        <v>#VALUE!</v>
      </c>
    </row>
    <row r="4667" spans="11:11" x14ac:dyDescent="0.25">
      <c r="K4667" s="8" t="e">
        <f t="shared" si="72"/>
        <v>#VALUE!</v>
      </c>
    </row>
    <row r="4668" spans="11:11" x14ac:dyDescent="0.25">
      <c r="K4668" s="8" t="e">
        <f t="shared" si="72"/>
        <v>#VALUE!</v>
      </c>
    </row>
    <row r="4669" spans="11:11" x14ac:dyDescent="0.25">
      <c r="K4669" s="8" t="e">
        <f t="shared" si="72"/>
        <v>#VALUE!</v>
      </c>
    </row>
    <row r="4670" spans="11:11" x14ac:dyDescent="0.25">
      <c r="K4670" s="8" t="e">
        <f t="shared" si="72"/>
        <v>#VALUE!</v>
      </c>
    </row>
    <row r="4671" spans="11:11" x14ac:dyDescent="0.25">
      <c r="K4671" s="8" t="e">
        <f t="shared" si="72"/>
        <v>#VALUE!</v>
      </c>
    </row>
    <row r="4672" spans="11:11" x14ac:dyDescent="0.25">
      <c r="K4672" s="8" t="e">
        <f t="shared" si="72"/>
        <v>#VALUE!</v>
      </c>
    </row>
    <row r="4673" spans="11:11" x14ac:dyDescent="0.25">
      <c r="K4673" s="8" t="e">
        <f t="shared" si="72"/>
        <v>#VALUE!</v>
      </c>
    </row>
    <row r="4674" spans="11:11" x14ac:dyDescent="0.25">
      <c r="K4674" s="8" t="e">
        <f t="shared" si="72"/>
        <v>#VALUE!</v>
      </c>
    </row>
    <row r="4675" spans="11:11" x14ac:dyDescent="0.25">
      <c r="K4675" s="8" t="e">
        <f t="shared" ref="K4675:K4738" si="73">LEFT(A4675,FIND("/",A4675)-1)</f>
        <v>#VALUE!</v>
      </c>
    </row>
    <row r="4676" spans="11:11" x14ac:dyDescent="0.25">
      <c r="K4676" s="8" t="e">
        <f t="shared" si="73"/>
        <v>#VALUE!</v>
      </c>
    </row>
    <row r="4677" spans="11:11" x14ac:dyDescent="0.25">
      <c r="K4677" s="8" t="e">
        <f t="shared" si="73"/>
        <v>#VALUE!</v>
      </c>
    </row>
    <row r="4678" spans="11:11" x14ac:dyDescent="0.25">
      <c r="K4678" s="8" t="e">
        <f t="shared" si="73"/>
        <v>#VALUE!</v>
      </c>
    </row>
    <row r="4679" spans="11:11" x14ac:dyDescent="0.25">
      <c r="K4679" s="8" t="e">
        <f t="shared" si="73"/>
        <v>#VALUE!</v>
      </c>
    </row>
    <row r="4680" spans="11:11" x14ac:dyDescent="0.25">
      <c r="K4680" s="8" t="e">
        <f t="shared" si="73"/>
        <v>#VALUE!</v>
      </c>
    </row>
    <row r="4681" spans="11:11" x14ac:dyDescent="0.25">
      <c r="K4681" s="8" t="e">
        <f t="shared" si="73"/>
        <v>#VALUE!</v>
      </c>
    </row>
    <row r="4682" spans="11:11" x14ac:dyDescent="0.25">
      <c r="K4682" s="8" t="e">
        <f t="shared" si="73"/>
        <v>#VALUE!</v>
      </c>
    </row>
    <row r="4683" spans="11:11" x14ac:dyDescent="0.25">
      <c r="K4683" s="8" t="e">
        <f t="shared" si="73"/>
        <v>#VALUE!</v>
      </c>
    </row>
    <row r="4684" spans="11:11" x14ac:dyDescent="0.25">
      <c r="K4684" s="8" t="e">
        <f t="shared" si="73"/>
        <v>#VALUE!</v>
      </c>
    </row>
    <row r="4685" spans="11:11" x14ac:dyDescent="0.25">
      <c r="K4685" s="8" t="e">
        <f t="shared" si="73"/>
        <v>#VALUE!</v>
      </c>
    </row>
    <row r="4686" spans="11:11" x14ac:dyDescent="0.25">
      <c r="K4686" s="8" t="e">
        <f t="shared" si="73"/>
        <v>#VALUE!</v>
      </c>
    </row>
    <row r="4687" spans="11:11" x14ac:dyDescent="0.25">
      <c r="K4687" s="8" t="e">
        <f t="shared" si="73"/>
        <v>#VALUE!</v>
      </c>
    </row>
    <row r="4688" spans="11:11" x14ac:dyDescent="0.25">
      <c r="K4688" s="8" t="e">
        <f t="shared" si="73"/>
        <v>#VALUE!</v>
      </c>
    </row>
    <row r="4689" spans="11:11" x14ac:dyDescent="0.25">
      <c r="K4689" s="8" t="e">
        <f t="shared" si="73"/>
        <v>#VALUE!</v>
      </c>
    </row>
    <row r="4690" spans="11:11" x14ac:dyDescent="0.25">
      <c r="K4690" s="8" t="e">
        <f t="shared" si="73"/>
        <v>#VALUE!</v>
      </c>
    </row>
    <row r="4691" spans="11:11" x14ac:dyDescent="0.25">
      <c r="K4691" s="8" t="e">
        <f t="shared" si="73"/>
        <v>#VALUE!</v>
      </c>
    </row>
    <row r="4692" spans="11:11" x14ac:dyDescent="0.25">
      <c r="K4692" s="8" t="e">
        <f t="shared" si="73"/>
        <v>#VALUE!</v>
      </c>
    </row>
    <row r="4693" spans="11:11" x14ac:dyDescent="0.25">
      <c r="K4693" s="8" t="e">
        <f t="shared" si="73"/>
        <v>#VALUE!</v>
      </c>
    </row>
    <row r="4694" spans="11:11" x14ac:dyDescent="0.25">
      <c r="K4694" s="8" t="e">
        <f t="shared" si="73"/>
        <v>#VALUE!</v>
      </c>
    </row>
    <row r="4695" spans="11:11" x14ac:dyDescent="0.25">
      <c r="K4695" s="8" t="e">
        <f t="shared" si="73"/>
        <v>#VALUE!</v>
      </c>
    </row>
    <row r="4696" spans="11:11" x14ac:dyDescent="0.25">
      <c r="K4696" s="8" t="e">
        <f t="shared" si="73"/>
        <v>#VALUE!</v>
      </c>
    </row>
    <row r="4697" spans="11:11" x14ac:dyDescent="0.25">
      <c r="K4697" s="8" t="e">
        <f t="shared" si="73"/>
        <v>#VALUE!</v>
      </c>
    </row>
    <row r="4698" spans="11:11" x14ac:dyDescent="0.25">
      <c r="K4698" s="8" t="e">
        <f t="shared" si="73"/>
        <v>#VALUE!</v>
      </c>
    </row>
    <row r="4699" spans="11:11" x14ac:dyDescent="0.25">
      <c r="K4699" s="8" t="e">
        <f t="shared" si="73"/>
        <v>#VALUE!</v>
      </c>
    </row>
    <row r="4700" spans="11:11" x14ac:dyDescent="0.25">
      <c r="K4700" s="8" t="e">
        <f t="shared" si="73"/>
        <v>#VALUE!</v>
      </c>
    </row>
    <row r="4701" spans="11:11" x14ac:dyDescent="0.25">
      <c r="K4701" s="8" t="e">
        <f t="shared" si="73"/>
        <v>#VALUE!</v>
      </c>
    </row>
    <row r="4702" spans="11:11" x14ac:dyDescent="0.25">
      <c r="K4702" s="8" t="e">
        <f t="shared" si="73"/>
        <v>#VALUE!</v>
      </c>
    </row>
    <row r="4703" spans="11:11" x14ac:dyDescent="0.25">
      <c r="K4703" s="8" t="e">
        <f t="shared" si="73"/>
        <v>#VALUE!</v>
      </c>
    </row>
    <row r="4704" spans="11:11" x14ac:dyDescent="0.25">
      <c r="K4704" s="8" t="e">
        <f t="shared" si="73"/>
        <v>#VALUE!</v>
      </c>
    </row>
    <row r="4705" spans="11:11" x14ac:dyDescent="0.25">
      <c r="K4705" s="8" t="e">
        <f t="shared" si="73"/>
        <v>#VALUE!</v>
      </c>
    </row>
    <row r="4706" spans="11:11" x14ac:dyDescent="0.25">
      <c r="K4706" s="8" t="e">
        <f t="shared" si="73"/>
        <v>#VALUE!</v>
      </c>
    </row>
    <row r="4707" spans="11:11" x14ac:dyDescent="0.25">
      <c r="K4707" s="8" t="e">
        <f t="shared" si="73"/>
        <v>#VALUE!</v>
      </c>
    </row>
    <row r="4708" spans="11:11" x14ac:dyDescent="0.25">
      <c r="K4708" s="8" t="e">
        <f t="shared" si="73"/>
        <v>#VALUE!</v>
      </c>
    </row>
    <row r="4709" spans="11:11" x14ac:dyDescent="0.25">
      <c r="K4709" s="8" t="e">
        <f t="shared" si="73"/>
        <v>#VALUE!</v>
      </c>
    </row>
    <row r="4710" spans="11:11" x14ac:dyDescent="0.25">
      <c r="K4710" s="8" t="e">
        <f t="shared" si="73"/>
        <v>#VALUE!</v>
      </c>
    </row>
    <row r="4711" spans="11:11" x14ac:dyDescent="0.25">
      <c r="K4711" s="8" t="e">
        <f t="shared" si="73"/>
        <v>#VALUE!</v>
      </c>
    </row>
    <row r="4712" spans="11:11" x14ac:dyDescent="0.25">
      <c r="K4712" s="8" t="e">
        <f t="shared" si="73"/>
        <v>#VALUE!</v>
      </c>
    </row>
    <row r="4713" spans="11:11" x14ac:dyDescent="0.25">
      <c r="K4713" s="8" t="e">
        <f t="shared" si="73"/>
        <v>#VALUE!</v>
      </c>
    </row>
    <row r="4714" spans="11:11" x14ac:dyDescent="0.25">
      <c r="K4714" s="8" t="e">
        <f t="shared" si="73"/>
        <v>#VALUE!</v>
      </c>
    </row>
    <row r="4715" spans="11:11" x14ac:dyDescent="0.25">
      <c r="K4715" s="8" t="e">
        <f t="shared" si="73"/>
        <v>#VALUE!</v>
      </c>
    </row>
    <row r="4716" spans="11:11" x14ac:dyDescent="0.25">
      <c r="K4716" s="8" t="e">
        <f t="shared" si="73"/>
        <v>#VALUE!</v>
      </c>
    </row>
    <row r="4717" spans="11:11" x14ac:dyDescent="0.25">
      <c r="K4717" s="8" t="e">
        <f t="shared" si="73"/>
        <v>#VALUE!</v>
      </c>
    </row>
    <row r="4718" spans="11:11" x14ac:dyDescent="0.25">
      <c r="K4718" s="8" t="e">
        <f t="shared" si="73"/>
        <v>#VALUE!</v>
      </c>
    </row>
    <row r="4719" spans="11:11" x14ac:dyDescent="0.25">
      <c r="K4719" s="8" t="e">
        <f t="shared" si="73"/>
        <v>#VALUE!</v>
      </c>
    </row>
    <row r="4720" spans="11:11" x14ac:dyDescent="0.25">
      <c r="K4720" s="8" t="e">
        <f t="shared" si="73"/>
        <v>#VALUE!</v>
      </c>
    </row>
    <row r="4721" spans="11:11" x14ac:dyDescent="0.25">
      <c r="K4721" s="8" t="e">
        <f t="shared" si="73"/>
        <v>#VALUE!</v>
      </c>
    </row>
    <row r="4722" spans="11:11" x14ac:dyDescent="0.25">
      <c r="K4722" s="8" t="e">
        <f t="shared" si="73"/>
        <v>#VALUE!</v>
      </c>
    </row>
    <row r="4723" spans="11:11" x14ac:dyDescent="0.25">
      <c r="K4723" s="8" t="e">
        <f t="shared" si="73"/>
        <v>#VALUE!</v>
      </c>
    </row>
    <row r="4724" spans="11:11" x14ac:dyDescent="0.25">
      <c r="K4724" s="8" t="e">
        <f t="shared" si="73"/>
        <v>#VALUE!</v>
      </c>
    </row>
    <row r="4725" spans="11:11" x14ac:dyDescent="0.25">
      <c r="K4725" s="8" t="e">
        <f t="shared" si="73"/>
        <v>#VALUE!</v>
      </c>
    </row>
    <row r="4726" spans="11:11" x14ac:dyDescent="0.25">
      <c r="K4726" s="8" t="e">
        <f t="shared" si="73"/>
        <v>#VALUE!</v>
      </c>
    </row>
    <row r="4727" spans="11:11" x14ac:dyDescent="0.25">
      <c r="K4727" s="8" t="e">
        <f t="shared" si="73"/>
        <v>#VALUE!</v>
      </c>
    </row>
    <row r="4728" spans="11:11" x14ac:dyDescent="0.25">
      <c r="K4728" s="8" t="e">
        <f t="shared" si="73"/>
        <v>#VALUE!</v>
      </c>
    </row>
    <row r="4729" spans="11:11" x14ac:dyDescent="0.25">
      <c r="K4729" s="8" t="e">
        <f t="shared" si="73"/>
        <v>#VALUE!</v>
      </c>
    </row>
    <row r="4730" spans="11:11" x14ac:dyDescent="0.25">
      <c r="K4730" s="8" t="e">
        <f t="shared" si="73"/>
        <v>#VALUE!</v>
      </c>
    </row>
    <row r="4731" spans="11:11" x14ac:dyDescent="0.25">
      <c r="K4731" s="8" t="e">
        <f t="shared" si="73"/>
        <v>#VALUE!</v>
      </c>
    </row>
    <row r="4732" spans="11:11" x14ac:dyDescent="0.25">
      <c r="K4732" s="8" t="e">
        <f t="shared" si="73"/>
        <v>#VALUE!</v>
      </c>
    </row>
    <row r="4733" spans="11:11" x14ac:dyDescent="0.25">
      <c r="K4733" s="8" t="e">
        <f t="shared" si="73"/>
        <v>#VALUE!</v>
      </c>
    </row>
    <row r="4734" spans="11:11" x14ac:dyDescent="0.25">
      <c r="K4734" s="8" t="e">
        <f t="shared" si="73"/>
        <v>#VALUE!</v>
      </c>
    </row>
    <row r="4735" spans="11:11" x14ac:dyDescent="0.25">
      <c r="K4735" s="8" t="e">
        <f t="shared" si="73"/>
        <v>#VALUE!</v>
      </c>
    </row>
    <row r="4736" spans="11:11" x14ac:dyDescent="0.25">
      <c r="K4736" s="8" t="e">
        <f t="shared" si="73"/>
        <v>#VALUE!</v>
      </c>
    </row>
    <row r="4737" spans="11:11" x14ac:dyDescent="0.25">
      <c r="K4737" s="8" t="e">
        <f t="shared" si="73"/>
        <v>#VALUE!</v>
      </c>
    </row>
    <row r="4738" spans="11:11" x14ac:dyDescent="0.25">
      <c r="K4738" s="8" t="e">
        <f t="shared" si="73"/>
        <v>#VALUE!</v>
      </c>
    </row>
    <row r="4739" spans="11:11" x14ac:dyDescent="0.25">
      <c r="K4739" s="8" t="e">
        <f t="shared" ref="K4739:K4802" si="74">LEFT(A4739,FIND("/",A4739)-1)</f>
        <v>#VALUE!</v>
      </c>
    </row>
    <row r="4740" spans="11:11" x14ac:dyDescent="0.25">
      <c r="K4740" s="8" t="e">
        <f t="shared" si="74"/>
        <v>#VALUE!</v>
      </c>
    </row>
    <row r="4741" spans="11:11" x14ac:dyDescent="0.25">
      <c r="K4741" s="8" t="e">
        <f t="shared" si="74"/>
        <v>#VALUE!</v>
      </c>
    </row>
    <row r="4742" spans="11:11" x14ac:dyDescent="0.25">
      <c r="K4742" s="8" t="e">
        <f t="shared" si="74"/>
        <v>#VALUE!</v>
      </c>
    </row>
    <row r="4743" spans="11:11" x14ac:dyDescent="0.25">
      <c r="K4743" s="8" t="e">
        <f t="shared" si="74"/>
        <v>#VALUE!</v>
      </c>
    </row>
    <row r="4744" spans="11:11" x14ac:dyDescent="0.25">
      <c r="K4744" s="8" t="e">
        <f t="shared" si="74"/>
        <v>#VALUE!</v>
      </c>
    </row>
    <row r="4745" spans="11:11" x14ac:dyDescent="0.25">
      <c r="K4745" s="8" t="e">
        <f t="shared" si="74"/>
        <v>#VALUE!</v>
      </c>
    </row>
    <row r="4746" spans="11:11" x14ac:dyDescent="0.25">
      <c r="K4746" s="8" t="e">
        <f t="shared" si="74"/>
        <v>#VALUE!</v>
      </c>
    </row>
    <row r="4747" spans="11:11" x14ac:dyDescent="0.25">
      <c r="K4747" s="8" t="e">
        <f t="shared" si="74"/>
        <v>#VALUE!</v>
      </c>
    </row>
    <row r="4748" spans="11:11" x14ac:dyDescent="0.25">
      <c r="K4748" s="8" t="e">
        <f t="shared" si="74"/>
        <v>#VALUE!</v>
      </c>
    </row>
    <row r="4749" spans="11:11" x14ac:dyDescent="0.25">
      <c r="K4749" s="8" t="e">
        <f t="shared" si="74"/>
        <v>#VALUE!</v>
      </c>
    </row>
    <row r="4750" spans="11:11" x14ac:dyDescent="0.25">
      <c r="K4750" s="8" t="e">
        <f t="shared" si="74"/>
        <v>#VALUE!</v>
      </c>
    </row>
    <row r="4751" spans="11:11" x14ac:dyDescent="0.25">
      <c r="K4751" s="8" t="e">
        <f t="shared" si="74"/>
        <v>#VALUE!</v>
      </c>
    </row>
    <row r="4752" spans="11:11" x14ac:dyDescent="0.25">
      <c r="K4752" s="8" t="e">
        <f t="shared" si="74"/>
        <v>#VALUE!</v>
      </c>
    </row>
    <row r="4753" spans="11:11" x14ac:dyDescent="0.25">
      <c r="K4753" s="8" t="e">
        <f t="shared" si="74"/>
        <v>#VALUE!</v>
      </c>
    </row>
    <row r="4754" spans="11:11" x14ac:dyDescent="0.25">
      <c r="K4754" s="8" t="e">
        <f t="shared" si="74"/>
        <v>#VALUE!</v>
      </c>
    </row>
    <row r="4755" spans="11:11" x14ac:dyDescent="0.25">
      <c r="K4755" s="8" t="e">
        <f t="shared" si="74"/>
        <v>#VALUE!</v>
      </c>
    </row>
    <row r="4756" spans="11:11" x14ac:dyDescent="0.25">
      <c r="K4756" s="8" t="e">
        <f t="shared" si="74"/>
        <v>#VALUE!</v>
      </c>
    </row>
    <row r="4757" spans="11:11" x14ac:dyDescent="0.25">
      <c r="K4757" s="8" t="e">
        <f t="shared" si="74"/>
        <v>#VALUE!</v>
      </c>
    </row>
    <row r="4758" spans="11:11" x14ac:dyDescent="0.25">
      <c r="K4758" s="8" t="e">
        <f t="shared" si="74"/>
        <v>#VALUE!</v>
      </c>
    </row>
    <row r="4759" spans="11:11" x14ac:dyDescent="0.25">
      <c r="K4759" s="8" t="e">
        <f t="shared" si="74"/>
        <v>#VALUE!</v>
      </c>
    </row>
    <row r="4760" spans="11:11" x14ac:dyDescent="0.25">
      <c r="K4760" s="8" t="e">
        <f t="shared" si="74"/>
        <v>#VALUE!</v>
      </c>
    </row>
    <row r="4761" spans="11:11" x14ac:dyDescent="0.25">
      <c r="K4761" s="8" t="e">
        <f t="shared" si="74"/>
        <v>#VALUE!</v>
      </c>
    </row>
    <row r="4762" spans="11:11" x14ac:dyDescent="0.25">
      <c r="K4762" s="8" t="e">
        <f t="shared" si="74"/>
        <v>#VALUE!</v>
      </c>
    </row>
    <row r="4763" spans="11:11" x14ac:dyDescent="0.25">
      <c r="K4763" s="8" t="e">
        <f t="shared" si="74"/>
        <v>#VALUE!</v>
      </c>
    </row>
    <row r="4764" spans="11:11" x14ac:dyDescent="0.25">
      <c r="K4764" s="8" t="e">
        <f t="shared" si="74"/>
        <v>#VALUE!</v>
      </c>
    </row>
    <row r="4765" spans="11:11" x14ac:dyDescent="0.25">
      <c r="K4765" s="8" t="e">
        <f t="shared" si="74"/>
        <v>#VALUE!</v>
      </c>
    </row>
    <row r="4766" spans="11:11" x14ac:dyDescent="0.25">
      <c r="K4766" s="8" t="e">
        <f t="shared" si="74"/>
        <v>#VALUE!</v>
      </c>
    </row>
    <row r="4767" spans="11:11" x14ac:dyDescent="0.25">
      <c r="K4767" s="8" t="e">
        <f t="shared" si="74"/>
        <v>#VALUE!</v>
      </c>
    </row>
    <row r="4768" spans="11:11" x14ac:dyDescent="0.25">
      <c r="K4768" s="8" t="e">
        <f t="shared" si="74"/>
        <v>#VALUE!</v>
      </c>
    </row>
    <row r="4769" spans="11:11" x14ac:dyDescent="0.25">
      <c r="K4769" s="8" t="e">
        <f t="shared" si="74"/>
        <v>#VALUE!</v>
      </c>
    </row>
    <row r="4770" spans="11:11" x14ac:dyDescent="0.25">
      <c r="K4770" s="8" t="e">
        <f t="shared" si="74"/>
        <v>#VALUE!</v>
      </c>
    </row>
    <row r="4771" spans="11:11" x14ac:dyDescent="0.25">
      <c r="K4771" s="8" t="e">
        <f t="shared" si="74"/>
        <v>#VALUE!</v>
      </c>
    </row>
    <row r="4772" spans="11:11" x14ac:dyDescent="0.25">
      <c r="K4772" s="8" t="e">
        <f t="shared" si="74"/>
        <v>#VALUE!</v>
      </c>
    </row>
    <row r="4773" spans="11:11" x14ac:dyDescent="0.25">
      <c r="K4773" s="8" t="e">
        <f t="shared" si="74"/>
        <v>#VALUE!</v>
      </c>
    </row>
    <row r="4774" spans="11:11" x14ac:dyDescent="0.25">
      <c r="K4774" s="8" t="e">
        <f t="shared" si="74"/>
        <v>#VALUE!</v>
      </c>
    </row>
    <row r="4775" spans="11:11" x14ac:dyDescent="0.25">
      <c r="K4775" s="8" t="e">
        <f t="shared" si="74"/>
        <v>#VALUE!</v>
      </c>
    </row>
    <row r="4776" spans="11:11" x14ac:dyDescent="0.25">
      <c r="K4776" s="8" t="e">
        <f t="shared" si="74"/>
        <v>#VALUE!</v>
      </c>
    </row>
    <row r="4777" spans="11:11" x14ac:dyDescent="0.25">
      <c r="K4777" s="8" t="e">
        <f t="shared" si="74"/>
        <v>#VALUE!</v>
      </c>
    </row>
    <row r="4778" spans="11:11" x14ac:dyDescent="0.25">
      <c r="K4778" s="8" t="e">
        <f t="shared" si="74"/>
        <v>#VALUE!</v>
      </c>
    </row>
    <row r="4779" spans="11:11" x14ac:dyDescent="0.25">
      <c r="K4779" s="8" t="e">
        <f t="shared" si="74"/>
        <v>#VALUE!</v>
      </c>
    </row>
    <row r="4780" spans="11:11" x14ac:dyDescent="0.25">
      <c r="K4780" s="8" t="e">
        <f t="shared" si="74"/>
        <v>#VALUE!</v>
      </c>
    </row>
    <row r="4781" spans="11:11" x14ac:dyDescent="0.25">
      <c r="K4781" s="8" t="e">
        <f t="shared" si="74"/>
        <v>#VALUE!</v>
      </c>
    </row>
    <row r="4782" spans="11:11" x14ac:dyDescent="0.25">
      <c r="K4782" s="8" t="e">
        <f t="shared" si="74"/>
        <v>#VALUE!</v>
      </c>
    </row>
    <row r="4783" spans="11:11" x14ac:dyDescent="0.25">
      <c r="K4783" s="8" t="e">
        <f t="shared" si="74"/>
        <v>#VALUE!</v>
      </c>
    </row>
    <row r="4784" spans="11:11" x14ac:dyDescent="0.25">
      <c r="K4784" s="8" t="e">
        <f t="shared" si="74"/>
        <v>#VALUE!</v>
      </c>
    </row>
    <row r="4785" spans="11:11" x14ac:dyDescent="0.25">
      <c r="K4785" s="8" t="e">
        <f t="shared" si="74"/>
        <v>#VALUE!</v>
      </c>
    </row>
    <row r="4786" spans="11:11" x14ac:dyDescent="0.25">
      <c r="K4786" s="8" t="e">
        <f t="shared" si="74"/>
        <v>#VALUE!</v>
      </c>
    </row>
    <row r="4787" spans="11:11" x14ac:dyDescent="0.25">
      <c r="K4787" s="8" t="e">
        <f t="shared" si="74"/>
        <v>#VALUE!</v>
      </c>
    </row>
    <row r="4788" spans="11:11" x14ac:dyDescent="0.25">
      <c r="K4788" s="8" t="e">
        <f t="shared" si="74"/>
        <v>#VALUE!</v>
      </c>
    </row>
    <row r="4789" spans="11:11" x14ac:dyDescent="0.25">
      <c r="K4789" s="8" t="e">
        <f t="shared" si="74"/>
        <v>#VALUE!</v>
      </c>
    </row>
    <row r="4790" spans="11:11" x14ac:dyDescent="0.25">
      <c r="K4790" s="8" t="e">
        <f t="shared" si="74"/>
        <v>#VALUE!</v>
      </c>
    </row>
    <row r="4791" spans="11:11" x14ac:dyDescent="0.25">
      <c r="K4791" s="8" t="e">
        <f t="shared" si="74"/>
        <v>#VALUE!</v>
      </c>
    </row>
    <row r="4792" spans="11:11" x14ac:dyDescent="0.25">
      <c r="K4792" s="8" t="e">
        <f t="shared" si="74"/>
        <v>#VALUE!</v>
      </c>
    </row>
    <row r="4793" spans="11:11" x14ac:dyDescent="0.25">
      <c r="K4793" s="8" t="e">
        <f t="shared" si="74"/>
        <v>#VALUE!</v>
      </c>
    </row>
    <row r="4794" spans="11:11" x14ac:dyDescent="0.25">
      <c r="K4794" s="8" t="e">
        <f t="shared" si="74"/>
        <v>#VALUE!</v>
      </c>
    </row>
    <row r="4795" spans="11:11" x14ac:dyDescent="0.25">
      <c r="K4795" s="8" t="e">
        <f t="shared" si="74"/>
        <v>#VALUE!</v>
      </c>
    </row>
    <row r="4796" spans="11:11" x14ac:dyDescent="0.25">
      <c r="K4796" s="8" t="e">
        <f t="shared" si="74"/>
        <v>#VALUE!</v>
      </c>
    </row>
    <row r="4797" spans="11:11" x14ac:dyDescent="0.25">
      <c r="K4797" s="8" t="e">
        <f t="shared" si="74"/>
        <v>#VALUE!</v>
      </c>
    </row>
    <row r="4798" spans="11:11" x14ac:dyDescent="0.25">
      <c r="K4798" s="8" t="e">
        <f t="shared" si="74"/>
        <v>#VALUE!</v>
      </c>
    </row>
    <row r="4799" spans="11:11" x14ac:dyDescent="0.25">
      <c r="K4799" s="8" t="e">
        <f t="shared" si="74"/>
        <v>#VALUE!</v>
      </c>
    </row>
    <row r="4800" spans="11:11" x14ac:dyDescent="0.25">
      <c r="K4800" s="8" t="e">
        <f t="shared" si="74"/>
        <v>#VALUE!</v>
      </c>
    </row>
    <row r="4801" spans="11:11" x14ac:dyDescent="0.25">
      <c r="K4801" s="8" t="e">
        <f t="shared" si="74"/>
        <v>#VALUE!</v>
      </c>
    </row>
    <row r="4802" spans="11:11" x14ac:dyDescent="0.25">
      <c r="K4802" s="8" t="e">
        <f t="shared" si="74"/>
        <v>#VALUE!</v>
      </c>
    </row>
    <row r="4803" spans="11:11" x14ac:dyDescent="0.25">
      <c r="K4803" s="8" t="e">
        <f t="shared" ref="K4803:K4866" si="75">LEFT(A4803,FIND("/",A4803)-1)</f>
        <v>#VALUE!</v>
      </c>
    </row>
    <row r="4804" spans="11:11" x14ac:dyDescent="0.25">
      <c r="K4804" s="8" t="e">
        <f t="shared" si="75"/>
        <v>#VALUE!</v>
      </c>
    </row>
    <row r="4805" spans="11:11" x14ac:dyDescent="0.25">
      <c r="K4805" s="8" t="e">
        <f t="shared" si="75"/>
        <v>#VALUE!</v>
      </c>
    </row>
    <row r="4806" spans="11:11" x14ac:dyDescent="0.25">
      <c r="K4806" s="8" t="e">
        <f t="shared" si="75"/>
        <v>#VALUE!</v>
      </c>
    </row>
    <row r="4807" spans="11:11" x14ac:dyDescent="0.25">
      <c r="K4807" s="8" t="e">
        <f t="shared" si="75"/>
        <v>#VALUE!</v>
      </c>
    </row>
    <row r="4808" spans="11:11" x14ac:dyDescent="0.25">
      <c r="K4808" s="8" t="e">
        <f t="shared" si="75"/>
        <v>#VALUE!</v>
      </c>
    </row>
    <row r="4809" spans="11:11" x14ac:dyDescent="0.25">
      <c r="K4809" s="8" t="e">
        <f t="shared" si="75"/>
        <v>#VALUE!</v>
      </c>
    </row>
    <row r="4810" spans="11:11" x14ac:dyDescent="0.25">
      <c r="K4810" s="8" t="e">
        <f t="shared" si="75"/>
        <v>#VALUE!</v>
      </c>
    </row>
    <row r="4811" spans="11:11" x14ac:dyDescent="0.25">
      <c r="K4811" s="8" t="e">
        <f t="shared" si="75"/>
        <v>#VALUE!</v>
      </c>
    </row>
    <row r="4812" spans="11:11" x14ac:dyDescent="0.25">
      <c r="K4812" s="8" t="e">
        <f t="shared" si="75"/>
        <v>#VALUE!</v>
      </c>
    </row>
    <row r="4813" spans="11:11" x14ac:dyDescent="0.25">
      <c r="K4813" s="8" t="e">
        <f t="shared" si="75"/>
        <v>#VALUE!</v>
      </c>
    </row>
    <row r="4814" spans="11:11" x14ac:dyDescent="0.25">
      <c r="K4814" s="8" t="e">
        <f t="shared" si="75"/>
        <v>#VALUE!</v>
      </c>
    </row>
    <row r="4815" spans="11:11" x14ac:dyDescent="0.25">
      <c r="K4815" s="8" t="e">
        <f t="shared" si="75"/>
        <v>#VALUE!</v>
      </c>
    </row>
    <row r="4816" spans="11:11" x14ac:dyDescent="0.25">
      <c r="K4816" s="8" t="e">
        <f t="shared" si="75"/>
        <v>#VALUE!</v>
      </c>
    </row>
    <row r="4817" spans="11:11" x14ac:dyDescent="0.25">
      <c r="K4817" s="8" t="e">
        <f t="shared" si="75"/>
        <v>#VALUE!</v>
      </c>
    </row>
    <row r="4818" spans="11:11" x14ac:dyDescent="0.25">
      <c r="K4818" s="8" t="e">
        <f t="shared" si="75"/>
        <v>#VALUE!</v>
      </c>
    </row>
    <row r="4819" spans="11:11" x14ac:dyDescent="0.25">
      <c r="K4819" s="8" t="e">
        <f t="shared" si="75"/>
        <v>#VALUE!</v>
      </c>
    </row>
    <row r="4820" spans="11:11" x14ac:dyDescent="0.25">
      <c r="K4820" s="8" t="e">
        <f t="shared" si="75"/>
        <v>#VALUE!</v>
      </c>
    </row>
    <row r="4821" spans="11:11" x14ac:dyDescent="0.25">
      <c r="K4821" s="8" t="e">
        <f t="shared" si="75"/>
        <v>#VALUE!</v>
      </c>
    </row>
    <row r="4822" spans="11:11" x14ac:dyDescent="0.25">
      <c r="K4822" s="8" t="e">
        <f t="shared" si="75"/>
        <v>#VALUE!</v>
      </c>
    </row>
    <row r="4823" spans="11:11" x14ac:dyDescent="0.25">
      <c r="K4823" s="8" t="e">
        <f t="shared" si="75"/>
        <v>#VALUE!</v>
      </c>
    </row>
    <row r="4824" spans="11:11" x14ac:dyDescent="0.25">
      <c r="K4824" s="8" t="e">
        <f t="shared" si="75"/>
        <v>#VALUE!</v>
      </c>
    </row>
    <row r="4825" spans="11:11" x14ac:dyDescent="0.25">
      <c r="K4825" s="8" t="e">
        <f t="shared" si="75"/>
        <v>#VALUE!</v>
      </c>
    </row>
    <row r="4826" spans="11:11" x14ac:dyDescent="0.25">
      <c r="K4826" s="8" t="e">
        <f t="shared" si="75"/>
        <v>#VALUE!</v>
      </c>
    </row>
    <row r="4827" spans="11:11" x14ac:dyDescent="0.25">
      <c r="K4827" s="8" t="e">
        <f t="shared" si="75"/>
        <v>#VALUE!</v>
      </c>
    </row>
    <row r="4828" spans="11:11" x14ac:dyDescent="0.25">
      <c r="K4828" s="8" t="e">
        <f t="shared" si="75"/>
        <v>#VALUE!</v>
      </c>
    </row>
    <row r="4829" spans="11:11" x14ac:dyDescent="0.25">
      <c r="K4829" s="8" t="e">
        <f t="shared" si="75"/>
        <v>#VALUE!</v>
      </c>
    </row>
    <row r="4830" spans="11:11" x14ac:dyDescent="0.25">
      <c r="K4830" s="8" t="e">
        <f t="shared" si="75"/>
        <v>#VALUE!</v>
      </c>
    </row>
    <row r="4831" spans="11:11" x14ac:dyDescent="0.25">
      <c r="K4831" s="8" t="e">
        <f t="shared" si="75"/>
        <v>#VALUE!</v>
      </c>
    </row>
    <row r="4832" spans="11:11" x14ac:dyDescent="0.25">
      <c r="K4832" s="8" t="e">
        <f t="shared" si="75"/>
        <v>#VALUE!</v>
      </c>
    </row>
    <row r="4833" spans="11:11" x14ac:dyDescent="0.25">
      <c r="K4833" s="8" t="e">
        <f t="shared" si="75"/>
        <v>#VALUE!</v>
      </c>
    </row>
    <row r="4834" spans="11:11" x14ac:dyDescent="0.25">
      <c r="K4834" s="8" t="e">
        <f t="shared" si="75"/>
        <v>#VALUE!</v>
      </c>
    </row>
    <row r="4835" spans="11:11" x14ac:dyDescent="0.25">
      <c r="K4835" s="8" t="e">
        <f t="shared" si="75"/>
        <v>#VALUE!</v>
      </c>
    </row>
    <row r="4836" spans="11:11" x14ac:dyDescent="0.25">
      <c r="K4836" s="8" t="e">
        <f t="shared" si="75"/>
        <v>#VALUE!</v>
      </c>
    </row>
    <row r="4837" spans="11:11" x14ac:dyDescent="0.25">
      <c r="K4837" s="8" t="e">
        <f t="shared" si="75"/>
        <v>#VALUE!</v>
      </c>
    </row>
    <row r="4838" spans="11:11" x14ac:dyDescent="0.25">
      <c r="K4838" s="8" t="e">
        <f t="shared" si="75"/>
        <v>#VALUE!</v>
      </c>
    </row>
    <row r="4839" spans="11:11" x14ac:dyDescent="0.25">
      <c r="K4839" s="8" t="e">
        <f t="shared" si="75"/>
        <v>#VALUE!</v>
      </c>
    </row>
    <row r="4840" spans="11:11" x14ac:dyDescent="0.25">
      <c r="K4840" s="8" t="e">
        <f t="shared" si="75"/>
        <v>#VALUE!</v>
      </c>
    </row>
    <row r="4841" spans="11:11" x14ac:dyDescent="0.25">
      <c r="K4841" s="8" t="e">
        <f t="shared" si="75"/>
        <v>#VALUE!</v>
      </c>
    </row>
    <row r="4842" spans="11:11" x14ac:dyDescent="0.25">
      <c r="K4842" s="8" t="e">
        <f t="shared" si="75"/>
        <v>#VALUE!</v>
      </c>
    </row>
    <row r="4843" spans="11:11" x14ac:dyDescent="0.25">
      <c r="K4843" s="8" t="e">
        <f t="shared" si="75"/>
        <v>#VALUE!</v>
      </c>
    </row>
    <row r="4844" spans="11:11" x14ac:dyDescent="0.25">
      <c r="K4844" s="8" t="e">
        <f t="shared" si="75"/>
        <v>#VALUE!</v>
      </c>
    </row>
    <row r="4845" spans="11:11" x14ac:dyDescent="0.25">
      <c r="K4845" s="8" t="e">
        <f t="shared" si="75"/>
        <v>#VALUE!</v>
      </c>
    </row>
    <row r="4846" spans="11:11" x14ac:dyDescent="0.25">
      <c r="K4846" s="8" t="e">
        <f t="shared" si="75"/>
        <v>#VALUE!</v>
      </c>
    </row>
    <row r="4847" spans="11:11" x14ac:dyDescent="0.25">
      <c r="K4847" s="8" t="e">
        <f t="shared" si="75"/>
        <v>#VALUE!</v>
      </c>
    </row>
    <row r="4848" spans="11:11" x14ac:dyDescent="0.25">
      <c r="K4848" s="8" t="e">
        <f t="shared" si="75"/>
        <v>#VALUE!</v>
      </c>
    </row>
    <row r="4849" spans="11:11" x14ac:dyDescent="0.25">
      <c r="K4849" s="8" t="e">
        <f t="shared" si="75"/>
        <v>#VALUE!</v>
      </c>
    </row>
    <row r="4850" spans="11:11" x14ac:dyDescent="0.25">
      <c r="K4850" s="8" t="e">
        <f t="shared" si="75"/>
        <v>#VALUE!</v>
      </c>
    </row>
    <row r="4851" spans="11:11" x14ac:dyDescent="0.25">
      <c r="K4851" s="8" t="e">
        <f t="shared" si="75"/>
        <v>#VALUE!</v>
      </c>
    </row>
    <row r="4852" spans="11:11" x14ac:dyDescent="0.25">
      <c r="K4852" s="8" t="e">
        <f t="shared" si="75"/>
        <v>#VALUE!</v>
      </c>
    </row>
    <row r="4853" spans="11:11" x14ac:dyDescent="0.25">
      <c r="K4853" s="8" t="e">
        <f t="shared" si="75"/>
        <v>#VALUE!</v>
      </c>
    </row>
    <row r="4854" spans="11:11" x14ac:dyDescent="0.25">
      <c r="K4854" s="8" t="e">
        <f t="shared" si="75"/>
        <v>#VALUE!</v>
      </c>
    </row>
    <row r="4855" spans="11:11" x14ac:dyDescent="0.25">
      <c r="K4855" s="8" t="e">
        <f t="shared" si="75"/>
        <v>#VALUE!</v>
      </c>
    </row>
    <row r="4856" spans="11:11" x14ac:dyDescent="0.25">
      <c r="K4856" s="8" t="e">
        <f t="shared" si="75"/>
        <v>#VALUE!</v>
      </c>
    </row>
    <row r="4857" spans="11:11" x14ac:dyDescent="0.25">
      <c r="K4857" s="8" t="e">
        <f t="shared" si="75"/>
        <v>#VALUE!</v>
      </c>
    </row>
    <row r="4858" spans="11:11" x14ac:dyDescent="0.25">
      <c r="K4858" s="8" t="e">
        <f t="shared" si="75"/>
        <v>#VALUE!</v>
      </c>
    </row>
    <row r="4859" spans="11:11" x14ac:dyDescent="0.25">
      <c r="K4859" s="8" t="e">
        <f t="shared" si="75"/>
        <v>#VALUE!</v>
      </c>
    </row>
    <row r="4860" spans="11:11" x14ac:dyDescent="0.25">
      <c r="K4860" s="8" t="e">
        <f t="shared" si="75"/>
        <v>#VALUE!</v>
      </c>
    </row>
    <row r="4861" spans="11:11" x14ac:dyDescent="0.25">
      <c r="K4861" s="8" t="e">
        <f t="shared" si="75"/>
        <v>#VALUE!</v>
      </c>
    </row>
    <row r="4862" spans="11:11" x14ac:dyDescent="0.25">
      <c r="K4862" s="8" t="e">
        <f t="shared" si="75"/>
        <v>#VALUE!</v>
      </c>
    </row>
    <row r="4863" spans="11:11" x14ac:dyDescent="0.25">
      <c r="K4863" s="8" t="e">
        <f t="shared" si="75"/>
        <v>#VALUE!</v>
      </c>
    </row>
    <row r="4864" spans="11:11" x14ac:dyDescent="0.25">
      <c r="K4864" s="8" t="e">
        <f t="shared" si="75"/>
        <v>#VALUE!</v>
      </c>
    </row>
    <row r="4865" spans="11:11" x14ac:dyDescent="0.25">
      <c r="K4865" s="8" t="e">
        <f t="shared" si="75"/>
        <v>#VALUE!</v>
      </c>
    </row>
    <row r="4866" spans="11:11" x14ac:dyDescent="0.25">
      <c r="K4866" s="8" t="e">
        <f t="shared" si="75"/>
        <v>#VALUE!</v>
      </c>
    </row>
    <row r="4867" spans="11:11" x14ac:dyDescent="0.25">
      <c r="K4867" s="8" t="e">
        <f t="shared" ref="K4867:K4930" si="76">LEFT(A4867,FIND("/",A4867)-1)</f>
        <v>#VALUE!</v>
      </c>
    </row>
    <row r="4868" spans="11:11" x14ac:dyDescent="0.25">
      <c r="K4868" s="8" t="e">
        <f t="shared" si="76"/>
        <v>#VALUE!</v>
      </c>
    </row>
    <row r="4869" spans="11:11" x14ac:dyDescent="0.25">
      <c r="K4869" s="8" t="e">
        <f t="shared" si="76"/>
        <v>#VALUE!</v>
      </c>
    </row>
    <row r="4870" spans="11:11" x14ac:dyDescent="0.25">
      <c r="K4870" s="8" t="e">
        <f t="shared" si="76"/>
        <v>#VALUE!</v>
      </c>
    </row>
    <row r="4871" spans="11:11" x14ac:dyDescent="0.25">
      <c r="K4871" s="8" t="e">
        <f t="shared" si="76"/>
        <v>#VALUE!</v>
      </c>
    </row>
    <row r="4872" spans="11:11" x14ac:dyDescent="0.25">
      <c r="K4872" s="8" t="e">
        <f t="shared" si="76"/>
        <v>#VALUE!</v>
      </c>
    </row>
    <row r="4873" spans="11:11" x14ac:dyDescent="0.25">
      <c r="K4873" s="8" t="e">
        <f t="shared" si="76"/>
        <v>#VALUE!</v>
      </c>
    </row>
    <row r="4874" spans="11:11" x14ac:dyDescent="0.25">
      <c r="K4874" s="8" t="e">
        <f t="shared" si="76"/>
        <v>#VALUE!</v>
      </c>
    </row>
    <row r="4875" spans="11:11" x14ac:dyDescent="0.25">
      <c r="K4875" s="8" t="e">
        <f t="shared" si="76"/>
        <v>#VALUE!</v>
      </c>
    </row>
    <row r="4876" spans="11:11" x14ac:dyDescent="0.25">
      <c r="K4876" s="8" t="e">
        <f t="shared" si="76"/>
        <v>#VALUE!</v>
      </c>
    </row>
    <row r="4877" spans="11:11" x14ac:dyDescent="0.25">
      <c r="K4877" s="8" t="e">
        <f t="shared" si="76"/>
        <v>#VALUE!</v>
      </c>
    </row>
    <row r="4878" spans="11:11" x14ac:dyDescent="0.25">
      <c r="K4878" s="8" t="e">
        <f t="shared" si="76"/>
        <v>#VALUE!</v>
      </c>
    </row>
    <row r="4879" spans="11:11" x14ac:dyDescent="0.25">
      <c r="K4879" s="8" t="e">
        <f t="shared" si="76"/>
        <v>#VALUE!</v>
      </c>
    </row>
    <row r="4880" spans="11:11" x14ac:dyDescent="0.25">
      <c r="K4880" s="8" t="e">
        <f t="shared" si="76"/>
        <v>#VALUE!</v>
      </c>
    </row>
    <row r="4881" spans="11:11" x14ac:dyDescent="0.25">
      <c r="K4881" s="8" t="e">
        <f t="shared" si="76"/>
        <v>#VALUE!</v>
      </c>
    </row>
    <row r="4882" spans="11:11" x14ac:dyDescent="0.25">
      <c r="K4882" s="8" t="e">
        <f t="shared" si="76"/>
        <v>#VALUE!</v>
      </c>
    </row>
    <row r="4883" spans="11:11" x14ac:dyDescent="0.25">
      <c r="K4883" s="8" t="e">
        <f t="shared" si="76"/>
        <v>#VALUE!</v>
      </c>
    </row>
    <row r="4884" spans="11:11" x14ac:dyDescent="0.25">
      <c r="K4884" s="8" t="e">
        <f t="shared" si="76"/>
        <v>#VALUE!</v>
      </c>
    </row>
    <row r="4885" spans="11:11" x14ac:dyDescent="0.25">
      <c r="K4885" s="8" t="e">
        <f t="shared" si="76"/>
        <v>#VALUE!</v>
      </c>
    </row>
    <row r="4886" spans="11:11" x14ac:dyDescent="0.25">
      <c r="K4886" s="8" t="e">
        <f t="shared" si="76"/>
        <v>#VALUE!</v>
      </c>
    </row>
    <row r="4887" spans="11:11" x14ac:dyDescent="0.25">
      <c r="K4887" s="8" t="e">
        <f t="shared" si="76"/>
        <v>#VALUE!</v>
      </c>
    </row>
    <row r="4888" spans="11:11" x14ac:dyDescent="0.25">
      <c r="K4888" s="8" t="e">
        <f t="shared" si="76"/>
        <v>#VALUE!</v>
      </c>
    </row>
    <row r="4889" spans="11:11" x14ac:dyDescent="0.25">
      <c r="K4889" s="8" t="e">
        <f t="shared" si="76"/>
        <v>#VALUE!</v>
      </c>
    </row>
    <row r="4890" spans="11:11" x14ac:dyDescent="0.25">
      <c r="K4890" s="8" t="e">
        <f t="shared" si="76"/>
        <v>#VALUE!</v>
      </c>
    </row>
    <row r="4891" spans="11:11" x14ac:dyDescent="0.25">
      <c r="K4891" s="8" t="e">
        <f t="shared" si="76"/>
        <v>#VALUE!</v>
      </c>
    </row>
    <row r="4892" spans="11:11" x14ac:dyDescent="0.25">
      <c r="K4892" s="8" t="e">
        <f t="shared" si="76"/>
        <v>#VALUE!</v>
      </c>
    </row>
    <row r="4893" spans="11:11" x14ac:dyDescent="0.25">
      <c r="K4893" s="8" t="e">
        <f t="shared" si="76"/>
        <v>#VALUE!</v>
      </c>
    </row>
    <row r="4894" spans="11:11" x14ac:dyDescent="0.25">
      <c r="K4894" s="8" t="e">
        <f t="shared" si="76"/>
        <v>#VALUE!</v>
      </c>
    </row>
    <row r="4895" spans="11:11" x14ac:dyDescent="0.25">
      <c r="K4895" s="8" t="e">
        <f t="shared" si="76"/>
        <v>#VALUE!</v>
      </c>
    </row>
    <row r="4896" spans="11:11" x14ac:dyDescent="0.25">
      <c r="K4896" s="8" t="e">
        <f t="shared" si="76"/>
        <v>#VALUE!</v>
      </c>
    </row>
    <row r="4897" spans="11:11" x14ac:dyDescent="0.25">
      <c r="K4897" s="8" t="e">
        <f t="shared" si="76"/>
        <v>#VALUE!</v>
      </c>
    </row>
    <row r="4898" spans="11:11" x14ac:dyDescent="0.25">
      <c r="K4898" s="8" t="e">
        <f t="shared" si="76"/>
        <v>#VALUE!</v>
      </c>
    </row>
    <row r="4899" spans="11:11" x14ac:dyDescent="0.25">
      <c r="K4899" s="8" t="e">
        <f t="shared" si="76"/>
        <v>#VALUE!</v>
      </c>
    </row>
    <row r="4900" spans="11:11" x14ac:dyDescent="0.25">
      <c r="K4900" s="8" t="e">
        <f t="shared" si="76"/>
        <v>#VALUE!</v>
      </c>
    </row>
    <row r="4901" spans="11:11" x14ac:dyDescent="0.25">
      <c r="K4901" s="8" t="e">
        <f t="shared" si="76"/>
        <v>#VALUE!</v>
      </c>
    </row>
    <row r="4902" spans="11:11" x14ac:dyDescent="0.25">
      <c r="K4902" s="8" t="e">
        <f t="shared" si="76"/>
        <v>#VALUE!</v>
      </c>
    </row>
    <row r="4903" spans="11:11" x14ac:dyDescent="0.25">
      <c r="K4903" s="8" t="e">
        <f t="shared" si="76"/>
        <v>#VALUE!</v>
      </c>
    </row>
    <row r="4904" spans="11:11" x14ac:dyDescent="0.25">
      <c r="K4904" s="8" t="e">
        <f t="shared" si="76"/>
        <v>#VALUE!</v>
      </c>
    </row>
    <row r="4905" spans="11:11" x14ac:dyDescent="0.25">
      <c r="K4905" s="8" t="e">
        <f t="shared" si="76"/>
        <v>#VALUE!</v>
      </c>
    </row>
    <row r="4906" spans="11:11" x14ac:dyDescent="0.25">
      <c r="K4906" s="8" t="e">
        <f t="shared" si="76"/>
        <v>#VALUE!</v>
      </c>
    </row>
    <row r="4907" spans="11:11" x14ac:dyDescent="0.25">
      <c r="K4907" s="8" t="e">
        <f t="shared" si="76"/>
        <v>#VALUE!</v>
      </c>
    </row>
    <row r="4908" spans="11:11" x14ac:dyDescent="0.25">
      <c r="K4908" s="8" t="e">
        <f t="shared" si="76"/>
        <v>#VALUE!</v>
      </c>
    </row>
    <row r="4909" spans="11:11" x14ac:dyDescent="0.25">
      <c r="K4909" s="8" t="e">
        <f t="shared" si="76"/>
        <v>#VALUE!</v>
      </c>
    </row>
    <row r="4910" spans="11:11" x14ac:dyDescent="0.25">
      <c r="K4910" s="8" t="e">
        <f t="shared" si="76"/>
        <v>#VALUE!</v>
      </c>
    </row>
    <row r="4911" spans="11:11" x14ac:dyDescent="0.25">
      <c r="K4911" s="8" t="e">
        <f t="shared" si="76"/>
        <v>#VALUE!</v>
      </c>
    </row>
    <row r="4912" spans="11:11" x14ac:dyDescent="0.25">
      <c r="K4912" s="8" t="e">
        <f t="shared" si="76"/>
        <v>#VALUE!</v>
      </c>
    </row>
    <row r="4913" spans="11:11" x14ac:dyDescent="0.25">
      <c r="K4913" s="8" t="e">
        <f t="shared" si="76"/>
        <v>#VALUE!</v>
      </c>
    </row>
    <row r="4914" spans="11:11" x14ac:dyDescent="0.25">
      <c r="K4914" s="8" t="e">
        <f t="shared" si="76"/>
        <v>#VALUE!</v>
      </c>
    </row>
    <row r="4915" spans="11:11" x14ac:dyDescent="0.25">
      <c r="K4915" s="8" t="e">
        <f t="shared" si="76"/>
        <v>#VALUE!</v>
      </c>
    </row>
    <row r="4916" spans="11:11" x14ac:dyDescent="0.25">
      <c r="K4916" s="8" t="e">
        <f t="shared" si="76"/>
        <v>#VALUE!</v>
      </c>
    </row>
    <row r="4917" spans="11:11" x14ac:dyDescent="0.25">
      <c r="K4917" s="8" t="e">
        <f t="shared" si="76"/>
        <v>#VALUE!</v>
      </c>
    </row>
    <row r="4918" spans="11:11" x14ac:dyDescent="0.25">
      <c r="K4918" s="8" t="e">
        <f t="shared" si="76"/>
        <v>#VALUE!</v>
      </c>
    </row>
    <row r="4919" spans="11:11" x14ac:dyDescent="0.25">
      <c r="K4919" s="8" t="e">
        <f t="shared" si="76"/>
        <v>#VALUE!</v>
      </c>
    </row>
    <row r="4920" spans="11:11" x14ac:dyDescent="0.25">
      <c r="K4920" s="8" t="e">
        <f t="shared" si="76"/>
        <v>#VALUE!</v>
      </c>
    </row>
    <row r="4921" spans="11:11" x14ac:dyDescent="0.25">
      <c r="K4921" s="8" t="e">
        <f t="shared" si="76"/>
        <v>#VALUE!</v>
      </c>
    </row>
    <row r="4922" spans="11:11" x14ac:dyDescent="0.25">
      <c r="K4922" s="8" t="e">
        <f t="shared" si="76"/>
        <v>#VALUE!</v>
      </c>
    </row>
    <row r="4923" spans="11:11" x14ac:dyDescent="0.25">
      <c r="K4923" s="8" t="e">
        <f t="shared" si="76"/>
        <v>#VALUE!</v>
      </c>
    </row>
    <row r="4924" spans="11:11" x14ac:dyDescent="0.25">
      <c r="K4924" s="8" t="e">
        <f t="shared" si="76"/>
        <v>#VALUE!</v>
      </c>
    </row>
    <row r="4925" spans="11:11" x14ac:dyDescent="0.25">
      <c r="K4925" s="8" t="e">
        <f t="shared" si="76"/>
        <v>#VALUE!</v>
      </c>
    </row>
    <row r="4926" spans="11:11" x14ac:dyDescent="0.25">
      <c r="K4926" s="8" t="e">
        <f t="shared" si="76"/>
        <v>#VALUE!</v>
      </c>
    </row>
    <row r="4927" spans="11:11" x14ac:dyDescent="0.25">
      <c r="K4927" s="8" t="e">
        <f t="shared" si="76"/>
        <v>#VALUE!</v>
      </c>
    </row>
    <row r="4928" spans="11:11" x14ac:dyDescent="0.25">
      <c r="K4928" s="8" t="e">
        <f t="shared" si="76"/>
        <v>#VALUE!</v>
      </c>
    </row>
    <row r="4929" spans="11:11" x14ac:dyDescent="0.25">
      <c r="K4929" s="8" t="e">
        <f t="shared" si="76"/>
        <v>#VALUE!</v>
      </c>
    </row>
    <row r="4930" spans="11:11" x14ac:dyDescent="0.25">
      <c r="K4930" s="8" t="e">
        <f t="shared" si="76"/>
        <v>#VALUE!</v>
      </c>
    </row>
    <row r="4931" spans="11:11" x14ac:dyDescent="0.25">
      <c r="K4931" s="8" t="e">
        <f t="shared" ref="K4931:K4994" si="77">LEFT(A4931,FIND("/",A4931)-1)</f>
        <v>#VALUE!</v>
      </c>
    </row>
    <row r="4932" spans="11:11" x14ac:dyDescent="0.25">
      <c r="K4932" s="8" t="e">
        <f t="shared" si="77"/>
        <v>#VALUE!</v>
      </c>
    </row>
    <row r="4933" spans="11:11" x14ac:dyDescent="0.25">
      <c r="K4933" s="8" t="e">
        <f t="shared" si="77"/>
        <v>#VALUE!</v>
      </c>
    </row>
    <row r="4934" spans="11:11" x14ac:dyDescent="0.25">
      <c r="K4934" s="8" t="e">
        <f t="shared" si="77"/>
        <v>#VALUE!</v>
      </c>
    </row>
    <row r="4935" spans="11:11" x14ac:dyDescent="0.25">
      <c r="K4935" s="8" t="e">
        <f t="shared" si="77"/>
        <v>#VALUE!</v>
      </c>
    </row>
    <row r="4936" spans="11:11" x14ac:dyDescent="0.25">
      <c r="K4936" s="8" t="e">
        <f t="shared" si="77"/>
        <v>#VALUE!</v>
      </c>
    </row>
    <row r="4937" spans="11:11" x14ac:dyDescent="0.25">
      <c r="K4937" s="8" t="e">
        <f t="shared" si="77"/>
        <v>#VALUE!</v>
      </c>
    </row>
    <row r="4938" spans="11:11" x14ac:dyDescent="0.25">
      <c r="K4938" s="8" t="e">
        <f t="shared" si="77"/>
        <v>#VALUE!</v>
      </c>
    </row>
    <row r="4939" spans="11:11" x14ac:dyDescent="0.25">
      <c r="K4939" s="8" t="e">
        <f t="shared" si="77"/>
        <v>#VALUE!</v>
      </c>
    </row>
    <row r="4940" spans="11:11" x14ac:dyDescent="0.25">
      <c r="K4940" s="8" t="e">
        <f t="shared" si="77"/>
        <v>#VALUE!</v>
      </c>
    </row>
    <row r="4941" spans="11:11" x14ac:dyDescent="0.25">
      <c r="K4941" s="8" t="e">
        <f t="shared" si="77"/>
        <v>#VALUE!</v>
      </c>
    </row>
    <row r="4942" spans="11:11" x14ac:dyDescent="0.25">
      <c r="K4942" s="8" t="e">
        <f t="shared" si="77"/>
        <v>#VALUE!</v>
      </c>
    </row>
    <row r="4943" spans="11:11" x14ac:dyDescent="0.25">
      <c r="K4943" s="8" t="e">
        <f t="shared" si="77"/>
        <v>#VALUE!</v>
      </c>
    </row>
    <row r="4944" spans="11:11" x14ac:dyDescent="0.25">
      <c r="K4944" s="8" t="e">
        <f t="shared" si="77"/>
        <v>#VALUE!</v>
      </c>
    </row>
    <row r="4945" spans="11:11" x14ac:dyDescent="0.25">
      <c r="K4945" s="8" t="e">
        <f t="shared" si="77"/>
        <v>#VALUE!</v>
      </c>
    </row>
    <row r="4946" spans="11:11" x14ac:dyDescent="0.25">
      <c r="K4946" s="8" t="e">
        <f t="shared" si="77"/>
        <v>#VALUE!</v>
      </c>
    </row>
    <row r="4947" spans="11:11" x14ac:dyDescent="0.25">
      <c r="K4947" s="8" t="e">
        <f t="shared" si="77"/>
        <v>#VALUE!</v>
      </c>
    </row>
    <row r="4948" spans="11:11" x14ac:dyDescent="0.25">
      <c r="K4948" s="8" t="e">
        <f t="shared" si="77"/>
        <v>#VALUE!</v>
      </c>
    </row>
    <row r="4949" spans="11:11" x14ac:dyDescent="0.25">
      <c r="K4949" s="8" t="e">
        <f t="shared" si="77"/>
        <v>#VALUE!</v>
      </c>
    </row>
    <row r="4950" spans="11:11" x14ac:dyDescent="0.25">
      <c r="K4950" s="8" t="e">
        <f t="shared" si="77"/>
        <v>#VALUE!</v>
      </c>
    </row>
    <row r="4951" spans="11:11" x14ac:dyDescent="0.25">
      <c r="K4951" s="8" t="e">
        <f t="shared" si="77"/>
        <v>#VALUE!</v>
      </c>
    </row>
    <row r="4952" spans="11:11" x14ac:dyDescent="0.25">
      <c r="K4952" s="8" t="e">
        <f t="shared" si="77"/>
        <v>#VALUE!</v>
      </c>
    </row>
    <row r="4953" spans="11:11" x14ac:dyDescent="0.25">
      <c r="K4953" s="8" t="e">
        <f t="shared" si="77"/>
        <v>#VALUE!</v>
      </c>
    </row>
    <row r="4954" spans="11:11" x14ac:dyDescent="0.25">
      <c r="K4954" s="8" t="e">
        <f t="shared" si="77"/>
        <v>#VALUE!</v>
      </c>
    </row>
    <row r="4955" spans="11:11" x14ac:dyDescent="0.25">
      <c r="K4955" s="8" t="e">
        <f t="shared" si="77"/>
        <v>#VALUE!</v>
      </c>
    </row>
    <row r="4956" spans="11:11" x14ac:dyDescent="0.25">
      <c r="K4956" s="8" t="e">
        <f t="shared" si="77"/>
        <v>#VALUE!</v>
      </c>
    </row>
    <row r="4957" spans="11:11" x14ac:dyDescent="0.25">
      <c r="K4957" s="8" t="e">
        <f t="shared" si="77"/>
        <v>#VALUE!</v>
      </c>
    </row>
    <row r="4958" spans="11:11" x14ac:dyDescent="0.25">
      <c r="K4958" s="8" t="e">
        <f t="shared" si="77"/>
        <v>#VALUE!</v>
      </c>
    </row>
    <row r="4959" spans="11:11" x14ac:dyDescent="0.25">
      <c r="K4959" s="8" t="e">
        <f t="shared" si="77"/>
        <v>#VALUE!</v>
      </c>
    </row>
    <row r="4960" spans="11:11" x14ac:dyDescent="0.25">
      <c r="K4960" s="8" t="e">
        <f t="shared" si="77"/>
        <v>#VALUE!</v>
      </c>
    </row>
    <row r="4961" spans="11:11" x14ac:dyDescent="0.25">
      <c r="K4961" s="8" t="e">
        <f t="shared" si="77"/>
        <v>#VALUE!</v>
      </c>
    </row>
    <row r="4962" spans="11:11" x14ac:dyDescent="0.25">
      <c r="K4962" s="8" t="e">
        <f t="shared" si="77"/>
        <v>#VALUE!</v>
      </c>
    </row>
    <row r="4963" spans="11:11" x14ac:dyDescent="0.25">
      <c r="K4963" s="8" t="e">
        <f t="shared" si="77"/>
        <v>#VALUE!</v>
      </c>
    </row>
    <row r="4964" spans="11:11" x14ac:dyDescent="0.25">
      <c r="K4964" s="8" t="e">
        <f t="shared" si="77"/>
        <v>#VALUE!</v>
      </c>
    </row>
    <row r="4965" spans="11:11" x14ac:dyDescent="0.25">
      <c r="K4965" s="8" t="e">
        <f t="shared" si="77"/>
        <v>#VALUE!</v>
      </c>
    </row>
    <row r="4966" spans="11:11" x14ac:dyDescent="0.25">
      <c r="K4966" s="8" t="e">
        <f t="shared" si="77"/>
        <v>#VALUE!</v>
      </c>
    </row>
    <row r="4967" spans="11:11" x14ac:dyDescent="0.25">
      <c r="K4967" s="8" t="e">
        <f t="shared" si="77"/>
        <v>#VALUE!</v>
      </c>
    </row>
    <row r="4968" spans="11:11" x14ac:dyDescent="0.25">
      <c r="K4968" s="8" t="e">
        <f t="shared" si="77"/>
        <v>#VALUE!</v>
      </c>
    </row>
    <row r="4969" spans="11:11" x14ac:dyDescent="0.25">
      <c r="K4969" s="8" t="e">
        <f t="shared" si="77"/>
        <v>#VALUE!</v>
      </c>
    </row>
    <row r="4970" spans="11:11" x14ac:dyDescent="0.25">
      <c r="K4970" s="8" t="e">
        <f t="shared" si="77"/>
        <v>#VALUE!</v>
      </c>
    </row>
    <row r="4971" spans="11:11" x14ac:dyDescent="0.25">
      <c r="K4971" s="8" t="e">
        <f t="shared" si="77"/>
        <v>#VALUE!</v>
      </c>
    </row>
    <row r="4972" spans="11:11" x14ac:dyDescent="0.25">
      <c r="K4972" s="8" t="e">
        <f t="shared" si="77"/>
        <v>#VALUE!</v>
      </c>
    </row>
    <row r="4973" spans="11:11" x14ac:dyDescent="0.25">
      <c r="K4973" s="8" t="e">
        <f t="shared" si="77"/>
        <v>#VALUE!</v>
      </c>
    </row>
    <row r="4974" spans="11:11" x14ac:dyDescent="0.25">
      <c r="K4974" s="8" t="e">
        <f t="shared" si="77"/>
        <v>#VALUE!</v>
      </c>
    </row>
    <row r="4975" spans="11:11" x14ac:dyDescent="0.25">
      <c r="K4975" s="8" t="e">
        <f t="shared" si="77"/>
        <v>#VALUE!</v>
      </c>
    </row>
    <row r="4976" spans="11:11" x14ac:dyDescent="0.25">
      <c r="K4976" s="8" t="e">
        <f t="shared" si="77"/>
        <v>#VALUE!</v>
      </c>
    </row>
    <row r="4977" spans="11:11" x14ac:dyDescent="0.25">
      <c r="K4977" s="8" t="e">
        <f t="shared" si="77"/>
        <v>#VALUE!</v>
      </c>
    </row>
    <row r="4978" spans="11:11" x14ac:dyDescent="0.25">
      <c r="K4978" s="8" t="e">
        <f t="shared" si="77"/>
        <v>#VALUE!</v>
      </c>
    </row>
    <row r="4979" spans="11:11" x14ac:dyDescent="0.25">
      <c r="K4979" s="8" t="e">
        <f t="shared" si="77"/>
        <v>#VALUE!</v>
      </c>
    </row>
    <row r="4980" spans="11:11" x14ac:dyDescent="0.25">
      <c r="K4980" s="8" t="e">
        <f t="shared" si="77"/>
        <v>#VALUE!</v>
      </c>
    </row>
    <row r="4981" spans="11:11" x14ac:dyDescent="0.25">
      <c r="K4981" s="8" t="e">
        <f t="shared" si="77"/>
        <v>#VALUE!</v>
      </c>
    </row>
    <row r="4982" spans="11:11" x14ac:dyDescent="0.25">
      <c r="K4982" s="8" t="e">
        <f t="shared" si="77"/>
        <v>#VALUE!</v>
      </c>
    </row>
    <row r="4983" spans="11:11" x14ac:dyDescent="0.25">
      <c r="K4983" s="8" t="e">
        <f t="shared" si="77"/>
        <v>#VALUE!</v>
      </c>
    </row>
    <row r="4984" spans="11:11" x14ac:dyDescent="0.25">
      <c r="K4984" s="8" t="e">
        <f t="shared" si="77"/>
        <v>#VALUE!</v>
      </c>
    </row>
    <row r="4985" spans="11:11" x14ac:dyDescent="0.25">
      <c r="K4985" s="8" t="e">
        <f t="shared" si="77"/>
        <v>#VALUE!</v>
      </c>
    </row>
    <row r="4986" spans="11:11" x14ac:dyDescent="0.25">
      <c r="K4986" s="8" t="e">
        <f t="shared" si="77"/>
        <v>#VALUE!</v>
      </c>
    </row>
    <row r="4987" spans="11:11" x14ac:dyDescent="0.25">
      <c r="K4987" s="8" t="e">
        <f t="shared" si="77"/>
        <v>#VALUE!</v>
      </c>
    </row>
    <row r="4988" spans="11:11" x14ac:dyDescent="0.25">
      <c r="K4988" s="8" t="e">
        <f t="shared" si="77"/>
        <v>#VALUE!</v>
      </c>
    </row>
    <row r="4989" spans="11:11" x14ac:dyDescent="0.25">
      <c r="K4989" s="8" t="e">
        <f t="shared" si="77"/>
        <v>#VALUE!</v>
      </c>
    </row>
    <row r="4990" spans="11:11" x14ac:dyDescent="0.25">
      <c r="K4990" s="8" t="e">
        <f t="shared" si="77"/>
        <v>#VALUE!</v>
      </c>
    </row>
    <row r="4991" spans="11:11" x14ac:dyDescent="0.25">
      <c r="K4991" s="8" t="e">
        <f t="shared" si="77"/>
        <v>#VALUE!</v>
      </c>
    </row>
    <row r="4992" spans="11:11" x14ac:dyDescent="0.25">
      <c r="K4992" s="8" t="e">
        <f t="shared" si="77"/>
        <v>#VALUE!</v>
      </c>
    </row>
    <row r="4993" spans="11:11" x14ac:dyDescent="0.25">
      <c r="K4993" s="8" t="e">
        <f t="shared" si="77"/>
        <v>#VALUE!</v>
      </c>
    </row>
    <row r="4994" spans="11:11" x14ac:dyDescent="0.25">
      <c r="K4994" s="8" t="e">
        <f t="shared" si="77"/>
        <v>#VALUE!</v>
      </c>
    </row>
    <row r="4995" spans="11:11" x14ac:dyDescent="0.25">
      <c r="K4995" s="8" t="e">
        <f t="shared" ref="K4995:K5058" si="78">LEFT(A4995,FIND("/",A4995)-1)</f>
        <v>#VALUE!</v>
      </c>
    </row>
    <row r="4996" spans="11:11" x14ac:dyDescent="0.25">
      <c r="K4996" s="8" t="e">
        <f t="shared" si="78"/>
        <v>#VALUE!</v>
      </c>
    </row>
    <row r="4997" spans="11:11" x14ac:dyDescent="0.25">
      <c r="K4997" s="8" t="e">
        <f t="shared" si="78"/>
        <v>#VALUE!</v>
      </c>
    </row>
    <row r="4998" spans="11:11" x14ac:dyDescent="0.25">
      <c r="K4998" s="8" t="e">
        <f t="shared" si="78"/>
        <v>#VALUE!</v>
      </c>
    </row>
    <row r="4999" spans="11:11" x14ac:dyDescent="0.25">
      <c r="K4999" s="8" t="e">
        <f t="shared" si="78"/>
        <v>#VALUE!</v>
      </c>
    </row>
    <row r="5000" spans="11:11" x14ac:dyDescent="0.25">
      <c r="K5000" s="8" t="e">
        <f t="shared" si="78"/>
        <v>#VALUE!</v>
      </c>
    </row>
    <row r="5001" spans="11:11" x14ac:dyDescent="0.25">
      <c r="K5001" s="8" t="e">
        <f t="shared" si="78"/>
        <v>#VALUE!</v>
      </c>
    </row>
    <row r="5002" spans="11:11" x14ac:dyDescent="0.25">
      <c r="K5002" s="8" t="e">
        <f t="shared" si="78"/>
        <v>#VALUE!</v>
      </c>
    </row>
    <row r="5003" spans="11:11" x14ac:dyDescent="0.25">
      <c r="K5003" s="8" t="e">
        <f t="shared" si="78"/>
        <v>#VALUE!</v>
      </c>
    </row>
    <row r="5004" spans="11:11" x14ac:dyDescent="0.25">
      <c r="K5004" s="8" t="e">
        <f t="shared" si="78"/>
        <v>#VALUE!</v>
      </c>
    </row>
    <row r="5005" spans="11:11" x14ac:dyDescent="0.25">
      <c r="K5005" s="8" t="e">
        <f t="shared" si="78"/>
        <v>#VALUE!</v>
      </c>
    </row>
    <row r="5006" spans="11:11" x14ac:dyDescent="0.25">
      <c r="K5006" s="8" t="e">
        <f t="shared" si="78"/>
        <v>#VALUE!</v>
      </c>
    </row>
    <row r="5007" spans="11:11" x14ac:dyDescent="0.25">
      <c r="K5007" s="8" t="e">
        <f t="shared" si="78"/>
        <v>#VALUE!</v>
      </c>
    </row>
    <row r="5008" spans="11:11" x14ac:dyDescent="0.25">
      <c r="K5008" s="8" t="e">
        <f t="shared" si="78"/>
        <v>#VALUE!</v>
      </c>
    </row>
    <row r="5009" spans="11:11" x14ac:dyDescent="0.25">
      <c r="K5009" s="8" t="e">
        <f t="shared" si="78"/>
        <v>#VALUE!</v>
      </c>
    </row>
    <row r="5010" spans="11:11" x14ac:dyDescent="0.25">
      <c r="K5010" s="8" t="e">
        <f t="shared" si="78"/>
        <v>#VALUE!</v>
      </c>
    </row>
    <row r="5011" spans="11:11" x14ac:dyDescent="0.25">
      <c r="K5011" s="8" t="e">
        <f t="shared" si="78"/>
        <v>#VALUE!</v>
      </c>
    </row>
    <row r="5012" spans="11:11" x14ac:dyDescent="0.25">
      <c r="K5012" s="8" t="e">
        <f t="shared" si="78"/>
        <v>#VALUE!</v>
      </c>
    </row>
    <row r="5013" spans="11:11" x14ac:dyDescent="0.25">
      <c r="K5013" s="8" t="e">
        <f t="shared" si="78"/>
        <v>#VALUE!</v>
      </c>
    </row>
    <row r="5014" spans="11:11" x14ac:dyDescent="0.25">
      <c r="K5014" s="8" t="e">
        <f t="shared" si="78"/>
        <v>#VALUE!</v>
      </c>
    </row>
    <row r="5015" spans="11:11" x14ac:dyDescent="0.25">
      <c r="K5015" s="8" t="e">
        <f t="shared" si="78"/>
        <v>#VALUE!</v>
      </c>
    </row>
    <row r="5016" spans="11:11" x14ac:dyDescent="0.25">
      <c r="K5016" s="8" t="e">
        <f t="shared" si="78"/>
        <v>#VALUE!</v>
      </c>
    </row>
    <row r="5017" spans="11:11" x14ac:dyDescent="0.25">
      <c r="K5017" s="8" t="e">
        <f t="shared" si="78"/>
        <v>#VALUE!</v>
      </c>
    </row>
    <row r="5018" spans="11:11" x14ac:dyDescent="0.25">
      <c r="K5018" s="8" t="e">
        <f t="shared" si="78"/>
        <v>#VALUE!</v>
      </c>
    </row>
    <row r="5019" spans="11:11" x14ac:dyDescent="0.25">
      <c r="K5019" s="8" t="e">
        <f t="shared" si="78"/>
        <v>#VALUE!</v>
      </c>
    </row>
    <row r="5020" spans="11:11" x14ac:dyDescent="0.25">
      <c r="K5020" s="8" t="e">
        <f t="shared" si="78"/>
        <v>#VALUE!</v>
      </c>
    </row>
    <row r="5021" spans="11:11" x14ac:dyDescent="0.25">
      <c r="K5021" s="8" t="e">
        <f t="shared" si="78"/>
        <v>#VALUE!</v>
      </c>
    </row>
    <row r="5022" spans="11:11" x14ac:dyDescent="0.25">
      <c r="K5022" s="8" t="e">
        <f t="shared" si="78"/>
        <v>#VALUE!</v>
      </c>
    </row>
    <row r="5023" spans="11:11" x14ac:dyDescent="0.25">
      <c r="K5023" s="8" t="e">
        <f t="shared" si="78"/>
        <v>#VALUE!</v>
      </c>
    </row>
    <row r="5024" spans="11:11" x14ac:dyDescent="0.25">
      <c r="K5024" s="8" t="e">
        <f t="shared" si="78"/>
        <v>#VALUE!</v>
      </c>
    </row>
    <row r="5025" spans="11:11" x14ac:dyDescent="0.25">
      <c r="K5025" s="8" t="e">
        <f t="shared" si="78"/>
        <v>#VALUE!</v>
      </c>
    </row>
    <row r="5026" spans="11:11" x14ac:dyDescent="0.25">
      <c r="K5026" s="8" t="e">
        <f t="shared" si="78"/>
        <v>#VALUE!</v>
      </c>
    </row>
    <row r="5027" spans="11:11" x14ac:dyDescent="0.25">
      <c r="K5027" s="8" t="e">
        <f t="shared" si="78"/>
        <v>#VALUE!</v>
      </c>
    </row>
    <row r="5028" spans="11:11" x14ac:dyDescent="0.25">
      <c r="K5028" s="8" t="e">
        <f t="shared" si="78"/>
        <v>#VALUE!</v>
      </c>
    </row>
    <row r="5029" spans="11:11" x14ac:dyDescent="0.25">
      <c r="K5029" s="8" t="e">
        <f t="shared" si="78"/>
        <v>#VALUE!</v>
      </c>
    </row>
    <row r="5030" spans="11:11" x14ac:dyDescent="0.25">
      <c r="K5030" s="8" t="e">
        <f t="shared" si="78"/>
        <v>#VALUE!</v>
      </c>
    </row>
    <row r="5031" spans="11:11" x14ac:dyDescent="0.25">
      <c r="K5031" s="8" t="e">
        <f t="shared" si="78"/>
        <v>#VALUE!</v>
      </c>
    </row>
    <row r="5032" spans="11:11" x14ac:dyDescent="0.25">
      <c r="K5032" s="8" t="e">
        <f t="shared" si="78"/>
        <v>#VALUE!</v>
      </c>
    </row>
    <row r="5033" spans="11:11" x14ac:dyDescent="0.25">
      <c r="K5033" s="8" t="e">
        <f t="shared" si="78"/>
        <v>#VALUE!</v>
      </c>
    </row>
    <row r="5034" spans="11:11" x14ac:dyDescent="0.25">
      <c r="K5034" s="8" t="e">
        <f t="shared" si="78"/>
        <v>#VALUE!</v>
      </c>
    </row>
    <row r="5035" spans="11:11" x14ac:dyDescent="0.25">
      <c r="K5035" s="8" t="e">
        <f t="shared" si="78"/>
        <v>#VALUE!</v>
      </c>
    </row>
    <row r="5036" spans="11:11" x14ac:dyDescent="0.25">
      <c r="K5036" s="8" t="e">
        <f t="shared" si="78"/>
        <v>#VALUE!</v>
      </c>
    </row>
    <row r="5037" spans="11:11" x14ac:dyDescent="0.25">
      <c r="K5037" s="8" t="e">
        <f t="shared" si="78"/>
        <v>#VALUE!</v>
      </c>
    </row>
    <row r="5038" spans="11:11" x14ac:dyDescent="0.25">
      <c r="K5038" s="8" t="e">
        <f t="shared" si="78"/>
        <v>#VALUE!</v>
      </c>
    </row>
    <row r="5039" spans="11:11" x14ac:dyDescent="0.25">
      <c r="K5039" s="8" t="e">
        <f t="shared" si="78"/>
        <v>#VALUE!</v>
      </c>
    </row>
    <row r="5040" spans="11:11" x14ac:dyDescent="0.25">
      <c r="K5040" s="8" t="e">
        <f t="shared" si="78"/>
        <v>#VALUE!</v>
      </c>
    </row>
    <row r="5041" spans="11:11" x14ac:dyDescent="0.25">
      <c r="K5041" s="8" t="e">
        <f t="shared" si="78"/>
        <v>#VALUE!</v>
      </c>
    </row>
    <row r="5042" spans="11:11" x14ac:dyDescent="0.25">
      <c r="K5042" s="8" t="e">
        <f t="shared" si="78"/>
        <v>#VALUE!</v>
      </c>
    </row>
    <row r="5043" spans="11:11" x14ac:dyDescent="0.25">
      <c r="K5043" s="8" t="e">
        <f t="shared" si="78"/>
        <v>#VALUE!</v>
      </c>
    </row>
    <row r="5044" spans="11:11" x14ac:dyDescent="0.25">
      <c r="K5044" s="8" t="e">
        <f t="shared" si="78"/>
        <v>#VALUE!</v>
      </c>
    </row>
    <row r="5045" spans="11:11" x14ac:dyDescent="0.25">
      <c r="K5045" s="8" t="e">
        <f t="shared" si="78"/>
        <v>#VALUE!</v>
      </c>
    </row>
    <row r="5046" spans="11:11" x14ac:dyDescent="0.25">
      <c r="K5046" s="8" t="e">
        <f t="shared" si="78"/>
        <v>#VALUE!</v>
      </c>
    </row>
    <row r="5047" spans="11:11" x14ac:dyDescent="0.25">
      <c r="K5047" s="8" t="e">
        <f t="shared" si="78"/>
        <v>#VALUE!</v>
      </c>
    </row>
    <row r="5048" spans="11:11" x14ac:dyDescent="0.25">
      <c r="K5048" s="8" t="e">
        <f t="shared" si="78"/>
        <v>#VALUE!</v>
      </c>
    </row>
    <row r="5049" spans="11:11" x14ac:dyDescent="0.25">
      <c r="K5049" s="8" t="e">
        <f t="shared" si="78"/>
        <v>#VALUE!</v>
      </c>
    </row>
    <row r="5050" spans="11:11" x14ac:dyDescent="0.25">
      <c r="K5050" s="8" t="e">
        <f t="shared" si="78"/>
        <v>#VALUE!</v>
      </c>
    </row>
    <row r="5051" spans="11:11" x14ac:dyDescent="0.25">
      <c r="K5051" s="8" t="e">
        <f t="shared" si="78"/>
        <v>#VALUE!</v>
      </c>
    </row>
    <row r="5052" spans="11:11" x14ac:dyDescent="0.25">
      <c r="K5052" s="8" t="e">
        <f t="shared" si="78"/>
        <v>#VALUE!</v>
      </c>
    </row>
    <row r="5053" spans="11:11" x14ac:dyDescent="0.25">
      <c r="K5053" s="8" t="e">
        <f t="shared" si="78"/>
        <v>#VALUE!</v>
      </c>
    </row>
    <row r="5054" spans="11:11" x14ac:dyDescent="0.25">
      <c r="K5054" s="8" t="e">
        <f t="shared" si="78"/>
        <v>#VALUE!</v>
      </c>
    </row>
    <row r="5055" spans="11:11" x14ac:dyDescent="0.25">
      <c r="K5055" s="8" t="e">
        <f t="shared" si="78"/>
        <v>#VALUE!</v>
      </c>
    </row>
    <row r="5056" spans="11:11" x14ac:dyDescent="0.25">
      <c r="K5056" s="8" t="e">
        <f t="shared" si="78"/>
        <v>#VALUE!</v>
      </c>
    </row>
    <row r="5057" spans="11:11" x14ac:dyDescent="0.25">
      <c r="K5057" s="8" t="e">
        <f t="shared" si="78"/>
        <v>#VALUE!</v>
      </c>
    </row>
    <row r="5058" spans="11:11" x14ac:dyDescent="0.25">
      <c r="K5058" s="8" t="e">
        <f t="shared" si="78"/>
        <v>#VALUE!</v>
      </c>
    </row>
    <row r="5059" spans="11:11" x14ac:dyDescent="0.25">
      <c r="K5059" s="8" t="e">
        <f t="shared" ref="K5059:K5122" si="79">LEFT(A5059,FIND("/",A5059)-1)</f>
        <v>#VALUE!</v>
      </c>
    </row>
    <row r="5060" spans="11:11" x14ac:dyDescent="0.25">
      <c r="K5060" s="8" t="e">
        <f t="shared" si="79"/>
        <v>#VALUE!</v>
      </c>
    </row>
    <row r="5061" spans="11:11" x14ac:dyDescent="0.25">
      <c r="K5061" s="8" t="e">
        <f t="shared" si="79"/>
        <v>#VALUE!</v>
      </c>
    </row>
    <row r="5062" spans="11:11" x14ac:dyDescent="0.25">
      <c r="K5062" s="8" t="e">
        <f t="shared" si="79"/>
        <v>#VALUE!</v>
      </c>
    </row>
    <row r="5063" spans="11:11" x14ac:dyDescent="0.25">
      <c r="K5063" s="8" t="e">
        <f t="shared" si="79"/>
        <v>#VALUE!</v>
      </c>
    </row>
    <row r="5064" spans="11:11" x14ac:dyDescent="0.25">
      <c r="K5064" s="8" t="e">
        <f t="shared" si="79"/>
        <v>#VALUE!</v>
      </c>
    </row>
    <row r="5065" spans="11:11" x14ac:dyDescent="0.25">
      <c r="K5065" s="8" t="e">
        <f t="shared" si="79"/>
        <v>#VALUE!</v>
      </c>
    </row>
    <row r="5066" spans="11:11" x14ac:dyDescent="0.25">
      <c r="K5066" s="8" t="e">
        <f t="shared" si="79"/>
        <v>#VALUE!</v>
      </c>
    </row>
    <row r="5067" spans="11:11" x14ac:dyDescent="0.25">
      <c r="K5067" s="8" t="e">
        <f t="shared" si="79"/>
        <v>#VALUE!</v>
      </c>
    </row>
    <row r="5068" spans="11:11" x14ac:dyDescent="0.25">
      <c r="K5068" s="8" t="e">
        <f t="shared" si="79"/>
        <v>#VALUE!</v>
      </c>
    </row>
    <row r="5069" spans="11:11" x14ac:dyDescent="0.25">
      <c r="K5069" s="8" t="e">
        <f t="shared" si="79"/>
        <v>#VALUE!</v>
      </c>
    </row>
    <row r="5070" spans="11:11" x14ac:dyDescent="0.25">
      <c r="K5070" s="8" t="e">
        <f t="shared" si="79"/>
        <v>#VALUE!</v>
      </c>
    </row>
    <row r="5071" spans="11:11" x14ac:dyDescent="0.25">
      <c r="K5071" s="8" t="e">
        <f t="shared" si="79"/>
        <v>#VALUE!</v>
      </c>
    </row>
    <row r="5072" spans="11:11" x14ac:dyDescent="0.25">
      <c r="K5072" s="8" t="e">
        <f t="shared" si="79"/>
        <v>#VALUE!</v>
      </c>
    </row>
    <row r="5073" spans="11:11" x14ac:dyDescent="0.25">
      <c r="K5073" s="8" t="e">
        <f t="shared" si="79"/>
        <v>#VALUE!</v>
      </c>
    </row>
    <row r="5074" spans="11:11" x14ac:dyDescent="0.25">
      <c r="K5074" s="8" t="e">
        <f t="shared" si="79"/>
        <v>#VALUE!</v>
      </c>
    </row>
    <row r="5075" spans="11:11" x14ac:dyDescent="0.25">
      <c r="K5075" s="8" t="e">
        <f t="shared" si="79"/>
        <v>#VALUE!</v>
      </c>
    </row>
    <row r="5076" spans="11:11" x14ac:dyDescent="0.25">
      <c r="K5076" s="8" t="e">
        <f t="shared" si="79"/>
        <v>#VALUE!</v>
      </c>
    </row>
    <row r="5077" spans="11:11" x14ac:dyDescent="0.25">
      <c r="K5077" s="8" t="e">
        <f t="shared" si="79"/>
        <v>#VALUE!</v>
      </c>
    </row>
    <row r="5078" spans="11:11" x14ac:dyDescent="0.25">
      <c r="K5078" s="8" t="e">
        <f t="shared" si="79"/>
        <v>#VALUE!</v>
      </c>
    </row>
    <row r="5079" spans="11:11" x14ac:dyDescent="0.25">
      <c r="K5079" s="8" t="e">
        <f t="shared" si="79"/>
        <v>#VALUE!</v>
      </c>
    </row>
    <row r="5080" spans="11:11" x14ac:dyDescent="0.25">
      <c r="K5080" s="8" t="e">
        <f t="shared" si="79"/>
        <v>#VALUE!</v>
      </c>
    </row>
    <row r="5081" spans="11:11" x14ac:dyDescent="0.25">
      <c r="K5081" s="8" t="e">
        <f t="shared" si="79"/>
        <v>#VALUE!</v>
      </c>
    </row>
    <row r="5082" spans="11:11" x14ac:dyDescent="0.25">
      <c r="K5082" s="8" t="e">
        <f t="shared" si="79"/>
        <v>#VALUE!</v>
      </c>
    </row>
    <row r="5083" spans="11:11" x14ac:dyDescent="0.25">
      <c r="K5083" s="8" t="e">
        <f t="shared" si="79"/>
        <v>#VALUE!</v>
      </c>
    </row>
    <row r="5084" spans="11:11" x14ac:dyDescent="0.25">
      <c r="K5084" s="8" t="e">
        <f t="shared" si="79"/>
        <v>#VALUE!</v>
      </c>
    </row>
    <row r="5085" spans="11:11" x14ac:dyDescent="0.25">
      <c r="K5085" s="8" t="e">
        <f t="shared" si="79"/>
        <v>#VALUE!</v>
      </c>
    </row>
    <row r="5086" spans="11:11" x14ac:dyDescent="0.25">
      <c r="K5086" s="8" t="e">
        <f t="shared" si="79"/>
        <v>#VALUE!</v>
      </c>
    </row>
    <row r="5087" spans="11:11" x14ac:dyDescent="0.25">
      <c r="K5087" s="8" t="e">
        <f t="shared" si="79"/>
        <v>#VALUE!</v>
      </c>
    </row>
    <row r="5088" spans="11:11" x14ac:dyDescent="0.25">
      <c r="K5088" s="8" t="e">
        <f t="shared" si="79"/>
        <v>#VALUE!</v>
      </c>
    </row>
    <row r="5089" spans="11:11" x14ac:dyDescent="0.25">
      <c r="K5089" s="8" t="e">
        <f t="shared" si="79"/>
        <v>#VALUE!</v>
      </c>
    </row>
    <row r="5090" spans="11:11" x14ac:dyDescent="0.25">
      <c r="K5090" s="8" t="e">
        <f t="shared" si="79"/>
        <v>#VALUE!</v>
      </c>
    </row>
    <row r="5091" spans="11:11" x14ac:dyDescent="0.25">
      <c r="K5091" s="8" t="e">
        <f t="shared" si="79"/>
        <v>#VALUE!</v>
      </c>
    </row>
    <row r="5092" spans="11:11" x14ac:dyDescent="0.25">
      <c r="K5092" s="8" t="e">
        <f t="shared" si="79"/>
        <v>#VALUE!</v>
      </c>
    </row>
    <row r="5093" spans="11:11" x14ac:dyDescent="0.25">
      <c r="K5093" s="8" t="e">
        <f t="shared" si="79"/>
        <v>#VALUE!</v>
      </c>
    </row>
    <row r="5094" spans="11:11" x14ac:dyDescent="0.25">
      <c r="K5094" s="8" t="e">
        <f t="shared" si="79"/>
        <v>#VALUE!</v>
      </c>
    </row>
    <row r="5095" spans="11:11" x14ac:dyDescent="0.25">
      <c r="K5095" s="8" t="e">
        <f t="shared" si="79"/>
        <v>#VALUE!</v>
      </c>
    </row>
    <row r="5096" spans="11:11" x14ac:dyDescent="0.25">
      <c r="K5096" s="8" t="e">
        <f t="shared" si="79"/>
        <v>#VALUE!</v>
      </c>
    </row>
    <row r="5097" spans="11:11" x14ac:dyDescent="0.25">
      <c r="K5097" s="8" t="e">
        <f t="shared" si="79"/>
        <v>#VALUE!</v>
      </c>
    </row>
    <row r="5098" spans="11:11" x14ac:dyDescent="0.25">
      <c r="K5098" s="8" t="e">
        <f t="shared" si="79"/>
        <v>#VALUE!</v>
      </c>
    </row>
    <row r="5099" spans="11:11" x14ac:dyDescent="0.25">
      <c r="K5099" s="8" t="e">
        <f t="shared" si="79"/>
        <v>#VALUE!</v>
      </c>
    </row>
    <row r="5100" spans="11:11" x14ac:dyDescent="0.25">
      <c r="K5100" s="8" t="e">
        <f t="shared" si="79"/>
        <v>#VALUE!</v>
      </c>
    </row>
    <row r="5101" spans="11:11" x14ac:dyDescent="0.25">
      <c r="K5101" s="8" t="e">
        <f t="shared" si="79"/>
        <v>#VALUE!</v>
      </c>
    </row>
    <row r="5102" spans="11:11" x14ac:dyDescent="0.25">
      <c r="K5102" s="8" t="e">
        <f t="shared" si="79"/>
        <v>#VALUE!</v>
      </c>
    </row>
    <row r="5103" spans="11:11" x14ac:dyDescent="0.25">
      <c r="K5103" s="8" t="e">
        <f t="shared" si="79"/>
        <v>#VALUE!</v>
      </c>
    </row>
    <row r="5104" spans="11:11" x14ac:dyDescent="0.25">
      <c r="K5104" s="8" t="e">
        <f t="shared" si="79"/>
        <v>#VALUE!</v>
      </c>
    </row>
    <row r="5105" spans="11:11" x14ac:dyDescent="0.25">
      <c r="K5105" s="8" t="e">
        <f t="shared" si="79"/>
        <v>#VALUE!</v>
      </c>
    </row>
    <row r="5106" spans="11:11" x14ac:dyDescent="0.25">
      <c r="K5106" s="8" t="e">
        <f t="shared" si="79"/>
        <v>#VALUE!</v>
      </c>
    </row>
    <row r="5107" spans="11:11" x14ac:dyDescent="0.25">
      <c r="K5107" s="8" t="e">
        <f t="shared" si="79"/>
        <v>#VALUE!</v>
      </c>
    </row>
    <row r="5108" spans="11:11" x14ac:dyDescent="0.25">
      <c r="K5108" s="8" t="e">
        <f t="shared" si="79"/>
        <v>#VALUE!</v>
      </c>
    </row>
    <row r="5109" spans="11:11" x14ac:dyDescent="0.25">
      <c r="K5109" s="8" t="e">
        <f t="shared" si="79"/>
        <v>#VALUE!</v>
      </c>
    </row>
    <row r="5110" spans="11:11" x14ac:dyDescent="0.25">
      <c r="K5110" s="8" t="e">
        <f t="shared" si="79"/>
        <v>#VALUE!</v>
      </c>
    </row>
    <row r="5111" spans="11:11" x14ac:dyDescent="0.25">
      <c r="K5111" s="8" t="e">
        <f t="shared" si="79"/>
        <v>#VALUE!</v>
      </c>
    </row>
    <row r="5112" spans="11:11" x14ac:dyDescent="0.25">
      <c r="K5112" s="8" t="e">
        <f t="shared" si="79"/>
        <v>#VALUE!</v>
      </c>
    </row>
    <row r="5113" spans="11:11" x14ac:dyDescent="0.25">
      <c r="K5113" s="8" t="e">
        <f t="shared" si="79"/>
        <v>#VALUE!</v>
      </c>
    </row>
    <row r="5114" spans="11:11" x14ac:dyDescent="0.25">
      <c r="K5114" s="8" t="e">
        <f t="shared" si="79"/>
        <v>#VALUE!</v>
      </c>
    </row>
    <row r="5115" spans="11:11" x14ac:dyDescent="0.25">
      <c r="K5115" s="8" t="e">
        <f t="shared" si="79"/>
        <v>#VALUE!</v>
      </c>
    </row>
    <row r="5116" spans="11:11" x14ac:dyDescent="0.25">
      <c r="K5116" s="8" t="e">
        <f t="shared" si="79"/>
        <v>#VALUE!</v>
      </c>
    </row>
    <row r="5117" spans="11:11" x14ac:dyDescent="0.25">
      <c r="K5117" s="8" t="e">
        <f t="shared" si="79"/>
        <v>#VALUE!</v>
      </c>
    </row>
    <row r="5118" spans="11:11" x14ac:dyDescent="0.25">
      <c r="K5118" s="8" t="e">
        <f t="shared" si="79"/>
        <v>#VALUE!</v>
      </c>
    </row>
    <row r="5119" spans="11:11" x14ac:dyDescent="0.25">
      <c r="K5119" s="8" t="e">
        <f t="shared" si="79"/>
        <v>#VALUE!</v>
      </c>
    </row>
    <row r="5120" spans="11:11" x14ac:dyDescent="0.25">
      <c r="K5120" s="8" t="e">
        <f t="shared" si="79"/>
        <v>#VALUE!</v>
      </c>
    </row>
    <row r="5121" spans="11:11" x14ac:dyDescent="0.25">
      <c r="K5121" s="8" t="e">
        <f t="shared" si="79"/>
        <v>#VALUE!</v>
      </c>
    </row>
    <row r="5122" spans="11:11" x14ac:dyDescent="0.25">
      <c r="K5122" s="8" t="e">
        <f t="shared" si="79"/>
        <v>#VALUE!</v>
      </c>
    </row>
    <row r="5123" spans="11:11" x14ac:dyDescent="0.25">
      <c r="K5123" s="8" t="e">
        <f t="shared" ref="K5123:K5186" si="80">LEFT(A5123,FIND("/",A5123)-1)</f>
        <v>#VALUE!</v>
      </c>
    </row>
    <row r="5124" spans="11:11" x14ac:dyDescent="0.25">
      <c r="K5124" s="8" t="e">
        <f t="shared" si="80"/>
        <v>#VALUE!</v>
      </c>
    </row>
    <row r="5125" spans="11:11" x14ac:dyDescent="0.25">
      <c r="K5125" s="8" t="e">
        <f t="shared" si="80"/>
        <v>#VALUE!</v>
      </c>
    </row>
    <row r="5126" spans="11:11" x14ac:dyDescent="0.25">
      <c r="K5126" s="8" t="e">
        <f t="shared" si="80"/>
        <v>#VALUE!</v>
      </c>
    </row>
    <row r="5127" spans="11:11" x14ac:dyDescent="0.25">
      <c r="K5127" s="8" t="e">
        <f t="shared" si="80"/>
        <v>#VALUE!</v>
      </c>
    </row>
    <row r="5128" spans="11:11" x14ac:dyDescent="0.25">
      <c r="K5128" s="8" t="e">
        <f t="shared" si="80"/>
        <v>#VALUE!</v>
      </c>
    </row>
    <row r="5129" spans="11:11" x14ac:dyDescent="0.25">
      <c r="K5129" s="8" t="e">
        <f t="shared" si="80"/>
        <v>#VALUE!</v>
      </c>
    </row>
    <row r="5130" spans="11:11" x14ac:dyDescent="0.25">
      <c r="K5130" s="8" t="e">
        <f t="shared" si="80"/>
        <v>#VALUE!</v>
      </c>
    </row>
    <row r="5131" spans="11:11" x14ac:dyDescent="0.25">
      <c r="K5131" s="8" t="e">
        <f t="shared" si="80"/>
        <v>#VALUE!</v>
      </c>
    </row>
    <row r="5132" spans="11:11" x14ac:dyDescent="0.25">
      <c r="K5132" s="8" t="e">
        <f t="shared" si="80"/>
        <v>#VALUE!</v>
      </c>
    </row>
    <row r="5133" spans="11:11" x14ac:dyDescent="0.25">
      <c r="K5133" s="8" t="e">
        <f t="shared" si="80"/>
        <v>#VALUE!</v>
      </c>
    </row>
    <row r="5134" spans="11:11" x14ac:dyDescent="0.25">
      <c r="K5134" s="8" t="e">
        <f t="shared" si="80"/>
        <v>#VALUE!</v>
      </c>
    </row>
    <row r="5135" spans="11:11" x14ac:dyDescent="0.25">
      <c r="K5135" s="8" t="e">
        <f t="shared" si="80"/>
        <v>#VALUE!</v>
      </c>
    </row>
    <row r="5136" spans="11:11" x14ac:dyDescent="0.25">
      <c r="K5136" s="8" t="e">
        <f t="shared" si="80"/>
        <v>#VALUE!</v>
      </c>
    </row>
    <row r="5137" spans="11:11" x14ac:dyDescent="0.25">
      <c r="K5137" s="8" t="e">
        <f t="shared" si="80"/>
        <v>#VALUE!</v>
      </c>
    </row>
    <row r="5138" spans="11:11" x14ac:dyDescent="0.25">
      <c r="K5138" s="8" t="e">
        <f t="shared" si="80"/>
        <v>#VALUE!</v>
      </c>
    </row>
    <row r="5139" spans="11:11" x14ac:dyDescent="0.25">
      <c r="K5139" s="8" t="e">
        <f t="shared" si="80"/>
        <v>#VALUE!</v>
      </c>
    </row>
    <row r="5140" spans="11:11" x14ac:dyDescent="0.25">
      <c r="K5140" s="8" t="e">
        <f t="shared" si="80"/>
        <v>#VALUE!</v>
      </c>
    </row>
    <row r="5141" spans="11:11" x14ac:dyDescent="0.25">
      <c r="K5141" s="8" t="e">
        <f t="shared" si="80"/>
        <v>#VALUE!</v>
      </c>
    </row>
    <row r="5142" spans="11:11" x14ac:dyDescent="0.25">
      <c r="K5142" s="8" t="e">
        <f t="shared" si="80"/>
        <v>#VALUE!</v>
      </c>
    </row>
    <row r="5143" spans="11:11" x14ac:dyDescent="0.25">
      <c r="K5143" s="8" t="e">
        <f t="shared" si="80"/>
        <v>#VALUE!</v>
      </c>
    </row>
    <row r="5144" spans="11:11" x14ac:dyDescent="0.25">
      <c r="K5144" s="8" t="e">
        <f t="shared" si="80"/>
        <v>#VALUE!</v>
      </c>
    </row>
    <row r="5145" spans="11:11" x14ac:dyDescent="0.25">
      <c r="K5145" s="8" t="e">
        <f t="shared" si="80"/>
        <v>#VALUE!</v>
      </c>
    </row>
    <row r="5146" spans="11:11" x14ac:dyDescent="0.25">
      <c r="K5146" s="8" t="e">
        <f t="shared" si="80"/>
        <v>#VALUE!</v>
      </c>
    </row>
    <row r="5147" spans="11:11" x14ac:dyDescent="0.25">
      <c r="K5147" s="8" t="e">
        <f t="shared" si="80"/>
        <v>#VALUE!</v>
      </c>
    </row>
    <row r="5148" spans="11:11" x14ac:dyDescent="0.25">
      <c r="K5148" s="8" t="e">
        <f t="shared" si="80"/>
        <v>#VALUE!</v>
      </c>
    </row>
    <row r="5149" spans="11:11" x14ac:dyDescent="0.25">
      <c r="K5149" s="8" t="e">
        <f t="shared" si="80"/>
        <v>#VALUE!</v>
      </c>
    </row>
    <row r="5150" spans="11:11" x14ac:dyDescent="0.25">
      <c r="K5150" s="8" t="e">
        <f t="shared" si="80"/>
        <v>#VALUE!</v>
      </c>
    </row>
    <row r="5151" spans="11:11" x14ac:dyDescent="0.25">
      <c r="K5151" s="8" t="e">
        <f t="shared" si="80"/>
        <v>#VALUE!</v>
      </c>
    </row>
    <row r="5152" spans="11:11" x14ac:dyDescent="0.25">
      <c r="K5152" s="8" t="e">
        <f t="shared" si="80"/>
        <v>#VALUE!</v>
      </c>
    </row>
    <row r="5153" spans="11:11" x14ac:dyDescent="0.25">
      <c r="K5153" s="8" t="e">
        <f t="shared" si="80"/>
        <v>#VALUE!</v>
      </c>
    </row>
    <row r="5154" spans="11:11" x14ac:dyDescent="0.25">
      <c r="K5154" s="8" t="e">
        <f t="shared" si="80"/>
        <v>#VALUE!</v>
      </c>
    </row>
    <row r="5155" spans="11:11" x14ac:dyDescent="0.25">
      <c r="K5155" s="8" t="e">
        <f t="shared" si="80"/>
        <v>#VALUE!</v>
      </c>
    </row>
    <row r="5156" spans="11:11" x14ac:dyDescent="0.25">
      <c r="K5156" s="8" t="e">
        <f t="shared" si="80"/>
        <v>#VALUE!</v>
      </c>
    </row>
    <row r="5157" spans="11:11" x14ac:dyDescent="0.25">
      <c r="K5157" s="8" t="e">
        <f t="shared" si="80"/>
        <v>#VALUE!</v>
      </c>
    </row>
    <row r="5158" spans="11:11" x14ac:dyDescent="0.25">
      <c r="K5158" s="8" t="e">
        <f t="shared" si="80"/>
        <v>#VALUE!</v>
      </c>
    </row>
    <row r="5159" spans="11:11" x14ac:dyDescent="0.25">
      <c r="K5159" s="8" t="e">
        <f t="shared" si="80"/>
        <v>#VALUE!</v>
      </c>
    </row>
    <row r="5160" spans="11:11" x14ac:dyDescent="0.25">
      <c r="K5160" s="8" t="e">
        <f t="shared" si="80"/>
        <v>#VALUE!</v>
      </c>
    </row>
    <row r="5161" spans="11:11" x14ac:dyDescent="0.25">
      <c r="K5161" s="8" t="e">
        <f t="shared" si="80"/>
        <v>#VALUE!</v>
      </c>
    </row>
    <row r="5162" spans="11:11" x14ac:dyDescent="0.25">
      <c r="K5162" s="8" t="e">
        <f t="shared" si="80"/>
        <v>#VALUE!</v>
      </c>
    </row>
    <row r="5163" spans="11:11" x14ac:dyDescent="0.25">
      <c r="K5163" s="8" t="e">
        <f t="shared" si="80"/>
        <v>#VALUE!</v>
      </c>
    </row>
    <row r="5164" spans="11:11" x14ac:dyDescent="0.25">
      <c r="K5164" s="8" t="e">
        <f t="shared" si="80"/>
        <v>#VALUE!</v>
      </c>
    </row>
    <row r="5165" spans="11:11" x14ac:dyDescent="0.25">
      <c r="K5165" s="8" t="e">
        <f t="shared" si="80"/>
        <v>#VALUE!</v>
      </c>
    </row>
    <row r="5166" spans="11:11" x14ac:dyDescent="0.25">
      <c r="K5166" s="8" t="e">
        <f t="shared" si="80"/>
        <v>#VALUE!</v>
      </c>
    </row>
    <row r="5167" spans="11:11" x14ac:dyDescent="0.25">
      <c r="K5167" s="8" t="e">
        <f t="shared" si="80"/>
        <v>#VALUE!</v>
      </c>
    </row>
    <row r="5168" spans="11:11" x14ac:dyDescent="0.25">
      <c r="K5168" s="8" t="e">
        <f t="shared" si="80"/>
        <v>#VALUE!</v>
      </c>
    </row>
    <row r="5169" spans="11:11" x14ac:dyDescent="0.25">
      <c r="K5169" s="8" t="e">
        <f t="shared" si="80"/>
        <v>#VALUE!</v>
      </c>
    </row>
    <row r="5170" spans="11:11" x14ac:dyDescent="0.25">
      <c r="K5170" s="8" t="e">
        <f t="shared" si="80"/>
        <v>#VALUE!</v>
      </c>
    </row>
    <row r="5171" spans="11:11" x14ac:dyDescent="0.25">
      <c r="K5171" s="8" t="e">
        <f t="shared" si="80"/>
        <v>#VALUE!</v>
      </c>
    </row>
    <row r="5172" spans="11:11" x14ac:dyDescent="0.25">
      <c r="K5172" s="8" t="e">
        <f t="shared" si="80"/>
        <v>#VALUE!</v>
      </c>
    </row>
    <row r="5173" spans="11:11" x14ac:dyDescent="0.25">
      <c r="K5173" s="8" t="e">
        <f t="shared" si="80"/>
        <v>#VALUE!</v>
      </c>
    </row>
    <row r="5174" spans="11:11" x14ac:dyDescent="0.25">
      <c r="K5174" s="8" t="e">
        <f t="shared" si="80"/>
        <v>#VALUE!</v>
      </c>
    </row>
    <row r="5175" spans="11:11" x14ac:dyDescent="0.25">
      <c r="K5175" s="8" t="e">
        <f t="shared" si="80"/>
        <v>#VALUE!</v>
      </c>
    </row>
    <row r="5176" spans="11:11" x14ac:dyDescent="0.25">
      <c r="K5176" s="8" t="e">
        <f t="shared" si="80"/>
        <v>#VALUE!</v>
      </c>
    </row>
    <row r="5177" spans="11:11" x14ac:dyDescent="0.25">
      <c r="K5177" s="8" t="e">
        <f t="shared" si="80"/>
        <v>#VALUE!</v>
      </c>
    </row>
    <row r="5178" spans="11:11" x14ac:dyDescent="0.25">
      <c r="K5178" s="8" t="e">
        <f t="shared" si="80"/>
        <v>#VALUE!</v>
      </c>
    </row>
    <row r="5179" spans="11:11" x14ac:dyDescent="0.25">
      <c r="K5179" s="8" t="e">
        <f t="shared" si="80"/>
        <v>#VALUE!</v>
      </c>
    </row>
    <row r="5180" spans="11:11" x14ac:dyDescent="0.25">
      <c r="K5180" s="8" t="e">
        <f t="shared" si="80"/>
        <v>#VALUE!</v>
      </c>
    </row>
    <row r="5181" spans="11:11" x14ac:dyDescent="0.25">
      <c r="K5181" s="8" t="e">
        <f t="shared" si="80"/>
        <v>#VALUE!</v>
      </c>
    </row>
    <row r="5182" spans="11:11" x14ac:dyDescent="0.25">
      <c r="K5182" s="8" t="e">
        <f t="shared" si="80"/>
        <v>#VALUE!</v>
      </c>
    </row>
    <row r="5183" spans="11:11" x14ac:dyDescent="0.25">
      <c r="K5183" s="8" t="e">
        <f t="shared" si="80"/>
        <v>#VALUE!</v>
      </c>
    </row>
    <row r="5184" spans="11:11" x14ac:dyDescent="0.25">
      <c r="K5184" s="8" t="e">
        <f t="shared" si="80"/>
        <v>#VALUE!</v>
      </c>
    </row>
    <row r="5185" spans="11:11" x14ac:dyDescent="0.25">
      <c r="K5185" s="8" t="e">
        <f t="shared" si="80"/>
        <v>#VALUE!</v>
      </c>
    </row>
    <row r="5186" spans="11:11" x14ac:dyDescent="0.25">
      <c r="K5186" s="8" t="e">
        <f t="shared" si="80"/>
        <v>#VALUE!</v>
      </c>
    </row>
    <row r="5187" spans="11:11" x14ac:dyDescent="0.25">
      <c r="K5187" s="8" t="e">
        <f t="shared" ref="K5187:K5250" si="81">LEFT(A5187,FIND("/",A5187)-1)</f>
        <v>#VALUE!</v>
      </c>
    </row>
    <row r="5188" spans="11:11" x14ac:dyDescent="0.25">
      <c r="K5188" s="8" t="e">
        <f t="shared" si="81"/>
        <v>#VALUE!</v>
      </c>
    </row>
    <row r="5189" spans="11:11" x14ac:dyDescent="0.25">
      <c r="K5189" s="8" t="e">
        <f t="shared" si="81"/>
        <v>#VALUE!</v>
      </c>
    </row>
    <row r="5190" spans="11:11" x14ac:dyDescent="0.25">
      <c r="K5190" s="8" t="e">
        <f t="shared" si="81"/>
        <v>#VALUE!</v>
      </c>
    </row>
    <row r="5191" spans="11:11" x14ac:dyDescent="0.25">
      <c r="K5191" s="8" t="e">
        <f t="shared" si="81"/>
        <v>#VALUE!</v>
      </c>
    </row>
    <row r="5192" spans="11:11" x14ac:dyDescent="0.25">
      <c r="K5192" s="8" t="e">
        <f t="shared" si="81"/>
        <v>#VALUE!</v>
      </c>
    </row>
    <row r="5193" spans="11:11" x14ac:dyDescent="0.25">
      <c r="K5193" s="8" t="e">
        <f t="shared" si="81"/>
        <v>#VALUE!</v>
      </c>
    </row>
    <row r="5194" spans="11:11" x14ac:dyDescent="0.25">
      <c r="K5194" s="8" t="e">
        <f t="shared" si="81"/>
        <v>#VALUE!</v>
      </c>
    </row>
    <row r="5195" spans="11:11" x14ac:dyDescent="0.25">
      <c r="K5195" s="8" t="e">
        <f t="shared" si="81"/>
        <v>#VALUE!</v>
      </c>
    </row>
    <row r="5196" spans="11:11" x14ac:dyDescent="0.25">
      <c r="K5196" s="8" t="e">
        <f t="shared" si="81"/>
        <v>#VALUE!</v>
      </c>
    </row>
    <row r="5197" spans="11:11" x14ac:dyDescent="0.25">
      <c r="K5197" s="8" t="e">
        <f t="shared" si="81"/>
        <v>#VALUE!</v>
      </c>
    </row>
    <row r="5198" spans="11:11" x14ac:dyDescent="0.25">
      <c r="K5198" s="8" t="e">
        <f t="shared" si="81"/>
        <v>#VALUE!</v>
      </c>
    </row>
    <row r="5199" spans="11:11" x14ac:dyDescent="0.25">
      <c r="K5199" s="8" t="e">
        <f t="shared" si="81"/>
        <v>#VALUE!</v>
      </c>
    </row>
    <row r="5200" spans="11:11" x14ac:dyDescent="0.25">
      <c r="K5200" s="8" t="e">
        <f t="shared" si="81"/>
        <v>#VALUE!</v>
      </c>
    </row>
    <row r="5201" spans="11:11" x14ac:dyDescent="0.25">
      <c r="K5201" s="8" t="e">
        <f t="shared" si="81"/>
        <v>#VALUE!</v>
      </c>
    </row>
    <row r="5202" spans="11:11" x14ac:dyDescent="0.25">
      <c r="K5202" s="8" t="e">
        <f t="shared" si="81"/>
        <v>#VALUE!</v>
      </c>
    </row>
    <row r="5203" spans="11:11" x14ac:dyDescent="0.25">
      <c r="K5203" s="8" t="e">
        <f t="shared" si="81"/>
        <v>#VALUE!</v>
      </c>
    </row>
    <row r="5204" spans="11:11" x14ac:dyDescent="0.25">
      <c r="K5204" s="8" t="e">
        <f t="shared" si="81"/>
        <v>#VALUE!</v>
      </c>
    </row>
    <row r="5205" spans="11:11" x14ac:dyDescent="0.25">
      <c r="K5205" s="8" t="e">
        <f t="shared" si="81"/>
        <v>#VALUE!</v>
      </c>
    </row>
    <row r="5206" spans="11:11" x14ac:dyDescent="0.25">
      <c r="K5206" s="8" t="e">
        <f t="shared" si="81"/>
        <v>#VALUE!</v>
      </c>
    </row>
    <row r="5207" spans="11:11" x14ac:dyDescent="0.25">
      <c r="K5207" s="8" t="e">
        <f t="shared" si="81"/>
        <v>#VALUE!</v>
      </c>
    </row>
    <row r="5208" spans="11:11" x14ac:dyDescent="0.25">
      <c r="K5208" s="8" t="e">
        <f t="shared" si="81"/>
        <v>#VALUE!</v>
      </c>
    </row>
    <row r="5209" spans="11:11" x14ac:dyDescent="0.25">
      <c r="K5209" s="8" t="e">
        <f t="shared" si="81"/>
        <v>#VALUE!</v>
      </c>
    </row>
    <row r="5210" spans="11:11" x14ac:dyDescent="0.25">
      <c r="K5210" s="8" t="e">
        <f t="shared" si="81"/>
        <v>#VALUE!</v>
      </c>
    </row>
    <row r="5211" spans="11:11" x14ac:dyDescent="0.25">
      <c r="K5211" s="8" t="e">
        <f t="shared" si="81"/>
        <v>#VALUE!</v>
      </c>
    </row>
    <row r="5212" spans="11:11" x14ac:dyDescent="0.25">
      <c r="K5212" s="8" t="e">
        <f t="shared" si="81"/>
        <v>#VALUE!</v>
      </c>
    </row>
    <row r="5213" spans="11:11" x14ac:dyDescent="0.25">
      <c r="K5213" s="8" t="e">
        <f t="shared" si="81"/>
        <v>#VALUE!</v>
      </c>
    </row>
    <row r="5214" spans="11:11" x14ac:dyDescent="0.25">
      <c r="K5214" s="8" t="e">
        <f t="shared" si="81"/>
        <v>#VALUE!</v>
      </c>
    </row>
    <row r="5215" spans="11:11" x14ac:dyDescent="0.25">
      <c r="K5215" s="8" t="e">
        <f t="shared" si="81"/>
        <v>#VALUE!</v>
      </c>
    </row>
    <row r="5216" spans="11:11" x14ac:dyDescent="0.25">
      <c r="K5216" s="8" t="e">
        <f t="shared" si="81"/>
        <v>#VALUE!</v>
      </c>
    </row>
    <row r="5217" spans="11:11" x14ac:dyDescent="0.25">
      <c r="K5217" s="8" t="e">
        <f t="shared" si="81"/>
        <v>#VALUE!</v>
      </c>
    </row>
    <row r="5218" spans="11:11" x14ac:dyDescent="0.25">
      <c r="K5218" s="8" t="e">
        <f t="shared" si="81"/>
        <v>#VALUE!</v>
      </c>
    </row>
    <row r="5219" spans="11:11" x14ac:dyDescent="0.25">
      <c r="K5219" s="8" t="e">
        <f t="shared" si="81"/>
        <v>#VALUE!</v>
      </c>
    </row>
    <row r="5220" spans="11:11" x14ac:dyDescent="0.25">
      <c r="K5220" s="8" t="e">
        <f t="shared" si="81"/>
        <v>#VALUE!</v>
      </c>
    </row>
    <row r="5221" spans="11:11" x14ac:dyDescent="0.25">
      <c r="K5221" s="8" t="e">
        <f t="shared" si="81"/>
        <v>#VALUE!</v>
      </c>
    </row>
    <row r="5222" spans="11:11" x14ac:dyDescent="0.25">
      <c r="K5222" s="8" t="e">
        <f t="shared" si="81"/>
        <v>#VALUE!</v>
      </c>
    </row>
    <row r="5223" spans="11:11" x14ac:dyDescent="0.25">
      <c r="K5223" s="8" t="e">
        <f t="shared" si="81"/>
        <v>#VALUE!</v>
      </c>
    </row>
    <row r="5224" spans="11:11" x14ac:dyDescent="0.25">
      <c r="K5224" s="8" t="e">
        <f t="shared" si="81"/>
        <v>#VALUE!</v>
      </c>
    </row>
    <row r="5225" spans="11:11" x14ac:dyDescent="0.25">
      <c r="K5225" s="8" t="e">
        <f t="shared" si="81"/>
        <v>#VALUE!</v>
      </c>
    </row>
    <row r="5226" spans="11:11" x14ac:dyDescent="0.25">
      <c r="K5226" s="8" t="e">
        <f t="shared" si="81"/>
        <v>#VALUE!</v>
      </c>
    </row>
    <row r="5227" spans="11:11" x14ac:dyDescent="0.25">
      <c r="K5227" s="8" t="e">
        <f t="shared" si="81"/>
        <v>#VALUE!</v>
      </c>
    </row>
    <row r="5228" spans="11:11" x14ac:dyDescent="0.25">
      <c r="K5228" s="8" t="e">
        <f t="shared" si="81"/>
        <v>#VALUE!</v>
      </c>
    </row>
    <row r="5229" spans="11:11" x14ac:dyDescent="0.25">
      <c r="K5229" s="8" t="e">
        <f t="shared" si="81"/>
        <v>#VALUE!</v>
      </c>
    </row>
    <row r="5230" spans="11:11" x14ac:dyDescent="0.25">
      <c r="K5230" s="8" t="e">
        <f t="shared" si="81"/>
        <v>#VALUE!</v>
      </c>
    </row>
    <row r="5231" spans="11:11" x14ac:dyDescent="0.25">
      <c r="K5231" s="8" t="e">
        <f t="shared" si="81"/>
        <v>#VALUE!</v>
      </c>
    </row>
    <row r="5232" spans="11:11" x14ac:dyDescent="0.25">
      <c r="K5232" s="8" t="e">
        <f t="shared" si="81"/>
        <v>#VALUE!</v>
      </c>
    </row>
    <row r="5233" spans="11:11" x14ac:dyDescent="0.25">
      <c r="K5233" s="8" t="e">
        <f t="shared" si="81"/>
        <v>#VALUE!</v>
      </c>
    </row>
    <row r="5234" spans="11:11" x14ac:dyDescent="0.25">
      <c r="K5234" s="8" t="e">
        <f t="shared" si="81"/>
        <v>#VALUE!</v>
      </c>
    </row>
    <row r="5235" spans="11:11" x14ac:dyDescent="0.25">
      <c r="K5235" s="8" t="e">
        <f t="shared" si="81"/>
        <v>#VALUE!</v>
      </c>
    </row>
    <row r="5236" spans="11:11" x14ac:dyDescent="0.25">
      <c r="K5236" s="8" t="e">
        <f t="shared" si="81"/>
        <v>#VALUE!</v>
      </c>
    </row>
    <row r="5237" spans="11:11" x14ac:dyDescent="0.25">
      <c r="K5237" s="8" t="e">
        <f t="shared" si="81"/>
        <v>#VALUE!</v>
      </c>
    </row>
    <row r="5238" spans="11:11" x14ac:dyDescent="0.25">
      <c r="K5238" s="8" t="e">
        <f t="shared" si="81"/>
        <v>#VALUE!</v>
      </c>
    </row>
    <row r="5239" spans="11:11" x14ac:dyDescent="0.25">
      <c r="K5239" s="8" t="e">
        <f t="shared" si="81"/>
        <v>#VALUE!</v>
      </c>
    </row>
    <row r="5240" spans="11:11" x14ac:dyDescent="0.25">
      <c r="K5240" s="8" t="e">
        <f t="shared" si="81"/>
        <v>#VALUE!</v>
      </c>
    </row>
    <row r="5241" spans="11:11" x14ac:dyDescent="0.25">
      <c r="K5241" s="8" t="e">
        <f t="shared" si="81"/>
        <v>#VALUE!</v>
      </c>
    </row>
    <row r="5242" spans="11:11" x14ac:dyDescent="0.25">
      <c r="K5242" s="8" t="e">
        <f t="shared" si="81"/>
        <v>#VALUE!</v>
      </c>
    </row>
    <row r="5243" spans="11:11" x14ac:dyDescent="0.25">
      <c r="K5243" s="8" t="e">
        <f t="shared" si="81"/>
        <v>#VALUE!</v>
      </c>
    </row>
    <row r="5244" spans="11:11" x14ac:dyDescent="0.25">
      <c r="K5244" s="8" t="e">
        <f t="shared" si="81"/>
        <v>#VALUE!</v>
      </c>
    </row>
    <row r="5245" spans="11:11" x14ac:dyDescent="0.25">
      <c r="K5245" s="8" t="e">
        <f t="shared" si="81"/>
        <v>#VALUE!</v>
      </c>
    </row>
    <row r="5246" spans="11:11" x14ac:dyDescent="0.25">
      <c r="K5246" s="8" t="e">
        <f t="shared" si="81"/>
        <v>#VALUE!</v>
      </c>
    </row>
    <row r="5247" spans="11:11" x14ac:dyDescent="0.25">
      <c r="K5247" s="8" t="e">
        <f t="shared" si="81"/>
        <v>#VALUE!</v>
      </c>
    </row>
    <row r="5248" spans="11:11" x14ac:dyDescent="0.25">
      <c r="K5248" s="8" t="e">
        <f t="shared" si="81"/>
        <v>#VALUE!</v>
      </c>
    </row>
    <row r="5249" spans="11:11" x14ac:dyDescent="0.25">
      <c r="K5249" s="8" t="e">
        <f t="shared" si="81"/>
        <v>#VALUE!</v>
      </c>
    </row>
    <row r="5250" spans="11:11" x14ac:dyDescent="0.25">
      <c r="K5250" s="8" t="e">
        <f t="shared" si="81"/>
        <v>#VALUE!</v>
      </c>
    </row>
    <row r="5251" spans="11:11" x14ac:dyDescent="0.25">
      <c r="K5251" s="8" t="e">
        <f t="shared" ref="K5251:K5314" si="82">LEFT(A5251,FIND("/",A5251)-1)</f>
        <v>#VALUE!</v>
      </c>
    </row>
    <row r="5252" spans="11:11" x14ac:dyDescent="0.25">
      <c r="K5252" s="8" t="e">
        <f t="shared" si="82"/>
        <v>#VALUE!</v>
      </c>
    </row>
    <row r="5253" spans="11:11" x14ac:dyDescent="0.25">
      <c r="K5253" s="8" t="e">
        <f t="shared" si="82"/>
        <v>#VALUE!</v>
      </c>
    </row>
    <row r="5254" spans="11:11" x14ac:dyDescent="0.25">
      <c r="K5254" s="8" t="e">
        <f t="shared" si="82"/>
        <v>#VALUE!</v>
      </c>
    </row>
    <row r="5255" spans="11:11" x14ac:dyDescent="0.25">
      <c r="K5255" s="8" t="e">
        <f t="shared" si="82"/>
        <v>#VALUE!</v>
      </c>
    </row>
    <row r="5256" spans="11:11" x14ac:dyDescent="0.25">
      <c r="K5256" s="8" t="e">
        <f t="shared" si="82"/>
        <v>#VALUE!</v>
      </c>
    </row>
    <row r="5257" spans="11:11" x14ac:dyDescent="0.25">
      <c r="K5257" s="8" t="e">
        <f t="shared" si="82"/>
        <v>#VALUE!</v>
      </c>
    </row>
    <row r="5258" spans="11:11" x14ac:dyDescent="0.25">
      <c r="K5258" s="8" t="e">
        <f t="shared" si="82"/>
        <v>#VALUE!</v>
      </c>
    </row>
    <row r="5259" spans="11:11" x14ac:dyDescent="0.25">
      <c r="K5259" s="8" t="e">
        <f t="shared" si="82"/>
        <v>#VALUE!</v>
      </c>
    </row>
    <row r="5260" spans="11:11" x14ac:dyDescent="0.25">
      <c r="K5260" s="8" t="e">
        <f t="shared" si="82"/>
        <v>#VALUE!</v>
      </c>
    </row>
    <row r="5261" spans="11:11" x14ac:dyDescent="0.25">
      <c r="K5261" s="8" t="e">
        <f t="shared" si="82"/>
        <v>#VALUE!</v>
      </c>
    </row>
    <row r="5262" spans="11:11" x14ac:dyDescent="0.25">
      <c r="K5262" s="8" t="e">
        <f t="shared" si="82"/>
        <v>#VALUE!</v>
      </c>
    </row>
    <row r="5263" spans="11:11" x14ac:dyDescent="0.25">
      <c r="K5263" s="8" t="e">
        <f t="shared" si="82"/>
        <v>#VALUE!</v>
      </c>
    </row>
    <row r="5264" spans="11:11" x14ac:dyDescent="0.25">
      <c r="K5264" s="8" t="e">
        <f t="shared" si="82"/>
        <v>#VALUE!</v>
      </c>
    </row>
    <row r="5265" spans="11:11" x14ac:dyDescent="0.25">
      <c r="K5265" s="8" t="e">
        <f t="shared" si="82"/>
        <v>#VALUE!</v>
      </c>
    </row>
    <row r="5266" spans="11:11" x14ac:dyDescent="0.25">
      <c r="K5266" s="8" t="e">
        <f t="shared" si="82"/>
        <v>#VALUE!</v>
      </c>
    </row>
    <row r="5267" spans="11:11" x14ac:dyDescent="0.25">
      <c r="K5267" s="8" t="e">
        <f t="shared" si="82"/>
        <v>#VALUE!</v>
      </c>
    </row>
    <row r="5268" spans="11:11" x14ac:dyDescent="0.25">
      <c r="K5268" s="8" t="e">
        <f t="shared" si="82"/>
        <v>#VALUE!</v>
      </c>
    </row>
    <row r="5269" spans="11:11" x14ac:dyDescent="0.25">
      <c r="K5269" s="8" t="e">
        <f t="shared" si="82"/>
        <v>#VALUE!</v>
      </c>
    </row>
    <row r="5270" spans="11:11" x14ac:dyDescent="0.25">
      <c r="K5270" s="8" t="e">
        <f t="shared" si="82"/>
        <v>#VALUE!</v>
      </c>
    </row>
    <row r="5271" spans="11:11" x14ac:dyDescent="0.25">
      <c r="K5271" s="8" t="e">
        <f t="shared" si="82"/>
        <v>#VALUE!</v>
      </c>
    </row>
    <row r="5272" spans="11:11" x14ac:dyDescent="0.25">
      <c r="K5272" s="8" t="e">
        <f t="shared" si="82"/>
        <v>#VALUE!</v>
      </c>
    </row>
    <row r="5273" spans="11:11" x14ac:dyDescent="0.25">
      <c r="K5273" s="8" t="e">
        <f t="shared" si="82"/>
        <v>#VALUE!</v>
      </c>
    </row>
    <row r="5274" spans="11:11" x14ac:dyDescent="0.25">
      <c r="K5274" s="8" t="e">
        <f t="shared" si="82"/>
        <v>#VALUE!</v>
      </c>
    </row>
    <row r="5275" spans="11:11" x14ac:dyDescent="0.25">
      <c r="K5275" s="8" t="e">
        <f t="shared" si="82"/>
        <v>#VALUE!</v>
      </c>
    </row>
    <row r="5276" spans="11:11" x14ac:dyDescent="0.25">
      <c r="K5276" s="8" t="e">
        <f t="shared" si="82"/>
        <v>#VALUE!</v>
      </c>
    </row>
    <row r="5277" spans="11:11" x14ac:dyDescent="0.25">
      <c r="K5277" s="8" t="e">
        <f t="shared" si="82"/>
        <v>#VALUE!</v>
      </c>
    </row>
    <row r="5278" spans="11:11" x14ac:dyDescent="0.25">
      <c r="K5278" s="8" t="e">
        <f t="shared" si="82"/>
        <v>#VALUE!</v>
      </c>
    </row>
    <row r="5279" spans="11:11" x14ac:dyDescent="0.25">
      <c r="K5279" s="8" t="e">
        <f t="shared" si="82"/>
        <v>#VALUE!</v>
      </c>
    </row>
    <row r="5280" spans="11:11" x14ac:dyDescent="0.25">
      <c r="K5280" s="8" t="e">
        <f t="shared" si="82"/>
        <v>#VALUE!</v>
      </c>
    </row>
    <row r="5281" spans="11:11" x14ac:dyDescent="0.25">
      <c r="K5281" s="8" t="e">
        <f t="shared" si="82"/>
        <v>#VALUE!</v>
      </c>
    </row>
    <row r="5282" spans="11:11" x14ac:dyDescent="0.25">
      <c r="K5282" s="8" t="e">
        <f t="shared" si="82"/>
        <v>#VALUE!</v>
      </c>
    </row>
    <row r="5283" spans="11:11" x14ac:dyDescent="0.25">
      <c r="K5283" s="8" t="e">
        <f t="shared" si="82"/>
        <v>#VALUE!</v>
      </c>
    </row>
    <row r="5284" spans="11:11" x14ac:dyDescent="0.25">
      <c r="K5284" s="8" t="e">
        <f t="shared" si="82"/>
        <v>#VALUE!</v>
      </c>
    </row>
    <row r="5285" spans="11:11" x14ac:dyDescent="0.25">
      <c r="K5285" s="8" t="e">
        <f t="shared" si="82"/>
        <v>#VALUE!</v>
      </c>
    </row>
    <row r="5286" spans="11:11" x14ac:dyDescent="0.25">
      <c r="K5286" s="8" t="e">
        <f t="shared" si="82"/>
        <v>#VALUE!</v>
      </c>
    </row>
    <row r="5287" spans="11:11" x14ac:dyDescent="0.25">
      <c r="K5287" s="8" t="e">
        <f t="shared" si="82"/>
        <v>#VALUE!</v>
      </c>
    </row>
    <row r="5288" spans="11:11" x14ac:dyDescent="0.25">
      <c r="K5288" s="8" t="e">
        <f t="shared" si="82"/>
        <v>#VALUE!</v>
      </c>
    </row>
    <row r="5289" spans="11:11" x14ac:dyDescent="0.25">
      <c r="K5289" s="8" t="e">
        <f t="shared" si="82"/>
        <v>#VALUE!</v>
      </c>
    </row>
    <row r="5290" spans="11:11" x14ac:dyDescent="0.25">
      <c r="K5290" s="8" t="e">
        <f t="shared" si="82"/>
        <v>#VALUE!</v>
      </c>
    </row>
    <row r="5291" spans="11:11" x14ac:dyDescent="0.25">
      <c r="K5291" s="8" t="e">
        <f t="shared" si="82"/>
        <v>#VALUE!</v>
      </c>
    </row>
    <row r="5292" spans="11:11" x14ac:dyDescent="0.25">
      <c r="K5292" s="8" t="e">
        <f t="shared" si="82"/>
        <v>#VALUE!</v>
      </c>
    </row>
    <row r="5293" spans="11:11" x14ac:dyDescent="0.25">
      <c r="K5293" s="8" t="e">
        <f t="shared" si="82"/>
        <v>#VALUE!</v>
      </c>
    </row>
    <row r="5294" spans="11:11" x14ac:dyDescent="0.25">
      <c r="K5294" s="8" t="e">
        <f t="shared" si="82"/>
        <v>#VALUE!</v>
      </c>
    </row>
    <row r="5295" spans="11:11" x14ac:dyDescent="0.25">
      <c r="K5295" s="8" t="e">
        <f t="shared" si="82"/>
        <v>#VALUE!</v>
      </c>
    </row>
    <row r="5296" spans="11:11" x14ac:dyDescent="0.25">
      <c r="K5296" s="8" t="e">
        <f t="shared" si="82"/>
        <v>#VALUE!</v>
      </c>
    </row>
    <row r="5297" spans="11:11" x14ac:dyDescent="0.25">
      <c r="K5297" s="8" t="e">
        <f t="shared" si="82"/>
        <v>#VALUE!</v>
      </c>
    </row>
    <row r="5298" spans="11:11" x14ac:dyDescent="0.25">
      <c r="K5298" s="8" t="e">
        <f t="shared" si="82"/>
        <v>#VALUE!</v>
      </c>
    </row>
    <row r="5299" spans="11:11" x14ac:dyDescent="0.25">
      <c r="K5299" s="8" t="e">
        <f t="shared" si="82"/>
        <v>#VALUE!</v>
      </c>
    </row>
    <row r="5300" spans="11:11" x14ac:dyDescent="0.25">
      <c r="K5300" s="8" t="e">
        <f t="shared" si="82"/>
        <v>#VALUE!</v>
      </c>
    </row>
    <row r="5301" spans="11:11" x14ac:dyDescent="0.25">
      <c r="K5301" s="8" t="e">
        <f t="shared" si="82"/>
        <v>#VALUE!</v>
      </c>
    </row>
    <row r="5302" spans="11:11" x14ac:dyDescent="0.25">
      <c r="K5302" s="8" t="e">
        <f t="shared" si="82"/>
        <v>#VALUE!</v>
      </c>
    </row>
    <row r="5303" spans="11:11" x14ac:dyDescent="0.25">
      <c r="K5303" s="8" t="e">
        <f t="shared" si="82"/>
        <v>#VALUE!</v>
      </c>
    </row>
    <row r="5304" spans="11:11" x14ac:dyDescent="0.25">
      <c r="K5304" s="8" t="e">
        <f t="shared" si="82"/>
        <v>#VALUE!</v>
      </c>
    </row>
    <row r="5305" spans="11:11" x14ac:dyDescent="0.25">
      <c r="K5305" s="8" t="e">
        <f t="shared" si="82"/>
        <v>#VALUE!</v>
      </c>
    </row>
    <row r="5306" spans="11:11" x14ac:dyDescent="0.25">
      <c r="K5306" s="8" t="e">
        <f t="shared" si="82"/>
        <v>#VALUE!</v>
      </c>
    </row>
    <row r="5307" spans="11:11" x14ac:dyDescent="0.25">
      <c r="K5307" s="8" t="e">
        <f t="shared" si="82"/>
        <v>#VALUE!</v>
      </c>
    </row>
    <row r="5308" spans="11:11" x14ac:dyDescent="0.25">
      <c r="K5308" s="8" t="e">
        <f t="shared" si="82"/>
        <v>#VALUE!</v>
      </c>
    </row>
    <row r="5309" spans="11:11" x14ac:dyDescent="0.25">
      <c r="K5309" s="8" t="e">
        <f t="shared" si="82"/>
        <v>#VALUE!</v>
      </c>
    </row>
    <row r="5310" spans="11:11" x14ac:dyDescent="0.25">
      <c r="K5310" s="8" t="e">
        <f t="shared" si="82"/>
        <v>#VALUE!</v>
      </c>
    </row>
    <row r="5311" spans="11:11" x14ac:dyDescent="0.25">
      <c r="K5311" s="8" t="e">
        <f t="shared" si="82"/>
        <v>#VALUE!</v>
      </c>
    </row>
    <row r="5312" spans="11:11" x14ac:dyDescent="0.25">
      <c r="K5312" s="8" t="e">
        <f t="shared" si="82"/>
        <v>#VALUE!</v>
      </c>
    </row>
    <row r="5313" spans="11:11" x14ac:dyDescent="0.25">
      <c r="K5313" s="8" t="e">
        <f t="shared" si="82"/>
        <v>#VALUE!</v>
      </c>
    </row>
    <row r="5314" spans="11:11" x14ac:dyDescent="0.25">
      <c r="K5314" s="8" t="e">
        <f t="shared" si="82"/>
        <v>#VALUE!</v>
      </c>
    </row>
    <row r="5315" spans="11:11" x14ac:dyDescent="0.25">
      <c r="K5315" s="8" t="e">
        <f t="shared" ref="K5315:K5378" si="83">LEFT(A5315,FIND("/",A5315)-1)</f>
        <v>#VALUE!</v>
      </c>
    </row>
    <row r="5316" spans="11:11" x14ac:dyDescent="0.25">
      <c r="K5316" s="8" t="e">
        <f t="shared" si="83"/>
        <v>#VALUE!</v>
      </c>
    </row>
    <row r="5317" spans="11:11" x14ac:dyDescent="0.25">
      <c r="K5317" s="8" t="e">
        <f t="shared" si="83"/>
        <v>#VALUE!</v>
      </c>
    </row>
    <row r="5318" spans="11:11" x14ac:dyDescent="0.25">
      <c r="K5318" s="8" t="e">
        <f t="shared" si="83"/>
        <v>#VALUE!</v>
      </c>
    </row>
    <row r="5319" spans="11:11" x14ac:dyDescent="0.25">
      <c r="K5319" s="8" t="e">
        <f t="shared" si="83"/>
        <v>#VALUE!</v>
      </c>
    </row>
    <row r="5320" spans="11:11" x14ac:dyDescent="0.25">
      <c r="K5320" s="8" t="e">
        <f t="shared" si="83"/>
        <v>#VALUE!</v>
      </c>
    </row>
    <row r="5321" spans="11:11" x14ac:dyDescent="0.25">
      <c r="K5321" s="8" t="e">
        <f t="shared" si="83"/>
        <v>#VALUE!</v>
      </c>
    </row>
    <row r="5322" spans="11:11" x14ac:dyDescent="0.25">
      <c r="K5322" s="8" t="e">
        <f t="shared" si="83"/>
        <v>#VALUE!</v>
      </c>
    </row>
    <row r="5323" spans="11:11" x14ac:dyDescent="0.25">
      <c r="K5323" s="8" t="e">
        <f t="shared" si="83"/>
        <v>#VALUE!</v>
      </c>
    </row>
    <row r="5324" spans="11:11" x14ac:dyDescent="0.25">
      <c r="K5324" s="8" t="e">
        <f t="shared" si="83"/>
        <v>#VALUE!</v>
      </c>
    </row>
    <row r="5325" spans="11:11" x14ac:dyDescent="0.25">
      <c r="K5325" s="8" t="e">
        <f t="shared" si="83"/>
        <v>#VALUE!</v>
      </c>
    </row>
    <row r="5326" spans="11:11" x14ac:dyDescent="0.25">
      <c r="K5326" s="8" t="e">
        <f t="shared" si="83"/>
        <v>#VALUE!</v>
      </c>
    </row>
    <row r="5327" spans="11:11" x14ac:dyDescent="0.25">
      <c r="K5327" s="8" t="e">
        <f t="shared" si="83"/>
        <v>#VALUE!</v>
      </c>
    </row>
    <row r="5328" spans="11:11" x14ac:dyDescent="0.25">
      <c r="K5328" s="8" t="e">
        <f t="shared" si="83"/>
        <v>#VALUE!</v>
      </c>
    </row>
    <row r="5329" spans="11:11" x14ac:dyDescent="0.25">
      <c r="K5329" s="8" t="e">
        <f t="shared" si="83"/>
        <v>#VALUE!</v>
      </c>
    </row>
    <row r="5330" spans="11:11" x14ac:dyDescent="0.25">
      <c r="K5330" s="8" t="e">
        <f t="shared" si="83"/>
        <v>#VALUE!</v>
      </c>
    </row>
    <row r="5331" spans="11:11" x14ac:dyDescent="0.25">
      <c r="K5331" s="8" t="e">
        <f t="shared" si="83"/>
        <v>#VALUE!</v>
      </c>
    </row>
    <row r="5332" spans="11:11" x14ac:dyDescent="0.25">
      <c r="K5332" s="8" t="e">
        <f t="shared" si="83"/>
        <v>#VALUE!</v>
      </c>
    </row>
    <row r="5333" spans="11:11" x14ac:dyDescent="0.25">
      <c r="K5333" s="8" t="e">
        <f t="shared" si="83"/>
        <v>#VALUE!</v>
      </c>
    </row>
    <row r="5334" spans="11:11" x14ac:dyDescent="0.25">
      <c r="K5334" s="8" t="e">
        <f t="shared" si="83"/>
        <v>#VALUE!</v>
      </c>
    </row>
    <row r="5335" spans="11:11" x14ac:dyDescent="0.25">
      <c r="K5335" s="8" t="e">
        <f t="shared" si="83"/>
        <v>#VALUE!</v>
      </c>
    </row>
    <row r="5336" spans="11:11" x14ac:dyDescent="0.25">
      <c r="K5336" s="8" t="e">
        <f t="shared" si="83"/>
        <v>#VALUE!</v>
      </c>
    </row>
    <row r="5337" spans="11:11" x14ac:dyDescent="0.25">
      <c r="K5337" s="8" t="e">
        <f t="shared" si="83"/>
        <v>#VALUE!</v>
      </c>
    </row>
    <row r="5338" spans="11:11" x14ac:dyDescent="0.25">
      <c r="K5338" s="8" t="e">
        <f t="shared" si="83"/>
        <v>#VALUE!</v>
      </c>
    </row>
    <row r="5339" spans="11:11" x14ac:dyDescent="0.25">
      <c r="K5339" s="8" t="e">
        <f t="shared" si="83"/>
        <v>#VALUE!</v>
      </c>
    </row>
    <row r="5340" spans="11:11" x14ac:dyDescent="0.25">
      <c r="K5340" s="8" t="e">
        <f t="shared" si="83"/>
        <v>#VALUE!</v>
      </c>
    </row>
    <row r="5341" spans="11:11" x14ac:dyDescent="0.25">
      <c r="K5341" s="8" t="e">
        <f t="shared" si="83"/>
        <v>#VALUE!</v>
      </c>
    </row>
    <row r="5342" spans="11:11" x14ac:dyDescent="0.25">
      <c r="K5342" s="8" t="e">
        <f t="shared" si="83"/>
        <v>#VALUE!</v>
      </c>
    </row>
    <row r="5343" spans="11:11" x14ac:dyDescent="0.25">
      <c r="K5343" s="8" t="e">
        <f t="shared" si="83"/>
        <v>#VALUE!</v>
      </c>
    </row>
    <row r="5344" spans="11:11" x14ac:dyDescent="0.25">
      <c r="K5344" s="8" t="e">
        <f t="shared" si="83"/>
        <v>#VALUE!</v>
      </c>
    </row>
    <row r="5345" spans="11:11" x14ac:dyDescent="0.25">
      <c r="K5345" s="8" t="e">
        <f t="shared" si="83"/>
        <v>#VALUE!</v>
      </c>
    </row>
    <row r="5346" spans="11:11" x14ac:dyDescent="0.25">
      <c r="K5346" s="8" t="e">
        <f t="shared" si="83"/>
        <v>#VALUE!</v>
      </c>
    </row>
    <row r="5347" spans="11:11" x14ac:dyDescent="0.25">
      <c r="K5347" s="8" t="e">
        <f t="shared" si="83"/>
        <v>#VALUE!</v>
      </c>
    </row>
    <row r="5348" spans="11:11" x14ac:dyDescent="0.25">
      <c r="K5348" s="8" t="e">
        <f t="shared" si="83"/>
        <v>#VALUE!</v>
      </c>
    </row>
    <row r="5349" spans="11:11" x14ac:dyDescent="0.25">
      <c r="K5349" s="8" t="e">
        <f t="shared" si="83"/>
        <v>#VALUE!</v>
      </c>
    </row>
    <row r="5350" spans="11:11" x14ac:dyDescent="0.25">
      <c r="K5350" s="8" t="e">
        <f t="shared" si="83"/>
        <v>#VALUE!</v>
      </c>
    </row>
    <row r="5351" spans="11:11" x14ac:dyDescent="0.25">
      <c r="K5351" s="8" t="e">
        <f t="shared" si="83"/>
        <v>#VALUE!</v>
      </c>
    </row>
    <row r="5352" spans="11:11" x14ac:dyDescent="0.25">
      <c r="K5352" s="8" t="e">
        <f t="shared" si="83"/>
        <v>#VALUE!</v>
      </c>
    </row>
    <row r="5353" spans="11:11" x14ac:dyDescent="0.25">
      <c r="K5353" s="8" t="e">
        <f t="shared" si="83"/>
        <v>#VALUE!</v>
      </c>
    </row>
    <row r="5354" spans="11:11" x14ac:dyDescent="0.25">
      <c r="K5354" s="8" t="e">
        <f t="shared" si="83"/>
        <v>#VALUE!</v>
      </c>
    </row>
    <row r="5355" spans="11:11" x14ac:dyDescent="0.25">
      <c r="K5355" s="8" t="e">
        <f t="shared" si="83"/>
        <v>#VALUE!</v>
      </c>
    </row>
    <row r="5356" spans="11:11" x14ac:dyDescent="0.25">
      <c r="K5356" s="8" t="e">
        <f t="shared" si="83"/>
        <v>#VALUE!</v>
      </c>
    </row>
    <row r="5357" spans="11:11" x14ac:dyDescent="0.25">
      <c r="K5357" s="8" t="e">
        <f t="shared" si="83"/>
        <v>#VALUE!</v>
      </c>
    </row>
    <row r="5358" spans="11:11" x14ac:dyDescent="0.25">
      <c r="K5358" s="8" t="e">
        <f t="shared" si="83"/>
        <v>#VALUE!</v>
      </c>
    </row>
    <row r="5359" spans="11:11" x14ac:dyDescent="0.25">
      <c r="K5359" s="8" t="e">
        <f t="shared" si="83"/>
        <v>#VALUE!</v>
      </c>
    </row>
    <row r="5360" spans="11:11" x14ac:dyDescent="0.25">
      <c r="K5360" s="8" t="e">
        <f t="shared" si="83"/>
        <v>#VALUE!</v>
      </c>
    </row>
    <row r="5361" spans="11:11" x14ac:dyDescent="0.25">
      <c r="K5361" s="8" t="e">
        <f t="shared" si="83"/>
        <v>#VALUE!</v>
      </c>
    </row>
    <row r="5362" spans="11:11" x14ac:dyDescent="0.25">
      <c r="K5362" s="8" t="e">
        <f t="shared" si="83"/>
        <v>#VALUE!</v>
      </c>
    </row>
    <row r="5363" spans="11:11" x14ac:dyDescent="0.25">
      <c r="K5363" s="8" t="e">
        <f t="shared" si="83"/>
        <v>#VALUE!</v>
      </c>
    </row>
    <row r="5364" spans="11:11" x14ac:dyDescent="0.25">
      <c r="K5364" s="8" t="e">
        <f t="shared" si="83"/>
        <v>#VALUE!</v>
      </c>
    </row>
    <row r="5365" spans="11:11" x14ac:dyDescent="0.25">
      <c r="K5365" s="8" t="e">
        <f t="shared" si="83"/>
        <v>#VALUE!</v>
      </c>
    </row>
    <row r="5366" spans="11:11" x14ac:dyDescent="0.25">
      <c r="K5366" s="8" t="e">
        <f t="shared" si="83"/>
        <v>#VALUE!</v>
      </c>
    </row>
    <row r="5367" spans="11:11" x14ac:dyDescent="0.25">
      <c r="K5367" s="8" t="e">
        <f t="shared" si="83"/>
        <v>#VALUE!</v>
      </c>
    </row>
    <row r="5368" spans="11:11" x14ac:dyDescent="0.25">
      <c r="K5368" s="8" t="e">
        <f t="shared" si="83"/>
        <v>#VALUE!</v>
      </c>
    </row>
    <row r="5369" spans="11:11" x14ac:dyDescent="0.25">
      <c r="K5369" s="8" t="e">
        <f t="shared" si="83"/>
        <v>#VALUE!</v>
      </c>
    </row>
    <row r="5370" spans="11:11" x14ac:dyDescent="0.25">
      <c r="K5370" s="8" t="e">
        <f t="shared" si="83"/>
        <v>#VALUE!</v>
      </c>
    </row>
    <row r="5371" spans="11:11" x14ac:dyDescent="0.25">
      <c r="K5371" s="8" t="e">
        <f t="shared" si="83"/>
        <v>#VALUE!</v>
      </c>
    </row>
    <row r="5372" spans="11:11" x14ac:dyDescent="0.25">
      <c r="K5372" s="8" t="e">
        <f t="shared" si="83"/>
        <v>#VALUE!</v>
      </c>
    </row>
    <row r="5373" spans="11:11" x14ac:dyDescent="0.25">
      <c r="K5373" s="8" t="e">
        <f t="shared" si="83"/>
        <v>#VALUE!</v>
      </c>
    </row>
    <row r="5374" spans="11:11" x14ac:dyDescent="0.25">
      <c r="K5374" s="8" t="e">
        <f t="shared" si="83"/>
        <v>#VALUE!</v>
      </c>
    </row>
    <row r="5375" spans="11:11" x14ac:dyDescent="0.25">
      <c r="K5375" s="8" t="e">
        <f t="shared" si="83"/>
        <v>#VALUE!</v>
      </c>
    </row>
    <row r="5376" spans="11:11" x14ac:dyDescent="0.25">
      <c r="K5376" s="8" t="e">
        <f t="shared" si="83"/>
        <v>#VALUE!</v>
      </c>
    </row>
    <row r="5377" spans="11:11" x14ac:dyDescent="0.25">
      <c r="K5377" s="8" t="e">
        <f t="shared" si="83"/>
        <v>#VALUE!</v>
      </c>
    </row>
    <row r="5378" spans="11:11" x14ac:dyDescent="0.25">
      <c r="K5378" s="8" t="e">
        <f t="shared" si="83"/>
        <v>#VALUE!</v>
      </c>
    </row>
    <row r="5379" spans="11:11" x14ac:dyDescent="0.25">
      <c r="K5379" s="8" t="e">
        <f t="shared" ref="K5379:K5442" si="84">LEFT(A5379,FIND("/",A5379)-1)</f>
        <v>#VALUE!</v>
      </c>
    </row>
    <row r="5380" spans="11:11" x14ac:dyDescent="0.25">
      <c r="K5380" s="8" t="e">
        <f t="shared" si="84"/>
        <v>#VALUE!</v>
      </c>
    </row>
    <row r="5381" spans="11:11" x14ac:dyDescent="0.25">
      <c r="K5381" s="8" t="e">
        <f t="shared" si="84"/>
        <v>#VALUE!</v>
      </c>
    </row>
    <row r="5382" spans="11:11" x14ac:dyDescent="0.25">
      <c r="K5382" s="8" t="e">
        <f t="shared" si="84"/>
        <v>#VALUE!</v>
      </c>
    </row>
    <row r="5383" spans="11:11" x14ac:dyDescent="0.25">
      <c r="K5383" s="8" t="e">
        <f t="shared" si="84"/>
        <v>#VALUE!</v>
      </c>
    </row>
    <row r="5384" spans="11:11" x14ac:dyDescent="0.25">
      <c r="K5384" s="8" t="e">
        <f t="shared" si="84"/>
        <v>#VALUE!</v>
      </c>
    </row>
    <row r="5385" spans="11:11" x14ac:dyDescent="0.25">
      <c r="K5385" s="8" t="e">
        <f t="shared" si="84"/>
        <v>#VALUE!</v>
      </c>
    </row>
    <row r="5386" spans="11:11" x14ac:dyDescent="0.25">
      <c r="K5386" s="8" t="e">
        <f t="shared" si="84"/>
        <v>#VALUE!</v>
      </c>
    </row>
    <row r="5387" spans="11:11" x14ac:dyDescent="0.25">
      <c r="K5387" s="8" t="e">
        <f t="shared" si="84"/>
        <v>#VALUE!</v>
      </c>
    </row>
    <row r="5388" spans="11:11" x14ac:dyDescent="0.25">
      <c r="K5388" s="8" t="e">
        <f t="shared" si="84"/>
        <v>#VALUE!</v>
      </c>
    </row>
    <row r="5389" spans="11:11" x14ac:dyDescent="0.25">
      <c r="K5389" s="8" t="e">
        <f t="shared" si="84"/>
        <v>#VALUE!</v>
      </c>
    </row>
    <row r="5390" spans="11:11" x14ac:dyDescent="0.25">
      <c r="K5390" s="8" t="e">
        <f t="shared" si="84"/>
        <v>#VALUE!</v>
      </c>
    </row>
    <row r="5391" spans="11:11" x14ac:dyDescent="0.25">
      <c r="K5391" s="8" t="e">
        <f t="shared" si="84"/>
        <v>#VALUE!</v>
      </c>
    </row>
    <row r="5392" spans="11:11" x14ac:dyDescent="0.25">
      <c r="K5392" s="8" t="e">
        <f t="shared" si="84"/>
        <v>#VALUE!</v>
      </c>
    </row>
    <row r="5393" spans="11:11" x14ac:dyDescent="0.25">
      <c r="K5393" s="8" t="e">
        <f t="shared" si="84"/>
        <v>#VALUE!</v>
      </c>
    </row>
    <row r="5394" spans="11:11" x14ac:dyDescent="0.25">
      <c r="K5394" s="8" t="e">
        <f t="shared" si="84"/>
        <v>#VALUE!</v>
      </c>
    </row>
    <row r="5395" spans="11:11" x14ac:dyDescent="0.25">
      <c r="K5395" s="8" t="e">
        <f t="shared" si="84"/>
        <v>#VALUE!</v>
      </c>
    </row>
    <row r="5396" spans="11:11" x14ac:dyDescent="0.25">
      <c r="K5396" s="8" t="e">
        <f t="shared" si="84"/>
        <v>#VALUE!</v>
      </c>
    </row>
    <row r="5397" spans="11:11" x14ac:dyDescent="0.25">
      <c r="K5397" s="8" t="e">
        <f t="shared" si="84"/>
        <v>#VALUE!</v>
      </c>
    </row>
    <row r="5398" spans="11:11" x14ac:dyDescent="0.25">
      <c r="K5398" s="8" t="e">
        <f t="shared" si="84"/>
        <v>#VALUE!</v>
      </c>
    </row>
    <row r="5399" spans="11:11" x14ac:dyDescent="0.25">
      <c r="K5399" s="8" t="e">
        <f t="shared" si="84"/>
        <v>#VALUE!</v>
      </c>
    </row>
    <row r="5400" spans="11:11" x14ac:dyDescent="0.25">
      <c r="K5400" s="8" t="e">
        <f t="shared" si="84"/>
        <v>#VALUE!</v>
      </c>
    </row>
    <row r="5401" spans="11:11" x14ac:dyDescent="0.25">
      <c r="K5401" s="8" t="e">
        <f t="shared" si="84"/>
        <v>#VALUE!</v>
      </c>
    </row>
    <row r="5402" spans="11:11" x14ac:dyDescent="0.25">
      <c r="K5402" s="8" t="e">
        <f t="shared" si="84"/>
        <v>#VALUE!</v>
      </c>
    </row>
    <row r="5403" spans="11:11" x14ac:dyDescent="0.25">
      <c r="K5403" s="8" t="e">
        <f t="shared" si="84"/>
        <v>#VALUE!</v>
      </c>
    </row>
    <row r="5404" spans="11:11" x14ac:dyDescent="0.25">
      <c r="K5404" s="8" t="e">
        <f t="shared" si="84"/>
        <v>#VALUE!</v>
      </c>
    </row>
    <row r="5405" spans="11:11" x14ac:dyDescent="0.25">
      <c r="K5405" s="8" t="e">
        <f t="shared" si="84"/>
        <v>#VALUE!</v>
      </c>
    </row>
    <row r="5406" spans="11:11" x14ac:dyDescent="0.25">
      <c r="K5406" s="8" t="e">
        <f t="shared" si="84"/>
        <v>#VALUE!</v>
      </c>
    </row>
    <row r="5407" spans="11:11" x14ac:dyDescent="0.25">
      <c r="K5407" s="8" t="e">
        <f t="shared" si="84"/>
        <v>#VALUE!</v>
      </c>
    </row>
    <row r="5408" spans="11:11" x14ac:dyDescent="0.25">
      <c r="K5408" s="8" t="e">
        <f t="shared" si="84"/>
        <v>#VALUE!</v>
      </c>
    </row>
    <row r="5409" spans="11:11" x14ac:dyDescent="0.25">
      <c r="K5409" s="8" t="e">
        <f t="shared" si="84"/>
        <v>#VALUE!</v>
      </c>
    </row>
    <row r="5410" spans="11:11" x14ac:dyDescent="0.25">
      <c r="K5410" s="8" t="e">
        <f t="shared" si="84"/>
        <v>#VALUE!</v>
      </c>
    </row>
    <row r="5411" spans="11:11" x14ac:dyDescent="0.25">
      <c r="K5411" s="8" t="e">
        <f t="shared" si="84"/>
        <v>#VALUE!</v>
      </c>
    </row>
    <row r="5412" spans="11:11" x14ac:dyDescent="0.25">
      <c r="K5412" s="8" t="e">
        <f t="shared" si="84"/>
        <v>#VALUE!</v>
      </c>
    </row>
    <row r="5413" spans="11:11" x14ac:dyDescent="0.25">
      <c r="K5413" s="8" t="e">
        <f t="shared" si="84"/>
        <v>#VALUE!</v>
      </c>
    </row>
    <row r="5414" spans="11:11" x14ac:dyDescent="0.25">
      <c r="K5414" s="8" t="e">
        <f t="shared" si="84"/>
        <v>#VALUE!</v>
      </c>
    </row>
    <row r="5415" spans="11:11" x14ac:dyDescent="0.25">
      <c r="K5415" s="8" t="e">
        <f t="shared" si="84"/>
        <v>#VALUE!</v>
      </c>
    </row>
    <row r="5416" spans="11:11" x14ac:dyDescent="0.25">
      <c r="K5416" s="8" t="e">
        <f t="shared" si="84"/>
        <v>#VALUE!</v>
      </c>
    </row>
    <row r="5417" spans="11:11" x14ac:dyDescent="0.25">
      <c r="K5417" s="8" t="e">
        <f t="shared" si="84"/>
        <v>#VALUE!</v>
      </c>
    </row>
    <row r="5418" spans="11:11" x14ac:dyDescent="0.25">
      <c r="K5418" s="8" t="e">
        <f t="shared" si="84"/>
        <v>#VALUE!</v>
      </c>
    </row>
    <row r="5419" spans="11:11" x14ac:dyDescent="0.25">
      <c r="K5419" s="8" t="e">
        <f t="shared" si="84"/>
        <v>#VALUE!</v>
      </c>
    </row>
    <row r="5420" spans="11:11" x14ac:dyDescent="0.25">
      <c r="K5420" s="8" t="e">
        <f t="shared" si="84"/>
        <v>#VALUE!</v>
      </c>
    </row>
    <row r="5421" spans="11:11" x14ac:dyDescent="0.25">
      <c r="K5421" s="8" t="e">
        <f t="shared" si="84"/>
        <v>#VALUE!</v>
      </c>
    </row>
    <row r="5422" spans="11:11" x14ac:dyDescent="0.25">
      <c r="K5422" s="8" t="e">
        <f t="shared" si="84"/>
        <v>#VALUE!</v>
      </c>
    </row>
    <row r="5423" spans="11:11" x14ac:dyDescent="0.25">
      <c r="K5423" s="8" t="e">
        <f t="shared" si="84"/>
        <v>#VALUE!</v>
      </c>
    </row>
    <row r="5424" spans="11:11" x14ac:dyDescent="0.25">
      <c r="K5424" s="8" t="e">
        <f t="shared" si="84"/>
        <v>#VALUE!</v>
      </c>
    </row>
    <row r="5425" spans="11:11" x14ac:dyDescent="0.25">
      <c r="K5425" s="8" t="e">
        <f t="shared" si="84"/>
        <v>#VALUE!</v>
      </c>
    </row>
    <row r="5426" spans="11:11" x14ac:dyDescent="0.25">
      <c r="K5426" s="8" t="e">
        <f t="shared" si="84"/>
        <v>#VALUE!</v>
      </c>
    </row>
    <row r="5427" spans="11:11" x14ac:dyDescent="0.25">
      <c r="K5427" s="8" t="e">
        <f t="shared" si="84"/>
        <v>#VALUE!</v>
      </c>
    </row>
    <row r="5428" spans="11:11" x14ac:dyDescent="0.25">
      <c r="K5428" s="8" t="e">
        <f t="shared" si="84"/>
        <v>#VALUE!</v>
      </c>
    </row>
    <row r="5429" spans="11:11" x14ac:dyDescent="0.25">
      <c r="K5429" s="8" t="e">
        <f t="shared" si="84"/>
        <v>#VALUE!</v>
      </c>
    </row>
    <row r="5430" spans="11:11" x14ac:dyDescent="0.25">
      <c r="K5430" s="8" t="e">
        <f t="shared" si="84"/>
        <v>#VALUE!</v>
      </c>
    </row>
    <row r="5431" spans="11:11" x14ac:dyDescent="0.25">
      <c r="K5431" s="8" t="e">
        <f t="shared" si="84"/>
        <v>#VALUE!</v>
      </c>
    </row>
    <row r="5432" spans="11:11" x14ac:dyDescent="0.25">
      <c r="K5432" s="8" t="e">
        <f t="shared" si="84"/>
        <v>#VALUE!</v>
      </c>
    </row>
    <row r="5433" spans="11:11" x14ac:dyDescent="0.25">
      <c r="K5433" s="8" t="e">
        <f t="shared" si="84"/>
        <v>#VALUE!</v>
      </c>
    </row>
    <row r="5434" spans="11:11" x14ac:dyDescent="0.25">
      <c r="K5434" s="8" t="e">
        <f t="shared" si="84"/>
        <v>#VALUE!</v>
      </c>
    </row>
    <row r="5435" spans="11:11" x14ac:dyDescent="0.25">
      <c r="K5435" s="8" t="e">
        <f t="shared" si="84"/>
        <v>#VALUE!</v>
      </c>
    </row>
    <row r="5436" spans="11:11" x14ac:dyDescent="0.25">
      <c r="K5436" s="8" t="e">
        <f t="shared" si="84"/>
        <v>#VALUE!</v>
      </c>
    </row>
    <row r="5437" spans="11:11" x14ac:dyDescent="0.25">
      <c r="K5437" s="8" t="e">
        <f t="shared" si="84"/>
        <v>#VALUE!</v>
      </c>
    </row>
    <row r="5438" spans="11:11" x14ac:dyDescent="0.25">
      <c r="K5438" s="8" t="e">
        <f t="shared" si="84"/>
        <v>#VALUE!</v>
      </c>
    </row>
    <row r="5439" spans="11:11" x14ac:dyDescent="0.25">
      <c r="K5439" s="8" t="e">
        <f t="shared" si="84"/>
        <v>#VALUE!</v>
      </c>
    </row>
    <row r="5440" spans="11:11" x14ac:dyDescent="0.25">
      <c r="K5440" s="8" t="e">
        <f t="shared" si="84"/>
        <v>#VALUE!</v>
      </c>
    </row>
    <row r="5441" spans="11:11" x14ac:dyDescent="0.25">
      <c r="K5441" s="8" t="e">
        <f t="shared" si="84"/>
        <v>#VALUE!</v>
      </c>
    </row>
    <row r="5442" spans="11:11" x14ac:dyDescent="0.25">
      <c r="K5442" s="8" t="e">
        <f t="shared" si="84"/>
        <v>#VALUE!</v>
      </c>
    </row>
    <row r="5443" spans="11:11" x14ac:dyDescent="0.25">
      <c r="K5443" s="8" t="e">
        <f t="shared" ref="K5443:K5506" si="85">LEFT(A5443,FIND("/",A5443)-1)</f>
        <v>#VALUE!</v>
      </c>
    </row>
    <row r="5444" spans="11:11" x14ac:dyDescent="0.25">
      <c r="K5444" s="8" t="e">
        <f t="shared" si="85"/>
        <v>#VALUE!</v>
      </c>
    </row>
    <row r="5445" spans="11:11" x14ac:dyDescent="0.25">
      <c r="K5445" s="8" t="e">
        <f t="shared" si="85"/>
        <v>#VALUE!</v>
      </c>
    </row>
    <row r="5446" spans="11:11" x14ac:dyDescent="0.25">
      <c r="K5446" s="8" t="e">
        <f t="shared" si="85"/>
        <v>#VALUE!</v>
      </c>
    </row>
    <row r="5447" spans="11:11" x14ac:dyDescent="0.25">
      <c r="K5447" s="8" t="e">
        <f t="shared" si="85"/>
        <v>#VALUE!</v>
      </c>
    </row>
    <row r="5448" spans="11:11" x14ac:dyDescent="0.25">
      <c r="K5448" s="8" t="e">
        <f t="shared" si="85"/>
        <v>#VALUE!</v>
      </c>
    </row>
    <row r="5449" spans="11:11" x14ac:dyDescent="0.25">
      <c r="K5449" s="8" t="e">
        <f t="shared" si="85"/>
        <v>#VALUE!</v>
      </c>
    </row>
    <row r="5450" spans="11:11" x14ac:dyDescent="0.25">
      <c r="K5450" s="8" t="e">
        <f t="shared" si="85"/>
        <v>#VALUE!</v>
      </c>
    </row>
    <row r="5451" spans="11:11" x14ac:dyDescent="0.25">
      <c r="K5451" s="8" t="e">
        <f t="shared" si="85"/>
        <v>#VALUE!</v>
      </c>
    </row>
    <row r="5452" spans="11:11" x14ac:dyDescent="0.25">
      <c r="K5452" s="8" t="e">
        <f t="shared" si="85"/>
        <v>#VALUE!</v>
      </c>
    </row>
    <row r="5453" spans="11:11" x14ac:dyDescent="0.25">
      <c r="K5453" s="8" t="e">
        <f t="shared" si="85"/>
        <v>#VALUE!</v>
      </c>
    </row>
    <row r="5454" spans="11:11" x14ac:dyDescent="0.25">
      <c r="K5454" s="8" t="e">
        <f t="shared" si="85"/>
        <v>#VALUE!</v>
      </c>
    </row>
    <row r="5455" spans="11:11" x14ac:dyDescent="0.25">
      <c r="K5455" s="8" t="e">
        <f t="shared" si="85"/>
        <v>#VALUE!</v>
      </c>
    </row>
    <row r="5456" spans="11:11" x14ac:dyDescent="0.25">
      <c r="K5456" s="8" t="e">
        <f t="shared" si="85"/>
        <v>#VALUE!</v>
      </c>
    </row>
    <row r="5457" spans="11:11" x14ac:dyDescent="0.25">
      <c r="K5457" s="8" t="e">
        <f t="shared" si="85"/>
        <v>#VALUE!</v>
      </c>
    </row>
    <row r="5458" spans="11:11" x14ac:dyDescent="0.25">
      <c r="K5458" s="8" t="e">
        <f t="shared" si="85"/>
        <v>#VALUE!</v>
      </c>
    </row>
    <row r="5459" spans="11:11" x14ac:dyDescent="0.25">
      <c r="K5459" s="8" t="e">
        <f t="shared" si="85"/>
        <v>#VALUE!</v>
      </c>
    </row>
    <row r="5460" spans="11:11" x14ac:dyDescent="0.25">
      <c r="K5460" s="8" t="e">
        <f t="shared" si="85"/>
        <v>#VALUE!</v>
      </c>
    </row>
    <row r="5461" spans="11:11" x14ac:dyDescent="0.25">
      <c r="K5461" s="8" t="e">
        <f t="shared" si="85"/>
        <v>#VALUE!</v>
      </c>
    </row>
    <row r="5462" spans="11:11" x14ac:dyDescent="0.25">
      <c r="K5462" s="8" t="e">
        <f t="shared" si="85"/>
        <v>#VALUE!</v>
      </c>
    </row>
    <row r="5463" spans="11:11" x14ac:dyDescent="0.25">
      <c r="K5463" s="8" t="e">
        <f t="shared" si="85"/>
        <v>#VALUE!</v>
      </c>
    </row>
    <row r="5464" spans="11:11" x14ac:dyDescent="0.25">
      <c r="K5464" s="8" t="e">
        <f t="shared" si="85"/>
        <v>#VALUE!</v>
      </c>
    </row>
    <row r="5465" spans="11:11" x14ac:dyDescent="0.25">
      <c r="K5465" s="8" t="e">
        <f t="shared" si="85"/>
        <v>#VALUE!</v>
      </c>
    </row>
    <row r="5466" spans="11:11" x14ac:dyDescent="0.25">
      <c r="K5466" s="8" t="e">
        <f t="shared" si="85"/>
        <v>#VALUE!</v>
      </c>
    </row>
    <row r="5467" spans="11:11" x14ac:dyDescent="0.25">
      <c r="K5467" s="8" t="e">
        <f t="shared" si="85"/>
        <v>#VALUE!</v>
      </c>
    </row>
    <row r="5468" spans="11:11" x14ac:dyDescent="0.25">
      <c r="K5468" s="8" t="e">
        <f t="shared" si="85"/>
        <v>#VALUE!</v>
      </c>
    </row>
    <row r="5469" spans="11:11" x14ac:dyDescent="0.25">
      <c r="K5469" s="8" t="e">
        <f t="shared" si="85"/>
        <v>#VALUE!</v>
      </c>
    </row>
    <row r="5470" spans="11:11" x14ac:dyDescent="0.25">
      <c r="K5470" s="8" t="e">
        <f t="shared" si="85"/>
        <v>#VALUE!</v>
      </c>
    </row>
    <row r="5471" spans="11:11" x14ac:dyDescent="0.25">
      <c r="K5471" s="8" t="e">
        <f t="shared" si="85"/>
        <v>#VALUE!</v>
      </c>
    </row>
    <row r="5472" spans="11:11" x14ac:dyDescent="0.25">
      <c r="K5472" s="8" t="e">
        <f t="shared" si="85"/>
        <v>#VALUE!</v>
      </c>
    </row>
    <row r="5473" spans="11:11" x14ac:dyDescent="0.25">
      <c r="K5473" s="8" t="e">
        <f t="shared" si="85"/>
        <v>#VALUE!</v>
      </c>
    </row>
    <row r="5474" spans="11:11" x14ac:dyDescent="0.25">
      <c r="K5474" s="8" t="e">
        <f t="shared" si="85"/>
        <v>#VALUE!</v>
      </c>
    </row>
    <row r="5475" spans="11:11" x14ac:dyDescent="0.25">
      <c r="K5475" s="8" t="e">
        <f t="shared" si="85"/>
        <v>#VALUE!</v>
      </c>
    </row>
    <row r="5476" spans="11:11" x14ac:dyDescent="0.25">
      <c r="K5476" s="8" t="e">
        <f t="shared" si="85"/>
        <v>#VALUE!</v>
      </c>
    </row>
    <row r="5477" spans="11:11" x14ac:dyDescent="0.25">
      <c r="K5477" s="8" t="e">
        <f t="shared" si="85"/>
        <v>#VALUE!</v>
      </c>
    </row>
    <row r="5478" spans="11:11" x14ac:dyDescent="0.25">
      <c r="K5478" s="8" t="e">
        <f t="shared" si="85"/>
        <v>#VALUE!</v>
      </c>
    </row>
    <row r="5479" spans="11:11" x14ac:dyDescent="0.25">
      <c r="K5479" s="8" t="e">
        <f t="shared" si="85"/>
        <v>#VALUE!</v>
      </c>
    </row>
    <row r="5480" spans="11:11" x14ac:dyDescent="0.25">
      <c r="K5480" s="8" t="e">
        <f t="shared" si="85"/>
        <v>#VALUE!</v>
      </c>
    </row>
    <row r="5481" spans="11:11" x14ac:dyDescent="0.25">
      <c r="K5481" s="8" t="e">
        <f t="shared" si="85"/>
        <v>#VALUE!</v>
      </c>
    </row>
    <row r="5482" spans="11:11" x14ac:dyDescent="0.25">
      <c r="K5482" s="8" t="e">
        <f t="shared" si="85"/>
        <v>#VALUE!</v>
      </c>
    </row>
    <row r="5483" spans="11:11" x14ac:dyDescent="0.25">
      <c r="K5483" s="8" t="e">
        <f t="shared" si="85"/>
        <v>#VALUE!</v>
      </c>
    </row>
    <row r="5484" spans="11:11" x14ac:dyDescent="0.25">
      <c r="K5484" s="8" t="e">
        <f t="shared" si="85"/>
        <v>#VALUE!</v>
      </c>
    </row>
    <row r="5485" spans="11:11" x14ac:dyDescent="0.25">
      <c r="K5485" s="8" t="e">
        <f t="shared" si="85"/>
        <v>#VALUE!</v>
      </c>
    </row>
    <row r="5486" spans="11:11" x14ac:dyDescent="0.25">
      <c r="K5486" s="8" t="e">
        <f t="shared" si="85"/>
        <v>#VALUE!</v>
      </c>
    </row>
    <row r="5487" spans="11:11" x14ac:dyDescent="0.25">
      <c r="K5487" s="8" t="e">
        <f t="shared" si="85"/>
        <v>#VALUE!</v>
      </c>
    </row>
    <row r="5488" spans="11:11" x14ac:dyDescent="0.25">
      <c r="K5488" s="8" t="e">
        <f t="shared" si="85"/>
        <v>#VALUE!</v>
      </c>
    </row>
    <row r="5489" spans="11:11" x14ac:dyDescent="0.25">
      <c r="K5489" s="8" t="e">
        <f t="shared" si="85"/>
        <v>#VALUE!</v>
      </c>
    </row>
    <row r="5490" spans="11:11" x14ac:dyDescent="0.25">
      <c r="K5490" s="8" t="e">
        <f t="shared" si="85"/>
        <v>#VALUE!</v>
      </c>
    </row>
    <row r="5491" spans="11:11" x14ac:dyDescent="0.25">
      <c r="K5491" s="8" t="e">
        <f t="shared" si="85"/>
        <v>#VALUE!</v>
      </c>
    </row>
    <row r="5492" spans="11:11" x14ac:dyDescent="0.25">
      <c r="K5492" s="8" t="e">
        <f t="shared" si="85"/>
        <v>#VALUE!</v>
      </c>
    </row>
    <row r="5493" spans="11:11" x14ac:dyDescent="0.25">
      <c r="K5493" s="8" t="e">
        <f t="shared" si="85"/>
        <v>#VALUE!</v>
      </c>
    </row>
    <row r="5494" spans="11:11" x14ac:dyDescent="0.25">
      <c r="K5494" s="8" t="e">
        <f t="shared" si="85"/>
        <v>#VALUE!</v>
      </c>
    </row>
    <row r="5495" spans="11:11" x14ac:dyDescent="0.25">
      <c r="K5495" s="8" t="e">
        <f t="shared" si="85"/>
        <v>#VALUE!</v>
      </c>
    </row>
    <row r="5496" spans="11:11" x14ac:dyDescent="0.25">
      <c r="K5496" s="8" t="e">
        <f t="shared" si="85"/>
        <v>#VALUE!</v>
      </c>
    </row>
    <row r="5497" spans="11:11" x14ac:dyDescent="0.25">
      <c r="K5497" s="8" t="e">
        <f t="shared" si="85"/>
        <v>#VALUE!</v>
      </c>
    </row>
    <row r="5498" spans="11:11" x14ac:dyDescent="0.25">
      <c r="K5498" s="8" t="e">
        <f t="shared" si="85"/>
        <v>#VALUE!</v>
      </c>
    </row>
    <row r="5499" spans="11:11" x14ac:dyDescent="0.25">
      <c r="K5499" s="8" t="e">
        <f t="shared" si="85"/>
        <v>#VALUE!</v>
      </c>
    </row>
    <row r="5500" spans="11:11" x14ac:dyDescent="0.25">
      <c r="K5500" s="8" t="e">
        <f t="shared" si="85"/>
        <v>#VALUE!</v>
      </c>
    </row>
    <row r="5501" spans="11:11" x14ac:dyDescent="0.25">
      <c r="K5501" s="8" t="e">
        <f t="shared" si="85"/>
        <v>#VALUE!</v>
      </c>
    </row>
    <row r="5502" spans="11:11" x14ac:dyDescent="0.25">
      <c r="K5502" s="8" t="e">
        <f t="shared" si="85"/>
        <v>#VALUE!</v>
      </c>
    </row>
    <row r="5503" spans="11:11" x14ac:dyDescent="0.25">
      <c r="K5503" s="8" t="e">
        <f t="shared" si="85"/>
        <v>#VALUE!</v>
      </c>
    </row>
    <row r="5504" spans="11:11" x14ac:dyDescent="0.25">
      <c r="K5504" s="8" t="e">
        <f t="shared" si="85"/>
        <v>#VALUE!</v>
      </c>
    </row>
    <row r="5505" spans="11:11" x14ac:dyDescent="0.25">
      <c r="K5505" s="8" t="e">
        <f t="shared" si="85"/>
        <v>#VALUE!</v>
      </c>
    </row>
    <row r="5506" spans="11:11" x14ac:dyDescent="0.25">
      <c r="K5506" s="8" t="e">
        <f t="shared" si="85"/>
        <v>#VALUE!</v>
      </c>
    </row>
    <row r="5507" spans="11:11" x14ac:dyDescent="0.25">
      <c r="K5507" s="8" t="e">
        <f t="shared" ref="K5507:K5570" si="86">LEFT(A5507,FIND("/",A5507)-1)</f>
        <v>#VALUE!</v>
      </c>
    </row>
    <row r="5508" spans="11:11" x14ac:dyDescent="0.25">
      <c r="K5508" s="8" t="e">
        <f t="shared" si="86"/>
        <v>#VALUE!</v>
      </c>
    </row>
    <row r="5509" spans="11:11" x14ac:dyDescent="0.25">
      <c r="K5509" s="8" t="e">
        <f t="shared" si="86"/>
        <v>#VALUE!</v>
      </c>
    </row>
    <row r="5510" spans="11:11" x14ac:dyDescent="0.25">
      <c r="K5510" s="8" t="e">
        <f t="shared" si="86"/>
        <v>#VALUE!</v>
      </c>
    </row>
    <row r="5511" spans="11:11" x14ac:dyDescent="0.25">
      <c r="K5511" s="8" t="e">
        <f t="shared" si="86"/>
        <v>#VALUE!</v>
      </c>
    </row>
    <row r="5512" spans="11:11" x14ac:dyDescent="0.25">
      <c r="K5512" s="8" t="e">
        <f t="shared" si="86"/>
        <v>#VALUE!</v>
      </c>
    </row>
    <row r="5513" spans="11:11" x14ac:dyDescent="0.25">
      <c r="K5513" s="8" t="e">
        <f t="shared" si="86"/>
        <v>#VALUE!</v>
      </c>
    </row>
    <row r="5514" spans="11:11" x14ac:dyDescent="0.25">
      <c r="K5514" s="8" t="e">
        <f t="shared" si="86"/>
        <v>#VALUE!</v>
      </c>
    </row>
    <row r="5515" spans="11:11" x14ac:dyDescent="0.25">
      <c r="K5515" s="8" t="e">
        <f t="shared" si="86"/>
        <v>#VALUE!</v>
      </c>
    </row>
    <row r="5516" spans="11:11" x14ac:dyDescent="0.25">
      <c r="K5516" s="8" t="e">
        <f t="shared" si="86"/>
        <v>#VALUE!</v>
      </c>
    </row>
    <row r="5517" spans="11:11" x14ac:dyDescent="0.25">
      <c r="K5517" s="8" t="e">
        <f t="shared" si="86"/>
        <v>#VALUE!</v>
      </c>
    </row>
    <row r="5518" spans="11:11" x14ac:dyDescent="0.25">
      <c r="K5518" s="8" t="e">
        <f t="shared" si="86"/>
        <v>#VALUE!</v>
      </c>
    </row>
    <row r="5519" spans="11:11" x14ac:dyDescent="0.25">
      <c r="K5519" s="8" t="e">
        <f t="shared" si="86"/>
        <v>#VALUE!</v>
      </c>
    </row>
    <row r="5520" spans="11:11" x14ac:dyDescent="0.25">
      <c r="K5520" s="8" t="e">
        <f t="shared" si="86"/>
        <v>#VALUE!</v>
      </c>
    </row>
    <row r="5521" spans="11:11" x14ac:dyDescent="0.25">
      <c r="K5521" s="8" t="e">
        <f t="shared" si="86"/>
        <v>#VALUE!</v>
      </c>
    </row>
    <row r="5522" spans="11:11" x14ac:dyDescent="0.25">
      <c r="K5522" s="8" t="e">
        <f t="shared" si="86"/>
        <v>#VALUE!</v>
      </c>
    </row>
    <row r="5523" spans="11:11" x14ac:dyDescent="0.25">
      <c r="K5523" s="8" t="e">
        <f t="shared" si="86"/>
        <v>#VALUE!</v>
      </c>
    </row>
    <row r="5524" spans="11:11" x14ac:dyDescent="0.25">
      <c r="K5524" s="8" t="e">
        <f t="shared" si="86"/>
        <v>#VALUE!</v>
      </c>
    </row>
    <row r="5525" spans="11:11" x14ac:dyDescent="0.25">
      <c r="K5525" s="8" t="e">
        <f t="shared" si="86"/>
        <v>#VALUE!</v>
      </c>
    </row>
    <row r="5526" spans="11:11" x14ac:dyDescent="0.25">
      <c r="K5526" s="8" t="e">
        <f t="shared" si="86"/>
        <v>#VALUE!</v>
      </c>
    </row>
    <row r="5527" spans="11:11" x14ac:dyDescent="0.25">
      <c r="K5527" s="8" t="e">
        <f t="shared" si="86"/>
        <v>#VALUE!</v>
      </c>
    </row>
    <row r="5528" spans="11:11" x14ac:dyDescent="0.25">
      <c r="K5528" s="8" t="e">
        <f t="shared" si="86"/>
        <v>#VALUE!</v>
      </c>
    </row>
    <row r="5529" spans="11:11" x14ac:dyDescent="0.25">
      <c r="K5529" s="8" t="e">
        <f t="shared" si="86"/>
        <v>#VALUE!</v>
      </c>
    </row>
    <row r="5530" spans="11:11" x14ac:dyDescent="0.25">
      <c r="K5530" s="8" t="e">
        <f t="shared" si="86"/>
        <v>#VALUE!</v>
      </c>
    </row>
    <row r="5531" spans="11:11" x14ac:dyDescent="0.25">
      <c r="K5531" s="8" t="e">
        <f t="shared" si="86"/>
        <v>#VALUE!</v>
      </c>
    </row>
    <row r="5532" spans="11:11" x14ac:dyDescent="0.25">
      <c r="K5532" s="8" t="e">
        <f t="shared" si="86"/>
        <v>#VALUE!</v>
      </c>
    </row>
    <row r="5533" spans="11:11" x14ac:dyDescent="0.25">
      <c r="K5533" s="8" t="e">
        <f t="shared" si="86"/>
        <v>#VALUE!</v>
      </c>
    </row>
    <row r="5534" spans="11:11" x14ac:dyDescent="0.25">
      <c r="K5534" s="8" t="e">
        <f t="shared" si="86"/>
        <v>#VALUE!</v>
      </c>
    </row>
    <row r="5535" spans="11:11" x14ac:dyDescent="0.25">
      <c r="K5535" s="8" t="e">
        <f t="shared" si="86"/>
        <v>#VALUE!</v>
      </c>
    </row>
    <row r="5536" spans="11:11" x14ac:dyDescent="0.25">
      <c r="K5536" s="8" t="e">
        <f t="shared" si="86"/>
        <v>#VALUE!</v>
      </c>
    </row>
    <row r="5537" spans="11:11" x14ac:dyDescent="0.25">
      <c r="K5537" s="8" t="e">
        <f t="shared" si="86"/>
        <v>#VALUE!</v>
      </c>
    </row>
    <row r="5538" spans="11:11" x14ac:dyDescent="0.25">
      <c r="K5538" s="8" t="e">
        <f t="shared" si="86"/>
        <v>#VALUE!</v>
      </c>
    </row>
    <row r="5539" spans="11:11" x14ac:dyDescent="0.25">
      <c r="K5539" s="8" t="e">
        <f t="shared" si="86"/>
        <v>#VALUE!</v>
      </c>
    </row>
    <row r="5540" spans="11:11" x14ac:dyDescent="0.25">
      <c r="K5540" s="8" t="e">
        <f t="shared" si="86"/>
        <v>#VALUE!</v>
      </c>
    </row>
    <row r="5541" spans="11:11" x14ac:dyDescent="0.25">
      <c r="K5541" s="8" t="e">
        <f t="shared" si="86"/>
        <v>#VALUE!</v>
      </c>
    </row>
    <row r="5542" spans="11:11" x14ac:dyDescent="0.25">
      <c r="K5542" s="8" t="e">
        <f t="shared" si="86"/>
        <v>#VALUE!</v>
      </c>
    </row>
    <row r="5543" spans="11:11" x14ac:dyDescent="0.25">
      <c r="K5543" s="8" t="e">
        <f t="shared" si="86"/>
        <v>#VALUE!</v>
      </c>
    </row>
    <row r="5544" spans="11:11" x14ac:dyDescent="0.25">
      <c r="K5544" s="8" t="e">
        <f t="shared" si="86"/>
        <v>#VALUE!</v>
      </c>
    </row>
    <row r="5545" spans="11:11" x14ac:dyDescent="0.25">
      <c r="K5545" s="8" t="e">
        <f t="shared" si="86"/>
        <v>#VALUE!</v>
      </c>
    </row>
    <row r="5546" spans="11:11" x14ac:dyDescent="0.25">
      <c r="K5546" s="8" t="e">
        <f t="shared" si="86"/>
        <v>#VALUE!</v>
      </c>
    </row>
    <row r="5547" spans="11:11" x14ac:dyDescent="0.25">
      <c r="K5547" s="8" t="e">
        <f t="shared" si="86"/>
        <v>#VALUE!</v>
      </c>
    </row>
    <row r="5548" spans="11:11" x14ac:dyDescent="0.25">
      <c r="K5548" s="8" t="e">
        <f t="shared" si="86"/>
        <v>#VALUE!</v>
      </c>
    </row>
    <row r="5549" spans="11:11" x14ac:dyDescent="0.25">
      <c r="K5549" s="8" t="e">
        <f t="shared" si="86"/>
        <v>#VALUE!</v>
      </c>
    </row>
    <row r="5550" spans="11:11" x14ac:dyDescent="0.25">
      <c r="K5550" s="8" t="e">
        <f t="shared" si="86"/>
        <v>#VALUE!</v>
      </c>
    </row>
    <row r="5551" spans="11:11" x14ac:dyDescent="0.25">
      <c r="K5551" s="8" t="e">
        <f t="shared" si="86"/>
        <v>#VALUE!</v>
      </c>
    </row>
    <row r="5552" spans="11:11" x14ac:dyDescent="0.25">
      <c r="K5552" s="8" t="e">
        <f t="shared" si="86"/>
        <v>#VALUE!</v>
      </c>
    </row>
    <row r="5553" spans="11:11" x14ac:dyDescent="0.25">
      <c r="K5553" s="8" t="e">
        <f t="shared" si="86"/>
        <v>#VALUE!</v>
      </c>
    </row>
    <row r="5554" spans="11:11" x14ac:dyDescent="0.25">
      <c r="K5554" s="8" t="e">
        <f t="shared" si="86"/>
        <v>#VALUE!</v>
      </c>
    </row>
    <row r="5555" spans="11:11" x14ac:dyDescent="0.25">
      <c r="K5555" s="8" t="e">
        <f t="shared" si="86"/>
        <v>#VALUE!</v>
      </c>
    </row>
    <row r="5556" spans="11:11" x14ac:dyDescent="0.25">
      <c r="K5556" s="8" t="e">
        <f t="shared" si="86"/>
        <v>#VALUE!</v>
      </c>
    </row>
    <row r="5557" spans="11:11" x14ac:dyDescent="0.25">
      <c r="K5557" s="8" t="e">
        <f t="shared" si="86"/>
        <v>#VALUE!</v>
      </c>
    </row>
    <row r="5558" spans="11:11" x14ac:dyDescent="0.25">
      <c r="K5558" s="8" t="e">
        <f t="shared" si="86"/>
        <v>#VALUE!</v>
      </c>
    </row>
    <row r="5559" spans="11:11" x14ac:dyDescent="0.25">
      <c r="K5559" s="8" t="e">
        <f t="shared" si="86"/>
        <v>#VALUE!</v>
      </c>
    </row>
    <row r="5560" spans="11:11" x14ac:dyDescent="0.25">
      <c r="K5560" s="8" t="e">
        <f t="shared" si="86"/>
        <v>#VALUE!</v>
      </c>
    </row>
    <row r="5561" spans="11:11" x14ac:dyDescent="0.25">
      <c r="K5561" s="8" t="e">
        <f t="shared" si="86"/>
        <v>#VALUE!</v>
      </c>
    </row>
    <row r="5562" spans="11:11" x14ac:dyDescent="0.25">
      <c r="K5562" s="8" t="e">
        <f t="shared" si="86"/>
        <v>#VALUE!</v>
      </c>
    </row>
    <row r="5563" spans="11:11" x14ac:dyDescent="0.25">
      <c r="K5563" s="8" t="e">
        <f t="shared" si="86"/>
        <v>#VALUE!</v>
      </c>
    </row>
    <row r="5564" spans="11:11" x14ac:dyDescent="0.25">
      <c r="K5564" s="8" t="e">
        <f t="shared" si="86"/>
        <v>#VALUE!</v>
      </c>
    </row>
    <row r="5565" spans="11:11" x14ac:dyDescent="0.25">
      <c r="K5565" s="8" t="e">
        <f t="shared" si="86"/>
        <v>#VALUE!</v>
      </c>
    </row>
    <row r="5566" spans="11:11" x14ac:dyDescent="0.25">
      <c r="K5566" s="8" t="e">
        <f t="shared" si="86"/>
        <v>#VALUE!</v>
      </c>
    </row>
    <row r="5567" spans="11:11" x14ac:dyDescent="0.25">
      <c r="K5567" s="8" t="e">
        <f t="shared" si="86"/>
        <v>#VALUE!</v>
      </c>
    </row>
    <row r="5568" spans="11:11" x14ac:dyDescent="0.25">
      <c r="K5568" s="8" t="e">
        <f t="shared" si="86"/>
        <v>#VALUE!</v>
      </c>
    </row>
    <row r="5569" spans="11:11" x14ac:dyDescent="0.25">
      <c r="K5569" s="8" t="e">
        <f t="shared" si="86"/>
        <v>#VALUE!</v>
      </c>
    </row>
    <row r="5570" spans="11:11" x14ac:dyDescent="0.25">
      <c r="K5570" s="8" t="e">
        <f t="shared" si="86"/>
        <v>#VALUE!</v>
      </c>
    </row>
    <row r="5571" spans="11:11" x14ac:dyDescent="0.25">
      <c r="K5571" s="8" t="e">
        <f t="shared" ref="K5571:K5634" si="87">LEFT(A5571,FIND("/",A5571)-1)</f>
        <v>#VALUE!</v>
      </c>
    </row>
    <row r="5572" spans="11:11" x14ac:dyDescent="0.25">
      <c r="K5572" s="8" t="e">
        <f t="shared" si="87"/>
        <v>#VALUE!</v>
      </c>
    </row>
    <row r="5573" spans="11:11" x14ac:dyDescent="0.25">
      <c r="K5573" s="8" t="e">
        <f t="shared" si="87"/>
        <v>#VALUE!</v>
      </c>
    </row>
    <row r="5574" spans="11:11" x14ac:dyDescent="0.25">
      <c r="K5574" s="8" t="e">
        <f t="shared" si="87"/>
        <v>#VALUE!</v>
      </c>
    </row>
    <row r="5575" spans="11:11" x14ac:dyDescent="0.25">
      <c r="K5575" s="8" t="e">
        <f t="shared" si="87"/>
        <v>#VALUE!</v>
      </c>
    </row>
    <row r="5576" spans="11:11" x14ac:dyDescent="0.25">
      <c r="K5576" s="8" t="e">
        <f t="shared" si="87"/>
        <v>#VALUE!</v>
      </c>
    </row>
    <row r="5577" spans="11:11" x14ac:dyDescent="0.25">
      <c r="K5577" s="8" t="e">
        <f t="shared" si="87"/>
        <v>#VALUE!</v>
      </c>
    </row>
    <row r="5578" spans="11:11" x14ac:dyDescent="0.25">
      <c r="K5578" s="8" t="e">
        <f t="shared" si="87"/>
        <v>#VALUE!</v>
      </c>
    </row>
    <row r="5579" spans="11:11" x14ac:dyDescent="0.25">
      <c r="K5579" s="8" t="e">
        <f t="shared" si="87"/>
        <v>#VALUE!</v>
      </c>
    </row>
    <row r="5580" spans="11:11" x14ac:dyDescent="0.25">
      <c r="K5580" s="8" t="e">
        <f t="shared" si="87"/>
        <v>#VALUE!</v>
      </c>
    </row>
    <row r="5581" spans="11:11" x14ac:dyDescent="0.25">
      <c r="K5581" s="8" t="e">
        <f t="shared" si="87"/>
        <v>#VALUE!</v>
      </c>
    </row>
    <row r="5582" spans="11:11" x14ac:dyDescent="0.25">
      <c r="K5582" s="8" t="e">
        <f t="shared" si="87"/>
        <v>#VALUE!</v>
      </c>
    </row>
    <row r="5583" spans="11:11" x14ac:dyDescent="0.25">
      <c r="K5583" s="8" t="e">
        <f t="shared" si="87"/>
        <v>#VALUE!</v>
      </c>
    </row>
    <row r="5584" spans="11:11" x14ac:dyDescent="0.25">
      <c r="K5584" s="8" t="e">
        <f t="shared" si="87"/>
        <v>#VALUE!</v>
      </c>
    </row>
    <row r="5585" spans="11:11" x14ac:dyDescent="0.25">
      <c r="K5585" s="8" t="e">
        <f t="shared" si="87"/>
        <v>#VALUE!</v>
      </c>
    </row>
    <row r="5586" spans="11:11" x14ac:dyDescent="0.25">
      <c r="K5586" s="8" t="e">
        <f t="shared" si="87"/>
        <v>#VALUE!</v>
      </c>
    </row>
    <row r="5587" spans="11:11" x14ac:dyDescent="0.25">
      <c r="K5587" s="8" t="e">
        <f t="shared" si="87"/>
        <v>#VALUE!</v>
      </c>
    </row>
    <row r="5588" spans="11:11" x14ac:dyDescent="0.25">
      <c r="K5588" s="8" t="e">
        <f t="shared" si="87"/>
        <v>#VALUE!</v>
      </c>
    </row>
    <row r="5589" spans="11:11" x14ac:dyDescent="0.25">
      <c r="K5589" s="8" t="e">
        <f t="shared" si="87"/>
        <v>#VALUE!</v>
      </c>
    </row>
    <row r="5590" spans="11:11" x14ac:dyDescent="0.25">
      <c r="K5590" s="8" t="e">
        <f t="shared" si="87"/>
        <v>#VALUE!</v>
      </c>
    </row>
    <row r="5591" spans="11:11" x14ac:dyDescent="0.25">
      <c r="K5591" s="8" t="e">
        <f t="shared" si="87"/>
        <v>#VALUE!</v>
      </c>
    </row>
    <row r="5592" spans="11:11" x14ac:dyDescent="0.25">
      <c r="K5592" s="8" t="e">
        <f t="shared" si="87"/>
        <v>#VALUE!</v>
      </c>
    </row>
    <row r="5593" spans="11:11" x14ac:dyDescent="0.25">
      <c r="K5593" s="8" t="e">
        <f t="shared" si="87"/>
        <v>#VALUE!</v>
      </c>
    </row>
    <row r="5594" spans="11:11" x14ac:dyDescent="0.25">
      <c r="K5594" s="8" t="e">
        <f t="shared" si="87"/>
        <v>#VALUE!</v>
      </c>
    </row>
    <row r="5595" spans="11:11" x14ac:dyDescent="0.25">
      <c r="K5595" s="8" t="e">
        <f t="shared" si="87"/>
        <v>#VALUE!</v>
      </c>
    </row>
    <row r="5596" spans="11:11" x14ac:dyDescent="0.25">
      <c r="K5596" s="8" t="e">
        <f t="shared" si="87"/>
        <v>#VALUE!</v>
      </c>
    </row>
    <row r="5597" spans="11:11" x14ac:dyDescent="0.25">
      <c r="K5597" s="8" t="e">
        <f t="shared" si="87"/>
        <v>#VALUE!</v>
      </c>
    </row>
    <row r="5598" spans="11:11" x14ac:dyDescent="0.25">
      <c r="K5598" s="8" t="e">
        <f t="shared" si="87"/>
        <v>#VALUE!</v>
      </c>
    </row>
    <row r="5599" spans="11:11" x14ac:dyDescent="0.25">
      <c r="K5599" s="8" t="e">
        <f t="shared" si="87"/>
        <v>#VALUE!</v>
      </c>
    </row>
    <row r="5600" spans="11:11" x14ac:dyDescent="0.25">
      <c r="K5600" s="8" t="e">
        <f t="shared" si="87"/>
        <v>#VALUE!</v>
      </c>
    </row>
    <row r="5601" spans="11:11" x14ac:dyDescent="0.25">
      <c r="K5601" s="8" t="e">
        <f t="shared" si="87"/>
        <v>#VALUE!</v>
      </c>
    </row>
    <row r="5602" spans="11:11" x14ac:dyDescent="0.25">
      <c r="K5602" s="8" t="e">
        <f t="shared" si="87"/>
        <v>#VALUE!</v>
      </c>
    </row>
    <row r="5603" spans="11:11" x14ac:dyDescent="0.25">
      <c r="K5603" s="8" t="e">
        <f t="shared" si="87"/>
        <v>#VALUE!</v>
      </c>
    </row>
    <row r="5604" spans="11:11" x14ac:dyDescent="0.25">
      <c r="K5604" s="8" t="e">
        <f t="shared" si="87"/>
        <v>#VALUE!</v>
      </c>
    </row>
    <row r="5605" spans="11:11" x14ac:dyDescent="0.25">
      <c r="K5605" s="8" t="e">
        <f t="shared" si="87"/>
        <v>#VALUE!</v>
      </c>
    </row>
    <row r="5606" spans="11:11" x14ac:dyDescent="0.25">
      <c r="K5606" s="8" t="e">
        <f t="shared" si="87"/>
        <v>#VALUE!</v>
      </c>
    </row>
    <row r="5607" spans="11:11" x14ac:dyDescent="0.25">
      <c r="K5607" s="8" t="e">
        <f t="shared" si="87"/>
        <v>#VALUE!</v>
      </c>
    </row>
    <row r="5608" spans="11:11" x14ac:dyDescent="0.25">
      <c r="K5608" s="8" t="e">
        <f t="shared" si="87"/>
        <v>#VALUE!</v>
      </c>
    </row>
    <row r="5609" spans="11:11" x14ac:dyDescent="0.25">
      <c r="K5609" s="8" t="e">
        <f t="shared" si="87"/>
        <v>#VALUE!</v>
      </c>
    </row>
    <row r="5610" spans="11:11" x14ac:dyDescent="0.25">
      <c r="K5610" s="8" t="e">
        <f t="shared" si="87"/>
        <v>#VALUE!</v>
      </c>
    </row>
    <row r="5611" spans="11:11" x14ac:dyDescent="0.25">
      <c r="K5611" s="8" t="e">
        <f t="shared" si="87"/>
        <v>#VALUE!</v>
      </c>
    </row>
    <row r="5612" spans="11:11" x14ac:dyDescent="0.25">
      <c r="K5612" s="8" t="e">
        <f t="shared" si="87"/>
        <v>#VALUE!</v>
      </c>
    </row>
    <row r="5613" spans="11:11" x14ac:dyDescent="0.25">
      <c r="K5613" s="8" t="e">
        <f t="shared" si="87"/>
        <v>#VALUE!</v>
      </c>
    </row>
    <row r="5614" spans="11:11" x14ac:dyDescent="0.25">
      <c r="K5614" s="8" t="e">
        <f t="shared" si="87"/>
        <v>#VALUE!</v>
      </c>
    </row>
    <row r="5615" spans="11:11" x14ac:dyDescent="0.25">
      <c r="K5615" s="8" t="e">
        <f t="shared" si="87"/>
        <v>#VALUE!</v>
      </c>
    </row>
    <row r="5616" spans="11:11" x14ac:dyDescent="0.25">
      <c r="K5616" s="8" t="e">
        <f t="shared" si="87"/>
        <v>#VALUE!</v>
      </c>
    </row>
    <row r="5617" spans="11:11" x14ac:dyDescent="0.25">
      <c r="K5617" s="8" t="e">
        <f t="shared" si="87"/>
        <v>#VALUE!</v>
      </c>
    </row>
    <row r="5618" spans="11:11" x14ac:dyDescent="0.25">
      <c r="K5618" s="8" t="e">
        <f t="shared" si="87"/>
        <v>#VALUE!</v>
      </c>
    </row>
    <row r="5619" spans="11:11" x14ac:dyDescent="0.25">
      <c r="K5619" s="8" t="e">
        <f t="shared" si="87"/>
        <v>#VALUE!</v>
      </c>
    </row>
    <row r="5620" spans="11:11" x14ac:dyDescent="0.25">
      <c r="K5620" s="8" t="e">
        <f t="shared" si="87"/>
        <v>#VALUE!</v>
      </c>
    </row>
    <row r="5621" spans="11:11" x14ac:dyDescent="0.25">
      <c r="K5621" s="8" t="e">
        <f t="shared" si="87"/>
        <v>#VALUE!</v>
      </c>
    </row>
    <row r="5622" spans="11:11" x14ac:dyDescent="0.25">
      <c r="K5622" s="8" t="e">
        <f t="shared" si="87"/>
        <v>#VALUE!</v>
      </c>
    </row>
    <row r="5623" spans="11:11" x14ac:dyDescent="0.25">
      <c r="K5623" s="8" t="e">
        <f t="shared" si="87"/>
        <v>#VALUE!</v>
      </c>
    </row>
    <row r="5624" spans="11:11" x14ac:dyDescent="0.25">
      <c r="K5624" s="8" t="e">
        <f t="shared" si="87"/>
        <v>#VALUE!</v>
      </c>
    </row>
    <row r="5625" spans="11:11" x14ac:dyDescent="0.25">
      <c r="K5625" s="8" t="e">
        <f t="shared" si="87"/>
        <v>#VALUE!</v>
      </c>
    </row>
    <row r="5626" spans="11:11" x14ac:dyDescent="0.25">
      <c r="K5626" s="8" t="e">
        <f t="shared" si="87"/>
        <v>#VALUE!</v>
      </c>
    </row>
    <row r="5627" spans="11:11" x14ac:dyDescent="0.25">
      <c r="K5627" s="8" t="e">
        <f t="shared" si="87"/>
        <v>#VALUE!</v>
      </c>
    </row>
    <row r="5628" spans="11:11" x14ac:dyDescent="0.25">
      <c r="K5628" s="8" t="e">
        <f t="shared" si="87"/>
        <v>#VALUE!</v>
      </c>
    </row>
    <row r="5629" spans="11:11" x14ac:dyDescent="0.25">
      <c r="K5629" s="8" t="e">
        <f t="shared" si="87"/>
        <v>#VALUE!</v>
      </c>
    </row>
    <row r="5630" spans="11:11" x14ac:dyDescent="0.25">
      <c r="K5630" s="8" t="e">
        <f t="shared" si="87"/>
        <v>#VALUE!</v>
      </c>
    </row>
    <row r="5631" spans="11:11" x14ac:dyDescent="0.25">
      <c r="K5631" s="8" t="e">
        <f t="shared" si="87"/>
        <v>#VALUE!</v>
      </c>
    </row>
    <row r="5632" spans="11:11" x14ac:dyDescent="0.25">
      <c r="K5632" s="8" t="e">
        <f t="shared" si="87"/>
        <v>#VALUE!</v>
      </c>
    </row>
    <row r="5633" spans="11:11" x14ac:dyDescent="0.25">
      <c r="K5633" s="8" t="e">
        <f t="shared" si="87"/>
        <v>#VALUE!</v>
      </c>
    </row>
    <row r="5634" spans="11:11" x14ac:dyDescent="0.25">
      <c r="K5634" s="8" t="e">
        <f t="shared" si="87"/>
        <v>#VALUE!</v>
      </c>
    </row>
    <row r="5635" spans="11:11" x14ac:dyDescent="0.25">
      <c r="K5635" s="8" t="e">
        <f t="shared" ref="K5635:K5698" si="88">LEFT(A5635,FIND("/",A5635)-1)</f>
        <v>#VALUE!</v>
      </c>
    </row>
    <row r="5636" spans="11:11" x14ac:dyDescent="0.25">
      <c r="K5636" s="8" t="e">
        <f t="shared" si="88"/>
        <v>#VALUE!</v>
      </c>
    </row>
    <row r="5637" spans="11:11" x14ac:dyDescent="0.25">
      <c r="K5637" s="8" t="e">
        <f t="shared" si="88"/>
        <v>#VALUE!</v>
      </c>
    </row>
    <row r="5638" spans="11:11" x14ac:dyDescent="0.25">
      <c r="K5638" s="8" t="e">
        <f t="shared" si="88"/>
        <v>#VALUE!</v>
      </c>
    </row>
    <row r="5639" spans="11:11" x14ac:dyDescent="0.25">
      <c r="K5639" s="8" t="e">
        <f t="shared" si="88"/>
        <v>#VALUE!</v>
      </c>
    </row>
    <row r="5640" spans="11:11" x14ac:dyDescent="0.25">
      <c r="K5640" s="8" t="e">
        <f t="shared" si="88"/>
        <v>#VALUE!</v>
      </c>
    </row>
    <row r="5641" spans="11:11" x14ac:dyDescent="0.25">
      <c r="K5641" s="8" t="e">
        <f t="shared" si="88"/>
        <v>#VALUE!</v>
      </c>
    </row>
    <row r="5642" spans="11:11" x14ac:dyDescent="0.25">
      <c r="K5642" s="8" t="e">
        <f t="shared" si="88"/>
        <v>#VALUE!</v>
      </c>
    </row>
    <row r="5643" spans="11:11" x14ac:dyDescent="0.25">
      <c r="K5643" s="8" t="e">
        <f t="shared" si="88"/>
        <v>#VALUE!</v>
      </c>
    </row>
    <row r="5644" spans="11:11" x14ac:dyDescent="0.25">
      <c r="K5644" s="8" t="e">
        <f t="shared" si="88"/>
        <v>#VALUE!</v>
      </c>
    </row>
    <row r="5645" spans="11:11" x14ac:dyDescent="0.25">
      <c r="K5645" s="8" t="e">
        <f t="shared" si="88"/>
        <v>#VALUE!</v>
      </c>
    </row>
    <row r="5646" spans="11:11" x14ac:dyDescent="0.25">
      <c r="K5646" s="8" t="e">
        <f t="shared" si="88"/>
        <v>#VALUE!</v>
      </c>
    </row>
    <row r="5647" spans="11:11" x14ac:dyDescent="0.25">
      <c r="K5647" s="8" t="e">
        <f t="shared" si="88"/>
        <v>#VALUE!</v>
      </c>
    </row>
    <row r="5648" spans="11:11" x14ac:dyDescent="0.25">
      <c r="K5648" s="8" t="e">
        <f t="shared" si="88"/>
        <v>#VALUE!</v>
      </c>
    </row>
    <row r="5649" spans="11:11" x14ac:dyDescent="0.25">
      <c r="K5649" s="8" t="e">
        <f t="shared" si="88"/>
        <v>#VALUE!</v>
      </c>
    </row>
    <row r="5650" spans="11:11" x14ac:dyDescent="0.25">
      <c r="K5650" s="8" t="e">
        <f t="shared" si="88"/>
        <v>#VALUE!</v>
      </c>
    </row>
    <row r="5651" spans="11:11" x14ac:dyDescent="0.25">
      <c r="K5651" s="8" t="e">
        <f t="shared" si="88"/>
        <v>#VALUE!</v>
      </c>
    </row>
    <row r="5652" spans="11:11" x14ac:dyDescent="0.25">
      <c r="K5652" s="8" t="e">
        <f t="shared" si="88"/>
        <v>#VALUE!</v>
      </c>
    </row>
    <row r="5653" spans="11:11" x14ac:dyDescent="0.25">
      <c r="K5653" s="8" t="e">
        <f t="shared" si="88"/>
        <v>#VALUE!</v>
      </c>
    </row>
    <row r="5654" spans="11:11" x14ac:dyDescent="0.25">
      <c r="K5654" s="8" t="e">
        <f t="shared" si="88"/>
        <v>#VALUE!</v>
      </c>
    </row>
    <row r="5655" spans="11:11" x14ac:dyDescent="0.25">
      <c r="K5655" s="8" t="e">
        <f t="shared" si="88"/>
        <v>#VALUE!</v>
      </c>
    </row>
    <row r="5656" spans="11:11" x14ac:dyDescent="0.25">
      <c r="K5656" s="8" t="e">
        <f t="shared" si="88"/>
        <v>#VALUE!</v>
      </c>
    </row>
    <row r="5657" spans="11:11" x14ac:dyDescent="0.25">
      <c r="K5657" s="8" t="e">
        <f t="shared" si="88"/>
        <v>#VALUE!</v>
      </c>
    </row>
    <row r="5658" spans="11:11" x14ac:dyDescent="0.25">
      <c r="K5658" s="8" t="e">
        <f t="shared" si="88"/>
        <v>#VALUE!</v>
      </c>
    </row>
    <row r="5659" spans="11:11" x14ac:dyDescent="0.25">
      <c r="K5659" s="8" t="e">
        <f t="shared" si="88"/>
        <v>#VALUE!</v>
      </c>
    </row>
    <row r="5660" spans="11:11" x14ac:dyDescent="0.25">
      <c r="K5660" s="8" t="e">
        <f t="shared" si="88"/>
        <v>#VALUE!</v>
      </c>
    </row>
    <row r="5661" spans="11:11" x14ac:dyDescent="0.25">
      <c r="K5661" s="8" t="e">
        <f t="shared" si="88"/>
        <v>#VALUE!</v>
      </c>
    </row>
    <row r="5662" spans="11:11" x14ac:dyDescent="0.25">
      <c r="K5662" s="8" t="e">
        <f t="shared" si="88"/>
        <v>#VALUE!</v>
      </c>
    </row>
    <row r="5663" spans="11:11" x14ac:dyDescent="0.25">
      <c r="K5663" s="8" t="e">
        <f t="shared" si="88"/>
        <v>#VALUE!</v>
      </c>
    </row>
    <row r="5664" spans="11:11" x14ac:dyDescent="0.25">
      <c r="K5664" s="8" t="e">
        <f t="shared" si="88"/>
        <v>#VALUE!</v>
      </c>
    </row>
    <row r="5665" spans="11:11" x14ac:dyDescent="0.25">
      <c r="K5665" s="8" t="e">
        <f t="shared" si="88"/>
        <v>#VALUE!</v>
      </c>
    </row>
    <row r="5666" spans="11:11" x14ac:dyDescent="0.25">
      <c r="K5666" s="8" t="e">
        <f t="shared" si="88"/>
        <v>#VALUE!</v>
      </c>
    </row>
    <row r="5667" spans="11:11" x14ac:dyDescent="0.25">
      <c r="K5667" s="8" t="e">
        <f t="shared" si="88"/>
        <v>#VALUE!</v>
      </c>
    </row>
    <row r="5668" spans="11:11" x14ac:dyDescent="0.25">
      <c r="K5668" s="8" t="e">
        <f t="shared" si="88"/>
        <v>#VALUE!</v>
      </c>
    </row>
    <row r="5669" spans="11:11" x14ac:dyDescent="0.25">
      <c r="K5669" s="8" t="e">
        <f t="shared" si="88"/>
        <v>#VALUE!</v>
      </c>
    </row>
    <row r="5670" spans="11:11" x14ac:dyDescent="0.25">
      <c r="K5670" s="8" t="e">
        <f t="shared" si="88"/>
        <v>#VALUE!</v>
      </c>
    </row>
    <row r="5671" spans="11:11" x14ac:dyDescent="0.25">
      <c r="K5671" s="8" t="e">
        <f t="shared" si="88"/>
        <v>#VALUE!</v>
      </c>
    </row>
    <row r="5672" spans="11:11" x14ac:dyDescent="0.25">
      <c r="K5672" s="8" t="e">
        <f t="shared" si="88"/>
        <v>#VALUE!</v>
      </c>
    </row>
    <row r="5673" spans="11:11" x14ac:dyDescent="0.25">
      <c r="K5673" s="8" t="e">
        <f t="shared" si="88"/>
        <v>#VALUE!</v>
      </c>
    </row>
    <row r="5674" spans="11:11" x14ac:dyDescent="0.25">
      <c r="K5674" s="8" t="e">
        <f t="shared" si="88"/>
        <v>#VALUE!</v>
      </c>
    </row>
    <row r="5675" spans="11:11" x14ac:dyDescent="0.25">
      <c r="K5675" s="8" t="e">
        <f t="shared" si="88"/>
        <v>#VALUE!</v>
      </c>
    </row>
    <row r="5676" spans="11:11" x14ac:dyDescent="0.25">
      <c r="K5676" s="8" t="e">
        <f t="shared" si="88"/>
        <v>#VALUE!</v>
      </c>
    </row>
    <row r="5677" spans="11:11" x14ac:dyDescent="0.25">
      <c r="K5677" s="8" t="e">
        <f t="shared" si="88"/>
        <v>#VALUE!</v>
      </c>
    </row>
    <row r="5678" spans="11:11" x14ac:dyDescent="0.25">
      <c r="K5678" s="8" t="e">
        <f t="shared" si="88"/>
        <v>#VALUE!</v>
      </c>
    </row>
    <row r="5679" spans="11:11" x14ac:dyDescent="0.25">
      <c r="K5679" s="8" t="e">
        <f t="shared" si="88"/>
        <v>#VALUE!</v>
      </c>
    </row>
    <row r="5680" spans="11:11" x14ac:dyDescent="0.25">
      <c r="K5680" s="8" t="e">
        <f t="shared" si="88"/>
        <v>#VALUE!</v>
      </c>
    </row>
    <row r="5681" spans="11:11" x14ac:dyDescent="0.25">
      <c r="K5681" s="8" t="e">
        <f t="shared" si="88"/>
        <v>#VALUE!</v>
      </c>
    </row>
    <row r="5682" spans="11:11" x14ac:dyDescent="0.25">
      <c r="K5682" s="8" t="e">
        <f t="shared" si="88"/>
        <v>#VALUE!</v>
      </c>
    </row>
    <row r="5683" spans="11:11" x14ac:dyDescent="0.25">
      <c r="K5683" s="8" t="e">
        <f t="shared" si="88"/>
        <v>#VALUE!</v>
      </c>
    </row>
    <row r="5684" spans="11:11" x14ac:dyDescent="0.25">
      <c r="K5684" s="8" t="e">
        <f t="shared" si="88"/>
        <v>#VALUE!</v>
      </c>
    </row>
    <row r="5685" spans="11:11" x14ac:dyDescent="0.25">
      <c r="K5685" s="8" t="e">
        <f t="shared" si="88"/>
        <v>#VALUE!</v>
      </c>
    </row>
    <row r="5686" spans="11:11" x14ac:dyDescent="0.25">
      <c r="K5686" s="8" t="e">
        <f t="shared" si="88"/>
        <v>#VALUE!</v>
      </c>
    </row>
    <row r="5687" spans="11:11" x14ac:dyDescent="0.25">
      <c r="K5687" s="8" t="e">
        <f t="shared" si="88"/>
        <v>#VALUE!</v>
      </c>
    </row>
    <row r="5688" spans="11:11" x14ac:dyDescent="0.25">
      <c r="K5688" s="8" t="e">
        <f t="shared" si="88"/>
        <v>#VALUE!</v>
      </c>
    </row>
    <row r="5689" spans="11:11" x14ac:dyDescent="0.25">
      <c r="K5689" s="8" t="e">
        <f t="shared" si="88"/>
        <v>#VALUE!</v>
      </c>
    </row>
    <row r="5690" spans="11:11" x14ac:dyDescent="0.25">
      <c r="K5690" s="8" t="e">
        <f t="shared" si="88"/>
        <v>#VALUE!</v>
      </c>
    </row>
    <row r="5691" spans="11:11" x14ac:dyDescent="0.25">
      <c r="K5691" s="8" t="e">
        <f t="shared" si="88"/>
        <v>#VALUE!</v>
      </c>
    </row>
    <row r="5692" spans="11:11" x14ac:dyDescent="0.25">
      <c r="K5692" s="8" t="e">
        <f t="shared" si="88"/>
        <v>#VALUE!</v>
      </c>
    </row>
    <row r="5693" spans="11:11" x14ac:dyDescent="0.25">
      <c r="K5693" s="8" t="e">
        <f t="shared" si="88"/>
        <v>#VALUE!</v>
      </c>
    </row>
    <row r="5694" spans="11:11" x14ac:dyDescent="0.25">
      <c r="K5694" s="8" t="e">
        <f t="shared" si="88"/>
        <v>#VALUE!</v>
      </c>
    </row>
    <row r="5695" spans="11:11" x14ac:dyDescent="0.25">
      <c r="K5695" s="8" t="e">
        <f t="shared" si="88"/>
        <v>#VALUE!</v>
      </c>
    </row>
    <row r="5696" spans="11:11" x14ac:dyDescent="0.25">
      <c r="K5696" s="8" t="e">
        <f t="shared" si="88"/>
        <v>#VALUE!</v>
      </c>
    </row>
    <row r="5697" spans="11:11" x14ac:dyDescent="0.25">
      <c r="K5697" s="8" t="e">
        <f t="shared" si="88"/>
        <v>#VALUE!</v>
      </c>
    </row>
    <row r="5698" spans="11:11" x14ac:dyDescent="0.25">
      <c r="K5698" s="8" t="e">
        <f t="shared" si="88"/>
        <v>#VALUE!</v>
      </c>
    </row>
    <row r="5699" spans="11:11" x14ac:dyDescent="0.25">
      <c r="K5699" s="8" t="e">
        <f t="shared" ref="K5699:K5762" si="89">LEFT(A5699,FIND("/",A5699)-1)</f>
        <v>#VALUE!</v>
      </c>
    </row>
    <row r="5700" spans="11:11" x14ac:dyDescent="0.25">
      <c r="K5700" s="8" t="e">
        <f t="shared" si="89"/>
        <v>#VALUE!</v>
      </c>
    </row>
    <row r="5701" spans="11:11" x14ac:dyDescent="0.25">
      <c r="K5701" s="8" t="e">
        <f t="shared" si="89"/>
        <v>#VALUE!</v>
      </c>
    </row>
    <row r="5702" spans="11:11" x14ac:dyDescent="0.25">
      <c r="K5702" s="8" t="e">
        <f t="shared" si="89"/>
        <v>#VALUE!</v>
      </c>
    </row>
    <row r="5703" spans="11:11" x14ac:dyDescent="0.25">
      <c r="K5703" s="8" t="e">
        <f t="shared" si="89"/>
        <v>#VALUE!</v>
      </c>
    </row>
    <row r="5704" spans="11:11" x14ac:dyDescent="0.25">
      <c r="K5704" s="8" t="e">
        <f t="shared" si="89"/>
        <v>#VALUE!</v>
      </c>
    </row>
    <row r="5705" spans="11:11" x14ac:dyDescent="0.25">
      <c r="K5705" s="8" t="e">
        <f t="shared" si="89"/>
        <v>#VALUE!</v>
      </c>
    </row>
    <row r="5706" spans="11:11" x14ac:dyDescent="0.25">
      <c r="K5706" s="8" t="e">
        <f t="shared" si="89"/>
        <v>#VALUE!</v>
      </c>
    </row>
    <row r="5707" spans="11:11" x14ac:dyDescent="0.25">
      <c r="K5707" s="8" t="e">
        <f t="shared" si="89"/>
        <v>#VALUE!</v>
      </c>
    </row>
    <row r="5708" spans="11:11" x14ac:dyDescent="0.25">
      <c r="K5708" s="8" t="e">
        <f t="shared" si="89"/>
        <v>#VALUE!</v>
      </c>
    </row>
    <row r="5709" spans="11:11" x14ac:dyDescent="0.25">
      <c r="K5709" s="8" t="e">
        <f t="shared" si="89"/>
        <v>#VALUE!</v>
      </c>
    </row>
    <row r="5710" spans="11:11" x14ac:dyDescent="0.25">
      <c r="K5710" s="8" t="e">
        <f t="shared" si="89"/>
        <v>#VALUE!</v>
      </c>
    </row>
    <row r="5711" spans="11:11" x14ac:dyDescent="0.25">
      <c r="K5711" s="8" t="e">
        <f t="shared" si="89"/>
        <v>#VALUE!</v>
      </c>
    </row>
    <row r="5712" spans="11:11" x14ac:dyDescent="0.25">
      <c r="K5712" s="8" t="e">
        <f t="shared" si="89"/>
        <v>#VALUE!</v>
      </c>
    </row>
    <row r="5713" spans="11:11" x14ac:dyDescent="0.25">
      <c r="K5713" s="8" t="e">
        <f t="shared" si="89"/>
        <v>#VALUE!</v>
      </c>
    </row>
    <row r="5714" spans="11:11" x14ac:dyDescent="0.25">
      <c r="K5714" s="8" t="e">
        <f t="shared" si="89"/>
        <v>#VALUE!</v>
      </c>
    </row>
    <row r="5715" spans="11:11" x14ac:dyDescent="0.25">
      <c r="K5715" s="8" t="e">
        <f t="shared" si="89"/>
        <v>#VALUE!</v>
      </c>
    </row>
    <row r="5716" spans="11:11" x14ac:dyDescent="0.25">
      <c r="K5716" s="8" t="e">
        <f t="shared" si="89"/>
        <v>#VALUE!</v>
      </c>
    </row>
    <row r="5717" spans="11:11" x14ac:dyDescent="0.25">
      <c r="K5717" s="8" t="e">
        <f t="shared" si="89"/>
        <v>#VALUE!</v>
      </c>
    </row>
    <row r="5718" spans="11:11" x14ac:dyDescent="0.25">
      <c r="K5718" s="8" t="e">
        <f t="shared" si="89"/>
        <v>#VALUE!</v>
      </c>
    </row>
    <row r="5719" spans="11:11" x14ac:dyDescent="0.25">
      <c r="K5719" s="8" t="e">
        <f t="shared" si="89"/>
        <v>#VALUE!</v>
      </c>
    </row>
    <row r="5720" spans="11:11" x14ac:dyDescent="0.25">
      <c r="K5720" s="8" t="e">
        <f t="shared" si="89"/>
        <v>#VALUE!</v>
      </c>
    </row>
    <row r="5721" spans="11:11" x14ac:dyDescent="0.25">
      <c r="K5721" s="8" t="e">
        <f t="shared" si="89"/>
        <v>#VALUE!</v>
      </c>
    </row>
    <row r="5722" spans="11:11" x14ac:dyDescent="0.25">
      <c r="K5722" s="8" t="e">
        <f t="shared" si="89"/>
        <v>#VALUE!</v>
      </c>
    </row>
    <row r="5723" spans="11:11" x14ac:dyDescent="0.25">
      <c r="K5723" s="8" t="e">
        <f t="shared" si="89"/>
        <v>#VALUE!</v>
      </c>
    </row>
    <row r="5724" spans="11:11" x14ac:dyDescent="0.25">
      <c r="K5724" s="8" t="e">
        <f t="shared" si="89"/>
        <v>#VALUE!</v>
      </c>
    </row>
    <row r="5725" spans="11:11" x14ac:dyDescent="0.25">
      <c r="K5725" s="8" t="e">
        <f t="shared" si="89"/>
        <v>#VALUE!</v>
      </c>
    </row>
    <row r="5726" spans="11:11" x14ac:dyDescent="0.25">
      <c r="K5726" s="8" t="e">
        <f t="shared" si="89"/>
        <v>#VALUE!</v>
      </c>
    </row>
    <row r="5727" spans="11:11" x14ac:dyDescent="0.25">
      <c r="K5727" s="8" t="e">
        <f t="shared" si="89"/>
        <v>#VALUE!</v>
      </c>
    </row>
    <row r="5728" spans="11:11" x14ac:dyDescent="0.25">
      <c r="K5728" s="8" t="e">
        <f t="shared" si="89"/>
        <v>#VALUE!</v>
      </c>
    </row>
    <row r="5729" spans="11:11" x14ac:dyDescent="0.25">
      <c r="K5729" s="8" t="e">
        <f t="shared" si="89"/>
        <v>#VALUE!</v>
      </c>
    </row>
    <row r="5730" spans="11:11" x14ac:dyDescent="0.25">
      <c r="K5730" s="8" t="e">
        <f t="shared" si="89"/>
        <v>#VALUE!</v>
      </c>
    </row>
    <row r="5731" spans="11:11" x14ac:dyDescent="0.25">
      <c r="K5731" s="8" t="e">
        <f t="shared" si="89"/>
        <v>#VALUE!</v>
      </c>
    </row>
    <row r="5732" spans="11:11" x14ac:dyDescent="0.25">
      <c r="K5732" s="8" t="e">
        <f t="shared" si="89"/>
        <v>#VALUE!</v>
      </c>
    </row>
    <row r="5733" spans="11:11" x14ac:dyDescent="0.25">
      <c r="K5733" s="8" t="e">
        <f t="shared" si="89"/>
        <v>#VALUE!</v>
      </c>
    </row>
    <row r="5734" spans="11:11" x14ac:dyDescent="0.25">
      <c r="K5734" s="8" t="e">
        <f t="shared" si="89"/>
        <v>#VALUE!</v>
      </c>
    </row>
    <row r="5735" spans="11:11" x14ac:dyDescent="0.25">
      <c r="K5735" s="8" t="e">
        <f t="shared" si="89"/>
        <v>#VALUE!</v>
      </c>
    </row>
    <row r="5736" spans="11:11" x14ac:dyDescent="0.25">
      <c r="K5736" s="8" t="e">
        <f t="shared" si="89"/>
        <v>#VALUE!</v>
      </c>
    </row>
    <row r="5737" spans="11:11" x14ac:dyDescent="0.25">
      <c r="K5737" s="8" t="e">
        <f t="shared" si="89"/>
        <v>#VALUE!</v>
      </c>
    </row>
    <row r="5738" spans="11:11" x14ac:dyDescent="0.25">
      <c r="K5738" s="8" t="e">
        <f t="shared" si="89"/>
        <v>#VALUE!</v>
      </c>
    </row>
    <row r="5739" spans="11:11" x14ac:dyDescent="0.25">
      <c r="K5739" s="8" t="e">
        <f t="shared" si="89"/>
        <v>#VALUE!</v>
      </c>
    </row>
    <row r="5740" spans="11:11" x14ac:dyDescent="0.25">
      <c r="K5740" s="8" t="e">
        <f t="shared" si="89"/>
        <v>#VALUE!</v>
      </c>
    </row>
    <row r="5741" spans="11:11" x14ac:dyDescent="0.25">
      <c r="K5741" s="8" t="e">
        <f t="shared" si="89"/>
        <v>#VALUE!</v>
      </c>
    </row>
    <row r="5742" spans="11:11" x14ac:dyDescent="0.25">
      <c r="K5742" s="8" t="e">
        <f t="shared" si="89"/>
        <v>#VALUE!</v>
      </c>
    </row>
    <row r="5743" spans="11:11" x14ac:dyDescent="0.25">
      <c r="K5743" s="8" t="e">
        <f t="shared" si="89"/>
        <v>#VALUE!</v>
      </c>
    </row>
    <row r="5744" spans="11:11" x14ac:dyDescent="0.25">
      <c r="K5744" s="8" t="e">
        <f t="shared" si="89"/>
        <v>#VALUE!</v>
      </c>
    </row>
    <row r="5745" spans="11:11" x14ac:dyDescent="0.25">
      <c r="K5745" s="8" t="e">
        <f t="shared" si="89"/>
        <v>#VALUE!</v>
      </c>
    </row>
    <row r="5746" spans="11:11" x14ac:dyDescent="0.25">
      <c r="K5746" s="8" t="e">
        <f t="shared" si="89"/>
        <v>#VALUE!</v>
      </c>
    </row>
    <row r="5747" spans="11:11" x14ac:dyDescent="0.25">
      <c r="K5747" s="8" t="e">
        <f t="shared" si="89"/>
        <v>#VALUE!</v>
      </c>
    </row>
    <row r="5748" spans="11:11" x14ac:dyDescent="0.25">
      <c r="K5748" s="8" t="e">
        <f t="shared" si="89"/>
        <v>#VALUE!</v>
      </c>
    </row>
    <row r="5749" spans="11:11" x14ac:dyDescent="0.25">
      <c r="K5749" s="8" t="e">
        <f t="shared" si="89"/>
        <v>#VALUE!</v>
      </c>
    </row>
    <row r="5750" spans="11:11" x14ac:dyDescent="0.25">
      <c r="K5750" s="8" t="e">
        <f t="shared" si="89"/>
        <v>#VALUE!</v>
      </c>
    </row>
    <row r="5751" spans="11:11" x14ac:dyDescent="0.25">
      <c r="K5751" s="8" t="e">
        <f t="shared" si="89"/>
        <v>#VALUE!</v>
      </c>
    </row>
    <row r="5752" spans="11:11" x14ac:dyDescent="0.25">
      <c r="K5752" s="8" t="e">
        <f t="shared" si="89"/>
        <v>#VALUE!</v>
      </c>
    </row>
    <row r="5753" spans="11:11" x14ac:dyDescent="0.25">
      <c r="K5753" s="8" t="e">
        <f t="shared" si="89"/>
        <v>#VALUE!</v>
      </c>
    </row>
    <row r="5754" spans="11:11" x14ac:dyDescent="0.25">
      <c r="K5754" s="8" t="e">
        <f t="shared" si="89"/>
        <v>#VALUE!</v>
      </c>
    </row>
    <row r="5755" spans="11:11" x14ac:dyDescent="0.25">
      <c r="K5755" s="8" t="e">
        <f t="shared" si="89"/>
        <v>#VALUE!</v>
      </c>
    </row>
    <row r="5756" spans="11:11" x14ac:dyDescent="0.25">
      <c r="K5756" s="8" t="e">
        <f t="shared" si="89"/>
        <v>#VALUE!</v>
      </c>
    </row>
    <row r="5757" spans="11:11" x14ac:dyDescent="0.25">
      <c r="K5757" s="8" t="e">
        <f t="shared" si="89"/>
        <v>#VALUE!</v>
      </c>
    </row>
    <row r="5758" spans="11:11" x14ac:dyDescent="0.25">
      <c r="K5758" s="8" t="e">
        <f t="shared" si="89"/>
        <v>#VALUE!</v>
      </c>
    </row>
    <row r="5759" spans="11:11" x14ac:dyDescent="0.25">
      <c r="K5759" s="8" t="e">
        <f t="shared" si="89"/>
        <v>#VALUE!</v>
      </c>
    </row>
    <row r="5760" spans="11:11" x14ac:dyDescent="0.25">
      <c r="K5760" s="8" t="e">
        <f t="shared" si="89"/>
        <v>#VALUE!</v>
      </c>
    </row>
    <row r="5761" spans="11:11" x14ac:dyDescent="0.25">
      <c r="K5761" s="8" t="e">
        <f t="shared" si="89"/>
        <v>#VALUE!</v>
      </c>
    </row>
    <row r="5762" spans="11:11" x14ac:dyDescent="0.25">
      <c r="K5762" s="8" t="e">
        <f t="shared" si="89"/>
        <v>#VALUE!</v>
      </c>
    </row>
    <row r="5763" spans="11:11" x14ac:dyDescent="0.25">
      <c r="K5763" s="8" t="e">
        <f t="shared" ref="K5763:K5826" si="90">LEFT(A5763,FIND("/",A5763)-1)</f>
        <v>#VALUE!</v>
      </c>
    </row>
    <row r="5764" spans="11:11" x14ac:dyDescent="0.25">
      <c r="K5764" s="8" t="e">
        <f t="shared" si="90"/>
        <v>#VALUE!</v>
      </c>
    </row>
    <row r="5765" spans="11:11" x14ac:dyDescent="0.25">
      <c r="K5765" s="8" t="e">
        <f t="shared" si="90"/>
        <v>#VALUE!</v>
      </c>
    </row>
    <row r="5766" spans="11:11" x14ac:dyDescent="0.25">
      <c r="K5766" s="8" t="e">
        <f t="shared" si="90"/>
        <v>#VALUE!</v>
      </c>
    </row>
    <row r="5767" spans="11:11" x14ac:dyDescent="0.25">
      <c r="K5767" s="8" t="e">
        <f t="shared" si="90"/>
        <v>#VALUE!</v>
      </c>
    </row>
    <row r="5768" spans="11:11" x14ac:dyDescent="0.25">
      <c r="K5768" s="8" t="e">
        <f t="shared" si="90"/>
        <v>#VALUE!</v>
      </c>
    </row>
    <row r="5769" spans="11:11" x14ac:dyDescent="0.25">
      <c r="K5769" s="8" t="e">
        <f t="shared" si="90"/>
        <v>#VALUE!</v>
      </c>
    </row>
    <row r="5770" spans="11:11" x14ac:dyDescent="0.25">
      <c r="K5770" s="8" t="e">
        <f t="shared" si="90"/>
        <v>#VALUE!</v>
      </c>
    </row>
    <row r="5771" spans="11:11" x14ac:dyDescent="0.25">
      <c r="K5771" s="8" t="e">
        <f t="shared" si="90"/>
        <v>#VALUE!</v>
      </c>
    </row>
    <row r="5772" spans="11:11" x14ac:dyDescent="0.25">
      <c r="K5772" s="8" t="e">
        <f t="shared" si="90"/>
        <v>#VALUE!</v>
      </c>
    </row>
    <row r="5773" spans="11:11" x14ac:dyDescent="0.25">
      <c r="K5773" s="8" t="e">
        <f t="shared" si="90"/>
        <v>#VALUE!</v>
      </c>
    </row>
    <row r="5774" spans="11:11" x14ac:dyDescent="0.25">
      <c r="K5774" s="8" t="e">
        <f t="shared" si="90"/>
        <v>#VALUE!</v>
      </c>
    </row>
    <row r="5775" spans="11:11" x14ac:dyDescent="0.25">
      <c r="K5775" s="8" t="e">
        <f t="shared" si="90"/>
        <v>#VALUE!</v>
      </c>
    </row>
    <row r="5776" spans="11:11" x14ac:dyDescent="0.25">
      <c r="K5776" s="8" t="e">
        <f t="shared" si="90"/>
        <v>#VALUE!</v>
      </c>
    </row>
    <row r="5777" spans="11:11" x14ac:dyDescent="0.25">
      <c r="K5777" s="8" t="e">
        <f t="shared" si="90"/>
        <v>#VALUE!</v>
      </c>
    </row>
    <row r="5778" spans="11:11" x14ac:dyDescent="0.25">
      <c r="K5778" s="8" t="e">
        <f t="shared" si="90"/>
        <v>#VALUE!</v>
      </c>
    </row>
    <row r="5779" spans="11:11" x14ac:dyDescent="0.25">
      <c r="K5779" s="8" t="e">
        <f t="shared" si="90"/>
        <v>#VALUE!</v>
      </c>
    </row>
    <row r="5780" spans="11:11" x14ac:dyDescent="0.25">
      <c r="K5780" s="8" t="e">
        <f t="shared" si="90"/>
        <v>#VALUE!</v>
      </c>
    </row>
    <row r="5781" spans="11:11" x14ac:dyDescent="0.25">
      <c r="K5781" s="8" t="e">
        <f t="shared" si="90"/>
        <v>#VALUE!</v>
      </c>
    </row>
    <row r="5782" spans="11:11" x14ac:dyDescent="0.25">
      <c r="K5782" s="8" t="e">
        <f t="shared" si="90"/>
        <v>#VALUE!</v>
      </c>
    </row>
    <row r="5783" spans="11:11" x14ac:dyDescent="0.25">
      <c r="K5783" s="8" t="e">
        <f t="shared" si="90"/>
        <v>#VALUE!</v>
      </c>
    </row>
    <row r="5784" spans="11:11" x14ac:dyDescent="0.25">
      <c r="K5784" s="8" t="e">
        <f t="shared" si="90"/>
        <v>#VALUE!</v>
      </c>
    </row>
    <row r="5785" spans="11:11" x14ac:dyDescent="0.25">
      <c r="K5785" s="8" t="e">
        <f t="shared" si="90"/>
        <v>#VALUE!</v>
      </c>
    </row>
    <row r="5786" spans="11:11" x14ac:dyDescent="0.25">
      <c r="K5786" s="8" t="e">
        <f t="shared" si="90"/>
        <v>#VALUE!</v>
      </c>
    </row>
    <row r="5787" spans="11:11" x14ac:dyDescent="0.25">
      <c r="K5787" s="8" t="e">
        <f t="shared" si="90"/>
        <v>#VALUE!</v>
      </c>
    </row>
    <row r="5788" spans="11:11" x14ac:dyDescent="0.25">
      <c r="K5788" s="8" t="e">
        <f t="shared" si="90"/>
        <v>#VALUE!</v>
      </c>
    </row>
    <row r="5789" spans="11:11" x14ac:dyDescent="0.25">
      <c r="K5789" s="8" t="e">
        <f t="shared" si="90"/>
        <v>#VALUE!</v>
      </c>
    </row>
    <row r="5790" spans="11:11" x14ac:dyDescent="0.25">
      <c r="K5790" s="8" t="e">
        <f t="shared" si="90"/>
        <v>#VALUE!</v>
      </c>
    </row>
    <row r="5791" spans="11:11" x14ac:dyDescent="0.25">
      <c r="K5791" s="8" t="e">
        <f t="shared" si="90"/>
        <v>#VALUE!</v>
      </c>
    </row>
    <row r="5792" spans="11:11" x14ac:dyDescent="0.25">
      <c r="K5792" s="8" t="e">
        <f t="shared" si="90"/>
        <v>#VALUE!</v>
      </c>
    </row>
    <row r="5793" spans="11:11" x14ac:dyDescent="0.25">
      <c r="K5793" s="8" t="e">
        <f t="shared" si="90"/>
        <v>#VALUE!</v>
      </c>
    </row>
    <row r="5794" spans="11:11" x14ac:dyDescent="0.25">
      <c r="K5794" s="8" t="e">
        <f t="shared" si="90"/>
        <v>#VALUE!</v>
      </c>
    </row>
    <row r="5795" spans="11:11" x14ac:dyDescent="0.25">
      <c r="K5795" s="8" t="e">
        <f t="shared" si="90"/>
        <v>#VALUE!</v>
      </c>
    </row>
    <row r="5796" spans="11:11" x14ac:dyDescent="0.25">
      <c r="K5796" s="8" t="e">
        <f t="shared" si="90"/>
        <v>#VALUE!</v>
      </c>
    </row>
    <row r="5797" spans="11:11" x14ac:dyDescent="0.25">
      <c r="K5797" s="8" t="e">
        <f t="shared" si="90"/>
        <v>#VALUE!</v>
      </c>
    </row>
    <row r="5798" spans="11:11" x14ac:dyDescent="0.25">
      <c r="K5798" s="8" t="e">
        <f t="shared" si="90"/>
        <v>#VALUE!</v>
      </c>
    </row>
    <row r="5799" spans="11:11" x14ac:dyDescent="0.25">
      <c r="K5799" s="8" t="e">
        <f t="shared" si="90"/>
        <v>#VALUE!</v>
      </c>
    </row>
    <row r="5800" spans="11:11" x14ac:dyDescent="0.25">
      <c r="K5800" s="8" t="e">
        <f t="shared" si="90"/>
        <v>#VALUE!</v>
      </c>
    </row>
    <row r="5801" spans="11:11" x14ac:dyDescent="0.25">
      <c r="K5801" s="8" t="e">
        <f t="shared" si="90"/>
        <v>#VALUE!</v>
      </c>
    </row>
    <row r="5802" spans="11:11" x14ac:dyDescent="0.25">
      <c r="K5802" s="8" t="e">
        <f t="shared" si="90"/>
        <v>#VALUE!</v>
      </c>
    </row>
    <row r="5803" spans="11:11" x14ac:dyDescent="0.25">
      <c r="K5803" s="8" t="e">
        <f t="shared" si="90"/>
        <v>#VALUE!</v>
      </c>
    </row>
    <row r="5804" spans="11:11" x14ac:dyDescent="0.25">
      <c r="K5804" s="8" t="e">
        <f t="shared" si="90"/>
        <v>#VALUE!</v>
      </c>
    </row>
    <row r="5805" spans="11:11" x14ac:dyDescent="0.25">
      <c r="K5805" s="8" t="e">
        <f t="shared" si="90"/>
        <v>#VALUE!</v>
      </c>
    </row>
    <row r="5806" spans="11:11" x14ac:dyDescent="0.25">
      <c r="K5806" s="8" t="e">
        <f t="shared" si="90"/>
        <v>#VALUE!</v>
      </c>
    </row>
    <row r="5807" spans="11:11" x14ac:dyDescent="0.25">
      <c r="K5807" s="8" t="e">
        <f t="shared" si="90"/>
        <v>#VALUE!</v>
      </c>
    </row>
    <row r="5808" spans="11:11" x14ac:dyDescent="0.25">
      <c r="K5808" s="8" t="e">
        <f t="shared" si="90"/>
        <v>#VALUE!</v>
      </c>
    </row>
    <row r="5809" spans="11:11" x14ac:dyDescent="0.25">
      <c r="K5809" s="8" t="e">
        <f t="shared" si="90"/>
        <v>#VALUE!</v>
      </c>
    </row>
    <row r="5810" spans="11:11" x14ac:dyDescent="0.25">
      <c r="K5810" s="8" t="e">
        <f t="shared" si="90"/>
        <v>#VALUE!</v>
      </c>
    </row>
    <row r="5811" spans="11:11" x14ac:dyDescent="0.25">
      <c r="K5811" s="8" t="e">
        <f t="shared" si="90"/>
        <v>#VALUE!</v>
      </c>
    </row>
    <row r="5812" spans="11:11" x14ac:dyDescent="0.25">
      <c r="K5812" s="8" t="e">
        <f t="shared" si="90"/>
        <v>#VALUE!</v>
      </c>
    </row>
    <row r="5813" spans="11:11" x14ac:dyDescent="0.25">
      <c r="K5813" s="8" t="e">
        <f t="shared" si="90"/>
        <v>#VALUE!</v>
      </c>
    </row>
    <row r="5814" spans="11:11" x14ac:dyDescent="0.25">
      <c r="K5814" s="8" t="e">
        <f t="shared" si="90"/>
        <v>#VALUE!</v>
      </c>
    </row>
    <row r="5815" spans="11:11" x14ac:dyDescent="0.25">
      <c r="K5815" s="8" t="e">
        <f t="shared" si="90"/>
        <v>#VALUE!</v>
      </c>
    </row>
    <row r="5816" spans="11:11" x14ac:dyDescent="0.25">
      <c r="K5816" s="8" t="e">
        <f t="shared" si="90"/>
        <v>#VALUE!</v>
      </c>
    </row>
    <row r="5817" spans="11:11" x14ac:dyDescent="0.25">
      <c r="K5817" s="8" t="e">
        <f t="shared" si="90"/>
        <v>#VALUE!</v>
      </c>
    </row>
    <row r="5818" spans="11:11" x14ac:dyDescent="0.25">
      <c r="K5818" s="8" t="e">
        <f t="shared" si="90"/>
        <v>#VALUE!</v>
      </c>
    </row>
    <row r="5819" spans="11:11" x14ac:dyDescent="0.25">
      <c r="K5819" s="8" t="e">
        <f t="shared" si="90"/>
        <v>#VALUE!</v>
      </c>
    </row>
    <row r="5820" spans="11:11" x14ac:dyDescent="0.25">
      <c r="K5820" s="8" t="e">
        <f t="shared" si="90"/>
        <v>#VALUE!</v>
      </c>
    </row>
    <row r="5821" spans="11:11" x14ac:dyDescent="0.25">
      <c r="K5821" s="8" t="e">
        <f t="shared" si="90"/>
        <v>#VALUE!</v>
      </c>
    </row>
    <row r="5822" spans="11:11" x14ac:dyDescent="0.25">
      <c r="K5822" s="8" t="e">
        <f t="shared" si="90"/>
        <v>#VALUE!</v>
      </c>
    </row>
    <row r="5823" spans="11:11" x14ac:dyDescent="0.25">
      <c r="K5823" s="8" t="e">
        <f t="shared" si="90"/>
        <v>#VALUE!</v>
      </c>
    </row>
    <row r="5824" spans="11:11" x14ac:dyDescent="0.25">
      <c r="K5824" s="8" t="e">
        <f t="shared" si="90"/>
        <v>#VALUE!</v>
      </c>
    </row>
    <row r="5825" spans="11:11" x14ac:dyDescent="0.25">
      <c r="K5825" s="8" t="e">
        <f t="shared" si="90"/>
        <v>#VALUE!</v>
      </c>
    </row>
    <row r="5826" spans="11:11" x14ac:dyDescent="0.25">
      <c r="K5826" s="8" t="e">
        <f t="shared" si="90"/>
        <v>#VALUE!</v>
      </c>
    </row>
    <row r="5827" spans="11:11" x14ac:dyDescent="0.25">
      <c r="K5827" s="8" t="e">
        <f t="shared" ref="K5827:K5890" si="91">LEFT(A5827,FIND("/",A5827)-1)</f>
        <v>#VALUE!</v>
      </c>
    </row>
    <row r="5828" spans="11:11" x14ac:dyDescent="0.25">
      <c r="K5828" s="8" t="e">
        <f t="shared" si="91"/>
        <v>#VALUE!</v>
      </c>
    </row>
    <row r="5829" spans="11:11" x14ac:dyDescent="0.25">
      <c r="K5829" s="8" t="e">
        <f t="shared" si="91"/>
        <v>#VALUE!</v>
      </c>
    </row>
    <row r="5830" spans="11:11" x14ac:dyDescent="0.25">
      <c r="K5830" s="8" t="e">
        <f t="shared" si="91"/>
        <v>#VALUE!</v>
      </c>
    </row>
    <row r="5831" spans="11:11" x14ac:dyDescent="0.25">
      <c r="K5831" s="8" t="e">
        <f t="shared" si="91"/>
        <v>#VALUE!</v>
      </c>
    </row>
    <row r="5832" spans="11:11" x14ac:dyDescent="0.25">
      <c r="K5832" s="8" t="e">
        <f t="shared" si="91"/>
        <v>#VALUE!</v>
      </c>
    </row>
    <row r="5833" spans="11:11" x14ac:dyDescent="0.25">
      <c r="K5833" s="8" t="e">
        <f t="shared" si="91"/>
        <v>#VALUE!</v>
      </c>
    </row>
    <row r="5834" spans="11:11" x14ac:dyDescent="0.25">
      <c r="K5834" s="8" t="e">
        <f t="shared" si="91"/>
        <v>#VALUE!</v>
      </c>
    </row>
    <row r="5835" spans="11:11" x14ac:dyDescent="0.25">
      <c r="K5835" s="8" t="e">
        <f t="shared" si="91"/>
        <v>#VALUE!</v>
      </c>
    </row>
    <row r="5836" spans="11:11" x14ac:dyDescent="0.25">
      <c r="K5836" s="8" t="e">
        <f t="shared" si="91"/>
        <v>#VALUE!</v>
      </c>
    </row>
    <row r="5837" spans="11:11" x14ac:dyDescent="0.25">
      <c r="K5837" s="8" t="e">
        <f t="shared" si="91"/>
        <v>#VALUE!</v>
      </c>
    </row>
    <row r="5838" spans="11:11" x14ac:dyDescent="0.25">
      <c r="K5838" s="8" t="e">
        <f t="shared" si="91"/>
        <v>#VALUE!</v>
      </c>
    </row>
    <row r="5839" spans="11:11" x14ac:dyDescent="0.25">
      <c r="K5839" s="8" t="e">
        <f t="shared" si="91"/>
        <v>#VALUE!</v>
      </c>
    </row>
    <row r="5840" spans="11:11" x14ac:dyDescent="0.25">
      <c r="K5840" s="8" t="e">
        <f t="shared" si="91"/>
        <v>#VALUE!</v>
      </c>
    </row>
    <row r="5841" spans="11:11" x14ac:dyDescent="0.25">
      <c r="K5841" s="8" t="e">
        <f t="shared" si="91"/>
        <v>#VALUE!</v>
      </c>
    </row>
    <row r="5842" spans="11:11" x14ac:dyDescent="0.25">
      <c r="K5842" s="8" t="e">
        <f t="shared" si="91"/>
        <v>#VALUE!</v>
      </c>
    </row>
    <row r="5843" spans="11:11" x14ac:dyDescent="0.25">
      <c r="K5843" s="8" t="e">
        <f t="shared" si="91"/>
        <v>#VALUE!</v>
      </c>
    </row>
    <row r="5844" spans="11:11" x14ac:dyDescent="0.25">
      <c r="K5844" s="8" t="e">
        <f t="shared" si="91"/>
        <v>#VALUE!</v>
      </c>
    </row>
    <row r="5845" spans="11:11" x14ac:dyDescent="0.25">
      <c r="K5845" s="8" t="e">
        <f t="shared" si="91"/>
        <v>#VALUE!</v>
      </c>
    </row>
    <row r="5846" spans="11:11" x14ac:dyDescent="0.25">
      <c r="K5846" s="8" t="e">
        <f t="shared" si="91"/>
        <v>#VALUE!</v>
      </c>
    </row>
    <row r="5847" spans="11:11" x14ac:dyDescent="0.25">
      <c r="K5847" s="8" t="e">
        <f t="shared" si="91"/>
        <v>#VALUE!</v>
      </c>
    </row>
    <row r="5848" spans="11:11" x14ac:dyDescent="0.25">
      <c r="K5848" s="8" t="e">
        <f t="shared" si="91"/>
        <v>#VALUE!</v>
      </c>
    </row>
    <row r="5849" spans="11:11" x14ac:dyDescent="0.25">
      <c r="K5849" s="8" t="e">
        <f t="shared" si="91"/>
        <v>#VALUE!</v>
      </c>
    </row>
    <row r="5850" spans="11:11" x14ac:dyDescent="0.25">
      <c r="K5850" s="8" t="e">
        <f t="shared" si="91"/>
        <v>#VALUE!</v>
      </c>
    </row>
    <row r="5851" spans="11:11" x14ac:dyDescent="0.25">
      <c r="K5851" s="8" t="e">
        <f t="shared" si="91"/>
        <v>#VALUE!</v>
      </c>
    </row>
    <row r="5852" spans="11:11" x14ac:dyDescent="0.25">
      <c r="K5852" s="8" t="e">
        <f t="shared" si="91"/>
        <v>#VALUE!</v>
      </c>
    </row>
    <row r="5853" spans="11:11" x14ac:dyDescent="0.25">
      <c r="K5853" s="8" t="e">
        <f t="shared" si="91"/>
        <v>#VALUE!</v>
      </c>
    </row>
    <row r="5854" spans="11:11" x14ac:dyDescent="0.25">
      <c r="K5854" s="8" t="e">
        <f t="shared" si="91"/>
        <v>#VALUE!</v>
      </c>
    </row>
    <row r="5855" spans="11:11" x14ac:dyDescent="0.25">
      <c r="K5855" s="8" t="e">
        <f t="shared" si="91"/>
        <v>#VALUE!</v>
      </c>
    </row>
    <row r="5856" spans="11:11" x14ac:dyDescent="0.25">
      <c r="K5856" s="8" t="e">
        <f t="shared" si="91"/>
        <v>#VALUE!</v>
      </c>
    </row>
    <row r="5857" spans="11:11" x14ac:dyDescent="0.25">
      <c r="K5857" s="8" t="e">
        <f t="shared" si="91"/>
        <v>#VALUE!</v>
      </c>
    </row>
    <row r="5858" spans="11:11" x14ac:dyDescent="0.25">
      <c r="K5858" s="8" t="e">
        <f t="shared" si="91"/>
        <v>#VALUE!</v>
      </c>
    </row>
    <row r="5859" spans="11:11" x14ac:dyDescent="0.25">
      <c r="K5859" s="8" t="e">
        <f t="shared" si="91"/>
        <v>#VALUE!</v>
      </c>
    </row>
    <row r="5860" spans="11:11" x14ac:dyDescent="0.25">
      <c r="K5860" s="8" t="e">
        <f t="shared" si="91"/>
        <v>#VALUE!</v>
      </c>
    </row>
    <row r="5861" spans="11:11" x14ac:dyDescent="0.25">
      <c r="K5861" s="8" t="e">
        <f t="shared" si="91"/>
        <v>#VALUE!</v>
      </c>
    </row>
    <row r="5862" spans="11:11" x14ac:dyDescent="0.25">
      <c r="K5862" s="8" t="e">
        <f t="shared" si="91"/>
        <v>#VALUE!</v>
      </c>
    </row>
    <row r="5863" spans="11:11" x14ac:dyDescent="0.25">
      <c r="K5863" s="8" t="e">
        <f t="shared" si="91"/>
        <v>#VALUE!</v>
      </c>
    </row>
    <row r="5864" spans="11:11" x14ac:dyDescent="0.25">
      <c r="K5864" s="8" t="e">
        <f t="shared" si="91"/>
        <v>#VALUE!</v>
      </c>
    </row>
    <row r="5865" spans="11:11" x14ac:dyDescent="0.25">
      <c r="K5865" s="8" t="e">
        <f t="shared" si="91"/>
        <v>#VALUE!</v>
      </c>
    </row>
    <row r="5866" spans="11:11" x14ac:dyDescent="0.25">
      <c r="K5866" s="8" t="e">
        <f t="shared" si="91"/>
        <v>#VALUE!</v>
      </c>
    </row>
    <row r="5867" spans="11:11" x14ac:dyDescent="0.25">
      <c r="K5867" s="8" t="e">
        <f t="shared" si="91"/>
        <v>#VALUE!</v>
      </c>
    </row>
    <row r="5868" spans="11:11" x14ac:dyDescent="0.25">
      <c r="K5868" s="8" t="e">
        <f t="shared" si="91"/>
        <v>#VALUE!</v>
      </c>
    </row>
    <row r="5869" spans="11:11" x14ac:dyDescent="0.25">
      <c r="K5869" s="8" t="e">
        <f t="shared" si="91"/>
        <v>#VALUE!</v>
      </c>
    </row>
    <row r="5870" spans="11:11" x14ac:dyDescent="0.25">
      <c r="K5870" s="8" t="e">
        <f t="shared" si="91"/>
        <v>#VALUE!</v>
      </c>
    </row>
    <row r="5871" spans="11:11" x14ac:dyDescent="0.25">
      <c r="K5871" s="8" t="e">
        <f t="shared" si="91"/>
        <v>#VALUE!</v>
      </c>
    </row>
    <row r="5872" spans="11:11" x14ac:dyDescent="0.25">
      <c r="K5872" s="8" t="e">
        <f t="shared" si="91"/>
        <v>#VALUE!</v>
      </c>
    </row>
    <row r="5873" spans="11:11" x14ac:dyDescent="0.25">
      <c r="K5873" s="8" t="e">
        <f t="shared" si="91"/>
        <v>#VALUE!</v>
      </c>
    </row>
    <row r="5874" spans="11:11" x14ac:dyDescent="0.25">
      <c r="K5874" s="8" t="e">
        <f t="shared" si="91"/>
        <v>#VALUE!</v>
      </c>
    </row>
    <row r="5875" spans="11:11" x14ac:dyDescent="0.25">
      <c r="K5875" s="8" t="e">
        <f t="shared" si="91"/>
        <v>#VALUE!</v>
      </c>
    </row>
    <row r="5876" spans="11:11" x14ac:dyDescent="0.25">
      <c r="K5876" s="8" t="e">
        <f t="shared" si="91"/>
        <v>#VALUE!</v>
      </c>
    </row>
    <row r="5877" spans="11:11" x14ac:dyDescent="0.25">
      <c r="K5877" s="8" t="e">
        <f t="shared" si="91"/>
        <v>#VALUE!</v>
      </c>
    </row>
    <row r="5878" spans="11:11" x14ac:dyDescent="0.25">
      <c r="K5878" s="8" t="e">
        <f t="shared" si="91"/>
        <v>#VALUE!</v>
      </c>
    </row>
    <row r="5879" spans="11:11" x14ac:dyDescent="0.25">
      <c r="K5879" s="8" t="e">
        <f t="shared" si="91"/>
        <v>#VALUE!</v>
      </c>
    </row>
    <row r="5880" spans="11:11" x14ac:dyDescent="0.25">
      <c r="K5880" s="8" t="e">
        <f t="shared" si="91"/>
        <v>#VALUE!</v>
      </c>
    </row>
    <row r="5881" spans="11:11" x14ac:dyDescent="0.25">
      <c r="K5881" s="8" t="e">
        <f t="shared" si="91"/>
        <v>#VALUE!</v>
      </c>
    </row>
    <row r="5882" spans="11:11" x14ac:dyDescent="0.25">
      <c r="K5882" s="8" t="e">
        <f t="shared" si="91"/>
        <v>#VALUE!</v>
      </c>
    </row>
    <row r="5883" spans="11:11" x14ac:dyDescent="0.25">
      <c r="K5883" s="8" t="e">
        <f t="shared" si="91"/>
        <v>#VALUE!</v>
      </c>
    </row>
    <row r="5884" spans="11:11" x14ac:dyDescent="0.25">
      <c r="K5884" s="8" t="e">
        <f t="shared" si="91"/>
        <v>#VALUE!</v>
      </c>
    </row>
    <row r="5885" spans="11:11" x14ac:dyDescent="0.25">
      <c r="K5885" s="8" t="e">
        <f t="shared" si="91"/>
        <v>#VALUE!</v>
      </c>
    </row>
    <row r="5886" spans="11:11" x14ac:dyDescent="0.25">
      <c r="K5886" s="8" t="e">
        <f t="shared" si="91"/>
        <v>#VALUE!</v>
      </c>
    </row>
    <row r="5887" spans="11:11" x14ac:dyDescent="0.25">
      <c r="K5887" s="8" t="e">
        <f t="shared" si="91"/>
        <v>#VALUE!</v>
      </c>
    </row>
    <row r="5888" spans="11:11" x14ac:dyDescent="0.25">
      <c r="K5888" s="8" t="e">
        <f t="shared" si="91"/>
        <v>#VALUE!</v>
      </c>
    </row>
    <row r="5889" spans="11:11" x14ac:dyDescent="0.25">
      <c r="K5889" s="8" t="e">
        <f t="shared" si="91"/>
        <v>#VALUE!</v>
      </c>
    </row>
    <row r="5890" spans="11:11" x14ac:dyDescent="0.25">
      <c r="K5890" s="8" t="e">
        <f t="shared" si="91"/>
        <v>#VALUE!</v>
      </c>
    </row>
    <row r="5891" spans="11:11" x14ac:dyDescent="0.25">
      <c r="K5891" s="8" t="e">
        <f t="shared" ref="K5891:K5954" si="92">LEFT(A5891,FIND("/",A5891)-1)</f>
        <v>#VALUE!</v>
      </c>
    </row>
    <row r="5892" spans="11:11" x14ac:dyDescent="0.25">
      <c r="K5892" s="8" t="e">
        <f t="shared" si="92"/>
        <v>#VALUE!</v>
      </c>
    </row>
    <row r="5893" spans="11:11" x14ac:dyDescent="0.25">
      <c r="K5893" s="8" t="e">
        <f t="shared" si="92"/>
        <v>#VALUE!</v>
      </c>
    </row>
    <row r="5894" spans="11:11" x14ac:dyDescent="0.25">
      <c r="K5894" s="8" t="e">
        <f t="shared" si="92"/>
        <v>#VALUE!</v>
      </c>
    </row>
    <row r="5895" spans="11:11" x14ac:dyDescent="0.25">
      <c r="K5895" s="8" t="e">
        <f t="shared" si="92"/>
        <v>#VALUE!</v>
      </c>
    </row>
    <row r="5896" spans="11:11" x14ac:dyDescent="0.25">
      <c r="K5896" s="8" t="e">
        <f t="shared" si="92"/>
        <v>#VALUE!</v>
      </c>
    </row>
    <row r="5897" spans="11:11" x14ac:dyDescent="0.25">
      <c r="K5897" s="8" t="e">
        <f t="shared" si="92"/>
        <v>#VALUE!</v>
      </c>
    </row>
    <row r="5898" spans="11:11" x14ac:dyDescent="0.25">
      <c r="K5898" s="8" t="e">
        <f t="shared" si="92"/>
        <v>#VALUE!</v>
      </c>
    </row>
    <row r="5899" spans="11:11" x14ac:dyDescent="0.25">
      <c r="K5899" s="8" t="e">
        <f t="shared" si="92"/>
        <v>#VALUE!</v>
      </c>
    </row>
    <row r="5900" spans="11:11" x14ac:dyDescent="0.25">
      <c r="K5900" s="8" t="e">
        <f t="shared" si="92"/>
        <v>#VALUE!</v>
      </c>
    </row>
    <row r="5901" spans="11:11" x14ac:dyDescent="0.25">
      <c r="K5901" s="8" t="e">
        <f t="shared" si="92"/>
        <v>#VALUE!</v>
      </c>
    </row>
    <row r="5902" spans="11:11" x14ac:dyDescent="0.25">
      <c r="K5902" s="8" t="e">
        <f t="shared" si="92"/>
        <v>#VALUE!</v>
      </c>
    </row>
    <row r="5903" spans="11:11" x14ac:dyDescent="0.25">
      <c r="K5903" s="8" t="e">
        <f t="shared" si="92"/>
        <v>#VALUE!</v>
      </c>
    </row>
    <row r="5904" spans="11:11" x14ac:dyDescent="0.25">
      <c r="K5904" s="8" t="e">
        <f t="shared" si="92"/>
        <v>#VALUE!</v>
      </c>
    </row>
    <row r="5905" spans="11:11" x14ac:dyDescent="0.25">
      <c r="K5905" s="8" t="e">
        <f t="shared" si="92"/>
        <v>#VALUE!</v>
      </c>
    </row>
    <row r="5906" spans="11:11" x14ac:dyDescent="0.25">
      <c r="K5906" s="8" t="e">
        <f t="shared" si="92"/>
        <v>#VALUE!</v>
      </c>
    </row>
    <row r="5907" spans="11:11" x14ac:dyDescent="0.25">
      <c r="K5907" s="8" t="e">
        <f t="shared" si="92"/>
        <v>#VALUE!</v>
      </c>
    </row>
    <row r="5908" spans="11:11" x14ac:dyDescent="0.25">
      <c r="K5908" s="8" t="e">
        <f t="shared" si="92"/>
        <v>#VALUE!</v>
      </c>
    </row>
    <row r="5909" spans="11:11" x14ac:dyDescent="0.25">
      <c r="K5909" s="8" t="e">
        <f t="shared" si="92"/>
        <v>#VALUE!</v>
      </c>
    </row>
    <row r="5910" spans="11:11" x14ac:dyDescent="0.25">
      <c r="K5910" s="8" t="e">
        <f t="shared" si="92"/>
        <v>#VALUE!</v>
      </c>
    </row>
    <row r="5911" spans="11:11" x14ac:dyDescent="0.25">
      <c r="K5911" s="8" t="e">
        <f t="shared" si="92"/>
        <v>#VALUE!</v>
      </c>
    </row>
    <row r="5912" spans="11:11" x14ac:dyDescent="0.25">
      <c r="K5912" s="8" t="e">
        <f t="shared" si="92"/>
        <v>#VALUE!</v>
      </c>
    </row>
    <row r="5913" spans="11:11" x14ac:dyDescent="0.25">
      <c r="K5913" s="8" t="e">
        <f t="shared" si="92"/>
        <v>#VALUE!</v>
      </c>
    </row>
    <row r="5914" spans="11:11" x14ac:dyDescent="0.25">
      <c r="K5914" s="8" t="e">
        <f t="shared" si="92"/>
        <v>#VALUE!</v>
      </c>
    </row>
    <row r="5915" spans="11:11" x14ac:dyDescent="0.25">
      <c r="K5915" s="8" t="e">
        <f t="shared" si="92"/>
        <v>#VALUE!</v>
      </c>
    </row>
    <row r="5916" spans="11:11" x14ac:dyDescent="0.25">
      <c r="K5916" s="8" t="e">
        <f t="shared" si="92"/>
        <v>#VALUE!</v>
      </c>
    </row>
    <row r="5917" spans="11:11" x14ac:dyDescent="0.25">
      <c r="K5917" s="8" t="e">
        <f t="shared" si="92"/>
        <v>#VALUE!</v>
      </c>
    </row>
    <row r="5918" spans="11:11" x14ac:dyDescent="0.25">
      <c r="K5918" s="8" t="e">
        <f t="shared" si="92"/>
        <v>#VALUE!</v>
      </c>
    </row>
    <row r="5919" spans="11:11" x14ac:dyDescent="0.25">
      <c r="K5919" s="8" t="e">
        <f t="shared" si="92"/>
        <v>#VALUE!</v>
      </c>
    </row>
    <row r="5920" spans="11:11" x14ac:dyDescent="0.25">
      <c r="K5920" s="8" t="e">
        <f t="shared" si="92"/>
        <v>#VALUE!</v>
      </c>
    </row>
    <row r="5921" spans="11:11" x14ac:dyDescent="0.25">
      <c r="K5921" s="8" t="e">
        <f t="shared" si="92"/>
        <v>#VALUE!</v>
      </c>
    </row>
    <row r="5922" spans="11:11" x14ac:dyDescent="0.25">
      <c r="K5922" s="8" t="e">
        <f t="shared" si="92"/>
        <v>#VALUE!</v>
      </c>
    </row>
    <row r="5923" spans="11:11" x14ac:dyDescent="0.25">
      <c r="K5923" s="8" t="e">
        <f t="shared" si="92"/>
        <v>#VALUE!</v>
      </c>
    </row>
    <row r="5924" spans="11:11" x14ac:dyDescent="0.25">
      <c r="K5924" s="8" t="e">
        <f t="shared" si="92"/>
        <v>#VALUE!</v>
      </c>
    </row>
    <row r="5925" spans="11:11" x14ac:dyDescent="0.25">
      <c r="K5925" s="8" t="e">
        <f t="shared" si="92"/>
        <v>#VALUE!</v>
      </c>
    </row>
    <row r="5926" spans="11:11" x14ac:dyDescent="0.25">
      <c r="K5926" s="8" t="e">
        <f t="shared" si="92"/>
        <v>#VALUE!</v>
      </c>
    </row>
    <row r="5927" spans="11:11" x14ac:dyDescent="0.25">
      <c r="K5927" s="8" t="e">
        <f t="shared" si="92"/>
        <v>#VALUE!</v>
      </c>
    </row>
    <row r="5928" spans="11:11" x14ac:dyDescent="0.25">
      <c r="K5928" s="8" t="e">
        <f t="shared" si="92"/>
        <v>#VALUE!</v>
      </c>
    </row>
    <row r="5929" spans="11:11" x14ac:dyDescent="0.25">
      <c r="K5929" s="8" t="e">
        <f t="shared" si="92"/>
        <v>#VALUE!</v>
      </c>
    </row>
    <row r="5930" spans="11:11" x14ac:dyDescent="0.25">
      <c r="K5930" s="8" t="e">
        <f t="shared" si="92"/>
        <v>#VALUE!</v>
      </c>
    </row>
    <row r="5931" spans="11:11" x14ac:dyDescent="0.25">
      <c r="K5931" s="8" t="e">
        <f t="shared" si="92"/>
        <v>#VALUE!</v>
      </c>
    </row>
    <row r="5932" spans="11:11" x14ac:dyDescent="0.25">
      <c r="K5932" s="8" t="e">
        <f t="shared" si="92"/>
        <v>#VALUE!</v>
      </c>
    </row>
    <row r="5933" spans="11:11" x14ac:dyDescent="0.25">
      <c r="K5933" s="8" t="e">
        <f t="shared" si="92"/>
        <v>#VALUE!</v>
      </c>
    </row>
    <row r="5934" spans="11:11" x14ac:dyDescent="0.25">
      <c r="K5934" s="8" t="e">
        <f t="shared" si="92"/>
        <v>#VALUE!</v>
      </c>
    </row>
    <row r="5935" spans="11:11" x14ac:dyDescent="0.25">
      <c r="K5935" s="8" t="e">
        <f t="shared" si="92"/>
        <v>#VALUE!</v>
      </c>
    </row>
    <row r="5936" spans="11:11" x14ac:dyDescent="0.25">
      <c r="K5936" s="8" t="e">
        <f t="shared" si="92"/>
        <v>#VALUE!</v>
      </c>
    </row>
    <row r="5937" spans="11:11" x14ac:dyDescent="0.25">
      <c r="K5937" s="8" t="e">
        <f t="shared" si="92"/>
        <v>#VALUE!</v>
      </c>
    </row>
    <row r="5938" spans="11:11" x14ac:dyDescent="0.25">
      <c r="K5938" s="8" t="e">
        <f t="shared" si="92"/>
        <v>#VALUE!</v>
      </c>
    </row>
    <row r="5939" spans="11:11" x14ac:dyDescent="0.25">
      <c r="K5939" s="8" t="e">
        <f t="shared" si="92"/>
        <v>#VALUE!</v>
      </c>
    </row>
    <row r="5940" spans="11:11" x14ac:dyDescent="0.25">
      <c r="K5940" s="8" t="e">
        <f t="shared" si="92"/>
        <v>#VALUE!</v>
      </c>
    </row>
    <row r="5941" spans="11:11" x14ac:dyDescent="0.25">
      <c r="K5941" s="8" t="e">
        <f t="shared" si="92"/>
        <v>#VALUE!</v>
      </c>
    </row>
    <row r="5942" spans="11:11" x14ac:dyDescent="0.25">
      <c r="K5942" s="8" t="e">
        <f t="shared" si="92"/>
        <v>#VALUE!</v>
      </c>
    </row>
    <row r="5943" spans="11:11" x14ac:dyDescent="0.25">
      <c r="K5943" s="8" t="e">
        <f t="shared" si="92"/>
        <v>#VALUE!</v>
      </c>
    </row>
    <row r="5944" spans="11:11" x14ac:dyDescent="0.25">
      <c r="K5944" s="8" t="e">
        <f t="shared" si="92"/>
        <v>#VALUE!</v>
      </c>
    </row>
    <row r="5945" spans="11:11" x14ac:dyDescent="0.25">
      <c r="K5945" s="8" t="e">
        <f t="shared" si="92"/>
        <v>#VALUE!</v>
      </c>
    </row>
    <row r="5946" spans="11:11" x14ac:dyDescent="0.25">
      <c r="K5946" s="8" t="e">
        <f t="shared" si="92"/>
        <v>#VALUE!</v>
      </c>
    </row>
    <row r="5947" spans="11:11" x14ac:dyDescent="0.25">
      <c r="K5947" s="8" t="e">
        <f t="shared" si="92"/>
        <v>#VALUE!</v>
      </c>
    </row>
    <row r="5948" spans="11:11" x14ac:dyDescent="0.25">
      <c r="K5948" s="8" t="e">
        <f t="shared" si="92"/>
        <v>#VALUE!</v>
      </c>
    </row>
    <row r="5949" spans="11:11" x14ac:dyDescent="0.25">
      <c r="K5949" s="8" t="e">
        <f t="shared" si="92"/>
        <v>#VALUE!</v>
      </c>
    </row>
    <row r="5950" spans="11:11" x14ac:dyDescent="0.25">
      <c r="K5950" s="8" t="e">
        <f t="shared" si="92"/>
        <v>#VALUE!</v>
      </c>
    </row>
    <row r="5951" spans="11:11" x14ac:dyDescent="0.25">
      <c r="K5951" s="8" t="e">
        <f t="shared" si="92"/>
        <v>#VALUE!</v>
      </c>
    </row>
    <row r="5952" spans="11:11" x14ac:dyDescent="0.25">
      <c r="K5952" s="8" t="e">
        <f t="shared" si="92"/>
        <v>#VALUE!</v>
      </c>
    </row>
    <row r="5953" spans="11:11" x14ac:dyDescent="0.25">
      <c r="K5953" s="8" t="e">
        <f t="shared" si="92"/>
        <v>#VALUE!</v>
      </c>
    </row>
    <row r="5954" spans="11:11" x14ac:dyDescent="0.25">
      <c r="K5954" s="8" t="e">
        <f t="shared" si="92"/>
        <v>#VALUE!</v>
      </c>
    </row>
    <row r="5955" spans="11:11" x14ac:dyDescent="0.25">
      <c r="K5955" s="8" t="e">
        <f t="shared" ref="K5955:K6018" si="93">LEFT(A5955,FIND("/",A5955)-1)</f>
        <v>#VALUE!</v>
      </c>
    </row>
    <row r="5956" spans="11:11" x14ac:dyDescent="0.25">
      <c r="K5956" s="8" t="e">
        <f t="shared" si="93"/>
        <v>#VALUE!</v>
      </c>
    </row>
    <row r="5957" spans="11:11" x14ac:dyDescent="0.25">
      <c r="K5957" s="8" t="e">
        <f t="shared" si="93"/>
        <v>#VALUE!</v>
      </c>
    </row>
    <row r="5958" spans="11:11" x14ac:dyDescent="0.25">
      <c r="K5958" s="8" t="e">
        <f t="shared" si="93"/>
        <v>#VALUE!</v>
      </c>
    </row>
    <row r="5959" spans="11:11" x14ac:dyDescent="0.25">
      <c r="K5959" s="8" t="e">
        <f t="shared" si="93"/>
        <v>#VALUE!</v>
      </c>
    </row>
    <row r="5960" spans="11:11" x14ac:dyDescent="0.25">
      <c r="K5960" s="8" t="e">
        <f t="shared" si="93"/>
        <v>#VALUE!</v>
      </c>
    </row>
    <row r="5961" spans="11:11" x14ac:dyDescent="0.25">
      <c r="K5961" s="8" t="e">
        <f t="shared" si="93"/>
        <v>#VALUE!</v>
      </c>
    </row>
    <row r="5962" spans="11:11" x14ac:dyDescent="0.25">
      <c r="K5962" s="8" t="e">
        <f t="shared" si="93"/>
        <v>#VALUE!</v>
      </c>
    </row>
    <row r="5963" spans="11:11" x14ac:dyDescent="0.25">
      <c r="K5963" s="8" t="e">
        <f t="shared" si="93"/>
        <v>#VALUE!</v>
      </c>
    </row>
    <row r="5964" spans="11:11" x14ac:dyDescent="0.25">
      <c r="K5964" s="8" t="e">
        <f t="shared" si="93"/>
        <v>#VALUE!</v>
      </c>
    </row>
    <row r="5965" spans="11:11" x14ac:dyDescent="0.25">
      <c r="K5965" s="8" t="e">
        <f t="shared" si="93"/>
        <v>#VALUE!</v>
      </c>
    </row>
    <row r="5966" spans="11:11" x14ac:dyDescent="0.25">
      <c r="K5966" s="8" t="e">
        <f t="shared" si="93"/>
        <v>#VALUE!</v>
      </c>
    </row>
    <row r="5967" spans="11:11" x14ac:dyDescent="0.25">
      <c r="K5967" s="8" t="e">
        <f t="shared" si="93"/>
        <v>#VALUE!</v>
      </c>
    </row>
    <row r="5968" spans="11:11" x14ac:dyDescent="0.25">
      <c r="K5968" s="8" t="e">
        <f t="shared" si="93"/>
        <v>#VALUE!</v>
      </c>
    </row>
    <row r="5969" spans="11:11" x14ac:dyDescent="0.25">
      <c r="K5969" s="8" t="e">
        <f t="shared" si="93"/>
        <v>#VALUE!</v>
      </c>
    </row>
    <row r="5970" spans="11:11" x14ac:dyDescent="0.25">
      <c r="K5970" s="8" t="e">
        <f t="shared" si="93"/>
        <v>#VALUE!</v>
      </c>
    </row>
    <row r="5971" spans="11:11" x14ac:dyDescent="0.25">
      <c r="K5971" s="8" t="e">
        <f t="shared" si="93"/>
        <v>#VALUE!</v>
      </c>
    </row>
    <row r="5972" spans="11:11" x14ac:dyDescent="0.25">
      <c r="K5972" s="8" t="e">
        <f t="shared" si="93"/>
        <v>#VALUE!</v>
      </c>
    </row>
    <row r="5973" spans="11:11" x14ac:dyDescent="0.25">
      <c r="K5973" s="8" t="e">
        <f t="shared" si="93"/>
        <v>#VALUE!</v>
      </c>
    </row>
    <row r="5974" spans="11:11" x14ac:dyDescent="0.25">
      <c r="K5974" s="8" t="e">
        <f t="shared" si="93"/>
        <v>#VALUE!</v>
      </c>
    </row>
    <row r="5975" spans="11:11" x14ac:dyDescent="0.25">
      <c r="K5975" s="8" t="e">
        <f t="shared" si="93"/>
        <v>#VALUE!</v>
      </c>
    </row>
    <row r="5976" spans="11:11" x14ac:dyDescent="0.25">
      <c r="K5976" s="8" t="e">
        <f t="shared" si="93"/>
        <v>#VALUE!</v>
      </c>
    </row>
    <row r="5977" spans="11:11" x14ac:dyDescent="0.25">
      <c r="K5977" s="8" t="e">
        <f t="shared" si="93"/>
        <v>#VALUE!</v>
      </c>
    </row>
    <row r="5978" spans="11:11" x14ac:dyDescent="0.25">
      <c r="K5978" s="8" t="e">
        <f t="shared" si="93"/>
        <v>#VALUE!</v>
      </c>
    </row>
    <row r="5979" spans="11:11" x14ac:dyDescent="0.25">
      <c r="K5979" s="8" t="e">
        <f t="shared" si="93"/>
        <v>#VALUE!</v>
      </c>
    </row>
    <row r="5980" spans="11:11" x14ac:dyDescent="0.25">
      <c r="K5980" s="8" t="e">
        <f t="shared" si="93"/>
        <v>#VALUE!</v>
      </c>
    </row>
    <row r="5981" spans="11:11" x14ac:dyDescent="0.25">
      <c r="K5981" s="8" t="e">
        <f t="shared" si="93"/>
        <v>#VALUE!</v>
      </c>
    </row>
    <row r="5982" spans="11:11" x14ac:dyDescent="0.25">
      <c r="K5982" s="8" t="e">
        <f t="shared" si="93"/>
        <v>#VALUE!</v>
      </c>
    </row>
    <row r="5983" spans="11:11" x14ac:dyDescent="0.25">
      <c r="K5983" s="8" t="e">
        <f t="shared" si="93"/>
        <v>#VALUE!</v>
      </c>
    </row>
    <row r="5984" spans="11:11" x14ac:dyDescent="0.25">
      <c r="K5984" s="8" t="e">
        <f t="shared" si="93"/>
        <v>#VALUE!</v>
      </c>
    </row>
    <row r="5985" spans="11:11" x14ac:dyDescent="0.25">
      <c r="K5985" s="8" t="e">
        <f t="shared" si="93"/>
        <v>#VALUE!</v>
      </c>
    </row>
    <row r="5986" spans="11:11" x14ac:dyDescent="0.25">
      <c r="K5986" s="8" t="e">
        <f t="shared" si="93"/>
        <v>#VALUE!</v>
      </c>
    </row>
    <row r="5987" spans="11:11" x14ac:dyDescent="0.25">
      <c r="K5987" s="8" t="e">
        <f t="shared" si="93"/>
        <v>#VALUE!</v>
      </c>
    </row>
    <row r="5988" spans="11:11" x14ac:dyDescent="0.25">
      <c r="K5988" s="8" t="e">
        <f t="shared" si="93"/>
        <v>#VALUE!</v>
      </c>
    </row>
    <row r="5989" spans="11:11" x14ac:dyDescent="0.25">
      <c r="K5989" s="8" t="e">
        <f t="shared" si="93"/>
        <v>#VALUE!</v>
      </c>
    </row>
    <row r="5990" spans="11:11" x14ac:dyDescent="0.25">
      <c r="K5990" s="8" t="e">
        <f t="shared" si="93"/>
        <v>#VALUE!</v>
      </c>
    </row>
    <row r="5991" spans="11:11" x14ac:dyDescent="0.25">
      <c r="K5991" s="8" t="e">
        <f t="shared" si="93"/>
        <v>#VALUE!</v>
      </c>
    </row>
    <row r="5992" spans="11:11" x14ac:dyDescent="0.25">
      <c r="K5992" s="8" t="e">
        <f t="shared" si="93"/>
        <v>#VALUE!</v>
      </c>
    </row>
    <row r="5993" spans="11:11" x14ac:dyDescent="0.25">
      <c r="K5993" s="8" t="e">
        <f t="shared" si="93"/>
        <v>#VALUE!</v>
      </c>
    </row>
    <row r="5994" spans="11:11" x14ac:dyDescent="0.25">
      <c r="K5994" s="8" t="e">
        <f t="shared" si="93"/>
        <v>#VALUE!</v>
      </c>
    </row>
    <row r="5995" spans="11:11" x14ac:dyDescent="0.25">
      <c r="K5995" s="8" t="e">
        <f t="shared" si="93"/>
        <v>#VALUE!</v>
      </c>
    </row>
    <row r="5996" spans="11:11" x14ac:dyDescent="0.25">
      <c r="K5996" s="8" t="e">
        <f t="shared" si="93"/>
        <v>#VALUE!</v>
      </c>
    </row>
    <row r="5997" spans="11:11" x14ac:dyDescent="0.25">
      <c r="K5997" s="8" t="e">
        <f t="shared" si="93"/>
        <v>#VALUE!</v>
      </c>
    </row>
    <row r="5998" spans="11:11" x14ac:dyDescent="0.25">
      <c r="K5998" s="8" t="e">
        <f t="shared" si="93"/>
        <v>#VALUE!</v>
      </c>
    </row>
    <row r="5999" spans="11:11" x14ac:dyDescent="0.25">
      <c r="K5999" s="8" t="e">
        <f t="shared" si="93"/>
        <v>#VALUE!</v>
      </c>
    </row>
    <row r="6000" spans="11:11" x14ac:dyDescent="0.25">
      <c r="K6000" s="8" t="e">
        <f t="shared" si="93"/>
        <v>#VALUE!</v>
      </c>
    </row>
    <row r="6001" spans="11:11" x14ac:dyDescent="0.25">
      <c r="K6001" s="8" t="e">
        <f t="shared" si="93"/>
        <v>#VALUE!</v>
      </c>
    </row>
    <row r="6002" spans="11:11" x14ac:dyDescent="0.25">
      <c r="K6002" s="8" t="e">
        <f t="shared" si="93"/>
        <v>#VALUE!</v>
      </c>
    </row>
    <row r="6003" spans="11:11" x14ac:dyDescent="0.25">
      <c r="K6003" s="8" t="e">
        <f t="shared" si="93"/>
        <v>#VALUE!</v>
      </c>
    </row>
    <row r="6004" spans="11:11" x14ac:dyDescent="0.25">
      <c r="K6004" s="8" t="e">
        <f t="shared" si="93"/>
        <v>#VALUE!</v>
      </c>
    </row>
    <row r="6005" spans="11:11" x14ac:dyDescent="0.25">
      <c r="K6005" s="8" t="e">
        <f t="shared" si="93"/>
        <v>#VALUE!</v>
      </c>
    </row>
    <row r="6006" spans="11:11" x14ac:dyDescent="0.25">
      <c r="K6006" s="8" t="e">
        <f t="shared" si="93"/>
        <v>#VALUE!</v>
      </c>
    </row>
    <row r="6007" spans="11:11" x14ac:dyDescent="0.25">
      <c r="K6007" s="8" t="e">
        <f t="shared" si="93"/>
        <v>#VALUE!</v>
      </c>
    </row>
    <row r="6008" spans="11:11" x14ac:dyDescent="0.25">
      <c r="K6008" s="8" t="e">
        <f t="shared" si="93"/>
        <v>#VALUE!</v>
      </c>
    </row>
    <row r="6009" spans="11:11" x14ac:dyDescent="0.25">
      <c r="K6009" s="8" t="e">
        <f t="shared" si="93"/>
        <v>#VALUE!</v>
      </c>
    </row>
    <row r="6010" spans="11:11" x14ac:dyDescent="0.25">
      <c r="K6010" s="8" t="e">
        <f t="shared" si="93"/>
        <v>#VALUE!</v>
      </c>
    </row>
    <row r="6011" spans="11:11" x14ac:dyDescent="0.25">
      <c r="K6011" s="8" t="e">
        <f t="shared" si="93"/>
        <v>#VALUE!</v>
      </c>
    </row>
    <row r="6012" spans="11:11" x14ac:dyDescent="0.25">
      <c r="K6012" s="8" t="e">
        <f t="shared" si="93"/>
        <v>#VALUE!</v>
      </c>
    </row>
    <row r="6013" spans="11:11" x14ac:dyDescent="0.25">
      <c r="K6013" s="8" t="e">
        <f t="shared" si="93"/>
        <v>#VALUE!</v>
      </c>
    </row>
    <row r="6014" spans="11:11" x14ac:dyDescent="0.25">
      <c r="K6014" s="8" t="e">
        <f t="shared" si="93"/>
        <v>#VALUE!</v>
      </c>
    </row>
    <row r="6015" spans="11:11" x14ac:dyDescent="0.25">
      <c r="K6015" s="8" t="e">
        <f t="shared" si="93"/>
        <v>#VALUE!</v>
      </c>
    </row>
    <row r="6016" spans="11:11" x14ac:dyDescent="0.25">
      <c r="K6016" s="8" t="e">
        <f t="shared" si="93"/>
        <v>#VALUE!</v>
      </c>
    </row>
    <row r="6017" spans="11:11" x14ac:dyDescent="0.25">
      <c r="K6017" s="8" t="e">
        <f t="shared" si="93"/>
        <v>#VALUE!</v>
      </c>
    </row>
    <row r="6018" spans="11:11" x14ac:dyDescent="0.25">
      <c r="K6018" s="8" t="e">
        <f t="shared" si="93"/>
        <v>#VALUE!</v>
      </c>
    </row>
    <row r="6019" spans="11:11" x14ac:dyDescent="0.25">
      <c r="K6019" s="8" t="e">
        <f t="shared" ref="K6019:K6082" si="94">LEFT(A6019,FIND("/",A6019)-1)</f>
        <v>#VALUE!</v>
      </c>
    </row>
    <row r="6020" spans="11:11" x14ac:dyDescent="0.25">
      <c r="K6020" s="8" t="e">
        <f t="shared" si="94"/>
        <v>#VALUE!</v>
      </c>
    </row>
    <row r="6021" spans="11:11" x14ac:dyDescent="0.25">
      <c r="K6021" s="8" t="e">
        <f t="shared" si="94"/>
        <v>#VALUE!</v>
      </c>
    </row>
    <row r="6022" spans="11:11" x14ac:dyDescent="0.25">
      <c r="K6022" s="8" t="e">
        <f t="shared" si="94"/>
        <v>#VALUE!</v>
      </c>
    </row>
    <row r="6023" spans="11:11" x14ac:dyDescent="0.25">
      <c r="K6023" s="8" t="e">
        <f t="shared" si="94"/>
        <v>#VALUE!</v>
      </c>
    </row>
    <row r="6024" spans="11:11" x14ac:dyDescent="0.25">
      <c r="K6024" s="8" t="e">
        <f t="shared" si="94"/>
        <v>#VALUE!</v>
      </c>
    </row>
    <row r="6025" spans="11:11" x14ac:dyDescent="0.25">
      <c r="K6025" s="8" t="e">
        <f t="shared" si="94"/>
        <v>#VALUE!</v>
      </c>
    </row>
    <row r="6026" spans="11:11" x14ac:dyDescent="0.25">
      <c r="K6026" s="8" t="e">
        <f t="shared" si="94"/>
        <v>#VALUE!</v>
      </c>
    </row>
    <row r="6027" spans="11:11" x14ac:dyDescent="0.25">
      <c r="K6027" s="8" t="e">
        <f t="shared" si="94"/>
        <v>#VALUE!</v>
      </c>
    </row>
    <row r="6028" spans="11:11" x14ac:dyDescent="0.25">
      <c r="K6028" s="8" t="e">
        <f t="shared" si="94"/>
        <v>#VALUE!</v>
      </c>
    </row>
    <row r="6029" spans="11:11" x14ac:dyDescent="0.25">
      <c r="K6029" s="8" t="e">
        <f t="shared" si="94"/>
        <v>#VALUE!</v>
      </c>
    </row>
    <row r="6030" spans="11:11" x14ac:dyDescent="0.25">
      <c r="K6030" s="8" t="e">
        <f t="shared" si="94"/>
        <v>#VALUE!</v>
      </c>
    </row>
    <row r="6031" spans="11:11" x14ac:dyDescent="0.25">
      <c r="K6031" s="8" t="e">
        <f t="shared" si="94"/>
        <v>#VALUE!</v>
      </c>
    </row>
    <row r="6032" spans="11:11" x14ac:dyDescent="0.25">
      <c r="K6032" s="8" t="e">
        <f t="shared" si="94"/>
        <v>#VALUE!</v>
      </c>
    </row>
    <row r="6033" spans="11:11" x14ac:dyDescent="0.25">
      <c r="K6033" s="8" t="e">
        <f t="shared" si="94"/>
        <v>#VALUE!</v>
      </c>
    </row>
    <row r="6034" spans="11:11" x14ac:dyDescent="0.25">
      <c r="K6034" s="8" t="e">
        <f t="shared" si="94"/>
        <v>#VALUE!</v>
      </c>
    </row>
    <row r="6035" spans="11:11" x14ac:dyDescent="0.25">
      <c r="K6035" s="8" t="e">
        <f t="shared" si="94"/>
        <v>#VALUE!</v>
      </c>
    </row>
    <row r="6036" spans="11:11" x14ac:dyDescent="0.25">
      <c r="K6036" s="8" t="e">
        <f t="shared" si="94"/>
        <v>#VALUE!</v>
      </c>
    </row>
    <row r="6037" spans="11:11" x14ac:dyDescent="0.25">
      <c r="K6037" s="8" t="e">
        <f t="shared" si="94"/>
        <v>#VALUE!</v>
      </c>
    </row>
    <row r="6038" spans="11:11" x14ac:dyDescent="0.25">
      <c r="K6038" s="8" t="e">
        <f t="shared" si="94"/>
        <v>#VALUE!</v>
      </c>
    </row>
    <row r="6039" spans="11:11" x14ac:dyDescent="0.25">
      <c r="K6039" s="8" t="e">
        <f t="shared" si="94"/>
        <v>#VALUE!</v>
      </c>
    </row>
    <row r="6040" spans="11:11" x14ac:dyDescent="0.25">
      <c r="K6040" s="8" t="e">
        <f t="shared" si="94"/>
        <v>#VALUE!</v>
      </c>
    </row>
    <row r="6041" spans="11:11" x14ac:dyDescent="0.25">
      <c r="K6041" s="8" t="e">
        <f t="shared" si="94"/>
        <v>#VALUE!</v>
      </c>
    </row>
    <row r="6042" spans="11:11" x14ac:dyDescent="0.25">
      <c r="K6042" s="8" t="e">
        <f t="shared" si="94"/>
        <v>#VALUE!</v>
      </c>
    </row>
    <row r="6043" spans="11:11" x14ac:dyDescent="0.25">
      <c r="K6043" s="8" t="e">
        <f t="shared" si="94"/>
        <v>#VALUE!</v>
      </c>
    </row>
    <row r="6044" spans="11:11" x14ac:dyDescent="0.25">
      <c r="K6044" s="8" t="e">
        <f t="shared" si="94"/>
        <v>#VALUE!</v>
      </c>
    </row>
    <row r="6045" spans="11:11" x14ac:dyDescent="0.25">
      <c r="K6045" s="8" t="e">
        <f t="shared" si="94"/>
        <v>#VALUE!</v>
      </c>
    </row>
    <row r="6046" spans="11:11" x14ac:dyDescent="0.25">
      <c r="K6046" s="8" t="e">
        <f t="shared" si="94"/>
        <v>#VALUE!</v>
      </c>
    </row>
    <row r="6047" spans="11:11" x14ac:dyDescent="0.25">
      <c r="K6047" s="8" t="e">
        <f t="shared" si="94"/>
        <v>#VALUE!</v>
      </c>
    </row>
    <row r="6048" spans="11:11" x14ac:dyDescent="0.25">
      <c r="K6048" s="8" t="e">
        <f t="shared" si="94"/>
        <v>#VALUE!</v>
      </c>
    </row>
    <row r="6049" spans="11:11" x14ac:dyDescent="0.25">
      <c r="K6049" s="8" t="e">
        <f t="shared" si="94"/>
        <v>#VALUE!</v>
      </c>
    </row>
    <row r="6050" spans="11:11" x14ac:dyDescent="0.25">
      <c r="K6050" s="8" t="e">
        <f t="shared" si="94"/>
        <v>#VALUE!</v>
      </c>
    </row>
    <row r="6051" spans="11:11" x14ac:dyDescent="0.25">
      <c r="K6051" s="8" t="e">
        <f t="shared" si="94"/>
        <v>#VALUE!</v>
      </c>
    </row>
    <row r="6052" spans="11:11" x14ac:dyDescent="0.25">
      <c r="K6052" s="8" t="e">
        <f t="shared" si="94"/>
        <v>#VALUE!</v>
      </c>
    </row>
    <row r="6053" spans="11:11" x14ac:dyDescent="0.25">
      <c r="K6053" s="8" t="e">
        <f t="shared" si="94"/>
        <v>#VALUE!</v>
      </c>
    </row>
    <row r="6054" spans="11:11" x14ac:dyDescent="0.25">
      <c r="K6054" s="8" t="e">
        <f t="shared" si="94"/>
        <v>#VALUE!</v>
      </c>
    </row>
    <row r="6055" spans="11:11" x14ac:dyDescent="0.25">
      <c r="K6055" s="8" t="e">
        <f t="shared" si="94"/>
        <v>#VALUE!</v>
      </c>
    </row>
    <row r="6056" spans="11:11" x14ac:dyDescent="0.25">
      <c r="K6056" s="8" t="e">
        <f t="shared" si="94"/>
        <v>#VALUE!</v>
      </c>
    </row>
    <row r="6057" spans="11:11" x14ac:dyDescent="0.25">
      <c r="K6057" s="8" t="e">
        <f t="shared" si="94"/>
        <v>#VALUE!</v>
      </c>
    </row>
    <row r="6058" spans="11:11" x14ac:dyDescent="0.25">
      <c r="K6058" s="8" t="e">
        <f t="shared" si="94"/>
        <v>#VALUE!</v>
      </c>
    </row>
    <row r="6059" spans="11:11" x14ac:dyDescent="0.25">
      <c r="K6059" s="8" t="e">
        <f t="shared" si="94"/>
        <v>#VALUE!</v>
      </c>
    </row>
    <row r="6060" spans="11:11" x14ac:dyDescent="0.25">
      <c r="K6060" s="8" t="e">
        <f t="shared" si="94"/>
        <v>#VALUE!</v>
      </c>
    </row>
    <row r="6061" spans="11:11" x14ac:dyDescent="0.25">
      <c r="K6061" s="8" t="e">
        <f t="shared" si="94"/>
        <v>#VALUE!</v>
      </c>
    </row>
    <row r="6062" spans="11:11" x14ac:dyDescent="0.25">
      <c r="K6062" s="8" t="e">
        <f t="shared" si="94"/>
        <v>#VALUE!</v>
      </c>
    </row>
    <row r="6063" spans="11:11" x14ac:dyDescent="0.25">
      <c r="K6063" s="8" t="e">
        <f t="shared" si="94"/>
        <v>#VALUE!</v>
      </c>
    </row>
    <row r="6064" spans="11:11" x14ac:dyDescent="0.25">
      <c r="K6064" s="8" t="e">
        <f t="shared" si="94"/>
        <v>#VALUE!</v>
      </c>
    </row>
    <row r="6065" spans="11:11" x14ac:dyDescent="0.25">
      <c r="K6065" s="8" t="e">
        <f t="shared" si="94"/>
        <v>#VALUE!</v>
      </c>
    </row>
    <row r="6066" spans="11:11" x14ac:dyDescent="0.25">
      <c r="K6066" s="8" t="e">
        <f t="shared" si="94"/>
        <v>#VALUE!</v>
      </c>
    </row>
    <row r="6067" spans="11:11" x14ac:dyDescent="0.25">
      <c r="K6067" s="8" t="e">
        <f t="shared" si="94"/>
        <v>#VALUE!</v>
      </c>
    </row>
    <row r="6068" spans="11:11" x14ac:dyDescent="0.25">
      <c r="K6068" s="8" t="e">
        <f t="shared" si="94"/>
        <v>#VALUE!</v>
      </c>
    </row>
    <row r="6069" spans="11:11" x14ac:dyDescent="0.25">
      <c r="K6069" s="8" t="e">
        <f t="shared" si="94"/>
        <v>#VALUE!</v>
      </c>
    </row>
    <row r="6070" spans="11:11" x14ac:dyDescent="0.25">
      <c r="K6070" s="8" t="e">
        <f t="shared" si="94"/>
        <v>#VALUE!</v>
      </c>
    </row>
    <row r="6071" spans="11:11" x14ac:dyDescent="0.25">
      <c r="K6071" s="8" t="e">
        <f t="shared" si="94"/>
        <v>#VALUE!</v>
      </c>
    </row>
    <row r="6072" spans="11:11" x14ac:dyDescent="0.25">
      <c r="K6072" s="8" t="e">
        <f t="shared" si="94"/>
        <v>#VALUE!</v>
      </c>
    </row>
    <row r="6073" spans="11:11" x14ac:dyDescent="0.25">
      <c r="K6073" s="8" t="e">
        <f t="shared" si="94"/>
        <v>#VALUE!</v>
      </c>
    </row>
    <row r="6074" spans="11:11" x14ac:dyDescent="0.25">
      <c r="K6074" s="8" t="e">
        <f t="shared" si="94"/>
        <v>#VALUE!</v>
      </c>
    </row>
    <row r="6075" spans="11:11" x14ac:dyDescent="0.25">
      <c r="K6075" s="8" t="e">
        <f t="shared" si="94"/>
        <v>#VALUE!</v>
      </c>
    </row>
    <row r="6076" spans="11:11" x14ac:dyDescent="0.25">
      <c r="K6076" s="8" t="e">
        <f t="shared" si="94"/>
        <v>#VALUE!</v>
      </c>
    </row>
    <row r="6077" spans="11:11" x14ac:dyDescent="0.25">
      <c r="K6077" s="8" t="e">
        <f t="shared" si="94"/>
        <v>#VALUE!</v>
      </c>
    </row>
    <row r="6078" spans="11:11" x14ac:dyDescent="0.25">
      <c r="K6078" s="8" t="e">
        <f t="shared" si="94"/>
        <v>#VALUE!</v>
      </c>
    </row>
    <row r="6079" spans="11:11" x14ac:dyDescent="0.25">
      <c r="K6079" s="8" t="e">
        <f t="shared" si="94"/>
        <v>#VALUE!</v>
      </c>
    </row>
    <row r="6080" spans="11:11" x14ac:dyDescent="0.25">
      <c r="K6080" s="8" t="e">
        <f t="shared" si="94"/>
        <v>#VALUE!</v>
      </c>
    </row>
    <row r="6081" spans="11:11" x14ac:dyDescent="0.25">
      <c r="K6081" s="8" t="e">
        <f t="shared" si="94"/>
        <v>#VALUE!</v>
      </c>
    </row>
    <row r="6082" spans="11:11" x14ac:dyDescent="0.25">
      <c r="K6082" s="8" t="e">
        <f t="shared" si="94"/>
        <v>#VALUE!</v>
      </c>
    </row>
    <row r="6083" spans="11:11" x14ac:dyDescent="0.25">
      <c r="K6083" s="8" t="e">
        <f t="shared" ref="K6083:K6146" si="95">LEFT(A6083,FIND("/",A6083)-1)</f>
        <v>#VALUE!</v>
      </c>
    </row>
    <row r="6084" spans="11:11" x14ac:dyDescent="0.25">
      <c r="K6084" s="8" t="e">
        <f t="shared" si="95"/>
        <v>#VALUE!</v>
      </c>
    </row>
    <row r="6085" spans="11:11" x14ac:dyDescent="0.25">
      <c r="K6085" s="8" t="e">
        <f t="shared" si="95"/>
        <v>#VALUE!</v>
      </c>
    </row>
    <row r="6086" spans="11:11" x14ac:dyDescent="0.25">
      <c r="K6086" s="8" t="e">
        <f t="shared" si="95"/>
        <v>#VALUE!</v>
      </c>
    </row>
    <row r="6087" spans="11:11" x14ac:dyDescent="0.25">
      <c r="K6087" s="8" t="e">
        <f t="shared" si="95"/>
        <v>#VALUE!</v>
      </c>
    </row>
    <row r="6088" spans="11:11" x14ac:dyDescent="0.25">
      <c r="K6088" s="8" t="e">
        <f t="shared" si="95"/>
        <v>#VALUE!</v>
      </c>
    </row>
    <row r="6089" spans="11:11" x14ac:dyDescent="0.25">
      <c r="K6089" s="8" t="e">
        <f t="shared" si="95"/>
        <v>#VALUE!</v>
      </c>
    </row>
    <row r="6090" spans="11:11" x14ac:dyDescent="0.25">
      <c r="K6090" s="8" t="e">
        <f t="shared" si="95"/>
        <v>#VALUE!</v>
      </c>
    </row>
    <row r="6091" spans="11:11" x14ac:dyDescent="0.25">
      <c r="K6091" s="8" t="e">
        <f t="shared" si="95"/>
        <v>#VALUE!</v>
      </c>
    </row>
    <row r="6092" spans="11:11" x14ac:dyDescent="0.25">
      <c r="K6092" s="8" t="e">
        <f t="shared" si="95"/>
        <v>#VALUE!</v>
      </c>
    </row>
    <row r="6093" spans="11:11" x14ac:dyDescent="0.25">
      <c r="K6093" s="8" t="e">
        <f t="shared" si="95"/>
        <v>#VALUE!</v>
      </c>
    </row>
    <row r="6094" spans="11:11" x14ac:dyDescent="0.25">
      <c r="K6094" s="8" t="e">
        <f t="shared" si="95"/>
        <v>#VALUE!</v>
      </c>
    </row>
    <row r="6095" spans="11:11" x14ac:dyDescent="0.25">
      <c r="K6095" s="8" t="e">
        <f t="shared" si="95"/>
        <v>#VALUE!</v>
      </c>
    </row>
    <row r="6096" spans="11:11" x14ac:dyDescent="0.25">
      <c r="K6096" s="8" t="e">
        <f t="shared" si="95"/>
        <v>#VALUE!</v>
      </c>
    </row>
    <row r="6097" spans="11:11" x14ac:dyDescent="0.25">
      <c r="K6097" s="8" t="e">
        <f t="shared" si="95"/>
        <v>#VALUE!</v>
      </c>
    </row>
    <row r="6098" spans="11:11" x14ac:dyDescent="0.25">
      <c r="K6098" s="8" t="e">
        <f t="shared" si="95"/>
        <v>#VALUE!</v>
      </c>
    </row>
    <row r="6099" spans="11:11" x14ac:dyDescent="0.25">
      <c r="K6099" s="8" t="e">
        <f t="shared" si="95"/>
        <v>#VALUE!</v>
      </c>
    </row>
    <row r="6100" spans="11:11" x14ac:dyDescent="0.25">
      <c r="K6100" s="8" t="e">
        <f t="shared" si="95"/>
        <v>#VALUE!</v>
      </c>
    </row>
    <row r="6101" spans="11:11" x14ac:dyDescent="0.25">
      <c r="K6101" s="8" t="e">
        <f t="shared" si="95"/>
        <v>#VALUE!</v>
      </c>
    </row>
    <row r="6102" spans="11:11" x14ac:dyDescent="0.25">
      <c r="K6102" s="8" t="e">
        <f t="shared" si="95"/>
        <v>#VALUE!</v>
      </c>
    </row>
    <row r="6103" spans="11:11" x14ac:dyDescent="0.25">
      <c r="K6103" s="8" t="e">
        <f t="shared" si="95"/>
        <v>#VALUE!</v>
      </c>
    </row>
    <row r="6104" spans="11:11" x14ac:dyDescent="0.25">
      <c r="K6104" s="8" t="e">
        <f t="shared" si="95"/>
        <v>#VALUE!</v>
      </c>
    </row>
    <row r="6105" spans="11:11" x14ac:dyDescent="0.25">
      <c r="K6105" s="8" t="e">
        <f t="shared" si="95"/>
        <v>#VALUE!</v>
      </c>
    </row>
    <row r="6106" spans="11:11" x14ac:dyDescent="0.25">
      <c r="K6106" s="8" t="e">
        <f t="shared" si="95"/>
        <v>#VALUE!</v>
      </c>
    </row>
    <row r="6107" spans="11:11" x14ac:dyDescent="0.25">
      <c r="K6107" s="8" t="e">
        <f t="shared" si="95"/>
        <v>#VALUE!</v>
      </c>
    </row>
    <row r="6108" spans="11:11" x14ac:dyDescent="0.25">
      <c r="K6108" s="8" t="e">
        <f t="shared" si="95"/>
        <v>#VALUE!</v>
      </c>
    </row>
    <row r="6109" spans="11:11" x14ac:dyDescent="0.25">
      <c r="K6109" s="8" t="e">
        <f t="shared" si="95"/>
        <v>#VALUE!</v>
      </c>
    </row>
    <row r="6110" spans="11:11" x14ac:dyDescent="0.25">
      <c r="K6110" s="8" t="e">
        <f t="shared" si="95"/>
        <v>#VALUE!</v>
      </c>
    </row>
    <row r="6111" spans="11:11" x14ac:dyDescent="0.25">
      <c r="K6111" s="8" t="e">
        <f t="shared" si="95"/>
        <v>#VALUE!</v>
      </c>
    </row>
    <row r="6112" spans="11:11" x14ac:dyDescent="0.25">
      <c r="K6112" s="8" t="e">
        <f t="shared" si="95"/>
        <v>#VALUE!</v>
      </c>
    </row>
    <row r="6113" spans="11:11" x14ac:dyDescent="0.25">
      <c r="K6113" s="8" t="e">
        <f t="shared" si="95"/>
        <v>#VALUE!</v>
      </c>
    </row>
    <row r="6114" spans="11:11" x14ac:dyDescent="0.25">
      <c r="K6114" s="8" t="e">
        <f t="shared" si="95"/>
        <v>#VALUE!</v>
      </c>
    </row>
    <row r="6115" spans="11:11" x14ac:dyDescent="0.25">
      <c r="K6115" s="8" t="e">
        <f t="shared" si="95"/>
        <v>#VALUE!</v>
      </c>
    </row>
    <row r="6116" spans="11:11" x14ac:dyDescent="0.25">
      <c r="K6116" s="8" t="e">
        <f t="shared" si="95"/>
        <v>#VALUE!</v>
      </c>
    </row>
    <row r="6117" spans="11:11" x14ac:dyDescent="0.25">
      <c r="K6117" s="8" t="e">
        <f t="shared" si="95"/>
        <v>#VALUE!</v>
      </c>
    </row>
    <row r="6118" spans="11:11" x14ac:dyDescent="0.25">
      <c r="K6118" s="8" t="e">
        <f t="shared" si="95"/>
        <v>#VALUE!</v>
      </c>
    </row>
    <row r="6119" spans="11:11" x14ac:dyDescent="0.25">
      <c r="K6119" s="8" t="e">
        <f t="shared" si="95"/>
        <v>#VALUE!</v>
      </c>
    </row>
    <row r="6120" spans="11:11" x14ac:dyDescent="0.25">
      <c r="K6120" s="8" t="e">
        <f t="shared" si="95"/>
        <v>#VALUE!</v>
      </c>
    </row>
    <row r="6121" spans="11:11" x14ac:dyDescent="0.25">
      <c r="K6121" s="8" t="e">
        <f t="shared" si="95"/>
        <v>#VALUE!</v>
      </c>
    </row>
    <row r="6122" spans="11:11" x14ac:dyDescent="0.25">
      <c r="K6122" s="8" t="e">
        <f t="shared" si="95"/>
        <v>#VALUE!</v>
      </c>
    </row>
    <row r="6123" spans="11:11" x14ac:dyDescent="0.25">
      <c r="K6123" s="8" t="e">
        <f t="shared" si="95"/>
        <v>#VALUE!</v>
      </c>
    </row>
    <row r="6124" spans="11:11" x14ac:dyDescent="0.25">
      <c r="K6124" s="8" t="e">
        <f t="shared" si="95"/>
        <v>#VALUE!</v>
      </c>
    </row>
    <row r="6125" spans="11:11" x14ac:dyDescent="0.25">
      <c r="K6125" s="8" t="e">
        <f t="shared" si="95"/>
        <v>#VALUE!</v>
      </c>
    </row>
    <row r="6126" spans="11:11" x14ac:dyDescent="0.25">
      <c r="K6126" s="8" t="e">
        <f t="shared" si="95"/>
        <v>#VALUE!</v>
      </c>
    </row>
    <row r="6127" spans="11:11" x14ac:dyDescent="0.25">
      <c r="K6127" s="8" t="e">
        <f t="shared" si="95"/>
        <v>#VALUE!</v>
      </c>
    </row>
    <row r="6128" spans="11:11" x14ac:dyDescent="0.25">
      <c r="K6128" s="8" t="e">
        <f t="shared" si="95"/>
        <v>#VALUE!</v>
      </c>
    </row>
    <row r="6129" spans="11:11" x14ac:dyDescent="0.25">
      <c r="K6129" s="8" t="e">
        <f t="shared" si="95"/>
        <v>#VALUE!</v>
      </c>
    </row>
    <row r="6130" spans="11:11" x14ac:dyDescent="0.25">
      <c r="K6130" s="8" t="e">
        <f t="shared" si="95"/>
        <v>#VALUE!</v>
      </c>
    </row>
    <row r="6131" spans="11:11" x14ac:dyDescent="0.25">
      <c r="K6131" s="8" t="e">
        <f t="shared" si="95"/>
        <v>#VALUE!</v>
      </c>
    </row>
    <row r="6132" spans="11:11" x14ac:dyDescent="0.25">
      <c r="K6132" s="8" t="e">
        <f t="shared" si="95"/>
        <v>#VALUE!</v>
      </c>
    </row>
    <row r="6133" spans="11:11" x14ac:dyDescent="0.25">
      <c r="K6133" s="8" t="e">
        <f t="shared" si="95"/>
        <v>#VALUE!</v>
      </c>
    </row>
    <row r="6134" spans="11:11" x14ac:dyDescent="0.25">
      <c r="K6134" s="8" t="e">
        <f t="shared" si="95"/>
        <v>#VALUE!</v>
      </c>
    </row>
    <row r="6135" spans="11:11" x14ac:dyDescent="0.25">
      <c r="K6135" s="8" t="e">
        <f t="shared" si="95"/>
        <v>#VALUE!</v>
      </c>
    </row>
    <row r="6136" spans="11:11" x14ac:dyDescent="0.25">
      <c r="K6136" s="8" t="e">
        <f t="shared" si="95"/>
        <v>#VALUE!</v>
      </c>
    </row>
    <row r="6137" spans="11:11" x14ac:dyDescent="0.25">
      <c r="K6137" s="8" t="e">
        <f t="shared" si="95"/>
        <v>#VALUE!</v>
      </c>
    </row>
    <row r="6138" spans="11:11" x14ac:dyDescent="0.25">
      <c r="K6138" s="8" t="e">
        <f t="shared" si="95"/>
        <v>#VALUE!</v>
      </c>
    </row>
    <row r="6139" spans="11:11" x14ac:dyDescent="0.25">
      <c r="K6139" s="8" t="e">
        <f t="shared" si="95"/>
        <v>#VALUE!</v>
      </c>
    </row>
    <row r="6140" spans="11:11" x14ac:dyDescent="0.25">
      <c r="K6140" s="8" t="e">
        <f t="shared" si="95"/>
        <v>#VALUE!</v>
      </c>
    </row>
    <row r="6141" spans="11:11" x14ac:dyDescent="0.25">
      <c r="K6141" s="8" t="e">
        <f t="shared" si="95"/>
        <v>#VALUE!</v>
      </c>
    </row>
    <row r="6142" spans="11:11" x14ac:dyDescent="0.25">
      <c r="K6142" s="8" t="e">
        <f t="shared" si="95"/>
        <v>#VALUE!</v>
      </c>
    </row>
    <row r="6143" spans="11:11" x14ac:dyDescent="0.25">
      <c r="K6143" s="8" t="e">
        <f t="shared" si="95"/>
        <v>#VALUE!</v>
      </c>
    </row>
    <row r="6144" spans="11:11" x14ac:dyDescent="0.25">
      <c r="K6144" s="8" t="e">
        <f t="shared" si="95"/>
        <v>#VALUE!</v>
      </c>
    </row>
    <row r="6145" spans="11:11" x14ac:dyDescent="0.25">
      <c r="K6145" s="8" t="e">
        <f t="shared" si="95"/>
        <v>#VALUE!</v>
      </c>
    </row>
    <row r="6146" spans="11:11" x14ac:dyDescent="0.25">
      <c r="K6146" s="8" t="e">
        <f t="shared" si="95"/>
        <v>#VALUE!</v>
      </c>
    </row>
    <row r="6147" spans="11:11" x14ac:dyDescent="0.25">
      <c r="K6147" s="8" t="e">
        <f t="shared" ref="K6147:K6210" si="96">LEFT(A6147,FIND("/",A6147)-1)</f>
        <v>#VALUE!</v>
      </c>
    </row>
    <row r="6148" spans="11:11" x14ac:dyDescent="0.25">
      <c r="K6148" s="8" t="e">
        <f t="shared" si="96"/>
        <v>#VALUE!</v>
      </c>
    </row>
    <row r="6149" spans="11:11" x14ac:dyDescent="0.25">
      <c r="K6149" s="8" t="e">
        <f t="shared" si="96"/>
        <v>#VALUE!</v>
      </c>
    </row>
    <row r="6150" spans="11:11" x14ac:dyDescent="0.25">
      <c r="K6150" s="8" t="e">
        <f t="shared" si="96"/>
        <v>#VALUE!</v>
      </c>
    </row>
    <row r="6151" spans="11:11" x14ac:dyDescent="0.25">
      <c r="K6151" s="8" t="e">
        <f t="shared" si="96"/>
        <v>#VALUE!</v>
      </c>
    </row>
    <row r="6152" spans="11:11" x14ac:dyDescent="0.25">
      <c r="K6152" s="8" t="e">
        <f t="shared" si="96"/>
        <v>#VALUE!</v>
      </c>
    </row>
    <row r="6153" spans="11:11" x14ac:dyDescent="0.25">
      <c r="K6153" s="8" t="e">
        <f t="shared" si="96"/>
        <v>#VALUE!</v>
      </c>
    </row>
    <row r="6154" spans="11:11" x14ac:dyDescent="0.25">
      <c r="K6154" s="8" t="e">
        <f t="shared" si="96"/>
        <v>#VALUE!</v>
      </c>
    </row>
    <row r="6155" spans="11:11" x14ac:dyDescent="0.25">
      <c r="K6155" s="8" t="e">
        <f t="shared" si="96"/>
        <v>#VALUE!</v>
      </c>
    </row>
    <row r="6156" spans="11:11" x14ac:dyDescent="0.25">
      <c r="K6156" s="8" t="e">
        <f t="shared" si="96"/>
        <v>#VALUE!</v>
      </c>
    </row>
    <row r="6157" spans="11:11" x14ac:dyDescent="0.25">
      <c r="K6157" s="8" t="e">
        <f t="shared" si="96"/>
        <v>#VALUE!</v>
      </c>
    </row>
    <row r="6158" spans="11:11" x14ac:dyDescent="0.25">
      <c r="K6158" s="8" t="e">
        <f t="shared" si="96"/>
        <v>#VALUE!</v>
      </c>
    </row>
    <row r="6159" spans="11:11" x14ac:dyDescent="0.25">
      <c r="K6159" s="8" t="e">
        <f t="shared" si="96"/>
        <v>#VALUE!</v>
      </c>
    </row>
    <row r="6160" spans="11:11" x14ac:dyDescent="0.25">
      <c r="K6160" s="8" t="e">
        <f t="shared" si="96"/>
        <v>#VALUE!</v>
      </c>
    </row>
    <row r="6161" spans="11:11" x14ac:dyDescent="0.25">
      <c r="K6161" s="8" t="e">
        <f t="shared" si="96"/>
        <v>#VALUE!</v>
      </c>
    </row>
    <row r="6162" spans="11:11" x14ac:dyDescent="0.25">
      <c r="K6162" s="8" t="e">
        <f t="shared" si="96"/>
        <v>#VALUE!</v>
      </c>
    </row>
    <row r="6163" spans="11:11" x14ac:dyDescent="0.25">
      <c r="K6163" s="8" t="e">
        <f t="shared" si="96"/>
        <v>#VALUE!</v>
      </c>
    </row>
    <row r="6164" spans="11:11" x14ac:dyDescent="0.25">
      <c r="K6164" s="8" t="e">
        <f t="shared" si="96"/>
        <v>#VALUE!</v>
      </c>
    </row>
    <row r="6165" spans="11:11" x14ac:dyDescent="0.25">
      <c r="K6165" s="8" t="e">
        <f t="shared" si="96"/>
        <v>#VALUE!</v>
      </c>
    </row>
    <row r="6166" spans="11:11" x14ac:dyDescent="0.25">
      <c r="K6166" s="8" t="e">
        <f t="shared" si="96"/>
        <v>#VALUE!</v>
      </c>
    </row>
    <row r="6167" spans="11:11" x14ac:dyDescent="0.25">
      <c r="K6167" s="8" t="e">
        <f t="shared" si="96"/>
        <v>#VALUE!</v>
      </c>
    </row>
    <row r="6168" spans="11:11" x14ac:dyDescent="0.25">
      <c r="K6168" s="8" t="e">
        <f t="shared" si="96"/>
        <v>#VALUE!</v>
      </c>
    </row>
    <row r="6169" spans="11:11" x14ac:dyDescent="0.25">
      <c r="K6169" s="8" t="e">
        <f t="shared" si="96"/>
        <v>#VALUE!</v>
      </c>
    </row>
    <row r="6170" spans="11:11" x14ac:dyDescent="0.25">
      <c r="K6170" s="8" t="e">
        <f t="shared" si="96"/>
        <v>#VALUE!</v>
      </c>
    </row>
    <row r="6171" spans="11:11" x14ac:dyDescent="0.25">
      <c r="K6171" s="8" t="e">
        <f t="shared" si="96"/>
        <v>#VALUE!</v>
      </c>
    </row>
    <row r="6172" spans="11:11" x14ac:dyDescent="0.25">
      <c r="K6172" s="8" t="e">
        <f t="shared" si="96"/>
        <v>#VALUE!</v>
      </c>
    </row>
    <row r="6173" spans="11:11" x14ac:dyDescent="0.25">
      <c r="K6173" s="8" t="e">
        <f t="shared" si="96"/>
        <v>#VALUE!</v>
      </c>
    </row>
    <row r="6174" spans="11:11" x14ac:dyDescent="0.25">
      <c r="K6174" s="8" t="e">
        <f t="shared" si="96"/>
        <v>#VALUE!</v>
      </c>
    </row>
    <row r="6175" spans="11:11" x14ac:dyDescent="0.25">
      <c r="K6175" s="8" t="e">
        <f t="shared" si="96"/>
        <v>#VALUE!</v>
      </c>
    </row>
    <row r="6176" spans="11:11" x14ac:dyDescent="0.25">
      <c r="K6176" s="8" t="e">
        <f t="shared" si="96"/>
        <v>#VALUE!</v>
      </c>
    </row>
    <row r="6177" spans="11:11" x14ac:dyDescent="0.25">
      <c r="K6177" s="8" t="e">
        <f t="shared" si="96"/>
        <v>#VALUE!</v>
      </c>
    </row>
    <row r="6178" spans="11:11" x14ac:dyDescent="0.25">
      <c r="K6178" s="8" t="e">
        <f t="shared" si="96"/>
        <v>#VALUE!</v>
      </c>
    </row>
    <row r="6179" spans="11:11" x14ac:dyDescent="0.25">
      <c r="K6179" s="8" t="e">
        <f t="shared" si="96"/>
        <v>#VALUE!</v>
      </c>
    </row>
    <row r="6180" spans="11:11" x14ac:dyDescent="0.25">
      <c r="K6180" s="8" t="e">
        <f t="shared" si="96"/>
        <v>#VALUE!</v>
      </c>
    </row>
    <row r="6181" spans="11:11" x14ac:dyDescent="0.25">
      <c r="K6181" s="8" t="e">
        <f t="shared" si="96"/>
        <v>#VALUE!</v>
      </c>
    </row>
    <row r="6182" spans="11:11" x14ac:dyDescent="0.25">
      <c r="K6182" s="8" t="e">
        <f t="shared" si="96"/>
        <v>#VALUE!</v>
      </c>
    </row>
    <row r="6183" spans="11:11" x14ac:dyDescent="0.25">
      <c r="K6183" s="8" t="e">
        <f t="shared" si="96"/>
        <v>#VALUE!</v>
      </c>
    </row>
    <row r="6184" spans="11:11" x14ac:dyDescent="0.25">
      <c r="K6184" s="8" t="e">
        <f t="shared" si="96"/>
        <v>#VALUE!</v>
      </c>
    </row>
    <row r="6185" spans="11:11" x14ac:dyDescent="0.25">
      <c r="K6185" s="8" t="e">
        <f t="shared" si="96"/>
        <v>#VALUE!</v>
      </c>
    </row>
    <row r="6186" spans="11:11" x14ac:dyDescent="0.25">
      <c r="K6186" s="8" t="e">
        <f t="shared" si="96"/>
        <v>#VALUE!</v>
      </c>
    </row>
    <row r="6187" spans="11:11" x14ac:dyDescent="0.25">
      <c r="K6187" s="8" t="e">
        <f t="shared" si="96"/>
        <v>#VALUE!</v>
      </c>
    </row>
    <row r="6188" spans="11:11" x14ac:dyDescent="0.25">
      <c r="K6188" s="8" t="e">
        <f t="shared" si="96"/>
        <v>#VALUE!</v>
      </c>
    </row>
    <row r="6189" spans="11:11" x14ac:dyDescent="0.25">
      <c r="K6189" s="8" t="e">
        <f t="shared" si="96"/>
        <v>#VALUE!</v>
      </c>
    </row>
    <row r="6190" spans="11:11" x14ac:dyDescent="0.25">
      <c r="K6190" s="8" t="e">
        <f t="shared" si="96"/>
        <v>#VALUE!</v>
      </c>
    </row>
    <row r="6191" spans="11:11" x14ac:dyDescent="0.25">
      <c r="K6191" s="8" t="e">
        <f t="shared" si="96"/>
        <v>#VALUE!</v>
      </c>
    </row>
    <row r="6192" spans="11:11" x14ac:dyDescent="0.25">
      <c r="K6192" s="8" t="e">
        <f t="shared" si="96"/>
        <v>#VALUE!</v>
      </c>
    </row>
    <row r="6193" spans="11:11" x14ac:dyDescent="0.25">
      <c r="K6193" s="8" t="e">
        <f t="shared" si="96"/>
        <v>#VALUE!</v>
      </c>
    </row>
    <row r="6194" spans="11:11" x14ac:dyDescent="0.25">
      <c r="K6194" s="8" t="e">
        <f t="shared" si="96"/>
        <v>#VALUE!</v>
      </c>
    </row>
    <row r="6195" spans="11:11" x14ac:dyDescent="0.25">
      <c r="K6195" s="8" t="e">
        <f t="shared" si="96"/>
        <v>#VALUE!</v>
      </c>
    </row>
    <row r="6196" spans="11:11" x14ac:dyDescent="0.25">
      <c r="K6196" s="8" t="e">
        <f t="shared" si="96"/>
        <v>#VALUE!</v>
      </c>
    </row>
    <row r="6197" spans="11:11" x14ac:dyDescent="0.25">
      <c r="K6197" s="8" t="e">
        <f t="shared" si="96"/>
        <v>#VALUE!</v>
      </c>
    </row>
    <row r="6198" spans="11:11" x14ac:dyDescent="0.25">
      <c r="K6198" s="8" t="e">
        <f t="shared" si="96"/>
        <v>#VALUE!</v>
      </c>
    </row>
    <row r="6199" spans="11:11" x14ac:dyDescent="0.25">
      <c r="K6199" s="8" t="e">
        <f t="shared" si="96"/>
        <v>#VALUE!</v>
      </c>
    </row>
    <row r="6200" spans="11:11" x14ac:dyDescent="0.25">
      <c r="K6200" s="8" t="e">
        <f t="shared" si="96"/>
        <v>#VALUE!</v>
      </c>
    </row>
    <row r="6201" spans="11:11" x14ac:dyDescent="0.25">
      <c r="K6201" s="8" t="e">
        <f t="shared" si="96"/>
        <v>#VALUE!</v>
      </c>
    </row>
    <row r="6202" spans="11:11" x14ac:dyDescent="0.25">
      <c r="K6202" s="8" t="e">
        <f t="shared" si="96"/>
        <v>#VALUE!</v>
      </c>
    </row>
    <row r="6203" spans="11:11" x14ac:dyDescent="0.25">
      <c r="K6203" s="8" t="e">
        <f t="shared" si="96"/>
        <v>#VALUE!</v>
      </c>
    </row>
    <row r="6204" spans="11:11" x14ac:dyDescent="0.25">
      <c r="K6204" s="8" t="e">
        <f t="shared" si="96"/>
        <v>#VALUE!</v>
      </c>
    </row>
    <row r="6205" spans="11:11" x14ac:dyDescent="0.25">
      <c r="K6205" s="8" t="e">
        <f t="shared" si="96"/>
        <v>#VALUE!</v>
      </c>
    </row>
    <row r="6206" spans="11:11" x14ac:dyDescent="0.25">
      <c r="K6206" s="8" t="e">
        <f t="shared" si="96"/>
        <v>#VALUE!</v>
      </c>
    </row>
    <row r="6207" spans="11:11" x14ac:dyDescent="0.25">
      <c r="K6207" s="8" t="e">
        <f t="shared" si="96"/>
        <v>#VALUE!</v>
      </c>
    </row>
    <row r="6208" spans="11:11" x14ac:dyDescent="0.25">
      <c r="K6208" s="8" t="e">
        <f t="shared" si="96"/>
        <v>#VALUE!</v>
      </c>
    </row>
    <row r="6209" spans="11:11" x14ac:dyDescent="0.25">
      <c r="K6209" s="8" t="e">
        <f t="shared" si="96"/>
        <v>#VALUE!</v>
      </c>
    </row>
    <row r="6210" spans="11:11" x14ac:dyDescent="0.25">
      <c r="K6210" s="8" t="e">
        <f t="shared" si="96"/>
        <v>#VALUE!</v>
      </c>
    </row>
    <row r="6211" spans="11:11" x14ac:dyDescent="0.25">
      <c r="K6211" s="8" t="e">
        <f t="shared" ref="K6211:K6274" si="97">LEFT(A6211,FIND("/",A6211)-1)</f>
        <v>#VALUE!</v>
      </c>
    </row>
    <row r="6212" spans="11:11" x14ac:dyDescent="0.25">
      <c r="K6212" s="8" t="e">
        <f t="shared" si="97"/>
        <v>#VALUE!</v>
      </c>
    </row>
    <row r="6213" spans="11:11" x14ac:dyDescent="0.25">
      <c r="K6213" s="8" t="e">
        <f t="shared" si="97"/>
        <v>#VALUE!</v>
      </c>
    </row>
    <row r="6214" spans="11:11" x14ac:dyDescent="0.25">
      <c r="K6214" s="8" t="e">
        <f t="shared" si="97"/>
        <v>#VALUE!</v>
      </c>
    </row>
    <row r="6215" spans="11:11" x14ac:dyDescent="0.25">
      <c r="K6215" s="8" t="e">
        <f t="shared" si="97"/>
        <v>#VALUE!</v>
      </c>
    </row>
    <row r="6216" spans="11:11" x14ac:dyDescent="0.25">
      <c r="K6216" s="8" t="e">
        <f t="shared" si="97"/>
        <v>#VALUE!</v>
      </c>
    </row>
    <row r="6217" spans="11:11" x14ac:dyDescent="0.25">
      <c r="K6217" s="8" t="e">
        <f t="shared" si="97"/>
        <v>#VALUE!</v>
      </c>
    </row>
    <row r="6218" spans="11:11" x14ac:dyDescent="0.25">
      <c r="K6218" s="8" t="e">
        <f t="shared" si="97"/>
        <v>#VALUE!</v>
      </c>
    </row>
    <row r="6219" spans="11:11" x14ac:dyDescent="0.25">
      <c r="K6219" s="8" t="e">
        <f t="shared" si="97"/>
        <v>#VALUE!</v>
      </c>
    </row>
    <row r="6220" spans="11:11" x14ac:dyDescent="0.25">
      <c r="K6220" s="8" t="e">
        <f t="shared" si="97"/>
        <v>#VALUE!</v>
      </c>
    </row>
    <row r="6221" spans="11:11" x14ac:dyDescent="0.25">
      <c r="K6221" s="8" t="e">
        <f t="shared" si="97"/>
        <v>#VALUE!</v>
      </c>
    </row>
    <row r="6222" spans="11:11" x14ac:dyDescent="0.25">
      <c r="K6222" s="8" t="e">
        <f t="shared" si="97"/>
        <v>#VALUE!</v>
      </c>
    </row>
    <row r="6223" spans="11:11" x14ac:dyDescent="0.25">
      <c r="K6223" s="8" t="e">
        <f t="shared" si="97"/>
        <v>#VALUE!</v>
      </c>
    </row>
    <row r="6224" spans="11:11" x14ac:dyDescent="0.25">
      <c r="K6224" s="8" t="e">
        <f t="shared" si="97"/>
        <v>#VALUE!</v>
      </c>
    </row>
    <row r="6225" spans="11:11" x14ac:dyDescent="0.25">
      <c r="K6225" s="8" t="e">
        <f t="shared" si="97"/>
        <v>#VALUE!</v>
      </c>
    </row>
    <row r="6226" spans="11:11" x14ac:dyDescent="0.25">
      <c r="K6226" s="8" t="e">
        <f t="shared" si="97"/>
        <v>#VALUE!</v>
      </c>
    </row>
    <row r="6227" spans="11:11" x14ac:dyDescent="0.25">
      <c r="K6227" s="8" t="e">
        <f t="shared" si="97"/>
        <v>#VALUE!</v>
      </c>
    </row>
    <row r="6228" spans="11:11" x14ac:dyDescent="0.25">
      <c r="K6228" s="8" t="e">
        <f t="shared" si="97"/>
        <v>#VALUE!</v>
      </c>
    </row>
    <row r="6229" spans="11:11" x14ac:dyDescent="0.25">
      <c r="K6229" s="8" t="e">
        <f t="shared" si="97"/>
        <v>#VALUE!</v>
      </c>
    </row>
    <row r="6230" spans="11:11" x14ac:dyDescent="0.25">
      <c r="K6230" s="8" t="e">
        <f t="shared" si="97"/>
        <v>#VALUE!</v>
      </c>
    </row>
    <row r="6231" spans="11:11" x14ac:dyDescent="0.25">
      <c r="K6231" s="8" t="e">
        <f t="shared" si="97"/>
        <v>#VALUE!</v>
      </c>
    </row>
    <row r="6232" spans="11:11" x14ac:dyDescent="0.25">
      <c r="K6232" s="8" t="e">
        <f t="shared" si="97"/>
        <v>#VALUE!</v>
      </c>
    </row>
    <row r="6233" spans="11:11" x14ac:dyDescent="0.25">
      <c r="K6233" s="8" t="e">
        <f t="shared" si="97"/>
        <v>#VALUE!</v>
      </c>
    </row>
    <row r="6234" spans="11:11" x14ac:dyDescent="0.25">
      <c r="K6234" s="8" t="e">
        <f t="shared" si="97"/>
        <v>#VALUE!</v>
      </c>
    </row>
    <row r="6235" spans="11:11" x14ac:dyDescent="0.25">
      <c r="K6235" s="8" t="e">
        <f t="shared" si="97"/>
        <v>#VALUE!</v>
      </c>
    </row>
    <row r="6236" spans="11:11" x14ac:dyDescent="0.25">
      <c r="K6236" s="8" t="e">
        <f t="shared" si="97"/>
        <v>#VALUE!</v>
      </c>
    </row>
    <row r="6237" spans="11:11" x14ac:dyDescent="0.25">
      <c r="K6237" s="8" t="e">
        <f t="shared" si="97"/>
        <v>#VALUE!</v>
      </c>
    </row>
    <row r="6238" spans="11:11" x14ac:dyDescent="0.25">
      <c r="K6238" s="8" t="e">
        <f t="shared" si="97"/>
        <v>#VALUE!</v>
      </c>
    </row>
    <row r="6239" spans="11:11" x14ac:dyDescent="0.25">
      <c r="K6239" s="8" t="e">
        <f t="shared" si="97"/>
        <v>#VALUE!</v>
      </c>
    </row>
    <row r="6240" spans="11:11" x14ac:dyDescent="0.25">
      <c r="K6240" s="8" t="e">
        <f t="shared" si="97"/>
        <v>#VALUE!</v>
      </c>
    </row>
    <row r="6241" spans="11:11" x14ac:dyDescent="0.25">
      <c r="K6241" s="8" t="e">
        <f t="shared" si="97"/>
        <v>#VALUE!</v>
      </c>
    </row>
    <row r="6242" spans="11:11" x14ac:dyDescent="0.25">
      <c r="K6242" s="8" t="e">
        <f t="shared" si="97"/>
        <v>#VALUE!</v>
      </c>
    </row>
    <row r="6243" spans="11:11" x14ac:dyDescent="0.25">
      <c r="K6243" s="8" t="e">
        <f t="shared" si="97"/>
        <v>#VALUE!</v>
      </c>
    </row>
    <row r="6244" spans="11:11" x14ac:dyDescent="0.25">
      <c r="K6244" s="8" t="e">
        <f t="shared" si="97"/>
        <v>#VALUE!</v>
      </c>
    </row>
    <row r="6245" spans="11:11" x14ac:dyDescent="0.25">
      <c r="K6245" s="8" t="e">
        <f t="shared" si="97"/>
        <v>#VALUE!</v>
      </c>
    </row>
    <row r="6246" spans="11:11" x14ac:dyDescent="0.25">
      <c r="K6246" s="8" t="e">
        <f t="shared" si="97"/>
        <v>#VALUE!</v>
      </c>
    </row>
    <row r="6247" spans="11:11" x14ac:dyDescent="0.25">
      <c r="K6247" s="8" t="e">
        <f t="shared" si="97"/>
        <v>#VALUE!</v>
      </c>
    </row>
    <row r="6248" spans="11:11" x14ac:dyDescent="0.25">
      <c r="K6248" s="8" t="e">
        <f t="shared" si="97"/>
        <v>#VALUE!</v>
      </c>
    </row>
    <row r="6249" spans="11:11" x14ac:dyDescent="0.25">
      <c r="K6249" s="8" t="e">
        <f t="shared" si="97"/>
        <v>#VALUE!</v>
      </c>
    </row>
    <row r="6250" spans="11:11" x14ac:dyDescent="0.25">
      <c r="K6250" s="8" t="e">
        <f t="shared" si="97"/>
        <v>#VALUE!</v>
      </c>
    </row>
    <row r="6251" spans="11:11" x14ac:dyDescent="0.25">
      <c r="K6251" s="8" t="e">
        <f t="shared" si="97"/>
        <v>#VALUE!</v>
      </c>
    </row>
    <row r="6252" spans="11:11" x14ac:dyDescent="0.25">
      <c r="K6252" s="8" t="e">
        <f t="shared" si="97"/>
        <v>#VALUE!</v>
      </c>
    </row>
    <row r="6253" spans="11:11" x14ac:dyDescent="0.25">
      <c r="K6253" s="8" t="e">
        <f t="shared" si="97"/>
        <v>#VALUE!</v>
      </c>
    </row>
    <row r="6254" spans="11:11" x14ac:dyDescent="0.25">
      <c r="K6254" s="8" t="e">
        <f t="shared" si="97"/>
        <v>#VALUE!</v>
      </c>
    </row>
    <row r="6255" spans="11:11" x14ac:dyDescent="0.25">
      <c r="K6255" s="8" t="e">
        <f t="shared" si="97"/>
        <v>#VALUE!</v>
      </c>
    </row>
    <row r="6256" spans="11:11" x14ac:dyDescent="0.25">
      <c r="K6256" s="8" t="e">
        <f t="shared" si="97"/>
        <v>#VALUE!</v>
      </c>
    </row>
    <row r="6257" spans="11:11" x14ac:dyDescent="0.25">
      <c r="K6257" s="8" t="e">
        <f t="shared" si="97"/>
        <v>#VALUE!</v>
      </c>
    </row>
    <row r="6258" spans="11:11" x14ac:dyDescent="0.25">
      <c r="K6258" s="8" t="e">
        <f t="shared" si="97"/>
        <v>#VALUE!</v>
      </c>
    </row>
    <row r="6259" spans="11:11" x14ac:dyDescent="0.25">
      <c r="K6259" s="8" t="e">
        <f t="shared" si="97"/>
        <v>#VALUE!</v>
      </c>
    </row>
    <row r="6260" spans="11:11" x14ac:dyDescent="0.25">
      <c r="K6260" s="8" t="e">
        <f t="shared" si="97"/>
        <v>#VALUE!</v>
      </c>
    </row>
    <row r="6261" spans="11:11" x14ac:dyDescent="0.25">
      <c r="K6261" s="8" t="e">
        <f t="shared" si="97"/>
        <v>#VALUE!</v>
      </c>
    </row>
    <row r="6262" spans="11:11" x14ac:dyDescent="0.25">
      <c r="K6262" s="8" t="e">
        <f t="shared" si="97"/>
        <v>#VALUE!</v>
      </c>
    </row>
    <row r="6263" spans="11:11" x14ac:dyDescent="0.25">
      <c r="K6263" s="8" t="e">
        <f t="shared" si="97"/>
        <v>#VALUE!</v>
      </c>
    </row>
    <row r="6264" spans="11:11" x14ac:dyDescent="0.25">
      <c r="K6264" s="8" t="e">
        <f t="shared" si="97"/>
        <v>#VALUE!</v>
      </c>
    </row>
    <row r="6265" spans="11:11" x14ac:dyDescent="0.25">
      <c r="K6265" s="8" t="e">
        <f t="shared" si="97"/>
        <v>#VALUE!</v>
      </c>
    </row>
    <row r="6266" spans="11:11" x14ac:dyDescent="0.25">
      <c r="K6266" s="8" t="e">
        <f t="shared" si="97"/>
        <v>#VALUE!</v>
      </c>
    </row>
    <row r="6267" spans="11:11" x14ac:dyDescent="0.25">
      <c r="K6267" s="8" t="e">
        <f t="shared" si="97"/>
        <v>#VALUE!</v>
      </c>
    </row>
    <row r="6268" spans="11:11" x14ac:dyDescent="0.25">
      <c r="K6268" s="8" t="e">
        <f t="shared" si="97"/>
        <v>#VALUE!</v>
      </c>
    </row>
    <row r="6269" spans="11:11" x14ac:dyDescent="0.25">
      <c r="K6269" s="8" t="e">
        <f t="shared" si="97"/>
        <v>#VALUE!</v>
      </c>
    </row>
    <row r="6270" spans="11:11" x14ac:dyDescent="0.25">
      <c r="K6270" s="8" t="e">
        <f t="shared" si="97"/>
        <v>#VALUE!</v>
      </c>
    </row>
    <row r="6271" spans="11:11" x14ac:dyDescent="0.25">
      <c r="K6271" s="8" t="e">
        <f t="shared" si="97"/>
        <v>#VALUE!</v>
      </c>
    </row>
    <row r="6272" spans="11:11" x14ac:dyDescent="0.25">
      <c r="K6272" s="8" t="e">
        <f t="shared" si="97"/>
        <v>#VALUE!</v>
      </c>
    </row>
    <row r="6273" spans="11:11" x14ac:dyDescent="0.25">
      <c r="K6273" s="8" t="e">
        <f t="shared" si="97"/>
        <v>#VALUE!</v>
      </c>
    </row>
    <row r="6274" spans="11:11" x14ac:dyDescent="0.25">
      <c r="K6274" s="8" t="e">
        <f t="shared" si="97"/>
        <v>#VALUE!</v>
      </c>
    </row>
    <row r="6275" spans="11:11" x14ac:dyDescent="0.25">
      <c r="K6275" s="8" t="e">
        <f t="shared" ref="K6275:K6338" si="98">LEFT(A6275,FIND("/",A6275)-1)</f>
        <v>#VALUE!</v>
      </c>
    </row>
    <row r="6276" spans="11:11" x14ac:dyDescent="0.25">
      <c r="K6276" s="8" t="e">
        <f t="shared" si="98"/>
        <v>#VALUE!</v>
      </c>
    </row>
    <row r="6277" spans="11:11" x14ac:dyDescent="0.25">
      <c r="K6277" s="8" t="e">
        <f t="shared" si="98"/>
        <v>#VALUE!</v>
      </c>
    </row>
    <row r="6278" spans="11:11" x14ac:dyDescent="0.25">
      <c r="K6278" s="8" t="e">
        <f t="shared" si="98"/>
        <v>#VALUE!</v>
      </c>
    </row>
    <row r="6279" spans="11:11" x14ac:dyDescent="0.25">
      <c r="K6279" s="8" t="e">
        <f t="shared" si="98"/>
        <v>#VALUE!</v>
      </c>
    </row>
    <row r="6280" spans="11:11" x14ac:dyDescent="0.25">
      <c r="K6280" s="8" t="e">
        <f t="shared" si="98"/>
        <v>#VALUE!</v>
      </c>
    </row>
    <row r="6281" spans="11:11" x14ac:dyDescent="0.25">
      <c r="K6281" s="8" t="e">
        <f t="shared" si="98"/>
        <v>#VALUE!</v>
      </c>
    </row>
    <row r="6282" spans="11:11" x14ac:dyDescent="0.25">
      <c r="K6282" s="8" t="e">
        <f t="shared" si="98"/>
        <v>#VALUE!</v>
      </c>
    </row>
    <row r="6283" spans="11:11" x14ac:dyDescent="0.25">
      <c r="K6283" s="8" t="e">
        <f t="shared" si="98"/>
        <v>#VALUE!</v>
      </c>
    </row>
    <row r="6284" spans="11:11" x14ac:dyDescent="0.25">
      <c r="K6284" s="8" t="e">
        <f t="shared" si="98"/>
        <v>#VALUE!</v>
      </c>
    </row>
    <row r="6285" spans="11:11" x14ac:dyDescent="0.25">
      <c r="K6285" s="8" t="e">
        <f t="shared" si="98"/>
        <v>#VALUE!</v>
      </c>
    </row>
    <row r="6286" spans="11:11" x14ac:dyDescent="0.25">
      <c r="K6286" s="8" t="e">
        <f t="shared" si="98"/>
        <v>#VALUE!</v>
      </c>
    </row>
    <row r="6287" spans="11:11" x14ac:dyDescent="0.25">
      <c r="K6287" s="8" t="e">
        <f t="shared" si="98"/>
        <v>#VALUE!</v>
      </c>
    </row>
    <row r="6288" spans="11:11" x14ac:dyDescent="0.25">
      <c r="K6288" s="8" t="e">
        <f t="shared" si="98"/>
        <v>#VALUE!</v>
      </c>
    </row>
    <row r="6289" spans="11:11" x14ac:dyDescent="0.25">
      <c r="K6289" s="8" t="e">
        <f t="shared" si="98"/>
        <v>#VALUE!</v>
      </c>
    </row>
    <row r="6290" spans="11:11" x14ac:dyDescent="0.25">
      <c r="K6290" s="8" t="e">
        <f t="shared" si="98"/>
        <v>#VALUE!</v>
      </c>
    </row>
    <row r="6291" spans="11:11" x14ac:dyDescent="0.25">
      <c r="K6291" s="8" t="e">
        <f t="shared" si="98"/>
        <v>#VALUE!</v>
      </c>
    </row>
    <row r="6292" spans="11:11" x14ac:dyDescent="0.25">
      <c r="K6292" s="8" t="e">
        <f t="shared" si="98"/>
        <v>#VALUE!</v>
      </c>
    </row>
    <row r="6293" spans="11:11" x14ac:dyDescent="0.25">
      <c r="K6293" s="8" t="e">
        <f t="shared" si="98"/>
        <v>#VALUE!</v>
      </c>
    </row>
    <row r="6294" spans="11:11" x14ac:dyDescent="0.25">
      <c r="K6294" s="8" t="e">
        <f t="shared" si="98"/>
        <v>#VALUE!</v>
      </c>
    </row>
    <row r="6295" spans="11:11" x14ac:dyDescent="0.25">
      <c r="K6295" s="8" t="e">
        <f t="shared" si="98"/>
        <v>#VALUE!</v>
      </c>
    </row>
    <row r="6296" spans="11:11" x14ac:dyDescent="0.25">
      <c r="K6296" s="8" t="e">
        <f t="shared" si="98"/>
        <v>#VALUE!</v>
      </c>
    </row>
    <row r="6297" spans="11:11" x14ac:dyDescent="0.25">
      <c r="K6297" s="8" t="e">
        <f t="shared" si="98"/>
        <v>#VALUE!</v>
      </c>
    </row>
    <row r="6298" spans="11:11" x14ac:dyDescent="0.25">
      <c r="K6298" s="8" t="e">
        <f t="shared" si="98"/>
        <v>#VALUE!</v>
      </c>
    </row>
    <row r="6299" spans="11:11" x14ac:dyDescent="0.25">
      <c r="K6299" s="8" t="e">
        <f t="shared" si="98"/>
        <v>#VALUE!</v>
      </c>
    </row>
    <row r="6300" spans="11:11" x14ac:dyDescent="0.25">
      <c r="K6300" s="8" t="e">
        <f t="shared" si="98"/>
        <v>#VALUE!</v>
      </c>
    </row>
    <row r="6301" spans="11:11" x14ac:dyDescent="0.25">
      <c r="K6301" s="8" t="e">
        <f t="shared" si="98"/>
        <v>#VALUE!</v>
      </c>
    </row>
    <row r="6302" spans="11:11" x14ac:dyDescent="0.25">
      <c r="K6302" s="8" t="e">
        <f t="shared" si="98"/>
        <v>#VALUE!</v>
      </c>
    </row>
    <row r="6303" spans="11:11" x14ac:dyDescent="0.25">
      <c r="K6303" s="8" t="e">
        <f t="shared" si="98"/>
        <v>#VALUE!</v>
      </c>
    </row>
    <row r="6304" spans="11:11" x14ac:dyDescent="0.25">
      <c r="K6304" s="8" t="e">
        <f t="shared" si="98"/>
        <v>#VALUE!</v>
      </c>
    </row>
    <row r="6305" spans="11:11" x14ac:dyDescent="0.25">
      <c r="K6305" s="8" t="e">
        <f t="shared" si="98"/>
        <v>#VALUE!</v>
      </c>
    </row>
    <row r="6306" spans="11:11" x14ac:dyDescent="0.25">
      <c r="K6306" s="8" t="e">
        <f t="shared" si="98"/>
        <v>#VALUE!</v>
      </c>
    </row>
    <row r="6307" spans="11:11" x14ac:dyDescent="0.25">
      <c r="K6307" s="8" t="e">
        <f t="shared" si="98"/>
        <v>#VALUE!</v>
      </c>
    </row>
    <row r="6308" spans="11:11" x14ac:dyDescent="0.25">
      <c r="K6308" s="8" t="e">
        <f t="shared" si="98"/>
        <v>#VALUE!</v>
      </c>
    </row>
    <row r="6309" spans="11:11" x14ac:dyDescent="0.25">
      <c r="K6309" s="8" t="e">
        <f t="shared" si="98"/>
        <v>#VALUE!</v>
      </c>
    </row>
    <row r="6310" spans="11:11" x14ac:dyDescent="0.25">
      <c r="K6310" s="8" t="e">
        <f t="shared" si="98"/>
        <v>#VALUE!</v>
      </c>
    </row>
    <row r="6311" spans="11:11" x14ac:dyDescent="0.25">
      <c r="K6311" s="8" t="e">
        <f t="shared" si="98"/>
        <v>#VALUE!</v>
      </c>
    </row>
    <row r="6312" spans="11:11" x14ac:dyDescent="0.25">
      <c r="K6312" s="8" t="e">
        <f t="shared" si="98"/>
        <v>#VALUE!</v>
      </c>
    </row>
    <row r="6313" spans="11:11" x14ac:dyDescent="0.25">
      <c r="K6313" s="8" t="e">
        <f t="shared" si="98"/>
        <v>#VALUE!</v>
      </c>
    </row>
    <row r="6314" spans="11:11" x14ac:dyDescent="0.25">
      <c r="K6314" s="8" t="e">
        <f t="shared" si="98"/>
        <v>#VALUE!</v>
      </c>
    </row>
    <row r="6315" spans="11:11" x14ac:dyDescent="0.25">
      <c r="K6315" s="8" t="e">
        <f t="shared" si="98"/>
        <v>#VALUE!</v>
      </c>
    </row>
    <row r="6316" spans="11:11" x14ac:dyDescent="0.25">
      <c r="K6316" s="8" t="e">
        <f t="shared" si="98"/>
        <v>#VALUE!</v>
      </c>
    </row>
    <row r="6317" spans="11:11" x14ac:dyDescent="0.25">
      <c r="K6317" s="8" t="e">
        <f t="shared" si="98"/>
        <v>#VALUE!</v>
      </c>
    </row>
    <row r="6318" spans="11:11" x14ac:dyDescent="0.25">
      <c r="K6318" s="8" t="e">
        <f t="shared" si="98"/>
        <v>#VALUE!</v>
      </c>
    </row>
    <row r="6319" spans="11:11" x14ac:dyDescent="0.25">
      <c r="K6319" s="8" t="e">
        <f t="shared" si="98"/>
        <v>#VALUE!</v>
      </c>
    </row>
    <row r="6320" spans="11:11" x14ac:dyDescent="0.25">
      <c r="K6320" s="8" t="e">
        <f t="shared" si="98"/>
        <v>#VALUE!</v>
      </c>
    </row>
    <row r="6321" spans="11:11" x14ac:dyDescent="0.25">
      <c r="K6321" s="8" t="e">
        <f t="shared" si="98"/>
        <v>#VALUE!</v>
      </c>
    </row>
    <row r="6322" spans="11:11" x14ac:dyDescent="0.25">
      <c r="K6322" s="8" t="e">
        <f t="shared" si="98"/>
        <v>#VALUE!</v>
      </c>
    </row>
    <row r="6323" spans="11:11" x14ac:dyDescent="0.25">
      <c r="K6323" s="8" t="e">
        <f t="shared" si="98"/>
        <v>#VALUE!</v>
      </c>
    </row>
    <row r="6324" spans="11:11" x14ac:dyDescent="0.25">
      <c r="K6324" s="8" t="e">
        <f t="shared" si="98"/>
        <v>#VALUE!</v>
      </c>
    </row>
    <row r="6325" spans="11:11" x14ac:dyDescent="0.25">
      <c r="K6325" s="8" t="e">
        <f t="shared" si="98"/>
        <v>#VALUE!</v>
      </c>
    </row>
    <row r="6326" spans="11:11" x14ac:dyDescent="0.25">
      <c r="K6326" s="8" t="e">
        <f t="shared" si="98"/>
        <v>#VALUE!</v>
      </c>
    </row>
    <row r="6327" spans="11:11" x14ac:dyDescent="0.25">
      <c r="K6327" s="8" t="e">
        <f t="shared" si="98"/>
        <v>#VALUE!</v>
      </c>
    </row>
    <row r="6328" spans="11:11" x14ac:dyDescent="0.25">
      <c r="K6328" s="8" t="e">
        <f t="shared" si="98"/>
        <v>#VALUE!</v>
      </c>
    </row>
    <row r="6329" spans="11:11" x14ac:dyDescent="0.25">
      <c r="K6329" s="8" t="e">
        <f t="shared" si="98"/>
        <v>#VALUE!</v>
      </c>
    </row>
    <row r="6330" spans="11:11" x14ac:dyDescent="0.25">
      <c r="K6330" s="8" t="e">
        <f t="shared" si="98"/>
        <v>#VALUE!</v>
      </c>
    </row>
    <row r="6331" spans="11:11" x14ac:dyDescent="0.25">
      <c r="K6331" s="8" t="e">
        <f t="shared" si="98"/>
        <v>#VALUE!</v>
      </c>
    </row>
    <row r="6332" spans="11:11" x14ac:dyDescent="0.25">
      <c r="K6332" s="8" t="e">
        <f t="shared" si="98"/>
        <v>#VALUE!</v>
      </c>
    </row>
    <row r="6333" spans="11:11" x14ac:dyDescent="0.25">
      <c r="K6333" s="8" t="e">
        <f t="shared" si="98"/>
        <v>#VALUE!</v>
      </c>
    </row>
    <row r="6334" spans="11:11" x14ac:dyDescent="0.25">
      <c r="K6334" s="8" t="e">
        <f t="shared" si="98"/>
        <v>#VALUE!</v>
      </c>
    </row>
    <row r="6335" spans="11:11" x14ac:dyDescent="0.25">
      <c r="K6335" s="8" t="e">
        <f t="shared" si="98"/>
        <v>#VALUE!</v>
      </c>
    </row>
    <row r="6336" spans="11:11" x14ac:dyDescent="0.25">
      <c r="K6336" s="8" t="e">
        <f t="shared" si="98"/>
        <v>#VALUE!</v>
      </c>
    </row>
    <row r="6337" spans="11:11" x14ac:dyDescent="0.25">
      <c r="K6337" s="8" t="e">
        <f t="shared" si="98"/>
        <v>#VALUE!</v>
      </c>
    </row>
    <row r="6338" spans="11:11" x14ac:dyDescent="0.25">
      <c r="K6338" s="8" t="e">
        <f t="shared" si="98"/>
        <v>#VALUE!</v>
      </c>
    </row>
    <row r="6339" spans="11:11" x14ac:dyDescent="0.25">
      <c r="K6339" s="8" t="e">
        <f t="shared" ref="K6339:K6402" si="99">LEFT(A6339,FIND("/",A6339)-1)</f>
        <v>#VALUE!</v>
      </c>
    </row>
    <row r="6340" spans="11:11" x14ac:dyDescent="0.25">
      <c r="K6340" s="8" t="e">
        <f t="shared" si="99"/>
        <v>#VALUE!</v>
      </c>
    </row>
    <row r="6341" spans="11:11" x14ac:dyDescent="0.25">
      <c r="K6341" s="8" t="e">
        <f t="shared" si="99"/>
        <v>#VALUE!</v>
      </c>
    </row>
    <row r="6342" spans="11:11" x14ac:dyDescent="0.25">
      <c r="K6342" s="8" t="e">
        <f t="shared" si="99"/>
        <v>#VALUE!</v>
      </c>
    </row>
    <row r="6343" spans="11:11" x14ac:dyDescent="0.25">
      <c r="K6343" s="8" t="e">
        <f t="shared" si="99"/>
        <v>#VALUE!</v>
      </c>
    </row>
    <row r="6344" spans="11:11" x14ac:dyDescent="0.25">
      <c r="K6344" s="8" t="e">
        <f t="shared" si="99"/>
        <v>#VALUE!</v>
      </c>
    </row>
    <row r="6345" spans="11:11" x14ac:dyDescent="0.25">
      <c r="K6345" s="8" t="e">
        <f t="shared" si="99"/>
        <v>#VALUE!</v>
      </c>
    </row>
    <row r="6346" spans="11:11" x14ac:dyDescent="0.25">
      <c r="K6346" s="8" t="e">
        <f t="shared" si="99"/>
        <v>#VALUE!</v>
      </c>
    </row>
    <row r="6347" spans="11:11" x14ac:dyDescent="0.25">
      <c r="K6347" s="8" t="e">
        <f t="shared" si="99"/>
        <v>#VALUE!</v>
      </c>
    </row>
    <row r="6348" spans="11:11" x14ac:dyDescent="0.25">
      <c r="K6348" s="8" t="e">
        <f t="shared" si="99"/>
        <v>#VALUE!</v>
      </c>
    </row>
    <row r="6349" spans="11:11" x14ac:dyDescent="0.25">
      <c r="K6349" s="8" t="e">
        <f t="shared" si="99"/>
        <v>#VALUE!</v>
      </c>
    </row>
    <row r="6350" spans="11:11" x14ac:dyDescent="0.25">
      <c r="K6350" s="8" t="e">
        <f t="shared" si="99"/>
        <v>#VALUE!</v>
      </c>
    </row>
    <row r="6351" spans="11:11" x14ac:dyDescent="0.25">
      <c r="K6351" s="8" t="e">
        <f t="shared" si="99"/>
        <v>#VALUE!</v>
      </c>
    </row>
    <row r="6352" spans="11:11" x14ac:dyDescent="0.25">
      <c r="K6352" s="8" t="e">
        <f t="shared" si="99"/>
        <v>#VALUE!</v>
      </c>
    </row>
    <row r="6353" spans="11:11" x14ac:dyDescent="0.25">
      <c r="K6353" s="8" t="e">
        <f t="shared" si="99"/>
        <v>#VALUE!</v>
      </c>
    </row>
    <row r="6354" spans="11:11" x14ac:dyDescent="0.25">
      <c r="K6354" s="8" t="e">
        <f t="shared" si="99"/>
        <v>#VALUE!</v>
      </c>
    </row>
    <row r="6355" spans="11:11" x14ac:dyDescent="0.25">
      <c r="K6355" s="8" t="e">
        <f t="shared" si="99"/>
        <v>#VALUE!</v>
      </c>
    </row>
    <row r="6356" spans="11:11" x14ac:dyDescent="0.25">
      <c r="K6356" s="8" t="e">
        <f t="shared" si="99"/>
        <v>#VALUE!</v>
      </c>
    </row>
    <row r="6357" spans="11:11" x14ac:dyDescent="0.25">
      <c r="K6357" s="8" t="e">
        <f t="shared" si="99"/>
        <v>#VALUE!</v>
      </c>
    </row>
    <row r="6358" spans="11:11" x14ac:dyDescent="0.25">
      <c r="K6358" s="8" t="e">
        <f t="shared" si="99"/>
        <v>#VALUE!</v>
      </c>
    </row>
    <row r="6359" spans="11:11" x14ac:dyDescent="0.25">
      <c r="K6359" s="8" t="e">
        <f t="shared" si="99"/>
        <v>#VALUE!</v>
      </c>
    </row>
    <row r="6360" spans="11:11" x14ac:dyDescent="0.25">
      <c r="K6360" s="8" t="e">
        <f t="shared" si="99"/>
        <v>#VALUE!</v>
      </c>
    </row>
    <row r="6361" spans="11:11" x14ac:dyDescent="0.25">
      <c r="K6361" s="8" t="e">
        <f t="shared" si="99"/>
        <v>#VALUE!</v>
      </c>
    </row>
    <row r="6362" spans="11:11" x14ac:dyDescent="0.25">
      <c r="K6362" s="8" t="e">
        <f t="shared" si="99"/>
        <v>#VALUE!</v>
      </c>
    </row>
    <row r="6363" spans="11:11" x14ac:dyDescent="0.25">
      <c r="K6363" s="8" t="e">
        <f t="shared" si="99"/>
        <v>#VALUE!</v>
      </c>
    </row>
    <row r="6364" spans="11:11" x14ac:dyDescent="0.25">
      <c r="K6364" s="8" t="e">
        <f t="shared" si="99"/>
        <v>#VALUE!</v>
      </c>
    </row>
    <row r="6365" spans="11:11" x14ac:dyDescent="0.25">
      <c r="K6365" s="8" t="e">
        <f t="shared" si="99"/>
        <v>#VALUE!</v>
      </c>
    </row>
    <row r="6366" spans="11:11" x14ac:dyDescent="0.25">
      <c r="K6366" s="8" t="e">
        <f t="shared" si="99"/>
        <v>#VALUE!</v>
      </c>
    </row>
    <row r="6367" spans="11:11" x14ac:dyDescent="0.25">
      <c r="K6367" s="8" t="e">
        <f t="shared" si="99"/>
        <v>#VALUE!</v>
      </c>
    </row>
    <row r="6368" spans="11:11" x14ac:dyDescent="0.25">
      <c r="K6368" s="8" t="e">
        <f t="shared" si="99"/>
        <v>#VALUE!</v>
      </c>
    </row>
    <row r="6369" spans="11:11" x14ac:dyDescent="0.25">
      <c r="K6369" s="8" t="e">
        <f t="shared" si="99"/>
        <v>#VALUE!</v>
      </c>
    </row>
    <row r="6370" spans="11:11" x14ac:dyDescent="0.25">
      <c r="K6370" s="8" t="e">
        <f t="shared" si="99"/>
        <v>#VALUE!</v>
      </c>
    </row>
    <row r="6371" spans="11:11" x14ac:dyDescent="0.25">
      <c r="K6371" s="8" t="e">
        <f t="shared" si="99"/>
        <v>#VALUE!</v>
      </c>
    </row>
    <row r="6372" spans="11:11" x14ac:dyDescent="0.25">
      <c r="K6372" s="8" t="e">
        <f t="shared" si="99"/>
        <v>#VALUE!</v>
      </c>
    </row>
    <row r="6373" spans="11:11" x14ac:dyDescent="0.25">
      <c r="K6373" s="8" t="e">
        <f t="shared" si="99"/>
        <v>#VALUE!</v>
      </c>
    </row>
    <row r="6374" spans="11:11" x14ac:dyDescent="0.25">
      <c r="K6374" s="8" t="e">
        <f t="shared" si="99"/>
        <v>#VALUE!</v>
      </c>
    </row>
    <row r="6375" spans="11:11" x14ac:dyDescent="0.25">
      <c r="K6375" s="8" t="e">
        <f t="shared" si="99"/>
        <v>#VALUE!</v>
      </c>
    </row>
    <row r="6376" spans="11:11" x14ac:dyDescent="0.25">
      <c r="K6376" s="8" t="e">
        <f t="shared" si="99"/>
        <v>#VALUE!</v>
      </c>
    </row>
    <row r="6377" spans="11:11" x14ac:dyDescent="0.25">
      <c r="K6377" s="8" t="e">
        <f t="shared" si="99"/>
        <v>#VALUE!</v>
      </c>
    </row>
    <row r="6378" spans="11:11" x14ac:dyDescent="0.25">
      <c r="K6378" s="8" t="e">
        <f t="shared" si="99"/>
        <v>#VALUE!</v>
      </c>
    </row>
    <row r="6379" spans="11:11" x14ac:dyDescent="0.25">
      <c r="K6379" s="8" t="e">
        <f t="shared" si="99"/>
        <v>#VALUE!</v>
      </c>
    </row>
    <row r="6380" spans="11:11" x14ac:dyDescent="0.25">
      <c r="K6380" s="8" t="e">
        <f t="shared" si="99"/>
        <v>#VALUE!</v>
      </c>
    </row>
    <row r="6381" spans="11:11" x14ac:dyDescent="0.25">
      <c r="K6381" s="8" t="e">
        <f t="shared" si="99"/>
        <v>#VALUE!</v>
      </c>
    </row>
    <row r="6382" spans="11:11" x14ac:dyDescent="0.25">
      <c r="K6382" s="8" t="e">
        <f t="shared" si="99"/>
        <v>#VALUE!</v>
      </c>
    </row>
    <row r="6383" spans="11:11" x14ac:dyDescent="0.25">
      <c r="K6383" s="8" t="e">
        <f t="shared" si="99"/>
        <v>#VALUE!</v>
      </c>
    </row>
    <row r="6384" spans="11:11" x14ac:dyDescent="0.25">
      <c r="K6384" s="8" t="e">
        <f t="shared" si="99"/>
        <v>#VALUE!</v>
      </c>
    </row>
    <row r="6385" spans="11:11" x14ac:dyDescent="0.25">
      <c r="K6385" s="8" t="e">
        <f t="shared" si="99"/>
        <v>#VALUE!</v>
      </c>
    </row>
    <row r="6386" spans="11:11" x14ac:dyDescent="0.25">
      <c r="K6386" s="8" t="e">
        <f t="shared" si="99"/>
        <v>#VALUE!</v>
      </c>
    </row>
    <row r="6387" spans="11:11" x14ac:dyDescent="0.25">
      <c r="K6387" s="8" t="e">
        <f t="shared" si="99"/>
        <v>#VALUE!</v>
      </c>
    </row>
    <row r="6388" spans="11:11" x14ac:dyDescent="0.25">
      <c r="K6388" s="8" t="e">
        <f t="shared" si="99"/>
        <v>#VALUE!</v>
      </c>
    </row>
    <row r="6389" spans="11:11" x14ac:dyDescent="0.25">
      <c r="K6389" s="8" t="e">
        <f t="shared" si="99"/>
        <v>#VALUE!</v>
      </c>
    </row>
    <row r="6390" spans="11:11" x14ac:dyDescent="0.25">
      <c r="K6390" s="8" t="e">
        <f t="shared" si="99"/>
        <v>#VALUE!</v>
      </c>
    </row>
    <row r="6391" spans="11:11" x14ac:dyDescent="0.25">
      <c r="K6391" s="8" t="e">
        <f t="shared" si="99"/>
        <v>#VALUE!</v>
      </c>
    </row>
    <row r="6392" spans="11:11" x14ac:dyDescent="0.25">
      <c r="K6392" s="8" t="e">
        <f t="shared" si="99"/>
        <v>#VALUE!</v>
      </c>
    </row>
    <row r="6393" spans="11:11" x14ac:dyDescent="0.25">
      <c r="K6393" s="8" t="e">
        <f t="shared" si="99"/>
        <v>#VALUE!</v>
      </c>
    </row>
    <row r="6394" spans="11:11" x14ac:dyDescent="0.25">
      <c r="K6394" s="8" t="e">
        <f t="shared" si="99"/>
        <v>#VALUE!</v>
      </c>
    </row>
    <row r="6395" spans="11:11" x14ac:dyDescent="0.25">
      <c r="K6395" s="8" t="e">
        <f t="shared" si="99"/>
        <v>#VALUE!</v>
      </c>
    </row>
    <row r="6396" spans="11:11" x14ac:dyDescent="0.25">
      <c r="K6396" s="8" t="e">
        <f t="shared" si="99"/>
        <v>#VALUE!</v>
      </c>
    </row>
    <row r="6397" spans="11:11" x14ac:dyDescent="0.25">
      <c r="K6397" s="8" t="e">
        <f t="shared" si="99"/>
        <v>#VALUE!</v>
      </c>
    </row>
    <row r="6398" spans="11:11" x14ac:dyDescent="0.25">
      <c r="K6398" s="8" t="e">
        <f t="shared" si="99"/>
        <v>#VALUE!</v>
      </c>
    </row>
    <row r="6399" spans="11:11" x14ac:dyDescent="0.25">
      <c r="K6399" s="8" t="e">
        <f t="shared" si="99"/>
        <v>#VALUE!</v>
      </c>
    </row>
    <row r="6400" spans="11:11" x14ac:dyDescent="0.25">
      <c r="K6400" s="8" t="e">
        <f t="shared" si="99"/>
        <v>#VALUE!</v>
      </c>
    </row>
    <row r="6401" spans="11:11" x14ac:dyDescent="0.25">
      <c r="K6401" s="8" t="e">
        <f t="shared" si="99"/>
        <v>#VALUE!</v>
      </c>
    </row>
    <row r="6402" spans="11:11" x14ac:dyDescent="0.25">
      <c r="K6402" s="8" t="e">
        <f t="shared" si="99"/>
        <v>#VALUE!</v>
      </c>
    </row>
    <row r="6403" spans="11:11" x14ac:dyDescent="0.25">
      <c r="K6403" s="8" t="e">
        <f t="shared" ref="K6403:K6466" si="100">LEFT(A6403,FIND("/",A6403)-1)</f>
        <v>#VALUE!</v>
      </c>
    </row>
    <row r="6404" spans="11:11" x14ac:dyDescent="0.25">
      <c r="K6404" s="8" t="e">
        <f t="shared" si="100"/>
        <v>#VALUE!</v>
      </c>
    </row>
    <row r="6405" spans="11:11" x14ac:dyDescent="0.25">
      <c r="K6405" s="8" t="e">
        <f t="shared" si="100"/>
        <v>#VALUE!</v>
      </c>
    </row>
    <row r="6406" spans="11:11" x14ac:dyDescent="0.25">
      <c r="K6406" s="8" t="e">
        <f t="shared" si="100"/>
        <v>#VALUE!</v>
      </c>
    </row>
    <row r="6407" spans="11:11" x14ac:dyDescent="0.25">
      <c r="K6407" s="8" t="e">
        <f t="shared" si="100"/>
        <v>#VALUE!</v>
      </c>
    </row>
    <row r="6408" spans="11:11" x14ac:dyDescent="0.25">
      <c r="K6408" s="8" t="e">
        <f t="shared" si="100"/>
        <v>#VALUE!</v>
      </c>
    </row>
    <row r="6409" spans="11:11" x14ac:dyDescent="0.25">
      <c r="K6409" s="8" t="e">
        <f t="shared" si="100"/>
        <v>#VALUE!</v>
      </c>
    </row>
    <row r="6410" spans="11:11" x14ac:dyDescent="0.25">
      <c r="K6410" s="8" t="e">
        <f t="shared" si="100"/>
        <v>#VALUE!</v>
      </c>
    </row>
    <row r="6411" spans="11:11" x14ac:dyDescent="0.25">
      <c r="K6411" s="8" t="e">
        <f t="shared" si="100"/>
        <v>#VALUE!</v>
      </c>
    </row>
    <row r="6412" spans="11:11" x14ac:dyDescent="0.25">
      <c r="K6412" s="8" t="e">
        <f t="shared" si="100"/>
        <v>#VALUE!</v>
      </c>
    </row>
    <row r="6413" spans="11:11" x14ac:dyDescent="0.25">
      <c r="K6413" s="8" t="e">
        <f t="shared" si="100"/>
        <v>#VALUE!</v>
      </c>
    </row>
    <row r="6414" spans="11:11" x14ac:dyDescent="0.25">
      <c r="K6414" s="8" t="e">
        <f t="shared" si="100"/>
        <v>#VALUE!</v>
      </c>
    </row>
    <row r="6415" spans="11:11" x14ac:dyDescent="0.25">
      <c r="K6415" s="8" t="e">
        <f t="shared" si="100"/>
        <v>#VALUE!</v>
      </c>
    </row>
    <row r="6416" spans="11:11" x14ac:dyDescent="0.25">
      <c r="K6416" s="8" t="e">
        <f t="shared" si="100"/>
        <v>#VALUE!</v>
      </c>
    </row>
    <row r="6417" spans="11:11" x14ac:dyDescent="0.25">
      <c r="K6417" s="8" t="e">
        <f t="shared" si="100"/>
        <v>#VALUE!</v>
      </c>
    </row>
    <row r="6418" spans="11:11" x14ac:dyDescent="0.25">
      <c r="K6418" s="8" t="e">
        <f t="shared" si="100"/>
        <v>#VALUE!</v>
      </c>
    </row>
    <row r="6419" spans="11:11" x14ac:dyDescent="0.25">
      <c r="K6419" s="8" t="e">
        <f t="shared" si="100"/>
        <v>#VALUE!</v>
      </c>
    </row>
    <row r="6420" spans="11:11" x14ac:dyDescent="0.25">
      <c r="K6420" s="8" t="e">
        <f t="shared" si="100"/>
        <v>#VALUE!</v>
      </c>
    </row>
    <row r="6421" spans="11:11" x14ac:dyDescent="0.25">
      <c r="K6421" s="8" t="e">
        <f t="shared" si="100"/>
        <v>#VALUE!</v>
      </c>
    </row>
    <row r="6422" spans="11:11" x14ac:dyDescent="0.25">
      <c r="K6422" s="8" t="e">
        <f t="shared" si="100"/>
        <v>#VALUE!</v>
      </c>
    </row>
    <row r="6423" spans="11:11" x14ac:dyDescent="0.25">
      <c r="K6423" s="8" t="e">
        <f t="shared" si="100"/>
        <v>#VALUE!</v>
      </c>
    </row>
    <row r="6424" spans="11:11" x14ac:dyDescent="0.25">
      <c r="K6424" s="8" t="e">
        <f t="shared" si="100"/>
        <v>#VALUE!</v>
      </c>
    </row>
    <row r="6425" spans="11:11" x14ac:dyDescent="0.25">
      <c r="K6425" s="8" t="e">
        <f t="shared" si="100"/>
        <v>#VALUE!</v>
      </c>
    </row>
    <row r="6426" spans="11:11" x14ac:dyDescent="0.25">
      <c r="K6426" s="8" t="e">
        <f t="shared" si="100"/>
        <v>#VALUE!</v>
      </c>
    </row>
    <row r="6427" spans="11:11" x14ac:dyDescent="0.25">
      <c r="K6427" s="8" t="e">
        <f t="shared" si="100"/>
        <v>#VALUE!</v>
      </c>
    </row>
    <row r="6428" spans="11:11" x14ac:dyDescent="0.25">
      <c r="K6428" s="8" t="e">
        <f t="shared" si="100"/>
        <v>#VALUE!</v>
      </c>
    </row>
    <row r="6429" spans="11:11" x14ac:dyDescent="0.25">
      <c r="K6429" s="8" t="e">
        <f t="shared" si="100"/>
        <v>#VALUE!</v>
      </c>
    </row>
    <row r="6430" spans="11:11" x14ac:dyDescent="0.25">
      <c r="K6430" s="8" t="e">
        <f t="shared" si="100"/>
        <v>#VALUE!</v>
      </c>
    </row>
    <row r="6431" spans="11:11" x14ac:dyDescent="0.25">
      <c r="K6431" s="8" t="e">
        <f t="shared" si="100"/>
        <v>#VALUE!</v>
      </c>
    </row>
    <row r="6432" spans="11:11" x14ac:dyDescent="0.25">
      <c r="K6432" s="8" t="e">
        <f t="shared" si="100"/>
        <v>#VALUE!</v>
      </c>
    </row>
    <row r="6433" spans="11:11" x14ac:dyDescent="0.25">
      <c r="K6433" s="8" t="e">
        <f t="shared" si="100"/>
        <v>#VALUE!</v>
      </c>
    </row>
    <row r="6434" spans="11:11" x14ac:dyDescent="0.25">
      <c r="K6434" s="8" t="e">
        <f t="shared" si="100"/>
        <v>#VALUE!</v>
      </c>
    </row>
    <row r="6435" spans="11:11" x14ac:dyDescent="0.25">
      <c r="K6435" s="8" t="e">
        <f t="shared" si="100"/>
        <v>#VALUE!</v>
      </c>
    </row>
    <row r="6436" spans="11:11" x14ac:dyDescent="0.25">
      <c r="K6436" s="8" t="e">
        <f t="shared" si="100"/>
        <v>#VALUE!</v>
      </c>
    </row>
    <row r="6437" spans="11:11" x14ac:dyDescent="0.25">
      <c r="K6437" s="8" t="e">
        <f t="shared" si="100"/>
        <v>#VALUE!</v>
      </c>
    </row>
    <row r="6438" spans="11:11" x14ac:dyDescent="0.25">
      <c r="K6438" s="8" t="e">
        <f t="shared" si="100"/>
        <v>#VALUE!</v>
      </c>
    </row>
    <row r="6439" spans="11:11" x14ac:dyDescent="0.25">
      <c r="K6439" s="8" t="e">
        <f t="shared" si="100"/>
        <v>#VALUE!</v>
      </c>
    </row>
    <row r="6440" spans="11:11" x14ac:dyDescent="0.25">
      <c r="K6440" s="8" t="e">
        <f t="shared" si="100"/>
        <v>#VALUE!</v>
      </c>
    </row>
    <row r="6441" spans="11:11" x14ac:dyDescent="0.25">
      <c r="K6441" s="8" t="e">
        <f t="shared" si="100"/>
        <v>#VALUE!</v>
      </c>
    </row>
    <row r="6442" spans="11:11" x14ac:dyDescent="0.25">
      <c r="K6442" s="8" t="e">
        <f t="shared" si="100"/>
        <v>#VALUE!</v>
      </c>
    </row>
    <row r="6443" spans="11:11" x14ac:dyDescent="0.25">
      <c r="K6443" s="8" t="e">
        <f t="shared" si="100"/>
        <v>#VALUE!</v>
      </c>
    </row>
    <row r="6444" spans="11:11" x14ac:dyDescent="0.25">
      <c r="K6444" s="8" t="e">
        <f t="shared" si="100"/>
        <v>#VALUE!</v>
      </c>
    </row>
    <row r="6445" spans="11:11" x14ac:dyDescent="0.25">
      <c r="K6445" s="8" t="e">
        <f t="shared" si="100"/>
        <v>#VALUE!</v>
      </c>
    </row>
    <row r="6446" spans="11:11" x14ac:dyDescent="0.25">
      <c r="K6446" s="8" t="e">
        <f t="shared" si="100"/>
        <v>#VALUE!</v>
      </c>
    </row>
    <row r="6447" spans="11:11" x14ac:dyDescent="0.25">
      <c r="K6447" s="8" t="e">
        <f t="shared" si="100"/>
        <v>#VALUE!</v>
      </c>
    </row>
    <row r="6448" spans="11:11" x14ac:dyDescent="0.25">
      <c r="K6448" s="8" t="e">
        <f t="shared" si="100"/>
        <v>#VALUE!</v>
      </c>
    </row>
    <row r="6449" spans="11:11" x14ac:dyDescent="0.25">
      <c r="K6449" s="8" t="e">
        <f t="shared" si="100"/>
        <v>#VALUE!</v>
      </c>
    </row>
    <row r="6450" spans="11:11" x14ac:dyDescent="0.25">
      <c r="K6450" s="8" t="e">
        <f t="shared" si="100"/>
        <v>#VALUE!</v>
      </c>
    </row>
    <row r="6451" spans="11:11" x14ac:dyDescent="0.25">
      <c r="K6451" s="8" t="e">
        <f t="shared" si="100"/>
        <v>#VALUE!</v>
      </c>
    </row>
    <row r="6452" spans="11:11" x14ac:dyDescent="0.25">
      <c r="K6452" s="8" t="e">
        <f t="shared" si="100"/>
        <v>#VALUE!</v>
      </c>
    </row>
    <row r="6453" spans="11:11" x14ac:dyDescent="0.25">
      <c r="K6453" s="8" t="e">
        <f t="shared" si="100"/>
        <v>#VALUE!</v>
      </c>
    </row>
    <row r="6454" spans="11:11" x14ac:dyDescent="0.25">
      <c r="K6454" s="8" t="e">
        <f t="shared" si="100"/>
        <v>#VALUE!</v>
      </c>
    </row>
    <row r="6455" spans="11:11" x14ac:dyDescent="0.25">
      <c r="K6455" s="8" t="e">
        <f t="shared" si="100"/>
        <v>#VALUE!</v>
      </c>
    </row>
    <row r="6456" spans="11:11" x14ac:dyDescent="0.25">
      <c r="K6456" s="8" t="e">
        <f t="shared" si="100"/>
        <v>#VALUE!</v>
      </c>
    </row>
    <row r="6457" spans="11:11" x14ac:dyDescent="0.25">
      <c r="K6457" s="8" t="e">
        <f t="shared" si="100"/>
        <v>#VALUE!</v>
      </c>
    </row>
    <row r="6458" spans="11:11" x14ac:dyDescent="0.25">
      <c r="K6458" s="8" t="e">
        <f t="shared" si="100"/>
        <v>#VALUE!</v>
      </c>
    </row>
    <row r="6459" spans="11:11" x14ac:dyDescent="0.25">
      <c r="K6459" s="8" t="e">
        <f t="shared" si="100"/>
        <v>#VALUE!</v>
      </c>
    </row>
    <row r="6460" spans="11:11" x14ac:dyDescent="0.25">
      <c r="K6460" s="8" t="e">
        <f t="shared" si="100"/>
        <v>#VALUE!</v>
      </c>
    </row>
    <row r="6461" spans="11:11" x14ac:dyDescent="0.25">
      <c r="K6461" s="8" t="e">
        <f t="shared" si="100"/>
        <v>#VALUE!</v>
      </c>
    </row>
    <row r="6462" spans="11:11" x14ac:dyDescent="0.25">
      <c r="K6462" s="8" t="e">
        <f t="shared" si="100"/>
        <v>#VALUE!</v>
      </c>
    </row>
    <row r="6463" spans="11:11" x14ac:dyDescent="0.25">
      <c r="K6463" s="8" t="e">
        <f t="shared" si="100"/>
        <v>#VALUE!</v>
      </c>
    </row>
    <row r="6464" spans="11:11" x14ac:dyDescent="0.25">
      <c r="K6464" s="8" t="e">
        <f t="shared" si="100"/>
        <v>#VALUE!</v>
      </c>
    </row>
    <row r="6465" spans="11:11" x14ac:dyDescent="0.25">
      <c r="K6465" s="8" t="e">
        <f t="shared" si="100"/>
        <v>#VALUE!</v>
      </c>
    </row>
    <row r="6466" spans="11:11" x14ac:dyDescent="0.25">
      <c r="K6466" s="8" t="e">
        <f t="shared" si="100"/>
        <v>#VALUE!</v>
      </c>
    </row>
    <row r="6467" spans="11:11" x14ac:dyDescent="0.25">
      <c r="K6467" s="8" t="e">
        <f t="shared" ref="K6467:K6530" si="101">LEFT(A6467,FIND("/",A6467)-1)</f>
        <v>#VALUE!</v>
      </c>
    </row>
    <row r="6468" spans="11:11" x14ac:dyDescent="0.25">
      <c r="K6468" s="8" t="e">
        <f t="shared" si="101"/>
        <v>#VALUE!</v>
      </c>
    </row>
    <row r="6469" spans="11:11" x14ac:dyDescent="0.25">
      <c r="K6469" s="8" t="e">
        <f t="shared" si="101"/>
        <v>#VALUE!</v>
      </c>
    </row>
    <row r="6470" spans="11:11" x14ac:dyDescent="0.25">
      <c r="K6470" s="8" t="e">
        <f t="shared" si="101"/>
        <v>#VALUE!</v>
      </c>
    </row>
    <row r="6471" spans="11:11" x14ac:dyDescent="0.25">
      <c r="K6471" s="8" t="e">
        <f t="shared" si="101"/>
        <v>#VALUE!</v>
      </c>
    </row>
    <row r="6472" spans="11:11" x14ac:dyDescent="0.25">
      <c r="K6472" s="8" t="e">
        <f t="shared" si="101"/>
        <v>#VALUE!</v>
      </c>
    </row>
    <row r="6473" spans="11:11" x14ac:dyDescent="0.25">
      <c r="K6473" s="8" t="e">
        <f t="shared" si="101"/>
        <v>#VALUE!</v>
      </c>
    </row>
    <row r="6474" spans="11:11" x14ac:dyDescent="0.25">
      <c r="K6474" s="8" t="e">
        <f t="shared" si="101"/>
        <v>#VALUE!</v>
      </c>
    </row>
    <row r="6475" spans="11:11" x14ac:dyDescent="0.25">
      <c r="K6475" s="8" t="e">
        <f t="shared" si="101"/>
        <v>#VALUE!</v>
      </c>
    </row>
    <row r="6476" spans="11:11" x14ac:dyDescent="0.25">
      <c r="K6476" s="8" t="e">
        <f t="shared" si="101"/>
        <v>#VALUE!</v>
      </c>
    </row>
    <row r="6477" spans="11:11" x14ac:dyDescent="0.25">
      <c r="K6477" s="8" t="e">
        <f t="shared" si="101"/>
        <v>#VALUE!</v>
      </c>
    </row>
    <row r="6478" spans="11:11" x14ac:dyDescent="0.25">
      <c r="K6478" s="8" t="e">
        <f t="shared" si="101"/>
        <v>#VALUE!</v>
      </c>
    </row>
    <row r="6479" spans="11:11" x14ac:dyDescent="0.25">
      <c r="K6479" s="8" t="e">
        <f t="shared" si="101"/>
        <v>#VALUE!</v>
      </c>
    </row>
    <row r="6480" spans="11:11" x14ac:dyDescent="0.25">
      <c r="K6480" s="8" t="e">
        <f t="shared" si="101"/>
        <v>#VALUE!</v>
      </c>
    </row>
    <row r="6481" spans="11:11" x14ac:dyDescent="0.25">
      <c r="K6481" s="8" t="e">
        <f t="shared" si="101"/>
        <v>#VALUE!</v>
      </c>
    </row>
    <row r="6482" spans="11:11" x14ac:dyDescent="0.25">
      <c r="K6482" s="8" t="e">
        <f t="shared" si="101"/>
        <v>#VALUE!</v>
      </c>
    </row>
    <row r="6483" spans="11:11" x14ac:dyDescent="0.25">
      <c r="K6483" s="8" t="e">
        <f t="shared" si="101"/>
        <v>#VALUE!</v>
      </c>
    </row>
    <row r="6484" spans="11:11" x14ac:dyDescent="0.25">
      <c r="K6484" s="8" t="e">
        <f t="shared" si="101"/>
        <v>#VALUE!</v>
      </c>
    </row>
    <row r="6485" spans="11:11" x14ac:dyDescent="0.25">
      <c r="K6485" s="8" t="e">
        <f t="shared" si="101"/>
        <v>#VALUE!</v>
      </c>
    </row>
    <row r="6486" spans="11:11" x14ac:dyDescent="0.25">
      <c r="K6486" s="8" t="e">
        <f t="shared" si="101"/>
        <v>#VALUE!</v>
      </c>
    </row>
    <row r="6487" spans="11:11" x14ac:dyDescent="0.25">
      <c r="K6487" s="8" t="e">
        <f t="shared" si="101"/>
        <v>#VALUE!</v>
      </c>
    </row>
    <row r="6488" spans="11:11" x14ac:dyDescent="0.25">
      <c r="K6488" s="8" t="e">
        <f t="shared" si="101"/>
        <v>#VALUE!</v>
      </c>
    </row>
    <row r="6489" spans="11:11" x14ac:dyDescent="0.25">
      <c r="K6489" s="8" t="e">
        <f t="shared" si="101"/>
        <v>#VALUE!</v>
      </c>
    </row>
    <row r="6490" spans="11:11" x14ac:dyDescent="0.25">
      <c r="K6490" s="8" t="e">
        <f t="shared" si="101"/>
        <v>#VALUE!</v>
      </c>
    </row>
    <row r="6491" spans="11:11" x14ac:dyDescent="0.25">
      <c r="K6491" s="8" t="e">
        <f t="shared" si="101"/>
        <v>#VALUE!</v>
      </c>
    </row>
    <row r="6492" spans="11:11" x14ac:dyDescent="0.25">
      <c r="K6492" s="8" t="e">
        <f t="shared" si="101"/>
        <v>#VALUE!</v>
      </c>
    </row>
    <row r="6493" spans="11:11" x14ac:dyDescent="0.25">
      <c r="K6493" s="8" t="e">
        <f t="shared" si="101"/>
        <v>#VALUE!</v>
      </c>
    </row>
    <row r="6494" spans="11:11" x14ac:dyDescent="0.25">
      <c r="K6494" s="8" t="e">
        <f t="shared" si="101"/>
        <v>#VALUE!</v>
      </c>
    </row>
    <row r="6495" spans="11:11" x14ac:dyDescent="0.25">
      <c r="K6495" s="8" t="e">
        <f t="shared" si="101"/>
        <v>#VALUE!</v>
      </c>
    </row>
    <row r="6496" spans="11:11" x14ac:dyDescent="0.25">
      <c r="K6496" s="8" t="e">
        <f t="shared" si="101"/>
        <v>#VALUE!</v>
      </c>
    </row>
    <row r="6497" spans="11:11" x14ac:dyDescent="0.25">
      <c r="K6497" s="8" t="e">
        <f t="shared" si="101"/>
        <v>#VALUE!</v>
      </c>
    </row>
    <row r="6498" spans="11:11" x14ac:dyDescent="0.25">
      <c r="K6498" s="8" t="e">
        <f t="shared" si="101"/>
        <v>#VALUE!</v>
      </c>
    </row>
    <row r="6499" spans="11:11" x14ac:dyDescent="0.25">
      <c r="K6499" s="8" t="e">
        <f t="shared" si="101"/>
        <v>#VALUE!</v>
      </c>
    </row>
    <row r="6500" spans="11:11" x14ac:dyDescent="0.25">
      <c r="K6500" s="8" t="e">
        <f t="shared" si="101"/>
        <v>#VALUE!</v>
      </c>
    </row>
    <row r="6501" spans="11:11" x14ac:dyDescent="0.25">
      <c r="K6501" s="8" t="e">
        <f t="shared" si="101"/>
        <v>#VALUE!</v>
      </c>
    </row>
    <row r="6502" spans="11:11" x14ac:dyDescent="0.25">
      <c r="K6502" s="8" t="e">
        <f t="shared" si="101"/>
        <v>#VALUE!</v>
      </c>
    </row>
    <row r="6503" spans="11:11" x14ac:dyDescent="0.25">
      <c r="K6503" s="8" t="e">
        <f t="shared" si="101"/>
        <v>#VALUE!</v>
      </c>
    </row>
    <row r="6504" spans="11:11" x14ac:dyDescent="0.25">
      <c r="K6504" s="8" t="e">
        <f t="shared" si="101"/>
        <v>#VALUE!</v>
      </c>
    </row>
    <row r="6505" spans="11:11" x14ac:dyDescent="0.25">
      <c r="K6505" s="8" t="e">
        <f t="shared" si="101"/>
        <v>#VALUE!</v>
      </c>
    </row>
    <row r="6506" spans="11:11" x14ac:dyDescent="0.25">
      <c r="K6506" s="8" t="e">
        <f t="shared" si="101"/>
        <v>#VALUE!</v>
      </c>
    </row>
    <row r="6507" spans="11:11" x14ac:dyDescent="0.25">
      <c r="K6507" s="8" t="e">
        <f t="shared" si="101"/>
        <v>#VALUE!</v>
      </c>
    </row>
    <row r="6508" spans="11:11" x14ac:dyDescent="0.25">
      <c r="K6508" s="8" t="e">
        <f t="shared" si="101"/>
        <v>#VALUE!</v>
      </c>
    </row>
    <row r="6509" spans="11:11" x14ac:dyDescent="0.25">
      <c r="K6509" s="8" t="e">
        <f t="shared" si="101"/>
        <v>#VALUE!</v>
      </c>
    </row>
    <row r="6510" spans="11:11" x14ac:dyDescent="0.25">
      <c r="K6510" s="8" t="e">
        <f t="shared" si="101"/>
        <v>#VALUE!</v>
      </c>
    </row>
    <row r="6511" spans="11:11" x14ac:dyDescent="0.25">
      <c r="K6511" s="8" t="e">
        <f t="shared" si="101"/>
        <v>#VALUE!</v>
      </c>
    </row>
    <row r="6512" spans="11:11" x14ac:dyDescent="0.25">
      <c r="K6512" s="8" t="e">
        <f t="shared" si="101"/>
        <v>#VALUE!</v>
      </c>
    </row>
    <row r="6513" spans="11:11" x14ac:dyDescent="0.25">
      <c r="K6513" s="8" t="e">
        <f t="shared" si="101"/>
        <v>#VALUE!</v>
      </c>
    </row>
    <row r="6514" spans="11:11" x14ac:dyDescent="0.25">
      <c r="K6514" s="8" t="e">
        <f t="shared" si="101"/>
        <v>#VALUE!</v>
      </c>
    </row>
    <row r="6515" spans="11:11" x14ac:dyDescent="0.25">
      <c r="K6515" s="8" t="e">
        <f t="shared" si="101"/>
        <v>#VALUE!</v>
      </c>
    </row>
    <row r="6516" spans="11:11" x14ac:dyDescent="0.25">
      <c r="K6516" s="8" t="e">
        <f t="shared" si="101"/>
        <v>#VALUE!</v>
      </c>
    </row>
    <row r="6517" spans="11:11" x14ac:dyDescent="0.25">
      <c r="K6517" s="8" t="e">
        <f t="shared" si="101"/>
        <v>#VALUE!</v>
      </c>
    </row>
    <row r="6518" spans="11:11" x14ac:dyDescent="0.25">
      <c r="K6518" s="8" t="e">
        <f t="shared" si="101"/>
        <v>#VALUE!</v>
      </c>
    </row>
    <row r="6519" spans="11:11" x14ac:dyDescent="0.25">
      <c r="K6519" s="8" t="e">
        <f t="shared" si="101"/>
        <v>#VALUE!</v>
      </c>
    </row>
    <row r="6520" spans="11:11" x14ac:dyDescent="0.25">
      <c r="K6520" s="8" t="e">
        <f t="shared" si="101"/>
        <v>#VALUE!</v>
      </c>
    </row>
    <row r="6521" spans="11:11" x14ac:dyDescent="0.25">
      <c r="K6521" s="8" t="e">
        <f t="shared" si="101"/>
        <v>#VALUE!</v>
      </c>
    </row>
    <row r="6522" spans="11:11" x14ac:dyDescent="0.25">
      <c r="K6522" s="8" t="e">
        <f t="shared" si="101"/>
        <v>#VALUE!</v>
      </c>
    </row>
    <row r="6523" spans="11:11" x14ac:dyDescent="0.25">
      <c r="K6523" s="8" t="e">
        <f t="shared" si="101"/>
        <v>#VALUE!</v>
      </c>
    </row>
    <row r="6524" spans="11:11" x14ac:dyDescent="0.25">
      <c r="K6524" s="8" t="e">
        <f t="shared" si="101"/>
        <v>#VALUE!</v>
      </c>
    </row>
    <row r="6525" spans="11:11" x14ac:dyDescent="0.25">
      <c r="K6525" s="8" t="e">
        <f t="shared" si="101"/>
        <v>#VALUE!</v>
      </c>
    </row>
    <row r="6526" spans="11:11" x14ac:dyDescent="0.25">
      <c r="K6526" s="8" t="e">
        <f t="shared" si="101"/>
        <v>#VALUE!</v>
      </c>
    </row>
    <row r="6527" spans="11:11" x14ac:dyDescent="0.25">
      <c r="K6527" s="8" t="e">
        <f t="shared" si="101"/>
        <v>#VALUE!</v>
      </c>
    </row>
    <row r="6528" spans="11:11" x14ac:dyDescent="0.25">
      <c r="K6528" s="8" t="e">
        <f t="shared" si="101"/>
        <v>#VALUE!</v>
      </c>
    </row>
    <row r="6529" spans="11:11" x14ac:dyDescent="0.25">
      <c r="K6529" s="8" t="e">
        <f t="shared" si="101"/>
        <v>#VALUE!</v>
      </c>
    </row>
    <row r="6530" spans="11:11" x14ac:dyDescent="0.25">
      <c r="K6530" s="8" t="e">
        <f t="shared" si="101"/>
        <v>#VALUE!</v>
      </c>
    </row>
    <row r="6531" spans="11:11" x14ac:dyDescent="0.25">
      <c r="K6531" s="8" t="e">
        <f t="shared" ref="K6531:K6594" si="102">LEFT(A6531,FIND("/",A6531)-1)</f>
        <v>#VALUE!</v>
      </c>
    </row>
    <row r="6532" spans="11:11" x14ac:dyDescent="0.25">
      <c r="K6532" s="8" t="e">
        <f t="shared" si="102"/>
        <v>#VALUE!</v>
      </c>
    </row>
    <row r="6533" spans="11:11" x14ac:dyDescent="0.25">
      <c r="K6533" s="8" t="e">
        <f t="shared" si="102"/>
        <v>#VALUE!</v>
      </c>
    </row>
    <row r="6534" spans="11:11" x14ac:dyDescent="0.25">
      <c r="K6534" s="8" t="e">
        <f t="shared" si="102"/>
        <v>#VALUE!</v>
      </c>
    </row>
    <row r="6535" spans="11:11" x14ac:dyDescent="0.25">
      <c r="K6535" s="8" t="e">
        <f t="shared" si="102"/>
        <v>#VALUE!</v>
      </c>
    </row>
    <row r="6536" spans="11:11" x14ac:dyDescent="0.25">
      <c r="K6536" s="8" t="e">
        <f t="shared" si="102"/>
        <v>#VALUE!</v>
      </c>
    </row>
    <row r="6537" spans="11:11" x14ac:dyDescent="0.25">
      <c r="K6537" s="8" t="e">
        <f t="shared" si="102"/>
        <v>#VALUE!</v>
      </c>
    </row>
    <row r="6538" spans="11:11" x14ac:dyDescent="0.25">
      <c r="K6538" s="8" t="e">
        <f t="shared" si="102"/>
        <v>#VALUE!</v>
      </c>
    </row>
    <row r="6539" spans="11:11" x14ac:dyDescent="0.25">
      <c r="K6539" s="8" t="e">
        <f t="shared" si="102"/>
        <v>#VALUE!</v>
      </c>
    </row>
    <row r="6540" spans="11:11" x14ac:dyDescent="0.25">
      <c r="K6540" s="8" t="e">
        <f t="shared" si="102"/>
        <v>#VALUE!</v>
      </c>
    </row>
    <row r="6541" spans="11:11" x14ac:dyDescent="0.25">
      <c r="K6541" s="8" t="e">
        <f t="shared" si="102"/>
        <v>#VALUE!</v>
      </c>
    </row>
    <row r="6542" spans="11:11" x14ac:dyDescent="0.25">
      <c r="K6542" s="8" t="e">
        <f t="shared" si="102"/>
        <v>#VALUE!</v>
      </c>
    </row>
    <row r="6543" spans="11:11" x14ac:dyDescent="0.25">
      <c r="K6543" s="8" t="e">
        <f t="shared" si="102"/>
        <v>#VALUE!</v>
      </c>
    </row>
    <row r="6544" spans="11:11" x14ac:dyDescent="0.25">
      <c r="K6544" s="8" t="e">
        <f t="shared" si="102"/>
        <v>#VALUE!</v>
      </c>
    </row>
    <row r="6545" spans="11:11" x14ac:dyDescent="0.25">
      <c r="K6545" s="8" t="e">
        <f t="shared" si="102"/>
        <v>#VALUE!</v>
      </c>
    </row>
    <row r="6546" spans="11:11" x14ac:dyDescent="0.25">
      <c r="K6546" s="8" t="e">
        <f t="shared" si="102"/>
        <v>#VALUE!</v>
      </c>
    </row>
    <row r="6547" spans="11:11" x14ac:dyDescent="0.25">
      <c r="K6547" s="8" t="e">
        <f t="shared" si="102"/>
        <v>#VALUE!</v>
      </c>
    </row>
    <row r="6548" spans="11:11" x14ac:dyDescent="0.25">
      <c r="K6548" s="8" t="e">
        <f t="shared" si="102"/>
        <v>#VALUE!</v>
      </c>
    </row>
    <row r="6549" spans="11:11" x14ac:dyDescent="0.25">
      <c r="K6549" s="8" t="e">
        <f t="shared" si="102"/>
        <v>#VALUE!</v>
      </c>
    </row>
    <row r="6550" spans="11:11" x14ac:dyDescent="0.25">
      <c r="K6550" s="8" t="e">
        <f t="shared" si="102"/>
        <v>#VALUE!</v>
      </c>
    </row>
    <row r="6551" spans="11:11" x14ac:dyDescent="0.25">
      <c r="K6551" s="8" t="e">
        <f t="shared" si="102"/>
        <v>#VALUE!</v>
      </c>
    </row>
    <row r="6552" spans="11:11" x14ac:dyDescent="0.25">
      <c r="K6552" s="8" t="e">
        <f t="shared" si="102"/>
        <v>#VALUE!</v>
      </c>
    </row>
    <row r="6553" spans="11:11" x14ac:dyDescent="0.25">
      <c r="K6553" s="8" t="e">
        <f t="shared" si="102"/>
        <v>#VALUE!</v>
      </c>
    </row>
    <row r="6554" spans="11:11" x14ac:dyDescent="0.25">
      <c r="K6554" s="8" t="e">
        <f t="shared" si="102"/>
        <v>#VALUE!</v>
      </c>
    </row>
    <row r="6555" spans="11:11" x14ac:dyDescent="0.25">
      <c r="K6555" s="8" t="e">
        <f t="shared" si="102"/>
        <v>#VALUE!</v>
      </c>
    </row>
    <row r="6556" spans="11:11" x14ac:dyDescent="0.25">
      <c r="K6556" s="8" t="e">
        <f t="shared" si="102"/>
        <v>#VALUE!</v>
      </c>
    </row>
    <row r="6557" spans="11:11" x14ac:dyDescent="0.25">
      <c r="K6557" s="8" t="e">
        <f t="shared" si="102"/>
        <v>#VALUE!</v>
      </c>
    </row>
    <row r="6558" spans="11:11" x14ac:dyDescent="0.25">
      <c r="K6558" s="8" t="e">
        <f t="shared" si="102"/>
        <v>#VALUE!</v>
      </c>
    </row>
    <row r="6559" spans="11:11" x14ac:dyDescent="0.25">
      <c r="K6559" s="8" t="e">
        <f t="shared" si="102"/>
        <v>#VALUE!</v>
      </c>
    </row>
    <row r="6560" spans="11:11" x14ac:dyDescent="0.25">
      <c r="K6560" s="8" t="e">
        <f t="shared" si="102"/>
        <v>#VALUE!</v>
      </c>
    </row>
    <row r="6561" spans="11:11" x14ac:dyDescent="0.25">
      <c r="K6561" s="8" t="e">
        <f t="shared" si="102"/>
        <v>#VALUE!</v>
      </c>
    </row>
    <row r="6562" spans="11:11" x14ac:dyDescent="0.25">
      <c r="K6562" s="8" t="e">
        <f t="shared" si="102"/>
        <v>#VALUE!</v>
      </c>
    </row>
    <row r="6563" spans="11:11" x14ac:dyDescent="0.25">
      <c r="K6563" s="8" t="e">
        <f t="shared" si="102"/>
        <v>#VALUE!</v>
      </c>
    </row>
    <row r="6564" spans="11:11" x14ac:dyDescent="0.25">
      <c r="K6564" s="8" t="e">
        <f t="shared" si="102"/>
        <v>#VALUE!</v>
      </c>
    </row>
    <row r="6565" spans="11:11" x14ac:dyDescent="0.25">
      <c r="K6565" s="8" t="e">
        <f t="shared" si="102"/>
        <v>#VALUE!</v>
      </c>
    </row>
    <row r="6566" spans="11:11" x14ac:dyDescent="0.25">
      <c r="K6566" s="8" t="e">
        <f t="shared" si="102"/>
        <v>#VALUE!</v>
      </c>
    </row>
    <row r="6567" spans="11:11" x14ac:dyDescent="0.25">
      <c r="K6567" s="8" t="e">
        <f t="shared" si="102"/>
        <v>#VALUE!</v>
      </c>
    </row>
    <row r="6568" spans="11:11" x14ac:dyDescent="0.25">
      <c r="K6568" s="8" t="e">
        <f t="shared" si="102"/>
        <v>#VALUE!</v>
      </c>
    </row>
    <row r="6569" spans="11:11" x14ac:dyDescent="0.25">
      <c r="K6569" s="8" t="e">
        <f t="shared" si="102"/>
        <v>#VALUE!</v>
      </c>
    </row>
    <row r="6570" spans="11:11" x14ac:dyDescent="0.25">
      <c r="K6570" s="8" t="e">
        <f t="shared" si="102"/>
        <v>#VALUE!</v>
      </c>
    </row>
    <row r="6571" spans="11:11" x14ac:dyDescent="0.25">
      <c r="K6571" s="8" t="e">
        <f t="shared" si="102"/>
        <v>#VALUE!</v>
      </c>
    </row>
    <row r="6572" spans="11:11" x14ac:dyDescent="0.25">
      <c r="K6572" s="8" t="e">
        <f t="shared" si="102"/>
        <v>#VALUE!</v>
      </c>
    </row>
    <row r="6573" spans="11:11" x14ac:dyDescent="0.25">
      <c r="K6573" s="8" t="e">
        <f t="shared" si="102"/>
        <v>#VALUE!</v>
      </c>
    </row>
    <row r="6574" spans="11:11" x14ac:dyDescent="0.25">
      <c r="K6574" s="8" t="e">
        <f t="shared" si="102"/>
        <v>#VALUE!</v>
      </c>
    </row>
    <row r="6575" spans="11:11" x14ac:dyDescent="0.25">
      <c r="K6575" s="8" t="e">
        <f t="shared" si="102"/>
        <v>#VALUE!</v>
      </c>
    </row>
    <row r="6576" spans="11:11" x14ac:dyDescent="0.25">
      <c r="K6576" s="8" t="e">
        <f t="shared" si="102"/>
        <v>#VALUE!</v>
      </c>
    </row>
    <row r="6577" spans="11:11" x14ac:dyDescent="0.25">
      <c r="K6577" s="8" t="e">
        <f t="shared" si="102"/>
        <v>#VALUE!</v>
      </c>
    </row>
    <row r="6578" spans="11:11" x14ac:dyDescent="0.25">
      <c r="K6578" s="8" t="e">
        <f t="shared" si="102"/>
        <v>#VALUE!</v>
      </c>
    </row>
    <row r="6579" spans="11:11" x14ac:dyDescent="0.25">
      <c r="K6579" s="8" t="e">
        <f t="shared" si="102"/>
        <v>#VALUE!</v>
      </c>
    </row>
    <row r="6580" spans="11:11" x14ac:dyDescent="0.25">
      <c r="K6580" s="8" t="e">
        <f t="shared" si="102"/>
        <v>#VALUE!</v>
      </c>
    </row>
    <row r="6581" spans="11:11" x14ac:dyDescent="0.25">
      <c r="K6581" s="8" t="e">
        <f t="shared" si="102"/>
        <v>#VALUE!</v>
      </c>
    </row>
    <row r="6582" spans="11:11" x14ac:dyDescent="0.25">
      <c r="K6582" s="8" t="e">
        <f t="shared" si="102"/>
        <v>#VALUE!</v>
      </c>
    </row>
    <row r="6583" spans="11:11" x14ac:dyDescent="0.25">
      <c r="K6583" s="8" t="e">
        <f t="shared" si="102"/>
        <v>#VALUE!</v>
      </c>
    </row>
    <row r="6584" spans="11:11" x14ac:dyDescent="0.25">
      <c r="K6584" s="8" t="e">
        <f t="shared" si="102"/>
        <v>#VALUE!</v>
      </c>
    </row>
    <row r="6585" spans="11:11" x14ac:dyDescent="0.25">
      <c r="K6585" s="8" t="e">
        <f t="shared" si="102"/>
        <v>#VALUE!</v>
      </c>
    </row>
    <row r="6586" spans="11:11" x14ac:dyDescent="0.25">
      <c r="K6586" s="8" t="e">
        <f t="shared" si="102"/>
        <v>#VALUE!</v>
      </c>
    </row>
    <row r="6587" spans="11:11" x14ac:dyDescent="0.25">
      <c r="K6587" s="8" t="e">
        <f t="shared" si="102"/>
        <v>#VALUE!</v>
      </c>
    </row>
    <row r="6588" spans="11:11" x14ac:dyDescent="0.25">
      <c r="K6588" s="8" t="e">
        <f t="shared" si="102"/>
        <v>#VALUE!</v>
      </c>
    </row>
    <row r="6589" spans="11:11" x14ac:dyDescent="0.25">
      <c r="K6589" s="8" t="e">
        <f t="shared" si="102"/>
        <v>#VALUE!</v>
      </c>
    </row>
    <row r="6590" spans="11:11" x14ac:dyDescent="0.25">
      <c r="K6590" s="8" t="e">
        <f t="shared" si="102"/>
        <v>#VALUE!</v>
      </c>
    </row>
    <row r="6591" spans="11:11" x14ac:dyDescent="0.25">
      <c r="K6591" s="8" t="e">
        <f t="shared" si="102"/>
        <v>#VALUE!</v>
      </c>
    </row>
    <row r="6592" spans="11:11" x14ac:dyDescent="0.25">
      <c r="K6592" s="8" t="e">
        <f t="shared" si="102"/>
        <v>#VALUE!</v>
      </c>
    </row>
    <row r="6593" spans="11:11" x14ac:dyDescent="0.25">
      <c r="K6593" s="8" t="e">
        <f t="shared" si="102"/>
        <v>#VALUE!</v>
      </c>
    </row>
    <row r="6594" spans="11:11" x14ac:dyDescent="0.25">
      <c r="K6594" s="8" t="e">
        <f t="shared" si="102"/>
        <v>#VALUE!</v>
      </c>
    </row>
    <row r="6595" spans="11:11" x14ac:dyDescent="0.25">
      <c r="K6595" s="8" t="e">
        <f t="shared" ref="K6595:K6658" si="103">LEFT(A6595,FIND("/",A6595)-1)</f>
        <v>#VALUE!</v>
      </c>
    </row>
    <row r="6596" spans="11:11" x14ac:dyDescent="0.25">
      <c r="K6596" s="8" t="e">
        <f t="shared" si="103"/>
        <v>#VALUE!</v>
      </c>
    </row>
    <row r="6597" spans="11:11" x14ac:dyDescent="0.25">
      <c r="K6597" s="8" t="e">
        <f t="shared" si="103"/>
        <v>#VALUE!</v>
      </c>
    </row>
    <row r="6598" spans="11:11" x14ac:dyDescent="0.25">
      <c r="K6598" s="8" t="e">
        <f t="shared" si="103"/>
        <v>#VALUE!</v>
      </c>
    </row>
    <row r="6599" spans="11:11" x14ac:dyDescent="0.25">
      <c r="K6599" s="8" t="e">
        <f t="shared" si="103"/>
        <v>#VALUE!</v>
      </c>
    </row>
    <row r="6600" spans="11:11" x14ac:dyDescent="0.25">
      <c r="K6600" s="8" t="e">
        <f t="shared" si="103"/>
        <v>#VALUE!</v>
      </c>
    </row>
    <row r="6601" spans="11:11" x14ac:dyDescent="0.25">
      <c r="K6601" s="8" t="e">
        <f t="shared" si="103"/>
        <v>#VALUE!</v>
      </c>
    </row>
    <row r="6602" spans="11:11" x14ac:dyDescent="0.25">
      <c r="K6602" s="8" t="e">
        <f t="shared" si="103"/>
        <v>#VALUE!</v>
      </c>
    </row>
    <row r="6603" spans="11:11" x14ac:dyDescent="0.25">
      <c r="K6603" s="8" t="e">
        <f t="shared" si="103"/>
        <v>#VALUE!</v>
      </c>
    </row>
    <row r="6604" spans="11:11" x14ac:dyDescent="0.25">
      <c r="K6604" s="8" t="e">
        <f t="shared" si="103"/>
        <v>#VALUE!</v>
      </c>
    </row>
    <row r="6605" spans="11:11" x14ac:dyDescent="0.25">
      <c r="K6605" s="8" t="e">
        <f t="shared" si="103"/>
        <v>#VALUE!</v>
      </c>
    </row>
    <row r="6606" spans="11:11" x14ac:dyDescent="0.25">
      <c r="K6606" s="8" t="e">
        <f t="shared" si="103"/>
        <v>#VALUE!</v>
      </c>
    </row>
    <row r="6607" spans="11:11" x14ac:dyDescent="0.25">
      <c r="K6607" s="8" t="e">
        <f t="shared" si="103"/>
        <v>#VALUE!</v>
      </c>
    </row>
    <row r="6608" spans="11:11" x14ac:dyDescent="0.25">
      <c r="K6608" s="8" t="e">
        <f t="shared" si="103"/>
        <v>#VALUE!</v>
      </c>
    </row>
    <row r="6609" spans="11:11" x14ac:dyDescent="0.25">
      <c r="K6609" s="8" t="e">
        <f t="shared" si="103"/>
        <v>#VALUE!</v>
      </c>
    </row>
    <row r="6610" spans="11:11" x14ac:dyDescent="0.25">
      <c r="K6610" s="8" t="e">
        <f t="shared" si="103"/>
        <v>#VALUE!</v>
      </c>
    </row>
    <row r="6611" spans="11:11" x14ac:dyDescent="0.25">
      <c r="K6611" s="8" t="e">
        <f t="shared" si="103"/>
        <v>#VALUE!</v>
      </c>
    </row>
    <row r="6612" spans="11:11" x14ac:dyDescent="0.25">
      <c r="K6612" s="8" t="e">
        <f t="shared" si="103"/>
        <v>#VALUE!</v>
      </c>
    </row>
    <row r="6613" spans="11:11" x14ac:dyDescent="0.25">
      <c r="K6613" s="8" t="e">
        <f t="shared" si="103"/>
        <v>#VALUE!</v>
      </c>
    </row>
    <row r="6614" spans="11:11" x14ac:dyDescent="0.25">
      <c r="K6614" s="8" t="e">
        <f t="shared" si="103"/>
        <v>#VALUE!</v>
      </c>
    </row>
    <row r="6615" spans="11:11" x14ac:dyDescent="0.25">
      <c r="K6615" s="8" t="e">
        <f t="shared" si="103"/>
        <v>#VALUE!</v>
      </c>
    </row>
    <row r="6616" spans="11:11" x14ac:dyDescent="0.25">
      <c r="K6616" s="8" t="e">
        <f t="shared" si="103"/>
        <v>#VALUE!</v>
      </c>
    </row>
    <row r="6617" spans="11:11" x14ac:dyDescent="0.25">
      <c r="K6617" s="8" t="e">
        <f t="shared" si="103"/>
        <v>#VALUE!</v>
      </c>
    </row>
    <row r="6618" spans="11:11" x14ac:dyDescent="0.25">
      <c r="K6618" s="8" t="e">
        <f t="shared" si="103"/>
        <v>#VALUE!</v>
      </c>
    </row>
    <row r="6619" spans="11:11" x14ac:dyDescent="0.25">
      <c r="K6619" s="8" t="e">
        <f t="shared" si="103"/>
        <v>#VALUE!</v>
      </c>
    </row>
    <row r="6620" spans="11:11" x14ac:dyDescent="0.25">
      <c r="K6620" s="8" t="e">
        <f t="shared" si="103"/>
        <v>#VALUE!</v>
      </c>
    </row>
    <row r="6621" spans="11:11" x14ac:dyDescent="0.25">
      <c r="K6621" s="8" t="e">
        <f t="shared" si="103"/>
        <v>#VALUE!</v>
      </c>
    </row>
    <row r="6622" spans="11:11" x14ac:dyDescent="0.25">
      <c r="K6622" s="8" t="e">
        <f t="shared" si="103"/>
        <v>#VALUE!</v>
      </c>
    </row>
    <row r="6623" spans="11:11" x14ac:dyDescent="0.25">
      <c r="K6623" s="8" t="e">
        <f t="shared" si="103"/>
        <v>#VALUE!</v>
      </c>
    </row>
    <row r="6624" spans="11:11" x14ac:dyDescent="0.25">
      <c r="K6624" s="8" t="e">
        <f t="shared" si="103"/>
        <v>#VALUE!</v>
      </c>
    </row>
    <row r="6625" spans="11:11" x14ac:dyDescent="0.25">
      <c r="K6625" s="8" t="e">
        <f t="shared" si="103"/>
        <v>#VALUE!</v>
      </c>
    </row>
    <row r="6626" spans="11:11" x14ac:dyDescent="0.25">
      <c r="K6626" s="8" t="e">
        <f t="shared" si="103"/>
        <v>#VALUE!</v>
      </c>
    </row>
    <row r="6627" spans="11:11" x14ac:dyDescent="0.25">
      <c r="K6627" s="8" t="e">
        <f t="shared" si="103"/>
        <v>#VALUE!</v>
      </c>
    </row>
    <row r="6628" spans="11:11" x14ac:dyDescent="0.25">
      <c r="K6628" s="8" t="e">
        <f t="shared" si="103"/>
        <v>#VALUE!</v>
      </c>
    </row>
    <row r="6629" spans="11:11" x14ac:dyDescent="0.25">
      <c r="K6629" s="8" t="e">
        <f t="shared" si="103"/>
        <v>#VALUE!</v>
      </c>
    </row>
    <row r="6630" spans="11:11" x14ac:dyDescent="0.25">
      <c r="K6630" s="8" t="e">
        <f t="shared" si="103"/>
        <v>#VALUE!</v>
      </c>
    </row>
    <row r="6631" spans="11:11" x14ac:dyDescent="0.25">
      <c r="K6631" s="8" t="e">
        <f t="shared" si="103"/>
        <v>#VALUE!</v>
      </c>
    </row>
    <row r="6632" spans="11:11" x14ac:dyDescent="0.25">
      <c r="K6632" s="8" t="e">
        <f t="shared" si="103"/>
        <v>#VALUE!</v>
      </c>
    </row>
    <row r="6633" spans="11:11" x14ac:dyDescent="0.25">
      <c r="K6633" s="8" t="e">
        <f t="shared" si="103"/>
        <v>#VALUE!</v>
      </c>
    </row>
    <row r="6634" spans="11:11" x14ac:dyDescent="0.25">
      <c r="K6634" s="8" t="e">
        <f t="shared" si="103"/>
        <v>#VALUE!</v>
      </c>
    </row>
    <row r="6635" spans="11:11" x14ac:dyDescent="0.25">
      <c r="K6635" s="8" t="e">
        <f t="shared" si="103"/>
        <v>#VALUE!</v>
      </c>
    </row>
    <row r="6636" spans="11:11" x14ac:dyDescent="0.25">
      <c r="K6636" s="8" t="e">
        <f t="shared" si="103"/>
        <v>#VALUE!</v>
      </c>
    </row>
    <row r="6637" spans="11:11" x14ac:dyDescent="0.25">
      <c r="K6637" s="8" t="e">
        <f t="shared" si="103"/>
        <v>#VALUE!</v>
      </c>
    </row>
    <row r="6638" spans="11:11" x14ac:dyDescent="0.25">
      <c r="K6638" s="8" t="e">
        <f t="shared" si="103"/>
        <v>#VALUE!</v>
      </c>
    </row>
    <row r="6639" spans="11:11" x14ac:dyDescent="0.25">
      <c r="K6639" s="8" t="e">
        <f t="shared" si="103"/>
        <v>#VALUE!</v>
      </c>
    </row>
    <row r="6640" spans="11:11" x14ac:dyDescent="0.25">
      <c r="K6640" s="8" t="e">
        <f t="shared" si="103"/>
        <v>#VALUE!</v>
      </c>
    </row>
    <row r="6641" spans="11:11" x14ac:dyDescent="0.25">
      <c r="K6641" s="8" t="e">
        <f t="shared" si="103"/>
        <v>#VALUE!</v>
      </c>
    </row>
    <row r="6642" spans="11:11" x14ac:dyDescent="0.25">
      <c r="K6642" s="8" t="e">
        <f t="shared" si="103"/>
        <v>#VALUE!</v>
      </c>
    </row>
    <row r="6643" spans="11:11" x14ac:dyDescent="0.25">
      <c r="K6643" s="8" t="e">
        <f t="shared" si="103"/>
        <v>#VALUE!</v>
      </c>
    </row>
    <row r="6644" spans="11:11" x14ac:dyDescent="0.25">
      <c r="K6644" s="8" t="e">
        <f t="shared" si="103"/>
        <v>#VALUE!</v>
      </c>
    </row>
    <row r="6645" spans="11:11" x14ac:dyDescent="0.25">
      <c r="K6645" s="8" t="e">
        <f t="shared" si="103"/>
        <v>#VALUE!</v>
      </c>
    </row>
    <row r="6646" spans="11:11" x14ac:dyDescent="0.25">
      <c r="K6646" s="8" t="e">
        <f t="shared" si="103"/>
        <v>#VALUE!</v>
      </c>
    </row>
    <row r="6647" spans="11:11" x14ac:dyDescent="0.25">
      <c r="K6647" s="8" t="e">
        <f t="shared" si="103"/>
        <v>#VALUE!</v>
      </c>
    </row>
    <row r="6648" spans="11:11" x14ac:dyDescent="0.25">
      <c r="K6648" s="8" t="e">
        <f t="shared" si="103"/>
        <v>#VALUE!</v>
      </c>
    </row>
    <row r="6649" spans="11:11" x14ac:dyDescent="0.25">
      <c r="K6649" s="8" t="e">
        <f t="shared" si="103"/>
        <v>#VALUE!</v>
      </c>
    </row>
    <row r="6650" spans="11:11" x14ac:dyDescent="0.25">
      <c r="K6650" s="8" t="e">
        <f t="shared" si="103"/>
        <v>#VALUE!</v>
      </c>
    </row>
    <row r="6651" spans="11:11" x14ac:dyDescent="0.25">
      <c r="K6651" s="8" t="e">
        <f t="shared" si="103"/>
        <v>#VALUE!</v>
      </c>
    </row>
    <row r="6652" spans="11:11" x14ac:dyDescent="0.25">
      <c r="K6652" s="8" t="e">
        <f t="shared" si="103"/>
        <v>#VALUE!</v>
      </c>
    </row>
    <row r="6653" spans="11:11" x14ac:dyDescent="0.25">
      <c r="K6653" s="8" t="e">
        <f t="shared" si="103"/>
        <v>#VALUE!</v>
      </c>
    </row>
    <row r="6654" spans="11:11" x14ac:dyDescent="0.25">
      <c r="K6654" s="8" t="e">
        <f t="shared" si="103"/>
        <v>#VALUE!</v>
      </c>
    </row>
    <row r="6655" spans="11:11" x14ac:dyDescent="0.25">
      <c r="K6655" s="8" t="e">
        <f t="shared" si="103"/>
        <v>#VALUE!</v>
      </c>
    </row>
    <row r="6656" spans="11:11" x14ac:dyDescent="0.25">
      <c r="K6656" s="8" t="e">
        <f t="shared" si="103"/>
        <v>#VALUE!</v>
      </c>
    </row>
    <row r="6657" spans="11:11" x14ac:dyDescent="0.25">
      <c r="K6657" s="8" t="e">
        <f t="shared" si="103"/>
        <v>#VALUE!</v>
      </c>
    </row>
    <row r="6658" spans="11:11" x14ac:dyDescent="0.25">
      <c r="K6658" s="8" t="e">
        <f t="shared" si="103"/>
        <v>#VALUE!</v>
      </c>
    </row>
    <row r="6659" spans="11:11" x14ac:dyDescent="0.25">
      <c r="K6659" s="8" t="e">
        <f t="shared" ref="K6659:K6722" si="104">LEFT(A6659,FIND("/",A6659)-1)</f>
        <v>#VALUE!</v>
      </c>
    </row>
    <row r="6660" spans="11:11" x14ac:dyDescent="0.25">
      <c r="K6660" s="8" t="e">
        <f t="shared" si="104"/>
        <v>#VALUE!</v>
      </c>
    </row>
    <row r="6661" spans="11:11" x14ac:dyDescent="0.25">
      <c r="K6661" s="8" t="e">
        <f t="shared" si="104"/>
        <v>#VALUE!</v>
      </c>
    </row>
    <row r="6662" spans="11:11" x14ac:dyDescent="0.25">
      <c r="K6662" s="8" t="e">
        <f t="shared" si="104"/>
        <v>#VALUE!</v>
      </c>
    </row>
    <row r="6663" spans="11:11" x14ac:dyDescent="0.25">
      <c r="K6663" s="8" t="e">
        <f t="shared" si="104"/>
        <v>#VALUE!</v>
      </c>
    </row>
    <row r="6664" spans="11:11" x14ac:dyDescent="0.25">
      <c r="K6664" s="8" t="e">
        <f t="shared" si="104"/>
        <v>#VALUE!</v>
      </c>
    </row>
    <row r="6665" spans="11:11" x14ac:dyDescent="0.25">
      <c r="K6665" s="8" t="e">
        <f t="shared" si="104"/>
        <v>#VALUE!</v>
      </c>
    </row>
    <row r="6666" spans="11:11" x14ac:dyDescent="0.25">
      <c r="K6666" s="8" t="e">
        <f t="shared" si="104"/>
        <v>#VALUE!</v>
      </c>
    </row>
    <row r="6667" spans="11:11" x14ac:dyDescent="0.25">
      <c r="K6667" s="8" t="e">
        <f t="shared" si="104"/>
        <v>#VALUE!</v>
      </c>
    </row>
    <row r="6668" spans="11:11" x14ac:dyDescent="0.25">
      <c r="K6668" s="8" t="e">
        <f t="shared" si="104"/>
        <v>#VALUE!</v>
      </c>
    </row>
    <row r="6669" spans="11:11" x14ac:dyDescent="0.25">
      <c r="K6669" s="8" t="e">
        <f t="shared" si="104"/>
        <v>#VALUE!</v>
      </c>
    </row>
    <row r="6670" spans="11:11" x14ac:dyDescent="0.25">
      <c r="K6670" s="8" t="e">
        <f t="shared" si="104"/>
        <v>#VALUE!</v>
      </c>
    </row>
    <row r="6671" spans="11:11" x14ac:dyDescent="0.25">
      <c r="K6671" s="8" t="e">
        <f t="shared" si="104"/>
        <v>#VALUE!</v>
      </c>
    </row>
    <row r="6672" spans="11:11" x14ac:dyDescent="0.25">
      <c r="K6672" s="8" t="e">
        <f t="shared" si="104"/>
        <v>#VALUE!</v>
      </c>
    </row>
    <row r="6673" spans="11:11" x14ac:dyDescent="0.25">
      <c r="K6673" s="8" t="e">
        <f t="shared" si="104"/>
        <v>#VALUE!</v>
      </c>
    </row>
    <row r="6674" spans="11:11" x14ac:dyDescent="0.25">
      <c r="K6674" s="8" t="e">
        <f t="shared" si="104"/>
        <v>#VALUE!</v>
      </c>
    </row>
    <row r="6675" spans="11:11" x14ac:dyDescent="0.25">
      <c r="K6675" s="8" t="e">
        <f t="shared" si="104"/>
        <v>#VALUE!</v>
      </c>
    </row>
    <row r="6676" spans="11:11" x14ac:dyDescent="0.25">
      <c r="K6676" s="8" t="e">
        <f t="shared" si="104"/>
        <v>#VALUE!</v>
      </c>
    </row>
    <row r="6677" spans="11:11" x14ac:dyDescent="0.25">
      <c r="K6677" s="8" t="e">
        <f t="shared" si="104"/>
        <v>#VALUE!</v>
      </c>
    </row>
    <row r="6678" spans="11:11" x14ac:dyDescent="0.25">
      <c r="K6678" s="8" t="e">
        <f t="shared" si="104"/>
        <v>#VALUE!</v>
      </c>
    </row>
    <row r="6679" spans="11:11" x14ac:dyDescent="0.25">
      <c r="K6679" s="8" t="e">
        <f t="shared" si="104"/>
        <v>#VALUE!</v>
      </c>
    </row>
    <row r="6680" spans="11:11" x14ac:dyDescent="0.25">
      <c r="K6680" s="8" t="e">
        <f t="shared" si="104"/>
        <v>#VALUE!</v>
      </c>
    </row>
    <row r="6681" spans="11:11" x14ac:dyDescent="0.25">
      <c r="K6681" s="8" t="e">
        <f t="shared" si="104"/>
        <v>#VALUE!</v>
      </c>
    </row>
    <row r="6682" spans="11:11" x14ac:dyDescent="0.25">
      <c r="K6682" s="8" t="e">
        <f t="shared" si="104"/>
        <v>#VALUE!</v>
      </c>
    </row>
    <row r="6683" spans="11:11" x14ac:dyDescent="0.25">
      <c r="K6683" s="8" t="e">
        <f t="shared" si="104"/>
        <v>#VALUE!</v>
      </c>
    </row>
    <row r="6684" spans="11:11" x14ac:dyDescent="0.25">
      <c r="K6684" s="8" t="e">
        <f t="shared" si="104"/>
        <v>#VALUE!</v>
      </c>
    </row>
    <row r="6685" spans="11:11" x14ac:dyDescent="0.25">
      <c r="K6685" s="8" t="e">
        <f t="shared" si="104"/>
        <v>#VALUE!</v>
      </c>
    </row>
    <row r="6686" spans="11:11" x14ac:dyDescent="0.25">
      <c r="K6686" s="8" t="e">
        <f t="shared" si="104"/>
        <v>#VALUE!</v>
      </c>
    </row>
    <row r="6687" spans="11:11" x14ac:dyDescent="0.25">
      <c r="K6687" s="8" t="e">
        <f t="shared" si="104"/>
        <v>#VALUE!</v>
      </c>
    </row>
    <row r="6688" spans="11:11" x14ac:dyDescent="0.25">
      <c r="K6688" s="8" t="e">
        <f t="shared" si="104"/>
        <v>#VALUE!</v>
      </c>
    </row>
    <row r="6689" spans="11:11" x14ac:dyDescent="0.25">
      <c r="K6689" s="8" t="e">
        <f t="shared" si="104"/>
        <v>#VALUE!</v>
      </c>
    </row>
    <row r="6690" spans="11:11" x14ac:dyDescent="0.25">
      <c r="K6690" s="8" t="e">
        <f t="shared" si="104"/>
        <v>#VALUE!</v>
      </c>
    </row>
    <row r="6691" spans="11:11" x14ac:dyDescent="0.25">
      <c r="K6691" s="8" t="e">
        <f t="shared" si="104"/>
        <v>#VALUE!</v>
      </c>
    </row>
    <row r="6692" spans="11:11" x14ac:dyDescent="0.25">
      <c r="K6692" s="8" t="e">
        <f t="shared" si="104"/>
        <v>#VALUE!</v>
      </c>
    </row>
    <row r="6693" spans="11:11" x14ac:dyDescent="0.25">
      <c r="K6693" s="8" t="e">
        <f t="shared" si="104"/>
        <v>#VALUE!</v>
      </c>
    </row>
    <row r="6694" spans="11:11" x14ac:dyDescent="0.25">
      <c r="K6694" s="8" t="e">
        <f t="shared" si="104"/>
        <v>#VALUE!</v>
      </c>
    </row>
    <row r="6695" spans="11:11" x14ac:dyDescent="0.25">
      <c r="K6695" s="8" t="e">
        <f t="shared" si="104"/>
        <v>#VALUE!</v>
      </c>
    </row>
    <row r="6696" spans="11:11" x14ac:dyDescent="0.25">
      <c r="K6696" s="8" t="e">
        <f t="shared" si="104"/>
        <v>#VALUE!</v>
      </c>
    </row>
    <row r="6697" spans="11:11" x14ac:dyDescent="0.25">
      <c r="K6697" s="8" t="e">
        <f t="shared" si="104"/>
        <v>#VALUE!</v>
      </c>
    </row>
    <row r="6698" spans="11:11" x14ac:dyDescent="0.25">
      <c r="K6698" s="8" t="e">
        <f t="shared" si="104"/>
        <v>#VALUE!</v>
      </c>
    </row>
    <row r="6699" spans="11:11" x14ac:dyDescent="0.25">
      <c r="K6699" s="8" t="e">
        <f t="shared" si="104"/>
        <v>#VALUE!</v>
      </c>
    </row>
    <row r="6700" spans="11:11" x14ac:dyDescent="0.25">
      <c r="K6700" s="8" t="e">
        <f t="shared" si="104"/>
        <v>#VALUE!</v>
      </c>
    </row>
    <row r="6701" spans="11:11" x14ac:dyDescent="0.25">
      <c r="K6701" s="8" t="e">
        <f t="shared" si="104"/>
        <v>#VALUE!</v>
      </c>
    </row>
    <row r="6702" spans="11:11" x14ac:dyDescent="0.25">
      <c r="K6702" s="8" t="e">
        <f t="shared" si="104"/>
        <v>#VALUE!</v>
      </c>
    </row>
    <row r="6703" spans="11:11" x14ac:dyDescent="0.25">
      <c r="K6703" s="8" t="e">
        <f t="shared" si="104"/>
        <v>#VALUE!</v>
      </c>
    </row>
    <row r="6704" spans="11:11" x14ac:dyDescent="0.25">
      <c r="K6704" s="8" t="e">
        <f t="shared" si="104"/>
        <v>#VALUE!</v>
      </c>
    </row>
    <row r="6705" spans="11:11" x14ac:dyDescent="0.25">
      <c r="K6705" s="8" t="e">
        <f t="shared" si="104"/>
        <v>#VALUE!</v>
      </c>
    </row>
    <row r="6706" spans="11:11" x14ac:dyDescent="0.25">
      <c r="K6706" s="8" t="e">
        <f t="shared" si="104"/>
        <v>#VALUE!</v>
      </c>
    </row>
    <row r="6707" spans="11:11" x14ac:dyDescent="0.25">
      <c r="K6707" s="8" t="e">
        <f t="shared" si="104"/>
        <v>#VALUE!</v>
      </c>
    </row>
    <row r="6708" spans="11:11" x14ac:dyDescent="0.25">
      <c r="K6708" s="8" t="e">
        <f t="shared" si="104"/>
        <v>#VALUE!</v>
      </c>
    </row>
    <row r="6709" spans="11:11" x14ac:dyDescent="0.25">
      <c r="K6709" s="8" t="e">
        <f t="shared" si="104"/>
        <v>#VALUE!</v>
      </c>
    </row>
    <row r="6710" spans="11:11" x14ac:dyDescent="0.25">
      <c r="K6710" s="8" t="e">
        <f t="shared" si="104"/>
        <v>#VALUE!</v>
      </c>
    </row>
    <row r="6711" spans="11:11" x14ac:dyDescent="0.25">
      <c r="K6711" s="8" t="e">
        <f t="shared" si="104"/>
        <v>#VALUE!</v>
      </c>
    </row>
    <row r="6712" spans="11:11" x14ac:dyDescent="0.25">
      <c r="K6712" s="8" t="e">
        <f t="shared" si="104"/>
        <v>#VALUE!</v>
      </c>
    </row>
    <row r="6713" spans="11:11" x14ac:dyDescent="0.25">
      <c r="K6713" s="8" t="e">
        <f t="shared" si="104"/>
        <v>#VALUE!</v>
      </c>
    </row>
    <row r="6714" spans="11:11" x14ac:dyDescent="0.25">
      <c r="K6714" s="8" t="e">
        <f t="shared" si="104"/>
        <v>#VALUE!</v>
      </c>
    </row>
    <row r="6715" spans="11:11" x14ac:dyDescent="0.25">
      <c r="K6715" s="8" t="e">
        <f t="shared" si="104"/>
        <v>#VALUE!</v>
      </c>
    </row>
    <row r="6716" spans="11:11" x14ac:dyDescent="0.25">
      <c r="K6716" s="8" t="e">
        <f t="shared" si="104"/>
        <v>#VALUE!</v>
      </c>
    </row>
    <row r="6717" spans="11:11" x14ac:dyDescent="0.25">
      <c r="K6717" s="8" t="e">
        <f t="shared" si="104"/>
        <v>#VALUE!</v>
      </c>
    </row>
    <row r="6718" spans="11:11" x14ac:dyDescent="0.25">
      <c r="K6718" s="8" t="e">
        <f t="shared" si="104"/>
        <v>#VALUE!</v>
      </c>
    </row>
    <row r="6719" spans="11:11" x14ac:dyDescent="0.25">
      <c r="K6719" s="8" t="e">
        <f t="shared" si="104"/>
        <v>#VALUE!</v>
      </c>
    </row>
    <row r="6720" spans="11:11" x14ac:dyDescent="0.25">
      <c r="K6720" s="8" t="e">
        <f t="shared" si="104"/>
        <v>#VALUE!</v>
      </c>
    </row>
    <row r="6721" spans="11:11" x14ac:dyDescent="0.25">
      <c r="K6721" s="8" t="e">
        <f t="shared" si="104"/>
        <v>#VALUE!</v>
      </c>
    </row>
    <row r="6722" spans="11:11" x14ac:dyDescent="0.25">
      <c r="K6722" s="8" t="e">
        <f t="shared" si="104"/>
        <v>#VALUE!</v>
      </c>
    </row>
    <row r="6723" spans="11:11" x14ac:dyDescent="0.25">
      <c r="K6723" s="8" t="e">
        <f t="shared" ref="K6723:K6786" si="105">LEFT(A6723,FIND("/",A6723)-1)</f>
        <v>#VALUE!</v>
      </c>
    </row>
    <row r="6724" spans="11:11" x14ac:dyDescent="0.25">
      <c r="K6724" s="8" t="e">
        <f t="shared" si="105"/>
        <v>#VALUE!</v>
      </c>
    </row>
    <row r="6725" spans="11:11" x14ac:dyDescent="0.25">
      <c r="K6725" s="8" t="e">
        <f t="shared" si="105"/>
        <v>#VALUE!</v>
      </c>
    </row>
    <row r="6726" spans="11:11" x14ac:dyDescent="0.25">
      <c r="K6726" s="8" t="e">
        <f t="shared" si="105"/>
        <v>#VALUE!</v>
      </c>
    </row>
    <row r="6727" spans="11:11" x14ac:dyDescent="0.25">
      <c r="K6727" s="8" t="e">
        <f t="shared" si="105"/>
        <v>#VALUE!</v>
      </c>
    </row>
    <row r="6728" spans="11:11" x14ac:dyDescent="0.25">
      <c r="K6728" s="8" t="e">
        <f t="shared" si="105"/>
        <v>#VALUE!</v>
      </c>
    </row>
    <row r="6729" spans="11:11" x14ac:dyDescent="0.25">
      <c r="K6729" s="8" t="e">
        <f t="shared" si="105"/>
        <v>#VALUE!</v>
      </c>
    </row>
    <row r="6730" spans="11:11" x14ac:dyDescent="0.25">
      <c r="K6730" s="8" t="e">
        <f t="shared" si="105"/>
        <v>#VALUE!</v>
      </c>
    </row>
    <row r="6731" spans="11:11" x14ac:dyDescent="0.25">
      <c r="K6731" s="8" t="e">
        <f t="shared" si="105"/>
        <v>#VALUE!</v>
      </c>
    </row>
    <row r="6732" spans="11:11" x14ac:dyDescent="0.25">
      <c r="K6732" s="8" t="e">
        <f t="shared" si="105"/>
        <v>#VALUE!</v>
      </c>
    </row>
    <row r="6733" spans="11:11" x14ac:dyDescent="0.25">
      <c r="K6733" s="8" t="e">
        <f t="shared" si="105"/>
        <v>#VALUE!</v>
      </c>
    </row>
    <row r="6734" spans="11:11" x14ac:dyDescent="0.25">
      <c r="K6734" s="8" t="e">
        <f t="shared" si="105"/>
        <v>#VALUE!</v>
      </c>
    </row>
    <row r="6735" spans="11:11" x14ac:dyDescent="0.25">
      <c r="K6735" s="8" t="e">
        <f t="shared" si="105"/>
        <v>#VALUE!</v>
      </c>
    </row>
    <row r="6736" spans="11:11" x14ac:dyDescent="0.25">
      <c r="K6736" s="8" t="e">
        <f t="shared" si="105"/>
        <v>#VALUE!</v>
      </c>
    </row>
    <row r="6737" spans="11:11" x14ac:dyDescent="0.25">
      <c r="K6737" s="8" t="e">
        <f t="shared" si="105"/>
        <v>#VALUE!</v>
      </c>
    </row>
    <row r="6738" spans="11:11" x14ac:dyDescent="0.25">
      <c r="K6738" s="8" t="e">
        <f t="shared" si="105"/>
        <v>#VALUE!</v>
      </c>
    </row>
    <row r="6739" spans="11:11" x14ac:dyDescent="0.25">
      <c r="K6739" s="8" t="e">
        <f t="shared" si="105"/>
        <v>#VALUE!</v>
      </c>
    </row>
    <row r="6740" spans="11:11" x14ac:dyDescent="0.25">
      <c r="K6740" s="8" t="e">
        <f t="shared" si="105"/>
        <v>#VALUE!</v>
      </c>
    </row>
    <row r="6741" spans="11:11" x14ac:dyDescent="0.25">
      <c r="K6741" s="8" t="e">
        <f t="shared" si="105"/>
        <v>#VALUE!</v>
      </c>
    </row>
    <row r="6742" spans="11:11" x14ac:dyDescent="0.25">
      <c r="K6742" s="8" t="e">
        <f t="shared" si="105"/>
        <v>#VALUE!</v>
      </c>
    </row>
    <row r="6743" spans="11:11" x14ac:dyDescent="0.25">
      <c r="K6743" s="8" t="e">
        <f t="shared" si="105"/>
        <v>#VALUE!</v>
      </c>
    </row>
    <row r="6744" spans="11:11" x14ac:dyDescent="0.25">
      <c r="K6744" s="8" t="e">
        <f t="shared" si="105"/>
        <v>#VALUE!</v>
      </c>
    </row>
    <row r="6745" spans="11:11" x14ac:dyDescent="0.25">
      <c r="K6745" s="8" t="e">
        <f t="shared" si="105"/>
        <v>#VALUE!</v>
      </c>
    </row>
    <row r="6746" spans="11:11" x14ac:dyDescent="0.25">
      <c r="K6746" s="8" t="e">
        <f t="shared" si="105"/>
        <v>#VALUE!</v>
      </c>
    </row>
    <row r="6747" spans="11:11" x14ac:dyDescent="0.25">
      <c r="K6747" s="8" t="e">
        <f t="shared" si="105"/>
        <v>#VALUE!</v>
      </c>
    </row>
    <row r="6748" spans="11:11" x14ac:dyDescent="0.25">
      <c r="K6748" s="8" t="e">
        <f t="shared" si="105"/>
        <v>#VALUE!</v>
      </c>
    </row>
    <row r="6749" spans="11:11" x14ac:dyDescent="0.25">
      <c r="K6749" s="8" t="e">
        <f t="shared" si="105"/>
        <v>#VALUE!</v>
      </c>
    </row>
    <row r="6750" spans="11:11" x14ac:dyDescent="0.25">
      <c r="K6750" s="8" t="e">
        <f t="shared" si="105"/>
        <v>#VALUE!</v>
      </c>
    </row>
    <row r="6751" spans="11:11" x14ac:dyDescent="0.25">
      <c r="K6751" s="8" t="e">
        <f t="shared" si="105"/>
        <v>#VALUE!</v>
      </c>
    </row>
    <row r="6752" spans="11:11" x14ac:dyDescent="0.25">
      <c r="K6752" s="8" t="e">
        <f t="shared" si="105"/>
        <v>#VALUE!</v>
      </c>
    </row>
    <row r="6753" spans="11:11" x14ac:dyDescent="0.25">
      <c r="K6753" s="8" t="e">
        <f t="shared" si="105"/>
        <v>#VALUE!</v>
      </c>
    </row>
    <row r="6754" spans="11:11" x14ac:dyDescent="0.25">
      <c r="K6754" s="8" t="e">
        <f t="shared" si="105"/>
        <v>#VALUE!</v>
      </c>
    </row>
    <row r="6755" spans="11:11" x14ac:dyDescent="0.25">
      <c r="K6755" s="8" t="e">
        <f t="shared" si="105"/>
        <v>#VALUE!</v>
      </c>
    </row>
    <row r="6756" spans="11:11" x14ac:dyDescent="0.25">
      <c r="K6756" s="8" t="e">
        <f t="shared" si="105"/>
        <v>#VALUE!</v>
      </c>
    </row>
    <row r="6757" spans="11:11" x14ac:dyDescent="0.25">
      <c r="K6757" s="8" t="e">
        <f t="shared" si="105"/>
        <v>#VALUE!</v>
      </c>
    </row>
    <row r="6758" spans="11:11" x14ac:dyDescent="0.25">
      <c r="K6758" s="8" t="e">
        <f t="shared" si="105"/>
        <v>#VALUE!</v>
      </c>
    </row>
    <row r="6759" spans="11:11" x14ac:dyDescent="0.25">
      <c r="K6759" s="8" t="e">
        <f t="shared" si="105"/>
        <v>#VALUE!</v>
      </c>
    </row>
    <row r="6760" spans="11:11" x14ac:dyDescent="0.25">
      <c r="K6760" s="8" t="e">
        <f t="shared" si="105"/>
        <v>#VALUE!</v>
      </c>
    </row>
    <row r="6761" spans="11:11" x14ac:dyDescent="0.25">
      <c r="K6761" s="8" t="e">
        <f t="shared" si="105"/>
        <v>#VALUE!</v>
      </c>
    </row>
    <row r="6762" spans="11:11" x14ac:dyDescent="0.25">
      <c r="K6762" s="8" t="e">
        <f t="shared" si="105"/>
        <v>#VALUE!</v>
      </c>
    </row>
    <row r="6763" spans="11:11" x14ac:dyDescent="0.25">
      <c r="K6763" s="8" t="e">
        <f t="shared" si="105"/>
        <v>#VALUE!</v>
      </c>
    </row>
    <row r="6764" spans="11:11" x14ac:dyDescent="0.25">
      <c r="K6764" s="8" t="e">
        <f t="shared" si="105"/>
        <v>#VALUE!</v>
      </c>
    </row>
    <row r="6765" spans="11:11" x14ac:dyDescent="0.25">
      <c r="K6765" s="8" t="e">
        <f t="shared" si="105"/>
        <v>#VALUE!</v>
      </c>
    </row>
    <row r="6766" spans="11:11" x14ac:dyDescent="0.25">
      <c r="K6766" s="8" t="e">
        <f t="shared" si="105"/>
        <v>#VALUE!</v>
      </c>
    </row>
    <row r="6767" spans="11:11" x14ac:dyDescent="0.25">
      <c r="K6767" s="8" t="e">
        <f t="shared" si="105"/>
        <v>#VALUE!</v>
      </c>
    </row>
    <row r="6768" spans="11:11" x14ac:dyDescent="0.25">
      <c r="K6768" s="8" t="e">
        <f t="shared" si="105"/>
        <v>#VALUE!</v>
      </c>
    </row>
    <row r="6769" spans="11:11" x14ac:dyDescent="0.25">
      <c r="K6769" s="8" t="e">
        <f t="shared" si="105"/>
        <v>#VALUE!</v>
      </c>
    </row>
    <row r="6770" spans="11:11" x14ac:dyDescent="0.25">
      <c r="K6770" s="8" t="e">
        <f t="shared" si="105"/>
        <v>#VALUE!</v>
      </c>
    </row>
    <row r="6771" spans="11:11" x14ac:dyDescent="0.25">
      <c r="K6771" s="8" t="e">
        <f t="shared" si="105"/>
        <v>#VALUE!</v>
      </c>
    </row>
    <row r="6772" spans="11:11" x14ac:dyDescent="0.25">
      <c r="K6772" s="8" t="e">
        <f t="shared" si="105"/>
        <v>#VALUE!</v>
      </c>
    </row>
    <row r="6773" spans="11:11" x14ac:dyDescent="0.25">
      <c r="K6773" s="8" t="e">
        <f t="shared" si="105"/>
        <v>#VALUE!</v>
      </c>
    </row>
    <row r="6774" spans="11:11" x14ac:dyDescent="0.25">
      <c r="K6774" s="8" t="e">
        <f t="shared" si="105"/>
        <v>#VALUE!</v>
      </c>
    </row>
    <row r="6775" spans="11:11" x14ac:dyDescent="0.25">
      <c r="K6775" s="8" t="e">
        <f t="shared" si="105"/>
        <v>#VALUE!</v>
      </c>
    </row>
    <row r="6776" spans="11:11" x14ac:dyDescent="0.25">
      <c r="K6776" s="8" t="e">
        <f t="shared" si="105"/>
        <v>#VALUE!</v>
      </c>
    </row>
    <row r="6777" spans="11:11" x14ac:dyDescent="0.25">
      <c r="K6777" s="8" t="e">
        <f t="shared" si="105"/>
        <v>#VALUE!</v>
      </c>
    </row>
    <row r="6778" spans="11:11" x14ac:dyDescent="0.25">
      <c r="K6778" s="8" t="e">
        <f t="shared" si="105"/>
        <v>#VALUE!</v>
      </c>
    </row>
    <row r="6779" spans="11:11" x14ac:dyDescent="0.25">
      <c r="K6779" s="8" t="e">
        <f t="shared" si="105"/>
        <v>#VALUE!</v>
      </c>
    </row>
    <row r="6780" spans="11:11" x14ac:dyDescent="0.25">
      <c r="K6780" s="8" t="e">
        <f t="shared" si="105"/>
        <v>#VALUE!</v>
      </c>
    </row>
    <row r="6781" spans="11:11" x14ac:dyDescent="0.25">
      <c r="K6781" s="8" t="e">
        <f t="shared" si="105"/>
        <v>#VALUE!</v>
      </c>
    </row>
    <row r="6782" spans="11:11" x14ac:dyDescent="0.25">
      <c r="K6782" s="8" t="e">
        <f t="shared" si="105"/>
        <v>#VALUE!</v>
      </c>
    </row>
    <row r="6783" spans="11:11" x14ac:dyDescent="0.25">
      <c r="K6783" s="8" t="e">
        <f t="shared" si="105"/>
        <v>#VALUE!</v>
      </c>
    </row>
    <row r="6784" spans="11:11" x14ac:dyDescent="0.25">
      <c r="K6784" s="8" t="e">
        <f t="shared" si="105"/>
        <v>#VALUE!</v>
      </c>
    </row>
    <row r="6785" spans="11:11" x14ac:dyDescent="0.25">
      <c r="K6785" s="8" t="e">
        <f t="shared" si="105"/>
        <v>#VALUE!</v>
      </c>
    </row>
    <row r="6786" spans="11:11" x14ac:dyDescent="0.25">
      <c r="K6786" s="8" t="e">
        <f t="shared" si="105"/>
        <v>#VALUE!</v>
      </c>
    </row>
    <row r="6787" spans="11:11" x14ac:dyDescent="0.25">
      <c r="K6787" s="8" t="e">
        <f t="shared" ref="K6787:K6850" si="106">LEFT(A6787,FIND("/",A6787)-1)</f>
        <v>#VALUE!</v>
      </c>
    </row>
    <row r="6788" spans="11:11" x14ac:dyDescent="0.25">
      <c r="K6788" s="8" t="e">
        <f t="shared" si="106"/>
        <v>#VALUE!</v>
      </c>
    </row>
    <row r="6789" spans="11:11" x14ac:dyDescent="0.25">
      <c r="K6789" s="8" t="e">
        <f t="shared" si="106"/>
        <v>#VALUE!</v>
      </c>
    </row>
    <row r="6790" spans="11:11" x14ac:dyDescent="0.25">
      <c r="K6790" s="8" t="e">
        <f t="shared" si="106"/>
        <v>#VALUE!</v>
      </c>
    </row>
    <row r="6791" spans="11:11" x14ac:dyDescent="0.25">
      <c r="K6791" s="8" t="e">
        <f t="shared" si="106"/>
        <v>#VALUE!</v>
      </c>
    </row>
    <row r="6792" spans="11:11" x14ac:dyDescent="0.25">
      <c r="K6792" s="8" t="e">
        <f t="shared" si="106"/>
        <v>#VALUE!</v>
      </c>
    </row>
    <row r="6793" spans="11:11" x14ac:dyDescent="0.25">
      <c r="K6793" s="8" t="e">
        <f t="shared" si="106"/>
        <v>#VALUE!</v>
      </c>
    </row>
    <row r="6794" spans="11:11" x14ac:dyDescent="0.25">
      <c r="K6794" s="8" t="e">
        <f t="shared" si="106"/>
        <v>#VALUE!</v>
      </c>
    </row>
    <row r="6795" spans="11:11" x14ac:dyDescent="0.25">
      <c r="K6795" s="8" t="e">
        <f t="shared" si="106"/>
        <v>#VALUE!</v>
      </c>
    </row>
    <row r="6796" spans="11:11" x14ac:dyDescent="0.25">
      <c r="K6796" s="8" t="e">
        <f t="shared" si="106"/>
        <v>#VALUE!</v>
      </c>
    </row>
    <row r="6797" spans="11:11" x14ac:dyDescent="0.25">
      <c r="K6797" s="8" t="e">
        <f t="shared" si="106"/>
        <v>#VALUE!</v>
      </c>
    </row>
    <row r="6798" spans="11:11" x14ac:dyDescent="0.25">
      <c r="K6798" s="8" t="e">
        <f t="shared" si="106"/>
        <v>#VALUE!</v>
      </c>
    </row>
    <row r="6799" spans="11:11" x14ac:dyDescent="0.25">
      <c r="K6799" s="8" t="e">
        <f t="shared" si="106"/>
        <v>#VALUE!</v>
      </c>
    </row>
    <row r="6800" spans="11:11" x14ac:dyDescent="0.25">
      <c r="K6800" s="8" t="e">
        <f t="shared" si="106"/>
        <v>#VALUE!</v>
      </c>
    </row>
    <row r="6801" spans="11:11" x14ac:dyDescent="0.25">
      <c r="K6801" s="8" t="e">
        <f t="shared" si="106"/>
        <v>#VALUE!</v>
      </c>
    </row>
    <row r="6802" spans="11:11" x14ac:dyDescent="0.25">
      <c r="K6802" s="8" t="e">
        <f t="shared" si="106"/>
        <v>#VALUE!</v>
      </c>
    </row>
    <row r="6803" spans="11:11" x14ac:dyDescent="0.25">
      <c r="K6803" s="8" t="e">
        <f t="shared" si="106"/>
        <v>#VALUE!</v>
      </c>
    </row>
    <row r="6804" spans="11:11" x14ac:dyDescent="0.25">
      <c r="K6804" s="8" t="e">
        <f t="shared" si="106"/>
        <v>#VALUE!</v>
      </c>
    </row>
    <row r="6805" spans="11:11" x14ac:dyDescent="0.25">
      <c r="K6805" s="8" t="e">
        <f t="shared" si="106"/>
        <v>#VALUE!</v>
      </c>
    </row>
    <row r="6806" spans="11:11" x14ac:dyDescent="0.25">
      <c r="K6806" s="8" t="e">
        <f t="shared" si="106"/>
        <v>#VALUE!</v>
      </c>
    </row>
    <row r="6807" spans="11:11" x14ac:dyDescent="0.25">
      <c r="K6807" s="8" t="e">
        <f t="shared" si="106"/>
        <v>#VALUE!</v>
      </c>
    </row>
    <row r="6808" spans="11:11" x14ac:dyDescent="0.25">
      <c r="K6808" s="8" t="e">
        <f t="shared" si="106"/>
        <v>#VALUE!</v>
      </c>
    </row>
    <row r="6809" spans="11:11" x14ac:dyDescent="0.25">
      <c r="K6809" s="8" t="e">
        <f t="shared" si="106"/>
        <v>#VALUE!</v>
      </c>
    </row>
    <row r="6810" spans="11:11" x14ac:dyDescent="0.25">
      <c r="K6810" s="8" t="e">
        <f t="shared" si="106"/>
        <v>#VALUE!</v>
      </c>
    </row>
    <row r="6811" spans="11:11" x14ac:dyDescent="0.25">
      <c r="K6811" s="8" t="e">
        <f t="shared" si="106"/>
        <v>#VALUE!</v>
      </c>
    </row>
    <row r="6812" spans="11:11" x14ac:dyDescent="0.25">
      <c r="K6812" s="8" t="e">
        <f t="shared" si="106"/>
        <v>#VALUE!</v>
      </c>
    </row>
    <row r="6813" spans="11:11" x14ac:dyDescent="0.25">
      <c r="K6813" s="8" t="e">
        <f t="shared" si="106"/>
        <v>#VALUE!</v>
      </c>
    </row>
    <row r="6814" spans="11:11" x14ac:dyDescent="0.25">
      <c r="K6814" s="8" t="e">
        <f t="shared" si="106"/>
        <v>#VALUE!</v>
      </c>
    </row>
    <row r="6815" spans="11:11" x14ac:dyDescent="0.25">
      <c r="K6815" s="8" t="e">
        <f t="shared" si="106"/>
        <v>#VALUE!</v>
      </c>
    </row>
    <row r="6816" spans="11:11" x14ac:dyDescent="0.25">
      <c r="K6816" s="8" t="e">
        <f t="shared" si="106"/>
        <v>#VALUE!</v>
      </c>
    </row>
    <row r="6817" spans="11:11" x14ac:dyDescent="0.25">
      <c r="K6817" s="8" t="e">
        <f t="shared" si="106"/>
        <v>#VALUE!</v>
      </c>
    </row>
    <row r="6818" spans="11:11" x14ac:dyDescent="0.25">
      <c r="K6818" s="8" t="e">
        <f t="shared" si="106"/>
        <v>#VALUE!</v>
      </c>
    </row>
    <row r="6819" spans="11:11" x14ac:dyDescent="0.25">
      <c r="K6819" s="8" t="e">
        <f t="shared" si="106"/>
        <v>#VALUE!</v>
      </c>
    </row>
    <row r="6820" spans="11:11" x14ac:dyDescent="0.25">
      <c r="K6820" s="8" t="e">
        <f t="shared" si="106"/>
        <v>#VALUE!</v>
      </c>
    </row>
    <row r="6821" spans="11:11" x14ac:dyDescent="0.25">
      <c r="K6821" s="8" t="e">
        <f t="shared" si="106"/>
        <v>#VALUE!</v>
      </c>
    </row>
    <row r="6822" spans="11:11" x14ac:dyDescent="0.25">
      <c r="K6822" s="8" t="e">
        <f t="shared" si="106"/>
        <v>#VALUE!</v>
      </c>
    </row>
    <row r="6823" spans="11:11" x14ac:dyDescent="0.25">
      <c r="K6823" s="8" t="e">
        <f t="shared" si="106"/>
        <v>#VALUE!</v>
      </c>
    </row>
    <row r="6824" spans="11:11" x14ac:dyDescent="0.25">
      <c r="K6824" s="8" t="e">
        <f t="shared" si="106"/>
        <v>#VALUE!</v>
      </c>
    </row>
    <row r="6825" spans="11:11" x14ac:dyDescent="0.25">
      <c r="K6825" s="8" t="e">
        <f t="shared" si="106"/>
        <v>#VALUE!</v>
      </c>
    </row>
    <row r="6826" spans="11:11" x14ac:dyDescent="0.25">
      <c r="K6826" s="8" t="e">
        <f t="shared" si="106"/>
        <v>#VALUE!</v>
      </c>
    </row>
    <row r="6827" spans="11:11" x14ac:dyDescent="0.25">
      <c r="K6827" s="8" t="e">
        <f t="shared" si="106"/>
        <v>#VALUE!</v>
      </c>
    </row>
    <row r="6828" spans="11:11" x14ac:dyDescent="0.25">
      <c r="K6828" s="8" t="e">
        <f t="shared" si="106"/>
        <v>#VALUE!</v>
      </c>
    </row>
    <row r="6829" spans="11:11" x14ac:dyDescent="0.25">
      <c r="K6829" s="8" t="e">
        <f t="shared" si="106"/>
        <v>#VALUE!</v>
      </c>
    </row>
    <row r="6830" spans="11:11" x14ac:dyDescent="0.25">
      <c r="K6830" s="8" t="e">
        <f t="shared" si="106"/>
        <v>#VALUE!</v>
      </c>
    </row>
    <row r="6831" spans="11:11" x14ac:dyDescent="0.25">
      <c r="K6831" s="8" t="e">
        <f t="shared" si="106"/>
        <v>#VALUE!</v>
      </c>
    </row>
    <row r="6832" spans="11:11" x14ac:dyDescent="0.25">
      <c r="K6832" s="8" t="e">
        <f t="shared" si="106"/>
        <v>#VALUE!</v>
      </c>
    </row>
    <row r="6833" spans="11:11" x14ac:dyDescent="0.25">
      <c r="K6833" s="8" t="e">
        <f t="shared" si="106"/>
        <v>#VALUE!</v>
      </c>
    </row>
    <row r="6834" spans="11:11" x14ac:dyDescent="0.25">
      <c r="K6834" s="8" t="e">
        <f t="shared" si="106"/>
        <v>#VALUE!</v>
      </c>
    </row>
    <row r="6835" spans="11:11" x14ac:dyDescent="0.25">
      <c r="K6835" s="8" t="e">
        <f t="shared" si="106"/>
        <v>#VALUE!</v>
      </c>
    </row>
    <row r="6836" spans="11:11" x14ac:dyDescent="0.25">
      <c r="K6836" s="8" t="e">
        <f t="shared" si="106"/>
        <v>#VALUE!</v>
      </c>
    </row>
    <row r="6837" spans="11:11" x14ac:dyDescent="0.25">
      <c r="K6837" s="8" t="e">
        <f t="shared" si="106"/>
        <v>#VALUE!</v>
      </c>
    </row>
    <row r="6838" spans="11:11" x14ac:dyDescent="0.25">
      <c r="K6838" s="8" t="e">
        <f t="shared" si="106"/>
        <v>#VALUE!</v>
      </c>
    </row>
    <row r="6839" spans="11:11" x14ac:dyDescent="0.25">
      <c r="K6839" s="8" t="e">
        <f t="shared" si="106"/>
        <v>#VALUE!</v>
      </c>
    </row>
    <row r="6840" spans="11:11" x14ac:dyDescent="0.25">
      <c r="K6840" s="8" t="e">
        <f t="shared" si="106"/>
        <v>#VALUE!</v>
      </c>
    </row>
    <row r="6841" spans="11:11" x14ac:dyDescent="0.25">
      <c r="K6841" s="8" t="e">
        <f t="shared" si="106"/>
        <v>#VALUE!</v>
      </c>
    </row>
    <row r="6842" spans="11:11" x14ac:dyDescent="0.25">
      <c r="K6842" s="8" t="e">
        <f t="shared" si="106"/>
        <v>#VALUE!</v>
      </c>
    </row>
    <row r="6843" spans="11:11" x14ac:dyDescent="0.25">
      <c r="K6843" s="8" t="e">
        <f t="shared" si="106"/>
        <v>#VALUE!</v>
      </c>
    </row>
    <row r="6844" spans="11:11" x14ac:dyDescent="0.25">
      <c r="K6844" s="8" t="e">
        <f t="shared" si="106"/>
        <v>#VALUE!</v>
      </c>
    </row>
    <row r="6845" spans="11:11" x14ac:dyDescent="0.25">
      <c r="K6845" s="8" t="e">
        <f t="shared" si="106"/>
        <v>#VALUE!</v>
      </c>
    </row>
    <row r="6846" spans="11:11" x14ac:dyDescent="0.25">
      <c r="K6846" s="8" t="e">
        <f t="shared" si="106"/>
        <v>#VALUE!</v>
      </c>
    </row>
    <row r="6847" spans="11:11" x14ac:dyDescent="0.25">
      <c r="K6847" s="8" t="e">
        <f t="shared" si="106"/>
        <v>#VALUE!</v>
      </c>
    </row>
    <row r="6848" spans="11:11" x14ac:dyDescent="0.25">
      <c r="K6848" s="8" t="e">
        <f t="shared" si="106"/>
        <v>#VALUE!</v>
      </c>
    </row>
    <row r="6849" spans="11:11" x14ac:dyDescent="0.25">
      <c r="K6849" s="8" t="e">
        <f t="shared" si="106"/>
        <v>#VALUE!</v>
      </c>
    </row>
    <row r="6850" spans="11:11" x14ac:dyDescent="0.25">
      <c r="K6850" s="8" t="e">
        <f t="shared" si="106"/>
        <v>#VALUE!</v>
      </c>
    </row>
    <row r="6851" spans="11:11" x14ac:dyDescent="0.25">
      <c r="K6851" s="8" t="e">
        <f t="shared" ref="K6851:K6914" si="107">LEFT(A6851,FIND("/",A6851)-1)</f>
        <v>#VALUE!</v>
      </c>
    </row>
    <row r="6852" spans="11:11" x14ac:dyDescent="0.25">
      <c r="K6852" s="8" t="e">
        <f t="shared" si="107"/>
        <v>#VALUE!</v>
      </c>
    </row>
    <row r="6853" spans="11:11" x14ac:dyDescent="0.25">
      <c r="K6853" s="8" t="e">
        <f t="shared" si="107"/>
        <v>#VALUE!</v>
      </c>
    </row>
    <row r="6854" spans="11:11" x14ac:dyDescent="0.25">
      <c r="K6854" s="8" t="e">
        <f t="shared" si="107"/>
        <v>#VALUE!</v>
      </c>
    </row>
    <row r="6855" spans="11:11" x14ac:dyDescent="0.25">
      <c r="K6855" s="8" t="e">
        <f t="shared" si="107"/>
        <v>#VALUE!</v>
      </c>
    </row>
    <row r="6856" spans="11:11" x14ac:dyDescent="0.25">
      <c r="K6856" s="8" t="e">
        <f t="shared" si="107"/>
        <v>#VALUE!</v>
      </c>
    </row>
    <row r="6857" spans="11:11" x14ac:dyDescent="0.25">
      <c r="K6857" s="8" t="e">
        <f t="shared" si="107"/>
        <v>#VALUE!</v>
      </c>
    </row>
    <row r="6858" spans="11:11" x14ac:dyDescent="0.25">
      <c r="K6858" s="8" t="e">
        <f t="shared" si="107"/>
        <v>#VALUE!</v>
      </c>
    </row>
    <row r="6859" spans="11:11" x14ac:dyDescent="0.25">
      <c r="K6859" s="8" t="e">
        <f t="shared" si="107"/>
        <v>#VALUE!</v>
      </c>
    </row>
    <row r="6860" spans="11:11" x14ac:dyDescent="0.25">
      <c r="K6860" s="8" t="e">
        <f t="shared" si="107"/>
        <v>#VALUE!</v>
      </c>
    </row>
    <row r="6861" spans="11:11" x14ac:dyDescent="0.25">
      <c r="K6861" s="8" t="e">
        <f t="shared" si="107"/>
        <v>#VALUE!</v>
      </c>
    </row>
    <row r="6862" spans="11:11" x14ac:dyDescent="0.25">
      <c r="K6862" s="8" t="e">
        <f t="shared" si="107"/>
        <v>#VALUE!</v>
      </c>
    </row>
    <row r="6863" spans="11:11" x14ac:dyDescent="0.25">
      <c r="K6863" s="8" t="e">
        <f t="shared" si="107"/>
        <v>#VALUE!</v>
      </c>
    </row>
    <row r="6864" spans="11:11" x14ac:dyDescent="0.25">
      <c r="K6864" s="8" t="e">
        <f t="shared" si="107"/>
        <v>#VALUE!</v>
      </c>
    </row>
    <row r="6865" spans="11:11" x14ac:dyDescent="0.25">
      <c r="K6865" s="8" t="e">
        <f t="shared" si="107"/>
        <v>#VALUE!</v>
      </c>
    </row>
    <row r="6866" spans="11:11" x14ac:dyDescent="0.25">
      <c r="K6866" s="8" t="e">
        <f t="shared" si="107"/>
        <v>#VALUE!</v>
      </c>
    </row>
    <row r="6867" spans="11:11" x14ac:dyDescent="0.25">
      <c r="K6867" s="8" t="e">
        <f t="shared" si="107"/>
        <v>#VALUE!</v>
      </c>
    </row>
    <row r="6868" spans="11:11" x14ac:dyDescent="0.25">
      <c r="K6868" s="8" t="e">
        <f t="shared" si="107"/>
        <v>#VALUE!</v>
      </c>
    </row>
    <row r="6869" spans="11:11" x14ac:dyDescent="0.25">
      <c r="K6869" s="8" t="e">
        <f t="shared" si="107"/>
        <v>#VALUE!</v>
      </c>
    </row>
    <row r="6870" spans="11:11" x14ac:dyDescent="0.25">
      <c r="K6870" s="8" t="e">
        <f t="shared" si="107"/>
        <v>#VALUE!</v>
      </c>
    </row>
    <row r="6871" spans="11:11" x14ac:dyDescent="0.25">
      <c r="K6871" s="8" t="e">
        <f t="shared" si="107"/>
        <v>#VALUE!</v>
      </c>
    </row>
    <row r="6872" spans="11:11" x14ac:dyDescent="0.25">
      <c r="K6872" s="8" t="e">
        <f t="shared" si="107"/>
        <v>#VALUE!</v>
      </c>
    </row>
    <row r="6873" spans="11:11" x14ac:dyDescent="0.25">
      <c r="K6873" s="8" t="e">
        <f t="shared" si="107"/>
        <v>#VALUE!</v>
      </c>
    </row>
    <row r="6874" spans="11:11" x14ac:dyDescent="0.25">
      <c r="K6874" s="8" t="e">
        <f t="shared" si="107"/>
        <v>#VALUE!</v>
      </c>
    </row>
    <row r="6875" spans="11:11" x14ac:dyDescent="0.25">
      <c r="K6875" s="8" t="e">
        <f t="shared" si="107"/>
        <v>#VALUE!</v>
      </c>
    </row>
    <row r="6876" spans="11:11" x14ac:dyDescent="0.25">
      <c r="K6876" s="8" t="e">
        <f t="shared" si="107"/>
        <v>#VALUE!</v>
      </c>
    </row>
    <row r="6877" spans="11:11" x14ac:dyDescent="0.25">
      <c r="K6877" s="8" t="e">
        <f t="shared" si="107"/>
        <v>#VALUE!</v>
      </c>
    </row>
    <row r="6878" spans="11:11" x14ac:dyDescent="0.25">
      <c r="K6878" s="8" t="e">
        <f t="shared" si="107"/>
        <v>#VALUE!</v>
      </c>
    </row>
    <row r="6879" spans="11:11" x14ac:dyDescent="0.25">
      <c r="K6879" s="8" t="e">
        <f t="shared" si="107"/>
        <v>#VALUE!</v>
      </c>
    </row>
    <row r="6880" spans="11:11" x14ac:dyDescent="0.25">
      <c r="K6880" s="8" t="e">
        <f t="shared" si="107"/>
        <v>#VALUE!</v>
      </c>
    </row>
    <row r="6881" spans="11:11" x14ac:dyDescent="0.25">
      <c r="K6881" s="8" t="e">
        <f t="shared" si="107"/>
        <v>#VALUE!</v>
      </c>
    </row>
    <row r="6882" spans="11:11" x14ac:dyDescent="0.25">
      <c r="K6882" s="8" t="e">
        <f t="shared" si="107"/>
        <v>#VALUE!</v>
      </c>
    </row>
    <row r="6883" spans="11:11" x14ac:dyDescent="0.25">
      <c r="K6883" s="8" t="e">
        <f t="shared" si="107"/>
        <v>#VALUE!</v>
      </c>
    </row>
    <row r="6884" spans="11:11" x14ac:dyDescent="0.25">
      <c r="K6884" s="8" t="e">
        <f t="shared" si="107"/>
        <v>#VALUE!</v>
      </c>
    </row>
    <row r="6885" spans="11:11" x14ac:dyDescent="0.25">
      <c r="K6885" s="8" t="e">
        <f t="shared" si="107"/>
        <v>#VALUE!</v>
      </c>
    </row>
    <row r="6886" spans="11:11" x14ac:dyDescent="0.25">
      <c r="K6886" s="8" t="e">
        <f t="shared" si="107"/>
        <v>#VALUE!</v>
      </c>
    </row>
    <row r="6887" spans="11:11" x14ac:dyDescent="0.25">
      <c r="K6887" s="8" t="e">
        <f t="shared" si="107"/>
        <v>#VALUE!</v>
      </c>
    </row>
    <row r="6888" spans="11:11" x14ac:dyDescent="0.25">
      <c r="K6888" s="8" t="e">
        <f t="shared" si="107"/>
        <v>#VALUE!</v>
      </c>
    </row>
    <row r="6889" spans="11:11" x14ac:dyDescent="0.25">
      <c r="K6889" s="8" t="e">
        <f t="shared" si="107"/>
        <v>#VALUE!</v>
      </c>
    </row>
    <row r="6890" spans="11:11" x14ac:dyDescent="0.25">
      <c r="K6890" s="8" t="e">
        <f t="shared" si="107"/>
        <v>#VALUE!</v>
      </c>
    </row>
    <row r="6891" spans="11:11" x14ac:dyDescent="0.25">
      <c r="K6891" s="8" t="e">
        <f t="shared" si="107"/>
        <v>#VALUE!</v>
      </c>
    </row>
    <row r="6892" spans="11:11" x14ac:dyDescent="0.25">
      <c r="K6892" s="8" t="e">
        <f t="shared" si="107"/>
        <v>#VALUE!</v>
      </c>
    </row>
    <row r="6893" spans="11:11" x14ac:dyDescent="0.25">
      <c r="K6893" s="8" t="e">
        <f t="shared" si="107"/>
        <v>#VALUE!</v>
      </c>
    </row>
    <row r="6894" spans="11:11" x14ac:dyDescent="0.25">
      <c r="K6894" s="8" t="e">
        <f t="shared" si="107"/>
        <v>#VALUE!</v>
      </c>
    </row>
    <row r="6895" spans="11:11" x14ac:dyDescent="0.25">
      <c r="K6895" s="8" t="e">
        <f t="shared" si="107"/>
        <v>#VALUE!</v>
      </c>
    </row>
    <row r="6896" spans="11:11" x14ac:dyDescent="0.25">
      <c r="K6896" s="8" t="e">
        <f t="shared" si="107"/>
        <v>#VALUE!</v>
      </c>
    </row>
    <row r="6897" spans="11:11" x14ac:dyDescent="0.25">
      <c r="K6897" s="8" t="e">
        <f t="shared" si="107"/>
        <v>#VALUE!</v>
      </c>
    </row>
    <row r="6898" spans="11:11" x14ac:dyDescent="0.25">
      <c r="K6898" s="8" t="e">
        <f t="shared" si="107"/>
        <v>#VALUE!</v>
      </c>
    </row>
    <row r="6899" spans="11:11" x14ac:dyDescent="0.25">
      <c r="K6899" s="8" t="e">
        <f t="shared" si="107"/>
        <v>#VALUE!</v>
      </c>
    </row>
    <row r="6900" spans="11:11" x14ac:dyDescent="0.25">
      <c r="K6900" s="8" t="e">
        <f t="shared" si="107"/>
        <v>#VALUE!</v>
      </c>
    </row>
    <row r="6901" spans="11:11" x14ac:dyDescent="0.25">
      <c r="K6901" s="8" t="e">
        <f t="shared" si="107"/>
        <v>#VALUE!</v>
      </c>
    </row>
    <row r="6902" spans="11:11" x14ac:dyDescent="0.25">
      <c r="K6902" s="8" t="e">
        <f t="shared" si="107"/>
        <v>#VALUE!</v>
      </c>
    </row>
    <row r="6903" spans="11:11" x14ac:dyDescent="0.25">
      <c r="K6903" s="8" t="e">
        <f t="shared" si="107"/>
        <v>#VALUE!</v>
      </c>
    </row>
    <row r="6904" spans="11:11" x14ac:dyDescent="0.25">
      <c r="K6904" s="8" t="e">
        <f t="shared" si="107"/>
        <v>#VALUE!</v>
      </c>
    </row>
    <row r="6905" spans="11:11" x14ac:dyDescent="0.25">
      <c r="K6905" s="8" t="e">
        <f t="shared" si="107"/>
        <v>#VALUE!</v>
      </c>
    </row>
    <row r="6906" spans="11:11" x14ac:dyDescent="0.25">
      <c r="K6906" s="8" t="e">
        <f t="shared" si="107"/>
        <v>#VALUE!</v>
      </c>
    </row>
    <row r="6907" spans="11:11" x14ac:dyDescent="0.25">
      <c r="K6907" s="8" t="e">
        <f t="shared" si="107"/>
        <v>#VALUE!</v>
      </c>
    </row>
    <row r="6908" spans="11:11" x14ac:dyDescent="0.25">
      <c r="K6908" s="8" t="e">
        <f t="shared" si="107"/>
        <v>#VALUE!</v>
      </c>
    </row>
    <row r="6909" spans="11:11" x14ac:dyDescent="0.25">
      <c r="K6909" s="8" t="e">
        <f t="shared" si="107"/>
        <v>#VALUE!</v>
      </c>
    </row>
    <row r="6910" spans="11:11" x14ac:dyDescent="0.25">
      <c r="K6910" s="8" t="e">
        <f t="shared" si="107"/>
        <v>#VALUE!</v>
      </c>
    </row>
    <row r="6911" spans="11:11" x14ac:dyDescent="0.25">
      <c r="K6911" s="8" t="e">
        <f t="shared" si="107"/>
        <v>#VALUE!</v>
      </c>
    </row>
    <row r="6912" spans="11:11" x14ac:dyDescent="0.25">
      <c r="K6912" s="8" t="e">
        <f t="shared" si="107"/>
        <v>#VALUE!</v>
      </c>
    </row>
    <row r="6913" spans="11:11" x14ac:dyDescent="0.25">
      <c r="K6913" s="8" t="e">
        <f t="shared" si="107"/>
        <v>#VALUE!</v>
      </c>
    </row>
    <row r="6914" spans="11:11" x14ac:dyDescent="0.25">
      <c r="K6914" s="8" t="e">
        <f t="shared" si="107"/>
        <v>#VALUE!</v>
      </c>
    </row>
    <row r="6915" spans="11:11" x14ac:dyDescent="0.25">
      <c r="K6915" s="8" t="e">
        <f t="shared" ref="K6915:K6978" si="108">LEFT(A6915,FIND("/",A6915)-1)</f>
        <v>#VALUE!</v>
      </c>
    </row>
    <row r="6916" spans="11:11" x14ac:dyDescent="0.25">
      <c r="K6916" s="8" t="e">
        <f t="shared" si="108"/>
        <v>#VALUE!</v>
      </c>
    </row>
    <row r="6917" spans="11:11" x14ac:dyDescent="0.25">
      <c r="K6917" s="8" t="e">
        <f t="shared" si="108"/>
        <v>#VALUE!</v>
      </c>
    </row>
    <row r="6918" spans="11:11" x14ac:dyDescent="0.25">
      <c r="K6918" s="8" t="e">
        <f t="shared" si="108"/>
        <v>#VALUE!</v>
      </c>
    </row>
    <row r="6919" spans="11:11" x14ac:dyDescent="0.25">
      <c r="K6919" s="8" t="e">
        <f t="shared" si="108"/>
        <v>#VALUE!</v>
      </c>
    </row>
    <row r="6920" spans="11:11" x14ac:dyDescent="0.25">
      <c r="K6920" s="8" t="e">
        <f t="shared" si="108"/>
        <v>#VALUE!</v>
      </c>
    </row>
    <row r="6921" spans="11:11" x14ac:dyDescent="0.25">
      <c r="K6921" s="8" t="e">
        <f t="shared" si="108"/>
        <v>#VALUE!</v>
      </c>
    </row>
    <row r="6922" spans="11:11" x14ac:dyDescent="0.25">
      <c r="K6922" s="8" t="e">
        <f t="shared" si="108"/>
        <v>#VALUE!</v>
      </c>
    </row>
    <row r="6923" spans="11:11" x14ac:dyDescent="0.25">
      <c r="K6923" s="8" t="e">
        <f t="shared" si="108"/>
        <v>#VALUE!</v>
      </c>
    </row>
    <row r="6924" spans="11:11" x14ac:dyDescent="0.25">
      <c r="K6924" s="8" t="e">
        <f t="shared" si="108"/>
        <v>#VALUE!</v>
      </c>
    </row>
    <row r="6925" spans="11:11" x14ac:dyDescent="0.25">
      <c r="K6925" s="8" t="e">
        <f t="shared" si="108"/>
        <v>#VALUE!</v>
      </c>
    </row>
    <row r="6926" spans="11:11" x14ac:dyDescent="0.25">
      <c r="K6926" s="8" t="e">
        <f t="shared" si="108"/>
        <v>#VALUE!</v>
      </c>
    </row>
    <row r="6927" spans="11:11" x14ac:dyDescent="0.25">
      <c r="K6927" s="8" t="e">
        <f t="shared" si="108"/>
        <v>#VALUE!</v>
      </c>
    </row>
    <row r="6928" spans="11:11" x14ac:dyDescent="0.25">
      <c r="K6928" s="8" t="e">
        <f t="shared" si="108"/>
        <v>#VALUE!</v>
      </c>
    </row>
    <row r="6929" spans="11:11" x14ac:dyDescent="0.25">
      <c r="K6929" s="8" t="e">
        <f t="shared" si="108"/>
        <v>#VALUE!</v>
      </c>
    </row>
    <row r="6930" spans="11:11" x14ac:dyDescent="0.25">
      <c r="K6930" s="8" t="e">
        <f t="shared" si="108"/>
        <v>#VALUE!</v>
      </c>
    </row>
    <row r="6931" spans="11:11" x14ac:dyDescent="0.25">
      <c r="K6931" s="8" t="e">
        <f t="shared" si="108"/>
        <v>#VALUE!</v>
      </c>
    </row>
    <row r="6932" spans="11:11" x14ac:dyDescent="0.25">
      <c r="K6932" s="8" t="e">
        <f t="shared" si="108"/>
        <v>#VALUE!</v>
      </c>
    </row>
    <row r="6933" spans="11:11" x14ac:dyDescent="0.25">
      <c r="K6933" s="8" t="e">
        <f t="shared" si="108"/>
        <v>#VALUE!</v>
      </c>
    </row>
    <row r="6934" spans="11:11" x14ac:dyDescent="0.25">
      <c r="K6934" s="8" t="e">
        <f t="shared" si="108"/>
        <v>#VALUE!</v>
      </c>
    </row>
    <row r="6935" spans="11:11" x14ac:dyDescent="0.25">
      <c r="K6935" s="8" t="e">
        <f t="shared" si="108"/>
        <v>#VALUE!</v>
      </c>
    </row>
    <row r="6936" spans="11:11" x14ac:dyDescent="0.25">
      <c r="K6936" s="8" t="e">
        <f t="shared" si="108"/>
        <v>#VALUE!</v>
      </c>
    </row>
    <row r="6937" spans="11:11" x14ac:dyDescent="0.25">
      <c r="K6937" s="8" t="e">
        <f t="shared" si="108"/>
        <v>#VALUE!</v>
      </c>
    </row>
    <row r="6938" spans="11:11" x14ac:dyDescent="0.25">
      <c r="K6938" s="8" t="e">
        <f t="shared" si="108"/>
        <v>#VALUE!</v>
      </c>
    </row>
    <row r="6939" spans="11:11" x14ac:dyDescent="0.25">
      <c r="K6939" s="8" t="e">
        <f t="shared" si="108"/>
        <v>#VALUE!</v>
      </c>
    </row>
    <row r="6940" spans="11:11" x14ac:dyDescent="0.25">
      <c r="K6940" s="8" t="e">
        <f t="shared" si="108"/>
        <v>#VALUE!</v>
      </c>
    </row>
    <row r="6941" spans="11:11" x14ac:dyDescent="0.25">
      <c r="K6941" s="8" t="e">
        <f t="shared" si="108"/>
        <v>#VALUE!</v>
      </c>
    </row>
    <row r="6942" spans="11:11" x14ac:dyDescent="0.25">
      <c r="K6942" s="8" t="e">
        <f t="shared" si="108"/>
        <v>#VALUE!</v>
      </c>
    </row>
    <row r="6943" spans="11:11" x14ac:dyDescent="0.25">
      <c r="K6943" s="8" t="e">
        <f t="shared" si="108"/>
        <v>#VALUE!</v>
      </c>
    </row>
    <row r="6944" spans="11:11" x14ac:dyDescent="0.25">
      <c r="K6944" s="8" t="e">
        <f t="shared" si="108"/>
        <v>#VALUE!</v>
      </c>
    </row>
    <row r="6945" spans="11:11" x14ac:dyDescent="0.25">
      <c r="K6945" s="8" t="e">
        <f t="shared" si="108"/>
        <v>#VALUE!</v>
      </c>
    </row>
    <row r="6946" spans="11:11" x14ac:dyDescent="0.25">
      <c r="K6946" s="8" t="e">
        <f t="shared" si="108"/>
        <v>#VALUE!</v>
      </c>
    </row>
    <row r="6947" spans="11:11" x14ac:dyDescent="0.25">
      <c r="K6947" s="8" t="e">
        <f t="shared" si="108"/>
        <v>#VALUE!</v>
      </c>
    </row>
    <row r="6948" spans="11:11" x14ac:dyDescent="0.25">
      <c r="K6948" s="8" t="e">
        <f t="shared" si="108"/>
        <v>#VALUE!</v>
      </c>
    </row>
    <row r="6949" spans="11:11" x14ac:dyDescent="0.25">
      <c r="K6949" s="8" t="e">
        <f t="shared" si="108"/>
        <v>#VALUE!</v>
      </c>
    </row>
    <row r="6950" spans="11:11" x14ac:dyDescent="0.25">
      <c r="K6950" s="8" t="e">
        <f t="shared" si="108"/>
        <v>#VALUE!</v>
      </c>
    </row>
    <row r="6951" spans="11:11" x14ac:dyDescent="0.25">
      <c r="K6951" s="8" t="e">
        <f t="shared" si="108"/>
        <v>#VALUE!</v>
      </c>
    </row>
    <row r="6952" spans="11:11" x14ac:dyDescent="0.25">
      <c r="K6952" s="8" t="e">
        <f t="shared" si="108"/>
        <v>#VALUE!</v>
      </c>
    </row>
    <row r="6953" spans="11:11" x14ac:dyDescent="0.25">
      <c r="K6953" s="8" t="e">
        <f t="shared" si="108"/>
        <v>#VALUE!</v>
      </c>
    </row>
    <row r="6954" spans="11:11" x14ac:dyDescent="0.25">
      <c r="K6954" s="8" t="e">
        <f t="shared" si="108"/>
        <v>#VALUE!</v>
      </c>
    </row>
    <row r="6955" spans="11:11" x14ac:dyDescent="0.25">
      <c r="K6955" s="8" t="e">
        <f t="shared" si="108"/>
        <v>#VALUE!</v>
      </c>
    </row>
    <row r="6956" spans="11:11" x14ac:dyDescent="0.25">
      <c r="K6956" s="8" t="e">
        <f t="shared" si="108"/>
        <v>#VALUE!</v>
      </c>
    </row>
    <row r="6957" spans="11:11" x14ac:dyDescent="0.25">
      <c r="K6957" s="8" t="e">
        <f t="shared" si="108"/>
        <v>#VALUE!</v>
      </c>
    </row>
    <row r="6958" spans="11:11" x14ac:dyDescent="0.25">
      <c r="K6958" s="8" t="e">
        <f t="shared" si="108"/>
        <v>#VALUE!</v>
      </c>
    </row>
    <row r="6959" spans="11:11" x14ac:dyDescent="0.25">
      <c r="K6959" s="8" t="e">
        <f t="shared" si="108"/>
        <v>#VALUE!</v>
      </c>
    </row>
    <row r="6960" spans="11:11" x14ac:dyDescent="0.25">
      <c r="K6960" s="8" t="e">
        <f t="shared" si="108"/>
        <v>#VALUE!</v>
      </c>
    </row>
    <row r="6961" spans="11:11" x14ac:dyDescent="0.25">
      <c r="K6961" s="8" t="e">
        <f t="shared" si="108"/>
        <v>#VALUE!</v>
      </c>
    </row>
    <row r="6962" spans="11:11" x14ac:dyDescent="0.25">
      <c r="K6962" s="8" t="e">
        <f t="shared" si="108"/>
        <v>#VALUE!</v>
      </c>
    </row>
    <row r="6963" spans="11:11" x14ac:dyDescent="0.25">
      <c r="K6963" s="8" t="e">
        <f t="shared" si="108"/>
        <v>#VALUE!</v>
      </c>
    </row>
    <row r="6964" spans="11:11" x14ac:dyDescent="0.25">
      <c r="K6964" s="8" t="e">
        <f t="shared" si="108"/>
        <v>#VALUE!</v>
      </c>
    </row>
    <row r="6965" spans="11:11" x14ac:dyDescent="0.25">
      <c r="K6965" s="8" t="e">
        <f t="shared" si="108"/>
        <v>#VALUE!</v>
      </c>
    </row>
    <row r="6966" spans="11:11" x14ac:dyDescent="0.25">
      <c r="K6966" s="8" t="e">
        <f t="shared" si="108"/>
        <v>#VALUE!</v>
      </c>
    </row>
    <row r="6967" spans="11:11" x14ac:dyDescent="0.25">
      <c r="K6967" s="8" t="e">
        <f t="shared" si="108"/>
        <v>#VALUE!</v>
      </c>
    </row>
    <row r="6968" spans="11:11" x14ac:dyDescent="0.25">
      <c r="K6968" s="8" t="e">
        <f t="shared" si="108"/>
        <v>#VALUE!</v>
      </c>
    </row>
    <row r="6969" spans="11:11" x14ac:dyDescent="0.25">
      <c r="K6969" s="8" t="e">
        <f t="shared" si="108"/>
        <v>#VALUE!</v>
      </c>
    </row>
    <row r="6970" spans="11:11" x14ac:dyDescent="0.25">
      <c r="K6970" s="8" t="e">
        <f t="shared" si="108"/>
        <v>#VALUE!</v>
      </c>
    </row>
    <row r="6971" spans="11:11" x14ac:dyDescent="0.25">
      <c r="K6971" s="8" t="e">
        <f t="shared" si="108"/>
        <v>#VALUE!</v>
      </c>
    </row>
    <row r="6972" spans="11:11" x14ac:dyDescent="0.25">
      <c r="K6972" s="8" t="e">
        <f t="shared" si="108"/>
        <v>#VALUE!</v>
      </c>
    </row>
    <row r="6973" spans="11:11" x14ac:dyDescent="0.25">
      <c r="K6973" s="8" t="e">
        <f t="shared" si="108"/>
        <v>#VALUE!</v>
      </c>
    </row>
    <row r="6974" spans="11:11" x14ac:dyDescent="0.25">
      <c r="K6974" s="8" t="e">
        <f t="shared" si="108"/>
        <v>#VALUE!</v>
      </c>
    </row>
    <row r="6975" spans="11:11" x14ac:dyDescent="0.25">
      <c r="K6975" s="8" t="e">
        <f t="shared" si="108"/>
        <v>#VALUE!</v>
      </c>
    </row>
    <row r="6976" spans="11:11" x14ac:dyDescent="0.25">
      <c r="K6976" s="8" t="e">
        <f t="shared" si="108"/>
        <v>#VALUE!</v>
      </c>
    </row>
    <row r="6977" spans="11:11" x14ac:dyDescent="0.25">
      <c r="K6977" s="8" t="e">
        <f t="shared" si="108"/>
        <v>#VALUE!</v>
      </c>
    </row>
    <row r="6978" spans="11:11" x14ac:dyDescent="0.25">
      <c r="K6978" s="8" t="e">
        <f t="shared" si="108"/>
        <v>#VALUE!</v>
      </c>
    </row>
    <row r="6979" spans="11:11" x14ac:dyDescent="0.25">
      <c r="K6979" s="8" t="e">
        <f t="shared" ref="K6979:K7042" si="109">LEFT(A6979,FIND("/",A6979)-1)</f>
        <v>#VALUE!</v>
      </c>
    </row>
    <row r="6980" spans="11:11" x14ac:dyDescent="0.25">
      <c r="K6980" s="8" t="e">
        <f t="shared" si="109"/>
        <v>#VALUE!</v>
      </c>
    </row>
    <row r="6981" spans="11:11" x14ac:dyDescent="0.25">
      <c r="K6981" s="8" t="e">
        <f t="shared" si="109"/>
        <v>#VALUE!</v>
      </c>
    </row>
    <row r="6982" spans="11:11" x14ac:dyDescent="0.25">
      <c r="K6982" s="8" t="e">
        <f t="shared" si="109"/>
        <v>#VALUE!</v>
      </c>
    </row>
    <row r="6983" spans="11:11" x14ac:dyDescent="0.25">
      <c r="K6983" s="8" t="e">
        <f t="shared" si="109"/>
        <v>#VALUE!</v>
      </c>
    </row>
    <row r="6984" spans="11:11" x14ac:dyDescent="0.25">
      <c r="K6984" s="8" t="e">
        <f t="shared" si="109"/>
        <v>#VALUE!</v>
      </c>
    </row>
    <row r="6985" spans="11:11" x14ac:dyDescent="0.25">
      <c r="K6985" s="8" t="e">
        <f t="shared" si="109"/>
        <v>#VALUE!</v>
      </c>
    </row>
    <row r="6986" spans="11:11" x14ac:dyDescent="0.25">
      <c r="K6986" s="8" t="e">
        <f t="shared" si="109"/>
        <v>#VALUE!</v>
      </c>
    </row>
    <row r="6987" spans="11:11" x14ac:dyDescent="0.25">
      <c r="K6987" s="8" t="e">
        <f t="shared" si="109"/>
        <v>#VALUE!</v>
      </c>
    </row>
    <row r="6988" spans="11:11" x14ac:dyDescent="0.25">
      <c r="K6988" s="8" t="e">
        <f t="shared" si="109"/>
        <v>#VALUE!</v>
      </c>
    </row>
    <row r="6989" spans="11:11" x14ac:dyDescent="0.25">
      <c r="K6989" s="8" t="e">
        <f t="shared" si="109"/>
        <v>#VALUE!</v>
      </c>
    </row>
    <row r="6990" spans="11:11" x14ac:dyDescent="0.25">
      <c r="K6990" s="8" t="e">
        <f t="shared" si="109"/>
        <v>#VALUE!</v>
      </c>
    </row>
    <row r="6991" spans="11:11" x14ac:dyDescent="0.25">
      <c r="K6991" s="8" t="e">
        <f t="shared" si="109"/>
        <v>#VALUE!</v>
      </c>
    </row>
    <row r="6992" spans="11:11" x14ac:dyDescent="0.25">
      <c r="K6992" s="8" t="e">
        <f t="shared" si="109"/>
        <v>#VALUE!</v>
      </c>
    </row>
    <row r="6993" spans="11:11" x14ac:dyDescent="0.25">
      <c r="K6993" s="8" t="e">
        <f t="shared" si="109"/>
        <v>#VALUE!</v>
      </c>
    </row>
    <row r="6994" spans="11:11" x14ac:dyDescent="0.25">
      <c r="K6994" s="8" t="e">
        <f t="shared" si="109"/>
        <v>#VALUE!</v>
      </c>
    </row>
    <row r="6995" spans="11:11" x14ac:dyDescent="0.25">
      <c r="K6995" s="8" t="e">
        <f t="shared" si="109"/>
        <v>#VALUE!</v>
      </c>
    </row>
    <row r="6996" spans="11:11" x14ac:dyDescent="0.25">
      <c r="K6996" s="8" t="e">
        <f t="shared" si="109"/>
        <v>#VALUE!</v>
      </c>
    </row>
    <row r="6997" spans="11:11" x14ac:dyDescent="0.25">
      <c r="K6997" s="8" t="e">
        <f t="shared" si="109"/>
        <v>#VALUE!</v>
      </c>
    </row>
    <row r="6998" spans="11:11" x14ac:dyDescent="0.25">
      <c r="K6998" s="8" t="e">
        <f t="shared" si="109"/>
        <v>#VALUE!</v>
      </c>
    </row>
    <row r="6999" spans="11:11" x14ac:dyDescent="0.25">
      <c r="K6999" s="8" t="e">
        <f t="shared" si="109"/>
        <v>#VALUE!</v>
      </c>
    </row>
    <row r="7000" spans="11:11" x14ac:dyDescent="0.25">
      <c r="K7000" s="8" t="e">
        <f t="shared" si="109"/>
        <v>#VALUE!</v>
      </c>
    </row>
    <row r="7001" spans="11:11" x14ac:dyDescent="0.25">
      <c r="K7001" s="8" t="e">
        <f t="shared" si="109"/>
        <v>#VALUE!</v>
      </c>
    </row>
    <row r="7002" spans="11:11" x14ac:dyDescent="0.25">
      <c r="K7002" s="8" t="e">
        <f t="shared" si="109"/>
        <v>#VALUE!</v>
      </c>
    </row>
    <row r="7003" spans="11:11" x14ac:dyDescent="0.25">
      <c r="K7003" s="8" t="e">
        <f t="shared" si="109"/>
        <v>#VALUE!</v>
      </c>
    </row>
    <row r="7004" spans="11:11" x14ac:dyDescent="0.25">
      <c r="K7004" s="8" t="e">
        <f t="shared" si="109"/>
        <v>#VALUE!</v>
      </c>
    </row>
    <row r="7005" spans="11:11" x14ac:dyDescent="0.25">
      <c r="K7005" s="8" t="e">
        <f t="shared" si="109"/>
        <v>#VALUE!</v>
      </c>
    </row>
    <row r="7006" spans="11:11" x14ac:dyDescent="0.25">
      <c r="K7006" s="8" t="e">
        <f t="shared" si="109"/>
        <v>#VALUE!</v>
      </c>
    </row>
    <row r="7007" spans="11:11" x14ac:dyDescent="0.25">
      <c r="K7007" s="8" t="e">
        <f t="shared" si="109"/>
        <v>#VALUE!</v>
      </c>
    </row>
    <row r="7008" spans="11:11" x14ac:dyDescent="0.25">
      <c r="K7008" s="8" t="e">
        <f t="shared" si="109"/>
        <v>#VALUE!</v>
      </c>
    </row>
    <row r="7009" spans="11:11" x14ac:dyDescent="0.25">
      <c r="K7009" s="8" t="e">
        <f t="shared" si="109"/>
        <v>#VALUE!</v>
      </c>
    </row>
    <row r="7010" spans="11:11" x14ac:dyDescent="0.25">
      <c r="K7010" s="8" t="e">
        <f t="shared" si="109"/>
        <v>#VALUE!</v>
      </c>
    </row>
    <row r="7011" spans="11:11" x14ac:dyDescent="0.25">
      <c r="K7011" s="8" t="e">
        <f t="shared" si="109"/>
        <v>#VALUE!</v>
      </c>
    </row>
    <row r="7012" spans="11:11" x14ac:dyDescent="0.25">
      <c r="K7012" s="8" t="e">
        <f t="shared" si="109"/>
        <v>#VALUE!</v>
      </c>
    </row>
    <row r="7013" spans="11:11" x14ac:dyDescent="0.25">
      <c r="K7013" s="8" t="e">
        <f t="shared" si="109"/>
        <v>#VALUE!</v>
      </c>
    </row>
    <row r="7014" spans="11:11" x14ac:dyDescent="0.25">
      <c r="K7014" s="8" t="e">
        <f t="shared" si="109"/>
        <v>#VALUE!</v>
      </c>
    </row>
    <row r="7015" spans="11:11" x14ac:dyDescent="0.25">
      <c r="K7015" s="8" t="e">
        <f t="shared" si="109"/>
        <v>#VALUE!</v>
      </c>
    </row>
    <row r="7016" spans="11:11" x14ac:dyDescent="0.25">
      <c r="K7016" s="8" t="e">
        <f t="shared" si="109"/>
        <v>#VALUE!</v>
      </c>
    </row>
    <row r="7017" spans="11:11" x14ac:dyDescent="0.25">
      <c r="K7017" s="8" t="e">
        <f t="shared" si="109"/>
        <v>#VALUE!</v>
      </c>
    </row>
    <row r="7018" spans="11:11" x14ac:dyDescent="0.25">
      <c r="K7018" s="8" t="e">
        <f t="shared" si="109"/>
        <v>#VALUE!</v>
      </c>
    </row>
    <row r="7019" spans="11:11" x14ac:dyDescent="0.25">
      <c r="K7019" s="8" t="e">
        <f t="shared" si="109"/>
        <v>#VALUE!</v>
      </c>
    </row>
    <row r="7020" spans="11:11" x14ac:dyDescent="0.25">
      <c r="K7020" s="8" t="e">
        <f t="shared" si="109"/>
        <v>#VALUE!</v>
      </c>
    </row>
    <row r="7021" spans="11:11" x14ac:dyDescent="0.25">
      <c r="K7021" s="8" t="e">
        <f t="shared" si="109"/>
        <v>#VALUE!</v>
      </c>
    </row>
    <row r="7022" spans="11:11" x14ac:dyDescent="0.25">
      <c r="K7022" s="8" t="e">
        <f t="shared" si="109"/>
        <v>#VALUE!</v>
      </c>
    </row>
    <row r="7023" spans="11:11" x14ac:dyDescent="0.25">
      <c r="K7023" s="8" t="e">
        <f t="shared" si="109"/>
        <v>#VALUE!</v>
      </c>
    </row>
    <row r="7024" spans="11:11" x14ac:dyDescent="0.25">
      <c r="K7024" s="8" t="e">
        <f t="shared" si="109"/>
        <v>#VALUE!</v>
      </c>
    </row>
    <row r="7025" spans="11:11" x14ac:dyDescent="0.25">
      <c r="K7025" s="8" t="e">
        <f t="shared" si="109"/>
        <v>#VALUE!</v>
      </c>
    </row>
    <row r="7026" spans="11:11" x14ac:dyDescent="0.25">
      <c r="K7026" s="8" t="e">
        <f t="shared" si="109"/>
        <v>#VALUE!</v>
      </c>
    </row>
    <row r="7027" spans="11:11" x14ac:dyDescent="0.25">
      <c r="K7027" s="8" t="e">
        <f t="shared" si="109"/>
        <v>#VALUE!</v>
      </c>
    </row>
    <row r="7028" spans="11:11" x14ac:dyDescent="0.25">
      <c r="K7028" s="8" t="e">
        <f t="shared" si="109"/>
        <v>#VALUE!</v>
      </c>
    </row>
    <row r="7029" spans="11:11" x14ac:dyDescent="0.25">
      <c r="K7029" s="8" t="e">
        <f t="shared" si="109"/>
        <v>#VALUE!</v>
      </c>
    </row>
    <row r="7030" spans="11:11" x14ac:dyDescent="0.25">
      <c r="K7030" s="8" t="e">
        <f t="shared" si="109"/>
        <v>#VALUE!</v>
      </c>
    </row>
    <row r="7031" spans="11:11" x14ac:dyDescent="0.25">
      <c r="K7031" s="8" t="e">
        <f t="shared" si="109"/>
        <v>#VALUE!</v>
      </c>
    </row>
    <row r="7032" spans="11:11" x14ac:dyDescent="0.25">
      <c r="K7032" s="8" t="e">
        <f t="shared" si="109"/>
        <v>#VALUE!</v>
      </c>
    </row>
    <row r="7033" spans="11:11" x14ac:dyDescent="0.25">
      <c r="K7033" s="8" t="e">
        <f t="shared" si="109"/>
        <v>#VALUE!</v>
      </c>
    </row>
    <row r="7034" spans="11:11" x14ac:dyDescent="0.25">
      <c r="K7034" s="8" t="e">
        <f t="shared" si="109"/>
        <v>#VALUE!</v>
      </c>
    </row>
    <row r="7035" spans="11:11" x14ac:dyDescent="0.25">
      <c r="K7035" s="8" t="e">
        <f t="shared" si="109"/>
        <v>#VALUE!</v>
      </c>
    </row>
    <row r="7036" spans="11:11" x14ac:dyDescent="0.25">
      <c r="K7036" s="8" t="e">
        <f t="shared" si="109"/>
        <v>#VALUE!</v>
      </c>
    </row>
    <row r="7037" spans="11:11" x14ac:dyDescent="0.25">
      <c r="K7037" s="8" t="e">
        <f t="shared" si="109"/>
        <v>#VALUE!</v>
      </c>
    </row>
    <row r="7038" spans="11:11" x14ac:dyDescent="0.25">
      <c r="K7038" s="8" t="e">
        <f t="shared" si="109"/>
        <v>#VALUE!</v>
      </c>
    </row>
    <row r="7039" spans="11:11" x14ac:dyDescent="0.25">
      <c r="K7039" s="8" t="e">
        <f t="shared" si="109"/>
        <v>#VALUE!</v>
      </c>
    </row>
    <row r="7040" spans="11:11" x14ac:dyDescent="0.25">
      <c r="K7040" s="8" t="e">
        <f t="shared" si="109"/>
        <v>#VALUE!</v>
      </c>
    </row>
    <row r="7041" spans="11:11" x14ac:dyDescent="0.25">
      <c r="K7041" s="8" t="e">
        <f t="shared" si="109"/>
        <v>#VALUE!</v>
      </c>
    </row>
    <row r="7042" spans="11:11" x14ac:dyDescent="0.25">
      <c r="K7042" s="8" t="e">
        <f t="shared" si="109"/>
        <v>#VALUE!</v>
      </c>
    </row>
    <row r="7043" spans="11:11" x14ac:dyDescent="0.25">
      <c r="K7043" s="8" t="e">
        <f t="shared" ref="K7043:K7106" si="110">LEFT(A7043,FIND("/",A7043)-1)</f>
        <v>#VALUE!</v>
      </c>
    </row>
    <row r="7044" spans="11:11" x14ac:dyDescent="0.25">
      <c r="K7044" s="8" t="e">
        <f t="shared" si="110"/>
        <v>#VALUE!</v>
      </c>
    </row>
    <row r="7045" spans="11:11" x14ac:dyDescent="0.25">
      <c r="K7045" s="8" t="e">
        <f t="shared" si="110"/>
        <v>#VALUE!</v>
      </c>
    </row>
    <row r="7046" spans="11:11" x14ac:dyDescent="0.25">
      <c r="K7046" s="8" t="e">
        <f t="shared" si="110"/>
        <v>#VALUE!</v>
      </c>
    </row>
    <row r="7047" spans="11:11" x14ac:dyDescent="0.25">
      <c r="K7047" s="8" t="e">
        <f t="shared" si="110"/>
        <v>#VALUE!</v>
      </c>
    </row>
    <row r="7048" spans="11:11" x14ac:dyDescent="0.25">
      <c r="K7048" s="8" t="e">
        <f t="shared" si="110"/>
        <v>#VALUE!</v>
      </c>
    </row>
    <row r="7049" spans="11:11" x14ac:dyDescent="0.25">
      <c r="K7049" s="8" t="e">
        <f t="shared" si="110"/>
        <v>#VALUE!</v>
      </c>
    </row>
    <row r="7050" spans="11:11" x14ac:dyDescent="0.25">
      <c r="K7050" s="8" t="e">
        <f t="shared" si="110"/>
        <v>#VALUE!</v>
      </c>
    </row>
    <row r="7051" spans="11:11" x14ac:dyDescent="0.25">
      <c r="K7051" s="8" t="e">
        <f t="shared" si="110"/>
        <v>#VALUE!</v>
      </c>
    </row>
    <row r="7052" spans="11:11" x14ac:dyDescent="0.25">
      <c r="K7052" s="8" t="e">
        <f t="shared" si="110"/>
        <v>#VALUE!</v>
      </c>
    </row>
    <row r="7053" spans="11:11" x14ac:dyDescent="0.25">
      <c r="K7053" s="8" t="e">
        <f t="shared" si="110"/>
        <v>#VALUE!</v>
      </c>
    </row>
    <row r="7054" spans="11:11" x14ac:dyDescent="0.25">
      <c r="K7054" s="8" t="e">
        <f t="shared" si="110"/>
        <v>#VALUE!</v>
      </c>
    </row>
    <row r="7055" spans="11:11" x14ac:dyDescent="0.25">
      <c r="K7055" s="8" t="e">
        <f t="shared" si="110"/>
        <v>#VALUE!</v>
      </c>
    </row>
    <row r="7056" spans="11:11" x14ac:dyDescent="0.25">
      <c r="K7056" s="8" t="e">
        <f t="shared" si="110"/>
        <v>#VALUE!</v>
      </c>
    </row>
    <row r="7057" spans="11:11" x14ac:dyDescent="0.25">
      <c r="K7057" s="8" t="e">
        <f t="shared" si="110"/>
        <v>#VALUE!</v>
      </c>
    </row>
    <row r="7058" spans="11:11" x14ac:dyDescent="0.25">
      <c r="K7058" s="8" t="e">
        <f t="shared" si="110"/>
        <v>#VALUE!</v>
      </c>
    </row>
    <row r="7059" spans="11:11" x14ac:dyDescent="0.25">
      <c r="K7059" s="8" t="e">
        <f t="shared" si="110"/>
        <v>#VALUE!</v>
      </c>
    </row>
    <row r="7060" spans="11:11" x14ac:dyDescent="0.25">
      <c r="K7060" s="8" t="e">
        <f t="shared" si="110"/>
        <v>#VALUE!</v>
      </c>
    </row>
    <row r="7061" spans="11:11" x14ac:dyDescent="0.25">
      <c r="K7061" s="8" t="e">
        <f t="shared" si="110"/>
        <v>#VALUE!</v>
      </c>
    </row>
    <row r="7062" spans="11:11" x14ac:dyDescent="0.25">
      <c r="K7062" s="8" t="e">
        <f t="shared" si="110"/>
        <v>#VALUE!</v>
      </c>
    </row>
    <row r="7063" spans="11:11" x14ac:dyDescent="0.25">
      <c r="K7063" s="8" t="e">
        <f t="shared" si="110"/>
        <v>#VALUE!</v>
      </c>
    </row>
    <row r="7064" spans="11:11" x14ac:dyDescent="0.25">
      <c r="K7064" s="8" t="e">
        <f t="shared" si="110"/>
        <v>#VALUE!</v>
      </c>
    </row>
    <row r="7065" spans="11:11" x14ac:dyDescent="0.25">
      <c r="K7065" s="8" t="e">
        <f t="shared" si="110"/>
        <v>#VALUE!</v>
      </c>
    </row>
    <row r="7066" spans="11:11" x14ac:dyDescent="0.25">
      <c r="K7066" s="8" t="e">
        <f t="shared" si="110"/>
        <v>#VALUE!</v>
      </c>
    </row>
    <row r="7067" spans="11:11" x14ac:dyDescent="0.25">
      <c r="K7067" s="8" t="e">
        <f t="shared" si="110"/>
        <v>#VALUE!</v>
      </c>
    </row>
    <row r="7068" spans="11:11" x14ac:dyDescent="0.25">
      <c r="K7068" s="8" t="e">
        <f t="shared" si="110"/>
        <v>#VALUE!</v>
      </c>
    </row>
    <row r="7069" spans="11:11" x14ac:dyDescent="0.25">
      <c r="K7069" s="8" t="e">
        <f t="shared" si="110"/>
        <v>#VALUE!</v>
      </c>
    </row>
    <row r="7070" spans="11:11" x14ac:dyDescent="0.25">
      <c r="K7070" s="8" t="e">
        <f t="shared" si="110"/>
        <v>#VALUE!</v>
      </c>
    </row>
    <row r="7071" spans="11:11" x14ac:dyDescent="0.25">
      <c r="K7071" s="8" t="e">
        <f t="shared" si="110"/>
        <v>#VALUE!</v>
      </c>
    </row>
    <row r="7072" spans="11:11" x14ac:dyDescent="0.25">
      <c r="K7072" s="8" t="e">
        <f t="shared" si="110"/>
        <v>#VALUE!</v>
      </c>
    </row>
    <row r="7073" spans="11:11" x14ac:dyDescent="0.25">
      <c r="K7073" s="8" t="e">
        <f t="shared" si="110"/>
        <v>#VALUE!</v>
      </c>
    </row>
    <row r="7074" spans="11:11" x14ac:dyDescent="0.25">
      <c r="K7074" s="8" t="e">
        <f t="shared" si="110"/>
        <v>#VALUE!</v>
      </c>
    </row>
    <row r="7075" spans="11:11" x14ac:dyDescent="0.25">
      <c r="K7075" s="8" t="e">
        <f t="shared" si="110"/>
        <v>#VALUE!</v>
      </c>
    </row>
    <row r="7076" spans="11:11" x14ac:dyDescent="0.25">
      <c r="K7076" s="8" t="e">
        <f t="shared" si="110"/>
        <v>#VALUE!</v>
      </c>
    </row>
    <row r="7077" spans="11:11" x14ac:dyDescent="0.25">
      <c r="K7077" s="8" t="e">
        <f t="shared" si="110"/>
        <v>#VALUE!</v>
      </c>
    </row>
    <row r="7078" spans="11:11" x14ac:dyDescent="0.25">
      <c r="K7078" s="8" t="e">
        <f t="shared" si="110"/>
        <v>#VALUE!</v>
      </c>
    </row>
    <row r="7079" spans="11:11" x14ac:dyDescent="0.25">
      <c r="K7079" s="8" t="e">
        <f t="shared" si="110"/>
        <v>#VALUE!</v>
      </c>
    </row>
    <row r="7080" spans="11:11" x14ac:dyDescent="0.25">
      <c r="K7080" s="8" t="e">
        <f t="shared" si="110"/>
        <v>#VALUE!</v>
      </c>
    </row>
    <row r="7081" spans="11:11" x14ac:dyDescent="0.25">
      <c r="K7081" s="8" t="e">
        <f t="shared" si="110"/>
        <v>#VALUE!</v>
      </c>
    </row>
    <row r="7082" spans="11:11" x14ac:dyDescent="0.25">
      <c r="K7082" s="8" t="e">
        <f t="shared" si="110"/>
        <v>#VALUE!</v>
      </c>
    </row>
    <row r="7083" spans="11:11" x14ac:dyDescent="0.25">
      <c r="K7083" s="8" t="e">
        <f t="shared" si="110"/>
        <v>#VALUE!</v>
      </c>
    </row>
    <row r="7084" spans="11:11" x14ac:dyDescent="0.25">
      <c r="K7084" s="8" t="e">
        <f t="shared" si="110"/>
        <v>#VALUE!</v>
      </c>
    </row>
    <row r="7085" spans="11:11" x14ac:dyDescent="0.25">
      <c r="K7085" s="8" t="e">
        <f t="shared" si="110"/>
        <v>#VALUE!</v>
      </c>
    </row>
    <row r="7086" spans="11:11" x14ac:dyDescent="0.25">
      <c r="K7086" s="8" t="e">
        <f t="shared" si="110"/>
        <v>#VALUE!</v>
      </c>
    </row>
    <row r="7087" spans="11:11" x14ac:dyDescent="0.25">
      <c r="K7087" s="8" t="e">
        <f t="shared" si="110"/>
        <v>#VALUE!</v>
      </c>
    </row>
    <row r="7088" spans="11:11" x14ac:dyDescent="0.25">
      <c r="K7088" s="8" t="e">
        <f t="shared" si="110"/>
        <v>#VALUE!</v>
      </c>
    </row>
    <row r="7089" spans="11:11" x14ac:dyDescent="0.25">
      <c r="K7089" s="8" t="e">
        <f t="shared" si="110"/>
        <v>#VALUE!</v>
      </c>
    </row>
    <row r="7090" spans="11:11" x14ac:dyDescent="0.25">
      <c r="K7090" s="8" t="e">
        <f t="shared" si="110"/>
        <v>#VALUE!</v>
      </c>
    </row>
    <row r="7091" spans="11:11" x14ac:dyDescent="0.25">
      <c r="K7091" s="8" t="e">
        <f t="shared" si="110"/>
        <v>#VALUE!</v>
      </c>
    </row>
    <row r="7092" spans="11:11" x14ac:dyDescent="0.25">
      <c r="K7092" s="8" t="e">
        <f t="shared" si="110"/>
        <v>#VALUE!</v>
      </c>
    </row>
    <row r="7093" spans="11:11" x14ac:dyDescent="0.25">
      <c r="K7093" s="8" t="e">
        <f t="shared" si="110"/>
        <v>#VALUE!</v>
      </c>
    </row>
    <row r="7094" spans="11:11" x14ac:dyDescent="0.25">
      <c r="K7094" s="8" t="e">
        <f t="shared" si="110"/>
        <v>#VALUE!</v>
      </c>
    </row>
    <row r="7095" spans="11:11" x14ac:dyDescent="0.25">
      <c r="K7095" s="8" t="e">
        <f t="shared" si="110"/>
        <v>#VALUE!</v>
      </c>
    </row>
    <row r="7096" spans="11:11" x14ac:dyDescent="0.25">
      <c r="K7096" s="8" t="e">
        <f t="shared" si="110"/>
        <v>#VALUE!</v>
      </c>
    </row>
    <row r="7097" spans="11:11" x14ac:dyDescent="0.25">
      <c r="K7097" s="8" t="e">
        <f t="shared" si="110"/>
        <v>#VALUE!</v>
      </c>
    </row>
    <row r="7098" spans="11:11" x14ac:dyDescent="0.25">
      <c r="K7098" s="8" t="e">
        <f t="shared" si="110"/>
        <v>#VALUE!</v>
      </c>
    </row>
    <row r="7099" spans="11:11" x14ac:dyDescent="0.25">
      <c r="K7099" s="8" t="e">
        <f t="shared" si="110"/>
        <v>#VALUE!</v>
      </c>
    </row>
    <row r="7100" spans="11:11" x14ac:dyDescent="0.25">
      <c r="K7100" s="8" t="e">
        <f t="shared" si="110"/>
        <v>#VALUE!</v>
      </c>
    </row>
    <row r="7101" spans="11:11" x14ac:dyDescent="0.25">
      <c r="K7101" s="8" t="e">
        <f t="shared" si="110"/>
        <v>#VALUE!</v>
      </c>
    </row>
    <row r="7102" spans="11:11" x14ac:dyDescent="0.25">
      <c r="K7102" s="8" t="e">
        <f t="shared" si="110"/>
        <v>#VALUE!</v>
      </c>
    </row>
    <row r="7103" spans="11:11" x14ac:dyDescent="0.25">
      <c r="K7103" s="8" t="e">
        <f t="shared" si="110"/>
        <v>#VALUE!</v>
      </c>
    </row>
    <row r="7104" spans="11:11" x14ac:dyDescent="0.25">
      <c r="K7104" s="8" t="e">
        <f t="shared" si="110"/>
        <v>#VALUE!</v>
      </c>
    </row>
    <row r="7105" spans="11:11" x14ac:dyDescent="0.25">
      <c r="K7105" s="8" t="e">
        <f t="shared" si="110"/>
        <v>#VALUE!</v>
      </c>
    </row>
    <row r="7106" spans="11:11" x14ac:dyDescent="0.25">
      <c r="K7106" s="8" t="e">
        <f t="shared" si="110"/>
        <v>#VALUE!</v>
      </c>
    </row>
    <row r="7107" spans="11:11" x14ac:dyDescent="0.25">
      <c r="K7107" s="8" t="e">
        <f t="shared" ref="K7107:K7170" si="111">LEFT(A7107,FIND("/",A7107)-1)</f>
        <v>#VALUE!</v>
      </c>
    </row>
    <row r="7108" spans="11:11" x14ac:dyDescent="0.25">
      <c r="K7108" s="8" t="e">
        <f t="shared" si="111"/>
        <v>#VALUE!</v>
      </c>
    </row>
    <row r="7109" spans="11:11" x14ac:dyDescent="0.25">
      <c r="K7109" s="8" t="e">
        <f t="shared" si="111"/>
        <v>#VALUE!</v>
      </c>
    </row>
    <row r="7110" spans="11:11" x14ac:dyDescent="0.25">
      <c r="K7110" s="8" t="e">
        <f t="shared" si="111"/>
        <v>#VALUE!</v>
      </c>
    </row>
    <row r="7111" spans="11:11" x14ac:dyDescent="0.25">
      <c r="K7111" s="8" t="e">
        <f t="shared" si="111"/>
        <v>#VALUE!</v>
      </c>
    </row>
    <row r="7112" spans="11:11" x14ac:dyDescent="0.25">
      <c r="K7112" s="8" t="e">
        <f t="shared" si="111"/>
        <v>#VALUE!</v>
      </c>
    </row>
    <row r="7113" spans="11:11" x14ac:dyDescent="0.25">
      <c r="K7113" s="8" t="e">
        <f t="shared" si="111"/>
        <v>#VALUE!</v>
      </c>
    </row>
    <row r="7114" spans="11:11" x14ac:dyDescent="0.25">
      <c r="K7114" s="8" t="e">
        <f t="shared" si="111"/>
        <v>#VALUE!</v>
      </c>
    </row>
    <row r="7115" spans="11:11" x14ac:dyDescent="0.25">
      <c r="K7115" s="8" t="e">
        <f t="shared" si="111"/>
        <v>#VALUE!</v>
      </c>
    </row>
    <row r="7116" spans="11:11" x14ac:dyDescent="0.25">
      <c r="K7116" s="8" t="e">
        <f t="shared" si="111"/>
        <v>#VALUE!</v>
      </c>
    </row>
    <row r="7117" spans="11:11" x14ac:dyDescent="0.25">
      <c r="K7117" s="8" t="e">
        <f t="shared" si="111"/>
        <v>#VALUE!</v>
      </c>
    </row>
    <row r="7118" spans="11:11" x14ac:dyDescent="0.25">
      <c r="K7118" s="8" t="e">
        <f t="shared" si="111"/>
        <v>#VALUE!</v>
      </c>
    </row>
    <row r="7119" spans="11:11" x14ac:dyDescent="0.25">
      <c r="K7119" s="8" t="e">
        <f t="shared" si="111"/>
        <v>#VALUE!</v>
      </c>
    </row>
    <row r="7120" spans="11:11" x14ac:dyDescent="0.25">
      <c r="K7120" s="8" t="e">
        <f t="shared" si="111"/>
        <v>#VALUE!</v>
      </c>
    </row>
    <row r="7121" spans="11:11" x14ac:dyDescent="0.25">
      <c r="K7121" s="8" t="e">
        <f t="shared" si="111"/>
        <v>#VALUE!</v>
      </c>
    </row>
    <row r="7122" spans="11:11" x14ac:dyDescent="0.25">
      <c r="K7122" s="8" t="e">
        <f t="shared" si="111"/>
        <v>#VALUE!</v>
      </c>
    </row>
    <row r="7123" spans="11:11" x14ac:dyDescent="0.25">
      <c r="K7123" s="8" t="e">
        <f t="shared" si="111"/>
        <v>#VALUE!</v>
      </c>
    </row>
    <row r="7124" spans="11:11" x14ac:dyDescent="0.25">
      <c r="K7124" s="8" t="e">
        <f t="shared" si="111"/>
        <v>#VALUE!</v>
      </c>
    </row>
    <row r="7125" spans="11:11" x14ac:dyDescent="0.25">
      <c r="K7125" s="8" t="e">
        <f t="shared" si="111"/>
        <v>#VALUE!</v>
      </c>
    </row>
    <row r="7126" spans="11:11" x14ac:dyDescent="0.25">
      <c r="K7126" s="8" t="e">
        <f t="shared" si="111"/>
        <v>#VALUE!</v>
      </c>
    </row>
    <row r="7127" spans="11:11" x14ac:dyDescent="0.25">
      <c r="K7127" s="8" t="e">
        <f t="shared" si="111"/>
        <v>#VALUE!</v>
      </c>
    </row>
    <row r="7128" spans="11:11" x14ac:dyDescent="0.25">
      <c r="K7128" s="8" t="e">
        <f t="shared" si="111"/>
        <v>#VALUE!</v>
      </c>
    </row>
    <row r="7129" spans="11:11" x14ac:dyDescent="0.25">
      <c r="K7129" s="8" t="e">
        <f t="shared" si="111"/>
        <v>#VALUE!</v>
      </c>
    </row>
    <row r="7130" spans="11:11" x14ac:dyDescent="0.25">
      <c r="K7130" s="8" t="e">
        <f t="shared" si="111"/>
        <v>#VALUE!</v>
      </c>
    </row>
    <row r="7131" spans="11:11" x14ac:dyDescent="0.25">
      <c r="K7131" s="8" t="e">
        <f t="shared" si="111"/>
        <v>#VALUE!</v>
      </c>
    </row>
    <row r="7132" spans="11:11" x14ac:dyDescent="0.25">
      <c r="K7132" s="8" t="e">
        <f t="shared" si="111"/>
        <v>#VALUE!</v>
      </c>
    </row>
    <row r="7133" spans="11:11" x14ac:dyDescent="0.25">
      <c r="K7133" s="8" t="e">
        <f t="shared" si="111"/>
        <v>#VALUE!</v>
      </c>
    </row>
    <row r="7134" spans="11:11" x14ac:dyDescent="0.25">
      <c r="K7134" s="8" t="e">
        <f t="shared" si="111"/>
        <v>#VALUE!</v>
      </c>
    </row>
    <row r="7135" spans="11:11" x14ac:dyDescent="0.25">
      <c r="K7135" s="8" t="e">
        <f t="shared" si="111"/>
        <v>#VALUE!</v>
      </c>
    </row>
    <row r="7136" spans="11:11" x14ac:dyDescent="0.25">
      <c r="K7136" s="8" t="e">
        <f t="shared" si="111"/>
        <v>#VALUE!</v>
      </c>
    </row>
    <row r="7137" spans="11:11" x14ac:dyDescent="0.25">
      <c r="K7137" s="8" t="e">
        <f t="shared" si="111"/>
        <v>#VALUE!</v>
      </c>
    </row>
    <row r="7138" spans="11:11" x14ac:dyDescent="0.25">
      <c r="K7138" s="8" t="e">
        <f t="shared" si="111"/>
        <v>#VALUE!</v>
      </c>
    </row>
    <row r="7139" spans="11:11" x14ac:dyDescent="0.25">
      <c r="K7139" s="8" t="e">
        <f t="shared" si="111"/>
        <v>#VALUE!</v>
      </c>
    </row>
    <row r="7140" spans="11:11" x14ac:dyDescent="0.25">
      <c r="K7140" s="8" t="e">
        <f t="shared" si="111"/>
        <v>#VALUE!</v>
      </c>
    </row>
    <row r="7141" spans="11:11" x14ac:dyDescent="0.25">
      <c r="K7141" s="8" t="e">
        <f t="shared" si="111"/>
        <v>#VALUE!</v>
      </c>
    </row>
    <row r="7142" spans="11:11" x14ac:dyDescent="0.25">
      <c r="K7142" s="8" t="e">
        <f t="shared" si="111"/>
        <v>#VALUE!</v>
      </c>
    </row>
    <row r="7143" spans="11:11" x14ac:dyDescent="0.25">
      <c r="K7143" s="8" t="e">
        <f t="shared" si="111"/>
        <v>#VALUE!</v>
      </c>
    </row>
    <row r="7144" spans="11:11" x14ac:dyDescent="0.25">
      <c r="K7144" s="8" t="e">
        <f t="shared" si="111"/>
        <v>#VALUE!</v>
      </c>
    </row>
    <row r="7145" spans="11:11" x14ac:dyDescent="0.25">
      <c r="K7145" s="8" t="e">
        <f t="shared" si="111"/>
        <v>#VALUE!</v>
      </c>
    </row>
    <row r="7146" spans="11:11" x14ac:dyDescent="0.25">
      <c r="K7146" s="8" t="e">
        <f t="shared" si="111"/>
        <v>#VALUE!</v>
      </c>
    </row>
    <row r="7147" spans="11:11" x14ac:dyDescent="0.25">
      <c r="K7147" s="8" t="e">
        <f t="shared" si="111"/>
        <v>#VALUE!</v>
      </c>
    </row>
    <row r="7148" spans="11:11" x14ac:dyDescent="0.25">
      <c r="K7148" s="8" t="e">
        <f t="shared" si="111"/>
        <v>#VALUE!</v>
      </c>
    </row>
    <row r="7149" spans="11:11" x14ac:dyDescent="0.25">
      <c r="K7149" s="8" t="e">
        <f t="shared" si="111"/>
        <v>#VALUE!</v>
      </c>
    </row>
    <row r="7150" spans="11:11" x14ac:dyDescent="0.25">
      <c r="K7150" s="8" t="e">
        <f t="shared" si="111"/>
        <v>#VALUE!</v>
      </c>
    </row>
    <row r="7151" spans="11:11" x14ac:dyDescent="0.25">
      <c r="K7151" s="8" t="e">
        <f t="shared" si="111"/>
        <v>#VALUE!</v>
      </c>
    </row>
    <row r="7152" spans="11:11" x14ac:dyDescent="0.25">
      <c r="K7152" s="8" t="e">
        <f t="shared" si="111"/>
        <v>#VALUE!</v>
      </c>
    </row>
    <row r="7153" spans="11:11" x14ac:dyDescent="0.25">
      <c r="K7153" s="8" t="e">
        <f t="shared" si="111"/>
        <v>#VALUE!</v>
      </c>
    </row>
    <row r="7154" spans="11:11" x14ac:dyDescent="0.25">
      <c r="K7154" s="8" t="e">
        <f t="shared" si="111"/>
        <v>#VALUE!</v>
      </c>
    </row>
    <row r="7155" spans="11:11" x14ac:dyDescent="0.25">
      <c r="K7155" s="8" t="e">
        <f t="shared" si="111"/>
        <v>#VALUE!</v>
      </c>
    </row>
    <row r="7156" spans="11:11" x14ac:dyDescent="0.25">
      <c r="K7156" s="8" t="e">
        <f t="shared" si="111"/>
        <v>#VALUE!</v>
      </c>
    </row>
    <row r="7157" spans="11:11" x14ac:dyDescent="0.25">
      <c r="K7157" s="8" t="e">
        <f t="shared" si="111"/>
        <v>#VALUE!</v>
      </c>
    </row>
    <row r="7158" spans="11:11" x14ac:dyDescent="0.25">
      <c r="K7158" s="8" t="e">
        <f t="shared" si="111"/>
        <v>#VALUE!</v>
      </c>
    </row>
    <row r="7159" spans="11:11" x14ac:dyDescent="0.25">
      <c r="K7159" s="8" t="e">
        <f t="shared" si="111"/>
        <v>#VALUE!</v>
      </c>
    </row>
    <row r="7160" spans="11:11" x14ac:dyDescent="0.25">
      <c r="K7160" s="8" t="e">
        <f t="shared" si="111"/>
        <v>#VALUE!</v>
      </c>
    </row>
    <row r="7161" spans="11:11" x14ac:dyDescent="0.25">
      <c r="K7161" s="8" t="e">
        <f t="shared" si="111"/>
        <v>#VALUE!</v>
      </c>
    </row>
    <row r="7162" spans="11:11" x14ac:dyDescent="0.25">
      <c r="K7162" s="8" t="e">
        <f t="shared" si="111"/>
        <v>#VALUE!</v>
      </c>
    </row>
    <row r="7163" spans="11:11" x14ac:dyDescent="0.25">
      <c r="K7163" s="8" t="e">
        <f t="shared" si="111"/>
        <v>#VALUE!</v>
      </c>
    </row>
    <row r="7164" spans="11:11" x14ac:dyDescent="0.25">
      <c r="K7164" s="8" t="e">
        <f t="shared" si="111"/>
        <v>#VALUE!</v>
      </c>
    </row>
    <row r="7165" spans="11:11" x14ac:dyDescent="0.25">
      <c r="K7165" s="8" t="e">
        <f t="shared" si="111"/>
        <v>#VALUE!</v>
      </c>
    </row>
    <row r="7166" spans="11:11" x14ac:dyDescent="0.25">
      <c r="K7166" s="8" t="e">
        <f t="shared" si="111"/>
        <v>#VALUE!</v>
      </c>
    </row>
    <row r="7167" spans="11:11" x14ac:dyDescent="0.25">
      <c r="K7167" s="8" t="e">
        <f t="shared" si="111"/>
        <v>#VALUE!</v>
      </c>
    </row>
    <row r="7168" spans="11:11" x14ac:dyDescent="0.25">
      <c r="K7168" s="8" t="e">
        <f t="shared" si="111"/>
        <v>#VALUE!</v>
      </c>
    </row>
    <row r="7169" spans="11:11" x14ac:dyDescent="0.25">
      <c r="K7169" s="8" t="e">
        <f t="shared" si="111"/>
        <v>#VALUE!</v>
      </c>
    </row>
    <row r="7170" spans="11:11" x14ac:dyDescent="0.25">
      <c r="K7170" s="8" t="e">
        <f t="shared" si="111"/>
        <v>#VALUE!</v>
      </c>
    </row>
    <row r="7171" spans="11:11" x14ac:dyDescent="0.25">
      <c r="K7171" s="8" t="e">
        <f t="shared" ref="K7171:K7234" si="112">LEFT(A7171,FIND("/",A7171)-1)</f>
        <v>#VALUE!</v>
      </c>
    </row>
    <row r="7172" spans="11:11" x14ac:dyDescent="0.25">
      <c r="K7172" s="8" t="e">
        <f t="shared" si="112"/>
        <v>#VALUE!</v>
      </c>
    </row>
    <row r="7173" spans="11:11" x14ac:dyDescent="0.25">
      <c r="K7173" s="8" t="e">
        <f t="shared" si="112"/>
        <v>#VALUE!</v>
      </c>
    </row>
    <row r="7174" spans="11:11" x14ac:dyDescent="0.25">
      <c r="K7174" s="8" t="e">
        <f t="shared" si="112"/>
        <v>#VALUE!</v>
      </c>
    </row>
    <row r="7175" spans="11:11" x14ac:dyDescent="0.25">
      <c r="K7175" s="8" t="e">
        <f t="shared" si="112"/>
        <v>#VALUE!</v>
      </c>
    </row>
    <row r="7176" spans="11:11" x14ac:dyDescent="0.25">
      <c r="K7176" s="8" t="e">
        <f t="shared" si="112"/>
        <v>#VALUE!</v>
      </c>
    </row>
    <row r="7177" spans="11:11" x14ac:dyDescent="0.25">
      <c r="K7177" s="8" t="e">
        <f t="shared" si="112"/>
        <v>#VALUE!</v>
      </c>
    </row>
    <row r="7178" spans="11:11" x14ac:dyDescent="0.25">
      <c r="K7178" s="8" t="e">
        <f t="shared" si="112"/>
        <v>#VALUE!</v>
      </c>
    </row>
    <row r="7179" spans="11:11" x14ac:dyDescent="0.25">
      <c r="K7179" s="8" t="e">
        <f t="shared" si="112"/>
        <v>#VALUE!</v>
      </c>
    </row>
    <row r="7180" spans="11:11" x14ac:dyDescent="0.25">
      <c r="K7180" s="8" t="e">
        <f t="shared" si="112"/>
        <v>#VALUE!</v>
      </c>
    </row>
    <row r="7181" spans="11:11" x14ac:dyDescent="0.25">
      <c r="K7181" s="8" t="e">
        <f t="shared" si="112"/>
        <v>#VALUE!</v>
      </c>
    </row>
    <row r="7182" spans="11:11" x14ac:dyDescent="0.25">
      <c r="K7182" s="8" t="e">
        <f t="shared" si="112"/>
        <v>#VALUE!</v>
      </c>
    </row>
    <row r="7183" spans="11:11" x14ac:dyDescent="0.25">
      <c r="K7183" s="8" t="e">
        <f t="shared" si="112"/>
        <v>#VALUE!</v>
      </c>
    </row>
    <row r="7184" spans="11:11" x14ac:dyDescent="0.25">
      <c r="K7184" s="8" t="e">
        <f t="shared" si="112"/>
        <v>#VALUE!</v>
      </c>
    </row>
    <row r="7185" spans="11:11" x14ac:dyDescent="0.25">
      <c r="K7185" s="8" t="e">
        <f t="shared" si="112"/>
        <v>#VALUE!</v>
      </c>
    </row>
    <row r="7186" spans="11:11" x14ac:dyDescent="0.25">
      <c r="K7186" s="8" t="e">
        <f t="shared" si="112"/>
        <v>#VALUE!</v>
      </c>
    </row>
    <row r="7187" spans="11:11" x14ac:dyDescent="0.25">
      <c r="K7187" s="8" t="e">
        <f t="shared" si="112"/>
        <v>#VALUE!</v>
      </c>
    </row>
    <row r="7188" spans="11:11" x14ac:dyDescent="0.25">
      <c r="K7188" s="8" t="e">
        <f t="shared" si="112"/>
        <v>#VALUE!</v>
      </c>
    </row>
    <row r="7189" spans="11:11" x14ac:dyDescent="0.25">
      <c r="K7189" s="8" t="e">
        <f t="shared" si="112"/>
        <v>#VALUE!</v>
      </c>
    </row>
    <row r="7190" spans="11:11" x14ac:dyDescent="0.25">
      <c r="K7190" s="8" t="e">
        <f t="shared" si="112"/>
        <v>#VALUE!</v>
      </c>
    </row>
    <row r="7191" spans="11:11" x14ac:dyDescent="0.25">
      <c r="K7191" s="8" t="e">
        <f t="shared" si="112"/>
        <v>#VALUE!</v>
      </c>
    </row>
    <row r="7192" spans="11:11" x14ac:dyDescent="0.25">
      <c r="K7192" s="8" t="e">
        <f t="shared" si="112"/>
        <v>#VALUE!</v>
      </c>
    </row>
    <row r="7193" spans="11:11" x14ac:dyDescent="0.25">
      <c r="K7193" s="8" t="e">
        <f t="shared" si="112"/>
        <v>#VALUE!</v>
      </c>
    </row>
    <row r="7194" spans="11:11" x14ac:dyDescent="0.25">
      <c r="K7194" s="8" t="e">
        <f t="shared" si="112"/>
        <v>#VALUE!</v>
      </c>
    </row>
    <row r="7195" spans="11:11" x14ac:dyDescent="0.25">
      <c r="K7195" s="8" t="e">
        <f t="shared" si="112"/>
        <v>#VALUE!</v>
      </c>
    </row>
    <row r="7196" spans="11:11" x14ac:dyDescent="0.25">
      <c r="K7196" s="8" t="e">
        <f t="shared" si="112"/>
        <v>#VALUE!</v>
      </c>
    </row>
    <row r="7197" spans="11:11" x14ac:dyDescent="0.25">
      <c r="K7197" s="8" t="e">
        <f t="shared" si="112"/>
        <v>#VALUE!</v>
      </c>
    </row>
    <row r="7198" spans="11:11" x14ac:dyDescent="0.25">
      <c r="K7198" s="8" t="e">
        <f t="shared" si="112"/>
        <v>#VALUE!</v>
      </c>
    </row>
    <row r="7199" spans="11:11" x14ac:dyDescent="0.25">
      <c r="K7199" s="8" t="e">
        <f t="shared" si="112"/>
        <v>#VALUE!</v>
      </c>
    </row>
    <row r="7200" spans="11:11" x14ac:dyDescent="0.25">
      <c r="K7200" s="8" t="e">
        <f t="shared" si="112"/>
        <v>#VALUE!</v>
      </c>
    </row>
    <row r="7201" spans="11:11" x14ac:dyDescent="0.25">
      <c r="K7201" s="8" t="e">
        <f t="shared" si="112"/>
        <v>#VALUE!</v>
      </c>
    </row>
    <row r="7202" spans="11:11" x14ac:dyDescent="0.25">
      <c r="K7202" s="8" t="e">
        <f t="shared" si="112"/>
        <v>#VALUE!</v>
      </c>
    </row>
    <row r="7203" spans="11:11" x14ac:dyDescent="0.25">
      <c r="K7203" s="8" t="e">
        <f t="shared" si="112"/>
        <v>#VALUE!</v>
      </c>
    </row>
    <row r="7204" spans="11:11" x14ac:dyDescent="0.25">
      <c r="K7204" s="8" t="e">
        <f t="shared" si="112"/>
        <v>#VALUE!</v>
      </c>
    </row>
    <row r="7205" spans="11:11" x14ac:dyDescent="0.25">
      <c r="K7205" s="8" t="e">
        <f t="shared" si="112"/>
        <v>#VALUE!</v>
      </c>
    </row>
    <row r="7206" spans="11:11" x14ac:dyDescent="0.25">
      <c r="K7206" s="8" t="e">
        <f t="shared" si="112"/>
        <v>#VALUE!</v>
      </c>
    </row>
    <row r="7207" spans="11:11" x14ac:dyDescent="0.25">
      <c r="K7207" s="8" t="e">
        <f t="shared" si="112"/>
        <v>#VALUE!</v>
      </c>
    </row>
    <row r="7208" spans="11:11" x14ac:dyDescent="0.25">
      <c r="K7208" s="8" t="e">
        <f t="shared" si="112"/>
        <v>#VALUE!</v>
      </c>
    </row>
    <row r="7209" spans="11:11" x14ac:dyDescent="0.25">
      <c r="K7209" s="8" t="e">
        <f t="shared" si="112"/>
        <v>#VALUE!</v>
      </c>
    </row>
    <row r="7210" spans="11:11" x14ac:dyDescent="0.25">
      <c r="K7210" s="8" t="e">
        <f t="shared" si="112"/>
        <v>#VALUE!</v>
      </c>
    </row>
    <row r="7211" spans="11:11" x14ac:dyDescent="0.25">
      <c r="K7211" s="8" t="e">
        <f t="shared" si="112"/>
        <v>#VALUE!</v>
      </c>
    </row>
    <row r="7212" spans="11:11" x14ac:dyDescent="0.25">
      <c r="K7212" s="8" t="e">
        <f t="shared" si="112"/>
        <v>#VALUE!</v>
      </c>
    </row>
    <row r="7213" spans="11:11" x14ac:dyDescent="0.25">
      <c r="K7213" s="8" t="e">
        <f t="shared" si="112"/>
        <v>#VALUE!</v>
      </c>
    </row>
    <row r="7214" spans="11:11" x14ac:dyDescent="0.25">
      <c r="K7214" s="8" t="e">
        <f t="shared" si="112"/>
        <v>#VALUE!</v>
      </c>
    </row>
    <row r="7215" spans="11:11" x14ac:dyDescent="0.25">
      <c r="K7215" s="8" t="e">
        <f t="shared" si="112"/>
        <v>#VALUE!</v>
      </c>
    </row>
    <row r="7216" spans="11:11" x14ac:dyDescent="0.25">
      <c r="K7216" s="8" t="e">
        <f t="shared" si="112"/>
        <v>#VALUE!</v>
      </c>
    </row>
    <row r="7217" spans="11:11" x14ac:dyDescent="0.25">
      <c r="K7217" s="8" t="e">
        <f t="shared" si="112"/>
        <v>#VALUE!</v>
      </c>
    </row>
    <row r="7218" spans="11:11" x14ac:dyDescent="0.25">
      <c r="K7218" s="8" t="e">
        <f t="shared" si="112"/>
        <v>#VALUE!</v>
      </c>
    </row>
    <row r="7219" spans="11:11" x14ac:dyDescent="0.25">
      <c r="K7219" s="8" t="e">
        <f t="shared" si="112"/>
        <v>#VALUE!</v>
      </c>
    </row>
    <row r="7220" spans="11:11" x14ac:dyDescent="0.25">
      <c r="K7220" s="8" t="e">
        <f t="shared" si="112"/>
        <v>#VALUE!</v>
      </c>
    </row>
    <row r="7221" spans="11:11" x14ac:dyDescent="0.25">
      <c r="K7221" s="8" t="e">
        <f t="shared" si="112"/>
        <v>#VALUE!</v>
      </c>
    </row>
    <row r="7222" spans="11:11" x14ac:dyDescent="0.25">
      <c r="K7222" s="8" t="e">
        <f t="shared" si="112"/>
        <v>#VALUE!</v>
      </c>
    </row>
    <row r="7223" spans="11:11" x14ac:dyDescent="0.25">
      <c r="K7223" s="8" t="e">
        <f t="shared" si="112"/>
        <v>#VALUE!</v>
      </c>
    </row>
    <row r="7224" spans="11:11" x14ac:dyDescent="0.25">
      <c r="K7224" s="8" t="e">
        <f t="shared" si="112"/>
        <v>#VALUE!</v>
      </c>
    </row>
    <row r="7225" spans="11:11" x14ac:dyDescent="0.25">
      <c r="K7225" s="8" t="e">
        <f t="shared" si="112"/>
        <v>#VALUE!</v>
      </c>
    </row>
    <row r="7226" spans="11:11" x14ac:dyDescent="0.25">
      <c r="K7226" s="8" t="e">
        <f t="shared" si="112"/>
        <v>#VALUE!</v>
      </c>
    </row>
    <row r="7227" spans="11:11" x14ac:dyDescent="0.25">
      <c r="K7227" s="8" t="e">
        <f t="shared" si="112"/>
        <v>#VALUE!</v>
      </c>
    </row>
    <row r="7228" spans="11:11" x14ac:dyDescent="0.25">
      <c r="K7228" s="8" t="e">
        <f t="shared" si="112"/>
        <v>#VALUE!</v>
      </c>
    </row>
    <row r="7229" spans="11:11" x14ac:dyDescent="0.25">
      <c r="K7229" s="8" t="e">
        <f t="shared" si="112"/>
        <v>#VALUE!</v>
      </c>
    </row>
    <row r="7230" spans="11:11" x14ac:dyDescent="0.25">
      <c r="K7230" s="8" t="e">
        <f t="shared" si="112"/>
        <v>#VALUE!</v>
      </c>
    </row>
    <row r="7231" spans="11:11" x14ac:dyDescent="0.25">
      <c r="K7231" s="8" t="e">
        <f t="shared" si="112"/>
        <v>#VALUE!</v>
      </c>
    </row>
    <row r="7232" spans="11:11" x14ac:dyDescent="0.25">
      <c r="K7232" s="8" t="e">
        <f t="shared" si="112"/>
        <v>#VALUE!</v>
      </c>
    </row>
    <row r="7233" spans="11:11" x14ac:dyDescent="0.25">
      <c r="K7233" s="8" t="e">
        <f t="shared" si="112"/>
        <v>#VALUE!</v>
      </c>
    </row>
    <row r="7234" spans="11:11" x14ac:dyDescent="0.25">
      <c r="K7234" s="8" t="e">
        <f t="shared" si="112"/>
        <v>#VALUE!</v>
      </c>
    </row>
    <row r="7235" spans="11:11" x14ac:dyDescent="0.25">
      <c r="K7235" s="8" t="e">
        <f t="shared" ref="K7235:K7298" si="113">LEFT(A7235,FIND("/",A7235)-1)</f>
        <v>#VALUE!</v>
      </c>
    </row>
    <row r="7236" spans="11:11" x14ac:dyDescent="0.25">
      <c r="K7236" s="8" t="e">
        <f t="shared" si="113"/>
        <v>#VALUE!</v>
      </c>
    </row>
    <row r="7237" spans="11:11" x14ac:dyDescent="0.25">
      <c r="K7237" s="8" t="e">
        <f t="shared" si="113"/>
        <v>#VALUE!</v>
      </c>
    </row>
    <row r="7238" spans="11:11" x14ac:dyDescent="0.25">
      <c r="K7238" s="8" t="e">
        <f t="shared" si="113"/>
        <v>#VALUE!</v>
      </c>
    </row>
    <row r="7239" spans="11:11" x14ac:dyDescent="0.25">
      <c r="K7239" s="8" t="e">
        <f t="shared" si="113"/>
        <v>#VALUE!</v>
      </c>
    </row>
    <row r="7240" spans="11:11" x14ac:dyDescent="0.25">
      <c r="K7240" s="8" t="e">
        <f t="shared" si="113"/>
        <v>#VALUE!</v>
      </c>
    </row>
    <row r="7241" spans="11:11" x14ac:dyDescent="0.25">
      <c r="K7241" s="8" t="e">
        <f t="shared" si="113"/>
        <v>#VALUE!</v>
      </c>
    </row>
    <row r="7242" spans="11:11" x14ac:dyDescent="0.25">
      <c r="K7242" s="8" t="e">
        <f t="shared" si="113"/>
        <v>#VALUE!</v>
      </c>
    </row>
    <row r="7243" spans="11:11" x14ac:dyDescent="0.25">
      <c r="K7243" s="8" t="e">
        <f t="shared" si="113"/>
        <v>#VALUE!</v>
      </c>
    </row>
    <row r="7244" spans="11:11" x14ac:dyDescent="0.25">
      <c r="K7244" s="8" t="e">
        <f t="shared" si="113"/>
        <v>#VALUE!</v>
      </c>
    </row>
    <row r="7245" spans="11:11" x14ac:dyDescent="0.25">
      <c r="K7245" s="8" t="e">
        <f t="shared" si="113"/>
        <v>#VALUE!</v>
      </c>
    </row>
    <row r="7246" spans="11:11" x14ac:dyDescent="0.25">
      <c r="K7246" s="8" t="e">
        <f t="shared" si="113"/>
        <v>#VALUE!</v>
      </c>
    </row>
    <row r="7247" spans="11:11" x14ac:dyDescent="0.25">
      <c r="K7247" s="8" t="e">
        <f t="shared" si="113"/>
        <v>#VALUE!</v>
      </c>
    </row>
    <row r="7248" spans="11:11" x14ac:dyDescent="0.25">
      <c r="K7248" s="8" t="e">
        <f t="shared" si="113"/>
        <v>#VALUE!</v>
      </c>
    </row>
    <row r="7249" spans="11:11" x14ac:dyDescent="0.25">
      <c r="K7249" s="8" t="e">
        <f t="shared" si="113"/>
        <v>#VALUE!</v>
      </c>
    </row>
    <row r="7250" spans="11:11" x14ac:dyDescent="0.25">
      <c r="K7250" s="8" t="e">
        <f t="shared" si="113"/>
        <v>#VALUE!</v>
      </c>
    </row>
    <row r="7251" spans="11:11" x14ac:dyDescent="0.25">
      <c r="K7251" s="8" t="e">
        <f t="shared" si="113"/>
        <v>#VALUE!</v>
      </c>
    </row>
    <row r="7252" spans="11:11" x14ac:dyDescent="0.25">
      <c r="K7252" s="8" t="e">
        <f t="shared" si="113"/>
        <v>#VALUE!</v>
      </c>
    </row>
    <row r="7253" spans="11:11" x14ac:dyDescent="0.25">
      <c r="K7253" s="8" t="e">
        <f t="shared" si="113"/>
        <v>#VALUE!</v>
      </c>
    </row>
    <row r="7254" spans="11:11" x14ac:dyDescent="0.25">
      <c r="K7254" s="8" t="e">
        <f t="shared" si="113"/>
        <v>#VALUE!</v>
      </c>
    </row>
    <row r="7255" spans="11:11" x14ac:dyDescent="0.25">
      <c r="K7255" s="8" t="e">
        <f t="shared" si="113"/>
        <v>#VALUE!</v>
      </c>
    </row>
    <row r="7256" spans="11:11" x14ac:dyDescent="0.25">
      <c r="K7256" s="8" t="e">
        <f t="shared" si="113"/>
        <v>#VALUE!</v>
      </c>
    </row>
    <row r="7257" spans="11:11" x14ac:dyDescent="0.25">
      <c r="K7257" s="8" t="e">
        <f t="shared" si="113"/>
        <v>#VALUE!</v>
      </c>
    </row>
    <row r="7258" spans="11:11" x14ac:dyDescent="0.25">
      <c r="K7258" s="8" t="e">
        <f t="shared" si="113"/>
        <v>#VALUE!</v>
      </c>
    </row>
    <row r="7259" spans="11:11" x14ac:dyDescent="0.25">
      <c r="K7259" s="8" t="e">
        <f t="shared" si="113"/>
        <v>#VALUE!</v>
      </c>
    </row>
    <row r="7260" spans="11:11" x14ac:dyDescent="0.25">
      <c r="K7260" s="8" t="e">
        <f t="shared" si="113"/>
        <v>#VALUE!</v>
      </c>
    </row>
    <row r="7261" spans="11:11" x14ac:dyDescent="0.25">
      <c r="K7261" s="8" t="e">
        <f t="shared" si="113"/>
        <v>#VALUE!</v>
      </c>
    </row>
    <row r="7262" spans="11:11" x14ac:dyDescent="0.25">
      <c r="K7262" s="8" t="e">
        <f t="shared" si="113"/>
        <v>#VALUE!</v>
      </c>
    </row>
    <row r="7263" spans="11:11" x14ac:dyDescent="0.25">
      <c r="K7263" s="8" t="e">
        <f t="shared" si="113"/>
        <v>#VALUE!</v>
      </c>
    </row>
    <row r="7264" spans="11:11" x14ac:dyDescent="0.25">
      <c r="K7264" s="8" t="e">
        <f t="shared" si="113"/>
        <v>#VALUE!</v>
      </c>
    </row>
    <row r="7265" spans="11:11" x14ac:dyDescent="0.25">
      <c r="K7265" s="8" t="e">
        <f t="shared" si="113"/>
        <v>#VALUE!</v>
      </c>
    </row>
    <row r="7266" spans="11:11" x14ac:dyDescent="0.25">
      <c r="K7266" s="8" t="e">
        <f t="shared" si="113"/>
        <v>#VALUE!</v>
      </c>
    </row>
    <row r="7267" spans="11:11" x14ac:dyDescent="0.25">
      <c r="K7267" s="8" t="e">
        <f t="shared" si="113"/>
        <v>#VALUE!</v>
      </c>
    </row>
    <row r="7268" spans="11:11" x14ac:dyDescent="0.25">
      <c r="K7268" s="8" t="e">
        <f t="shared" si="113"/>
        <v>#VALUE!</v>
      </c>
    </row>
    <row r="7269" spans="11:11" x14ac:dyDescent="0.25">
      <c r="K7269" s="8" t="e">
        <f t="shared" si="113"/>
        <v>#VALUE!</v>
      </c>
    </row>
    <row r="7270" spans="11:11" x14ac:dyDescent="0.25">
      <c r="K7270" s="8" t="e">
        <f t="shared" si="113"/>
        <v>#VALUE!</v>
      </c>
    </row>
    <row r="7271" spans="11:11" x14ac:dyDescent="0.25">
      <c r="K7271" s="8" t="e">
        <f t="shared" si="113"/>
        <v>#VALUE!</v>
      </c>
    </row>
    <row r="7272" spans="11:11" x14ac:dyDescent="0.25">
      <c r="K7272" s="8" t="e">
        <f t="shared" si="113"/>
        <v>#VALUE!</v>
      </c>
    </row>
    <row r="7273" spans="11:11" x14ac:dyDescent="0.25">
      <c r="K7273" s="8" t="e">
        <f t="shared" si="113"/>
        <v>#VALUE!</v>
      </c>
    </row>
    <row r="7274" spans="11:11" x14ac:dyDescent="0.25">
      <c r="K7274" s="8" t="e">
        <f t="shared" si="113"/>
        <v>#VALUE!</v>
      </c>
    </row>
    <row r="7275" spans="11:11" x14ac:dyDescent="0.25">
      <c r="K7275" s="8" t="e">
        <f t="shared" si="113"/>
        <v>#VALUE!</v>
      </c>
    </row>
    <row r="7276" spans="11:11" x14ac:dyDescent="0.25">
      <c r="K7276" s="8" t="e">
        <f t="shared" si="113"/>
        <v>#VALUE!</v>
      </c>
    </row>
    <row r="7277" spans="11:11" x14ac:dyDescent="0.25">
      <c r="K7277" s="8" t="e">
        <f t="shared" si="113"/>
        <v>#VALUE!</v>
      </c>
    </row>
    <row r="7278" spans="11:11" x14ac:dyDescent="0.25">
      <c r="K7278" s="8" t="e">
        <f t="shared" si="113"/>
        <v>#VALUE!</v>
      </c>
    </row>
    <row r="7279" spans="11:11" x14ac:dyDescent="0.25">
      <c r="K7279" s="8" t="e">
        <f t="shared" si="113"/>
        <v>#VALUE!</v>
      </c>
    </row>
    <row r="7280" spans="11:11" x14ac:dyDescent="0.25">
      <c r="K7280" s="8" t="e">
        <f t="shared" si="113"/>
        <v>#VALUE!</v>
      </c>
    </row>
    <row r="7281" spans="11:11" x14ac:dyDescent="0.25">
      <c r="K7281" s="8" t="e">
        <f t="shared" si="113"/>
        <v>#VALUE!</v>
      </c>
    </row>
    <row r="7282" spans="11:11" x14ac:dyDescent="0.25">
      <c r="K7282" s="8" t="e">
        <f t="shared" si="113"/>
        <v>#VALUE!</v>
      </c>
    </row>
    <row r="7283" spans="11:11" x14ac:dyDescent="0.25">
      <c r="K7283" s="8" t="e">
        <f t="shared" si="113"/>
        <v>#VALUE!</v>
      </c>
    </row>
    <row r="7284" spans="11:11" x14ac:dyDescent="0.25">
      <c r="K7284" s="8" t="e">
        <f t="shared" si="113"/>
        <v>#VALUE!</v>
      </c>
    </row>
    <row r="7285" spans="11:11" x14ac:dyDescent="0.25">
      <c r="K7285" s="8" t="e">
        <f t="shared" si="113"/>
        <v>#VALUE!</v>
      </c>
    </row>
    <row r="7286" spans="11:11" x14ac:dyDescent="0.25">
      <c r="K7286" s="8" t="e">
        <f t="shared" si="113"/>
        <v>#VALUE!</v>
      </c>
    </row>
    <row r="7287" spans="11:11" x14ac:dyDescent="0.25">
      <c r="K7287" s="8" t="e">
        <f t="shared" si="113"/>
        <v>#VALUE!</v>
      </c>
    </row>
    <row r="7288" spans="11:11" x14ac:dyDescent="0.25">
      <c r="K7288" s="8" t="e">
        <f t="shared" si="113"/>
        <v>#VALUE!</v>
      </c>
    </row>
    <row r="7289" spans="11:11" x14ac:dyDescent="0.25">
      <c r="K7289" s="8" t="e">
        <f t="shared" si="113"/>
        <v>#VALUE!</v>
      </c>
    </row>
    <row r="7290" spans="11:11" x14ac:dyDescent="0.25">
      <c r="K7290" s="8" t="e">
        <f t="shared" si="113"/>
        <v>#VALUE!</v>
      </c>
    </row>
    <row r="7291" spans="11:11" x14ac:dyDescent="0.25">
      <c r="K7291" s="8" t="e">
        <f t="shared" si="113"/>
        <v>#VALUE!</v>
      </c>
    </row>
    <row r="7292" spans="11:11" x14ac:dyDescent="0.25">
      <c r="K7292" s="8" t="e">
        <f t="shared" si="113"/>
        <v>#VALUE!</v>
      </c>
    </row>
    <row r="7293" spans="11:11" x14ac:dyDescent="0.25">
      <c r="K7293" s="8" t="e">
        <f t="shared" si="113"/>
        <v>#VALUE!</v>
      </c>
    </row>
    <row r="7294" spans="11:11" x14ac:dyDescent="0.25">
      <c r="K7294" s="8" t="e">
        <f t="shared" si="113"/>
        <v>#VALUE!</v>
      </c>
    </row>
    <row r="7295" spans="11:11" x14ac:dyDescent="0.25">
      <c r="K7295" s="8" t="e">
        <f t="shared" si="113"/>
        <v>#VALUE!</v>
      </c>
    </row>
    <row r="7296" spans="11:11" x14ac:dyDescent="0.25">
      <c r="K7296" s="8" t="e">
        <f t="shared" si="113"/>
        <v>#VALUE!</v>
      </c>
    </row>
    <row r="7297" spans="11:11" x14ac:dyDescent="0.25">
      <c r="K7297" s="8" t="e">
        <f t="shared" si="113"/>
        <v>#VALUE!</v>
      </c>
    </row>
    <row r="7298" spans="11:11" x14ac:dyDescent="0.25">
      <c r="K7298" s="8" t="e">
        <f t="shared" si="113"/>
        <v>#VALUE!</v>
      </c>
    </row>
    <row r="7299" spans="11:11" x14ac:dyDescent="0.25">
      <c r="K7299" s="8" t="e">
        <f t="shared" ref="K7299:K7362" si="114">LEFT(A7299,FIND("/",A7299)-1)</f>
        <v>#VALUE!</v>
      </c>
    </row>
    <row r="7300" spans="11:11" x14ac:dyDescent="0.25">
      <c r="K7300" s="8" t="e">
        <f t="shared" si="114"/>
        <v>#VALUE!</v>
      </c>
    </row>
    <row r="7301" spans="11:11" x14ac:dyDescent="0.25">
      <c r="K7301" s="8" t="e">
        <f t="shared" si="114"/>
        <v>#VALUE!</v>
      </c>
    </row>
    <row r="7302" spans="11:11" x14ac:dyDescent="0.25">
      <c r="K7302" s="8" t="e">
        <f t="shared" si="114"/>
        <v>#VALUE!</v>
      </c>
    </row>
    <row r="7303" spans="11:11" x14ac:dyDescent="0.25">
      <c r="K7303" s="8" t="e">
        <f t="shared" si="114"/>
        <v>#VALUE!</v>
      </c>
    </row>
    <row r="7304" spans="11:11" x14ac:dyDescent="0.25">
      <c r="K7304" s="8" t="e">
        <f t="shared" si="114"/>
        <v>#VALUE!</v>
      </c>
    </row>
    <row r="7305" spans="11:11" x14ac:dyDescent="0.25">
      <c r="K7305" s="8" t="e">
        <f t="shared" si="114"/>
        <v>#VALUE!</v>
      </c>
    </row>
    <row r="7306" spans="11:11" x14ac:dyDescent="0.25">
      <c r="K7306" s="8" t="e">
        <f t="shared" si="114"/>
        <v>#VALUE!</v>
      </c>
    </row>
    <row r="7307" spans="11:11" x14ac:dyDescent="0.25">
      <c r="K7307" s="8" t="e">
        <f t="shared" si="114"/>
        <v>#VALUE!</v>
      </c>
    </row>
    <row r="7308" spans="11:11" x14ac:dyDescent="0.25">
      <c r="K7308" s="8" t="e">
        <f t="shared" si="114"/>
        <v>#VALUE!</v>
      </c>
    </row>
    <row r="7309" spans="11:11" x14ac:dyDescent="0.25">
      <c r="K7309" s="8" t="e">
        <f t="shared" si="114"/>
        <v>#VALUE!</v>
      </c>
    </row>
    <row r="7310" spans="11:11" x14ac:dyDescent="0.25">
      <c r="K7310" s="8" t="e">
        <f t="shared" si="114"/>
        <v>#VALUE!</v>
      </c>
    </row>
    <row r="7311" spans="11:11" x14ac:dyDescent="0.25">
      <c r="K7311" s="8" t="e">
        <f t="shared" si="114"/>
        <v>#VALUE!</v>
      </c>
    </row>
    <row r="7312" spans="11:11" x14ac:dyDescent="0.25">
      <c r="K7312" s="8" t="e">
        <f t="shared" si="114"/>
        <v>#VALUE!</v>
      </c>
    </row>
    <row r="7313" spans="11:11" x14ac:dyDescent="0.25">
      <c r="K7313" s="8" t="e">
        <f t="shared" si="114"/>
        <v>#VALUE!</v>
      </c>
    </row>
    <row r="7314" spans="11:11" x14ac:dyDescent="0.25">
      <c r="K7314" s="8" t="e">
        <f t="shared" si="114"/>
        <v>#VALUE!</v>
      </c>
    </row>
    <row r="7315" spans="11:11" x14ac:dyDescent="0.25">
      <c r="K7315" s="8" t="e">
        <f t="shared" si="114"/>
        <v>#VALUE!</v>
      </c>
    </row>
    <row r="7316" spans="11:11" x14ac:dyDescent="0.25">
      <c r="K7316" s="8" t="e">
        <f t="shared" si="114"/>
        <v>#VALUE!</v>
      </c>
    </row>
    <row r="7317" spans="11:11" x14ac:dyDescent="0.25">
      <c r="K7317" s="8" t="e">
        <f t="shared" si="114"/>
        <v>#VALUE!</v>
      </c>
    </row>
    <row r="7318" spans="11:11" x14ac:dyDescent="0.25">
      <c r="K7318" s="8" t="e">
        <f t="shared" si="114"/>
        <v>#VALUE!</v>
      </c>
    </row>
    <row r="7319" spans="11:11" x14ac:dyDescent="0.25">
      <c r="K7319" s="8" t="e">
        <f t="shared" si="114"/>
        <v>#VALUE!</v>
      </c>
    </row>
    <row r="7320" spans="11:11" x14ac:dyDescent="0.25">
      <c r="K7320" s="8" t="e">
        <f t="shared" si="114"/>
        <v>#VALUE!</v>
      </c>
    </row>
    <row r="7321" spans="11:11" x14ac:dyDescent="0.25">
      <c r="K7321" s="8" t="e">
        <f t="shared" si="114"/>
        <v>#VALUE!</v>
      </c>
    </row>
    <row r="7322" spans="11:11" x14ac:dyDescent="0.25">
      <c r="K7322" s="8" t="e">
        <f t="shared" si="114"/>
        <v>#VALUE!</v>
      </c>
    </row>
    <row r="7323" spans="11:11" x14ac:dyDescent="0.25">
      <c r="K7323" s="8" t="e">
        <f t="shared" si="114"/>
        <v>#VALUE!</v>
      </c>
    </row>
    <row r="7324" spans="11:11" x14ac:dyDescent="0.25">
      <c r="K7324" s="8" t="e">
        <f t="shared" si="114"/>
        <v>#VALUE!</v>
      </c>
    </row>
    <row r="7325" spans="11:11" x14ac:dyDescent="0.25">
      <c r="K7325" s="8" t="e">
        <f t="shared" si="114"/>
        <v>#VALUE!</v>
      </c>
    </row>
    <row r="7326" spans="11:11" x14ac:dyDescent="0.25">
      <c r="K7326" s="8" t="e">
        <f t="shared" si="114"/>
        <v>#VALUE!</v>
      </c>
    </row>
    <row r="7327" spans="11:11" x14ac:dyDescent="0.25">
      <c r="K7327" s="8" t="e">
        <f t="shared" si="114"/>
        <v>#VALUE!</v>
      </c>
    </row>
    <row r="7328" spans="11:11" x14ac:dyDescent="0.25">
      <c r="K7328" s="8" t="e">
        <f t="shared" si="114"/>
        <v>#VALUE!</v>
      </c>
    </row>
    <row r="7329" spans="11:11" x14ac:dyDescent="0.25">
      <c r="K7329" s="8" t="e">
        <f t="shared" si="114"/>
        <v>#VALUE!</v>
      </c>
    </row>
    <row r="7330" spans="11:11" x14ac:dyDescent="0.25">
      <c r="K7330" s="8" t="e">
        <f t="shared" si="114"/>
        <v>#VALUE!</v>
      </c>
    </row>
    <row r="7331" spans="11:11" x14ac:dyDescent="0.25">
      <c r="K7331" s="8" t="e">
        <f t="shared" si="114"/>
        <v>#VALUE!</v>
      </c>
    </row>
    <row r="7332" spans="11:11" x14ac:dyDescent="0.25">
      <c r="K7332" s="8" t="e">
        <f t="shared" si="114"/>
        <v>#VALUE!</v>
      </c>
    </row>
    <row r="7333" spans="11:11" x14ac:dyDescent="0.25">
      <c r="K7333" s="8" t="e">
        <f t="shared" si="114"/>
        <v>#VALUE!</v>
      </c>
    </row>
    <row r="7334" spans="11:11" x14ac:dyDescent="0.25">
      <c r="K7334" s="8" t="e">
        <f t="shared" si="114"/>
        <v>#VALUE!</v>
      </c>
    </row>
    <row r="7335" spans="11:11" x14ac:dyDescent="0.25">
      <c r="K7335" s="8" t="e">
        <f t="shared" si="114"/>
        <v>#VALUE!</v>
      </c>
    </row>
    <row r="7336" spans="11:11" x14ac:dyDescent="0.25">
      <c r="K7336" s="8" t="e">
        <f t="shared" si="114"/>
        <v>#VALUE!</v>
      </c>
    </row>
    <row r="7337" spans="11:11" x14ac:dyDescent="0.25">
      <c r="K7337" s="8" t="e">
        <f t="shared" si="114"/>
        <v>#VALUE!</v>
      </c>
    </row>
    <row r="7338" spans="11:11" x14ac:dyDescent="0.25">
      <c r="K7338" s="8" t="e">
        <f t="shared" si="114"/>
        <v>#VALUE!</v>
      </c>
    </row>
    <row r="7339" spans="11:11" x14ac:dyDescent="0.25">
      <c r="K7339" s="8" t="e">
        <f t="shared" si="114"/>
        <v>#VALUE!</v>
      </c>
    </row>
    <row r="7340" spans="11:11" x14ac:dyDescent="0.25">
      <c r="K7340" s="8" t="e">
        <f t="shared" si="114"/>
        <v>#VALUE!</v>
      </c>
    </row>
    <row r="7341" spans="11:11" x14ac:dyDescent="0.25">
      <c r="K7341" s="8" t="e">
        <f t="shared" si="114"/>
        <v>#VALUE!</v>
      </c>
    </row>
    <row r="7342" spans="11:11" x14ac:dyDescent="0.25">
      <c r="K7342" s="8" t="e">
        <f t="shared" si="114"/>
        <v>#VALUE!</v>
      </c>
    </row>
    <row r="7343" spans="11:11" x14ac:dyDescent="0.25">
      <c r="K7343" s="8" t="e">
        <f t="shared" si="114"/>
        <v>#VALUE!</v>
      </c>
    </row>
    <row r="7344" spans="11:11" x14ac:dyDescent="0.25">
      <c r="K7344" s="8" t="e">
        <f t="shared" si="114"/>
        <v>#VALUE!</v>
      </c>
    </row>
    <row r="7345" spans="11:11" x14ac:dyDescent="0.25">
      <c r="K7345" s="8" t="e">
        <f t="shared" si="114"/>
        <v>#VALUE!</v>
      </c>
    </row>
    <row r="7346" spans="11:11" x14ac:dyDescent="0.25">
      <c r="K7346" s="8" t="e">
        <f t="shared" si="114"/>
        <v>#VALUE!</v>
      </c>
    </row>
    <row r="7347" spans="11:11" x14ac:dyDescent="0.25">
      <c r="K7347" s="8" t="e">
        <f t="shared" si="114"/>
        <v>#VALUE!</v>
      </c>
    </row>
    <row r="7348" spans="11:11" x14ac:dyDescent="0.25">
      <c r="K7348" s="8" t="e">
        <f t="shared" si="114"/>
        <v>#VALUE!</v>
      </c>
    </row>
    <row r="7349" spans="11:11" x14ac:dyDescent="0.25">
      <c r="K7349" s="8" t="e">
        <f t="shared" si="114"/>
        <v>#VALUE!</v>
      </c>
    </row>
    <row r="7350" spans="11:11" x14ac:dyDescent="0.25">
      <c r="K7350" s="8" t="e">
        <f t="shared" si="114"/>
        <v>#VALUE!</v>
      </c>
    </row>
    <row r="7351" spans="11:11" x14ac:dyDescent="0.25">
      <c r="K7351" s="8" t="e">
        <f t="shared" si="114"/>
        <v>#VALUE!</v>
      </c>
    </row>
    <row r="7352" spans="11:11" x14ac:dyDescent="0.25">
      <c r="K7352" s="8" t="e">
        <f t="shared" si="114"/>
        <v>#VALUE!</v>
      </c>
    </row>
    <row r="7353" spans="11:11" x14ac:dyDescent="0.25">
      <c r="K7353" s="8" t="e">
        <f t="shared" si="114"/>
        <v>#VALUE!</v>
      </c>
    </row>
    <row r="7354" spans="11:11" x14ac:dyDescent="0.25">
      <c r="K7354" s="8" t="e">
        <f t="shared" si="114"/>
        <v>#VALUE!</v>
      </c>
    </row>
    <row r="7355" spans="11:11" x14ac:dyDescent="0.25">
      <c r="K7355" s="8" t="e">
        <f t="shared" si="114"/>
        <v>#VALUE!</v>
      </c>
    </row>
    <row r="7356" spans="11:11" x14ac:dyDescent="0.25">
      <c r="K7356" s="8" t="e">
        <f t="shared" si="114"/>
        <v>#VALUE!</v>
      </c>
    </row>
    <row r="7357" spans="11:11" x14ac:dyDescent="0.25">
      <c r="K7357" s="8" t="e">
        <f t="shared" si="114"/>
        <v>#VALUE!</v>
      </c>
    </row>
    <row r="7358" spans="11:11" x14ac:dyDescent="0.25">
      <c r="K7358" s="8" t="e">
        <f t="shared" si="114"/>
        <v>#VALUE!</v>
      </c>
    </row>
    <row r="7359" spans="11:11" x14ac:dyDescent="0.25">
      <c r="K7359" s="8" t="e">
        <f t="shared" si="114"/>
        <v>#VALUE!</v>
      </c>
    </row>
    <row r="7360" spans="11:11" x14ac:dyDescent="0.25">
      <c r="K7360" s="8" t="e">
        <f t="shared" si="114"/>
        <v>#VALUE!</v>
      </c>
    </row>
    <row r="7361" spans="11:11" x14ac:dyDescent="0.25">
      <c r="K7361" s="8" t="e">
        <f t="shared" si="114"/>
        <v>#VALUE!</v>
      </c>
    </row>
    <row r="7362" spans="11:11" x14ac:dyDescent="0.25">
      <c r="K7362" s="8" t="e">
        <f t="shared" si="114"/>
        <v>#VALUE!</v>
      </c>
    </row>
    <row r="7363" spans="11:11" x14ac:dyDescent="0.25">
      <c r="K7363" s="8" t="e">
        <f t="shared" ref="K7363:K7426" si="115">LEFT(A7363,FIND("/",A7363)-1)</f>
        <v>#VALUE!</v>
      </c>
    </row>
    <row r="7364" spans="11:11" x14ac:dyDescent="0.25">
      <c r="K7364" s="8" t="e">
        <f t="shared" si="115"/>
        <v>#VALUE!</v>
      </c>
    </row>
    <row r="7365" spans="11:11" x14ac:dyDescent="0.25">
      <c r="K7365" s="8" t="e">
        <f t="shared" si="115"/>
        <v>#VALUE!</v>
      </c>
    </row>
    <row r="7366" spans="11:11" x14ac:dyDescent="0.25">
      <c r="K7366" s="8" t="e">
        <f t="shared" si="115"/>
        <v>#VALUE!</v>
      </c>
    </row>
    <row r="7367" spans="11:11" x14ac:dyDescent="0.25">
      <c r="K7367" s="8" t="e">
        <f t="shared" si="115"/>
        <v>#VALUE!</v>
      </c>
    </row>
    <row r="7368" spans="11:11" x14ac:dyDescent="0.25">
      <c r="K7368" s="8" t="e">
        <f t="shared" si="115"/>
        <v>#VALUE!</v>
      </c>
    </row>
    <row r="7369" spans="11:11" x14ac:dyDescent="0.25">
      <c r="K7369" s="8" t="e">
        <f t="shared" si="115"/>
        <v>#VALUE!</v>
      </c>
    </row>
    <row r="7370" spans="11:11" x14ac:dyDescent="0.25">
      <c r="K7370" s="8" t="e">
        <f t="shared" si="115"/>
        <v>#VALUE!</v>
      </c>
    </row>
    <row r="7371" spans="11:11" x14ac:dyDescent="0.25">
      <c r="K7371" s="8" t="e">
        <f t="shared" si="115"/>
        <v>#VALUE!</v>
      </c>
    </row>
    <row r="7372" spans="11:11" x14ac:dyDescent="0.25">
      <c r="K7372" s="8" t="e">
        <f t="shared" si="115"/>
        <v>#VALUE!</v>
      </c>
    </row>
    <row r="7373" spans="11:11" x14ac:dyDescent="0.25">
      <c r="K7373" s="8" t="e">
        <f t="shared" si="115"/>
        <v>#VALUE!</v>
      </c>
    </row>
    <row r="7374" spans="11:11" x14ac:dyDescent="0.25">
      <c r="K7374" s="8" t="e">
        <f t="shared" si="115"/>
        <v>#VALUE!</v>
      </c>
    </row>
    <row r="7375" spans="11:11" x14ac:dyDescent="0.25">
      <c r="K7375" s="8" t="e">
        <f t="shared" si="115"/>
        <v>#VALUE!</v>
      </c>
    </row>
    <row r="7376" spans="11:11" x14ac:dyDescent="0.25">
      <c r="K7376" s="8" t="e">
        <f t="shared" si="115"/>
        <v>#VALUE!</v>
      </c>
    </row>
    <row r="7377" spans="11:11" x14ac:dyDescent="0.25">
      <c r="K7377" s="8" t="e">
        <f t="shared" si="115"/>
        <v>#VALUE!</v>
      </c>
    </row>
    <row r="7378" spans="11:11" x14ac:dyDescent="0.25">
      <c r="K7378" s="8" t="e">
        <f t="shared" si="115"/>
        <v>#VALUE!</v>
      </c>
    </row>
    <row r="7379" spans="11:11" x14ac:dyDescent="0.25">
      <c r="K7379" s="8" t="e">
        <f t="shared" si="115"/>
        <v>#VALUE!</v>
      </c>
    </row>
    <row r="7380" spans="11:11" x14ac:dyDescent="0.25">
      <c r="K7380" s="8" t="e">
        <f t="shared" si="115"/>
        <v>#VALUE!</v>
      </c>
    </row>
    <row r="7381" spans="11:11" x14ac:dyDescent="0.25">
      <c r="K7381" s="8" t="e">
        <f t="shared" si="115"/>
        <v>#VALUE!</v>
      </c>
    </row>
    <row r="7382" spans="11:11" x14ac:dyDescent="0.25">
      <c r="K7382" s="8" t="e">
        <f t="shared" si="115"/>
        <v>#VALUE!</v>
      </c>
    </row>
    <row r="7383" spans="11:11" x14ac:dyDescent="0.25">
      <c r="K7383" s="8" t="e">
        <f t="shared" si="115"/>
        <v>#VALUE!</v>
      </c>
    </row>
    <row r="7384" spans="11:11" x14ac:dyDescent="0.25">
      <c r="K7384" s="8" t="e">
        <f t="shared" si="115"/>
        <v>#VALUE!</v>
      </c>
    </row>
    <row r="7385" spans="11:11" x14ac:dyDescent="0.25">
      <c r="K7385" s="8" t="e">
        <f t="shared" si="115"/>
        <v>#VALUE!</v>
      </c>
    </row>
    <row r="7386" spans="11:11" x14ac:dyDescent="0.25">
      <c r="K7386" s="8" t="e">
        <f t="shared" si="115"/>
        <v>#VALUE!</v>
      </c>
    </row>
    <row r="7387" spans="11:11" x14ac:dyDescent="0.25">
      <c r="K7387" s="8" t="e">
        <f t="shared" si="115"/>
        <v>#VALUE!</v>
      </c>
    </row>
    <row r="7388" spans="11:11" x14ac:dyDescent="0.25">
      <c r="K7388" s="8" t="e">
        <f t="shared" si="115"/>
        <v>#VALUE!</v>
      </c>
    </row>
    <row r="7389" spans="11:11" x14ac:dyDescent="0.25">
      <c r="K7389" s="8" t="e">
        <f t="shared" si="115"/>
        <v>#VALUE!</v>
      </c>
    </row>
    <row r="7390" spans="11:11" x14ac:dyDescent="0.25">
      <c r="K7390" s="8" t="e">
        <f t="shared" si="115"/>
        <v>#VALUE!</v>
      </c>
    </row>
    <row r="7391" spans="11:11" x14ac:dyDescent="0.25">
      <c r="K7391" s="8" t="e">
        <f t="shared" si="115"/>
        <v>#VALUE!</v>
      </c>
    </row>
    <row r="7392" spans="11:11" x14ac:dyDescent="0.25">
      <c r="K7392" s="8" t="e">
        <f t="shared" si="115"/>
        <v>#VALUE!</v>
      </c>
    </row>
    <row r="7393" spans="11:11" x14ac:dyDescent="0.25">
      <c r="K7393" s="8" t="e">
        <f t="shared" si="115"/>
        <v>#VALUE!</v>
      </c>
    </row>
    <row r="7394" spans="11:11" x14ac:dyDescent="0.25">
      <c r="K7394" s="8" t="e">
        <f t="shared" si="115"/>
        <v>#VALUE!</v>
      </c>
    </row>
    <row r="7395" spans="11:11" x14ac:dyDescent="0.25">
      <c r="K7395" s="8" t="e">
        <f t="shared" si="115"/>
        <v>#VALUE!</v>
      </c>
    </row>
    <row r="7396" spans="11:11" x14ac:dyDescent="0.25">
      <c r="K7396" s="8" t="e">
        <f t="shared" si="115"/>
        <v>#VALUE!</v>
      </c>
    </row>
    <row r="7397" spans="11:11" x14ac:dyDescent="0.25">
      <c r="K7397" s="8" t="e">
        <f t="shared" si="115"/>
        <v>#VALUE!</v>
      </c>
    </row>
    <row r="7398" spans="11:11" x14ac:dyDescent="0.25">
      <c r="K7398" s="8" t="e">
        <f t="shared" si="115"/>
        <v>#VALUE!</v>
      </c>
    </row>
    <row r="7399" spans="11:11" x14ac:dyDescent="0.25">
      <c r="K7399" s="8" t="e">
        <f t="shared" si="115"/>
        <v>#VALUE!</v>
      </c>
    </row>
    <row r="7400" spans="11:11" x14ac:dyDescent="0.25">
      <c r="K7400" s="8" t="e">
        <f t="shared" si="115"/>
        <v>#VALUE!</v>
      </c>
    </row>
    <row r="7401" spans="11:11" x14ac:dyDescent="0.25">
      <c r="K7401" s="8" t="e">
        <f t="shared" si="115"/>
        <v>#VALUE!</v>
      </c>
    </row>
    <row r="7402" spans="11:11" x14ac:dyDescent="0.25">
      <c r="K7402" s="8" t="e">
        <f t="shared" si="115"/>
        <v>#VALUE!</v>
      </c>
    </row>
    <row r="7403" spans="11:11" x14ac:dyDescent="0.25">
      <c r="K7403" s="8" t="e">
        <f t="shared" si="115"/>
        <v>#VALUE!</v>
      </c>
    </row>
    <row r="7404" spans="11:11" x14ac:dyDescent="0.25">
      <c r="K7404" s="8" t="e">
        <f t="shared" si="115"/>
        <v>#VALUE!</v>
      </c>
    </row>
    <row r="7405" spans="11:11" x14ac:dyDescent="0.25">
      <c r="K7405" s="8" t="e">
        <f t="shared" si="115"/>
        <v>#VALUE!</v>
      </c>
    </row>
    <row r="7406" spans="11:11" x14ac:dyDescent="0.25">
      <c r="K7406" s="8" t="e">
        <f t="shared" si="115"/>
        <v>#VALUE!</v>
      </c>
    </row>
    <row r="7407" spans="11:11" x14ac:dyDescent="0.25">
      <c r="K7407" s="8" t="e">
        <f t="shared" si="115"/>
        <v>#VALUE!</v>
      </c>
    </row>
    <row r="7408" spans="11:11" x14ac:dyDescent="0.25">
      <c r="K7408" s="8" t="e">
        <f t="shared" si="115"/>
        <v>#VALUE!</v>
      </c>
    </row>
    <row r="7409" spans="11:11" x14ac:dyDescent="0.25">
      <c r="K7409" s="8" t="e">
        <f t="shared" si="115"/>
        <v>#VALUE!</v>
      </c>
    </row>
    <row r="7410" spans="11:11" x14ac:dyDescent="0.25">
      <c r="K7410" s="8" t="e">
        <f t="shared" si="115"/>
        <v>#VALUE!</v>
      </c>
    </row>
    <row r="7411" spans="11:11" x14ac:dyDescent="0.25">
      <c r="K7411" s="8" t="e">
        <f t="shared" si="115"/>
        <v>#VALUE!</v>
      </c>
    </row>
    <row r="7412" spans="11:11" x14ac:dyDescent="0.25">
      <c r="K7412" s="8" t="e">
        <f t="shared" si="115"/>
        <v>#VALUE!</v>
      </c>
    </row>
    <row r="7413" spans="11:11" x14ac:dyDescent="0.25">
      <c r="K7413" s="8" t="e">
        <f t="shared" si="115"/>
        <v>#VALUE!</v>
      </c>
    </row>
    <row r="7414" spans="11:11" x14ac:dyDescent="0.25">
      <c r="K7414" s="8" t="e">
        <f t="shared" si="115"/>
        <v>#VALUE!</v>
      </c>
    </row>
    <row r="7415" spans="11:11" x14ac:dyDescent="0.25">
      <c r="K7415" s="8" t="e">
        <f t="shared" si="115"/>
        <v>#VALUE!</v>
      </c>
    </row>
    <row r="7416" spans="11:11" x14ac:dyDescent="0.25">
      <c r="K7416" s="8" t="e">
        <f t="shared" si="115"/>
        <v>#VALUE!</v>
      </c>
    </row>
    <row r="7417" spans="11:11" x14ac:dyDescent="0.25">
      <c r="K7417" s="8" t="e">
        <f t="shared" si="115"/>
        <v>#VALUE!</v>
      </c>
    </row>
    <row r="7418" spans="11:11" x14ac:dyDescent="0.25">
      <c r="K7418" s="8" t="e">
        <f t="shared" si="115"/>
        <v>#VALUE!</v>
      </c>
    </row>
    <row r="7419" spans="11:11" x14ac:dyDescent="0.25">
      <c r="K7419" s="8" t="e">
        <f t="shared" si="115"/>
        <v>#VALUE!</v>
      </c>
    </row>
    <row r="7420" spans="11:11" x14ac:dyDescent="0.25">
      <c r="K7420" s="8" t="e">
        <f t="shared" si="115"/>
        <v>#VALUE!</v>
      </c>
    </row>
    <row r="7421" spans="11:11" x14ac:dyDescent="0.25">
      <c r="K7421" s="8" t="e">
        <f t="shared" si="115"/>
        <v>#VALUE!</v>
      </c>
    </row>
    <row r="7422" spans="11:11" x14ac:dyDescent="0.25">
      <c r="K7422" s="8" t="e">
        <f t="shared" si="115"/>
        <v>#VALUE!</v>
      </c>
    </row>
    <row r="7423" spans="11:11" x14ac:dyDescent="0.25">
      <c r="K7423" s="8" t="e">
        <f t="shared" si="115"/>
        <v>#VALUE!</v>
      </c>
    </row>
    <row r="7424" spans="11:11" x14ac:dyDescent="0.25">
      <c r="K7424" s="8" t="e">
        <f t="shared" si="115"/>
        <v>#VALUE!</v>
      </c>
    </row>
    <row r="7425" spans="11:11" x14ac:dyDescent="0.25">
      <c r="K7425" s="8" t="e">
        <f t="shared" si="115"/>
        <v>#VALUE!</v>
      </c>
    </row>
    <row r="7426" spans="11:11" x14ac:dyDescent="0.25">
      <c r="K7426" s="8" t="e">
        <f t="shared" si="115"/>
        <v>#VALUE!</v>
      </c>
    </row>
    <row r="7427" spans="11:11" x14ac:dyDescent="0.25">
      <c r="K7427" s="8" t="e">
        <f t="shared" ref="K7427:K7490" si="116">LEFT(A7427,FIND("/",A7427)-1)</f>
        <v>#VALUE!</v>
      </c>
    </row>
    <row r="7428" spans="11:11" x14ac:dyDescent="0.25">
      <c r="K7428" s="8" t="e">
        <f t="shared" si="116"/>
        <v>#VALUE!</v>
      </c>
    </row>
    <row r="7429" spans="11:11" x14ac:dyDescent="0.25">
      <c r="K7429" s="8" t="e">
        <f t="shared" si="116"/>
        <v>#VALUE!</v>
      </c>
    </row>
    <row r="7430" spans="11:11" x14ac:dyDescent="0.25">
      <c r="K7430" s="8" t="e">
        <f t="shared" si="116"/>
        <v>#VALUE!</v>
      </c>
    </row>
    <row r="7431" spans="11:11" x14ac:dyDescent="0.25">
      <c r="K7431" s="8" t="e">
        <f t="shared" si="116"/>
        <v>#VALUE!</v>
      </c>
    </row>
    <row r="7432" spans="11:11" x14ac:dyDescent="0.25">
      <c r="K7432" s="8" t="e">
        <f t="shared" si="116"/>
        <v>#VALUE!</v>
      </c>
    </row>
    <row r="7433" spans="11:11" x14ac:dyDescent="0.25">
      <c r="K7433" s="8" t="e">
        <f t="shared" si="116"/>
        <v>#VALUE!</v>
      </c>
    </row>
    <row r="7434" spans="11:11" x14ac:dyDescent="0.25">
      <c r="K7434" s="8" t="e">
        <f t="shared" si="116"/>
        <v>#VALUE!</v>
      </c>
    </row>
    <row r="7435" spans="11:11" x14ac:dyDescent="0.25">
      <c r="K7435" s="8" t="e">
        <f t="shared" si="116"/>
        <v>#VALUE!</v>
      </c>
    </row>
    <row r="7436" spans="11:11" x14ac:dyDescent="0.25">
      <c r="K7436" s="8" t="e">
        <f t="shared" si="116"/>
        <v>#VALUE!</v>
      </c>
    </row>
    <row r="7437" spans="11:11" x14ac:dyDescent="0.25">
      <c r="K7437" s="8" t="e">
        <f t="shared" si="116"/>
        <v>#VALUE!</v>
      </c>
    </row>
    <row r="7438" spans="11:11" x14ac:dyDescent="0.25">
      <c r="K7438" s="8" t="e">
        <f t="shared" si="116"/>
        <v>#VALUE!</v>
      </c>
    </row>
    <row r="7439" spans="11:11" x14ac:dyDescent="0.25">
      <c r="K7439" s="8" t="e">
        <f t="shared" si="116"/>
        <v>#VALUE!</v>
      </c>
    </row>
    <row r="7440" spans="11:11" x14ac:dyDescent="0.25">
      <c r="K7440" s="8" t="e">
        <f t="shared" si="116"/>
        <v>#VALUE!</v>
      </c>
    </row>
    <row r="7441" spans="11:11" x14ac:dyDescent="0.25">
      <c r="K7441" s="8" t="e">
        <f t="shared" si="116"/>
        <v>#VALUE!</v>
      </c>
    </row>
    <row r="7442" spans="11:11" x14ac:dyDescent="0.25">
      <c r="K7442" s="8" t="e">
        <f t="shared" si="116"/>
        <v>#VALUE!</v>
      </c>
    </row>
    <row r="7443" spans="11:11" x14ac:dyDescent="0.25">
      <c r="K7443" s="8" t="e">
        <f t="shared" si="116"/>
        <v>#VALUE!</v>
      </c>
    </row>
    <row r="7444" spans="11:11" x14ac:dyDescent="0.25">
      <c r="K7444" s="8" t="e">
        <f t="shared" si="116"/>
        <v>#VALUE!</v>
      </c>
    </row>
    <row r="7445" spans="11:11" x14ac:dyDescent="0.25">
      <c r="K7445" s="8" t="e">
        <f t="shared" si="116"/>
        <v>#VALUE!</v>
      </c>
    </row>
    <row r="7446" spans="11:11" x14ac:dyDescent="0.25">
      <c r="K7446" s="8" t="e">
        <f t="shared" si="116"/>
        <v>#VALUE!</v>
      </c>
    </row>
    <row r="7447" spans="11:11" x14ac:dyDescent="0.25">
      <c r="K7447" s="8" t="e">
        <f t="shared" si="116"/>
        <v>#VALUE!</v>
      </c>
    </row>
    <row r="7448" spans="11:11" x14ac:dyDescent="0.25">
      <c r="K7448" s="8" t="e">
        <f t="shared" si="116"/>
        <v>#VALUE!</v>
      </c>
    </row>
    <row r="7449" spans="11:11" x14ac:dyDescent="0.25">
      <c r="K7449" s="8" t="e">
        <f t="shared" si="116"/>
        <v>#VALUE!</v>
      </c>
    </row>
    <row r="7450" spans="11:11" x14ac:dyDescent="0.25">
      <c r="K7450" s="8" t="e">
        <f t="shared" si="116"/>
        <v>#VALUE!</v>
      </c>
    </row>
    <row r="7451" spans="11:11" x14ac:dyDescent="0.25">
      <c r="K7451" s="8" t="e">
        <f t="shared" si="116"/>
        <v>#VALUE!</v>
      </c>
    </row>
    <row r="7452" spans="11:11" x14ac:dyDescent="0.25">
      <c r="K7452" s="8" t="e">
        <f t="shared" si="116"/>
        <v>#VALUE!</v>
      </c>
    </row>
    <row r="7453" spans="11:11" x14ac:dyDescent="0.25">
      <c r="K7453" s="8" t="e">
        <f t="shared" si="116"/>
        <v>#VALUE!</v>
      </c>
    </row>
    <row r="7454" spans="11:11" x14ac:dyDescent="0.25">
      <c r="K7454" s="8" t="e">
        <f t="shared" si="116"/>
        <v>#VALUE!</v>
      </c>
    </row>
    <row r="7455" spans="11:11" x14ac:dyDescent="0.25">
      <c r="K7455" s="8" t="e">
        <f t="shared" si="116"/>
        <v>#VALUE!</v>
      </c>
    </row>
    <row r="7456" spans="11:11" x14ac:dyDescent="0.25">
      <c r="K7456" s="8" t="e">
        <f t="shared" si="116"/>
        <v>#VALUE!</v>
      </c>
    </row>
    <row r="7457" spans="11:11" x14ac:dyDescent="0.25">
      <c r="K7457" s="8" t="e">
        <f t="shared" si="116"/>
        <v>#VALUE!</v>
      </c>
    </row>
    <row r="7458" spans="11:11" x14ac:dyDescent="0.25">
      <c r="K7458" s="8" t="e">
        <f t="shared" si="116"/>
        <v>#VALUE!</v>
      </c>
    </row>
    <row r="7459" spans="11:11" x14ac:dyDescent="0.25">
      <c r="K7459" s="8" t="e">
        <f t="shared" si="116"/>
        <v>#VALUE!</v>
      </c>
    </row>
    <row r="7460" spans="11:11" x14ac:dyDescent="0.25">
      <c r="K7460" s="8" t="e">
        <f t="shared" si="116"/>
        <v>#VALUE!</v>
      </c>
    </row>
    <row r="7461" spans="11:11" x14ac:dyDescent="0.25">
      <c r="K7461" s="8" t="e">
        <f t="shared" si="116"/>
        <v>#VALUE!</v>
      </c>
    </row>
    <row r="7462" spans="11:11" x14ac:dyDescent="0.25">
      <c r="K7462" s="8" t="e">
        <f t="shared" si="116"/>
        <v>#VALUE!</v>
      </c>
    </row>
    <row r="7463" spans="11:11" x14ac:dyDescent="0.25">
      <c r="K7463" s="8" t="e">
        <f t="shared" si="116"/>
        <v>#VALUE!</v>
      </c>
    </row>
    <row r="7464" spans="11:11" x14ac:dyDescent="0.25">
      <c r="K7464" s="8" t="e">
        <f t="shared" si="116"/>
        <v>#VALUE!</v>
      </c>
    </row>
    <row r="7465" spans="11:11" x14ac:dyDescent="0.25">
      <c r="K7465" s="8" t="e">
        <f t="shared" si="116"/>
        <v>#VALUE!</v>
      </c>
    </row>
    <row r="7466" spans="11:11" x14ac:dyDescent="0.25">
      <c r="K7466" s="8" t="e">
        <f t="shared" si="116"/>
        <v>#VALUE!</v>
      </c>
    </row>
    <row r="7467" spans="11:11" x14ac:dyDescent="0.25">
      <c r="K7467" s="8" t="e">
        <f t="shared" si="116"/>
        <v>#VALUE!</v>
      </c>
    </row>
    <row r="7468" spans="11:11" x14ac:dyDescent="0.25">
      <c r="K7468" s="8" t="e">
        <f t="shared" si="116"/>
        <v>#VALUE!</v>
      </c>
    </row>
    <row r="7469" spans="11:11" x14ac:dyDescent="0.25">
      <c r="K7469" s="8" t="e">
        <f t="shared" si="116"/>
        <v>#VALUE!</v>
      </c>
    </row>
    <row r="7470" spans="11:11" x14ac:dyDescent="0.25">
      <c r="K7470" s="8" t="e">
        <f t="shared" si="116"/>
        <v>#VALUE!</v>
      </c>
    </row>
    <row r="7471" spans="11:11" x14ac:dyDescent="0.25">
      <c r="K7471" s="8" t="e">
        <f t="shared" si="116"/>
        <v>#VALUE!</v>
      </c>
    </row>
    <row r="7472" spans="11:11" x14ac:dyDescent="0.25">
      <c r="K7472" s="8" t="e">
        <f t="shared" si="116"/>
        <v>#VALUE!</v>
      </c>
    </row>
    <row r="7473" spans="11:11" x14ac:dyDescent="0.25">
      <c r="K7473" s="8" t="e">
        <f t="shared" si="116"/>
        <v>#VALUE!</v>
      </c>
    </row>
    <row r="7474" spans="11:11" x14ac:dyDescent="0.25">
      <c r="K7474" s="8" t="e">
        <f t="shared" si="116"/>
        <v>#VALUE!</v>
      </c>
    </row>
    <row r="7475" spans="11:11" x14ac:dyDescent="0.25">
      <c r="K7475" s="8" t="e">
        <f t="shared" si="116"/>
        <v>#VALUE!</v>
      </c>
    </row>
    <row r="7476" spans="11:11" x14ac:dyDescent="0.25">
      <c r="K7476" s="8" t="e">
        <f t="shared" si="116"/>
        <v>#VALUE!</v>
      </c>
    </row>
    <row r="7477" spans="11:11" x14ac:dyDescent="0.25">
      <c r="K7477" s="8" t="e">
        <f t="shared" si="116"/>
        <v>#VALUE!</v>
      </c>
    </row>
    <row r="7478" spans="11:11" x14ac:dyDescent="0.25">
      <c r="K7478" s="8" t="e">
        <f t="shared" si="116"/>
        <v>#VALUE!</v>
      </c>
    </row>
    <row r="7479" spans="11:11" x14ac:dyDescent="0.25">
      <c r="K7479" s="8" t="e">
        <f t="shared" si="116"/>
        <v>#VALUE!</v>
      </c>
    </row>
    <row r="7480" spans="11:11" x14ac:dyDescent="0.25">
      <c r="K7480" s="8" t="e">
        <f t="shared" si="116"/>
        <v>#VALUE!</v>
      </c>
    </row>
    <row r="7481" spans="11:11" x14ac:dyDescent="0.25">
      <c r="K7481" s="8" t="e">
        <f t="shared" si="116"/>
        <v>#VALUE!</v>
      </c>
    </row>
    <row r="7482" spans="11:11" x14ac:dyDescent="0.25">
      <c r="K7482" s="8" t="e">
        <f t="shared" si="116"/>
        <v>#VALUE!</v>
      </c>
    </row>
    <row r="7483" spans="11:11" x14ac:dyDescent="0.25">
      <c r="K7483" s="8" t="e">
        <f t="shared" si="116"/>
        <v>#VALUE!</v>
      </c>
    </row>
    <row r="7484" spans="11:11" x14ac:dyDescent="0.25">
      <c r="K7484" s="8" t="e">
        <f t="shared" si="116"/>
        <v>#VALUE!</v>
      </c>
    </row>
    <row r="7485" spans="11:11" x14ac:dyDescent="0.25">
      <c r="K7485" s="8" t="e">
        <f t="shared" si="116"/>
        <v>#VALUE!</v>
      </c>
    </row>
    <row r="7486" spans="11:11" x14ac:dyDescent="0.25">
      <c r="K7486" s="8" t="e">
        <f t="shared" si="116"/>
        <v>#VALUE!</v>
      </c>
    </row>
    <row r="7487" spans="11:11" x14ac:dyDescent="0.25">
      <c r="K7487" s="8" t="e">
        <f t="shared" si="116"/>
        <v>#VALUE!</v>
      </c>
    </row>
    <row r="7488" spans="11:11" x14ac:dyDescent="0.25">
      <c r="K7488" s="8" t="e">
        <f t="shared" si="116"/>
        <v>#VALUE!</v>
      </c>
    </row>
    <row r="7489" spans="11:11" x14ac:dyDescent="0.25">
      <c r="K7489" s="8" t="e">
        <f t="shared" si="116"/>
        <v>#VALUE!</v>
      </c>
    </row>
    <row r="7490" spans="11:11" x14ac:dyDescent="0.25">
      <c r="K7490" s="8" t="e">
        <f t="shared" si="116"/>
        <v>#VALUE!</v>
      </c>
    </row>
    <row r="7491" spans="11:11" x14ac:dyDescent="0.25">
      <c r="K7491" s="8" t="e">
        <f t="shared" ref="K7491:K7554" si="117">LEFT(A7491,FIND("/",A7491)-1)</f>
        <v>#VALUE!</v>
      </c>
    </row>
    <row r="7492" spans="11:11" x14ac:dyDescent="0.25">
      <c r="K7492" s="8" t="e">
        <f t="shared" si="117"/>
        <v>#VALUE!</v>
      </c>
    </row>
    <row r="7493" spans="11:11" x14ac:dyDescent="0.25">
      <c r="K7493" s="8" t="e">
        <f t="shared" si="117"/>
        <v>#VALUE!</v>
      </c>
    </row>
    <row r="7494" spans="11:11" x14ac:dyDescent="0.25">
      <c r="K7494" s="8" t="e">
        <f t="shared" si="117"/>
        <v>#VALUE!</v>
      </c>
    </row>
    <row r="7495" spans="11:11" x14ac:dyDescent="0.25">
      <c r="K7495" s="8" t="e">
        <f t="shared" si="117"/>
        <v>#VALUE!</v>
      </c>
    </row>
    <row r="7496" spans="11:11" x14ac:dyDescent="0.25">
      <c r="K7496" s="8" t="e">
        <f t="shared" si="117"/>
        <v>#VALUE!</v>
      </c>
    </row>
    <row r="7497" spans="11:11" x14ac:dyDescent="0.25">
      <c r="K7497" s="8" t="e">
        <f t="shared" si="117"/>
        <v>#VALUE!</v>
      </c>
    </row>
    <row r="7498" spans="11:11" x14ac:dyDescent="0.25">
      <c r="K7498" s="8" t="e">
        <f t="shared" si="117"/>
        <v>#VALUE!</v>
      </c>
    </row>
    <row r="7499" spans="11:11" x14ac:dyDescent="0.25">
      <c r="K7499" s="8" t="e">
        <f t="shared" si="117"/>
        <v>#VALUE!</v>
      </c>
    </row>
    <row r="7500" spans="11:11" x14ac:dyDescent="0.25">
      <c r="K7500" s="8" t="e">
        <f t="shared" si="117"/>
        <v>#VALUE!</v>
      </c>
    </row>
    <row r="7501" spans="11:11" x14ac:dyDescent="0.25">
      <c r="K7501" s="8" t="e">
        <f t="shared" si="117"/>
        <v>#VALUE!</v>
      </c>
    </row>
    <row r="7502" spans="11:11" x14ac:dyDescent="0.25">
      <c r="K7502" s="8" t="e">
        <f t="shared" si="117"/>
        <v>#VALUE!</v>
      </c>
    </row>
    <row r="7503" spans="11:11" x14ac:dyDescent="0.25">
      <c r="K7503" s="8" t="e">
        <f t="shared" si="117"/>
        <v>#VALUE!</v>
      </c>
    </row>
    <row r="7504" spans="11:11" x14ac:dyDescent="0.25">
      <c r="K7504" s="8" t="e">
        <f t="shared" si="117"/>
        <v>#VALUE!</v>
      </c>
    </row>
    <row r="7505" spans="11:11" x14ac:dyDescent="0.25">
      <c r="K7505" s="8" t="e">
        <f t="shared" si="117"/>
        <v>#VALUE!</v>
      </c>
    </row>
    <row r="7506" spans="11:11" x14ac:dyDescent="0.25">
      <c r="K7506" s="8" t="e">
        <f t="shared" si="117"/>
        <v>#VALUE!</v>
      </c>
    </row>
    <row r="7507" spans="11:11" x14ac:dyDescent="0.25">
      <c r="K7507" s="8" t="e">
        <f t="shared" si="117"/>
        <v>#VALUE!</v>
      </c>
    </row>
    <row r="7508" spans="11:11" x14ac:dyDescent="0.25">
      <c r="K7508" s="8" t="e">
        <f t="shared" si="117"/>
        <v>#VALUE!</v>
      </c>
    </row>
    <row r="7509" spans="11:11" x14ac:dyDescent="0.25">
      <c r="K7509" s="8" t="e">
        <f t="shared" si="117"/>
        <v>#VALUE!</v>
      </c>
    </row>
    <row r="7510" spans="11:11" x14ac:dyDescent="0.25">
      <c r="K7510" s="8" t="e">
        <f t="shared" si="117"/>
        <v>#VALUE!</v>
      </c>
    </row>
    <row r="7511" spans="11:11" x14ac:dyDescent="0.25">
      <c r="K7511" s="8" t="e">
        <f t="shared" si="117"/>
        <v>#VALUE!</v>
      </c>
    </row>
    <row r="7512" spans="11:11" x14ac:dyDescent="0.25">
      <c r="K7512" s="8" t="e">
        <f t="shared" si="117"/>
        <v>#VALUE!</v>
      </c>
    </row>
    <row r="7513" spans="11:11" x14ac:dyDescent="0.25">
      <c r="K7513" s="8" t="e">
        <f t="shared" si="117"/>
        <v>#VALUE!</v>
      </c>
    </row>
    <row r="7514" spans="11:11" x14ac:dyDescent="0.25">
      <c r="K7514" s="8" t="e">
        <f t="shared" si="117"/>
        <v>#VALUE!</v>
      </c>
    </row>
    <row r="7515" spans="11:11" x14ac:dyDescent="0.25">
      <c r="K7515" s="8" t="e">
        <f t="shared" si="117"/>
        <v>#VALUE!</v>
      </c>
    </row>
    <row r="7516" spans="11:11" x14ac:dyDescent="0.25">
      <c r="K7516" s="8" t="e">
        <f t="shared" si="117"/>
        <v>#VALUE!</v>
      </c>
    </row>
    <row r="7517" spans="11:11" x14ac:dyDescent="0.25">
      <c r="K7517" s="8" t="e">
        <f t="shared" si="117"/>
        <v>#VALUE!</v>
      </c>
    </row>
    <row r="7518" spans="11:11" x14ac:dyDescent="0.25">
      <c r="K7518" s="8" t="e">
        <f t="shared" si="117"/>
        <v>#VALUE!</v>
      </c>
    </row>
    <row r="7519" spans="11:11" x14ac:dyDescent="0.25">
      <c r="K7519" s="8" t="e">
        <f t="shared" si="117"/>
        <v>#VALUE!</v>
      </c>
    </row>
    <row r="7520" spans="11:11" x14ac:dyDescent="0.25">
      <c r="K7520" s="8" t="e">
        <f t="shared" si="117"/>
        <v>#VALUE!</v>
      </c>
    </row>
    <row r="7521" spans="11:11" x14ac:dyDescent="0.25">
      <c r="K7521" s="8" t="e">
        <f t="shared" si="117"/>
        <v>#VALUE!</v>
      </c>
    </row>
    <row r="7522" spans="11:11" x14ac:dyDescent="0.25">
      <c r="K7522" s="8" t="e">
        <f t="shared" si="117"/>
        <v>#VALUE!</v>
      </c>
    </row>
    <row r="7523" spans="11:11" x14ac:dyDescent="0.25">
      <c r="K7523" s="8" t="e">
        <f t="shared" si="117"/>
        <v>#VALUE!</v>
      </c>
    </row>
    <row r="7524" spans="11:11" x14ac:dyDescent="0.25">
      <c r="K7524" s="8" t="e">
        <f t="shared" si="117"/>
        <v>#VALUE!</v>
      </c>
    </row>
    <row r="7525" spans="11:11" x14ac:dyDescent="0.25">
      <c r="K7525" s="8" t="e">
        <f t="shared" si="117"/>
        <v>#VALUE!</v>
      </c>
    </row>
    <row r="7526" spans="11:11" x14ac:dyDescent="0.25">
      <c r="K7526" s="8" t="e">
        <f t="shared" si="117"/>
        <v>#VALUE!</v>
      </c>
    </row>
    <row r="7527" spans="11:11" x14ac:dyDescent="0.25">
      <c r="K7527" s="8" t="e">
        <f t="shared" si="117"/>
        <v>#VALUE!</v>
      </c>
    </row>
    <row r="7528" spans="11:11" x14ac:dyDescent="0.25">
      <c r="K7528" s="8" t="e">
        <f t="shared" si="117"/>
        <v>#VALUE!</v>
      </c>
    </row>
    <row r="7529" spans="11:11" x14ac:dyDescent="0.25">
      <c r="K7529" s="8" t="e">
        <f t="shared" si="117"/>
        <v>#VALUE!</v>
      </c>
    </row>
    <row r="7530" spans="11:11" x14ac:dyDescent="0.25">
      <c r="K7530" s="8" t="e">
        <f t="shared" si="117"/>
        <v>#VALUE!</v>
      </c>
    </row>
    <row r="7531" spans="11:11" x14ac:dyDescent="0.25">
      <c r="K7531" s="8" t="e">
        <f t="shared" si="117"/>
        <v>#VALUE!</v>
      </c>
    </row>
    <row r="7532" spans="11:11" x14ac:dyDescent="0.25">
      <c r="K7532" s="8" t="e">
        <f t="shared" si="117"/>
        <v>#VALUE!</v>
      </c>
    </row>
    <row r="7533" spans="11:11" x14ac:dyDescent="0.25">
      <c r="K7533" s="8" t="e">
        <f t="shared" si="117"/>
        <v>#VALUE!</v>
      </c>
    </row>
    <row r="7534" spans="11:11" x14ac:dyDescent="0.25">
      <c r="K7534" s="8" t="e">
        <f t="shared" si="117"/>
        <v>#VALUE!</v>
      </c>
    </row>
    <row r="7535" spans="11:11" x14ac:dyDescent="0.25">
      <c r="K7535" s="8" t="e">
        <f t="shared" si="117"/>
        <v>#VALUE!</v>
      </c>
    </row>
    <row r="7536" spans="11:11" x14ac:dyDescent="0.25">
      <c r="K7536" s="8" t="e">
        <f t="shared" si="117"/>
        <v>#VALUE!</v>
      </c>
    </row>
    <row r="7537" spans="11:11" x14ac:dyDescent="0.25">
      <c r="K7537" s="8" t="e">
        <f t="shared" si="117"/>
        <v>#VALUE!</v>
      </c>
    </row>
    <row r="7538" spans="11:11" x14ac:dyDescent="0.25">
      <c r="K7538" s="8" t="e">
        <f t="shared" si="117"/>
        <v>#VALUE!</v>
      </c>
    </row>
    <row r="7539" spans="11:11" x14ac:dyDescent="0.25">
      <c r="K7539" s="8" t="e">
        <f t="shared" si="117"/>
        <v>#VALUE!</v>
      </c>
    </row>
    <row r="7540" spans="11:11" x14ac:dyDescent="0.25">
      <c r="K7540" s="8" t="e">
        <f t="shared" si="117"/>
        <v>#VALUE!</v>
      </c>
    </row>
    <row r="7541" spans="11:11" x14ac:dyDescent="0.25">
      <c r="K7541" s="8" t="e">
        <f t="shared" si="117"/>
        <v>#VALUE!</v>
      </c>
    </row>
    <row r="7542" spans="11:11" x14ac:dyDescent="0.25">
      <c r="K7542" s="8" t="e">
        <f t="shared" si="117"/>
        <v>#VALUE!</v>
      </c>
    </row>
    <row r="7543" spans="11:11" x14ac:dyDescent="0.25">
      <c r="K7543" s="8" t="e">
        <f t="shared" si="117"/>
        <v>#VALUE!</v>
      </c>
    </row>
    <row r="7544" spans="11:11" x14ac:dyDescent="0.25">
      <c r="K7544" s="8" t="e">
        <f t="shared" si="117"/>
        <v>#VALUE!</v>
      </c>
    </row>
    <row r="7545" spans="11:11" x14ac:dyDescent="0.25">
      <c r="K7545" s="8" t="e">
        <f t="shared" si="117"/>
        <v>#VALUE!</v>
      </c>
    </row>
    <row r="7546" spans="11:11" x14ac:dyDescent="0.25">
      <c r="K7546" s="8" t="e">
        <f t="shared" si="117"/>
        <v>#VALUE!</v>
      </c>
    </row>
    <row r="7547" spans="11:11" x14ac:dyDescent="0.25">
      <c r="K7547" s="8" t="e">
        <f t="shared" si="117"/>
        <v>#VALUE!</v>
      </c>
    </row>
    <row r="7548" spans="11:11" x14ac:dyDescent="0.25">
      <c r="K7548" s="8" t="e">
        <f t="shared" si="117"/>
        <v>#VALUE!</v>
      </c>
    </row>
    <row r="7549" spans="11:11" x14ac:dyDescent="0.25">
      <c r="K7549" s="8" t="e">
        <f t="shared" si="117"/>
        <v>#VALUE!</v>
      </c>
    </row>
    <row r="7550" spans="11:11" x14ac:dyDescent="0.25">
      <c r="K7550" s="8" t="e">
        <f t="shared" si="117"/>
        <v>#VALUE!</v>
      </c>
    </row>
    <row r="7551" spans="11:11" x14ac:dyDescent="0.25">
      <c r="K7551" s="8" t="e">
        <f t="shared" si="117"/>
        <v>#VALUE!</v>
      </c>
    </row>
    <row r="7552" spans="11:11" x14ac:dyDescent="0.25">
      <c r="K7552" s="8" t="e">
        <f t="shared" si="117"/>
        <v>#VALUE!</v>
      </c>
    </row>
    <row r="7553" spans="11:11" x14ac:dyDescent="0.25">
      <c r="K7553" s="8" t="e">
        <f t="shared" si="117"/>
        <v>#VALUE!</v>
      </c>
    </row>
    <row r="7554" spans="11:11" x14ac:dyDescent="0.25">
      <c r="K7554" s="8" t="e">
        <f t="shared" si="117"/>
        <v>#VALUE!</v>
      </c>
    </row>
    <row r="7555" spans="11:11" x14ac:dyDescent="0.25">
      <c r="K7555" s="8" t="e">
        <f t="shared" ref="K7555:K7618" si="118">LEFT(A7555,FIND("/",A7555)-1)</f>
        <v>#VALUE!</v>
      </c>
    </row>
    <row r="7556" spans="11:11" x14ac:dyDescent="0.25">
      <c r="K7556" s="8" t="e">
        <f t="shared" si="118"/>
        <v>#VALUE!</v>
      </c>
    </row>
    <row r="7557" spans="11:11" x14ac:dyDescent="0.25">
      <c r="K7557" s="8" t="e">
        <f t="shared" si="118"/>
        <v>#VALUE!</v>
      </c>
    </row>
    <row r="7558" spans="11:11" x14ac:dyDescent="0.25">
      <c r="K7558" s="8" t="e">
        <f t="shared" si="118"/>
        <v>#VALUE!</v>
      </c>
    </row>
    <row r="7559" spans="11:11" x14ac:dyDescent="0.25">
      <c r="K7559" s="8" t="e">
        <f t="shared" si="118"/>
        <v>#VALUE!</v>
      </c>
    </row>
    <row r="7560" spans="11:11" x14ac:dyDescent="0.25">
      <c r="K7560" s="8" t="e">
        <f t="shared" si="118"/>
        <v>#VALUE!</v>
      </c>
    </row>
    <row r="7561" spans="11:11" x14ac:dyDescent="0.25">
      <c r="K7561" s="8" t="e">
        <f t="shared" si="118"/>
        <v>#VALUE!</v>
      </c>
    </row>
    <row r="7562" spans="11:11" x14ac:dyDescent="0.25">
      <c r="K7562" s="8" t="e">
        <f t="shared" si="118"/>
        <v>#VALUE!</v>
      </c>
    </row>
    <row r="7563" spans="11:11" x14ac:dyDescent="0.25">
      <c r="K7563" s="8" t="e">
        <f t="shared" si="118"/>
        <v>#VALUE!</v>
      </c>
    </row>
    <row r="7564" spans="11:11" x14ac:dyDescent="0.25">
      <c r="K7564" s="8" t="e">
        <f t="shared" si="118"/>
        <v>#VALUE!</v>
      </c>
    </row>
    <row r="7565" spans="11:11" x14ac:dyDescent="0.25">
      <c r="K7565" s="8" t="e">
        <f t="shared" si="118"/>
        <v>#VALUE!</v>
      </c>
    </row>
    <row r="7566" spans="11:11" x14ac:dyDescent="0.25">
      <c r="K7566" s="8" t="e">
        <f t="shared" si="118"/>
        <v>#VALUE!</v>
      </c>
    </row>
    <row r="7567" spans="11:11" x14ac:dyDescent="0.25">
      <c r="K7567" s="8" t="e">
        <f t="shared" si="118"/>
        <v>#VALUE!</v>
      </c>
    </row>
    <row r="7568" spans="11:11" x14ac:dyDescent="0.25">
      <c r="K7568" s="8" t="e">
        <f t="shared" si="118"/>
        <v>#VALUE!</v>
      </c>
    </row>
    <row r="7569" spans="11:11" x14ac:dyDescent="0.25">
      <c r="K7569" s="8" t="e">
        <f t="shared" si="118"/>
        <v>#VALUE!</v>
      </c>
    </row>
    <row r="7570" spans="11:11" x14ac:dyDescent="0.25">
      <c r="K7570" s="8" t="e">
        <f t="shared" si="118"/>
        <v>#VALUE!</v>
      </c>
    </row>
    <row r="7571" spans="11:11" x14ac:dyDescent="0.25">
      <c r="K7571" s="8" t="e">
        <f t="shared" si="118"/>
        <v>#VALUE!</v>
      </c>
    </row>
    <row r="7572" spans="11:11" x14ac:dyDescent="0.25">
      <c r="K7572" s="8" t="e">
        <f t="shared" si="118"/>
        <v>#VALUE!</v>
      </c>
    </row>
    <row r="7573" spans="11:11" x14ac:dyDescent="0.25">
      <c r="K7573" s="8" t="e">
        <f t="shared" si="118"/>
        <v>#VALUE!</v>
      </c>
    </row>
    <row r="7574" spans="11:11" x14ac:dyDescent="0.25">
      <c r="K7574" s="8" t="e">
        <f t="shared" si="118"/>
        <v>#VALUE!</v>
      </c>
    </row>
    <row r="7575" spans="11:11" x14ac:dyDescent="0.25">
      <c r="K7575" s="8" t="e">
        <f t="shared" si="118"/>
        <v>#VALUE!</v>
      </c>
    </row>
    <row r="7576" spans="11:11" x14ac:dyDescent="0.25">
      <c r="K7576" s="8" t="e">
        <f t="shared" si="118"/>
        <v>#VALUE!</v>
      </c>
    </row>
    <row r="7577" spans="11:11" x14ac:dyDescent="0.25">
      <c r="K7577" s="8" t="e">
        <f t="shared" si="118"/>
        <v>#VALUE!</v>
      </c>
    </row>
    <row r="7578" spans="11:11" x14ac:dyDescent="0.25">
      <c r="K7578" s="8" t="e">
        <f t="shared" si="118"/>
        <v>#VALUE!</v>
      </c>
    </row>
    <row r="7579" spans="11:11" x14ac:dyDescent="0.25">
      <c r="K7579" s="8" t="e">
        <f t="shared" si="118"/>
        <v>#VALUE!</v>
      </c>
    </row>
    <row r="7580" spans="11:11" x14ac:dyDescent="0.25">
      <c r="K7580" s="8" t="e">
        <f t="shared" si="118"/>
        <v>#VALUE!</v>
      </c>
    </row>
    <row r="7581" spans="11:11" x14ac:dyDescent="0.25">
      <c r="K7581" s="8" t="e">
        <f t="shared" si="118"/>
        <v>#VALUE!</v>
      </c>
    </row>
    <row r="7582" spans="11:11" x14ac:dyDescent="0.25">
      <c r="K7582" s="8" t="e">
        <f t="shared" si="118"/>
        <v>#VALUE!</v>
      </c>
    </row>
    <row r="7583" spans="11:11" x14ac:dyDescent="0.25">
      <c r="K7583" s="8" t="e">
        <f t="shared" si="118"/>
        <v>#VALUE!</v>
      </c>
    </row>
    <row r="7584" spans="11:11" x14ac:dyDescent="0.25">
      <c r="K7584" s="8" t="e">
        <f t="shared" si="118"/>
        <v>#VALUE!</v>
      </c>
    </row>
    <row r="7585" spans="11:11" x14ac:dyDescent="0.25">
      <c r="K7585" s="8" t="e">
        <f t="shared" si="118"/>
        <v>#VALUE!</v>
      </c>
    </row>
    <row r="7586" spans="11:11" x14ac:dyDescent="0.25">
      <c r="K7586" s="8" t="e">
        <f t="shared" si="118"/>
        <v>#VALUE!</v>
      </c>
    </row>
    <row r="7587" spans="11:11" x14ac:dyDescent="0.25">
      <c r="K7587" s="8" t="e">
        <f t="shared" si="118"/>
        <v>#VALUE!</v>
      </c>
    </row>
    <row r="7588" spans="11:11" x14ac:dyDescent="0.25">
      <c r="K7588" s="8" t="e">
        <f t="shared" si="118"/>
        <v>#VALUE!</v>
      </c>
    </row>
    <row r="7589" spans="11:11" x14ac:dyDescent="0.25">
      <c r="K7589" s="8" t="e">
        <f t="shared" si="118"/>
        <v>#VALUE!</v>
      </c>
    </row>
    <row r="7590" spans="11:11" x14ac:dyDescent="0.25">
      <c r="K7590" s="8" t="e">
        <f t="shared" si="118"/>
        <v>#VALUE!</v>
      </c>
    </row>
    <row r="7591" spans="11:11" x14ac:dyDescent="0.25">
      <c r="K7591" s="8" t="e">
        <f t="shared" si="118"/>
        <v>#VALUE!</v>
      </c>
    </row>
    <row r="7592" spans="11:11" x14ac:dyDescent="0.25">
      <c r="K7592" s="8" t="e">
        <f t="shared" si="118"/>
        <v>#VALUE!</v>
      </c>
    </row>
    <row r="7593" spans="11:11" x14ac:dyDescent="0.25">
      <c r="K7593" s="8" t="e">
        <f t="shared" si="118"/>
        <v>#VALUE!</v>
      </c>
    </row>
    <row r="7594" spans="11:11" x14ac:dyDescent="0.25">
      <c r="K7594" s="8" t="e">
        <f t="shared" si="118"/>
        <v>#VALUE!</v>
      </c>
    </row>
    <row r="7595" spans="11:11" x14ac:dyDescent="0.25">
      <c r="K7595" s="8" t="e">
        <f t="shared" si="118"/>
        <v>#VALUE!</v>
      </c>
    </row>
    <row r="7596" spans="11:11" x14ac:dyDescent="0.25">
      <c r="K7596" s="8" t="e">
        <f t="shared" si="118"/>
        <v>#VALUE!</v>
      </c>
    </row>
    <row r="7597" spans="11:11" x14ac:dyDescent="0.25">
      <c r="K7597" s="8" t="e">
        <f t="shared" si="118"/>
        <v>#VALUE!</v>
      </c>
    </row>
    <row r="7598" spans="11:11" x14ac:dyDescent="0.25">
      <c r="K7598" s="8" t="e">
        <f t="shared" si="118"/>
        <v>#VALUE!</v>
      </c>
    </row>
    <row r="7599" spans="11:11" x14ac:dyDescent="0.25">
      <c r="K7599" s="8" t="e">
        <f t="shared" si="118"/>
        <v>#VALUE!</v>
      </c>
    </row>
    <row r="7600" spans="11:11" x14ac:dyDescent="0.25">
      <c r="K7600" s="8" t="e">
        <f t="shared" si="118"/>
        <v>#VALUE!</v>
      </c>
    </row>
    <row r="7601" spans="11:11" x14ac:dyDescent="0.25">
      <c r="K7601" s="8" t="e">
        <f t="shared" si="118"/>
        <v>#VALUE!</v>
      </c>
    </row>
    <row r="7602" spans="11:11" x14ac:dyDescent="0.25">
      <c r="K7602" s="8" t="e">
        <f t="shared" si="118"/>
        <v>#VALUE!</v>
      </c>
    </row>
    <row r="7603" spans="11:11" x14ac:dyDescent="0.25">
      <c r="K7603" s="8" t="e">
        <f t="shared" si="118"/>
        <v>#VALUE!</v>
      </c>
    </row>
    <row r="7604" spans="11:11" x14ac:dyDescent="0.25">
      <c r="K7604" s="8" t="e">
        <f t="shared" si="118"/>
        <v>#VALUE!</v>
      </c>
    </row>
    <row r="7605" spans="11:11" x14ac:dyDescent="0.25">
      <c r="K7605" s="8" t="e">
        <f t="shared" si="118"/>
        <v>#VALUE!</v>
      </c>
    </row>
    <row r="7606" spans="11:11" x14ac:dyDescent="0.25">
      <c r="K7606" s="8" t="e">
        <f t="shared" si="118"/>
        <v>#VALUE!</v>
      </c>
    </row>
    <row r="7607" spans="11:11" x14ac:dyDescent="0.25">
      <c r="K7607" s="8" t="e">
        <f t="shared" si="118"/>
        <v>#VALUE!</v>
      </c>
    </row>
    <row r="7608" spans="11:11" x14ac:dyDescent="0.25">
      <c r="K7608" s="8" t="e">
        <f t="shared" si="118"/>
        <v>#VALUE!</v>
      </c>
    </row>
    <row r="7609" spans="11:11" x14ac:dyDescent="0.25">
      <c r="K7609" s="8" t="e">
        <f t="shared" si="118"/>
        <v>#VALUE!</v>
      </c>
    </row>
    <row r="7610" spans="11:11" x14ac:dyDescent="0.25">
      <c r="K7610" s="8" t="e">
        <f t="shared" si="118"/>
        <v>#VALUE!</v>
      </c>
    </row>
    <row r="7611" spans="11:11" x14ac:dyDescent="0.25">
      <c r="K7611" s="8" t="e">
        <f t="shared" si="118"/>
        <v>#VALUE!</v>
      </c>
    </row>
    <row r="7612" spans="11:11" x14ac:dyDescent="0.25">
      <c r="K7612" s="8" t="e">
        <f t="shared" si="118"/>
        <v>#VALUE!</v>
      </c>
    </row>
    <row r="7613" spans="11:11" x14ac:dyDescent="0.25">
      <c r="K7613" s="8" t="e">
        <f t="shared" si="118"/>
        <v>#VALUE!</v>
      </c>
    </row>
    <row r="7614" spans="11:11" x14ac:dyDescent="0.25">
      <c r="K7614" s="8" t="e">
        <f t="shared" si="118"/>
        <v>#VALUE!</v>
      </c>
    </row>
    <row r="7615" spans="11:11" x14ac:dyDescent="0.25">
      <c r="K7615" s="8" t="e">
        <f t="shared" si="118"/>
        <v>#VALUE!</v>
      </c>
    </row>
    <row r="7616" spans="11:11" x14ac:dyDescent="0.25">
      <c r="K7616" s="8" t="e">
        <f t="shared" si="118"/>
        <v>#VALUE!</v>
      </c>
    </row>
    <row r="7617" spans="11:11" x14ac:dyDescent="0.25">
      <c r="K7617" s="8" t="e">
        <f t="shared" si="118"/>
        <v>#VALUE!</v>
      </c>
    </row>
    <row r="7618" spans="11:11" x14ac:dyDescent="0.25">
      <c r="K7618" s="8" t="e">
        <f t="shared" si="118"/>
        <v>#VALUE!</v>
      </c>
    </row>
    <row r="7619" spans="11:11" x14ac:dyDescent="0.25">
      <c r="K7619" s="8" t="e">
        <f t="shared" ref="K7619:K7682" si="119">LEFT(A7619,FIND("/",A7619)-1)</f>
        <v>#VALUE!</v>
      </c>
    </row>
    <row r="7620" spans="11:11" x14ac:dyDescent="0.25">
      <c r="K7620" s="8" t="e">
        <f t="shared" si="119"/>
        <v>#VALUE!</v>
      </c>
    </row>
    <row r="7621" spans="11:11" x14ac:dyDescent="0.25">
      <c r="K7621" s="8" t="e">
        <f t="shared" si="119"/>
        <v>#VALUE!</v>
      </c>
    </row>
    <row r="7622" spans="11:11" x14ac:dyDescent="0.25">
      <c r="K7622" s="8" t="e">
        <f t="shared" si="119"/>
        <v>#VALUE!</v>
      </c>
    </row>
    <row r="7623" spans="11:11" x14ac:dyDescent="0.25">
      <c r="K7623" s="8" t="e">
        <f t="shared" si="119"/>
        <v>#VALUE!</v>
      </c>
    </row>
    <row r="7624" spans="11:11" x14ac:dyDescent="0.25">
      <c r="K7624" s="8" t="e">
        <f t="shared" si="119"/>
        <v>#VALUE!</v>
      </c>
    </row>
    <row r="7625" spans="11:11" x14ac:dyDescent="0.25">
      <c r="K7625" s="8" t="e">
        <f t="shared" si="119"/>
        <v>#VALUE!</v>
      </c>
    </row>
    <row r="7626" spans="11:11" x14ac:dyDescent="0.25">
      <c r="K7626" s="8" t="e">
        <f t="shared" si="119"/>
        <v>#VALUE!</v>
      </c>
    </row>
    <row r="7627" spans="11:11" x14ac:dyDescent="0.25">
      <c r="K7627" s="8" t="e">
        <f t="shared" si="119"/>
        <v>#VALUE!</v>
      </c>
    </row>
    <row r="7628" spans="11:11" x14ac:dyDescent="0.25">
      <c r="K7628" s="8" t="e">
        <f t="shared" si="119"/>
        <v>#VALUE!</v>
      </c>
    </row>
    <row r="7629" spans="11:11" x14ac:dyDescent="0.25">
      <c r="K7629" s="8" t="e">
        <f t="shared" si="119"/>
        <v>#VALUE!</v>
      </c>
    </row>
    <row r="7630" spans="11:11" x14ac:dyDescent="0.25">
      <c r="K7630" s="8" t="e">
        <f t="shared" si="119"/>
        <v>#VALUE!</v>
      </c>
    </row>
    <row r="7631" spans="11:11" x14ac:dyDescent="0.25">
      <c r="K7631" s="8" t="e">
        <f t="shared" si="119"/>
        <v>#VALUE!</v>
      </c>
    </row>
    <row r="7632" spans="11:11" x14ac:dyDescent="0.25">
      <c r="K7632" s="8" t="e">
        <f t="shared" si="119"/>
        <v>#VALUE!</v>
      </c>
    </row>
    <row r="7633" spans="11:11" x14ac:dyDescent="0.25">
      <c r="K7633" s="8" t="e">
        <f t="shared" si="119"/>
        <v>#VALUE!</v>
      </c>
    </row>
    <row r="7634" spans="11:11" x14ac:dyDescent="0.25">
      <c r="K7634" s="8" t="e">
        <f t="shared" si="119"/>
        <v>#VALUE!</v>
      </c>
    </row>
    <row r="7635" spans="11:11" x14ac:dyDescent="0.25">
      <c r="K7635" s="8" t="e">
        <f t="shared" si="119"/>
        <v>#VALUE!</v>
      </c>
    </row>
    <row r="7636" spans="11:11" x14ac:dyDescent="0.25">
      <c r="K7636" s="8" t="e">
        <f t="shared" si="119"/>
        <v>#VALUE!</v>
      </c>
    </row>
    <row r="7637" spans="11:11" x14ac:dyDescent="0.25">
      <c r="K7637" s="8" t="e">
        <f t="shared" si="119"/>
        <v>#VALUE!</v>
      </c>
    </row>
    <row r="7638" spans="11:11" x14ac:dyDescent="0.25">
      <c r="K7638" s="8" t="e">
        <f t="shared" si="119"/>
        <v>#VALUE!</v>
      </c>
    </row>
    <row r="7639" spans="11:11" x14ac:dyDescent="0.25">
      <c r="K7639" s="8" t="e">
        <f t="shared" si="119"/>
        <v>#VALUE!</v>
      </c>
    </row>
    <row r="7640" spans="11:11" x14ac:dyDescent="0.25">
      <c r="K7640" s="8" t="e">
        <f t="shared" si="119"/>
        <v>#VALUE!</v>
      </c>
    </row>
    <row r="7641" spans="11:11" x14ac:dyDescent="0.25">
      <c r="K7641" s="8" t="e">
        <f t="shared" si="119"/>
        <v>#VALUE!</v>
      </c>
    </row>
    <row r="7642" spans="11:11" x14ac:dyDescent="0.25">
      <c r="K7642" s="8" t="e">
        <f t="shared" si="119"/>
        <v>#VALUE!</v>
      </c>
    </row>
    <row r="7643" spans="11:11" x14ac:dyDescent="0.25">
      <c r="K7643" s="8" t="e">
        <f t="shared" si="119"/>
        <v>#VALUE!</v>
      </c>
    </row>
    <row r="7644" spans="11:11" x14ac:dyDescent="0.25">
      <c r="K7644" s="8" t="e">
        <f t="shared" si="119"/>
        <v>#VALUE!</v>
      </c>
    </row>
    <row r="7645" spans="11:11" x14ac:dyDescent="0.25">
      <c r="K7645" s="8" t="e">
        <f t="shared" si="119"/>
        <v>#VALUE!</v>
      </c>
    </row>
    <row r="7646" spans="11:11" x14ac:dyDescent="0.25">
      <c r="K7646" s="8" t="e">
        <f t="shared" si="119"/>
        <v>#VALUE!</v>
      </c>
    </row>
    <row r="7647" spans="11:11" x14ac:dyDescent="0.25">
      <c r="K7647" s="8" t="e">
        <f t="shared" si="119"/>
        <v>#VALUE!</v>
      </c>
    </row>
    <row r="7648" spans="11:11" x14ac:dyDescent="0.25">
      <c r="K7648" s="8" t="e">
        <f t="shared" si="119"/>
        <v>#VALUE!</v>
      </c>
    </row>
    <row r="7649" spans="11:11" x14ac:dyDescent="0.25">
      <c r="K7649" s="8" t="e">
        <f t="shared" si="119"/>
        <v>#VALUE!</v>
      </c>
    </row>
    <row r="7650" spans="11:11" x14ac:dyDescent="0.25">
      <c r="K7650" s="8" t="e">
        <f t="shared" si="119"/>
        <v>#VALUE!</v>
      </c>
    </row>
    <row r="7651" spans="11:11" x14ac:dyDescent="0.25">
      <c r="K7651" s="8" t="e">
        <f t="shared" si="119"/>
        <v>#VALUE!</v>
      </c>
    </row>
    <row r="7652" spans="11:11" x14ac:dyDescent="0.25">
      <c r="K7652" s="8" t="e">
        <f t="shared" si="119"/>
        <v>#VALUE!</v>
      </c>
    </row>
    <row r="7653" spans="11:11" x14ac:dyDescent="0.25">
      <c r="K7653" s="8" t="e">
        <f t="shared" si="119"/>
        <v>#VALUE!</v>
      </c>
    </row>
    <row r="7654" spans="11:11" x14ac:dyDescent="0.25">
      <c r="K7654" s="8" t="e">
        <f t="shared" si="119"/>
        <v>#VALUE!</v>
      </c>
    </row>
    <row r="7655" spans="11:11" x14ac:dyDescent="0.25">
      <c r="K7655" s="8" t="e">
        <f t="shared" si="119"/>
        <v>#VALUE!</v>
      </c>
    </row>
    <row r="7656" spans="11:11" x14ac:dyDescent="0.25">
      <c r="K7656" s="8" t="e">
        <f t="shared" si="119"/>
        <v>#VALUE!</v>
      </c>
    </row>
    <row r="7657" spans="11:11" x14ac:dyDescent="0.25">
      <c r="K7657" s="8" t="e">
        <f t="shared" si="119"/>
        <v>#VALUE!</v>
      </c>
    </row>
    <row r="7658" spans="11:11" x14ac:dyDescent="0.25">
      <c r="K7658" s="8" t="e">
        <f t="shared" si="119"/>
        <v>#VALUE!</v>
      </c>
    </row>
    <row r="7659" spans="11:11" x14ac:dyDescent="0.25">
      <c r="K7659" s="8" t="e">
        <f t="shared" si="119"/>
        <v>#VALUE!</v>
      </c>
    </row>
    <row r="7660" spans="11:11" x14ac:dyDescent="0.25">
      <c r="K7660" s="8" t="e">
        <f t="shared" si="119"/>
        <v>#VALUE!</v>
      </c>
    </row>
    <row r="7661" spans="11:11" x14ac:dyDescent="0.25">
      <c r="K7661" s="8" t="e">
        <f t="shared" si="119"/>
        <v>#VALUE!</v>
      </c>
    </row>
    <row r="7662" spans="11:11" x14ac:dyDescent="0.25">
      <c r="K7662" s="8" t="e">
        <f t="shared" si="119"/>
        <v>#VALUE!</v>
      </c>
    </row>
    <row r="7663" spans="11:11" x14ac:dyDescent="0.25">
      <c r="K7663" s="8" t="e">
        <f t="shared" si="119"/>
        <v>#VALUE!</v>
      </c>
    </row>
    <row r="7664" spans="11:11" x14ac:dyDescent="0.25">
      <c r="K7664" s="8" t="e">
        <f t="shared" si="119"/>
        <v>#VALUE!</v>
      </c>
    </row>
    <row r="7665" spans="11:11" x14ac:dyDescent="0.25">
      <c r="K7665" s="8" t="e">
        <f t="shared" si="119"/>
        <v>#VALUE!</v>
      </c>
    </row>
    <row r="7666" spans="11:11" x14ac:dyDescent="0.25">
      <c r="K7666" s="8" t="e">
        <f t="shared" si="119"/>
        <v>#VALUE!</v>
      </c>
    </row>
    <row r="7667" spans="11:11" x14ac:dyDescent="0.25">
      <c r="K7667" s="8" t="e">
        <f t="shared" si="119"/>
        <v>#VALUE!</v>
      </c>
    </row>
    <row r="7668" spans="11:11" x14ac:dyDescent="0.25">
      <c r="K7668" s="8" t="e">
        <f t="shared" si="119"/>
        <v>#VALUE!</v>
      </c>
    </row>
    <row r="7669" spans="11:11" x14ac:dyDescent="0.25">
      <c r="K7669" s="8" t="e">
        <f t="shared" si="119"/>
        <v>#VALUE!</v>
      </c>
    </row>
    <row r="7670" spans="11:11" x14ac:dyDescent="0.25">
      <c r="K7670" s="8" t="e">
        <f t="shared" si="119"/>
        <v>#VALUE!</v>
      </c>
    </row>
    <row r="7671" spans="11:11" x14ac:dyDescent="0.25">
      <c r="K7671" s="8" t="e">
        <f t="shared" si="119"/>
        <v>#VALUE!</v>
      </c>
    </row>
    <row r="7672" spans="11:11" x14ac:dyDescent="0.25">
      <c r="K7672" s="8" t="e">
        <f t="shared" si="119"/>
        <v>#VALUE!</v>
      </c>
    </row>
    <row r="7673" spans="11:11" x14ac:dyDescent="0.25">
      <c r="K7673" s="8" t="e">
        <f t="shared" si="119"/>
        <v>#VALUE!</v>
      </c>
    </row>
    <row r="7674" spans="11:11" x14ac:dyDescent="0.25">
      <c r="K7674" s="8" t="e">
        <f t="shared" si="119"/>
        <v>#VALUE!</v>
      </c>
    </row>
    <row r="7675" spans="11:11" x14ac:dyDescent="0.25">
      <c r="K7675" s="8" t="e">
        <f t="shared" si="119"/>
        <v>#VALUE!</v>
      </c>
    </row>
    <row r="7676" spans="11:11" x14ac:dyDescent="0.25">
      <c r="K7676" s="8" t="e">
        <f t="shared" si="119"/>
        <v>#VALUE!</v>
      </c>
    </row>
    <row r="7677" spans="11:11" x14ac:dyDescent="0.25">
      <c r="K7677" s="8" t="e">
        <f t="shared" si="119"/>
        <v>#VALUE!</v>
      </c>
    </row>
    <row r="7678" spans="11:11" x14ac:dyDescent="0.25">
      <c r="K7678" s="8" t="e">
        <f t="shared" si="119"/>
        <v>#VALUE!</v>
      </c>
    </row>
    <row r="7679" spans="11:11" x14ac:dyDescent="0.25">
      <c r="K7679" s="8" t="e">
        <f t="shared" si="119"/>
        <v>#VALUE!</v>
      </c>
    </row>
    <row r="7680" spans="11:11" x14ac:dyDescent="0.25">
      <c r="K7680" s="8" t="e">
        <f t="shared" si="119"/>
        <v>#VALUE!</v>
      </c>
    </row>
    <row r="7681" spans="11:11" x14ac:dyDescent="0.25">
      <c r="K7681" s="8" t="e">
        <f t="shared" si="119"/>
        <v>#VALUE!</v>
      </c>
    </row>
    <row r="7682" spans="11:11" x14ac:dyDescent="0.25">
      <c r="K7682" s="8" t="e">
        <f t="shared" si="119"/>
        <v>#VALUE!</v>
      </c>
    </row>
    <row r="7683" spans="11:11" x14ac:dyDescent="0.25">
      <c r="K7683" s="8" t="e">
        <f t="shared" ref="K7683:K7746" si="120">LEFT(A7683,FIND("/",A7683)-1)</f>
        <v>#VALUE!</v>
      </c>
    </row>
    <row r="7684" spans="11:11" x14ac:dyDescent="0.25">
      <c r="K7684" s="8" t="e">
        <f t="shared" si="120"/>
        <v>#VALUE!</v>
      </c>
    </row>
    <row r="7685" spans="11:11" x14ac:dyDescent="0.25">
      <c r="K7685" s="8" t="e">
        <f t="shared" si="120"/>
        <v>#VALUE!</v>
      </c>
    </row>
    <row r="7686" spans="11:11" x14ac:dyDescent="0.25">
      <c r="K7686" s="8" t="e">
        <f t="shared" si="120"/>
        <v>#VALUE!</v>
      </c>
    </row>
    <row r="7687" spans="11:11" x14ac:dyDescent="0.25">
      <c r="K7687" s="8" t="e">
        <f t="shared" si="120"/>
        <v>#VALUE!</v>
      </c>
    </row>
    <row r="7688" spans="11:11" x14ac:dyDescent="0.25">
      <c r="K7688" s="8" t="e">
        <f t="shared" si="120"/>
        <v>#VALUE!</v>
      </c>
    </row>
    <row r="7689" spans="11:11" x14ac:dyDescent="0.25">
      <c r="K7689" s="8" t="e">
        <f t="shared" si="120"/>
        <v>#VALUE!</v>
      </c>
    </row>
    <row r="7690" spans="11:11" x14ac:dyDescent="0.25">
      <c r="K7690" s="8" t="e">
        <f t="shared" si="120"/>
        <v>#VALUE!</v>
      </c>
    </row>
    <row r="7691" spans="11:11" x14ac:dyDescent="0.25">
      <c r="K7691" s="8" t="e">
        <f t="shared" si="120"/>
        <v>#VALUE!</v>
      </c>
    </row>
    <row r="7692" spans="11:11" x14ac:dyDescent="0.25">
      <c r="K7692" s="8" t="e">
        <f t="shared" si="120"/>
        <v>#VALUE!</v>
      </c>
    </row>
    <row r="7693" spans="11:11" x14ac:dyDescent="0.25">
      <c r="K7693" s="8" t="e">
        <f t="shared" si="120"/>
        <v>#VALUE!</v>
      </c>
    </row>
    <row r="7694" spans="11:11" x14ac:dyDescent="0.25">
      <c r="K7694" s="8" t="e">
        <f t="shared" si="120"/>
        <v>#VALUE!</v>
      </c>
    </row>
    <row r="7695" spans="11:11" x14ac:dyDescent="0.25">
      <c r="K7695" s="8" t="e">
        <f t="shared" si="120"/>
        <v>#VALUE!</v>
      </c>
    </row>
    <row r="7696" spans="11:11" x14ac:dyDescent="0.25">
      <c r="K7696" s="8" t="e">
        <f t="shared" si="120"/>
        <v>#VALUE!</v>
      </c>
    </row>
    <row r="7697" spans="11:11" x14ac:dyDescent="0.25">
      <c r="K7697" s="8" t="e">
        <f t="shared" si="120"/>
        <v>#VALUE!</v>
      </c>
    </row>
    <row r="7698" spans="11:11" x14ac:dyDescent="0.25">
      <c r="K7698" s="8" t="e">
        <f t="shared" si="120"/>
        <v>#VALUE!</v>
      </c>
    </row>
    <row r="7699" spans="11:11" x14ac:dyDescent="0.25">
      <c r="K7699" s="8" t="e">
        <f t="shared" si="120"/>
        <v>#VALUE!</v>
      </c>
    </row>
    <row r="7700" spans="11:11" x14ac:dyDescent="0.25">
      <c r="K7700" s="8" t="e">
        <f t="shared" si="120"/>
        <v>#VALUE!</v>
      </c>
    </row>
    <row r="7701" spans="11:11" x14ac:dyDescent="0.25">
      <c r="K7701" s="8" t="e">
        <f t="shared" si="120"/>
        <v>#VALUE!</v>
      </c>
    </row>
    <row r="7702" spans="11:11" x14ac:dyDescent="0.25">
      <c r="K7702" s="8" t="e">
        <f t="shared" si="120"/>
        <v>#VALUE!</v>
      </c>
    </row>
    <row r="7703" spans="11:11" x14ac:dyDescent="0.25">
      <c r="K7703" s="8" t="e">
        <f t="shared" si="120"/>
        <v>#VALUE!</v>
      </c>
    </row>
    <row r="7704" spans="11:11" x14ac:dyDescent="0.25">
      <c r="K7704" s="8" t="e">
        <f t="shared" si="120"/>
        <v>#VALUE!</v>
      </c>
    </row>
    <row r="7705" spans="11:11" x14ac:dyDescent="0.25">
      <c r="K7705" s="8" t="e">
        <f t="shared" si="120"/>
        <v>#VALUE!</v>
      </c>
    </row>
    <row r="7706" spans="11:11" x14ac:dyDescent="0.25">
      <c r="K7706" s="8" t="e">
        <f t="shared" si="120"/>
        <v>#VALUE!</v>
      </c>
    </row>
    <row r="7707" spans="11:11" x14ac:dyDescent="0.25">
      <c r="K7707" s="8" t="e">
        <f t="shared" si="120"/>
        <v>#VALUE!</v>
      </c>
    </row>
    <row r="7708" spans="11:11" x14ac:dyDescent="0.25">
      <c r="K7708" s="8" t="e">
        <f t="shared" si="120"/>
        <v>#VALUE!</v>
      </c>
    </row>
    <row r="7709" spans="11:11" x14ac:dyDescent="0.25">
      <c r="K7709" s="8" t="e">
        <f t="shared" si="120"/>
        <v>#VALUE!</v>
      </c>
    </row>
    <row r="7710" spans="11:11" x14ac:dyDescent="0.25">
      <c r="K7710" s="8" t="e">
        <f t="shared" si="120"/>
        <v>#VALUE!</v>
      </c>
    </row>
    <row r="7711" spans="11:11" x14ac:dyDescent="0.25">
      <c r="K7711" s="8" t="e">
        <f t="shared" si="120"/>
        <v>#VALUE!</v>
      </c>
    </row>
    <row r="7712" spans="11:11" x14ac:dyDescent="0.25">
      <c r="K7712" s="8" t="e">
        <f t="shared" si="120"/>
        <v>#VALUE!</v>
      </c>
    </row>
    <row r="7713" spans="11:11" x14ac:dyDescent="0.25">
      <c r="K7713" s="8" t="e">
        <f t="shared" si="120"/>
        <v>#VALUE!</v>
      </c>
    </row>
    <row r="7714" spans="11:11" x14ac:dyDescent="0.25">
      <c r="K7714" s="8" t="e">
        <f t="shared" si="120"/>
        <v>#VALUE!</v>
      </c>
    </row>
    <row r="7715" spans="11:11" x14ac:dyDescent="0.25">
      <c r="K7715" s="8" t="e">
        <f t="shared" si="120"/>
        <v>#VALUE!</v>
      </c>
    </row>
    <row r="7716" spans="11:11" x14ac:dyDescent="0.25">
      <c r="K7716" s="8" t="e">
        <f t="shared" si="120"/>
        <v>#VALUE!</v>
      </c>
    </row>
    <row r="7717" spans="11:11" x14ac:dyDescent="0.25">
      <c r="K7717" s="8" t="e">
        <f t="shared" si="120"/>
        <v>#VALUE!</v>
      </c>
    </row>
    <row r="7718" spans="11:11" x14ac:dyDescent="0.25">
      <c r="K7718" s="8" t="e">
        <f t="shared" si="120"/>
        <v>#VALUE!</v>
      </c>
    </row>
    <row r="7719" spans="11:11" x14ac:dyDescent="0.25">
      <c r="K7719" s="8" t="e">
        <f t="shared" si="120"/>
        <v>#VALUE!</v>
      </c>
    </row>
    <row r="7720" spans="11:11" x14ac:dyDescent="0.25">
      <c r="K7720" s="8" t="e">
        <f t="shared" si="120"/>
        <v>#VALUE!</v>
      </c>
    </row>
    <row r="7721" spans="11:11" x14ac:dyDescent="0.25">
      <c r="K7721" s="8" t="e">
        <f t="shared" si="120"/>
        <v>#VALUE!</v>
      </c>
    </row>
    <row r="7722" spans="11:11" x14ac:dyDescent="0.25">
      <c r="K7722" s="8" t="e">
        <f t="shared" si="120"/>
        <v>#VALUE!</v>
      </c>
    </row>
    <row r="7723" spans="11:11" x14ac:dyDescent="0.25">
      <c r="K7723" s="8" t="e">
        <f t="shared" si="120"/>
        <v>#VALUE!</v>
      </c>
    </row>
    <row r="7724" spans="11:11" x14ac:dyDescent="0.25">
      <c r="K7724" s="8" t="e">
        <f t="shared" si="120"/>
        <v>#VALUE!</v>
      </c>
    </row>
    <row r="7725" spans="11:11" x14ac:dyDescent="0.25">
      <c r="K7725" s="8" t="e">
        <f t="shared" si="120"/>
        <v>#VALUE!</v>
      </c>
    </row>
    <row r="7726" spans="11:11" x14ac:dyDescent="0.25">
      <c r="K7726" s="8" t="e">
        <f t="shared" si="120"/>
        <v>#VALUE!</v>
      </c>
    </row>
    <row r="7727" spans="11:11" x14ac:dyDescent="0.25">
      <c r="K7727" s="8" t="e">
        <f t="shared" si="120"/>
        <v>#VALUE!</v>
      </c>
    </row>
    <row r="7728" spans="11:11" x14ac:dyDescent="0.25">
      <c r="K7728" s="8" t="e">
        <f t="shared" si="120"/>
        <v>#VALUE!</v>
      </c>
    </row>
    <row r="7729" spans="11:11" x14ac:dyDescent="0.25">
      <c r="K7729" s="8" t="e">
        <f t="shared" si="120"/>
        <v>#VALUE!</v>
      </c>
    </row>
    <row r="7730" spans="11:11" x14ac:dyDescent="0.25">
      <c r="K7730" s="8" t="e">
        <f t="shared" si="120"/>
        <v>#VALUE!</v>
      </c>
    </row>
    <row r="7731" spans="11:11" x14ac:dyDescent="0.25">
      <c r="K7731" s="8" t="e">
        <f t="shared" si="120"/>
        <v>#VALUE!</v>
      </c>
    </row>
    <row r="7732" spans="11:11" x14ac:dyDescent="0.25">
      <c r="K7732" s="8" t="e">
        <f t="shared" si="120"/>
        <v>#VALUE!</v>
      </c>
    </row>
    <row r="7733" spans="11:11" x14ac:dyDescent="0.25">
      <c r="K7733" s="8" t="e">
        <f t="shared" si="120"/>
        <v>#VALUE!</v>
      </c>
    </row>
    <row r="7734" spans="11:11" x14ac:dyDescent="0.25">
      <c r="K7734" s="8" t="e">
        <f t="shared" si="120"/>
        <v>#VALUE!</v>
      </c>
    </row>
    <row r="7735" spans="11:11" x14ac:dyDescent="0.25">
      <c r="K7735" s="8" t="e">
        <f t="shared" si="120"/>
        <v>#VALUE!</v>
      </c>
    </row>
    <row r="7736" spans="11:11" x14ac:dyDescent="0.25">
      <c r="K7736" s="8" t="e">
        <f t="shared" si="120"/>
        <v>#VALUE!</v>
      </c>
    </row>
    <row r="7737" spans="11:11" x14ac:dyDescent="0.25">
      <c r="K7737" s="8" t="e">
        <f t="shared" si="120"/>
        <v>#VALUE!</v>
      </c>
    </row>
    <row r="7738" spans="11:11" x14ac:dyDescent="0.25">
      <c r="K7738" s="8" t="e">
        <f t="shared" si="120"/>
        <v>#VALUE!</v>
      </c>
    </row>
    <row r="7739" spans="11:11" x14ac:dyDescent="0.25">
      <c r="K7739" s="8" t="e">
        <f t="shared" si="120"/>
        <v>#VALUE!</v>
      </c>
    </row>
    <row r="7740" spans="11:11" x14ac:dyDescent="0.25">
      <c r="K7740" s="8" t="e">
        <f t="shared" si="120"/>
        <v>#VALUE!</v>
      </c>
    </row>
    <row r="7741" spans="11:11" x14ac:dyDescent="0.25">
      <c r="K7741" s="8" t="e">
        <f t="shared" si="120"/>
        <v>#VALUE!</v>
      </c>
    </row>
    <row r="7742" spans="11:11" x14ac:dyDescent="0.25">
      <c r="K7742" s="8" t="e">
        <f t="shared" si="120"/>
        <v>#VALUE!</v>
      </c>
    </row>
    <row r="7743" spans="11:11" x14ac:dyDescent="0.25">
      <c r="K7743" s="8" t="e">
        <f t="shared" si="120"/>
        <v>#VALUE!</v>
      </c>
    </row>
    <row r="7744" spans="11:11" x14ac:dyDescent="0.25">
      <c r="K7744" s="8" t="e">
        <f t="shared" si="120"/>
        <v>#VALUE!</v>
      </c>
    </row>
    <row r="7745" spans="11:11" x14ac:dyDescent="0.25">
      <c r="K7745" s="8" t="e">
        <f t="shared" si="120"/>
        <v>#VALUE!</v>
      </c>
    </row>
    <row r="7746" spans="11:11" x14ac:dyDescent="0.25">
      <c r="K7746" s="8" t="e">
        <f t="shared" si="120"/>
        <v>#VALUE!</v>
      </c>
    </row>
    <row r="7747" spans="11:11" x14ac:dyDescent="0.25">
      <c r="K7747" s="8" t="e">
        <f t="shared" ref="K7747:K7810" si="121">LEFT(A7747,FIND("/",A7747)-1)</f>
        <v>#VALUE!</v>
      </c>
    </row>
    <row r="7748" spans="11:11" x14ac:dyDescent="0.25">
      <c r="K7748" s="8" t="e">
        <f t="shared" si="121"/>
        <v>#VALUE!</v>
      </c>
    </row>
    <row r="7749" spans="11:11" x14ac:dyDescent="0.25">
      <c r="K7749" s="8" t="e">
        <f t="shared" si="121"/>
        <v>#VALUE!</v>
      </c>
    </row>
    <row r="7750" spans="11:11" x14ac:dyDescent="0.25">
      <c r="K7750" s="8" t="e">
        <f t="shared" si="121"/>
        <v>#VALUE!</v>
      </c>
    </row>
    <row r="7751" spans="11:11" x14ac:dyDescent="0.25">
      <c r="K7751" s="8" t="e">
        <f t="shared" si="121"/>
        <v>#VALUE!</v>
      </c>
    </row>
    <row r="7752" spans="11:11" x14ac:dyDescent="0.25">
      <c r="K7752" s="8" t="e">
        <f t="shared" si="121"/>
        <v>#VALUE!</v>
      </c>
    </row>
    <row r="7753" spans="11:11" x14ac:dyDescent="0.25">
      <c r="K7753" s="8" t="e">
        <f t="shared" si="121"/>
        <v>#VALUE!</v>
      </c>
    </row>
    <row r="7754" spans="11:11" x14ac:dyDescent="0.25">
      <c r="K7754" s="8" t="e">
        <f t="shared" si="121"/>
        <v>#VALUE!</v>
      </c>
    </row>
    <row r="7755" spans="11:11" x14ac:dyDescent="0.25">
      <c r="K7755" s="8" t="e">
        <f t="shared" si="121"/>
        <v>#VALUE!</v>
      </c>
    </row>
    <row r="7756" spans="11:11" x14ac:dyDescent="0.25">
      <c r="K7756" s="8" t="e">
        <f t="shared" si="121"/>
        <v>#VALUE!</v>
      </c>
    </row>
    <row r="7757" spans="11:11" x14ac:dyDescent="0.25">
      <c r="K7757" s="8" t="e">
        <f t="shared" si="121"/>
        <v>#VALUE!</v>
      </c>
    </row>
    <row r="7758" spans="11:11" x14ac:dyDescent="0.25">
      <c r="K7758" s="8" t="e">
        <f t="shared" si="121"/>
        <v>#VALUE!</v>
      </c>
    </row>
    <row r="7759" spans="11:11" x14ac:dyDescent="0.25">
      <c r="K7759" s="8" t="e">
        <f t="shared" si="121"/>
        <v>#VALUE!</v>
      </c>
    </row>
    <row r="7760" spans="11:11" x14ac:dyDescent="0.25">
      <c r="K7760" s="8" t="e">
        <f t="shared" si="121"/>
        <v>#VALUE!</v>
      </c>
    </row>
    <row r="7761" spans="11:11" x14ac:dyDescent="0.25">
      <c r="K7761" s="8" t="e">
        <f t="shared" si="121"/>
        <v>#VALUE!</v>
      </c>
    </row>
    <row r="7762" spans="11:11" x14ac:dyDescent="0.25">
      <c r="K7762" s="8" t="e">
        <f t="shared" si="121"/>
        <v>#VALUE!</v>
      </c>
    </row>
    <row r="7763" spans="11:11" x14ac:dyDescent="0.25">
      <c r="K7763" s="8" t="e">
        <f t="shared" si="121"/>
        <v>#VALUE!</v>
      </c>
    </row>
    <row r="7764" spans="11:11" x14ac:dyDescent="0.25">
      <c r="K7764" s="8" t="e">
        <f t="shared" si="121"/>
        <v>#VALUE!</v>
      </c>
    </row>
    <row r="7765" spans="11:11" x14ac:dyDescent="0.25">
      <c r="K7765" s="8" t="e">
        <f t="shared" si="121"/>
        <v>#VALUE!</v>
      </c>
    </row>
    <row r="7766" spans="11:11" x14ac:dyDescent="0.25">
      <c r="K7766" s="8" t="e">
        <f t="shared" si="121"/>
        <v>#VALUE!</v>
      </c>
    </row>
    <row r="7767" spans="11:11" x14ac:dyDescent="0.25">
      <c r="K7767" s="8" t="e">
        <f t="shared" si="121"/>
        <v>#VALUE!</v>
      </c>
    </row>
    <row r="7768" spans="11:11" x14ac:dyDescent="0.25">
      <c r="K7768" s="8" t="e">
        <f t="shared" si="121"/>
        <v>#VALUE!</v>
      </c>
    </row>
    <row r="7769" spans="11:11" x14ac:dyDescent="0.25">
      <c r="K7769" s="8" t="e">
        <f t="shared" si="121"/>
        <v>#VALUE!</v>
      </c>
    </row>
    <row r="7770" spans="11:11" x14ac:dyDescent="0.25">
      <c r="K7770" s="8" t="e">
        <f t="shared" si="121"/>
        <v>#VALUE!</v>
      </c>
    </row>
    <row r="7771" spans="11:11" x14ac:dyDescent="0.25">
      <c r="K7771" s="8" t="e">
        <f t="shared" si="121"/>
        <v>#VALUE!</v>
      </c>
    </row>
    <row r="7772" spans="11:11" x14ac:dyDescent="0.25">
      <c r="K7772" s="8" t="e">
        <f t="shared" si="121"/>
        <v>#VALUE!</v>
      </c>
    </row>
    <row r="7773" spans="11:11" x14ac:dyDescent="0.25">
      <c r="K7773" s="8" t="e">
        <f t="shared" si="121"/>
        <v>#VALUE!</v>
      </c>
    </row>
    <row r="7774" spans="11:11" x14ac:dyDescent="0.25">
      <c r="K7774" s="8" t="e">
        <f t="shared" si="121"/>
        <v>#VALUE!</v>
      </c>
    </row>
    <row r="7775" spans="11:11" x14ac:dyDescent="0.25">
      <c r="K7775" s="8" t="e">
        <f t="shared" si="121"/>
        <v>#VALUE!</v>
      </c>
    </row>
    <row r="7776" spans="11:11" x14ac:dyDescent="0.25">
      <c r="K7776" s="8" t="e">
        <f t="shared" si="121"/>
        <v>#VALUE!</v>
      </c>
    </row>
    <row r="7777" spans="11:11" x14ac:dyDescent="0.25">
      <c r="K7777" s="8" t="e">
        <f t="shared" si="121"/>
        <v>#VALUE!</v>
      </c>
    </row>
    <row r="7778" spans="11:11" x14ac:dyDescent="0.25">
      <c r="K7778" s="8" t="e">
        <f t="shared" si="121"/>
        <v>#VALUE!</v>
      </c>
    </row>
    <row r="7779" spans="11:11" x14ac:dyDescent="0.25">
      <c r="K7779" s="8" t="e">
        <f t="shared" si="121"/>
        <v>#VALUE!</v>
      </c>
    </row>
    <row r="7780" spans="11:11" x14ac:dyDescent="0.25">
      <c r="K7780" s="8" t="e">
        <f t="shared" si="121"/>
        <v>#VALUE!</v>
      </c>
    </row>
    <row r="7781" spans="11:11" x14ac:dyDescent="0.25">
      <c r="K7781" s="8" t="e">
        <f t="shared" si="121"/>
        <v>#VALUE!</v>
      </c>
    </row>
    <row r="7782" spans="11:11" x14ac:dyDescent="0.25">
      <c r="K7782" s="8" t="e">
        <f t="shared" si="121"/>
        <v>#VALUE!</v>
      </c>
    </row>
    <row r="7783" spans="11:11" x14ac:dyDescent="0.25">
      <c r="K7783" s="8" t="e">
        <f t="shared" si="121"/>
        <v>#VALUE!</v>
      </c>
    </row>
    <row r="7784" spans="11:11" x14ac:dyDescent="0.25">
      <c r="K7784" s="8" t="e">
        <f t="shared" si="121"/>
        <v>#VALUE!</v>
      </c>
    </row>
    <row r="7785" spans="11:11" x14ac:dyDescent="0.25">
      <c r="K7785" s="8" t="e">
        <f t="shared" si="121"/>
        <v>#VALUE!</v>
      </c>
    </row>
    <row r="7786" spans="11:11" x14ac:dyDescent="0.25">
      <c r="K7786" s="8" t="e">
        <f t="shared" si="121"/>
        <v>#VALUE!</v>
      </c>
    </row>
    <row r="7787" spans="11:11" x14ac:dyDescent="0.25">
      <c r="K7787" s="8" t="e">
        <f t="shared" si="121"/>
        <v>#VALUE!</v>
      </c>
    </row>
    <row r="7788" spans="11:11" x14ac:dyDescent="0.25">
      <c r="K7788" s="8" t="e">
        <f t="shared" si="121"/>
        <v>#VALUE!</v>
      </c>
    </row>
    <row r="7789" spans="11:11" x14ac:dyDescent="0.25">
      <c r="K7789" s="8" t="e">
        <f t="shared" si="121"/>
        <v>#VALUE!</v>
      </c>
    </row>
    <row r="7790" spans="11:11" x14ac:dyDescent="0.25">
      <c r="K7790" s="8" t="e">
        <f t="shared" si="121"/>
        <v>#VALUE!</v>
      </c>
    </row>
    <row r="7791" spans="11:11" x14ac:dyDescent="0.25">
      <c r="K7791" s="8" t="e">
        <f t="shared" si="121"/>
        <v>#VALUE!</v>
      </c>
    </row>
    <row r="7792" spans="11:11" x14ac:dyDescent="0.25">
      <c r="K7792" s="8" t="e">
        <f t="shared" si="121"/>
        <v>#VALUE!</v>
      </c>
    </row>
    <row r="7793" spans="11:11" x14ac:dyDescent="0.25">
      <c r="K7793" s="8" t="e">
        <f t="shared" si="121"/>
        <v>#VALUE!</v>
      </c>
    </row>
    <row r="7794" spans="11:11" x14ac:dyDescent="0.25">
      <c r="K7794" s="8" t="e">
        <f t="shared" si="121"/>
        <v>#VALUE!</v>
      </c>
    </row>
    <row r="7795" spans="11:11" x14ac:dyDescent="0.25">
      <c r="K7795" s="8" t="e">
        <f t="shared" si="121"/>
        <v>#VALUE!</v>
      </c>
    </row>
    <row r="7796" spans="11:11" x14ac:dyDescent="0.25">
      <c r="K7796" s="8" t="e">
        <f t="shared" si="121"/>
        <v>#VALUE!</v>
      </c>
    </row>
    <row r="7797" spans="11:11" x14ac:dyDescent="0.25">
      <c r="K7797" s="8" t="e">
        <f t="shared" si="121"/>
        <v>#VALUE!</v>
      </c>
    </row>
    <row r="7798" spans="11:11" x14ac:dyDescent="0.25">
      <c r="K7798" s="8" t="e">
        <f t="shared" si="121"/>
        <v>#VALUE!</v>
      </c>
    </row>
    <row r="7799" spans="11:11" x14ac:dyDescent="0.25">
      <c r="K7799" s="8" t="e">
        <f t="shared" si="121"/>
        <v>#VALUE!</v>
      </c>
    </row>
    <row r="7800" spans="11:11" x14ac:dyDescent="0.25">
      <c r="K7800" s="8" t="e">
        <f t="shared" si="121"/>
        <v>#VALUE!</v>
      </c>
    </row>
    <row r="7801" spans="11:11" x14ac:dyDescent="0.25">
      <c r="K7801" s="8" t="e">
        <f t="shared" si="121"/>
        <v>#VALUE!</v>
      </c>
    </row>
    <row r="7802" spans="11:11" x14ac:dyDescent="0.25">
      <c r="K7802" s="8" t="e">
        <f t="shared" si="121"/>
        <v>#VALUE!</v>
      </c>
    </row>
    <row r="7803" spans="11:11" x14ac:dyDescent="0.25">
      <c r="K7803" s="8" t="e">
        <f t="shared" si="121"/>
        <v>#VALUE!</v>
      </c>
    </row>
    <row r="7804" spans="11:11" x14ac:dyDescent="0.25">
      <c r="K7804" s="8" t="e">
        <f t="shared" si="121"/>
        <v>#VALUE!</v>
      </c>
    </row>
    <row r="7805" spans="11:11" x14ac:dyDescent="0.25">
      <c r="K7805" s="8" t="e">
        <f t="shared" si="121"/>
        <v>#VALUE!</v>
      </c>
    </row>
    <row r="7806" spans="11:11" x14ac:dyDescent="0.25">
      <c r="K7806" s="8" t="e">
        <f t="shared" si="121"/>
        <v>#VALUE!</v>
      </c>
    </row>
    <row r="7807" spans="11:11" x14ac:dyDescent="0.25">
      <c r="K7807" s="8" t="e">
        <f t="shared" si="121"/>
        <v>#VALUE!</v>
      </c>
    </row>
    <row r="7808" spans="11:11" x14ac:dyDescent="0.25">
      <c r="K7808" s="8" t="e">
        <f t="shared" si="121"/>
        <v>#VALUE!</v>
      </c>
    </row>
    <row r="7809" spans="11:11" x14ac:dyDescent="0.25">
      <c r="K7809" s="8" t="e">
        <f t="shared" si="121"/>
        <v>#VALUE!</v>
      </c>
    </row>
    <row r="7810" spans="11:11" x14ac:dyDescent="0.25">
      <c r="K7810" s="8" t="e">
        <f t="shared" si="121"/>
        <v>#VALUE!</v>
      </c>
    </row>
    <row r="7811" spans="11:11" x14ac:dyDescent="0.25">
      <c r="K7811" s="8" t="e">
        <f t="shared" ref="K7811:K7874" si="122">LEFT(A7811,FIND("/",A7811)-1)</f>
        <v>#VALUE!</v>
      </c>
    </row>
    <row r="7812" spans="11:11" x14ac:dyDescent="0.25">
      <c r="K7812" s="8" t="e">
        <f t="shared" si="122"/>
        <v>#VALUE!</v>
      </c>
    </row>
    <row r="7813" spans="11:11" x14ac:dyDescent="0.25">
      <c r="K7813" s="8" t="e">
        <f t="shared" si="122"/>
        <v>#VALUE!</v>
      </c>
    </row>
    <row r="7814" spans="11:11" x14ac:dyDescent="0.25">
      <c r="K7814" s="8" t="e">
        <f t="shared" si="122"/>
        <v>#VALUE!</v>
      </c>
    </row>
    <row r="7815" spans="11:11" x14ac:dyDescent="0.25">
      <c r="K7815" s="8" t="e">
        <f t="shared" si="122"/>
        <v>#VALUE!</v>
      </c>
    </row>
    <row r="7816" spans="11:11" x14ac:dyDescent="0.25">
      <c r="K7816" s="8" t="e">
        <f t="shared" si="122"/>
        <v>#VALUE!</v>
      </c>
    </row>
    <row r="7817" spans="11:11" x14ac:dyDescent="0.25">
      <c r="K7817" s="8" t="e">
        <f t="shared" si="122"/>
        <v>#VALUE!</v>
      </c>
    </row>
    <row r="7818" spans="11:11" x14ac:dyDescent="0.25">
      <c r="K7818" s="8" t="e">
        <f t="shared" si="122"/>
        <v>#VALUE!</v>
      </c>
    </row>
    <row r="7819" spans="11:11" x14ac:dyDescent="0.25">
      <c r="K7819" s="8" t="e">
        <f t="shared" si="122"/>
        <v>#VALUE!</v>
      </c>
    </row>
    <row r="7820" spans="11:11" x14ac:dyDescent="0.25">
      <c r="K7820" s="8" t="e">
        <f t="shared" si="122"/>
        <v>#VALUE!</v>
      </c>
    </row>
    <row r="7821" spans="11:11" x14ac:dyDescent="0.25">
      <c r="K7821" s="8" t="e">
        <f t="shared" si="122"/>
        <v>#VALUE!</v>
      </c>
    </row>
    <row r="7822" spans="11:11" x14ac:dyDescent="0.25">
      <c r="K7822" s="8" t="e">
        <f t="shared" si="122"/>
        <v>#VALUE!</v>
      </c>
    </row>
    <row r="7823" spans="11:11" x14ac:dyDescent="0.25">
      <c r="K7823" s="8" t="e">
        <f t="shared" si="122"/>
        <v>#VALUE!</v>
      </c>
    </row>
    <row r="7824" spans="11:11" x14ac:dyDescent="0.25">
      <c r="K7824" s="8" t="e">
        <f t="shared" si="122"/>
        <v>#VALUE!</v>
      </c>
    </row>
    <row r="7825" spans="11:11" x14ac:dyDescent="0.25">
      <c r="K7825" s="8" t="e">
        <f t="shared" si="122"/>
        <v>#VALUE!</v>
      </c>
    </row>
    <row r="7826" spans="11:11" x14ac:dyDescent="0.25">
      <c r="K7826" s="8" t="e">
        <f t="shared" si="122"/>
        <v>#VALUE!</v>
      </c>
    </row>
    <row r="7827" spans="11:11" x14ac:dyDescent="0.25">
      <c r="K7827" s="8" t="e">
        <f t="shared" si="122"/>
        <v>#VALUE!</v>
      </c>
    </row>
    <row r="7828" spans="11:11" x14ac:dyDescent="0.25">
      <c r="K7828" s="8" t="e">
        <f t="shared" si="122"/>
        <v>#VALUE!</v>
      </c>
    </row>
    <row r="7829" spans="11:11" x14ac:dyDescent="0.25">
      <c r="K7829" s="8" t="e">
        <f t="shared" si="122"/>
        <v>#VALUE!</v>
      </c>
    </row>
    <row r="7830" spans="11:11" x14ac:dyDescent="0.25">
      <c r="K7830" s="8" t="e">
        <f t="shared" si="122"/>
        <v>#VALUE!</v>
      </c>
    </row>
    <row r="7831" spans="11:11" x14ac:dyDescent="0.25">
      <c r="K7831" s="8" t="e">
        <f t="shared" si="122"/>
        <v>#VALUE!</v>
      </c>
    </row>
    <row r="7832" spans="11:11" x14ac:dyDescent="0.25">
      <c r="K7832" s="8" t="e">
        <f t="shared" si="122"/>
        <v>#VALUE!</v>
      </c>
    </row>
    <row r="7833" spans="11:11" x14ac:dyDescent="0.25">
      <c r="K7833" s="8" t="e">
        <f t="shared" si="122"/>
        <v>#VALUE!</v>
      </c>
    </row>
    <row r="7834" spans="11:11" x14ac:dyDescent="0.25">
      <c r="K7834" s="8" t="e">
        <f t="shared" si="122"/>
        <v>#VALUE!</v>
      </c>
    </row>
    <row r="7835" spans="11:11" x14ac:dyDescent="0.25">
      <c r="K7835" s="8" t="e">
        <f t="shared" si="122"/>
        <v>#VALUE!</v>
      </c>
    </row>
    <row r="7836" spans="11:11" x14ac:dyDescent="0.25">
      <c r="K7836" s="8" t="e">
        <f t="shared" si="122"/>
        <v>#VALUE!</v>
      </c>
    </row>
    <row r="7837" spans="11:11" x14ac:dyDescent="0.25">
      <c r="K7837" s="8" t="e">
        <f t="shared" si="122"/>
        <v>#VALUE!</v>
      </c>
    </row>
    <row r="7838" spans="11:11" x14ac:dyDescent="0.25">
      <c r="K7838" s="8" t="e">
        <f t="shared" si="122"/>
        <v>#VALUE!</v>
      </c>
    </row>
    <row r="7839" spans="11:11" x14ac:dyDescent="0.25">
      <c r="K7839" s="8" t="e">
        <f t="shared" si="122"/>
        <v>#VALUE!</v>
      </c>
    </row>
    <row r="7840" spans="11:11" x14ac:dyDescent="0.25">
      <c r="K7840" s="8" t="e">
        <f t="shared" si="122"/>
        <v>#VALUE!</v>
      </c>
    </row>
    <row r="7841" spans="11:11" x14ac:dyDescent="0.25">
      <c r="K7841" s="8" t="e">
        <f t="shared" si="122"/>
        <v>#VALUE!</v>
      </c>
    </row>
    <row r="7842" spans="11:11" x14ac:dyDescent="0.25">
      <c r="K7842" s="8" t="e">
        <f t="shared" si="122"/>
        <v>#VALUE!</v>
      </c>
    </row>
    <row r="7843" spans="11:11" x14ac:dyDescent="0.25">
      <c r="K7843" s="8" t="e">
        <f t="shared" si="122"/>
        <v>#VALUE!</v>
      </c>
    </row>
    <row r="7844" spans="11:11" x14ac:dyDescent="0.25">
      <c r="K7844" s="8" t="e">
        <f t="shared" si="122"/>
        <v>#VALUE!</v>
      </c>
    </row>
    <row r="7845" spans="11:11" x14ac:dyDescent="0.25">
      <c r="K7845" s="8" t="e">
        <f t="shared" si="122"/>
        <v>#VALUE!</v>
      </c>
    </row>
    <row r="7846" spans="11:11" x14ac:dyDescent="0.25">
      <c r="K7846" s="8" t="e">
        <f t="shared" si="122"/>
        <v>#VALUE!</v>
      </c>
    </row>
    <row r="7847" spans="11:11" x14ac:dyDescent="0.25">
      <c r="K7847" s="8" t="e">
        <f t="shared" si="122"/>
        <v>#VALUE!</v>
      </c>
    </row>
    <row r="7848" spans="11:11" x14ac:dyDescent="0.25">
      <c r="K7848" s="8" t="e">
        <f t="shared" si="122"/>
        <v>#VALUE!</v>
      </c>
    </row>
    <row r="7849" spans="11:11" x14ac:dyDescent="0.25">
      <c r="K7849" s="8" t="e">
        <f t="shared" si="122"/>
        <v>#VALUE!</v>
      </c>
    </row>
    <row r="7850" spans="11:11" x14ac:dyDescent="0.25">
      <c r="K7850" s="8" t="e">
        <f t="shared" si="122"/>
        <v>#VALUE!</v>
      </c>
    </row>
    <row r="7851" spans="11:11" x14ac:dyDescent="0.25">
      <c r="K7851" s="8" t="e">
        <f t="shared" si="122"/>
        <v>#VALUE!</v>
      </c>
    </row>
    <row r="7852" spans="11:11" x14ac:dyDescent="0.25">
      <c r="K7852" s="8" t="e">
        <f t="shared" si="122"/>
        <v>#VALUE!</v>
      </c>
    </row>
    <row r="7853" spans="11:11" x14ac:dyDescent="0.25">
      <c r="K7853" s="8" t="e">
        <f t="shared" si="122"/>
        <v>#VALUE!</v>
      </c>
    </row>
    <row r="7854" spans="11:11" x14ac:dyDescent="0.25">
      <c r="K7854" s="8" t="e">
        <f t="shared" si="122"/>
        <v>#VALUE!</v>
      </c>
    </row>
    <row r="7855" spans="11:11" x14ac:dyDescent="0.25">
      <c r="K7855" s="8" t="e">
        <f t="shared" si="122"/>
        <v>#VALUE!</v>
      </c>
    </row>
    <row r="7856" spans="11:11" x14ac:dyDescent="0.25">
      <c r="K7856" s="8" t="e">
        <f t="shared" si="122"/>
        <v>#VALUE!</v>
      </c>
    </row>
    <row r="7857" spans="11:11" x14ac:dyDescent="0.25">
      <c r="K7857" s="8" t="e">
        <f t="shared" si="122"/>
        <v>#VALUE!</v>
      </c>
    </row>
    <row r="7858" spans="11:11" x14ac:dyDescent="0.25">
      <c r="K7858" s="8" t="e">
        <f t="shared" si="122"/>
        <v>#VALUE!</v>
      </c>
    </row>
    <row r="7859" spans="11:11" x14ac:dyDescent="0.25">
      <c r="K7859" s="8" t="e">
        <f t="shared" si="122"/>
        <v>#VALUE!</v>
      </c>
    </row>
    <row r="7860" spans="11:11" x14ac:dyDescent="0.25">
      <c r="K7860" s="8" t="e">
        <f t="shared" si="122"/>
        <v>#VALUE!</v>
      </c>
    </row>
    <row r="7861" spans="11:11" x14ac:dyDescent="0.25">
      <c r="K7861" s="8" t="e">
        <f t="shared" si="122"/>
        <v>#VALUE!</v>
      </c>
    </row>
    <row r="7862" spans="11:11" x14ac:dyDescent="0.25">
      <c r="K7862" s="8" t="e">
        <f t="shared" si="122"/>
        <v>#VALUE!</v>
      </c>
    </row>
    <row r="7863" spans="11:11" x14ac:dyDescent="0.25">
      <c r="K7863" s="8" t="e">
        <f t="shared" si="122"/>
        <v>#VALUE!</v>
      </c>
    </row>
    <row r="7864" spans="11:11" x14ac:dyDescent="0.25">
      <c r="K7864" s="8" t="e">
        <f t="shared" si="122"/>
        <v>#VALUE!</v>
      </c>
    </row>
    <row r="7865" spans="11:11" x14ac:dyDescent="0.25">
      <c r="K7865" s="8" t="e">
        <f t="shared" si="122"/>
        <v>#VALUE!</v>
      </c>
    </row>
    <row r="7866" spans="11:11" x14ac:dyDescent="0.25">
      <c r="K7866" s="8" t="e">
        <f t="shared" si="122"/>
        <v>#VALUE!</v>
      </c>
    </row>
    <row r="7867" spans="11:11" x14ac:dyDescent="0.25">
      <c r="K7867" s="8" t="e">
        <f t="shared" si="122"/>
        <v>#VALUE!</v>
      </c>
    </row>
    <row r="7868" spans="11:11" x14ac:dyDescent="0.25">
      <c r="K7868" s="8" t="e">
        <f t="shared" si="122"/>
        <v>#VALUE!</v>
      </c>
    </row>
    <row r="7869" spans="11:11" x14ac:dyDescent="0.25">
      <c r="K7869" s="8" t="e">
        <f t="shared" si="122"/>
        <v>#VALUE!</v>
      </c>
    </row>
    <row r="7870" spans="11:11" x14ac:dyDescent="0.25">
      <c r="K7870" s="8" t="e">
        <f t="shared" si="122"/>
        <v>#VALUE!</v>
      </c>
    </row>
    <row r="7871" spans="11:11" x14ac:dyDescent="0.25">
      <c r="K7871" s="8" t="e">
        <f t="shared" si="122"/>
        <v>#VALUE!</v>
      </c>
    </row>
    <row r="7872" spans="11:11" x14ac:dyDescent="0.25">
      <c r="K7872" s="8" t="e">
        <f t="shared" si="122"/>
        <v>#VALUE!</v>
      </c>
    </row>
    <row r="7873" spans="11:11" x14ac:dyDescent="0.25">
      <c r="K7873" s="8" t="e">
        <f t="shared" si="122"/>
        <v>#VALUE!</v>
      </c>
    </row>
    <row r="7874" spans="11:11" x14ac:dyDescent="0.25">
      <c r="K7874" s="8" t="e">
        <f t="shared" si="122"/>
        <v>#VALUE!</v>
      </c>
    </row>
    <row r="7875" spans="11:11" x14ac:dyDescent="0.25">
      <c r="K7875" s="8" t="e">
        <f t="shared" ref="K7875:K7938" si="123">LEFT(A7875,FIND("/",A7875)-1)</f>
        <v>#VALUE!</v>
      </c>
    </row>
    <row r="7876" spans="11:11" x14ac:dyDescent="0.25">
      <c r="K7876" s="8" t="e">
        <f t="shared" si="123"/>
        <v>#VALUE!</v>
      </c>
    </row>
    <row r="7877" spans="11:11" x14ac:dyDescent="0.25">
      <c r="K7877" s="8" t="e">
        <f t="shared" si="123"/>
        <v>#VALUE!</v>
      </c>
    </row>
    <row r="7878" spans="11:11" x14ac:dyDescent="0.25">
      <c r="K7878" s="8" t="e">
        <f t="shared" si="123"/>
        <v>#VALUE!</v>
      </c>
    </row>
    <row r="7879" spans="11:11" x14ac:dyDescent="0.25">
      <c r="K7879" s="8" t="e">
        <f t="shared" si="123"/>
        <v>#VALUE!</v>
      </c>
    </row>
    <row r="7880" spans="11:11" x14ac:dyDescent="0.25">
      <c r="K7880" s="8" t="e">
        <f t="shared" si="123"/>
        <v>#VALUE!</v>
      </c>
    </row>
    <row r="7881" spans="11:11" x14ac:dyDescent="0.25">
      <c r="K7881" s="8" t="e">
        <f t="shared" si="123"/>
        <v>#VALUE!</v>
      </c>
    </row>
    <row r="7882" spans="11:11" x14ac:dyDescent="0.25">
      <c r="K7882" s="8" t="e">
        <f t="shared" si="123"/>
        <v>#VALUE!</v>
      </c>
    </row>
    <row r="7883" spans="11:11" x14ac:dyDescent="0.25">
      <c r="K7883" s="8" t="e">
        <f t="shared" si="123"/>
        <v>#VALUE!</v>
      </c>
    </row>
    <row r="7884" spans="11:11" x14ac:dyDescent="0.25">
      <c r="K7884" s="8" t="e">
        <f t="shared" si="123"/>
        <v>#VALUE!</v>
      </c>
    </row>
    <row r="7885" spans="11:11" x14ac:dyDescent="0.25">
      <c r="K7885" s="8" t="e">
        <f t="shared" si="123"/>
        <v>#VALUE!</v>
      </c>
    </row>
    <row r="7886" spans="11:11" x14ac:dyDescent="0.25">
      <c r="K7886" s="8" t="e">
        <f t="shared" si="123"/>
        <v>#VALUE!</v>
      </c>
    </row>
    <row r="7887" spans="11:11" x14ac:dyDescent="0.25">
      <c r="K7887" s="8" t="e">
        <f t="shared" si="123"/>
        <v>#VALUE!</v>
      </c>
    </row>
    <row r="7888" spans="11:11" x14ac:dyDescent="0.25">
      <c r="K7888" s="8" t="e">
        <f t="shared" si="123"/>
        <v>#VALUE!</v>
      </c>
    </row>
    <row r="7889" spans="11:11" x14ac:dyDescent="0.25">
      <c r="K7889" s="8" t="e">
        <f t="shared" si="123"/>
        <v>#VALUE!</v>
      </c>
    </row>
    <row r="7890" spans="11:11" x14ac:dyDescent="0.25">
      <c r="K7890" s="8" t="e">
        <f t="shared" si="123"/>
        <v>#VALUE!</v>
      </c>
    </row>
    <row r="7891" spans="11:11" x14ac:dyDescent="0.25">
      <c r="K7891" s="8" t="e">
        <f t="shared" si="123"/>
        <v>#VALUE!</v>
      </c>
    </row>
    <row r="7892" spans="11:11" x14ac:dyDescent="0.25">
      <c r="K7892" s="8" t="e">
        <f t="shared" si="123"/>
        <v>#VALUE!</v>
      </c>
    </row>
    <row r="7893" spans="11:11" x14ac:dyDescent="0.25">
      <c r="K7893" s="8" t="e">
        <f t="shared" si="123"/>
        <v>#VALUE!</v>
      </c>
    </row>
    <row r="7894" spans="11:11" x14ac:dyDescent="0.25">
      <c r="K7894" s="8" t="e">
        <f t="shared" si="123"/>
        <v>#VALUE!</v>
      </c>
    </row>
    <row r="7895" spans="11:11" x14ac:dyDescent="0.25">
      <c r="K7895" s="8" t="e">
        <f t="shared" si="123"/>
        <v>#VALUE!</v>
      </c>
    </row>
    <row r="7896" spans="11:11" x14ac:dyDescent="0.25">
      <c r="K7896" s="8" t="e">
        <f t="shared" si="123"/>
        <v>#VALUE!</v>
      </c>
    </row>
    <row r="7897" spans="11:11" x14ac:dyDescent="0.25">
      <c r="K7897" s="8" t="e">
        <f t="shared" si="123"/>
        <v>#VALUE!</v>
      </c>
    </row>
    <row r="7898" spans="11:11" x14ac:dyDescent="0.25">
      <c r="K7898" s="8" t="e">
        <f t="shared" si="123"/>
        <v>#VALUE!</v>
      </c>
    </row>
    <row r="7899" spans="11:11" x14ac:dyDescent="0.25">
      <c r="K7899" s="8" t="e">
        <f t="shared" si="123"/>
        <v>#VALUE!</v>
      </c>
    </row>
    <row r="7900" spans="11:11" x14ac:dyDescent="0.25">
      <c r="K7900" s="8" t="e">
        <f t="shared" si="123"/>
        <v>#VALUE!</v>
      </c>
    </row>
    <row r="7901" spans="11:11" x14ac:dyDescent="0.25">
      <c r="K7901" s="8" t="e">
        <f t="shared" si="123"/>
        <v>#VALUE!</v>
      </c>
    </row>
    <row r="7902" spans="11:11" x14ac:dyDescent="0.25">
      <c r="K7902" s="8" t="e">
        <f t="shared" si="123"/>
        <v>#VALUE!</v>
      </c>
    </row>
    <row r="7903" spans="11:11" x14ac:dyDescent="0.25">
      <c r="K7903" s="8" t="e">
        <f t="shared" si="123"/>
        <v>#VALUE!</v>
      </c>
    </row>
    <row r="7904" spans="11:11" x14ac:dyDescent="0.25">
      <c r="K7904" s="8" t="e">
        <f t="shared" si="123"/>
        <v>#VALUE!</v>
      </c>
    </row>
    <row r="7905" spans="11:11" x14ac:dyDescent="0.25">
      <c r="K7905" s="8" t="e">
        <f t="shared" si="123"/>
        <v>#VALUE!</v>
      </c>
    </row>
    <row r="7906" spans="11:11" x14ac:dyDescent="0.25">
      <c r="K7906" s="8" t="e">
        <f t="shared" si="123"/>
        <v>#VALUE!</v>
      </c>
    </row>
    <row r="7907" spans="11:11" x14ac:dyDescent="0.25">
      <c r="K7907" s="8" t="e">
        <f t="shared" si="123"/>
        <v>#VALUE!</v>
      </c>
    </row>
    <row r="7908" spans="11:11" x14ac:dyDescent="0.25">
      <c r="K7908" s="8" t="e">
        <f t="shared" si="123"/>
        <v>#VALUE!</v>
      </c>
    </row>
    <row r="7909" spans="11:11" x14ac:dyDescent="0.25">
      <c r="K7909" s="8" t="e">
        <f t="shared" si="123"/>
        <v>#VALUE!</v>
      </c>
    </row>
    <row r="7910" spans="11:11" x14ac:dyDescent="0.25">
      <c r="K7910" s="8" t="e">
        <f t="shared" si="123"/>
        <v>#VALUE!</v>
      </c>
    </row>
    <row r="7911" spans="11:11" x14ac:dyDescent="0.25">
      <c r="K7911" s="8" t="e">
        <f t="shared" si="123"/>
        <v>#VALUE!</v>
      </c>
    </row>
    <row r="7912" spans="11:11" x14ac:dyDescent="0.25">
      <c r="K7912" s="8" t="e">
        <f t="shared" si="123"/>
        <v>#VALUE!</v>
      </c>
    </row>
    <row r="7913" spans="11:11" x14ac:dyDescent="0.25">
      <c r="K7913" s="8" t="e">
        <f t="shared" si="123"/>
        <v>#VALUE!</v>
      </c>
    </row>
    <row r="7914" spans="11:11" x14ac:dyDescent="0.25">
      <c r="K7914" s="8" t="e">
        <f t="shared" si="123"/>
        <v>#VALUE!</v>
      </c>
    </row>
    <row r="7915" spans="11:11" x14ac:dyDescent="0.25">
      <c r="K7915" s="8" t="e">
        <f t="shared" si="123"/>
        <v>#VALUE!</v>
      </c>
    </row>
    <row r="7916" spans="11:11" x14ac:dyDescent="0.25">
      <c r="K7916" s="8" t="e">
        <f t="shared" si="123"/>
        <v>#VALUE!</v>
      </c>
    </row>
    <row r="7917" spans="11:11" x14ac:dyDescent="0.25">
      <c r="K7917" s="8" t="e">
        <f t="shared" si="123"/>
        <v>#VALUE!</v>
      </c>
    </row>
    <row r="7918" spans="11:11" x14ac:dyDescent="0.25">
      <c r="K7918" s="8" t="e">
        <f t="shared" si="123"/>
        <v>#VALUE!</v>
      </c>
    </row>
    <row r="7919" spans="11:11" x14ac:dyDescent="0.25">
      <c r="K7919" s="8" t="e">
        <f t="shared" si="123"/>
        <v>#VALUE!</v>
      </c>
    </row>
    <row r="7920" spans="11:11" x14ac:dyDescent="0.25">
      <c r="K7920" s="8" t="e">
        <f t="shared" si="123"/>
        <v>#VALUE!</v>
      </c>
    </row>
    <row r="7921" spans="11:11" x14ac:dyDescent="0.25">
      <c r="K7921" s="8" t="e">
        <f t="shared" si="123"/>
        <v>#VALUE!</v>
      </c>
    </row>
    <row r="7922" spans="11:11" x14ac:dyDescent="0.25">
      <c r="K7922" s="8" t="e">
        <f t="shared" si="123"/>
        <v>#VALUE!</v>
      </c>
    </row>
    <row r="7923" spans="11:11" x14ac:dyDescent="0.25">
      <c r="K7923" s="8" t="e">
        <f t="shared" si="123"/>
        <v>#VALUE!</v>
      </c>
    </row>
    <row r="7924" spans="11:11" x14ac:dyDescent="0.25">
      <c r="K7924" s="8" t="e">
        <f t="shared" si="123"/>
        <v>#VALUE!</v>
      </c>
    </row>
    <row r="7925" spans="11:11" x14ac:dyDescent="0.25">
      <c r="K7925" s="8" t="e">
        <f t="shared" si="123"/>
        <v>#VALUE!</v>
      </c>
    </row>
    <row r="7926" spans="11:11" x14ac:dyDescent="0.25">
      <c r="K7926" s="8" t="e">
        <f t="shared" si="123"/>
        <v>#VALUE!</v>
      </c>
    </row>
    <row r="7927" spans="11:11" x14ac:dyDescent="0.25">
      <c r="K7927" s="8" t="e">
        <f t="shared" si="123"/>
        <v>#VALUE!</v>
      </c>
    </row>
    <row r="7928" spans="11:11" x14ac:dyDescent="0.25">
      <c r="K7928" s="8" t="e">
        <f t="shared" si="123"/>
        <v>#VALUE!</v>
      </c>
    </row>
    <row r="7929" spans="11:11" x14ac:dyDescent="0.25">
      <c r="K7929" s="8" t="e">
        <f t="shared" si="123"/>
        <v>#VALUE!</v>
      </c>
    </row>
    <row r="7930" spans="11:11" x14ac:dyDescent="0.25">
      <c r="K7930" s="8" t="e">
        <f t="shared" si="123"/>
        <v>#VALUE!</v>
      </c>
    </row>
    <row r="7931" spans="11:11" x14ac:dyDescent="0.25">
      <c r="K7931" s="8" t="e">
        <f t="shared" si="123"/>
        <v>#VALUE!</v>
      </c>
    </row>
    <row r="7932" spans="11:11" x14ac:dyDescent="0.25">
      <c r="K7932" s="8" t="e">
        <f t="shared" si="123"/>
        <v>#VALUE!</v>
      </c>
    </row>
    <row r="7933" spans="11:11" x14ac:dyDescent="0.25">
      <c r="K7933" s="8" t="e">
        <f t="shared" si="123"/>
        <v>#VALUE!</v>
      </c>
    </row>
    <row r="7934" spans="11:11" x14ac:dyDescent="0.25">
      <c r="K7934" s="8" t="e">
        <f t="shared" si="123"/>
        <v>#VALUE!</v>
      </c>
    </row>
    <row r="7935" spans="11:11" x14ac:dyDescent="0.25">
      <c r="K7935" s="8" t="e">
        <f t="shared" si="123"/>
        <v>#VALUE!</v>
      </c>
    </row>
    <row r="7936" spans="11:11" x14ac:dyDescent="0.25">
      <c r="K7936" s="8" t="e">
        <f t="shared" si="123"/>
        <v>#VALUE!</v>
      </c>
    </row>
    <row r="7937" spans="11:11" x14ac:dyDescent="0.25">
      <c r="K7937" s="8" t="e">
        <f t="shared" si="123"/>
        <v>#VALUE!</v>
      </c>
    </row>
    <row r="7938" spans="11:11" x14ac:dyDescent="0.25">
      <c r="K7938" s="8" t="e">
        <f t="shared" si="123"/>
        <v>#VALUE!</v>
      </c>
    </row>
    <row r="7939" spans="11:11" x14ac:dyDescent="0.25">
      <c r="K7939" s="8" t="e">
        <f t="shared" ref="K7939:K8002" si="124">LEFT(A7939,FIND("/",A7939)-1)</f>
        <v>#VALUE!</v>
      </c>
    </row>
    <row r="7940" spans="11:11" x14ac:dyDescent="0.25">
      <c r="K7940" s="8" t="e">
        <f t="shared" si="124"/>
        <v>#VALUE!</v>
      </c>
    </row>
    <row r="7941" spans="11:11" x14ac:dyDescent="0.25">
      <c r="K7941" s="8" t="e">
        <f t="shared" si="124"/>
        <v>#VALUE!</v>
      </c>
    </row>
    <row r="7942" spans="11:11" x14ac:dyDescent="0.25">
      <c r="K7942" s="8" t="e">
        <f t="shared" si="124"/>
        <v>#VALUE!</v>
      </c>
    </row>
    <row r="7943" spans="11:11" x14ac:dyDescent="0.25">
      <c r="K7943" s="8" t="e">
        <f t="shared" si="124"/>
        <v>#VALUE!</v>
      </c>
    </row>
    <row r="7944" spans="11:11" x14ac:dyDescent="0.25">
      <c r="K7944" s="8" t="e">
        <f t="shared" si="124"/>
        <v>#VALUE!</v>
      </c>
    </row>
    <row r="7945" spans="11:11" x14ac:dyDescent="0.25">
      <c r="K7945" s="8" t="e">
        <f t="shared" si="124"/>
        <v>#VALUE!</v>
      </c>
    </row>
    <row r="7946" spans="11:11" x14ac:dyDescent="0.25">
      <c r="K7946" s="8" t="e">
        <f t="shared" si="124"/>
        <v>#VALUE!</v>
      </c>
    </row>
    <row r="7947" spans="11:11" x14ac:dyDescent="0.25">
      <c r="K7947" s="8" t="e">
        <f t="shared" si="124"/>
        <v>#VALUE!</v>
      </c>
    </row>
    <row r="7948" spans="11:11" x14ac:dyDescent="0.25">
      <c r="K7948" s="8" t="e">
        <f t="shared" si="124"/>
        <v>#VALUE!</v>
      </c>
    </row>
    <row r="7949" spans="11:11" x14ac:dyDescent="0.25">
      <c r="K7949" s="8" t="e">
        <f t="shared" si="124"/>
        <v>#VALUE!</v>
      </c>
    </row>
    <row r="7950" spans="11:11" x14ac:dyDescent="0.25">
      <c r="K7950" s="8" t="e">
        <f t="shared" si="124"/>
        <v>#VALUE!</v>
      </c>
    </row>
    <row r="7951" spans="11:11" x14ac:dyDescent="0.25">
      <c r="K7951" s="8" t="e">
        <f t="shared" si="124"/>
        <v>#VALUE!</v>
      </c>
    </row>
    <row r="7952" spans="11:11" x14ac:dyDescent="0.25">
      <c r="K7952" s="8" t="e">
        <f t="shared" si="124"/>
        <v>#VALUE!</v>
      </c>
    </row>
    <row r="7953" spans="11:11" x14ac:dyDescent="0.25">
      <c r="K7953" s="8" t="e">
        <f t="shared" si="124"/>
        <v>#VALUE!</v>
      </c>
    </row>
    <row r="7954" spans="11:11" x14ac:dyDescent="0.25">
      <c r="K7954" s="8" t="e">
        <f t="shared" si="124"/>
        <v>#VALUE!</v>
      </c>
    </row>
    <row r="7955" spans="11:11" x14ac:dyDescent="0.25">
      <c r="K7955" s="8" t="e">
        <f t="shared" si="124"/>
        <v>#VALUE!</v>
      </c>
    </row>
    <row r="7956" spans="11:11" x14ac:dyDescent="0.25">
      <c r="K7956" s="8" t="e">
        <f t="shared" si="124"/>
        <v>#VALUE!</v>
      </c>
    </row>
    <row r="7957" spans="11:11" x14ac:dyDescent="0.25">
      <c r="K7957" s="8" t="e">
        <f t="shared" si="124"/>
        <v>#VALUE!</v>
      </c>
    </row>
    <row r="7958" spans="11:11" x14ac:dyDescent="0.25">
      <c r="K7958" s="8" t="e">
        <f t="shared" si="124"/>
        <v>#VALUE!</v>
      </c>
    </row>
    <row r="7959" spans="11:11" x14ac:dyDescent="0.25">
      <c r="K7959" s="8" t="e">
        <f t="shared" si="124"/>
        <v>#VALUE!</v>
      </c>
    </row>
    <row r="7960" spans="11:11" x14ac:dyDescent="0.25">
      <c r="K7960" s="8" t="e">
        <f t="shared" si="124"/>
        <v>#VALUE!</v>
      </c>
    </row>
    <row r="7961" spans="11:11" x14ac:dyDescent="0.25">
      <c r="K7961" s="8" t="e">
        <f t="shared" si="124"/>
        <v>#VALUE!</v>
      </c>
    </row>
    <row r="7962" spans="11:11" x14ac:dyDescent="0.25">
      <c r="K7962" s="8" t="e">
        <f t="shared" si="124"/>
        <v>#VALUE!</v>
      </c>
    </row>
    <row r="7963" spans="11:11" x14ac:dyDescent="0.25">
      <c r="K7963" s="8" t="e">
        <f t="shared" si="124"/>
        <v>#VALUE!</v>
      </c>
    </row>
    <row r="7964" spans="11:11" x14ac:dyDescent="0.25">
      <c r="K7964" s="8" t="e">
        <f t="shared" si="124"/>
        <v>#VALUE!</v>
      </c>
    </row>
    <row r="7965" spans="11:11" x14ac:dyDescent="0.25">
      <c r="K7965" s="8" t="e">
        <f t="shared" si="124"/>
        <v>#VALUE!</v>
      </c>
    </row>
    <row r="7966" spans="11:11" x14ac:dyDescent="0.25">
      <c r="K7966" s="8" t="e">
        <f t="shared" si="124"/>
        <v>#VALUE!</v>
      </c>
    </row>
    <row r="7967" spans="11:11" x14ac:dyDescent="0.25">
      <c r="K7967" s="8" t="e">
        <f t="shared" si="124"/>
        <v>#VALUE!</v>
      </c>
    </row>
    <row r="7968" spans="11:11" x14ac:dyDescent="0.25">
      <c r="K7968" s="8" t="e">
        <f t="shared" si="124"/>
        <v>#VALUE!</v>
      </c>
    </row>
    <row r="7969" spans="11:11" x14ac:dyDescent="0.25">
      <c r="K7969" s="8" t="e">
        <f t="shared" si="124"/>
        <v>#VALUE!</v>
      </c>
    </row>
    <row r="7970" spans="11:11" x14ac:dyDescent="0.25">
      <c r="K7970" s="8" t="e">
        <f t="shared" si="124"/>
        <v>#VALUE!</v>
      </c>
    </row>
    <row r="7971" spans="11:11" x14ac:dyDescent="0.25">
      <c r="K7971" s="8" t="e">
        <f t="shared" si="124"/>
        <v>#VALUE!</v>
      </c>
    </row>
    <row r="7972" spans="11:11" x14ac:dyDescent="0.25">
      <c r="K7972" s="8" t="e">
        <f t="shared" si="124"/>
        <v>#VALUE!</v>
      </c>
    </row>
    <row r="7973" spans="11:11" x14ac:dyDescent="0.25">
      <c r="K7973" s="8" t="e">
        <f t="shared" si="124"/>
        <v>#VALUE!</v>
      </c>
    </row>
    <row r="7974" spans="11:11" x14ac:dyDescent="0.25">
      <c r="K7974" s="8" t="e">
        <f t="shared" si="124"/>
        <v>#VALUE!</v>
      </c>
    </row>
    <row r="7975" spans="11:11" x14ac:dyDescent="0.25">
      <c r="K7975" s="8" t="e">
        <f t="shared" si="124"/>
        <v>#VALUE!</v>
      </c>
    </row>
    <row r="7976" spans="11:11" x14ac:dyDescent="0.25">
      <c r="K7976" s="8" t="e">
        <f t="shared" si="124"/>
        <v>#VALUE!</v>
      </c>
    </row>
    <row r="7977" spans="11:11" x14ac:dyDescent="0.25">
      <c r="K7977" s="8" t="e">
        <f t="shared" si="124"/>
        <v>#VALUE!</v>
      </c>
    </row>
    <row r="7978" spans="11:11" x14ac:dyDescent="0.25">
      <c r="K7978" s="8" t="e">
        <f t="shared" si="124"/>
        <v>#VALUE!</v>
      </c>
    </row>
    <row r="7979" spans="11:11" x14ac:dyDescent="0.25">
      <c r="K7979" s="8" t="e">
        <f t="shared" si="124"/>
        <v>#VALUE!</v>
      </c>
    </row>
    <row r="7980" spans="11:11" x14ac:dyDescent="0.25">
      <c r="K7980" s="8" t="e">
        <f t="shared" si="124"/>
        <v>#VALUE!</v>
      </c>
    </row>
    <row r="7981" spans="11:11" x14ac:dyDescent="0.25">
      <c r="K7981" s="8" t="e">
        <f t="shared" si="124"/>
        <v>#VALUE!</v>
      </c>
    </row>
    <row r="7982" spans="11:11" x14ac:dyDescent="0.25">
      <c r="K7982" s="8" t="e">
        <f t="shared" si="124"/>
        <v>#VALUE!</v>
      </c>
    </row>
    <row r="7983" spans="11:11" x14ac:dyDescent="0.25">
      <c r="K7983" s="8" t="e">
        <f t="shared" si="124"/>
        <v>#VALUE!</v>
      </c>
    </row>
    <row r="7984" spans="11:11" x14ac:dyDescent="0.25">
      <c r="K7984" s="8" t="e">
        <f t="shared" si="124"/>
        <v>#VALUE!</v>
      </c>
    </row>
    <row r="7985" spans="11:11" x14ac:dyDescent="0.25">
      <c r="K7985" s="8" t="e">
        <f t="shared" si="124"/>
        <v>#VALUE!</v>
      </c>
    </row>
    <row r="7986" spans="11:11" x14ac:dyDescent="0.25">
      <c r="K7986" s="8" t="e">
        <f t="shared" si="124"/>
        <v>#VALUE!</v>
      </c>
    </row>
    <row r="7987" spans="11:11" x14ac:dyDescent="0.25">
      <c r="K7987" s="8" t="e">
        <f t="shared" si="124"/>
        <v>#VALUE!</v>
      </c>
    </row>
    <row r="7988" spans="11:11" x14ac:dyDescent="0.25">
      <c r="K7988" s="8" t="e">
        <f t="shared" si="124"/>
        <v>#VALUE!</v>
      </c>
    </row>
    <row r="7989" spans="11:11" x14ac:dyDescent="0.25">
      <c r="K7989" s="8" t="e">
        <f t="shared" si="124"/>
        <v>#VALUE!</v>
      </c>
    </row>
    <row r="7990" spans="11:11" x14ac:dyDescent="0.25">
      <c r="K7990" s="8" t="e">
        <f t="shared" si="124"/>
        <v>#VALUE!</v>
      </c>
    </row>
    <row r="7991" spans="11:11" x14ac:dyDescent="0.25">
      <c r="K7991" s="8" t="e">
        <f t="shared" si="124"/>
        <v>#VALUE!</v>
      </c>
    </row>
    <row r="7992" spans="11:11" x14ac:dyDescent="0.25">
      <c r="K7992" s="8" t="e">
        <f t="shared" si="124"/>
        <v>#VALUE!</v>
      </c>
    </row>
    <row r="7993" spans="11:11" x14ac:dyDescent="0.25">
      <c r="K7993" s="8" t="e">
        <f t="shared" si="124"/>
        <v>#VALUE!</v>
      </c>
    </row>
    <row r="7994" spans="11:11" x14ac:dyDescent="0.25">
      <c r="K7994" s="8" t="e">
        <f t="shared" si="124"/>
        <v>#VALUE!</v>
      </c>
    </row>
    <row r="7995" spans="11:11" x14ac:dyDescent="0.25">
      <c r="K7995" s="8" t="e">
        <f t="shared" si="124"/>
        <v>#VALUE!</v>
      </c>
    </row>
    <row r="7996" spans="11:11" x14ac:dyDescent="0.25">
      <c r="K7996" s="8" t="e">
        <f t="shared" si="124"/>
        <v>#VALUE!</v>
      </c>
    </row>
    <row r="7997" spans="11:11" x14ac:dyDescent="0.25">
      <c r="K7997" s="8" t="e">
        <f t="shared" si="124"/>
        <v>#VALUE!</v>
      </c>
    </row>
    <row r="7998" spans="11:11" x14ac:dyDescent="0.25">
      <c r="K7998" s="8" t="e">
        <f t="shared" si="124"/>
        <v>#VALUE!</v>
      </c>
    </row>
    <row r="7999" spans="11:11" x14ac:dyDescent="0.25">
      <c r="K7999" s="8" t="e">
        <f t="shared" si="124"/>
        <v>#VALUE!</v>
      </c>
    </row>
    <row r="8000" spans="11:11" x14ac:dyDescent="0.25">
      <c r="K8000" s="8" t="e">
        <f t="shared" si="124"/>
        <v>#VALUE!</v>
      </c>
    </row>
    <row r="8001" spans="11:11" x14ac:dyDescent="0.25">
      <c r="K8001" s="8" t="e">
        <f t="shared" si="124"/>
        <v>#VALUE!</v>
      </c>
    </row>
    <row r="8002" spans="11:11" x14ac:dyDescent="0.25">
      <c r="K8002" s="8" t="e">
        <f t="shared" si="124"/>
        <v>#VALUE!</v>
      </c>
    </row>
    <row r="8003" spans="11:11" x14ac:dyDescent="0.25">
      <c r="K8003" s="8" t="e">
        <f t="shared" ref="K8003:K8066" si="125">LEFT(A8003,FIND("/",A8003)-1)</f>
        <v>#VALUE!</v>
      </c>
    </row>
    <row r="8004" spans="11:11" x14ac:dyDescent="0.25">
      <c r="K8004" s="8" t="e">
        <f t="shared" si="125"/>
        <v>#VALUE!</v>
      </c>
    </row>
    <row r="8005" spans="11:11" x14ac:dyDescent="0.25">
      <c r="K8005" s="8" t="e">
        <f t="shared" si="125"/>
        <v>#VALUE!</v>
      </c>
    </row>
    <row r="8006" spans="11:11" x14ac:dyDescent="0.25">
      <c r="K8006" s="8" t="e">
        <f t="shared" si="125"/>
        <v>#VALUE!</v>
      </c>
    </row>
    <row r="8007" spans="11:11" x14ac:dyDescent="0.25">
      <c r="K8007" s="8" t="e">
        <f t="shared" si="125"/>
        <v>#VALUE!</v>
      </c>
    </row>
    <row r="8008" spans="11:11" x14ac:dyDescent="0.25">
      <c r="K8008" s="8" t="e">
        <f t="shared" si="125"/>
        <v>#VALUE!</v>
      </c>
    </row>
    <row r="8009" spans="11:11" x14ac:dyDescent="0.25">
      <c r="K8009" s="8" t="e">
        <f t="shared" si="125"/>
        <v>#VALUE!</v>
      </c>
    </row>
    <row r="8010" spans="11:11" x14ac:dyDescent="0.25">
      <c r="K8010" s="8" t="e">
        <f t="shared" si="125"/>
        <v>#VALUE!</v>
      </c>
    </row>
    <row r="8011" spans="11:11" x14ac:dyDescent="0.25">
      <c r="K8011" s="8" t="e">
        <f t="shared" si="125"/>
        <v>#VALUE!</v>
      </c>
    </row>
    <row r="8012" spans="11:11" x14ac:dyDescent="0.25">
      <c r="K8012" s="8" t="e">
        <f t="shared" si="125"/>
        <v>#VALUE!</v>
      </c>
    </row>
    <row r="8013" spans="11:11" x14ac:dyDescent="0.25">
      <c r="K8013" s="8" t="e">
        <f t="shared" si="125"/>
        <v>#VALUE!</v>
      </c>
    </row>
    <row r="8014" spans="11:11" x14ac:dyDescent="0.25">
      <c r="K8014" s="8" t="e">
        <f t="shared" si="125"/>
        <v>#VALUE!</v>
      </c>
    </row>
    <row r="8015" spans="11:11" x14ac:dyDescent="0.25">
      <c r="K8015" s="8" t="e">
        <f t="shared" si="125"/>
        <v>#VALUE!</v>
      </c>
    </row>
    <row r="8016" spans="11:11" x14ac:dyDescent="0.25">
      <c r="K8016" s="8" t="e">
        <f t="shared" si="125"/>
        <v>#VALUE!</v>
      </c>
    </row>
    <row r="8017" spans="11:11" x14ac:dyDescent="0.25">
      <c r="K8017" s="8" t="e">
        <f t="shared" si="125"/>
        <v>#VALUE!</v>
      </c>
    </row>
    <row r="8018" spans="11:11" x14ac:dyDescent="0.25">
      <c r="K8018" s="8" t="e">
        <f t="shared" si="125"/>
        <v>#VALUE!</v>
      </c>
    </row>
    <row r="8019" spans="11:11" x14ac:dyDescent="0.25">
      <c r="K8019" s="8" t="e">
        <f t="shared" si="125"/>
        <v>#VALUE!</v>
      </c>
    </row>
    <row r="8020" spans="11:11" x14ac:dyDescent="0.25">
      <c r="K8020" s="8" t="e">
        <f t="shared" si="125"/>
        <v>#VALUE!</v>
      </c>
    </row>
    <row r="8021" spans="11:11" x14ac:dyDescent="0.25">
      <c r="K8021" s="8" t="e">
        <f t="shared" si="125"/>
        <v>#VALUE!</v>
      </c>
    </row>
    <row r="8022" spans="11:11" x14ac:dyDescent="0.25">
      <c r="K8022" s="8" t="e">
        <f t="shared" si="125"/>
        <v>#VALUE!</v>
      </c>
    </row>
    <row r="8023" spans="11:11" x14ac:dyDescent="0.25">
      <c r="K8023" s="8" t="e">
        <f t="shared" si="125"/>
        <v>#VALUE!</v>
      </c>
    </row>
    <row r="8024" spans="11:11" x14ac:dyDescent="0.25">
      <c r="K8024" s="8" t="e">
        <f t="shared" si="125"/>
        <v>#VALUE!</v>
      </c>
    </row>
    <row r="8025" spans="11:11" x14ac:dyDescent="0.25">
      <c r="K8025" s="8" t="e">
        <f t="shared" si="125"/>
        <v>#VALUE!</v>
      </c>
    </row>
    <row r="8026" spans="11:11" x14ac:dyDescent="0.25">
      <c r="K8026" s="8" t="e">
        <f t="shared" si="125"/>
        <v>#VALUE!</v>
      </c>
    </row>
    <row r="8027" spans="11:11" x14ac:dyDescent="0.25">
      <c r="K8027" s="8" t="e">
        <f t="shared" si="125"/>
        <v>#VALUE!</v>
      </c>
    </row>
    <row r="8028" spans="11:11" x14ac:dyDescent="0.25">
      <c r="K8028" s="8" t="e">
        <f t="shared" si="125"/>
        <v>#VALUE!</v>
      </c>
    </row>
    <row r="8029" spans="11:11" x14ac:dyDescent="0.25">
      <c r="K8029" s="8" t="e">
        <f t="shared" si="125"/>
        <v>#VALUE!</v>
      </c>
    </row>
    <row r="8030" spans="11:11" x14ac:dyDescent="0.25">
      <c r="K8030" s="8" t="e">
        <f t="shared" si="125"/>
        <v>#VALUE!</v>
      </c>
    </row>
    <row r="8031" spans="11:11" x14ac:dyDescent="0.25">
      <c r="K8031" s="8" t="e">
        <f t="shared" si="125"/>
        <v>#VALUE!</v>
      </c>
    </row>
    <row r="8032" spans="11:11" x14ac:dyDescent="0.25">
      <c r="K8032" s="8" t="e">
        <f t="shared" si="125"/>
        <v>#VALUE!</v>
      </c>
    </row>
    <row r="8033" spans="11:11" x14ac:dyDescent="0.25">
      <c r="K8033" s="8" t="e">
        <f t="shared" si="125"/>
        <v>#VALUE!</v>
      </c>
    </row>
    <row r="8034" spans="11:11" x14ac:dyDescent="0.25">
      <c r="K8034" s="8" t="e">
        <f t="shared" si="125"/>
        <v>#VALUE!</v>
      </c>
    </row>
    <row r="8035" spans="11:11" x14ac:dyDescent="0.25">
      <c r="K8035" s="8" t="e">
        <f t="shared" si="125"/>
        <v>#VALUE!</v>
      </c>
    </row>
    <row r="8036" spans="11:11" x14ac:dyDescent="0.25">
      <c r="K8036" s="8" t="e">
        <f t="shared" si="125"/>
        <v>#VALUE!</v>
      </c>
    </row>
    <row r="8037" spans="11:11" x14ac:dyDescent="0.25">
      <c r="K8037" s="8" t="e">
        <f t="shared" si="125"/>
        <v>#VALUE!</v>
      </c>
    </row>
    <row r="8038" spans="11:11" x14ac:dyDescent="0.25">
      <c r="K8038" s="8" t="e">
        <f t="shared" si="125"/>
        <v>#VALUE!</v>
      </c>
    </row>
    <row r="8039" spans="11:11" x14ac:dyDescent="0.25">
      <c r="K8039" s="8" t="e">
        <f t="shared" si="125"/>
        <v>#VALUE!</v>
      </c>
    </row>
    <row r="8040" spans="11:11" x14ac:dyDescent="0.25">
      <c r="K8040" s="8" t="e">
        <f t="shared" si="125"/>
        <v>#VALUE!</v>
      </c>
    </row>
    <row r="8041" spans="11:11" x14ac:dyDescent="0.25">
      <c r="K8041" s="8" t="e">
        <f t="shared" si="125"/>
        <v>#VALUE!</v>
      </c>
    </row>
    <row r="8042" spans="11:11" x14ac:dyDescent="0.25">
      <c r="K8042" s="8" t="e">
        <f t="shared" si="125"/>
        <v>#VALUE!</v>
      </c>
    </row>
    <row r="8043" spans="11:11" x14ac:dyDescent="0.25">
      <c r="K8043" s="8" t="e">
        <f t="shared" si="125"/>
        <v>#VALUE!</v>
      </c>
    </row>
    <row r="8044" spans="11:11" x14ac:dyDescent="0.25">
      <c r="K8044" s="8" t="e">
        <f t="shared" si="125"/>
        <v>#VALUE!</v>
      </c>
    </row>
    <row r="8045" spans="11:11" x14ac:dyDescent="0.25">
      <c r="K8045" s="8" t="e">
        <f t="shared" si="125"/>
        <v>#VALUE!</v>
      </c>
    </row>
    <row r="8046" spans="11:11" x14ac:dyDescent="0.25">
      <c r="K8046" s="8" t="e">
        <f t="shared" si="125"/>
        <v>#VALUE!</v>
      </c>
    </row>
    <row r="8047" spans="11:11" x14ac:dyDescent="0.25">
      <c r="K8047" s="8" t="e">
        <f t="shared" si="125"/>
        <v>#VALUE!</v>
      </c>
    </row>
    <row r="8048" spans="11:11" x14ac:dyDescent="0.25">
      <c r="K8048" s="8" t="e">
        <f t="shared" si="125"/>
        <v>#VALUE!</v>
      </c>
    </row>
    <row r="8049" spans="11:11" x14ac:dyDescent="0.25">
      <c r="K8049" s="8" t="e">
        <f t="shared" si="125"/>
        <v>#VALUE!</v>
      </c>
    </row>
    <row r="8050" spans="11:11" x14ac:dyDescent="0.25">
      <c r="K8050" s="8" t="e">
        <f t="shared" si="125"/>
        <v>#VALUE!</v>
      </c>
    </row>
    <row r="8051" spans="11:11" x14ac:dyDescent="0.25">
      <c r="K8051" s="8" t="e">
        <f t="shared" si="125"/>
        <v>#VALUE!</v>
      </c>
    </row>
    <row r="8052" spans="11:11" x14ac:dyDescent="0.25">
      <c r="K8052" s="8" t="e">
        <f t="shared" si="125"/>
        <v>#VALUE!</v>
      </c>
    </row>
    <row r="8053" spans="11:11" x14ac:dyDescent="0.25">
      <c r="K8053" s="8" t="e">
        <f t="shared" si="125"/>
        <v>#VALUE!</v>
      </c>
    </row>
    <row r="8054" spans="11:11" x14ac:dyDescent="0.25">
      <c r="K8054" s="8" t="e">
        <f t="shared" si="125"/>
        <v>#VALUE!</v>
      </c>
    </row>
    <row r="8055" spans="11:11" x14ac:dyDescent="0.25">
      <c r="K8055" s="8" t="e">
        <f t="shared" si="125"/>
        <v>#VALUE!</v>
      </c>
    </row>
    <row r="8056" spans="11:11" x14ac:dyDescent="0.25">
      <c r="K8056" s="8" t="e">
        <f t="shared" si="125"/>
        <v>#VALUE!</v>
      </c>
    </row>
    <row r="8057" spans="11:11" x14ac:dyDescent="0.25">
      <c r="K8057" s="8" t="e">
        <f t="shared" si="125"/>
        <v>#VALUE!</v>
      </c>
    </row>
    <row r="8058" spans="11:11" x14ac:dyDescent="0.25">
      <c r="K8058" s="8" t="e">
        <f t="shared" si="125"/>
        <v>#VALUE!</v>
      </c>
    </row>
    <row r="8059" spans="11:11" x14ac:dyDescent="0.25">
      <c r="K8059" s="8" t="e">
        <f t="shared" si="125"/>
        <v>#VALUE!</v>
      </c>
    </row>
    <row r="8060" spans="11:11" x14ac:dyDescent="0.25">
      <c r="K8060" s="8" t="e">
        <f t="shared" si="125"/>
        <v>#VALUE!</v>
      </c>
    </row>
    <row r="8061" spans="11:11" x14ac:dyDescent="0.25">
      <c r="K8061" s="8" t="e">
        <f t="shared" si="125"/>
        <v>#VALUE!</v>
      </c>
    </row>
    <row r="8062" spans="11:11" x14ac:dyDescent="0.25">
      <c r="K8062" s="8" t="e">
        <f t="shared" si="125"/>
        <v>#VALUE!</v>
      </c>
    </row>
    <row r="8063" spans="11:11" x14ac:dyDescent="0.25">
      <c r="K8063" s="8" t="e">
        <f t="shared" si="125"/>
        <v>#VALUE!</v>
      </c>
    </row>
    <row r="8064" spans="11:11" x14ac:dyDescent="0.25">
      <c r="K8064" s="8" t="e">
        <f t="shared" si="125"/>
        <v>#VALUE!</v>
      </c>
    </row>
    <row r="8065" spans="11:11" x14ac:dyDescent="0.25">
      <c r="K8065" s="8" t="e">
        <f t="shared" si="125"/>
        <v>#VALUE!</v>
      </c>
    </row>
    <row r="8066" spans="11:11" x14ac:dyDescent="0.25">
      <c r="K8066" s="8" t="e">
        <f t="shared" si="125"/>
        <v>#VALUE!</v>
      </c>
    </row>
    <row r="8067" spans="11:11" x14ac:dyDescent="0.25">
      <c r="K8067" s="8" t="e">
        <f t="shared" ref="K8067:K8130" si="126">LEFT(A8067,FIND("/",A8067)-1)</f>
        <v>#VALUE!</v>
      </c>
    </row>
    <row r="8068" spans="11:11" x14ac:dyDescent="0.25">
      <c r="K8068" s="8" t="e">
        <f t="shared" si="126"/>
        <v>#VALUE!</v>
      </c>
    </row>
    <row r="8069" spans="11:11" x14ac:dyDescent="0.25">
      <c r="K8069" s="8" t="e">
        <f t="shared" si="126"/>
        <v>#VALUE!</v>
      </c>
    </row>
    <row r="8070" spans="11:11" x14ac:dyDescent="0.25">
      <c r="K8070" s="8" t="e">
        <f t="shared" si="126"/>
        <v>#VALUE!</v>
      </c>
    </row>
    <row r="8071" spans="11:11" x14ac:dyDescent="0.25">
      <c r="K8071" s="8" t="e">
        <f t="shared" si="126"/>
        <v>#VALUE!</v>
      </c>
    </row>
    <row r="8072" spans="11:11" x14ac:dyDescent="0.25">
      <c r="K8072" s="8" t="e">
        <f t="shared" si="126"/>
        <v>#VALUE!</v>
      </c>
    </row>
    <row r="8073" spans="11:11" x14ac:dyDescent="0.25">
      <c r="K8073" s="8" t="e">
        <f t="shared" si="126"/>
        <v>#VALUE!</v>
      </c>
    </row>
    <row r="8074" spans="11:11" x14ac:dyDescent="0.25">
      <c r="K8074" s="8" t="e">
        <f t="shared" si="126"/>
        <v>#VALUE!</v>
      </c>
    </row>
    <row r="8075" spans="11:11" x14ac:dyDescent="0.25">
      <c r="K8075" s="8" t="e">
        <f t="shared" si="126"/>
        <v>#VALUE!</v>
      </c>
    </row>
    <row r="8076" spans="11:11" x14ac:dyDescent="0.25">
      <c r="K8076" s="8" t="e">
        <f t="shared" si="126"/>
        <v>#VALUE!</v>
      </c>
    </row>
    <row r="8077" spans="11:11" x14ac:dyDescent="0.25">
      <c r="K8077" s="8" t="e">
        <f t="shared" si="126"/>
        <v>#VALUE!</v>
      </c>
    </row>
    <row r="8078" spans="11:11" x14ac:dyDescent="0.25">
      <c r="K8078" s="8" t="e">
        <f t="shared" si="126"/>
        <v>#VALUE!</v>
      </c>
    </row>
    <row r="8079" spans="11:11" x14ac:dyDescent="0.25">
      <c r="K8079" s="8" t="e">
        <f t="shared" si="126"/>
        <v>#VALUE!</v>
      </c>
    </row>
    <row r="8080" spans="11:11" x14ac:dyDescent="0.25">
      <c r="K8080" s="8" t="e">
        <f t="shared" si="126"/>
        <v>#VALUE!</v>
      </c>
    </row>
    <row r="8081" spans="11:11" x14ac:dyDescent="0.25">
      <c r="K8081" s="8" t="e">
        <f t="shared" si="126"/>
        <v>#VALUE!</v>
      </c>
    </row>
    <row r="8082" spans="11:11" x14ac:dyDescent="0.25">
      <c r="K8082" s="8" t="e">
        <f t="shared" si="126"/>
        <v>#VALUE!</v>
      </c>
    </row>
    <row r="8083" spans="11:11" x14ac:dyDescent="0.25">
      <c r="K8083" s="8" t="e">
        <f t="shared" si="126"/>
        <v>#VALUE!</v>
      </c>
    </row>
    <row r="8084" spans="11:11" x14ac:dyDescent="0.25">
      <c r="K8084" s="8" t="e">
        <f t="shared" si="126"/>
        <v>#VALUE!</v>
      </c>
    </row>
    <row r="8085" spans="11:11" x14ac:dyDescent="0.25">
      <c r="K8085" s="8" t="e">
        <f t="shared" si="126"/>
        <v>#VALUE!</v>
      </c>
    </row>
    <row r="8086" spans="11:11" x14ac:dyDescent="0.25">
      <c r="K8086" s="8" t="e">
        <f t="shared" si="126"/>
        <v>#VALUE!</v>
      </c>
    </row>
    <row r="8087" spans="11:11" x14ac:dyDescent="0.25">
      <c r="K8087" s="8" t="e">
        <f t="shared" si="126"/>
        <v>#VALUE!</v>
      </c>
    </row>
    <row r="8088" spans="11:11" x14ac:dyDescent="0.25">
      <c r="K8088" s="8" t="e">
        <f t="shared" si="126"/>
        <v>#VALUE!</v>
      </c>
    </row>
    <row r="8089" spans="11:11" x14ac:dyDescent="0.25">
      <c r="K8089" s="8" t="e">
        <f t="shared" si="126"/>
        <v>#VALUE!</v>
      </c>
    </row>
    <row r="8090" spans="11:11" x14ac:dyDescent="0.25">
      <c r="K8090" s="8" t="e">
        <f t="shared" si="126"/>
        <v>#VALUE!</v>
      </c>
    </row>
    <row r="8091" spans="11:11" x14ac:dyDescent="0.25">
      <c r="K8091" s="8" t="e">
        <f t="shared" si="126"/>
        <v>#VALUE!</v>
      </c>
    </row>
    <row r="8092" spans="11:11" x14ac:dyDescent="0.25">
      <c r="K8092" s="8" t="e">
        <f t="shared" si="126"/>
        <v>#VALUE!</v>
      </c>
    </row>
    <row r="8093" spans="11:11" x14ac:dyDescent="0.25">
      <c r="K8093" s="8" t="e">
        <f t="shared" si="126"/>
        <v>#VALUE!</v>
      </c>
    </row>
    <row r="8094" spans="11:11" x14ac:dyDescent="0.25">
      <c r="K8094" s="8" t="e">
        <f t="shared" si="126"/>
        <v>#VALUE!</v>
      </c>
    </row>
    <row r="8095" spans="11:11" x14ac:dyDescent="0.25">
      <c r="K8095" s="8" t="e">
        <f t="shared" si="126"/>
        <v>#VALUE!</v>
      </c>
    </row>
    <row r="8096" spans="11:11" x14ac:dyDescent="0.25">
      <c r="K8096" s="8" t="e">
        <f t="shared" si="126"/>
        <v>#VALUE!</v>
      </c>
    </row>
    <row r="8097" spans="11:11" x14ac:dyDescent="0.25">
      <c r="K8097" s="8" t="e">
        <f t="shared" si="126"/>
        <v>#VALUE!</v>
      </c>
    </row>
    <row r="8098" spans="11:11" x14ac:dyDescent="0.25">
      <c r="K8098" s="8" t="e">
        <f t="shared" si="126"/>
        <v>#VALUE!</v>
      </c>
    </row>
    <row r="8099" spans="11:11" x14ac:dyDescent="0.25">
      <c r="K8099" s="8" t="e">
        <f t="shared" si="126"/>
        <v>#VALUE!</v>
      </c>
    </row>
    <row r="8100" spans="11:11" x14ac:dyDescent="0.25">
      <c r="K8100" s="8" t="e">
        <f t="shared" si="126"/>
        <v>#VALUE!</v>
      </c>
    </row>
    <row r="8101" spans="11:11" x14ac:dyDescent="0.25">
      <c r="K8101" s="8" t="e">
        <f t="shared" si="126"/>
        <v>#VALUE!</v>
      </c>
    </row>
    <row r="8102" spans="11:11" x14ac:dyDescent="0.25">
      <c r="K8102" s="8" t="e">
        <f t="shared" si="126"/>
        <v>#VALUE!</v>
      </c>
    </row>
    <row r="8103" spans="11:11" x14ac:dyDescent="0.25">
      <c r="K8103" s="8" t="e">
        <f t="shared" si="126"/>
        <v>#VALUE!</v>
      </c>
    </row>
    <row r="8104" spans="11:11" x14ac:dyDescent="0.25">
      <c r="K8104" s="8" t="e">
        <f t="shared" si="126"/>
        <v>#VALUE!</v>
      </c>
    </row>
    <row r="8105" spans="11:11" x14ac:dyDescent="0.25">
      <c r="K8105" s="8" t="e">
        <f t="shared" si="126"/>
        <v>#VALUE!</v>
      </c>
    </row>
    <row r="8106" spans="11:11" x14ac:dyDescent="0.25">
      <c r="K8106" s="8" t="e">
        <f t="shared" si="126"/>
        <v>#VALUE!</v>
      </c>
    </row>
    <row r="8107" spans="11:11" x14ac:dyDescent="0.25">
      <c r="K8107" s="8" t="e">
        <f t="shared" si="126"/>
        <v>#VALUE!</v>
      </c>
    </row>
    <row r="8108" spans="11:11" x14ac:dyDescent="0.25">
      <c r="K8108" s="8" t="e">
        <f t="shared" si="126"/>
        <v>#VALUE!</v>
      </c>
    </row>
    <row r="8109" spans="11:11" x14ac:dyDescent="0.25">
      <c r="K8109" s="8" t="e">
        <f t="shared" si="126"/>
        <v>#VALUE!</v>
      </c>
    </row>
    <row r="8110" spans="11:11" x14ac:dyDescent="0.25">
      <c r="K8110" s="8" t="e">
        <f t="shared" si="126"/>
        <v>#VALUE!</v>
      </c>
    </row>
    <row r="8111" spans="11:11" x14ac:dyDescent="0.25">
      <c r="K8111" s="8" t="e">
        <f t="shared" si="126"/>
        <v>#VALUE!</v>
      </c>
    </row>
    <row r="8112" spans="11:11" x14ac:dyDescent="0.25">
      <c r="K8112" s="8" t="e">
        <f t="shared" si="126"/>
        <v>#VALUE!</v>
      </c>
    </row>
    <row r="8113" spans="11:11" x14ac:dyDescent="0.25">
      <c r="K8113" s="8" t="e">
        <f t="shared" si="126"/>
        <v>#VALUE!</v>
      </c>
    </row>
    <row r="8114" spans="11:11" x14ac:dyDescent="0.25">
      <c r="K8114" s="8" t="e">
        <f t="shared" si="126"/>
        <v>#VALUE!</v>
      </c>
    </row>
    <row r="8115" spans="11:11" x14ac:dyDescent="0.25">
      <c r="K8115" s="8" t="e">
        <f t="shared" si="126"/>
        <v>#VALUE!</v>
      </c>
    </row>
    <row r="8116" spans="11:11" x14ac:dyDescent="0.25">
      <c r="K8116" s="8" t="e">
        <f t="shared" si="126"/>
        <v>#VALUE!</v>
      </c>
    </row>
    <row r="8117" spans="11:11" x14ac:dyDescent="0.25">
      <c r="K8117" s="8" t="e">
        <f t="shared" si="126"/>
        <v>#VALUE!</v>
      </c>
    </row>
    <row r="8118" spans="11:11" x14ac:dyDescent="0.25">
      <c r="K8118" s="8" t="e">
        <f t="shared" si="126"/>
        <v>#VALUE!</v>
      </c>
    </row>
    <row r="8119" spans="11:11" x14ac:dyDescent="0.25">
      <c r="K8119" s="8" t="e">
        <f t="shared" si="126"/>
        <v>#VALUE!</v>
      </c>
    </row>
    <row r="8120" spans="11:11" x14ac:dyDescent="0.25">
      <c r="K8120" s="8" t="e">
        <f t="shared" si="126"/>
        <v>#VALUE!</v>
      </c>
    </row>
    <row r="8121" spans="11:11" x14ac:dyDescent="0.25">
      <c r="K8121" s="8" t="e">
        <f t="shared" si="126"/>
        <v>#VALUE!</v>
      </c>
    </row>
    <row r="8122" spans="11:11" x14ac:dyDescent="0.25">
      <c r="K8122" s="8" t="e">
        <f t="shared" si="126"/>
        <v>#VALUE!</v>
      </c>
    </row>
    <row r="8123" spans="11:11" x14ac:dyDescent="0.25">
      <c r="K8123" s="8" t="e">
        <f t="shared" si="126"/>
        <v>#VALUE!</v>
      </c>
    </row>
    <row r="8124" spans="11:11" x14ac:dyDescent="0.25">
      <c r="K8124" s="8" t="e">
        <f t="shared" si="126"/>
        <v>#VALUE!</v>
      </c>
    </row>
    <row r="8125" spans="11:11" x14ac:dyDescent="0.25">
      <c r="K8125" s="8" t="e">
        <f t="shared" si="126"/>
        <v>#VALUE!</v>
      </c>
    </row>
    <row r="8126" spans="11:11" x14ac:dyDescent="0.25">
      <c r="K8126" s="8" t="e">
        <f t="shared" si="126"/>
        <v>#VALUE!</v>
      </c>
    </row>
    <row r="8127" spans="11:11" x14ac:dyDescent="0.25">
      <c r="K8127" s="8" t="e">
        <f t="shared" si="126"/>
        <v>#VALUE!</v>
      </c>
    </row>
    <row r="8128" spans="11:11" x14ac:dyDescent="0.25">
      <c r="K8128" s="8" t="e">
        <f t="shared" si="126"/>
        <v>#VALUE!</v>
      </c>
    </row>
    <row r="8129" spans="11:11" x14ac:dyDescent="0.25">
      <c r="K8129" s="8" t="e">
        <f t="shared" si="126"/>
        <v>#VALUE!</v>
      </c>
    </row>
    <row r="8130" spans="11:11" x14ac:dyDescent="0.25">
      <c r="K8130" s="8" t="e">
        <f t="shared" si="126"/>
        <v>#VALUE!</v>
      </c>
    </row>
    <row r="8131" spans="11:11" x14ac:dyDescent="0.25">
      <c r="K8131" s="8" t="e">
        <f t="shared" ref="K8131:K8194" si="127">LEFT(A8131,FIND("/",A8131)-1)</f>
        <v>#VALUE!</v>
      </c>
    </row>
    <row r="8132" spans="11:11" x14ac:dyDescent="0.25">
      <c r="K8132" s="8" t="e">
        <f t="shared" si="127"/>
        <v>#VALUE!</v>
      </c>
    </row>
    <row r="8133" spans="11:11" x14ac:dyDescent="0.25">
      <c r="K8133" s="8" t="e">
        <f t="shared" si="127"/>
        <v>#VALUE!</v>
      </c>
    </row>
    <row r="8134" spans="11:11" x14ac:dyDescent="0.25">
      <c r="K8134" s="8" t="e">
        <f t="shared" si="127"/>
        <v>#VALUE!</v>
      </c>
    </row>
    <row r="8135" spans="11:11" x14ac:dyDescent="0.25">
      <c r="K8135" s="8" t="e">
        <f t="shared" si="127"/>
        <v>#VALUE!</v>
      </c>
    </row>
    <row r="8136" spans="11:11" x14ac:dyDescent="0.25">
      <c r="K8136" s="8" t="e">
        <f t="shared" si="127"/>
        <v>#VALUE!</v>
      </c>
    </row>
    <row r="8137" spans="11:11" x14ac:dyDescent="0.25">
      <c r="K8137" s="8" t="e">
        <f t="shared" si="127"/>
        <v>#VALUE!</v>
      </c>
    </row>
    <row r="8138" spans="11:11" x14ac:dyDescent="0.25">
      <c r="K8138" s="8" t="e">
        <f t="shared" si="127"/>
        <v>#VALUE!</v>
      </c>
    </row>
    <row r="8139" spans="11:11" x14ac:dyDescent="0.25">
      <c r="K8139" s="8" t="e">
        <f t="shared" si="127"/>
        <v>#VALUE!</v>
      </c>
    </row>
    <row r="8140" spans="11:11" x14ac:dyDescent="0.25">
      <c r="K8140" s="8" t="e">
        <f t="shared" si="127"/>
        <v>#VALUE!</v>
      </c>
    </row>
    <row r="8141" spans="11:11" x14ac:dyDescent="0.25">
      <c r="K8141" s="8" t="e">
        <f t="shared" si="127"/>
        <v>#VALUE!</v>
      </c>
    </row>
    <row r="8142" spans="11:11" x14ac:dyDescent="0.25">
      <c r="K8142" s="8" t="e">
        <f t="shared" si="127"/>
        <v>#VALUE!</v>
      </c>
    </row>
    <row r="8143" spans="11:11" x14ac:dyDescent="0.25">
      <c r="K8143" s="8" t="e">
        <f t="shared" si="127"/>
        <v>#VALUE!</v>
      </c>
    </row>
    <row r="8144" spans="11:11" x14ac:dyDescent="0.25">
      <c r="K8144" s="8" t="e">
        <f t="shared" si="127"/>
        <v>#VALUE!</v>
      </c>
    </row>
    <row r="8145" spans="11:11" x14ac:dyDescent="0.25">
      <c r="K8145" s="8" t="e">
        <f t="shared" si="127"/>
        <v>#VALUE!</v>
      </c>
    </row>
    <row r="8146" spans="11:11" x14ac:dyDescent="0.25">
      <c r="K8146" s="8" t="e">
        <f t="shared" si="127"/>
        <v>#VALUE!</v>
      </c>
    </row>
    <row r="8147" spans="11:11" x14ac:dyDescent="0.25">
      <c r="K8147" s="8" t="e">
        <f t="shared" si="127"/>
        <v>#VALUE!</v>
      </c>
    </row>
    <row r="8148" spans="11:11" x14ac:dyDescent="0.25">
      <c r="K8148" s="8" t="e">
        <f t="shared" si="127"/>
        <v>#VALUE!</v>
      </c>
    </row>
    <row r="8149" spans="11:11" x14ac:dyDescent="0.25">
      <c r="K8149" s="8" t="e">
        <f t="shared" si="127"/>
        <v>#VALUE!</v>
      </c>
    </row>
    <row r="8150" spans="11:11" x14ac:dyDescent="0.25">
      <c r="K8150" s="8" t="e">
        <f t="shared" si="127"/>
        <v>#VALUE!</v>
      </c>
    </row>
    <row r="8151" spans="11:11" x14ac:dyDescent="0.25">
      <c r="K8151" s="8" t="e">
        <f t="shared" si="127"/>
        <v>#VALUE!</v>
      </c>
    </row>
    <row r="8152" spans="11:11" x14ac:dyDescent="0.25">
      <c r="K8152" s="8" t="e">
        <f t="shared" si="127"/>
        <v>#VALUE!</v>
      </c>
    </row>
    <row r="8153" spans="11:11" x14ac:dyDescent="0.25">
      <c r="K8153" s="8" t="e">
        <f t="shared" si="127"/>
        <v>#VALUE!</v>
      </c>
    </row>
    <row r="8154" spans="11:11" x14ac:dyDescent="0.25">
      <c r="K8154" s="8" t="e">
        <f t="shared" si="127"/>
        <v>#VALUE!</v>
      </c>
    </row>
    <row r="8155" spans="11:11" x14ac:dyDescent="0.25">
      <c r="K8155" s="8" t="e">
        <f t="shared" si="127"/>
        <v>#VALUE!</v>
      </c>
    </row>
    <row r="8156" spans="11:11" x14ac:dyDescent="0.25">
      <c r="K8156" s="8" t="e">
        <f t="shared" si="127"/>
        <v>#VALUE!</v>
      </c>
    </row>
    <row r="8157" spans="11:11" x14ac:dyDescent="0.25">
      <c r="K8157" s="8" t="e">
        <f t="shared" si="127"/>
        <v>#VALUE!</v>
      </c>
    </row>
    <row r="8158" spans="11:11" x14ac:dyDescent="0.25">
      <c r="K8158" s="8" t="e">
        <f t="shared" si="127"/>
        <v>#VALUE!</v>
      </c>
    </row>
    <row r="8159" spans="11:11" x14ac:dyDescent="0.25">
      <c r="K8159" s="8" t="e">
        <f t="shared" si="127"/>
        <v>#VALUE!</v>
      </c>
    </row>
    <row r="8160" spans="11:11" x14ac:dyDescent="0.25">
      <c r="K8160" s="8" t="e">
        <f t="shared" si="127"/>
        <v>#VALUE!</v>
      </c>
    </row>
    <row r="8161" spans="11:11" x14ac:dyDescent="0.25">
      <c r="K8161" s="8" t="e">
        <f t="shared" si="127"/>
        <v>#VALUE!</v>
      </c>
    </row>
    <row r="8162" spans="11:11" x14ac:dyDescent="0.25">
      <c r="K8162" s="8" t="e">
        <f t="shared" si="127"/>
        <v>#VALUE!</v>
      </c>
    </row>
    <row r="8163" spans="11:11" x14ac:dyDescent="0.25">
      <c r="K8163" s="8" t="e">
        <f t="shared" si="127"/>
        <v>#VALUE!</v>
      </c>
    </row>
    <row r="8164" spans="11:11" x14ac:dyDescent="0.25">
      <c r="K8164" s="8" t="e">
        <f t="shared" si="127"/>
        <v>#VALUE!</v>
      </c>
    </row>
    <row r="8165" spans="11:11" x14ac:dyDescent="0.25">
      <c r="K8165" s="8" t="e">
        <f t="shared" si="127"/>
        <v>#VALUE!</v>
      </c>
    </row>
    <row r="8166" spans="11:11" x14ac:dyDescent="0.25">
      <c r="K8166" s="8" t="e">
        <f t="shared" si="127"/>
        <v>#VALUE!</v>
      </c>
    </row>
    <row r="8167" spans="11:11" x14ac:dyDescent="0.25">
      <c r="K8167" s="8" t="e">
        <f t="shared" si="127"/>
        <v>#VALUE!</v>
      </c>
    </row>
    <row r="8168" spans="11:11" x14ac:dyDescent="0.25">
      <c r="K8168" s="8" t="e">
        <f t="shared" si="127"/>
        <v>#VALUE!</v>
      </c>
    </row>
    <row r="8169" spans="11:11" x14ac:dyDescent="0.25">
      <c r="K8169" s="8" t="e">
        <f t="shared" si="127"/>
        <v>#VALUE!</v>
      </c>
    </row>
    <row r="8170" spans="11:11" x14ac:dyDescent="0.25">
      <c r="K8170" s="8" t="e">
        <f t="shared" si="127"/>
        <v>#VALUE!</v>
      </c>
    </row>
    <row r="8171" spans="11:11" x14ac:dyDescent="0.25">
      <c r="K8171" s="8" t="e">
        <f t="shared" si="127"/>
        <v>#VALUE!</v>
      </c>
    </row>
    <row r="8172" spans="11:11" x14ac:dyDescent="0.25">
      <c r="K8172" s="8" t="e">
        <f t="shared" si="127"/>
        <v>#VALUE!</v>
      </c>
    </row>
    <row r="8173" spans="11:11" x14ac:dyDescent="0.25">
      <c r="K8173" s="8" t="e">
        <f t="shared" si="127"/>
        <v>#VALUE!</v>
      </c>
    </row>
    <row r="8174" spans="11:11" x14ac:dyDescent="0.25">
      <c r="K8174" s="8" t="e">
        <f t="shared" si="127"/>
        <v>#VALUE!</v>
      </c>
    </row>
    <row r="8175" spans="11:11" x14ac:dyDescent="0.25">
      <c r="K8175" s="8" t="e">
        <f t="shared" si="127"/>
        <v>#VALUE!</v>
      </c>
    </row>
    <row r="8176" spans="11:11" x14ac:dyDescent="0.25">
      <c r="K8176" s="8" t="e">
        <f t="shared" si="127"/>
        <v>#VALUE!</v>
      </c>
    </row>
    <row r="8177" spans="11:11" x14ac:dyDescent="0.25">
      <c r="K8177" s="8" t="e">
        <f t="shared" si="127"/>
        <v>#VALUE!</v>
      </c>
    </row>
    <row r="8178" spans="11:11" x14ac:dyDescent="0.25">
      <c r="K8178" s="8" t="e">
        <f t="shared" si="127"/>
        <v>#VALUE!</v>
      </c>
    </row>
    <row r="8179" spans="11:11" x14ac:dyDescent="0.25">
      <c r="K8179" s="8" t="e">
        <f t="shared" si="127"/>
        <v>#VALUE!</v>
      </c>
    </row>
    <row r="8180" spans="11:11" x14ac:dyDescent="0.25">
      <c r="K8180" s="8" t="e">
        <f t="shared" si="127"/>
        <v>#VALUE!</v>
      </c>
    </row>
    <row r="8181" spans="11:11" x14ac:dyDescent="0.25">
      <c r="K8181" s="8" t="e">
        <f t="shared" si="127"/>
        <v>#VALUE!</v>
      </c>
    </row>
    <row r="8182" spans="11:11" x14ac:dyDescent="0.25">
      <c r="K8182" s="8" t="e">
        <f t="shared" si="127"/>
        <v>#VALUE!</v>
      </c>
    </row>
    <row r="8183" spans="11:11" x14ac:dyDescent="0.25">
      <c r="K8183" s="8" t="e">
        <f t="shared" si="127"/>
        <v>#VALUE!</v>
      </c>
    </row>
    <row r="8184" spans="11:11" x14ac:dyDescent="0.25">
      <c r="K8184" s="8" t="e">
        <f t="shared" si="127"/>
        <v>#VALUE!</v>
      </c>
    </row>
    <row r="8185" spans="11:11" x14ac:dyDescent="0.25">
      <c r="K8185" s="8" t="e">
        <f t="shared" si="127"/>
        <v>#VALUE!</v>
      </c>
    </row>
    <row r="8186" spans="11:11" x14ac:dyDescent="0.25">
      <c r="K8186" s="8" t="e">
        <f t="shared" si="127"/>
        <v>#VALUE!</v>
      </c>
    </row>
    <row r="8187" spans="11:11" x14ac:dyDescent="0.25">
      <c r="K8187" s="8" t="e">
        <f t="shared" si="127"/>
        <v>#VALUE!</v>
      </c>
    </row>
    <row r="8188" spans="11:11" x14ac:dyDescent="0.25">
      <c r="K8188" s="8" t="e">
        <f t="shared" si="127"/>
        <v>#VALUE!</v>
      </c>
    </row>
    <row r="8189" spans="11:11" x14ac:dyDescent="0.25">
      <c r="K8189" s="8" t="e">
        <f t="shared" si="127"/>
        <v>#VALUE!</v>
      </c>
    </row>
    <row r="8190" spans="11:11" x14ac:dyDescent="0.25">
      <c r="K8190" s="8" t="e">
        <f t="shared" si="127"/>
        <v>#VALUE!</v>
      </c>
    </row>
    <row r="8191" spans="11:11" x14ac:dyDescent="0.25">
      <c r="K8191" s="8" t="e">
        <f t="shared" si="127"/>
        <v>#VALUE!</v>
      </c>
    </row>
    <row r="8192" spans="11:11" x14ac:dyDescent="0.25">
      <c r="K8192" s="8" t="e">
        <f t="shared" si="127"/>
        <v>#VALUE!</v>
      </c>
    </row>
    <row r="8193" spans="11:11" x14ac:dyDescent="0.25">
      <c r="K8193" s="8" t="e">
        <f t="shared" si="127"/>
        <v>#VALUE!</v>
      </c>
    </row>
    <row r="8194" spans="11:11" x14ac:dyDescent="0.25">
      <c r="K8194" s="8" t="e">
        <f t="shared" si="127"/>
        <v>#VALUE!</v>
      </c>
    </row>
    <row r="8195" spans="11:11" x14ac:dyDescent="0.25">
      <c r="K8195" s="8" t="e">
        <f t="shared" ref="K8195:K8258" si="128">LEFT(A8195,FIND("/",A8195)-1)</f>
        <v>#VALUE!</v>
      </c>
    </row>
    <row r="8196" spans="11:11" x14ac:dyDescent="0.25">
      <c r="K8196" s="8" t="e">
        <f t="shared" si="128"/>
        <v>#VALUE!</v>
      </c>
    </row>
    <row r="8197" spans="11:11" x14ac:dyDescent="0.25">
      <c r="K8197" s="8" t="e">
        <f t="shared" si="128"/>
        <v>#VALUE!</v>
      </c>
    </row>
    <row r="8198" spans="11:11" x14ac:dyDescent="0.25">
      <c r="K8198" s="8" t="e">
        <f t="shared" si="128"/>
        <v>#VALUE!</v>
      </c>
    </row>
    <row r="8199" spans="11:11" x14ac:dyDescent="0.25">
      <c r="K8199" s="8" t="e">
        <f t="shared" si="128"/>
        <v>#VALUE!</v>
      </c>
    </row>
    <row r="8200" spans="11:11" x14ac:dyDescent="0.25">
      <c r="K8200" s="8" t="e">
        <f t="shared" si="128"/>
        <v>#VALUE!</v>
      </c>
    </row>
    <row r="8201" spans="11:11" x14ac:dyDescent="0.25">
      <c r="K8201" s="8" t="e">
        <f t="shared" si="128"/>
        <v>#VALUE!</v>
      </c>
    </row>
    <row r="8202" spans="11:11" x14ac:dyDescent="0.25">
      <c r="K8202" s="8" t="e">
        <f t="shared" si="128"/>
        <v>#VALUE!</v>
      </c>
    </row>
    <row r="8203" spans="11:11" x14ac:dyDescent="0.25">
      <c r="K8203" s="8" t="e">
        <f t="shared" si="128"/>
        <v>#VALUE!</v>
      </c>
    </row>
    <row r="8204" spans="11:11" x14ac:dyDescent="0.25">
      <c r="K8204" s="8" t="e">
        <f t="shared" si="128"/>
        <v>#VALUE!</v>
      </c>
    </row>
    <row r="8205" spans="11:11" x14ac:dyDescent="0.25">
      <c r="K8205" s="8" t="e">
        <f t="shared" si="128"/>
        <v>#VALUE!</v>
      </c>
    </row>
    <row r="8206" spans="11:11" x14ac:dyDescent="0.25">
      <c r="K8206" s="8" t="e">
        <f t="shared" si="128"/>
        <v>#VALUE!</v>
      </c>
    </row>
    <row r="8207" spans="11:11" x14ac:dyDescent="0.25">
      <c r="K8207" s="8" t="e">
        <f t="shared" si="128"/>
        <v>#VALUE!</v>
      </c>
    </row>
    <row r="8208" spans="11:11" x14ac:dyDescent="0.25">
      <c r="K8208" s="8" t="e">
        <f t="shared" si="128"/>
        <v>#VALUE!</v>
      </c>
    </row>
    <row r="8209" spans="11:11" x14ac:dyDescent="0.25">
      <c r="K8209" s="8" t="e">
        <f t="shared" si="128"/>
        <v>#VALUE!</v>
      </c>
    </row>
    <row r="8210" spans="11:11" x14ac:dyDescent="0.25">
      <c r="K8210" s="8" t="e">
        <f t="shared" si="128"/>
        <v>#VALUE!</v>
      </c>
    </row>
    <row r="8211" spans="11:11" x14ac:dyDescent="0.25">
      <c r="K8211" s="8" t="e">
        <f t="shared" si="128"/>
        <v>#VALUE!</v>
      </c>
    </row>
    <row r="8212" spans="11:11" x14ac:dyDescent="0.25">
      <c r="K8212" s="8" t="e">
        <f t="shared" si="128"/>
        <v>#VALUE!</v>
      </c>
    </row>
    <row r="8213" spans="11:11" x14ac:dyDescent="0.25">
      <c r="K8213" s="8" t="e">
        <f t="shared" si="128"/>
        <v>#VALUE!</v>
      </c>
    </row>
    <row r="8214" spans="11:11" x14ac:dyDescent="0.25">
      <c r="K8214" s="8" t="e">
        <f t="shared" si="128"/>
        <v>#VALUE!</v>
      </c>
    </row>
    <row r="8215" spans="11:11" x14ac:dyDescent="0.25">
      <c r="K8215" s="8" t="e">
        <f t="shared" si="128"/>
        <v>#VALUE!</v>
      </c>
    </row>
    <row r="8216" spans="11:11" x14ac:dyDescent="0.25">
      <c r="K8216" s="8" t="e">
        <f t="shared" si="128"/>
        <v>#VALUE!</v>
      </c>
    </row>
    <row r="8217" spans="11:11" x14ac:dyDescent="0.25">
      <c r="K8217" s="8" t="e">
        <f t="shared" si="128"/>
        <v>#VALUE!</v>
      </c>
    </row>
    <row r="8218" spans="11:11" x14ac:dyDescent="0.25">
      <c r="K8218" s="8" t="e">
        <f t="shared" si="128"/>
        <v>#VALUE!</v>
      </c>
    </row>
    <row r="8219" spans="11:11" x14ac:dyDescent="0.25">
      <c r="K8219" s="8" t="e">
        <f t="shared" si="128"/>
        <v>#VALUE!</v>
      </c>
    </row>
    <row r="8220" spans="11:11" x14ac:dyDescent="0.25">
      <c r="K8220" s="8" t="e">
        <f t="shared" si="128"/>
        <v>#VALUE!</v>
      </c>
    </row>
    <row r="8221" spans="11:11" x14ac:dyDescent="0.25">
      <c r="K8221" s="8" t="e">
        <f t="shared" si="128"/>
        <v>#VALUE!</v>
      </c>
    </row>
    <row r="8222" spans="11:11" x14ac:dyDescent="0.25">
      <c r="K8222" s="8" t="e">
        <f t="shared" si="128"/>
        <v>#VALUE!</v>
      </c>
    </row>
    <row r="8223" spans="11:11" x14ac:dyDescent="0.25">
      <c r="K8223" s="8" t="e">
        <f t="shared" si="128"/>
        <v>#VALUE!</v>
      </c>
    </row>
    <row r="8224" spans="11:11" x14ac:dyDescent="0.25">
      <c r="K8224" s="8" t="e">
        <f t="shared" si="128"/>
        <v>#VALUE!</v>
      </c>
    </row>
    <row r="8225" spans="11:11" x14ac:dyDescent="0.25">
      <c r="K8225" s="8" t="e">
        <f t="shared" si="128"/>
        <v>#VALUE!</v>
      </c>
    </row>
    <row r="8226" spans="11:11" x14ac:dyDescent="0.25">
      <c r="K8226" s="8" t="e">
        <f t="shared" si="128"/>
        <v>#VALUE!</v>
      </c>
    </row>
    <row r="8227" spans="11:11" x14ac:dyDescent="0.25">
      <c r="K8227" s="8" t="e">
        <f t="shared" si="128"/>
        <v>#VALUE!</v>
      </c>
    </row>
    <row r="8228" spans="11:11" x14ac:dyDescent="0.25">
      <c r="K8228" s="8" t="e">
        <f t="shared" si="128"/>
        <v>#VALUE!</v>
      </c>
    </row>
    <row r="8229" spans="11:11" x14ac:dyDescent="0.25">
      <c r="K8229" s="8" t="e">
        <f t="shared" si="128"/>
        <v>#VALUE!</v>
      </c>
    </row>
    <row r="8230" spans="11:11" x14ac:dyDescent="0.25">
      <c r="K8230" s="8" t="e">
        <f t="shared" si="128"/>
        <v>#VALUE!</v>
      </c>
    </row>
    <row r="8231" spans="11:11" x14ac:dyDescent="0.25">
      <c r="K8231" s="8" t="e">
        <f t="shared" si="128"/>
        <v>#VALUE!</v>
      </c>
    </row>
    <row r="8232" spans="11:11" x14ac:dyDescent="0.25">
      <c r="K8232" s="8" t="e">
        <f t="shared" si="128"/>
        <v>#VALUE!</v>
      </c>
    </row>
    <row r="8233" spans="11:11" x14ac:dyDescent="0.25">
      <c r="K8233" s="8" t="e">
        <f t="shared" si="128"/>
        <v>#VALUE!</v>
      </c>
    </row>
    <row r="8234" spans="11:11" x14ac:dyDescent="0.25">
      <c r="K8234" s="8" t="e">
        <f t="shared" si="128"/>
        <v>#VALUE!</v>
      </c>
    </row>
    <row r="8235" spans="11:11" x14ac:dyDescent="0.25">
      <c r="K8235" s="8" t="e">
        <f t="shared" si="128"/>
        <v>#VALUE!</v>
      </c>
    </row>
    <row r="8236" spans="11:11" x14ac:dyDescent="0.25">
      <c r="K8236" s="8" t="e">
        <f t="shared" si="128"/>
        <v>#VALUE!</v>
      </c>
    </row>
    <row r="8237" spans="11:11" x14ac:dyDescent="0.25">
      <c r="K8237" s="8" t="e">
        <f t="shared" si="128"/>
        <v>#VALUE!</v>
      </c>
    </row>
    <row r="8238" spans="11:11" x14ac:dyDescent="0.25">
      <c r="K8238" s="8" t="e">
        <f t="shared" si="128"/>
        <v>#VALUE!</v>
      </c>
    </row>
    <row r="8239" spans="11:11" x14ac:dyDescent="0.25">
      <c r="K8239" s="8" t="e">
        <f t="shared" si="128"/>
        <v>#VALUE!</v>
      </c>
    </row>
    <row r="8240" spans="11:11" x14ac:dyDescent="0.25">
      <c r="K8240" s="8" t="e">
        <f t="shared" si="128"/>
        <v>#VALUE!</v>
      </c>
    </row>
    <row r="8241" spans="11:11" x14ac:dyDescent="0.25">
      <c r="K8241" s="8" t="e">
        <f t="shared" si="128"/>
        <v>#VALUE!</v>
      </c>
    </row>
    <row r="8242" spans="11:11" x14ac:dyDescent="0.25">
      <c r="K8242" s="8" t="e">
        <f t="shared" si="128"/>
        <v>#VALUE!</v>
      </c>
    </row>
    <row r="8243" spans="11:11" x14ac:dyDescent="0.25">
      <c r="K8243" s="8" t="e">
        <f t="shared" si="128"/>
        <v>#VALUE!</v>
      </c>
    </row>
    <row r="8244" spans="11:11" x14ac:dyDescent="0.25">
      <c r="K8244" s="8" t="e">
        <f t="shared" si="128"/>
        <v>#VALUE!</v>
      </c>
    </row>
    <row r="8245" spans="11:11" x14ac:dyDescent="0.25">
      <c r="K8245" s="8" t="e">
        <f t="shared" si="128"/>
        <v>#VALUE!</v>
      </c>
    </row>
    <row r="8246" spans="11:11" x14ac:dyDescent="0.25">
      <c r="K8246" s="8" t="e">
        <f t="shared" si="128"/>
        <v>#VALUE!</v>
      </c>
    </row>
    <row r="8247" spans="11:11" x14ac:dyDescent="0.25">
      <c r="K8247" s="8" t="e">
        <f t="shared" si="128"/>
        <v>#VALUE!</v>
      </c>
    </row>
    <row r="8248" spans="11:11" x14ac:dyDescent="0.25">
      <c r="K8248" s="8" t="e">
        <f t="shared" si="128"/>
        <v>#VALUE!</v>
      </c>
    </row>
    <row r="8249" spans="11:11" x14ac:dyDescent="0.25">
      <c r="K8249" s="8" t="e">
        <f t="shared" si="128"/>
        <v>#VALUE!</v>
      </c>
    </row>
    <row r="8250" spans="11:11" x14ac:dyDescent="0.25">
      <c r="K8250" s="8" t="e">
        <f t="shared" si="128"/>
        <v>#VALUE!</v>
      </c>
    </row>
    <row r="8251" spans="11:11" x14ac:dyDescent="0.25">
      <c r="K8251" s="8" t="e">
        <f t="shared" si="128"/>
        <v>#VALUE!</v>
      </c>
    </row>
    <row r="8252" spans="11:11" x14ac:dyDescent="0.25">
      <c r="K8252" s="8" t="e">
        <f t="shared" si="128"/>
        <v>#VALUE!</v>
      </c>
    </row>
    <row r="8253" spans="11:11" x14ac:dyDescent="0.25">
      <c r="K8253" s="8" t="e">
        <f t="shared" si="128"/>
        <v>#VALUE!</v>
      </c>
    </row>
    <row r="8254" spans="11:11" x14ac:dyDescent="0.25">
      <c r="K8254" s="8" t="e">
        <f t="shared" si="128"/>
        <v>#VALUE!</v>
      </c>
    </row>
    <row r="8255" spans="11:11" x14ac:dyDescent="0.25">
      <c r="K8255" s="8" t="e">
        <f t="shared" si="128"/>
        <v>#VALUE!</v>
      </c>
    </row>
    <row r="8256" spans="11:11" x14ac:dyDescent="0.25">
      <c r="K8256" s="8" t="e">
        <f t="shared" si="128"/>
        <v>#VALUE!</v>
      </c>
    </row>
    <row r="8257" spans="11:11" x14ac:dyDescent="0.25">
      <c r="K8257" s="8" t="e">
        <f t="shared" si="128"/>
        <v>#VALUE!</v>
      </c>
    </row>
    <row r="8258" spans="11:11" x14ac:dyDescent="0.25">
      <c r="K8258" s="8" t="e">
        <f t="shared" si="128"/>
        <v>#VALUE!</v>
      </c>
    </row>
    <row r="8259" spans="11:11" x14ac:dyDescent="0.25">
      <c r="K8259" s="8" t="e">
        <f t="shared" ref="K8259:K8322" si="129">LEFT(A8259,FIND("/",A8259)-1)</f>
        <v>#VALUE!</v>
      </c>
    </row>
    <row r="8260" spans="11:11" x14ac:dyDescent="0.25">
      <c r="K8260" s="8" t="e">
        <f t="shared" si="129"/>
        <v>#VALUE!</v>
      </c>
    </row>
    <row r="8261" spans="11:11" x14ac:dyDescent="0.25">
      <c r="K8261" s="8" t="e">
        <f t="shared" si="129"/>
        <v>#VALUE!</v>
      </c>
    </row>
    <row r="8262" spans="11:11" x14ac:dyDescent="0.25">
      <c r="K8262" s="8" t="e">
        <f t="shared" si="129"/>
        <v>#VALUE!</v>
      </c>
    </row>
    <row r="8263" spans="11:11" x14ac:dyDescent="0.25">
      <c r="K8263" s="8" t="e">
        <f t="shared" si="129"/>
        <v>#VALUE!</v>
      </c>
    </row>
    <row r="8264" spans="11:11" x14ac:dyDescent="0.25">
      <c r="K8264" s="8" t="e">
        <f t="shared" si="129"/>
        <v>#VALUE!</v>
      </c>
    </row>
    <row r="8265" spans="11:11" x14ac:dyDescent="0.25">
      <c r="K8265" s="8" t="e">
        <f t="shared" si="129"/>
        <v>#VALUE!</v>
      </c>
    </row>
    <row r="8266" spans="11:11" x14ac:dyDescent="0.25">
      <c r="K8266" s="8" t="e">
        <f t="shared" si="129"/>
        <v>#VALUE!</v>
      </c>
    </row>
    <row r="8267" spans="11:11" x14ac:dyDescent="0.25">
      <c r="K8267" s="8" t="e">
        <f t="shared" si="129"/>
        <v>#VALUE!</v>
      </c>
    </row>
    <row r="8268" spans="11:11" x14ac:dyDescent="0.25">
      <c r="K8268" s="8" t="e">
        <f t="shared" si="129"/>
        <v>#VALUE!</v>
      </c>
    </row>
    <row r="8269" spans="11:11" x14ac:dyDescent="0.25">
      <c r="K8269" s="8" t="e">
        <f t="shared" si="129"/>
        <v>#VALUE!</v>
      </c>
    </row>
    <row r="8270" spans="11:11" x14ac:dyDescent="0.25">
      <c r="K8270" s="8" t="e">
        <f t="shared" si="129"/>
        <v>#VALUE!</v>
      </c>
    </row>
    <row r="8271" spans="11:11" x14ac:dyDescent="0.25">
      <c r="K8271" s="8" t="e">
        <f t="shared" si="129"/>
        <v>#VALUE!</v>
      </c>
    </row>
    <row r="8272" spans="11:11" x14ac:dyDescent="0.25">
      <c r="K8272" s="8" t="e">
        <f t="shared" si="129"/>
        <v>#VALUE!</v>
      </c>
    </row>
    <row r="8273" spans="11:11" x14ac:dyDescent="0.25">
      <c r="K8273" s="8" t="e">
        <f t="shared" si="129"/>
        <v>#VALUE!</v>
      </c>
    </row>
    <row r="8274" spans="11:11" x14ac:dyDescent="0.25">
      <c r="K8274" s="8" t="e">
        <f t="shared" si="129"/>
        <v>#VALUE!</v>
      </c>
    </row>
    <row r="8275" spans="11:11" x14ac:dyDescent="0.25">
      <c r="K8275" s="8" t="e">
        <f t="shared" si="129"/>
        <v>#VALUE!</v>
      </c>
    </row>
    <row r="8276" spans="11:11" x14ac:dyDescent="0.25">
      <c r="K8276" s="8" t="e">
        <f t="shared" si="129"/>
        <v>#VALUE!</v>
      </c>
    </row>
    <row r="8277" spans="11:11" x14ac:dyDescent="0.25">
      <c r="K8277" s="8" t="e">
        <f t="shared" si="129"/>
        <v>#VALUE!</v>
      </c>
    </row>
    <row r="8278" spans="11:11" x14ac:dyDescent="0.25">
      <c r="K8278" s="8" t="e">
        <f t="shared" si="129"/>
        <v>#VALUE!</v>
      </c>
    </row>
    <row r="8279" spans="11:11" x14ac:dyDescent="0.25">
      <c r="K8279" s="8" t="e">
        <f t="shared" si="129"/>
        <v>#VALUE!</v>
      </c>
    </row>
    <row r="8280" spans="11:11" x14ac:dyDescent="0.25">
      <c r="K8280" s="8" t="e">
        <f t="shared" si="129"/>
        <v>#VALUE!</v>
      </c>
    </row>
    <row r="8281" spans="11:11" x14ac:dyDescent="0.25">
      <c r="K8281" s="8" t="e">
        <f t="shared" si="129"/>
        <v>#VALUE!</v>
      </c>
    </row>
    <row r="8282" spans="11:11" x14ac:dyDescent="0.25">
      <c r="K8282" s="8" t="e">
        <f t="shared" si="129"/>
        <v>#VALUE!</v>
      </c>
    </row>
    <row r="8283" spans="11:11" x14ac:dyDescent="0.25">
      <c r="K8283" s="8" t="e">
        <f t="shared" si="129"/>
        <v>#VALUE!</v>
      </c>
    </row>
    <row r="8284" spans="11:11" x14ac:dyDescent="0.25">
      <c r="K8284" s="8" t="e">
        <f t="shared" si="129"/>
        <v>#VALUE!</v>
      </c>
    </row>
    <row r="8285" spans="11:11" x14ac:dyDescent="0.25">
      <c r="K8285" s="8" t="e">
        <f t="shared" si="129"/>
        <v>#VALUE!</v>
      </c>
    </row>
    <row r="8286" spans="11:11" x14ac:dyDescent="0.25">
      <c r="K8286" s="8" t="e">
        <f t="shared" si="129"/>
        <v>#VALUE!</v>
      </c>
    </row>
    <row r="8287" spans="11:11" x14ac:dyDescent="0.25">
      <c r="K8287" s="8" t="e">
        <f t="shared" si="129"/>
        <v>#VALUE!</v>
      </c>
    </row>
    <row r="8288" spans="11:11" x14ac:dyDescent="0.25">
      <c r="K8288" s="8" t="e">
        <f t="shared" si="129"/>
        <v>#VALUE!</v>
      </c>
    </row>
    <row r="8289" spans="11:11" x14ac:dyDescent="0.25">
      <c r="K8289" s="8" t="e">
        <f t="shared" si="129"/>
        <v>#VALUE!</v>
      </c>
    </row>
    <row r="8290" spans="11:11" x14ac:dyDescent="0.25">
      <c r="K8290" s="8" t="e">
        <f t="shared" si="129"/>
        <v>#VALUE!</v>
      </c>
    </row>
    <row r="8291" spans="11:11" x14ac:dyDescent="0.25">
      <c r="K8291" s="8" t="e">
        <f t="shared" si="129"/>
        <v>#VALUE!</v>
      </c>
    </row>
    <row r="8292" spans="11:11" x14ac:dyDescent="0.25">
      <c r="K8292" s="8" t="e">
        <f t="shared" si="129"/>
        <v>#VALUE!</v>
      </c>
    </row>
    <row r="8293" spans="11:11" x14ac:dyDescent="0.25">
      <c r="K8293" s="8" t="e">
        <f t="shared" si="129"/>
        <v>#VALUE!</v>
      </c>
    </row>
    <row r="8294" spans="11:11" x14ac:dyDescent="0.25">
      <c r="K8294" s="8" t="e">
        <f t="shared" si="129"/>
        <v>#VALUE!</v>
      </c>
    </row>
    <row r="8295" spans="11:11" x14ac:dyDescent="0.25">
      <c r="K8295" s="8" t="e">
        <f t="shared" si="129"/>
        <v>#VALUE!</v>
      </c>
    </row>
    <row r="8296" spans="11:11" x14ac:dyDescent="0.25">
      <c r="K8296" s="8" t="e">
        <f t="shared" si="129"/>
        <v>#VALUE!</v>
      </c>
    </row>
    <row r="8297" spans="11:11" x14ac:dyDescent="0.25">
      <c r="K8297" s="8" t="e">
        <f t="shared" si="129"/>
        <v>#VALUE!</v>
      </c>
    </row>
    <row r="8298" spans="11:11" x14ac:dyDescent="0.25">
      <c r="K8298" s="8" t="e">
        <f t="shared" si="129"/>
        <v>#VALUE!</v>
      </c>
    </row>
    <row r="8299" spans="11:11" x14ac:dyDescent="0.25">
      <c r="K8299" s="8" t="e">
        <f t="shared" si="129"/>
        <v>#VALUE!</v>
      </c>
    </row>
    <row r="8300" spans="11:11" x14ac:dyDescent="0.25">
      <c r="K8300" s="8" t="e">
        <f t="shared" si="129"/>
        <v>#VALUE!</v>
      </c>
    </row>
    <row r="8301" spans="11:11" x14ac:dyDescent="0.25">
      <c r="K8301" s="8" t="e">
        <f t="shared" si="129"/>
        <v>#VALUE!</v>
      </c>
    </row>
    <row r="8302" spans="11:11" x14ac:dyDescent="0.25">
      <c r="K8302" s="8" t="e">
        <f t="shared" si="129"/>
        <v>#VALUE!</v>
      </c>
    </row>
    <row r="8303" spans="11:11" x14ac:dyDescent="0.25">
      <c r="K8303" s="8" t="e">
        <f t="shared" si="129"/>
        <v>#VALUE!</v>
      </c>
    </row>
    <row r="8304" spans="11:11" x14ac:dyDescent="0.25">
      <c r="K8304" s="8" t="e">
        <f t="shared" si="129"/>
        <v>#VALUE!</v>
      </c>
    </row>
    <row r="8305" spans="11:11" x14ac:dyDescent="0.25">
      <c r="K8305" s="8" t="e">
        <f t="shared" si="129"/>
        <v>#VALUE!</v>
      </c>
    </row>
    <row r="8306" spans="11:11" x14ac:dyDescent="0.25">
      <c r="K8306" s="8" t="e">
        <f t="shared" si="129"/>
        <v>#VALUE!</v>
      </c>
    </row>
    <row r="8307" spans="11:11" x14ac:dyDescent="0.25">
      <c r="K8307" s="8" t="e">
        <f t="shared" si="129"/>
        <v>#VALUE!</v>
      </c>
    </row>
    <row r="8308" spans="11:11" x14ac:dyDescent="0.25">
      <c r="K8308" s="8" t="e">
        <f t="shared" si="129"/>
        <v>#VALUE!</v>
      </c>
    </row>
    <row r="8309" spans="11:11" x14ac:dyDescent="0.25">
      <c r="K8309" s="8" t="e">
        <f t="shared" si="129"/>
        <v>#VALUE!</v>
      </c>
    </row>
    <row r="8310" spans="11:11" x14ac:dyDescent="0.25">
      <c r="K8310" s="8" t="e">
        <f t="shared" si="129"/>
        <v>#VALUE!</v>
      </c>
    </row>
    <row r="8311" spans="11:11" x14ac:dyDescent="0.25">
      <c r="K8311" s="8" t="e">
        <f t="shared" si="129"/>
        <v>#VALUE!</v>
      </c>
    </row>
    <row r="8312" spans="11:11" x14ac:dyDescent="0.25">
      <c r="K8312" s="8" t="e">
        <f t="shared" si="129"/>
        <v>#VALUE!</v>
      </c>
    </row>
    <row r="8313" spans="11:11" x14ac:dyDescent="0.25">
      <c r="K8313" s="8" t="e">
        <f t="shared" si="129"/>
        <v>#VALUE!</v>
      </c>
    </row>
    <row r="8314" spans="11:11" x14ac:dyDescent="0.25">
      <c r="K8314" s="8" t="e">
        <f t="shared" si="129"/>
        <v>#VALUE!</v>
      </c>
    </row>
    <row r="8315" spans="11:11" x14ac:dyDescent="0.25">
      <c r="K8315" s="8" t="e">
        <f t="shared" si="129"/>
        <v>#VALUE!</v>
      </c>
    </row>
    <row r="8316" spans="11:11" x14ac:dyDescent="0.25">
      <c r="K8316" s="8" t="e">
        <f t="shared" si="129"/>
        <v>#VALUE!</v>
      </c>
    </row>
    <row r="8317" spans="11:11" x14ac:dyDescent="0.25">
      <c r="K8317" s="8" t="e">
        <f t="shared" si="129"/>
        <v>#VALUE!</v>
      </c>
    </row>
    <row r="8318" spans="11:11" x14ac:dyDescent="0.25">
      <c r="K8318" s="8" t="e">
        <f t="shared" si="129"/>
        <v>#VALUE!</v>
      </c>
    </row>
    <row r="8319" spans="11:11" x14ac:dyDescent="0.25">
      <c r="K8319" s="8" t="e">
        <f t="shared" si="129"/>
        <v>#VALUE!</v>
      </c>
    </row>
    <row r="8320" spans="11:11" x14ac:dyDescent="0.25">
      <c r="K8320" s="8" t="e">
        <f t="shared" si="129"/>
        <v>#VALUE!</v>
      </c>
    </row>
    <row r="8321" spans="11:11" x14ac:dyDescent="0.25">
      <c r="K8321" s="8" t="e">
        <f t="shared" si="129"/>
        <v>#VALUE!</v>
      </c>
    </row>
    <row r="8322" spans="11:11" x14ac:dyDescent="0.25">
      <c r="K8322" s="8" t="e">
        <f t="shared" si="129"/>
        <v>#VALUE!</v>
      </c>
    </row>
    <row r="8323" spans="11:11" x14ac:dyDescent="0.25">
      <c r="K8323" s="8" t="e">
        <f t="shared" ref="K8323:K8386" si="130">LEFT(A8323,FIND("/",A8323)-1)</f>
        <v>#VALUE!</v>
      </c>
    </row>
    <row r="8324" spans="11:11" x14ac:dyDescent="0.25">
      <c r="K8324" s="8" t="e">
        <f t="shared" si="130"/>
        <v>#VALUE!</v>
      </c>
    </row>
    <row r="8325" spans="11:11" x14ac:dyDescent="0.25">
      <c r="K8325" s="8" t="e">
        <f t="shared" si="130"/>
        <v>#VALUE!</v>
      </c>
    </row>
    <row r="8326" spans="11:11" x14ac:dyDescent="0.25">
      <c r="K8326" s="8" t="e">
        <f t="shared" si="130"/>
        <v>#VALUE!</v>
      </c>
    </row>
    <row r="8327" spans="11:11" x14ac:dyDescent="0.25">
      <c r="K8327" s="8" t="e">
        <f t="shared" si="130"/>
        <v>#VALUE!</v>
      </c>
    </row>
    <row r="8328" spans="11:11" x14ac:dyDescent="0.25">
      <c r="K8328" s="8" t="e">
        <f t="shared" si="130"/>
        <v>#VALUE!</v>
      </c>
    </row>
    <row r="8329" spans="11:11" x14ac:dyDescent="0.25">
      <c r="K8329" s="8" t="e">
        <f t="shared" si="130"/>
        <v>#VALUE!</v>
      </c>
    </row>
    <row r="8330" spans="11:11" x14ac:dyDescent="0.25">
      <c r="K8330" s="8" t="e">
        <f t="shared" si="130"/>
        <v>#VALUE!</v>
      </c>
    </row>
    <row r="8331" spans="11:11" x14ac:dyDescent="0.25">
      <c r="K8331" s="8" t="e">
        <f t="shared" si="130"/>
        <v>#VALUE!</v>
      </c>
    </row>
    <row r="8332" spans="11:11" x14ac:dyDescent="0.25">
      <c r="K8332" s="8" t="e">
        <f t="shared" si="130"/>
        <v>#VALUE!</v>
      </c>
    </row>
    <row r="8333" spans="11:11" x14ac:dyDescent="0.25">
      <c r="K8333" s="8" t="e">
        <f t="shared" si="130"/>
        <v>#VALUE!</v>
      </c>
    </row>
    <row r="8334" spans="11:11" x14ac:dyDescent="0.25">
      <c r="K8334" s="8" t="e">
        <f t="shared" si="130"/>
        <v>#VALUE!</v>
      </c>
    </row>
    <row r="8335" spans="11:11" x14ac:dyDescent="0.25">
      <c r="K8335" s="8" t="e">
        <f t="shared" si="130"/>
        <v>#VALUE!</v>
      </c>
    </row>
    <row r="8336" spans="11:11" x14ac:dyDescent="0.25">
      <c r="K8336" s="8" t="e">
        <f t="shared" si="130"/>
        <v>#VALUE!</v>
      </c>
    </row>
    <row r="8337" spans="11:11" x14ac:dyDescent="0.25">
      <c r="K8337" s="8" t="e">
        <f t="shared" si="130"/>
        <v>#VALUE!</v>
      </c>
    </row>
    <row r="8338" spans="11:11" x14ac:dyDescent="0.25">
      <c r="K8338" s="8" t="e">
        <f t="shared" si="130"/>
        <v>#VALUE!</v>
      </c>
    </row>
    <row r="8339" spans="11:11" x14ac:dyDescent="0.25">
      <c r="K8339" s="8" t="e">
        <f t="shared" si="130"/>
        <v>#VALUE!</v>
      </c>
    </row>
    <row r="8340" spans="11:11" x14ac:dyDescent="0.25">
      <c r="K8340" s="8" t="e">
        <f t="shared" si="130"/>
        <v>#VALUE!</v>
      </c>
    </row>
    <row r="8341" spans="11:11" x14ac:dyDescent="0.25">
      <c r="K8341" s="8" t="e">
        <f t="shared" si="130"/>
        <v>#VALUE!</v>
      </c>
    </row>
    <row r="8342" spans="11:11" x14ac:dyDescent="0.25">
      <c r="K8342" s="8" t="e">
        <f t="shared" si="130"/>
        <v>#VALUE!</v>
      </c>
    </row>
    <row r="8343" spans="11:11" x14ac:dyDescent="0.25">
      <c r="K8343" s="8" t="e">
        <f t="shared" si="130"/>
        <v>#VALUE!</v>
      </c>
    </row>
    <row r="8344" spans="11:11" x14ac:dyDescent="0.25">
      <c r="K8344" s="8" t="e">
        <f t="shared" si="130"/>
        <v>#VALUE!</v>
      </c>
    </row>
    <row r="8345" spans="11:11" x14ac:dyDescent="0.25">
      <c r="K8345" s="8" t="e">
        <f t="shared" si="130"/>
        <v>#VALUE!</v>
      </c>
    </row>
    <row r="8346" spans="11:11" x14ac:dyDescent="0.25">
      <c r="K8346" s="8" t="e">
        <f t="shared" si="130"/>
        <v>#VALUE!</v>
      </c>
    </row>
    <row r="8347" spans="11:11" x14ac:dyDescent="0.25">
      <c r="K8347" s="8" t="e">
        <f t="shared" si="130"/>
        <v>#VALUE!</v>
      </c>
    </row>
    <row r="8348" spans="11:11" x14ac:dyDescent="0.25">
      <c r="K8348" s="8" t="e">
        <f t="shared" si="130"/>
        <v>#VALUE!</v>
      </c>
    </row>
    <row r="8349" spans="11:11" x14ac:dyDescent="0.25">
      <c r="K8349" s="8" t="e">
        <f t="shared" si="130"/>
        <v>#VALUE!</v>
      </c>
    </row>
    <row r="8350" spans="11:11" x14ac:dyDescent="0.25">
      <c r="K8350" s="8" t="e">
        <f t="shared" si="130"/>
        <v>#VALUE!</v>
      </c>
    </row>
    <row r="8351" spans="11:11" x14ac:dyDescent="0.25">
      <c r="K8351" s="8" t="e">
        <f t="shared" si="130"/>
        <v>#VALUE!</v>
      </c>
    </row>
    <row r="8352" spans="11:11" x14ac:dyDescent="0.25">
      <c r="K8352" s="8" t="e">
        <f t="shared" si="130"/>
        <v>#VALUE!</v>
      </c>
    </row>
    <row r="8353" spans="11:11" x14ac:dyDescent="0.25">
      <c r="K8353" s="8" t="e">
        <f t="shared" si="130"/>
        <v>#VALUE!</v>
      </c>
    </row>
    <row r="8354" spans="11:11" x14ac:dyDescent="0.25">
      <c r="K8354" s="8" t="e">
        <f t="shared" si="130"/>
        <v>#VALUE!</v>
      </c>
    </row>
    <row r="8355" spans="11:11" x14ac:dyDescent="0.25">
      <c r="K8355" s="8" t="e">
        <f t="shared" si="130"/>
        <v>#VALUE!</v>
      </c>
    </row>
    <row r="8356" spans="11:11" x14ac:dyDescent="0.25">
      <c r="K8356" s="8" t="e">
        <f t="shared" si="130"/>
        <v>#VALUE!</v>
      </c>
    </row>
    <row r="8357" spans="11:11" x14ac:dyDescent="0.25">
      <c r="K8357" s="8" t="e">
        <f t="shared" si="130"/>
        <v>#VALUE!</v>
      </c>
    </row>
    <row r="8358" spans="11:11" x14ac:dyDescent="0.25">
      <c r="K8358" s="8" t="e">
        <f t="shared" si="130"/>
        <v>#VALUE!</v>
      </c>
    </row>
    <row r="8359" spans="11:11" x14ac:dyDescent="0.25">
      <c r="K8359" s="8" t="e">
        <f t="shared" si="130"/>
        <v>#VALUE!</v>
      </c>
    </row>
    <row r="8360" spans="11:11" x14ac:dyDescent="0.25">
      <c r="K8360" s="8" t="e">
        <f t="shared" si="130"/>
        <v>#VALUE!</v>
      </c>
    </row>
    <row r="8361" spans="11:11" x14ac:dyDescent="0.25">
      <c r="K8361" s="8" t="e">
        <f t="shared" si="130"/>
        <v>#VALUE!</v>
      </c>
    </row>
    <row r="8362" spans="11:11" x14ac:dyDescent="0.25">
      <c r="K8362" s="8" t="e">
        <f t="shared" si="130"/>
        <v>#VALUE!</v>
      </c>
    </row>
    <row r="8363" spans="11:11" x14ac:dyDescent="0.25">
      <c r="K8363" s="8" t="e">
        <f t="shared" si="130"/>
        <v>#VALUE!</v>
      </c>
    </row>
    <row r="8364" spans="11:11" x14ac:dyDescent="0.25">
      <c r="K8364" s="8" t="e">
        <f t="shared" si="130"/>
        <v>#VALUE!</v>
      </c>
    </row>
    <row r="8365" spans="11:11" x14ac:dyDescent="0.25">
      <c r="K8365" s="8" t="e">
        <f t="shared" si="130"/>
        <v>#VALUE!</v>
      </c>
    </row>
    <row r="8366" spans="11:11" x14ac:dyDescent="0.25">
      <c r="K8366" s="8" t="e">
        <f t="shared" si="130"/>
        <v>#VALUE!</v>
      </c>
    </row>
    <row r="8367" spans="11:11" x14ac:dyDescent="0.25">
      <c r="K8367" s="8" t="e">
        <f t="shared" si="130"/>
        <v>#VALUE!</v>
      </c>
    </row>
    <row r="8368" spans="11:11" x14ac:dyDescent="0.25">
      <c r="K8368" s="8" t="e">
        <f t="shared" si="130"/>
        <v>#VALUE!</v>
      </c>
    </row>
    <row r="8369" spans="11:11" x14ac:dyDescent="0.25">
      <c r="K8369" s="8" t="e">
        <f t="shared" si="130"/>
        <v>#VALUE!</v>
      </c>
    </row>
    <row r="8370" spans="11:11" x14ac:dyDescent="0.25">
      <c r="K8370" s="8" t="e">
        <f t="shared" si="130"/>
        <v>#VALUE!</v>
      </c>
    </row>
    <row r="8371" spans="11:11" x14ac:dyDescent="0.25">
      <c r="K8371" s="8" t="e">
        <f t="shared" si="130"/>
        <v>#VALUE!</v>
      </c>
    </row>
    <row r="8372" spans="11:11" x14ac:dyDescent="0.25">
      <c r="K8372" s="8" t="e">
        <f t="shared" si="130"/>
        <v>#VALUE!</v>
      </c>
    </row>
    <row r="8373" spans="11:11" x14ac:dyDescent="0.25">
      <c r="K8373" s="8" t="e">
        <f t="shared" si="130"/>
        <v>#VALUE!</v>
      </c>
    </row>
    <row r="8374" spans="11:11" x14ac:dyDescent="0.25">
      <c r="K8374" s="8" t="e">
        <f t="shared" si="130"/>
        <v>#VALUE!</v>
      </c>
    </row>
    <row r="8375" spans="11:11" x14ac:dyDescent="0.25">
      <c r="K8375" s="8" t="e">
        <f t="shared" si="130"/>
        <v>#VALUE!</v>
      </c>
    </row>
    <row r="8376" spans="11:11" x14ac:dyDescent="0.25">
      <c r="K8376" s="8" t="e">
        <f t="shared" si="130"/>
        <v>#VALUE!</v>
      </c>
    </row>
    <row r="8377" spans="11:11" x14ac:dyDescent="0.25">
      <c r="K8377" s="8" t="e">
        <f t="shared" si="130"/>
        <v>#VALUE!</v>
      </c>
    </row>
    <row r="8378" spans="11:11" x14ac:dyDescent="0.25">
      <c r="K8378" s="8" t="e">
        <f t="shared" si="130"/>
        <v>#VALUE!</v>
      </c>
    </row>
    <row r="8379" spans="11:11" x14ac:dyDescent="0.25">
      <c r="K8379" s="8" t="e">
        <f t="shared" si="130"/>
        <v>#VALUE!</v>
      </c>
    </row>
    <row r="8380" spans="11:11" x14ac:dyDescent="0.25">
      <c r="K8380" s="8" t="e">
        <f t="shared" si="130"/>
        <v>#VALUE!</v>
      </c>
    </row>
    <row r="8381" spans="11:11" x14ac:dyDescent="0.25">
      <c r="K8381" s="8" t="e">
        <f t="shared" si="130"/>
        <v>#VALUE!</v>
      </c>
    </row>
    <row r="8382" spans="11:11" x14ac:dyDescent="0.25">
      <c r="K8382" s="8" t="e">
        <f t="shared" si="130"/>
        <v>#VALUE!</v>
      </c>
    </row>
    <row r="8383" spans="11:11" x14ac:dyDescent="0.25">
      <c r="K8383" s="8" t="e">
        <f t="shared" si="130"/>
        <v>#VALUE!</v>
      </c>
    </row>
    <row r="8384" spans="11:11" x14ac:dyDescent="0.25">
      <c r="K8384" s="8" t="e">
        <f t="shared" si="130"/>
        <v>#VALUE!</v>
      </c>
    </row>
    <row r="8385" spans="11:11" x14ac:dyDescent="0.25">
      <c r="K8385" s="8" t="e">
        <f t="shared" si="130"/>
        <v>#VALUE!</v>
      </c>
    </row>
    <row r="8386" spans="11:11" x14ac:dyDescent="0.25">
      <c r="K8386" s="8" t="e">
        <f t="shared" si="130"/>
        <v>#VALUE!</v>
      </c>
    </row>
    <row r="8387" spans="11:11" x14ac:dyDescent="0.25">
      <c r="K8387" s="8" t="e">
        <f t="shared" ref="K8387:K8450" si="131">LEFT(A8387,FIND("/",A8387)-1)</f>
        <v>#VALUE!</v>
      </c>
    </row>
    <row r="8388" spans="11:11" x14ac:dyDescent="0.25">
      <c r="K8388" s="8" t="e">
        <f t="shared" si="131"/>
        <v>#VALUE!</v>
      </c>
    </row>
    <row r="8389" spans="11:11" x14ac:dyDescent="0.25">
      <c r="K8389" s="8" t="e">
        <f t="shared" si="131"/>
        <v>#VALUE!</v>
      </c>
    </row>
    <row r="8390" spans="11:11" x14ac:dyDescent="0.25">
      <c r="K8390" s="8" t="e">
        <f t="shared" si="131"/>
        <v>#VALUE!</v>
      </c>
    </row>
    <row r="8391" spans="11:11" x14ac:dyDescent="0.25">
      <c r="K8391" s="8" t="e">
        <f t="shared" si="131"/>
        <v>#VALUE!</v>
      </c>
    </row>
    <row r="8392" spans="11:11" x14ac:dyDescent="0.25">
      <c r="K8392" s="8" t="e">
        <f t="shared" si="131"/>
        <v>#VALUE!</v>
      </c>
    </row>
    <row r="8393" spans="11:11" x14ac:dyDescent="0.25">
      <c r="K8393" s="8" t="e">
        <f t="shared" si="131"/>
        <v>#VALUE!</v>
      </c>
    </row>
    <row r="8394" spans="11:11" x14ac:dyDescent="0.25">
      <c r="K8394" s="8" t="e">
        <f t="shared" si="131"/>
        <v>#VALUE!</v>
      </c>
    </row>
    <row r="8395" spans="11:11" x14ac:dyDescent="0.25">
      <c r="K8395" s="8" t="e">
        <f t="shared" si="131"/>
        <v>#VALUE!</v>
      </c>
    </row>
    <row r="8396" spans="11:11" x14ac:dyDescent="0.25">
      <c r="K8396" s="8" t="e">
        <f t="shared" si="131"/>
        <v>#VALUE!</v>
      </c>
    </row>
    <row r="8397" spans="11:11" x14ac:dyDescent="0.25">
      <c r="K8397" s="8" t="e">
        <f t="shared" si="131"/>
        <v>#VALUE!</v>
      </c>
    </row>
    <row r="8398" spans="11:11" x14ac:dyDescent="0.25">
      <c r="K8398" s="8" t="e">
        <f t="shared" si="131"/>
        <v>#VALUE!</v>
      </c>
    </row>
    <row r="8399" spans="11:11" x14ac:dyDescent="0.25">
      <c r="K8399" s="8" t="e">
        <f t="shared" si="131"/>
        <v>#VALUE!</v>
      </c>
    </row>
    <row r="8400" spans="11:11" x14ac:dyDescent="0.25">
      <c r="K8400" s="8" t="e">
        <f t="shared" si="131"/>
        <v>#VALUE!</v>
      </c>
    </row>
    <row r="8401" spans="11:11" x14ac:dyDescent="0.25">
      <c r="K8401" s="8" t="e">
        <f t="shared" si="131"/>
        <v>#VALUE!</v>
      </c>
    </row>
    <row r="8402" spans="11:11" x14ac:dyDescent="0.25">
      <c r="K8402" s="8" t="e">
        <f t="shared" si="131"/>
        <v>#VALUE!</v>
      </c>
    </row>
    <row r="8403" spans="11:11" x14ac:dyDescent="0.25">
      <c r="K8403" s="8" t="e">
        <f t="shared" si="131"/>
        <v>#VALUE!</v>
      </c>
    </row>
    <row r="8404" spans="11:11" x14ac:dyDescent="0.25">
      <c r="K8404" s="8" t="e">
        <f t="shared" si="131"/>
        <v>#VALUE!</v>
      </c>
    </row>
    <row r="8405" spans="11:11" x14ac:dyDescent="0.25">
      <c r="K8405" s="8" t="e">
        <f t="shared" si="131"/>
        <v>#VALUE!</v>
      </c>
    </row>
    <row r="8406" spans="11:11" x14ac:dyDescent="0.25">
      <c r="K8406" s="8" t="e">
        <f t="shared" si="131"/>
        <v>#VALUE!</v>
      </c>
    </row>
    <row r="8407" spans="11:11" x14ac:dyDescent="0.25">
      <c r="K8407" s="8" t="e">
        <f t="shared" si="131"/>
        <v>#VALUE!</v>
      </c>
    </row>
    <row r="8408" spans="11:11" x14ac:dyDescent="0.25">
      <c r="K8408" s="8" t="e">
        <f t="shared" si="131"/>
        <v>#VALUE!</v>
      </c>
    </row>
    <row r="8409" spans="11:11" x14ac:dyDescent="0.25">
      <c r="K8409" s="8" t="e">
        <f t="shared" si="131"/>
        <v>#VALUE!</v>
      </c>
    </row>
    <row r="8410" spans="11:11" x14ac:dyDescent="0.25">
      <c r="K8410" s="8" t="e">
        <f t="shared" si="131"/>
        <v>#VALUE!</v>
      </c>
    </row>
    <row r="8411" spans="11:11" x14ac:dyDescent="0.25">
      <c r="K8411" s="8" t="e">
        <f t="shared" si="131"/>
        <v>#VALUE!</v>
      </c>
    </row>
    <row r="8412" spans="11:11" x14ac:dyDescent="0.25">
      <c r="K8412" s="8" t="e">
        <f t="shared" si="131"/>
        <v>#VALUE!</v>
      </c>
    </row>
    <row r="8413" spans="11:11" x14ac:dyDescent="0.25">
      <c r="K8413" s="8" t="e">
        <f t="shared" si="131"/>
        <v>#VALUE!</v>
      </c>
    </row>
    <row r="8414" spans="11:11" x14ac:dyDescent="0.25">
      <c r="K8414" s="8" t="e">
        <f t="shared" si="131"/>
        <v>#VALUE!</v>
      </c>
    </row>
    <row r="8415" spans="11:11" x14ac:dyDescent="0.25">
      <c r="K8415" s="8" t="e">
        <f t="shared" si="131"/>
        <v>#VALUE!</v>
      </c>
    </row>
    <row r="8416" spans="11:11" x14ac:dyDescent="0.25">
      <c r="K8416" s="8" t="e">
        <f t="shared" si="131"/>
        <v>#VALUE!</v>
      </c>
    </row>
    <row r="8417" spans="11:11" x14ac:dyDescent="0.25">
      <c r="K8417" s="8" t="e">
        <f t="shared" si="131"/>
        <v>#VALUE!</v>
      </c>
    </row>
    <row r="8418" spans="11:11" x14ac:dyDescent="0.25">
      <c r="K8418" s="8" t="e">
        <f t="shared" si="131"/>
        <v>#VALUE!</v>
      </c>
    </row>
    <row r="8419" spans="11:11" x14ac:dyDescent="0.25">
      <c r="K8419" s="8" t="e">
        <f t="shared" si="131"/>
        <v>#VALUE!</v>
      </c>
    </row>
    <row r="8420" spans="11:11" x14ac:dyDescent="0.25">
      <c r="K8420" s="8" t="e">
        <f t="shared" si="131"/>
        <v>#VALUE!</v>
      </c>
    </row>
    <row r="8421" spans="11:11" x14ac:dyDescent="0.25">
      <c r="K8421" s="8" t="e">
        <f t="shared" si="131"/>
        <v>#VALUE!</v>
      </c>
    </row>
    <row r="8422" spans="11:11" x14ac:dyDescent="0.25">
      <c r="K8422" s="8" t="e">
        <f t="shared" si="131"/>
        <v>#VALUE!</v>
      </c>
    </row>
    <row r="8423" spans="11:11" x14ac:dyDescent="0.25">
      <c r="K8423" s="8" t="e">
        <f t="shared" si="131"/>
        <v>#VALUE!</v>
      </c>
    </row>
    <row r="8424" spans="11:11" x14ac:dyDescent="0.25">
      <c r="K8424" s="8" t="e">
        <f t="shared" si="131"/>
        <v>#VALUE!</v>
      </c>
    </row>
    <row r="8425" spans="11:11" x14ac:dyDescent="0.25">
      <c r="K8425" s="8" t="e">
        <f t="shared" si="131"/>
        <v>#VALUE!</v>
      </c>
    </row>
    <row r="8426" spans="11:11" x14ac:dyDescent="0.25">
      <c r="K8426" s="8" t="e">
        <f t="shared" si="131"/>
        <v>#VALUE!</v>
      </c>
    </row>
    <row r="8427" spans="11:11" x14ac:dyDescent="0.25">
      <c r="K8427" s="8" t="e">
        <f t="shared" si="131"/>
        <v>#VALUE!</v>
      </c>
    </row>
    <row r="8428" spans="11:11" x14ac:dyDescent="0.25">
      <c r="K8428" s="8" t="e">
        <f t="shared" si="131"/>
        <v>#VALUE!</v>
      </c>
    </row>
    <row r="8429" spans="11:11" x14ac:dyDescent="0.25">
      <c r="K8429" s="8" t="e">
        <f t="shared" si="131"/>
        <v>#VALUE!</v>
      </c>
    </row>
    <row r="8430" spans="11:11" x14ac:dyDescent="0.25">
      <c r="K8430" s="8" t="e">
        <f t="shared" si="131"/>
        <v>#VALUE!</v>
      </c>
    </row>
    <row r="8431" spans="11:11" x14ac:dyDescent="0.25">
      <c r="K8431" s="8" t="e">
        <f t="shared" si="131"/>
        <v>#VALUE!</v>
      </c>
    </row>
    <row r="8432" spans="11:11" x14ac:dyDescent="0.25">
      <c r="K8432" s="8" t="e">
        <f t="shared" si="131"/>
        <v>#VALUE!</v>
      </c>
    </row>
    <row r="8433" spans="11:11" x14ac:dyDescent="0.25">
      <c r="K8433" s="8" t="e">
        <f t="shared" si="131"/>
        <v>#VALUE!</v>
      </c>
    </row>
    <row r="8434" spans="11:11" x14ac:dyDescent="0.25">
      <c r="K8434" s="8" t="e">
        <f t="shared" si="131"/>
        <v>#VALUE!</v>
      </c>
    </row>
    <row r="8435" spans="11:11" x14ac:dyDescent="0.25">
      <c r="K8435" s="8" t="e">
        <f t="shared" si="131"/>
        <v>#VALUE!</v>
      </c>
    </row>
    <row r="8436" spans="11:11" x14ac:dyDescent="0.25">
      <c r="K8436" s="8" t="e">
        <f t="shared" si="131"/>
        <v>#VALUE!</v>
      </c>
    </row>
    <row r="8437" spans="11:11" x14ac:dyDescent="0.25">
      <c r="K8437" s="8" t="e">
        <f t="shared" si="131"/>
        <v>#VALUE!</v>
      </c>
    </row>
    <row r="8438" spans="11:11" x14ac:dyDescent="0.25">
      <c r="K8438" s="8" t="e">
        <f t="shared" si="131"/>
        <v>#VALUE!</v>
      </c>
    </row>
    <row r="8439" spans="11:11" x14ac:dyDescent="0.25">
      <c r="K8439" s="8" t="e">
        <f t="shared" si="131"/>
        <v>#VALUE!</v>
      </c>
    </row>
    <row r="8440" spans="11:11" x14ac:dyDescent="0.25">
      <c r="K8440" s="8" t="e">
        <f t="shared" si="131"/>
        <v>#VALUE!</v>
      </c>
    </row>
    <row r="8441" spans="11:11" x14ac:dyDescent="0.25">
      <c r="K8441" s="8" t="e">
        <f t="shared" si="131"/>
        <v>#VALUE!</v>
      </c>
    </row>
    <row r="8442" spans="11:11" x14ac:dyDescent="0.25">
      <c r="K8442" s="8" t="e">
        <f t="shared" si="131"/>
        <v>#VALUE!</v>
      </c>
    </row>
    <row r="8443" spans="11:11" x14ac:dyDescent="0.25">
      <c r="K8443" s="8" t="e">
        <f t="shared" si="131"/>
        <v>#VALUE!</v>
      </c>
    </row>
    <row r="8444" spans="11:11" x14ac:dyDescent="0.25">
      <c r="K8444" s="8" t="e">
        <f t="shared" si="131"/>
        <v>#VALUE!</v>
      </c>
    </row>
    <row r="8445" spans="11:11" x14ac:dyDescent="0.25">
      <c r="K8445" s="8" t="e">
        <f t="shared" si="131"/>
        <v>#VALUE!</v>
      </c>
    </row>
    <row r="8446" spans="11:11" x14ac:dyDescent="0.25">
      <c r="K8446" s="8" t="e">
        <f t="shared" si="131"/>
        <v>#VALUE!</v>
      </c>
    </row>
    <row r="8447" spans="11:11" x14ac:dyDescent="0.25">
      <c r="K8447" s="8" t="e">
        <f t="shared" si="131"/>
        <v>#VALUE!</v>
      </c>
    </row>
    <row r="8448" spans="11:11" x14ac:dyDescent="0.25">
      <c r="K8448" s="8" t="e">
        <f t="shared" si="131"/>
        <v>#VALUE!</v>
      </c>
    </row>
    <row r="8449" spans="11:11" x14ac:dyDescent="0.25">
      <c r="K8449" s="8" t="e">
        <f t="shared" si="131"/>
        <v>#VALUE!</v>
      </c>
    </row>
    <row r="8450" spans="11:11" x14ac:dyDescent="0.25">
      <c r="K8450" s="8" t="e">
        <f t="shared" si="131"/>
        <v>#VALUE!</v>
      </c>
    </row>
    <row r="8451" spans="11:11" x14ac:dyDescent="0.25">
      <c r="K8451" s="8" t="e">
        <f t="shared" ref="K8451:K8514" si="132">LEFT(A8451,FIND("/",A8451)-1)</f>
        <v>#VALUE!</v>
      </c>
    </row>
    <row r="8452" spans="11:11" x14ac:dyDescent="0.25">
      <c r="K8452" s="8" t="e">
        <f t="shared" si="132"/>
        <v>#VALUE!</v>
      </c>
    </row>
    <row r="8453" spans="11:11" x14ac:dyDescent="0.25">
      <c r="K8453" s="8" t="e">
        <f t="shared" si="132"/>
        <v>#VALUE!</v>
      </c>
    </row>
    <row r="8454" spans="11:11" x14ac:dyDescent="0.25">
      <c r="K8454" s="8" t="e">
        <f t="shared" si="132"/>
        <v>#VALUE!</v>
      </c>
    </row>
    <row r="8455" spans="11:11" x14ac:dyDescent="0.25">
      <c r="K8455" s="8" t="e">
        <f t="shared" si="132"/>
        <v>#VALUE!</v>
      </c>
    </row>
    <row r="8456" spans="11:11" x14ac:dyDescent="0.25">
      <c r="K8456" s="8" t="e">
        <f t="shared" si="132"/>
        <v>#VALUE!</v>
      </c>
    </row>
    <row r="8457" spans="11:11" x14ac:dyDescent="0.25">
      <c r="K8457" s="8" t="e">
        <f t="shared" si="132"/>
        <v>#VALUE!</v>
      </c>
    </row>
    <row r="8458" spans="11:11" x14ac:dyDescent="0.25">
      <c r="K8458" s="8" t="e">
        <f t="shared" si="132"/>
        <v>#VALUE!</v>
      </c>
    </row>
    <row r="8459" spans="11:11" x14ac:dyDescent="0.25">
      <c r="K8459" s="8" t="e">
        <f t="shared" si="132"/>
        <v>#VALUE!</v>
      </c>
    </row>
    <row r="8460" spans="11:11" x14ac:dyDescent="0.25">
      <c r="K8460" s="8" t="e">
        <f t="shared" si="132"/>
        <v>#VALUE!</v>
      </c>
    </row>
    <row r="8461" spans="11:11" x14ac:dyDescent="0.25">
      <c r="K8461" s="8" t="e">
        <f t="shared" si="132"/>
        <v>#VALUE!</v>
      </c>
    </row>
    <row r="8462" spans="11:11" x14ac:dyDescent="0.25">
      <c r="K8462" s="8" t="e">
        <f t="shared" si="132"/>
        <v>#VALUE!</v>
      </c>
    </row>
    <row r="8463" spans="11:11" x14ac:dyDescent="0.25">
      <c r="K8463" s="8" t="e">
        <f t="shared" si="132"/>
        <v>#VALUE!</v>
      </c>
    </row>
    <row r="8464" spans="11:11" x14ac:dyDescent="0.25">
      <c r="K8464" s="8" t="e">
        <f t="shared" si="132"/>
        <v>#VALUE!</v>
      </c>
    </row>
    <row r="8465" spans="11:11" x14ac:dyDescent="0.25">
      <c r="K8465" s="8" t="e">
        <f t="shared" si="132"/>
        <v>#VALUE!</v>
      </c>
    </row>
    <row r="8466" spans="11:11" x14ac:dyDescent="0.25">
      <c r="K8466" s="8" t="e">
        <f t="shared" si="132"/>
        <v>#VALUE!</v>
      </c>
    </row>
    <row r="8467" spans="11:11" x14ac:dyDescent="0.25">
      <c r="K8467" s="8" t="e">
        <f t="shared" si="132"/>
        <v>#VALUE!</v>
      </c>
    </row>
    <row r="8468" spans="11:11" x14ac:dyDescent="0.25">
      <c r="K8468" s="8" t="e">
        <f t="shared" si="132"/>
        <v>#VALUE!</v>
      </c>
    </row>
    <row r="8469" spans="11:11" x14ac:dyDescent="0.25">
      <c r="K8469" s="8" t="e">
        <f t="shared" si="132"/>
        <v>#VALUE!</v>
      </c>
    </row>
    <row r="8470" spans="11:11" x14ac:dyDescent="0.25">
      <c r="K8470" s="8" t="e">
        <f t="shared" si="132"/>
        <v>#VALUE!</v>
      </c>
    </row>
    <row r="8471" spans="11:11" x14ac:dyDescent="0.25">
      <c r="K8471" s="8" t="e">
        <f t="shared" si="132"/>
        <v>#VALUE!</v>
      </c>
    </row>
    <row r="8472" spans="11:11" x14ac:dyDescent="0.25">
      <c r="K8472" s="8" t="e">
        <f t="shared" si="132"/>
        <v>#VALUE!</v>
      </c>
    </row>
    <row r="8473" spans="11:11" x14ac:dyDescent="0.25">
      <c r="K8473" s="8" t="e">
        <f t="shared" si="132"/>
        <v>#VALUE!</v>
      </c>
    </row>
    <row r="8474" spans="11:11" x14ac:dyDescent="0.25">
      <c r="K8474" s="8" t="e">
        <f t="shared" si="132"/>
        <v>#VALUE!</v>
      </c>
    </row>
    <row r="8475" spans="11:11" x14ac:dyDescent="0.25">
      <c r="K8475" s="8" t="e">
        <f t="shared" si="132"/>
        <v>#VALUE!</v>
      </c>
    </row>
    <row r="8476" spans="11:11" x14ac:dyDescent="0.25">
      <c r="K8476" s="8" t="e">
        <f t="shared" si="132"/>
        <v>#VALUE!</v>
      </c>
    </row>
    <row r="8477" spans="11:11" x14ac:dyDescent="0.25">
      <c r="K8477" s="8" t="e">
        <f t="shared" si="132"/>
        <v>#VALUE!</v>
      </c>
    </row>
    <row r="8478" spans="11:11" x14ac:dyDescent="0.25">
      <c r="K8478" s="8" t="e">
        <f t="shared" si="132"/>
        <v>#VALUE!</v>
      </c>
    </row>
    <row r="8479" spans="11:11" x14ac:dyDescent="0.25">
      <c r="K8479" s="8" t="e">
        <f t="shared" si="132"/>
        <v>#VALUE!</v>
      </c>
    </row>
    <row r="8480" spans="11:11" x14ac:dyDescent="0.25">
      <c r="K8480" s="8" t="e">
        <f t="shared" si="132"/>
        <v>#VALUE!</v>
      </c>
    </row>
    <row r="8481" spans="11:11" x14ac:dyDescent="0.25">
      <c r="K8481" s="8" t="e">
        <f t="shared" si="132"/>
        <v>#VALUE!</v>
      </c>
    </row>
    <row r="8482" spans="11:11" x14ac:dyDescent="0.25">
      <c r="K8482" s="8" t="e">
        <f t="shared" si="132"/>
        <v>#VALUE!</v>
      </c>
    </row>
    <row r="8483" spans="11:11" x14ac:dyDescent="0.25">
      <c r="K8483" s="8" t="e">
        <f t="shared" si="132"/>
        <v>#VALUE!</v>
      </c>
    </row>
    <row r="8484" spans="11:11" x14ac:dyDescent="0.25">
      <c r="K8484" s="8" t="e">
        <f t="shared" si="132"/>
        <v>#VALUE!</v>
      </c>
    </row>
    <row r="8485" spans="11:11" x14ac:dyDescent="0.25">
      <c r="K8485" s="8" t="e">
        <f t="shared" si="132"/>
        <v>#VALUE!</v>
      </c>
    </row>
    <row r="8486" spans="11:11" x14ac:dyDescent="0.25">
      <c r="K8486" s="8" t="e">
        <f t="shared" si="132"/>
        <v>#VALUE!</v>
      </c>
    </row>
    <row r="8487" spans="11:11" x14ac:dyDescent="0.25">
      <c r="K8487" s="8" t="e">
        <f t="shared" si="132"/>
        <v>#VALUE!</v>
      </c>
    </row>
    <row r="8488" spans="11:11" x14ac:dyDescent="0.25">
      <c r="K8488" s="8" t="e">
        <f t="shared" si="132"/>
        <v>#VALUE!</v>
      </c>
    </row>
    <row r="8489" spans="11:11" x14ac:dyDescent="0.25">
      <c r="K8489" s="8" t="e">
        <f t="shared" si="132"/>
        <v>#VALUE!</v>
      </c>
    </row>
    <row r="8490" spans="11:11" x14ac:dyDescent="0.25">
      <c r="K8490" s="8" t="e">
        <f t="shared" si="132"/>
        <v>#VALUE!</v>
      </c>
    </row>
    <row r="8491" spans="11:11" x14ac:dyDescent="0.25">
      <c r="K8491" s="8" t="e">
        <f t="shared" si="132"/>
        <v>#VALUE!</v>
      </c>
    </row>
    <row r="8492" spans="11:11" x14ac:dyDescent="0.25">
      <c r="K8492" s="8" t="e">
        <f t="shared" si="132"/>
        <v>#VALUE!</v>
      </c>
    </row>
    <row r="8493" spans="11:11" x14ac:dyDescent="0.25">
      <c r="K8493" s="8" t="e">
        <f t="shared" si="132"/>
        <v>#VALUE!</v>
      </c>
    </row>
    <row r="8494" spans="11:11" x14ac:dyDescent="0.25">
      <c r="K8494" s="8" t="e">
        <f t="shared" si="132"/>
        <v>#VALUE!</v>
      </c>
    </row>
    <row r="8495" spans="11:11" x14ac:dyDescent="0.25">
      <c r="K8495" s="8" t="e">
        <f t="shared" si="132"/>
        <v>#VALUE!</v>
      </c>
    </row>
    <row r="8496" spans="11:11" x14ac:dyDescent="0.25">
      <c r="K8496" s="8" t="e">
        <f t="shared" si="132"/>
        <v>#VALUE!</v>
      </c>
    </row>
    <row r="8497" spans="11:11" x14ac:dyDescent="0.25">
      <c r="K8497" s="8" t="e">
        <f t="shared" si="132"/>
        <v>#VALUE!</v>
      </c>
    </row>
    <row r="8498" spans="11:11" x14ac:dyDescent="0.25">
      <c r="K8498" s="8" t="e">
        <f t="shared" si="132"/>
        <v>#VALUE!</v>
      </c>
    </row>
    <row r="8499" spans="11:11" x14ac:dyDescent="0.25">
      <c r="K8499" s="8" t="e">
        <f t="shared" si="132"/>
        <v>#VALUE!</v>
      </c>
    </row>
    <row r="8500" spans="11:11" x14ac:dyDescent="0.25">
      <c r="K8500" s="8" t="e">
        <f t="shared" si="132"/>
        <v>#VALUE!</v>
      </c>
    </row>
    <row r="8501" spans="11:11" x14ac:dyDescent="0.25">
      <c r="K8501" s="8" t="e">
        <f t="shared" si="132"/>
        <v>#VALUE!</v>
      </c>
    </row>
    <row r="8502" spans="11:11" x14ac:dyDescent="0.25">
      <c r="K8502" s="8" t="e">
        <f t="shared" si="132"/>
        <v>#VALUE!</v>
      </c>
    </row>
    <row r="8503" spans="11:11" x14ac:dyDescent="0.25">
      <c r="K8503" s="8" t="e">
        <f t="shared" si="132"/>
        <v>#VALUE!</v>
      </c>
    </row>
    <row r="8504" spans="11:11" x14ac:dyDescent="0.25">
      <c r="K8504" s="8" t="e">
        <f t="shared" si="132"/>
        <v>#VALUE!</v>
      </c>
    </row>
    <row r="8505" spans="11:11" x14ac:dyDescent="0.25">
      <c r="K8505" s="8" t="e">
        <f t="shared" si="132"/>
        <v>#VALUE!</v>
      </c>
    </row>
    <row r="8506" spans="11:11" x14ac:dyDescent="0.25">
      <c r="K8506" s="8" t="e">
        <f t="shared" si="132"/>
        <v>#VALUE!</v>
      </c>
    </row>
    <row r="8507" spans="11:11" x14ac:dyDescent="0.25">
      <c r="K8507" s="8" t="e">
        <f t="shared" si="132"/>
        <v>#VALUE!</v>
      </c>
    </row>
    <row r="8508" spans="11:11" x14ac:dyDescent="0.25">
      <c r="K8508" s="8" t="e">
        <f t="shared" si="132"/>
        <v>#VALUE!</v>
      </c>
    </row>
    <row r="8509" spans="11:11" x14ac:dyDescent="0.25">
      <c r="K8509" s="8" t="e">
        <f t="shared" si="132"/>
        <v>#VALUE!</v>
      </c>
    </row>
    <row r="8510" spans="11:11" x14ac:dyDescent="0.25">
      <c r="K8510" s="8" t="e">
        <f t="shared" si="132"/>
        <v>#VALUE!</v>
      </c>
    </row>
    <row r="8511" spans="11:11" x14ac:dyDescent="0.25">
      <c r="K8511" s="8" t="e">
        <f t="shared" si="132"/>
        <v>#VALUE!</v>
      </c>
    </row>
    <row r="8512" spans="11:11" x14ac:dyDescent="0.25">
      <c r="K8512" s="8" t="e">
        <f t="shared" si="132"/>
        <v>#VALUE!</v>
      </c>
    </row>
    <row r="8513" spans="11:11" x14ac:dyDescent="0.25">
      <c r="K8513" s="8" t="e">
        <f t="shared" si="132"/>
        <v>#VALUE!</v>
      </c>
    </row>
    <row r="8514" spans="11:11" x14ac:dyDescent="0.25">
      <c r="K8514" s="8" t="e">
        <f t="shared" si="132"/>
        <v>#VALUE!</v>
      </c>
    </row>
    <row r="8515" spans="11:11" x14ac:dyDescent="0.25">
      <c r="K8515" s="8" t="e">
        <f t="shared" ref="K8515:K8578" si="133">LEFT(A8515,FIND("/",A8515)-1)</f>
        <v>#VALUE!</v>
      </c>
    </row>
    <row r="8516" spans="11:11" x14ac:dyDescent="0.25">
      <c r="K8516" s="8" t="e">
        <f t="shared" si="133"/>
        <v>#VALUE!</v>
      </c>
    </row>
    <row r="8517" spans="11:11" x14ac:dyDescent="0.25">
      <c r="K8517" s="8" t="e">
        <f t="shared" si="133"/>
        <v>#VALUE!</v>
      </c>
    </row>
    <row r="8518" spans="11:11" x14ac:dyDescent="0.25">
      <c r="K8518" s="8" t="e">
        <f t="shared" si="133"/>
        <v>#VALUE!</v>
      </c>
    </row>
    <row r="8519" spans="11:11" x14ac:dyDescent="0.25">
      <c r="K8519" s="8" t="e">
        <f t="shared" si="133"/>
        <v>#VALUE!</v>
      </c>
    </row>
    <row r="8520" spans="11:11" x14ac:dyDescent="0.25">
      <c r="K8520" s="8" t="e">
        <f t="shared" si="133"/>
        <v>#VALUE!</v>
      </c>
    </row>
    <row r="8521" spans="11:11" x14ac:dyDescent="0.25">
      <c r="K8521" s="8" t="e">
        <f t="shared" si="133"/>
        <v>#VALUE!</v>
      </c>
    </row>
    <row r="8522" spans="11:11" x14ac:dyDescent="0.25">
      <c r="K8522" s="8" t="e">
        <f t="shared" si="133"/>
        <v>#VALUE!</v>
      </c>
    </row>
    <row r="8523" spans="11:11" x14ac:dyDescent="0.25">
      <c r="K8523" s="8" t="e">
        <f t="shared" si="133"/>
        <v>#VALUE!</v>
      </c>
    </row>
    <row r="8524" spans="11:11" x14ac:dyDescent="0.25">
      <c r="K8524" s="8" t="e">
        <f t="shared" si="133"/>
        <v>#VALUE!</v>
      </c>
    </row>
    <row r="8525" spans="11:11" x14ac:dyDescent="0.25">
      <c r="K8525" s="8" t="e">
        <f t="shared" si="133"/>
        <v>#VALUE!</v>
      </c>
    </row>
    <row r="8526" spans="11:11" x14ac:dyDescent="0.25">
      <c r="K8526" s="8" t="e">
        <f t="shared" si="133"/>
        <v>#VALUE!</v>
      </c>
    </row>
    <row r="8527" spans="11:11" x14ac:dyDescent="0.25">
      <c r="K8527" s="8" t="e">
        <f t="shared" si="133"/>
        <v>#VALUE!</v>
      </c>
    </row>
    <row r="8528" spans="11:11" x14ac:dyDescent="0.25">
      <c r="K8528" s="8" t="e">
        <f t="shared" si="133"/>
        <v>#VALUE!</v>
      </c>
    </row>
    <row r="8529" spans="11:11" x14ac:dyDescent="0.25">
      <c r="K8529" s="8" t="e">
        <f t="shared" si="133"/>
        <v>#VALUE!</v>
      </c>
    </row>
    <row r="8530" spans="11:11" x14ac:dyDescent="0.25">
      <c r="K8530" s="8" t="e">
        <f t="shared" si="133"/>
        <v>#VALUE!</v>
      </c>
    </row>
    <row r="8531" spans="11:11" x14ac:dyDescent="0.25">
      <c r="K8531" s="8" t="e">
        <f t="shared" si="133"/>
        <v>#VALUE!</v>
      </c>
    </row>
    <row r="8532" spans="11:11" x14ac:dyDescent="0.25">
      <c r="K8532" s="8" t="e">
        <f t="shared" si="133"/>
        <v>#VALUE!</v>
      </c>
    </row>
    <row r="8533" spans="11:11" x14ac:dyDescent="0.25">
      <c r="K8533" s="8" t="e">
        <f t="shared" si="133"/>
        <v>#VALUE!</v>
      </c>
    </row>
    <row r="8534" spans="11:11" x14ac:dyDescent="0.25">
      <c r="K8534" s="8" t="e">
        <f t="shared" si="133"/>
        <v>#VALUE!</v>
      </c>
    </row>
    <row r="8535" spans="11:11" x14ac:dyDescent="0.25">
      <c r="K8535" s="8" t="e">
        <f t="shared" si="133"/>
        <v>#VALUE!</v>
      </c>
    </row>
    <row r="8536" spans="11:11" x14ac:dyDescent="0.25">
      <c r="K8536" s="8" t="e">
        <f t="shared" si="133"/>
        <v>#VALUE!</v>
      </c>
    </row>
    <row r="8537" spans="11:11" x14ac:dyDescent="0.25">
      <c r="K8537" s="8" t="e">
        <f t="shared" si="133"/>
        <v>#VALUE!</v>
      </c>
    </row>
    <row r="8538" spans="11:11" x14ac:dyDescent="0.25">
      <c r="K8538" s="8" t="e">
        <f t="shared" si="133"/>
        <v>#VALUE!</v>
      </c>
    </row>
    <row r="8539" spans="11:11" x14ac:dyDescent="0.25">
      <c r="K8539" s="8" t="e">
        <f t="shared" si="133"/>
        <v>#VALUE!</v>
      </c>
    </row>
    <row r="8540" spans="11:11" x14ac:dyDescent="0.25">
      <c r="K8540" s="8" t="e">
        <f t="shared" si="133"/>
        <v>#VALUE!</v>
      </c>
    </row>
    <row r="8541" spans="11:11" x14ac:dyDescent="0.25">
      <c r="K8541" s="8" t="e">
        <f t="shared" si="133"/>
        <v>#VALUE!</v>
      </c>
    </row>
    <row r="8542" spans="11:11" x14ac:dyDescent="0.25">
      <c r="K8542" s="8" t="e">
        <f t="shared" si="133"/>
        <v>#VALUE!</v>
      </c>
    </row>
    <row r="8543" spans="11:11" x14ac:dyDescent="0.25">
      <c r="K8543" s="8" t="e">
        <f t="shared" si="133"/>
        <v>#VALUE!</v>
      </c>
    </row>
    <row r="8544" spans="11:11" x14ac:dyDescent="0.25">
      <c r="K8544" s="8" t="e">
        <f t="shared" si="133"/>
        <v>#VALUE!</v>
      </c>
    </row>
    <row r="8545" spans="11:11" x14ac:dyDescent="0.25">
      <c r="K8545" s="8" t="e">
        <f t="shared" si="133"/>
        <v>#VALUE!</v>
      </c>
    </row>
    <row r="8546" spans="11:11" x14ac:dyDescent="0.25">
      <c r="K8546" s="8" t="e">
        <f t="shared" si="133"/>
        <v>#VALUE!</v>
      </c>
    </row>
    <row r="8547" spans="11:11" x14ac:dyDescent="0.25">
      <c r="K8547" s="8" t="e">
        <f t="shared" si="133"/>
        <v>#VALUE!</v>
      </c>
    </row>
    <row r="8548" spans="11:11" x14ac:dyDescent="0.25">
      <c r="K8548" s="8" t="e">
        <f t="shared" si="133"/>
        <v>#VALUE!</v>
      </c>
    </row>
    <row r="8549" spans="11:11" x14ac:dyDescent="0.25">
      <c r="K8549" s="8" t="e">
        <f t="shared" si="133"/>
        <v>#VALUE!</v>
      </c>
    </row>
    <row r="8550" spans="11:11" x14ac:dyDescent="0.25">
      <c r="K8550" s="8" t="e">
        <f t="shared" si="133"/>
        <v>#VALUE!</v>
      </c>
    </row>
    <row r="8551" spans="11:11" x14ac:dyDescent="0.25">
      <c r="K8551" s="8" t="e">
        <f t="shared" si="133"/>
        <v>#VALUE!</v>
      </c>
    </row>
    <row r="8552" spans="11:11" x14ac:dyDescent="0.25">
      <c r="K8552" s="8" t="e">
        <f t="shared" si="133"/>
        <v>#VALUE!</v>
      </c>
    </row>
    <row r="8553" spans="11:11" x14ac:dyDescent="0.25">
      <c r="K8553" s="8" t="e">
        <f t="shared" si="133"/>
        <v>#VALUE!</v>
      </c>
    </row>
    <row r="8554" spans="11:11" x14ac:dyDescent="0.25">
      <c r="K8554" s="8" t="e">
        <f t="shared" si="133"/>
        <v>#VALUE!</v>
      </c>
    </row>
    <row r="8555" spans="11:11" x14ac:dyDescent="0.25">
      <c r="K8555" s="8" t="e">
        <f t="shared" si="133"/>
        <v>#VALUE!</v>
      </c>
    </row>
    <row r="8556" spans="11:11" x14ac:dyDescent="0.25">
      <c r="K8556" s="8" t="e">
        <f t="shared" si="133"/>
        <v>#VALUE!</v>
      </c>
    </row>
    <row r="8557" spans="11:11" x14ac:dyDescent="0.25">
      <c r="K8557" s="8" t="e">
        <f t="shared" si="133"/>
        <v>#VALUE!</v>
      </c>
    </row>
    <row r="8558" spans="11:11" x14ac:dyDescent="0.25">
      <c r="K8558" s="8" t="e">
        <f t="shared" si="133"/>
        <v>#VALUE!</v>
      </c>
    </row>
    <row r="8559" spans="11:11" x14ac:dyDescent="0.25">
      <c r="K8559" s="8" t="e">
        <f t="shared" si="133"/>
        <v>#VALUE!</v>
      </c>
    </row>
    <row r="8560" spans="11:11" x14ac:dyDescent="0.25">
      <c r="K8560" s="8" t="e">
        <f t="shared" si="133"/>
        <v>#VALUE!</v>
      </c>
    </row>
    <row r="8561" spans="11:11" x14ac:dyDescent="0.25">
      <c r="K8561" s="8" t="e">
        <f t="shared" si="133"/>
        <v>#VALUE!</v>
      </c>
    </row>
    <row r="8562" spans="11:11" x14ac:dyDescent="0.25">
      <c r="K8562" s="8" t="e">
        <f t="shared" si="133"/>
        <v>#VALUE!</v>
      </c>
    </row>
    <row r="8563" spans="11:11" x14ac:dyDescent="0.25">
      <c r="K8563" s="8" t="e">
        <f t="shared" si="133"/>
        <v>#VALUE!</v>
      </c>
    </row>
    <row r="8564" spans="11:11" x14ac:dyDescent="0.25">
      <c r="K8564" s="8" t="e">
        <f t="shared" si="133"/>
        <v>#VALUE!</v>
      </c>
    </row>
    <row r="8565" spans="11:11" x14ac:dyDescent="0.25">
      <c r="K8565" s="8" t="e">
        <f t="shared" si="133"/>
        <v>#VALUE!</v>
      </c>
    </row>
    <row r="8566" spans="11:11" x14ac:dyDescent="0.25">
      <c r="K8566" s="8" t="e">
        <f t="shared" si="133"/>
        <v>#VALUE!</v>
      </c>
    </row>
    <row r="8567" spans="11:11" x14ac:dyDescent="0.25">
      <c r="K8567" s="8" t="e">
        <f t="shared" si="133"/>
        <v>#VALUE!</v>
      </c>
    </row>
    <row r="8568" spans="11:11" x14ac:dyDescent="0.25">
      <c r="K8568" s="8" t="e">
        <f t="shared" si="133"/>
        <v>#VALUE!</v>
      </c>
    </row>
    <row r="8569" spans="11:11" x14ac:dyDescent="0.25">
      <c r="K8569" s="8" t="e">
        <f t="shared" si="133"/>
        <v>#VALUE!</v>
      </c>
    </row>
    <row r="8570" spans="11:11" x14ac:dyDescent="0.25">
      <c r="K8570" s="8" t="e">
        <f t="shared" si="133"/>
        <v>#VALUE!</v>
      </c>
    </row>
    <row r="8571" spans="11:11" x14ac:dyDescent="0.25">
      <c r="K8571" s="8" t="e">
        <f t="shared" si="133"/>
        <v>#VALUE!</v>
      </c>
    </row>
    <row r="8572" spans="11:11" x14ac:dyDescent="0.25">
      <c r="K8572" s="8" t="e">
        <f t="shared" si="133"/>
        <v>#VALUE!</v>
      </c>
    </row>
    <row r="8573" spans="11:11" x14ac:dyDescent="0.25">
      <c r="K8573" s="8" t="e">
        <f t="shared" si="133"/>
        <v>#VALUE!</v>
      </c>
    </row>
    <row r="8574" spans="11:11" x14ac:dyDescent="0.25">
      <c r="K8574" s="8" t="e">
        <f t="shared" si="133"/>
        <v>#VALUE!</v>
      </c>
    </row>
    <row r="8575" spans="11:11" x14ac:dyDescent="0.25">
      <c r="K8575" s="8" t="e">
        <f t="shared" si="133"/>
        <v>#VALUE!</v>
      </c>
    </row>
    <row r="8576" spans="11:11" x14ac:dyDescent="0.25">
      <c r="K8576" s="8" t="e">
        <f t="shared" si="133"/>
        <v>#VALUE!</v>
      </c>
    </row>
    <row r="8577" spans="11:11" x14ac:dyDescent="0.25">
      <c r="K8577" s="8" t="e">
        <f t="shared" si="133"/>
        <v>#VALUE!</v>
      </c>
    </row>
    <row r="8578" spans="11:11" x14ac:dyDescent="0.25">
      <c r="K8578" s="8" t="e">
        <f t="shared" si="133"/>
        <v>#VALUE!</v>
      </c>
    </row>
    <row r="8579" spans="11:11" x14ac:dyDescent="0.25">
      <c r="K8579" s="8" t="e">
        <f t="shared" ref="K8579:K8642" si="134">LEFT(A8579,FIND("/",A8579)-1)</f>
        <v>#VALUE!</v>
      </c>
    </row>
    <row r="8580" spans="11:11" x14ac:dyDescent="0.25">
      <c r="K8580" s="8" t="e">
        <f t="shared" si="134"/>
        <v>#VALUE!</v>
      </c>
    </row>
    <row r="8581" spans="11:11" x14ac:dyDescent="0.25">
      <c r="K8581" s="8" t="e">
        <f t="shared" si="134"/>
        <v>#VALUE!</v>
      </c>
    </row>
    <row r="8582" spans="11:11" x14ac:dyDescent="0.25">
      <c r="K8582" s="8" t="e">
        <f t="shared" si="134"/>
        <v>#VALUE!</v>
      </c>
    </row>
    <row r="8583" spans="11:11" x14ac:dyDescent="0.25">
      <c r="K8583" s="8" t="e">
        <f t="shared" si="134"/>
        <v>#VALUE!</v>
      </c>
    </row>
    <row r="8584" spans="11:11" x14ac:dyDescent="0.25">
      <c r="K8584" s="8" t="e">
        <f t="shared" si="134"/>
        <v>#VALUE!</v>
      </c>
    </row>
    <row r="8585" spans="11:11" x14ac:dyDescent="0.25">
      <c r="K8585" s="8" t="e">
        <f t="shared" si="134"/>
        <v>#VALUE!</v>
      </c>
    </row>
    <row r="8586" spans="11:11" x14ac:dyDescent="0.25">
      <c r="K8586" s="8" t="e">
        <f t="shared" si="134"/>
        <v>#VALUE!</v>
      </c>
    </row>
    <row r="8587" spans="11:11" x14ac:dyDescent="0.25">
      <c r="K8587" s="8" t="e">
        <f t="shared" si="134"/>
        <v>#VALUE!</v>
      </c>
    </row>
    <row r="8588" spans="11:11" x14ac:dyDescent="0.25">
      <c r="K8588" s="8" t="e">
        <f t="shared" si="134"/>
        <v>#VALUE!</v>
      </c>
    </row>
    <row r="8589" spans="11:11" x14ac:dyDescent="0.25">
      <c r="K8589" s="8" t="e">
        <f t="shared" si="134"/>
        <v>#VALUE!</v>
      </c>
    </row>
    <row r="8590" spans="11:11" x14ac:dyDescent="0.25">
      <c r="K8590" s="8" t="e">
        <f t="shared" si="134"/>
        <v>#VALUE!</v>
      </c>
    </row>
    <row r="8591" spans="11:11" x14ac:dyDescent="0.25">
      <c r="K8591" s="8" t="e">
        <f t="shared" si="134"/>
        <v>#VALUE!</v>
      </c>
    </row>
    <row r="8592" spans="11:11" x14ac:dyDescent="0.25">
      <c r="K8592" s="8" t="e">
        <f t="shared" si="134"/>
        <v>#VALUE!</v>
      </c>
    </row>
    <row r="8593" spans="11:11" x14ac:dyDescent="0.25">
      <c r="K8593" s="8" t="e">
        <f t="shared" si="134"/>
        <v>#VALUE!</v>
      </c>
    </row>
    <row r="8594" spans="11:11" x14ac:dyDescent="0.25">
      <c r="K8594" s="8" t="e">
        <f t="shared" si="134"/>
        <v>#VALUE!</v>
      </c>
    </row>
    <row r="8595" spans="11:11" x14ac:dyDescent="0.25">
      <c r="K8595" s="8" t="e">
        <f t="shared" si="134"/>
        <v>#VALUE!</v>
      </c>
    </row>
    <row r="8596" spans="11:11" x14ac:dyDescent="0.25">
      <c r="K8596" s="8" t="e">
        <f t="shared" si="134"/>
        <v>#VALUE!</v>
      </c>
    </row>
    <row r="8597" spans="11:11" x14ac:dyDescent="0.25">
      <c r="K8597" s="8" t="e">
        <f t="shared" si="134"/>
        <v>#VALUE!</v>
      </c>
    </row>
    <row r="8598" spans="11:11" x14ac:dyDescent="0.25">
      <c r="K8598" s="8" t="e">
        <f t="shared" si="134"/>
        <v>#VALUE!</v>
      </c>
    </row>
    <row r="8599" spans="11:11" x14ac:dyDescent="0.25">
      <c r="K8599" s="8" t="e">
        <f t="shared" si="134"/>
        <v>#VALUE!</v>
      </c>
    </row>
    <row r="8600" spans="11:11" x14ac:dyDescent="0.25">
      <c r="K8600" s="8" t="e">
        <f t="shared" si="134"/>
        <v>#VALUE!</v>
      </c>
    </row>
    <row r="8601" spans="11:11" x14ac:dyDescent="0.25">
      <c r="K8601" s="8" t="e">
        <f t="shared" si="134"/>
        <v>#VALUE!</v>
      </c>
    </row>
    <row r="8602" spans="11:11" x14ac:dyDescent="0.25">
      <c r="K8602" s="8" t="e">
        <f t="shared" si="134"/>
        <v>#VALUE!</v>
      </c>
    </row>
    <row r="8603" spans="11:11" x14ac:dyDescent="0.25">
      <c r="K8603" s="8" t="e">
        <f t="shared" si="134"/>
        <v>#VALUE!</v>
      </c>
    </row>
    <row r="8604" spans="11:11" x14ac:dyDescent="0.25">
      <c r="K8604" s="8" t="e">
        <f t="shared" si="134"/>
        <v>#VALUE!</v>
      </c>
    </row>
    <row r="8605" spans="11:11" x14ac:dyDescent="0.25">
      <c r="K8605" s="8" t="e">
        <f t="shared" si="134"/>
        <v>#VALUE!</v>
      </c>
    </row>
    <row r="8606" spans="11:11" x14ac:dyDescent="0.25">
      <c r="K8606" s="8" t="e">
        <f t="shared" si="134"/>
        <v>#VALUE!</v>
      </c>
    </row>
    <row r="8607" spans="11:11" x14ac:dyDescent="0.25">
      <c r="K8607" s="8" t="e">
        <f t="shared" si="134"/>
        <v>#VALUE!</v>
      </c>
    </row>
    <row r="8608" spans="11:11" x14ac:dyDescent="0.25">
      <c r="K8608" s="8" t="e">
        <f t="shared" si="134"/>
        <v>#VALUE!</v>
      </c>
    </row>
    <row r="8609" spans="11:11" x14ac:dyDescent="0.25">
      <c r="K8609" s="8" t="e">
        <f t="shared" si="134"/>
        <v>#VALUE!</v>
      </c>
    </row>
    <row r="8610" spans="11:11" x14ac:dyDescent="0.25">
      <c r="K8610" s="8" t="e">
        <f t="shared" si="134"/>
        <v>#VALUE!</v>
      </c>
    </row>
    <row r="8611" spans="11:11" x14ac:dyDescent="0.25">
      <c r="K8611" s="8" t="e">
        <f t="shared" si="134"/>
        <v>#VALUE!</v>
      </c>
    </row>
    <row r="8612" spans="11:11" x14ac:dyDescent="0.25">
      <c r="K8612" s="8" t="e">
        <f t="shared" si="134"/>
        <v>#VALUE!</v>
      </c>
    </row>
    <row r="8613" spans="11:11" x14ac:dyDescent="0.25">
      <c r="K8613" s="8" t="e">
        <f t="shared" si="134"/>
        <v>#VALUE!</v>
      </c>
    </row>
    <row r="8614" spans="11:11" x14ac:dyDescent="0.25">
      <c r="K8614" s="8" t="e">
        <f t="shared" si="134"/>
        <v>#VALUE!</v>
      </c>
    </row>
    <row r="8615" spans="11:11" x14ac:dyDescent="0.25">
      <c r="K8615" s="8" t="e">
        <f t="shared" si="134"/>
        <v>#VALUE!</v>
      </c>
    </row>
    <row r="8616" spans="11:11" x14ac:dyDescent="0.25">
      <c r="K8616" s="8" t="e">
        <f t="shared" si="134"/>
        <v>#VALUE!</v>
      </c>
    </row>
    <row r="8617" spans="11:11" x14ac:dyDescent="0.25">
      <c r="K8617" s="8" t="e">
        <f t="shared" si="134"/>
        <v>#VALUE!</v>
      </c>
    </row>
    <row r="8618" spans="11:11" x14ac:dyDescent="0.25">
      <c r="K8618" s="8" t="e">
        <f t="shared" si="134"/>
        <v>#VALUE!</v>
      </c>
    </row>
    <row r="8619" spans="11:11" x14ac:dyDescent="0.25">
      <c r="K8619" s="8" t="e">
        <f t="shared" si="134"/>
        <v>#VALUE!</v>
      </c>
    </row>
    <row r="8620" spans="11:11" x14ac:dyDescent="0.25">
      <c r="K8620" s="8" t="e">
        <f t="shared" si="134"/>
        <v>#VALUE!</v>
      </c>
    </row>
    <row r="8621" spans="11:11" x14ac:dyDescent="0.25">
      <c r="K8621" s="8" t="e">
        <f t="shared" si="134"/>
        <v>#VALUE!</v>
      </c>
    </row>
    <row r="8622" spans="11:11" x14ac:dyDescent="0.25">
      <c r="K8622" s="8" t="e">
        <f t="shared" si="134"/>
        <v>#VALUE!</v>
      </c>
    </row>
    <row r="8623" spans="11:11" x14ac:dyDescent="0.25">
      <c r="K8623" s="8" t="e">
        <f t="shared" si="134"/>
        <v>#VALUE!</v>
      </c>
    </row>
    <row r="8624" spans="11:11" x14ac:dyDescent="0.25">
      <c r="K8624" s="8" t="e">
        <f t="shared" si="134"/>
        <v>#VALUE!</v>
      </c>
    </row>
    <row r="8625" spans="11:11" x14ac:dyDescent="0.25">
      <c r="K8625" s="8" t="e">
        <f t="shared" si="134"/>
        <v>#VALUE!</v>
      </c>
    </row>
    <row r="8626" spans="11:11" x14ac:dyDescent="0.25">
      <c r="K8626" s="8" t="e">
        <f t="shared" si="134"/>
        <v>#VALUE!</v>
      </c>
    </row>
    <row r="8627" spans="11:11" x14ac:dyDescent="0.25">
      <c r="K8627" s="8" t="e">
        <f t="shared" si="134"/>
        <v>#VALUE!</v>
      </c>
    </row>
    <row r="8628" spans="11:11" x14ac:dyDescent="0.25">
      <c r="K8628" s="8" t="e">
        <f t="shared" si="134"/>
        <v>#VALUE!</v>
      </c>
    </row>
    <row r="8629" spans="11:11" x14ac:dyDescent="0.25">
      <c r="K8629" s="8" t="e">
        <f t="shared" si="134"/>
        <v>#VALUE!</v>
      </c>
    </row>
    <row r="8630" spans="11:11" x14ac:dyDescent="0.25">
      <c r="K8630" s="8" t="e">
        <f t="shared" si="134"/>
        <v>#VALUE!</v>
      </c>
    </row>
    <row r="8631" spans="11:11" x14ac:dyDescent="0.25">
      <c r="K8631" s="8" t="e">
        <f t="shared" si="134"/>
        <v>#VALUE!</v>
      </c>
    </row>
    <row r="8632" spans="11:11" x14ac:dyDescent="0.25">
      <c r="K8632" s="8" t="e">
        <f t="shared" si="134"/>
        <v>#VALUE!</v>
      </c>
    </row>
    <row r="8633" spans="11:11" x14ac:dyDescent="0.25">
      <c r="K8633" s="8" t="e">
        <f t="shared" si="134"/>
        <v>#VALUE!</v>
      </c>
    </row>
    <row r="8634" spans="11:11" x14ac:dyDescent="0.25">
      <c r="K8634" s="8" t="e">
        <f t="shared" si="134"/>
        <v>#VALUE!</v>
      </c>
    </row>
    <row r="8635" spans="11:11" x14ac:dyDescent="0.25">
      <c r="K8635" s="8" t="e">
        <f t="shared" si="134"/>
        <v>#VALUE!</v>
      </c>
    </row>
    <row r="8636" spans="11:11" x14ac:dyDescent="0.25">
      <c r="K8636" s="8" t="e">
        <f t="shared" si="134"/>
        <v>#VALUE!</v>
      </c>
    </row>
    <row r="8637" spans="11:11" x14ac:dyDescent="0.25">
      <c r="K8637" s="8" t="e">
        <f t="shared" si="134"/>
        <v>#VALUE!</v>
      </c>
    </row>
    <row r="8638" spans="11:11" x14ac:dyDescent="0.25">
      <c r="K8638" s="8" t="e">
        <f t="shared" si="134"/>
        <v>#VALUE!</v>
      </c>
    </row>
    <row r="8639" spans="11:11" x14ac:dyDescent="0.25">
      <c r="K8639" s="8" t="e">
        <f t="shared" si="134"/>
        <v>#VALUE!</v>
      </c>
    </row>
    <row r="8640" spans="11:11" x14ac:dyDescent="0.25">
      <c r="K8640" s="8" t="e">
        <f t="shared" si="134"/>
        <v>#VALUE!</v>
      </c>
    </row>
    <row r="8641" spans="11:11" x14ac:dyDescent="0.25">
      <c r="K8641" s="8" t="e">
        <f t="shared" si="134"/>
        <v>#VALUE!</v>
      </c>
    </row>
    <row r="8642" spans="11:11" x14ac:dyDescent="0.25">
      <c r="K8642" s="8" t="e">
        <f t="shared" si="134"/>
        <v>#VALUE!</v>
      </c>
    </row>
    <row r="8643" spans="11:11" x14ac:dyDescent="0.25">
      <c r="K8643" s="8" t="e">
        <f t="shared" ref="K8643:K8706" si="135">LEFT(A8643,FIND("/",A8643)-1)</f>
        <v>#VALUE!</v>
      </c>
    </row>
    <row r="8644" spans="11:11" x14ac:dyDescent="0.25">
      <c r="K8644" s="8" t="e">
        <f t="shared" si="135"/>
        <v>#VALUE!</v>
      </c>
    </row>
    <row r="8645" spans="11:11" x14ac:dyDescent="0.25">
      <c r="K8645" s="8" t="e">
        <f t="shared" si="135"/>
        <v>#VALUE!</v>
      </c>
    </row>
    <row r="8646" spans="11:11" x14ac:dyDescent="0.25">
      <c r="K8646" s="8" t="e">
        <f t="shared" si="135"/>
        <v>#VALUE!</v>
      </c>
    </row>
    <row r="8647" spans="11:11" x14ac:dyDescent="0.25">
      <c r="K8647" s="8" t="e">
        <f t="shared" si="135"/>
        <v>#VALUE!</v>
      </c>
    </row>
    <row r="8648" spans="11:11" x14ac:dyDescent="0.25">
      <c r="K8648" s="8" t="e">
        <f t="shared" si="135"/>
        <v>#VALUE!</v>
      </c>
    </row>
    <row r="8649" spans="11:11" x14ac:dyDescent="0.25">
      <c r="K8649" s="8" t="e">
        <f t="shared" si="135"/>
        <v>#VALUE!</v>
      </c>
    </row>
    <row r="8650" spans="11:11" x14ac:dyDescent="0.25">
      <c r="K8650" s="8" t="e">
        <f t="shared" si="135"/>
        <v>#VALUE!</v>
      </c>
    </row>
    <row r="8651" spans="11:11" x14ac:dyDescent="0.25">
      <c r="K8651" s="8" t="e">
        <f t="shared" si="135"/>
        <v>#VALUE!</v>
      </c>
    </row>
    <row r="8652" spans="11:11" x14ac:dyDescent="0.25">
      <c r="K8652" s="8" t="e">
        <f t="shared" si="135"/>
        <v>#VALUE!</v>
      </c>
    </row>
    <row r="8653" spans="11:11" x14ac:dyDescent="0.25">
      <c r="K8653" s="8" t="e">
        <f t="shared" si="135"/>
        <v>#VALUE!</v>
      </c>
    </row>
    <row r="8654" spans="11:11" x14ac:dyDescent="0.25">
      <c r="K8654" s="8" t="e">
        <f t="shared" si="135"/>
        <v>#VALUE!</v>
      </c>
    </row>
    <row r="8655" spans="11:11" x14ac:dyDescent="0.25">
      <c r="K8655" s="8" t="e">
        <f t="shared" si="135"/>
        <v>#VALUE!</v>
      </c>
    </row>
    <row r="8656" spans="11:11" x14ac:dyDescent="0.25">
      <c r="K8656" s="8" t="e">
        <f t="shared" si="135"/>
        <v>#VALUE!</v>
      </c>
    </row>
    <row r="8657" spans="11:11" x14ac:dyDescent="0.25">
      <c r="K8657" s="8" t="e">
        <f t="shared" si="135"/>
        <v>#VALUE!</v>
      </c>
    </row>
    <row r="8658" spans="11:11" x14ac:dyDescent="0.25">
      <c r="K8658" s="8" t="e">
        <f t="shared" si="135"/>
        <v>#VALUE!</v>
      </c>
    </row>
    <row r="8659" spans="11:11" x14ac:dyDescent="0.25">
      <c r="K8659" s="8" t="e">
        <f t="shared" si="135"/>
        <v>#VALUE!</v>
      </c>
    </row>
    <row r="8660" spans="11:11" x14ac:dyDescent="0.25">
      <c r="K8660" s="8" t="e">
        <f t="shared" si="135"/>
        <v>#VALUE!</v>
      </c>
    </row>
    <row r="8661" spans="11:11" x14ac:dyDescent="0.25">
      <c r="K8661" s="8" t="e">
        <f t="shared" si="135"/>
        <v>#VALUE!</v>
      </c>
    </row>
    <row r="8662" spans="11:11" x14ac:dyDescent="0.25">
      <c r="K8662" s="8" t="e">
        <f t="shared" si="135"/>
        <v>#VALUE!</v>
      </c>
    </row>
    <row r="8663" spans="11:11" x14ac:dyDescent="0.25">
      <c r="K8663" s="8" t="e">
        <f t="shared" si="135"/>
        <v>#VALUE!</v>
      </c>
    </row>
    <row r="8664" spans="11:11" x14ac:dyDescent="0.25">
      <c r="K8664" s="8" t="e">
        <f t="shared" si="135"/>
        <v>#VALUE!</v>
      </c>
    </row>
    <row r="8665" spans="11:11" x14ac:dyDescent="0.25">
      <c r="K8665" s="8" t="e">
        <f t="shared" si="135"/>
        <v>#VALUE!</v>
      </c>
    </row>
    <row r="8666" spans="11:11" x14ac:dyDescent="0.25">
      <c r="K8666" s="8" t="e">
        <f t="shared" si="135"/>
        <v>#VALUE!</v>
      </c>
    </row>
    <row r="8667" spans="11:11" x14ac:dyDescent="0.25">
      <c r="K8667" s="8" t="e">
        <f t="shared" si="135"/>
        <v>#VALUE!</v>
      </c>
    </row>
    <row r="8668" spans="11:11" x14ac:dyDescent="0.25">
      <c r="K8668" s="8" t="e">
        <f t="shared" si="135"/>
        <v>#VALUE!</v>
      </c>
    </row>
    <row r="8669" spans="11:11" x14ac:dyDescent="0.25">
      <c r="K8669" s="8" t="e">
        <f t="shared" si="135"/>
        <v>#VALUE!</v>
      </c>
    </row>
    <row r="8670" spans="11:11" x14ac:dyDescent="0.25">
      <c r="K8670" s="8" t="e">
        <f t="shared" si="135"/>
        <v>#VALUE!</v>
      </c>
    </row>
    <row r="8671" spans="11:11" x14ac:dyDescent="0.25">
      <c r="K8671" s="8" t="e">
        <f t="shared" si="135"/>
        <v>#VALUE!</v>
      </c>
    </row>
    <row r="8672" spans="11:11" x14ac:dyDescent="0.25">
      <c r="K8672" s="8" t="e">
        <f t="shared" si="135"/>
        <v>#VALUE!</v>
      </c>
    </row>
    <row r="8673" spans="11:11" x14ac:dyDescent="0.25">
      <c r="K8673" s="8" t="e">
        <f t="shared" si="135"/>
        <v>#VALUE!</v>
      </c>
    </row>
    <row r="8674" spans="11:11" x14ac:dyDescent="0.25">
      <c r="K8674" s="8" t="e">
        <f t="shared" si="135"/>
        <v>#VALUE!</v>
      </c>
    </row>
    <row r="8675" spans="11:11" x14ac:dyDescent="0.25">
      <c r="K8675" s="8" t="e">
        <f t="shared" si="135"/>
        <v>#VALUE!</v>
      </c>
    </row>
    <row r="8676" spans="11:11" x14ac:dyDescent="0.25">
      <c r="K8676" s="8" t="e">
        <f t="shared" si="135"/>
        <v>#VALUE!</v>
      </c>
    </row>
    <row r="8677" spans="11:11" x14ac:dyDescent="0.25">
      <c r="K8677" s="8" t="e">
        <f t="shared" si="135"/>
        <v>#VALUE!</v>
      </c>
    </row>
    <row r="8678" spans="11:11" x14ac:dyDescent="0.25">
      <c r="K8678" s="8" t="e">
        <f t="shared" si="135"/>
        <v>#VALUE!</v>
      </c>
    </row>
    <row r="8679" spans="11:11" x14ac:dyDescent="0.25">
      <c r="K8679" s="8" t="e">
        <f t="shared" si="135"/>
        <v>#VALUE!</v>
      </c>
    </row>
    <row r="8680" spans="11:11" x14ac:dyDescent="0.25">
      <c r="K8680" s="8" t="e">
        <f t="shared" si="135"/>
        <v>#VALUE!</v>
      </c>
    </row>
    <row r="8681" spans="11:11" x14ac:dyDescent="0.25">
      <c r="K8681" s="8" t="e">
        <f t="shared" si="135"/>
        <v>#VALUE!</v>
      </c>
    </row>
    <row r="8682" spans="11:11" x14ac:dyDescent="0.25">
      <c r="K8682" s="8" t="e">
        <f t="shared" si="135"/>
        <v>#VALUE!</v>
      </c>
    </row>
    <row r="8683" spans="11:11" x14ac:dyDescent="0.25">
      <c r="K8683" s="8" t="e">
        <f t="shared" si="135"/>
        <v>#VALUE!</v>
      </c>
    </row>
    <row r="8684" spans="11:11" x14ac:dyDescent="0.25">
      <c r="K8684" s="8" t="e">
        <f t="shared" si="135"/>
        <v>#VALUE!</v>
      </c>
    </row>
    <row r="8685" spans="11:11" x14ac:dyDescent="0.25">
      <c r="K8685" s="8" t="e">
        <f t="shared" si="135"/>
        <v>#VALUE!</v>
      </c>
    </row>
    <row r="8686" spans="11:11" x14ac:dyDescent="0.25">
      <c r="K8686" s="8" t="e">
        <f t="shared" si="135"/>
        <v>#VALUE!</v>
      </c>
    </row>
    <row r="8687" spans="11:11" x14ac:dyDescent="0.25">
      <c r="K8687" s="8" t="e">
        <f t="shared" si="135"/>
        <v>#VALUE!</v>
      </c>
    </row>
    <row r="8688" spans="11:11" x14ac:dyDescent="0.25">
      <c r="K8688" s="8" t="e">
        <f t="shared" si="135"/>
        <v>#VALUE!</v>
      </c>
    </row>
    <row r="8689" spans="11:11" x14ac:dyDescent="0.25">
      <c r="K8689" s="8" t="e">
        <f t="shared" si="135"/>
        <v>#VALUE!</v>
      </c>
    </row>
    <row r="8690" spans="11:11" x14ac:dyDescent="0.25">
      <c r="K8690" s="8" t="e">
        <f t="shared" si="135"/>
        <v>#VALUE!</v>
      </c>
    </row>
    <row r="8691" spans="11:11" x14ac:dyDescent="0.25">
      <c r="K8691" s="8" t="e">
        <f t="shared" si="135"/>
        <v>#VALUE!</v>
      </c>
    </row>
    <row r="8692" spans="11:11" x14ac:dyDescent="0.25">
      <c r="K8692" s="8" t="e">
        <f t="shared" si="135"/>
        <v>#VALUE!</v>
      </c>
    </row>
    <row r="8693" spans="11:11" x14ac:dyDescent="0.25">
      <c r="K8693" s="8" t="e">
        <f t="shared" si="135"/>
        <v>#VALUE!</v>
      </c>
    </row>
    <row r="8694" spans="11:11" x14ac:dyDescent="0.25">
      <c r="K8694" s="8" t="e">
        <f t="shared" si="135"/>
        <v>#VALUE!</v>
      </c>
    </row>
    <row r="8695" spans="11:11" x14ac:dyDescent="0.25">
      <c r="K8695" s="8" t="e">
        <f t="shared" si="135"/>
        <v>#VALUE!</v>
      </c>
    </row>
    <row r="8696" spans="11:11" x14ac:dyDescent="0.25">
      <c r="K8696" s="8" t="e">
        <f t="shared" si="135"/>
        <v>#VALUE!</v>
      </c>
    </row>
    <row r="8697" spans="11:11" x14ac:dyDescent="0.25">
      <c r="K8697" s="8" t="e">
        <f t="shared" si="135"/>
        <v>#VALUE!</v>
      </c>
    </row>
    <row r="8698" spans="11:11" x14ac:dyDescent="0.25">
      <c r="K8698" s="8" t="e">
        <f t="shared" si="135"/>
        <v>#VALUE!</v>
      </c>
    </row>
    <row r="8699" spans="11:11" x14ac:dyDescent="0.25">
      <c r="K8699" s="8" t="e">
        <f t="shared" si="135"/>
        <v>#VALUE!</v>
      </c>
    </row>
    <row r="8700" spans="11:11" x14ac:dyDescent="0.25">
      <c r="K8700" s="8" t="e">
        <f t="shared" si="135"/>
        <v>#VALUE!</v>
      </c>
    </row>
    <row r="8701" spans="11:11" x14ac:dyDescent="0.25">
      <c r="K8701" s="8" t="e">
        <f t="shared" si="135"/>
        <v>#VALUE!</v>
      </c>
    </row>
    <row r="8702" spans="11:11" x14ac:dyDescent="0.25">
      <c r="K8702" s="8" t="e">
        <f t="shared" si="135"/>
        <v>#VALUE!</v>
      </c>
    </row>
    <row r="8703" spans="11:11" x14ac:dyDescent="0.25">
      <c r="K8703" s="8" t="e">
        <f t="shared" si="135"/>
        <v>#VALUE!</v>
      </c>
    </row>
    <row r="8704" spans="11:11" x14ac:dyDescent="0.25">
      <c r="K8704" s="8" t="e">
        <f t="shared" si="135"/>
        <v>#VALUE!</v>
      </c>
    </row>
    <row r="8705" spans="11:11" x14ac:dyDescent="0.25">
      <c r="K8705" s="8" t="e">
        <f t="shared" si="135"/>
        <v>#VALUE!</v>
      </c>
    </row>
    <row r="8706" spans="11:11" x14ac:dyDescent="0.25">
      <c r="K8706" s="8" t="e">
        <f t="shared" si="135"/>
        <v>#VALUE!</v>
      </c>
    </row>
    <row r="8707" spans="11:11" x14ac:dyDescent="0.25">
      <c r="K8707" s="8" t="e">
        <f t="shared" ref="K8707:K8770" si="136">LEFT(A8707,FIND("/",A8707)-1)</f>
        <v>#VALUE!</v>
      </c>
    </row>
    <row r="8708" spans="11:11" x14ac:dyDescent="0.25">
      <c r="K8708" s="8" t="e">
        <f t="shared" si="136"/>
        <v>#VALUE!</v>
      </c>
    </row>
    <row r="8709" spans="11:11" x14ac:dyDescent="0.25">
      <c r="K8709" s="8" t="e">
        <f t="shared" si="136"/>
        <v>#VALUE!</v>
      </c>
    </row>
    <row r="8710" spans="11:11" x14ac:dyDescent="0.25">
      <c r="K8710" s="8" t="e">
        <f t="shared" si="136"/>
        <v>#VALUE!</v>
      </c>
    </row>
    <row r="8711" spans="11:11" x14ac:dyDescent="0.25">
      <c r="K8711" s="8" t="e">
        <f t="shared" si="136"/>
        <v>#VALUE!</v>
      </c>
    </row>
    <row r="8712" spans="11:11" x14ac:dyDescent="0.25">
      <c r="K8712" s="8" t="e">
        <f t="shared" si="136"/>
        <v>#VALUE!</v>
      </c>
    </row>
    <row r="8713" spans="11:11" x14ac:dyDescent="0.25">
      <c r="K8713" s="8" t="e">
        <f t="shared" si="136"/>
        <v>#VALUE!</v>
      </c>
    </row>
    <row r="8714" spans="11:11" x14ac:dyDescent="0.25">
      <c r="K8714" s="8" t="e">
        <f t="shared" si="136"/>
        <v>#VALUE!</v>
      </c>
    </row>
    <row r="8715" spans="11:11" x14ac:dyDescent="0.25">
      <c r="K8715" s="8" t="e">
        <f t="shared" si="136"/>
        <v>#VALUE!</v>
      </c>
    </row>
    <row r="8716" spans="11:11" x14ac:dyDescent="0.25">
      <c r="K8716" s="8" t="e">
        <f t="shared" si="136"/>
        <v>#VALUE!</v>
      </c>
    </row>
    <row r="8717" spans="11:11" x14ac:dyDescent="0.25">
      <c r="K8717" s="8" t="e">
        <f t="shared" si="136"/>
        <v>#VALUE!</v>
      </c>
    </row>
    <row r="8718" spans="11:11" x14ac:dyDescent="0.25">
      <c r="K8718" s="8" t="e">
        <f t="shared" si="136"/>
        <v>#VALUE!</v>
      </c>
    </row>
    <row r="8719" spans="11:11" x14ac:dyDescent="0.25">
      <c r="K8719" s="8" t="e">
        <f t="shared" si="136"/>
        <v>#VALUE!</v>
      </c>
    </row>
    <row r="8720" spans="11:11" x14ac:dyDescent="0.25">
      <c r="K8720" s="8" t="e">
        <f t="shared" si="136"/>
        <v>#VALUE!</v>
      </c>
    </row>
    <row r="8721" spans="11:11" x14ac:dyDescent="0.25">
      <c r="K8721" s="8" t="e">
        <f t="shared" si="136"/>
        <v>#VALUE!</v>
      </c>
    </row>
    <row r="8722" spans="11:11" x14ac:dyDescent="0.25">
      <c r="K8722" s="8" t="e">
        <f t="shared" si="136"/>
        <v>#VALUE!</v>
      </c>
    </row>
    <row r="8723" spans="11:11" x14ac:dyDescent="0.25">
      <c r="K8723" s="8" t="e">
        <f t="shared" si="136"/>
        <v>#VALUE!</v>
      </c>
    </row>
    <row r="8724" spans="11:11" x14ac:dyDescent="0.25">
      <c r="K8724" s="8" t="e">
        <f t="shared" si="136"/>
        <v>#VALUE!</v>
      </c>
    </row>
    <row r="8725" spans="11:11" x14ac:dyDescent="0.25">
      <c r="K8725" s="8" t="e">
        <f t="shared" si="136"/>
        <v>#VALUE!</v>
      </c>
    </row>
    <row r="8726" spans="11:11" x14ac:dyDescent="0.25">
      <c r="K8726" s="8" t="e">
        <f t="shared" si="136"/>
        <v>#VALUE!</v>
      </c>
    </row>
    <row r="8727" spans="11:11" x14ac:dyDescent="0.25">
      <c r="K8727" s="8" t="e">
        <f t="shared" si="136"/>
        <v>#VALUE!</v>
      </c>
    </row>
    <row r="8728" spans="11:11" x14ac:dyDescent="0.25">
      <c r="K8728" s="8" t="e">
        <f t="shared" si="136"/>
        <v>#VALUE!</v>
      </c>
    </row>
    <row r="8729" spans="11:11" x14ac:dyDescent="0.25">
      <c r="K8729" s="8" t="e">
        <f t="shared" si="136"/>
        <v>#VALUE!</v>
      </c>
    </row>
    <row r="8730" spans="11:11" x14ac:dyDescent="0.25">
      <c r="K8730" s="8" t="e">
        <f t="shared" si="136"/>
        <v>#VALUE!</v>
      </c>
    </row>
    <row r="8731" spans="11:11" x14ac:dyDescent="0.25">
      <c r="K8731" s="8" t="e">
        <f t="shared" si="136"/>
        <v>#VALUE!</v>
      </c>
    </row>
    <row r="8732" spans="11:11" x14ac:dyDescent="0.25">
      <c r="K8732" s="8" t="e">
        <f t="shared" si="136"/>
        <v>#VALUE!</v>
      </c>
    </row>
    <row r="8733" spans="11:11" x14ac:dyDescent="0.25">
      <c r="K8733" s="8" t="e">
        <f t="shared" si="136"/>
        <v>#VALUE!</v>
      </c>
    </row>
    <row r="8734" spans="11:11" x14ac:dyDescent="0.25">
      <c r="K8734" s="8" t="e">
        <f t="shared" si="136"/>
        <v>#VALUE!</v>
      </c>
    </row>
    <row r="8735" spans="11:11" x14ac:dyDescent="0.25">
      <c r="K8735" s="8" t="e">
        <f t="shared" si="136"/>
        <v>#VALUE!</v>
      </c>
    </row>
    <row r="8736" spans="11:11" x14ac:dyDescent="0.25">
      <c r="K8736" s="8" t="e">
        <f t="shared" si="136"/>
        <v>#VALUE!</v>
      </c>
    </row>
    <row r="8737" spans="11:11" x14ac:dyDescent="0.25">
      <c r="K8737" s="8" t="e">
        <f t="shared" si="136"/>
        <v>#VALUE!</v>
      </c>
    </row>
    <row r="8738" spans="11:11" x14ac:dyDescent="0.25">
      <c r="K8738" s="8" t="e">
        <f t="shared" si="136"/>
        <v>#VALUE!</v>
      </c>
    </row>
    <row r="8739" spans="11:11" x14ac:dyDescent="0.25">
      <c r="K8739" s="8" t="e">
        <f t="shared" si="136"/>
        <v>#VALUE!</v>
      </c>
    </row>
    <row r="8740" spans="11:11" x14ac:dyDescent="0.25">
      <c r="K8740" s="8" t="e">
        <f t="shared" si="136"/>
        <v>#VALUE!</v>
      </c>
    </row>
    <row r="8741" spans="11:11" x14ac:dyDescent="0.25">
      <c r="K8741" s="8" t="e">
        <f t="shared" si="136"/>
        <v>#VALUE!</v>
      </c>
    </row>
    <row r="8742" spans="11:11" x14ac:dyDescent="0.25">
      <c r="K8742" s="8" t="e">
        <f t="shared" si="136"/>
        <v>#VALUE!</v>
      </c>
    </row>
    <row r="8743" spans="11:11" x14ac:dyDescent="0.25">
      <c r="K8743" s="8" t="e">
        <f t="shared" si="136"/>
        <v>#VALUE!</v>
      </c>
    </row>
    <row r="8744" spans="11:11" x14ac:dyDescent="0.25">
      <c r="K8744" s="8" t="e">
        <f t="shared" si="136"/>
        <v>#VALUE!</v>
      </c>
    </row>
    <row r="8745" spans="11:11" x14ac:dyDescent="0.25">
      <c r="K8745" s="8" t="e">
        <f t="shared" si="136"/>
        <v>#VALUE!</v>
      </c>
    </row>
    <row r="8746" spans="11:11" x14ac:dyDescent="0.25">
      <c r="K8746" s="8" t="e">
        <f t="shared" si="136"/>
        <v>#VALUE!</v>
      </c>
    </row>
    <row r="8747" spans="11:11" x14ac:dyDescent="0.25">
      <c r="K8747" s="8" t="e">
        <f t="shared" si="136"/>
        <v>#VALUE!</v>
      </c>
    </row>
    <row r="8748" spans="11:11" x14ac:dyDescent="0.25">
      <c r="K8748" s="8" t="e">
        <f t="shared" si="136"/>
        <v>#VALUE!</v>
      </c>
    </row>
    <row r="8749" spans="11:11" x14ac:dyDescent="0.25">
      <c r="K8749" s="8" t="e">
        <f t="shared" si="136"/>
        <v>#VALUE!</v>
      </c>
    </row>
    <row r="8750" spans="11:11" x14ac:dyDescent="0.25">
      <c r="K8750" s="8" t="e">
        <f t="shared" si="136"/>
        <v>#VALUE!</v>
      </c>
    </row>
    <row r="8751" spans="11:11" x14ac:dyDescent="0.25">
      <c r="K8751" s="8" t="e">
        <f t="shared" si="136"/>
        <v>#VALUE!</v>
      </c>
    </row>
    <row r="8752" spans="11:11" x14ac:dyDescent="0.25">
      <c r="K8752" s="8" t="e">
        <f t="shared" si="136"/>
        <v>#VALUE!</v>
      </c>
    </row>
    <row r="8753" spans="11:11" x14ac:dyDescent="0.25">
      <c r="K8753" s="8" t="e">
        <f t="shared" si="136"/>
        <v>#VALUE!</v>
      </c>
    </row>
    <row r="8754" spans="11:11" x14ac:dyDescent="0.25">
      <c r="K8754" s="8" t="e">
        <f t="shared" si="136"/>
        <v>#VALUE!</v>
      </c>
    </row>
    <row r="8755" spans="11:11" x14ac:dyDescent="0.25">
      <c r="K8755" s="8" t="e">
        <f t="shared" si="136"/>
        <v>#VALUE!</v>
      </c>
    </row>
    <row r="8756" spans="11:11" x14ac:dyDescent="0.25">
      <c r="K8756" s="8" t="e">
        <f t="shared" si="136"/>
        <v>#VALUE!</v>
      </c>
    </row>
    <row r="8757" spans="11:11" x14ac:dyDescent="0.25">
      <c r="K8757" s="8" t="e">
        <f t="shared" si="136"/>
        <v>#VALUE!</v>
      </c>
    </row>
    <row r="8758" spans="11:11" x14ac:dyDescent="0.25">
      <c r="K8758" s="8" t="e">
        <f t="shared" si="136"/>
        <v>#VALUE!</v>
      </c>
    </row>
    <row r="8759" spans="11:11" x14ac:dyDescent="0.25">
      <c r="K8759" s="8" t="e">
        <f t="shared" si="136"/>
        <v>#VALUE!</v>
      </c>
    </row>
    <row r="8760" spans="11:11" x14ac:dyDescent="0.25">
      <c r="K8760" s="8" t="e">
        <f t="shared" si="136"/>
        <v>#VALUE!</v>
      </c>
    </row>
    <row r="8761" spans="11:11" x14ac:dyDescent="0.25">
      <c r="K8761" s="8" t="e">
        <f t="shared" si="136"/>
        <v>#VALUE!</v>
      </c>
    </row>
    <row r="8762" spans="11:11" x14ac:dyDescent="0.25">
      <c r="K8762" s="8" t="e">
        <f t="shared" si="136"/>
        <v>#VALUE!</v>
      </c>
    </row>
    <row r="8763" spans="11:11" x14ac:dyDescent="0.25">
      <c r="K8763" s="8" t="e">
        <f t="shared" si="136"/>
        <v>#VALUE!</v>
      </c>
    </row>
    <row r="8764" spans="11:11" x14ac:dyDescent="0.25">
      <c r="K8764" s="8" t="e">
        <f t="shared" si="136"/>
        <v>#VALUE!</v>
      </c>
    </row>
    <row r="8765" spans="11:11" x14ac:dyDescent="0.25">
      <c r="K8765" s="8" t="e">
        <f t="shared" si="136"/>
        <v>#VALUE!</v>
      </c>
    </row>
    <row r="8766" spans="11:11" x14ac:dyDescent="0.25">
      <c r="K8766" s="8" t="e">
        <f t="shared" si="136"/>
        <v>#VALUE!</v>
      </c>
    </row>
    <row r="8767" spans="11:11" x14ac:dyDescent="0.25">
      <c r="K8767" s="8" t="e">
        <f t="shared" si="136"/>
        <v>#VALUE!</v>
      </c>
    </row>
    <row r="8768" spans="11:11" x14ac:dyDescent="0.25">
      <c r="K8768" s="8" t="e">
        <f t="shared" si="136"/>
        <v>#VALUE!</v>
      </c>
    </row>
    <row r="8769" spans="11:11" x14ac:dyDescent="0.25">
      <c r="K8769" s="8" t="e">
        <f t="shared" si="136"/>
        <v>#VALUE!</v>
      </c>
    </row>
    <row r="8770" spans="11:11" x14ac:dyDescent="0.25">
      <c r="K8770" s="8" t="e">
        <f t="shared" si="136"/>
        <v>#VALUE!</v>
      </c>
    </row>
    <row r="8771" spans="11:11" x14ac:dyDescent="0.25">
      <c r="K8771" s="8" t="e">
        <f t="shared" ref="K8771:K8834" si="137">LEFT(A8771,FIND("/",A8771)-1)</f>
        <v>#VALUE!</v>
      </c>
    </row>
    <row r="8772" spans="11:11" x14ac:dyDescent="0.25">
      <c r="K8772" s="8" t="e">
        <f t="shared" si="137"/>
        <v>#VALUE!</v>
      </c>
    </row>
    <row r="8773" spans="11:11" x14ac:dyDescent="0.25">
      <c r="K8773" s="8" t="e">
        <f t="shared" si="137"/>
        <v>#VALUE!</v>
      </c>
    </row>
    <row r="8774" spans="11:11" x14ac:dyDescent="0.25">
      <c r="K8774" s="8" t="e">
        <f t="shared" si="137"/>
        <v>#VALUE!</v>
      </c>
    </row>
    <row r="8775" spans="11:11" x14ac:dyDescent="0.25">
      <c r="K8775" s="8" t="e">
        <f t="shared" si="137"/>
        <v>#VALUE!</v>
      </c>
    </row>
    <row r="8776" spans="11:11" x14ac:dyDescent="0.25">
      <c r="K8776" s="8" t="e">
        <f t="shared" si="137"/>
        <v>#VALUE!</v>
      </c>
    </row>
    <row r="8777" spans="11:11" x14ac:dyDescent="0.25">
      <c r="K8777" s="8" t="e">
        <f t="shared" si="137"/>
        <v>#VALUE!</v>
      </c>
    </row>
    <row r="8778" spans="11:11" x14ac:dyDescent="0.25">
      <c r="K8778" s="8" t="e">
        <f t="shared" si="137"/>
        <v>#VALUE!</v>
      </c>
    </row>
    <row r="8779" spans="11:11" x14ac:dyDescent="0.25">
      <c r="K8779" s="8" t="e">
        <f t="shared" si="137"/>
        <v>#VALUE!</v>
      </c>
    </row>
    <row r="8780" spans="11:11" x14ac:dyDescent="0.25">
      <c r="K8780" s="8" t="e">
        <f t="shared" si="137"/>
        <v>#VALUE!</v>
      </c>
    </row>
    <row r="8781" spans="11:11" x14ac:dyDescent="0.25">
      <c r="K8781" s="8" t="e">
        <f t="shared" si="137"/>
        <v>#VALUE!</v>
      </c>
    </row>
    <row r="8782" spans="11:11" x14ac:dyDescent="0.25">
      <c r="K8782" s="8" t="e">
        <f t="shared" si="137"/>
        <v>#VALUE!</v>
      </c>
    </row>
    <row r="8783" spans="11:11" x14ac:dyDescent="0.25">
      <c r="K8783" s="8" t="e">
        <f t="shared" si="137"/>
        <v>#VALUE!</v>
      </c>
    </row>
    <row r="8784" spans="11:11" x14ac:dyDescent="0.25">
      <c r="K8784" s="8" t="e">
        <f t="shared" si="137"/>
        <v>#VALUE!</v>
      </c>
    </row>
    <row r="8785" spans="11:11" x14ac:dyDescent="0.25">
      <c r="K8785" s="8" t="e">
        <f t="shared" si="137"/>
        <v>#VALUE!</v>
      </c>
    </row>
    <row r="8786" spans="11:11" x14ac:dyDescent="0.25">
      <c r="K8786" s="8" t="e">
        <f t="shared" si="137"/>
        <v>#VALUE!</v>
      </c>
    </row>
    <row r="8787" spans="11:11" x14ac:dyDescent="0.25">
      <c r="K8787" s="8" t="e">
        <f t="shared" si="137"/>
        <v>#VALUE!</v>
      </c>
    </row>
    <row r="8788" spans="11:11" x14ac:dyDescent="0.25">
      <c r="K8788" s="8" t="e">
        <f t="shared" si="137"/>
        <v>#VALUE!</v>
      </c>
    </row>
    <row r="8789" spans="11:11" x14ac:dyDescent="0.25">
      <c r="K8789" s="8" t="e">
        <f t="shared" si="137"/>
        <v>#VALUE!</v>
      </c>
    </row>
    <row r="8790" spans="11:11" x14ac:dyDescent="0.25">
      <c r="K8790" s="8" t="e">
        <f t="shared" si="137"/>
        <v>#VALUE!</v>
      </c>
    </row>
    <row r="8791" spans="11:11" x14ac:dyDescent="0.25">
      <c r="K8791" s="8" t="e">
        <f t="shared" si="137"/>
        <v>#VALUE!</v>
      </c>
    </row>
    <row r="8792" spans="11:11" x14ac:dyDescent="0.25">
      <c r="K8792" s="8" t="e">
        <f t="shared" si="137"/>
        <v>#VALUE!</v>
      </c>
    </row>
    <row r="8793" spans="11:11" x14ac:dyDescent="0.25">
      <c r="K8793" s="8" t="e">
        <f t="shared" si="137"/>
        <v>#VALUE!</v>
      </c>
    </row>
    <row r="8794" spans="11:11" x14ac:dyDescent="0.25">
      <c r="K8794" s="8" t="e">
        <f t="shared" si="137"/>
        <v>#VALUE!</v>
      </c>
    </row>
    <row r="8795" spans="11:11" x14ac:dyDescent="0.25">
      <c r="K8795" s="8" t="e">
        <f t="shared" si="137"/>
        <v>#VALUE!</v>
      </c>
    </row>
    <row r="8796" spans="11:11" x14ac:dyDescent="0.25">
      <c r="K8796" s="8" t="e">
        <f t="shared" si="137"/>
        <v>#VALUE!</v>
      </c>
    </row>
    <row r="8797" spans="11:11" x14ac:dyDescent="0.25">
      <c r="K8797" s="8" t="e">
        <f t="shared" si="137"/>
        <v>#VALUE!</v>
      </c>
    </row>
    <row r="8798" spans="11:11" x14ac:dyDescent="0.25">
      <c r="K8798" s="8" t="e">
        <f t="shared" si="137"/>
        <v>#VALUE!</v>
      </c>
    </row>
    <row r="8799" spans="11:11" x14ac:dyDescent="0.25">
      <c r="K8799" s="8" t="e">
        <f t="shared" si="137"/>
        <v>#VALUE!</v>
      </c>
    </row>
    <row r="8800" spans="11:11" x14ac:dyDescent="0.25">
      <c r="K8800" s="8" t="e">
        <f t="shared" si="137"/>
        <v>#VALUE!</v>
      </c>
    </row>
    <row r="8801" spans="11:11" x14ac:dyDescent="0.25">
      <c r="K8801" s="8" t="e">
        <f t="shared" si="137"/>
        <v>#VALUE!</v>
      </c>
    </row>
    <row r="8802" spans="11:11" x14ac:dyDescent="0.25">
      <c r="K8802" s="8" t="e">
        <f t="shared" si="137"/>
        <v>#VALUE!</v>
      </c>
    </row>
    <row r="8803" spans="11:11" x14ac:dyDescent="0.25">
      <c r="K8803" s="8" t="e">
        <f t="shared" si="137"/>
        <v>#VALUE!</v>
      </c>
    </row>
    <row r="8804" spans="11:11" x14ac:dyDescent="0.25">
      <c r="K8804" s="8" t="e">
        <f t="shared" si="137"/>
        <v>#VALUE!</v>
      </c>
    </row>
    <row r="8805" spans="11:11" x14ac:dyDescent="0.25">
      <c r="K8805" s="8" t="e">
        <f t="shared" si="137"/>
        <v>#VALUE!</v>
      </c>
    </row>
    <row r="8806" spans="11:11" x14ac:dyDescent="0.25">
      <c r="K8806" s="8" t="e">
        <f t="shared" si="137"/>
        <v>#VALUE!</v>
      </c>
    </row>
    <row r="8807" spans="11:11" x14ac:dyDescent="0.25">
      <c r="K8807" s="8" t="e">
        <f t="shared" si="137"/>
        <v>#VALUE!</v>
      </c>
    </row>
    <row r="8808" spans="11:11" x14ac:dyDescent="0.25">
      <c r="K8808" s="8" t="e">
        <f t="shared" si="137"/>
        <v>#VALUE!</v>
      </c>
    </row>
    <row r="8809" spans="11:11" x14ac:dyDescent="0.25">
      <c r="K8809" s="8" t="e">
        <f t="shared" si="137"/>
        <v>#VALUE!</v>
      </c>
    </row>
    <row r="8810" spans="11:11" x14ac:dyDescent="0.25">
      <c r="K8810" s="8" t="e">
        <f t="shared" si="137"/>
        <v>#VALUE!</v>
      </c>
    </row>
    <row r="8811" spans="11:11" x14ac:dyDescent="0.25">
      <c r="K8811" s="8" t="e">
        <f t="shared" si="137"/>
        <v>#VALUE!</v>
      </c>
    </row>
    <row r="8812" spans="11:11" x14ac:dyDescent="0.25">
      <c r="K8812" s="8" t="e">
        <f t="shared" si="137"/>
        <v>#VALUE!</v>
      </c>
    </row>
    <row r="8813" spans="11:11" x14ac:dyDescent="0.25">
      <c r="K8813" s="8" t="e">
        <f t="shared" si="137"/>
        <v>#VALUE!</v>
      </c>
    </row>
    <row r="8814" spans="11:11" x14ac:dyDescent="0.25">
      <c r="K8814" s="8" t="e">
        <f t="shared" si="137"/>
        <v>#VALUE!</v>
      </c>
    </row>
    <row r="8815" spans="11:11" x14ac:dyDescent="0.25">
      <c r="K8815" s="8" t="e">
        <f t="shared" si="137"/>
        <v>#VALUE!</v>
      </c>
    </row>
    <row r="8816" spans="11:11" x14ac:dyDescent="0.25">
      <c r="K8816" s="8" t="e">
        <f t="shared" si="137"/>
        <v>#VALUE!</v>
      </c>
    </row>
    <row r="8817" spans="11:11" x14ac:dyDescent="0.25">
      <c r="K8817" s="8" t="e">
        <f t="shared" si="137"/>
        <v>#VALUE!</v>
      </c>
    </row>
    <row r="8818" spans="11:11" x14ac:dyDescent="0.25">
      <c r="K8818" s="8" t="e">
        <f t="shared" si="137"/>
        <v>#VALUE!</v>
      </c>
    </row>
    <row r="8819" spans="11:11" x14ac:dyDescent="0.25">
      <c r="K8819" s="8" t="e">
        <f t="shared" si="137"/>
        <v>#VALUE!</v>
      </c>
    </row>
    <row r="8820" spans="11:11" x14ac:dyDescent="0.25">
      <c r="K8820" s="8" t="e">
        <f t="shared" si="137"/>
        <v>#VALUE!</v>
      </c>
    </row>
    <row r="8821" spans="11:11" x14ac:dyDescent="0.25">
      <c r="K8821" s="8" t="e">
        <f t="shared" si="137"/>
        <v>#VALUE!</v>
      </c>
    </row>
    <row r="8822" spans="11:11" x14ac:dyDescent="0.25">
      <c r="K8822" s="8" t="e">
        <f t="shared" si="137"/>
        <v>#VALUE!</v>
      </c>
    </row>
    <row r="8823" spans="11:11" x14ac:dyDescent="0.25">
      <c r="K8823" s="8" t="e">
        <f t="shared" si="137"/>
        <v>#VALUE!</v>
      </c>
    </row>
    <row r="8824" spans="11:11" x14ac:dyDescent="0.25">
      <c r="K8824" s="8" t="e">
        <f t="shared" si="137"/>
        <v>#VALUE!</v>
      </c>
    </row>
    <row r="8825" spans="11:11" x14ac:dyDescent="0.25">
      <c r="K8825" s="8" t="e">
        <f t="shared" si="137"/>
        <v>#VALUE!</v>
      </c>
    </row>
    <row r="8826" spans="11:11" x14ac:dyDescent="0.25">
      <c r="K8826" s="8" t="e">
        <f t="shared" si="137"/>
        <v>#VALUE!</v>
      </c>
    </row>
    <row r="8827" spans="11:11" x14ac:dyDescent="0.25">
      <c r="K8827" s="8" t="e">
        <f t="shared" si="137"/>
        <v>#VALUE!</v>
      </c>
    </row>
    <row r="8828" spans="11:11" x14ac:dyDescent="0.25">
      <c r="K8828" s="8" t="e">
        <f t="shared" si="137"/>
        <v>#VALUE!</v>
      </c>
    </row>
    <row r="8829" spans="11:11" x14ac:dyDescent="0.25">
      <c r="K8829" s="8" t="e">
        <f t="shared" si="137"/>
        <v>#VALUE!</v>
      </c>
    </row>
    <row r="8830" spans="11:11" x14ac:dyDescent="0.25">
      <c r="K8830" s="8" t="e">
        <f t="shared" si="137"/>
        <v>#VALUE!</v>
      </c>
    </row>
    <row r="8831" spans="11:11" x14ac:dyDescent="0.25">
      <c r="K8831" s="8" t="e">
        <f t="shared" si="137"/>
        <v>#VALUE!</v>
      </c>
    </row>
    <row r="8832" spans="11:11" x14ac:dyDescent="0.25">
      <c r="K8832" s="8" t="e">
        <f t="shared" si="137"/>
        <v>#VALUE!</v>
      </c>
    </row>
    <row r="8833" spans="11:11" x14ac:dyDescent="0.25">
      <c r="K8833" s="8" t="e">
        <f t="shared" si="137"/>
        <v>#VALUE!</v>
      </c>
    </row>
    <row r="8834" spans="11:11" x14ac:dyDescent="0.25">
      <c r="K8834" s="8" t="e">
        <f t="shared" si="137"/>
        <v>#VALUE!</v>
      </c>
    </row>
    <row r="8835" spans="11:11" x14ac:dyDescent="0.25">
      <c r="K8835" s="8" t="e">
        <f t="shared" ref="K8835:K8898" si="138">LEFT(A8835,FIND("/",A8835)-1)</f>
        <v>#VALUE!</v>
      </c>
    </row>
    <row r="8836" spans="11:11" x14ac:dyDescent="0.25">
      <c r="K8836" s="8" t="e">
        <f t="shared" si="138"/>
        <v>#VALUE!</v>
      </c>
    </row>
    <row r="8837" spans="11:11" x14ac:dyDescent="0.25">
      <c r="K8837" s="8" t="e">
        <f t="shared" si="138"/>
        <v>#VALUE!</v>
      </c>
    </row>
    <row r="8838" spans="11:11" x14ac:dyDescent="0.25">
      <c r="K8838" s="8" t="e">
        <f t="shared" si="138"/>
        <v>#VALUE!</v>
      </c>
    </row>
    <row r="8839" spans="11:11" x14ac:dyDescent="0.25">
      <c r="K8839" s="8" t="e">
        <f t="shared" si="138"/>
        <v>#VALUE!</v>
      </c>
    </row>
    <row r="8840" spans="11:11" x14ac:dyDescent="0.25">
      <c r="K8840" s="8" t="e">
        <f t="shared" si="138"/>
        <v>#VALUE!</v>
      </c>
    </row>
    <row r="8841" spans="11:11" x14ac:dyDescent="0.25">
      <c r="K8841" s="8" t="e">
        <f t="shared" si="138"/>
        <v>#VALUE!</v>
      </c>
    </row>
    <row r="8842" spans="11:11" x14ac:dyDescent="0.25">
      <c r="K8842" s="8" t="e">
        <f t="shared" si="138"/>
        <v>#VALUE!</v>
      </c>
    </row>
    <row r="8843" spans="11:11" x14ac:dyDescent="0.25">
      <c r="K8843" s="8" t="e">
        <f t="shared" si="138"/>
        <v>#VALUE!</v>
      </c>
    </row>
    <row r="8844" spans="11:11" x14ac:dyDescent="0.25">
      <c r="K8844" s="8" t="e">
        <f t="shared" si="138"/>
        <v>#VALUE!</v>
      </c>
    </row>
    <row r="8845" spans="11:11" x14ac:dyDescent="0.25">
      <c r="K8845" s="8" t="e">
        <f t="shared" si="138"/>
        <v>#VALUE!</v>
      </c>
    </row>
    <row r="8846" spans="11:11" x14ac:dyDescent="0.25">
      <c r="K8846" s="8" t="e">
        <f t="shared" si="138"/>
        <v>#VALUE!</v>
      </c>
    </row>
    <row r="8847" spans="11:11" x14ac:dyDescent="0.25">
      <c r="K8847" s="8" t="e">
        <f t="shared" si="138"/>
        <v>#VALUE!</v>
      </c>
    </row>
    <row r="8848" spans="11:11" x14ac:dyDescent="0.25">
      <c r="K8848" s="8" t="e">
        <f t="shared" si="138"/>
        <v>#VALUE!</v>
      </c>
    </row>
    <row r="8849" spans="11:11" x14ac:dyDescent="0.25">
      <c r="K8849" s="8" t="e">
        <f t="shared" si="138"/>
        <v>#VALUE!</v>
      </c>
    </row>
    <row r="8850" spans="11:11" x14ac:dyDescent="0.25">
      <c r="K8850" s="8" t="e">
        <f t="shared" si="138"/>
        <v>#VALUE!</v>
      </c>
    </row>
    <row r="8851" spans="11:11" x14ac:dyDescent="0.25">
      <c r="K8851" s="8" t="e">
        <f t="shared" si="138"/>
        <v>#VALUE!</v>
      </c>
    </row>
    <row r="8852" spans="11:11" x14ac:dyDescent="0.25">
      <c r="K8852" s="8" t="e">
        <f t="shared" si="138"/>
        <v>#VALUE!</v>
      </c>
    </row>
    <row r="8853" spans="11:11" x14ac:dyDescent="0.25">
      <c r="K8853" s="8" t="e">
        <f t="shared" si="138"/>
        <v>#VALUE!</v>
      </c>
    </row>
    <row r="8854" spans="11:11" x14ac:dyDescent="0.25">
      <c r="K8854" s="8" t="e">
        <f t="shared" si="138"/>
        <v>#VALUE!</v>
      </c>
    </row>
    <row r="8855" spans="11:11" x14ac:dyDescent="0.25">
      <c r="K8855" s="8" t="e">
        <f t="shared" si="138"/>
        <v>#VALUE!</v>
      </c>
    </row>
    <row r="8856" spans="11:11" x14ac:dyDescent="0.25">
      <c r="K8856" s="8" t="e">
        <f t="shared" si="138"/>
        <v>#VALUE!</v>
      </c>
    </row>
    <row r="8857" spans="11:11" x14ac:dyDescent="0.25">
      <c r="K8857" s="8" t="e">
        <f t="shared" si="138"/>
        <v>#VALUE!</v>
      </c>
    </row>
    <row r="8858" spans="11:11" x14ac:dyDescent="0.25">
      <c r="K8858" s="8" t="e">
        <f t="shared" si="138"/>
        <v>#VALUE!</v>
      </c>
    </row>
    <row r="8859" spans="11:11" x14ac:dyDescent="0.25">
      <c r="K8859" s="8" t="e">
        <f t="shared" si="138"/>
        <v>#VALUE!</v>
      </c>
    </row>
    <row r="8860" spans="11:11" x14ac:dyDescent="0.25">
      <c r="K8860" s="8" t="e">
        <f t="shared" si="138"/>
        <v>#VALUE!</v>
      </c>
    </row>
    <row r="8861" spans="11:11" x14ac:dyDescent="0.25">
      <c r="K8861" s="8" t="e">
        <f t="shared" si="138"/>
        <v>#VALUE!</v>
      </c>
    </row>
    <row r="8862" spans="11:11" x14ac:dyDescent="0.25">
      <c r="K8862" s="8" t="e">
        <f t="shared" si="138"/>
        <v>#VALUE!</v>
      </c>
    </row>
    <row r="8863" spans="11:11" x14ac:dyDescent="0.25">
      <c r="K8863" s="8" t="e">
        <f t="shared" si="138"/>
        <v>#VALUE!</v>
      </c>
    </row>
    <row r="8864" spans="11:11" x14ac:dyDescent="0.25">
      <c r="K8864" s="8" t="e">
        <f t="shared" si="138"/>
        <v>#VALUE!</v>
      </c>
    </row>
    <row r="8865" spans="11:11" x14ac:dyDescent="0.25">
      <c r="K8865" s="8" t="e">
        <f t="shared" si="138"/>
        <v>#VALUE!</v>
      </c>
    </row>
    <row r="8866" spans="11:11" x14ac:dyDescent="0.25">
      <c r="K8866" s="8" t="e">
        <f t="shared" si="138"/>
        <v>#VALUE!</v>
      </c>
    </row>
    <row r="8867" spans="11:11" x14ac:dyDescent="0.25">
      <c r="K8867" s="8" t="e">
        <f t="shared" si="138"/>
        <v>#VALUE!</v>
      </c>
    </row>
    <row r="8868" spans="11:11" x14ac:dyDescent="0.25">
      <c r="K8868" s="8" t="e">
        <f t="shared" si="138"/>
        <v>#VALUE!</v>
      </c>
    </row>
    <row r="8869" spans="11:11" x14ac:dyDescent="0.25">
      <c r="K8869" s="8" t="e">
        <f t="shared" si="138"/>
        <v>#VALUE!</v>
      </c>
    </row>
    <row r="8870" spans="11:11" x14ac:dyDescent="0.25">
      <c r="K8870" s="8" t="e">
        <f t="shared" si="138"/>
        <v>#VALUE!</v>
      </c>
    </row>
    <row r="8871" spans="11:11" x14ac:dyDescent="0.25">
      <c r="K8871" s="8" t="e">
        <f t="shared" si="138"/>
        <v>#VALUE!</v>
      </c>
    </row>
    <row r="8872" spans="11:11" x14ac:dyDescent="0.25">
      <c r="K8872" s="8" t="e">
        <f t="shared" si="138"/>
        <v>#VALUE!</v>
      </c>
    </row>
    <row r="8873" spans="11:11" x14ac:dyDescent="0.25">
      <c r="K8873" s="8" t="e">
        <f t="shared" si="138"/>
        <v>#VALUE!</v>
      </c>
    </row>
    <row r="8874" spans="11:11" x14ac:dyDescent="0.25">
      <c r="K8874" s="8" t="e">
        <f t="shared" si="138"/>
        <v>#VALUE!</v>
      </c>
    </row>
    <row r="8875" spans="11:11" x14ac:dyDescent="0.25">
      <c r="K8875" s="8" t="e">
        <f t="shared" si="138"/>
        <v>#VALUE!</v>
      </c>
    </row>
    <row r="8876" spans="11:11" x14ac:dyDescent="0.25">
      <c r="K8876" s="8" t="e">
        <f t="shared" si="138"/>
        <v>#VALUE!</v>
      </c>
    </row>
    <row r="8877" spans="11:11" x14ac:dyDescent="0.25">
      <c r="K8877" s="8" t="e">
        <f t="shared" si="138"/>
        <v>#VALUE!</v>
      </c>
    </row>
    <row r="8878" spans="11:11" x14ac:dyDescent="0.25">
      <c r="K8878" s="8" t="e">
        <f t="shared" si="138"/>
        <v>#VALUE!</v>
      </c>
    </row>
    <row r="8879" spans="11:11" x14ac:dyDescent="0.25">
      <c r="K8879" s="8" t="e">
        <f t="shared" si="138"/>
        <v>#VALUE!</v>
      </c>
    </row>
    <row r="8880" spans="11:11" x14ac:dyDescent="0.25">
      <c r="K8880" s="8" t="e">
        <f t="shared" si="138"/>
        <v>#VALUE!</v>
      </c>
    </row>
    <row r="8881" spans="11:11" x14ac:dyDescent="0.25">
      <c r="K8881" s="8" t="e">
        <f t="shared" si="138"/>
        <v>#VALUE!</v>
      </c>
    </row>
    <row r="8882" spans="11:11" x14ac:dyDescent="0.25">
      <c r="K8882" s="8" t="e">
        <f t="shared" si="138"/>
        <v>#VALUE!</v>
      </c>
    </row>
    <row r="8883" spans="11:11" x14ac:dyDescent="0.25">
      <c r="K8883" s="8" t="e">
        <f t="shared" si="138"/>
        <v>#VALUE!</v>
      </c>
    </row>
    <row r="8884" spans="11:11" x14ac:dyDescent="0.25">
      <c r="K8884" s="8" t="e">
        <f t="shared" si="138"/>
        <v>#VALUE!</v>
      </c>
    </row>
    <row r="8885" spans="11:11" x14ac:dyDescent="0.25">
      <c r="K8885" s="8" t="e">
        <f t="shared" si="138"/>
        <v>#VALUE!</v>
      </c>
    </row>
    <row r="8886" spans="11:11" x14ac:dyDescent="0.25">
      <c r="K8886" s="8" t="e">
        <f t="shared" si="138"/>
        <v>#VALUE!</v>
      </c>
    </row>
    <row r="8887" spans="11:11" x14ac:dyDescent="0.25">
      <c r="K8887" s="8" t="e">
        <f t="shared" si="138"/>
        <v>#VALUE!</v>
      </c>
    </row>
    <row r="8888" spans="11:11" x14ac:dyDescent="0.25">
      <c r="K8888" s="8" t="e">
        <f t="shared" si="138"/>
        <v>#VALUE!</v>
      </c>
    </row>
    <row r="8889" spans="11:11" x14ac:dyDescent="0.25">
      <c r="K8889" s="8" t="e">
        <f t="shared" si="138"/>
        <v>#VALUE!</v>
      </c>
    </row>
    <row r="8890" spans="11:11" x14ac:dyDescent="0.25">
      <c r="K8890" s="8" t="e">
        <f t="shared" si="138"/>
        <v>#VALUE!</v>
      </c>
    </row>
    <row r="8891" spans="11:11" x14ac:dyDescent="0.25">
      <c r="K8891" s="8" t="e">
        <f t="shared" si="138"/>
        <v>#VALUE!</v>
      </c>
    </row>
    <row r="8892" spans="11:11" x14ac:dyDescent="0.25">
      <c r="K8892" s="8" t="e">
        <f t="shared" si="138"/>
        <v>#VALUE!</v>
      </c>
    </row>
    <row r="8893" spans="11:11" x14ac:dyDescent="0.25">
      <c r="K8893" s="8" t="e">
        <f t="shared" si="138"/>
        <v>#VALUE!</v>
      </c>
    </row>
    <row r="8894" spans="11:11" x14ac:dyDescent="0.25">
      <c r="K8894" s="8" t="e">
        <f t="shared" si="138"/>
        <v>#VALUE!</v>
      </c>
    </row>
    <row r="8895" spans="11:11" x14ac:dyDescent="0.25">
      <c r="K8895" s="8" t="e">
        <f t="shared" si="138"/>
        <v>#VALUE!</v>
      </c>
    </row>
    <row r="8896" spans="11:11" x14ac:dyDescent="0.25">
      <c r="K8896" s="8" t="e">
        <f t="shared" si="138"/>
        <v>#VALUE!</v>
      </c>
    </row>
    <row r="8897" spans="11:11" x14ac:dyDescent="0.25">
      <c r="K8897" s="8" t="e">
        <f t="shared" si="138"/>
        <v>#VALUE!</v>
      </c>
    </row>
    <row r="8898" spans="11:11" x14ac:dyDescent="0.25">
      <c r="K8898" s="8" t="e">
        <f t="shared" si="138"/>
        <v>#VALUE!</v>
      </c>
    </row>
    <row r="8899" spans="11:11" x14ac:dyDescent="0.25">
      <c r="K8899" s="8" t="e">
        <f t="shared" ref="K8899:K8962" si="139">LEFT(A8899,FIND("/",A8899)-1)</f>
        <v>#VALUE!</v>
      </c>
    </row>
    <row r="8900" spans="11:11" x14ac:dyDescent="0.25">
      <c r="K8900" s="8" t="e">
        <f t="shared" si="139"/>
        <v>#VALUE!</v>
      </c>
    </row>
    <row r="8901" spans="11:11" x14ac:dyDescent="0.25">
      <c r="K8901" s="8" t="e">
        <f t="shared" si="139"/>
        <v>#VALUE!</v>
      </c>
    </row>
    <row r="8902" spans="11:11" x14ac:dyDescent="0.25">
      <c r="K8902" s="8" t="e">
        <f t="shared" si="139"/>
        <v>#VALUE!</v>
      </c>
    </row>
    <row r="8903" spans="11:11" x14ac:dyDescent="0.25">
      <c r="K8903" s="8" t="e">
        <f t="shared" si="139"/>
        <v>#VALUE!</v>
      </c>
    </row>
    <row r="8904" spans="11:11" x14ac:dyDescent="0.25">
      <c r="K8904" s="8" t="e">
        <f t="shared" si="139"/>
        <v>#VALUE!</v>
      </c>
    </row>
    <row r="8905" spans="11:11" x14ac:dyDescent="0.25">
      <c r="K8905" s="8" t="e">
        <f t="shared" si="139"/>
        <v>#VALUE!</v>
      </c>
    </row>
    <row r="8906" spans="11:11" x14ac:dyDescent="0.25">
      <c r="K8906" s="8" t="e">
        <f t="shared" si="139"/>
        <v>#VALUE!</v>
      </c>
    </row>
    <row r="8907" spans="11:11" x14ac:dyDescent="0.25">
      <c r="K8907" s="8" t="e">
        <f t="shared" si="139"/>
        <v>#VALUE!</v>
      </c>
    </row>
    <row r="8908" spans="11:11" x14ac:dyDescent="0.25">
      <c r="K8908" s="8" t="e">
        <f t="shared" si="139"/>
        <v>#VALUE!</v>
      </c>
    </row>
    <row r="8909" spans="11:11" x14ac:dyDescent="0.25">
      <c r="K8909" s="8" t="e">
        <f t="shared" si="139"/>
        <v>#VALUE!</v>
      </c>
    </row>
    <row r="8910" spans="11:11" x14ac:dyDescent="0.25">
      <c r="K8910" s="8" t="e">
        <f t="shared" si="139"/>
        <v>#VALUE!</v>
      </c>
    </row>
    <row r="8911" spans="11:11" x14ac:dyDescent="0.25">
      <c r="K8911" s="8" t="e">
        <f t="shared" si="139"/>
        <v>#VALUE!</v>
      </c>
    </row>
    <row r="8912" spans="11:11" x14ac:dyDescent="0.25">
      <c r="K8912" s="8" t="e">
        <f t="shared" si="139"/>
        <v>#VALUE!</v>
      </c>
    </row>
    <row r="8913" spans="11:11" x14ac:dyDescent="0.25">
      <c r="K8913" s="8" t="e">
        <f t="shared" si="139"/>
        <v>#VALUE!</v>
      </c>
    </row>
    <row r="8914" spans="11:11" x14ac:dyDescent="0.25">
      <c r="K8914" s="8" t="e">
        <f t="shared" si="139"/>
        <v>#VALUE!</v>
      </c>
    </row>
    <row r="8915" spans="11:11" x14ac:dyDescent="0.25">
      <c r="K8915" s="8" t="e">
        <f t="shared" si="139"/>
        <v>#VALUE!</v>
      </c>
    </row>
    <row r="8916" spans="11:11" x14ac:dyDescent="0.25">
      <c r="K8916" s="8" t="e">
        <f t="shared" si="139"/>
        <v>#VALUE!</v>
      </c>
    </row>
    <row r="8917" spans="11:11" x14ac:dyDescent="0.25">
      <c r="K8917" s="8" t="e">
        <f t="shared" si="139"/>
        <v>#VALUE!</v>
      </c>
    </row>
    <row r="8918" spans="11:11" x14ac:dyDescent="0.25">
      <c r="K8918" s="8" t="e">
        <f t="shared" si="139"/>
        <v>#VALUE!</v>
      </c>
    </row>
    <row r="8919" spans="11:11" x14ac:dyDescent="0.25">
      <c r="K8919" s="8" t="e">
        <f t="shared" si="139"/>
        <v>#VALUE!</v>
      </c>
    </row>
    <row r="8920" spans="11:11" x14ac:dyDescent="0.25">
      <c r="K8920" s="8" t="e">
        <f t="shared" si="139"/>
        <v>#VALUE!</v>
      </c>
    </row>
    <row r="8921" spans="11:11" x14ac:dyDescent="0.25">
      <c r="K8921" s="8" t="e">
        <f t="shared" si="139"/>
        <v>#VALUE!</v>
      </c>
    </row>
    <row r="8922" spans="11:11" x14ac:dyDescent="0.25">
      <c r="K8922" s="8" t="e">
        <f t="shared" si="139"/>
        <v>#VALUE!</v>
      </c>
    </row>
    <row r="8923" spans="11:11" x14ac:dyDescent="0.25">
      <c r="K8923" s="8" t="e">
        <f t="shared" si="139"/>
        <v>#VALUE!</v>
      </c>
    </row>
    <row r="8924" spans="11:11" x14ac:dyDescent="0.25">
      <c r="K8924" s="8" t="e">
        <f t="shared" si="139"/>
        <v>#VALUE!</v>
      </c>
    </row>
    <row r="8925" spans="11:11" x14ac:dyDescent="0.25">
      <c r="K8925" s="8" t="e">
        <f t="shared" si="139"/>
        <v>#VALUE!</v>
      </c>
    </row>
    <row r="8926" spans="11:11" x14ac:dyDescent="0.25">
      <c r="K8926" s="8" t="e">
        <f t="shared" si="139"/>
        <v>#VALUE!</v>
      </c>
    </row>
    <row r="8927" spans="11:11" x14ac:dyDescent="0.25">
      <c r="K8927" s="8" t="e">
        <f t="shared" si="139"/>
        <v>#VALUE!</v>
      </c>
    </row>
    <row r="8928" spans="11:11" x14ac:dyDescent="0.25">
      <c r="K8928" s="8" t="e">
        <f t="shared" si="139"/>
        <v>#VALUE!</v>
      </c>
    </row>
    <row r="8929" spans="11:11" x14ac:dyDescent="0.25">
      <c r="K8929" s="8" t="e">
        <f t="shared" si="139"/>
        <v>#VALUE!</v>
      </c>
    </row>
    <row r="8930" spans="11:11" x14ac:dyDescent="0.25">
      <c r="K8930" s="8" t="e">
        <f t="shared" si="139"/>
        <v>#VALUE!</v>
      </c>
    </row>
    <row r="8931" spans="11:11" x14ac:dyDescent="0.25">
      <c r="K8931" s="8" t="e">
        <f t="shared" si="139"/>
        <v>#VALUE!</v>
      </c>
    </row>
    <row r="8932" spans="11:11" x14ac:dyDescent="0.25">
      <c r="K8932" s="8" t="e">
        <f t="shared" si="139"/>
        <v>#VALUE!</v>
      </c>
    </row>
    <row r="8933" spans="11:11" x14ac:dyDescent="0.25">
      <c r="K8933" s="8" t="e">
        <f t="shared" si="139"/>
        <v>#VALUE!</v>
      </c>
    </row>
    <row r="8934" spans="11:11" x14ac:dyDescent="0.25">
      <c r="K8934" s="8" t="e">
        <f t="shared" si="139"/>
        <v>#VALUE!</v>
      </c>
    </row>
    <row r="8935" spans="11:11" x14ac:dyDescent="0.25">
      <c r="K8935" s="8" t="e">
        <f t="shared" si="139"/>
        <v>#VALUE!</v>
      </c>
    </row>
    <row r="8936" spans="11:11" x14ac:dyDescent="0.25">
      <c r="K8936" s="8" t="e">
        <f t="shared" si="139"/>
        <v>#VALUE!</v>
      </c>
    </row>
    <row r="8937" spans="11:11" x14ac:dyDescent="0.25">
      <c r="K8937" s="8" t="e">
        <f t="shared" si="139"/>
        <v>#VALUE!</v>
      </c>
    </row>
    <row r="8938" spans="11:11" x14ac:dyDescent="0.25">
      <c r="K8938" s="8" t="e">
        <f t="shared" si="139"/>
        <v>#VALUE!</v>
      </c>
    </row>
    <row r="8939" spans="11:11" x14ac:dyDescent="0.25">
      <c r="K8939" s="8" t="e">
        <f t="shared" si="139"/>
        <v>#VALUE!</v>
      </c>
    </row>
    <row r="8940" spans="11:11" x14ac:dyDescent="0.25">
      <c r="K8940" s="8" t="e">
        <f t="shared" si="139"/>
        <v>#VALUE!</v>
      </c>
    </row>
    <row r="8941" spans="11:11" x14ac:dyDescent="0.25">
      <c r="K8941" s="8" t="e">
        <f t="shared" si="139"/>
        <v>#VALUE!</v>
      </c>
    </row>
    <row r="8942" spans="11:11" x14ac:dyDescent="0.25">
      <c r="K8942" s="8" t="e">
        <f t="shared" si="139"/>
        <v>#VALUE!</v>
      </c>
    </row>
    <row r="8943" spans="11:11" x14ac:dyDescent="0.25">
      <c r="K8943" s="8" t="e">
        <f t="shared" si="139"/>
        <v>#VALUE!</v>
      </c>
    </row>
    <row r="8944" spans="11:11" x14ac:dyDescent="0.25">
      <c r="K8944" s="8" t="e">
        <f t="shared" si="139"/>
        <v>#VALUE!</v>
      </c>
    </row>
    <row r="8945" spans="11:11" x14ac:dyDescent="0.25">
      <c r="K8945" s="8" t="e">
        <f t="shared" si="139"/>
        <v>#VALUE!</v>
      </c>
    </row>
    <row r="8946" spans="11:11" x14ac:dyDescent="0.25">
      <c r="K8946" s="8" t="e">
        <f t="shared" si="139"/>
        <v>#VALUE!</v>
      </c>
    </row>
    <row r="8947" spans="11:11" x14ac:dyDescent="0.25">
      <c r="K8947" s="8" t="e">
        <f t="shared" si="139"/>
        <v>#VALUE!</v>
      </c>
    </row>
    <row r="8948" spans="11:11" x14ac:dyDescent="0.25">
      <c r="K8948" s="8" t="e">
        <f t="shared" si="139"/>
        <v>#VALUE!</v>
      </c>
    </row>
    <row r="8949" spans="11:11" x14ac:dyDescent="0.25">
      <c r="K8949" s="8" t="e">
        <f t="shared" si="139"/>
        <v>#VALUE!</v>
      </c>
    </row>
    <row r="8950" spans="11:11" x14ac:dyDescent="0.25">
      <c r="K8950" s="8" t="e">
        <f t="shared" si="139"/>
        <v>#VALUE!</v>
      </c>
    </row>
    <row r="8951" spans="11:11" x14ac:dyDescent="0.25">
      <c r="K8951" s="8" t="e">
        <f t="shared" si="139"/>
        <v>#VALUE!</v>
      </c>
    </row>
    <row r="8952" spans="11:11" x14ac:dyDescent="0.25">
      <c r="K8952" s="8" t="e">
        <f t="shared" si="139"/>
        <v>#VALUE!</v>
      </c>
    </row>
    <row r="8953" spans="11:11" x14ac:dyDescent="0.25">
      <c r="K8953" s="8" t="e">
        <f t="shared" si="139"/>
        <v>#VALUE!</v>
      </c>
    </row>
    <row r="8954" spans="11:11" x14ac:dyDescent="0.25">
      <c r="K8954" s="8" t="e">
        <f t="shared" si="139"/>
        <v>#VALUE!</v>
      </c>
    </row>
    <row r="8955" spans="11:11" x14ac:dyDescent="0.25">
      <c r="K8955" s="8" t="e">
        <f t="shared" si="139"/>
        <v>#VALUE!</v>
      </c>
    </row>
    <row r="8956" spans="11:11" x14ac:dyDescent="0.25">
      <c r="K8956" s="8" t="e">
        <f t="shared" si="139"/>
        <v>#VALUE!</v>
      </c>
    </row>
    <row r="8957" spans="11:11" x14ac:dyDescent="0.25">
      <c r="K8957" s="8" t="e">
        <f t="shared" si="139"/>
        <v>#VALUE!</v>
      </c>
    </row>
    <row r="8958" spans="11:11" x14ac:dyDescent="0.25">
      <c r="K8958" s="8" t="e">
        <f t="shared" si="139"/>
        <v>#VALUE!</v>
      </c>
    </row>
    <row r="8959" spans="11:11" x14ac:dyDescent="0.25">
      <c r="K8959" s="8" t="e">
        <f t="shared" si="139"/>
        <v>#VALUE!</v>
      </c>
    </row>
    <row r="8960" spans="11:11" x14ac:dyDescent="0.25">
      <c r="K8960" s="8" t="e">
        <f t="shared" si="139"/>
        <v>#VALUE!</v>
      </c>
    </row>
    <row r="8961" spans="11:11" x14ac:dyDescent="0.25">
      <c r="K8961" s="8" t="e">
        <f t="shared" si="139"/>
        <v>#VALUE!</v>
      </c>
    </row>
    <row r="8962" spans="11:11" x14ac:dyDescent="0.25">
      <c r="K8962" s="8" t="e">
        <f t="shared" si="139"/>
        <v>#VALUE!</v>
      </c>
    </row>
    <row r="8963" spans="11:11" x14ac:dyDescent="0.25">
      <c r="K8963" s="8" t="e">
        <f t="shared" ref="K8963:K9026" si="140">LEFT(A8963,FIND("/",A8963)-1)</f>
        <v>#VALUE!</v>
      </c>
    </row>
    <row r="8964" spans="11:11" x14ac:dyDescent="0.25">
      <c r="K8964" s="8" t="e">
        <f t="shared" si="140"/>
        <v>#VALUE!</v>
      </c>
    </row>
    <row r="8965" spans="11:11" x14ac:dyDescent="0.25">
      <c r="K8965" s="8" t="e">
        <f t="shared" si="140"/>
        <v>#VALUE!</v>
      </c>
    </row>
    <row r="8966" spans="11:11" x14ac:dyDescent="0.25">
      <c r="K8966" s="8" t="e">
        <f t="shared" si="140"/>
        <v>#VALUE!</v>
      </c>
    </row>
    <row r="8967" spans="11:11" x14ac:dyDescent="0.25">
      <c r="K8967" s="8" t="e">
        <f t="shared" si="140"/>
        <v>#VALUE!</v>
      </c>
    </row>
    <row r="8968" spans="11:11" x14ac:dyDescent="0.25">
      <c r="K8968" s="8" t="e">
        <f t="shared" si="140"/>
        <v>#VALUE!</v>
      </c>
    </row>
    <row r="8969" spans="11:11" x14ac:dyDescent="0.25">
      <c r="K8969" s="8" t="e">
        <f t="shared" si="140"/>
        <v>#VALUE!</v>
      </c>
    </row>
    <row r="8970" spans="11:11" x14ac:dyDescent="0.25">
      <c r="K8970" s="8" t="e">
        <f t="shared" si="140"/>
        <v>#VALUE!</v>
      </c>
    </row>
    <row r="8971" spans="11:11" x14ac:dyDescent="0.25">
      <c r="K8971" s="8" t="e">
        <f t="shared" si="140"/>
        <v>#VALUE!</v>
      </c>
    </row>
    <row r="8972" spans="11:11" x14ac:dyDescent="0.25">
      <c r="K8972" s="8" t="e">
        <f t="shared" si="140"/>
        <v>#VALUE!</v>
      </c>
    </row>
    <row r="8973" spans="11:11" x14ac:dyDescent="0.25">
      <c r="K8973" s="8" t="e">
        <f t="shared" si="140"/>
        <v>#VALUE!</v>
      </c>
    </row>
    <row r="8974" spans="11:11" x14ac:dyDescent="0.25">
      <c r="K8974" s="8" t="e">
        <f t="shared" si="140"/>
        <v>#VALUE!</v>
      </c>
    </row>
    <row r="8975" spans="11:11" x14ac:dyDescent="0.25">
      <c r="K8975" s="8" t="e">
        <f t="shared" si="140"/>
        <v>#VALUE!</v>
      </c>
    </row>
    <row r="8976" spans="11:11" x14ac:dyDescent="0.25">
      <c r="K8976" s="8" t="e">
        <f t="shared" si="140"/>
        <v>#VALUE!</v>
      </c>
    </row>
    <row r="8977" spans="11:11" x14ac:dyDescent="0.25">
      <c r="K8977" s="8" t="e">
        <f t="shared" si="140"/>
        <v>#VALUE!</v>
      </c>
    </row>
    <row r="8978" spans="11:11" x14ac:dyDescent="0.25">
      <c r="K8978" s="8" t="e">
        <f t="shared" si="140"/>
        <v>#VALUE!</v>
      </c>
    </row>
    <row r="8979" spans="11:11" x14ac:dyDescent="0.25">
      <c r="K8979" s="8" t="e">
        <f t="shared" si="140"/>
        <v>#VALUE!</v>
      </c>
    </row>
    <row r="8980" spans="11:11" x14ac:dyDescent="0.25">
      <c r="K8980" s="8" t="e">
        <f t="shared" si="140"/>
        <v>#VALUE!</v>
      </c>
    </row>
    <row r="8981" spans="11:11" x14ac:dyDescent="0.25">
      <c r="K8981" s="8" t="e">
        <f t="shared" si="140"/>
        <v>#VALUE!</v>
      </c>
    </row>
    <row r="8982" spans="11:11" x14ac:dyDescent="0.25">
      <c r="K8982" s="8" t="e">
        <f t="shared" si="140"/>
        <v>#VALUE!</v>
      </c>
    </row>
    <row r="8983" spans="11:11" x14ac:dyDescent="0.25">
      <c r="K8983" s="8" t="e">
        <f t="shared" si="140"/>
        <v>#VALUE!</v>
      </c>
    </row>
    <row r="8984" spans="11:11" x14ac:dyDescent="0.25">
      <c r="K8984" s="8" t="e">
        <f t="shared" si="140"/>
        <v>#VALUE!</v>
      </c>
    </row>
    <row r="8985" spans="11:11" x14ac:dyDescent="0.25">
      <c r="K8985" s="8" t="e">
        <f t="shared" si="140"/>
        <v>#VALUE!</v>
      </c>
    </row>
    <row r="8986" spans="11:11" x14ac:dyDescent="0.25">
      <c r="K8986" s="8" t="e">
        <f t="shared" si="140"/>
        <v>#VALUE!</v>
      </c>
    </row>
    <row r="8987" spans="11:11" x14ac:dyDescent="0.25">
      <c r="K8987" s="8" t="e">
        <f t="shared" si="140"/>
        <v>#VALUE!</v>
      </c>
    </row>
    <row r="8988" spans="11:11" x14ac:dyDescent="0.25">
      <c r="K8988" s="8" t="e">
        <f t="shared" si="140"/>
        <v>#VALUE!</v>
      </c>
    </row>
    <row r="8989" spans="11:11" x14ac:dyDescent="0.25">
      <c r="K8989" s="8" t="e">
        <f t="shared" si="140"/>
        <v>#VALUE!</v>
      </c>
    </row>
    <row r="8990" spans="11:11" x14ac:dyDescent="0.25">
      <c r="K8990" s="8" t="e">
        <f t="shared" si="140"/>
        <v>#VALUE!</v>
      </c>
    </row>
    <row r="8991" spans="11:11" x14ac:dyDescent="0.25">
      <c r="K8991" s="8" t="e">
        <f t="shared" si="140"/>
        <v>#VALUE!</v>
      </c>
    </row>
    <row r="8992" spans="11:11" x14ac:dyDescent="0.25">
      <c r="K8992" s="8" t="e">
        <f t="shared" si="140"/>
        <v>#VALUE!</v>
      </c>
    </row>
    <row r="8993" spans="11:11" x14ac:dyDescent="0.25">
      <c r="K8993" s="8" t="e">
        <f t="shared" si="140"/>
        <v>#VALUE!</v>
      </c>
    </row>
    <row r="8994" spans="11:11" x14ac:dyDescent="0.25">
      <c r="K8994" s="8" t="e">
        <f t="shared" si="140"/>
        <v>#VALUE!</v>
      </c>
    </row>
    <row r="8995" spans="11:11" x14ac:dyDescent="0.25">
      <c r="K8995" s="8" t="e">
        <f t="shared" si="140"/>
        <v>#VALUE!</v>
      </c>
    </row>
    <row r="8996" spans="11:11" x14ac:dyDescent="0.25">
      <c r="K8996" s="8" t="e">
        <f t="shared" si="140"/>
        <v>#VALUE!</v>
      </c>
    </row>
    <row r="8997" spans="11:11" x14ac:dyDescent="0.25">
      <c r="K8997" s="8" t="e">
        <f t="shared" si="140"/>
        <v>#VALUE!</v>
      </c>
    </row>
    <row r="8998" spans="11:11" x14ac:dyDescent="0.25">
      <c r="K8998" s="8" t="e">
        <f t="shared" si="140"/>
        <v>#VALUE!</v>
      </c>
    </row>
    <row r="8999" spans="11:11" x14ac:dyDescent="0.25">
      <c r="K8999" s="8" t="e">
        <f t="shared" si="140"/>
        <v>#VALUE!</v>
      </c>
    </row>
    <row r="9000" spans="11:11" x14ac:dyDescent="0.25">
      <c r="K9000" s="8" t="e">
        <f t="shared" si="140"/>
        <v>#VALUE!</v>
      </c>
    </row>
    <row r="9001" spans="11:11" x14ac:dyDescent="0.25">
      <c r="K9001" s="8" t="e">
        <f t="shared" si="140"/>
        <v>#VALUE!</v>
      </c>
    </row>
    <row r="9002" spans="11:11" x14ac:dyDescent="0.25">
      <c r="K9002" s="8" t="e">
        <f t="shared" si="140"/>
        <v>#VALUE!</v>
      </c>
    </row>
    <row r="9003" spans="11:11" x14ac:dyDescent="0.25">
      <c r="K9003" s="8" t="e">
        <f t="shared" si="140"/>
        <v>#VALUE!</v>
      </c>
    </row>
    <row r="9004" spans="11:11" x14ac:dyDescent="0.25">
      <c r="K9004" s="8" t="e">
        <f t="shared" si="140"/>
        <v>#VALUE!</v>
      </c>
    </row>
    <row r="9005" spans="11:11" x14ac:dyDescent="0.25">
      <c r="K9005" s="8" t="e">
        <f t="shared" si="140"/>
        <v>#VALUE!</v>
      </c>
    </row>
    <row r="9006" spans="11:11" x14ac:dyDescent="0.25">
      <c r="K9006" s="8" t="e">
        <f t="shared" si="140"/>
        <v>#VALUE!</v>
      </c>
    </row>
    <row r="9007" spans="11:11" x14ac:dyDescent="0.25">
      <c r="K9007" s="8" t="e">
        <f t="shared" si="140"/>
        <v>#VALUE!</v>
      </c>
    </row>
    <row r="9008" spans="11:11" x14ac:dyDescent="0.25">
      <c r="K9008" s="8" t="e">
        <f t="shared" si="140"/>
        <v>#VALUE!</v>
      </c>
    </row>
    <row r="9009" spans="11:11" x14ac:dyDescent="0.25">
      <c r="K9009" s="8" t="e">
        <f t="shared" si="140"/>
        <v>#VALUE!</v>
      </c>
    </row>
    <row r="9010" spans="11:11" x14ac:dyDescent="0.25">
      <c r="K9010" s="8" t="e">
        <f t="shared" si="140"/>
        <v>#VALUE!</v>
      </c>
    </row>
    <row r="9011" spans="11:11" x14ac:dyDescent="0.25">
      <c r="K9011" s="8" t="e">
        <f t="shared" si="140"/>
        <v>#VALUE!</v>
      </c>
    </row>
    <row r="9012" spans="11:11" x14ac:dyDescent="0.25">
      <c r="K9012" s="8" t="e">
        <f t="shared" si="140"/>
        <v>#VALUE!</v>
      </c>
    </row>
    <row r="9013" spans="11:11" x14ac:dyDescent="0.25">
      <c r="K9013" s="8" t="e">
        <f t="shared" si="140"/>
        <v>#VALUE!</v>
      </c>
    </row>
    <row r="9014" spans="11:11" x14ac:dyDescent="0.25">
      <c r="K9014" s="8" t="e">
        <f t="shared" si="140"/>
        <v>#VALUE!</v>
      </c>
    </row>
    <row r="9015" spans="11:11" x14ac:dyDescent="0.25">
      <c r="K9015" s="8" t="e">
        <f t="shared" si="140"/>
        <v>#VALUE!</v>
      </c>
    </row>
    <row r="9016" spans="11:11" x14ac:dyDescent="0.25">
      <c r="K9016" s="8" t="e">
        <f t="shared" si="140"/>
        <v>#VALUE!</v>
      </c>
    </row>
    <row r="9017" spans="11:11" x14ac:dyDescent="0.25">
      <c r="K9017" s="8" t="e">
        <f t="shared" si="140"/>
        <v>#VALUE!</v>
      </c>
    </row>
    <row r="9018" spans="11:11" x14ac:dyDescent="0.25">
      <c r="K9018" s="8" t="e">
        <f t="shared" si="140"/>
        <v>#VALUE!</v>
      </c>
    </row>
    <row r="9019" spans="11:11" x14ac:dyDescent="0.25">
      <c r="K9019" s="8" t="e">
        <f t="shared" si="140"/>
        <v>#VALUE!</v>
      </c>
    </row>
    <row r="9020" spans="11:11" x14ac:dyDescent="0.25">
      <c r="K9020" s="8" t="e">
        <f t="shared" si="140"/>
        <v>#VALUE!</v>
      </c>
    </row>
    <row r="9021" spans="11:11" x14ac:dyDescent="0.25">
      <c r="K9021" s="8" t="e">
        <f t="shared" si="140"/>
        <v>#VALUE!</v>
      </c>
    </row>
    <row r="9022" spans="11:11" x14ac:dyDescent="0.25">
      <c r="K9022" s="8" t="e">
        <f t="shared" si="140"/>
        <v>#VALUE!</v>
      </c>
    </row>
    <row r="9023" spans="11:11" x14ac:dyDescent="0.25">
      <c r="K9023" s="8" t="e">
        <f t="shared" si="140"/>
        <v>#VALUE!</v>
      </c>
    </row>
    <row r="9024" spans="11:11" x14ac:dyDescent="0.25">
      <c r="K9024" s="8" t="e">
        <f t="shared" si="140"/>
        <v>#VALUE!</v>
      </c>
    </row>
    <row r="9025" spans="11:11" x14ac:dyDescent="0.25">
      <c r="K9025" s="8" t="e">
        <f t="shared" si="140"/>
        <v>#VALUE!</v>
      </c>
    </row>
    <row r="9026" spans="11:11" x14ac:dyDescent="0.25">
      <c r="K9026" s="8" t="e">
        <f t="shared" si="140"/>
        <v>#VALUE!</v>
      </c>
    </row>
    <row r="9027" spans="11:11" x14ac:dyDescent="0.25">
      <c r="K9027" s="8" t="e">
        <f t="shared" ref="K9027:K9090" si="141">LEFT(A9027,FIND("/",A9027)-1)</f>
        <v>#VALUE!</v>
      </c>
    </row>
    <row r="9028" spans="11:11" x14ac:dyDescent="0.25">
      <c r="K9028" s="8" t="e">
        <f t="shared" si="141"/>
        <v>#VALUE!</v>
      </c>
    </row>
    <row r="9029" spans="11:11" x14ac:dyDescent="0.25">
      <c r="K9029" s="8" t="e">
        <f t="shared" si="141"/>
        <v>#VALUE!</v>
      </c>
    </row>
    <row r="9030" spans="11:11" x14ac:dyDescent="0.25">
      <c r="K9030" s="8" t="e">
        <f t="shared" si="141"/>
        <v>#VALUE!</v>
      </c>
    </row>
    <row r="9031" spans="11:11" x14ac:dyDescent="0.25">
      <c r="K9031" s="8" t="e">
        <f t="shared" si="141"/>
        <v>#VALUE!</v>
      </c>
    </row>
    <row r="9032" spans="11:11" x14ac:dyDescent="0.25">
      <c r="K9032" s="8" t="e">
        <f t="shared" si="141"/>
        <v>#VALUE!</v>
      </c>
    </row>
    <row r="9033" spans="11:11" x14ac:dyDescent="0.25">
      <c r="K9033" s="8" t="e">
        <f t="shared" si="141"/>
        <v>#VALUE!</v>
      </c>
    </row>
    <row r="9034" spans="11:11" x14ac:dyDescent="0.25">
      <c r="K9034" s="8" t="e">
        <f t="shared" si="141"/>
        <v>#VALUE!</v>
      </c>
    </row>
    <row r="9035" spans="11:11" x14ac:dyDescent="0.25">
      <c r="K9035" s="8" t="e">
        <f t="shared" si="141"/>
        <v>#VALUE!</v>
      </c>
    </row>
    <row r="9036" spans="11:11" x14ac:dyDescent="0.25">
      <c r="K9036" s="8" t="e">
        <f t="shared" si="141"/>
        <v>#VALUE!</v>
      </c>
    </row>
    <row r="9037" spans="11:11" x14ac:dyDescent="0.25">
      <c r="K9037" s="8" t="e">
        <f t="shared" si="141"/>
        <v>#VALUE!</v>
      </c>
    </row>
    <row r="9038" spans="11:11" x14ac:dyDescent="0.25">
      <c r="K9038" s="8" t="e">
        <f t="shared" si="141"/>
        <v>#VALUE!</v>
      </c>
    </row>
    <row r="9039" spans="11:11" x14ac:dyDescent="0.25">
      <c r="K9039" s="8" t="e">
        <f t="shared" si="141"/>
        <v>#VALUE!</v>
      </c>
    </row>
    <row r="9040" spans="11:11" x14ac:dyDescent="0.25">
      <c r="K9040" s="8" t="e">
        <f t="shared" si="141"/>
        <v>#VALUE!</v>
      </c>
    </row>
    <row r="9041" spans="11:11" x14ac:dyDescent="0.25">
      <c r="K9041" s="8" t="e">
        <f t="shared" si="141"/>
        <v>#VALUE!</v>
      </c>
    </row>
    <row r="9042" spans="11:11" x14ac:dyDescent="0.25">
      <c r="K9042" s="8" t="e">
        <f t="shared" si="141"/>
        <v>#VALUE!</v>
      </c>
    </row>
    <row r="9043" spans="11:11" x14ac:dyDescent="0.25">
      <c r="K9043" s="8" t="e">
        <f t="shared" si="141"/>
        <v>#VALUE!</v>
      </c>
    </row>
    <row r="9044" spans="11:11" x14ac:dyDescent="0.25">
      <c r="K9044" s="8" t="e">
        <f t="shared" si="141"/>
        <v>#VALUE!</v>
      </c>
    </row>
    <row r="9045" spans="11:11" x14ac:dyDescent="0.25">
      <c r="K9045" s="8" t="e">
        <f t="shared" si="141"/>
        <v>#VALUE!</v>
      </c>
    </row>
    <row r="9046" spans="11:11" x14ac:dyDescent="0.25">
      <c r="K9046" s="8" t="e">
        <f t="shared" si="141"/>
        <v>#VALUE!</v>
      </c>
    </row>
    <row r="9047" spans="11:11" x14ac:dyDescent="0.25">
      <c r="K9047" s="8" t="e">
        <f t="shared" si="141"/>
        <v>#VALUE!</v>
      </c>
    </row>
    <row r="9048" spans="11:11" x14ac:dyDescent="0.25">
      <c r="K9048" s="8" t="e">
        <f t="shared" si="141"/>
        <v>#VALUE!</v>
      </c>
    </row>
    <row r="9049" spans="11:11" x14ac:dyDescent="0.25">
      <c r="K9049" s="8" t="e">
        <f t="shared" si="141"/>
        <v>#VALUE!</v>
      </c>
    </row>
    <row r="9050" spans="11:11" x14ac:dyDescent="0.25">
      <c r="K9050" s="8" t="e">
        <f t="shared" si="141"/>
        <v>#VALUE!</v>
      </c>
    </row>
    <row r="9051" spans="11:11" x14ac:dyDescent="0.25">
      <c r="K9051" s="8" t="e">
        <f t="shared" si="141"/>
        <v>#VALUE!</v>
      </c>
    </row>
    <row r="9052" spans="11:11" x14ac:dyDescent="0.25">
      <c r="K9052" s="8" t="e">
        <f t="shared" si="141"/>
        <v>#VALUE!</v>
      </c>
    </row>
    <row r="9053" spans="11:11" x14ac:dyDescent="0.25">
      <c r="K9053" s="8" t="e">
        <f t="shared" si="141"/>
        <v>#VALUE!</v>
      </c>
    </row>
    <row r="9054" spans="11:11" x14ac:dyDescent="0.25">
      <c r="K9054" s="8" t="e">
        <f t="shared" si="141"/>
        <v>#VALUE!</v>
      </c>
    </row>
    <row r="9055" spans="11:11" x14ac:dyDescent="0.25">
      <c r="K9055" s="8" t="e">
        <f t="shared" si="141"/>
        <v>#VALUE!</v>
      </c>
    </row>
    <row r="9056" spans="11:11" x14ac:dyDescent="0.25">
      <c r="K9056" s="8" t="e">
        <f t="shared" si="141"/>
        <v>#VALUE!</v>
      </c>
    </row>
    <row r="9057" spans="11:11" x14ac:dyDescent="0.25">
      <c r="K9057" s="8" t="e">
        <f t="shared" si="141"/>
        <v>#VALUE!</v>
      </c>
    </row>
    <row r="9058" spans="11:11" x14ac:dyDescent="0.25">
      <c r="K9058" s="8" t="e">
        <f t="shared" si="141"/>
        <v>#VALUE!</v>
      </c>
    </row>
    <row r="9059" spans="11:11" x14ac:dyDescent="0.25">
      <c r="K9059" s="8" t="e">
        <f t="shared" si="141"/>
        <v>#VALUE!</v>
      </c>
    </row>
    <row r="9060" spans="11:11" x14ac:dyDescent="0.25">
      <c r="K9060" s="8" t="e">
        <f t="shared" si="141"/>
        <v>#VALUE!</v>
      </c>
    </row>
    <row r="9061" spans="11:11" x14ac:dyDescent="0.25">
      <c r="K9061" s="8" t="e">
        <f t="shared" si="141"/>
        <v>#VALUE!</v>
      </c>
    </row>
    <row r="9062" spans="11:11" x14ac:dyDescent="0.25">
      <c r="K9062" s="8" t="e">
        <f t="shared" si="141"/>
        <v>#VALUE!</v>
      </c>
    </row>
    <row r="9063" spans="11:11" x14ac:dyDescent="0.25">
      <c r="K9063" s="8" t="e">
        <f t="shared" si="141"/>
        <v>#VALUE!</v>
      </c>
    </row>
    <row r="9064" spans="11:11" x14ac:dyDescent="0.25">
      <c r="K9064" s="8" t="e">
        <f t="shared" si="141"/>
        <v>#VALUE!</v>
      </c>
    </row>
    <row r="9065" spans="11:11" x14ac:dyDescent="0.25">
      <c r="K9065" s="8" t="e">
        <f t="shared" si="141"/>
        <v>#VALUE!</v>
      </c>
    </row>
    <row r="9066" spans="11:11" x14ac:dyDescent="0.25">
      <c r="K9066" s="8" t="e">
        <f t="shared" si="141"/>
        <v>#VALUE!</v>
      </c>
    </row>
    <row r="9067" spans="11:11" x14ac:dyDescent="0.25">
      <c r="K9067" s="8" t="e">
        <f t="shared" si="141"/>
        <v>#VALUE!</v>
      </c>
    </row>
    <row r="9068" spans="11:11" x14ac:dyDescent="0.25">
      <c r="K9068" s="8" t="e">
        <f t="shared" si="141"/>
        <v>#VALUE!</v>
      </c>
    </row>
    <row r="9069" spans="11:11" x14ac:dyDescent="0.25">
      <c r="K9069" s="8" t="e">
        <f t="shared" si="141"/>
        <v>#VALUE!</v>
      </c>
    </row>
    <row r="9070" spans="11:11" x14ac:dyDescent="0.25">
      <c r="K9070" s="8" t="e">
        <f t="shared" si="141"/>
        <v>#VALUE!</v>
      </c>
    </row>
    <row r="9071" spans="11:11" x14ac:dyDescent="0.25">
      <c r="K9071" s="8" t="e">
        <f t="shared" si="141"/>
        <v>#VALUE!</v>
      </c>
    </row>
    <row r="9072" spans="11:11" x14ac:dyDescent="0.25">
      <c r="K9072" s="8" t="e">
        <f t="shared" si="141"/>
        <v>#VALUE!</v>
      </c>
    </row>
    <row r="9073" spans="11:11" x14ac:dyDescent="0.25">
      <c r="K9073" s="8" t="e">
        <f t="shared" si="141"/>
        <v>#VALUE!</v>
      </c>
    </row>
    <row r="9074" spans="11:11" x14ac:dyDescent="0.25">
      <c r="K9074" s="8" t="e">
        <f t="shared" si="141"/>
        <v>#VALUE!</v>
      </c>
    </row>
    <row r="9075" spans="11:11" x14ac:dyDescent="0.25">
      <c r="K9075" s="8" t="e">
        <f t="shared" si="141"/>
        <v>#VALUE!</v>
      </c>
    </row>
    <row r="9076" spans="11:11" x14ac:dyDescent="0.25">
      <c r="K9076" s="8" t="e">
        <f t="shared" si="141"/>
        <v>#VALUE!</v>
      </c>
    </row>
    <row r="9077" spans="11:11" x14ac:dyDescent="0.25">
      <c r="K9077" s="8" t="e">
        <f t="shared" si="141"/>
        <v>#VALUE!</v>
      </c>
    </row>
    <row r="9078" spans="11:11" x14ac:dyDescent="0.25">
      <c r="K9078" s="8" t="e">
        <f t="shared" si="141"/>
        <v>#VALUE!</v>
      </c>
    </row>
    <row r="9079" spans="11:11" x14ac:dyDescent="0.25">
      <c r="K9079" s="8" t="e">
        <f t="shared" si="141"/>
        <v>#VALUE!</v>
      </c>
    </row>
    <row r="9080" spans="11:11" x14ac:dyDescent="0.25">
      <c r="K9080" s="8" t="e">
        <f t="shared" si="141"/>
        <v>#VALUE!</v>
      </c>
    </row>
    <row r="9081" spans="11:11" x14ac:dyDescent="0.25">
      <c r="K9081" s="8" t="e">
        <f t="shared" si="141"/>
        <v>#VALUE!</v>
      </c>
    </row>
    <row r="9082" spans="11:11" x14ac:dyDescent="0.25">
      <c r="K9082" s="8" t="e">
        <f t="shared" si="141"/>
        <v>#VALUE!</v>
      </c>
    </row>
    <row r="9083" spans="11:11" x14ac:dyDescent="0.25">
      <c r="K9083" s="8" t="e">
        <f t="shared" si="141"/>
        <v>#VALUE!</v>
      </c>
    </row>
    <row r="9084" spans="11:11" x14ac:dyDescent="0.25">
      <c r="K9084" s="8" t="e">
        <f t="shared" si="141"/>
        <v>#VALUE!</v>
      </c>
    </row>
    <row r="9085" spans="11:11" x14ac:dyDescent="0.25">
      <c r="K9085" s="8" t="e">
        <f t="shared" si="141"/>
        <v>#VALUE!</v>
      </c>
    </row>
    <row r="9086" spans="11:11" x14ac:dyDescent="0.25">
      <c r="K9086" s="8" t="e">
        <f t="shared" si="141"/>
        <v>#VALUE!</v>
      </c>
    </row>
    <row r="9087" spans="11:11" x14ac:dyDescent="0.25">
      <c r="K9087" s="8" t="e">
        <f t="shared" si="141"/>
        <v>#VALUE!</v>
      </c>
    </row>
    <row r="9088" spans="11:11" x14ac:dyDescent="0.25">
      <c r="K9088" s="8" t="e">
        <f t="shared" si="141"/>
        <v>#VALUE!</v>
      </c>
    </row>
    <row r="9089" spans="11:11" x14ac:dyDescent="0.25">
      <c r="K9089" s="8" t="e">
        <f t="shared" si="141"/>
        <v>#VALUE!</v>
      </c>
    </row>
    <row r="9090" spans="11:11" x14ac:dyDescent="0.25">
      <c r="K9090" s="8" t="e">
        <f t="shared" si="141"/>
        <v>#VALUE!</v>
      </c>
    </row>
    <row r="9091" spans="11:11" x14ac:dyDescent="0.25">
      <c r="K9091" s="8" t="e">
        <f t="shared" ref="K9091:K9154" si="142">LEFT(A9091,FIND("/",A9091)-1)</f>
        <v>#VALUE!</v>
      </c>
    </row>
    <row r="9092" spans="11:11" x14ac:dyDescent="0.25">
      <c r="K9092" s="8" t="e">
        <f t="shared" si="142"/>
        <v>#VALUE!</v>
      </c>
    </row>
    <row r="9093" spans="11:11" x14ac:dyDescent="0.25">
      <c r="K9093" s="8" t="e">
        <f t="shared" si="142"/>
        <v>#VALUE!</v>
      </c>
    </row>
    <row r="9094" spans="11:11" x14ac:dyDescent="0.25">
      <c r="K9094" s="8" t="e">
        <f t="shared" si="142"/>
        <v>#VALUE!</v>
      </c>
    </row>
    <row r="9095" spans="11:11" x14ac:dyDescent="0.25">
      <c r="K9095" s="8" t="e">
        <f t="shared" si="142"/>
        <v>#VALUE!</v>
      </c>
    </row>
    <row r="9096" spans="11:11" x14ac:dyDescent="0.25">
      <c r="K9096" s="8" t="e">
        <f t="shared" si="142"/>
        <v>#VALUE!</v>
      </c>
    </row>
    <row r="9097" spans="11:11" x14ac:dyDescent="0.25">
      <c r="K9097" s="8" t="e">
        <f t="shared" si="142"/>
        <v>#VALUE!</v>
      </c>
    </row>
    <row r="9098" spans="11:11" x14ac:dyDescent="0.25">
      <c r="K9098" s="8" t="e">
        <f t="shared" si="142"/>
        <v>#VALUE!</v>
      </c>
    </row>
    <row r="9099" spans="11:11" x14ac:dyDescent="0.25">
      <c r="K9099" s="8" t="e">
        <f t="shared" si="142"/>
        <v>#VALUE!</v>
      </c>
    </row>
    <row r="9100" spans="11:11" x14ac:dyDescent="0.25">
      <c r="K9100" s="8" t="e">
        <f t="shared" si="142"/>
        <v>#VALUE!</v>
      </c>
    </row>
    <row r="9101" spans="11:11" x14ac:dyDescent="0.25">
      <c r="K9101" s="8" t="e">
        <f t="shared" si="142"/>
        <v>#VALUE!</v>
      </c>
    </row>
    <row r="9102" spans="11:11" x14ac:dyDescent="0.25">
      <c r="K9102" s="8" t="e">
        <f t="shared" si="142"/>
        <v>#VALUE!</v>
      </c>
    </row>
    <row r="9103" spans="11:11" x14ac:dyDescent="0.25">
      <c r="K9103" s="8" t="e">
        <f t="shared" si="142"/>
        <v>#VALUE!</v>
      </c>
    </row>
    <row r="9104" spans="11:11" x14ac:dyDescent="0.25">
      <c r="K9104" s="8" t="e">
        <f t="shared" si="142"/>
        <v>#VALUE!</v>
      </c>
    </row>
    <row r="9105" spans="11:11" x14ac:dyDescent="0.25">
      <c r="K9105" s="8" t="e">
        <f t="shared" si="142"/>
        <v>#VALUE!</v>
      </c>
    </row>
    <row r="9106" spans="11:11" x14ac:dyDescent="0.25">
      <c r="K9106" s="8" t="e">
        <f t="shared" si="142"/>
        <v>#VALUE!</v>
      </c>
    </row>
    <row r="9107" spans="11:11" x14ac:dyDescent="0.25">
      <c r="K9107" s="8" t="e">
        <f t="shared" si="142"/>
        <v>#VALUE!</v>
      </c>
    </row>
    <row r="9108" spans="11:11" x14ac:dyDescent="0.25">
      <c r="K9108" s="8" t="e">
        <f t="shared" si="142"/>
        <v>#VALUE!</v>
      </c>
    </row>
    <row r="9109" spans="11:11" x14ac:dyDescent="0.25">
      <c r="K9109" s="8" t="e">
        <f t="shared" si="142"/>
        <v>#VALUE!</v>
      </c>
    </row>
    <row r="9110" spans="11:11" x14ac:dyDescent="0.25">
      <c r="K9110" s="8" t="e">
        <f t="shared" si="142"/>
        <v>#VALUE!</v>
      </c>
    </row>
    <row r="9111" spans="11:11" x14ac:dyDescent="0.25">
      <c r="K9111" s="8" t="e">
        <f t="shared" si="142"/>
        <v>#VALUE!</v>
      </c>
    </row>
    <row r="9112" spans="11:11" x14ac:dyDescent="0.25">
      <c r="K9112" s="8" t="e">
        <f t="shared" si="142"/>
        <v>#VALUE!</v>
      </c>
    </row>
    <row r="9113" spans="11:11" x14ac:dyDescent="0.25">
      <c r="K9113" s="8" t="e">
        <f t="shared" si="142"/>
        <v>#VALUE!</v>
      </c>
    </row>
    <row r="9114" spans="11:11" x14ac:dyDescent="0.25">
      <c r="K9114" s="8" t="e">
        <f t="shared" si="142"/>
        <v>#VALUE!</v>
      </c>
    </row>
    <row r="9115" spans="11:11" x14ac:dyDescent="0.25">
      <c r="K9115" s="8" t="e">
        <f t="shared" si="142"/>
        <v>#VALUE!</v>
      </c>
    </row>
    <row r="9116" spans="11:11" x14ac:dyDescent="0.25">
      <c r="K9116" s="8" t="e">
        <f t="shared" si="142"/>
        <v>#VALUE!</v>
      </c>
    </row>
    <row r="9117" spans="11:11" x14ac:dyDescent="0.25">
      <c r="K9117" s="8" t="e">
        <f t="shared" si="142"/>
        <v>#VALUE!</v>
      </c>
    </row>
    <row r="9118" spans="11:11" x14ac:dyDescent="0.25">
      <c r="K9118" s="8" t="e">
        <f t="shared" si="142"/>
        <v>#VALUE!</v>
      </c>
    </row>
    <row r="9119" spans="11:11" x14ac:dyDescent="0.25">
      <c r="K9119" s="8" t="e">
        <f t="shared" si="142"/>
        <v>#VALUE!</v>
      </c>
    </row>
    <row r="9120" spans="11:11" x14ac:dyDescent="0.25">
      <c r="K9120" s="8" t="e">
        <f t="shared" si="142"/>
        <v>#VALUE!</v>
      </c>
    </row>
    <row r="9121" spans="11:11" x14ac:dyDescent="0.25">
      <c r="K9121" s="8" t="e">
        <f t="shared" si="142"/>
        <v>#VALUE!</v>
      </c>
    </row>
    <row r="9122" spans="11:11" x14ac:dyDescent="0.25">
      <c r="K9122" s="8" t="e">
        <f t="shared" si="142"/>
        <v>#VALUE!</v>
      </c>
    </row>
    <row r="9123" spans="11:11" x14ac:dyDescent="0.25">
      <c r="K9123" s="8" t="e">
        <f t="shared" si="142"/>
        <v>#VALUE!</v>
      </c>
    </row>
    <row r="9124" spans="11:11" x14ac:dyDescent="0.25">
      <c r="K9124" s="8" t="e">
        <f t="shared" si="142"/>
        <v>#VALUE!</v>
      </c>
    </row>
    <row r="9125" spans="11:11" x14ac:dyDescent="0.25">
      <c r="K9125" s="8" t="e">
        <f t="shared" si="142"/>
        <v>#VALUE!</v>
      </c>
    </row>
    <row r="9126" spans="11:11" x14ac:dyDescent="0.25">
      <c r="K9126" s="8" t="e">
        <f t="shared" si="142"/>
        <v>#VALUE!</v>
      </c>
    </row>
    <row r="9127" spans="11:11" x14ac:dyDescent="0.25">
      <c r="K9127" s="8" t="e">
        <f t="shared" si="142"/>
        <v>#VALUE!</v>
      </c>
    </row>
    <row r="9128" spans="11:11" x14ac:dyDescent="0.25">
      <c r="K9128" s="8" t="e">
        <f t="shared" si="142"/>
        <v>#VALUE!</v>
      </c>
    </row>
    <row r="9129" spans="11:11" x14ac:dyDescent="0.25">
      <c r="K9129" s="8" t="e">
        <f t="shared" si="142"/>
        <v>#VALUE!</v>
      </c>
    </row>
    <row r="9130" spans="11:11" x14ac:dyDescent="0.25">
      <c r="K9130" s="8" t="e">
        <f t="shared" si="142"/>
        <v>#VALUE!</v>
      </c>
    </row>
    <row r="9131" spans="11:11" x14ac:dyDescent="0.25">
      <c r="K9131" s="8" t="e">
        <f t="shared" si="142"/>
        <v>#VALUE!</v>
      </c>
    </row>
    <row r="9132" spans="11:11" x14ac:dyDescent="0.25">
      <c r="K9132" s="8" t="e">
        <f t="shared" si="142"/>
        <v>#VALUE!</v>
      </c>
    </row>
    <row r="9133" spans="11:11" x14ac:dyDescent="0.25">
      <c r="K9133" s="8" t="e">
        <f t="shared" si="142"/>
        <v>#VALUE!</v>
      </c>
    </row>
    <row r="9134" spans="11:11" x14ac:dyDescent="0.25">
      <c r="K9134" s="8" t="e">
        <f t="shared" si="142"/>
        <v>#VALUE!</v>
      </c>
    </row>
    <row r="9135" spans="11:11" x14ac:dyDescent="0.25">
      <c r="K9135" s="8" t="e">
        <f t="shared" si="142"/>
        <v>#VALUE!</v>
      </c>
    </row>
    <row r="9136" spans="11:11" x14ac:dyDescent="0.25">
      <c r="K9136" s="8" t="e">
        <f t="shared" si="142"/>
        <v>#VALUE!</v>
      </c>
    </row>
    <row r="9137" spans="11:11" x14ac:dyDescent="0.25">
      <c r="K9137" s="8" t="e">
        <f t="shared" si="142"/>
        <v>#VALUE!</v>
      </c>
    </row>
    <row r="9138" spans="11:11" x14ac:dyDescent="0.25">
      <c r="K9138" s="8" t="e">
        <f t="shared" si="142"/>
        <v>#VALUE!</v>
      </c>
    </row>
    <row r="9139" spans="11:11" x14ac:dyDescent="0.25">
      <c r="K9139" s="8" t="e">
        <f t="shared" si="142"/>
        <v>#VALUE!</v>
      </c>
    </row>
    <row r="9140" spans="11:11" x14ac:dyDescent="0.25">
      <c r="K9140" s="8" t="e">
        <f t="shared" si="142"/>
        <v>#VALUE!</v>
      </c>
    </row>
    <row r="9141" spans="11:11" x14ac:dyDescent="0.25">
      <c r="K9141" s="8" t="e">
        <f t="shared" si="142"/>
        <v>#VALUE!</v>
      </c>
    </row>
    <row r="9142" spans="11:11" x14ac:dyDescent="0.25">
      <c r="K9142" s="8" t="e">
        <f t="shared" si="142"/>
        <v>#VALUE!</v>
      </c>
    </row>
    <row r="9143" spans="11:11" x14ac:dyDescent="0.25">
      <c r="K9143" s="8" t="e">
        <f t="shared" si="142"/>
        <v>#VALUE!</v>
      </c>
    </row>
    <row r="9144" spans="11:11" x14ac:dyDescent="0.25">
      <c r="K9144" s="8" t="e">
        <f t="shared" si="142"/>
        <v>#VALUE!</v>
      </c>
    </row>
    <row r="9145" spans="11:11" x14ac:dyDescent="0.25">
      <c r="K9145" s="8" t="e">
        <f t="shared" si="142"/>
        <v>#VALUE!</v>
      </c>
    </row>
    <row r="9146" spans="11:11" x14ac:dyDescent="0.25">
      <c r="K9146" s="8" t="e">
        <f t="shared" si="142"/>
        <v>#VALUE!</v>
      </c>
    </row>
    <row r="9147" spans="11:11" x14ac:dyDescent="0.25">
      <c r="K9147" s="8" t="e">
        <f t="shared" si="142"/>
        <v>#VALUE!</v>
      </c>
    </row>
    <row r="9148" spans="11:11" x14ac:dyDescent="0.25">
      <c r="K9148" s="8" t="e">
        <f t="shared" si="142"/>
        <v>#VALUE!</v>
      </c>
    </row>
    <row r="9149" spans="11:11" x14ac:dyDescent="0.25">
      <c r="K9149" s="8" t="e">
        <f t="shared" si="142"/>
        <v>#VALUE!</v>
      </c>
    </row>
    <row r="9150" spans="11:11" x14ac:dyDescent="0.25">
      <c r="K9150" s="8" t="e">
        <f t="shared" si="142"/>
        <v>#VALUE!</v>
      </c>
    </row>
    <row r="9151" spans="11:11" x14ac:dyDescent="0.25">
      <c r="K9151" s="8" t="e">
        <f t="shared" si="142"/>
        <v>#VALUE!</v>
      </c>
    </row>
    <row r="9152" spans="11:11" x14ac:dyDescent="0.25">
      <c r="K9152" s="8" t="e">
        <f t="shared" si="142"/>
        <v>#VALUE!</v>
      </c>
    </row>
    <row r="9153" spans="11:11" x14ac:dyDescent="0.25">
      <c r="K9153" s="8" t="e">
        <f t="shared" si="142"/>
        <v>#VALUE!</v>
      </c>
    </row>
    <row r="9154" spans="11:11" x14ac:dyDescent="0.25">
      <c r="K9154" s="8" t="e">
        <f t="shared" si="142"/>
        <v>#VALUE!</v>
      </c>
    </row>
    <row r="9155" spans="11:11" x14ac:dyDescent="0.25">
      <c r="K9155" s="8" t="e">
        <f t="shared" ref="K9155:K9218" si="143">LEFT(A9155,FIND("/",A9155)-1)</f>
        <v>#VALUE!</v>
      </c>
    </row>
    <row r="9156" spans="11:11" x14ac:dyDescent="0.25">
      <c r="K9156" s="8" t="e">
        <f t="shared" si="143"/>
        <v>#VALUE!</v>
      </c>
    </row>
    <row r="9157" spans="11:11" x14ac:dyDescent="0.25">
      <c r="K9157" s="8" t="e">
        <f t="shared" si="143"/>
        <v>#VALUE!</v>
      </c>
    </row>
    <row r="9158" spans="11:11" x14ac:dyDescent="0.25">
      <c r="K9158" s="8" t="e">
        <f t="shared" si="143"/>
        <v>#VALUE!</v>
      </c>
    </row>
    <row r="9159" spans="11:11" x14ac:dyDescent="0.25">
      <c r="K9159" s="8" t="e">
        <f t="shared" si="143"/>
        <v>#VALUE!</v>
      </c>
    </row>
    <row r="9160" spans="11:11" x14ac:dyDescent="0.25">
      <c r="K9160" s="8" t="e">
        <f t="shared" si="143"/>
        <v>#VALUE!</v>
      </c>
    </row>
    <row r="9161" spans="11:11" x14ac:dyDescent="0.25">
      <c r="K9161" s="8" t="e">
        <f t="shared" si="143"/>
        <v>#VALUE!</v>
      </c>
    </row>
    <row r="9162" spans="11:11" x14ac:dyDescent="0.25">
      <c r="K9162" s="8" t="e">
        <f t="shared" si="143"/>
        <v>#VALUE!</v>
      </c>
    </row>
    <row r="9163" spans="11:11" x14ac:dyDescent="0.25">
      <c r="K9163" s="8" t="e">
        <f t="shared" si="143"/>
        <v>#VALUE!</v>
      </c>
    </row>
    <row r="9164" spans="11:11" x14ac:dyDescent="0.25">
      <c r="K9164" s="8" t="e">
        <f t="shared" si="143"/>
        <v>#VALUE!</v>
      </c>
    </row>
    <row r="9165" spans="11:11" x14ac:dyDescent="0.25">
      <c r="K9165" s="8" t="e">
        <f t="shared" si="143"/>
        <v>#VALUE!</v>
      </c>
    </row>
    <row r="9166" spans="11:11" x14ac:dyDescent="0.25">
      <c r="K9166" s="8" t="e">
        <f t="shared" si="143"/>
        <v>#VALUE!</v>
      </c>
    </row>
    <row r="9167" spans="11:11" x14ac:dyDescent="0.25">
      <c r="K9167" s="8" t="e">
        <f t="shared" si="143"/>
        <v>#VALUE!</v>
      </c>
    </row>
    <row r="9168" spans="11:11" x14ac:dyDescent="0.25">
      <c r="K9168" s="8" t="e">
        <f t="shared" si="143"/>
        <v>#VALUE!</v>
      </c>
    </row>
    <row r="9169" spans="11:11" x14ac:dyDescent="0.25">
      <c r="K9169" s="8" t="e">
        <f t="shared" si="143"/>
        <v>#VALUE!</v>
      </c>
    </row>
    <row r="9170" spans="11:11" x14ac:dyDescent="0.25">
      <c r="K9170" s="8" t="e">
        <f t="shared" si="143"/>
        <v>#VALUE!</v>
      </c>
    </row>
    <row r="9171" spans="11:11" x14ac:dyDescent="0.25">
      <c r="K9171" s="8" t="e">
        <f t="shared" si="143"/>
        <v>#VALUE!</v>
      </c>
    </row>
    <row r="9172" spans="11:11" x14ac:dyDescent="0.25">
      <c r="K9172" s="8" t="e">
        <f t="shared" si="143"/>
        <v>#VALUE!</v>
      </c>
    </row>
    <row r="9173" spans="11:11" x14ac:dyDescent="0.25">
      <c r="K9173" s="8" t="e">
        <f t="shared" si="143"/>
        <v>#VALUE!</v>
      </c>
    </row>
    <row r="9174" spans="11:11" x14ac:dyDescent="0.25">
      <c r="K9174" s="8" t="e">
        <f t="shared" si="143"/>
        <v>#VALUE!</v>
      </c>
    </row>
    <row r="9175" spans="11:11" x14ac:dyDescent="0.25">
      <c r="K9175" s="8" t="e">
        <f t="shared" si="143"/>
        <v>#VALUE!</v>
      </c>
    </row>
    <row r="9176" spans="11:11" x14ac:dyDescent="0.25">
      <c r="K9176" s="8" t="e">
        <f t="shared" si="143"/>
        <v>#VALUE!</v>
      </c>
    </row>
    <row r="9177" spans="11:11" x14ac:dyDescent="0.25">
      <c r="K9177" s="8" t="e">
        <f t="shared" si="143"/>
        <v>#VALUE!</v>
      </c>
    </row>
    <row r="9178" spans="11:11" x14ac:dyDescent="0.25">
      <c r="K9178" s="8" t="e">
        <f t="shared" si="143"/>
        <v>#VALUE!</v>
      </c>
    </row>
    <row r="9179" spans="11:11" x14ac:dyDescent="0.25">
      <c r="K9179" s="8" t="e">
        <f t="shared" si="143"/>
        <v>#VALUE!</v>
      </c>
    </row>
    <row r="9180" spans="11:11" x14ac:dyDescent="0.25">
      <c r="K9180" s="8" t="e">
        <f t="shared" si="143"/>
        <v>#VALUE!</v>
      </c>
    </row>
    <row r="9181" spans="11:11" x14ac:dyDescent="0.25">
      <c r="K9181" s="8" t="e">
        <f t="shared" si="143"/>
        <v>#VALUE!</v>
      </c>
    </row>
    <row r="9182" spans="11:11" x14ac:dyDescent="0.25">
      <c r="K9182" s="8" t="e">
        <f t="shared" si="143"/>
        <v>#VALUE!</v>
      </c>
    </row>
    <row r="9183" spans="11:11" x14ac:dyDescent="0.25">
      <c r="K9183" s="8" t="e">
        <f t="shared" si="143"/>
        <v>#VALUE!</v>
      </c>
    </row>
    <row r="9184" spans="11:11" x14ac:dyDescent="0.25">
      <c r="K9184" s="8" t="e">
        <f t="shared" si="143"/>
        <v>#VALUE!</v>
      </c>
    </row>
    <row r="9185" spans="11:11" x14ac:dyDescent="0.25">
      <c r="K9185" s="8" t="e">
        <f t="shared" si="143"/>
        <v>#VALUE!</v>
      </c>
    </row>
    <row r="9186" spans="11:11" x14ac:dyDescent="0.25">
      <c r="K9186" s="8" t="e">
        <f t="shared" si="143"/>
        <v>#VALUE!</v>
      </c>
    </row>
    <row r="9187" spans="11:11" x14ac:dyDescent="0.25">
      <c r="K9187" s="8" t="e">
        <f t="shared" si="143"/>
        <v>#VALUE!</v>
      </c>
    </row>
    <row r="9188" spans="11:11" x14ac:dyDescent="0.25">
      <c r="K9188" s="8" t="e">
        <f t="shared" si="143"/>
        <v>#VALUE!</v>
      </c>
    </row>
    <row r="9189" spans="11:11" x14ac:dyDescent="0.25">
      <c r="K9189" s="8" t="e">
        <f t="shared" si="143"/>
        <v>#VALUE!</v>
      </c>
    </row>
    <row r="9190" spans="11:11" x14ac:dyDescent="0.25">
      <c r="K9190" s="8" t="e">
        <f t="shared" si="143"/>
        <v>#VALUE!</v>
      </c>
    </row>
    <row r="9191" spans="11:11" x14ac:dyDescent="0.25">
      <c r="K9191" s="8" t="e">
        <f t="shared" si="143"/>
        <v>#VALUE!</v>
      </c>
    </row>
    <row r="9192" spans="11:11" x14ac:dyDescent="0.25">
      <c r="K9192" s="8" t="e">
        <f t="shared" si="143"/>
        <v>#VALUE!</v>
      </c>
    </row>
    <row r="9193" spans="11:11" x14ac:dyDescent="0.25">
      <c r="K9193" s="8" t="e">
        <f t="shared" si="143"/>
        <v>#VALUE!</v>
      </c>
    </row>
    <row r="9194" spans="11:11" x14ac:dyDescent="0.25">
      <c r="K9194" s="8" t="e">
        <f t="shared" si="143"/>
        <v>#VALUE!</v>
      </c>
    </row>
    <row r="9195" spans="11:11" x14ac:dyDescent="0.25">
      <c r="K9195" s="8" t="e">
        <f t="shared" si="143"/>
        <v>#VALUE!</v>
      </c>
    </row>
    <row r="9196" spans="11:11" x14ac:dyDescent="0.25">
      <c r="K9196" s="8" t="e">
        <f t="shared" si="143"/>
        <v>#VALUE!</v>
      </c>
    </row>
    <row r="9197" spans="11:11" x14ac:dyDescent="0.25">
      <c r="K9197" s="8" t="e">
        <f t="shared" si="143"/>
        <v>#VALUE!</v>
      </c>
    </row>
    <row r="9198" spans="11:11" x14ac:dyDescent="0.25">
      <c r="K9198" s="8" t="e">
        <f t="shared" si="143"/>
        <v>#VALUE!</v>
      </c>
    </row>
    <row r="9199" spans="11:11" x14ac:dyDescent="0.25">
      <c r="K9199" s="8" t="e">
        <f t="shared" si="143"/>
        <v>#VALUE!</v>
      </c>
    </row>
    <row r="9200" spans="11:11" x14ac:dyDescent="0.25">
      <c r="K9200" s="8" t="e">
        <f t="shared" si="143"/>
        <v>#VALUE!</v>
      </c>
    </row>
    <row r="9201" spans="11:11" x14ac:dyDescent="0.25">
      <c r="K9201" s="8" t="e">
        <f t="shared" si="143"/>
        <v>#VALUE!</v>
      </c>
    </row>
    <row r="9202" spans="11:11" x14ac:dyDescent="0.25">
      <c r="K9202" s="8" t="e">
        <f t="shared" si="143"/>
        <v>#VALUE!</v>
      </c>
    </row>
    <row r="9203" spans="11:11" x14ac:dyDescent="0.25">
      <c r="K9203" s="8" t="e">
        <f t="shared" si="143"/>
        <v>#VALUE!</v>
      </c>
    </row>
    <row r="9204" spans="11:11" x14ac:dyDescent="0.25">
      <c r="K9204" s="8" t="e">
        <f t="shared" si="143"/>
        <v>#VALUE!</v>
      </c>
    </row>
    <row r="9205" spans="11:11" x14ac:dyDescent="0.25">
      <c r="K9205" s="8" t="e">
        <f t="shared" si="143"/>
        <v>#VALUE!</v>
      </c>
    </row>
    <row r="9206" spans="11:11" x14ac:dyDescent="0.25">
      <c r="K9206" s="8" t="e">
        <f t="shared" si="143"/>
        <v>#VALUE!</v>
      </c>
    </row>
    <row r="9207" spans="11:11" x14ac:dyDescent="0.25">
      <c r="K9207" s="8" t="e">
        <f t="shared" si="143"/>
        <v>#VALUE!</v>
      </c>
    </row>
    <row r="9208" spans="11:11" x14ac:dyDescent="0.25">
      <c r="K9208" s="8" t="e">
        <f t="shared" si="143"/>
        <v>#VALUE!</v>
      </c>
    </row>
    <row r="9209" spans="11:11" x14ac:dyDescent="0.25">
      <c r="K9209" s="8" t="e">
        <f t="shared" si="143"/>
        <v>#VALUE!</v>
      </c>
    </row>
    <row r="9210" spans="11:11" x14ac:dyDescent="0.25">
      <c r="K9210" s="8" t="e">
        <f t="shared" si="143"/>
        <v>#VALUE!</v>
      </c>
    </row>
    <row r="9211" spans="11:11" x14ac:dyDescent="0.25">
      <c r="K9211" s="8" t="e">
        <f t="shared" si="143"/>
        <v>#VALUE!</v>
      </c>
    </row>
    <row r="9212" spans="11:11" x14ac:dyDescent="0.25">
      <c r="K9212" s="8" t="e">
        <f t="shared" si="143"/>
        <v>#VALUE!</v>
      </c>
    </row>
    <row r="9213" spans="11:11" x14ac:dyDescent="0.25">
      <c r="K9213" s="8" t="e">
        <f t="shared" si="143"/>
        <v>#VALUE!</v>
      </c>
    </row>
    <row r="9214" spans="11:11" x14ac:dyDescent="0.25">
      <c r="K9214" s="8" t="e">
        <f t="shared" si="143"/>
        <v>#VALUE!</v>
      </c>
    </row>
    <row r="9215" spans="11:11" x14ac:dyDescent="0.25">
      <c r="K9215" s="8" t="e">
        <f t="shared" si="143"/>
        <v>#VALUE!</v>
      </c>
    </row>
    <row r="9216" spans="11:11" x14ac:dyDescent="0.25">
      <c r="K9216" s="8" t="e">
        <f t="shared" si="143"/>
        <v>#VALUE!</v>
      </c>
    </row>
    <row r="9217" spans="11:11" x14ac:dyDescent="0.25">
      <c r="K9217" s="8" t="e">
        <f t="shared" si="143"/>
        <v>#VALUE!</v>
      </c>
    </row>
    <row r="9218" spans="11:11" x14ac:dyDescent="0.25">
      <c r="K9218" s="8" t="e">
        <f t="shared" si="143"/>
        <v>#VALUE!</v>
      </c>
    </row>
    <row r="9219" spans="11:11" x14ac:dyDescent="0.25">
      <c r="K9219" s="8" t="e">
        <f t="shared" ref="K9219:K9282" si="144">LEFT(A9219,FIND("/",A9219)-1)</f>
        <v>#VALUE!</v>
      </c>
    </row>
    <row r="9220" spans="11:11" x14ac:dyDescent="0.25">
      <c r="K9220" s="8" t="e">
        <f t="shared" si="144"/>
        <v>#VALUE!</v>
      </c>
    </row>
    <row r="9221" spans="11:11" x14ac:dyDescent="0.25">
      <c r="K9221" s="8" t="e">
        <f t="shared" si="144"/>
        <v>#VALUE!</v>
      </c>
    </row>
    <row r="9222" spans="11:11" x14ac:dyDescent="0.25">
      <c r="K9222" s="8" t="e">
        <f t="shared" si="144"/>
        <v>#VALUE!</v>
      </c>
    </row>
    <row r="9223" spans="11:11" x14ac:dyDescent="0.25">
      <c r="K9223" s="8" t="e">
        <f t="shared" si="144"/>
        <v>#VALUE!</v>
      </c>
    </row>
    <row r="9224" spans="11:11" x14ac:dyDescent="0.25">
      <c r="K9224" s="8" t="e">
        <f t="shared" si="144"/>
        <v>#VALUE!</v>
      </c>
    </row>
    <row r="9225" spans="11:11" x14ac:dyDescent="0.25">
      <c r="K9225" s="8" t="e">
        <f t="shared" si="144"/>
        <v>#VALUE!</v>
      </c>
    </row>
    <row r="9226" spans="11:11" x14ac:dyDescent="0.25">
      <c r="K9226" s="8" t="e">
        <f t="shared" si="144"/>
        <v>#VALUE!</v>
      </c>
    </row>
    <row r="9227" spans="11:11" x14ac:dyDescent="0.25">
      <c r="K9227" s="8" t="e">
        <f t="shared" si="144"/>
        <v>#VALUE!</v>
      </c>
    </row>
    <row r="9228" spans="11:11" x14ac:dyDescent="0.25">
      <c r="K9228" s="8" t="e">
        <f t="shared" si="144"/>
        <v>#VALUE!</v>
      </c>
    </row>
    <row r="9229" spans="11:11" x14ac:dyDescent="0.25">
      <c r="K9229" s="8" t="e">
        <f t="shared" si="144"/>
        <v>#VALUE!</v>
      </c>
    </row>
    <row r="9230" spans="11:11" x14ac:dyDescent="0.25">
      <c r="K9230" s="8" t="e">
        <f t="shared" si="144"/>
        <v>#VALUE!</v>
      </c>
    </row>
    <row r="9231" spans="11:11" x14ac:dyDescent="0.25">
      <c r="K9231" s="8" t="e">
        <f t="shared" si="144"/>
        <v>#VALUE!</v>
      </c>
    </row>
    <row r="9232" spans="11:11" x14ac:dyDescent="0.25">
      <c r="K9232" s="8" t="e">
        <f t="shared" si="144"/>
        <v>#VALUE!</v>
      </c>
    </row>
    <row r="9233" spans="11:11" x14ac:dyDescent="0.25">
      <c r="K9233" s="8" t="e">
        <f t="shared" si="144"/>
        <v>#VALUE!</v>
      </c>
    </row>
    <row r="9234" spans="11:11" x14ac:dyDescent="0.25">
      <c r="K9234" s="8" t="e">
        <f t="shared" si="144"/>
        <v>#VALUE!</v>
      </c>
    </row>
    <row r="9235" spans="11:11" x14ac:dyDescent="0.25">
      <c r="K9235" s="8" t="e">
        <f t="shared" si="144"/>
        <v>#VALUE!</v>
      </c>
    </row>
    <row r="9236" spans="11:11" x14ac:dyDescent="0.25">
      <c r="K9236" s="8" t="e">
        <f t="shared" si="144"/>
        <v>#VALUE!</v>
      </c>
    </row>
    <row r="9237" spans="11:11" x14ac:dyDescent="0.25">
      <c r="K9237" s="8" t="e">
        <f t="shared" si="144"/>
        <v>#VALUE!</v>
      </c>
    </row>
    <row r="9238" spans="11:11" x14ac:dyDescent="0.25">
      <c r="K9238" s="8" t="e">
        <f t="shared" si="144"/>
        <v>#VALUE!</v>
      </c>
    </row>
    <row r="9239" spans="11:11" x14ac:dyDescent="0.25">
      <c r="K9239" s="8" t="e">
        <f t="shared" si="144"/>
        <v>#VALUE!</v>
      </c>
    </row>
    <row r="9240" spans="11:11" x14ac:dyDescent="0.25">
      <c r="K9240" s="8" t="e">
        <f t="shared" si="144"/>
        <v>#VALUE!</v>
      </c>
    </row>
    <row r="9241" spans="11:11" x14ac:dyDescent="0.25">
      <c r="K9241" s="8" t="e">
        <f t="shared" si="144"/>
        <v>#VALUE!</v>
      </c>
    </row>
    <row r="9242" spans="11:11" x14ac:dyDescent="0.25">
      <c r="K9242" s="8" t="e">
        <f t="shared" si="144"/>
        <v>#VALUE!</v>
      </c>
    </row>
    <row r="9243" spans="11:11" x14ac:dyDescent="0.25">
      <c r="K9243" s="8" t="e">
        <f t="shared" si="144"/>
        <v>#VALUE!</v>
      </c>
    </row>
    <row r="9244" spans="11:11" x14ac:dyDescent="0.25">
      <c r="K9244" s="8" t="e">
        <f t="shared" si="144"/>
        <v>#VALUE!</v>
      </c>
    </row>
    <row r="9245" spans="11:11" x14ac:dyDescent="0.25">
      <c r="K9245" s="8" t="e">
        <f t="shared" si="144"/>
        <v>#VALUE!</v>
      </c>
    </row>
    <row r="9246" spans="11:11" x14ac:dyDescent="0.25">
      <c r="K9246" s="8" t="e">
        <f t="shared" si="144"/>
        <v>#VALUE!</v>
      </c>
    </row>
    <row r="9247" spans="11:11" x14ac:dyDescent="0.25">
      <c r="K9247" s="8" t="e">
        <f t="shared" si="144"/>
        <v>#VALUE!</v>
      </c>
    </row>
    <row r="9248" spans="11:11" x14ac:dyDescent="0.25">
      <c r="K9248" s="8" t="e">
        <f t="shared" si="144"/>
        <v>#VALUE!</v>
      </c>
    </row>
    <row r="9249" spans="11:11" x14ac:dyDescent="0.25">
      <c r="K9249" s="8" t="e">
        <f t="shared" si="144"/>
        <v>#VALUE!</v>
      </c>
    </row>
    <row r="9250" spans="11:11" x14ac:dyDescent="0.25">
      <c r="K9250" s="8" t="e">
        <f t="shared" si="144"/>
        <v>#VALUE!</v>
      </c>
    </row>
    <row r="9251" spans="11:11" x14ac:dyDescent="0.25">
      <c r="K9251" s="8" t="e">
        <f t="shared" si="144"/>
        <v>#VALUE!</v>
      </c>
    </row>
    <row r="9252" spans="11:11" x14ac:dyDescent="0.25">
      <c r="K9252" s="8" t="e">
        <f t="shared" si="144"/>
        <v>#VALUE!</v>
      </c>
    </row>
    <row r="9253" spans="11:11" x14ac:dyDescent="0.25">
      <c r="K9253" s="8" t="e">
        <f t="shared" si="144"/>
        <v>#VALUE!</v>
      </c>
    </row>
    <row r="9254" spans="11:11" x14ac:dyDescent="0.25">
      <c r="K9254" s="8" t="e">
        <f t="shared" si="144"/>
        <v>#VALUE!</v>
      </c>
    </row>
    <row r="9255" spans="11:11" x14ac:dyDescent="0.25">
      <c r="K9255" s="8" t="e">
        <f t="shared" si="144"/>
        <v>#VALUE!</v>
      </c>
    </row>
    <row r="9256" spans="11:11" x14ac:dyDescent="0.25">
      <c r="K9256" s="8" t="e">
        <f t="shared" si="144"/>
        <v>#VALUE!</v>
      </c>
    </row>
    <row r="9257" spans="11:11" x14ac:dyDescent="0.25">
      <c r="K9257" s="8" t="e">
        <f t="shared" si="144"/>
        <v>#VALUE!</v>
      </c>
    </row>
    <row r="9258" spans="11:11" x14ac:dyDescent="0.25">
      <c r="K9258" s="8" t="e">
        <f t="shared" si="144"/>
        <v>#VALUE!</v>
      </c>
    </row>
    <row r="9259" spans="11:11" x14ac:dyDescent="0.25">
      <c r="K9259" s="8" t="e">
        <f t="shared" si="144"/>
        <v>#VALUE!</v>
      </c>
    </row>
    <row r="9260" spans="11:11" x14ac:dyDescent="0.25">
      <c r="K9260" s="8" t="e">
        <f t="shared" si="144"/>
        <v>#VALUE!</v>
      </c>
    </row>
    <row r="9261" spans="11:11" x14ac:dyDescent="0.25">
      <c r="K9261" s="8" t="e">
        <f t="shared" si="144"/>
        <v>#VALUE!</v>
      </c>
    </row>
    <row r="9262" spans="11:11" x14ac:dyDescent="0.25">
      <c r="K9262" s="8" t="e">
        <f t="shared" si="144"/>
        <v>#VALUE!</v>
      </c>
    </row>
    <row r="9263" spans="11:11" x14ac:dyDescent="0.25">
      <c r="K9263" s="8" t="e">
        <f t="shared" si="144"/>
        <v>#VALUE!</v>
      </c>
    </row>
    <row r="9264" spans="11:11" x14ac:dyDescent="0.25">
      <c r="K9264" s="8" t="e">
        <f t="shared" si="144"/>
        <v>#VALUE!</v>
      </c>
    </row>
    <row r="9265" spans="11:11" x14ac:dyDescent="0.25">
      <c r="K9265" s="8" t="e">
        <f t="shared" si="144"/>
        <v>#VALUE!</v>
      </c>
    </row>
    <row r="9266" spans="11:11" x14ac:dyDescent="0.25">
      <c r="K9266" s="8" t="e">
        <f t="shared" si="144"/>
        <v>#VALUE!</v>
      </c>
    </row>
    <row r="9267" spans="11:11" x14ac:dyDescent="0.25">
      <c r="K9267" s="8" t="e">
        <f t="shared" si="144"/>
        <v>#VALUE!</v>
      </c>
    </row>
    <row r="9268" spans="11:11" x14ac:dyDescent="0.25">
      <c r="K9268" s="8" t="e">
        <f t="shared" si="144"/>
        <v>#VALUE!</v>
      </c>
    </row>
    <row r="9269" spans="11:11" x14ac:dyDescent="0.25">
      <c r="K9269" s="8" t="e">
        <f t="shared" si="144"/>
        <v>#VALUE!</v>
      </c>
    </row>
    <row r="9270" spans="11:11" x14ac:dyDescent="0.25">
      <c r="K9270" s="8" t="e">
        <f t="shared" si="144"/>
        <v>#VALUE!</v>
      </c>
    </row>
    <row r="9271" spans="11:11" x14ac:dyDescent="0.25">
      <c r="K9271" s="8" t="e">
        <f t="shared" si="144"/>
        <v>#VALUE!</v>
      </c>
    </row>
    <row r="9272" spans="11:11" x14ac:dyDescent="0.25">
      <c r="K9272" s="8" t="e">
        <f t="shared" si="144"/>
        <v>#VALUE!</v>
      </c>
    </row>
    <row r="9273" spans="11:11" x14ac:dyDescent="0.25">
      <c r="K9273" s="8" t="e">
        <f t="shared" si="144"/>
        <v>#VALUE!</v>
      </c>
    </row>
    <row r="9274" spans="11:11" x14ac:dyDescent="0.25">
      <c r="K9274" s="8" t="e">
        <f t="shared" si="144"/>
        <v>#VALUE!</v>
      </c>
    </row>
    <row r="9275" spans="11:11" x14ac:dyDescent="0.25">
      <c r="K9275" s="8" t="e">
        <f t="shared" si="144"/>
        <v>#VALUE!</v>
      </c>
    </row>
    <row r="9276" spans="11:11" x14ac:dyDescent="0.25">
      <c r="K9276" s="8" t="e">
        <f t="shared" si="144"/>
        <v>#VALUE!</v>
      </c>
    </row>
    <row r="9277" spans="11:11" x14ac:dyDescent="0.25">
      <c r="K9277" s="8" t="e">
        <f t="shared" si="144"/>
        <v>#VALUE!</v>
      </c>
    </row>
    <row r="9278" spans="11:11" x14ac:dyDescent="0.25">
      <c r="K9278" s="8" t="e">
        <f t="shared" si="144"/>
        <v>#VALUE!</v>
      </c>
    </row>
    <row r="9279" spans="11:11" x14ac:dyDescent="0.25">
      <c r="K9279" s="8" t="e">
        <f t="shared" si="144"/>
        <v>#VALUE!</v>
      </c>
    </row>
    <row r="9280" spans="11:11" x14ac:dyDescent="0.25">
      <c r="K9280" s="8" t="e">
        <f t="shared" si="144"/>
        <v>#VALUE!</v>
      </c>
    </row>
    <row r="9281" spans="11:11" x14ac:dyDescent="0.25">
      <c r="K9281" s="8" t="e">
        <f t="shared" si="144"/>
        <v>#VALUE!</v>
      </c>
    </row>
    <row r="9282" spans="11:11" x14ac:dyDescent="0.25">
      <c r="K9282" s="8" t="e">
        <f t="shared" si="144"/>
        <v>#VALUE!</v>
      </c>
    </row>
    <row r="9283" spans="11:11" x14ac:dyDescent="0.25">
      <c r="K9283" s="8" t="e">
        <f t="shared" ref="K9283:K9346" si="145">LEFT(A9283,FIND("/",A9283)-1)</f>
        <v>#VALUE!</v>
      </c>
    </row>
    <row r="9284" spans="11:11" x14ac:dyDescent="0.25">
      <c r="K9284" s="8" t="e">
        <f t="shared" si="145"/>
        <v>#VALUE!</v>
      </c>
    </row>
    <row r="9285" spans="11:11" x14ac:dyDescent="0.25">
      <c r="K9285" s="8" t="e">
        <f t="shared" si="145"/>
        <v>#VALUE!</v>
      </c>
    </row>
    <row r="9286" spans="11:11" x14ac:dyDescent="0.25">
      <c r="K9286" s="8" t="e">
        <f t="shared" si="145"/>
        <v>#VALUE!</v>
      </c>
    </row>
    <row r="9287" spans="11:11" x14ac:dyDescent="0.25">
      <c r="K9287" s="8" t="e">
        <f t="shared" si="145"/>
        <v>#VALUE!</v>
      </c>
    </row>
    <row r="9288" spans="11:11" x14ac:dyDescent="0.25">
      <c r="K9288" s="8" t="e">
        <f t="shared" si="145"/>
        <v>#VALUE!</v>
      </c>
    </row>
    <row r="9289" spans="11:11" x14ac:dyDescent="0.25">
      <c r="K9289" s="8" t="e">
        <f t="shared" si="145"/>
        <v>#VALUE!</v>
      </c>
    </row>
    <row r="9290" spans="11:11" x14ac:dyDescent="0.25">
      <c r="K9290" s="8" t="e">
        <f t="shared" si="145"/>
        <v>#VALUE!</v>
      </c>
    </row>
    <row r="9291" spans="11:11" x14ac:dyDescent="0.25">
      <c r="K9291" s="8" t="e">
        <f t="shared" si="145"/>
        <v>#VALUE!</v>
      </c>
    </row>
    <row r="9292" spans="11:11" x14ac:dyDescent="0.25">
      <c r="K9292" s="8" t="e">
        <f t="shared" si="145"/>
        <v>#VALUE!</v>
      </c>
    </row>
    <row r="9293" spans="11:11" x14ac:dyDescent="0.25">
      <c r="K9293" s="8" t="e">
        <f t="shared" si="145"/>
        <v>#VALUE!</v>
      </c>
    </row>
    <row r="9294" spans="11:11" x14ac:dyDescent="0.25">
      <c r="K9294" s="8" t="e">
        <f t="shared" si="145"/>
        <v>#VALUE!</v>
      </c>
    </row>
    <row r="9295" spans="11:11" x14ac:dyDescent="0.25">
      <c r="K9295" s="8" t="e">
        <f t="shared" si="145"/>
        <v>#VALUE!</v>
      </c>
    </row>
    <row r="9296" spans="11:11" x14ac:dyDescent="0.25">
      <c r="K9296" s="8" t="e">
        <f t="shared" si="145"/>
        <v>#VALUE!</v>
      </c>
    </row>
    <row r="9297" spans="11:11" x14ac:dyDescent="0.25">
      <c r="K9297" s="8" t="e">
        <f t="shared" si="145"/>
        <v>#VALUE!</v>
      </c>
    </row>
    <row r="9298" spans="11:11" x14ac:dyDescent="0.25">
      <c r="K9298" s="8" t="e">
        <f t="shared" si="145"/>
        <v>#VALUE!</v>
      </c>
    </row>
    <row r="9299" spans="11:11" x14ac:dyDescent="0.25">
      <c r="K9299" s="8" t="e">
        <f t="shared" si="145"/>
        <v>#VALUE!</v>
      </c>
    </row>
    <row r="9300" spans="11:11" x14ac:dyDescent="0.25">
      <c r="K9300" s="8" t="e">
        <f t="shared" si="145"/>
        <v>#VALUE!</v>
      </c>
    </row>
    <row r="9301" spans="11:11" x14ac:dyDescent="0.25">
      <c r="K9301" s="8" t="e">
        <f t="shared" si="145"/>
        <v>#VALUE!</v>
      </c>
    </row>
    <row r="9302" spans="11:11" x14ac:dyDescent="0.25">
      <c r="K9302" s="8" t="e">
        <f t="shared" si="145"/>
        <v>#VALUE!</v>
      </c>
    </row>
    <row r="9303" spans="11:11" x14ac:dyDescent="0.25">
      <c r="K9303" s="8" t="e">
        <f t="shared" si="145"/>
        <v>#VALUE!</v>
      </c>
    </row>
    <row r="9304" spans="11:11" x14ac:dyDescent="0.25">
      <c r="K9304" s="8" t="e">
        <f t="shared" si="145"/>
        <v>#VALUE!</v>
      </c>
    </row>
    <row r="9305" spans="11:11" x14ac:dyDescent="0.25">
      <c r="K9305" s="8" t="e">
        <f t="shared" si="145"/>
        <v>#VALUE!</v>
      </c>
    </row>
    <row r="9306" spans="11:11" x14ac:dyDescent="0.25">
      <c r="K9306" s="8" t="e">
        <f t="shared" si="145"/>
        <v>#VALUE!</v>
      </c>
    </row>
    <row r="9307" spans="11:11" x14ac:dyDescent="0.25">
      <c r="K9307" s="8" t="e">
        <f t="shared" si="145"/>
        <v>#VALUE!</v>
      </c>
    </row>
    <row r="9308" spans="11:11" x14ac:dyDescent="0.25">
      <c r="K9308" s="8" t="e">
        <f t="shared" si="145"/>
        <v>#VALUE!</v>
      </c>
    </row>
    <row r="9309" spans="11:11" x14ac:dyDescent="0.25">
      <c r="K9309" s="8" t="e">
        <f t="shared" si="145"/>
        <v>#VALUE!</v>
      </c>
    </row>
    <row r="9310" spans="11:11" x14ac:dyDescent="0.25">
      <c r="K9310" s="8" t="e">
        <f t="shared" si="145"/>
        <v>#VALUE!</v>
      </c>
    </row>
    <row r="9311" spans="11:11" x14ac:dyDescent="0.25">
      <c r="K9311" s="8" t="e">
        <f t="shared" si="145"/>
        <v>#VALUE!</v>
      </c>
    </row>
    <row r="9312" spans="11:11" x14ac:dyDescent="0.25">
      <c r="K9312" s="8" t="e">
        <f t="shared" si="145"/>
        <v>#VALUE!</v>
      </c>
    </row>
    <row r="9313" spans="11:11" x14ac:dyDescent="0.25">
      <c r="K9313" s="8" t="e">
        <f t="shared" si="145"/>
        <v>#VALUE!</v>
      </c>
    </row>
    <row r="9314" spans="11:11" x14ac:dyDescent="0.25">
      <c r="K9314" s="8" t="e">
        <f t="shared" si="145"/>
        <v>#VALUE!</v>
      </c>
    </row>
    <row r="9315" spans="11:11" x14ac:dyDescent="0.25">
      <c r="K9315" s="8" t="e">
        <f t="shared" si="145"/>
        <v>#VALUE!</v>
      </c>
    </row>
    <row r="9316" spans="11:11" x14ac:dyDescent="0.25">
      <c r="K9316" s="8" t="e">
        <f t="shared" si="145"/>
        <v>#VALUE!</v>
      </c>
    </row>
    <row r="9317" spans="11:11" x14ac:dyDescent="0.25">
      <c r="K9317" s="8" t="e">
        <f t="shared" si="145"/>
        <v>#VALUE!</v>
      </c>
    </row>
    <row r="9318" spans="11:11" x14ac:dyDescent="0.25">
      <c r="K9318" s="8" t="e">
        <f t="shared" si="145"/>
        <v>#VALUE!</v>
      </c>
    </row>
    <row r="9319" spans="11:11" x14ac:dyDescent="0.25">
      <c r="K9319" s="8" t="e">
        <f t="shared" si="145"/>
        <v>#VALUE!</v>
      </c>
    </row>
    <row r="9320" spans="11:11" x14ac:dyDescent="0.25">
      <c r="K9320" s="8" t="e">
        <f t="shared" si="145"/>
        <v>#VALUE!</v>
      </c>
    </row>
    <row r="9321" spans="11:11" x14ac:dyDescent="0.25">
      <c r="K9321" s="8" t="e">
        <f t="shared" si="145"/>
        <v>#VALUE!</v>
      </c>
    </row>
    <row r="9322" spans="11:11" x14ac:dyDescent="0.25">
      <c r="K9322" s="8" t="e">
        <f t="shared" si="145"/>
        <v>#VALUE!</v>
      </c>
    </row>
    <row r="9323" spans="11:11" x14ac:dyDescent="0.25">
      <c r="K9323" s="8" t="e">
        <f t="shared" si="145"/>
        <v>#VALUE!</v>
      </c>
    </row>
    <row r="9324" spans="11:11" x14ac:dyDescent="0.25">
      <c r="K9324" s="8" t="e">
        <f t="shared" si="145"/>
        <v>#VALUE!</v>
      </c>
    </row>
    <row r="9325" spans="11:11" x14ac:dyDescent="0.25">
      <c r="K9325" s="8" t="e">
        <f t="shared" si="145"/>
        <v>#VALUE!</v>
      </c>
    </row>
    <row r="9326" spans="11:11" x14ac:dyDescent="0.25">
      <c r="K9326" s="8" t="e">
        <f t="shared" si="145"/>
        <v>#VALUE!</v>
      </c>
    </row>
    <row r="9327" spans="11:11" x14ac:dyDescent="0.25">
      <c r="K9327" s="8" t="e">
        <f t="shared" si="145"/>
        <v>#VALUE!</v>
      </c>
    </row>
    <row r="9328" spans="11:11" x14ac:dyDescent="0.25">
      <c r="K9328" s="8" t="e">
        <f t="shared" si="145"/>
        <v>#VALUE!</v>
      </c>
    </row>
    <row r="9329" spans="11:11" x14ac:dyDescent="0.25">
      <c r="K9329" s="8" t="e">
        <f t="shared" si="145"/>
        <v>#VALUE!</v>
      </c>
    </row>
    <row r="9330" spans="11:11" x14ac:dyDescent="0.25">
      <c r="K9330" s="8" t="e">
        <f t="shared" si="145"/>
        <v>#VALUE!</v>
      </c>
    </row>
    <row r="9331" spans="11:11" x14ac:dyDescent="0.25">
      <c r="K9331" s="8" t="e">
        <f t="shared" si="145"/>
        <v>#VALUE!</v>
      </c>
    </row>
    <row r="9332" spans="11:11" x14ac:dyDescent="0.25">
      <c r="K9332" s="8" t="e">
        <f t="shared" si="145"/>
        <v>#VALUE!</v>
      </c>
    </row>
    <row r="9333" spans="11:11" x14ac:dyDescent="0.25">
      <c r="K9333" s="8" t="e">
        <f t="shared" si="145"/>
        <v>#VALUE!</v>
      </c>
    </row>
    <row r="9334" spans="11:11" x14ac:dyDescent="0.25">
      <c r="K9334" s="8" t="e">
        <f t="shared" si="145"/>
        <v>#VALUE!</v>
      </c>
    </row>
    <row r="9335" spans="11:11" x14ac:dyDescent="0.25">
      <c r="K9335" s="8" t="e">
        <f t="shared" si="145"/>
        <v>#VALUE!</v>
      </c>
    </row>
    <row r="9336" spans="11:11" x14ac:dyDescent="0.25">
      <c r="K9336" s="8" t="e">
        <f t="shared" si="145"/>
        <v>#VALUE!</v>
      </c>
    </row>
    <row r="9337" spans="11:11" x14ac:dyDescent="0.25">
      <c r="K9337" s="8" t="e">
        <f t="shared" si="145"/>
        <v>#VALUE!</v>
      </c>
    </row>
    <row r="9338" spans="11:11" x14ac:dyDescent="0.25">
      <c r="K9338" s="8" t="e">
        <f t="shared" si="145"/>
        <v>#VALUE!</v>
      </c>
    </row>
    <row r="9339" spans="11:11" x14ac:dyDescent="0.25">
      <c r="K9339" s="8" t="e">
        <f t="shared" si="145"/>
        <v>#VALUE!</v>
      </c>
    </row>
    <row r="9340" spans="11:11" x14ac:dyDescent="0.25">
      <c r="K9340" s="8" t="e">
        <f t="shared" si="145"/>
        <v>#VALUE!</v>
      </c>
    </row>
    <row r="9341" spans="11:11" x14ac:dyDescent="0.25">
      <c r="K9341" s="8" t="e">
        <f t="shared" si="145"/>
        <v>#VALUE!</v>
      </c>
    </row>
    <row r="9342" spans="11:11" x14ac:dyDescent="0.25">
      <c r="K9342" s="8" t="e">
        <f t="shared" si="145"/>
        <v>#VALUE!</v>
      </c>
    </row>
    <row r="9343" spans="11:11" x14ac:dyDescent="0.25">
      <c r="K9343" s="8" t="e">
        <f t="shared" si="145"/>
        <v>#VALUE!</v>
      </c>
    </row>
    <row r="9344" spans="11:11" x14ac:dyDescent="0.25">
      <c r="K9344" s="8" t="e">
        <f t="shared" si="145"/>
        <v>#VALUE!</v>
      </c>
    </row>
    <row r="9345" spans="11:11" x14ac:dyDescent="0.25">
      <c r="K9345" s="8" t="e">
        <f t="shared" si="145"/>
        <v>#VALUE!</v>
      </c>
    </row>
    <row r="9346" spans="11:11" x14ac:dyDescent="0.25">
      <c r="K9346" s="8" t="e">
        <f t="shared" si="145"/>
        <v>#VALUE!</v>
      </c>
    </row>
    <row r="9347" spans="11:11" x14ac:dyDescent="0.25">
      <c r="K9347" s="8" t="e">
        <f t="shared" ref="K9347:K9410" si="146">LEFT(A9347,FIND("/",A9347)-1)</f>
        <v>#VALUE!</v>
      </c>
    </row>
    <row r="9348" spans="11:11" x14ac:dyDescent="0.25">
      <c r="K9348" s="8" t="e">
        <f t="shared" si="146"/>
        <v>#VALUE!</v>
      </c>
    </row>
    <row r="9349" spans="11:11" x14ac:dyDescent="0.25">
      <c r="K9349" s="8" t="e">
        <f t="shared" si="146"/>
        <v>#VALUE!</v>
      </c>
    </row>
    <row r="9350" spans="11:11" x14ac:dyDescent="0.25">
      <c r="K9350" s="8" t="e">
        <f t="shared" si="146"/>
        <v>#VALUE!</v>
      </c>
    </row>
    <row r="9351" spans="11:11" x14ac:dyDescent="0.25">
      <c r="K9351" s="8" t="e">
        <f t="shared" si="146"/>
        <v>#VALUE!</v>
      </c>
    </row>
    <row r="9352" spans="11:11" x14ac:dyDescent="0.25">
      <c r="K9352" s="8" t="e">
        <f t="shared" si="146"/>
        <v>#VALUE!</v>
      </c>
    </row>
    <row r="9353" spans="11:11" x14ac:dyDescent="0.25">
      <c r="K9353" s="8" t="e">
        <f t="shared" si="146"/>
        <v>#VALUE!</v>
      </c>
    </row>
    <row r="9354" spans="11:11" x14ac:dyDescent="0.25">
      <c r="K9354" s="8" t="e">
        <f t="shared" si="146"/>
        <v>#VALUE!</v>
      </c>
    </row>
    <row r="9355" spans="11:11" x14ac:dyDescent="0.25">
      <c r="K9355" s="8" t="e">
        <f t="shared" si="146"/>
        <v>#VALUE!</v>
      </c>
    </row>
    <row r="9356" spans="11:11" x14ac:dyDescent="0.25">
      <c r="K9356" s="8" t="e">
        <f t="shared" si="146"/>
        <v>#VALUE!</v>
      </c>
    </row>
    <row r="9357" spans="11:11" x14ac:dyDescent="0.25">
      <c r="K9357" s="8" t="e">
        <f t="shared" si="146"/>
        <v>#VALUE!</v>
      </c>
    </row>
    <row r="9358" spans="11:11" x14ac:dyDescent="0.25">
      <c r="K9358" s="8" t="e">
        <f t="shared" si="146"/>
        <v>#VALUE!</v>
      </c>
    </row>
    <row r="9359" spans="11:11" x14ac:dyDescent="0.25">
      <c r="K9359" s="8" t="e">
        <f t="shared" si="146"/>
        <v>#VALUE!</v>
      </c>
    </row>
    <row r="9360" spans="11:11" x14ac:dyDescent="0.25">
      <c r="K9360" s="8" t="e">
        <f t="shared" si="146"/>
        <v>#VALUE!</v>
      </c>
    </row>
    <row r="9361" spans="11:11" x14ac:dyDescent="0.25">
      <c r="K9361" s="8" t="e">
        <f t="shared" si="146"/>
        <v>#VALUE!</v>
      </c>
    </row>
    <row r="9362" spans="11:11" x14ac:dyDescent="0.25">
      <c r="K9362" s="8" t="e">
        <f t="shared" si="146"/>
        <v>#VALUE!</v>
      </c>
    </row>
    <row r="9363" spans="11:11" x14ac:dyDescent="0.25">
      <c r="K9363" s="8" t="e">
        <f t="shared" si="146"/>
        <v>#VALUE!</v>
      </c>
    </row>
    <row r="9364" spans="11:11" x14ac:dyDescent="0.25">
      <c r="K9364" s="8" t="e">
        <f t="shared" si="146"/>
        <v>#VALUE!</v>
      </c>
    </row>
    <row r="9365" spans="11:11" x14ac:dyDescent="0.25">
      <c r="K9365" s="8" t="e">
        <f t="shared" si="146"/>
        <v>#VALUE!</v>
      </c>
    </row>
    <row r="9366" spans="11:11" x14ac:dyDescent="0.25">
      <c r="K9366" s="8" t="e">
        <f t="shared" si="146"/>
        <v>#VALUE!</v>
      </c>
    </row>
    <row r="9367" spans="11:11" x14ac:dyDescent="0.25">
      <c r="K9367" s="8" t="e">
        <f t="shared" si="146"/>
        <v>#VALUE!</v>
      </c>
    </row>
    <row r="9368" spans="11:11" x14ac:dyDescent="0.25">
      <c r="K9368" s="8" t="e">
        <f t="shared" si="146"/>
        <v>#VALUE!</v>
      </c>
    </row>
    <row r="9369" spans="11:11" x14ac:dyDescent="0.25">
      <c r="K9369" s="8" t="e">
        <f t="shared" si="146"/>
        <v>#VALUE!</v>
      </c>
    </row>
    <row r="9370" spans="11:11" x14ac:dyDescent="0.25">
      <c r="K9370" s="8" t="e">
        <f t="shared" si="146"/>
        <v>#VALUE!</v>
      </c>
    </row>
    <row r="9371" spans="11:11" x14ac:dyDescent="0.25">
      <c r="K9371" s="8" t="e">
        <f t="shared" si="146"/>
        <v>#VALUE!</v>
      </c>
    </row>
    <row r="9372" spans="11:11" x14ac:dyDescent="0.25">
      <c r="K9372" s="8" t="e">
        <f t="shared" si="146"/>
        <v>#VALUE!</v>
      </c>
    </row>
    <row r="9373" spans="11:11" x14ac:dyDescent="0.25">
      <c r="K9373" s="8" t="e">
        <f t="shared" si="146"/>
        <v>#VALUE!</v>
      </c>
    </row>
    <row r="9374" spans="11:11" x14ac:dyDescent="0.25">
      <c r="K9374" s="8" t="e">
        <f t="shared" si="146"/>
        <v>#VALUE!</v>
      </c>
    </row>
    <row r="9375" spans="11:11" x14ac:dyDescent="0.25">
      <c r="K9375" s="8" t="e">
        <f t="shared" si="146"/>
        <v>#VALUE!</v>
      </c>
    </row>
    <row r="9376" spans="11:11" x14ac:dyDescent="0.25">
      <c r="K9376" s="8" t="e">
        <f t="shared" si="146"/>
        <v>#VALUE!</v>
      </c>
    </row>
    <row r="9377" spans="11:11" x14ac:dyDescent="0.25">
      <c r="K9377" s="8" t="e">
        <f t="shared" si="146"/>
        <v>#VALUE!</v>
      </c>
    </row>
    <row r="9378" spans="11:11" x14ac:dyDescent="0.25">
      <c r="K9378" s="8" t="e">
        <f t="shared" si="146"/>
        <v>#VALUE!</v>
      </c>
    </row>
    <row r="9379" spans="11:11" x14ac:dyDescent="0.25">
      <c r="K9379" s="8" t="e">
        <f t="shared" si="146"/>
        <v>#VALUE!</v>
      </c>
    </row>
    <row r="9380" spans="11:11" x14ac:dyDescent="0.25">
      <c r="K9380" s="8" t="e">
        <f t="shared" si="146"/>
        <v>#VALUE!</v>
      </c>
    </row>
    <row r="9381" spans="11:11" x14ac:dyDescent="0.25">
      <c r="K9381" s="8" t="e">
        <f t="shared" si="146"/>
        <v>#VALUE!</v>
      </c>
    </row>
    <row r="9382" spans="11:11" x14ac:dyDescent="0.25">
      <c r="K9382" s="8" t="e">
        <f t="shared" si="146"/>
        <v>#VALUE!</v>
      </c>
    </row>
    <row r="9383" spans="11:11" x14ac:dyDescent="0.25">
      <c r="K9383" s="8" t="e">
        <f t="shared" si="146"/>
        <v>#VALUE!</v>
      </c>
    </row>
    <row r="9384" spans="11:11" x14ac:dyDescent="0.25">
      <c r="K9384" s="8" t="e">
        <f t="shared" si="146"/>
        <v>#VALUE!</v>
      </c>
    </row>
    <row r="9385" spans="11:11" x14ac:dyDescent="0.25">
      <c r="K9385" s="8" t="e">
        <f t="shared" si="146"/>
        <v>#VALUE!</v>
      </c>
    </row>
    <row r="9386" spans="11:11" x14ac:dyDescent="0.25">
      <c r="K9386" s="8" t="e">
        <f t="shared" si="146"/>
        <v>#VALUE!</v>
      </c>
    </row>
    <row r="9387" spans="11:11" x14ac:dyDescent="0.25">
      <c r="K9387" s="8" t="e">
        <f t="shared" si="146"/>
        <v>#VALUE!</v>
      </c>
    </row>
    <row r="9388" spans="11:11" x14ac:dyDescent="0.25">
      <c r="K9388" s="8" t="e">
        <f t="shared" si="146"/>
        <v>#VALUE!</v>
      </c>
    </row>
    <row r="9389" spans="11:11" x14ac:dyDescent="0.25">
      <c r="K9389" s="8" t="e">
        <f t="shared" si="146"/>
        <v>#VALUE!</v>
      </c>
    </row>
    <row r="9390" spans="11:11" x14ac:dyDescent="0.25">
      <c r="K9390" s="8" t="e">
        <f t="shared" si="146"/>
        <v>#VALUE!</v>
      </c>
    </row>
    <row r="9391" spans="11:11" x14ac:dyDescent="0.25">
      <c r="K9391" s="8" t="e">
        <f t="shared" si="146"/>
        <v>#VALUE!</v>
      </c>
    </row>
    <row r="9392" spans="11:11" x14ac:dyDescent="0.25">
      <c r="K9392" s="8" t="e">
        <f t="shared" si="146"/>
        <v>#VALUE!</v>
      </c>
    </row>
    <row r="9393" spans="11:11" x14ac:dyDescent="0.25">
      <c r="K9393" s="8" t="e">
        <f t="shared" si="146"/>
        <v>#VALUE!</v>
      </c>
    </row>
    <row r="9394" spans="11:11" x14ac:dyDescent="0.25">
      <c r="K9394" s="8" t="e">
        <f t="shared" si="146"/>
        <v>#VALUE!</v>
      </c>
    </row>
    <row r="9395" spans="11:11" x14ac:dyDescent="0.25">
      <c r="K9395" s="8" t="e">
        <f t="shared" si="146"/>
        <v>#VALUE!</v>
      </c>
    </row>
    <row r="9396" spans="11:11" x14ac:dyDescent="0.25">
      <c r="K9396" s="8" t="e">
        <f t="shared" si="146"/>
        <v>#VALUE!</v>
      </c>
    </row>
    <row r="9397" spans="11:11" x14ac:dyDescent="0.25">
      <c r="K9397" s="8" t="e">
        <f t="shared" si="146"/>
        <v>#VALUE!</v>
      </c>
    </row>
    <row r="9398" spans="11:11" x14ac:dyDescent="0.25">
      <c r="K9398" s="8" t="e">
        <f t="shared" si="146"/>
        <v>#VALUE!</v>
      </c>
    </row>
    <row r="9399" spans="11:11" x14ac:dyDescent="0.25">
      <c r="K9399" s="8" t="e">
        <f t="shared" si="146"/>
        <v>#VALUE!</v>
      </c>
    </row>
    <row r="9400" spans="11:11" x14ac:dyDescent="0.25">
      <c r="K9400" s="8" t="e">
        <f t="shared" si="146"/>
        <v>#VALUE!</v>
      </c>
    </row>
    <row r="9401" spans="11:11" x14ac:dyDescent="0.25">
      <c r="K9401" s="8" t="e">
        <f t="shared" si="146"/>
        <v>#VALUE!</v>
      </c>
    </row>
    <row r="9402" spans="11:11" x14ac:dyDescent="0.25">
      <c r="K9402" s="8" t="e">
        <f t="shared" si="146"/>
        <v>#VALUE!</v>
      </c>
    </row>
    <row r="9403" spans="11:11" x14ac:dyDescent="0.25">
      <c r="K9403" s="8" t="e">
        <f t="shared" si="146"/>
        <v>#VALUE!</v>
      </c>
    </row>
    <row r="9404" spans="11:11" x14ac:dyDescent="0.25">
      <c r="K9404" s="8" t="e">
        <f t="shared" si="146"/>
        <v>#VALUE!</v>
      </c>
    </row>
    <row r="9405" spans="11:11" x14ac:dyDescent="0.25">
      <c r="K9405" s="8" t="e">
        <f t="shared" si="146"/>
        <v>#VALUE!</v>
      </c>
    </row>
    <row r="9406" spans="11:11" x14ac:dyDescent="0.25">
      <c r="K9406" s="8" t="e">
        <f t="shared" si="146"/>
        <v>#VALUE!</v>
      </c>
    </row>
    <row r="9407" spans="11:11" x14ac:dyDescent="0.25">
      <c r="K9407" s="8" t="e">
        <f t="shared" si="146"/>
        <v>#VALUE!</v>
      </c>
    </row>
    <row r="9408" spans="11:11" x14ac:dyDescent="0.25">
      <c r="K9408" s="8" t="e">
        <f t="shared" si="146"/>
        <v>#VALUE!</v>
      </c>
    </row>
    <row r="9409" spans="11:11" x14ac:dyDescent="0.25">
      <c r="K9409" s="8" t="e">
        <f t="shared" si="146"/>
        <v>#VALUE!</v>
      </c>
    </row>
    <row r="9410" spans="11:11" x14ac:dyDescent="0.25">
      <c r="K9410" s="8" t="e">
        <f t="shared" si="146"/>
        <v>#VALUE!</v>
      </c>
    </row>
    <row r="9411" spans="11:11" x14ac:dyDescent="0.25">
      <c r="K9411" s="8" t="e">
        <f t="shared" ref="K9411:K9474" si="147">LEFT(A9411,FIND("/",A9411)-1)</f>
        <v>#VALUE!</v>
      </c>
    </row>
    <row r="9412" spans="11:11" x14ac:dyDescent="0.25">
      <c r="K9412" s="8" t="e">
        <f t="shared" si="147"/>
        <v>#VALUE!</v>
      </c>
    </row>
    <row r="9413" spans="11:11" x14ac:dyDescent="0.25">
      <c r="K9413" s="8" t="e">
        <f t="shared" si="147"/>
        <v>#VALUE!</v>
      </c>
    </row>
    <row r="9414" spans="11:11" x14ac:dyDescent="0.25">
      <c r="K9414" s="8" t="e">
        <f t="shared" si="147"/>
        <v>#VALUE!</v>
      </c>
    </row>
    <row r="9415" spans="11:11" x14ac:dyDescent="0.25">
      <c r="K9415" s="8" t="e">
        <f t="shared" si="147"/>
        <v>#VALUE!</v>
      </c>
    </row>
    <row r="9416" spans="11:11" x14ac:dyDescent="0.25">
      <c r="K9416" s="8" t="e">
        <f t="shared" si="147"/>
        <v>#VALUE!</v>
      </c>
    </row>
    <row r="9417" spans="11:11" x14ac:dyDescent="0.25">
      <c r="K9417" s="8" t="e">
        <f t="shared" si="147"/>
        <v>#VALUE!</v>
      </c>
    </row>
    <row r="9418" spans="11:11" x14ac:dyDescent="0.25">
      <c r="K9418" s="8" t="e">
        <f t="shared" si="147"/>
        <v>#VALUE!</v>
      </c>
    </row>
    <row r="9419" spans="11:11" x14ac:dyDescent="0.25">
      <c r="K9419" s="8" t="e">
        <f t="shared" si="147"/>
        <v>#VALUE!</v>
      </c>
    </row>
    <row r="9420" spans="11:11" x14ac:dyDescent="0.25">
      <c r="K9420" s="8" t="e">
        <f t="shared" si="147"/>
        <v>#VALUE!</v>
      </c>
    </row>
    <row r="9421" spans="11:11" x14ac:dyDescent="0.25">
      <c r="K9421" s="8" t="e">
        <f t="shared" si="147"/>
        <v>#VALUE!</v>
      </c>
    </row>
    <row r="9422" spans="11:11" x14ac:dyDescent="0.25">
      <c r="K9422" s="8" t="e">
        <f t="shared" si="147"/>
        <v>#VALUE!</v>
      </c>
    </row>
    <row r="9423" spans="11:11" x14ac:dyDescent="0.25">
      <c r="K9423" s="8" t="e">
        <f t="shared" si="147"/>
        <v>#VALUE!</v>
      </c>
    </row>
    <row r="9424" spans="11:11" x14ac:dyDescent="0.25">
      <c r="K9424" s="8" t="e">
        <f t="shared" si="147"/>
        <v>#VALUE!</v>
      </c>
    </row>
    <row r="9425" spans="11:11" x14ac:dyDescent="0.25">
      <c r="K9425" s="8" t="e">
        <f t="shared" si="147"/>
        <v>#VALUE!</v>
      </c>
    </row>
    <row r="9426" spans="11:11" x14ac:dyDescent="0.25">
      <c r="K9426" s="8" t="e">
        <f t="shared" si="147"/>
        <v>#VALUE!</v>
      </c>
    </row>
    <row r="9427" spans="11:11" x14ac:dyDescent="0.25">
      <c r="K9427" s="8" t="e">
        <f t="shared" si="147"/>
        <v>#VALUE!</v>
      </c>
    </row>
    <row r="9428" spans="11:11" x14ac:dyDescent="0.25">
      <c r="K9428" s="8" t="e">
        <f t="shared" si="147"/>
        <v>#VALUE!</v>
      </c>
    </row>
    <row r="9429" spans="11:11" x14ac:dyDescent="0.25">
      <c r="K9429" s="8" t="e">
        <f t="shared" si="147"/>
        <v>#VALUE!</v>
      </c>
    </row>
    <row r="9430" spans="11:11" x14ac:dyDescent="0.25">
      <c r="K9430" s="8" t="e">
        <f t="shared" si="147"/>
        <v>#VALUE!</v>
      </c>
    </row>
    <row r="9431" spans="11:11" x14ac:dyDescent="0.25">
      <c r="K9431" s="8" t="e">
        <f t="shared" si="147"/>
        <v>#VALUE!</v>
      </c>
    </row>
    <row r="9432" spans="11:11" x14ac:dyDescent="0.25">
      <c r="K9432" s="8" t="e">
        <f t="shared" si="147"/>
        <v>#VALUE!</v>
      </c>
    </row>
    <row r="9433" spans="11:11" x14ac:dyDescent="0.25">
      <c r="K9433" s="8" t="e">
        <f t="shared" si="147"/>
        <v>#VALUE!</v>
      </c>
    </row>
    <row r="9434" spans="11:11" x14ac:dyDescent="0.25">
      <c r="K9434" s="8" t="e">
        <f t="shared" si="147"/>
        <v>#VALUE!</v>
      </c>
    </row>
    <row r="9435" spans="11:11" x14ac:dyDescent="0.25">
      <c r="K9435" s="8" t="e">
        <f t="shared" si="147"/>
        <v>#VALUE!</v>
      </c>
    </row>
    <row r="9436" spans="11:11" x14ac:dyDescent="0.25">
      <c r="K9436" s="8" t="e">
        <f t="shared" si="147"/>
        <v>#VALUE!</v>
      </c>
    </row>
    <row r="9437" spans="11:11" x14ac:dyDescent="0.25">
      <c r="K9437" s="8" t="e">
        <f t="shared" si="147"/>
        <v>#VALUE!</v>
      </c>
    </row>
    <row r="9438" spans="11:11" x14ac:dyDescent="0.25">
      <c r="K9438" s="8" t="e">
        <f t="shared" si="147"/>
        <v>#VALUE!</v>
      </c>
    </row>
    <row r="9439" spans="11:11" x14ac:dyDescent="0.25">
      <c r="K9439" s="8" t="e">
        <f t="shared" si="147"/>
        <v>#VALUE!</v>
      </c>
    </row>
    <row r="9440" spans="11:11" x14ac:dyDescent="0.25">
      <c r="K9440" s="8" t="e">
        <f t="shared" si="147"/>
        <v>#VALUE!</v>
      </c>
    </row>
    <row r="9441" spans="11:11" x14ac:dyDescent="0.25">
      <c r="K9441" s="8" t="e">
        <f t="shared" si="147"/>
        <v>#VALUE!</v>
      </c>
    </row>
    <row r="9442" spans="11:11" x14ac:dyDescent="0.25">
      <c r="K9442" s="8" t="e">
        <f t="shared" si="147"/>
        <v>#VALUE!</v>
      </c>
    </row>
    <row r="9443" spans="11:11" x14ac:dyDescent="0.25">
      <c r="K9443" s="8" t="e">
        <f t="shared" si="147"/>
        <v>#VALUE!</v>
      </c>
    </row>
    <row r="9444" spans="11:11" x14ac:dyDescent="0.25">
      <c r="K9444" s="8" t="e">
        <f t="shared" si="147"/>
        <v>#VALUE!</v>
      </c>
    </row>
    <row r="9445" spans="11:11" x14ac:dyDescent="0.25">
      <c r="K9445" s="8" t="e">
        <f t="shared" si="147"/>
        <v>#VALUE!</v>
      </c>
    </row>
    <row r="9446" spans="11:11" x14ac:dyDescent="0.25">
      <c r="K9446" s="8" t="e">
        <f t="shared" si="147"/>
        <v>#VALUE!</v>
      </c>
    </row>
    <row r="9447" spans="11:11" x14ac:dyDescent="0.25">
      <c r="K9447" s="8" t="e">
        <f t="shared" si="147"/>
        <v>#VALUE!</v>
      </c>
    </row>
    <row r="9448" spans="11:11" x14ac:dyDescent="0.25">
      <c r="K9448" s="8" t="e">
        <f t="shared" si="147"/>
        <v>#VALUE!</v>
      </c>
    </row>
    <row r="9449" spans="11:11" x14ac:dyDescent="0.25">
      <c r="K9449" s="8" t="e">
        <f t="shared" si="147"/>
        <v>#VALUE!</v>
      </c>
    </row>
    <row r="9450" spans="11:11" x14ac:dyDescent="0.25">
      <c r="K9450" s="8" t="e">
        <f t="shared" si="147"/>
        <v>#VALUE!</v>
      </c>
    </row>
    <row r="9451" spans="11:11" x14ac:dyDescent="0.25">
      <c r="K9451" s="8" t="e">
        <f t="shared" si="147"/>
        <v>#VALUE!</v>
      </c>
    </row>
    <row r="9452" spans="11:11" x14ac:dyDescent="0.25">
      <c r="K9452" s="8" t="e">
        <f t="shared" si="147"/>
        <v>#VALUE!</v>
      </c>
    </row>
    <row r="9453" spans="11:11" x14ac:dyDescent="0.25">
      <c r="K9453" s="8" t="e">
        <f t="shared" si="147"/>
        <v>#VALUE!</v>
      </c>
    </row>
    <row r="9454" spans="11:11" x14ac:dyDescent="0.25">
      <c r="K9454" s="8" t="e">
        <f t="shared" si="147"/>
        <v>#VALUE!</v>
      </c>
    </row>
    <row r="9455" spans="11:11" x14ac:dyDescent="0.25">
      <c r="K9455" s="8" t="e">
        <f t="shared" si="147"/>
        <v>#VALUE!</v>
      </c>
    </row>
    <row r="9456" spans="11:11" x14ac:dyDescent="0.25">
      <c r="K9456" s="8" t="e">
        <f t="shared" si="147"/>
        <v>#VALUE!</v>
      </c>
    </row>
    <row r="9457" spans="11:11" x14ac:dyDescent="0.25">
      <c r="K9457" s="8" t="e">
        <f t="shared" si="147"/>
        <v>#VALUE!</v>
      </c>
    </row>
    <row r="9458" spans="11:11" x14ac:dyDescent="0.25">
      <c r="K9458" s="8" t="e">
        <f t="shared" si="147"/>
        <v>#VALUE!</v>
      </c>
    </row>
    <row r="9459" spans="11:11" x14ac:dyDescent="0.25">
      <c r="K9459" s="8" t="e">
        <f t="shared" si="147"/>
        <v>#VALUE!</v>
      </c>
    </row>
    <row r="9460" spans="11:11" x14ac:dyDescent="0.25">
      <c r="K9460" s="8" t="e">
        <f t="shared" si="147"/>
        <v>#VALUE!</v>
      </c>
    </row>
    <row r="9461" spans="11:11" x14ac:dyDescent="0.25">
      <c r="K9461" s="8" t="e">
        <f t="shared" si="147"/>
        <v>#VALUE!</v>
      </c>
    </row>
    <row r="9462" spans="11:11" x14ac:dyDescent="0.25">
      <c r="K9462" s="8" t="e">
        <f t="shared" si="147"/>
        <v>#VALUE!</v>
      </c>
    </row>
    <row r="9463" spans="11:11" x14ac:dyDescent="0.25">
      <c r="K9463" s="8" t="e">
        <f t="shared" si="147"/>
        <v>#VALUE!</v>
      </c>
    </row>
    <row r="9464" spans="11:11" x14ac:dyDescent="0.25">
      <c r="K9464" s="8" t="e">
        <f t="shared" si="147"/>
        <v>#VALUE!</v>
      </c>
    </row>
    <row r="9465" spans="11:11" x14ac:dyDescent="0.25">
      <c r="K9465" s="8" t="e">
        <f t="shared" si="147"/>
        <v>#VALUE!</v>
      </c>
    </row>
    <row r="9466" spans="11:11" x14ac:dyDescent="0.25">
      <c r="K9466" s="8" t="e">
        <f t="shared" si="147"/>
        <v>#VALUE!</v>
      </c>
    </row>
    <row r="9467" spans="11:11" x14ac:dyDescent="0.25">
      <c r="K9467" s="8" t="e">
        <f t="shared" si="147"/>
        <v>#VALUE!</v>
      </c>
    </row>
    <row r="9468" spans="11:11" x14ac:dyDescent="0.25">
      <c r="K9468" s="8" t="e">
        <f t="shared" si="147"/>
        <v>#VALUE!</v>
      </c>
    </row>
    <row r="9469" spans="11:11" x14ac:dyDescent="0.25">
      <c r="K9469" s="8" t="e">
        <f t="shared" si="147"/>
        <v>#VALUE!</v>
      </c>
    </row>
    <row r="9470" spans="11:11" x14ac:dyDescent="0.25">
      <c r="K9470" s="8" t="e">
        <f t="shared" si="147"/>
        <v>#VALUE!</v>
      </c>
    </row>
    <row r="9471" spans="11:11" x14ac:dyDescent="0.25">
      <c r="K9471" s="8" t="e">
        <f t="shared" si="147"/>
        <v>#VALUE!</v>
      </c>
    </row>
    <row r="9472" spans="11:11" x14ac:dyDescent="0.25">
      <c r="K9472" s="8" t="e">
        <f t="shared" si="147"/>
        <v>#VALUE!</v>
      </c>
    </row>
    <row r="9473" spans="11:11" x14ac:dyDescent="0.25">
      <c r="K9473" s="8" t="e">
        <f t="shared" si="147"/>
        <v>#VALUE!</v>
      </c>
    </row>
    <row r="9474" spans="11:11" x14ac:dyDescent="0.25">
      <c r="K9474" s="8" t="e">
        <f t="shared" si="147"/>
        <v>#VALUE!</v>
      </c>
    </row>
    <row r="9475" spans="11:11" x14ac:dyDescent="0.25">
      <c r="K9475" s="8" t="e">
        <f t="shared" ref="K9475:K9538" si="148">LEFT(A9475,FIND("/",A9475)-1)</f>
        <v>#VALUE!</v>
      </c>
    </row>
    <row r="9476" spans="11:11" x14ac:dyDescent="0.25">
      <c r="K9476" s="8" t="e">
        <f t="shared" si="148"/>
        <v>#VALUE!</v>
      </c>
    </row>
    <row r="9477" spans="11:11" x14ac:dyDescent="0.25">
      <c r="K9477" s="8" t="e">
        <f t="shared" si="148"/>
        <v>#VALUE!</v>
      </c>
    </row>
    <row r="9478" spans="11:11" x14ac:dyDescent="0.25">
      <c r="K9478" s="8" t="e">
        <f t="shared" si="148"/>
        <v>#VALUE!</v>
      </c>
    </row>
    <row r="9479" spans="11:11" x14ac:dyDescent="0.25">
      <c r="K9479" s="8" t="e">
        <f t="shared" si="148"/>
        <v>#VALUE!</v>
      </c>
    </row>
    <row r="9480" spans="11:11" x14ac:dyDescent="0.25">
      <c r="K9480" s="8" t="e">
        <f t="shared" si="148"/>
        <v>#VALUE!</v>
      </c>
    </row>
    <row r="9481" spans="11:11" x14ac:dyDescent="0.25">
      <c r="K9481" s="8" t="e">
        <f t="shared" si="148"/>
        <v>#VALUE!</v>
      </c>
    </row>
    <row r="9482" spans="11:11" x14ac:dyDescent="0.25">
      <c r="K9482" s="8" t="e">
        <f t="shared" si="148"/>
        <v>#VALUE!</v>
      </c>
    </row>
    <row r="9483" spans="11:11" x14ac:dyDescent="0.25">
      <c r="K9483" s="8" t="e">
        <f t="shared" si="148"/>
        <v>#VALUE!</v>
      </c>
    </row>
    <row r="9484" spans="11:11" x14ac:dyDescent="0.25">
      <c r="K9484" s="8" t="e">
        <f t="shared" si="148"/>
        <v>#VALUE!</v>
      </c>
    </row>
    <row r="9485" spans="11:11" x14ac:dyDescent="0.25">
      <c r="K9485" s="8" t="e">
        <f t="shared" si="148"/>
        <v>#VALUE!</v>
      </c>
    </row>
    <row r="9486" spans="11:11" x14ac:dyDescent="0.25">
      <c r="K9486" s="8" t="e">
        <f t="shared" si="148"/>
        <v>#VALUE!</v>
      </c>
    </row>
    <row r="9487" spans="11:11" x14ac:dyDescent="0.25">
      <c r="K9487" s="8" t="e">
        <f t="shared" si="148"/>
        <v>#VALUE!</v>
      </c>
    </row>
    <row r="9488" spans="11:11" x14ac:dyDescent="0.25">
      <c r="K9488" s="8" t="e">
        <f t="shared" si="148"/>
        <v>#VALUE!</v>
      </c>
    </row>
    <row r="9489" spans="11:11" x14ac:dyDescent="0.25">
      <c r="K9489" s="8" t="e">
        <f t="shared" si="148"/>
        <v>#VALUE!</v>
      </c>
    </row>
    <row r="9490" spans="11:11" x14ac:dyDescent="0.25">
      <c r="K9490" s="8" t="e">
        <f t="shared" si="148"/>
        <v>#VALUE!</v>
      </c>
    </row>
    <row r="9491" spans="11:11" x14ac:dyDescent="0.25">
      <c r="K9491" s="8" t="e">
        <f t="shared" si="148"/>
        <v>#VALUE!</v>
      </c>
    </row>
    <row r="9492" spans="11:11" x14ac:dyDescent="0.25">
      <c r="K9492" s="8" t="e">
        <f t="shared" si="148"/>
        <v>#VALUE!</v>
      </c>
    </row>
    <row r="9493" spans="11:11" x14ac:dyDescent="0.25">
      <c r="K9493" s="8" t="e">
        <f t="shared" si="148"/>
        <v>#VALUE!</v>
      </c>
    </row>
    <row r="9494" spans="11:11" x14ac:dyDescent="0.25">
      <c r="K9494" s="8" t="e">
        <f t="shared" si="148"/>
        <v>#VALUE!</v>
      </c>
    </row>
    <row r="9495" spans="11:11" x14ac:dyDescent="0.25">
      <c r="K9495" s="8" t="e">
        <f t="shared" si="148"/>
        <v>#VALUE!</v>
      </c>
    </row>
    <row r="9496" spans="11:11" x14ac:dyDescent="0.25">
      <c r="K9496" s="8" t="e">
        <f t="shared" si="148"/>
        <v>#VALUE!</v>
      </c>
    </row>
    <row r="9497" spans="11:11" x14ac:dyDescent="0.25">
      <c r="K9497" s="8" t="e">
        <f t="shared" si="148"/>
        <v>#VALUE!</v>
      </c>
    </row>
    <row r="9498" spans="11:11" x14ac:dyDescent="0.25">
      <c r="K9498" s="8" t="e">
        <f t="shared" si="148"/>
        <v>#VALUE!</v>
      </c>
    </row>
    <row r="9499" spans="11:11" x14ac:dyDescent="0.25">
      <c r="K9499" s="8" t="e">
        <f t="shared" si="148"/>
        <v>#VALUE!</v>
      </c>
    </row>
    <row r="9500" spans="11:11" x14ac:dyDescent="0.25">
      <c r="K9500" s="8" t="e">
        <f t="shared" si="148"/>
        <v>#VALUE!</v>
      </c>
    </row>
    <row r="9501" spans="11:11" x14ac:dyDescent="0.25">
      <c r="K9501" s="8" t="e">
        <f t="shared" si="148"/>
        <v>#VALUE!</v>
      </c>
    </row>
    <row r="9502" spans="11:11" x14ac:dyDescent="0.25">
      <c r="K9502" s="8" t="e">
        <f t="shared" si="148"/>
        <v>#VALUE!</v>
      </c>
    </row>
    <row r="9503" spans="11:11" x14ac:dyDescent="0.25">
      <c r="K9503" s="8" t="e">
        <f t="shared" si="148"/>
        <v>#VALUE!</v>
      </c>
    </row>
    <row r="9504" spans="11:11" x14ac:dyDescent="0.25">
      <c r="K9504" s="8" t="e">
        <f t="shared" si="148"/>
        <v>#VALUE!</v>
      </c>
    </row>
    <row r="9505" spans="11:11" x14ac:dyDescent="0.25">
      <c r="K9505" s="8" t="e">
        <f t="shared" si="148"/>
        <v>#VALUE!</v>
      </c>
    </row>
    <row r="9506" spans="11:11" x14ac:dyDescent="0.25">
      <c r="K9506" s="8" t="e">
        <f t="shared" si="148"/>
        <v>#VALUE!</v>
      </c>
    </row>
    <row r="9507" spans="11:11" x14ac:dyDescent="0.25">
      <c r="K9507" s="8" t="e">
        <f t="shared" si="148"/>
        <v>#VALUE!</v>
      </c>
    </row>
    <row r="9508" spans="11:11" x14ac:dyDescent="0.25">
      <c r="K9508" s="8" t="e">
        <f t="shared" si="148"/>
        <v>#VALUE!</v>
      </c>
    </row>
    <row r="9509" spans="11:11" x14ac:dyDescent="0.25">
      <c r="K9509" s="8" t="e">
        <f t="shared" si="148"/>
        <v>#VALUE!</v>
      </c>
    </row>
    <row r="9510" spans="11:11" x14ac:dyDescent="0.25">
      <c r="K9510" s="8" t="e">
        <f t="shared" si="148"/>
        <v>#VALUE!</v>
      </c>
    </row>
    <row r="9511" spans="11:11" x14ac:dyDescent="0.25">
      <c r="K9511" s="8" t="e">
        <f t="shared" si="148"/>
        <v>#VALUE!</v>
      </c>
    </row>
    <row r="9512" spans="11:11" x14ac:dyDescent="0.25">
      <c r="K9512" s="8" t="e">
        <f t="shared" si="148"/>
        <v>#VALUE!</v>
      </c>
    </row>
    <row r="9513" spans="11:11" x14ac:dyDescent="0.25">
      <c r="K9513" s="8" t="e">
        <f t="shared" si="148"/>
        <v>#VALUE!</v>
      </c>
    </row>
    <row r="9514" spans="11:11" x14ac:dyDescent="0.25">
      <c r="K9514" s="8" t="e">
        <f t="shared" si="148"/>
        <v>#VALUE!</v>
      </c>
    </row>
    <row r="9515" spans="11:11" x14ac:dyDescent="0.25">
      <c r="K9515" s="8" t="e">
        <f t="shared" si="148"/>
        <v>#VALUE!</v>
      </c>
    </row>
    <row r="9516" spans="11:11" x14ac:dyDescent="0.25">
      <c r="K9516" s="8" t="e">
        <f t="shared" si="148"/>
        <v>#VALUE!</v>
      </c>
    </row>
    <row r="9517" spans="11:11" x14ac:dyDescent="0.25">
      <c r="K9517" s="8" t="e">
        <f t="shared" si="148"/>
        <v>#VALUE!</v>
      </c>
    </row>
    <row r="9518" spans="11:11" x14ac:dyDescent="0.25">
      <c r="K9518" s="8" t="e">
        <f t="shared" si="148"/>
        <v>#VALUE!</v>
      </c>
    </row>
    <row r="9519" spans="11:11" x14ac:dyDescent="0.25">
      <c r="K9519" s="8" t="e">
        <f t="shared" si="148"/>
        <v>#VALUE!</v>
      </c>
    </row>
    <row r="9520" spans="11:11" x14ac:dyDescent="0.25">
      <c r="K9520" s="8" t="e">
        <f t="shared" si="148"/>
        <v>#VALUE!</v>
      </c>
    </row>
    <row r="9521" spans="11:11" x14ac:dyDescent="0.25">
      <c r="K9521" s="8" t="e">
        <f t="shared" si="148"/>
        <v>#VALUE!</v>
      </c>
    </row>
    <row r="9522" spans="11:11" x14ac:dyDescent="0.25">
      <c r="K9522" s="8" t="e">
        <f t="shared" si="148"/>
        <v>#VALUE!</v>
      </c>
    </row>
    <row r="9523" spans="11:11" x14ac:dyDescent="0.25">
      <c r="K9523" s="8" t="e">
        <f t="shared" si="148"/>
        <v>#VALUE!</v>
      </c>
    </row>
    <row r="9524" spans="11:11" x14ac:dyDescent="0.25">
      <c r="K9524" s="8" t="e">
        <f t="shared" si="148"/>
        <v>#VALUE!</v>
      </c>
    </row>
    <row r="9525" spans="11:11" x14ac:dyDescent="0.25">
      <c r="K9525" s="8" t="e">
        <f t="shared" si="148"/>
        <v>#VALUE!</v>
      </c>
    </row>
    <row r="9526" spans="11:11" x14ac:dyDescent="0.25">
      <c r="K9526" s="8" t="e">
        <f t="shared" si="148"/>
        <v>#VALUE!</v>
      </c>
    </row>
    <row r="9527" spans="11:11" x14ac:dyDescent="0.25">
      <c r="K9527" s="8" t="e">
        <f t="shared" si="148"/>
        <v>#VALUE!</v>
      </c>
    </row>
    <row r="9528" spans="11:11" x14ac:dyDescent="0.25">
      <c r="K9528" s="8" t="e">
        <f t="shared" si="148"/>
        <v>#VALUE!</v>
      </c>
    </row>
    <row r="9529" spans="11:11" x14ac:dyDescent="0.25">
      <c r="K9529" s="8" t="e">
        <f t="shared" si="148"/>
        <v>#VALUE!</v>
      </c>
    </row>
    <row r="9530" spans="11:11" x14ac:dyDescent="0.25">
      <c r="K9530" s="8" t="e">
        <f t="shared" si="148"/>
        <v>#VALUE!</v>
      </c>
    </row>
    <row r="9531" spans="11:11" x14ac:dyDescent="0.25">
      <c r="K9531" s="8" t="e">
        <f t="shared" si="148"/>
        <v>#VALUE!</v>
      </c>
    </row>
    <row r="9532" spans="11:11" x14ac:dyDescent="0.25">
      <c r="K9532" s="8" t="e">
        <f t="shared" si="148"/>
        <v>#VALUE!</v>
      </c>
    </row>
    <row r="9533" spans="11:11" x14ac:dyDescent="0.25">
      <c r="K9533" s="8" t="e">
        <f t="shared" si="148"/>
        <v>#VALUE!</v>
      </c>
    </row>
    <row r="9534" spans="11:11" x14ac:dyDescent="0.25">
      <c r="K9534" s="8" t="e">
        <f t="shared" si="148"/>
        <v>#VALUE!</v>
      </c>
    </row>
    <row r="9535" spans="11:11" x14ac:dyDescent="0.25">
      <c r="K9535" s="8" t="e">
        <f t="shared" si="148"/>
        <v>#VALUE!</v>
      </c>
    </row>
    <row r="9536" spans="11:11" x14ac:dyDescent="0.25">
      <c r="K9536" s="8" t="e">
        <f t="shared" si="148"/>
        <v>#VALUE!</v>
      </c>
    </row>
    <row r="9537" spans="11:11" x14ac:dyDescent="0.25">
      <c r="K9537" s="8" t="e">
        <f t="shared" si="148"/>
        <v>#VALUE!</v>
      </c>
    </row>
    <row r="9538" spans="11:11" x14ac:dyDescent="0.25">
      <c r="K9538" s="8" t="e">
        <f t="shared" si="148"/>
        <v>#VALUE!</v>
      </c>
    </row>
    <row r="9539" spans="11:11" x14ac:dyDescent="0.25">
      <c r="K9539" s="8" t="e">
        <f t="shared" ref="K9539:K9602" si="149">LEFT(A9539,FIND("/",A9539)-1)</f>
        <v>#VALUE!</v>
      </c>
    </row>
    <row r="9540" spans="11:11" x14ac:dyDescent="0.25">
      <c r="K9540" s="8" t="e">
        <f t="shared" si="149"/>
        <v>#VALUE!</v>
      </c>
    </row>
    <row r="9541" spans="11:11" x14ac:dyDescent="0.25">
      <c r="K9541" s="8" t="e">
        <f t="shared" si="149"/>
        <v>#VALUE!</v>
      </c>
    </row>
    <row r="9542" spans="11:11" x14ac:dyDescent="0.25">
      <c r="K9542" s="8" t="e">
        <f t="shared" si="149"/>
        <v>#VALUE!</v>
      </c>
    </row>
    <row r="9543" spans="11:11" x14ac:dyDescent="0.25">
      <c r="K9543" s="8" t="e">
        <f t="shared" si="149"/>
        <v>#VALUE!</v>
      </c>
    </row>
    <row r="9544" spans="11:11" x14ac:dyDescent="0.25">
      <c r="K9544" s="8" t="e">
        <f t="shared" si="149"/>
        <v>#VALUE!</v>
      </c>
    </row>
    <row r="9545" spans="11:11" x14ac:dyDescent="0.25">
      <c r="K9545" s="8" t="e">
        <f t="shared" si="149"/>
        <v>#VALUE!</v>
      </c>
    </row>
    <row r="9546" spans="11:11" x14ac:dyDescent="0.25">
      <c r="K9546" s="8" t="e">
        <f t="shared" si="149"/>
        <v>#VALUE!</v>
      </c>
    </row>
    <row r="9547" spans="11:11" x14ac:dyDescent="0.25">
      <c r="K9547" s="8" t="e">
        <f t="shared" si="149"/>
        <v>#VALUE!</v>
      </c>
    </row>
    <row r="9548" spans="11:11" x14ac:dyDescent="0.25">
      <c r="K9548" s="8" t="e">
        <f t="shared" si="149"/>
        <v>#VALUE!</v>
      </c>
    </row>
    <row r="9549" spans="11:11" x14ac:dyDescent="0.25">
      <c r="K9549" s="8" t="e">
        <f t="shared" si="149"/>
        <v>#VALUE!</v>
      </c>
    </row>
    <row r="9550" spans="11:11" x14ac:dyDescent="0.25">
      <c r="K9550" s="8" t="e">
        <f t="shared" si="149"/>
        <v>#VALUE!</v>
      </c>
    </row>
    <row r="9551" spans="11:11" x14ac:dyDescent="0.25">
      <c r="K9551" s="8" t="e">
        <f t="shared" si="149"/>
        <v>#VALUE!</v>
      </c>
    </row>
    <row r="9552" spans="11:11" x14ac:dyDescent="0.25">
      <c r="K9552" s="8" t="e">
        <f t="shared" si="149"/>
        <v>#VALUE!</v>
      </c>
    </row>
    <row r="9553" spans="11:11" x14ac:dyDescent="0.25">
      <c r="K9553" s="8" t="e">
        <f t="shared" si="149"/>
        <v>#VALUE!</v>
      </c>
    </row>
    <row r="9554" spans="11:11" x14ac:dyDescent="0.25">
      <c r="K9554" s="8" t="e">
        <f t="shared" si="149"/>
        <v>#VALUE!</v>
      </c>
    </row>
    <row r="9555" spans="11:11" x14ac:dyDescent="0.25">
      <c r="K9555" s="8" t="e">
        <f t="shared" si="149"/>
        <v>#VALUE!</v>
      </c>
    </row>
    <row r="9556" spans="11:11" x14ac:dyDescent="0.25">
      <c r="K9556" s="8" t="e">
        <f t="shared" si="149"/>
        <v>#VALUE!</v>
      </c>
    </row>
    <row r="9557" spans="11:11" x14ac:dyDescent="0.25">
      <c r="K9557" s="8" t="e">
        <f t="shared" si="149"/>
        <v>#VALUE!</v>
      </c>
    </row>
    <row r="9558" spans="11:11" x14ac:dyDescent="0.25">
      <c r="K9558" s="8" t="e">
        <f t="shared" si="149"/>
        <v>#VALUE!</v>
      </c>
    </row>
    <row r="9559" spans="11:11" x14ac:dyDescent="0.25">
      <c r="K9559" s="8" t="e">
        <f t="shared" si="149"/>
        <v>#VALUE!</v>
      </c>
    </row>
    <row r="9560" spans="11:11" x14ac:dyDescent="0.25">
      <c r="K9560" s="8" t="e">
        <f t="shared" si="149"/>
        <v>#VALUE!</v>
      </c>
    </row>
    <row r="9561" spans="11:11" x14ac:dyDescent="0.25">
      <c r="K9561" s="8" t="e">
        <f t="shared" si="149"/>
        <v>#VALUE!</v>
      </c>
    </row>
    <row r="9562" spans="11:11" x14ac:dyDescent="0.25">
      <c r="K9562" s="8" t="e">
        <f t="shared" si="149"/>
        <v>#VALUE!</v>
      </c>
    </row>
    <row r="9563" spans="11:11" x14ac:dyDescent="0.25">
      <c r="K9563" s="8" t="e">
        <f t="shared" si="149"/>
        <v>#VALUE!</v>
      </c>
    </row>
    <row r="9564" spans="11:11" x14ac:dyDescent="0.25">
      <c r="K9564" s="8" t="e">
        <f t="shared" si="149"/>
        <v>#VALUE!</v>
      </c>
    </row>
    <row r="9565" spans="11:11" x14ac:dyDescent="0.25">
      <c r="K9565" s="8" t="e">
        <f t="shared" si="149"/>
        <v>#VALUE!</v>
      </c>
    </row>
    <row r="9566" spans="11:11" x14ac:dyDescent="0.25">
      <c r="K9566" s="8" t="e">
        <f t="shared" si="149"/>
        <v>#VALUE!</v>
      </c>
    </row>
    <row r="9567" spans="11:11" x14ac:dyDescent="0.25">
      <c r="K9567" s="8" t="e">
        <f t="shared" si="149"/>
        <v>#VALUE!</v>
      </c>
    </row>
    <row r="9568" spans="11:11" x14ac:dyDescent="0.25">
      <c r="K9568" s="8" t="e">
        <f t="shared" si="149"/>
        <v>#VALUE!</v>
      </c>
    </row>
    <row r="9569" spans="11:11" x14ac:dyDescent="0.25">
      <c r="K9569" s="8" t="e">
        <f t="shared" si="149"/>
        <v>#VALUE!</v>
      </c>
    </row>
    <row r="9570" spans="11:11" x14ac:dyDescent="0.25">
      <c r="K9570" s="8" t="e">
        <f t="shared" si="149"/>
        <v>#VALUE!</v>
      </c>
    </row>
    <row r="9571" spans="11:11" x14ac:dyDescent="0.25">
      <c r="K9571" s="8" t="e">
        <f t="shared" si="149"/>
        <v>#VALUE!</v>
      </c>
    </row>
    <row r="9572" spans="11:11" x14ac:dyDescent="0.25">
      <c r="K9572" s="8" t="e">
        <f t="shared" si="149"/>
        <v>#VALUE!</v>
      </c>
    </row>
    <row r="9573" spans="11:11" x14ac:dyDescent="0.25">
      <c r="K9573" s="8" t="e">
        <f t="shared" si="149"/>
        <v>#VALUE!</v>
      </c>
    </row>
    <row r="9574" spans="11:11" x14ac:dyDescent="0.25">
      <c r="K9574" s="8" t="e">
        <f t="shared" si="149"/>
        <v>#VALUE!</v>
      </c>
    </row>
    <row r="9575" spans="11:11" x14ac:dyDescent="0.25">
      <c r="K9575" s="8" t="e">
        <f t="shared" si="149"/>
        <v>#VALUE!</v>
      </c>
    </row>
    <row r="9576" spans="11:11" x14ac:dyDescent="0.25">
      <c r="K9576" s="8" t="e">
        <f t="shared" si="149"/>
        <v>#VALUE!</v>
      </c>
    </row>
    <row r="9577" spans="11:11" x14ac:dyDescent="0.25">
      <c r="K9577" s="8" t="e">
        <f t="shared" si="149"/>
        <v>#VALUE!</v>
      </c>
    </row>
    <row r="9578" spans="11:11" x14ac:dyDescent="0.25">
      <c r="K9578" s="8" t="e">
        <f t="shared" si="149"/>
        <v>#VALUE!</v>
      </c>
    </row>
    <row r="9579" spans="11:11" x14ac:dyDescent="0.25">
      <c r="K9579" s="8" t="e">
        <f t="shared" si="149"/>
        <v>#VALUE!</v>
      </c>
    </row>
    <row r="9580" spans="11:11" x14ac:dyDescent="0.25">
      <c r="K9580" s="8" t="e">
        <f t="shared" si="149"/>
        <v>#VALUE!</v>
      </c>
    </row>
    <row r="9581" spans="11:11" x14ac:dyDescent="0.25">
      <c r="K9581" s="8" t="e">
        <f t="shared" si="149"/>
        <v>#VALUE!</v>
      </c>
    </row>
    <row r="9582" spans="11:11" x14ac:dyDescent="0.25">
      <c r="K9582" s="8" t="e">
        <f t="shared" si="149"/>
        <v>#VALUE!</v>
      </c>
    </row>
    <row r="9583" spans="11:11" x14ac:dyDescent="0.25">
      <c r="K9583" s="8" t="e">
        <f t="shared" si="149"/>
        <v>#VALUE!</v>
      </c>
    </row>
    <row r="9584" spans="11:11" x14ac:dyDescent="0.25">
      <c r="K9584" s="8" t="e">
        <f t="shared" si="149"/>
        <v>#VALUE!</v>
      </c>
    </row>
    <row r="9585" spans="11:11" x14ac:dyDescent="0.25">
      <c r="K9585" s="8" t="e">
        <f t="shared" si="149"/>
        <v>#VALUE!</v>
      </c>
    </row>
    <row r="9586" spans="11:11" x14ac:dyDescent="0.25">
      <c r="K9586" s="8" t="e">
        <f t="shared" si="149"/>
        <v>#VALUE!</v>
      </c>
    </row>
    <row r="9587" spans="11:11" x14ac:dyDescent="0.25">
      <c r="K9587" s="8" t="e">
        <f t="shared" si="149"/>
        <v>#VALUE!</v>
      </c>
    </row>
    <row r="9588" spans="11:11" x14ac:dyDescent="0.25">
      <c r="K9588" s="8" t="e">
        <f t="shared" si="149"/>
        <v>#VALUE!</v>
      </c>
    </row>
    <row r="9589" spans="11:11" x14ac:dyDescent="0.25">
      <c r="K9589" s="8" t="e">
        <f t="shared" si="149"/>
        <v>#VALUE!</v>
      </c>
    </row>
    <row r="9590" spans="11:11" x14ac:dyDescent="0.25">
      <c r="K9590" s="8" t="e">
        <f t="shared" si="149"/>
        <v>#VALUE!</v>
      </c>
    </row>
    <row r="9591" spans="11:11" x14ac:dyDescent="0.25">
      <c r="K9591" s="8" t="e">
        <f t="shared" si="149"/>
        <v>#VALUE!</v>
      </c>
    </row>
    <row r="9592" spans="11:11" x14ac:dyDescent="0.25">
      <c r="K9592" s="8" t="e">
        <f t="shared" si="149"/>
        <v>#VALUE!</v>
      </c>
    </row>
    <row r="9593" spans="11:11" x14ac:dyDescent="0.25">
      <c r="K9593" s="8" t="e">
        <f t="shared" si="149"/>
        <v>#VALUE!</v>
      </c>
    </row>
    <row r="9594" spans="11:11" x14ac:dyDescent="0.25">
      <c r="K9594" s="8" t="e">
        <f t="shared" si="149"/>
        <v>#VALUE!</v>
      </c>
    </row>
    <row r="9595" spans="11:11" x14ac:dyDescent="0.25">
      <c r="K9595" s="8" t="e">
        <f t="shared" si="149"/>
        <v>#VALUE!</v>
      </c>
    </row>
    <row r="9596" spans="11:11" x14ac:dyDescent="0.25">
      <c r="K9596" s="8" t="e">
        <f t="shared" si="149"/>
        <v>#VALUE!</v>
      </c>
    </row>
    <row r="9597" spans="11:11" x14ac:dyDescent="0.25">
      <c r="K9597" s="8" t="e">
        <f t="shared" si="149"/>
        <v>#VALUE!</v>
      </c>
    </row>
    <row r="9598" spans="11:11" x14ac:dyDescent="0.25">
      <c r="K9598" s="8" t="e">
        <f t="shared" si="149"/>
        <v>#VALUE!</v>
      </c>
    </row>
    <row r="9599" spans="11:11" x14ac:dyDescent="0.25">
      <c r="K9599" s="8" t="e">
        <f t="shared" si="149"/>
        <v>#VALUE!</v>
      </c>
    </row>
    <row r="9600" spans="11:11" x14ac:dyDescent="0.25">
      <c r="K9600" s="8" t="e">
        <f t="shared" si="149"/>
        <v>#VALUE!</v>
      </c>
    </row>
    <row r="9601" spans="11:11" x14ac:dyDescent="0.25">
      <c r="K9601" s="8" t="e">
        <f t="shared" si="149"/>
        <v>#VALUE!</v>
      </c>
    </row>
    <row r="9602" spans="11:11" x14ac:dyDescent="0.25">
      <c r="K9602" s="8" t="e">
        <f t="shared" si="149"/>
        <v>#VALUE!</v>
      </c>
    </row>
    <row r="9603" spans="11:11" x14ac:dyDescent="0.25">
      <c r="K9603" s="8" t="e">
        <f t="shared" ref="K9603:K9666" si="150">LEFT(A9603,FIND("/",A9603)-1)</f>
        <v>#VALUE!</v>
      </c>
    </row>
    <row r="9604" spans="11:11" x14ac:dyDescent="0.25">
      <c r="K9604" s="8" t="e">
        <f t="shared" si="150"/>
        <v>#VALUE!</v>
      </c>
    </row>
    <row r="9605" spans="11:11" x14ac:dyDescent="0.25">
      <c r="K9605" s="8" t="e">
        <f t="shared" si="150"/>
        <v>#VALUE!</v>
      </c>
    </row>
    <row r="9606" spans="11:11" x14ac:dyDescent="0.25">
      <c r="K9606" s="8" t="e">
        <f t="shared" si="150"/>
        <v>#VALUE!</v>
      </c>
    </row>
    <row r="9607" spans="11:11" x14ac:dyDescent="0.25">
      <c r="K9607" s="8" t="e">
        <f t="shared" si="150"/>
        <v>#VALUE!</v>
      </c>
    </row>
    <row r="9608" spans="11:11" x14ac:dyDescent="0.25">
      <c r="K9608" s="8" t="e">
        <f t="shared" si="150"/>
        <v>#VALUE!</v>
      </c>
    </row>
    <row r="9609" spans="11:11" x14ac:dyDescent="0.25">
      <c r="K9609" s="8" t="e">
        <f t="shared" si="150"/>
        <v>#VALUE!</v>
      </c>
    </row>
    <row r="9610" spans="11:11" x14ac:dyDescent="0.25">
      <c r="K9610" s="8" t="e">
        <f t="shared" si="150"/>
        <v>#VALUE!</v>
      </c>
    </row>
    <row r="9611" spans="11:11" x14ac:dyDescent="0.25">
      <c r="K9611" s="8" t="e">
        <f t="shared" si="150"/>
        <v>#VALUE!</v>
      </c>
    </row>
    <row r="9612" spans="11:11" x14ac:dyDescent="0.25">
      <c r="K9612" s="8" t="e">
        <f t="shared" si="150"/>
        <v>#VALUE!</v>
      </c>
    </row>
    <row r="9613" spans="11:11" x14ac:dyDescent="0.25">
      <c r="K9613" s="8" t="e">
        <f t="shared" si="150"/>
        <v>#VALUE!</v>
      </c>
    </row>
    <row r="9614" spans="11:11" x14ac:dyDescent="0.25">
      <c r="K9614" s="8" t="e">
        <f t="shared" si="150"/>
        <v>#VALUE!</v>
      </c>
    </row>
    <row r="9615" spans="11:11" x14ac:dyDescent="0.25">
      <c r="K9615" s="8" t="e">
        <f t="shared" si="150"/>
        <v>#VALUE!</v>
      </c>
    </row>
    <row r="9616" spans="11:11" x14ac:dyDescent="0.25">
      <c r="K9616" s="8" t="e">
        <f t="shared" si="150"/>
        <v>#VALUE!</v>
      </c>
    </row>
    <row r="9617" spans="11:11" x14ac:dyDescent="0.25">
      <c r="K9617" s="8" t="e">
        <f t="shared" si="150"/>
        <v>#VALUE!</v>
      </c>
    </row>
    <row r="9618" spans="11:11" x14ac:dyDescent="0.25">
      <c r="K9618" s="8" t="e">
        <f t="shared" si="150"/>
        <v>#VALUE!</v>
      </c>
    </row>
    <row r="9619" spans="11:11" x14ac:dyDescent="0.25">
      <c r="K9619" s="8" t="e">
        <f t="shared" si="150"/>
        <v>#VALUE!</v>
      </c>
    </row>
    <row r="9620" spans="11:11" x14ac:dyDescent="0.25">
      <c r="K9620" s="8" t="e">
        <f t="shared" si="150"/>
        <v>#VALUE!</v>
      </c>
    </row>
    <row r="9621" spans="11:11" x14ac:dyDescent="0.25">
      <c r="K9621" s="8" t="e">
        <f t="shared" si="150"/>
        <v>#VALUE!</v>
      </c>
    </row>
    <row r="9622" spans="11:11" x14ac:dyDescent="0.25">
      <c r="K9622" s="8" t="e">
        <f t="shared" si="150"/>
        <v>#VALUE!</v>
      </c>
    </row>
    <row r="9623" spans="11:11" x14ac:dyDescent="0.25">
      <c r="K9623" s="8" t="e">
        <f t="shared" si="150"/>
        <v>#VALUE!</v>
      </c>
    </row>
    <row r="9624" spans="11:11" x14ac:dyDescent="0.25">
      <c r="K9624" s="8" t="e">
        <f t="shared" si="150"/>
        <v>#VALUE!</v>
      </c>
    </row>
    <row r="9625" spans="11:11" x14ac:dyDescent="0.25">
      <c r="K9625" s="8" t="e">
        <f t="shared" si="150"/>
        <v>#VALUE!</v>
      </c>
    </row>
    <row r="9626" spans="11:11" x14ac:dyDescent="0.25">
      <c r="K9626" s="8" t="e">
        <f t="shared" si="150"/>
        <v>#VALUE!</v>
      </c>
    </row>
    <row r="9627" spans="11:11" x14ac:dyDescent="0.25">
      <c r="K9627" s="8" t="e">
        <f t="shared" si="150"/>
        <v>#VALUE!</v>
      </c>
    </row>
    <row r="9628" spans="11:11" x14ac:dyDescent="0.25">
      <c r="K9628" s="8" t="e">
        <f t="shared" si="150"/>
        <v>#VALUE!</v>
      </c>
    </row>
    <row r="9629" spans="11:11" x14ac:dyDescent="0.25">
      <c r="K9629" s="8" t="e">
        <f t="shared" si="150"/>
        <v>#VALUE!</v>
      </c>
    </row>
    <row r="9630" spans="11:11" x14ac:dyDescent="0.25">
      <c r="K9630" s="8" t="e">
        <f t="shared" si="150"/>
        <v>#VALUE!</v>
      </c>
    </row>
    <row r="9631" spans="11:11" x14ac:dyDescent="0.25">
      <c r="K9631" s="8" t="e">
        <f t="shared" si="150"/>
        <v>#VALUE!</v>
      </c>
    </row>
    <row r="9632" spans="11:11" x14ac:dyDescent="0.25">
      <c r="K9632" s="8" t="e">
        <f t="shared" si="150"/>
        <v>#VALUE!</v>
      </c>
    </row>
    <row r="9633" spans="11:11" x14ac:dyDescent="0.25">
      <c r="K9633" s="8" t="e">
        <f t="shared" si="150"/>
        <v>#VALUE!</v>
      </c>
    </row>
    <row r="9634" spans="11:11" x14ac:dyDescent="0.25">
      <c r="K9634" s="8" t="e">
        <f t="shared" si="150"/>
        <v>#VALUE!</v>
      </c>
    </row>
    <row r="9635" spans="11:11" x14ac:dyDescent="0.25">
      <c r="K9635" s="8" t="e">
        <f t="shared" si="150"/>
        <v>#VALUE!</v>
      </c>
    </row>
    <row r="9636" spans="11:11" x14ac:dyDescent="0.25">
      <c r="K9636" s="8" t="e">
        <f t="shared" si="150"/>
        <v>#VALUE!</v>
      </c>
    </row>
    <row r="9637" spans="11:11" x14ac:dyDescent="0.25">
      <c r="K9637" s="8" t="e">
        <f t="shared" si="150"/>
        <v>#VALUE!</v>
      </c>
    </row>
    <row r="9638" spans="11:11" x14ac:dyDescent="0.25">
      <c r="K9638" s="8" t="e">
        <f t="shared" si="150"/>
        <v>#VALUE!</v>
      </c>
    </row>
    <row r="9639" spans="11:11" x14ac:dyDescent="0.25">
      <c r="K9639" s="8" t="e">
        <f t="shared" si="150"/>
        <v>#VALUE!</v>
      </c>
    </row>
    <row r="9640" spans="11:11" x14ac:dyDescent="0.25">
      <c r="K9640" s="8" t="e">
        <f t="shared" si="150"/>
        <v>#VALUE!</v>
      </c>
    </row>
    <row r="9641" spans="11:11" x14ac:dyDescent="0.25">
      <c r="K9641" s="8" t="e">
        <f t="shared" si="150"/>
        <v>#VALUE!</v>
      </c>
    </row>
    <row r="9642" spans="11:11" x14ac:dyDescent="0.25">
      <c r="K9642" s="8" t="e">
        <f t="shared" si="150"/>
        <v>#VALUE!</v>
      </c>
    </row>
    <row r="9643" spans="11:11" x14ac:dyDescent="0.25">
      <c r="K9643" s="8" t="e">
        <f t="shared" si="150"/>
        <v>#VALUE!</v>
      </c>
    </row>
    <row r="9644" spans="11:11" x14ac:dyDescent="0.25">
      <c r="K9644" s="8" t="e">
        <f t="shared" si="150"/>
        <v>#VALUE!</v>
      </c>
    </row>
    <row r="9645" spans="11:11" x14ac:dyDescent="0.25">
      <c r="K9645" s="8" t="e">
        <f t="shared" si="150"/>
        <v>#VALUE!</v>
      </c>
    </row>
    <row r="9646" spans="11:11" x14ac:dyDescent="0.25">
      <c r="K9646" s="8" t="e">
        <f t="shared" si="150"/>
        <v>#VALUE!</v>
      </c>
    </row>
    <row r="9647" spans="11:11" x14ac:dyDescent="0.25">
      <c r="K9647" s="8" t="e">
        <f t="shared" si="150"/>
        <v>#VALUE!</v>
      </c>
    </row>
    <row r="9648" spans="11:11" x14ac:dyDescent="0.25">
      <c r="K9648" s="8" t="e">
        <f t="shared" si="150"/>
        <v>#VALUE!</v>
      </c>
    </row>
    <row r="9649" spans="11:11" x14ac:dyDescent="0.25">
      <c r="K9649" s="8" t="e">
        <f t="shared" si="150"/>
        <v>#VALUE!</v>
      </c>
    </row>
    <row r="9650" spans="11:11" x14ac:dyDescent="0.25">
      <c r="K9650" s="8" t="e">
        <f t="shared" si="150"/>
        <v>#VALUE!</v>
      </c>
    </row>
    <row r="9651" spans="11:11" x14ac:dyDescent="0.25">
      <c r="K9651" s="8" t="e">
        <f t="shared" si="150"/>
        <v>#VALUE!</v>
      </c>
    </row>
    <row r="9652" spans="11:11" x14ac:dyDescent="0.25">
      <c r="K9652" s="8" t="e">
        <f t="shared" si="150"/>
        <v>#VALUE!</v>
      </c>
    </row>
    <row r="9653" spans="11:11" x14ac:dyDescent="0.25">
      <c r="K9653" s="8" t="e">
        <f t="shared" si="150"/>
        <v>#VALUE!</v>
      </c>
    </row>
    <row r="9654" spans="11:11" x14ac:dyDescent="0.25">
      <c r="K9654" s="8" t="e">
        <f t="shared" si="150"/>
        <v>#VALUE!</v>
      </c>
    </row>
    <row r="9655" spans="11:11" x14ac:dyDescent="0.25">
      <c r="K9655" s="8" t="e">
        <f t="shared" si="150"/>
        <v>#VALUE!</v>
      </c>
    </row>
    <row r="9656" spans="11:11" x14ac:dyDescent="0.25">
      <c r="K9656" s="8" t="e">
        <f t="shared" si="150"/>
        <v>#VALUE!</v>
      </c>
    </row>
    <row r="9657" spans="11:11" x14ac:dyDescent="0.25">
      <c r="K9657" s="8" t="e">
        <f t="shared" si="150"/>
        <v>#VALUE!</v>
      </c>
    </row>
    <row r="9658" spans="11:11" x14ac:dyDescent="0.25">
      <c r="K9658" s="8" t="e">
        <f t="shared" si="150"/>
        <v>#VALUE!</v>
      </c>
    </row>
    <row r="9659" spans="11:11" x14ac:dyDescent="0.25">
      <c r="K9659" s="8" t="e">
        <f t="shared" si="150"/>
        <v>#VALUE!</v>
      </c>
    </row>
    <row r="9660" spans="11:11" x14ac:dyDescent="0.25">
      <c r="K9660" s="8" t="e">
        <f t="shared" si="150"/>
        <v>#VALUE!</v>
      </c>
    </row>
    <row r="9661" spans="11:11" x14ac:dyDescent="0.25">
      <c r="K9661" s="8" t="e">
        <f t="shared" si="150"/>
        <v>#VALUE!</v>
      </c>
    </row>
    <row r="9662" spans="11:11" x14ac:dyDescent="0.25">
      <c r="K9662" s="8" t="e">
        <f t="shared" si="150"/>
        <v>#VALUE!</v>
      </c>
    </row>
    <row r="9663" spans="11:11" x14ac:dyDescent="0.25">
      <c r="K9663" s="8" t="e">
        <f t="shared" si="150"/>
        <v>#VALUE!</v>
      </c>
    </row>
    <row r="9664" spans="11:11" x14ac:dyDescent="0.25">
      <c r="K9664" s="8" t="e">
        <f t="shared" si="150"/>
        <v>#VALUE!</v>
      </c>
    </row>
    <row r="9665" spans="11:11" x14ac:dyDescent="0.25">
      <c r="K9665" s="8" t="e">
        <f t="shared" si="150"/>
        <v>#VALUE!</v>
      </c>
    </row>
    <row r="9666" spans="11:11" x14ac:dyDescent="0.25">
      <c r="K9666" s="8" t="e">
        <f t="shared" si="150"/>
        <v>#VALUE!</v>
      </c>
    </row>
    <row r="9667" spans="11:11" x14ac:dyDescent="0.25">
      <c r="K9667" s="8" t="e">
        <f t="shared" ref="K9667:K9730" si="151">LEFT(A9667,FIND("/",A9667)-1)</f>
        <v>#VALUE!</v>
      </c>
    </row>
    <row r="9668" spans="11:11" x14ac:dyDescent="0.25">
      <c r="K9668" s="8" t="e">
        <f t="shared" si="151"/>
        <v>#VALUE!</v>
      </c>
    </row>
    <row r="9669" spans="11:11" x14ac:dyDescent="0.25">
      <c r="K9669" s="8" t="e">
        <f t="shared" si="151"/>
        <v>#VALUE!</v>
      </c>
    </row>
    <row r="9670" spans="11:11" x14ac:dyDescent="0.25">
      <c r="K9670" s="8" t="e">
        <f t="shared" si="151"/>
        <v>#VALUE!</v>
      </c>
    </row>
    <row r="9671" spans="11:11" x14ac:dyDescent="0.25">
      <c r="K9671" s="8" t="e">
        <f t="shared" si="151"/>
        <v>#VALUE!</v>
      </c>
    </row>
    <row r="9672" spans="11:11" x14ac:dyDescent="0.25">
      <c r="K9672" s="8" t="e">
        <f t="shared" si="151"/>
        <v>#VALUE!</v>
      </c>
    </row>
    <row r="9673" spans="11:11" x14ac:dyDescent="0.25">
      <c r="K9673" s="8" t="e">
        <f t="shared" si="151"/>
        <v>#VALUE!</v>
      </c>
    </row>
    <row r="9674" spans="11:11" x14ac:dyDescent="0.25">
      <c r="K9674" s="8" t="e">
        <f t="shared" si="151"/>
        <v>#VALUE!</v>
      </c>
    </row>
    <row r="9675" spans="11:11" x14ac:dyDescent="0.25">
      <c r="K9675" s="8" t="e">
        <f t="shared" si="151"/>
        <v>#VALUE!</v>
      </c>
    </row>
    <row r="9676" spans="11:11" x14ac:dyDescent="0.25">
      <c r="K9676" s="8" t="e">
        <f t="shared" si="151"/>
        <v>#VALUE!</v>
      </c>
    </row>
    <row r="9677" spans="11:11" x14ac:dyDescent="0.25">
      <c r="K9677" s="8" t="e">
        <f t="shared" si="151"/>
        <v>#VALUE!</v>
      </c>
    </row>
    <row r="9678" spans="11:11" x14ac:dyDescent="0.25">
      <c r="K9678" s="8" t="e">
        <f t="shared" si="151"/>
        <v>#VALUE!</v>
      </c>
    </row>
    <row r="9679" spans="11:11" x14ac:dyDescent="0.25">
      <c r="K9679" s="8" t="e">
        <f t="shared" si="151"/>
        <v>#VALUE!</v>
      </c>
    </row>
    <row r="9680" spans="11:11" x14ac:dyDescent="0.25">
      <c r="K9680" s="8" t="e">
        <f t="shared" si="151"/>
        <v>#VALUE!</v>
      </c>
    </row>
    <row r="9681" spans="11:11" x14ac:dyDescent="0.25">
      <c r="K9681" s="8" t="e">
        <f t="shared" si="151"/>
        <v>#VALUE!</v>
      </c>
    </row>
    <row r="9682" spans="11:11" x14ac:dyDescent="0.25">
      <c r="K9682" s="8" t="e">
        <f t="shared" si="151"/>
        <v>#VALUE!</v>
      </c>
    </row>
    <row r="9683" spans="11:11" x14ac:dyDescent="0.25">
      <c r="K9683" s="8" t="e">
        <f t="shared" si="151"/>
        <v>#VALUE!</v>
      </c>
    </row>
    <row r="9684" spans="11:11" x14ac:dyDescent="0.25">
      <c r="K9684" s="8" t="e">
        <f t="shared" si="151"/>
        <v>#VALUE!</v>
      </c>
    </row>
    <row r="9685" spans="11:11" x14ac:dyDescent="0.25">
      <c r="K9685" s="8" t="e">
        <f t="shared" si="151"/>
        <v>#VALUE!</v>
      </c>
    </row>
    <row r="9686" spans="11:11" x14ac:dyDescent="0.25">
      <c r="K9686" s="8" t="e">
        <f t="shared" si="151"/>
        <v>#VALUE!</v>
      </c>
    </row>
    <row r="9687" spans="11:11" x14ac:dyDescent="0.25">
      <c r="K9687" s="8" t="e">
        <f t="shared" si="151"/>
        <v>#VALUE!</v>
      </c>
    </row>
    <row r="9688" spans="11:11" x14ac:dyDescent="0.25">
      <c r="K9688" s="8" t="e">
        <f t="shared" si="151"/>
        <v>#VALUE!</v>
      </c>
    </row>
    <row r="9689" spans="11:11" x14ac:dyDescent="0.25">
      <c r="K9689" s="8" t="e">
        <f t="shared" si="151"/>
        <v>#VALUE!</v>
      </c>
    </row>
    <row r="9690" spans="11:11" x14ac:dyDescent="0.25">
      <c r="K9690" s="8" t="e">
        <f t="shared" si="151"/>
        <v>#VALUE!</v>
      </c>
    </row>
    <row r="9691" spans="11:11" x14ac:dyDescent="0.25">
      <c r="K9691" s="8" t="e">
        <f t="shared" si="151"/>
        <v>#VALUE!</v>
      </c>
    </row>
    <row r="9692" spans="11:11" x14ac:dyDescent="0.25">
      <c r="K9692" s="8" t="e">
        <f t="shared" si="151"/>
        <v>#VALUE!</v>
      </c>
    </row>
    <row r="9693" spans="11:11" x14ac:dyDescent="0.25">
      <c r="K9693" s="8" t="e">
        <f t="shared" si="151"/>
        <v>#VALUE!</v>
      </c>
    </row>
    <row r="9694" spans="11:11" x14ac:dyDescent="0.25">
      <c r="K9694" s="8" t="e">
        <f t="shared" si="151"/>
        <v>#VALUE!</v>
      </c>
    </row>
    <row r="9695" spans="11:11" x14ac:dyDescent="0.25">
      <c r="K9695" s="8" t="e">
        <f t="shared" si="151"/>
        <v>#VALUE!</v>
      </c>
    </row>
    <row r="9696" spans="11:11" x14ac:dyDescent="0.25">
      <c r="K9696" s="8" t="e">
        <f t="shared" si="151"/>
        <v>#VALUE!</v>
      </c>
    </row>
    <row r="9697" spans="11:11" x14ac:dyDescent="0.25">
      <c r="K9697" s="8" t="e">
        <f t="shared" si="151"/>
        <v>#VALUE!</v>
      </c>
    </row>
    <row r="9698" spans="11:11" x14ac:dyDescent="0.25">
      <c r="K9698" s="8" t="e">
        <f t="shared" si="151"/>
        <v>#VALUE!</v>
      </c>
    </row>
    <row r="9699" spans="11:11" x14ac:dyDescent="0.25">
      <c r="K9699" s="8" t="e">
        <f t="shared" si="151"/>
        <v>#VALUE!</v>
      </c>
    </row>
    <row r="9700" spans="11:11" x14ac:dyDescent="0.25">
      <c r="K9700" s="8" t="e">
        <f t="shared" si="151"/>
        <v>#VALUE!</v>
      </c>
    </row>
    <row r="9701" spans="11:11" x14ac:dyDescent="0.25">
      <c r="K9701" s="8" t="e">
        <f t="shared" si="151"/>
        <v>#VALUE!</v>
      </c>
    </row>
    <row r="9702" spans="11:11" x14ac:dyDescent="0.25">
      <c r="K9702" s="8" t="e">
        <f t="shared" si="151"/>
        <v>#VALUE!</v>
      </c>
    </row>
    <row r="9703" spans="11:11" x14ac:dyDescent="0.25">
      <c r="K9703" s="8" t="e">
        <f t="shared" si="151"/>
        <v>#VALUE!</v>
      </c>
    </row>
    <row r="9704" spans="11:11" x14ac:dyDescent="0.25">
      <c r="K9704" s="8" t="e">
        <f t="shared" si="151"/>
        <v>#VALUE!</v>
      </c>
    </row>
    <row r="9705" spans="11:11" x14ac:dyDescent="0.25">
      <c r="K9705" s="8" t="e">
        <f t="shared" si="151"/>
        <v>#VALUE!</v>
      </c>
    </row>
    <row r="9706" spans="11:11" x14ac:dyDescent="0.25">
      <c r="K9706" s="8" t="e">
        <f t="shared" si="151"/>
        <v>#VALUE!</v>
      </c>
    </row>
    <row r="9707" spans="11:11" x14ac:dyDescent="0.25">
      <c r="K9707" s="8" t="e">
        <f t="shared" si="151"/>
        <v>#VALUE!</v>
      </c>
    </row>
    <row r="9708" spans="11:11" x14ac:dyDescent="0.25">
      <c r="K9708" s="8" t="e">
        <f t="shared" si="151"/>
        <v>#VALUE!</v>
      </c>
    </row>
    <row r="9709" spans="11:11" x14ac:dyDescent="0.25">
      <c r="K9709" s="8" t="e">
        <f t="shared" si="151"/>
        <v>#VALUE!</v>
      </c>
    </row>
    <row r="9710" spans="11:11" x14ac:dyDescent="0.25">
      <c r="K9710" s="8" t="e">
        <f t="shared" si="151"/>
        <v>#VALUE!</v>
      </c>
    </row>
    <row r="9711" spans="11:11" x14ac:dyDescent="0.25">
      <c r="K9711" s="8" t="e">
        <f t="shared" si="151"/>
        <v>#VALUE!</v>
      </c>
    </row>
    <row r="9712" spans="11:11" x14ac:dyDescent="0.25">
      <c r="K9712" s="8" t="e">
        <f t="shared" si="151"/>
        <v>#VALUE!</v>
      </c>
    </row>
    <row r="9713" spans="11:11" x14ac:dyDescent="0.25">
      <c r="K9713" s="8" t="e">
        <f t="shared" si="151"/>
        <v>#VALUE!</v>
      </c>
    </row>
    <row r="9714" spans="11:11" x14ac:dyDescent="0.25">
      <c r="K9714" s="8" t="e">
        <f t="shared" si="151"/>
        <v>#VALUE!</v>
      </c>
    </row>
    <row r="9715" spans="11:11" x14ac:dyDescent="0.25">
      <c r="K9715" s="8" t="e">
        <f t="shared" si="151"/>
        <v>#VALUE!</v>
      </c>
    </row>
    <row r="9716" spans="11:11" x14ac:dyDescent="0.25">
      <c r="K9716" s="8" t="e">
        <f t="shared" si="151"/>
        <v>#VALUE!</v>
      </c>
    </row>
    <row r="9717" spans="11:11" x14ac:dyDescent="0.25">
      <c r="K9717" s="8" t="e">
        <f t="shared" si="151"/>
        <v>#VALUE!</v>
      </c>
    </row>
    <row r="9718" spans="11:11" x14ac:dyDescent="0.25">
      <c r="K9718" s="8" t="e">
        <f t="shared" si="151"/>
        <v>#VALUE!</v>
      </c>
    </row>
    <row r="9719" spans="11:11" x14ac:dyDescent="0.25">
      <c r="K9719" s="8" t="e">
        <f t="shared" si="151"/>
        <v>#VALUE!</v>
      </c>
    </row>
    <row r="9720" spans="11:11" x14ac:dyDescent="0.25">
      <c r="K9720" s="8" t="e">
        <f t="shared" si="151"/>
        <v>#VALUE!</v>
      </c>
    </row>
    <row r="9721" spans="11:11" x14ac:dyDescent="0.25">
      <c r="K9721" s="8" t="e">
        <f t="shared" si="151"/>
        <v>#VALUE!</v>
      </c>
    </row>
    <row r="9722" spans="11:11" x14ac:dyDescent="0.25">
      <c r="K9722" s="8" t="e">
        <f t="shared" si="151"/>
        <v>#VALUE!</v>
      </c>
    </row>
    <row r="9723" spans="11:11" x14ac:dyDescent="0.25">
      <c r="K9723" s="8" t="e">
        <f t="shared" si="151"/>
        <v>#VALUE!</v>
      </c>
    </row>
    <row r="9724" spans="11:11" x14ac:dyDescent="0.25">
      <c r="K9724" s="8" t="e">
        <f t="shared" si="151"/>
        <v>#VALUE!</v>
      </c>
    </row>
    <row r="9725" spans="11:11" x14ac:dyDescent="0.25">
      <c r="K9725" s="8" t="e">
        <f t="shared" si="151"/>
        <v>#VALUE!</v>
      </c>
    </row>
    <row r="9726" spans="11:11" x14ac:dyDescent="0.25">
      <c r="K9726" s="8" t="e">
        <f t="shared" si="151"/>
        <v>#VALUE!</v>
      </c>
    </row>
    <row r="9727" spans="11:11" x14ac:dyDescent="0.25">
      <c r="K9727" s="8" t="e">
        <f t="shared" si="151"/>
        <v>#VALUE!</v>
      </c>
    </row>
    <row r="9728" spans="11:11" x14ac:dyDescent="0.25">
      <c r="K9728" s="8" t="e">
        <f t="shared" si="151"/>
        <v>#VALUE!</v>
      </c>
    </row>
    <row r="9729" spans="11:11" x14ac:dyDescent="0.25">
      <c r="K9729" s="8" t="e">
        <f t="shared" si="151"/>
        <v>#VALUE!</v>
      </c>
    </row>
    <row r="9730" spans="11:11" x14ac:dyDescent="0.25">
      <c r="K9730" s="8" t="e">
        <f t="shared" si="151"/>
        <v>#VALUE!</v>
      </c>
    </row>
    <row r="9731" spans="11:11" x14ac:dyDescent="0.25">
      <c r="K9731" s="8" t="e">
        <f t="shared" ref="K9731:K9794" si="152">LEFT(A9731,FIND("/",A9731)-1)</f>
        <v>#VALUE!</v>
      </c>
    </row>
    <row r="9732" spans="11:11" x14ac:dyDescent="0.25">
      <c r="K9732" s="8" t="e">
        <f t="shared" si="152"/>
        <v>#VALUE!</v>
      </c>
    </row>
    <row r="9733" spans="11:11" x14ac:dyDescent="0.25">
      <c r="K9733" s="8" t="e">
        <f t="shared" si="152"/>
        <v>#VALUE!</v>
      </c>
    </row>
    <row r="9734" spans="11:11" x14ac:dyDescent="0.25">
      <c r="K9734" s="8" t="e">
        <f t="shared" si="152"/>
        <v>#VALUE!</v>
      </c>
    </row>
    <row r="9735" spans="11:11" x14ac:dyDescent="0.25">
      <c r="K9735" s="8" t="e">
        <f t="shared" si="152"/>
        <v>#VALUE!</v>
      </c>
    </row>
    <row r="9736" spans="11:11" x14ac:dyDescent="0.25">
      <c r="K9736" s="8" t="e">
        <f t="shared" si="152"/>
        <v>#VALUE!</v>
      </c>
    </row>
    <row r="9737" spans="11:11" x14ac:dyDescent="0.25">
      <c r="K9737" s="8" t="e">
        <f t="shared" si="152"/>
        <v>#VALUE!</v>
      </c>
    </row>
    <row r="9738" spans="11:11" x14ac:dyDescent="0.25">
      <c r="K9738" s="8" t="e">
        <f t="shared" si="152"/>
        <v>#VALUE!</v>
      </c>
    </row>
    <row r="9739" spans="11:11" x14ac:dyDescent="0.25">
      <c r="K9739" s="8" t="e">
        <f t="shared" si="152"/>
        <v>#VALUE!</v>
      </c>
    </row>
    <row r="9740" spans="11:11" x14ac:dyDescent="0.25">
      <c r="K9740" s="8" t="e">
        <f t="shared" si="152"/>
        <v>#VALUE!</v>
      </c>
    </row>
    <row r="9741" spans="11:11" x14ac:dyDescent="0.25">
      <c r="K9741" s="8" t="e">
        <f t="shared" si="152"/>
        <v>#VALUE!</v>
      </c>
    </row>
    <row r="9742" spans="11:11" x14ac:dyDescent="0.25">
      <c r="K9742" s="8" t="e">
        <f t="shared" si="152"/>
        <v>#VALUE!</v>
      </c>
    </row>
    <row r="9743" spans="11:11" x14ac:dyDescent="0.25">
      <c r="K9743" s="8" t="e">
        <f t="shared" si="152"/>
        <v>#VALUE!</v>
      </c>
    </row>
    <row r="9744" spans="11:11" x14ac:dyDescent="0.25">
      <c r="K9744" s="8" t="e">
        <f t="shared" si="152"/>
        <v>#VALUE!</v>
      </c>
    </row>
    <row r="9745" spans="11:11" x14ac:dyDescent="0.25">
      <c r="K9745" s="8" t="e">
        <f t="shared" si="152"/>
        <v>#VALUE!</v>
      </c>
    </row>
    <row r="9746" spans="11:11" x14ac:dyDescent="0.25">
      <c r="K9746" s="8" t="e">
        <f t="shared" si="152"/>
        <v>#VALUE!</v>
      </c>
    </row>
    <row r="9747" spans="11:11" x14ac:dyDescent="0.25">
      <c r="K9747" s="8" t="e">
        <f t="shared" si="152"/>
        <v>#VALUE!</v>
      </c>
    </row>
    <row r="9748" spans="11:11" x14ac:dyDescent="0.25">
      <c r="K9748" s="8" t="e">
        <f t="shared" si="152"/>
        <v>#VALUE!</v>
      </c>
    </row>
    <row r="9749" spans="11:11" x14ac:dyDescent="0.25">
      <c r="K9749" s="8" t="e">
        <f t="shared" si="152"/>
        <v>#VALUE!</v>
      </c>
    </row>
    <row r="9750" spans="11:11" x14ac:dyDescent="0.25">
      <c r="K9750" s="8" t="e">
        <f t="shared" si="152"/>
        <v>#VALUE!</v>
      </c>
    </row>
    <row r="9751" spans="11:11" x14ac:dyDescent="0.25">
      <c r="K9751" s="8" t="e">
        <f t="shared" si="152"/>
        <v>#VALUE!</v>
      </c>
    </row>
    <row r="9752" spans="11:11" x14ac:dyDescent="0.25">
      <c r="K9752" s="8" t="e">
        <f t="shared" si="152"/>
        <v>#VALUE!</v>
      </c>
    </row>
    <row r="9753" spans="11:11" x14ac:dyDescent="0.25">
      <c r="K9753" s="8" t="e">
        <f t="shared" si="152"/>
        <v>#VALUE!</v>
      </c>
    </row>
    <row r="9754" spans="11:11" x14ac:dyDescent="0.25">
      <c r="K9754" s="8" t="e">
        <f t="shared" si="152"/>
        <v>#VALUE!</v>
      </c>
    </row>
    <row r="9755" spans="11:11" x14ac:dyDescent="0.25">
      <c r="K9755" s="8" t="e">
        <f t="shared" si="152"/>
        <v>#VALUE!</v>
      </c>
    </row>
    <row r="9756" spans="11:11" x14ac:dyDescent="0.25">
      <c r="K9756" s="8" t="e">
        <f t="shared" si="152"/>
        <v>#VALUE!</v>
      </c>
    </row>
    <row r="9757" spans="11:11" x14ac:dyDescent="0.25">
      <c r="K9757" s="8" t="e">
        <f t="shared" si="152"/>
        <v>#VALUE!</v>
      </c>
    </row>
    <row r="9758" spans="11:11" x14ac:dyDescent="0.25">
      <c r="K9758" s="8" t="e">
        <f t="shared" si="152"/>
        <v>#VALUE!</v>
      </c>
    </row>
    <row r="9759" spans="11:11" x14ac:dyDescent="0.25">
      <c r="K9759" s="8" t="e">
        <f t="shared" si="152"/>
        <v>#VALUE!</v>
      </c>
    </row>
    <row r="9760" spans="11:11" x14ac:dyDescent="0.25">
      <c r="K9760" s="8" t="e">
        <f t="shared" si="152"/>
        <v>#VALUE!</v>
      </c>
    </row>
    <row r="9761" spans="11:11" x14ac:dyDescent="0.25">
      <c r="K9761" s="8" t="e">
        <f t="shared" si="152"/>
        <v>#VALUE!</v>
      </c>
    </row>
    <row r="9762" spans="11:11" x14ac:dyDescent="0.25">
      <c r="K9762" s="8" t="e">
        <f t="shared" si="152"/>
        <v>#VALUE!</v>
      </c>
    </row>
    <row r="9763" spans="11:11" x14ac:dyDescent="0.25">
      <c r="K9763" s="8" t="e">
        <f t="shared" si="152"/>
        <v>#VALUE!</v>
      </c>
    </row>
    <row r="9764" spans="11:11" x14ac:dyDescent="0.25">
      <c r="K9764" s="8" t="e">
        <f t="shared" si="152"/>
        <v>#VALUE!</v>
      </c>
    </row>
    <row r="9765" spans="11:11" x14ac:dyDescent="0.25">
      <c r="K9765" s="8" t="e">
        <f t="shared" si="152"/>
        <v>#VALUE!</v>
      </c>
    </row>
    <row r="9766" spans="11:11" x14ac:dyDescent="0.25">
      <c r="K9766" s="8" t="e">
        <f t="shared" si="152"/>
        <v>#VALUE!</v>
      </c>
    </row>
    <row r="9767" spans="11:11" x14ac:dyDescent="0.25">
      <c r="K9767" s="8" t="e">
        <f t="shared" si="152"/>
        <v>#VALUE!</v>
      </c>
    </row>
    <row r="9768" spans="11:11" x14ac:dyDescent="0.25">
      <c r="K9768" s="8" t="e">
        <f t="shared" si="152"/>
        <v>#VALUE!</v>
      </c>
    </row>
    <row r="9769" spans="11:11" x14ac:dyDescent="0.25">
      <c r="K9769" s="8" t="e">
        <f t="shared" si="152"/>
        <v>#VALUE!</v>
      </c>
    </row>
    <row r="9770" spans="11:11" x14ac:dyDescent="0.25">
      <c r="K9770" s="8" t="e">
        <f t="shared" si="152"/>
        <v>#VALUE!</v>
      </c>
    </row>
    <row r="9771" spans="11:11" x14ac:dyDescent="0.25">
      <c r="K9771" s="8" t="e">
        <f t="shared" si="152"/>
        <v>#VALUE!</v>
      </c>
    </row>
    <row r="9772" spans="11:11" x14ac:dyDescent="0.25">
      <c r="K9772" s="8" t="e">
        <f t="shared" si="152"/>
        <v>#VALUE!</v>
      </c>
    </row>
    <row r="9773" spans="11:11" x14ac:dyDescent="0.25">
      <c r="K9773" s="8" t="e">
        <f t="shared" si="152"/>
        <v>#VALUE!</v>
      </c>
    </row>
    <row r="9774" spans="11:11" x14ac:dyDescent="0.25">
      <c r="K9774" s="8" t="e">
        <f t="shared" si="152"/>
        <v>#VALUE!</v>
      </c>
    </row>
    <row r="9775" spans="11:11" x14ac:dyDescent="0.25">
      <c r="K9775" s="8" t="e">
        <f t="shared" si="152"/>
        <v>#VALUE!</v>
      </c>
    </row>
    <row r="9776" spans="11:11" x14ac:dyDescent="0.25">
      <c r="K9776" s="8" t="e">
        <f t="shared" si="152"/>
        <v>#VALUE!</v>
      </c>
    </row>
    <row r="9777" spans="11:11" x14ac:dyDescent="0.25">
      <c r="K9777" s="8" t="e">
        <f t="shared" si="152"/>
        <v>#VALUE!</v>
      </c>
    </row>
    <row r="9778" spans="11:11" x14ac:dyDescent="0.25">
      <c r="K9778" s="8" t="e">
        <f t="shared" si="152"/>
        <v>#VALUE!</v>
      </c>
    </row>
    <row r="9779" spans="11:11" x14ac:dyDescent="0.25">
      <c r="K9779" s="8" t="e">
        <f t="shared" si="152"/>
        <v>#VALUE!</v>
      </c>
    </row>
    <row r="9780" spans="11:11" x14ac:dyDescent="0.25">
      <c r="K9780" s="8" t="e">
        <f t="shared" si="152"/>
        <v>#VALUE!</v>
      </c>
    </row>
    <row r="9781" spans="11:11" x14ac:dyDescent="0.25">
      <c r="K9781" s="8" t="e">
        <f t="shared" si="152"/>
        <v>#VALUE!</v>
      </c>
    </row>
    <row r="9782" spans="11:11" x14ac:dyDescent="0.25">
      <c r="K9782" s="8" t="e">
        <f t="shared" si="152"/>
        <v>#VALUE!</v>
      </c>
    </row>
    <row r="9783" spans="11:11" x14ac:dyDescent="0.25">
      <c r="K9783" s="8" t="e">
        <f t="shared" si="152"/>
        <v>#VALUE!</v>
      </c>
    </row>
    <row r="9784" spans="11:11" x14ac:dyDescent="0.25">
      <c r="K9784" s="8" t="e">
        <f t="shared" si="152"/>
        <v>#VALUE!</v>
      </c>
    </row>
    <row r="9785" spans="11:11" x14ac:dyDescent="0.25">
      <c r="K9785" s="8" t="e">
        <f t="shared" si="152"/>
        <v>#VALUE!</v>
      </c>
    </row>
    <row r="9786" spans="11:11" x14ac:dyDescent="0.25">
      <c r="K9786" s="8" t="e">
        <f t="shared" si="152"/>
        <v>#VALUE!</v>
      </c>
    </row>
    <row r="9787" spans="11:11" x14ac:dyDescent="0.25">
      <c r="K9787" s="8" t="e">
        <f t="shared" si="152"/>
        <v>#VALUE!</v>
      </c>
    </row>
    <row r="9788" spans="11:11" x14ac:dyDescent="0.25">
      <c r="K9788" s="8" t="e">
        <f t="shared" si="152"/>
        <v>#VALUE!</v>
      </c>
    </row>
    <row r="9789" spans="11:11" x14ac:dyDescent="0.25">
      <c r="K9789" s="8" t="e">
        <f t="shared" si="152"/>
        <v>#VALUE!</v>
      </c>
    </row>
    <row r="9790" spans="11:11" x14ac:dyDescent="0.25">
      <c r="K9790" s="8" t="e">
        <f t="shared" si="152"/>
        <v>#VALUE!</v>
      </c>
    </row>
    <row r="9791" spans="11:11" x14ac:dyDescent="0.25">
      <c r="K9791" s="8" t="e">
        <f t="shared" si="152"/>
        <v>#VALUE!</v>
      </c>
    </row>
    <row r="9792" spans="11:11" x14ac:dyDescent="0.25">
      <c r="K9792" s="8" t="e">
        <f t="shared" si="152"/>
        <v>#VALUE!</v>
      </c>
    </row>
    <row r="9793" spans="11:11" x14ac:dyDescent="0.25">
      <c r="K9793" s="8" t="e">
        <f t="shared" si="152"/>
        <v>#VALUE!</v>
      </c>
    </row>
    <row r="9794" spans="11:11" x14ac:dyDescent="0.25">
      <c r="K9794" s="8" t="e">
        <f t="shared" si="152"/>
        <v>#VALUE!</v>
      </c>
    </row>
    <row r="9795" spans="11:11" x14ac:dyDescent="0.25">
      <c r="K9795" s="8" t="e">
        <f t="shared" ref="K9795:K9858" si="153">LEFT(A9795,FIND("/",A9795)-1)</f>
        <v>#VALUE!</v>
      </c>
    </row>
    <row r="9796" spans="11:11" x14ac:dyDescent="0.25">
      <c r="K9796" s="8" t="e">
        <f t="shared" si="153"/>
        <v>#VALUE!</v>
      </c>
    </row>
    <row r="9797" spans="11:11" x14ac:dyDescent="0.25">
      <c r="K9797" s="8" t="e">
        <f t="shared" si="153"/>
        <v>#VALUE!</v>
      </c>
    </row>
    <row r="9798" spans="11:11" x14ac:dyDescent="0.25">
      <c r="K9798" s="8" t="e">
        <f t="shared" si="153"/>
        <v>#VALUE!</v>
      </c>
    </row>
    <row r="9799" spans="11:11" x14ac:dyDescent="0.25">
      <c r="K9799" s="8" t="e">
        <f t="shared" si="153"/>
        <v>#VALUE!</v>
      </c>
    </row>
    <row r="9800" spans="11:11" x14ac:dyDescent="0.25">
      <c r="K9800" s="8" t="e">
        <f t="shared" si="153"/>
        <v>#VALUE!</v>
      </c>
    </row>
    <row r="9801" spans="11:11" x14ac:dyDescent="0.25">
      <c r="K9801" s="8" t="e">
        <f t="shared" si="153"/>
        <v>#VALUE!</v>
      </c>
    </row>
    <row r="9802" spans="11:11" x14ac:dyDescent="0.25">
      <c r="K9802" s="8" t="e">
        <f t="shared" si="153"/>
        <v>#VALUE!</v>
      </c>
    </row>
    <row r="9803" spans="11:11" x14ac:dyDescent="0.25">
      <c r="K9803" s="8" t="e">
        <f t="shared" si="153"/>
        <v>#VALUE!</v>
      </c>
    </row>
    <row r="9804" spans="11:11" x14ac:dyDescent="0.25">
      <c r="K9804" s="8" t="e">
        <f t="shared" si="153"/>
        <v>#VALUE!</v>
      </c>
    </row>
    <row r="9805" spans="11:11" x14ac:dyDescent="0.25">
      <c r="K9805" s="8" t="e">
        <f t="shared" si="153"/>
        <v>#VALUE!</v>
      </c>
    </row>
    <row r="9806" spans="11:11" x14ac:dyDescent="0.25">
      <c r="K9806" s="8" t="e">
        <f t="shared" si="153"/>
        <v>#VALUE!</v>
      </c>
    </row>
    <row r="9807" spans="11:11" x14ac:dyDescent="0.25">
      <c r="K9807" s="8" t="e">
        <f t="shared" si="153"/>
        <v>#VALUE!</v>
      </c>
    </row>
    <row r="9808" spans="11:11" x14ac:dyDescent="0.25">
      <c r="K9808" s="8" t="e">
        <f t="shared" si="153"/>
        <v>#VALUE!</v>
      </c>
    </row>
    <row r="9809" spans="11:11" x14ac:dyDescent="0.25">
      <c r="K9809" s="8" t="e">
        <f t="shared" si="153"/>
        <v>#VALUE!</v>
      </c>
    </row>
    <row r="9810" spans="11:11" x14ac:dyDescent="0.25">
      <c r="K9810" s="8" t="e">
        <f t="shared" si="153"/>
        <v>#VALUE!</v>
      </c>
    </row>
    <row r="9811" spans="11:11" x14ac:dyDescent="0.25">
      <c r="K9811" s="8" t="e">
        <f t="shared" si="153"/>
        <v>#VALUE!</v>
      </c>
    </row>
    <row r="9812" spans="11:11" x14ac:dyDescent="0.25">
      <c r="K9812" s="8" t="e">
        <f t="shared" si="153"/>
        <v>#VALUE!</v>
      </c>
    </row>
    <row r="9813" spans="11:11" x14ac:dyDescent="0.25">
      <c r="K9813" s="8" t="e">
        <f t="shared" si="153"/>
        <v>#VALUE!</v>
      </c>
    </row>
    <row r="9814" spans="11:11" x14ac:dyDescent="0.25">
      <c r="K9814" s="8" t="e">
        <f t="shared" si="153"/>
        <v>#VALUE!</v>
      </c>
    </row>
    <row r="9815" spans="11:11" x14ac:dyDescent="0.25">
      <c r="K9815" s="8" t="e">
        <f t="shared" si="153"/>
        <v>#VALUE!</v>
      </c>
    </row>
    <row r="9816" spans="11:11" x14ac:dyDescent="0.25">
      <c r="K9816" s="8" t="e">
        <f t="shared" si="153"/>
        <v>#VALUE!</v>
      </c>
    </row>
    <row r="9817" spans="11:11" x14ac:dyDescent="0.25">
      <c r="K9817" s="8" t="e">
        <f t="shared" si="153"/>
        <v>#VALUE!</v>
      </c>
    </row>
    <row r="9818" spans="11:11" x14ac:dyDescent="0.25">
      <c r="K9818" s="8" t="e">
        <f t="shared" si="153"/>
        <v>#VALUE!</v>
      </c>
    </row>
    <row r="9819" spans="11:11" x14ac:dyDescent="0.25">
      <c r="K9819" s="8" t="e">
        <f t="shared" si="153"/>
        <v>#VALUE!</v>
      </c>
    </row>
    <row r="9820" spans="11:11" x14ac:dyDescent="0.25">
      <c r="K9820" s="8" t="e">
        <f t="shared" si="153"/>
        <v>#VALUE!</v>
      </c>
    </row>
    <row r="9821" spans="11:11" x14ac:dyDescent="0.25">
      <c r="K9821" s="8" t="e">
        <f t="shared" si="153"/>
        <v>#VALUE!</v>
      </c>
    </row>
    <row r="9822" spans="11:11" x14ac:dyDescent="0.25">
      <c r="K9822" s="8" t="e">
        <f t="shared" si="153"/>
        <v>#VALUE!</v>
      </c>
    </row>
    <row r="9823" spans="11:11" x14ac:dyDescent="0.25">
      <c r="K9823" s="8" t="e">
        <f t="shared" si="153"/>
        <v>#VALUE!</v>
      </c>
    </row>
    <row r="9824" spans="11:11" x14ac:dyDescent="0.25">
      <c r="K9824" s="8" t="e">
        <f t="shared" si="153"/>
        <v>#VALUE!</v>
      </c>
    </row>
    <row r="9825" spans="11:11" x14ac:dyDescent="0.25">
      <c r="K9825" s="8" t="e">
        <f t="shared" si="153"/>
        <v>#VALUE!</v>
      </c>
    </row>
    <row r="9826" spans="11:11" x14ac:dyDescent="0.25">
      <c r="K9826" s="8" t="e">
        <f t="shared" si="153"/>
        <v>#VALUE!</v>
      </c>
    </row>
    <row r="9827" spans="11:11" x14ac:dyDescent="0.25">
      <c r="K9827" s="8" t="e">
        <f t="shared" si="153"/>
        <v>#VALUE!</v>
      </c>
    </row>
    <row r="9828" spans="11:11" x14ac:dyDescent="0.25">
      <c r="K9828" s="8" t="e">
        <f t="shared" si="153"/>
        <v>#VALUE!</v>
      </c>
    </row>
    <row r="9829" spans="11:11" x14ac:dyDescent="0.25">
      <c r="K9829" s="8" t="e">
        <f t="shared" si="153"/>
        <v>#VALUE!</v>
      </c>
    </row>
    <row r="9830" spans="11:11" x14ac:dyDescent="0.25">
      <c r="K9830" s="8" t="e">
        <f t="shared" si="153"/>
        <v>#VALUE!</v>
      </c>
    </row>
    <row r="9831" spans="11:11" x14ac:dyDescent="0.25">
      <c r="K9831" s="8" t="e">
        <f t="shared" si="153"/>
        <v>#VALUE!</v>
      </c>
    </row>
    <row r="9832" spans="11:11" x14ac:dyDescent="0.25">
      <c r="K9832" s="8" t="e">
        <f t="shared" si="153"/>
        <v>#VALUE!</v>
      </c>
    </row>
    <row r="9833" spans="11:11" x14ac:dyDescent="0.25">
      <c r="K9833" s="8" t="e">
        <f t="shared" si="153"/>
        <v>#VALUE!</v>
      </c>
    </row>
    <row r="9834" spans="11:11" x14ac:dyDescent="0.25">
      <c r="K9834" s="8" t="e">
        <f t="shared" si="153"/>
        <v>#VALUE!</v>
      </c>
    </row>
    <row r="9835" spans="11:11" x14ac:dyDescent="0.25">
      <c r="K9835" s="8" t="e">
        <f t="shared" si="153"/>
        <v>#VALUE!</v>
      </c>
    </row>
    <row r="9836" spans="11:11" x14ac:dyDescent="0.25">
      <c r="K9836" s="8" t="e">
        <f t="shared" si="153"/>
        <v>#VALUE!</v>
      </c>
    </row>
    <row r="9837" spans="11:11" x14ac:dyDescent="0.25">
      <c r="K9837" s="8" t="e">
        <f t="shared" si="153"/>
        <v>#VALUE!</v>
      </c>
    </row>
    <row r="9838" spans="11:11" x14ac:dyDescent="0.25">
      <c r="K9838" s="8" t="e">
        <f t="shared" si="153"/>
        <v>#VALUE!</v>
      </c>
    </row>
    <row r="9839" spans="11:11" x14ac:dyDescent="0.25">
      <c r="K9839" s="8" t="e">
        <f t="shared" si="153"/>
        <v>#VALUE!</v>
      </c>
    </row>
    <row r="9840" spans="11:11" x14ac:dyDescent="0.25">
      <c r="K9840" s="8" t="e">
        <f t="shared" si="153"/>
        <v>#VALUE!</v>
      </c>
    </row>
    <row r="9841" spans="11:11" x14ac:dyDescent="0.25">
      <c r="K9841" s="8" t="e">
        <f t="shared" si="153"/>
        <v>#VALUE!</v>
      </c>
    </row>
    <row r="9842" spans="11:11" x14ac:dyDescent="0.25">
      <c r="K9842" s="8" t="e">
        <f t="shared" si="153"/>
        <v>#VALUE!</v>
      </c>
    </row>
    <row r="9843" spans="11:11" x14ac:dyDescent="0.25">
      <c r="K9843" s="8" t="e">
        <f t="shared" si="153"/>
        <v>#VALUE!</v>
      </c>
    </row>
    <row r="9844" spans="11:11" x14ac:dyDescent="0.25">
      <c r="K9844" s="8" t="e">
        <f t="shared" si="153"/>
        <v>#VALUE!</v>
      </c>
    </row>
    <row r="9845" spans="11:11" x14ac:dyDescent="0.25">
      <c r="K9845" s="8" t="e">
        <f t="shared" si="153"/>
        <v>#VALUE!</v>
      </c>
    </row>
    <row r="9846" spans="11:11" x14ac:dyDescent="0.25">
      <c r="K9846" s="8" t="e">
        <f t="shared" si="153"/>
        <v>#VALUE!</v>
      </c>
    </row>
    <row r="9847" spans="11:11" x14ac:dyDescent="0.25">
      <c r="K9847" s="8" t="e">
        <f t="shared" si="153"/>
        <v>#VALUE!</v>
      </c>
    </row>
    <row r="9848" spans="11:11" x14ac:dyDescent="0.25">
      <c r="K9848" s="8" t="e">
        <f t="shared" si="153"/>
        <v>#VALUE!</v>
      </c>
    </row>
    <row r="9849" spans="11:11" x14ac:dyDescent="0.25">
      <c r="K9849" s="8" t="e">
        <f t="shared" si="153"/>
        <v>#VALUE!</v>
      </c>
    </row>
    <row r="9850" spans="11:11" x14ac:dyDescent="0.25">
      <c r="K9850" s="8" t="e">
        <f t="shared" si="153"/>
        <v>#VALUE!</v>
      </c>
    </row>
    <row r="9851" spans="11:11" x14ac:dyDescent="0.25">
      <c r="K9851" s="8" t="e">
        <f t="shared" si="153"/>
        <v>#VALUE!</v>
      </c>
    </row>
    <row r="9852" spans="11:11" x14ac:dyDescent="0.25">
      <c r="K9852" s="8" t="e">
        <f t="shared" si="153"/>
        <v>#VALUE!</v>
      </c>
    </row>
    <row r="9853" spans="11:11" x14ac:dyDescent="0.25">
      <c r="K9853" s="8" t="e">
        <f t="shared" si="153"/>
        <v>#VALUE!</v>
      </c>
    </row>
    <row r="9854" spans="11:11" x14ac:dyDescent="0.25">
      <c r="K9854" s="8" t="e">
        <f t="shared" si="153"/>
        <v>#VALUE!</v>
      </c>
    </row>
    <row r="9855" spans="11:11" x14ac:dyDescent="0.25">
      <c r="K9855" s="8" t="e">
        <f t="shared" si="153"/>
        <v>#VALUE!</v>
      </c>
    </row>
    <row r="9856" spans="11:11" x14ac:dyDescent="0.25">
      <c r="K9856" s="8" t="e">
        <f t="shared" si="153"/>
        <v>#VALUE!</v>
      </c>
    </row>
    <row r="9857" spans="11:11" x14ac:dyDescent="0.25">
      <c r="K9857" s="8" t="e">
        <f t="shared" si="153"/>
        <v>#VALUE!</v>
      </c>
    </row>
    <row r="9858" spans="11:11" x14ac:dyDescent="0.25">
      <c r="K9858" s="8" t="e">
        <f t="shared" si="153"/>
        <v>#VALUE!</v>
      </c>
    </row>
    <row r="9859" spans="11:11" x14ac:dyDescent="0.25">
      <c r="K9859" s="8" t="e">
        <f t="shared" ref="K9859:K9922" si="154">LEFT(A9859,FIND("/",A9859)-1)</f>
        <v>#VALUE!</v>
      </c>
    </row>
    <row r="9860" spans="11:11" x14ac:dyDescent="0.25">
      <c r="K9860" s="8" t="e">
        <f t="shared" si="154"/>
        <v>#VALUE!</v>
      </c>
    </row>
    <row r="9861" spans="11:11" x14ac:dyDescent="0.25">
      <c r="K9861" s="8" t="e">
        <f t="shared" si="154"/>
        <v>#VALUE!</v>
      </c>
    </row>
    <row r="9862" spans="11:11" x14ac:dyDescent="0.25">
      <c r="K9862" s="8" t="e">
        <f t="shared" si="154"/>
        <v>#VALUE!</v>
      </c>
    </row>
    <row r="9863" spans="11:11" x14ac:dyDescent="0.25">
      <c r="K9863" s="8" t="e">
        <f t="shared" si="154"/>
        <v>#VALUE!</v>
      </c>
    </row>
    <row r="9864" spans="11:11" x14ac:dyDescent="0.25">
      <c r="K9864" s="8" t="e">
        <f t="shared" si="154"/>
        <v>#VALUE!</v>
      </c>
    </row>
    <row r="9865" spans="11:11" x14ac:dyDescent="0.25">
      <c r="K9865" s="8" t="e">
        <f t="shared" si="154"/>
        <v>#VALUE!</v>
      </c>
    </row>
    <row r="9866" spans="11:11" x14ac:dyDescent="0.25">
      <c r="K9866" s="8" t="e">
        <f t="shared" si="154"/>
        <v>#VALUE!</v>
      </c>
    </row>
    <row r="9867" spans="11:11" x14ac:dyDescent="0.25">
      <c r="K9867" s="8" t="e">
        <f t="shared" si="154"/>
        <v>#VALUE!</v>
      </c>
    </row>
    <row r="9868" spans="11:11" x14ac:dyDescent="0.25">
      <c r="K9868" s="8" t="e">
        <f t="shared" si="154"/>
        <v>#VALUE!</v>
      </c>
    </row>
    <row r="9869" spans="11:11" x14ac:dyDescent="0.25">
      <c r="K9869" s="8" t="e">
        <f t="shared" si="154"/>
        <v>#VALUE!</v>
      </c>
    </row>
    <row r="9870" spans="11:11" x14ac:dyDescent="0.25">
      <c r="K9870" s="8" t="e">
        <f t="shared" si="154"/>
        <v>#VALUE!</v>
      </c>
    </row>
    <row r="9871" spans="11:11" x14ac:dyDescent="0.25">
      <c r="K9871" s="8" t="e">
        <f t="shared" si="154"/>
        <v>#VALUE!</v>
      </c>
    </row>
    <row r="9872" spans="11:11" x14ac:dyDescent="0.25">
      <c r="K9872" s="8" t="e">
        <f t="shared" si="154"/>
        <v>#VALUE!</v>
      </c>
    </row>
    <row r="9873" spans="11:11" x14ac:dyDescent="0.25">
      <c r="K9873" s="8" t="e">
        <f t="shared" si="154"/>
        <v>#VALUE!</v>
      </c>
    </row>
    <row r="9874" spans="11:11" x14ac:dyDescent="0.25">
      <c r="K9874" s="8" t="e">
        <f t="shared" si="154"/>
        <v>#VALUE!</v>
      </c>
    </row>
    <row r="9875" spans="11:11" x14ac:dyDescent="0.25">
      <c r="K9875" s="8" t="e">
        <f t="shared" si="154"/>
        <v>#VALUE!</v>
      </c>
    </row>
    <row r="9876" spans="11:11" x14ac:dyDescent="0.25">
      <c r="K9876" s="8" t="e">
        <f t="shared" si="154"/>
        <v>#VALUE!</v>
      </c>
    </row>
    <row r="9877" spans="11:11" x14ac:dyDescent="0.25">
      <c r="K9877" s="8" t="e">
        <f t="shared" si="154"/>
        <v>#VALUE!</v>
      </c>
    </row>
    <row r="9878" spans="11:11" x14ac:dyDescent="0.25">
      <c r="K9878" s="8" t="e">
        <f t="shared" si="154"/>
        <v>#VALUE!</v>
      </c>
    </row>
    <row r="9879" spans="11:11" x14ac:dyDescent="0.25">
      <c r="K9879" s="8" t="e">
        <f t="shared" si="154"/>
        <v>#VALUE!</v>
      </c>
    </row>
    <row r="9880" spans="11:11" x14ac:dyDescent="0.25">
      <c r="K9880" s="8" t="e">
        <f t="shared" si="154"/>
        <v>#VALUE!</v>
      </c>
    </row>
    <row r="9881" spans="11:11" x14ac:dyDescent="0.25">
      <c r="K9881" s="8" t="e">
        <f t="shared" si="154"/>
        <v>#VALUE!</v>
      </c>
    </row>
    <row r="9882" spans="11:11" x14ac:dyDescent="0.25">
      <c r="K9882" s="8" t="e">
        <f t="shared" si="154"/>
        <v>#VALUE!</v>
      </c>
    </row>
    <row r="9883" spans="11:11" x14ac:dyDescent="0.25">
      <c r="K9883" s="8" t="e">
        <f t="shared" si="154"/>
        <v>#VALUE!</v>
      </c>
    </row>
    <row r="9884" spans="11:11" x14ac:dyDescent="0.25">
      <c r="K9884" s="8" t="e">
        <f t="shared" si="154"/>
        <v>#VALUE!</v>
      </c>
    </row>
    <row r="9885" spans="11:11" x14ac:dyDescent="0.25">
      <c r="K9885" s="8" t="e">
        <f t="shared" si="154"/>
        <v>#VALUE!</v>
      </c>
    </row>
    <row r="9886" spans="11:11" x14ac:dyDescent="0.25">
      <c r="K9886" s="8" t="e">
        <f t="shared" si="154"/>
        <v>#VALUE!</v>
      </c>
    </row>
    <row r="9887" spans="11:11" x14ac:dyDescent="0.25">
      <c r="K9887" s="8" t="e">
        <f t="shared" si="154"/>
        <v>#VALUE!</v>
      </c>
    </row>
    <row r="9888" spans="11:11" x14ac:dyDescent="0.25">
      <c r="K9888" s="8" t="e">
        <f t="shared" si="154"/>
        <v>#VALUE!</v>
      </c>
    </row>
    <row r="9889" spans="11:11" x14ac:dyDescent="0.25">
      <c r="K9889" s="8" t="e">
        <f t="shared" si="154"/>
        <v>#VALUE!</v>
      </c>
    </row>
    <row r="9890" spans="11:11" x14ac:dyDescent="0.25">
      <c r="K9890" s="8" t="e">
        <f t="shared" si="154"/>
        <v>#VALUE!</v>
      </c>
    </row>
    <row r="9891" spans="11:11" x14ac:dyDescent="0.25">
      <c r="K9891" s="8" t="e">
        <f t="shared" si="154"/>
        <v>#VALUE!</v>
      </c>
    </row>
    <row r="9892" spans="11:11" x14ac:dyDescent="0.25">
      <c r="K9892" s="8" t="e">
        <f t="shared" si="154"/>
        <v>#VALUE!</v>
      </c>
    </row>
    <row r="9893" spans="11:11" x14ac:dyDescent="0.25">
      <c r="K9893" s="8" t="e">
        <f t="shared" si="154"/>
        <v>#VALUE!</v>
      </c>
    </row>
    <row r="9894" spans="11:11" x14ac:dyDescent="0.25">
      <c r="K9894" s="8" t="e">
        <f t="shared" si="154"/>
        <v>#VALUE!</v>
      </c>
    </row>
    <row r="9895" spans="11:11" x14ac:dyDescent="0.25">
      <c r="K9895" s="8" t="e">
        <f t="shared" si="154"/>
        <v>#VALUE!</v>
      </c>
    </row>
    <row r="9896" spans="11:11" x14ac:dyDescent="0.25">
      <c r="K9896" s="8" t="e">
        <f t="shared" si="154"/>
        <v>#VALUE!</v>
      </c>
    </row>
    <row r="9897" spans="11:11" x14ac:dyDescent="0.25">
      <c r="K9897" s="8" t="e">
        <f t="shared" si="154"/>
        <v>#VALUE!</v>
      </c>
    </row>
    <row r="9898" spans="11:11" x14ac:dyDescent="0.25">
      <c r="K9898" s="8" t="e">
        <f t="shared" si="154"/>
        <v>#VALUE!</v>
      </c>
    </row>
    <row r="9899" spans="11:11" x14ac:dyDescent="0.25">
      <c r="K9899" s="8" t="e">
        <f t="shared" si="154"/>
        <v>#VALUE!</v>
      </c>
    </row>
    <row r="9900" spans="11:11" x14ac:dyDescent="0.25">
      <c r="K9900" s="8" t="e">
        <f t="shared" si="154"/>
        <v>#VALUE!</v>
      </c>
    </row>
    <row r="9901" spans="11:11" x14ac:dyDescent="0.25">
      <c r="K9901" s="8" t="e">
        <f t="shared" si="154"/>
        <v>#VALUE!</v>
      </c>
    </row>
    <row r="9902" spans="11:11" x14ac:dyDescent="0.25">
      <c r="K9902" s="8" t="e">
        <f t="shared" si="154"/>
        <v>#VALUE!</v>
      </c>
    </row>
    <row r="9903" spans="11:11" x14ac:dyDescent="0.25">
      <c r="K9903" s="8" t="e">
        <f t="shared" si="154"/>
        <v>#VALUE!</v>
      </c>
    </row>
    <row r="9904" spans="11:11" x14ac:dyDescent="0.25">
      <c r="K9904" s="8" t="e">
        <f t="shared" si="154"/>
        <v>#VALUE!</v>
      </c>
    </row>
    <row r="9905" spans="11:11" x14ac:dyDescent="0.25">
      <c r="K9905" s="8" t="e">
        <f t="shared" si="154"/>
        <v>#VALUE!</v>
      </c>
    </row>
    <row r="9906" spans="11:11" x14ac:dyDescent="0.25">
      <c r="K9906" s="8" t="e">
        <f t="shared" si="154"/>
        <v>#VALUE!</v>
      </c>
    </row>
    <row r="9907" spans="11:11" x14ac:dyDescent="0.25">
      <c r="K9907" s="8" t="e">
        <f t="shared" si="154"/>
        <v>#VALUE!</v>
      </c>
    </row>
    <row r="9908" spans="11:11" x14ac:dyDescent="0.25">
      <c r="K9908" s="8" t="e">
        <f t="shared" si="154"/>
        <v>#VALUE!</v>
      </c>
    </row>
    <row r="9909" spans="11:11" x14ac:dyDescent="0.25">
      <c r="K9909" s="8" t="e">
        <f t="shared" si="154"/>
        <v>#VALUE!</v>
      </c>
    </row>
    <row r="9910" spans="11:11" x14ac:dyDescent="0.25">
      <c r="K9910" s="8" t="e">
        <f t="shared" si="154"/>
        <v>#VALUE!</v>
      </c>
    </row>
    <row r="9911" spans="11:11" x14ac:dyDescent="0.25">
      <c r="K9911" s="8" t="e">
        <f t="shared" si="154"/>
        <v>#VALUE!</v>
      </c>
    </row>
    <row r="9912" spans="11:11" x14ac:dyDescent="0.25">
      <c r="K9912" s="8" t="e">
        <f t="shared" si="154"/>
        <v>#VALUE!</v>
      </c>
    </row>
    <row r="9913" spans="11:11" x14ac:dyDescent="0.25">
      <c r="K9913" s="8" t="e">
        <f t="shared" si="154"/>
        <v>#VALUE!</v>
      </c>
    </row>
    <row r="9914" spans="11:11" x14ac:dyDescent="0.25">
      <c r="K9914" s="8" t="e">
        <f t="shared" si="154"/>
        <v>#VALUE!</v>
      </c>
    </row>
    <row r="9915" spans="11:11" x14ac:dyDescent="0.25">
      <c r="K9915" s="8" t="e">
        <f t="shared" si="154"/>
        <v>#VALUE!</v>
      </c>
    </row>
    <row r="9916" spans="11:11" x14ac:dyDescent="0.25">
      <c r="K9916" s="8" t="e">
        <f t="shared" si="154"/>
        <v>#VALUE!</v>
      </c>
    </row>
    <row r="9917" spans="11:11" x14ac:dyDescent="0.25">
      <c r="K9917" s="8" t="e">
        <f t="shared" si="154"/>
        <v>#VALUE!</v>
      </c>
    </row>
    <row r="9918" spans="11:11" x14ac:dyDescent="0.25">
      <c r="K9918" s="8" t="e">
        <f t="shared" si="154"/>
        <v>#VALUE!</v>
      </c>
    </row>
    <row r="9919" spans="11:11" x14ac:dyDescent="0.25">
      <c r="K9919" s="8" t="e">
        <f t="shared" si="154"/>
        <v>#VALUE!</v>
      </c>
    </row>
    <row r="9920" spans="11:11" x14ac:dyDescent="0.25">
      <c r="K9920" s="8" t="e">
        <f t="shared" si="154"/>
        <v>#VALUE!</v>
      </c>
    </row>
    <row r="9921" spans="11:11" x14ac:dyDescent="0.25">
      <c r="K9921" s="8" t="e">
        <f t="shared" si="154"/>
        <v>#VALUE!</v>
      </c>
    </row>
    <row r="9922" spans="11:11" x14ac:dyDescent="0.25">
      <c r="K9922" s="8" t="e">
        <f t="shared" si="154"/>
        <v>#VALUE!</v>
      </c>
    </row>
    <row r="9923" spans="11:11" x14ac:dyDescent="0.25">
      <c r="K9923" s="8" t="e">
        <f t="shared" ref="K9923:K9986" si="155">LEFT(A9923,FIND("/",A9923)-1)</f>
        <v>#VALUE!</v>
      </c>
    </row>
    <row r="9924" spans="11:11" x14ac:dyDescent="0.25">
      <c r="K9924" s="8" t="e">
        <f t="shared" si="155"/>
        <v>#VALUE!</v>
      </c>
    </row>
    <row r="9925" spans="11:11" x14ac:dyDescent="0.25">
      <c r="K9925" s="8" t="e">
        <f t="shared" si="155"/>
        <v>#VALUE!</v>
      </c>
    </row>
    <row r="9926" spans="11:11" x14ac:dyDescent="0.25">
      <c r="K9926" s="8" t="e">
        <f t="shared" si="155"/>
        <v>#VALUE!</v>
      </c>
    </row>
    <row r="9927" spans="11:11" x14ac:dyDescent="0.25">
      <c r="K9927" s="8" t="e">
        <f t="shared" si="155"/>
        <v>#VALUE!</v>
      </c>
    </row>
    <row r="9928" spans="11:11" x14ac:dyDescent="0.25">
      <c r="K9928" s="8" t="e">
        <f t="shared" si="155"/>
        <v>#VALUE!</v>
      </c>
    </row>
    <row r="9929" spans="11:11" x14ac:dyDescent="0.25">
      <c r="K9929" s="8" t="e">
        <f t="shared" si="155"/>
        <v>#VALUE!</v>
      </c>
    </row>
    <row r="9930" spans="11:11" x14ac:dyDescent="0.25">
      <c r="K9930" s="8" t="e">
        <f t="shared" si="155"/>
        <v>#VALUE!</v>
      </c>
    </row>
    <row r="9931" spans="11:11" x14ac:dyDescent="0.25">
      <c r="K9931" s="8" t="e">
        <f t="shared" si="155"/>
        <v>#VALUE!</v>
      </c>
    </row>
    <row r="9932" spans="11:11" x14ac:dyDescent="0.25">
      <c r="K9932" s="8" t="e">
        <f t="shared" si="155"/>
        <v>#VALUE!</v>
      </c>
    </row>
    <row r="9933" spans="11:11" x14ac:dyDescent="0.25">
      <c r="K9933" s="8" t="e">
        <f t="shared" si="155"/>
        <v>#VALUE!</v>
      </c>
    </row>
    <row r="9934" spans="11:11" x14ac:dyDescent="0.25">
      <c r="K9934" s="8" t="e">
        <f t="shared" si="155"/>
        <v>#VALUE!</v>
      </c>
    </row>
    <row r="9935" spans="11:11" x14ac:dyDescent="0.25">
      <c r="K9935" s="8" t="e">
        <f t="shared" si="155"/>
        <v>#VALUE!</v>
      </c>
    </row>
    <row r="9936" spans="11:11" x14ac:dyDescent="0.25">
      <c r="K9936" s="8" t="e">
        <f t="shared" si="155"/>
        <v>#VALUE!</v>
      </c>
    </row>
    <row r="9937" spans="11:11" x14ac:dyDescent="0.25">
      <c r="K9937" s="8" t="e">
        <f t="shared" si="155"/>
        <v>#VALUE!</v>
      </c>
    </row>
    <row r="9938" spans="11:11" x14ac:dyDescent="0.25">
      <c r="K9938" s="8" t="e">
        <f t="shared" si="155"/>
        <v>#VALUE!</v>
      </c>
    </row>
    <row r="9939" spans="11:11" x14ac:dyDescent="0.25">
      <c r="K9939" s="8" t="e">
        <f t="shared" si="155"/>
        <v>#VALUE!</v>
      </c>
    </row>
    <row r="9940" spans="11:11" x14ac:dyDescent="0.25">
      <c r="K9940" s="8" t="e">
        <f t="shared" si="155"/>
        <v>#VALUE!</v>
      </c>
    </row>
    <row r="9941" spans="11:11" x14ac:dyDescent="0.25">
      <c r="K9941" s="8" t="e">
        <f t="shared" si="155"/>
        <v>#VALUE!</v>
      </c>
    </row>
    <row r="9942" spans="11:11" x14ac:dyDescent="0.25">
      <c r="K9942" s="8" t="e">
        <f t="shared" si="155"/>
        <v>#VALUE!</v>
      </c>
    </row>
    <row r="9943" spans="11:11" x14ac:dyDescent="0.25">
      <c r="K9943" s="8" t="e">
        <f t="shared" si="155"/>
        <v>#VALUE!</v>
      </c>
    </row>
    <row r="9944" spans="11:11" x14ac:dyDescent="0.25">
      <c r="K9944" s="8" t="e">
        <f t="shared" si="155"/>
        <v>#VALUE!</v>
      </c>
    </row>
    <row r="9945" spans="11:11" x14ac:dyDescent="0.25">
      <c r="K9945" s="8" t="e">
        <f t="shared" si="155"/>
        <v>#VALUE!</v>
      </c>
    </row>
    <row r="9946" spans="11:11" x14ac:dyDescent="0.25">
      <c r="K9946" s="8" t="e">
        <f t="shared" si="155"/>
        <v>#VALUE!</v>
      </c>
    </row>
    <row r="9947" spans="11:11" x14ac:dyDescent="0.25">
      <c r="K9947" s="8" t="e">
        <f t="shared" si="155"/>
        <v>#VALUE!</v>
      </c>
    </row>
    <row r="9948" spans="11:11" x14ac:dyDescent="0.25">
      <c r="K9948" s="8" t="e">
        <f t="shared" si="155"/>
        <v>#VALUE!</v>
      </c>
    </row>
    <row r="9949" spans="11:11" x14ac:dyDescent="0.25">
      <c r="K9949" s="8" t="e">
        <f t="shared" si="155"/>
        <v>#VALUE!</v>
      </c>
    </row>
    <row r="9950" spans="11:11" x14ac:dyDescent="0.25">
      <c r="K9950" s="8" t="e">
        <f t="shared" si="155"/>
        <v>#VALUE!</v>
      </c>
    </row>
    <row r="9951" spans="11:11" x14ac:dyDescent="0.25">
      <c r="K9951" s="8" t="e">
        <f t="shared" si="155"/>
        <v>#VALUE!</v>
      </c>
    </row>
    <row r="9952" spans="11:11" x14ac:dyDescent="0.25">
      <c r="K9952" s="8" t="e">
        <f t="shared" si="155"/>
        <v>#VALUE!</v>
      </c>
    </row>
    <row r="9953" spans="11:11" x14ac:dyDescent="0.25">
      <c r="K9953" s="8" t="e">
        <f t="shared" si="155"/>
        <v>#VALUE!</v>
      </c>
    </row>
    <row r="9954" spans="11:11" x14ac:dyDescent="0.25">
      <c r="K9954" s="8" t="e">
        <f t="shared" si="155"/>
        <v>#VALUE!</v>
      </c>
    </row>
    <row r="9955" spans="11:11" x14ac:dyDescent="0.25">
      <c r="K9955" s="8" t="e">
        <f t="shared" si="155"/>
        <v>#VALUE!</v>
      </c>
    </row>
    <row r="9956" spans="11:11" x14ac:dyDescent="0.25">
      <c r="K9956" s="8" t="e">
        <f t="shared" si="155"/>
        <v>#VALUE!</v>
      </c>
    </row>
    <row r="9957" spans="11:11" x14ac:dyDescent="0.25">
      <c r="K9957" s="8" t="e">
        <f t="shared" si="155"/>
        <v>#VALUE!</v>
      </c>
    </row>
    <row r="9958" spans="11:11" x14ac:dyDescent="0.25">
      <c r="K9958" s="8" t="e">
        <f t="shared" si="155"/>
        <v>#VALUE!</v>
      </c>
    </row>
    <row r="9959" spans="11:11" x14ac:dyDescent="0.25">
      <c r="K9959" s="8" t="e">
        <f t="shared" si="155"/>
        <v>#VALUE!</v>
      </c>
    </row>
    <row r="9960" spans="11:11" x14ac:dyDescent="0.25">
      <c r="K9960" s="8" t="e">
        <f t="shared" si="155"/>
        <v>#VALUE!</v>
      </c>
    </row>
    <row r="9961" spans="11:11" x14ac:dyDescent="0.25">
      <c r="K9961" s="8" t="e">
        <f t="shared" si="155"/>
        <v>#VALUE!</v>
      </c>
    </row>
    <row r="9962" spans="11:11" x14ac:dyDescent="0.25">
      <c r="K9962" s="8" t="e">
        <f t="shared" si="155"/>
        <v>#VALUE!</v>
      </c>
    </row>
    <row r="9963" spans="11:11" x14ac:dyDescent="0.25">
      <c r="K9963" s="8" t="e">
        <f t="shared" si="155"/>
        <v>#VALUE!</v>
      </c>
    </row>
    <row r="9964" spans="11:11" x14ac:dyDescent="0.25">
      <c r="K9964" s="8" t="e">
        <f t="shared" si="155"/>
        <v>#VALUE!</v>
      </c>
    </row>
    <row r="9965" spans="11:11" x14ac:dyDescent="0.25">
      <c r="K9965" s="8" t="e">
        <f t="shared" si="155"/>
        <v>#VALUE!</v>
      </c>
    </row>
    <row r="9966" spans="11:11" x14ac:dyDescent="0.25">
      <c r="K9966" s="8" t="e">
        <f t="shared" si="155"/>
        <v>#VALUE!</v>
      </c>
    </row>
    <row r="9967" spans="11:11" x14ac:dyDescent="0.25">
      <c r="K9967" s="8" t="e">
        <f t="shared" si="155"/>
        <v>#VALUE!</v>
      </c>
    </row>
    <row r="9968" spans="11:11" x14ac:dyDescent="0.25">
      <c r="K9968" s="8" t="e">
        <f t="shared" si="155"/>
        <v>#VALUE!</v>
      </c>
    </row>
    <row r="9969" spans="11:11" x14ac:dyDescent="0.25">
      <c r="K9969" s="8" t="e">
        <f t="shared" si="155"/>
        <v>#VALUE!</v>
      </c>
    </row>
    <row r="9970" spans="11:11" x14ac:dyDescent="0.25">
      <c r="K9970" s="8" t="e">
        <f t="shared" si="155"/>
        <v>#VALUE!</v>
      </c>
    </row>
    <row r="9971" spans="11:11" x14ac:dyDescent="0.25">
      <c r="K9971" s="8" t="e">
        <f t="shared" si="155"/>
        <v>#VALUE!</v>
      </c>
    </row>
    <row r="9972" spans="11:11" x14ac:dyDescent="0.25">
      <c r="K9972" s="8" t="e">
        <f t="shared" si="155"/>
        <v>#VALUE!</v>
      </c>
    </row>
    <row r="9973" spans="11:11" x14ac:dyDescent="0.25">
      <c r="K9973" s="8" t="e">
        <f t="shared" si="155"/>
        <v>#VALUE!</v>
      </c>
    </row>
    <row r="9974" spans="11:11" x14ac:dyDescent="0.25">
      <c r="K9974" s="8" t="e">
        <f t="shared" si="155"/>
        <v>#VALUE!</v>
      </c>
    </row>
    <row r="9975" spans="11:11" x14ac:dyDescent="0.25">
      <c r="K9975" s="8" t="e">
        <f t="shared" si="155"/>
        <v>#VALUE!</v>
      </c>
    </row>
    <row r="9976" spans="11:11" x14ac:dyDescent="0.25">
      <c r="K9976" s="8" t="e">
        <f t="shared" si="155"/>
        <v>#VALUE!</v>
      </c>
    </row>
    <row r="9977" spans="11:11" x14ac:dyDescent="0.25">
      <c r="K9977" s="8" t="e">
        <f t="shared" si="155"/>
        <v>#VALUE!</v>
      </c>
    </row>
    <row r="9978" spans="11:11" x14ac:dyDescent="0.25">
      <c r="K9978" s="8" t="e">
        <f t="shared" si="155"/>
        <v>#VALUE!</v>
      </c>
    </row>
    <row r="9979" spans="11:11" x14ac:dyDescent="0.25">
      <c r="K9979" s="8" t="e">
        <f t="shared" si="155"/>
        <v>#VALUE!</v>
      </c>
    </row>
    <row r="9980" spans="11:11" x14ac:dyDescent="0.25">
      <c r="K9980" s="8" t="e">
        <f t="shared" si="155"/>
        <v>#VALUE!</v>
      </c>
    </row>
    <row r="9981" spans="11:11" x14ac:dyDescent="0.25">
      <c r="K9981" s="8" t="e">
        <f t="shared" si="155"/>
        <v>#VALUE!</v>
      </c>
    </row>
    <row r="9982" spans="11:11" x14ac:dyDescent="0.25">
      <c r="K9982" s="8" t="e">
        <f t="shared" si="155"/>
        <v>#VALUE!</v>
      </c>
    </row>
    <row r="9983" spans="11:11" x14ac:dyDescent="0.25">
      <c r="K9983" s="8" t="e">
        <f t="shared" si="155"/>
        <v>#VALUE!</v>
      </c>
    </row>
    <row r="9984" spans="11:11" x14ac:dyDescent="0.25">
      <c r="K9984" s="8" t="e">
        <f t="shared" si="155"/>
        <v>#VALUE!</v>
      </c>
    </row>
    <row r="9985" spans="11:11" x14ac:dyDescent="0.25">
      <c r="K9985" s="8" t="e">
        <f t="shared" si="155"/>
        <v>#VALUE!</v>
      </c>
    </row>
    <row r="9986" spans="11:11" x14ac:dyDescent="0.25">
      <c r="K9986" s="8" t="e">
        <f t="shared" si="155"/>
        <v>#VALUE!</v>
      </c>
    </row>
    <row r="9987" spans="11:11" x14ac:dyDescent="0.25">
      <c r="K9987" s="8" t="e">
        <f t="shared" ref="K9987:K10050" si="156">LEFT(A9987,FIND("/",A9987)-1)</f>
        <v>#VALUE!</v>
      </c>
    </row>
    <row r="9988" spans="11:11" x14ac:dyDescent="0.25">
      <c r="K9988" s="8" t="e">
        <f t="shared" si="156"/>
        <v>#VALUE!</v>
      </c>
    </row>
    <row r="9989" spans="11:11" x14ac:dyDescent="0.25">
      <c r="K9989" s="8" t="e">
        <f t="shared" si="156"/>
        <v>#VALUE!</v>
      </c>
    </row>
    <row r="9990" spans="11:11" x14ac:dyDescent="0.25">
      <c r="K9990" s="8" t="e">
        <f t="shared" si="156"/>
        <v>#VALUE!</v>
      </c>
    </row>
    <row r="9991" spans="11:11" x14ac:dyDescent="0.25">
      <c r="K9991" s="8" t="e">
        <f t="shared" si="156"/>
        <v>#VALUE!</v>
      </c>
    </row>
    <row r="9992" spans="11:11" x14ac:dyDescent="0.25">
      <c r="K9992" s="8" t="e">
        <f t="shared" si="156"/>
        <v>#VALUE!</v>
      </c>
    </row>
    <row r="9993" spans="11:11" x14ac:dyDescent="0.25">
      <c r="K9993" s="8" t="e">
        <f t="shared" si="156"/>
        <v>#VALUE!</v>
      </c>
    </row>
    <row r="9994" spans="11:11" x14ac:dyDescent="0.25">
      <c r="K9994" s="8" t="e">
        <f t="shared" si="156"/>
        <v>#VALUE!</v>
      </c>
    </row>
    <row r="9995" spans="11:11" x14ac:dyDescent="0.25">
      <c r="K9995" s="8" t="e">
        <f t="shared" si="156"/>
        <v>#VALUE!</v>
      </c>
    </row>
    <row r="9996" spans="11:11" x14ac:dyDescent="0.25">
      <c r="K9996" s="8" t="e">
        <f t="shared" si="156"/>
        <v>#VALUE!</v>
      </c>
    </row>
    <row r="9997" spans="11:11" x14ac:dyDescent="0.25">
      <c r="K9997" s="8" t="e">
        <f t="shared" si="156"/>
        <v>#VALUE!</v>
      </c>
    </row>
    <row r="9998" spans="11:11" x14ac:dyDescent="0.25">
      <c r="K9998" s="8" t="e">
        <f t="shared" si="156"/>
        <v>#VALUE!</v>
      </c>
    </row>
    <row r="9999" spans="11:11" x14ac:dyDescent="0.25">
      <c r="K9999" s="8" t="e">
        <f t="shared" si="156"/>
        <v>#VALUE!</v>
      </c>
    </row>
    <row r="10000" spans="11:11" x14ac:dyDescent="0.25">
      <c r="K10000" s="8" t="e">
        <f t="shared" si="156"/>
        <v>#VALUE!</v>
      </c>
    </row>
    <row r="10001" spans="11:11" x14ac:dyDescent="0.25">
      <c r="K10001" s="8" t="e">
        <f t="shared" si="156"/>
        <v>#VALUE!</v>
      </c>
    </row>
    <row r="10002" spans="11:11" x14ac:dyDescent="0.25">
      <c r="K10002" s="8" t="e">
        <f t="shared" si="156"/>
        <v>#VALUE!</v>
      </c>
    </row>
    <row r="10003" spans="11:11" x14ac:dyDescent="0.25">
      <c r="K10003" s="8" t="e">
        <f t="shared" si="156"/>
        <v>#VALUE!</v>
      </c>
    </row>
    <row r="10004" spans="11:11" x14ac:dyDescent="0.25">
      <c r="K10004" s="8" t="e">
        <f t="shared" si="156"/>
        <v>#VALUE!</v>
      </c>
    </row>
    <row r="10005" spans="11:11" x14ac:dyDescent="0.25">
      <c r="K10005" s="8" t="e">
        <f t="shared" si="156"/>
        <v>#VALUE!</v>
      </c>
    </row>
    <row r="10006" spans="11:11" x14ac:dyDescent="0.25">
      <c r="K10006" s="8" t="e">
        <f t="shared" si="156"/>
        <v>#VALUE!</v>
      </c>
    </row>
    <row r="10007" spans="11:11" x14ac:dyDescent="0.25">
      <c r="K10007" s="8" t="e">
        <f t="shared" si="156"/>
        <v>#VALUE!</v>
      </c>
    </row>
    <row r="10008" spans="11:11" x14ac:dyDescent="0.25">
      <c r="K10008" s="8" t="e">
        <f t="shared" si="156"/>
        <v>#VALUE!</v>
      </c>
    </row>
    <row r="10009" spans="11:11" x14ac:dyDescent="0.25">
      <c r="K10009" s="8" t="e">
        <f t="shared" si="156"/>
        <v>#VALUE!</v>
      </c>
    </row>
    <row r="10010" spans="11:11" x14ac:dyDescent="0.25">
      <c r="K10010" s="8" t="e">
        <f t="shared" si="156"/>
        <v>#VALUE!</v>
      </c>
    </row>
    <row r="10011" spans="11:11" x14ac:dyDescent="0.25">
      <c r="K10011" s="8" t="e">
        <f t="shared" si="156"/>
        <v>#VALUE!</v>
      </c>
    </row>
    <row r="10012" spans="11:11" x14ac:dyDescent="0.25">
      <c r="K10012" s="8" t="e">
        <f t="shared" si="156"/>
        <v>#VALUE!</v>
      </c>
    </row>
    <row r="10013" spans="11:11" x14ac:dyDescent="0.25">
      <c r="K10013" s="8" t="e">
        <f t="shared" si="156"/>
        <v>#VALUE!</v>
      </c>
    </row>
    <row r="10014" spans="11:11" x14ac:dyDescent="0.25">
      <c r="K10014" s="8" t="e">
        <f t="shared" si="156"/>
        <v>#VALUE!</v>
      </c>
    </row>
    <row r="10015" spans="11:11" x14ac:dyDescent="0.25">
      <c r="K10015" s="8" t="e">
        <f t="shared" si="156"/>
        <v>#VALUE!</v>
      </c>
    </row>
    <row r="10016" spans="11:11" x14ac:dyDescent="0.25">
      <c r="K10016" s="8" t="e">
        <f t="shared" si="156"/>
        <v>#VALUE!</v>
      </c>
    </row>
    <row r="10017" spans="11:11" x14ac:dyDescent="0.25">
      <c r="K10017" s="8" t="e">
        <f t="shared" si="156"/>
        <v>#VALUE!</v>
      </c>
    </row>
    <row r="10018" spans="11:11" x14ac:dyDescent="0.25">
      <c r="K10018" s="8" t="e">
        <f t="shared" si="156"/>
        <v>#VALUE!</v>
      </c>
    </row>
    <row r="10019" spans="11:11" x14ac:dyDescent="0.25">
      <c r="K10019" s="8" t="e">
        <f t="shared" si="156"/>
        <v>#VALUE!</v>
      </c>
    </row>
    <row r="10020" spans="11:11" x14ac:dyDescent="0.25">
      <c r="K10020" s="8" t="e">
        <f t="shared" si="156"/>
        <v>#VALUE!</v>
      </c>
    </row>
    <row r="10021" spans="11:11" x14ac:dyDescent="0.25">
      <c r="K10021" s="8" t="e">
        <f t="shared" si="156"/>
        <v>#VALUE!</v>
      </c>
    </row>
    <row r="10022" spans="11:11" x14ac:dyDescent="0.25">
      <c r="K10022" s="8" t="e">
        <f t="shared" si="156"/>
        <v>#VALUE!</v>
      </c>
    </row>
    <row r="10023" spans="11:11" x14ac:dyDescent="0.25">
      <c r="K10023" s="8" t="e">
        <f t="shared" si="156"/>
        <v>#VALUE!</v>
      </c>
    </row>
    <row r="10024" spans="11:11" x14ac:dyDescent="0.25">
      <c r="K10024" s="8" t="e">
        <f t="shared" si="156"/>
        <v>#VALUE!</v>
      </c>
    </row>
    <row r="10025" spans="11:11" x14ac:dyDescent="0.25">
      <c r="K10025" s="8" t="e">
        <f t="shared" si="156"/>
        <v>#VALUE!</v>
      </c>
    </row>
    <row r="10026" spans="11:11" x14ac:dyDescent="0.25">
      <c r="K10026" s="8" t="e">
        <f t="shared" si="156"/>
        <v>#VALUE!</v>
      </c>
    </row>
    <row r="10027" spans="11:11" x14ac:dyDescent="0.25">
      <c r="K10027" s="8" t="e">
        <f t="shared" si="156"/>
        <v>#VALUE!</v>
      </c>
    </row>
    <row r="10028" spans="11:11" x14ac:dyDescent="0.25">
      <c r="K10028" s="8" t="e">
        <f t="shared" si="156"/>
        <v>#VALUE!</v>
      </c>
    </row>
    <row r="10029" spans="11:11" x14ac:dyDescent="0.25">
      <c r="K10029" s="8" t="e">
        <f t="shared" si="156"/>
        <v>#VALUE!</v>
      </c>
    </row>
    <row r="10030" spans="11:11" x14ac:dyDescent="0.25">
      <c r="K10030" s="8" t="e">
        <f t="shared" si="156"/>
        <v>#VALUE!</v>
      </c>
    </row>
    <row r="10031" spans="11:11" x14ac:dyDescent="0.25">
      <c r="K10031" s="8" t="e">
        <f t="shared" si="156"/>
        <v>#VALUE!</v>
      </c>
    </row>
    <row r="10032" spans="11:11" x14ac:dyDescent="0.25">
      <c r="K10032" s="8" t="e">
        <f t="shared" si="156"/>
        <v>#VALUE!</v>
      </c>
    </row>
    <row r="10033" spans="11:11" x14ac:dyDescent="0.25">
      <c r="K10033" s="8" t="e">
        <f t="shared" si="156"/>
        <v>#VALUE!</v>
      </c>
    </row>
    <row r="10034" spans="11:11" x14ac:dyDescent="0.25">
      <c r="K10034" s="8" t="e">
        <f t="shared" si="156"/>
        <v>#VALUE!</v>
      </c>
    </row>
    <row r="10035" spans="11:11" x14ac:dyDescent="0.25">
      <c r="K10035" s="8" t="e">
        <f t="shared" si="156"/>
        <v>#VALUE!</v>
      </c>
    </row>
    <row r="10036" spans="11:11" x14ac:dyDescent="0.25">
      <c r="K10036" s="8" t="e">
        <f t="shared" si="156"/>
        <v>#VALUE!</v>
      </c>
    </row>
    <row r="10037" spans="11:11" x14ac:dyDescent="0.25">
      <c r="K10037" s="8" t="e">
        <f t="shared" si="156"/>
        <v>#VALUE!</v>
      </c>
    </row>
    <row r="10038" spans="11:11" x14ac:dyDescent="0.25">
      <c r="K10038" s="8" t="e">
        <f t="shared" si="156"/>
        <v>#VALUE!</v>
      </c>
    </row>
    <row r="10039" spans="11:11" x14ac:dyDescent="0.25">
      <c r="K10039" s="8" t="e">
        <f t="shared" si="156"/>
        <v>#VALUE!</v>
      </c>
    </row>
    <row r="10040" spans="11:11" x14ac:dyDescent="0.25">
      <c r="K10040" s="8" t="e">
        <f t="shared" si="156"/>
        <v>#VALUE!</v>
      </c>
    </row>
    <row r="10041" spans="11:11" x14ac:dyDescent="0.25">
      <c r="K10041" s="8" t="e">
        <f t="shared" si="156"/>
        <v>#VALUE!</v>
      </c>
    </row>
    <row r="10042" spans="11:11" x14ac:dyDescent="0.25">
      <c r="K10042" s="8" t="e">
        <f t="shared" si="156"/>
        <v>#VALUE!</v>
      </c>
    </row>
    <row r="10043" spans="11:11" x14ac:dyDescent="0.25">
      <c r="K10043" s="8" t="e">
        <f t="shared" si="156"/>
        <v>#VALUE!</v>
      </c>
    </row>
    <row r="10044" spans="11:11" x14ac:dyDescent="0.25">
      <c r="K10044" s="8" t="e">
        <f t="shared" si="156"/>
        <v>#VALUE!</v>
      </c>
    </row>
    <row r="10045" spans="11:11" x14ac:dyDescent="0.25">
      <c r="K10045" s="8" t="e">
        <f t="shared" si="156"/>
        <v>#VALUE!</v>
      </c>
    </row>
    <row r="10046" spans="11:11" x14ac:dyDescent="0.25">
      <c r="K10046" s="8" t="e">
        <f t="shared" si="156"/>
        <v>#VALUE!</v>
      </c>
    </row>
    <row r="10047" spans="11:11" x14ac:dyDescent="0.25">
      <c r="K10047" s="8" t="e">
        <f t="shared" si="156"/>
        <v>#VALUE!</v>
      </c>
    </row>
    <row r="10048" spans="11:11" x14ac:dyDescent="0.25">
      <c r="K10048" s="8" t="e">
        <f t="shared" si="156"/>
        <v>#VALUE!</v>
      </c>
    </row>
    <row r="10049" spans="11:11" x14ac:dyDescent="0.25">
      <c r="K10049" s="8" t="e">
        <f t="shared" si="156"/>
        <v>#VALUE!</v>
      </c>
    </row>
    <row r="10050" spans="11:11" x14ac:dyDescent="0.25">
      <c r="K10050" s="8" t="e">
        <f t="shared" si="156"/>
        <v>#VALUE!</v>
      </c>
    </row>
    <row r="10051" spans="11:11" x14ac:dyDescent="0.25">
      <c r="K10051" s="8" t="e">
        <f t="shared" ref="K10051:K10114" si="157">LEFT(A10051,FIND("/",A10051)-1)</f>
        <v>#VALUE!</v>
      </c>
    </row>
    <row r="10052" spans="11:11" x14ac:dyDescent="0.25">
      <c r="K10052" s="8" t="e">
        <f t="shared" si="157"/>
        <v>#VALUE!</v>
      </c>
    </row>
    <row r="10053" spans="11:11" x14ac:dyDescent="0.25">
      <c r="K10053" s="8" t="e">
        <f t="shared" si="157"/>
        <v>#VALUE!</v>
      </c>
    </row>
    <row r="10054" spans="11:11" x14ac:dyDescent="0.25">
      <c r="K10054" s="8" t="e">
        <f t="shared" si="157"/>
        <v>#VALUE!</v>
      </c>
    </row>
    <row r="10055" spans="11:11" x14ac:dyDescent="0.25">
      <c r="K10055" s="8" t="e">
        <f t="shared" si="157"/>
        <v>#VALUE!</v>
      </c>
    </row>
    <row r="10056" spans="11:11" x14ac:dyDescent="0.25">
      <c r="K10056" s="8" t="e">
        <f t="shared" si="157"/>
        <v>#VALUE!</v>
      </c>
    </row>
    <row r="10057" spans="11:11" x14ac:dyDescent="0.25">
      <c r="K10057" s="8" t="e">
        <f t="shared" si="157"/>
        <v>#VALUE!</v>
      </c>
    </row>
    <row r="10058" spans="11:11" x14ac:dyDescent="0.25">
      <c r="K10058" s="8" t="e">
        <f t="shared" si="157"/>
        <v>#VALUE!</v>
      </c>
    </row>
    <row r="10059" spans="11:11" x14ac:dyDescent="0.25">
      <c r="K10059" s="8" t="e">
        <f t="shared" si="157"/>
        <v>#VALUE!</v>
      </c>
    </row>
    <row r="10060" spans="11:11" x14ac:dyDescent="0.25">
      <c r="K10060" s="8" t="e">
        <f t="shared" si="157"/>
        <v>#VALUE!</v>
      </c>
    </row>
    <row r="10061" spans="11:11" x14ac:dyDescent="0.25">
      <c r="K10061" s="8" t="e">
        <f t="shared" si="157"/>
        <v>#VALUE!</v>
      </c>
    </row>
    <row r="10062" spans="11:11" x14ac:dyDescent="0.25">
      <c r="K10062" s="8" t="e">
        <f t="shared" si="157"/>
        <v>#VALUE!</v>
      </c>
    </row>
    <row r="10063" spans="11:11" x14ac:dyDescent="0.25">
      <c r="K10063" s="8" t="e">
        <f t="shared" si="157"/>
        <v>#VALUE!</v>
      </c>
    </row>
    <row r="10064" spans="11:11" x14ac:dyDescent="0.25">
      <c r="K10064" s="8" t="e">
        <f t="shared" si="157"/>
        <v>#VALUE!</v>
      </c>
    </row>
    <row r="10065" spans="11:11" x14ac:dyDescent="0.25">
      <c r="K10065" s="8" t="e">
        <f t="shared" si="157"/>
        <v>#VALUE!</v>
      </c>
    </row>
    <row r="10066" spans="11:11" x14ac:dyDescent="0.25">
      <c r="K10066" s="8" t="e">
        <f t="shared" si="157"/>
        <v>#VALUE!</v>
      </c>
    </row>
    <row r="10067" spans="11:11" x14ac:dyDescent="0.25">
      <c r="K10067" s="8" t="e">
        <f t="shared" si="157"/>
        <v>#VALUE!</v>
      </c>
    </row>
    <row r="10068" spans="11:11" x14ac:dyDescent="0.25">
      <c r="K10068" s="8" t="e">
        <f t="shared" si="157"/>
        <v>#VALUE!</v>
      </c>
    </row>
    <row r="10069" spans="11:11" x14ac:dyDescent="0.25">
      <c r="K10069" s="8" t="e">
        <f t="shared" si="157"/>
        <v>#VALUE!</v>
      </c>
    </row>
    <row r="10070" spans="11:11" x14ac:dyDescent="0.25">
      <c r="K10070" s="8" t="e">
        <f t="shared" si="157"/>
        <v>#VALUE!</v>
      </c>
    </row>
    <row r="10071" spans="11:11" x14ac:dyDescent="0.25">
      <c r="K10071" s="8" t="e">
        <f t="shared" si="157"/>
        <v>#VALUE!</v>
      </c>
    </row>
    <row r="10072" spans="11:11" x14ac:dyDescent="0.25">
      <c r="K10072" s="8" t="e">
        <f t="shared" si="157"/>
        <v>#VALUE!</v>
      </c>
    </row>
    <row r="10073" spans="11:11" x14ac:dyDescent="0.25">
      <c r="K10073" s="8" t="e">
        <f t="shared" si="157"/>
        <v>#VALUE!</v>
      </c>
    </row>
    <row r="10074" spans="11:11" x14ac:dyDescent="0.25">
      <c r="K10074" s="8" t="e">
        <f t="shared" si="157"/>
        <v>#VALUE!</v>
      </c>
    </row>
    <row r="10075" spans="11:11" x14ac:dyDescent="0.25">
      <c r="K10075" s="8" t="e">
        <f t="shared" si="157"/>
        <v>#VALUE!</v>
      </c>
    </row>
    <row r="10076" spans="11:11" x14ac:dyDescent="0.25">
      <c r="K10076" s="8" t="e">
        <f t="shared" si="157"/>
        <v>#VALUE!</v>
      </c>
    </row>
    <row r="10077" spans="11:11" x14ac:dyDescent="0.25">
      <c r="K10077" s="8" t="e">
        <f t="shared" si="157"/>
        <v>#VALUE!</v>
      </c>
    </row>
    <row r="10078" spans="11:11" x14ac:dyDescent="0.25">
      <c r="K10078" s="8" t="e">
        <f t="shared" si="157"/>
        <v>#VALUE!</v>
      </c>
    </row>
    <row r="10079" spans="11:11" x14ac:dyDescent="0.25">
      <c r="K10079" s="8" t="e">
        <f t="shared" si="157"/>
        <v>#VALUE!</v>
      </c>
    </row>
    <row r="10080" spans="11:11" x14ac:dyDescent="0.25">
      <c r="K10080" s="8" t="e">
        <f t="shared" si="157"/>
        <v>#VALUE!</v>
      </c>
    </row>
    <row r="10081" spans="11:11" x14ac:dyDescent="0.25">
      <c r="K10081" s="8" t="e">
        <f t="shared" si="157"/>
        <v>#VALUE!</v>
      </c>
    </row>
    <row r="10082" spans="11:11" x14ac:dyDescent="0.25">
      <c r="K10082" s="8" t="e">
        <f t="shared" si="157"/>
        <v>#VALUE!</v>
      </c>
    </row>
    <row r="10083" spans="11:11" x14ac:dyDescent="0.25">
      <c r="K10083" s="8" t="e">
        <f t="shared" si="157"/>
        <v>#VALUE!</v>
      </c>
    </row>
    <row r="10084" spans="11:11" x14ac:dyDescent="0.25">
      <c r="K10084" s="8" t="e">
        <f t="shared" si="157"/>
        <v>#VALUE!</v>
      </c>
    </row>
    <row r="10085" spans="11:11" x14ac:dyDescent="0.25">
      <c r="K10085" s="8" t="e">
        <f t="shared" si="157"/>
        <v>#VALUE!</v>
      </c>
    </row>
    <row r="10086" spans="11:11" x14ac:dyDescent="0.25">
      <c r="K10086" s="8" t="e">
        <f t="shared" si="157"/>
        <v>#VALUE!</v>
      </c>
    </row>
    <row r="10087" spans="11:11" x14ac:dyDescent="0.25">
      <c r="K10087" s="8" t="e">
        <f t="shared" si="157"/>
        <v>#VALUE!</v>
      </c>
    </row>
    <row r="10088" spans="11:11" x14ac:dyDescent="0.25">
      <c r="K10088" s="8" t="e">
        <f t="shared" si="157"/>
        <v>#VALUE!</v>
      </c>
    </row>
    <row r="10089" spans="11:11" x14ac:dyDescent="0.25">
      <c r="K10089" s="8" t="e">
        <f t="shared" si="157"/>
        <v>#VALUE!</v>
      </c>
    </row>
    <row r="10090" spans="11:11" x14ac:dyDescent="0.25">
      <c r="K10090" s="8" t="e">
        <f t="shared" si="157"/>
        <v>#VALUE!</v>
      </c>
    </row>
    <row r="10091" spans="11:11" x14ac:dyDescent="0.25">
      <c r="K10091" s="8" t="e">
        <f t="shared" si="157"/>
        <v>#VALUE!</v>
      </c>
    </row>
    <row r="10092" spans="11:11" x14ac:dyDescent="0.25">
      <c r="K10092" s="8" t="e">
        <f t="shared" si="157"/>
        <v>#VALUE!</v>
      </c>
    </row>
    <row r="10093" spans="11:11" x14ac:dyDescent="0.25">
      <c r="K10093" s="8" t="e">
        <f t="shared" si="157"/>
        <v>#VALUE!</v>
      </c>
    </row>
    <row r="10094" spans="11:11" x14ac:dyDescent="0.25">
      <c r="K10094" s="8" t="e">
        <f t="shared" si="157"/>
        <v>#VALUE!</v>
      </c>
    </row>
    <row r="10095" spans="11:11" x14ac:dyDescent="0.25">
      <c r="K10095" s="8" t="e">
        <f t="shared" si="157"/>
        <v>#VALUE!</v>
      </c>
    </row>
    <row r="10096" spans="11:11" x14ac:dyDescent="0.25">
      <c r="K10096" s="8" t="e">
        <f t="shared" si="157"/>
        <v>#VALUE!</v>
      </c>
    </row>
    <row r="10097" spans="11:11" x14ac:dyDescent="0.25">
      <c r="K10097" s="8" t="e">
        <f t="shared" si="157"/>
        <v>#VALUE!</v>
      </c>
    </row>
    <row r="10098" spans="11:11" x14ac:dyDescent="0.25">
      <c r="K10098" s="8" t="e">
        <f t="shared" si="157"/>
        <v>#VALUE!</v>
      </c>
    </row>
    <row r="10099" spans="11:11" x14ac:dyDescent="0.25">
      <c r="K10099" s="8" t="e">
        <f t="shared" si="157"/>
        <v>#VALUE!</v>
      </c>
    </row>
    <row r="10100" spans="11:11" x14ac:dyDescent="0.25">
      <c r="K10100" s="8" t="e">
        <f t="shared" si="157"/>
        <v>#VALUE!</v>
      </c>
    </row>
    <row r="10101" spans="11:11" x14ac:dyDescent="0.25">
      <c r="K10101" s="8" t="e">
        <f t="shared" si="157"/>
        <v>#VALUE!</v>
      </c>
    </row>
    <row r="10102" spans="11:11" x14ac:dyDescent="0.25">
      <c r="K10102" s="8" t="e">
        <f t="shared" si="157"/>
        <v>#VALUE!</v>
      </c>
    </row>
    <row r="10103" spans="11:11" x14ac:dyDescent="0.25">
      <c r="K10103" s="8" t="e">
        <f t="shared" si="157"/>
        <v>#VALUE!</v>
      </c>
    </row>
    <row r="10104" spans="11:11" x14ac:dyDescent="0.25">
      <c r="K10104" s="8" t="e">
        <f t="shared" si="157"/>
        <v>#VALUE!</v>
      </c>
    </row>
    <row r="10105" spans="11:11" x14ac:dyDescent="0.25">
      <c r="K10105" s="8" t="e">
        <f t="shared" si="157"/>
        <v>#VALUE!</v>
      </c>
    </row>
    <row r="10106" spans="11:11" x14ac:dyDescent="0.25">
      <c r="K10106" s="8" t="e">
        <f t="shared" si="157"/>
        <v>#VALUE!</v>
      </c>
    </row>
    <row r="10107" spans="11:11" x14ac:dyDescent="0.25">
      <c r="K10107" s="8" t="e">
        <f t="shared" si="157"/>
        <v>#VALUE!</v>
      </c>
    </row>
    <row r="10108" spans="11:11" x14ac:dyDescent="0.25">
      <c r="K10108" s="8" t="e">
        <f t="shared" si="157"/>
        <v>#VALUE!</v>
      </c>
    </row>
    <row r="10109" spans="11:11" x14ac:dyDescent="0.25">
      <c r="K10109" s="8" t="e">
        <f t="shared" si="157"/>
        <v>#VALUE!</v>
      </c>
    </row>
    <row r="10110" spans="11:11" x14ac:dyDescent="0.25">
      <c r="K10110" s="8" t="e">
        <f t="shared" si="157"/>
        <v>#VALUE!</v>
      </c>
    </row>
    <row r="10111" spans="11:11" x14ac:dyDescent="0.25">
      <c r="K10111" s="8" t="e">
        <f t="shared" si="157"/>
        <v>#VALUE!</v>
      </c>
    </row>
    <row r="10112" spans="11:11" x14ac:dyDescent="0.25">
      <c r="K10112" s="8" t="e">
        <f t="shared" si="157"/>
        <v>#VALUE!</v>
      </c>
    </row>
    <row r="10113" spans="11:11" x14ac:dyDescent="0.25">
      <c r="K10113" s="8" t="e">
        <f t="shared" si="157"/>
        <v>#VALUE!</v>
      </c>
    </row>
    <row r="10114" spans="11:11" x14ac:dyDescent="0.25">
      <c r="K10114" s="8" t="e">
        <f t="shared" si="157"/>
        <v>#VALUE!</v>
      </c>
    </row>
    <row r="10115" spans="11:11" x14ac:dyDescent="0.25">
      <c r="K10115" s="8" t="e">
        <f t="shared" ref="K10115:K10178" si="158">LEFT(A10115,FIND("/",A10115)-1)</f>
        <v>#VALUE!</v>
      </c>
    </row>
    <row r="10116" spans="11:11" x14ac:dyDescent="0.25">
      <c r="K10116" s="8" t="e">
        <f t="shared" si="158"/>
        <v>#VALUE!</v>
      </c>
    </row>
    <row r="10117" spans="11:11" x14ac:dyDescent="0.25">
      <c r="K10117" s="8" t="e">
        <f t="shared" si="158"/>
        <v>#VALUE!</v>
      </c>
    </row>
    <row r="10118" spans="11:11" x14ac:dyDescent="0.25">
      <c r="K10118" s="8" t="e">
        <f t="shared" si="158"/>
        <v>#VALUE!</v>
      </c>
    </row>
    <row r="10119" spans="11:11" x14ac:dyDescent="0.25">
      <c r="K10119" s="8" t="e">
        <f t="shared" si="158"/>
        <v>#VALUE!</v>
      </c>
    </row>
    <row r="10120" spans="11:11" x14ac:dyDescent="0.25">
      <c r="K10120" s="8" t="e">
        <f t="shared" si="158"/>
        <v>#VALUE!</v>
      </c>
    </row>
    <row r="10121" spans="11:11" x14ac:dyDescent="0.25">
      <c r="K10121" s="8" t="e">
        <f t="shared" si="158"/>
        <v>#VALUE!</v>
      </c>
    </row>
    <row r="10122" spans="11:11" x14ac:dyDescent="0.25">
      <c r="K10122" s="8" t="e">
        <f t="shared" si="158"/>
        <v>#VALUE!</v>
      </c>
    </row>
    <row r="10123" spans="11:11" x14ac:dyDescent="0.25">
      <c r="K10123" s="8" t="e">
        <f t="shared" si="158"/>
        <v>#VALUE!</v>
      </c>
    </row>
    <row r="10124" spans="11:11" x14ac:dyDescent="0.25">
      <c r="K10124" s="8" t="e">
        <f t="shared" si="158"/>
        <v>#VALUE!</v>
      </c>
    </row>
    <row r="10125" spans="11:11" x14ac:dyDescent="0.25">
      <c r="K10125" s="8" t="e">
        <f t="shared" si="158"/>
        <v>#VALUE!</v>
      </c>
    </row>
    <row r="10126" spans="11:11" x14ac:dyDescent="0.25">
      <c r="K10126" s="8" t="e">
        <f t="shared" si="158"/>
        <v>#VALUE!</v>
      </c>
    </row>
    <row r="10127" spans="11:11" x14ac:dyDescent="0.25">
      <c r="K10127" s="8" t="e">
        <f t="shared" si="158"/>
        <v>#VALUE!</v>
      </c>
    </row>
    <row r="10128" spans="11:11" x14ac:dyDescent="0.25">
      <c r="K10128" s="8" t="e">
        <f t="shared" si="158"/>
        <v>#VALUE!</v>
      </c>
    </row>
    <row r="10129" spans="11:11" x14ac:dyDescent="0.25">
      <c r="K10129" s="8" t="e">
        <f t="shared" si="158"/>
        <v>#VALUE!</v>
      </c>
    </row>
    <row r="10130" spans="11:11" x14ac:dyDescent="0.25">
      <c r="K10130" s="8" t="e">
        <f t="shared" si="158"/>
        <v>#VALUE!</v>
      </c>
    </row>
    <row r="10131" spans="11:11" x14ac:dyDescent="0.25">
      <c r="K10131" s="8" t="e">
        <f t="shared" si="158"/>
        <v>#VALUE!</v>
      </c>
    </row>
    <row r="10132" spans="11:11" x14ac:dyDescent="0.25">
      <c r="K10132" s="8" t="e">
        <f t="shared" si="158"/>
        <v>#VALUE!</v>
      </c>
    </row>
    <row r="10133" spans="11:11" x14ac:dyDescent="0.25">
      <c r="K10133" s="8" t="e">
        <f t="shared" si="158"/>
        <v>#VALUE!</v>
      </c>
    </row>
    <row r="10134" spans="11:11" x14ac:dyDescent="0.25">
      <c r="K10134" s="8" t="e">
        <f t="shared" si="158"/>
        <v>#VALUE!</v>
      </c>
    </row>
    <row r="10135" spans="11:11" x14ac:dyDescent="0.25">
      <c r="K10135" s="8" t="e">
        <f t="shared" si="158"/>
        <v>#VALUE!</v>
      </c>
    </row>
    <row r="10136" spans="11:11" x14ac:dyDescent="0.25">
      <c r="K10136" s="8" t="e">
        <f t="shared" si="158"/>
        <v>#VALUE!</v>
      </c>
    </row>
    <row r="10137" spans="11:11" x14ac:dyDescent="0.25">
      <c r="K10137" s="8" t="e">
        <f t="shared" si="158"/>
        <v>#VALUE!</v>
      </c>
    </row>
    <row r="10138" spans="11:11" x14ac:dyDescent="0.25">
      <c r="K10138" s="8" t="e">
        <f t="shared" si="158"/>
        <v>#VALUE!</v>
      </c>
    </row>
    <row r="10139" spans="11:11" x14ac:dyDescent="0.25">
      <c r="K10139" s="8" t="e">
        <f t="shared" si="158"/>
        <v>#VALUE!</v>
      </c>
    </row>
    <row r="10140" spans="11:11" x14ac:dyDescent="0.25">
      <c r="K10140" s="8" t="e">
        <f t="shared" si="158"/>
        <v>#VALUE!</v>
      </c>
    </row>
    <row r="10141" spans="11:11" x14ac:dyDescent="0.25">
      <c r="K10141" s="8" t="e">
        <f t="shared" si="158"/>
        <v>#VALUE!</v>
      </c>
    </row>
    <row r="10142" spans="11:11" x14ac:dyDescent="0.25">
      <c r="K10142" s="8" t="e">
        <f t="shared" si="158"/>
        <v>#VALUE!</v>
      </c>
    </row>
    <row r="10143" spans="11:11" x14ac:dyDescent="0.25">
      <c r="K10143" s="8" t="e">
        <f t="shared" si="158"/>
        <v>#VALUE!</v>
      </c>
    </row>
    <row r="10144" spans="11:11" x14ac:dyDescent="0.25">
      <c r="K10144" s="8" t="e">
        <f t="shared" si="158"/>
        <v>#VALUE!</v>
      </c>
    </row>
    <row r="10145" spans="11:11" x14ac:dyDescent="0.25">
      <c r="K10145" s="8" t="e">
        <f t="shared" si="158"/>
        <v>#VALUE!</v>
      </c>
    </row>
    <row r="10146" spans="11:11" x14ac:dyDescent="0.25">
      <c r="K10146" s="8" t="e">
        <f t="shared" si="158"/>
        <v>#VALUE!</v>
      </c>
    </row>
    <row r="10147" spans="11:11" x14ac:dyDescent="0.25">
      <c r="K10147" s="8" t="e">
        <f t="shared" si="158"/>
        <v>#VALUE!</v>
      </c>
    </row>
    <row r="10148" spans="11:11" x14ac:dyDescent="0.25">
      <c r="K10148" s="8" t="e">
        <f t="shared" si="158"/>
        <v>#VALUE!</v>
      </c>
    </row>
    <row r="10149" spans="11:11" x14ac:dyDescent="0.25">
      <c r="K10149" s="8" t="e">
        <f t="shared" si="158"/>
        <v>#VALUE!</v>
      </c>
    </row>
    <row r="10150" spans="11:11" x14ac:dyDescent="0.25">
      <c r="K10150" s="8" t="e">
        <f t="shared" si="158"/>
        <v>#VALUE!</v>
      </c>
    </row>
    <row r="10151" spans="11:11" x14ac:dyDescent="0.25">
      <c r="K10151" s="8" t="e">
        <f t="shared" si="158"/>
        <v>#VALUE!</v>
      </c>
    </row>
    <row r="10152" spans="11:11" x14ac:dyDescent="0.25">
      <c r="K10152" s="8" t="e">
        <f t="shared" si="158"/>
        <v>#VALUE!</v>
      </c>
    </row>
    <row r="10153" spans="11:11" x14ac:dyDescent="0.25">
      <c r="K10153" s="8" t="e">
        <f t="shared" si="158"/>
        <v>#VALUE!</v>
      </c>
    </row>
    <row r="10154" spans="11:11" x14ac:dyDescent="0.25">
      <c r="K10154" s="8" t="e">
        <f t="shared" si="158"/>
        <v>#VALUE!</v>
      </c>
    </row>
    <row r="10155" spans="11:11" x14ac:dyDescent="0.25">
      <c r="K10155" s="8" t="e">
        <f t="shared" si="158"/>
        <v>#VALUE!</v>
      </c>
    </row>
    <row r="10156" spans="11:11" x14ac:dyDescent="0.25">
      <c r="K10156" s="8" t="e">
        <f t="shared" si="158"/>
        <v>#VALUE!</v>
      </c>
    </row>
    <row r="10157" spans="11:11" x14ac:dyDescent="0.25">
      <c r="K10157" s="8" t="e">
        <f t="shared" si="158"/>
        <v>#VALUE!</v>
      </c>
    </row>
    <row r="10158" spans="11:11" x14ac:dyDescent="0.25">
      <c r="K10158" s="8" t="e">
        <f t="shared" si="158"/>
        <v>#VALUE!</v>
      </c>
    </row>
    <row r="10159" spans="11:11" x14ac:dyDescent="0.25">
      <c r="K10159" s="8" t="e">
        <f t="shared" si="158"/>
        <v>#VALUE!</v>
      </c>
    </row>
    <row r="10160" spans="11:11" x14ac:dyDescent="0.25">
      <c r="K10160" s="8" t="e">
        <f t="shared" si="158"/>
        <v>#VALUE!</v>
      </c>
    </row>
    <row r="10161" spans="11:11" x14ac:dyDescent="0.25">
      <c r="K10161" s="8" t="e">
        <f t="shared" si="158"/>
        <v>#VALUE!</v>
      </c>
    </row>
    <row r="10162" spans="11:11" x14ac:dyDescent="0.25">
      <c r="K10162" s="8" t="e">
        <f t="shared" si="158"/>
        <v>#VALUE!</v>
      </c>
    </row>
    <row r="10163" spans="11:11" x14ac:dyDescent="0.25">
      <c r="K10163" s="8" t="e">
        <f t="shared" si="158"/>
        <v>#VALUE!</v>
      </c>
    </row>
    <row r="10164" spans="11:11" x14ac:dyDescent="0.25">
      <c r="K10164" s="8" t="e">
        <f t="shared" si="158"/>
        <v>#VALUE!</v>
      </c>
    </row>
    <row r="10165" spans="11:11" x14ac:dyDescent="0.25">
      <c r="K10165" s="8" t="e">
        <f t="shared" si="158"/>
        <v>#VALUE!</v>
      </c>
    </row>
    <row r="10166" spans="11:11" x14ac:dyDescent="0.25">
      <c r="K10166" s="8" t="e">
        <f t="shared" si="158"/>
        <v>#VALUE!</v>
      </c>
    </row>
    <row r="10167" spans="11:11" x14ac:dyDescent="0.25">
      <c r="K10167" s="8" t="e">
        <f t="shared" si="158"/>
        <v>#VALUE!</v>
      </c>
    </row>
    <row r="10168" spans="11:11" x14ac:dyDescent="0.25">
      <c r="K10168" s="8" t="e">
        <f t="shared" si="158"/>
        <v>#VALUE!</v>
      </c>
    </row>
    <row r="10169" spans="11:11" x14ac:dyDescent="0.25">
      <c r="K10169" s="8" t="e">
        <f t="shared" si="158"/>
        <v>#VALUE!</v>
      </c>
    </row>
    <row r="10170" spans="11:11" x14ac:dyDescent="0.25">
      <c r="K10170" s="8" t="e">
        <f t="shared" si="158"/>
        <v>#VALUE!</v>
      </c>
    </row>
    <row r="10171" spans="11:11" x14ac:dyDescent="0.25">
      <c r="K10171" s="8" t="e">
        <f t="shared" si="158"/>
        <v>#VALUE!</v>
      </c>
    </row>
    <row r="10172" spans="11:11" x14ac:dyDescent="0.25">
      <c r="K10172" s="8" t="e">
        <f t="shared" si="158"/>
        <v>#VALUE!</v>
      </c>
    </row>
    <row r="10173" spans="11:11" x14ac:dyDescent="0.25">
      <c r="K10173" s="8" t="e">
        <f t="shared" si="158"/>
        <v>#VALUE!</v>
      </c>
    </row>
    <row r="10174" spans="11:11" x14ac:dyDescent="0.25">
      <c r="K10174" s="8" t="e">
        <f t="shared" si="158"/>
        <v>#VALUE!</v>
      </c>
    </row>
    <row r="10175" spans="11:11" x14ac:dyDescent="0.25">
      <c r="K10175" s="8" t="e">
        <f t="shared" si="158"/>
        <v>#VALUE!</v>
      </c>
    </row>
    <row r="10176" spans="11:11" x14ac:dyDescent="0.25">
      <c r="K10176" s="8" t="e">
        <f t="shared" si="158"/>
        <v>#VALUE!</v>
      </c>
    </row>
    <row r="10177" spans="11:11" x14ac:dyDescent="0.25">
      <c r="K10177" s="8" t="e">
        <f t="shared" si="158"/>
        <v>#VALUE!</v>
      </c>
    </row>
    <row r="10178" spans="11:11" x14ac:dyDescent="0.25">
      <c r="K10178" s="8" t="e">
        <f t="shared" si="158"/>
        <v>#VALUE!</v>
      </c>
    </row>
    <row r="10179" spans="11:11" x14ac:dyDescent="0.25">
      <c r="K10179" s="8" t="e">
        <f t="shared" ref="K10179:K10242" si="159">LEFT(A10179,FIND("/",A10179)-1)</f>
        <v>#VALUE!</v>
      </c>
    </row>
    <row r="10180" spans="11:11" x14ac:dyDescent="0.25">
      <c r="K10180" s="8" t="e">
        <f t="shared" si="159"/>
        <v>#VALUE!</v>
      </c>
    </row>
    <row r="10181" spans="11:11" x14ac:dyDescent="0.25">
      <c r="K10181" s="8" t="e">
        <f t="shared" si="159"/>
        <v>#VALUE!</v>
      </c>
    </row>
    <row r="10182" spans="11:11" x14ac:dyDescent="0.25">
      <c r="K10182" s="8" t="e">
        <f t="shared" si="159"/>
        <v>#VALUE!</v>
      </c>
    </row>
    <row r="10183" spans="11:11" x14ac:dyDescent="0.25">
      <c r="K10183" s="8" t="e">
        <f t="shared" si="159"/>
        <v>#VALUE!</v>
      </c>
    </row>
    <row r="10184" spans="11:11" x14ac:dyDescent="0.25">
      <c r="K10184" s="8" t="e">
        <f t="shared" si="159"/>
        <v>#VALUE!</v>
      </c>
    </row>
    <row r="10185" spans="11:11" x14ac:dyDescent="0.25">
      <c r="K10185" s="8" t="e">
        <f t="shared" si="159"/>
        <v>#VALUE!</v>
      </c>
    </row>
    <row r="10186" spans="11:11" x14ac:dyDescent="0.25">
      <c r="K10186" s="8" t="e">
        <f t="shared" si="159"/>
        <v>#VALUE!</v>
      </c>
    </row>
    <row r="10187" spans="11:11" x14ac:dyDescent="0.25">
      <c r="K10187" s="8" t="e">
        <f t="shared" si="159"/>
        <v>#VALUE!</v>
      </c>
    </row>
    <row r="10188" spans="11:11" x14ac:dyDescent="0.25">
      <c r="K10188" s="8" t="e">
        <f t="shared" si="159"/>
        <v>#VALUE!</v>
      </c>
    </row>
    <row r="10189" spans="11:11" x14ac:dyDescent="0.25">
      <c r="K10189" s="8" t="e">
        <f t="shared" si="159"/>
        <v>#VALUE!</v>
      </c>
    </row>
    <row r="10190" spans="11:11" x14ac:dyDescent="0.25">
      <c r="K10190" s="8" t="e">
        <f t="shared" si="159"/>
        <v>#VALUE!</v>
      </c>
    </row>
    <row r="10191" spans="11:11" x14ac:dyDescent="0.25">
      <c r="K10191" s="8" t="e">
        <f t="shared" si="159"/>
        <v>#VALUE!</v>
      </c>
    </row>
    <row r="10192" spans="11:11" x14ac:dyDescent="0.25">
      <c r="K10192" s="8" t="e">
        <f t="shared" si="159"/>
        <v>#VALUE!</v>
      </c>
    </row>
    <row r="10193" spans="11:11" x14ac:dyDescent="0.25">
      <c r="K10193" s="8" t="e">
        <f t="shared" si="159"/>
        <v>#VALUE!</v>
      </c>
    </row>
    <row r="10194" spans="11:11" x14ac:dyDescent="0.25">
      <c r="K10194" s="8" t="e">
        <f t="shared" si="159"/>
        <v>#VALUE!</v>
      </c>
    </row>
    <row r="10195" spans="11:11" x14ac:dyDescent="0.25">
      <c r="K10195" s="8" t="e">
        <f t="shared" si="159"/>
        <v>#VALUE!</v>
      </c>
    </row>
    <row r="10196" spans="11:11" x14ac:dyDescent="0.25">
      <c r="K10196" s="8" t="e">
        <f t="shared" si="159"/>
        <v>#VALUE!</v>
      </c>
    </row>
    <row r="10197" spans="11:11" x14ac:dyDescent="0.25">
      <c r="K10197" s="8" t="e">
        <f t="shared" si="159"/>
        <v>#VALUE!</v>
      </c>
    </row>
    <row r="10198" spans="11:11" x14ac:dyDescent="0.25">
      <c r="K10198" s="8" t="e">
        <f t="shared" si="159"/>
        <v>#VALUE!</v>
      </c>
    </row>
    <row r="10199" spans="11:11" x14ac:dyDescent="0.25">
      <c r="K10199" s="8" t="e">
        <f t="shared" si="159"/>
        <v>#VALUE!</v>
      </c>
    </row>
    <row r="10200" spans="11:11" x14ac:dyDescent="0.25">
      <c r="K10200" s="8" t="e">
        <f t="shared" si="159"/>
        <v>#VALUE!</v>
      </c>
    </row>
    <row r="10201" spans="11:11" x14ac:dyDescent="0.25">
      <c r="K10201" s="8" t="e">
        <f t="shared" si="159"/>
        <v>#VALUE!</v>
      </c>
    </row>
    <row r="10202" spans="11:11" x14ac:dyDescent="0.25">
      <c r="K10202" s="8" t="e">
        <f t="shared" si="159"/>
        <v>#VALUE!</v>
      </c>
    </row>
    <row r="10203" spans="11:11" x14ac:dyDescent="0.25">
      <c r="K10203" s="8" t="e">
        <f t="shared" si="159"/>
        <v>#VALUE!</v>
      </c>
    </row>
    <row r="10204" spans="11:11" x14ac:dyDescent="0.25">
      <c r="K10204" s="8" t="e">
        <f t="shared" si="159"/>
        <v>#VALUE!</v>
      </c>
    </row>
    <row r="10205" spans="11:11" x14ac:dyDescent="0.25">
      <c r="K10205" s="8" t="e">
        <f t="shared" si="159"/>
        <v>#VALUE!</v>
      </c>
    </row>
    <row r="10206" spans="11:11" x14ac:dyDescent="0.25">
      <c r="K10206" s="8" t="e">
        <f t="shared" si="159"/>
        <v>#VALUE!</v>
      </c>
    </row>
    <row r="10207" spans="11:11" x14ac:dyDescent="0.25">
      <c r="K10207" s="8" t="e">
        <f t="shared" si="159"/>
        <v>#VALUE!</v>
      </c>
    </row>
    <row r="10208" spans="11:11" x14ac:dyDescent="0.25">
      <c r="K10208" s="8" t="e">
        <f t="shared" si="159"/>
        <v>#VALUE!</v>
      </c>
    </row>
    <row r="10209" spans="11:11" x14ac:dyDescent="0.25">
      <c r="K10209" s="8" t="e">
        <f t="shared" si="159"/>
        <v>#VALUE!</v>
      </c>
    </row>
    <row r="10210" spans="11:11" x14ac:dyDescent="0.25">
      <c r="K10210" s="8" t="e">
        <f t="shared" si="159"/>
        <v>#VALUE!</v>
      </c>
    </row>
    <row r="10211" spans="11:11" x14ac:dyDescent="0.25">
      <c r="K10211" s="8" t="e">
        <f t="shared" si="159"/>
        <v>#VALUE!</v>
      </c>
    </row>
    <row r="10212" spans="11:11" x14ac:dyDescent="0.25">
      <c r="K10212" s="8" t="e">
        <f t="shared" si="159"/>
        <v>#VALUE!</v>
      </c>
    </row>
    <row r="10213" spans="11:11" x14ac:dyDescent="0.25">
      <c r="K10213" s="8" t="e">
        <f t="shared" si="159"/>
        <v>#VALUE!</v>
      </c>
    </row>
    <row r="10214" spans="11:11" x14ac:dyDescent="0.25">
      <c r="K10214" s="8" t="e">
        <f t="shared" si="159"/>
        <v>#VALUE!</v>
      </c>
    </row>
    <row r="10215" spans="11:11" x14ac:dyDescent="0.25">
      <c r="K10215" s="8" t="e">
        <f t="shared" si="159"/>
        <v>#VALUE!</v>
      </c>
    </row>
    <row r="10216" spans="11:11" x14ac:dyDescent="0.25">
      <c r="K10216" s="8" t="e">
        <f t="shared" si="159"/>
        <v>#VALUE!</v>
      </c>
    </row>
    <row r="10217" spans="11:11" x14ac:dyDescent="0.25">
      <c r="K10217" s="8" t="e">
        <f t="shared" si="159"/>
        <v>#VALUE!</v>
      </c>
    </row>
    <row r="10218" spans="11:11" x14ac:dyDescent="0.25">
      <c r="K10218" s="8" t="e">
        <f t="shared" si="159"/>
        <v>#VALUE!</v>
      </c>
    </row>
    <row r="10219" spans="11:11" x14ac:dyDescent="0.25">
      <c r="K10219" s="8" t="e">
        <f t="shared" si="159"/>
        <v>#VALUE!</v>
      </c>
    </row>
    <row r="10220" spans="11:11" x14ac:dyDescent="0.25">
      <c r="K10220" s="8" t="e">
        <f t="shared" si="159"/>
        <v>#VALUE!</v>
      </c>
    </row>
    <row r="10221" spans="11:11" x14ac:dyDescent="0.25">
      <c r="K10221" s="8" t="e">
        <f t="shared" si="159"/>
        <v>#VALUE!</v>
      </c>
    </row>
    <row r="10222" spans="11:11" x14ac:dyDescent="0.25">
      <c r="K10222" s="8" t="e">
        <f t="shared" si="159"/>
        <v>#VALUE!</v>
      </c>
    </row>
    <row r="10223" spans="11:11" x14ac:dyDescent="0.25">
      <c r="K10223" s="8" t="e">
        <f t="shared" si="159"/>
        <v>#VALUE!</v>
      </c>
    </row>
    <row r="10224" spans="11:11" x14ac:dyDescent="0.25">
      <c r="K10224" s="8" t="e">
        <f t="shared" si="159"/>
        <v>#VALUE!</v>
      </c>
    </row>
    <row r="10225" spans="11:11" x14ac:dyDescent="0.25">
      <c r="K10225" s="8" t="e">
        <f t="shared" si="159"/>
        <v>#VALUE!</v>
      </c>
    </row>
    <row r="10226" spans="11:11" x14ac:dyDescent="0.25">
      <c r="K10226" s="8" t="e">
        <f t="shared" si="159"/>
        <v>#VALUE!</v>
      </c>
    </row>
    <row r="10227" spans="11:11" x14ac:dyDescent="0.25">
      <c r="K10227" s="8" t="e">
        <f t="shared" si="159"/>
        <v>#VALUE!</v>
      </c>
    </row>
    <row r="10228" spans="11:11" x14ac:dyDescent="0.25">
      <c r="K10228" s="8" t="e">
        <f t="shared" si="159"/>
        <v>#VALUE!</v>
      </c>
    </row>
    <row r="10229" spans="11:11" x14ac:dyDescent="0.25">
      <c r="K10229" s="8" t="e">
        <f t="shared" si="159"/>
        <v>#VALUE!</v>
      </c>
    </row>
    <row r="10230" spans="11:11" x14ac:dyDescent="0.25">
      <c r="K10230" s="8" t="e">
        <f t="shared" si="159"/>
        <v>#VALUE!</v>
      </c>
    </row>
    <row r="10231" spans="11:11" x14ac:dyDescent="0.25">
      <c r="K10231" s="8" t="e">
        <f t="shared" si="159"/>
        <v>#VALUE!</v>
      </c>
    </row>
    <row r="10232" spans="11:11" x14ac:dyDescent="0.25">
      <c r="K10232" s="8" t="e">
        <f t="shared" si="159"/>
        <v>#VALUE!</v>
      </c>
    </row>
    <row r="10233" spans="11:11" x14ac:dyDescent="0.25">
      <c r="K10233" s="8" t="e">
        <f t="shared" si="159"/>
        <v>#VALUE!</v>
      </c>
    </row>
    <row r="10234" spans="11:11" x14ac:dyDescent="0.25">
      <c r="K10234" s="8" t="e">
        <f t="shared" si="159"/>
        <v>#VALUE!</v>
      </c>
    </row>
    <row r="10235" spans="11:11" x14ac:dyDescent="0.25">
      <c r="K10235" s="8" t="e">
        <f t="shared" si="159"/>
        <v>#VALUE!</v>
      </c>
    </row>
    <row r="10236" spans="11:11" x14ac:dyDescent="0.25">
      <c r="K10236" s="8" t="e">
        <f t="shared" si="159"/>
        <v>#VALUE!</v>
      </c>
    </row>
    <row r="10237" spans="11:11" x14ac:dyDescent="0.25">
      <c r="K10237" s="8" t="e">
        <f t="shared" si="159"/>
        <v>#VALUE!</v>
      </c>
    </row>
    <row r="10238" spans="11:11" x14ac:dyDescent="0.25">
      <c r="K10238" s="8" t="e">
        <f t="shared" si="159"/>
        <v>#VALUE!</v>
      </c>
    </row>
    <row r="10239" spans="11:11" x14ac:dyDescent="0.25">
      <c r="K10239" s="8" t="e">
        <f t="shared" si="159"/>
        <v>#VALUE!</v>
      </c>
    </row>
    <row r="10240" spans="11:11" x14ac:dyDescent="0.25">
      <c r="K10240" s="8" t="e">
        <f t="shared" si="159"/>
        <v>#VALUE!</v>
      </c>
    </row>
    <row r="10241" spans="11:11" x14ac:dyDescent="0.25">
      <c r="K10241" s="8" t="e">
        <f t="shared" si="159"/>
        <v>#VALUE!</v>
      </c>
    </row>
    <row r="10242" spans="11:11" x14ac:dyDescent="0.25">
      <c r="K10242" s="8" t="e">
        <f t="shared" si="159"/>
        <v>#VALUE!</v>
      </c>
    </row>
    <row r="10243" spans="11:11" x14ac:dyDescent="0.25">
      <c r="K10243" s="8" t="e">
        <f t="shared" ref="K10243:K10306" si="160">LEFT(A10243,FIND("/",A10243)-1)</f>
        <v>#VALUE!</v>
      </c>
    </row>
    <row r="10244" spans="11:11" x14ac:dyDescent="0.25">
      <c r="K10244" s="8" t="e">
        <f t="shared" si="160"/>
        <v>#VALUE!</v>
      </c>
    </row>
    <row r="10245" spans="11:11" x14ac:dyDescent="0.25">
      <c r="K10245" s="8" t="e">
        <f t="shared" si="160"/>
        <v>#VALUE!</v>
      </c>
    </row>
    <row r="10246" spans="11:11" x14ac:dyDescent="0.25">
      <c r="K10246" s="8" t="e">
        <f t="shared" si="160"/>
        <v>#VALUE!</v>
      </c>
    </row>
    <row r="10247" spans="11:11" x14ac:dyDescent="0.25">
      <c r="K10247" s="8" t="e">
        <f t="shared" si="160"/>
        <v>#VALUE!</v>
      </c>
    </row>
    <row r="10248" spans="11:11" x14ac:dyDescent="0.25">
      <c r="K10248" s="8" t="e">
        <f t="shared" si="160"/>
        <v>#VALUE!</v>
      </c>
    </row>
    <row r="10249" spans="11:11" x14ac:dyDescent="0.25">
      <c r="K10249" s="8" t="e">
        <f t="shared" si="160"/>
        <v>#VALUE!</v>
      </c>
    </row>
    <row r="10250" spans="11:11" x14ac:dyDescent="0.25">
      <c r="K10250" s="8" t="e">
        <f t="shared" si="160"/>
        <v>#VALUE!</v>
      </c>
    </row>
    <row r="10251" spans="11:11" x14ac:dyDescent="0.25">
      <c r="K10251" s="8" t="e">
        <f t="shared" si="160"/>
        <v>#VALUE!</v>
      </c>
    </row>
    <row r="10252" spans="11:11" x14ac:dyDescent="0.25">
      <c r="K10252" s="8" t="e">
        <f t="shared" si="160"/>
        <v>#VALUE!</v>
      </c>
    </row>
    <row r="10253" spans="11:11" x14ac:dyDescent="0.25">
      <c r="K10253" s="8" t="e">
        <f t="shared" si="160"/>
        <v>#VALUE!</v>
      </c>
    </row>
    <row r="10254" spans="11:11" x14ac:dyDescent="0.25">
      <c r="K10254" s="8" t="e">
        <f t="shared" si="160"/>
        <v>#VALUE!</v>
      </c>
    </row>
    <row r="10255" spans="11:11" x14ac:dyDescent="0.25">
      <c r="K10255" s="8" t="e">
        <f t="shared" si="160"/>
        <v>#VALUE!</v>
      </c>
    </row>
    <row r="10256" spans="11:11" x14ac:dyDescent="0.25">
      <c r="K10256" s="8" t="e">
        <f t="shared" si="160"/>
        <v>#VALUE!</v>
      </c>
    </row>
    <row r="10257" spans="11:11" x14ac:dyDescent="0.25">
      <c r="K10257" s="8" t="e">
        <f t="shared" si="160"/>
        <v>#VALUE!</v>
      </c>
    </row>
    <row r="10258" spans="11:11" x14ac:dyDescent="0.25">
      <c r="K10258" s="8" t="e">
        <f t="shared" si="160"/>
        <v>#VALUE!</v>
      </c>
    </row>
    <row r="10259" spans="11:11" x14ac:dyDescent="0.25">
      <c r="K10259" s="8" t="e">
        <f t="shared" si="160"/>
        <v>#VALUE!</v>
      </c>
    </row>
    <row r="10260" spans="11:11" x14ac:dyDescent="0.25">
      <c r="K10260" s="8" t="e">
        <f t="shared" si="160"/>
        <v>#VALUE!</v>
      </c>
    </row>
    <row r="10261" spans="11:11" x14ac:dyDescent="0.25">
      <c r="K10261" s="8" t="e">
        <f t="shared" si="160"/>
        <v>#VALUE!</v>
      </c>
    </row>
    <row r="10262" spans="11:11" x14ac:dyDescent="0.25">
      <c r="K10262" s="8" t="e">
        <f t="shared" si="160"/>
        <v>#VALUE!</v>
      </c>
    </row>
    <row r="10263" spans="11:11" x14ac:dyDescent="0.25">
      <c r="K10263" s="8" t="e">
        <f t="shared" si="160"/>
        <v>#VALUE!</v>
      </c>
    </row>
    <row r="10264" spans="11:11" x14ac:dyDescent="0.25">
      <c r="K10264" s="8" t="e">
        <f t="shared" si="160"/>
        <v>#VALUE!</v>
      </c>
    </row>
    <row r="10265" spans="11:11" x14ac:dyDescent="0.25">
      <c r="K10265" s="8" t="e">
        <f t="shared" si="160"/>
        <v>#VALUE!</v>
      </c>
    </row>
    <row r="10266" spans="11:11" x14ac:dyDescent="0.25">
      <c r="K10266" s="8" t="e">
        <f t="shared" si="160"/>
        <v>#VALUE!</v>
      </c>
    </row>
    <row r="10267" spans="11:11" x14ac:dyDescent="0.25">
      <c r="K10267" s="8" t="e">
        <f t="shared" si="160"/>
        <v>#VALUE!</v>
      </c>
    </row>
    <row r="10268" spans="11:11" x14ac:dyDescent="0.25">
      <c r="K10268" s="8" t="e">
        <f t="shared" si="160"/>
        <v>#VALUE!</v>
      </c>
    </row>
    <row r="10269" spans="11:11" x14ac:dyDescent="0.25">
      <c r="K10269" s="8" t="e">
        <f t="shared" si="160"/>
        <v>#VALUE!</v>
      </c>
    </row>
    <row r="10270" spans="11:11" x14ac:dyDescent="0.25">
      <c r="K10270" s="8" t="e">
        <f t="shared" si="160"/>
        <v>#VALUE!</v>
      </c>
    </row>
    <row r="10271" spans="11:11" x14ac:dyDescent="0.25">
      <c r="K10271" s="8" t="e">
        <f t="shared" si="160"/>
        <v>#VALUE!</v>
      </c>
    </row>
    <row r="10272" spans="11:11" x14ac:dyDescent="0.25">
      <c r="K10272" s="8" t="e">
        <f t="shared" si="160"/>
        <v>#VALUE!</v>
      </c>
    </row>
    <row r="10273" spans="11:11" x14ac:dyDescent="0.25">
      <c r="K10273" s="8" t="e">
        <f t="shared" si="160"/>
        <v>#VALUE!</v>
      </c>
    </row>
    <row r="10274" spans="11:11" x14ac:dyDescent="0.25">
      <c r="K10274" s="8" t="e">
        <f t="shared" si="160"/>
        <v>#VALUE!</v>
      </c>
    </row>
    <row r="10275" spans="11:11" x14ac:dyDescent="0.25">
      <c r="K10275" s="8" t="e">
        <f t="shared" si="160"/>
        <v>#VALUE!</v>
      </c>
    </row>
    <row r="10276" spans="11:11" x14ac:dyDescent="0.25">
      <c r="K10276" s="8" t="e">
        <f t="shared" si="160"/>
        <v>#VALUE!</v>
      </c>
    </row>
    <row r="10277" spans="11:11" x14ac:dyDescent="0.25">
      <c r="K10277" s="8" t="e">
        <f t="shared" si="160"/>
        <v>#VALUE!</v>
      </c>
    </row>
    <row r="10278" spans="11:11" x14ac:dyDescent="0.25">
      <c r="K10278" s="8" t="e">
        <f t="shared" si="160"/>
        <v>#VALUE!</v>
      </c>
    </row>
    <row r="10279" spans="11:11" x14ac:dyDescent="0.25">
      <c r="K10279" s="8" t="e">
        <f t="shared" si="160"/>
        <v>#VALUE!</v>
      </c>
    </row>
    <row r="10280" spans="11:11" x14ac:dyDescent="0.25">
      <c r="K10280" s="8" t="e">
        <f t="shared" si="160"/>
        <v>#VALUE!</v>
      </c>
    </row>
    <row r="10281" spans="11:11" x14ac:dyDescent="0.25">
      <c r="K10281" s="8" t="e">
        <f t="shared" si="160"/>
        <v>#VALUE!</v>
      </c>
    </row>
    <row r="10282" spans="11:11" x14ac:dyDescent="0.25">
      <c r="K10282" s="8" t="e">
        <f t="shared" si="160"/>
        <v>#VALUE!</v>
      </c>
    </row>
    <row r="10283" spans="11:11" x14ac:dyDescent="0.25">
      <c r="K10283" s="8" t="e">
        <f t="shared" si="160"/>
        <v>#VALUE!</v>
      </c>
    </row>
    <row r="10284" spans="11:11" x14ac:dyDescent="0.25">
      <c r="K10284" s="8" t="e">
        <f t="shared" si="160"/>
        <v>#VALUE!</v>
      </c>
    </row>
    <row r="10285" spans="11:11" x14ac:dyDescent="0.25">
      <c r="K10285" s="8" t="e">
        <f t="shared" si="160"/>
        <v>#VALUE!</v>
      </c>
    </row>
    <row r="10286" spans="11:11" x14ac:dyDescent="0.25">
      <c r="K10286" s="8" t="e">
        <f t="shared" si="160"/>
        <v>#VALUE!</v>
      </c>
    </row>
    <row r="10287" spans="11:11" x14ac:dyDescent="0.25">
      <c r="K10287" s="8" t="e">
        <f t="shared" si="160"/>
        <v>#VALUE!</v>
      </c>
    </row>
    <row r="10288" spans="11:11" x14ac:dyDescent="0.25">
      <c r="K10288" s="8" t="e">
        <f t="shared" si="160"/>
        <v>#VALUE!</v>
      </c>
    </row>
    <row r="10289" spans="11:11" x14ac:dyDescent="0.25">
      <c r="K10289" s="8" t="e">
        <f t="shared" si="160"/>
        <v>#VALUE!</v>
      </c>
    </row>
    <row r="10290" spans="11:11" x14ac:dyDescent="0.25">
      <c r="K10290" s="8" t="e">
        <f t="shared" si="160"/>
        <v>#VALUE!</v>
      </c>
    </row>
    <row r="10291" spans="11:11" x14ac:dyDescent="0.25">
      <c r="K10291" s="8" t="e">
        <f t="shared" si="160"/>
        <v>#VALUE!</v>
      </c>
    </row>
    <row r="10292" spans="11:11" x14ac:dyDescent="0.25">
      <c r="K10292" s="8" t="e">
        <f t="shared" si="160"/>
        <v>#VALUE!</v>
      </c>
    </row>
    <row r="10293" spans="11:11" x14ac:dyDescent="0.25">
      <c r="K10293" s="8" t="e">
        <f t="shared" si="160"/>
        <v>#VALUE!</v>
      </c>
    </row>
    <row r="10294" spans="11:11" x14ac:dyDescent="0.25">
      <c r="K10294" s="8" t="e">
        <f t="shared" si="160"/>
        <v>#VALUE!</v>
      </c>
    </row>
    <row r="10295" spans="11:11" x14ac:dyDescent="0.25">
      <c r="K10295" s="8" t="e">
        <f t="shared" si="160"/>
        <v>#VALUE!</v>
      </c>
    </row>
    <row r="10296" spans="11:11" x14ac:dyDescent="0.25">
      <c r="K10296" s="8" t="e">
        <f t="shared" si="160"/>
        <v>#VALUE!</v>
      </c>
    </row>
    <row r="10297" spans="11:11" x14ac:dyDescent="0.25">
      <c r="K10297" s="8" t="e">
        <f t="shared" si="160"/>
        <v>#VALUE!</v>
      </c>
    </row>
    <row r="10298" spans="11:11" x14ac:dyDescent="0.25">
      <c r="K10298" s="8" t="e">
        <f t="shared" si="160"/>
        <v>#VALUE!</v>
      </c>
    </row>
    <row r="10299" spans="11:11" x14ac:dyDescent="0.25">
      <c r="K10299" s="8" t="e">
        <f t="shared" si="160"/>
        <v>#VALUE!</v>
      </c>
    </row>
    <row r="10300" spans="11:11" x14ac:dyDescent="0.25">
      <c r="K10300" s="8" t="e">
        <f t="shared" si="160"/>
        <v>#VALUE!</v>
      </c>
    </row>
    <row r="10301" spans="11:11" x14ac:dyDescent="0.25">
      <c r="K10301" s="8" t="e">
        <f t="shared" si="160"/>
        <v>#VALUE!</v>
      </c>
    </row>
    <row r="10302" spans="11:11" x14ac:dyDescent="0.25">
      <c r="K10302" s="8" t="e">
        <f t="shared" si="160"/>
        <v>#VALUE!</v>
      </c>
    </row>
    <row r="10303" spans="11:11" x14ac:dyDescent="0.25">
      <c r="K10303" s="8" t="e">
        <f t="shared" si="160"/>
        <v>#VALUE!</v>
      </c>
    </row>
    <row r="10304" spans="11:11" x14ac:dyDescent="0.25">
      <c r="K10304" s="8" t="e">
        <f t="shared" si="160"/>
        <v>#VALUE!</v>
      </c>
    </row>
    <row r="10305" spans="11:11" x14ac:dyDescent="0.25">
      <c r="K10305" s="8" t="e">
        <f t="shared" si="160"/>
        <v>#VALUE!</v>
      </c>
    </row>
    <row r="10306" spans="11:11" x14ac:dyDescent="0.25">
      <c r="K10306" s="8" t="e">
        <f t="shared" si="160"/>
        <v>#VALUE!</v>
      </c>
    </row>
    <row r="10307" spans="11:11" x14ac:dyDescent="0.25">
      <c r="K10307" s="8" t="e">
        <f t="shared" ref="K10307:K10370" si="161">LEFT(A10307,FIND("/",A10307)-1)</f>
        <v>#VALUE!</v>
      </c>
    </row>
    <row r="10308" spans="11:11" x14ac:dyDescent="0.25">
      <c r="K10308" s="8" t="e">
        <f t="shared" si="161"/>
        <v>#VALUE!</v>
      </c>
    </row>
    <row r="10309" spans="11:11" x14ac:dyDescent="0.25">
      <c r="K10309" s="8" t="e">
        <f t="shared" si="161"/>
        <v>#VALUE!</v>
      </c>
    </row>
    <row r="10310" spans="11:11" x14ac:dyDescent="0.25">
      <c r="K10310" s="8" t="e">
        <f t="shared" si="161"/>
        <v>#VALUE!</v>
      </c>
    </row>
    <row r="10311" spans="11:11" x14ac:dyDescent="0.25">
      <c r="K10311" s="8" t="e">
        <f t="shared" si="161"/>
        <v>#VALUE!</v>
      </c>
    </row>
    <row r="10312" spans="11:11" x14ac:dyDescent="0.25">
      <c r="K10312" s="8" t="e">
        <f t="shared" si="161"/>
        <v>#VALUE!</v>
      </c>
    </row>
    <row r="10313" spans="11:11" x14ac:dyDescent="0.25">
      <c r="K10313" s="8" t="e">
        <f t="shared" si="161"/>
        <v>#VALUE!</v>
      </c>
    </row>
    <row r="10314" spans="11:11" x14ac:dyDescent="0.25">
      <c r="K10314" s="8" t="e">
        <f t="shared" si="161"/>
        <v>#VALUE!</v>
      </c>
    </row>
    <row r="10315" spans="11:11" x14ac:dyDescent="0.25">
      <c r="K10315" s="8" t="e">
        <f t="shared" si="161"/>
        <v>#VALUE!</v>
      </c>
    </row>
    <row r="10316" spans="11:11" x14ac:dyDescent="0.25">
      <c r="K10316" s="8" t="e">
        <f t="shared" si="161"/>
        <v>#VALUE!</v>
      </c>
    </row>
    <row r="10317" spans="11:11" x14ac:dyDescent="0.25">
      <c r="K10317" s="8" t="e">
        <f t="shared" si="161"/>
        <v>#VALUE!</v>
      </c>
    </row>
    <row r="10318" spans="11:11" x14ac:dyDescent="0.25">
      <c r="K10318" s="8" t="e">
        <f t="shared" si="161"/>
        <v>#VALUE!</v>
      </c>
    </row>
    <row r="10319" spans="11:11" x14ac:dyDescent="0.25">
      <c r="K10319" s="8" t="e">
        <f t="shared" si="161"/>
        <v>#VALUE!</v>
      </c>
    </row>
    <row r="10320" spans="11:11" x14ac:dyDescent="0.25">
      <c r="K10320" s="8" t="e">
        <f t="shared" si="161"/>
        <v>#VALUE!</v>
      </c>
    </row>
    <row r="10321" spans="11:11" x14ac:dyDescent="0.25">
      <c r="K10321" s="8" t="e">
        <f t="shared" si="161"/>
        <v>#VALUE!</v>
      </c>
    </row>
    <row r="10322" spans="11:11" x14ac:dyDescent="0.25">
      <c r="K10322" s="8" t="e">
        <f t="shared" si="161"/>
        <v>#VALUE!</v>
      </c>
    </row>
    <row r="10323" spans="11:11" x14ac:dyDescent="0.25">
      <c r="K10323" s="8" t="e">
        <f t="shared" si="161"/>
        <v>#VALUE!</v>
      </c>
    </row>
    <row r="10324" spans="11:11" x14ac:dyDescent="0.25">
      <c r="K10324" s="8" t="e">
        <f t="shared" si="161"/>
        <v>#VALUE!</v>
      </c>
    </row>
    <row r="10325" spans="11:11" x14ac:dyDescent="0.25">
      <c r="K10325" s="8" t="e">
        <f t="shared" si="161"/>
        <v>#VALUE!</v>
      </c>
    </row>
    <row r="10326" spans="11:11" x14ac:dyDescent="0.25">
      <c r="K10326" s="8" t="e">
        <f t="shared" si="161"/>
        <v>#VALUE!</v>
      </c>
    </row>
    <row r="10327" spans="11:11" x14ac:dyDescent="0.25">
      <c r="K10327" s="8" t="e">
        <f t="shared" si="161"/>
        <v>#VALUE!</v>
      </c>
    </row>
    <row r="10328" spans="11:11" x14ac:dyDescent="0.25">
      <c r="K10328" s="8" t="e">
        <f t="shared" si="161"/>
        <v>#VALUE!</v>
      </c>
    </row>
    <row r="10329" spans="11:11" x14ac:dyDescent="0.25">
      <c r="K10329" s="8" t="e">
        <f t="shared" si="161"/>
        <v>#VALUE!</v>
      </c>
    </row>
    <row r="10330" spans="11:11" x14ac:dyDescent="0.25">
      <c r="K10330" s="8" t="e">
        <f t="shared" si="161"/>
        <v>#VALUE!</v>
      </c>
    </row>
    <row r="10331" spans="11:11" x14ac:dyDescent="0.25">
      <c r="K10331" s="8" t="e">
        <f t="shared" si="161"/>
        <v>#VALUE!</v>
      </c>
    </row>
    <row r="10332" spans="11:11" x14ac:dyDescent="0.25">
      <c r="K10332" s="8" t="e">
        <f t="shared" si="161"/>
        <v>#VALUE!</v>
      </c>
    </row>
    <row r="10333" spans="11:11" x14ac:dyDescent="0.25">
      <c r="K10333" s="8" t="e">
        <f t="shared" si="161"/>
        <v>#VALUE!</v>
      </c>
    </row>
    <row r="10334" spans="11:11" x14ac:dyDescent="0.25">
      <c r="K10334" s="8" t="e">
        <f t="shared" si="161"/>
        <v>#VALUE!</v>
      </c>
    </row>
    <row r="10335" spans="11:11" x14ac:dyDescent="0.25">
      <c r="K10335" s="8" t="e">
        <f t="shared" si="161"/>
        <v>#VALUE!</v>
      </c>
    </row>
    <row r="10336" spans="11:11" x14ac:dyDescent="0.25">
      <c r="K10336" s="8" t="e">
        <f t="shared" si="161"/>
        <v>#VALUE!</v>
      </c>
    </row>
    <row r="10337" spans="11:11" x14ac:dyDescent="0.25">
      <c r="K10337" s="8" t="e">
        <f t="shared" si="161"/>
        <v>#VALUE!</v>
      </c>
    </row>
    <row r="10338" spans="11:11" x14ac:dyDescent="0.25">
      <c r="K10338" s="8" t="e">
        <f t="shared" si="161"/>
        <v>#VALUE!</v>
      </c>
    </row>
    <row r="10339" spans="11:11" x14ac:dyDescent="0.25">
      <c r="K10339" s="8" t="e">
        <f t="shared" si="161"/>
        <v>#VALUE!</v>
      </c>
    </row>
    <row r="10340" spans="11:11" x14ac:dyDescent="0.25">
      <c r="K10340" s="8" t="e">
        <f t="shared" si="161"/>
        <v>#VALUE!</v>
      </c>
    </row>
    <row r="10341" spans="11:11" x14ac:dyDescent="0.25">
      <c r="K10341" s="8" t="e">
        <f t="shared" si="161"/>
        <v>#VALUE!</v>
      </c>
    </row>
    <row r="10342" spans="11:11" x14ac:dyDescent="0.25">
      <c r="K10342" s="8" t="e">
        <f t="shared" si="161"/>
        <v>#VALUE!</v>
      </c>
    </row>
    <row r="10343" spans="11:11" x14ac:dyDescent="0.25">
      <c r="K10343" s="8" t="e">
        <f t="shared" si="161"/>
        <v>#VALUE!</v>
      </c>
    </row>
    <row r="10344" spans="11:11" x14ac:dyDescent="0.25">
      <c r="K10344" s="8" t="e">
        <f t="shared" si="161"/>
        <v>#VALUE!</v>
      </c>
    </row>
    <row r="10345" spans="11:11" x14ac:dyDescent="0.25">
      <c r="K10345" s="8" t="e">
        <f t="shared" si="161"/>
        <v>#VALUE!</v>
      </c>
    </row>
    <row r="10346" spans="11:11" x14ac:dyDescent="0.25">
      <c r="K10346" s="8" t="e">
        <f t="shared" si="161"/>
        <v>#VALUE!</v>
      </c>
    </row>
    <row r="10347" spans="11:11" x14ac:dyDescent="0.25">
      <c r="K10347" s="8" t="e">
        <f t="shared" si="161"/>
        <v>#VALUE!</v>
      </c>
    </row>
    <row r="10348" spans="11:11" x14ac:dyDescent="0.25">
      <c r="K10348" s="8" t="e">
        <f t="shared" si="161"/>
        <v>#VALUE!</v>
      </c>
    </row>
    <row r="10349" spans="11:11" x14ac:dyDescent="0.25">
      <c r="K10349" s="8" t="e">
        <f t="shared" si="161"/>
        <v>#VALUE!</v>
      </c>
    </row>
    <row r="10350" spans="11:11" x14ac:dyDescent="0.25">
      <c r="K10350" s="8" t="e">
        <f t="shared" si="161"/>
        <v>#VALUE!</v>
      </c>
    </row>
    <row r="10351" spans="11:11" x14ac:dyDescent="0.25">
      <c r="K10351" s="8" t="e">
        <f t="shared" si="161"/>
        <v>#VALUE!</v>
      </c>
    </row>
    <row r="10352" spans="11:11" x14ac:dyDescent="0.25">
      <c r="K10352" s="8" t="e">
        <f t="shared" si="161"/>
        <v>#VALUE!</v>
      </c>
    </row>
    <row r="10353" spans="11:11" x14ac:dyDescent="0.25">
      <c r="K10353" s="8" t="e">
        <f t="shared" si="161"/>
        <v>#VALUE!</v>
      </c>
    </row>
    <row r="10354" spans="11:11" x14ac:dyDescent="0.25">
      <c r="K10354" s="8" t="e">
        <f t="shared" si="161"/>
        <v>#VALUE!</v>
      </c>
    </row>
    <row r="10355" spans="11:11" x14ac:dyDescent="0.25">
      <c r="K10355" s="8" t="e">
        <f t="shared" si="161"/>
        <v>#VALUE!</v>
      </c>
    </row>
    <row r="10356" spans="11:11" x14ac:dyDescent="0.25">
      <c r="K10356" s="8" t="e">
        <f t="shared" si="161"/>
        <v>#VALUE!</v>
      </c>
    </row>
    <row r="10357" spans="11:11" x14ac:dyDescent="0.25">
      <c r="K10357" s="8" t="e">
        <f t="shared" si="161"/>
        <v>#VALUE!</v>
      </c>
    </row>
    <row r="10358" spans="11:11" x14ac:dyDescent="0.25">
      <c r="K10358" s="8" t="e">
        <f t="shared" si="161"/>
        <v>#VALUE!</v>
      </c>
    </row>
    <row r="10359" spans="11:11" x14ac:dyDescent="0.25">
      <c r="K10359" s="8" t="e">
        <f t="shared" si="161"/>
        <v>#VALUE!</v>
      </c>
    </row>
    <row r="10360" spans="11:11" x14ac:dyDescent="0.25">
      <c r="K10360" s="8" t="e">
        <f t="shared" si="161"/>
        <v>#VALUE!</v>
      </c>
    </row>
    <row r="10361" spans="11:11" x14ac:dyDescent="0.25">
      <c r="K10361" s="8" t="e">
        <f t="shared" si="161"/>
        <v>#VALUE!</v>
      </c>
    </row>
    <row r="10362" spans="11:11" x14ac:dyDescent="0.25">
      <c r="K10362" s="8" t="e">
        <f t="shared" si="161"/>
        <v>#VALUE!</v>
      </c>
    </row>
    <row r="10363" spans="11:11" x14ac:dyDescent="0.25">
      <c r="K10363" s="8" t="e">
        <f t="shared" si="161"/>
        <v>#VALUE!</v>
      </c>
    </row>
    <row r="10364" spans="11:11" x14ac:dyDescent="0.25">
      <c r="K10364" s="8" t="e">
        <f t="shared" si="161"/>
        <v>#VALUE!</v>
      </c>
    </row>
    <row r="10365" spans="11:11" x14ac:dyDescent="0.25">
      <c r="K10365" s="8" t="e">
        <f t="shared" si="161"/>
        <v>#VALUE!</v>
      </c>
    </row>
    <row r="10366" spans="11:11" x14ac:dyDescent="0.25">
      <c r="K10366" s="8" t="e">
        <f t="shared" si="161"/>
        <v>#VALUE!</v>
      </c>
    </row>
    <row r="10367" spans="11:11" x14ac:dyDescent="0.25">
      <c r="K10367" s="8" t="e">
        <f t="shared" si="161"/>
        <v>#VALUE!</v>
      </c>
    </row>
    <row r="10368" spans="11:11" x14ac:dyDescent="0.25">
      <c r="K10368" s="8" t="e">
        <f t="shared" si="161"/>
        <v>#VALUE!</v>
      </c>
    </row>
    <row r="10369" spans="11:11" x14ac:dyDescent="0.25">
      <c r="K10369" s="8" t="e">
        <f t="shared" si="161"/>
        <v>#VALUE!</v>
      </c>
    </row>
    <row r="10370" spans="11:11" x14ac:dyDescent="0.25">
      <c r="K10370" s="8" t="e">
        <f t="shared" si="161"/>
        <v>#VALUE!</v>
      </c>
    </row>
    <row r="10371" spans="11:11" x14ac:dyDescent="0.25">
      <c r="K10371" s="8" t="e">
        <f t="shared" ref="K10371:K10434" si="162">LEFT(A10371,FIND("/",A10371)-1)</f>
        <v>#VALUE!</v>
      </c>
    </row>
    <row r="10372" spans="11:11" x14ac:dyDescent="0.25">
      <c r="K10372" s="8" t="e">
        <f t="shared" si="162"/>
        <v>#VALUE!</v>
      </c>
    </row>
    <row r="10373" spans="11:11" x14ac:dyDescent="0.25">
      <c r="K10373" s="8" t="e">
        <f t="shared" si="162"/>
        <v>#VALUE!</v>
      </c>
    </row>
    <row r="10374" spans="11:11" x14ac:dyDescent="0.25">
      <c r="K10374" s="8" t="e">
        <f t="shared" si="162"/>
        <v>#VALUE!</v>
      </c>
    </row>
    <row r="10375" spans="11:11" x14ac:dyDescent="0.25">
      <c r="K10375" s="8" t="e">
        <f t="shared" si="162"/>
        <v>#VALUE!</v>
      </c>
    </row>
    <row r="10376" spans="11:11" x14ac:dyDescent="0.25">
      <c r="K10376" s="8" t="e">
        <f t="shared" si="162"/>
        <v>#VALUE!</v>
      </c>
    </row>
    <row r="10377" spans="11:11" x14ac:dyDescent="0.25">
      <c r="K10377" s="8" t="e">
        <f t="shared" si="162"/>
        <v>#VALUE!</v>
      </c>
    </row>
    <row r="10378" spans="11:11" x14ac:dyDescent="0.25">
      <c r="K10378" s="8" t="e">
        <f t="shared" si="162"/>
        <v>#VALUE!</v>
      </c>
    </row>
    <row r="10379" spans="11:11" x14ac:dyDescent="0.25">
      <c r="K10379" s="8" t="e">
        <f t="shared" si="162"/>
        <v>#VALUE!</v>
      </c>
    </row>
    <row r="10380" spans="11:11" x14ac:dyDescent="0.25">
      <c r="K10380" s="8" t="e">
        <f t="shared" si="162"/>
        <v>#VALUE!</v>
      </c>
    </row>
    <row r="10381" spans="11:11" x14ac:dyDescent="0.25">
      <c r="K10381" s="8" t="e">
        <f t="shared" si="162"/>
        <v>#VALUE!</v>
      </c>
    </row>
    <row r="10382" spans="11:11" x14ac:dyDescent="0.25">
      <c r="K10382" s="8" t="e">
        <f t="shared" si="162"/>
        <v>#VALUE!</v>
      </c>
    </row>
    <row r="10383" spans="11:11" x14ac:dyDescent="0.25">
      <c r="K10383" s="8" t="e">
        <f t="shared" si="162"/>
        <v>#VALUE!</v>
      </c>
    </row>
    <row r="10384" spans="11:11" x14ac:dyDescent="0.25">
      <c r="K10384" s="8" t="e">
        <f t="shared" si="162"/>
        <v>#VALUE!</v>
      </c>
    </row>
    <row r="10385" spans="11:11" x14ac:dyDescent="0.25">
      <c r="K10385" s="8" t="e">
        <f t="shared" si="162"/>
        <v>#VALUE!</v>
      </c>
    </row>
    <row r="10386" spans="11:11" x14ac:dyDescent="0.25">
      <c r="K10386" s="8" t="e">
        <f t="shared" si="162"/>
        <v>#VALUE!</v>
      </c>
    </row>
    <row r="10387" spans="11:11" x14ac:dyDescent="0.25">
      <c r="K10387" s="8" t="e">
        <f t="shared" si="162"/>
        <v>#VALUE!</v>
      </c>
    </row>
    <row r="10388" spans="11:11" x14ac:dyDescent="0.25">
      <c r="K10388" s="8" t="e">
        <f t="shared" si="162"/>
        <v>#VALUE!</v>
      </c>
    </row>
    <row r="10389" spans="11:11" x14ac:dyDescent="0.25">
      <c r="K10389" s="8" t="e">
        <f t="shared" si="162"/>
        <v>#VALUE!</v>
      </c>
    </row>
    <row r="10390" spans="11:11" x14ac:dyDescent="0.25">
      <c r="K10390" s="8" t="e">
        <f t="shared" si="162"/>
        <v>#VALUE!</v>
      </c>
    </row>
    <row r="10391" spans="11:11" x14ac:dyDescent="0.25">
      <c r="K10391" s="8" t="e">
        <f t="shared" si="162"/>
        <v>#VALUE!</v>
      </c>
    </row>
    <row r="10392" spans="11:11" x14ac:dyDescent="0.25">
      <c r="K10392" s="8" t="e">
        <f t="shared" si="162"/>
        <v>#VALUE!</v>
      </c>
    </row>
    <row r="10393" spans="11:11" x14ac:dyDescent="0.25">
      <c r="K10393" s="8" t="e">
        <f t="shared" si="162"/>
        <v>#VALUE!</v>
      </c>
    </row>
    <row r="10394" spans="11:11" x14ac:dyDescent="0.25">
      <c r="K10394" s="8" t="e">
        <f t="shared" si="162"/>
        <v>#VALUE!</v>
      </c>
    </row>
    <row r="10395" spans="11:11" x14ac:dyDescent="0.25">
      <c r="K10395" s="8" t="e">
        <f t="shared" si="162"/>
        <v>#VALUE!</v>
      </c>
    </row>
    <row r="10396" spans="11:11" x14ac:dyDescent="0.25">
      <c r="K10396" s="8" t="e">
        <f t="shared" si="162"/>
        <v>#VALUE!</v>
      </c>
    </row>
    <row r="10397" spans="11:11" x14ac:dyDescent="0.25">
      <c r="K10397" s="8" t="e">
        <f t="shared" si="162"/>
        <v>#VALUE!</v>
      </c>
    </row>
    <row r="10398" spans="11:11" x14ac:dyDescent="0.25">
      <c r="K10398" s="8" t="e">
        <f t="shared" si="162"/>
        <v>#VALUE!</v>
      </c>
    </row>
    <row r="10399" spans="11:11" x14ac:dyDescent="0.25">
      <c r="K10399" s="8" t="e">
        <f t="shared" si="162"/>
        <v>#VALUE!</v>
      </c>
    </row>
    <row r="10400" spans="11:11" x14ac:dyDescent="0.25">
      <c r="K10400" s="8" t="e">
        <f t="shared" si="162"/>
        <v>#VALUE!</v>
      </c>
    </row>
    <row r="10401" spans="11:11" x14ac:dyDescent="0.25">
      <c r="K10401" s="8" t="e">
        <f t="shared" si="162"/>
        <v>#VALUE!</v>
      </c>
    </row>
    <row r="10402" spans="11:11" x14ac:dyDescent="0.25">
      <c r="K10402" s="8" t="e">
        <f t="shared" si="162"/>
        <v>#VALUE!</v>
      </c>
    </row>
    <row r="10403" spans="11:11" x14ac:dyDescent="0.25">
      <c r="K10403" s="8" t="e">
        <f t="shared" si="162"/>
        <v>#VALUE!</v>
      </c>
    </row>
    <row r="10404" spans="11:11" x14ac:dyDescent="0.25">
      <c r="K10404" s="8" t="e">
        <f t="shared" si="162"/>
        <v>#VALUE!</v>
      </c>
    </row>
    <row r="10405" spans="11:11" x14ac:dyDescent="0.25">
      <c r="K10405" s="8" t="e">
        <f t="shared" si="162"/>
        <v>#VALUE!</v>
      </c>
    </row>
    <row r="10406" spans="11:11" x14ac:dyDescent="0.25">
      <c r="K10406" s="8" t="e">
        <f t="shared" si="162"/>
        <v>#VALUE!</v>
      </c>
    </row>
    <row r="10407" spans="11:11" x14ac:dyDescent="0.25">
      <c r="K10407" s="8" t="e">
        <f t="shared" si="162"/>
        <v>#VALUE!</v>
      </c>
    </row>
    <row r="10408" spans="11:11" x14ac:dyDescent="0.25">
      <c r="K10408" s="8" t="e">
        <f t="shared" si="162"/>
        <v>#VALUE!</v>
      </c>
    </row>
    <row r="10409" spans="11:11" x14ac:dyDescent="0.25">
      <c r="K10409" s="8" t="e">
        <f t="shared" si="162"/>
        <v>#VALUE!</v>
      </c>
    </row>
    <row r="10410" spans="11:11" x14ac:dyDescent="0.25">
      <c r="K10410" s="8" t="e">
        <f t="shared" si="162"/>
        <v>#VALUE!</v>
      </c>
    </row>
    <row r="10411" spans="11:11" x14ac:dyDescent="0.25">
      <c r="K10411" s="8" t="e">
        <f t="shared" si="162"/>
        <v>#VALUE!</v>
      </c>
    </row>
    <row r="10412" spans="11:11" x14ac:dyDescent="0.25">
      <c r="K10412" s="8" t="e">
        <f t="shared" si="162"/>
        <v>#VALUE!</v>
      </c>
    </row>
    <row r="10413" spans="11:11" x14ac:dyDescent="0.25">
      <c r="K10413" s="8" t="e">
        <f t="shared" si="162"/>
        <v>#VALUE!</v>
      </c>
    </row>
    <row r="10414" spans="11:11" x14ac:dyDescent="0.25">
      <c r="K10414" s="8" t="e">
        <f t="shared" si="162"/>
        <v>#VALUE!</v>
      </c>
    </row>
    <row r="10415" spans="11:11" x14ac:dyDescent="0.25">
      <c r="K10415" s="8" t="e">
        <f t="shared" si="162"/>
        <v>#VALUE!</v>
      </c>
    </row>
    <row r="10416" spans="11:11" x14ac:dyDescent="0.25">
      <c r="K10416" s="8" t="e">
        <f t="shared" si="162"/>
        <v>#VALUE!</v>
      </c>
    </row>
    <row r="10417" spans="11:11" x14ac:dyDescent="0.25">
      <c r="K10417" s="8" t="e">
        <f t="shared" si="162"/>
        <v>#VALUE!</v>
      </c>
    </row>
    <row r="10418" spans="11:11" x14ac:dyDescent="0.25">
      <c r="K10418" s="8" t="e">
        <f t="shared" si="162"/>
        <v>#VALUE!</v>
      </c>
    </row>
    <row r="10419" spans="11:11" x14ac:dyDescent="0.25">
      <c r="K10419" s="8" t="e">
        <f t="shared" si="162"/>
        <v>#VALUE!</v>
      </c>
    </row>
    <row r="10420" spans="11:11" x14ac:dyDescent="0.25">
      <c r="K10420" s="8" t="e">
        <f t="shared" si="162"/>
        <v>#VALUE!</v>
      </c>
    </row>
    <row r="10421" spans="11:11" x14ac:dyDescent="0.25">
      <c r="K10421" s="8" t="e">
        <f t="shared" si="162"/>
        <v>#VALUE!</v>
      </c>
    </row>
    <row r="10422" spans="11:11" x14ac:dyDescent="0.25">
      <c r="K10422" s="8" t="e">
        <f t="shared" si="162"/>
        <v>#VALUE!</v>
      </c>
    </row>
    <row r="10423" spans="11:11" x14ac:dyDescent="0.25">
      <c r="K10423" s="8" t="e">
        <f t="shared" si="162"/>
        <v>#VALUE!</v>
      </c>
    </row>
    <row r="10424" spans="11:11" x14ac:dyDescent="0.25">
      <c r="K10424" s="8" t="e">
        <f t="shared" si="162"/>
        <v>#VALUE!</v>
      </c>
    </row>
    <row r="10425" spans="11:11" x14ac:dyDescent="0.25">
      <c r="K10425" s="8" t="e">
        <f t="shared" si="162"/>
        <v>#VALUE!</v>
      </c>
    </row>
    <row r="10426" spans="11:11" x14ac:dyDescent="0.25">
      <c r="K10426" s="8" t="e">
        <f t="shared" si="162"/>
        <v>#VALUE!</v>
      </c>
    </row>
    <row r="10427" spans="11:11" x14ac:dyDescent="0.25">
      <c r="K10427" s="8" t="e">
        <f t="shared" si="162"/>
        <v>#VALUE!</v>
      </c>
    </row>
    <row r="10428" spans="11:11" x14ac:dyDescent="0.25">
      <c r="K10428" s="8" t="e">
        <f t="shared" si="162"/>
        <v>#VALUE!</v>
      </c>
    </row>
    <row r="10429" spans="11:11" x14ac:dyDescent="0.25">
      <c r="K10429" s="8" t="e">
        <f t="shared" si="162"/>
        <v>#VALUE!</v>
      </c>
    </row>
    <row r="10430" spans="11:11" x14ac:dyDescent="0.25">
      <c r="K10430" s="8" t="e">
        <f t="shared" si="162"/>
        <v>#VALUE!</v>
      </c>
    </row>
    <row r="10431" spans="11:11" x14ac:dyDescent="0.25">
      <c r="K10431" s="8" t="e">
        <f t="shared" si="162"/>
        <v>#VALUE!</v>
      </c>
    </row>
    <row r="10432" spans="11:11" x14ac:dyDescent="0.25">
      <c r="K10432" s="8" t="e">
        <f t="shared" si="162"/>
        <v>#VALUE!</v>
      </c>
    </row>
    <row r="10433" spans="11:11" x14ac:dyDescent="0.25">
      <c r="K10433" s="8" t="e">
        <f t="shared" si="162"/>
        <v>#VALUE!</v>
      </c>
    </row>
    <row r="10434" spans="11:11" x14ac:dyDescent="0.25">
      <c r="K10434" s="8" t="e">
        <f t="shared" si="162"/>
        <v>#VALUE!</v>
      </c>
    </row>
    <row r="10435" spans="11:11" x14ac:dyDescent="0.25">
      <c r="K10435" s="8" t="e">
        <f t="shared" ref="K10435:K10498" si="163">LEFT(A10435,FIND("/",A10435)-1)</f>
        <v>#VALUE!</v>
      </c>
    </row>
    <row r="10436" spans="11:11" x14ac:dyDescent="0.25">
      <c r="K10436" s="8" t="e">
        <f t="shared" si="163"/>
        <v>#VALUE!</v>
      </c>
    </row>
    <row r="10437" spans="11:11" x14ac:dyDescent="0.25">
      <c r="K10437" s="8" t="e">
        <f t="shared" si="163"/>
        <v>#VALUE!</v>
      </c>
    </row>
    <row r="10438" spans="11:11" x14ac:dyDescent="0.25">
      <c r="K10438" s="8" t="e">
        <f t="shared" si="163"/>
        <v>#VALUE!</v>
      </c>
    </row>
    <row r="10439" spans="11:11" x14ac:dyDescent="0.25">
      <c r="K10439" s="8" t="e">
        <f t="shared" si="163"/>
        <v>#VALUE!</v>
      </c>
    </row>
    <row r="10440" spans="11:11" x14ac:dyDescent="0.25">
      <c r="K10440" s="8" t="e">
        <f t="shared" si="163"/>
        <v>#VALUE!</v>
      </c>
    </row>
    <row r="10441" spans="11:11" x14ac:dyDescent="0.25">
      <c r="K10441" s="8" t="e">
        <f t="shared" si="163"/>
        <v>#VALUE!</v>
      </c>
    </row>
    <row r="10442" spans="11:11" x14ac:dyDescent="0.25">
      <c r="K10442" s="8" t="e">
        <f t="shared" si="163"/>
        <v>#VALUE!</v>
      </c>
    </row>
    <row r="10443" spans="11:11" x14ac:dyDescent="0.25">
      <c r="K10443" s="8" t="e">
        <f t="shared" si="163"/>
        <v>#VALUE!</v>
      </c>
    </row>
    <row r="10444" spans="11:11" x14ac:dyDescent="0.25">
      <c r="K10444" s="8" t="e">
        <f t="shared" si="163"/>
        <v>#VALUE!</v>
      </c>
    </row>
    <row r="10445" spans="11:11" x14ac:dyDescent="0.25">
      <c r="K10445" s="8" t="e">
        <f t="shared" si="163"/>
        <v>#VALUE!</v>
      </c>
    </row>
    <row r="10446" spans="11:11" x14ac:dyDescent="0.25">
      <c r="K10446" s="8" t="e">
        <f t="shared" si="163"/>
        <v>#VALUE!</v>
      </c>
    </row>
    <row r="10447" spans="11:11" x14ac:dyDescent="0.25">
      <c r="K10447" s="8" t="e">
        <f t="shared" si="163"/>
        <v>#VALUE!</v>
      </c>
    </row>
    <row r="10448" spans="11:11" x14ac:dyDescent="0.25">
      <c r="K10448" s="8" t="e">
        <f t="shared" si="163"/>
        <v>#VALUE!</v>
      </c>
    </row>
    <row r="10449" spans="11:11" x14ac:dyDescent="0.25">
      <c r="K10449" s="8" t="e">
        <f t="shared" si="163"/>
        <v>#VALUE!</v>
      </c>
    </row>
    <row r="10450" spans="11:11" x14ac:dyDescent="0.25">
      <c r="K10450" s="8" t="e">
        <f t="shared" si="163"/>
        <v>#VALUE!</v>
      </c>
    </row>
    <row r="10451" spans="11:11" x14ac:dyDescent="0.25">
      <c r="K10451" s="8" t="e">
        <f t="shared" si="163"/>
        <v>#VALUE!</v>
      </c>
    </row>
    <row r="10452" spans="11:11" x14ac:dyDescent="0.25">
      <c r="K10452" s="8" t="e">
        <f t="shared" si="163"/>
        <v>#VALUE!</v>
      </c>
    </row>
    <row r="10453" spans="11:11" x14ac:dyDescent="0.25">
      <c r="K10453" s="8" t="e">
        <f t="shared" si="163"/>
        <v>#VALUE!</v>
      </c>
    </row>
    <row r="10454" spans="11:11" x14ac:dyDescent="0.25">
      <c r="K10454" s="8" t="e">
        <f t="shared" si="163"/>
        <v>#VALUE!</v>
      </c>
    </row>
    <row r="10455" spans="11:11" x14ac:dyDescent="0.25">
      <c r="K10455" s="8" t="e">
        <f t="shared" si="163"/>
        <v>#VALUE!</v>
      </c>
    </row>
    <row r="10456" spans="11:11" x14ac:dyDescent="0.25">
      <c r="K10456" s="8" t="e">
        <f t="shared" si="163"/>
        <v>#VALUE!</v>
      </c>
    </row>
    <row r="10457" spans="11:11" x14ac:dyDescent="0.25">
      <c r="K10457" s="8" t="e">
        <f t="shared" si="163"/>
        <v>#VALUE!</v>
      </c>
    </row>
    <row r="10458" spans="11:11" x14ac:dyDescent="0.25">
      <c r="K10458" s="8" t="e">
        <f t="shared" si="163"/>
        <v>#VALUE!</v>
      </c>
    </row>
    <row r="10459" spans="11:11" x14ac:dyDescent="0.25">
      <c r="K10459" s="8" t="e">
        <f t="shared" si="163"/>
        <v>#VALUE!</v>
      </c>
    </row>
    <row r="10460" spans="11:11" x14ac:dyDescent="0.25">
      <c r="K10460" s="8" t="e">
        <f t="shared" si="163"/>
        <v>#VALUE!</v>
      </c>
    </row>
    <row r="10461" spans="11:11" x14ac:dyDescent="0.25">
      <c r="K10461" s="8" t="e">
        <f t="shared" si="163"/>
        <v>#VALUE!</v>
      </c>
    </row>
    <row r="10462" spans="11:11" x14ac:dyDescent="0.25">
      <c r="K10462" s="8" t="e">
        <f t="shared" si="163"/>
        <v>#VALUE!</v>
      </c>
    </row>
    <row r="10463" spans="11:11" x14ac:dyDescent="0.25">
      <c r="K10463" s="8" t="e">
        <f t="shared" si="163"/>
        <v>#VALUE!</v>
      </c>
    </row>
    <row r="10464" spans="11:11" x14ac:dyDescent="0.25">
      <c r="K10464" s="8" t="e">
        <f t="shared" si="163"/>
        <v>#VALUE!</v>
      </c>
    </row>
    <row r="10465" spans="11:11" x14ac:dyDescent="0.25">
      <c r="K10465" s="8" t="e">
        <f t="shared" si="163"/>
        <v>#VALUE!</v>
      </c>
    </row>
    <row r="10466" spans="11:11" x14ac:dyDescent="0.25">
      <c r="K10466" s="8" t="e">
        <f t="shared" si="163"/>
        <v>#VALUE!</v>
      </c>
    </row>
    <row r="10467" spans="11:11" x14ac:dyDescent="0.25">
      <c r="K10467" s="8" t="e">
        <f t="shared" si="163"/>
        <v>#VALUE!</v>
      </c>
    </row>
    <row r="10468" spans="11:11" x14ac:dyDescent="0.25">
      <c r="K10468" s="8" t="e">
        <f t="shared" si="163"/>
        <v>#VALUE!</v>
      </c>
    </row>
    <row r="10469" spans="11:11" x14ac:dyDescent="0.25">
      <c r="K10469" s="8" t="e">
        <f t="shared" si="163"/>
        <v>#VALUE!</v>
      </c>
    </row>
    <row r="10470" spans="11:11" x14ac:dyDescent="0.25">
      <c r="K10470" s="8" t="e">
        <f t="shared" si="163"/>
        <v>#VALUE!</v>
      </c>
    </row>
    <row r="10471" spans="11:11" x14ac:dyDescent="0.25">
      <c r="K10471" s="8" t="e">
        <f t="shared" si="163"/>
        <v>#VALUE!</v>
      </c>
    </row>
    <row r="10472" spans="11:11" x14ac:dyDescent="0.25">
      <c r="K10472" s="8" t="e">
        <f t="shared" si="163"/>
        <v>#VALUE!</v>
      </c>
    </row>
    <row r="10473" spans="11:11" x14ac:dyDescent="0.25">
      <c r="K10473" s="8" t="e">
        <f t="shared" si="163"/>
        <v>#VALUE!</v>
      </c>
    </row>
    <row r="10474" spans="11:11" x14ac:dyDescent="0.25">
      <c r="K10474" s="8" t="e">
        <f t="shared" si="163"/>
        <v>#VALUE!</v>
      </c>
    </row>
    <row r="10475" spans="11:11" x14ac:dyDescent="0.25">
      <c r="K10475" s="8" t="e">
        <f t="shared" si="163"/>
        <v>#VALUE!</v>
      </c>
    </row>
    <row r="10476" spans="11:11" x14ac:dyDescent="0.25">
      <c r="K10476" s="8" t="e">
        <f t="shared" si="163"/>
        <v>#VALUE!</v>
      </c>
    </row>
    <row r="10477" spans="11:11" x14ac:dyDescent="0.25">
      <c r="K10477" s="8" t="e">
        <f t="shared" si="163"/>
        <v>#VALUE!</v>
      </c>
    </row>
    <row r="10478" spans="11:11" x14ac:dyDescent="0.25">
      <c r="K10478" s="8" t="e">
        <f t="shared" si="163"/>
        <v>#VALUE!</v>
      </c>
    </row>
    <row r="10479" spans="11:11" x14ac:dyDescent="0.25">
      <c r="K10479" s="8" t="e">
        <f t="shared" si="163"/>
        <v>#VALUE!</v>
      </c>
    </row>
    <row r="10480" spans="11:11" x14ac:dyDescent="0.25">
      <c r="K10480" s="8" t="e">
        <f t="shared" si="163"/>
        <v>#VALUE!</v>
      </c>
    </row>
    <row r="10481" spans="11:11" x14ac:dyDescent="0.25">
      <c r="K10481" s="8" t="e">
        <f t="shared" si="163"/>
        <v>#VALUE!</v>
      </c>
    </row>
    <row r="10482" spans="11:11" x14ac:dyDescent="0.25">
      <c r="K10482" s="8" t="e">
        <f t="shared" si="163"/>
        <v>#VALUE!</v>
      </c>
    </row>
    <row r="10483" spans="11:11" x14ac:dyDescent="0.25">
      <c r="K10483" s="8" t="e">
        <f t="shared" si="163"/>
        <v>#VALUE!</v>
      </c>
    </row>
    <row r="10484" spans="11:11" x14ac:dyDescent="0.25">
      <c r="K10484" s="8" t="e">
        <f t="shared" si="163"/>
        <v>#VALUE!</v>
      </c>
    </row>
    <row r="10485" spans="11:11" x14ac:dyDescent="0.25">
      <c r="K10485" s="8" t="e">
        <f t="shared" si="163"/>
        <v>#VALUE!</v>
      </c>
    </row>
    <row r="10486" spans="11:11" x14ac:dyDescent="0.25">
      <c r="K10486" s="8" t="e">
        <f t="shared" si="163"/>
        <v>#VALUE!</v>
      </c>
    </row>
    <row r="10487" spans="11:11" x14ac:dyDescent="0.25">
      <c r="K10487" s="8" t="e">
        <f t="shared" si="163"/>
        <v>#VALUE!</v>
      </c>
    </row>
    <row r="10488" spans="11:11" x14ac:dyDescent="0.25">
      <c r="K10488" s="8" t="e">
        <f t="shared" si="163"/>
        <v>#VALUE!</v>
      </c>
    </row>
    <row r="10489" spans="11:11" x14ac:dyDescent="0.25">
      <c r="K10489" s="8" t="e">
        <f t="shared" si="163"/>
        <v>#VALUE!</v>
      </c>
    </row>
    <row r="10490" spans="11:11" x14ac:dyDescent="0.25">
      <c r="K10490" s="8" t="e">
        <f t="shared" si="163"/>
        <v>#VALUE!</v>
      </c>
    </row>
    <row r="10491" spans="11:11" x14ac:dyDescent="0.25">
      <c r="K10491" s="8" t="e">
        <f t="shared" si="163"/>
        <v>#VALUE!</v>
      </c>
    </row>
    <row r="10492" spans="11:11" x14ac:dyDescent="0.25">
      <c r="K10492" s="8" t="e">
        <f t="shared" si="163"/>
        <v>#VALUE!</v>
      </c>
    </row>
    <row r="10493" spans="11:11" x14ac:dyDescent="0.25">
      <c r="K10493" s="8" t="e">
        <f t="shared" si="163"/>
        <v>#VALUE!</v>
      </c>
    </row>
    <row r="10494" spans="11:11" x14ac:dyDescent="0.25">
      <c r="K10494" s="8" t="e">
        <f t="shared" si="163"/>
        <v>#VALUE!</v>
      </c>
    </row>
    <row r="10495" spans="11:11" x14ac:dyDescent="0.25">
      <c r="K10495" s="8" t="e">
        <f t="shared" si="163"/>
        <v>#VALUE!</v>
      </c>
    </row>
    <row r="10496" spans="11:11" x14ac:dyDescent="0.25">
      <c r="K10496" s="8" t="e">
        <f t="shared" si="163"/>
        <v>#VALUE!</v>
      </c>
    </row>
    <row r="10497" spans="11:11" x14ac:dyDescent="0.25">
      <c r="K10497" s="8" t="e">
        <f t="shared" si="163"/>
        <v>#VALUE!</v>
      </c>
    </row>
    <row r="10498" spans="11:11" x14ac:dyDescent="0.25">
      <c r="K10498" s="8" t="e">
        <f t="shared" si="163"/>
        <v>#VALUE!</v>
      </c>
    </row>
    <row r="10499" spans="11:11" x14ac:dyDescent="0.25">
      <c r="K10499" s="8" t="e">
        <f t="shared" ref="K10499:K10562" si="164">LEFT(A10499,FIND("/",A10499)-1)</f>
        <v>#VALUE!</v>
      </c>
    </row>
    <row r="10500" spans="11:11" x14ac:dyDescent="0.25">
      <c r="K10500" s="8" t="e">
        <f t="shared" si="164"/>
        <v>#VALUE!</v>
      </c>
    </row>
    <row r="10501" spans="11:11" x14ac:dyDescent="0.25">
      <c r="K10501" s="8" t="e">
        <f t="shared" si="164"/>
        <v>#VALUE!</v>
      </c>
    </row>
    <row r="10502" spans="11:11" x14ac:dyDescent="0.25">
      <c r="K10502" s="8" t="e">
        <f t="shared" si="164"/>
        <v>#VALUE!</v>
      </c>
    </row>
    <row r="10503" spans="11:11" x14ac:dyDescent="0.25">
      <c r="K10503" s="8" t="e">
        <f t="shared" si="164"/>
        <v>#VALUE!</v>
      </c>
    </row>
    <row r="10504" spans="11:11" x14ac:dyDescent="0.25">
      <c r="K10504" s="8" t="e">
        <f t="shared" si="164"/>
        <v>#VALUE!</v>
      </c>
    </row>
    <row r="10505" spans="11:11" x14ac:dyDescent="0.25">
      <c r="K10505" s="8" t="e">
        <f t="shared" si="164"/>
        <v>#VALUE!</v>
      </c>
    </row>
    <row r="10506" spans="11:11" x14ac:dyDescent="0.25">
      <c r="K10506" s="8" t="e">
        <f t="shared" si="164"/>
        <v>#VALUE!</v>
      </c>
    </row>
    <row r="10507" spans="11:11" x14ac:dyDescent="0.25">
      <c r="K10507" s="8" t="e">
        <f t="shared" si="164"/>
        <v>#VALUE!</v>
      </c>
    </row>
    <row r="10508" spans="11:11" x14ac:dyDescent="0.25">
      <c r="K10508" s="8" t="e">
        <f t="shared" si="164"/>
        <v>#VALUE!</v>
      </c>
    </row>
    <row r="10509" spans="11:11" x14ac:dyDescent="0.25">
      <c r="K10509" s="8" t="e">
        <f t="shared" si="164"/>
        <v>#VALUE!</v>
      </c>
    </row>
    <row r="10510" spans="11:11" x14ac:dyDescent="0.25">
      <c r="K10510" s="8" t="e">
        <f t="shared" si="164"/>
        <v>#VALUE!</v>
      </c>
    </row>
    <row r="10511" spans="11:11" x14ac:dyDescent="0.25">
      <c r="K10511" s="8" t="e">
        <f t="shared" si="164"/>
        <v>#VALUE!</v>
      </c>
    </row>
    <row r="10512" spans="11:11" x14ac:dyDescent="0.25">
      <c r="K10512" s="8" t="e">
        <f t="shared" si="164"/>
        <v>#VALUE!</v>
      </c>
    </row>
    <row r="10513" spans="11:11" x14ac:dyDescent="0.25">
      <c r="K10513" s="8" t="e">
        <f t="shared" si="164"/>
        <v>#VALUE!</v>
      </c>
    </row>
    <row r="10514" spans="11:11" x14ac:dyDescent="0.25">
      <c r="K10514" s="8" t="e">
        <f t="shared" si="164"/>
        <v>#VALUE!</v>
      </c>
    </row>
    <row r="10515" spans="11:11" x14ac:dyDescent="0.25">
      <c r="K10515" s="8" t="e">
        <f t="shared" si="164"/>
        <v>#VALUE!</v>
      </c>
    </row>
    <row r="10516" spans="11:11" x14ac:dyDescent="0.25">
      <c r="K10516" s="8" t="e">
        <f t="shared" si="164"/>
        <v>#VALUE!</v>
      </c>
    </row>
    <row r="10517" spans="11:11" x14ac:dyDescent="0.25">
      <c r="K10517" s="8" t="e">
        <f t="shared" si="164"/>
        <v>#VALUE!</v>
      </c>
    </row>
    <row r="10518" spans="11:11" x14ac:dyDescent="0.25">
      <c r="K10518" s="8" t="e">
        <f t="shared" si="164"/>
        <v>#VALUE!</v>
      </c>
    </row>
    <row r="10519" spans="11:11" x14ac:dyDescent="0.25">
      <c r="K10519" s="8" t="e">
        <f t="shared" si="164"/>
        <v>#VALUE!</v>
      </c>
    </row>
    <row r="10520" spans="11:11" x14ac:dyDescent="0.25">
      <c r="K10520" s="8" t="e">
        <f t="shared" si="164"/>
        <v>#VALUE!</v>
      </c>
    </row>
    <row r="10521" spans="11:11" x14ac:dyDescent="0.25">
      <c r="K10521" s="8" t="e">
        <f t="shared" si="164"/>
        <v>#VALUE!</v>
      </c>
    </row>
    <row r="10522" spans="11:11" x14ac:dyDescent="0.25">
      <c r="K10522" s="8" t="e">
        <f t="shared" si="164"/>
        <v>#VALUE!</v>
      </c>
    </row>
    <row r="10523" spans="11:11" x14ac:dyDescent="0.25">
      <c r="K10523" s="8" t="e">
        <f t="shared" si="164"/>
        <v>#VALUE!</v>
      </c>
    </row>
    <row r="10524" spans="11:11" x14ac:dyDescent="0.25">
      <c r="K10524" s="8" t="e">
        <f t="shared" si="164"/>
        <v>#VALUE!</v>
      </c>
    </row>
    <row r="10525" spans="11:11" x14ac:dyDescent="0.25">
      <c r="K10525" s="8" t="e">
        <f t="shared" si="164"/>
        <v>#VALUE!</v>
      </c>
    </row>
    <row r="10526" spans="11:11" x14ac:dyDescent="0.25">
      <c r="K10526" s="8" t="e">
        <f t="shared" si="164"/>
        <v>#VALUE!</v>
      </c>
    </row>
    <row r="10527" spans="11:11" x14ac:dyDescent="0.25">
      <c r="K10527" s="8" t="e">
        <f t="shared" si="164"/>
        <v>#VALUE!</v>
      </c>
    </row>
    <row r="10528" spans="11:11" x14ac:dyDescent="0.25">
      <c r="K10528" s="8" t="e">
        <f t="shared" si="164"/>
        <v>#VALUE!</v>
      </c>
    </row>
    <row r="10529" spans="11:11" x14ac:dyDescent="0.25">
      <c r="K10529" s="8" t="e">
        <f t="shared" si="164"/>
        <v>#VALUE!</v>
      </c>
    </row>
    <row r="10530" spans="11:11" x14ac:dyDescent="0.25">
      <c r="K10530" s="8" t="e">
        <f t="shared" si="164"/>
        <v>#VALUE!</v>
      </c>
    </row>
    <row r="10531" spans="11:11" x14ac:dyDescent="0.25">
      <c r="K10531" s="8" t="e">
        <f t="shared" si="164"/>
        <v>#VALUE!</v>
      </c>
    </row>
    <row r="10532" spans="11:11" x14ac:dyDescent="0.25">
      <c r="K10532" s="8" t="e">
        <f t="shared" si="164"/>
        <v>#VALUE!</v>
      </c>
    </row>
    <row r="10533" spans="11:11" x14ac:dyDescent="0.25">
      <c r="K10533" s="8" t="e">
        <f t="shared" si="164"/>
        <v>#VALUE!</v>
      </c>
    </row>
    <row r="10534" spans="11:11" x14ac:dyDescent="0.25">
      <c r="K10534" s="8" t="e">
        <f t="shared" si="164"/>
        <v>#VALUE!</v>
      </c>
    </row>
    <row r="10535" spans="11:11" x14ac:dyDescent="0.25">
      <c r="K10535" s="8" t="e">
        <f t="shared" si="164"/>
        <v>#VALUE!</v>
      </c>
    </row>
    <row r="10536" spans="11:11" x14ac:dyDescent="0.25">
      <c r="K10536" s="8" t="e">
        <f t="shared" si="164"/>
        <v>#VALUE!</v>
      </c>
    </row>
    <row r="10537" spans="11:11" x14ac:dyDescent="0.25">
      <c r="K10537" s="8" t="e">
        <f t="shared" si="164"/>
        <v>#VALUE!</v>
      </c>
    </row>
    <row r="10538" spans="11:11" x14ac:dyDescent="0.25">
      <c r="K10538" s="8" t="e">
        <f t="shared" si="164"/>
        <v>#VALUE!</v>
      </c>
    </row>
    <row r="10539" spans="11:11" x14ac:dyDescent="0.25">
      <c r="K10539" s="8" t="e">
        <f t="shared" si="164"/>
        <v>#VALUE!</v>
      </c>
    </row>
    <row r="10540" spans="11:11" x14ac:dyDescent="0.25">
      <c r="K10540" s="8" t="e">
        <f t="shared" si="164"/>
        <v>#VALUE!</v>
      </c>
    </row>
    <row r="10541" spans="11:11" x14ac:dyDescent="0.25">
      <c r="K10541" s="8" t="e">
        <f t="shared" si="164"/>
        <v>#VALUE!</v>
      </c>
    </row>
    <row r="10542" spans="11:11" x14ac:dyDescent="0.25">
      <c r="K10542" s="8" t="e">
        <f t="shared" si="164"/>
        <v>#VALUE!</v>
      </c>
    </row>
    <row r="10543" spans="11:11" x14ac:dyDescent="0.25">
      <c r="K10543" s="8" t="e">
        <f t="shared" si="164"/>
        <v>#VALUE!</v>
      </c>
    </row>
    <row r="10544" spans="11:11" x14ac:dyDescent="0.25">
      <c r="K10544" s="8" t="e">
        <f t="shared" si="164"/>
        <v>#VALUE!</v>
      </c>
    </row>
    <row r="10545" spans="11:11" x14ac:dyDescent="0.25">
      <c r="K10545" s="8" t="e">
        <f t="shared" si="164"/>
        <v>#VALUE!</v>
      </c>
    </row>
    <row r="10546" spans="11:11" x14ac:dyDescent="0.25">
      <c r="K10546" s="8" t="e">
        <f t="shared" si="164"/>
        <v>#VALUE!</v>
      </c>
    </row>
    <row r="10547" spans="11:11" x14ac:dyDescent="0.25">
      <c r="K10547" s="8" t="e">
        <f t="shared" si="164"/>
        <v>#VALUE!</v>
      </c>
    </row>
    <row r="10548" spans="11:11" x14ac:dyDescent="0.25">
      <c r="K10548" s="8" t="e">
        <f t="shared" si="164"/>
        <v>#VALUE!</v>
      </c>
    </row>
    <row r="10549" spans="11:11" x14ac:dyDescent="0.25">
      <c r="K10549" s="8" t="e">
        <f t="shared" si="164"/>
        <v>#VALUE!</v>
      </c>
    </row>
    <row r="10550" spans="11:11" x14ac:dyDescent="0.25">
      <c r="K10550" s="8" t="e">
        <f t="shared" si="164"/>
        <v>#VALUE!</v>
      </c>
    </row>
    <row r="10551" spans="11:11" x14ac:dyDescent="0.25">
      <c r="K10551" s="8" t="e">
        <f t="shared" si="164"/>
        <v>#VALUE!</v>
      </c>
    </row>
    <row r="10552" spans="11:11" x14ac:dyDescent="0.25">
      <c r="K10552" s="8" t="e">
        <f t="shared" si="164"/>
        <v>#VALUE!</v>
      </c>
    </row>
    <row r="10553" spans="11:11" x14ac:dyDescent="0.25">
      <c r="K10553" s="8" t="e">
        <f t="shared" si="164"/>
        <v>#VALUE!</v>
      </c>
    </row>
    <row r="10554" spans="11:11" x14ac:dyDescent="0.25">
      <c r="K10554" s="8" t="e">
        <f t="shared" si="164"/>
        <v>#VALUE!</v>
      </c>
    </row>
    <row r="10555" spans="11:11" x14ac:dyDescent="0.25">
      <c r="K10555" s="8" t="e">
        <f t="shared" si="164"/>
        <v>#VALUE!</v>
      </c>
    </row>
    <row r="10556" spans="11:11" x14ac:dyDescent="0.25">
      <c r="K10556" s="8" t="e">
        <f t="shared" si="164"/>
        <v>#VALUE!</v>
      </c>
    </row>
    <row r="10557" spans="11:11" x14ac:dyDescent="0.25">
      <c r="K10557" s="8" t="e">
        <f t="shared" si="164"/>
        <v>#VALUE!</v>
      </c>
    </row>
    <row r="10558" spans="11:11" x14ac:dyDescent="0.25">
      <c r="K10558" s="8" t="e">
        <f t="shared" si="164"/>
        <v>#VALUE!</v>
      </c>
    </row>
    <row r="10559" spans="11:11" x14ac:dyDescent="0.25">
      <c r="K10559" s="8" t="e">
        <f t="shared" si="164"/>
        <v>#VALUE!</v>
      </c>
    </row>
    <row r="10560" spans="11:11" x14ac:dyDescent="0.25">
      <c r="K10560" s="8" t="e">
        <f t="shared" si="164"/>
        <v>#VALUE!</v>
      </c>
    </row>
    <row r="10561" spans="11:11" x14ac:dyDescent="0.25">
      <c r="K10561" s="8" t="e">
        <f t="shared" si="164"/>
        <v>#VALUE!</v>
      </c>
    </row>
    <row r="10562" spans="11:11" x14ac:dyDescent="0.25">
      <c r="K10562" s="8" t="e">
        <f t="shared" si="164"/>
        <v>#VALUE!</v>
      </c>
    </row>
    <row r="10563" spans="11:11" x14ac:dyDescent="0.25">
      <c r="K10563" s="8" t="e">
        <f t="shared" ref="K10563:K10626" si="165">LEFT(A10563,FIND("/",A10563)-1)</f>
        <v>#VALUE!</v>
      </c>
    </row>
    <row r="10564" spans="11:11" x14ac:dyDescent="0.25">
      <c r="K10564" s="8" t="e">
        <f t="shared" si="165"/>
        <v>#VALUE!</v>
      </c>
    </row>
    <row r="10565" spans="11:11" x14ac:dyDescent="0.25">
      <c r="K10565" s="8" t="e">
        <f t="shared" si="165"/>
        <v>#VALUE!</v>
      </c>
    </row>
    <row r="10566" spans="11:11" x14ac:dyDescent="0.25">
      <c r="K10566" s="8" t="e">
        <f t="shared" si="165"/>
        <v>#VALUE!</v>
      </c>
    </row>
    <row r="10567" spans="11:11" x14ac:dyDescent="0.25">
      <c r="K10567" s="8" t="e">
        <f t="shared" si="165"/>
        <v>#VALUE!</v>
      </c>
    </row>
    <row r="10568" spans="11:11" x14ac:dyDescent="0.25">
      <c r="K10568" s="8" t="e">
        <f t="shared" si="165"/>
        <v>#VALUE!</v>
      </c>
    </row>
    <row r="10569" spans="11:11" x14ac:dyDescent="0.25">
      <c r="K10569" s="8" t="e">
        <f t="shared" si="165"/>
        <v>#VALUE!</v>
      </c>
    </row>
    <row r="10570" spans="11:11" x14ac:dyDescent="0.25">
      <c r="K10570" s="8" t="e">
        <f t="shared" si="165"/>
        <v>#VALUE!</v>
      </c>
    </row>
    <row r="10571" spans="11:11" x14ac:dyDescent="0.25">
      <c r="K10571" s="8" t="e">
        <f t="shared" si="165"/>
        <v>#VALUE!</v>
      </c>
    </row>
    <row r="10572" spans="11:11" x14ac:dyDescent="0.25">
      <c r="K10572" s="8" t="e">
        <f t="shared" si="165"/>
        <v>#VALUE!</v>
      </c>
    </row>
    <row r="10573" spans="11:11" x14ac:dyDescent="0.25">
      <c r="K10573" s="8" t="e">
        <f t="shared" si="165"/>
        <v>#VALUE!</v>
      </c>
    </row>
    <row r="10574" spans="11:11" x14ac:dyDescent="0.25">
      <c r="K10574" s="8" t="e">
        <f t="shared" si="165"/>
        <v>#VALUE!</v>
      </c>
    </row>
    <row r="10575" spans="11:11" x14ac:dyDescent="0.25">
      <c r="K10575" s="8" t="e">
        <f t="shared" si="165"/>
        <v>#VALUE!</v>
      </c>
    </row>
    <row r="10576" spans="11:11" x14ac:dyDescent="0.25">
      <c r="K10576" s="8" t="e">
        <f t="shared" si="165"/>
        <v>#VALUE!</v>
      </c>
    </row>
    <row r="10577" spans="11:11" x14ac:dyDescent="0.25">
      <c r="K10577" s="8" t="e">
        <f t="shared" si="165"/>
        <v>#VALUE!</v>
      </c>
    </row>
    <row r="10578" spans="11:11" x14ac:dyDescent="0.25">
      <c r="K10578" s="8" t="e">
        <f t="shared" si="165"/>
        <v>#VALUE!</v>
      </c>
    </row>
    <row r="10579" spans="11:11" x14ac:dyDescent="0.25">
      <c r="K10579" s="8" t="e">
        <f t="shared" si="165"/>
        <v>#VALUE!</v>
      </c>
    </row>
    <row r="10580" spans="11:11" x14ac:dyDescent="0.25">
      <c r="K10580" s="8" t="e">
        <f t="shared" si="165"/>
        <v>#VALUE!</v>
      </c>
    </row>
    <row r="10581" spans="11:11" x14ac:dyDescent="0.25">
      <c r="K10581" s="8" t="e">
        <f t="shared" si="165"/>
        <v>#VALUE!</v>
      </c>
    </row>
    <row r="10582" spans="11:11" x14ac:dyDescent="0.25">
      <c r="K10582" s="8" t="e">
        <f t="shared" si="165"/>
        <v>#VALUE!</v>
      </c>
    </row>
    <row r="10583" spans="11:11" x14ac:dyDescent="0.25">
      <c r="K10583" s="8" t="e">
        <f t="shared" si="165"/>
        <v>#VALUE!</v>
      </c>
    </row>
    <row r="10584" spans="11:11" x14ac:dyDescent="0.25">
      <c r="K10584" s="8" t="e">
        <f t="shared" si="165"/>
        <v>#VALUE!</v>
      </c>
    </row>
    <row r="10585" spans="11:11" x14ac:dyDescent="0.25">
      <c r="K10585" s="8" t="e">
        <f t="shared" si="165"/>
        <v>#VALUE!</v>
      </c>
    </row>
    <row r="10586" spans="11:11" x14ac:dyDescent="0.25">
      <c r="K10586" s="8" t="e">
        <f t="shared" si="165"/>
        <v>#VALUE!</v>
      </c>
    </row>
    <row r="10587" spans="11:11" x14ac:dyDescent="0.25">
      <c r="K10587" s="8" t="e">
        <f t="shared" si="165"/>
        <v>#VALUE!</v>
      </c>
    </row>
    <row r="10588" spans="11:11" x14ac:dyDescent="0.25">
      <c r="K10588" s="8" t="e">
        <f t="shared" si="165"/>
        <v>#VALUE!</v>
      </c>
    </row>
    <row r="10589" spans="11:11" x14ac:dyDescent="0.25">
      <c r="K10589" s="8" t="e">
        <f t="shared" si="165"/>
        <v>#VALUE!</v>
      </c>
    </row>
    <row r="10590" spans="11:11" x14ac:dyDescent="0.25">
      <c r="K10590" s="8" t="e">
        <f t="shared" si="165"/>
        <v>#VALUE!</v>
      </c>
    </row>
    <row r="10591" spans="11:11" x14ac:dyDescent="0.25">
      <c r="K10591" s="8" t="e">
        <f t="shared" si="165"/>
        <v>#VALUE!</v>
      </c>
    </row>
    <row r="10592" spans="11:11" x14ac:dyDescent="0.25">
      <c r="K10592" s="8" t="e">
        <f t="shared" si="165"/>
        <v>#VALUE!</v>
      </c>
    </row>
    <row r="10593" spans="11:11" x14ac:dyDescent="0.25">
      <c r="K10593" s="8" t="e">
        <f t="shared" si="165"/>
        <v>#VALUE!</v>
      </c>
    </row>
    <row r="10594" spans="11:11" x14ac:dyDescent="0.25">
      <c r="K10594" s="8" t="e">
        <f t="shared" si="165"/>
        <v>#VALUE!</v>
      </c>
    </row>
    <row r="10595" spans="11:11" x14ac:dyDescent="0.25">
      <c r="K10595" s="8" t="e">
        <f t="shared" si="165"/>
        <v>#VALUE!</v>
      </c>
    </row>
    <row r="10596" spans="11:11" x14ac:dyDescent="0.25">
      <c r="K10596" s="8" t="e">
        <f t="shared" si="165"/>
        <v>#VALUE!</v>
      </c>
    </row>
    <row r="10597" spans="11:11" x14ac:dyDescent="0.25">
      <c r="K10597" s="8" t="e">
        <f t="shared" si="165"/>
        <v>#VALUE!</v>
      </c>
    </row>
    <row r="10598" spans="11:11" x14ac:dyDescent="0.25">
      <c r="K10598" s="8" t="e">
        <f t="shared" si="165"/>
        <v>#VALUE!</v>
      </c>
    </row>
    <row r="10599" spans="11:11" x14ac:dyDescent="0.25">
      <c r="K10599" s="8" t="e">
        <f t="shared" si="165"/>
        <v>#VALUE!</v>
      </c>
    </row>
    <row r="10600" spans="11:11" x14ac:dyDescent="0.25">
      <c r="K10600" s="8" t="e">
        <f t="shared" si="165"/>
        <v>#VALUE!</v>
      </c>
    </row>
    <row r="10601" spans="11:11" x14ac:dyDescent="0.25">
      <c r="K10601" s="8" t="e">
        <f t="shared" si="165"/>
        <v>#VALUE!</v>
      </c>
    </row>
    <row r="10602" spans="11:11" x14ac:dyDescent="0.25">
      <c r="K10602" s="8" t="e">
        <f t="shared" si="165"/>
        <v>#VALUE!</v>
      </c>
    </row>
    <row r="10603" spans="11:11" x14ac:dyDescent="0.25">
      <c r="K10603" s="8" t="e">
        <f t="shared" si="165"/>
        <v>#VALUE!</v>
      </c>
    </row>
    <row r="10604" spans="11:11" x14ac:dyDescent="0.25">
      <c r="K10604" s="8" t="e">
        <f t="shared" si="165"/>
        <v>#VALUE!</v>
      </c>
    </row>
    <row r="10605" spans="11:11" x14ac:dyDescent="0.25">
      <c r="K10605" s="8" t="e">
        <f t="shared" si="165"/>
        <v>#VALUE!</v>
      </c>
    </row>
    <row r="10606" spans="11:11" x14ac:dyDescent="0.25">
      <c r="K10606" s="8" t="e">
        <f t="shared" si="165"/>
        <v>#VALUE!</v>
      </c>
    </row>
    <row r="10607" spans="11:11" x14ac:dyDescent="0.25">
      <c r="K10607" s="8" t="e">
        <f t="shared" si="165"/>
        <v>#VALUE!</v>
      </c>
    </row>
    <row r="10608" spans="11:11" x14ac:dyDescent="0.25">
      <c r="K10608" s="8" t="e">
        <f t="shared" si="165"/>
        <v>#VALUE!</v>
      </c>
    </row>
    <row r="10609" spans="11:11" x14ac:dyDescent="0.25">
      <c r="K10609" s="8" t="e">
        <f t="shared" si="165"/>
        <v>#VALUE!</v>
      </c>
    </row>
    <row r="10610" spans="11:11" x14ac:dyDescent="0.25">
      <c r="K10610" s="8" t="e">
        <f t="shared" si="165"/>
        <v>#VALUE!</v>
      </c>
    </row>
    <row r="10611" spans="11:11" x14ac:dyDescent="0.25">
      <c r="K10611" s="8" t="e">
        <f t="shared" si="165"/>
        <v>#VALUE!</v>
      </c>
    </row>
    <row r="10612" spans="11:11" x14ac:dyDescent="0.25">
      <c r="K10612" s="8" t="e">
        <f t="shared" si="165"/>
        <v>#VALUE!</v>
      </c>
    </row>
    <row r="10613" spans="11:11" x14ac:dyDescent="0.25">
      <c r="K10613" s="8" t="e">
        <f t="shared" si="165"/>
        <v>#VALUE!</v>
      </c>
    </row>
    <row r="10614" spans="11:11" x14ac:dyDescent="0.25">
      <c r="K10614" s="8" t="e">
        <f t="shared" si="165"/>
        <v>#VALUE!</v>
      </c>
    </row>
    <row r="10615" spans="11:11" x14ac:dyDescent="0.25">
      <c r="K10615" s="8" t="e">
        <f t="shared" si="165"/>
        <v>#VALUE!</v>
      </c>
    </row>
    <row r="10616" spans="11:11" x14ac:dyDescent="0.25">
      <c r="K10616" s="8" t="e">
        <f t="shared" si="165"/>
        <v>#VALUE!</v>
      </c>
    </row>
    <row r="10617" spans="11:11" x14ac:dyDescent="0.25">
      <c r="K10617" s="8" t="e">
        <f t="shared" si="165"/>
        <v>#VALUE!</v>
      </c>
    </row>
    <row r="10618" spans="11:11" x14ac:dyDescent="0.25">
      <c r="K10618" s="8" t="e">
        <f t="shared" si="165"/>
        <v>#VALUE!</v>
      </c>
    </row>
    <row r="10619" spans="11:11" x14ac:dyDescent="0.25">
      <c r="K10619" s="8" t="e">
        <f t="shared" si="165"/>
        <v>#VALUE!</v>
      </c>
    </row>
    <row r="10620" spans="11:11" x14ac:dyDescent="0.25">
      <c r="K10620" s="8" t="e">
        <f t="shared" si="165"/>
        <v>#VALUE!</v>
      </c>
    </row>
    <row r="10621" spans="11:11" x14ac:dyDescent="0.25">
      <c r="K10621" s="8" t="e">
        <f t="shared" si="165"/>
        <v>#VALUE!</v>
      </c>
    </row>
    <row r="10622" spans="11:11" x14ac:dyDescent="0.25">
      <c r="K10622" s="8" t="e">
        <f t="shared" si="165"/>
        <v>#VALUE!</v>
      </c>
    </row>
    <row r="10623" spans="11:11" x14ac:dyDescent="0.25">
      <c r="K10623" s="8" t="e">
        <f t="shared" si="165"/>
        <v>#VALUE!</v>
      </c>
    </row>
    <row r="10624" spans="11:11" x14ac:dyDescent="0.25">
      <c r="K10624" s="8" t="e">
        <f t="shared" si="165"/>
        <v>#VALUE!</v>
      </c>
    </row>
    <row r="10625" spans="11:11" x14ac:dyDescent="0.25">
      <c r="K10625" s="8" t="e">
        <f t="shared" si="165"/>
        <v>#VALUE!</v>
      </c>
    </row>
    <row r="10626" spans="11:11" x14ac:dyDescent="0.25">
      <c r="K10626" s="8" t="e">
        <f t="shared" si="165"/>
        <v>#VALUE!</v>
      </c>
    </row>
    <row r="10627" spans="11:11" x14ac:dyDescent="0.25">
      <c r="K10627" s="8" t="e">
        <f t="shared" ref="K10627:K10690" si="166">LEFT(A10627,FIND("/",A10627)-1)</f>
        <v>#VALUE!</v>
      </c>
    </row>
    <row r="10628" spans="11:11" x14ac:dyDescent="0.25">
      <c r="K10628" s="8" t="e">
        <f t="shared" si="166"/>
        <v>#VALUE!</v>
      </c>
    </row>
    <row r="10629" spans="11:11" x14ac:dyDescent="0.25">
      <c r="K10629" s="8" t="e">
        <f t="shared" si="166"/>
        <v>#VALUE!</v>
      </c>
    </row>
    <row r="10630" spans="11:11" x14ac:dyDescent="0.25">
      <c r="K10630" s="8" t="e">
        <f t="shared" si="166"/>
        <v>#VALUE!</v>
      </c>
    </row>
    <row r="10631" spans="11:11" x14ac:dyDescent="0.25">
      <c r="K10631" s="8" t="e">
        <f t="shared" si="166"/>
        <v>#VALUE!</v>
      </c>
    </row>
    <row r="10632" spans="11:11" x14ac:dyDescent="0.25">
      <c r="K10632" s="8" t="e">
        <f t="shared" si="166"/>
        <v>#VALUE!</v>
      </c>
    </row>
    <row r="10633" spans="11:11" x14ac:dyDescent="0.25">
      <c r="K10633" s="8" t="e">
        <f t="shared" si="166"/>
        <v>#VALUE!</v>
      </c>
    </row>
    <row r="10634" spans="11:11" x14ac:dyDescent="0.25">
      <c r="K10634" s="8" t="e">
        <f t="shared" si="166"/>
        <v>#VALUE!</v>
      </c>
    </row>
    <row r="10635" spans="11:11" x14ac:dyDescent="0.25">
      <c r="K10635" s="8" t="e">
        <f t="shared" si="166"/>
        <v>#VALUE!</v>
      </c>
    </row>
    <row r="10636" spans="11:11" x14ac:dyDescent="0.25">
      <c r="K10636" s="8" t="e">
        <f t="shared" si="166"/>
        <v>#VALUE!</v>
      </c>
    </row>
    <row r="10637" spans="11:11" x14ac:dyDescent="0.25">
      <c r="K10637" s="8" t="e">
        <f t="shared" si="166"/>
        <v>#VALUE!</v>
      </c>
    </row>
    <row r="10638" spans="11:11" x14ac:dyDescent="0.25">
      <c r="K10638" s="8" t="e">
        <f t="shared" si="166"/>
        <v>#VALUE!</v>
      </c>
    </row>
    <row r="10639" spans="11:11" x14ac:dyDescent="0.25">
      <c r="K10639" s="8" t="e">
        <f t="shared" si="166"/>
        <v>#VALUE!</v>
      </c>
    </row>
    <row r="10640" spans="11:11" x14ac:dyDescent="0.25">
      <c r="K10640" s="8" t="e">
        <f t="shared" si="166"/>
        <v>#VALUE!</v>
      </c>
    </row>
    <row r="10641" spans="11:11" x14ac:dyDescent="0.25">
      <c r="K10641" s="8" t="e">
        <f t="shared" si="166"/>
        <v>#VALUE!</v>
      </c>
    </row>
    <row r="10642" spans="11:11" x14ac:dyDescent="0.25">
      <c r="K10642" s="8" t="e">
        <f t="shared" si="166"/>
        <v>#VALUE!</v>
      </c>
    </row>
    <row r="10643" spans="11:11" x14ac:dyDescent="0.25">
      <c r="K10643" s="8" t="e">
        <f t="shared" si="166"/>
        <v>#VALUE!</v>
      </c>
    </row>
    <row r="10644" spans="11:11" x14ac:dyDescent="0.25">
      <c r="K10644" s="8" t="e">
        <f t="shared" si="166"/>
        <v>#VALUE!</v>
      </c>
    </row>
    <row r="10645" spans="11:11" x14ac:dyDescent="0.25">
      <c r="K10645" s="8" t="e">
        <f t="shared" si="166"/>
        <v>#VALUE!</v>
      </c>
    </row>
    <row r="10646" spans="11:11" x14ac:dyDescent="0.25">
      <c r="K10646" s="8" t="e">
        <f t="shared" si="166"/>
        <v>#VALUE!</v>
      </c>
    </row>
    <row r="10647" spans="11:11" x14ac:dyDescent="0.25">
      <c r="K10647" s="8" t="e">
        <f t="shared" si="166"/>
        <v>#VALUE!</v>
      </c>
    </row>
    <row r="10648" spans="11:11" x14ac:dyDescent="0.25">
      <c r="K10648" s="8" t="e">
        <f t="shared" si="166"/>
        <v>#VALUE!</v>
      </c>
    </row>
    <row r="10649" spans="11:11" x14ac:dyDescent="0.25">
      <c r="K10649" s="8" t="e">
        <f t="shared" si="166"/>
        <v>#VALUE!</v>
      </c>
    </row>
    <row r="10650" spans="11:11" x14ac:dyDescent="0.25">
      <c r="K10650" s="8" t="e">
        <f t="shared" si="166"/>
        <v>#VALUE!</v>
      </c>
    </row>
    <row r="10651" spans="11:11" x14ac:dyDescent="0.25">
      <c r="K10651" s="8" t="e">
        <f t="shared" si="166"/>
        <v>#VALUE!</v>
      </c>
    </row>
    <row r="10652" spans="11:11" x14ac:dyDescent="0.25">
      <c r="K10652" s="8" t="e">
        <f t="shared" si="166"/>
        <v>#VALUE!</v>
      </c>
    </row>
    <row r="10653" spans="11:11" x14ac:dyDescent="0.25">
      <c r="K10653" s="8" t="e">
        <f t="shared" si="166"/>
        <v>#VALUE!</v>
      </c>
    </row>
    <row r="10654" spans="11:11" x14ac:dyDescent="0.25">
      <c r="K10654" s="8" t="e">
        <f t="shared" si="166"/>
        <v>#VALUE!</v>
      </c>
    </row>
    <row r="10655" spans="11:11" x14ac:dyDescent="0.25">
      <c r="K10655" s="8" t="e">
        <f t="shared" si="166"/>
        <v>#VALUE!</v>
      </c>
    </row>
    <row r="10656" spans="11:11" x14ac:dyDescent="0.25">
      <c r="K10656" s="8" t="e">
        <f t="shared" si="166"/>
        <v>#VALUE!</v>
      </c>
    </row>
    <row r="10657" spans="11:11" x14ac:dyDescent="0.25">
      <c r="K10657" s="8" t="e">
        <f t="shared" si="166"/>
        <v>#VALUE!</v>
      </c>
    </row>
    <row r="10658" spans="11:11" x14ac:dyDescent="0.25">
      <c r="K10658" s="8" t="e">
        <f t="shared" si="166"/>
        <v>#VALUE!</v>
      </c>
    </row>
    <row r="10659" spans="11:11" x14ac:dyDescent="0.25">
      <c r="K10659" s="8" t="e">
        <f t="shared" si="166"/>
        <v>#VALUE!</v>
      </c>
    </row>
    <row r="10660" spans="11:11" x14ac:dyDescent="0.25">
      <c r="K10660" s="8" t="e">
        <f t="shared" si="166"/>
        <v>#VALUE!</v>
      </c>
    </row>
    <row r="10661" spans="11:11" x14ac:dyDescent="0.25">
      <c r="K10661" s="8" t="e">
        <f t="shared" si="166"/>
        <v>#VALUE!</v>
      </c>
    </row>
    <row r="10662" spans="11:11" x14ac:dyDescent="0.25">
      <c r="K10662" s="8" t="e">
        <f t="shared" si="166"/>
        <v>#VALUE!</v>
      </c>
    </row>
    <row r="10663" spans="11:11" x14ac:dyDescent="0.25">
      <c r="K10663" s="8" t="e">
        <f t="shared" si="166"/>
        <v>#VALUE!</v>
      </c>
    </row>
    <row r="10664" spans="11:11" x14ac:dyDescent="0.25">
      <c r="K10664" s="8" t="e">
        <f t="shared" si="166"/>
        <v>#VALUE!</v>
      </c>
    </row>
    <row r="10665" spans="11:11" x14ac:dyDescent="0.25">
      <c r="K10665" s="8" t="e">
        <f t="shared" si="166"/>
        <v>#VALUE!</v>
      </c>
    </row>
    <row r="10666" spans="11:11" x14ac:dyDescent="0.25">
      <c r="K10666" s="8" t="e">
        <f t="shared" si="166"/>
        <v>#VALUE!</v>
      </c>
    </row>
    <row r="10667" spans="11:11" x14ac:dyDescent="0.25">
      <c r="K10667" s="8" t="e">
        <f t="shared" si="166"/>
        <v>#VALUE!</v>
      </c>
    </row>
    <row r="10668" spans="11:11" x14ac:dyDescent="0.25">
      <c r="K10668" s="8" t="e">
        <f t="shared" si="166"/>
        <v>#VALUE!</v>
      </c>
    </row>
    <row r="10669" spans="11:11" x14ac:dyDescent="0.25">
      <c r="K10669" s="8" t="e">
        <f t="shared" si="166"/>
        <v>#VALUE!</v>
      </c>
    </row>
    <row r="10670" spans="11:11" x14ac:dyDescent="0.25">
      <c r="K10670" s="8" t="e">
        <f t="shared" si="166"/>
        <v>#VALUE!</v>
      </c>
    </row>
    <row r="10671" spans="11:11" x14ac:dyDescent="0.25">
      <c r="K10671" s="8" t="e">
        <f t="shared" si="166"/>
        <v>#VALUE!</v>
      </c>
    </row>
    <row r="10672" spans="11:11" x14ac:dyDescent="0.25">
      <c r="K10672" s="8" t="e">
        <f t="shared" si="166"/>
        <v>#VALUE!</v>
      </c>
    </row>
    <row r="10673" spans="11:11" x14ac:dyDescent="0.25">
      <c r="K10673" s="8" t="e">
        <f t="shared" si="166"/>
        <v>#VALUE!</v>
      </c>
    </row>
    <row r="10674" spans="11:11" x14ac:dyDescent="0.25">
      <c r="K10674" s="8" t="e">
        <f t="shared" si="166"/>
        <v>#VALUE!</v>
      </c>
    </row>
    <row r="10675" spans="11:11" x14ac:dyDescent="0.25">
      <c r="K10675" s="8" t="e">
        <f t="shared" si="166"/>
        <v>#VALUE!</v>
      </c>
    </row>
    <row r="10676" spans="11:11" x14ac:dyDescent="0.25">
      <c r="K10676" s="8" t="e">
        <f t="shared" si="166"/>
        <v>#VALUE!</v>
      </c>
    </row>
    <row r="10677" spans="11:11" x14ac:dyDescent="0.25">
      <c r="K10677" s="8" t="e">
        <f t="shared" si="166"/>
        <v>#VALUE!</v>
      </c>
    </row>
    <row r="10678" spans="11:11" x14ac:dyDescent="0.25">
      <c r="K10678" s="8" t="e">
        <f t="shared" si="166"/>
        <v>#VALUE!</v>
      </c>
    </row>
    <row r="10679" spans="11:11" x14ac:dyDescent="0.25">
      <c r="K10679" s="8" t="e">
        <f t="shared" si="166"/>
        <v>#VALUE!</v>
      </c>
    </row>
    <row r="10680" spans="11:11" x14ac:dyDescent="0.25">
      <c r="K10680" s="8" t="e">
        <f t="shared" si="166"/>
        <v>#VALUE!</v>
      </c>
    </row>
    <row r="10681" spans="11:11" x14ac:dyDescent="0.25">
      <c r="K10681" s="8" t="e">
        <f t="shared" si="166"/>
        <v>#VALUE!</v>
      </c>
    </row>
    <row r="10682" spans="11:11" x14ac:dyDescent="0.25">
      <c r="K10682" s="8" t="e">
        <f t="shared" si="166"/>
        <v>#VALUE!</v>
      </c>
    </row>
    <row r="10683" spans="11:11" x14ac:dyDescent="0.25">
      <c r="K10683" s="8" t="e">
        <f t="shared" si="166"/>
        <v>#VALUE!</v>
      </c>
    </row>
    <row r="10684" spans="11:11" x14ac:dyDescent="0.25">
      <c r="K10684" s="8" t="e">
        <f t="shared" si="166"/>
        <v>#VALUE!</v>
      </c>
    </row>
    <row r="10685" spans="11:11" x14ac:dyDescent="0.25">
      <c r="K10685" s="8" t="e">
        <f t="shared" si="166"/>
        <v>#VALUE!</v>
      </c>
    </row>
    <row r="10686" spans="11:11" x14ac:dyDescent="0.25">
      <c r="K10686" s="8" t="e">
        <f t="shared" si="166"/>
        <v>#VALUE!</v>
      </c>
    </row>
    <row r="10687" spans="11:11" x14ac:dyDescent="0.25">
      <c r="K10687" s="8" t="e">
        <f t="shared" si="166"/>
        <v>#VALUE!</v>
      </c>
    </row>
    <row r="10688" spans="11:11" x14ac:dyDescent="0.25">
      <c r="K10688" s="8" t="e">
        <f t="shared" si="166"/>
        <v>#VALUE!</v>
      </c>
    </row>
    <row r="10689" spans="11:11" x14ac:dyDescent="0.25">
      <c r="K10689" s="8" t="e">
        <f t="shared" si="166"/>
        <v>#VALUE!</v>
      </c>
    </row>
    <row r="10690" spans="11:11" x14ac:dyDescent="0.25">
      <c r="K10690" s="8" t="e">
        <f t="shared" si="166"/>
        <v>#VALUE!</v>
      </c>
    </row>
    <row r="10691" spans="11:11" x14ac:dyDescent="0.25">
      <c r="K10691" s="8" t="e">
        <f t="shared" ref="K10691:K10754" si="167">LEFT(A10691,FIND("/",A10691)-1)</f>
        <v>#VALUE!</v>
      </c>
    </row>
    <row r="10692" spans="11:11" x14ac:dyDescent="0.25">
      <c r="K10692" s="8" t="e">
        <f t="shared" si="167"/>
        <v>#VALUE!</v>
      </c>
    </row>
    <row r="10693" spans="11:11" x14ac:dyDescent="0.25">
      <c r="K10693" s="8" t="e">
        <f t="shared" si="167"/>
        <v>#VALUE!</v>
      </c>
    </row>
    <row r="10694" spans="11:11" x14ac:dyDescent="0.25">
      <c r="K10694" s="8" t="e">
        <f t="shared" si="167"/>
        <v>#VALUE!</v>
      </c>
    </row>
    <row r="10695" spans="11:11" x14ac:dyDescent="0.25">
      <c r="K10695" s="8" t="e">
        <f t="shared" si="167"/>
        <v>#VALUE!</v>
      </c>
    </row>
    <row r="10696" spans="11:11" x14ac:dyDescent="0.25">
      <c r="K10696" s="8" t="e">
        <f t="shared" si="167"/>
        <v>#VALUE!</v>
      </c>
    </row>
    <row r="10697" spans="11:11" x14ac:dyDescent="0.25">
      <c r="K10697" s="8" t="e">
        <f t="shared" si="167"/>
        <v>#VALUE!</v>
      </c>
    </row>
    <row r="10698" spans="11:11" x14ac:dyDescent="0.25">
      <c r="K10698" s="8" t="e">
        <f t="shared" si="167"/>
        <v>#VALUE!</v>
      </c>
    </row>
    <row r="10699" spans="11:11" x14ac:dyDescent="0.25">
      <c r="K10699" s="8" t="e">
        <f t="shared" si="167"/>
        <v>#VALUE!</v>
      </c>
    </row>
    <row r="10700" spans="11:11" x14ac:dyDescent="0.25">
      <c r="K10700" s="8" t="e">
        <f t="shared" si="167"/>
        <v>#VALUE!</v>
      </c>
    </row>
    <row r="10701" spans="11:11" x14ac:dyDescent="0.25">
      <c r="K10701" s="8" t="e">
        <f t="shared" si="167"/>
        <v>#VALUE!</v>
      </c>
    </row>
    <row r="10702" spans="11:11" x14ac:dyDescent="0.25">
      <c r="K10702" s="8" t="e">
        <f t="shared" si="167"/>
        <v>#VALUE!</v>
      </c>
    </row>
    <row r="10703" spans="11:11" x14ac:dyDescent="0.25">
      <c r="K10703" s="8" t="e">
        <f t="shared" si="167"/>
        <v>#VALUE!</v>
      </c>
    </row>
    <row r="10704" spans="11:11" x14ac:dyDescent="0.25">
      <c r="K10704" s="8" t="e">
        <f t="shared" si="167"/>
        <v>#VALUE!</v>
      </c>
    </row>
    <row r="10705" spans="11:11" x14ac:dyDescent="0.25">
      <c r="K10705" s="8" t="e">
        <f t="shared" si="167"/>
        <v>#VALUE!</v>
      </c>
    </row>
    <row r="10706" spans="11:11" x14ac:dyDescent="0.25">
      <c r="K10706" s="8" t="e">
        <f t="shared" si="167"/>
        <v>#VALUE!</v>
      </c>
    </row>
    <row r="10707" spans="11:11" x14ac:dyDescent="0.25">
      <c r="K10707" s="8" t="e">
        <f t="shared" si="167"/>
        <v>#VALUE!</v>
      </c>
    </row>
    <row r="10708" spans="11:11" x14ac:dyDescent="0.25">
      <c r="K10708" s="8" t="e">
        <f t="shared" si="167"/>
        <v>#VALUE!</v>
      </c>
    </row>
    <row r="10709" spans="11:11" x14ac:dyDescent="0.25">
      <c r="K10709" s="8" t="e">
        <f t="shared" si="167"/>
        <v>#VALUE!</v>
      </c>
    </row>
    <row r="10710" spans="11:11" x14ac:dyDescent="0.25">
      <c r="K10710" s="8" t="e">
        <f t="shared" si="167"/>
        <v>#VALUE!</v>
      </c>
    </row>
    <row r="10711" spans="11:11" x14ac:dyDescent="0.25">
      <c r="K10711" s="8" t="e">
        <f t="shared" si="167"/>
        <v>#VALUE!</v>
      </c>
    </row>
    <row r="10712" spans="11:11" x14ac:dyDescent="0.25">
      <c r="K10712" s="8" t="e">
        <f t="shared" si="167"/>
        <v>#VALUE!</v>
      </c>
    </row>
    <row r="10713" spans="11:11" x14ac:dyDescent="0.25">
      <c r="K10713" s="8" t="e">
        <f t="shared" si="167"/>
        <v>#VALUE!</v>
      </c>
    </row>
    <row r="10714" spans="11:11" x14ac:dyDescent="0.25">
      <c r="K10714" s="8" t="e">
        <f t="shared" si="167"/>
        <v>#VALUE!</v>
      </c>
    </row>
    <row r="10715" spans="11:11" x14ac:dyDescent="0.25">
      <c r="K10715" s="8" t="e">
        <f t="shared" si="167"/>
        <v>#VALUE!</v>
      </c>
    </row>
    <row r="10716" spans="11:11" x14ac:dyDescent="0.25">
      <c r="K10716" s="8" t="e">
        <f t="shared" si="167"/>
        <v>#VALUE!</v>
      </c>
    </row>
    <row r="10717" spans="11:11" x14ac:dyDescent="0.25">
      <c r="K10717" s="8" t="e">
        <f t="shared" si="167"/>
        <v>#VALUE!</v>
      </c>
    </row>
    <row r="10718" spans="11:11" x14ac:dyDescent="0.25">
      <c r="K10718" s="8" t="e">
        <f t="shared" si="167"/>
        <v>#VALUE!</v>
      </c>
    </row>
    <row r="10719" spans="11:11" x14ac:dyDescent="0.25">
      <c r="K10719" s="8" t="e">
        <f t="shared" si="167"/>
        <v>#VALUE!</v>
      </c>
    </row>
    <row r="10720" spans="11:11" x14ac:dyDescent="0.25">
      <c r="K10720" s="8" t="e">
        <f t="shared" si="167"/>
        <v>#VALUE!</v>
      </c>
    </row>
    <row r="10721" spans="11:11" x14ac:dyDescent="0.25">
      <c r="K10721" s="8" t="e">
        <f t="shared" si="167"/>
        <v>#VALUE!</v>
      </c>
    </row>
    <row r="10722" spans="11:11" x14ac:dyDescent="0.25">
      <c r="K10722" s="8" t="e">
        <f t="shared" si="167"/>
        <v>#VALUE!</v>
      </c>
    </row>
    <row r="10723" spans="11:11" x14ac:dyDescent="0.25">
      <c r="K10723" s="8" t="e">
        <f t="shared" si="167"/>
        <v>#VALUE!</v>
      </c>
    </row>
    <row r="10724" spans="11:11" x14ac:dyDescent="0.25">
      <c r="K10724" s="8" t="e">
        <f t="shared" si="167"/>
        <v>#VALUE!</v>
      </c>
    </row>
    <row r="10725" spans="11:11" x14ac:dyDescent="0.25">
      <c r="K10725" s="8" t="e">
        <f t="shared" si="167"/>
        <v>#VALUE!</v>
      </c>
    </row>
    <row r="10726" spans="11:11" x14ac:dyDescent="0.25">
      <c r="K10726" s="8" t="e">
        <f t="shared" si="167"/>
        <v>#VALUE!</v>
      </c>
    </row>
    <row r="10727" spans="11:11" x14ac:dyDescent="0.25">
      <c r="K10727" s="8" t="e">
        <f t="shared" si="167"/>
        <v>#VALUE!</v>
      </c>
    </row>
    <row r="10728" spans="11:11" x14ac:dyDescent="0.25">
      <c r="K10728" s="8" t="e">
        <f t="shared" si="167"/>
        <v>#VALUE!</v>
      </c>
    </row>
    <row r="10729" spans="11:11" x14ac:dyDescent="0.25">
      <c r="K10729" s="8" t="e">
        <f t="shared" si="167"/>
        <v>#VALUE!</v>
      </c>
    </row>
    <row r="10730" spans="11:11" x14ac:dyDescent="0.25">
      <c r="K10730" s="8" t="e">
        <f t="shared" si="167"/>
        <v>#VALUE!</v>
      </c>
    </row>
    <row r="10731" spans="11:11" x14ac:dyDescent="0.25">
      <c r="K10731" s="8" t="e">
        <f t="shared" si="167"/>
        <v>#VALUE!</v>
      </c>
    </row>
    <row r="10732" spans="11:11" x14ac:dyDescent="0.25">
      <c r="K10732" s="8" t="e">
        <f t="shared" si="167"/>
        <v>#VALUE!</v>
      </c>
    </row>
    <row r="10733" spans="11:11" x14ac:dyDescent="0.25">
      <c r="K10733" s="8" t="e">
        <f t="shared" si="167"/>
        <v>#VALUE!</v>
      </c>
    </row>
    <row r="10734" spans="11:11" x14ac:dyDescent="0.25">
      <c r="K10734" s="8" t="e">
        <f t="shared" si="167"/>
        <v>#VALUE!</v>
      </c>
    </row>
    <row r="10735" spans="11:11" x14ac:dyDescent="0.25">
      <c r="K10735" s="8" t="e">
        <f t="shared" si="167"/>
        <v>#VALUE!</v>
      </c>
    </row>
    <row r="10736" spans="11:11" x14ac:dyDescent="0.25">
      <c r="K10736" s="8" t="e">
        <f t="shared" si="167"/>
        <v>#VALUE!</v>
      </c>
    </row>
    <row r="10737" spans="11:11" x14ac:dyDescent="0.25">
      <c r="K10737" s="8" t="e">
        <f t="shared" si="167"/>
        <v>#VALUE!</v>
      </c>
    </row>
    <row r="10738" spans="11:11" x14ac:dyDescent="0.25">
      <c r="K10738" s="8" t="e">
        <f t="shared" si="167"/>
        <v>#VALUE!</v>
      </c>
    </row>
    <row r="10739" spans="11:11" x14ac:dyDescent="0.25">
      <c r="K10739" s="8" t="e">
        <f t="shared" si="167"/>
        <v>#VALUE!</v>
      </c>
    </row>
    <row r="10740" spans="11:11" x14ac:dyDescent="0.25">
      <c r="K10740" s="8" t="e">
        <f t="shared" si="167"/>
        <v>#VALUE!</v>
      </c>
    </row>
    <row r="10741" spans="11:11" x14ac:dyDescent="0.25">
      <c r="K10741" s="8" t="e">
        <f t="shared" si="167"/>
        <v>#VALUE!</v>
      </c>
    </row>
    <row r="10742" spans="11:11" x14ac:dyDescent="0.25">
      <c r="K10742" s="8" t="e">
        <f t="shared" si="167"/>
        <v>#VALUE!</v>
      </c>
    </row>
    <row r="10743" spans="11:11" x14ac:dyDescent="0.25">
      <c r="K10743" s="8" t="e">
        <f t="shared" si="167"/>
        <v>#VALUE!</v>
      </c>
    </row>
    <row r="10744" spans="11:11" x14ac:dyDescent="0.25">
      <c r="K10744" s="8" t="e">
        <f t="shared" si="167"/>
        <v>#VALUE!</v>
      </c>
    </row>
    <row r="10745" spans="11:11" x14ac:dyDescent="0.25">
      <c r="K10745" s="8" t="e">
        <f t="shared" si="167"/>
        <v>#VALUE!</v>
      </c>
    </row>
    <row r="10746" spans="11:11" x14ac:dyDescent="0.25">
      <c r="K10746" s="8" t="e">
        <f t="shared" si="167"/>
        <v>#VALUE!</v>
      </c>
    </row>
    <row r="10747" spans="11:11" x14ac:dyDescent="0.25">
      <c r="K10747" s="8" t="e">
        <f t="shared" si="167"/>
        <v>#VALUE!</v>
      </c>
    </row>
    <row r="10748" spans="11:11" x14ac:dyDescent="0.25">
      <c r="K10748" s="8" t="e">
        <f t="shared" si="167"/>
        <v>#VALUE!</v>
      </c>
    </row>
    <row r="10749" spans="11:11" x14ac:dyDescent="0.25">
      <c r="K10749" s="8" t="e">
        <f t="shared" si="167"/>
        <v>#VALUE!</v>
      </c>
    </row>
    <row r="10750" spans="11:11" x14ac:dyDescent="0.25">
      <c r="K10750" s="8" t="e">
        <f t="shared" si="167"/>
        <v>#VALUE!</v>
      </c>
    </row>
    <row r="10751" spans="11:11" x14ac:dyDescent="0.25">
      <c r="K10751" s="8" t="e">
        <f t="shared" si="167"/>
        <v>#VALUE!</v>
      </c>
    </row>
    <row r="10752" spans="11:11" x14ac:dyDescent="0.25">
      <c r="K10752" s="8" t="e">
        <f t="shared" si="167"/>
        <v>#VALUE!</v>
      </c>
    </row>
    <row r="10753" spans="11:11" x14ac:dyDescent="0.25">
      <c r="K10753" s="8" t="e">
        <f t="shared" si="167"/>
        <v>#VALUE!</v>
      </c>
    </row>
    <row r="10754" spans="11:11" x14ac:dyDescent="0.25">
      <c r="K10754" s="8" t="e">
        <f t="shared" si="167"/>
        <v>#VALUE!</v>
      </c>
    </row>
    <row r="10755" spans="11:11" x14ac:dyDescent="0.25">
      <c r="K10755" s="8" t="e">
        <f t="shared" ref="K10755:K10818" si="168">LEFT(A10755,FIND("/",A10755)-1)</f>
        <v>#VALUE!</v>
      </c>
    </row>
    <row r="10756" spans="11:11" x14ac:dyDescent="0.25">
      <c r="K10756" s="8" t="e">
        <f t="shared" si="168"/>
        <v>#VALUE!</v>
      </c>
    </row>
    <row r="10757" spans="11:11" x14ac:dyDescent="0.25">
      <c r="K10757" s="8" t="e">
        <f t="shared" si="168"/>
        <v>#VALUE!</v>
      </c>
    </row>
    <row r="10758" spans="11:11" x14ac:dyDescent="0.25">
      <c r="K10758" s="8" t="e">
        <f t="shared" si="168"/>
        <v>#VALUE!</v>
      </c>
    </row>
    <row r="10759" spans="11:11" x14ac:dyDescent="0.25">
      <c r="K10759" s="8" t="e">
        <f t="shared" si="168"/>
        <v>#VALUE!</v>
      </c>
    </row>
    <row r="10760" spans="11:11" x14ac:dyDescent="0.25">
      <c r="K10760" s="8" t="e">
        <f t="shared" si="168"/>
        <v>#VALUE!</v>
      </c>
    </row>
    <row r="10761" spans="11:11" x14ac:dyDescent="0.25">
      <c r="K10761" s="8" t="e">
        <f t="shared" si="168"/>
        <v>#VALUE!</v>
      </c>
    </row>
    <row r="10762" spans="11:11" x14ac:dyDescent="0.25">
      <c r="K10762" s="8" t="e">
        <f t="shared" si="168"/>
        <v>#VALUE!</v>
      </c>
    </row>
    <row r="10763" spans="11:11" x14ac:dyDescent="0.25">
      <c r="K10763" s="8" t="e">
        <f t="shared" si="168"/>
        <v>#VALUE!</v>
      </c>
    </row>
    <row r="10764" spans="11:11" x14ac:dyDescent="0.25">
      <c r="K10764" s="8" t="e">
        <f t="shared" si="168"/>
        <v>#VALUE!</v>
      </c>
    </row>
    <row r="10765" spans="11:11" x14ac:dyDescent="0.25">
      <c r="K10765" s="8" t="e">
        <f t="shared" si="168"/>
        <v>#VALUE!</v>
      </c>
    </row>
    <row r="10766" spans="11:11" x14ac:dyDescent="0.25">
      <c r="K10766" s="8" t="e">
        <f t="shared" si="168"/>
        <v>#VALUE!</v>
      </c>
    </row>
    <row r="10767" spans="11:11" x14ac:dyDescent="0.25">
      <c r="K10767" s="8" t="e">
        <f t="shared" si="168"/>
        <v>#VALUE!</v>
      </c>
    </row>
    <row r="10768" spans="11:11" x14ac:dyDescent="0.25">
      <c r="K10768" s="8" t="e">
        <f t="shared" si="168"/>
        <v>#VALUE!</v>
      </c>
    </row>
    <row r="10769" spans="11:11" x14ac:dyDescent="0.25">
      <c r="K10769" s="8" t="e">
        <f t="shared" si="168"/>
        <v>#VALUE!</v>
      </c>
    </row>
    <row r="10770" spans="11:11" x14ac:dyDescent="0.25">
      <c r="K10770" s="8" t="e">
        <f t="shared" si="168"/>
        <v>#VALUE!</v>
      </c>
    </row>
    <row r="10771" spans="11:11" x14ac:dyDescent="0.25">
      <c r="K10771" s="8" t="e">
        <f t="shared" si="168"/>
        <v>#VALUE!</v>
      </c>
    </row>
    <row r="10772" spans="11:11" x14ac:dyDescent="0.25">
      <c r="K10772" s="8" t="e">
        <f t="shared" si="168"/>
        <v>#VALUE!</v>
      </c>
    </row>
    <row r="10773" spans="11:11" x14ac:dyDescent="0.25">
      <c r="K10773" s="8" t="e">
        <f t="shared" si="168"/>
        <v>#VALUE!</v>
      </c>
    </row>
    <row r="10774" spans="11:11" x14ac:dyDescent="0.25">
      <c r="K10774" s="8" t="e">
        <f t="shared" si="168"/>
        <v>#VALUE!</v>
      </c>
    </row>
    <row r="10775" spans="11:11" x14ac:dyDescent="0.25">
      <c r="K10775" s="8" t="e">
        <f t="shared" si="168"/>
        <v>#VALUE!</v>
      </c>
    </row>
    <row r="10776" spans="11:11" x14ac:dyDescent="0.25">
      <c r="K10776" s="8" t="e">
        <f t="shared" si="168"/>
        <v>#VALUE!</v>
      </c>
    </row>
    <row r="10777" spans="11:11" x14ac:dyDescent="0.25">
      <c r="K10777" s="8" t="e">
        <f t="shared" si="168"/>
        <v>#VALUE!</v>
      </c>
    </row>
    <row r="10778" spans="11:11" x14ac:dyDescent="0.25">
      <c r="K10778" s="8" t="e">
        <f t="shared" si="168"/>
        <v>#VALUE!</v>
      </c>
    </row>
    <row r="10779" spans="11:11" x14ac:dyDescent="0.25">
      <c r="K10779" s="8" t="e">
        <f t="shared" si="168"/>
        <v>#VALUE!</v>
      </c>
    </row>
    <row r="10780" spans="11:11" x14ac:dyDescent="0.25">
      <c r="K10780" s="8" t="e">
        <f t="shared" si="168"/>
        <v>#VALUE!</v>
      </c>
    </row>
    <row r="10781" spans="11:11" x14ac:dyDescent="0.25">
      <c r="K10781" s="8" t="e">
        <f t="shared" si="168"/>
        <v>#VALUE!</v>
      </c>
    </row>
    <row r="10782" spans="11:11" x14ac:dyDescent="0.25">
      <c r="K10782" s="8" t="e">
        <f t="shared" si="168"/>
        <v>#VALUE!</v>
      </c>
    </row>
    <row r="10783" spans="11:11" x14ac:dyDescent="0.25">
      <c r="K10783" s="8" t="e">
        <f t="shared" si="168"/>
        <v>#VALUE!</v>
      </c>
    </row>
    <row r="10784" spans="11:11" x14ac:dyDescent="0.25">
      <c r="K10784" s="8" t="e">
        <f t="shared" si="168"/>
        <v>#VALUE!</v>
      </c>
    </row>
    <row r="10785" spans="11:11" x14ac:dyDescent="0.25">
      <c r="K10785" s="8" t="e">
        <f t="shared" si="168"/>
        <v>#VALUE!</v>
      </c>
    </row>
    <row r="10786" spans="11:11" x14ac:dyDescent="0.25">
      <c r="K10786" s="8" t="e">
        <f t="shared" si="168"/>
        <v>#VALUE!</v>
      </c>
    </row>
    <row r="10787" spans="11:11" x14ac:dyDescent="0.25">
      <c r="K10787" s="8" t="e">
        <f t="shared" si="168"/>
        <v>#VALUE!</v>
      </c>
    </row>
    <row r="10788" spans="11:11" x14ac:dyDescent="0.25">
      <c r="K10788" s="8" t="e">
        <f t="shared" si="168"/>
        <v>#VALUE!</v>
      </c>
    </row>
    <row r="10789" spans="11:11" x14ac:dyDescent="0.25">
      <c r="K10789" s="8" t="e">
        <f t="shared" si="168"/>
        <v>#VALUE!</v>
      </c>
    </row>
    <row r="10790" spans="11:11" x14ac:dyDescent="0.25">
      <c r="K10790" s="8" t="e">
        <f t="shared" si="168"/>
        <v>#VALUE!</v>
      </c>
    </row>
    <row r="10791" spans="11:11" x14ac:dyDescent="0.25">
      <c r="K10791" s="8" t="e">
        <f t="shared" si="168"/>
        <v>#VALUE!</v>
      </c>
    </row>
    <row r="10792" spans="11:11" x14ac:dyDescent="0.25">
      <c r="K10792" s="8" t="e">
        <f t="shared" si="168"/>
        <v>#VALUE!</v>
      </c>
    </row>
    <row r="10793" spans="11:11" x14ac:dyDescent="0.25">
      <c r="K10793" s="8" t="e">
        <f t="shared" si="168"/>
        <v>#VALUE!</v>
      </c>
    </row>
    <row r="10794" spans="11:11" x14ac:dyDescent="0.25">
      <c r="K10794" s="8" t="e">
        <f t="shared" si="168"/>
        <v>#VALUE!</v>
      </c>
    </row>
    <row r="10795" spans="11:11" x14ac:dyDescent="0.25">
      <c r="K10795" s="8" t="e">
        <f t="shared" si="168"/>
        <v>#VALUE!</v>
      </c>
    </row>
    <row r="10796" spans="11:11" x14ac:dyDescent="0.25">
      <c r="K10796" s="8" t="e">
        <f t="shared" si="168"/>
        <v>#VALUE!</v>
      </c>
    </row>
    <row r="10797" spans="11:11" x14ac:dyDescent="0.25">
      <c r="K10797" s="8" t="e">
        <f t="shared" si="168"/>
        <v>#VALUE!</v>
      </c>
    </row>
    <row r="10798" spans="11:11" x14ac:dyDescent="0.25">
      <c r="K10798" s="8" t="e">
        <f t="shared" si="168"/>
        <v>#VALUE!</v>
      </c>
    </row>
    <row r="10799" spans="11:11" x14ac:dyDescent="0.25">
      <c r="K10799" s="8" t="e">
        <f t="shared" si="168"/>
        <v>#VALUE!</v>
      </c>
    </row>
    <row r="10800" spans="11:11" x14ac:dyDescent="0.25">
      <c r="K10800" s="8" t="e">
        <f t="shared" si="168"/>
        <v>#VALUE!</v>
      </c>
    </row>
    <row r="10801" spans="11:11" x14ac:dyDescent="0.25">
      <c r="K10801" s="8" t="e">
        <f t="shared" si="168"/>
        <v>#VALUE!</v>
      </c>
    </row>
    <row r="10802" spans="11:11" x14ac:dyDescent="0.25">
      <c r="K10802" s="8" t="e">
        <f t="shared" si="168"/>
        <v>#VALUE!</v>
      </c>
    </row>
    <row r="10803" spans="11:11" x14ac:dyDescent="0.25">
      <c r="K10803" s="8" t="e">
        <f t="shared" si="168"/>
        <v>#VALUE!</v>
      </c>
    </row>
    <row r="10804" spans="11:11" x14ac:dyDescent="0.25">
      <c r="K10804" s="8" t="e">
        <f t="shared" si="168"/>
        <v>#VALUE!</v>
      </c>
    </row>
    <row r="10805" spans="11:11" x14ac:dyDescent="0.25">
      <c r="K10805" s="8" t="e">
        <f t="shared" si="168"/>
        <v>#VALUE!</v>
      </c>
    </row>
    <row r="10806" spans="11:11" x14ac:dyDescent="0.25">
      <c r="K10806" s="8" t="e">
        <f t="shared" si="168"/>
        <v>#VALUE!</v>
      </c>
    </row>
    <row r="10807" spans="11:11" x14ac:dyDescent="0.25">
      <c r="K10807" s="8" t="e">
        <f t="shared" si="168"/>
        <v>#VALUE!</v>
      </c>
    </row>
    <row r="10808" spans="11:11" x14ac:dyDescent="0.25">
      <c r="K10808" s="8" t="e">
        <f t="shared" si="168"/>
        <v>#VALUE!</v>
      </c>
    </row>
    <row r="10809" spans="11:11" x14ac:dyDescent="0.25">
      <c r="K10809" s="8" t="e">
        <f t="shared" si="168"/>
        <v>#VALUE!</v>
      </c>
    </row>
    <row r="10810" spans="11:11" x14ac:dyDescent="0.25">
      <c r="K10810" s="8" t="e">
        <f t="shared" si="168"/>
        <v>#VALUE!</v>
      </c>
    </row>
    <row r="10811" spans="11:11" x14ac:dyDescent="0.25">
      <c r="K10811" s="8" t="e">
        <f t="shared" si="168"/>
        <v>#VALUE!</v>
      </c>
    </row>
    <row r="10812" spans="11:11" x14ac:dyDescent="0.25">
      <c r="K10812" s="8" t="e">
        <f t="shared" si="168"/>
        <v>#VALUE!</v>
      </c>
    </row>
    <row r="10813" spans="11:11" x14ac:dyDescent="0.25">
      <c r="K10813" s="8" t="e">
        <f t="shared" si="168"/>
        <v>#VALUE!</v>
      </c>
    </row>
    <row r="10814" spans="11:11" x14ac:dyDescent="0.25">
      <c r="K10814" s="8" t="e">
        <f t="shared" si="168"/>
        <v>#VALUE!</v>
      </c>
    </row>
    <row r="10815" spans="11:11" x14ac:dyDescent="0.25">
      <c r="K10815" s="8" t="e">
        <f t="shared" si="168"/>
        <v>#VALUE!</v>
      </c>
    </row>
    <row r="10816" spans="11:11" x14ac:dyDescent="0.25">
      <c r="K10816" s="8" t="e">
        <f t="shared" si="168"/>
        <v>#VALUE!</v>
      </c>
    </row>
    <row r="10817" spans="11:11" x14ac:dyDescent="0.25">
      <c r="K10817" s="8" t="e">
        <f t="shared" si="168"/>
        <v>#VALUE!</v>
      </c>
    </row>
    <row r="10818" spans="11:11" x14ac:dyDescent="0.25">
      <c r="K10818" s="8" t="e">
        <f t="shared" si="168"/>
        <v>#VALUE!</v>
      </c>
    </row>
    <row r="10819" spans="11:11" x14ac:dyDescent="0.25">
      <c r="K10819" s="8" t="e">
        <f t="shared" ref="K10819:K10882" si="169">LEFT(A10819,FIND("/",A10819)-1)</f>
        <v>#VALUE!</v>
      </c>
    </row>
    <row r="10820" spans="11:11" x14ac:dyDescent="0.25">
      <c r="K10820" s="8" t="e">
        <f t="shared" si="169"/>
        <v>#VALUE!</v>
      </c>
    </row>
    <row r="10821" spans="11:11" x14ac:dyDescent="0.25">
      <c r="K10821" s="8" t="e">
        <f t="shared" si="169"/>
        <v>#VALUE!</v>
      </c>
    </row>
    <row r="10822" spans="11:11" x14ac:dyDescent="0.25">
      <c r="K10822" s="8" t="e">
        <f t="shared" si="169"/>
        <v>#VALUE!</v>
      </c>
    </row>
    <row r="10823" spans="11:11" x14ac:dyDescent="0.25">
      <c r="K10823" s="8" t="e">
        <f t="shared" si="169"/>
        <v>#VALUE!</v>
      </c>
    </row>
    <row r="10824" spans="11:11" x14ac:dyDescent="0.25">
      <c r="K10824" s="8" t="e">
        <f t="shared" si="169"/>
        <v>#VALUE!</v>
      </c>
    </row>
    <row r="10825" spans="11:11" x14ac:dyDescent="0.25">
      <c r="K10825" s="8" t="e">
        <f t="shared" si="169"/>
        <v>#VALUE!</v>
      </c>
    </row>
    <row r="10826" spans="11:11" x14ac:dyDescent="0.25">
      <c r="K10826" s="8" t="e">
        <f t="shared" si="169"/>
        <v>#VALUE!</v>
      </c>
    </row>
    <row r="10827" spans="11:11" x14ac:dyDescent="0.25">
      <c r="K10827" s="8" t="e">
        <f t="shared" si="169"/>
        <v>#VALUE!</v>
      </c>
    </row>
    <row r="10828" spans="11:11" x14ac:dyDescent="0.25">
      <c r="K10828" s="8" t="e">
        <f t="shared" si="169"/>
        <v>#VALUE!</v>
      </c>
    </row>
    <row r="10829" spans="11:11" x14ac:dyDescent="0.25">
      <c r="K10829" s="8" t="e">
        <f t="shared" si="169"/>
        <v>#VALUE!</v>
      </c>
    </row>
    <row r="10830" spans="11:11" x14ac:dyDescent="0.25">
      <c r="K10830" s="8" t="e">
        <f t="shared" si="169"/>
        <v>#VALUE!</v>
      </c>
    </row>
    <row r="10831" spans="11:11" x14ac:dyDescent="0.25">
      <c r="K10831" s="8" t="e">
        <f t="shared" si="169"/>
        <v>#VALUE!</v>
      </c>
    </row>
    <row r="10832" spans="11:11" x14ac:dyDescent="0.25">
      <c r="K10832" s="8" t="e">
        <f t="shared" si="169"/>
        <v>#VALUE!</v>
      </c>
    </row>
    <row r="10833" spans="11:11" x14ac:dyDescent="0.25">
      <c r="K10833" s="8" t="e">
        <f t="shared" si="169"/>
        <v>#VALUE!</v>
      </c>
    </row>
    <row r="10834" spans="11:11" x14ac:dyDescent="0.25">
      <c r="K10834" s="8" t="e">
        <f t="shared" si="169"/>
        <v>#VALUE!</v>
      </c>
    </row>
    <row r="10835" spans="11:11" x14ac:dyDescent="0.25">
      <c r="K10835" s="8" t="e">
        <f t="shared" si="169"/>
        <v>#VALUE!</v>
      </c>
    </row>
    <row r="10836" spans="11:11" x14ac:dyDescent="0.25">
      <c r="K10836" s="8" t="e">
        <f t="shared" si="169"/>
        <v>#VALUE!</v>
      </c>
    </row>
    <row r="10837" spans="11:11" x14ac:dyDescent="0.25">
      <c r="K10837" s="8" t="e">
        <f t="shared" si="169"/>
        <v>#VALUE!</v>
      </c>
    </row>
    <row r="10838" spans="11:11" x14ac:dyDescent="0.25">
      <c r="K10838" s="8" t="e">
        <f t="shared" si="169"/>
        <v>#VALUE!</v>
      </c>
    </row>
    <row r="10839" spans="11:11" x14ac:dyDescent="0.25">
      <c r="K10839" s="8" t="e">
        <f t="shared" si="169"/>
        <v>#VALUE!</v>
      </c>
    </row>
    <row r="10840" spans="11:11" x14ac:dyDescent="0.25">
      <c r="K10840" s="8" t="e">
        <f t="shared" si="169"/>
        <v>#VALUE!</v>
      </c>
    </row>
    <row r="10841" spans="11:11" x14ac:dyDescent="0.25">
      <c r="K10841" s="8" t="e">
        <f t="shared" si="169"/>
        <v>#VALUE!</v>
      </c>
    </row>
    <row r="10842" spans="11:11" x14ac:dyDescent="0.25">
      <c r="K10842" s="8" t="e">
        <f t="shared" si="169"/>
        <v>#VALUE!</v>
      </c>
    </row>
    <row r="10843" spans="11:11" x14ac:dyDescent="0.25">
      <c r="K10843" s="8" t="e">
        <f t="shared" si="169"/>
        <v>#VALUE!</v>
      </c>
    </row>
    <row r="10844" spans="11:11" x14ac:dyDescent="0.25">
      <c r="K10844" s="8" t="e">
        <f t="shared" si="169"/>
        <v>#VALUE!</v>
      </c>
    </row>
    <row r="10845" spans="11:11" x14ac:dyDescent="0.25">
      <c r="K10845" s="8" t="e">
        <f t="shared" si="169"/>
        <v>#VALUE!</v>
      </c>
    </row>
    <row r="10846" spans="11:11" x14ac:dyDescent="0.25">
      <c r="K10846" s="8" t="e">
        <f t="shared" si="169"/>
        <v>#VALUE!</v>
      </c>
    </row>
    <row r="10847" spans="11:11" x14ac:dyDescent="0.25">
      <c r="K10847" s="8" t="e">
        <f t="shared" si="169"/>
        <v>#VALUE!</v>
      </c>
    </row>
    <row r="10848" spans="11:11" x14ac:dyDescent="0.25">
      <c r="K10848" s="8" t="e">
        <f t="shared" si="169"/>
        <v>#VALUE!</v>
      </c>
    </row>
    <row r="10849" spans="11:11" x14ac:dyDescent="0.25">
      <c r="K10849" s="8" t="e">
        <f t="shared" si="169"/>
        <v>#VALUE!</v>
      </c>
    </row>
    <row r="10850" spans="11:11" x14ac:dyDescent="0.25">
      <c r="K10850" s="8" t="e">
        <f t="shared" si="169"/>
        <v>#VALUE!</v>
      </c>
    </row>
    <row r="10851" spans="11:11" x14ac:dyDescent="0.25">
      <c r="K10851" s="8" t="e">
        <f t="shared" si="169"/>
        <v>#VALUE!</v>
      </c>
    </row>
    <row r="10852" spans="11:11" x14ac:dyDescent="0.25">
      <c r="K10852" s="8" t="e">
        <f t="shared" si="169"/>
        <v>#VALUE!</v>
      </c>
    </row>
    <row r="10853" spans="11:11" x14ac:dyDescent="0.25">
      <c r="K10853" s="8" t="e">
        <f t="shared" si="169"/>
        <v>#VALUE!</v>
      </c>
    </row>
    <row r="10854" spans="11:11" x14ac:dyDescent="0.25">
      <c r="K10854" s="8" t="e">
        <f t="shared" si="169"/>
        <v>#VALUE!</v>
      </c>
    </row>
    <row r="10855" spans="11:11" x14ac:dyDescent="0.25">
      <c r="K10855" s="8" t="e">
        <f t="shared" si="169"/>
        <v>#VALUE!</v>
      </c>
    </row>
    <row r="10856" spans="11:11" x14ac:dyDescent="0.25">
      <c r="K10856" s="8" t="e">
        <f t="shared" si="169"/>
        <v>#VALUE!</v>
      </c>
    </row>
    <row r="10857" spans="11:11" x14ac:dyDescent="0.25">
      <c r="K10857" s="8" t="e">
        <f t="shared" si="169"/>
        <v>#VALUE!</v>
      </c>
    </row>
    <row r="10858" spans="11:11" x14ac:dyDescent="0.25">
      <c r="K10858" s="8" t="e">
        <f t="shared" si="169"/>
        <v>#VALUE!</v>
      </c>
    </row>
    <row r="10859" spans="11:11" x14ac:dyDescent="0.25">
      <c r="K10859" s="8" t="e">
        <f t="shared" si="169"/>
        <v>#VALUE!</v>
      </c>
    </row>
    <row r="10860" spans="11:11" x14ac:dyDescent="0.25">
      <c r="K10860" s="8" t="e">
        <f t="shared" si="169"/>
        <v>#VALUE!</v>
      </c>
    </row>
    <row r="10861" spans="11:11" x14ac:dyDescent="0.25">
      <c r="K10861" s="8" t="e">
        <f t="shared" si="169"/>
        <v>#VALUE!</v>
      </c>
    </row>
    <row r="10862" spans="11:11" x14ac:dyDescent="0.25">
      <c r="K10862" s="8" t="e">
        <f t="shared" si="169"/>
        <v>#VALUE!</v>
      </c>
    </row>
    <row r="10863" spans="11:11" x14ac:dyDescent="0.25">
      <c r="K10863" s="8" t="e">
        <f t="shared" si="169"/>
        <v>#VALUE!</v>
      </c>
    </row>
    <row r="10864" spans="11:11" x14ac:dyDescent="0.25">
      <c r="K10864" s="8" t="e">
        <f t="shared" si="169"/>
        <v>#VALUE!</v>
      </c>
    </row>
    <row r="10865" spans="11:11" x14ac:dyDescent="0.25">
      <c r="K10865" s="8" t="e">
        <f t="shared" si="169"/>
        <v>#VALUE!</v>
      </c>
    </row>
    <row r="10866" spans="11:11" x14ac:dyDescent="0.25">
      <c r="K10866" s="8" t="e">
        <f t="shared" si="169"/>
        <v>#VALUE!</v>
      </c>
    </row>
    <row r="10867" spans="11:11" x14ac:dyDescent="0.25">
      <c r="K10867" s="8" t="e">
        <f t="shared" si="169"/>
        <v>#VALUE!</v>
      </c>
    </row>
    <row r="10868" spans="11:11" x14ac:dyDescent="0.25">
      <c r="K10868" s="8" t="e">
        <f t="shared" si="169"/>
        <v>#VALUE!</v>
      </c>
    </row>
    <row r="10869" spans="11:11" x14ac:dyDescent="0.25">
      <c r="K10869" s="8" t="e">
        <f t="shared" si="169"/>
        <v>#VALUE!</v>
      </c>
    </row>
    <row r="10870" spans="11:11" x14ac:dyDescent="0.25">
      <c r="K10870" s="8" t="e">
        <f t="shared" si="169"/>
        <v>#VALUE!</v>
      </c>
    </row>
    <row r="10871" spans="11:11" x14ac:dyDescent="0.25">
      <c r="K10871" s="8" t="e">
        <f t="shared" si="169"/>
        <v>#VALUE!</v>
      </c>
    </row>
    <row r="10872" spans="11:11" x14ac:dyDescent="0.25">
      <c r="K10872" s="8" t="e">
        <f t="shared" si="169"/>
        <v>#VALUE!</v>
      </c>
    </row>
    <row r="10873" spans="11:11" x14ac:dyDescent="0.25">
      <c r="K10873" s="8" t="e">
        <f t="shared" si="169"/>
        <v>#VALUE!</v>
      </c>
    </row>
    <row r="10874" spans="11:11" x14ac:dyDescent="0.25">
      <c r="K10874" s="8" t="e">
        <f t="shared" si="169"/>
        <v>#VALUE!</v>
      </c>
    </row>
    <row r="10875" spans="11:11" x14ac:dyDescent="0.25">
      <c r="K10875" s="8" t="e">
        <f t="shared" si="169"/>
        <v>#VALUE!</v>
      </c>
    </row>
    <row r="10876" spans="11:11" x14ac:dyDescent="0.25">
      <c r="K10876" s="8" t="e">
        <f t="shared" si="169"/>
        <v>#VALUE!</v>
      </c>
    </row>
    <row r="10877" spans="11:11" x14ac:dyDescent="0.25">
      <c r="K10877" s="8" t="e">
        <f t="shared" si="169"/>
        <v>#VALUE!</v>
      </c>
    </row>
    <row r="10878" spans="11:11" x14ac:dyDescent="0.25">
      <c r="K10878" s="8" t="e">
        <f t="shared" si="169"/>
        <v>#VALUE!</v>
      </c>
    </row>
    <row r="10879" spans="11:11" x14ac:dyDescent="0.25">
      <c r="K10879" s="8" t="e">
        <f t="shared" si="169"/>
        <v>#VALUE!</v>
      </c>
    </row>
    <row r="10880" spans="11:11" x14ac:dyDescent="0.25">
      <c r="K10880" s="8" t="e">
        <f t="shared" si="169"/>
        <v>#VALUE!</v>
      </c>
    </row>
    <row r="10881" spans="11:11" x14ac:dyDescent="0.25">
      <c r="K10881" s="8" t="e">
        <f t="shared" si="169"/>
        <v>#VALUE!</v>
      </c>
    </row>
    <row r="10882" spans="11:11" x14ac:dyDescent="0.25">
      <c r="K10882" s="8" t="e">
        <f t="shared" si="169"/>
        <v>#VALUE!</v>
      </c>
    </row>
    <row r="10883" spans="11:11" x14ac:dyDescent="0.25">
      <c r="K10883" s="8" t="e">
        <f t="shared" ref="K10883:K10946" si="170">LEFT(A10883,FIND("/",A10883)-1)</f>
        <v>#VALUE!</v>
      </c>
    </row>
    <row r="10884" spans="11:11" x14ac:dyDescent="0.25">
      <c r="K10884" s="8" t="e">
        <f t="shared" si="170"/>
        <v>#VALUE!</v>
      </c>
    </row>
    <row r="10885" spans="11:11" x14ac:dyDescent="0.25">
      <c r="K10885" s="8" t="e">
        <f t="shared" si="170"/>
        <v>#VALUE!</v>
      </c>
    </row>
    <row r="10886" spans="11:11" x14ac:dyDescent="0.25">
      <c r="K10886" s="8" t="e">
        <f t="shared" si="170"/>
        <v>#VALUE!</v>
      </c>
    </row>
    <row r="10887" spans="11:11" x14ac:dyDescent="0.25">
      <c r="K10887" s="8" t="e">
        <f t="shared" si="170"/>
        <v>#VALUE!</v>
      </c>
    </row>
    <row r="10888" spans="11:11" x14ac:dyDescent="0.25">
      <c r="K10888" s="8" t="e">
        <f t="shared" si="170"/>
        <v>#VALUE!</v>
      </c>
    </row>
    <row r="10889" spans="11:11" x14ac:dyDescent="0.25">
      <c r="K10889" s="8" t="e">
        <f t="shared" si="170"/>
        <v>#VALUE!</v>
      </c>
    </row>
    <row r="10890" spans="11:11" x14ac:dyDescent="0.25">
      <c r="K10890" s="8" t="e">
        <f t="shared" si="170"/>
        <v>#VALUE!</v>
      </c>
    </row>
    <row r="10891" spans="11:11" x14ac:dyDescent="0.25">
      <c r="K10891" s="8" t="e">
        <f t="shared" si="170"/>
        <v>#VALUE!</v>
      </c>
    </row>
    <row r="10892" spans="11:11" x14ac:dyDescent="0.25">
      <c r="K10892" s="8" t="e">
        <f t="shared" si="170"/>
        <v>#VALUE!</v>
      </c>
    </row>
    <row r="10893" spans="11:11" x14ac:dyDescent="0.25">
      <c r="K10893" s="8" t="e">
        <f t="shared" si="170"/>
        <v>#VALUE!</v>
      </c>
    </row>
    <row r="10894" spans="11:11" x14ac:dyDescent="0.25">
      <c r="K10894" s="8" t="e">
        <f t="shared" si="170"/>
        <v>#VALUE!</v>
      </c>
    </row>
    <row r="10895" spans="11:11" x14ac:dyDescent="0.25">
      <c r="K10895" s="8" t="e">
        <f t="shared" si="170"/>
        <v>#VALUE!</v>
      </c>
    </row>
    <row r="10896" spans="11:11" x14ac:dyDescent="0.25">
      <c r="K10896" s="8" t="e">
        <f t="shared" si="170"/>
        <v>#VALUE!</v>
      </c>
    </row>
    <row r="10897" spans="11:11" x14ac:dyDescent="0.25">
      <c r="K10897" s="8" t="e">
        <f t="shared" si="170"/>
        <v>#VALUE!</v>
      </c>
    </row>
    <row r="10898" spans="11:11" x14ac:dyDescent="0.25">
      <c r="K10898" s="8" t="e">
        <f t="shared" si="170"/>
        <v>#VALUE!</v>
      </c>
    </row>
    <row r="10899" spans="11:11" x14ac:dyDescent="0.25">
      <c r="K10899" s="8" t="e">
        <f t="shared" si="170"/>
        <v>#VALUE!</v>
      </c>
    </row>
    <row r="10900" spans="11:11" x14ac:dyDescent="0.25">
      <c r="K10900" s="8" t="e">
        <f t="shared" si="170"/>
        <v>#VALUE!</v>
      </c>
    </row>
    <row r="10901" spans="11:11" x14ac:dyDescent="0.25">
      <c r="K10901" s="8" t="e">
        <f t="shared" si="170"/>
        <v>#VALUE!</v>
      </c>
    </row>
    <row r="10902" spans="11:11" x14ac:dyDescent="0.25">
      <c r="K10902" s="8" t="e">
        <f t="shared" si="170"/>
        <v>#VALUE!</v>
      </c>
    </row>
    <row r="10903" spans="11:11" x14ac:dyDescent="0.25">
      <c r="K10903" s="8" t="e">
        <f t="shared" si="170"/>
        <v>#VALUE!</v>
      </c>
    </row>
    <row r="10904" spans="11:11" x14ac:dyDescent="0.25">
      <c r="K10904" s="8" t="e">
        <f t="shared" si="170"/>
        <v>#VALUE!</v>
      </c>
    </row>
    <row r="10905" spans="11:11" x14ac:dyDescent="0.25">
      <c r="K10905" s="8" t="e">
        <f t="shared" si="170"/>
        <v>#VALUE!</v>
      </c>
    </row>
    <row r="10906" spans="11:11" x14ac:dyDescent="0.25">
      <c r="K10906" s="8" t="e">
        <f t="shared" si="170"/>
        <v>#VALUE!</v>
      </c>
    </row>
    <row r="10907" spans="11:11" x14ac:dyDescent="0.25">
      <c r="K10907" s="8" t="e">
        <f t="shared" si="170"/>
        <v>#VALUE!</v>
      </c>
    </row>
    <row r="10908" spans="11:11" x14ac:dyDescent="0.25">
      <c r="K10908" s="8" t="e">
        <f t="shared" si="170"/>
        <v>#VALUE!</v>
      </c>
    </row>
    <row r="10909" spans="11:11" x14ac:dyDescent="0.25">
      <c r="K10909" s="8" t="e">
        <f t="shared" si="170"/>
        <v>#VALUE!</v>
      </c>
    </row>
    <row r="10910" spans="11:11" x14ac:dyDescent="0.25">
      <c r="K10910" s="8" t="e">
        <f t="shared" si="170"/>
        <v>#VALUE!</v>
      </c>
    </row>
    <row r="10911" spans="11:11" x14ac:dyDescent="0.25">
      <c r="K10911" s="8" t="e">
        <f t="shared" si="170"/>
        <v>#VALUE!</v>
      </c>
    </row>
    <row r="10912" spans="11:11" x14ac:dyDescent="0.25">
      <c r="K10912" s="8" t="e">
        <f t="shared" si="170"/>
        <v>#VALUE!</v>
      </c>
    </row>
    <row r="10913" spans="11:11" x14ac:dyDescent="0.25">
      <c r="K10913" s="8" t="e">
        <f t="shared" si="170"/>
        <v>#VALUE!</v>
      </c>
    </row>
    <row r="10914" spans="11:11" x14ac:dyDescent="0.25">
      <c r="K10914" s="8" t="e">
        <f t="shared" si="170"/>
        <v>#VALUE!</v>
      </c>
    </row>
    <row r="10915" spans="11:11" x14ac:dyDescent="0.25">
      <c r="K10915" s="8" t="e">
        <f t="shared" si="170"/>
        <v>#VALUE!</v>
      </c>
    </row>
    <row r="10916" spans="11:11" x14ac:dyDescent="0.25">
      <c r="K10916" s="8" t="e">
        <f t="shared" si="170"/>
        <v>#VALUE!</v>
      </c>
    </row>
    <row r="10917" spans="11:11" x14ac:dyDescent="0.25">
      <c r="K10917" s="8" t="e">
        <f t="shared" si="170"/>
        <v>#VALUE!</v>
      </c>
    </row>
    <row r="10918" spans="11:11" x14ac:dyDescent="0.25">
      <c r="K10918" s="8" t="e">
        <f t="shared" si="170"/>
        <v>#VALUE!</v>
      </c>
    </row>
    <row r="10919" spans="11:11" x14ac:dyDescent="0.25">
      <c r="K10919" s="8" t="e">
        <f t="shared" si="170"/>
        <v>#VALUE!</v>
      </c>
    </row>
    <row r="10920" spans="11:11" x14ac:dyDescent="0.25">
      <c r="K10920" s="8" t="e">
        <f t="shared" si="170"/>
        <v>#VALUE!</v>
      </c>
    </row>
    <row r="10921" spans="11:11" x14ac:dyDescent="0.25">
      <c r="K10921" s="8" t="e">
        <f t="shared" si="170"/>
        <v>#VALUE!</v>
      </c>
    </row>
    <row r="10922" spans="11:11" x14ac:dyDescent="0.25">
      <c r="K10922" s="8" t="e">
        <f t="shared" si="170"/>
        <v>#VALUE!</v>
      </c>
    </row>
    <row r="10923" spans="11:11" x14ac:dyDescent="0.25">
      <c r="K10923" s="8" t="e">
        <f t="shared" si="170"/>
        <v>#VALUE!</v>
      </c>
    </row>
    <row r="10924" spans="11:11" x14ac:dyDescent="0.25">
      <c r="K10924" s="8" t="e">
        <f t="shared" si="170"/>
        <v>#VALUE!</v>
      </c>
    </row>
    <row r="10925" spans="11:11" x14ac:dyDescent="0.25">
      <c r="K10925" s="8" t="e">
        <f t="shared" si="170"/>
        <v>#VALUE!</v>
      </c>
    </row>
    <row r="10926" spans="11:11" x14ac:dyDescent="0.25">
      <c r="K10926" s="8" t="e">
        <f t="shared" si="170"/>
        <v>#VALUE!</v>
      </c>
    </row>
    <row r="10927" spans="11:11" x14ac:dyDescent="0.25">
      <c r="K10927" s="8" t="e">
        <f t="shared" si="170"/>
        <v>#VALUE!</v>
      </c>
    </row>
    <row r="10928" spans="11:11" x14ac:dyDescent="0.25">
      <c r="K10928" s="8" t="e">
        <f t="shared" si="170"/>
        <v>#VALUE!</v>
      </c>
    </row>
    <row r="10929" spans="11:11" x14ac:dyDescent="0.25">
      <c r="K10929" s="8" t="e">
        <f t="shared" si="170"/>
        <v>#VALUE!</v>
      </c>
    </row>
    <row r="10930" spans="11:11" x14ac:dyDescent="0.25">
      <c r="K10930" s="8" t="e">
        <f t="shared" si="170"/>
        <v>#VALUE!</v>
      </c>
    </row>
    <row r="10931" spans="11:11" x14ac:dyDescent="0.25">
      <c r="K10931" s="8" t="e">
        <f t="shared" si="170"/>
        <v>#VALUE!</v>
      </c>
    </row>
    <row r="10932" spans="11:11" x14ac:dyDescent="0.25">
      <c r="K10932" s="8" t="e">
        <f t="shared" si="170"/>
        <v>#VALUE!</v>
      </c>
    </row>
    <row r="10933" spans="11:11" x14ac:dyDescent="0.25">
      <c r="K10933" s="8" t="e">
        <f t="shared" si="170"/>
        <v>#VALUE!</v>
      </c>
    </row>
    <row r="10934" spans="11:11" x14ac:dyDescent="0.25">
      <c r="K10934" s="8" t="e">
        <f t="shared" si="170"/>
        <v>#VALUE!</v>
      </c>
    </row>
    <row r="10935" spans="11:11" x14ac:dyDescent="0.25">
      <c r="K10935" s="8" t="e">
        <f t="shared" si="170"/>
        <v>#VALUE!</v>
      </c>
    </row>
    <row r="10936" spans="11:11" x14ac:dyDescent="0.25">
      <c r="K10936" s="8" t="e">
        <f t="shared" si="170"/>
        <v>#VALUE!</v>
      </c>
    </row>
    <row r="10937" spans="11:11" x14ac:dyDescent="0.25">
      <c r="K10937" s="8" t="e">
        <f t="shared" si="170"/>
        <v>#VALUE!</v>
      </c>
    </row>
    <row r="10938" spans="11:11" x14ac:dyDescent="0.25">
      <c r="K10938" s="8" t="e">
        <f t="shared" si="170"/>
        <v>#VALUE!</v>
      </c>
    </row>
    <row r="10939" spans="11:11" x14ac:dyDescent="0.25">
      <c r="K10939" s="8" t="e">
        <f t="shared" si="170"/>
        <v>#VALUE!</v>
      </c>
    </row>
    <row r="10940" spans="11:11" x14ac:dyDescent="0.25">
      <c r="K10940" s="8" t="e">
        <f t="shared" si="170"/>
        <v>#VALUE!</v>
      </c>
    </row>
    <row r="10941" spans="11:11" x14ac:dyDescent="0.25">
      <c r="K10941" s="8" t="e">
        <f t="shared" si="170"/>
        <v>#VALUE!</v>
      </c>
    </row>
    <row r="10942" spans="11:11" x14ac:dyDescent="0.25">
      <c r="K10942" s="8" t="e">
        <f t="shared" si="170"/>
        <v>#VALUE!</v>
      </c>
    </row>
    <row r="10943" spans="11:11" x14ac:dyDescent="0.25">
      <c r="K10943" s="8" t="e">
        <f t="shared" si="170"/>
        <v>#VALUE!</v>
      </c>
    </row>
    <row r="10944" spans="11:11" x14ac:dyDescent="0.25">
      <c r="K10944" s="8" t="e">
        <f t="shared" si="170"/>
        <v>#VALUE!</v>
      </c>
    </row>
    <row r="10945" spans="11:11" x14ac:dyDescent="0.25">
      <c r="K10945" s="8" t="e">
        <f t="shared" si="170"/>
        <v>#VALUE!</v>
      </c>
    </row>
    <row r="10946" spans="11:11" x14ac:dyDescent="0.25">
      <c r="K10946" s="8" t="e">
        <f t="shared" si="170"/>
        <v>#VALUE!</v>
      </c>
    </row>
    <row r="10947" spans="11:11" x14ac:dyDescent="0.25">
      <c r="K10947" s="8" t="e">
        <f t="shared" ref="K10947:K10960" si="171">LEFT(A10947,FIND("/",A10947)-1)</f>
        <v>#VALUE!</v>
      </c>
    </row>
    <row r="10948" spans="11:11" x14ac:dyDescent="0.25">
      <c r="K10948" s="8" t="e">
        <f t="shared" si="171"/>
        <v>#VALUE!</v>
      </c>
    </row>
    <row r="10949" spans="11:11" x14ac:dyDescent="0.25">
      <c r="K10949" s="8" t="e">
        <f t="shared" si="171"/>
        <v>#VALUE!</v>
      </c>
    </row>
    <row r="10950" spans="11:11" x14ac:dyDescent="0.25">
      <c r="K10950" s="8" t="e">
        <f t="shared" si="171"/>
        <v>#VALUE!</v>
      </c>
    </row>
    <row r="10951" spans="11:11" x14ac:dyDescent="0.25">
      <c r="K10951" s="8" t="e">
        <f t="shared" si="171"/>
        <v>#VALUE!</v>
      </c>
    </row>
    <row r="10952" spans="11:11" x14ac:dyDescent="0.25">
      <c r="K10952" s="8" t="e">
        <f t="shared" si="171"/>
        <v>#VALUE!</v>
      </c>
    </row>
    <row r="10953" spans="11:11" x14ac:dyDescent="0.25">
      <c r="K10953" s="8" t="e">
        <f t="shared" si="171"/>
        <v>#VALUE!</v>
      </c>
    </row>
    <row r="10954" spans="11:11" x14ac:dyDescent="0.25">
      <c r="K10954" s="8" t="e">
        <f t="shared" si="171"/>
        <v>#VALUE!</v>
      </c>
    </row>
    <row r="10955" spans="11:11" x14ac:dyDescent="0.25">
      <c r="K10955" s="8" t="e">
        <f t="shared" si="171"/>
        <v>#VALUE!</v>
      </c>
    </row>
    <row r="10956" spans="11:11" x14ac:dyDescent="0.25">
      <c r="K10956" s="8" t="e">
        <f t="shared" si="171"/>
        <v>#VALUE!</v>
      </c>
    </row>
    <row r="10957" spans="11:11" x14ac:dyDescent="0.25">
      <c r="K10957" s="8" t="e">
        <f t="shared" si="171"/>
        <v>#VALUE!</v>
      </c>
    </row>
    <row r="10958" spans="11:11" x14ac:dyDescent="0.25">
      <c r="K10958" s="8" t="e">
        <f t="shared" si="171"/>
        <v>#VALUE!</v>
      </c>
    </row>
    <row r="10959" spans="11:11" x14ac:dyDescent="0.25">
      <c r="K10959" s="8" t="e">
        <f t="shared" si="171"/>
        <v>#VALUE!</v>
      </c>
    </row>
    <row r="10960" spans="11:11" x14ac:dyDescent="0.25">
      <c r="K10960" s="8" t="e">
        <f t="shared" si="171"/>
        <v>#VALUE!</v>
      </c>
    </row>
  </sheetData>
  <autoFilter ref="A1:K10960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K223"/>
  <sheetViews>
    <sheetView workbookViewId="0">
      <selection activeCell="D2" sqref="D2"/>
    </sheetView>
  </sheetViews>
  <sheetFormatPr defaultRowHeight="15" x14ac:dyDescent="0.25"/>
  <cols>
    <col min="1" max="1" width="15.28515625" bestFit="1" customWidth="1"/>
    <col min="4" max="4" width="10.7109375" bestFit="1" customWidth="1"/>
  </cols>
  <sheetData>
    <row r="1" spans="1:11" x14ac:dyDescent="0.25">
      <c r="A1" s="29" t="s">
        <v>108</v>
      </c>
      <c r="B1" s="29" t="s">
        <v>6</v>
      </c>
      <c r="C1" s="29" t="s">
        <v>12</v>
      </c>
      <c r="D1" s="32" t="s">
        <v>26</v>
      </c>
      <c r="E1" s="30" t="s">
        <v>109</v>
      </c>
      <c r="F1" s="29" t="s">
        <v>39</v>
      </c>
      <c r="G1" s="29" t="s">
        <v>32</v>
      </c>
      <c r="H1" s="29" t="s">
        <v>14</v>
      </c>
      <c r="I1" s="29" t="s">
        <v>110</v>
      </c>
      <c r="J1" s="31" t="s">
        <v>152</v>
      </c>
      <c r="K1" s="28" t="s">
        <v>3</v>
      </c>
    </row>
    <row r="2" spans="1:11" x14ac:dyDescent="0.25">
      <c r="A2" s="26" t="s">
        <v>128</v>
      </c>
      <c r="B2" s="26" t="s">
        <v>111</v>
      </c>
      <c r="C2" s="26">
        <v>0</v>
      </c>
      <c r="D2" s="27">
        <v>43242</v>
      </c>
      <c r="E2" s="26">
        <v>238.28</v>
      </c>
      <c r="F2" s="26" t="s">
        <v>153</v>
      </c>
      <c r="G2" s="26" t="s">
        <v>8</v>
      </c>
      <c r="H2" s="26" t="s">
        <v>154</v>
      </c>
      <c r="I2" s="26" t="s">
        <v>106</v>
      </c>
      <c r="J2" s="26">
        <v>7</v>
      </c>
      <c r="K2" s="8" t="str">
        <f t="shared" ref="K2:K65" si="0">LEFT(A2,FIND("/",A2)-1)</f>
        <v>APD</v>
      </c>
    </row>
    <row r="3" spans="1:11" x14ac:dyDescent="0.25">
      <c r="A3" s="26" t="s">
        <v>128</v>
      </c>
      <c r="B3" s="26" t="s">
        <v>111</v>
      </c>
      <c r="C3" s="26">
        <v>0</v>
      </c>
      <c r="D3" s="27">
        <v>43244</v>
      </c>
      <c r="E3" s="26">
        <v>476.57</v>
      </c>
      <c r="F3" s="26" t="s">
        <v>155</v>
      </c>
      <c r="G3" s="26" t="s">
        <v>8</v>
      </c>
      <c r="H3" s="26" t="s">
        <v>156</v>
      </c>
      <c r="I3" s="26" t="s">
        <v>106</v>
      </c>
      <c r="J3" s="26">
        <v>1</v>
      </c>
      <c r="K3" s="8" t="str">
        <f t="shared" si="0"/>
        <v>APD</v>
      </c>
    </row>
    <row r="4" spans="1:11" x14ac:dyDescent="0.25">
      <c r="A4" s="26" t="s">
        <v>128</v>
      </c>
      <c r="B4" s="26" t="s">
        <v>111</v>
      </c>
      <c r="C4" s="26">
        <v>0</v>
      </c>
      <c r="D4" s="27">
        <v>43244</v>
      </c>
      <c r="E4" s="26">
        <v>476.57</v>
      </c>
      <c r="F4" s="26" t="s">
        <v>157</v>
      </c>
      <c r="G4" s="26" t="s">
        <v>8</v>
      </c>
      <c r="H4" s="26" t="s">
        <v>158</v>
      </c>
      <c r="I4" s="26" t="s">
        <v>106</v>
      </c>
      <c r="J4" s="26">
        <v>2</v>
      </c>
      <c r="K4" s="8" t="str">
        <f t="shared" si="0"/>
        <v>APD</v>
      </c>
    </row>
    <row r="5" spans="1:11" x14ac:dyDescent="0.25">
      <c r="A5" s="26" t="s">
        <v>128</v>
      </c>
      <c r="B5" s="26" t="s">
        <v>111</v>
      </c>
      <c r="C5" s="26">
        <v>0</v>
      </c>
      <c r="D5" s="27">
        <v>43245</v>
      </c>
      <c r="E5" s="26">
        <v>-1032.56</v>
      </c>
      <c r="F5" s="26" t="s">
        <v>159</v>
      </c>
      <c r="G5" s="26" t="s">
        <v>8</v>
      </c>
      <c r="H5" s="26" t="s">
        <v>160</v>
      </c>
      <c r="I5" s="26" t="s">
        <v>106</v>
      </c>
      <c r="J5" s="26">
        <v>2</v>
      </c>
      <c r="K5" s="8" t="str">
        <f t="shared" si="0"/>
        <v>APD</v>
      </c>
    </row>
    <row r="6" spans="1:11" x14ac:dyDescent="0.25">
      <c r="A6" s="26" t="s">
        <v>128</v>
      </c>
      <c r="B6" s="26" t="s">
        <v>111</v>
      </c>
      <c r="C6" s="26">
        <v>0</v>
      </c>
      <c r="D6" s="27">
        <v>43248</v>
      </c>
      <c r="E6" s="26">
        <v>79.42</v>
      </c>
      <c r="F6" s="26" t="s">
        <v>161</v>
      </c>
      <c r="G6" s="26" t="s">
        <v>8</v>
      </c>
      <c r="H6" s="26" t="s">
        <v>162</v>
      </c>
      <c r="I6" s="26" t="s">
        <v>106</v>
      </c>
      <c r="J6" s="26">
        <v>1</v>
      </c>
      <c r="K6" s="8" t="str">
        <f t="shared" si="0"/>
        <v>APD</v>
      </c>
    </row>
    <row r="7" spans="1:11" x14ac:dyDescent="0.25">
      <c r="A7" s="26" t="s">
        <v>128</v>
      </c>
      <c r="B7" s="26" t="s">
        <v>111</v>
      </c>
      <c r="C7" s="26">
        <v>0</v>
      </c>
      <c r="D7" s="27">
        <v>43248</v>
      </c>
      <c r="E7" s="26">
        <v>79.430000000000007</v>
      </c>
      <c r="F7" s="26" t="s">
        <v>163</v>
      </c>
      <c r="G7" s="26" t="s">
        <v>8</v>
      </c>
      <c r="H7" s="26" t="s">
        <v>164</v>
      </c>
      <c r="I7" s="26" t="s">
        <v>106</v>
      </c>
      <c r="J7" s="26">
        <v>2</v>
      </c>
      <c r="K7" s="8" t="str">
        <f t="shared" si="0"/>
        <v>APD</v>
      </c>
    </row>
    <row r="8" spans="1:11" x14ac:dyDescent="0.25">
      <c r="A8" s="26" t="s">
        <v>128</v>
      </c>
      <c r="B8" s="26" t="s">
        <v>111</v>
      </c>
      <c r="C8" s="26">
        <v>0</v>
      </c>
      <c r="D8" s="27">
        <v>43251</v>
      </c>
      <c r="E8" s="26">
        <v>-238.28</v>
      </c>
      <c r="F8" s="26" t="s">
        <v>165</v>
      </c>
      <c r="G8" s="26" t="s">
        <v>8</v>
      </c>
      <c r="H8" s="26" t="s">
        <v>166</v>
      </c>
      <c r="I8" s="26" t="s">
        <v>106</v>
      </c>
      <c r="J8" s="26">
        <v>2</v>
      </c>
      <c r="K8" s="8" t="str">
        <f t="shared" si="0"/>
        <v>APD</v>
      </c>
    </row>
    <row r="9" spans="1:11" x14ac:dyDescent="0.25">
      <c r="A9" s="26" t="s">
        <v>128</v>
      </c>
      <c r="B9" s="26" t="s">
        <v>111</v>
      </c>
      <c r="C9" s="26">
        <v>0</v>
      </c>
      <c r="D9" s="27">
        <v>43252</v>
      </c>
      <c r="E9" s="26">
        <v>79.430000000000007</v>
      </c>
      <c r="F9" s="26" t="s">
        <v>167</v>
      </c>
      <c r="G9" s="26" t="s">
        <v>8</v>
      </c>
      <c r="H9" s="26" t="s">
        <v>168</v>
      </c>
      <c r="I9" s="26" t="s">
        <v>106</v>
      </c>
      <c r="J9" s="26">
        <v>1</v>
      </c>
      <c r="K9" s="8" t="str">
        <f t="shared" si="0"/>
        <v>APD</v>
      </c>
    </row>
    <row r="10" spans="1:11" x14ac:dyDescent="0.25">
      <c r="A10" s="26" t="s">
        <v>128</v>
      </c>
      <c r="B10" s="26" t="s">
        <v>111</v>
      </c>
      <c r="C10" s="26">
        <v>0</v>
      </c>
      <c r="D10" s="27">
        <v>43256</v>
      </c>
      <c r="E10" s="26">
        <v>79.42</v>
      </c>
      <c r="F10" s="26" t="s">
        <v>169</v>
      </c>
      <c r="G10" s="26" t="s">
        <v>8</v>
      </c>
      <c r="H10" s="26" t="s">
        <v>170</v>
      </c>
      <c r="I10" s="26" t="s">
        <v>106</v>
      </c>
      <c r="J10" s="26">
        <v>2</v>
      </c>
      <c r="K10" s="8" t="str">
        <f t="shared" si="0"/>
        <v>APD</v>
      </c>
    </row>
    <row r="11" spans="1:11" x14ac:dyDescent="0.25">
      <c r="A11" s="26" t="s">
        <v>128</v>
      </c>
      <c r="B11" s="26" t="s">
        <v>111</v>
      </c>
      <c r="C11" s="26">
        <v>0</v>
      </c>
      <c r="D11" s="27">
        <v>43256</v>
      </c>
      <c r="E11" s="26">
        <v>476.57</v>
      </c>
      <c r="F11" s="26" t="s">
        <v>171</v>
      </c>
      <c r="G11" s="26" t="s">
        <v>8</v>
      </c>
      <c r="H11" s="26" t="s">
        <v>172</v>
      </c>
      <c r="I11" s="26" t="s">
        <v>106</v>
      </c>
      <c r="J11" s="26">
        <v>3</v>
      </c>
      <c r="K11" s="8" t="str">
        <f t="shared" si="0"/>
        <v>APD</v>
      </c>
    </row>
    <row r="12" spans="1:11" x14ac:dyDescent="0.25">
      <c r="A12" s="26" t="s">
        <v>128</v>
      </c>
      <c r="B12" s="26" t="s">
        <v>111</v>
      </c>
      <c r="C12" s="26">
        <v>0</v>
      </c>
      <c r="D12" s="27">
        <v>43256</v>
      </c>
      <c r="E12" s="26">
        <v>-476.57</v>
      </c>
      <c r="F12" s="26" t="s">
        <v>173</v>
      </c>
      <c r="G12" s="26" t="s">
        <v>8</v>
      </c>
      <c r="H12" s="26" t="s">
        <v>174</v>
      </c>
      <c r="I12" s="26" t="s">
        <v>106</v>
      </c>
      <c r="J12" s="26">
        <v>5</v>
      </c>
      <c r="K12" s="8" t="str">
        <f t="shared" si="0"/>
        <v>APD</v>
      </c>
    </row>
    <row r="13" spans="1:11" x14ac:dyDescent="0.25">
      <c r="A13" s="26" t="s">
        <v>128</v>
      </c>
      <c r="B13" s="26" t="s">
        <v>111</v>
      </c>
      <c r="C13" s="26">
        <v>0</v>
      </c>
      <c r="D13" s="27">
        <v>43257</v>
      </c>
      <c r="E13" s="26">
        <v>3018.27</v>
      </c>
      <c r="F13" s="26" t="s">
        <v>175</v>
      </c>
      <c r="G13" s="26" t="s">
        <v>8</v>
      </c>
      <c r="H13" s="26" t="s">
        <v>176</v>
      </c>
      <c r="I13" s="26" t="s">
        <v>106</v>
      </c>
      <c r="J13" s="26">
        <v>1</v>
      </c>
      <c r="K13" s="8" t="str">
        <f t="shared" si="0"/>
        <v>APD</v>
      </c>
    </row>
    <row r="14" spans="1:11" x14ac:dyDescent="0.25">
      <c r="A14" s="26" t="s">
        <v>128</v>
      </c>
      <c r="B14" s="26" t="s">
        <v>111</v>
      </c>
      <c r="C14" s="26">
        <v>0</v>
      </c>
      <c r="D14" s="27">
        <v>43262</v>
      </c>
      <c r="E14" s="26">
        <v>-2700.55</v>
      </c>
      <c r="F14" s="26" t="s">
        <v>177</v>
      </c>
      <c r="G14" s="26" t="s">
        <v>8</v>
      </c>
      <c r="H14" s="26" t="s">
        <v>178</v>
      </c>
      <c r="I14" s="26" t="s">
        <v>106</v>
      </c>
      <c r="J14" s="26">
        <v>2</v>
      </c>
      <c r="K14" s="8" t="str">
        <f t="shared" si="0"/>
        <v>APD</v>
      </c>
    </row>
    <row r="15" spans="1:11" x14ac:dyDescent="0.25">
      <c r="A15" s="26" t="s">
        <v>128</v>
      </c>
      <c r="B15" s="26" t="s">
        <v>111</v>
      </c>
      <c r="C15" s="26">
        <v>0</v>
      </c>
      <c r="D15" s="27">
        <v>43263</v>
      </c>
      <c r="E15" s="26">
        <v>-238.29</v>
      </c>
      <c r="F15" s="26" t="s">
        <v>179</v>
      </c>
      <c r="G15" s="26" t="s">
        <v>8</v>
      </c>
      <c r="H15" s="26" t="s">
        <v>180</v>
      </c>
      <c r="I15" s="26" t="s">
        <v>106</v>
      </c>
      <c r="J15" s="26">
        <v>2</v>
      </c>
      <c r="K15" s="8" t="str">
        <f t="shared" si="0"/>
        <v>APD</v>
      </c>
    </row>
    <row r="16" spans="1:11" x14ac:dyDescent="0.25">
      <c r="A16" s="26" t="s">
        <v>128</v>
      </c>
      <c r="B16" s="26" t="s">
        <v>111</v>
      </c>
      <c r="C16" s="26">
        <v>0</v>
      </c>
      <c r="D16" s="27">
        <v>43263</v>
      </c>
      <c r="E16" s="26">
        <v>158.86000000000001</v>
      </c>
      <c r="F16" s="26" t="s">
        <v>181</v>
      </c>
      <c r="G16" s="26" t="s">
        <v>8</v>
      </c>
      <c r="H16" s="26" t="s">
        <v>182</v>
      </c>
      <c r="I16" s="26" t="s">
        <v>106</v>
      </c>
      <c r="J16" s="26">
        <v>3</v>
      </c>
      <c r="K16" s="8" t="str">
        <f t="shared" si="0"/>
        <v>APD</v>
      </c>
    </row>
    <row r="17" spans="1:11" x14ac:dyDescent="0.25">
      <c r="A17" s="26" t="s">
        <v>128</v>
      </c>
      <c r="B17" s="26" t="s">
        <v>111</v>
      </c>
      <c r="C17" s="26">
        <v>0</v>
      </c>
      <c r="D17" s="27">
        <v>43264</v>
      </c>
      <c r="E17" s="26">
        <v>-397.14</v>
      </c>
      <c r="F17" s="26" t="s">
        <v>183</v>
      </c>
      <c r="G17" s="26" t="s">
        <v>8</v>
      </c>
      <c r="H17" s="26" t="s">
        <v>184</v>
      </c>
      <c r="I17" s="26" t="s">
        <v>106</v>
      </c>
      <c r="J17" s="26">
        <v>2</v>
      </c>
      <c r="K17" s="8" t="str">
        <f t="shared" si="0"/>
        <v>APD</v>
      </c>
    </row>
    <row r="18" spans="1:11" x14ac:dyDescent="0.25">
      <c r="A18" s="26" t="s">
        <v>128</v>
      </c>
      <c r="B18" s="26" t="s">
        <v>111</v>
      </c>
      <c r="C18" s="26">
        <v>0</v>
      </c>
      <c r="D18" s="27">
        <v>43265</v>
      </c>
      <c r="E18" s="26">
        <v>317.70999999999998</v>
      </c>
      <c r="F18" s="26" t="s">
        <v>185</v>
      </c>
      <c r="G18" s="26" t="s">
        <v>8</v>
      </c>
      <c r="H18" s="26" t="s">
        <v>186</v>
      </c>
      <c r="I18" s="26" t="s">
        <v>106</v>
      </c>
      <c r="J18" s="26">
        <v>2</v>
      </c>
      <c r="K18" s="8" t="str">
        <f t="shared" si="0"/>
        <v>APD</v>
      </c>
    </row>
    <row r="19" spans="1:11" x14ac:dyDescent="0.25">
      <c r="A19" s="26" t="s">
        <v>128</v>
      </c>
      <c r="B19" s="26" t="s">
        <v>111</v>
      </c>
      <c r="C19" s="26">
        <v>0</v>
      </c>
      <c r="D19" s="27">
        <v>43265</v>
      </c>
      <c r="E19" s="26">
        <v>1667.99</v>
      </c>
      <c r="F19" s="26" t="s">
        <v>187</v>
      </c>
      <c r="G19" s="26" t="s">
        <v>8</v>
      </c>
      <c r="H19" s="26" t="s">
        <v>188</v>
      </c>
      <c r="I19" s="26" t="s">
        <v>106</v>
      </c>
      <c r="J19" s="26">
        <v>3</v>
      </c>
      <c r="K19" s="8" t="str">
        <f t="shared" si="0"/>
        <v>APD</v>
      </c>
    </row>
    <row r="20" spans="1:11" x14ac:dyDescent="0.25">
      <c r="A20" s="26" t="s">
        <v>128</v>
      </c>
      <c r="B20" s="26" t="s">
        <v>111</v>
      </c>
      <c r="C20" s="26">
        <v>0</v>
      </c>
      <c r="D20" s="27">
        <v>43266</v>
      </c>
      <c r="E20" s="26">
        <v>-1111.99</v>
      </c>
      <c r="F20" s="26" t="s">
        <v>189</v>
      </c>
      <c r="G20" s="26" t="s">
        <v>8</v>
      </c>
      <c r="H20" s="26" t="s">
        <v>190</v>
      </c>
      <c r="I20" s="26" t="s">
        <v>106</v>
      </c>
      <c r="J20" s="26">
        <v>2</v>
      </c>
      <c r="K20" s="8" t="str">
        <f t="shared" si="0"/>
        <v>APD</v>
      </c>
    </row>
    <row r="21" spans="1:11" x14ac:dyDescent="0.25">
      <c r="A21" s="26" t="s">
        <v>128</v>
      </c>
      <c r="B21" s="26" t="s">
        <v>111</v>
      </c>
      <c r="C21" s="26">
        <v>0</v>
      </c>
      <c r="D21" s="27">
        <v>43271</v>
      </c>
      <c r="E21" s="26">
        <v>-317.72000000000003</v>
      </c>
      <c r="F21" s="26" t="s">
        <v>191</v>
      </c>
      <c r="G21" s="26" t="s">
        <v>8</v>
      </c>
      <c r="H21" s="26" t="s">
        <v>192</v>
      </c>
      <c r="I21" s="26" t="s">
        <v>106</v>
      </c>
      <c r="J21" s="26">
        <v>1</v>
      </c>
      <c r="K21" s="8" t="str">
        <f t="shared" si="0"/>
        <v>APD</v>
      </c>
    </row>
    <row r="22" spans="1:11" x14ac:dyDescent="0.25">
      <c r="A22" s="26" t="s">
        <v>128</v>
      </c>
      <c r="B22" s="26" t="s">
        <v>111</v>
      </c>
      <c r="C22" s="26">
        <v>0</v>
      </c>
      <c r="D22" s="27">
        <v>43271</v>
      </c>
      <c r="E22" s="26">
        <v>79.430000000000007</v>
      </c>
      <c r="F22" s="26" t="s">
        <v>193</v>
      </c>
      <c r="G22" s="26" t="s">
        <v>8</v>
      </c>
      <c r="H22" s="26" t="s">
        <v>194</v>
      </c>
      <c r="I22" s="26" t="s">
        <v>106</v>
      </c>
      <c r="J22" s="26">
        <v>3</v>
      </c>
      <c r="K22" s="8" t="str">
        <f t="shared" si="0"/>
        <v>APD</v>
      </c>
    </row>
    <row r="23" spans="1:11" x14ac:dyDescent="0.25">
      <c r="A23" s="26" t="s">
        <v>128</v>
      </c>
      <c r="B23" s="26" t="s">
        <v>111</v>
      </c>
      <c r="C23" s="26">
        <v>0</v>
      </c>
      <c r="D23" s="27">
        <v>43271</v>
      </c>
      <c r="E23" s="26">
        <v>79.430000000000007</v>
      </c>
      <c r="F23" s="26" t="s">
        <v>195</v>
      </c>
      <c r="G23" s="26" t="s">
        <v>8</v>
      </c>
      <c r="H23" s="26" t="s">
        <v>196</v>
      </c>
      <c r="I23" s="26" t="s">
        <v>106</v>
      </c>
      <c r="J23" s="26">
        <v>4</v>
      </c>
      <c r="K23" s="8" t="str">
        <f t="shared" si="0"/>
        <v>APD</v>
      </c>
    </row>
    <row r="24" spans="1:11" x14ac:dyDescent="0.25">
      <c r="A24" s="26" t="s">
        <v>128</v>
      </c>
      <c r="B24" s="26" t="s">
        <v>111</v>
      </c>
      <c r="C24" s="26">
        <v>0</v>
      </c>
      <c r="D24" s="27">
        <v>43272</v>
      </c>
      <c r="E24" s="26">
        <v>-714.85</v>
      </c>
      <c r="F24" s="26" t="s">
        <v>197</v>
      </c>
      <c r="G24" s="26" t="s">
        <v>8</v>
      </c>
      <c r="H24" s="26" t="s">
        <v>198</v>
      </c>
      <c r="I24" s="26" t="s">
        <v>106</v>
      </c>
      <c r="J24" s="26">
        <v>2</v>
      </c>
      <c r="K24" s="8" t="str">
        <f t="shared" si="0"/>
        <v>APD</v>
      </c>
    </row>
    <row r="25" spans="1:11" x14ac:dyDescent="0.25">
      <c r="A25" s="26" t="s">
        <v>128</v>
      </c>
      <c r="B25" s="26" t="s">
        <v>111</v>
      </c>
      <c r="C25" s="26">
        <v>0</v>
      </c>
      <c r="D25" s="27">
        <v>43273</v>
      </c>
      <c r="E25" s="26">
        <v>555.99</v>
      </c>
      <c r="F25" s="26" t="s">
        <v>199</v>
      </c>
      <c r="G25" s="26" t="s">
        <v>8</v>
      </c>
      <c r="H25" s="26" t="s">
        <v>200</v>
      </c>
      <c r="I25" s="26" t="s">
        <v>106</v>
      </c>
      <c r="J25" s="26">
        <v>2</v>
      </c>
      <c r="K25" s="8" t="str">
        <f t="shared" si="0"/>
        <v>APD</v>
      </c>
    </row>
    <row r="26" spans="1:11" x14ac:dyDescent="0.25">
      <c r="A26" s="26" t="s">
        <v>128</v>
      </c>
      <c r="B26" s="26" t="s">
        <v>111</v>
      </c>
      <c r="C26" s="26">
        <v>0</v>
      </c>
      <c r="D26" s="27">
        <v>43276</v>
      </c>
      <c r="E26" s="26">
        <v>12073.08</v>
      </c>
      <c r="F26" s="26" t="s">
        <v>201</v>
      </c>
      <c r="G26" s="26" t="s">
        <v>8</v>
      </c>
      <c r="H26" s="26" t="s">
        <v>202</v>
      </c>
      <c r="I26" s="26" t="s">
        <v>106</v>
      </c>
      <c r="J26" s="26">
        <v>1</v>
      </c>
      <c r="K26" s="8" t="str">
        <f t="shared" si="0"/>
        <v>APD</v>
      </c>
    </row>
    <row r="27" spans="1:11" x14ac:dyDescent="0.25">
      <c r="A27" s="26" t="s">
        <v>128</v>
      </c>
      <c r="B27" s="26" t="s">
        <v>111</v>
      </c>
      <c r="C27" s="26">
        <v>0</v>
      </c>
      <c r="D27" s="27">
        <v>43276</v>
      </c>
      <c r="E27" s="26">
        <v>-10961.08</v>
      </c>
      <c r="F27" s="26" t="s">
        <v>203</v>
      </c>
      <c r="G27" s="26" t="s">
        <v>8</v>
      </c>
      <c r="H27" s="26" t="s">
        <v>204</v>
      </c>
      <c r="I27" s="26" t="s">
        <v>106</v>
      </c>
      <c r="J27" s="26">
        <v>5</v>
      </c>
      <c r="K27" s="8" t="str">
        <f t="shared" si="0"/>
        <v>APD</v>
      </c>
    </row>
    <row r="28" spans="1:11" x14ac:dyDescent="0.25">
      <c r="A28" s="26" t="s">
        <v>128</v>
      </c>
      <c r="B28" s="26" t="s">
        <v>111</v>
      </c>
      <c r="C28" s="26">
        <v>0</v>
      </c>
      <c r="D28" s="27">
        <v>43277</v>
      </c>
      <c r="E28" s="26">
        <v>90389.2</v>
      </c>
      <c r="F28" s="26" t="s">
        <v>205</v>
      </c>
      <c r="G28" s="26" t="s">
        <v>8</v>
      </c>
      <c r="H28" s="26" t="s">
        <v>206</v>
      </c>
      <c r="I28" s="26" t="s">
        <v>106</v>
      </c>
      <c r="J28" s="26">
        <v>1</v>
      </c>
      <c r="K28" s="8" t="str">
        <f t="shared" si="0"/>
        <v>APD</v>
      </c>
    </row>
    <row r="29" spans="1:11" x14ac:dyDescent="0.25">
      <c r="A29" s="26" t="s">
        <v>128</v>
      </c>
      <c r="B29" s="26" t="s">
        <v>111</v>
      </c>
      <c r="C29" s="26">
        <v>0</v>
      </c>
      <c r="D29" s="27">
        <v>43277</v>
      </c>
      <c r="E29" s="26">
        <v>-22081.02</v>
      </c>
      <c r="F29" s="26" t="s">
        <v>207</v>
      </c>
      <c r="G29" s="26" t="s">
        <v>8</v>
      </c>
      <c r="H29" s="26" t="s">
        <v>208</v>
      </c>
      <c r="I29" s="26" t="s">
        <v>106</v>
      </c>
      <c r="J29" s="26">
        <v>4</v>
      </c>
      <c r="K29" s="8" t="str">
        <f t="shared" si="0"/>
        <v>APD</v>
      </c>
    </row>
    <row r="30" spans="1:11" x14ac:dyDescent="0.25">
      <c r="A30" s="26" t="s">
        <v>128</v>
      </c>
      <c r="B30" s="26" t="s">
        <v>111</v>
      </c>
      <c r="C30" s="26">
        <v>0</v>
      </c>
      <c r="D30" s="27">
        <v>43277</v>
      </c>
      <c r="E30" s="26">
        <v>238.28</v>
      </c>
      <c r="F30" s="26" t="s">
        <v>209</v>
      </c>
      <c r="G30" s="26" t="s">
        <v>8</v>
      </c>
      <c r="H30" s="26" t="s">
        <v>210</v>
      </c>
      <c r="I30" s="26" t="s">
        <v>106</v>
      </c>
      <c r="J30" s="26">
        <v>5</v>
      </c>
      <c r="K30" s="8" t="str">
        <f t="shared" si="0"/>
        <v>APD</v>
      </c>
    </row>
    <row r="31" spans="1:11" x14ac:dyDescent="0.25">
      <c r="A31" s="26" t="s">
        <v>128</v>
      </c>
      <c r="B31" s="26" t="s">
        <v>111</v>
      </c>
      <c r="C31" s="26">
        <v>0</v>
      </c>
      <c r="D31" s="27">
        <v>43280</v>
      </c>
      <c r="E31" s="26">
        <v>-70055.600000000006</v>
      </c>
      <c r="F31" s="26" t="s">
        <v>211</v>
      </c>
      <c r="G31" s="26" t="s">
        <v>8</v>
      </c>
      <c r="H31" s="26" t="s">
        <v>212</v>
      </c>
      <c r="I31" s="26" t="s">
        <v>106</v>
      </c>
      <c r="J31" s="26">
        <v>1</v>
      </c>
      <c r="K31" s="8" t="str">
        <f t="shared" si="0"/>
        <v>APD</v>
      </c>
    </row>
    <row r="32" spans="1:11" x14ac:dyDescent="0.25">
      <c r="A32" s="26" t="s">
        <v>128</v>
      </c>
      <c r="B32" s="26" t="s">
        <v>111</v>
      </c>
      <c r="C32" s="26">
        <v>0</v>
      </c>
      <c r="D32" s="27">
        <v>43280</v>
      </c>
      <c r="E32" s="26">
        <v>794.29</v>
      </c>
      <c r="F32" s="26" t="s">
        <v>213</v>
      </c>
      <c r="G32" s="26" t="s">
        <v>8</v>
      </c>
      <c r="H32" s="26" t="s">
        <v>214</v>
      </c>
      <c r="I32" s="26" t="s">
        <v>106</v>
      </c>
      <c r="J32" s="26">
        <v>2</v>
      </c>
      <c r="K32" s="8" t="str">
        <f t="shared" si="0"/>
        <v>APD</v>
      </c>
    </row>
    <row r="33" spans="1:11" x14ac:dyDescent="0.25">
      <c r="A33" s="26" t="s">
        <v>128</v>
      </c>
      <c r="B33" s="26" t="s">
        <v>111</v>
      </c>
      <c r="C33" s="26">
        <v>0</v>
      </c>
      <c r="D33" s="27">
        <v>43283</v>
      </c>
      <c r="E33" s="26">
        <v>-953.14</v>
      </c>
      <c r="F33" s="26" t="s">
        <v>215</v>
      </c>
      <c r="G33" s="26" t="s">
        <v>8</v>
      </c>
      <c r="H33" s="26" t="s">
        <v>216</v>
      </c>
      <c r="I33" s="26" t="s">
        <v>106</v>
      </c>
      <c r="J33" s="26">
        <v>1</v>
      </c>
      <c r="K33" s="8" t="str">
        <f t="shared" si="0"/>
        <v>APD</v>
      </c>
    </row>
    <row r="34" spans="1:11" x14ac:dyDescent="0.25">
      <c r="A34" s="26" t="s">
        <v>128</v>
      </c>
      <c r="B34" s="26" t="s">
        <v>111</v>
      </c>
      <c r="C34" s="26">
        <v>0</v>
      </c>
      <c r="D34" s="27">
        <v>43284</v>
      </c>
      <c r="E34" s="26">
        <v>635.41999999999996</v>
      </c>
      <c r="F34" s="26" t="s">
        <v>217</v>
      </c>
      <c r="G34" s="26" t="s">
        <v>8</v>
      </c>
      <c r="H34" s="26" t="s">
        <v>218</v>
      </c>
      <c r="I34" s="26" t="s">
        <v>106</v>
      </c>
      <c r="J34" s="26">
        <v>2</v>
      </c>
      <c r="K34" s="8" t="str">
        <f t="shared" si="0"/>
        <v>APD</v>
      </c>
    </row>
    <row r="35" spans="1:11" x14ac:dyDescent="0.25">
      <c r="A35" s="26" t="s">
        <v>128</v>
      </c>
      <c r="B35" s="26" t="s">
        <v>111</v>
      </c>
      <c r="C35" s="26">
        <v>0</v>
      </c>
      <c r="D35" s="27">
        <v>43285</v>
      </c>
      <c r="E35" s="26">
        <v>4368.55</v>
      </c>
      <c r="F35" s="26" t="s">
        <v>219</v>
      </c>
      <c r="G35" s="26" t="s">
        <v>8</v>
      </c>
      <c r="H35" s="26" t="s">
        <v>220</v>
      </c>
      <c r="I35" s="26" t="s">
        <v>106</v>
      </c>
      <c r="J35" s="26">
        <v>1</v>
      </c>
      <c r="K35" s="8" t="str">
        <f t="shared" si="0"/>
        <v>APD</v>
      </c>
    </row>
    <row r="36" spans="1:11" x14ac:dyDescent="0.25">
      <c r="A36" s="26" t="s">
        <v>128</v>
      </c>
      <c r="B36" s="26" t="s">
        <v>111</v>
      </c>
      <c r="C36" s="26">
        <v>0</v>
      </c>
      <c r="D36" s="27">
        <v>43286</v>
      </c>
      <c r="E36" s="26">
        <v>-4924.54</v>
      </c>
      <c r="F36" s="26" t="s">
        <v>221</v>
      </c>
      <c r="G36" s="26" t="s">
        <v>8</v>
      </c>
      <c r="H36" s="26" t="s">
        <v>222</v>
      </c>
      <c r="I36" s="26" t="s">
        <v>106</v>
      </c>
      <c r="J36" s="26">
        <v>1</v>
      </c>
      <c r="K36" s="8" t="str">
        <f t="shared" si="0"/>
        <v>APD</v>
      </c>
    </row>
    <row r="37" spans="1:11" x14ac:dyDescent="0.25">
      <c r="A37" s="26" t="s">
        <v>128</v>
      </c>
      <c r="B37" s="26" t="s">
        <v>111</v>
      </c>
      <c r="C37" s="26">
        <v>0</v>
      </c>
      <c r="D37" s="27">
        <v>43293</v>
      </c>
      <c r="E37" s="26">
        <v>79.42</v>
      </c>
      <c r="F37" s="26" t="s">
        <v>223</v>
      </c>
      <c r="G37" s="26" t="s">
        <v>8</v>
      </c>
      <c r="H37" s="26" t="s">
        <v>224</v>
      </c>
      <c r="I37" s="26" t="s">
        <v>106</v>
      </c>
      <c r="J37" s="26">
        <v>2</v>
      </c>
      <c r="K37" s="8" t="str">
        <f t="shared" si="0"/>
        <v>APD</v>
      </c>
    </row>
    <row r="38" spans="1:11" x14ac:dyDescent="0.25">
      <c r="A38" s="26" t="s">
        <v>128</v>
      </c>
      <c r="B38" s="26" t="s">
        <v>111</v>
      </c>
      <c r="C38" s="26">
        <v>0</v>
      </c>
      <c r="D38" s="27">
        <v>43294</v>
      </c>
      <c r="E38" s="26">
        <v>-79.42</v>
      </c>
      <c r="F38" s="26" t="s">
        <v>225</v>
      </c>
      <c r="G38" s="26" t="s">
        <v>8</v>
      </c>
      <c r="H38" s="26" t="s">
        <v>226</v>
      </c>
      <c r="I38" s="26" t="s">
        <v>106</v>
      </c>
      <c r="J38" s="26">
        <v>2</v>
      </c>
      <c r="K38" s="8" t="str">
        <f t="shared" si="0"/>
        <v>APD</v>
      </c>
    </row>
    <row r="39" spans="1:11" x14ac:dyDescent="0.25">
      <c r="A39" s="26" t="s">
        <v>128</v>
      </c>
      <c r="B39" s="26" t="s">
        <v>111</v>
      </c>
      <c r="C39" s="26">
        <v>0</v>
      </c>
      <c r="D39" s="27">
        <v>43297</v>
      </c>
      <c r="E39" s="26">
        <v>397.14</v>
      </c>
      <c r="F39" s="26" t="s">
        <v>227</v>
      </c>
      <c r="G39" s="26" t="s">
        <v>8</v>
      </c>
      <c r="H39" s="26" t="s">
        <v>228</v>
      </c>
      <c r="I39" s="26" t="s">
        <v>106</v>
      </c>
      <c r="J39" s="26">
        <v>2</v>
      </c>
      <c r="K39" s="8" t="str">
        <f t="shared" si="0"/>
        <v>APD</v>
      </c>
    </row>
    <row r="40" spans="1:11" x14ac:dyDescent="0.25">
      <c r="A40" s="26" t="s">
        <v>128</v>
      </c>
      <c r="B40" s="26" t="s">
        <v>111</v>
      </c>
      <c r="C40" s="26">
        <v>0</v>
      </c>
      <c r="D40" s="27">
        <v>43297</v>
      </c>
      <c r="E40" s="26">
        <v>1826.84</v>
      </c>
      <c r="F40" s="26" t="s">
        <v>229</v>
      </c>
      <c r="G40" s="26" t="s">
        <v>8</v>
      </c>
      <c r="H40" s="26" t="s">
        <v>230</v>
      </c>
      <c r="I40" s="26" t="s">
        <v>106</v>
      </c>
      <c r="J40" s="26">
        <v>3</v>
      </c>
      <c r="K40" s="8" t="str">
        <f t="shared" si="0"/>
        <v>APD</v>
      </c>
    </row>
    <row r="41" spans="1:11" x14ac:dyDescent="0.25">
      <c r="A41" s="26" t="s">
        <v>128</v>
      </c>
      <c r="B41" s="26" t="s">
        <v>111</v>
      </c>
      <c r="C41" s="26">
        <v>0</v>
      </c>
      <c r="D41" s="27">
        <v>43300</v>
      </c>
      <c r="E41" s="26">
        <v>-2144.56</v>
      </c>
      <c r="F41" s="26" t="s">
        <v>231</v>
      </c>
      <c r="G41" s="26" t="s">
        <v>8</v>
      </c>
      <c r="H41" s="26" t="s">
        <v>232</v>
      </c>
      <c r="I41" s="26" t="s">
        <v>106</v>
      </c>
      <c r="J41" s="26">
        <v>2</v>
      </c>
      <c r="K41" s="8" t="str">
        <f t="shared" si="0"/>
        <v>APD</v>
      </c>
    </row>
    <row r="42" spans="1:11" x14ac:dyDescent="0.25">
      <c r="A42" s="26" t="s">
        <v>128</v>
      </c>
      <c r="B42" s="26" t="s">
        <v>111</v>
      </c>
      <c r="C42" s="26">
        <v>0</v>
      </c>
      <c r="D42" s="27">
        <v>43304</v>
      </c>
      <c r="E42" s="26">
        <v>79.430000000000007</v>
      </c>
      <c r="F42" s="26" t="s">
        <v>233</v>
      </c>
      <c r="G42" s="26" t="s">
        <v>8</v>
      </c>
      <c r="H42" s="26" t="s">
        <v>234</v>
      </c>
      <c r="I42" s="26" t="s">
        <v>106</v>
      </c>
      <c r="J42" s="26">
        <v>2</v>
      </c>
      <c r="K42" s="8" t="str">
        <f t="shared" si="0"/>
        <v>APD</v>
      </c>
    </row>
    <row r="43" spans="1:11" x14ac:dyDescent="0.25">
      <c r="A43" s="26" t="s">
        <v>128</v>
      </c>
      <c r="B43" s="26" t="s">
        <v>111</v>
      </c>
      <c r="C43" s="26">
        <v>0</v>
      </c>
      <c r="D43" s="27">
        <v>43305</v>
      </c>
      <c r="E43" s="26">
        <v>-238.28</v>
      </c>
      <c r="F43" s="26" t="s">
        <v>235</v>
      </c>
      <c r="G43" s="26" t="s">
        <v>8</v>
      </c>
      <c r="H43" s="26" t="s">
        <v>236</v>
      </c>
      <c r="I43" s="26" t="s">
        <v>106</v>
      </c>
      <c r="J43" s="26">
        <v>2</v>
      </c>
      <c r="K43" s="8" t="str">
        <f t="shared" si="0"/>
        <v>APD</v>
      </c>
    </row>
    <row r="44" spans="1:11" x14ac:dyDescent="0.25">
      <c r="A44" s="26" t="s">
        <v>128</v>
      </c>
      <c r="B44" s="26" t="s">
        <v>111</v>
      </c>
      <c r="C44" s="26">
        <v>0</v>
      </c>
      <c r="D44" s="27">
        <v>43305</v>
      </c>
      <c r="E44" s="26">
        <v>476.57</v>
      </c>
      <c r="F44" s="26" t="s">
        <v>237</v>
      </c>
      <c r="G44" s="26" t="s">
        <v>8</v>
      </c>
      <c r="H44" s="26" t="s">
        <v>238</v>
      </c>
      <c r="I44" s="26" t="s">
        <v>106</v>
      </c>
      <c r="J44" s="26">
        <v>3</v>
      </c>
      <c r="K44" s="8" t="str">
        <f t="shared" si="0"/>
        <v>APD</v>
      </c>
    </row>
    <row r="45" spans="1:11" x14ac:dyDescent="0.25">
      <c r="A45" s="26" t="s">
        <v>128</v>
      </c>
      <c r="B45" s="26" t="s">
        <v>111</v>
      </c>
      <c r="C45" s="26">
        <v>0</v>
      </c>
      <c r="D45" s="27">
        <v>43305</v>
      </c>
      <c r="E45" s="26">
        <v>238.28</v>
      </c>
      <c r="F45" s="26" t="s">
        <v>239</v>
      </c>
      <c r="G45" s="26" t="s">
        <v>8</v>
      </c>
      <c r="H45" s="26" t="s">
        <v>240</v>
      </c>
      <c r="I45" s="26" t="s">
        <v>106</v>
      </c>
      <c r="J45" s="26">
        <v>4</v>
      </c>
      <c r="K45" s="8" t="str">
        <f t="shared" si="0"/>
        <v>APD</v>
      </c>
    </row>
    <row r="46" spans="1:11" x14ac:dyDescent="0.25">
      <c r="A46" s="26" t="s">
        <v>128</v>
      </c>
      <c r="B46" s="26" t="s">
        <v>111</v>
      </c>
      <c r="C46" s="26">
        <v>0</v>
      </c>
      <c r="D46" s="27">
        <v>43306</v>
      </c>
      <c r="E46" s="26">
        <v>-714.85</v>
      </c>
      <c r="F46" s="26" t="s">
        <v>241</v>
      </c>
      <c r="G46" s="26" t="s">
        <v>8</v>
      </c>
      <c r="H46" s="26" t="s">
        <v>242</v>
      </c>
      <c r="I46" s="26" t="s">
        <v>106</v>
      </c>
      <c r="J46" s="26">
        <v>6</v>
      </c>
      <c r="K46" s="8" t="str">
        <f t="shared" si="0"/>
        <v>APD</v>
      </c>
    </row>
    <row r="47" spans="1:11" x14ac:dyDescent="0.25">
      <c r="A47" s="26" t="s">
        <v>128</v>
      </c>
      <c r="B47" s="26" t="s">
        <v>111</v>
      </c>
      <c r="C47" s="26">
        <v>0</v>
      </c>
      <c r="D47" s="27">
        <v>43311</v>
      </c>
      <c r="E47" s="26">
        <v>555.99</v>
      </c>
      <c r="F47" s="26" t="s">
        <v>243</v>
      </c>
      <c r="G47" s="26" t="s">
        <v>8</v>
      </c>
      <c r="H47" s="26" t="s">
        <v>244</v>
      </c>
      <c r="I47" s="26" t="s">
        <v>106</v>
      </c>
      <c r="J47" s="26">
        <v>4</v>
      </c>
      <c r="K47" s="8" t="str">
        <f t="shared" si="0"/>
        <v>APD</v>
      </c>
    </row>
    <row r="48" spans="1:11" x14ac:dyDescent="0.25">
      <c r="A48" s="26" t="s">
        <v>128</v>
      </c>
      <c r="B48" s="26" t="s">
        <v>111</v>
      </c>
      <c r="C48" s="26">
        <v>0</v>
      </c>
      <c r="D48" s="27">
        <v>43312</v>
      </c>
      <c r="E48" s="26">
        <v>158.86000000000001</v>
      </c>
      <c r="F48" s="26" t="s">
        <v>245</v>
      </c>
      <c r="G48" s="26" t="s">
        <v>8</v>
      </c>
      <c r="H48" s="26" t="s">
        <v>246</v>
      </c>
      <c r="I48" s="26" t="s">
        <v>106</v>
      </c>
      <c r="J48" s="26">
        <v>2</v>
      </c>
      <c r="K48" s="8" t="str">
        <f t="shared" si="0"/>
        <v>APD</v>
      </c>
    </row>
    <row r="49" spans="1:11" x14ac:dyDescent="0.25">
      <c r="A49" s="26" t="s">
        <v>128</v>
      </c>
      <c r="B49" s="26" t="s">
        <v>111</v>
      </c>
      <c r="C49" s="26">
        <v>0</v>
      </c>
      <c r="D49" s="27">
        <v>43313</v>
      </c>
      <c r="E49" s="26">
        <v>714.85</v>
      </c>
      <c r="F49" s="26" t="s">
        <v>247</v>
      </c>
      <c r="G49" s="26" t="s">
        <v>8</v>
      </c>
      <c r="H49" s="26" t="s">
        <v>248</v>
      </c>
      <c r="I49" s="26" t="s">
        <v>106</v>
      </c>
      <c r="J49" s="26">
        <v>2</v>
      </c>
      <c r="K49" s="8" t="str">
        <f t="shared" si="0"/>
        <v>APD</v>
      </c>
    </row>
    <row r="50" spans="1:11" x14ac:dyDescent="0.25">
      <c r="A50" s="26" t="s">
        <v>128</v>
      </c>
      <c r="B50" s="26" t="s">
        <v>111</v>
      </c>
      <c r="C50" s="26">
        <v>0</v>
      </c>
      <c r="D50" s="27">
        <v>43314</v>
      </c>
      <c r="E50" s="26">
        <v>-476.56</v>
      </c>
      <c r="F50" s="26" t="s">
        <v>249</v>
      </c>
      <c r="G50" s="26" t="s">
        <v>8</v>
      </c>
      <c r="H50" s="26" t="s">
        <v>250</v>
      </c>
      <c r="I50" s="26" t="s">
        <v>106</v>
      </c>
      <c r="J50" s="26">
        <v>2</v>
      </c>
      <c r="K50" s="8" t="str">
        <f t="shared" si="0"/>
        <v>APD</v>
      </c>
    </row>
    <row r="51" spans="1:11" x14ac:dyDescent="0.25">
      <c r="A51" s="26" t="s">
        <v>128</v>
      </c>
      <c r="B51" s="26" t="s">
        <v>111</v>
      </c>
      <c r="C51" s="26">
        <v>0</v>
      </c>
      <c r="D51" s="27">
        <v>43315</v>
      </c>
      <c r="E51" s="26">
        <v>66481.33</v>
      </c>
      <c r="F51" s="26" t="s">
        <v>251</v>
      </c>
      <c r="G51" s="26" t="s">
        <v>8</v>
      </c>
      <c r="H51" s="26" t="s">
        <v>252</v>
      </c>
      <c r="I51" s="26" t="s">
        <v>106</v>
      </c>
      <c r="J51" s="26">
        <v>1</v>
      </c>
      <c r="K51" s="8" t="str">
        <f t="shared" si="0"/>
        <v>APD</v>
      </c>
    </row>
    <row r="52" spans="1:11" x14ac:dyDescent="0.25">
      <c r="A52" s="26" t="s">
        <v>128</v>
      </c>
      <c r="B52" s="26" t="s">
        <v>111</v>
      </c>
      <c r="C52" s="26">
        <v>0</v>
      </c>
      <c r="D52" s="27">
        <v>43315</v>
      </c>
      <c r="E52" s="26">
        <v>-23828.44</v>
      </c>
      <c r="F52" s="26" t="s">
        <v>253</v>
      </c>
      <c r="G52" s="26" t="s">
        <v>8</v>
      </c>
      <c r="H52" s="26" t="s">
        <v>254</v>
      </c>
      <c r="I52" s="26" t="s">
        <v>106</v>
      </c>
      <c r="J52" s="26">
        <v>4</v>
      </c>
      <c r="K52" s="8" t="str">
        <f t="shared" si="0"/>
        <v>APD</v>
      </c>
    </row>
    <row r="53" spans="1:11" x14ac:dyDescent="0.25">
      <c r="A53" s="26" t="s">
        <v>128</v>
      </c>
      <c r="B53" s="26" t="s">
        <v>111</v>
      </c>
      <c r="C53" s="26">
        <v>0</v>
      </c>
      <c r="D53" s="27">
        <v>43315</v>
      </c>
      <c r="E53" s="26">
        <v>-31850.67</v>
      </c>
      <c r="F53" s="26" t="s">
        <v>255</v>
      </c>
      <c r="G53" s="26" t="s">
        <v>8</v>
      </c>
      <c r="H53" s="26" t="s">
        <v>256</v>
      </c>
      <c r="I53" s="26" t="s">
        <v>106</v>
      </c>
      <c r="J53" s="26">
        <v>5</v>
      </c>
      <c r="K53" s="8" t="str">
        <f t="shared" si="0"/>
        <v>APD</v>
      </c>
    </row>
    <row r="54" spans="1:11" x14ac:dyDescent="0.25">
      <c r="A54" s="26" t="s">
        <v>128</v>
      </c>
      <c r="B54" s="26" t="s">
        <v>111</v>
      </c>
      <c r="C54" s="26">
        <v>0</v>
      </c>
      <c r="D54" s="27">
        <v>43315</v>
      </c>
      <c r="E54" s="26">
        <v>8260.52</v>
      </c>
      <c r="F54" s="26" t="s">
        <v>257</v>
      </c>
      <c r="G54" s="26" t="s">
        <v>8</v>
      </c>
      <c r="H54" s="26" t="s">
        <v>258</v>
      </c>
      <c r="I54" s="26" t="s">
        <v>106</v>
      </c>
      <c r="J54" s="26">
        <v>6</v>
      </c>
      <c r="K54" s="8" t="str">
        <f t="shared" si="0"/>
        <v>APD</v>
      </c>
    </row>
    <row r="55" spans="1:11" x14ac:dyDescent="0.25">
      <c r="A55" s="26" t="s">
        <v>128</v>
      </c>
      <c r="B55" s="26" t="s">
        <v>111</v>
      </c>
      <c r="C55" s="26">
        <v>0</v>
      </c>
      <c r="D55" s="27">
        <v>43320</v>
      </c>
      <c r="E55" s="26">
        <v>24622.720000000001</v>
      </c>
      <c r="F55" s="26" t="s">
        <v>259</v>
      </c>
      <c r="G55" s="26" t="s">
        <v>8</v>
      </c>
      <c r="H55" s="26" t="s">
        <v>260</v>
      </c>
      <c r="I55" s="26" t="s">
        <v>106</v>
      </c>
      <c r="J55" s="26">
        <v>1</v>
      </c>
      <c r="K55" s="8" t="str">
        <f t="shared" si="0"/>
        <v>APD</v>
      </c>
    </row>
    <row r="56" spans="1:11" x14ac:dyDescent="0.25">
      <c r="A56" s="26" t="s">
        <v>128</v>
      </c>
      <c r="B56" s="26" t="s">
        <v>111</v>
      </c>
      <c r="C56" s="26">
        <v>0</v>
      </c>
      <c r="D56" s="27">
        <v>43321</v>
      </c>
      <c r="E56" s="26">
        <v>-44241.46</v>
      </c>
      <c r="F56" s="26" t="s">
        <v>261</v>
      </c>
      <c r="G56" s="26" t="s">
        <v>8</v>
      </c>
      <c r="H56" s="26" t="s">
        <v>262</v>
      </c>
      <c r="I56" s="26" t="s">
        <v>106</v>
      </c>
      <c r="J56" s="26">
        <v>1</v>
      </c>
      <c r="K56" s="8" t="str">
        <f t="shared" si="0"/>
        <v>APD</v>
      </c>
    </row>
    <row r="57" spans="1:11" x14ac:dyDescent="0.25">
      <c r="A57" s="26" t="s">
        <v>128</v>
      </c>
      <c r="B57" s="26" t="s">
        <v>111</v>
      </c>
      <c r="C57" s="26">
        <v>0</v>
      </c>
      <c r="D57" s="27">
        <v>43321</v>
      </c>
      <c r="E57" s="26">
        <v>635.41999999999996</v>
      </c>
      <c r="F57" s="26" t="s">
        <v>263</v>
      </c>
      <c r="G57" s="26" t="s">
        <v>8</v>
      </c>
      <c r="H57" s="26" t="s">
        <v>264</v>
      </c>
      <c r="I57" s="26" t="s">
        <v>106</v>
      </c>
      <c r="J57" s="26">
        <v>2</v>
      </c>
      <c r="K57" s="8" t="str">
        <f t="shared" si="0"/>
        <v>APD</v>
      </c>
    </row>
    <row r="58" spans="1:11" x14ac:dyDescent="0.25">
      <c r="A58" s="26" t="s">
        <v>128</v>
      </c>
      <c r="B58" s="26" t="s">
        <v>111</v>
      </c>
      <c r="C58" s="26">
        <v>0</v>
      </c>
      <c r="D58" s="27">
        <v>43321</v>
      </c>
      <c r="E58" s="26">
        <v>317.72000000000003</v>
      </c>
      <c r="F58" s="26" t="s">
        <v>265</v>
      </c>
      <c r="G58" s="26" t="s">
        <v>8</v>
      </c>
      <c r="H58" s="26" t="s">
        <v>266</v>
      </c>
      <c r="I58" s="26" t="s">
        <v>106</v>
      </c>
      <c r="J58" s="26">
        <v>3</v>
      </c>
      <c r="K58" s="8" t="str">
        <f t="shared" si="0"/>
        <v>APD</v>
      </c>
    </row>
    <row r="59" spans="1:11" x14ac:dyDescent="0.25">
      <c r="A59" s="26" t="s">
        <v>128</v>
      </c>
      <c r="B59" s="26" t="s">
        <v>111</v>
      </c>
      <c r="C59" s="26">
        <v>0</v>
      </c>
      <c r="D59" s="27">
        <v>43322</v>
      </c>
      <c r="E59" s="26">
        <v>-1350.28</v>
      </c>
      <c r="F59" s="26" t="s">
        <v>267</v>
      </c>
      <c r="G59" s="26" t="s">
        <v>8</v>
      </c>
      <c r="H59" s="26" t="s">
        <v>268</v>
      </c>
      <c r="I59" s="26" t="s">
        <v>106</v>
      </c>
      <c r="J59" s="26">
        <v>1</v>
      </c>
      <c r="K59" s="8" t="str">
        <f t="shared" si="0"/>
        <v>APD</v>
      </c>
    </row>
    <row r="60" spans="1:11" x14ac:dyDescent="0.25">
      <c r="A60" s="26" t="s">
        <v>128</v>
      </c>
      <c r="B60" s="26" t="s">
        <v>111</v>
      </c>
      <c r="C60" s="26">
        <v>0</v>
      </c>
      <c r="D60" s="27">
        <v>43325</v>
      </c>
      <c r="E60" s="26">
        <v>1191.42</v>
      </c>
      <c r="F60" s="26" t="s">
        <v>269</v>
      </c>
      <c r="G60" s="26" t="s">
        <v>8</v>
      </c>
      <c r="H60" s="26" t="s">
        <v>270</v>
      </c>
      <c r="I60" s="26" t="s">
        <v>106</v>
      </c>
      <c r="J60" s="26">
        <v>2</v>
      </c>
      <c r="K60" s="8" t="str">
        <f t="shared" si="0"/>
        <v>APD</v>
      </c>
    </row>
    <row r="61" spans="1:11" x14ac:dyDescent="0.25">
      <c r="A61" s="26" t="s">
        <v>128</v>
      </c>
      <c r="B61" s="26" t="s">
        <v>111</v>
      </c>
      <c r="C61" s="26">
        <v>0</v>
      </c>
      <c r="D61" s="27">
        <v>43326</v>
      </c>
      <c r="E61" s="26">
        <v>-1111.99</v>
      </c>
      <c r="F61" s="26" t="s">
        <v>271</v>
      </c>
      <c r="G61" s="26" t="s">
        <v>8</v>
      </c>
      <c r="H61" s="26" t="s">
        <v>272</v>
      </c>
      <c r="I61" s="26" t="s">
        <v>106</v>
      </c>
      <c r="J61" s="26">
        <v>1</v>
      </c>
      <c r="K61" s="8" t="str">
        <f t="shared" si="0"/>
        <v>APD</v>
      </c>
    </row>
    <row r="62" spans="1:11" x14ac:dyDescent="0.25">
      <c r="A62" s="26" t="s">
        <v>128</v>
      </c>
      <c r="B62" s="26" t="s">
        <v>111</v>
      </c>
      <c r="C62" s="26">
        <v>0</v>
      </c>
      <c r="D62" s="27">
        <v>43326</v>
      </c>
      <c r="E62" s="26">
        <v>238.28</v>
      </c>
      <c r="F62" s="26" t="s">
        <v>273</v>
      </c>
      <c r="G62" s="26" t="s">
        <v>8</v>
      </c>
      <c r="H62" s="26" t="s">
        <v>274</v>
      </c>
      <c r="I62" s="26" t="s">
        <v>106</v>
      </c>
      <c r="J62" s="26">
        <v>2</v>
      </c>
      <c r="K62" s="8" t="str">
        <f t="shared" si="0"/>
        <v>APD</v>
      </c>
    </row>
    <row r="63" spans="1:11" x14ac:dyDescent="0.25">
      <c r="A63" s="26" t="s">
        <v>128</v>
      </c>
      <c r="B63" s="26" t="s">
        <v>111</v>
      </c>
      <c r="C63" s="26">
        <v>0</v>
      </c>
      <c r="D63" s="27">
        <v>43333</v>
      </c>
      <c r="E63" s="26">
        <v>-238.28</v>
      </c>
      <c r="F63" s="26" t="s">
        <v>275</v>
      </c>
      <c r="G63" s="26" t="s">
        <v>8</v>
      </c>
      <c r="H63" s="26" t="s">
        <v>276</v>
      </c>
      <c r="I63" s="26" t="s">
        <v>106</v>
      </c>
      <c r="J63" s="26">
        <v>2</v>
      </c>
      <c r="K63" s="8" t="str">
        <f t="shared" si="0"/>
        <v>APD</v>
      </c>
    </row>
    <row r="64" spans="1:11" x14ac:dyDescent="0.25">
      <c r="A64" s="26" t="s">
        <v>128</v>
      </c>
      <c r="B64" s="26" t="s">
        <v>111</v>
      </c>
      <c r="C64" s="26">
        <v>0</v>
      </c>
      <c r="D64" s="27">
        <v>43340</v>
      </c>
      <c r="E64" s="26">
        <v>158.85</v>
      </c>
      <c r="F64" s="26" t="s">
        <v>277</v>
      </c>
      <c r="G64" s="26" t="s">
        <v>8</v>
      </c>
      <c r="H64" s="26" t="s">
        <v>278</v>
      </c>
      <c r="I64" s="26" t="s">
        <v>106</v>
      </c>
      <c r="J64" s="26">
        <v>2</v>
      </c>
      <c r="K64" s="8" t="str">
        <f t="shared" si="0"/>
        <v>APD</v>
      </c>
    </row>
    <row r="65" spans="1:11" x14ac:dyDescent="0.25">
      <c r="A65" s="26" t="s">
        <v>128</v>
      </c>
      <c r="B65" s="26" t="s">
        <v>111</v>
      </c>
      <c r="C65" s="26">
        <v>0</v>
      </c>
      <c r="D65" s="27">
        <v>43341</v>
      </c>
      <c r="E65" s="26">
        <v>-158.85</v>
      </c>
      <c r="F65" s="26" t="s">
        <v>279</v>
      </c>
      <c r="G65" s="26" t="s">
        <v>8</v>
      </c>
      <c r="H65" s="26" t="s">
        <v>280</v>
      </c>
      <c r="I65" s="26" t="s">
        <v>106</v>
      </c>
      <c r="J65" s="26">
        <v>2</v>
      </c>
      <c r="K65" s="8" t="str">
        <f t="shared" si="0"/>
        <v>APD</v>
      </c>
    </row>
    <row r="66" spans="1:11" x14ac:dyDescent="0.25">
      <c r="A66" s="26" t="s">
        <v>128</v>
      </c>
      <c r="B66" s="26" t="s">
        <v>111</v>
      </c>
      <c r="C66" s="26">
        <v>0</v>
      </c>
      <c r="D66" s="27">
        <v>43343</v>
      </c>
      <c r="E66" s="26">
        <v>2223.98</v>
      </c>
      <c r="F66" s="26" t="s">
        <v>281</v>
      </c>
      <c r="G66" s="26" t="s">
        <v>8</v>
      </c>
      <c r="H66" s="26" t="s">
        <v>282</v>
      </c>
      <c r="I66" s="26" t="s">
        <v>106</v>
      </c>
      <c r="J66" s="26">
        <v>2</v>
      </c>
      <c r="K66" s="8" t="str">
        <f t="shared" ref="K66:K89" si="1">LEFT(A66,FIND("/",A66)-1)</f>
        <v>APD</v>
      </c>
    </row>
    <row r="67" spans="1:11" x14ac:dyDescent="0.25">
      <c r="A67" s="26" t="s">
        <v>128</v>
      </c>
      <c r="B67" s="26" t="s">
        <v>111</v>
      </c>
      <c r="C67" s="26">
        <v>0</v>
      </c>
      <c r="D67" s="27">
        <v>43343</v>
      </c>
      <c r="E67" s="26">
        <v>79.430000000000007</v>
      </c>
      <c r="F67" s="26" t="s">
        <v>283</v>
      </c>
      <c r="G67" s="26" t="s">
        <v>8</v>
      </c>
      <c r="H67" s="26" t="s">
        <v>284</v>
      </c>
      <c r="I67" s="26" t="s">
        <v>106</v>
      </c>
      <c r="J67" s="26">
        <v>5</v>
      </c>
      <c r="K67" s="8" t="str">
        <f t="shared" si="1"/>
        <v>APD</v>
      </c>
    </row>
    <row r="68" spans="1:11" x14ac:dyDescent="0.25">
      <c r="A68" s="26" t="s">
        <v>128</v>
      </c>
      <c r="B68" s="26" t="s">
        <v>111</v>
      </c>
      <c r="C68" s="26">
        <v>0</v>
      </c>
      <c r="D68" s="27">
        <v>43346</v>
      </c>
      <c r="E68" s="26">
        <v>-2382.84</v>
      </c>
      <c r="F68" s="26" t="s">
        <v>285</v>
      </c>
      <c r="G68" s="26" t="s">
        <v>8</v>
      </c>
      <c r="H68" s="26" t="s">
        <v>286</v>
      </c>
      <c r="I68" s="26" t="s">
        <v>106</v>
      </c>
      <c r="J68" s="26">
        <v>2</v>
      </c>
      <c r="K68" s="8" t="str">
        <f t="shared" si="1"/>
        <v>APD</v>
      </c>
    </row>
    <row r="69" spans="1:11" x14ac:dyDescent="0.25">
      <c r="A69" s="26" t="s">
        <v>128</v>
      </c>
      <c r="B69" s="26" t="s">
        <v>111</v>
      </c>
      <c r="C69" s="26">
        <v>0</v>
      </c>
      <c r="D69" s="27">
        <v>43353</v>
      </c>
      <c r="E69" s="26">
        <v>476.57</v>
      </c>
      <c r="F69" s="26" t="s">
        <v>287</v>
      </c>
      <c r="G69" s="26" t="s">
        <v>8</v>
      </c>
      <c r="H69" s="26" t="s">
        <v>288</v>
      </c>
      <c r="I69" s="26" t="s">
        <v>106</v>
      </c>
      <c r="J69" s="26">
        <v>2</v>
      </c>
      <c r="K69" s="8" t="str">
        <f t="shared" si="1"/>
        <v>APD</v>
      </c>
    </row>
    <row r="70" spans="1:11" x14ac:dyDescent="0.25">
      <c r="A70" s="26" t="s">
        <v>128</v>
      </c>
      <c r="B70" s="26" t="s">
        <v>111</v>
      </c>
      <c r="C70" s="26">
        <v>0</v>
      </c>
      <c r="D70" s="27">
        <v>43354</v>
      </c>
      <c r="E70" s="26">
        <v>1111.99</v>
      </c>
      <c r="F70" s="26" t="s">
        <v>289</v>
      </c>
      <c r="G70" s="26" t="s">
        <v>8</v>
      </c>
      <c r="H70" s="26" t="s">
        <v>290</v>
      </c>
      <c r="I70" s="26" t="s">
        <v>106</v>
      </c>
      <c r="J70" s="26">
        <v>2</v>
      </c>
      <c r="K70" s="8" t="str">
        <f t="shared" si="1"/>
        <v>APD</v>
      </c>
    </row>
    <row r="71" spans="1:11" x14ac:dyDescent="0.25">
      <c r="A71" s="26" t="s">
        <v>128</v>
      </c>
      <c r="B71" s="26" t="s">
        <v>111</v>
      </c>
      <c r="C71" s="26">
        <v>0</v>
      </c>
      <c r="D71" s="27">
        <v>43355</v>
      </c>
      <c r="E71" s="26">
        <v>12629.07</v>
      </c>
      <c r="F71" s="26" t="s">
        <v>291</v>
      </c>
      <c r="G71" s="26" t="s">
        <v>8</v>
      </c>
      <c r="H71" s="26" t="s">
        <v>292</v>
      </c>
      <c r="I71" s="26" t="s">
        <v>106</v>
      </c>
      <c r="J71" s="26">
        <v>1</v>
      </c>
      <c r="K71" s="8" t="str">
        <f t="shared" si="1"/>
        <v>APD</v>
      </c>
    </row>
    <row r="72" spans="1:11" x14ac:dyDescent="0.25">
      <c r="A72" s="26" t="s">
        <v>128</v>
      </c>
      <c r="B72" s="26" t="s">
        <v>111</v>
      </c>
      <c r="C72" s="26">
        <v>0</v>
      </c>
      <c r="D72" s="27">
        <v>43355</v>
      </c>
      <c r="E72" s="26">
        <v>-1826.85</v>
      </c>
      <c r="F72" s="26" t="s">
        <v>293</v>
      </c>
      <c r="G72" s="26" t="s">
        <v>8</v>
      </c>
      <c r="H72" s="26" t="s">
        <v>294</v>
      </c>
      <c r="I72" s="26" t="s">
        <v>106</v>
      </c>
      <c r="J72" s="26">
        <v>4</v>
      </c>
      <c r="K72" s="8" t="str">
        <f t="shared" si="1"/>
        <v>APD</v>
      </c>
    </row>
    <row r="73" spans="1:11" x14ac:dyDescent="0.25">
      <c r="A73" s="26" t="s">
        <v>128</v>
      </c>
      <c r="B73" s="26" t="s">
        <v>111</v>
      </c>
      <c r="C73" s="26">
        <v>0</v>
      </c>
      <c r="D73" s="27">
        <v>43360</v>
      </c>
      <c r="E73" s="26">
        <v>51072.28</v>
      </c>
      <c r="F73" s="26" t="s">
        <v>295</v>
      </c>
      <c r="G73" s="26" t="s">
        <v>8</v>
      </c>
      <c r="H73" s="26" t="s">
        <v>296</v>
      </c>
      <c r="I73" s="26" t="s">
        <v>106</v>
      </c>
      <c r="J73" s="26">
        <v>1</v>
      </c>
      <c r="K73" s="8" t="str">
        <f t="shared" si="1"/>
        <v>APD</v>
      </c>
    </row>
    <row r="74" spans="1:11" x14ac:dyDescent="0.25">
      <c r="A74" s="26" t="s">
        <v>128</v>
      </c>
      <c r="B74" s="26" t="s">
        <v>111</v>
      </c>
      <c r="C74" s="26">
        <v>0</v>
      </c>
      <c r="D74" s="27">
        <v>43360</v>
      </c>
      <c r="E74" s="26">
        <v>-19857.03</v>
      </c>
      <c r="F74" s="26" t="s">
        <v>297</v>
      </c>
      <c r="G74" s="26" t="s">
        <v>8</v>
      </c>
      <c r="H74" s="26" t="s">
        <v>298</v>
      </c>
      <c r="I74" s="26" t="s">
        <v>106</v>
      </c>
      <c r="J74" s="26">
        <v>4</v>
      </c>
      <c r="K74" s="8" t="str">
        <f t="shared" si="1"/>
        <v>APD</v>
      </c>
    </row>
    <row r="75" spans="1:11" x14ac:dyDescent="0.25">
      <c r="A75" s="26" t="s">
        <v>128</v>
      </c>
      <c r="B75" s="26" t="s">
        <v>111</v>
      </c>
      <c r="C75" s="26">
        <v>0</v>
      </c>
      <c r="D75" s="27">
        <v>43360</v>
      </c>
      <c r="E75" s="26">
        <v>-3335.98</v>
      </c>
      <c r="F75" s="26" t="s">
        <v>299</v>
      </c>
      <c r="G75" s="26" t="s">
        <v>8</v>
      </c>
      <c r="H75" s="26" t="s">
        <v>300</v>
      </c>
      <c r="I75" s="26" t="s">
        <v>106</v>
      </c>
      <c r="J75" s="26">
        <v>5</v>
      </c>
      <c r="K75" s="8" t="str">
        <f t="shared" si="1"/>
        <v>APD</v>
      </c>
    </row>
    <row r="76" spans="1:11" x14ac:dyDescent="0.25">
      <c r="A76" s="26" t="s">
        <v>128</v>
      </c>
      <c r="B76" s="26" t="s">
        <v>111</v>
      </c>
      <c r="C76" s="26">
        <v>0</v>
      </c>
      <c r="D76" s="27">
        <v>43360</v>
      </c>
      <c r="E76" s="26">
        <v>3256.56</v>
      </c>
      <c r="F76" s="26" t="s">
        <v>301</v>
      </c>
      <c r="G76" s="26" t="s">
        <v>8</v>
      </c>
      <c r="H76" s="26" t="s">
        <v>302</v>
      </c>
      <c r="I76" s="26" t="s">
        <v>106</v>
      </c>
      <c r="J76" s="26">
        <v>6</v>
      </c>
      <c r="K76" s="8" t="str">
        <f t="shared" si="1"/>
        <v>APD</v>
      </c>
    </row>
    <row r="77" spans="1:11" x14ac:dyDescent="0.25">
      <c r="A77" s="26" t="s">
        <v>128</v>
      </c>
      <c r="B77" s="26" t="s">
        <v>111</v>
      </c>
      <c r="C77" s="26">
        <v>0</v>
      </c>
      <c r="D77" s="27">
        <v>43361</v>
      </c>
      <c r="E77" s="26">
        <v>-31612.39</v>
      </c>
      <c r="F77" s="26" t="s">
        <v>303</v>
      </c>
      <c r="G77" s="26" t="s">
        <v>8</v>
      </c>
      <c r="H77" s="26" t="s">
        <v>304</v>
      </c>
      <c r="I77" s="26" t="s">
        <v>106</v>
      </c>
      <c r="J77" s="26">
        <v>1</v>
      </c>
      <c r="K77" s="8" t="str">
        <f t="shared" si="1"/>
        <v>APD</v>
      </c>
    </row>
    <row r="78" spans="1:11" x14ac:dyDescent="0.25">
      <c r="A78" s="26" t="s">
        <v>128</v>
      </c>
      <c r="B78" s="26" t="s">
        <v>111</v>
      </c>
      <c r="C78" s="26">
        <v>0</v>
      </c>
      <c r="D78" s="27">
        <v>43361</v>
      </c>
      <c r="E78" s="26">
        <v>158.85</v>
      </c>
      <c r="F78" s="26" t="s">
        <v>305</v>
      </c>
      <c r="G78" s="26" t="s">
        <v>8</v>
      </c>
      <c r="H78" s="26" t="s">
        <v>306</v>
      </c>
      <c r="I78" s="26" t="s">
        <v>106</v>
      </c>
      <c r="J78" s="26">
        <v>2</v>
      </c>
      <c r="K78" s="8" t="str">
        <f t="shared" si="1"/>
        <v>APD</v>
      </c>
    </row>
    <row r="79" spans="1:11" x14ac:dyDescent="0.25">
      <c r="A79" s="26" t="s">
        <v>128</v>
      </c>
      <c r="B79" s="26" t="s">
        <v>111</v>
      </c>
      <c r="C79" s="26">
        <v>0</v>
      </c>
      <c r="D79" s="27">
        <v>43362</v>
      </c>
      <c r="E79" s="26">
        <v>-12073.07</v>
      </c>
      <c r="F79" s="26" t="s">
        <v>307</v>
      </c>
      <c r="G79" s="26" t="s">
        <v>8</v>
      </c>
      <c r="H79" s="26" t="s">
        <v>308</v>
      </c>
      <c r="I79" s="26" t="s">
        <v>106</v>
      </c>
      <c r="J79" s="26">
        <v>2</v>
      </c>
      <c r="K79" s="8" t="str">
        <f t="shared" si="1"/>
        <v>APD</v>
      </c>
    </row>
    <row r="80" spans="1:11" x14ac:dyDescent="0.25">
      <c r="A80" s="26" t="s">
        <v>128</v>
      </c>
      <c r="B80" s="26" t="s">
        <v>111</v>
      </c>
      <c r="C80" s="26">
        <v>0</v>
      </c>
      <c r="D80" s="27">
        <v>43371</v>
      </c>
      <c r="E80" s="26">
        <v>79.430000000000007</v>
      </c>
      <c r="F80" s="26" t="s">
        <v>309</v>
      </c>
      <c r="G80" s="26" t="s">
        <v>8</v>
      </c>
      <c r="H80" s="26" t="s">
        <v>310</v>
      </c>
      <c r="I80" s="26" t="s">
        <v>106</v>
      </c>
      <c r="J80" s="26">
        <v>1</v>
      </c>
      <c r="K80" s="8" t="str">
        <f t="shared" si="1"/>
        <v>APD</v>
      </c>
    </row>
    <row r="81" spans="1:11" x14ac:dyDescent="0.25">
      <c r="A81" s="26" t="s">
        <v>128</v>
      </c>
      <c r="B81" s="26" t="s">
        <v>111</v>
      </c>
      <c r="C81" s="26">
        <v>0</v>
      </c>
      <c r="D81" s="27">
        <v>43374</v>
      </c>
      <c r="E81" s="26">
        <v>1270.8499999999999</v>
      </c>
      <c r="F81" s="26" t="s">
        <v>311</v>
      </c>
      <c r="G81" s="26" t="s">
        <v>8</v>
      </c>
      <c r="H81" s="26" t="s">
        <v>312</v>
      </c>
      <c r="I81" s="26" t="s">
        <v>106</v>
      </c>
      <c r="J81" s="26">
        <v>2</v>
      </c>
      <c r="K81" s="8" t="str">
        <f t="shared" si="1"/>
        <v>APD</v>
      </c>
    </row>
    <row r="82" spans="1:11" x14ac:dyDescent="0.25">
      <c r="A82" s="26" t="s">
        <v>128</v>
      </c>
      <c r="B82" s="26" t="s">
        <v>111</v>
      </c>
      <c r="C82" s="26">
        <v>0</v>
      </c>
      <c r="D82" s="27">
        <v>43382</v>
      </c>
      <c r="E82" s="26">
        <v>-1270.8499999999999</v>
      </c>
      <c r="F82" s="26" t="s">
        <v>313</v>
      </c>
      <c r="G82" s="26" t="s">
        <v>8</v>
      </c>
      <c r="H82" s="26" t="s">
        <v>314</v>
      </c>
      <c r="I82" s="26" t="s">
        <v>106</v>
      </c>
      <c r="J82" s="26">
        <v>2</v>
      </c>
      <c r="K82" s="8" t="str">
        <f t="shared" si="1"/>
        <v>APD</v>
      </c>
    </row>
    <row r="83" spans="1:11" x14ac:dyDescent="0.25">
      <c r="A83" s="26" t="s">
        <v>128</v>
      </c>
      <c r="B83" s="26" t="s">
        <v>111</v>
      </c>
      <c r="C83" s="26">
        <v>0</v>
      </c>
      <c r="D83" s="27">
        <v>43384</v>
      </c>
      <c r="E83" s="26">
        <v>555.99</v>
      </c>
      <c r="F83" s="26" t="s">
        <v>315</v>
      </c>
      <c r="G83" s="26" t="s">
        <v>8</v>
      </c>
      <c r="H83" s="26" t="s">
        <v>316</v>
      </c>
      <c r="I83" s="26" t="s">
        <v>106</v>
      </c>
      <c r="J83" s="26">
        <v>3</v>
      </c>
      <c r="K83" s="8" t="str">
        <f t="shared" si="1"/>
        <v>APD</v>
      </c>
    </row>
    <row r="84" spans="1:11" x14ac:dyDescent="0.25">
      <c r="A84" s="26" t="s">
        <v>128</v>
      </c>
      <c r="B84" s="26" t="s">
        <v>111</v>
      </c>
      <c r="C84" s="26">
        <v>0</v>
      </c>
      <c r="D84" s="27">
        <v>43389</v>
      </c>
      <c r="E84" s="26">
        <v>556</v>
      </c>
      <c r="F84" s="26" t="s">
        <v>317</v>
      </c>
      <c r="G84" s="26" t="s">
        <v>8</v>
      </c>
      <c r="H84" s="26" t="s">
        <v>318</v>
      </c>
      <c r="I84" s="26" t="s">
        <v>106</v>
      </c>
      <c r="J84" s="26">
        <v>2</v>
      </c>
      <c r="K84" s="8" t="str">
        <f t="shared" si="1"/>
        <v>APD</v>
      </c>
    </row>
    <row r="85" spans="1:11" x14ac:dyDescent="0.25">
      <c r="A85" s="26" t="s">
        <v>128</v>
      </c>
      <c r="B85" s="26" t="s">
        <v>111</v>
      </c>
      <c r="C85" s="26">
        <v>0</v>
      </c>
      <c r="D85" s="27">
        <v>43391</v>
      </c>
      <c r="E85" s="26">
        <v>-714.85</v>
      </c>
      <c r="F85" s="26" t="s">
        <v>319</v>
      </c>
      <c r="G85" s="26" t="s">
        <v>8</v>
      </c>
      <c r="H85" s="26" t="s">
        <v>320</v>
      </c>
      <c r="I85" s="26" t="s">
        <v>106</v>
      </c>
      <c r="J85" s="26">
        <v>2</v>
      </c>
      <c r="K85" s="8" t="str">
        <f t="shared" si="1"/>
        <v>APD</v>
      </c>
    </row>
    <row r="86" spans="1:11" x14ac:dyDescent="0.25">
      <c r="A86" s="26" t="s">
        <v>128</v>
      </c>
      <c r="B86" s="26" t="s">
        <v>111</v>
      </c>
      <c r="C86" s="26">
        <v>0</v>
      </c>
      <c r="D86" s="27">
        <v>43391</v>
      </c>
      <c r="E86" s="26">
        <v>238.28</v>
      </c>
      <c r="F86" s="26" t="s">
        <v>321</v>
      </c>
      <c r="G86" s="26" t="s">
        <v>8</v>
      </c>
      <c r="H86" s="26" t="s">
        <v>322</v>
      </c>
      <c r="I86" s="26" t="s">
        <v>106</v>
      </c>
      <c r="J86" s="26">
        <v>3</v>
      </c>
      <c r="K86" s="8" t="str">
        <f t="shared" si="1"/>
        <v>APD</v>
      </c>
    </row>
    <row r="87" spans="1:11" x14ac:dyDescent="0.25">
      <c r="A87" s="26" t="s">
        <v>128</v>
      </c>
      <c r="B87" s="26" t="s">
        <v>111</v>
      </c>
      <c r="C87" s="26">
        <v>0</v>
      </c>
      <c r="D87" s="27">
        <v>43391</v>
      </c>
      <c r="E87" s="26">
        <v>556</v>
      </c>
      <c r="F87" s="26" t="s">
        <v>323</v>
      </c>
      <c r="G87" s="26" t="s">
        <v>8</v>
      </c>
      <c r="H87" s="26" t="s">
        <v>324</v>
      </c>
      <c r="I87" s="26" t="s">
        <v>106</v>
      </c>
      <c r="J87" s="26">
        <v>4</v>
      </c>
      <c r="K87" s="8" t="str">
        <f t="shared" si="1"/>
        <v>APD</v>
      </c>
    </row>
    <row r="88" spans="1:11" x14ac:dyDescent="0.25">
      <c r="A88" s="26" t="s">
        <v>128</v>
      </c>
      <c r="B88" s="26" t="s">
        <v>111</v>
      </c>
      <c r="C88" s="26">
        <v>0</v>
      </c>
      <c r="D88" s="27">
        <v>43392</v>
      </c>
      <c r="E88" s="26">
        <v>-953.14</v>
      </c>
      <c r="F88" s="26" t="s">
        <v>325</v>
      </c>
      <c r="G88" s="26" t="s">
        <v>8</v>
      </c>
      <c r="H88" s="26" t="s">
        <v>326</v>
      </c>
      <c r="I88" s="26" t="s">
        <v>106</v>
      </c>
      <c r="J88" s="26">
        <v>2</v>
      </c>
      <c r="K88" s="8" t="str">
        <f t="shared" si="1"/>
        <v>APD</v>
      </c>
    </row>
    <row r="89" spans="1:11" x14ac:dyDescent="0.25">
      <c r="A89" s="26" t="s">
        <v>128</v>
      </c>
      <c r="B89" s="26" t="s">
        <v>111</v>
      </c>
      <c r="C89" s="26">
        <v>0</v>
      </c>
      <c r="D89" s="27">
        <v>43402</v>
      </c>
      <c r="E89" s="26">
        <v>14694.2</v>
      </c>
      <c r="F89" s="26" t="s">
        <v>327</v>
      </c>
      <c r="G89" s="26" t="s">
        <v>8</v>
      </c>
      <c r="H89" s="26" t="s">
        <v>328</v>
      </c>
      <c r="I89" s="26" t="s">
        <v>106</v>
      </c>
      <c r="J89" s="26">
        <v>1</v>
      </c>
      <c r="K89" s="8" t="str">
        <f t="shared" si="1"/>
        <v>APD</v>
      </c>
    </row>
    <row r="223" spans="1:1" x14ac:dyDescent="0.25">
      <c r="A223">
        <f ca="1">A2:A223</f>
        <v>0</v>
      </c>
    </row>
  </sheetData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U23"/>
  <sheetViews>
    <sheetView topLeftCell="I1" workbookViewId="0">
      <selection activeCell="N26" sqref="N26"/>
    </sheetView>
  </sheetViews>
  <sheetFormatPr defaultColWidth="16" defaultRowHeight="15" x14ac:dyDescent="0.25"/>
  <cols>
    <col min="1" max="4" width="16" style="8"/>
    <col min="5" max="5" width="16" style="27"/>
    <col min="6" max="6" width="30.140625" style="8" bestFit="1" customWidth="1"/>
    <col min="7" max="9" width="16" style="8"/>
    <col min="10" max="10" width="16" style="27"/>
    <col min="11" max="12" width="16" style="8"/>
    <col min="13" max="13" width="16" style="27"/>
    <col min="14" max="18" width="16" style="8"/>
    <col min="19" max="19" width="34.140625" style="8" bestFit="1" customWidth="1"/>
    <col min="20" max="20" width="37.42578125" style="8" customWidth="1"/>
    <col min="21" max="16384" width="16" style="8"/>
  </cols>
  <sheetData>
    <row r="1" spans="1:21" x14ac:dyDescent="0.25">
      <c r="A1" s="9" t="s">
        <v>10</v>
      </c>
      <c r="B1" s="9" t="s">
        <v>6</v>
      </c>
      <c r="C1" s="9" t="s">
        <v>11</v>
      </c>
      <c r="D1" s="9" t="s">
        <v>12</v>
      </c>
      <c r="E1" s="23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23" t="s">
        <v>23</v>
      </c>
      <c r="K1" s="9" t="s">
        <v>24</v>
      </c>
      <c r="L1" s="9" t="s">
        <v>3</v>
      </c>
      <c r="M1" s="23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39</v>
      </c>
      <c r="T1" s="19" t="s">
        <v>330</v>
      </c>
      <c r="U1" s="21" t="s">
        <v>331</v>
      </c>
    </row>
    <row r="2" spans="1:21" x14ac:dyDescent="0.25">
      <c r="A2" s="8">
        <f>ROW()</f>
        <v>2</v>
      </c>
      <c r="B2" s="5" t="s">
        <v>107</v>
      </c>
      <c r="C2" s="5">
        <f>A2</f>
        <v>2</v>
      </c>
      <c r="D2" s="5">
        <v>1</v>
      </c>
      <c r="E2" s="24">
        <v>42737</v>
      </c>
      <c r="F2" s="5" t="str">
        <f>_xlfn.CONCAT(L2,"-",G2)</f>
        <v>ACCOUNTS-FIRSTDIR-EXT</v>
      </c>
      <c r="G2" s="8" t="s">
        <v>333</v>
      </c>
      <c r="H2" s="8" t="s">
        <v>49</v>
      </c>
      <c r="I2" s="5">
        <v>0</v>
      </c>
      <c r="J2" s="24" t="s">
        <v>55</v>
      </c>
      <c r="K2" s="8">
        <v>0</v>
      </c>
      <c r="L2" s="8" t="s">
        <v>332</v>
      </c>
      <c r="M2" s="27">
        <v>43102</v>
      </c>
      <c r="O2" s="8" t="s">
        <v>105</v>
      </c>
      <c r="P2" s="8" t="s">
        <v>8</v>
      </c>
      <c r="R2" s="8">
        <v>0</v>
      </c>
      <c r="S2" s="8" t="str">
        <f ca="1">_xlfn.CONCAT(U2," ",F2)</f>
        <v>30173551 ACCOUNTS-FIRSTDIR-EXT</v>
      </c>
      <c r="T2" s="26" t="str">
        <f ca="1">S2</f>
        <v>30173551 ACCOUNTS-FIRSTDIR-EXT</v>
      </c>
      <c r="U2" s="8">
        <f ca="1">RANDBETWEEN(0,99999999)</f>
        <v>30173551</v>
      </c>
    </row>
    <row r="3" spans="1:21" x14ac:dyDescent="0.25">
      <c r="A3" s="8">
        <f>ROW()</f>
        <v>3</v>
      </c>
      <c r="B3" s="5" t="s">
        <v>107</v>
      </c>
      <c r="C3" s="5">
        <f t="shared" ref="C3:C23" si="0">A3</f>
        <v>3</v>
      </c>
      <c r="D3" s="5">
        <v>1</v>
      </c>
      <c r="E3" s="24">
        <v>42737</v>
      </c>
      <c r="F3" s="5" t="str">
        <f t="shared" ref="F3:F23" si="1">_xlfn.CONCAT(L3,"-",G3)</f>
        <v>ACCOUNTS-SANTANDE-EXT</v>
      </c>
      <c r="G3" s="8" t="s">
        <v>334</v>
      </c>
      <c r="H3" s="8" t="str">
        <f>H2</f>
        <v>DEPO</v>
      </c>
      <c r="I3" s="8">
        <f>I2</f>
        <v>0</v>
      </c>
      <c r="J3" s="27" t="str">
        <f t="shared" ref="J3:K3" si="2">J2</f>
        <v>GBP</v>
      </c>
      <c r="K3" s="8">
        <f t="shared" si="2"/>
        <v>0</v>
      </c>
      <c r="L3" s="8" t="s">
        <v>332</v>
      </c>
      <c r="M3" s="27">
        <f>M2</f>
        <v>43102</v>
      </c>
      <c r="N3" s="27"/>
      <c r="O3" s="27" t="str">
        <f t="shared" ref="O3:R3" si="3">O2</f>
        <v>1M</v>
      </c>
      <c r="P3" s="27" t="str">
        <f t="shared" si="3"/>
        <v>Fixed</v>
      </c>
      <c r="Q3" s="27"/>
      <c r="R3" s="8">
        <f t="shared" si="3"/>
        <v>0</v>
      </c>
      <c r="S3" s="8" t="str">
        <f t="shared" ref="S3:S23" ca="1" si="4">_xlfn.CONCAT(U3," ",F3)</f>
        <v>51814557 ACCOUNTS-SANTANDE-EXT</v>
      </c>
      <c r="T3" s="26" t="str">
        <f t="shared" ref="T3:T23" ca="1" si="5">S3</f>
        <v>51814557 ACCOUNTS-SANTANDE-EXT</v>
      </c>
      <c r="U3" s="8">
        <f t="shared" ref="U3:U23" ca="1" si="6">RANDBETWEEN(0,99999999)</f>
        <v>51814557</v>
      </c>
    </row>
    <row r="4" spans="1:21" x14ac:dyDescent="0.25">
      <c r="A4" s="8">
        <f>ROW()</f>
        <v>4</v>
      </c>
      <c r="B4" s="5" t="s">
        <v>107</v>
      </c>
      <c r="C4" s="5">
        <f t="shared" si="0"/>
        <v>4</v>
      </c>
      <c r="D4" s="5">
        <f t="shared" ref="D4:D23" si="7">D3</f>
        <v>1</v>
      </c>
      <c r="E4" s="25">
        <f t="shared" ref="E4:E23" si="8">E3</f>
        <v>42737</v>
      </c>
      <c r="F4" s="5" t="str">
        <f t="shared" si="1"/>
        <v>ACCOUNTS-SMILE-EXT</v>
      </c>
      <c r="G4" s="8" t="s">
        <v>335</v>
      </c>
      <c r="H4" s="8" t="str">
        <f t="shared" ref="H4:H23" si="9">H3</f>
        <v>DEPO</v>
      </c>
      <c r="I4" s="8">
        <f t="shared" ref="I4:I23" si="10">I3</f>
        <v>0</v>
      </c>
      <c r="J4" s="27" t="str">
        <f t="shared" ref="J4:J23" si="11">J3</f>
        <v>GBP</v>
      </c>
      <c r="K4" s="8">
        <f t="shared" ref="K4:K23" si="12">K3</f>
        <v>0</v>
      </c>
      <c r="L4" s="8" t="s">
        <v>332</v>
      </c>
      <c r="M4" s="27">
        <f t="shared" ref="M4:M23" si="13">M3</f>
        <v>43102</v>
      </c>
      <c r="N4" s="27"/>
      <c r="O4" s="27" t="str">
        <f t="shared" ref="O4:O23" si="14">O3</f>
        <v>1M</v>
      </c>
      <c r="P4" s="27" t="str">
        <f t="shared" ref="P4:P23" si="15">P3</f>
        <v>Fixed</v>
      </c>
      <c r="Q4" s="27"/>
      <c r="R4" s="8">
        <f t="shared" ref="R4:R23" si="16">R3</f>
        <v>0</v>
      </c>
      <c r="S4" s="8" t="str">
        <f t="shared" ca="1" si="4"/>
        <v>43880809 ACCOUNTS-SMILE-EXT</v>
      </c>
      <c r="T4" s="26" t="str">
        <f t="shared" ca="1" si="5"/>
        <v>43880809 ACCOUNTS-SMILE-EXT</v>
      </c>
      <c r="U4" s="8">
        <f t="shared" ca="1" si="6"/>
        <v>43880809</v>
      </c>
    </row>
    <row r="5" spans="1:21" x14ac:dyDescent="0.25">
      <c r="A5" s="8">
        <f>ROW()</f>
        <v>5</v>
      </c>
      <c r="B5" s="5" t="s">
        <v>107</v>
      </c>
      <c r="C5" s="5">
        <f t="shared" si="0"/>
        <v>5</v>
      </c>
      <c r="D5" s="5">
        <f t="shared" si="7"/>
        <v>1</v>
      </c>
      <c r="E5" s="25">
        <f t="shared" si="8"/>
        <v>42737</v>
      </c>
      <c r="F5" s="5" t="str">
        <f t="shared" si="1"/>
        <v>ACCOUNTS-NATIONWI-EXT</v>
      </c>
      <c r="G5" s="8" t="s">
        <v>336</v>
      </c>
      <c r="H5" s="8" t="str">
        <f t="shared" si="9"/>
        <v>DEPO</v>
      </c>
      <c r="I5" s="8">
        <f t="shared" si="10"/>
        <v>0</v>
      </c>
      <c r="J5" s="27" t="str">
        <f t="shared" si="11"/>
        <v>GBP</v>
      </c>
      <c r="K5" s="8">
        <f t="shared" si="12"/>
        <v>0</v>
      </c>
      <c r="L5" s="8" t="s">
        <v>332</v>
      </c>
      <c r="M5" s="27">
        <f t="shared" si="13"/>
        <v>43102</v>
      </c>
      <c r="N5" s="27"/>
      <c r="O5" s="27" t="str">
        <f t="shared" si="14"/>
        <v>1M</v>
      </c>
      <c r="P5" s="27" t="str">
        <f t="shared" si="15"/>
        <v>Fixed</v>
      </c>
      <c r="Q5" s="27"/>
      <c r="R5" s="8">
        <f t="shared" si="16"/>
        <v>0</v>
      </c>
      <c r="S5" s="8" t="str">
        <f t="shared" ca="1" si="4"/>
        <v>91141684 ACCOUNTS-NATIONWI-EXT</v>
      </c>
      <c r="T5" s="26" t="str">
        <f t="shared" ca="1" si="5"/>
        <v>91141684 ACCOUNTS-NATIONWI-EXT</v>
      </c>
      <c r="U5" s="8">
        <f t="shared" ca="1" si="6"/>
        <v>91141684</v>
      </c>
    </row>
    <row r="6" spans="1:21" x14ac:dyDescent="0.25">
      <c r="A6" s="8">
        <f>ROW()</f>
        <v>6</v>
      </c>
      <c r="B6" s="5" t="s">
        <v>107</v>
      </c>
      <c r="C6" s="5">
        <f t="shared" si="0"/>
        <v>6</v>
      </c>
      <c r="D6" s="5">
        <f t="shared" si="7"/>
        <v>1</v>
      </c>
      <c r="E6" s="25">
        <f t="shared" si="8"/>
        <v>42737</v>
      </c>
      <c r="F6" s="5" t="str">
        <f t="shared" si="1"/>
        <v>ACCOUNTS-THECOOP-EXT</v>
      </c>
      <c r="G6" s="8" t="s">
        <v>337</v>
      </c>
      <c r="H6" s="8" t="str">
        <f t="shared" si="9"/>
        <v>DEPO</v>
      </c>
      <c r="I6" s="8">
        <f t="shared" si="10"/>
        <v>0</v>
      </c>
      <c r="J6" s="27" t="str">
        <f t="shared" si="11"/>
        <v>GBP</v>
      </c>
      <c r="K6" s="8">
        <f t="shared" si="12"/>
        <v>0</v>
      </c>
      <c r="L6" s="8" t="s">
        <v>332</v>
      </c>
      <c r="M6" s="27">
        <f t="shared" si="13"/>
        <v>43102</v>
      </c>
      <c r="N6" s="27"/>
      <c r="O6" s="27" t="str">
        <f t="shared" si="14"/>
        <v>1M</v>
      </c>
      <c r="P6" s="27" t="str">
        <f t="shared" si="15"/>
        <v>Fixed</v>
      </c>
      <c r="Q6" s="27"/>
      <c r="R6" s="8">
        <f t="shared" si="16"/>
        <v>0</v>
      </c>
      <c r="S6" s="8" t="str">
        <f t="shared" ca="1" si="4"/>
        <v>2366083 ACCOUNTS-THECOOP-EXT</v>
      </c>
      <c r="T6" s="26" t="str">
        <f t="shared" ca="1" si="5"/>
        <v>2366083 ACCOUNTS-THECOOP-EXT</v>
      </c>
      <c r="U6" s="8">
        <f t="shared" ca="1" si="6"/>
        <v>2366083</v>
      </c>
    </row>
    <row r="7" spans="1:21" x14ac:dyDescent="0.25">
      <c r="A7" s="8">
        <f>ROW()</f>
        <v>7</v>
      </c>
      <c r="B7" s="5" t="s">
        <v>107</v>
      </c>
      <c r="C7" s="5">
        <f t="shared" si="0"/>
        <v>7</v>
      </c>
      <c r="D7" s="5">
        <f t="shared" si="7"/>
        <v>1</v>
      </c>
      <c r="E7" s="25">
        <f t="shared" si="8"/>
        <v>42737</v>
      </c>
      <c r="F7" s="5" t="str">
        <f t="shared" si="1"/>
        <v>ACCOUNTS-HALIFAX -EXT</v>
      </c>
      <c r="G7" s="8" t="s">
        <v>338</v>
      </c>
      <c r="H7" s="8" t="str">
        <f t="shared" si="9"/>
        <v>DEPO</v>
      </c>
      <c r="I7" s="8">
        <f t="shared" si="10"/>
        <v>0</v>
      </c>
      <c r="J7" s="27" t="str">
        <f t="shared" si="11"/>
        <v>GBP</v>
      </c>
      <c r="K7" s="8">
        <f t="shared" si="12"/>
        <v>0</v>
      </c>
      <c r="L7" s="8" t="s">
        <v>332</v>
      </c>
      <c r="M7" s="27">
        <f t="shared" si="13"/>
        <v>43102</v>
      </c>
      <c r="N7" s="27"/>
      <c r="O7" s="27" t="str">
        <f t="shared" si="14"/>
        <v>1M</v>
      </c>
      <c r="P7" s="27" t="str">
        <f t="shared" si="15"/>
        <v>Fixed</v>
      </c>
      <c r="Q7" s="27"/>
      <c r="R7" s="8">
        <f t="shared" si="16"/>
        <v>0</v>
      </c>
      <c r="S7" s="8" t="str">
        <f t="shared" ca="1" si="4"/>
        <v>16750165 ACCOUNTS-HALIFAX -EXT</v>
      </c>
      <c r="T7" s="26" t="str">
        <f t="shared" ca="1" si="5"/>
        <v>16750165 ACCOUNTS-HALIFAX -EXT</v>
      </c>
      <c r="U7" s="8">
        <f t="shared" ca="1" si="6"/>
        <v>16750165</v>
      </c>
    </row>
    <row r="8" spans="1:21" x14ac:dyDescent="0.25">
      <c r="A8" s="8">
        <f>ROW()</f>
        <v>8</v>
      </c>
      <c r="B8" s="5" t="s">
        <v>107</v>
      </c>
      <c r="C8" s="5">
        <f t="shared" si="0"/>
        <v>8</v>
      </c>
      <c r="D8" s="5">
        <f t="shared" si="7"/>
        <v>1</v>
      </c>
      <c r="E8" s="25">
        <f t="shared" si="8"/>
        <v>42737</v>
      </c>
      <c r="F8" s="5" t="str">
        <f t="shared" si="1"/>
        <v>ACCOUNTS-TSB -EXT</v>
      </c>
      <c r="G8" s="8" t="s">
        <v>339</v>
      </c>
      <c r="H8" s="8" t="str">
        <f t="shared" si="9"/>
        <v>DEPO</v>
      </c>
      <c r="I8" s="8">
        <f t="shared" si="10"/>
        <v>0</v>
      </c>
      <c r="J8" s="27" t="str">
        <f t="shared" si="11"/>
        <v>GBP</v>
      </c>
      <c r="K8" s="8">
        <f t="shared" si="12"/>
        <v>0</v>
      </c>
      <c r="L8" s="8" t="s">
        <v>332</v>
      </c>
      <c r="M8" s="27">
        <f t="shared" si="13"/>
        <v>43102</v>
      </c>
      <c r="N8" s="27"/>
      <c r="O8" s="27" t="str">
        <f t="shared" si="14"/>
        <v>1M</v>
      </c>
      <c r="P8" s="27" t="str">
        <f t="shared" si="15"/>
        <v>Fixed</v>
      </c>
      <c r="Q8" s="27"/>
      <c r="R8" s="8">
        <f t="shared" si="16"/>
        <v>0</v>
      </c>
      <c r="S8" s="8" t="str">
        <f t="shared" ca="1" si="4"/>
        <v>50075611 ACCOUNTS-TSB -EXT</v>
      </c>
      <c r="T8" s="26" t="str">
        <f t="shared" ca="1" si="5"/>
        <v>50075611 ACCOUNTS-TSB -EXT</v>
      </c>
      <c r="U8" s="8">
        <f t="shared" ca="1" si="6"/>
        <v>50075611</v>
      </c>
    </row>
    <row r="9" spans="1:21" x14ac:dyDescent="0.25">
      <c r="A9" s="8">
        <f>ROW()</f>
        <v>9</v>
      </c>
      <c r="B9" s="5" t="s">
        <v>107</v>
      </c>
      <c r="C9" s="5">
        <f t="shared" si="0"/>
        <v>9</v>
      </c>
      <c r="D9" s="5">
        <f t="shared" si="7"/>
        <v>1</v>
      </c>
      <c r="E9" s="25">
        <f t="shared" si="8"/>
        <v>42737</v>
      </c>
      <c r="F9" s="5" t="str">
        <f t="shared" si="1"/>
        <v>ACCOUNTS-BANKOFSC-EXT</v>
      </c>
      <c r="G9" s="8" t="s">
        <v>340</v>
      </c>
      <c r="H9" s="8" t="str">
        <f t="shared" si="9"/>
        <v>DEPO</v>
      </c>
      <c r="I9" s="8">
        <f t="shared" si="10"/>
        <v>0</v>
      </c>
      <c r="J9" s="27" t="str">
        <f t="shared" si="11"/>
        <v>GBP</v>
      </c>
      <c r="K9" s="8">
        <f t="shared" si="12"/>
        <v>0</v>
      </c>
      <c r="L9" s="8" t="s">
        <v>332</v>
      </c>
      <c r="M9" s="27">
        <f t="shared" si="13"/>
        <v>43102</v>
      </c>
      <c r="N9" s="27"/>
      <c r="O9" s="27" t="str">
        <f t="shared" si="14"/>
        <v>1M</v>
      </c>
      <c r="P9" s="27" t="str">
        <f t="shared" si="15"/>
        <v>Fixed</v>
      </c>
      <c r="Q9" s="27"/>
      <c r="R9" s="8">
        <f t="shared" si="16"/>
        <v>0</v>
      </c>
      <c r="S9" s="8" t="str">
        <f t="shared" ca="1" si="4"/>
        <v>34526775 ACCOUNTS-BANKOFSC-EXT</v>
      </c>
      <c r="T9" s="26" t="str">
        <f t="shared" ca="1" si="5"/>
        <v>34526775 ACCOUNTS-BANKOFSC-EXT</v>
      </c>
      <c r="U9" s="8">
        <f t="shared" ca="1" si="6"/>
        <v>34526775</v>
      </c>
    </row>
    <row r="10" spans="1:21" x14ac:dyDescent="0.25">
      <c r="A10" s="8">
        <f>ROW()</f>
        <v>10</v>
      </c>
      <c r="B10" s="5" t="s">
        <v>107</v>
      </c>
      <c r="C10" s="5">
        <f t="shared" si="0"/>
        <v>10</v>
      </c>
      <c r="D10" s="5">
        <f t="shared" si="7"/>
        <v>1</v>
      </c>
      <c r="E10" s="25">
        <f t="shared" si="8"/>
        <v>42737</v>
      </c>
      <c r="F10" s="5" t="str">
        <f t="shared" si="1"/>
        <v>ACCOUNTS-YORKSHIR-EXT</v>
      </c>
      <c r="G10" s="8" t="s">
        <v>341</v>
      </c>
      <c r="H10" s="8" t="str">
        <f t="shared" si="9"/>
        <v>DEPO</v>
      </c>
      <c r="I10" s="8">
        <f t="shared" si="10"/>
        <v>0</v>
      </c>
      <c r="J10" s="27" t="str">
        <f t="shared" si="11"/>
        <v>GBP</v>
      </c>
      <c r="K10" s="8">
        <f t="shared" si="12"/>
        <v>0</v>
      </c>
      <c r="L10" s="8" t="s">
        <v>332</v>
      </c>
      <c r="M10" s="27">
        <f t="shared" si="13"/>
        <v>43102</v>
      </c>
      <c r="N10" s="27"/>
      <c r="O10" s="27" t="str">
        <f t="shared" si="14"/>
        <v>1M</v>
      </c>
      <c r="P10" s="27" t="str">
        <f t="shared" si="15"/>
        <v>Fixed</v>
      </c>
      <c r="Q10" s="27"/>
      <c r="R10" s="8">
        <f t="shared" si="16"/>
        <v>0</v>
      </c>
      <c r="S10" s="8" t="str">
        <f t="shared" ca="1" si="4"/>
        <v>15139614 ACCOUNTS-YORKSHIR-EXT</v>
      </c>
      <c r="T10" s="26" t="str">
        <f t="shared" ca="1" si="5"/>
        <v>15139614 ACCOUNTS-YORKSHIR-EXT</v>
      </c>
      <c r="U10" s="8">
        <f t="shared" ca="1" si="6"/>
        <v>15139614</v>
      </c>
    </row>
    <row r="11" spans="1:21" x14ac:dyDescent="0.25">
      <c r="A11" s="8">
        <f>ROW()</f>
        <v>11</v>
      </c>
      <c r="B11" s="5" t="s">
        <v>107</v>
      </c>
      <c r="C11" s="5">
        <f t="shared" si="0"/>
        <v>11</v>
      </c>
      <c r="D11" s="5">
        <f t="shared" si="7"/>
        <v>1</v>
      </c>
      <c r="E11" s="25">
        <f t="shared" si="8"/>
        <v>42737</v>
      </c>
      <c r="F11" s="5" t="str">
        <f t="shared" si="1"/>
        <v>ACCOUNTS-LLOYDSBA-EXT</v>
      </c>
      <c r="G11" s="8" t="s">
        <v>342</v>
      </c>
      <c r="H11" s="8" t="str">
        <f t="shared" si="9"/>
        <v>DEPO</v>
      </c>
      <c r="I11" s="8">
        <f t="shared" si="10"/>
        <v>0</v>
      </c>
      <c r="J11" s="27" t="str">
        <f t="shared" si="11"/>
        <v>GBP</v>
      </c>
      <c r="K11" s="8">
        <f t="shared" si="12"/>
        <v>0</v>
      </c>
      <c r="L11" s="8" t="s">
        <v>332</v>
      </c>
      <c r="M11" s="27">
        <f t="shared" si="13"/>
        <v>43102</v>
      </c>
      <c r="N11" s="27"/>
      <c r="O11" s="27" t="str">
        <f t="shared" si="14"/>
        <v>1M</v>
      </c>
      <c r="P11" s="27" t="str">
        <f t="shared" si="15"/>
        <v>Fixed</v>
      </c>
      <c r="Q11" s="27"/>
      <c r="R11" s="8">
        <f t="shared" si="16"/>
        <v>0</v>
      </c>
      <c r="S11" s="8" t="str">
        <f t="shared" ca="1" si="4"/>
        <v>82944100 ACCOUNTS-LLOYDSBA-EXT</v>
      </c>
      <c r="T11" s="26" t="str">
        <f t="shared" ca="1" si="5"/>
        <v>82944100 ACCOUNTS-LLOYDSBA-EXT</v>
      </c>
      <c r="U11" s="8">
        <f t="shared" ca="1" si="6"/>
        <v>82944100</v>
      </c>
    </row>
    <row r="12" spans="1:21" x14ac:dyDescent="0.25">
      <c r="A12" s="8">
        <f>ROW()</f>
        <v>12</v>
      </c>
      <c r="B12" s="5" t="s">
        <v>107</v>
      </c>
      <c r="C12" s="5">
        <f t="shared" si="0"/>
        <v>12</v>
      </c>
      <c r="D12" s="5">
        <f t="shared" si="7"/>
        <v>1</v>
      </c>
      <c r="E12" s="25">
        <f t="shared" si="8"/>
        <v>42737</v>
      </c>
      <c r="F12" s="5" t="str">
        <f t="shared" si="1"/>
        <v>ACCOUNTS-HSBC -EXT</v>
      </c>
      <c r="G12" s="8" t="s">
        <v>343</v>
      </c>
      <c r="H12" s="8" t="str">
        <f t="shared" si="9"/>
        <v>DEPO</v>
      </c>
      <c r="I12" s="8">
        <f t="shared" si="10"/>
        <v>0</v>
      </c>
      <c r="J12" s="27" t="str">
        <f t="shared" si="11"/>
        <v>GBP</v>
      </c>
      <c r="K12" s="8">
        <f t="shared" si="12"/>
        <v>0</v>
      </c>
      <c r="L12" s="8" t="s">
        <v>332</v>
      </c>
      <c r="M12" s="27">
        <f t="shared" si="13"/>
        <v>43102</v>
      </c>
      <c r="N12" s="27"/>
      <c r="O12" s="27" t="str">
        <f t="shared" si="14"/>
        <v>1M</v>
      </c>
      <c r="P12" s="27" t="str">
        <f t="shared" si="15"/>
        <v>Fixed</v>
      </c>
      <c r="Q12" s="27"/>
      <c r="R12" s="8">
        <f t="shared" si="16"/>
        <v>0</v>
      </c>
      <c r="S12" s="8" t="str">
        <f t="shared" ca="1" si="4"/>
        <v>83829600 ACCOUNTS-HSBC -EXT</v>
      </c>
      <c r="T12" s="26" t="str">
        <f t="shared" ca="1" si="5"/>
        <v>83829600 ACCOUNTS-HSBC -EXT</v>
      </c>
      <c r="U12" s="8">
        <f t="shared" ca="1" si="6"/>
        <v>83829600</v>
      </c>
    </row>
    <row r="13" spans="1:21" x14ac:dyDescent="0.25">
      <c r="A13" s="8">
        <f>ROW()</f>
        <v>13</v>
      </c>
      <c r="B13" s="5" t="s">
        <v>107</v>
      </c>
      <c r="C13" s="5">
        <f t="shared" si="0"/>
        <v>13</v>
      </c>
      <c r="D13" s="5">
        <f t="shared" si="7"/>
        <v>1</v>
      </c>
      <c r="E13" s="25">
        <f t="shared" si="8"/>
        <v>42737</v>
      </c>
      <c r="F13" s="5" t="str">
        <f t="shared" si="1"/>
        <v>RECON-FIRSTDIR-EXT</v>
      </c>
      <c r="G13" s="8" t="s">
        <v>333</v>
      </c>
      <c r="H13" s="8" t="str">
        <f t="shared" si="9"/>
        <v>DEPO</v>
      </c>
      <c r="I13" s="8">
        <f t="shared" si="10"/>
        <v>0</v>
      </c>
      <c r="J13" s="27" t="str">
        <f t="shared" si="11"/>
        <v>GBP</v>
      </c>
      <c r="K13" s="8">
        <f t="shared" si="12"/>
        <v>0</v>
      </c>
      <c r="L13" s="8" t="s">
        <v>344</v>
      </c>
      <c r="M13" s="27">
        <f t="shared" si="13"/>
        <v>43102</v>
      </c>
      <c r="N13" s="27"/>
      <c r="O13" s="27" t="str">
        <f t="shared" si="14"/>
        <v>1M</v>
      </c>
      <c r="P13" s="27" t="str">
        <f t="shared" si="15"/>
        <v>Fixed</v>
      </c>
      <c r="Q13" s="27"/>
      <c r="R13" s="8">
        <f t="shared" si="16"/>
        <v>0</v>
      </c>
      <c r="S13" s="8" t="str">
        <f t="shared" ca="1" si="4"/>
        <v>76812946 RECON-FIRSTDIR-EXT</v>
      </c>
      <c r="T13" s="26" t="str">
        <f t="shared" ca="1" si="5"/>
        <v>76812946 RECON-FIRSTDIR-EXT</v>
      </c>
      <c r="U13" s="8">
        <f t="shared" ca="1" si="6"/>
        <v>76812946</v>
      </c>
    </row>
    <row r="14" spans="1:21" x14ac:dyDescent="0.25">
      <c r="A14" s="8">
        <f>ROW()</f>
        <v>14</v>
      </c>
      <c r="B14" s="5" t="s">
        <v>107</v>
      </c>
      <c r="C14" s="5">
        <f t="shared" si="0"/>
        <v>14</v>
      </c>
      <c r="D14" s="5">
        <f t="shared" si="7"/>
        <v>1</v>
      </c>
      <c r="E14" s="25">
        <f t="shared" si="8"/>
        <v>42737</v>
      </c>
      <c r="F14" s="5" t="str">
        <f t="shared" si="1"/>
        <v>RECON-SANTANDE-EXT</v>
      </c>
      <c r="G14" s="8" t="s">
        <v>334</v>
      </c>
      <c r="H14" s="8" t="str">
        <f t="shared" si="9"/>
        <v>DEPO</v>
      </c>
      <c r="I14" s="8">
        <f t="shared" si="10"/>
        <v>0</v>
      </c>
      <c r="J14" s="27" t="str">
        <f t="shared" si="11"/>
        <v>GBP</v>
      </c>
      <c r="K14" s="8">
        <f t="shared" si="12"/>
        <v>0</v>
      </c>
      <c r="L14" s="8" t="s">
        <v>344</v>
      </c>
      <c r="M14" s="27">
        <f t="shared" si="13"/>
        <v>43102</v>
      </c>
      <c r="N14" s="27"/>
      <c r="O14" s="27" t="str">
        <f t="shared" si="14"/>
        <v>1M</v>
      </c>
      <c r="P14" s="27" t="str">
        <f t="shared" si="15"/>
        <v>Fixed</v>
      </c>
      <c r="Q14" s="27"/>
      <c r="R14" s="8">
        <f t="shared" si="16"/>
        <v>0</v>
      </c>
      <c r="S14" s="8" t="str">
        <f t="shared" ca="1" si="4"/>
        <v>11512295 RECON-SANTANDE-EXT</v>
      </c>
      <c r="T14" s="26" t="str">
        <f t="shared" ca="1" si="5"/>
        <v>11512295 RECON-SANTANDE-EXT</v>
      </c>
      <c r="U14" s="8">
        <f t="shared" ca="1" si="6"/>
        <v>11512295</v>
      </c>
    </row>
    <row r="15" spans="1:21" x14ac:dyDescent="0.25">
      <c r="A15" s="8">
        <f>ROW()</f>
        <v>15</v>
      </c>
      <c r="B15" s="5" t="s">
        <v>107</v>
      </c>
      <c r="C15" s="5">
        <f t="shared" si="0"/>
        <v>15</v>
      </c>
      <c r="D15" s="5">
        <f t="shared" si="7"/>
        <v>1</v>
      </c>
      <c r="E15" s="25">
        <f t="shared" si="8"/>
        <v>42737</v>
      </c>
      <c r="F15" s="5" t="str">
        <f t="shared" si="1"/>
        <v>RECON-SMILE-EXT</v>
      </c>
      <c r="G15" s="8" t="s">
        <v>335</v>
      </c>
      <c r="H15" s="8" t="str">
        <f t="shared" si="9"/>
        <v>DEPO</v>
      </c>
      <c r="I15" s="8">
        <f t="shared" si="10"/>
        <v>0</v>
      </c>
      <c r="J15" s="27" t="str">
        <f t="shared" si="11"/>
        <v>GBP</v>
      </c>
      <c r="K15" s="8">
        <f t="shared" si="12"/>
        <v>0</v>
      </c>
      <c r="L15" s="8" t="s">
        <v>344</v>
      </c>
      <c r="M15" s="27">
        <f t="shared" si="13"/>
        <v>43102</v>
      </c>
      <c r="N15" s="27"/>
      <c r="O15" s="27" t="str">
        <f t="shared" si="14"/>
        <v>1M</v>
      </c>
      <c r="P15" s="27" t="str">
        <f t="shared" si="15"/>
        <v>Fixed</v>
      </c>
      <c r="Q15" s="27"/>
      <c r="R15" s="8">
        <f t="shared" si="16"/>
        <v>0</v>
      </c>
      <c r="S15" s="8" t="str">
        <f t="shared" ca="1" si="4"/>
        <v>36951903 RECON-SMILE-EXT</v>
      </c>
      <c r="T15" s="26" t="str">
        <f t="shared" ca="1" si="5"/>
        <v>36951903 RECON-SMILE-EXT</v>
      </c>
      <c r="U15" s="8">
        <f t="shared" ca="1" si="6"/>
        <v>36951903</v>
      </c>
    </row>
    <row r="16" spans="1:21" x14ac:dyDescent="0.25">
      <c r="A16" s="8">
        <f>ROW()</f>
        <v>16</v>
      </c>
      <c r="B16" s="5" t="s">
        <v>107</v>
      </c>
      <c r="C16" s="5">
        <f t="shared" si="0"/>
        <v>16</v>
      </c>
      <c r="D16" s="5">
        <f t="shared" si="7"/>
        <v>1</v>
      </c>
      <c r="E16" s="25">
        <f t="shared" si="8"/>
        <v>42737</v>
      </c>
      <c r="F16" s="5" t="str">
        <f t="shared" si="1"/>
        <v>RECON-NATIONWI-EXT</v>
      </c>
      <c r="G16" s="8" t="s">
        <v>336</v>
      </c>
      <c r="H16" s="8" t="str">
        <f t="shared" si="9"/>
        <v>DEPO</v>
      </c>
      <c r="I16" s="8">
        <f t="shared" si="10"/>
        <v>0</v>
      </c>
      <c r="J16" s="27" t="str">
        <f t="shared" si="11"/>
        <v>GBP</v>
      </c>
      <c r="K16" s="8">
        <f t="shared" si="12"/>
        <v>0</v>
      </c>
      <c r="L16" s="8" t="s">
        <v>344</v>
      </c>
      <c r="M16" s="27">
        <f t="shared" si="13"/>
        <v>43102</v>
      </c>
      <c r="N16" s="27"/>
      <c r="O16" s="27" t="str">
        <f t="shared" si="14"/>
        <v>1M</v>
      </c>
      <c r="P16" s="27" t="str">
        <f t="shared" si="15"/>
        <v>Fixed</v>
      </c>
      <c r="Q16" s="27"/>
      <c r="R16" s="8">
        <f t="shared" si="16"/>
        <v>0</v>
      </c>
      <c r="S16" s="8" t="str">
        <f t="shared" ca="1" si="4"/>
        <v>23199931 RECON-NATIONWI-EXT</v>
      </c>
      <c r="T16" s="26" t="str">
        <f t="shared" ca="1" si="5"/>
        <v>23199931 RECON-NATIONWI-EXT</v>
      </c>
      <c r="U16" s="8">
        <f t="shared" ca="1" si="6"/>
        <v>23199931</v>
      </c>
    </row>
    <row r="17" spans="1:21" x14ac:dyDescent="0.25">
      <c r="A17" s="8">
        <f>ROW()</f>
        <v>17</v>
      </c>
      <c r="B17" s="5" t="s">
        <v>107</v>
      </c>
      <c r="C17" s="5">
        <f t="shared" si="0"/>
        <v>17</v>
      </c>
      <c r="D17" s="5">
        <f t="shared" si="7"/>
        <v>1</v>
      </c>
      <c r="E17" s="25">
        <f t="shared" si="8"/>
        <v>42737</v>
      </c>
      <c r="F17" s="5" t="str">
        <f t="shared" si="1"/>
        <v>RECON-THECOOP-EXT</v>
      </c>
      <c r="G17" s="8" t="s">
        <v>337</v>
      </c>
      <c r="H17" s="8" t="str">
        <f t="shared" si="9"/>
        <v>DEPO</v>
      </c>
      <c r="I17" s="8">
        <f t="shared" si="10"/>
        <v>0</v>
      </c>
      <c r="J17" s="27" t="str">
        <f t="shared" si="11"/>
        <v>GBP</v>
      </c>
      <c r="K17" s="8">
        <f t="shared" si="12"/>
        <v>0</v>
      </c>
      <c r="L17" s="8" t="s">
        <v>344</v>
      </c>
      <c r="M17" s="27">
        <f t="shared" si="13"/>
        <v>43102</v>
      </c>
      <c r="N17" s="27"/>
      <c r="O17" s="27" t="str">
        <f t="shared" si="14"/>
        <v>1M</v>
      </c>
      <c r="P17" s="27" t="str">
        <f t="shared" si="15"/>
        <v>Fixed</v>
      </c>
      <c r="Q17" s="27"/>
      <c r="R17" s="8">
        <f t="shared" si="16"/>
        <v>0</v>
      </c>
      <c r="S17" s="8" t="str">
        <f t="shared" ca="1" si="4"/>
        <v>64068142 RECON-THECOOP-EXT</v>
      </c>
      <c r="T17" s="26" t="str">
        <f t="shared" ca="1" si="5"/>
        <v>64068142 RECON-THECOOP-EXT</v>
      </c>
      <c r="U17" s="8">
        <f t="shared" ca="1" si="6"/>
        <v>64068142</v>
      </c>
    </row>
    <row r="18" spans="1:21" x14ac:dyDescent="0.25">
      <c r="A18" s="8">
        <f>ROW()</f>
        <v>18</v>
      </c>
      <c r="B18" s="5" t="s">
        <v>107</v>
      </c>
      <c r="C18" s="5">
        <f t="shared" si="0"/>
        <v>18</v>
      </c>
      <c r="D18" s="5">
        <f t="shared" si="7"/>
        <v>1</v>
      </c>
      <c r="E18" s="25">
        <f t="shared" si="8"/>
        <v>42737</v>
      </c>
      <c r="F18" s="5" t="str">
        <f t="shared" si="1"/>
        <v>RECON-HALIFAX -EXT</v>
      </c>
      <c r="G18" s="8" t="s">
        <v>338</v>
      </c>
      <c r="H18" s="8" t="str">
        <f t="shared" si="9"/>
        <v>DEPO</v>
      </c>
      <c r="I18" s="8">
        <f t="shared" si="10"/>
        <v>0</v>
      </c>
      <c r="J18" s="27" t="str">
        <f t="shared" si="11"/>
        <v>GBP</v>
      </c>
      <c r="K18" s="8">
        <f t="shared" si="12"/>
        <v>0</v>
      </c>
      <c r="L18" s="8" t="s">
        <v>344</v>
      </c>
      <c r="M18" s="27">
        <f t="shared" si="13"/>
        <v>43102</v>
      </c>
      <c r="N18" s="27"/>
      <c r="O18" s="27" t="str">
        <f t="shared" si="14"/>
        <v>1M</v>
      </c>
      <c r="P18" s="27" t="str">
        <f t="shared" si="15"/>
        <v>Fixed</v>
      </c>
      <c r="Q18" s="27"/>
      <c r="R18" s="8">
        <f t="shared" si="16"/>
        <v>0</v>
      </c>
      <c r="S18" s="8" t="str">
        <f t="shared" ca="1" si="4"/>
        <v>21029956 RECON-HALIFAX -EXT</v>
      </c>
      <c r="T18" s="26" t="str">
        <f t="shared" ca="1" si="5"/>
        <v>21029956 RECON-HALIFAX -EXT</v>
      </c>
      <c r="U18" s="8">
        <f t="shared" ca="1" si="6"/>
        <v>21029956</v>
      </c>
    </row>
    <row r="19" spans="1:21" x14ac:dyDescent="0.25">
      <c r="A19" s="8">
        <f>ROW()</f>
        <v>19</v>
      </c>
      <c r="B19" s="5" t="s">
        <v>107</v>
      </c>
      <c r="C19" s="5">
        <f t="shared" si="0"/>
        <v>19</v>
      </c>
      <c r="D19" s="5">
        <f t="shared" si="7"/>
        <v>1</v>
      </c>
      <c r="E19" s="25">
        <f t="shared" si="8"/>
        <v>42737</v>
      </c>
      <c r="F19" s="5" t="str">
        <f t="shared" si="1"/>
        <v>RECON-TSB -EXT</v>
      </c>
      <c r="G19" s="8" t="s">
        <v>339</v>
      </c>
      <c r="H19" s="8" t="str">
        <f t="shared" si="9"/>
        <v>DEPO</v>
      </c>
      <c r="I19" s="8">
        <f t="shared" si="10"/>
        <v>0</v>
      </c>
      <c r="J19" s="27" t="str">
        <f t="shared" si="11"/>
        <v>GBP</v>
      </c>
      <c r="K19" s="8">
        <f t="shared" si="12"/>
        <v>0</v>
      </c>
      <c r="L19" s="8" t="s">
        <v>344</v>
      </c>
      <c r="M19" s="27">
        <f t="shared" si="13"/>
        <v>43102</v>
      </c>
      <c r="N19" s="27"/>
      <c r="O19" s="27" t="str">
        <f t="shared" si="14"/>
        <v>1M</v>
      </c>
      <c r="P19" s="27" t="str">
        <f t="shared" si="15"/>
        <v>Fixed</v>
      </c>
      <c r="Q19" s="27"/>
      <c r="R19" s="8">
        <f t="shared" si="16"/>
        <v>0</v>
      </c>
      <c r="S19" s="8" t="str">
        <f t="shared" ca="1" si="4"/>
        <v>25359616 RECON-TSB -EXT</v>
      </c>
      <c r="T19" s="26" t="str">
        <f t="shared" ca="1" si="5"/>
        <v>25359616 RECON-TSB -EXT</v>
      </c>
      <c r="U19" s="8">
        <f t="shared" ca="1" si="6"/>
        <v>25359616</v>
      </c>
    </row>
    <row r="20" spans="1:21" x14ac:dyDescent="0.25">
      <c r="A20" s="8">
        <f>ROW()</f>
        <v>20</v>
      </c>
      <c r="B20" s="5" t="s">
        <v>107</v>
      </c>
      <c r="C20" s="5">
        <f t="shared" si="0"/>
        <v>20</v>
      </c>
      <c r="D20" s="5">
        <f t="shared" si="7"/>
        <v>1</v>
      </c>
      <c r="E20" s="25">
        <f t="shared" si="8"/>
        <v>42737</v>
      </c>
      <c r="F20" s="5" t="str">
        <f t="shared" si="1"/>
        <v>RECON-BANKOFSC-EXT</v>
      </c>
      <c r="G20" s="8" t="s">
        <v>340</v>
      </c>
      <c r="H20" s="8" t="str">
        <f t="shared" si="9"/>
        <v>DEPO</v>
      </c>
      <c r="I20" s="8">
        <f t="shared" si="10"/>
        <v>0</v>
      </c>
      <c r="J20" s="27" t="str">
        <f t="shared" si="11"/>
        <v>GBP</v>
      </c>
      <c r="K20" s="8">
        <f t="shared" si="12"/>
        <v>0</v>
      </c>
      <c r="L20" s="8" t="s">
        <v>344</v>
      </c>
      <c r="M20" s="27">
        <f t="shared" si="13"/>
        <v>43102</v>
      </c>
      <c r="N20" s="27"/>
      <c r="O20" s="27" t="str">
        <f t="shared" si="14"/>
        <v>1M</v>
      </c>
      <c r="P20" s="27" t="str">
        <f t="shared" si="15"/>
        <v>Fixed</v>
      </c>
      <c r="Q20" s="27"/>
      <c r="R20" s="8">
        <f t="shared" si="16"/>
        <v>0</v>
      </c>
      <c r="S20" s="8" t="str">
        <f t="shared" ca="1" si="4"/>
        <v>72803990 RECON-BANKOFSC-EXT</v>
      </c>
      <c r="T20" s="26" t="str">
        <f t="shared" ca="1" si="5"/>
        <v>72803990 RECON-BANKOFSC-EXT</v>
      </c>
      <c r="U20" s="8">
        <f t="shared" ca="1" si="6"/>
        <v>72803990</v>
      </c>
    </row>
    <row r="21" spans="1:21" x14ac:dyDescent="0.25">
      <c r="A21" s="8">
        <f>ROW()</f>
        <v>21</v>
      </c>
      <c r="B21" s="5" t="s">
        <v>107</v>
      </c>
      <c r="C21" s="5">
        <f t="shared" si="0"/>
        <v>21</v>
      </c>
      <c r="D21" s="5">
        <f t="shared" si="7"/>
        <v>1</v>
      </c>
      <c r="E21" s="25">
        <f t="shared" si="8"/>
        <v>42737</v>
      </c>
      <c r="F21" s="5" t="str">
        <f t="shared" si="1"/>
        <v>RECON-YORKSHIR-EXT</v>
      </c>
      <c r="G21" s="8" t="s">
        <v>341</v>
      </c>
      <c r="H21" s="8" t="str">
        <f t="shared" si="9"/>
        <v>DEPO</v>
      </c>
      <c r="I21" s="8">
        <f t="shared" si="10"/>
        <v>0</v>
      </c>
      <c r="J21" s="27" t="str">
        <f t="shared" si="11"/>
        <v>GBP</v>
      </c>
      <c r="K21" s="8">
        <f t="shared" si="12"/>
        <v>0</v>
      </c>
      <c r="L21" s="8" t="s">
        <v>344</v>
      </c>
      <c r="M21" s="27">
        <f t="shared" si="13"/>
        <v>43102</v>
      </c>
      <c r="N21" s="27"/>
      <c r="O21" s="27" t="str">
        <f t="shared" si="14"/>
        <v>1M</v>
      </c>
      <c r="P21" s="27" t="str">
        <f t="shared" si="15"/>
        <v>Fixed</v>
      </c>
      <c r="Q21" s="27"/>
      <c r="R21" s="8">
        <f t="shared" si="16"/>
        <v>0</v>
      </c>
      <c r="S21" s="8" t="str">
        <f t="shared" ca="1" si="4"/>
        <v>93275108 RECON-YORKSHIR-EXT</v>
      </c>
      <c r="T21" s="26" t="str">
        <f t="shared" ca="1" si="5"/>
        <v>93275108 RECON-YORKSHIR-EXT</v>
      </c>
      <c r="U21" s="8">
        <f t="shared" ca="1" si="6"/>
        <v>93275108</v>
      </c>
    </row>
    <row r="22" spans="1:21" x14ac:dyDescent="0.25">
      <c r="A22" s="8">
        <f>ROW()</f>
        <v>22</v>
      </c>
      <c r="B22" s="5" t="s">
        <v>107</v>
      </c>
      <c r="C22" s="5">
        <f t="shared" si="0"/>
        <v>22</v>
      </c>
      <c r="D22" s="5">
        <f t="shared" si="7"/>
        <v>1</v>
      </c>
      <c r="E22" s="25">
        <f t="shared" si="8"/>
        <v>42737</v>
      </c>
      <c r="F22" s="5" t="str">
        <f t="shared" si="1"/>
        <v>RECON-LLOYDSBA-EXT</v>
      </c>
      <c r="G22" s="8" t="s">
        <v>342</v>
      </c>
      <c r="H22" s="8" t="str">
        <f t="shared" si="9"/>
        <v>DEPO</v>
      </c>
      <c r="I22" s="8">
        <f t="shared" si="10"/>
        <v>0</v>
      </c>
      <c r="J22" s="27" t="str">
        <f t="shared" si="11"/>
        <v>GBP</v>
      </c>
      <c r="K22" s="8">
        <f t="shared" si="12"/>
        <v>0</v>
      </c>
      <c r="L22" s="8" t="s">
        <v>344</v>
      </c>
      <c r="M22" s="27">
        <f t="shared" si="13"/>
        <v>43102</v>
      </c>
      <c r="N22" s="27"/>
      <c r="O22" s="27" t="str">
        <f t="shared" si="14"/>
        <v>1M</v>
      </c>
      <c r="P22" s="27" t="str">
        <f t="shared" si="15"/>
        <v>Fixed</v>
      </c>
      <c r="Q22" s="27"/>
      <c r="R22" s="8">
        <f t="shared" si="16"/>
        <v>0</v>
      </c>
      <c r="S22" s="8" t="str">
        <f t="shared" ca="1" si="4"/>
        <v>50042072 RECON-LLOYDSBA-EXT</v>
      </c>
      <c r="T22" s="26" t="str">
        <f t="shared" ca="1" si="5"/>
        <v>50042072 RECON-LLOYDSBA-EXT</v>
      </c>
      <c r="U22" s="8">
        <f t="shared" ca="1" si="6"/>
        <v>50042072</v>
      </c>
    </row>
    <row r="23" spans="1:21" x14ac:dyDescent="0.25">
      <c r="A23" s="8">
        <f>ROW()</f>
        <v>23</v>
      </c>
      <c r="B23" s="5" t="s">
        <v>107</v>
      </c>
      <c r="C23" s="5">
        <f t="shared" si="0"/>
        <v>23</v>
      </c>
      <c r="D23" s="5">
        <f t="shared" si="7"/>
        <v>1</v>
      </c>
      <c r="E23" s="25">
        <f t="shared" si="8"/>
        <v>42737</v>
      </c>
      <c r="F23" s="5" t="str">
        <f t="shared" si="1"/>
        <v>RECON-HSBC -EXT</v>
      </c>
      <c r="G23" s="8" t="s">
        <v>343</v>
      </c>
      <c r="H23" s="8" t="str">
        <f t="shared" si="9"/>
        <v>DEPO</v>
      </c>
      <c r="I23" s="8">
        <f t="shared" si="10"/>
        <v>0</v>
      </c>
      <c r="J23" s="27" t="str">
        <f t="shared" si="11"/>
        <v>GBP</v>
      </c>
      <c r="K23" s="8">
        <f t="shared" si="12"/>
        <v>0</v>
      </c>
      <c r="L23" s="8" t="s">
        <v>344</v>
      </c>
      <c r="M23" s="27">
        <f t="shared" si="13"/>
        <v>43102</v>
      </c>
      <c r="N23" s="27"/>
      <c r="O23" s="27" t="str">
        <f t="shared" si="14"/>
        <v>1M</v>
      </c>
      <c r="P23" s="27" t="str">
        <f t="shared" si="15"/>
        <v>Fixed</v>
      </c>
      <c r="Q23" s="27"/>
      <c r="R23" s="8">
        <f t="shared" si="16"/>
        <v>0</v>
      </c>
      <c r="S23" s="8" t="str">
        <f t="shared" ca="1" si="4"/>
        <v>59762580 RECON-HSBC -EXT</v>
      </c>
      <c r="T23" s="26" t="str">
        <f t="shared" ca="1" si="5"/>
        <v>59762580 RECON-HSBC -EXT</v>
      </c>
      <c r="U23" s="8">
        <f t="shared" ca="1" si="6"/>
        <v>59762580</v>
      </c>
    </row>
  </sheetData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K157"/>
  <sheetViews>
    <sheetView workbookViewId="0">
      <selection activeCell="E23" sqref="E23"/>
    </sheetView>
  </sheetViews>
  <sheetFormatPr defaultRowHeight="15" x14ac:dyDescent="0.25"/>
  <cols>
    <col min="1" max="1" width="25.5703125" style="26" bestFit="1" customWidth="1"/>
    <col min="2" max="2" width="20" style="26" bestFit="1" customWidth="1"/>
    <col min="3" max="3" width="9.28515625" style="26" bestFit="1" customWidth="1"/>
    <col min="4" max="4" width="10.7109375" style="26" bestFit="1" customWidth="1"/>
    <col min="5" max="5" width="11.42578125" style="26" bestFit="1" customWidth="1"/>
    <col min="6" max="6" width="26.7109375" style="26" bestFit="1" customWidth="1"/>
    <col min="7" max="7" width="16.42578125" style="26" bestFit="1" customWidth="1"/>
    <col min="8" max="8" width="17.28515625" style="26" bestFit="1" customWidth="1"/>
    <col min="9" max="9" width="15.85546875" style="26" bestFit="1" customWidth="1"/>
    <col min="10" max="10" width="8.85546875" style="26" bestFit="1" customWidth="1"/>
    <col min="11" max="16384" width="9.140625" style="26"/>
  </cols>
  <sheetData>
    <row r="1" spans="1:11" x14ac:dyDescent="0.25">
      <c r="A1" s="29" t="s">
        <v>108</v>
      </c>
      <c r="B1" s="29" t="s">
        <v>6</v>
      </c>
      <c r="C1" s="29" t="s">
        <v>12</v>
      </c>
      <c r="D1" s="32" t="s">
        <v>26</v>
      </c>
      <c r="E1" s="30" t="s">
        <v>109</v>
      </c>
      <c r="F1" s="29" t="s">
        <v>39</v>
      </c>
      <c r="G1" s="29" t="s">
        <v>32</v>
      </c>
      <c r="H1" s="29" t="s">
        <v>14</v>
      </c>
      <c r="I1" s="29" t="s">
        <v>110</v>
      </c>
      <c r="J1" s="31" t="s">
        <v>152</v>
      </c>
      <c r="K1" s="28" t="s">
        <v>3</v>
      </c>
    </row>
    <row r="2" spans="1:11" x14ac:dyDescent="0.25">
      <c r="A2" s="26" t="str">
        <f>ReconAccounts!F2</f>
        <v>ACCOUNTS-FIRSTDIR-EXT</v>
      </c>
      <c r="B2" s="26" t="s">
        <v>111</v>
      </c>
      <c r="C2" s="26">
        <v>0</v>
      </c>
      <c r="D2" s="27">
        <v>43242</v>
      </c>
      <c r="E2" s="26">
        <f ca="1">RANDBETWEEN(-15000,20000)</f>
        <v>-9105</v>
      </c>
      <c r="F2" s="26" t="s">
        <v>153</v>
      </c>
      <c r="G2" s="26" t="s">
        <v>8</v>
      </c>
      <c r="H2" s="26" t="s">
        <v>154</v>
      </c>
      <c r="I2" s="26" t="s">
        <v>106</v>
      </c>
      <c r="K2" s="8" t="str">
        <f>ReconAccounts!L2</f>
        <v>ACCOUNTS</v>
      </c>
    </row>
    <row r="3" spans="1:11" x14ac:dyDescent="0.25">
      <c r="A3" s="26" t="str">
        <f>ReconAccounts!F3</f>
        <v>ACCOUNTS-SANTANDE-EXT</v>
      </c>
      <c r="B3" s="26" t="s">
        <v>111</v>
      </c>
      <c r="C3" s="26">
        <v>0</v>
      </c>
      <c r="D3" s="27">
        <f>D2</f>
        <v>43242</v>
      </c>
      <c r="E3" s="26">
        <f t="shared" ref="E3:E12" ca="1" si="0">RANDBETWEEN(-15000,20000)</f>
        <v>9508</v>
      </c>
      <c r="F3" s="26" t="s">
        <v>155</v>
      </c>
      <c r="G3" s="26" t="s">
        <v>8</v>
      </c>
      <c r="H3" s="26" t="s">
        <v>156</v>
      </c>
      <c r="I3" s="26" t="s">
        <v>106</v>
      </c>
      <c r="K3" s="8" t="str">
        <f>ReconAccounts!L3</f>
        <v>ACCOUNTS</v>
      </c>
    </row>
    <row r="4" spans="1:11" x14ac:dyDescent="0.25">
      <c r="A4" s="26" t="str">
        <f>ReconAccounts!F4</f>
        <v>ACCOUNTS-SMILE-EXT</v>
      </c>
      <c r="B4" s="26" t="s">
        <v>111</v>
      </c>
      <c r="C4" s="26">
        <v>0</v>
      </c>
      <c r="D4" s="27">
        <f t="shared" ref="D4:D23" si="1">D3</f>
        <v>43242</v>
      </c>
      <c r="E4" s="26">
        <f t="shared" ca="1" si="0"/>
        <v>18618</v>
      </c>
      <c r="F4" s="26" t="s">
        <v>157</v>
      </c>
      <c r="G4" s="26" t="s">
        <v>8</v>
      </c>
      <c r="H4" s="26" t="s">
        <v>158</v>
      </c>
      <c r="I4" s="26" t="s">
        <v>106</v>
      </c>
      <c r="K4" s="8" t="str">
        <f>ReconAccounts!L4</f>
        <v>ACCOUNTS</v>
      </c>
    </row>
    <row r="5" spans="1:11" x14ac:dyDescent="0.25">
      <c r="A5" s="26" t="str">
        <f>ReconAccounts!F5</f>
        <v>ACCOUNTS-NATIONWI-EXT</v>
      </c>
      <c r="B5" s="26" t="s">
        <v>111</v>
      </c>
      <c r="C5" s="26">
        <v>0</v>
      </c>
      <c r="D5" s="27">
        <f t="shared" si="1"/>
        <v>43242</v>
      </c>
      <c r="E5" s="26">
        <f t="shared" ca="1" si="0"/>
        <v>8652</v>
      </c>
      <c r="F5" s="26" t="s">
        <v>159</v>
      </c>
      <c r="G5" s="26" t="s">
        <v>8</v>
      </c>
      <c r="H5" s="26" t="s">
        <v>160</v>
      </c>
      <c r="I5" s="26" t="s">
        <v>106</v>
      </c>
      <c r="K5" s="8" t="str">
        <f>ReconAccounts!L5</f>
        <v>ACCOUNTS</v>
      </c>
    </row>
    <row r="6" spans="1:11" x14ac:dyDescent="0.25">
      <c r="A6" s="26" t="str">
        <f>ReconAccounts!F6</f>
        <v>ACCOUNTS-THECOOP-EXT</v>
      </c>
      <c r="B6" s="26" t="s">
        <v>111</v>
      </c>
      <c r="C6" s="26">
        <v>0</v>
      </c>
      <c r="D6" s="27">
        <f t="shared" si="1"/>
        <v>43242</v>
      </c>
      <c r="E6" s="26">
        <f t="shared" ca="1" si="0"/>
        <v>-8883</v>
      </c>
      <c r="F6" s="26" t="s">
        <v>161</v>
      </c>
      <c r="G6" s="26" t="s">
        <v>8</v>
      </c>
      <c r="H6" s="26" t="s">
        <v>162</v>
      </c>
      <c r="I6" s="26" t="s">
        <v>106</v>
      </c>
      <c r="K6" s="8" t="str">
        <f>ReconAccounts!L6</f>
        <v>ACCOUNTS</v>
      </c>
    </row>
    <row r="7" spans="1:11" x14ac:dyDescent="0.25">
      <c r="A7" s="26" t="str">
        <f>ReconAccounts!F7</f>
        <v>ACCOUNTS-HALIFAX -EXT</v>
      </c>
      <c r="B7" s="26" t="s">
        <v>111</v>
      </c>
      <c r="C7" s="26">
        <v>0</v>
      </c>
      <c r="D7" s="27">
        <f t="shared" si="1"/>
        <v>43242</v>
      </c>
      <c r="E7" s="26">
        <f t="shared" ca="1" si="0"/>
        <v>18906</v>
      </c>
      <c r="F7" s="26" t="s">
        <v>163</v>
      </c>
      <c r="G7" s="26" t="s">
        <v>8</v>
      </c>
      <c r="H7" s="26" t="s">
        <v>164</v>
      </c>
      <c r="I7" s="26" t="s">
        <v>106</v>
      </c>
      <c r="K7" s="8" t="str">
        <f>ReconAccounts!L7</f>
        <v>ACCOUNTS</v>
      </c>
    </row>
    <row r="8" spans="1:11" x14ac:dyDescent="0.25">
      <c r="A8" s="26" t="str">
        <f>ReconAccounts!F8</f>
        <v>ACCOUNTS-TSB -EXT</v>
      </c>
      <c r="B8" s="26" t="s">
        <v>111</v>
      </c>
      <c r="C8" s="26">
        <v>0</v>
      </c>
      <c r="D8" s="27">
        <f t="shared" si="1"/>
        <v>43242</v>
      </c>
      <c r="E8" s="26">
        <f t="shared" ca="1" si="0"/>
        <v>13953</v>
      </c>
      <c r="F8" s="26" t="s">
        <v>165</v>
      </c>
      <c r="G8" s="26" t="s">
        <v>8</v>
      </c>
      <c r="H8" s="26" t="s">
        <v>166</v>
      </c>
      <c r="I8" s="26" t="s">
        <v>106</v>
      </c>
      <c r="K8" s="8" t="str">
        <f>ReconAccounts!L8</f>
        <v>ACCOUNTS</v>
      </c>
    </row>
    <row r="9" spans="1:11" x14ac:dyDescent="0.25">
      <c r="A9" s="26" t="str">
        <f>ReconAccounts!F9</f>
        <v>ACCOUNTS-BANKOFSC-EXT</v>
      </c>
      <c r="B9" s="26" t="s">
        <v>111</v>
      </c>
      <c r="C9" s="26">
        <v>0</v>
      </c>
      <c r="D9" s="27">
        <f t="shared" si="1"/>
        <v>43242</v>
      </c>
      <c r="E9" s="26">
        <f t="shared" ca="1" si="0"/>
        <v>8675</v>
      </c>
      <c r="F9" s="26" t="s">
        <v>167</v>
      </c>
      <c r="G9" s="26" t="s">
        <v>8</v>
      </c>
      <c r="H9" s="26" t="s">
        <v>168</v>
      </c>
      <c r="I9" s="26" t="s">
        <v>106</v>
      </c>
      <c r="K9" s="8" t="str">
        <f>ReconAccounts!L9</f>
        <v>ACCOUNTS</v>
      </c>
    </row>
    <row r="10" spans="1:11" x14ac:dyDescent="0.25">
      <c r="A10" s="26" t="str">
        <f>ReconAccounts!F10</f>
        <v>ACCOUNTS-YORKSHIR-EXT</v>
      </c>
      <c r="B10" s="26" t="s">
        <v>111</v>
      </c>
      <c r="C10" s="26">
        <v>0</v>
      </c>
      <c r="D10" s="27">
        <f t="shared" si="1"/>
        <v>43242</v>
      </c>
      <c r="E10" s="26">
        <f t="shared" ca="1" si="0"/>
        <v>5753</v>
      </c>
      <c r="F10" s="26" t="s">
        <v>169</v>
      </c>
      <c r="G10" s="26" t="s">
        <v>8</v>
      </c>
      <c r="H10" s="26" t="s">
        <v>170</v>
      </c>
      <c r="I10" s="26" t="s">
        <v>106</v>
      </c>
      <c r="K10" s="8" t="str">
        <f>ReconAccounts!L10</f>
        <v>ACCOUNTS</v>
      </c>
    </row>
    <row r="11" spans="1:11" x14ac:dyDescent="0.25">
      <c r="A11" s="26" t="str">
        <f>ReconAccounts!F11</f>
        <v>ACCOUNTS-LLOYDSBA-EXT</v>
      </c>
      <c r="B11" s="26" t="s">
        <v>111</v>
      </c>
      <c r="C11" s="26">
        <v>0</v>
      </c>
      <c r="D11" s="27">
        <f t="shared" si="1"/>
        <v>43242</v>
      </c>
      <c r="E11" s="26">
        <f t="shared" ca="1" si="0"/>
        <v>-4472</v>
      </c>
      <c r="F11" s="26" t="s">
        <v>171</v>
      </c>
      <c r="G11" s="26" t="s">
        <v>8</v>
      </c>
      <c r="H11" s="26" t="s">
        <v>172</v>
      </c>
      <c r="I11" s="26" t="s">
        <v>106</v>
      </c>
      <c r="K11" s="8" t="str">
        <f>ReconAccounts!L11</f>
        <v>ACCOUNTS</v>
      </c>
    </row>
    <row r="12" spans="1:11" x14ac:dyDescent="0.25">
      <c r="A12" s="26" t="str">
        <f>ReconAccounts!F12</f>
        <v>ACCOUNTS-HSBC -EXT</v>
      </c>
      <c r="B12" s="26" t="s">
        <v>111</v>
      </c>
      <c r="C12" s="26">
        <v>0</v>
      </c>
      <c r="D12" s="27">
        <f t="shared" si="1"/>
        <v>43242</v>
      </c>
      <c r="E12" s="26">
        <f t="shared" ca="1" si="0"/>
        <v>-12167</v>
      </c>
      <c r="F12" s="26" t="s">
        <v>173</v>
      </c>
      <c r="G12" s="26" t="s">
        <v>8</v>
      </c>
      <c r="H12" s="26" t="s">
        <v>174</v>
      </c>
      <c r="I12" s="26" t="s">
        <v>106</v>
      </c>
      <c r="K12" s="8" t="str">
        <f>ReconAccounts!L12</f>
        <v>ACCOUNTS</v>
      </c>
    </row>
    <row r="13" spans="1:11" x14ac:dyDescent="0.25">
      <c r="A13" s="26" t="str">
        <f>ReconAccounts!F13</f>
        <v>RECON-FIRSTDIR-EXT</v>
      </c>
      <c r="B13" s="26" t="s">
        <v>111</v>
      </c>
      <c r="C13" s="26">
        <v>0</v>
      </c>
      <c r="D13" s="27">
        <f t="shared" si="1"/>
        <v>43242</v>
      </c>
      <c r="E13" s="26">
        <f ca="1">E2+RANDBETWEEN(-100,123)</f>
        <v>-9126</v>
      </c>
      <c r="F13" s="26" t="s">
        <v>175</v>
      </c>
      <c r="G13" s="26" t="s">
        <v>8</v>
      </c>
      <c r="H13" s="26" t="s">
        <v>176</v>
      </c>
      <c r="I13" s="26" t="s">
        <v>106</v>
      </c>
      <c r="K13" s="8" t="str">
        <f>ReconAccounts!L13</f>
        <v>RECON</v>
      </c>
    </row>
    <row r="14" spans="1:11" x14ac:dyDescent="0.25">
      <c r="A14" s="26" t="str">
        <f>ReconAccounts!F14</f>
        <v>RECON-SANTANDE-EXT</v>
      </c>
      <c r="B14" s="26" t="s">
        <v>111</v>
      </c>
      <c r="C14" s="26">
        <v>0</v>
      </c>
      <c r="D14" s="27">
        <f t="shared" si="1"/>
        <v>43242</v>
      </c>
      <c r="E14" s="26">
        <f t="shared" ref="E14:E23" ca="1" si="2">E3+RANDBETWEEN(-100,123)</f>
        <v>9593</v>
      </c>
      <c r="F14" s="26" t="s">
        <v>177</v>
      </c>
      <c r="G14" s="26" t="s">
        <v>8</v>
      </c>
      <c r="H14" s="26" t="s">
        <v>178</v>
      </c>
      <c r="I14" s="26" t="s">
        <v>106</v>
      </c>
      <c r="K14" s="8" t="str">
        <f>ReconAccounts!L14</f>
        <v>RECON</v>
      </c>
    </row>
    <row r="15" spans="1:11" x14ac:dyDescent="0.25">
      <c r="A15" s="26" t="str">
        <f>ReconAccounts!F15</f>
        <v>RECON-SMILE-EXT</v>
      </c>
      <c r="B15" s="26" t="s">
        <v>111</v>
      </c>
      <c r="C15" s="26">
        <v>0</v>
      </c>
      <c r="D15" s="27">
        <f t="shared" si="1"/>
        <v>43242</v>
      </c>
      <c r="E15" s="26">
        <f t="shared" ca="1" si="2"/>
        <v>18697</v>
      </c>
      <c r="F15" s="26" t="s">
        <v>179</v>
      </c>
      <c r="G15" s="26" t="s">
        <v>8</v>
      </c>
      <c r="H15" s="26" t="s">
        <v>180</v>
      </c>
      <c r="I15" s="26" t="s">
        <v>106</v>
      </c>
      <c r="K15" s="8" t="str">
        <f>ReconAccounts!L15</f>
        <v>RECON</v>
      </c>
    </row>
    <row r="16" spans="1:11" x14ac:dyDescent="0.25">
      <c r="A16" s="26" t="str">
        <f>ReconAccounts!F16</f>
        <v>RECON-NATIONWI-EXT</v>
      </c>
      <c r="B16" s="26" t="s">
        <v>111</v>
      </c>
      <c r="C16" s="26">
        <v>0</v>
      </c>
      <c r="D16" s="27">
        <f t="shared" si="1"/>
        <v>43242</v>
      </c>
      <c r="E16" s="26">
        <f t="shared" ca="1" si="2"/>
        <v>8641</v>
      </c>
      <c r="F16" s="26" t="s">
        <v>181</v>
      </c>
      <c r="G16" s="26" t="s">
        <v>8</v>
      </c>
      <c r="H16" s="26" t="s">
        <v>182</v>
      </c>
      <c r="I16" s="26" t="s">
        <v>106</v>
      </c>
      <c r="K16" s="8" t="str">
        <f>ReconAccounts!L16</f>
        <v>RECON</v>
      </c>
    </row>
    <row r="17" spans="1:11" x14ac:dyDescent="0.25">
      <c r="A17" s="26" t="str">
        <f>ReconAccounts!F17</f>
        <v>RECON-THECOOP-EXT</v>
      </c>
      <c r="B17" s="26" t="s">
        <v>111</v>
      </c>
      <c r="C17" s="26">
        <v>0</v>
      </c>
      <c r="D17" s="27">
        <f t="shared" si="1"/>
        <v>43242</v>
      </c>
      <c r="E17" s="26">
        <f t="shared" ca="1" si="2"/>
        <v>-8800</v>
      </c>
      <c r="F17" s="26" t="s">
        <v>183</v>
      </c>
      <c r="G17" s="26" t="s">
        <v>8</v>
      </c>
      <c r="H17" s="26" t="s">
        <v>184</v>
      </c>
      <c r="I17" s="26" t="s">
        <v>106</v>
      </c>
      <c r="K17" s="8" t="str">
        <f>ReconAccounts!L17</f>
        <v>RECON</v>
      </c>
    </row>
    <row r="18" spans="1:11" x14ac:dyDescent="0.25">
      <c r="A18" s="26" t="str">
        <f>ReconAccounts!F18</f>
        <v>RECON-HALIFAX -EXT</v>
      </c>
      <c r="B18" s="26" t="s">
        <v>111</v>
      </c>
      <c r="C18" s="26">
        <v>0</v>
      </c>
      <c r="D18" s="27">
        <f t="shared" si="1"/>
        <v>43242</v>
      </c>
      <c r="E18" s="26">
        <f t="shared" ca="1" si="2"/>
        <v>18907</v>
      </c>
      <c r="F18" s="26" t="s">
        <v>185</v>
      </c>
      <c r="G18" s="26" t="s">
        <v>8</v>
      </c>
      <c r="H18" s="26" t="s">
        <v>186</v>
      </c>
      <c r="I18" s="26" t="s">
        <v>106</v>
      </c>
      <c r="K18" s="8" t="str">
        <f>ReconAccounts!L18</f>
        <v>RECON</v>
      </c>
    </row>
    <row r="19" spans="1:11" x14ac:dyDescent="0.25">
      <c r="A19" s="26" t="str">
        <f>ReconAccounts!F19</f>
        <v>RECON-TSB -EXT</v>
      </c>
      <c r="B19" s="26" t="s">
        <v>111</v>
      </c>
      <c r="C19" s="26">
        <v>0</v>
      </c>
      <c r="D19" s="27">
        <f t="shared" si="1"/>
        <v>43242</v>
      </c>
      <c r="E19" s="26">
        <f t="shared" ca="1" si="2"/>
        <v>14074</v>
      </c>
      <c r="F19" s="26" t="s">
        <v>187</v>
      </c>
      <c r="G19" s="26" t="s">
        <v>8</v>
      </c>
      <c r="H19" s="26" t="s">
        <v>188</v>
      </c>
      <c r="I19" s="26" t="s">
        <v>106</v>
      </c>
      <c r="K19" s="8" t="str">
        <f>ReconAccounts!L19</f>
        <v>RECON</v>
      </c>
    </row>
    <row r="20" spans="1:11" x14ac:dyDescent="0.25">
      <c r="A20" s="26" t="str">
        <f>ReconAccounts!F20</f>
        <v>RECON-BANKOFSC-EXT</v>
      </c>
      <c r="B20" s="26" t="s">
        <v>111</v>
      </c>
      <c r="C20" s="26">
        <v>0</v>
      </c>
      <c r="D20" s="27">
        <f t="shared" si="1"/>
        <v>43242</v>
      </c>
      <c r="E20" s="26">
        <f t="shared" ca="1" si="2"/>
        <v>8615</v>
      </c>
      <c r="F20" s="26" t="s">
        <v>189</v>
      </c>
      <c r="G20" s="26" t="s">
        <v>8</v>
      </c>
      <c r="H20" s="26" t="s">
        <v>190</v>
      </c>
      <c r="I20" s="26" t="s">
        <v>106</v>
      </c>
      <c r="K20" s="8" t="str">
        <f>ReconAccounts!L20</f>
        <v>RECON</v>
      </c>
    </row>
    <row r="21" spans="1:11" x14ac:dyDescent="0.25">
      <c r="A21" s="26" t="str">
        <f>ReconAccounts!F21</f>
        <v>RECON-YORKSHIR-EXT</v>
      </c>
      <c r="B21" s="26" t="s">
        <v>111</v>
      </c>
      <c r="C21" s="26">
        <v>0</v>
      </c>
      <c r="D21" s="27">
        <f t="shared" si="1"/>
        <v>43242</v>
      </c>
      <c r="E21" s="26">
        <f t="shared" ca="1" si="2"/>
        <v>5716</v>
      </c>
      <c r="F21" s="26" t="s">
        <v>191</v>
      </c>
      <c r="G21" s="26" t="s">
        <v>8</v>
      </c>
      <c r="H21" s="26" t="s">
        <v>192</v>
      </c>
      <c r="I21" s="26" t="s">
        <v>106</v>
      </c>
      <c r="K21" s="8" t="str">
        <f>ReconAccounts!L21</f>
        <v>RECON</v>
      </c>
    </row>
    <row r="22" spans="1:11" x14ac:dyDescent="0.25">
      <c r="A22" s="26" t="str">
        <f>ReconAccounts!F22</f>
        <v>RECON-LLOYDSBA-EXT</v>
      </c>
      <c r="B22" s="26" t="s">
        <v>111</v>
      </c>
      <c r="C22" s="26">
        <v>0</v>
      </c>
      <c r="D22" s="27">
        <f t="shared" si="1"/>
        <v>43242</v>
      </c>
      <c r="E22" s="26">
        <f t="shared" ca="1" si="2"/>
        <v>-4453</v>
      </c>
      <c r="F22" s="26" t="s">
        <v>193</v>
      </c>
      <c r="G22" s="26" t="s">
        <v>8</v>
      </c>
      <c r="H22" s="26" t="s">
        <v>194</v>
      </c>
      <c r="I22" s="26" t="s">
        <v>106</v>
      </c>
      <c r="K22" s="8" t="str">
        <f>ReconAccounts!L22</f>
        <v>RECON</v>
      </c>
    </row>
    <row r="23" spans="1:11" x14ac:dyDescent="0.25">
      <c r="A23" s="26" t="str">
        <f>ReconAccounts!F23</f>
        <v>RECON-HSBC -EXT</v>
      </c>
      <c r="B23" s="26" t="s">
        <v>111</v>
      </c>
      <c r="C23" s="26">
        <v>0</v>
      </c>
      <c r="D23" s="27">
        <f t="shared" si="1"/>
        <v>43242</v>
      </c>
      <c r="E23" s="26">
        <f t="shared" ca="1" si="2"/>
        <v>-12087</v>
      </c>
      <c r="F23" s="26" t="s">
        <v>195</v>
      </c>
      <c r="G23" s="26" t="s">
        <v>8</v>
      </c>
      <c r="H23" s="26" t="s">
        <v>196</v>
      </c>
      <c r="I23" s="26" t="s">
        <v>106</v>
      </c>
      <c r="K23" s="8" t="str">
        <f>ReconAccounts!L23</f>
        <v>RECON</v>
      </c>
    </row>
    <row r="157" spans="1:1" x14ac:dyDescent="0.25">
      <c r="A157" s="26">
        <f ca="1">A2:A157</f>
        <v>0</v>
      </c>
    </row>
  </sheetData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V242"/>
  <sheetViews>
    <sheetView workbookViewId="0">
      <pane ySplit="1" topLeftCell="A2" activePane="bottomLeft" state="frozen"/>
      <selection pane="bottomLeft" activeCell="I5" sqref="I5"/>
    </sheetView>
  </sheetViews>
  <sheetFormatPr defaultColWidth="16" defaultRowHeight="15" x14ac:dyDescent="0.25"/>
  <cols>
    <col min="1" max="16384" width="16" style="8"/>
  </cols>
  <sheetData>
    <row r="1" spans="1:22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24</v>
      </c>
      <c r="L1" s="9" t="s">
        <v>3</v>
      </c>
      <c r="M1" s="9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35</v>
      </c>
      <c r="T1" s="9" t="s">
        <v>37</v>
      </c>
      <c r="U1" s="9" t="s">
        <v>38</v>
      </c>
      <c r="V1" s="9" t="s">
        <v>39</v>
      </c>
    </row>
    <row r="2" spans="1:22" x14ac:dyDescent="0.25">
      <c r="A2" s="8" t="str">
        <f>F2</f>
        <v>ABC1236</v>
      </c>
      <c r="B2" s="5" t="s">
        <v>1</v>
      </c>
      <c r="C2" s="5"/>
      <c r="D2" s="5">
        <v>0</v>
      </c>
      <c r="E2" s="10" t="s">
        <v>27</v>
      </c>
      <c r="F2" s="5" t="s">
        <v>50</v>
      </c>
      <c r="G2" s="8">
        <v>100131376</v>
      </c>
      <c r="H2" s="8" t="s">
        <v>19</v>
      </c>
      <c r="I2" s="8">
        <v>5</v>
      </c>
      <c r="J2" s="8" t="s">
        <v>5</v>
      </c>
      <c r="K2" s="8">
        <v>5000000</v>
      </c>
      <c r="L2" s="8" t="s">
        <v>25</v>
      </c>
      <c r="M2" s="8" t="s">
        <v>28</v>
      </c>
      <c r="N2" s="8" t="s">
        <v>30</v>
      </c>
      <c r="O2" s="8" t="s">
        <v>4</v>
      </c>
      <c r="P2" s="8" t="s">
        <v>8</v>
      </c>
      <c r="R2" s="8" t="s">
        <v>36</v>
      </c>
      <c r="S2" s="8" t="str">
        <f>"$" &amp; A2</f>
        <v>$ABC1236</v>
      </c>
      <c r="T2" s="8" t="str">
        <f>"$" &amp; A2</f>
        <v>$ABC1236</v>
      </c>
      <c r="U2" s="8" t="str">
        <f>"$" &amp; A2</f>
        <v>$ABC1236</v>
      </c>
      <c r="V2" s="8" t="s">
        <v>40</v>
      </c>
    </row>
    <row r="3" spans="1:22" x14ac:dyDescent="0.25">
      <c r="A3" s="8" t="str">
        <f t="shared" ref="A3:A4" si="0">F3</f>
        <v>ABC1237</v>
      </c>
      <c r="B3" s="5" t="s">
        <v>1</v>
      </c>
      <c r="C3" s="5"/>
      <c r="D3" s="5">
        <v>0</v>
      </c>
      <c r="E3" s="10" t="s">
        <v>27</v>
      </c>
      <c r="F3" s="5" t="s">
        <v>51</v>
      </c>
      <c r="G3" s="8">
        <v>100131376</v>
      </c>
      <c r="H3" s="8" t="s">
        <v>49</v>
      </c>
      <c r="I3" s="8">
        <v>5</v>
      </c>
      <c r="J3" s="8" t="s">
        <v>5</v>
      </c>
      <c r="K3" s="8">
        <v>5000000</v>
      </c>
      <c r="L3" s="8" t="s">
        <v>25</v>
      </c>
      <c r="M3" s="8" t="s">
        <v>28</v>
      </c>
      <c r="N3" s="8" t="s">
        <v>30</v>
      </c>
      <c r="O3" s="8" t="s">
        <v>4</v>
      </c>
      <c r="P3" s="8" t="s">
        <v>8</v>
      </c>
      <c r="R3" s="8" t="s">
        <v>36</v>
      </c>
      <c r="S3" s="8" t="str">
        <f>"$" &amp; A3</f>
        <v>$ABC1237</v>
      </c>
      <c r="T3" s="8" t="str">
        <f>"$" &amp; A3</f>
        <v>$ABC1237</v>
      </c>
      <c r="U3" s="8" t="str">
        <f>"$" &amp; A3</f>
        <v>$ABC1237</v>
      </c>
      <c r="V3" s="8" t="s">
        <v>40</v>
      </c>
    </row>
    <row r="4" spans="1:22" x14ac:dyDescent="0.25">
      <c r="A4" s="8" t="str">
        <f t="shared" si="0"/>
        <v>ABC1238</v>
      </c>
      <c r="B4" s="5" t="s">
        <v>1</v>
      </c>
      <c r="C4" s="5"/>
      <c r="D4" s="5">
        <v>0</v>
      </c>
      <c r="E4" s="10" t="s">
        <v>27</v>
      </c>
      <c r="F4" s="5" t="s">
        <v>52</v>
      </c>
      <c r="G4" s="8">
        <v>100131376</v>
      </c>
      <c r="H4" s="8" t="s">
        <v>49</v>
      </c>
      <c r="I4" s="8">
        <v>3</v>
      </c>
      <c r="J4" s="8" t="s">
        <v>5</v>
      </c>
      <c r="K4" s="8">
        <v>5000000</v>
      </c>
      <c r="L4" s="8" t="s">
        <v>25</v>
      </c>
      <c r="M4" s="8" t="s">
        <v>28</v>
      </c>
      <c r="N4" s="8" t="s">
        <v>30</v>
      </c>
      <c r="O4" s="8" t="s">
        <v>4</v>
      </c>
      <c r="P4" s="8" t="s">
        <v>9</v>
      </c>
      <c r="R4" s="8" t="s">
        <v>36</v>
      </c>
      <c r="S4" s="8" t="str">
        <f>"$" &amp; A4</f>
        <v>$ABC1238</v>
      </c>
      <c r="T4" s="8" t="str">
        <f>"$" &amp; A4</f>
        <v>$ABC1238</v>
      </c>
      <c r="U4" s="8" t="str">
        <f>"$" &amp; A4</f>
        <v>$ABC1238</v>
      </c>
      <c r="V4" s="8" t="s">
        <v>40</v>
      </c>
    </row>
    <row r="5" spans="1:22" x14ac:dyDescent="0.25">
      <c r="B5" s="5"/>
      <c r="C5" s="5"/>
      <c r="D5" s="5"/>
      <c r="E5" s="10"/>
      <c r="F5" s="5"/>
    </row>
    <row r="6" spans="1:22" x14ac:dyDescent="0.25">
      <c r="B6" s="5"/>
      <c r="C6" s="5"/>
      <c r="D6" s="5"/>
      <c r="E6" s="10"/>
      <c r="F6" s="5"/>
    </row>
    <row r="7" spans="1:22" x14ac:dyDescent="0.25">
      <c r="B7" s="5"/>
      <c r="C7" s="5"/>
      <c r="D7" s="5"/>
      <c r="E7" s="10"/>
      <c r="F7" s="5"/>
    </row>
    <row r="8" spans="1:22" x14ac:dyDescent="0.25">
      <c r="B8" s="5"/>
      <c r="C8" s="5"/>
      <c r="D8" s="5"/>
      <c r="E8" s="10"/>
      <c r="F8" s="5"/>
    </row>
    <row r="9" spans="1:22" x14ac:dyDescent="0.25">
      <c r="B9" s="5"/>
      <c r="C9" s="5"/>
      <c r="D9" s="5"/>
      <c r="E9" s="10"/>
      <c r="F9" s="5"/>
    </row>
    <row r="10" spans="1:22" x14ac:dyDescent="0.25">
      <c r="B10" s="5"/>
      <c r="C10" s="5"/>
      <c r="D10" s="5"/>
      <c r="E10" s="10"/>
      <c r="F10" s="5"/>
    </row>
    <row r="11" spans="1:22" x14ac:dyDescent="0.25">
      <c r="B11" s="5"/>
      <c r="C11" s="5"/>
      <c r="D11" s="5"/>
      <c r="E11" s="10"/>
      <c r="F11" s="5"/>
    </row>
    <row r="12" spans="1:22" x14ac:dyDescent="0.25">
      <c r="B12" s="5"/>
      <c r="C12" s="5"/>
      <c r="D12" s="5"/>
      <c r="E12" s="10"/>
      <c r="F12" s="5"/>
    </row>
    <row r="13" spans="1:22" x14ac:dyDescent="0.25">
      <c r="B13" s="5"/>
      <c r="C13" s="5"/>
      <c r="D13" s="5"/>
      <c r="E13" s="10"/>
      <c r="F13" s="5"/>
    </row>
    <row r="14" spans="1:22" x14ac:dyDescent="0.25">
      <c r="B14" s="5"/>
      <c r="C14" s="5"/>
      <c r="D14" s="5"/>
      <c r="E14" s="10"/>
      <c r="F14" s="5"/>
    </row>
    <row r="15" spans="1:22" x14ac:dyDescent="0.25">
      <c r="B15" s="5"/>
      <c r="C15" s="5"/>
      <c r="D15" s="5"/>
      <c r="E15" s="10"/>
      <c r="F15" s="5"/>
    </row>
    <row r="16" spans="1:22" x14ac:dyDescent="0.25">
      <c r="B16" s="5"/>
      <c r="C16" s="5"/>
      <c r="D16" s="5"/>
      <c r="E16" s="10"/>
      <c r="F16" s="5"/>
    </row>
    <row r="17" spans="2:6" x14ac:dyDescent="0.25">
      <c r="B17" s="5"/>
      <c r="C17" s="5"/>
      <c r="D17" s="5"/>
      <c r="E17" s="10"/>
      <c r="F17" s="5"/>
    </row>
    <row r="18" spans="2:6" x14ac:dyDescent="0.25">
      <c r="B18" s="5"/>
      <c r="C18" s="5"/>
      <c r="D18" s="5"/>
      <c r="E18" s="10"/>
      <c r="F18" s="5"/>
    </row>
    <row r="19" spans="2:6" x14ac:dyDescent="0.25">
      <c r="B19" s="5"/>
      <c r="C19" s="5"/>
      <c r="D19" s="5"/>
      <c r="E19" s="10"/>
      <c r="F19" s="5"/>
    </row>
    <row r="20" spans="2:6" x14ac:dyDescent="0.25">
      <c r="B20" s="5"/>
      <c r="C20" s="5"/>
      <c r="D20" s="5"/>
      <c r="E20" s="10"/>
      <c r="F20" s="5"/>
    </row>
    <row r="21" spans="2:6" x14ac:dyDescent="0.25">
      <c r="B21" s="5"/>
      <c r="C21" s="5"/>
      <c r="D21" s="5"/>
      <c r="E21" s="10"/>
      <c r="F21" s="5"/>
    </row>
    <row r="22" spans="2:6" x14ac:dyDescent="0.25">
      <c r="B22" s="5"/>
      <c r="C22" s="5"/>
      <c r="D22" s="5"/>
      <c r="E22" s="10"/>
      <c r="F22" s="5"/>
    </row>
    <row r="23" spans="2:6" x14ac:dyDescent="0.25">
      <c r="B23" s="5"/>
      <c r="C23" s="5"/>
      <c r="D23" s="5"/>
      <c r="E23" s="10"/>
      <c r="F23" s="5"/>
    </row>
    <row r="24" spans="2:6" x14ac:dyDescent="0.25">
      <c r="B24" s="5"/>
      <c r="C24" s="5"/>
      <c r="D24" s="5"/>
      <c r="E24" s="10"/>
      <c r="F24" s="5"/>
    </row>
    <row r="25" spans="2:6" x14ac:dyDescent="0.25">
      <c r="B25" s="5"/>
      <c r="C25" s="5"/>
      <c r="D25" s="5"/>
      <c r="E25" s="10"/>
      <c r="F25" s="5"/>
    </row>
    <row r="26" spans="2:6" x14ac:dyDescent="0.25">
      <c r="B26" s="5"/>
      <c r="C26" s="5"/>
      <c r="D26" s="5"/>
      <c r="E26" s="10"/>
      <c r="F26" s="5"/>
    </row>
    <row r="27" spans="2:6" x14ac:dyDescent="0.25">
      <c r="B27" s="5"/>
      <c r="C27" s="5"/>
      <c r="D27" s="5"/>
      <c r="E27" s="10"/>
      <c r="F27" s="5"/>
    </row>
    <row r="28" spans="2:6" x14ac:dyDescent="0.25">
      <c r="B28" s="5"/>
      <c r="C28" s="5"/>
      <c r="D28" s="5"/>
      <c r="E28" s="10"/>
      <c r="F28" s="5"/>
    </row>
    <row r="29" spans="2:6" x14ac:dyDescent="0.25">
      <c r="B29" s="5"/>
      <c r="C29" s="5"/>
      <c r="D29" s="5"/>
      <c r="E29" s="10"/>
      <c r="F29" s="5"/>
    </row>
    <row r="30" spans="2:6" x14ac:dyDescent="0.25">
      <c r="B30" s="5"/>
      <c r="C30" s="5"/>
      <c r="D30" s="5"/>
      <c r="E30" s="10"/>
      <c r="F30" s="5"/>
    </row>
    <row r="31" spans="2:6" x14ac:dyDescent="0.25">
      <c r="B31" s="5"/>
      <c r="C31" s="5"/>
      <c r="D31" s="5"/>
      <c r="E31" s="10"/>
      <c r="F31" s="5"/>
    </row>
    <row r="32" spans="2:6" x14ac:dyDescent="0.25">
      <c r="B32" s="5"/>
      <c r="C32" s="5"/>
      <c r="D32" s="5"/>
      <c r="E32" s="10"/>
      <c r="F32" s="5"/>
    </row>
    <row r="33" spans="2:6" x14ac:dyDescent="0.25">
      <c r="B33" s="5"/>
      <c r="C33" s="5"/>
      <c r="D33" s="5"/>
      <c r="E33" s="10"/>
      <c r="F33" s="5"/>
    </row>
    <row r="34" spans="2:6" x14ac:dyDescent="0.25">
      <c r="B34" s="5"/>
      <c r="C34" s="5"/>
      <c r="D34" s="5"/>
      <c r="E34" s="10"/>
      <c r="F34" s="5"/>
    </row>
    <row r="35" spans="2:6" x14ac:dyDescent="0.25">
      <c r="B35" s="5"/>
      <c r="C35" s="5"/>
      <c r="D35" s="5"/>
      <c r="E35" s="10"/>
      <c r="F35" s="5"/>
    </row>
    <row r="36" spans="2:6" x14ac:dyDescent="0.25">
      <c r="B36" s="5"/>
      <c r="C36" s="5"/>
      <c r="D36" s="5"/>
      <c r="E36" s="10"/>
      <c r="F36" s="5"/>
    </row>
    <row r="37" spans="2:6" x14ac:dyDescent="0.25">
      <c r="B37" s="5"/>
      <c r="C37" s="5"/>
      <c r="D37" s="5"/>
      <c r="E37" s="10"/>
      <c r="F37" s="5"/>
    </row>
    <row r="38" spans="2:6" x14ac:dyDescent="0.25">
      <c r="B38" s="5"/>
      <c r="C38" s="5"/>
      <c r="D38" s="5"/>
      <c r="E38" s="10"/>
      <c r="F38" s="5"/>
    </row>
    <row r="39" spans="2:6" x14ac:dyDescent="0.25">
      <c r="B39" s="5"/>
      <c r="C39" s="5"/>
      <c r="D39" s="5"/>
      <c r="E39" s="10"/>
      <c r="F39" s="5"/>
    </row>
    <row r="40" spans="2:6" x14ac:dyDescent="0.25">
      <c r="B40" s="5"/>
      <c r="C40" s="5"/>
      <c r="D40" s="5"/>
      <c r="E40" s="10"/>
      <c r="F40" s="5"/>
    </row>
    <row r="41" spans="2:6" x14ac:dyDescent="0.25">
      <c r="B41" s="5"/>
      <c r="C41" s="5"/>
      <c r="D41" s="5"/>
      <c r="E41" s="10"/>
      <c r="F41" s="5"/>
    </row>
    <row r="42" spans="2:6" x14ac:dyDescent="0.25">
      <c r="B42" s="5"/>
      <c r="C42" s="5"/>
      <c r="D42" s="5"/>
      <c r="E42" s="10"/>
      <c r="F42" s="5"/>
    </row>
    <row r="43" spans="2:6" x14ac:dyDescent="0.25">
      <c r="B43" s="5"/>
      <c r="C43" s="5"/>
      <c r="D43" s="5"/>
      <c r="E43" s="10"/>
      <c r="F43" s="5"/>
    </row>
    <row r="44" spans="2:6" x14ac:dyDescent="0.25">
      <c r="B44" s="5"/>
      <c r="C44" s="5"/>
      <c r="D44" s="5"/>
      <c r="E44" s="10"/>
      <c r="F44" s="5"/>
    </row>
    <row r="45" spans="2:6" x14ac:dyDescent="0.25">
      <c r="B45" s="5"/>
      <c r="C45" s="5"/>
      <c r="D45" s="5"/>
      <c r="E45" s="10"/>
      <c r="F45" s="5"/>
    </row>
    <row r="46" spans="2:6" x14ac:dyDescent="0.25">
      <c r="B46" s="5"/>
      <c r="C46" s="5"/>
      <c r="D46" s="5"/>
      <c r="E46" s="10"/>
      <c r="F46" s="5"/>
    </row>
    <row r="47" spans="2:6" x14ac:dyDescent="0.25">
      <c r="B47" s="5"/>
      <c r="C47" s="5"/>
      <c r="D47" s="5"/>
      <c r="E47" s="10"/>
      <c r="F47" s="5"/>
    </row>
    <row r="48" spans="2:6" x14ac:dyDescent="0.25">
      <c r="B48" s="5"/>
      <c r="C48" s="5"/>
      <c r="D48" s="5"/>
      <c r="E48" s="10"/>
      <c r="F48" s="5"/>
    </row>
    <row r="49" spans="2:6" x14ac:dyDescent="0.25">
      <c r="B49" s="5"/>
      <c r="C49" s="5"/>
      <c r="D49" s="5"/>
      <c r="E49" s="10"/>
      <c r="F49" s="5"/>
    </row>
    <row r="50" spans="2:6" x14ac:dyDescent="0.25">
      <c r="B50" s="5"/>
      <c r="C50" s="5"/>
      <c r="D50" s="5"/>
      <c r="E50" s="10"/>
      <c r="F50" s="5"/>
    </row>
    <row r="51" spans="2:6" x14ac:dyDescent="0.25">
      <c r="B51" s="5"/>
      <c r="C51" s="5"/>
      <c r="D51" s="5"/>
      <c r="E51" s="10"/>
      <c r="F51" s="5"/>
    </row>
    <row r="52" spans="2:6" x14ac:dyDescent="0.25">
      <c r="B52" s="5"/>
      <c r="C52" s="5"/>
      <c r="D52" s="5"/>
      <c r="E52" s="10"/>
      <c r="F52" s="5"/>
    </row>
    <row r="53" spans="2:6" x14ac:dyDescent="0.25">
      <c r="B53" s="5"/>
      <c r="C53" s="5"/>
      <c r="D53" s="5"/>
      <c r="E53" s="10"/>
      <c r="F53" s="5"/>
    </row>
    <row r="54" spans="2:6" x14ac:dyDescent="0.25">
      <c r="B54" s="5"/>
      <c r="C54" s="5"/>
      <c r="D54" s="5"/>
      <c r="E54" s="10"/>
      <c r="F54" s="5"/>
    </row>
    <row r="55" spans="2:6" x14ac:dyDescent="0.25">
      <c r="B55" s="5"/>
      <c r="C55" s="5"/>
      <c r="D55" s="5"/>
      <c r="E55" s="10"/>
      <c r="F55" s="5"/>
    </row>
    <row r="56" spans="2:6" x14ac:dyDescent="0.25">
      <c r="B56" s="5"/>
      <c r="C56" s="5"/>
      <c r="D56" s="5"/>
      <c r="E56" s="10"/>
      <c r="F56" s="5"/>
    </row>
    <row r="57" spans="2:6" x14ac:dyDescent="0.25">
      <c r="B57" s="5"/>
      <c r="C57" s="5"/>
      <c r="D57" s="5"/>
      <c r="E57" s="10"/>
      <c r="F57" s="5"/>
    </row>
    <row r="58" spans="2:6" x14ac:dyDescent="0.25">
      <c r="B58" s="5"/>
      <c r="C58" s="5"/>
      <c r="D58" s="5"/>
      <c r="E58" s="10"/>
      <c r="F58" s="5"/>
    </row>
    <row r="59" spans="2:6" x14ac:dyDescent="0.25">
      <c r="B59" s="5"/>
      <c r="C59" s="5"/>
      <c r="D59" s="5"/>
      <c r="E59" s="10"/>
      <c r="F59" s="5"/>
    </row>
    <row r="60" spans="2:6" x14ac:dyDescent="0.25">
      <c r="B60" s="5"/>
      <c r="C60" s="5"/>
      <c r="D60" s="5"/>
      <c r="E60" s="10"/>
      <c r="F60" s="5"/>
    </row>
    <row r="61" spans="2:6" x14ac:dyDescent="0.25">
      <c r="B61" s="5"/>
      <c r="C61" s="5"/>
      <c r="D61" s="5"/>
      <c r="E61" s="10"/>
      <c r="F61" s="5"/>
    </row>
    <row r="62" spans="2:6" x14ac:dyDescent="0.25">
      <c r="B62" s="5"/>
      <c r="C62" s="5"/>
      <c r="D62" s="5"/>
      <c r="E62" s="10"/>
      <c r="F62" s="5"/>
    </row>
    <row r="63" spans="2:6" x14ac:dyDescent="0.25">
      <c r="B63" s="5"/>
      <c r="C63" s="5"/>
      <c r="D63" s="5"/>
      <c r="E63" s="10"/>
      <c r="F63" s="5"/>
    </row>
    <row r="64" spans="2:6" x14ac:dyDescent="0.25">
      <c r="B64" s="5"/>
      <c r="C64" s="5"/>
      <c r="D64" s="5"/>
      <c r="E64" s="10"/>
      <c r="F64" s="5"/>
    </row>
    <row r="65" spans="2:6" x14ac:dyDescent="0.25">
      <c r="B65" s="5"/>
      <c r="C65" s="5"/>
      <c r="D65" s="5"/>
      <c r="E65" s="10"/>
      <c r="F65" s="5"/>
    </row>
    <row r="66" spans="2:6" x14ac:dyDescent="0.25">
      <c r="B66" s="5"/>
      <c r="C66" s="5"/>
      <c r="D66" s="5"/>
      <c r="E66" s="10"/>
      <c r="F66" s="5"/>
    </row>
    <row r="67" spans="2:6" x14ac:dyDescent="0.25">
      <c r="B67" s="5"/>
      <c r="C67" s="5"/>
      <c r="D67" s="5"/>
      <c r="E67" s="10"/>
      <c r="F67" s="5"/>
    </row>
    <row r="68" spans="2:6" x14ac:dyDescent="0.25">
      <c r="B68" s="5"/>
      <c r="C68" s="5"/>
      <c r="D68" s="5"/>
      <c r="E68" s="10"/>
      <c r="F68" s="5"/>
    </row>
    <row r="69" spans="2:6" x14ac:dyDescent="0.25">
      <c r="B69" s="5"/>
      <c r="C69" s="5"/>
      <c r="D69" s="5"/>
      <c r="E69" s="10"/>
      <c r="F69" s="5"/>
    </row>
    <row r="70" spans="2:6" x14ac:dyDescent="0.25">
      <c r="B70" s="5"/>
      <c r="C70" s="5"/>
      <c r="D70" s="5"/>
      <c r="E70" s="10"/>
      <c r="F70" s="5"/>
    </row>
    <row r="71" spans="2:6" x14ac:dyDescent="0.25">
      <c r="B71" s="5"/>
      <c r="C71" s="5"/>
      <c r="D71" s="5"/>
      <c r="E71" s="10"/>
      <c r="F71" s="5"/>
    </row>
    <row r="72" spans="2:6" x14ac:dyDescent="0.25">
      <c r="B72" s="5"/>
      <c r="C72" s="5"/>
      <c r="D72" s="5"/>
      <c r="E72" s="10"/>
      <c r="F72" s="5"/>
    </row>
    <row r="73" spans="2:6" x14ac:dyDescent="0.25">
      <c r="B73" s="5"/>
      <c r="C73" s="5"/>
      <c r="D73" s="5"/>
      <c r="E73" s="10"/>
      <c r="F73" s="5"/>
    </row>
    <row r="74" spans="2:6" x14ac:dyDescent="0.25">
      <c r="B74" s="5"/>
      <c r="C74" s="5"/>
      <c r="D74" s="5"/>
      <c r="E74" s="10"/>
      <c r="F74" s="5"/>
    </row>
    <row r="75" spans="2:6" x14ac:dyDescent="0.25">
      <c r="B75" s="5"/>
      <c r="C75" s="5"/>
      <c r="D75" s="5"/>
      <c r="E75" s="10"/>
      <c r="F75" s="5"/>
    </row>
    <row r="76" spans="2:6" x14ac:dyDescent="0.25">
      <c r="B76" s="5"/>
      <c r="C76" s="5"/>
      <c r="D76" s="5"/>
      <c r="E76" s="10"/>
      <c r="F76" s="5"/>
    </row>
    <row r="77" spans="2:6" x14ac:dyDescent="0.25">
      <c r="B77" s="5"/>
      <c r="C77" s="5"/>
      <c r="D77" s="5"/>
      <c r="E77" s="10"/>
      <c r="F77" s="5"/>
    </row>
    <row r="78" spans="2:6" x14ac:dyDescent="0.25">
      <c r="B78" s="5"/>
      <c r="C78" s="5"/>
      <c r="D78" s="5"/>
      <c r="E78" s="10"/>
      <c r="F78" s="5"/>
    </row>
    <row r="79" spans="2:6" x14ac:dyDescent="0.25">
      <c r="B79" s="5"/>
      <c r="C79" s="5"/>
      <c r="D79" s="5"/>
      <c r="E79" s="10"/>
      <c r="F79" s="5"/>
    </row>
    <row r="80" spans="2:6" x14ac:dyDescent="0.25">
      <c r="B80" s="5"/>
      <c r="C80" s="5"/>
      <c r="D80" s="5"/>
      <c r="E80" s="10"/>
      <c r="F80" s="5"/>
    </row>
    <row r="81" spans="2:6" x14ac:dyDescent="0.25">
      <c r="B81" s="5"/>
      <c r="C81" s="5"/>
      <c r="D81" s="5"/>
      <c r="E81" s="10"/>
      <c r="F81" s="5"/>
    </row>
    <row r="82" spans="2:6" x14ac:dyDescent="0.25">
      <c r="B82" s="5"/>
      <c r="C82" s="5"/>
      <c r="D82" s="5"/>
      <c r="E82" s="10"/>
      <c r="F82" s="5"/>
    </row>
    <row r="83" spans="2:6" x14ac:dyDescent="0.25">
      <c r="B83" s="5"/>
      <c r="C83" s="5"/>
      <c r="D83" s="5"/>
      <c r="E83" s="10"/>
      <c r="F83" s="5"/>
    </row>
    <row r="84" spans="2:6" x14ac:dyDescent="0.25">
      <c r="B84" s="5"/>
      <c r="C84" s="5"/>
      <c r="D84" s="5"/>
      <c r="E84" s="10"/>
      <c r="F84" s="5"/>
    </row>
    <row r="85" spans="2:6" x14ac:dyDescent="0.25">
      <c r="B85" s="5"/>
      <c r="C85" s="5"/>
      <c r="D85" s="5"/>
      <c r="E85" s="10"/>
      <c r="F85" s="5"/>
    </row>
    <row r="86" spans="2:6" x14ac:dyDescent="0.25">
      <c r="B86" s="5"/>
      <c r="C86" s="5"/>
      <c r="D86" s="5"/>
      <c r="E86" s="10"/>
      <c r="F86" s="5"/>
    </row>
    <row r="87" spans="2:6" x14ac:dyDescent="0.25">
      <c r="B87" s="5"/>
      <c r="C87" s="5"/>
      <c r="D87" s="5"/>
      <c r="E87" s="10"/>
      <c r="F87" s="5"/>
    </row>
    <row r="88" spans="2:6" x14ac:dyDescent="0.25">
      <c r="B88" s="5"/>
      <c r="C88" s="5"/>
      <c r="D88" s="5"/>
      <c r="E88" s="10"/>
      <c r="F88" s="5"/>
    </row>
    <row r="89" spans="2:6" x14ac:dyDescent="0.25">
      <c r="B89" s="5"/>
      <c r="C89" s="5"/>
      <c r="D89" s="5"/>
      <c r="E89" s="10"/>
      <c r="F89" s="5"/>
    </row>
    <row r="90" spans="2:6" x14ac:dyDescent="0.25">
      <c r="B90" s="5"/>
      <c r="C90" s="5"/>
      <c r="D90" s="5"/>
      <c r="E90" s="10"/>
      <c r="F90" s="5"/>
    </row>
    <row r="91" spans="2:6" x14ac:dyDescent="0.25">
      <c r="B91" s="5"/>
      <c r="C91" s="5"/>
      <c r="D91" s="5"/>
      <c r="E91" s="10"/>
      <c r="F91" s="5"/>
    </row>
    <row r="92" spans="2:6" x14ac:dyDescent="0.25">
      <c r="B92" s="5"/>
      <c r="C92" s="5"/>
      <c r="D92" s="5"/>
      <c r="E92" s="10"/>
      <c r="F92" s="5"/>
    </row>
    <row r="93" spans="2:6" x14ac:dyDescent="0.25">
      <c r="B93" s="5"/>
      <c r="C93" s="5"/>
      <c r="D93" s="5"/>
      <c r="E93" s="10"/>
      <c r="F93" s="5"/>
    </row>
    <row r="94" spans="2:6" x14ac:dyDescent="0.25">
      <c r="B94" s="5"/>
      <c r="C94" s="5"/>
      <c r="D94" s="5"/>
      <c r="E94" s="10"/>
      <c r="F94" s="5"/>
    </row>
    <row r="95" spans="2:6" x14ac:dyDescent="0.25">
      <c r="B95" s="5"/>
      <c r="C95" s="5"/>
      <c r="D95" s="5"/>
      <c r="E95" s="10"/>
      <c r="F95" s="5"/>
    </row>
    <row r="96" spans="2:6" x14ac:dyDescent="0.25">
      <c r="B96" s="5"/>
      <c r="C96" s="5"/>
      <c r="D96" s="5"/>
      <c r="E96" s="10"/>
      <c r="F96" s="5"/>
    </row>
    <row r="97" spans="2:6" x14ac:dyDescent="0.25">
      <c r="B97" s="5"/>
      <c r="C97" s="5"/>
      <c r="D97" s="5"/>
      <c r="E97" s="10"/>
      <c r="F97" s="5"/>
    </row>
    <row r="98" spans="2:6" x14ac:dyDescent="0.25">
      <c r="B98" s="5"/>
      <c r="C98" s="5"/>
      <c r="D98" s="5"/>
      <c r="E98" s="10"/>
      <c r="F98" s="5"/>
    </row>
    <row r="99" spans="2:6" x14ac:dyDescent="0.25">
      <c r="B99" s="5"/>
      <c r="C99" s="5"/>
      <c r="D99" s="5"/>
      <c r="E99" s="10"/>
      <c r="F99" s="5"/>
    </row>
    <row r="100" spans="2:6" x14ac:dyDescent="0.25">
      <c r="B100" s="5"/>
      <c r="C100" s="5"/>
      <c r="D100" s="5"/>
      <c r="E100" s="10"/>
      <c r="F100" s="5"/>
    </row>
    <row r="101" spans="2:6" x14ac:dyDescent="0.25">
      <c r="B101" s="5"/>
      <c r="C101" s="5"/>
      <c r="D101" s="5"/>
      <c r="E101" s="10"/>
      <c r="F101" s="5"/>
    </row>
    <row r="102" spans="2:6" x14ac:dyDescent="0.25">
      <c r="B102" s="5"/>
      <c r="C102" s="5"/>
      <c r="D102" s="5"/>
      <c r="E102" s="10"/>
      <c r="F102" s="5"/>
    </row>
    <row r="103" spans="2:6" x14ac:dyDescent="0.25">
      <c r="B103" s="5"/>
      <c r="C103" s="5"/>
      <c r="D103" s="5"/>
      <c r="E103" s="10"/>
      <c r="F103" s="5"/>
    </row>
    <row r="104" spans="2:6" x14ac:dyDescent="0.25">
      <c r="B104" s="5"/>
      <c r="C104" s="5"/>
      <c r="D104" s="5"/>
      <c r="E104" s="10"/>
      <c r="F104" s="5"/>
    </row>
    <row r="105" spans="2:6" x14ac:dyDescent="0.25">
      <c r="B105" s="5"/>
      <c r="C105" s="5"/>
      <c r="D105" s="5"/>
      <c r="E105" s="10"/>
      <c r="F105" s="5"/>
    </row>
    <row r="106" spans="2:6" x14ac:dyDescent="0.25">
      <c r="B106" s="5"/>
      <c r="C106" s="5"/>
      <c r="D106" s="5"/>
      <c r="E106" s="10"/>
      <c r="F106" s="5"/>
    </row>
    <row r="107" spans="2:6" x14ac:dyDescent="0.25">
      <c r="B107" s="5"/>
      <c r="C107" s="5"/>
      <c r="D107" s="5"/>
      <c r="E107" s="10"/>
      <c r="F107" s="5"/>
    </row>
    <row r="108" spans="2:6" x14ac:dyDescent="0.25">
      <c r="B108" s="5"/>
      <c r="C108" s="5"/>
      <c r="D108" s="5"/>
      <c r="E108" s="10"/>
      <c r="F108" s="5"/>
    </row>
    <row r="109" spans="2:6" x14ac:dyDescent="0.25">
      <c r="B109" s="5"/>
      <c r="C109" s="5"/>
      <c r="D109" s="5"/>
      <c r="E109" s="10"/>
      <c r="F109" s="5"/>
    </row>
    <row r="110" spans="2:6" x14ac:dyDescent="0.25">
      <c r="B110" s="5"/>
      <c r="C110" s="5"/>
      <c r="D110" s="5"/>
      <c r="E110" s="10"/>
      <c r="F110" s="5"/>
    </row>
    <row r="111" spans="2:6" x14ac:dyDescent="0.25">
      <c r="B111" s="5"/>
      <c r="C111" s="5"/>
      <c r="D111" s="5"/>
      <c r="E111" s="10"/>
      <c r="F111" s="5"/>
    </row>
    <row r="112" spans="2:6" x14ac:dyDescent="0.25">
      <c r="B112" s="5"/>
      <c r="C112" s="5"/>
      <c r="D112" s="5"/>
      <c r="E112" s="10"/>
      <c r="F112" s="5"/>
    </row>
    <row r="113" spans="2:6" x14ac:dyDescent="0.25">
      <c r="B113" s="5"/>
      <c r="C113" s="5"/>
      <c r="D113" s="5"/>
      <c r="E113" s="10"/>
      <c r="F113" s="5"/>
    </row>
    <row r="114" spans="2:6" x14ac:dyDescent="0.25">
      <c r="B114" s="5"/>
      <c r="C114" s="5"/>
      <c r="D114" s="5"/>
      <c r="E114" s="10"/>
      <c r="F114" s="5"/>
    </row>
    <row r="115" spans="2:6" x14ac:dyDescent="0.25">
      <c r="B115" s="5"/>
      <c r="C115" s="5"/>
      <c r="D115" s="5"/>
      <c r="E115" s="10"/>
      <c r="F115" s="5"/>
    </row>
    <row r="116" spans="2:6" x14ac:dyDescent="0.25">
      <c r="B116" s="5"/>
      <c r="C116" s="5"/>
      <c r="D116" s="5"/>
      <c r="E116" s="10"/>
      <c r="F116" s="5"/>
    </row>
    <row r="117" spans="2:6" x14ac:dyDescent="0.25">
      <c r="B117" s="5"/>
      <c r="C117" s="5"/>
      <c r="D117" s="5"/>
      <c r="E117" s="10"/>
      <c r="F117" s="5"/>
    </row>
    <row r="118" spans="2:6" x14ac:dyDescent="0.25">
      <c r="B118" s="5"/>
      <c r="C118" s="5"/>
      <c r="D118" s="5"/>
      <c r="E118" s="10"/>
      <c r="F118" s="5"/>
    </row>
    <row r="119" spans="2:6" x14ac:dyDescent="0.25">
      <c r="B119" s="5"/>
      <c r="C119" s="5"/>
      <c r="D119" s="5"/>
      <c r="E119" s="10"/>
      <c r="F119" s="5"/>
    </row>
    <row r="120" spans="2:6" x14ac:dyDescent="0.25">
      <c r="B120" s="5"/>
      <c r="C120" s="5"/>
      <c r="D120" s="5"/>
      <c r="E120" s="10"/>
      <c r="F120" s="5"/>
    </row>
    <row r="121" spans="2:6" x14ac:dyDescent="0.25">
      <c r="B121" s="5"/>
      <c r="C121" s="5"/>
      <c r="D121" s="5"/>
      <c r="E121" s="10"/>
      <c r="F121" s="5"/>
    </row>
    <row r="122" spans="2:6" x14ac:dyDescent="0.25">
      <c r="B122" s="5"/>
      <c r="C122" s="5"/>
      <c r="D122" s="5"/>
      <c r="E122" s="10"/>
      <c r="F122" s="5"/>
    </row>
    <row r="123" spans="2:6" x14ac:dyDescent="0.25">
      <c r="B123" s="5"/>
      <c r="C123" s="5"/>
      <c r="D123" s="5"/>
      <c r="E123" s="10"/>
      <c r="F123" s="5"/>
    </row>
    <row r="124" spans="2:6" x14ac:dyDescent="0.25">
      <c r="B124" s="5"/>
      <c r="C124" s="5"/>
      <c r="D124" s="5"/>
      <c r="E124" s="10"/>
      <c r="F124" s="5"/>
    </row>
    <row r="125" spans="2:6" x14ac:dyDescent="0.25">
      <c r="B125" s="5"/>
      <c r="C125" s="5"/>
      <c r="D125" s="5"/>
      <c r="E125" s="10"/>
      <c r="F125" s="5"/>
    </row>
    <row r="126" spans="2:6" x14ac:dyDescent="0.25">
      <c r="B126" s="5"/>
      <c r="C126" s="5"/>
      <c r="D126" s="5"/>
      <c r="E126" s="10"/>
      <c r="F126" s="5"/>
    </row>
    <row r="127" spans="2:6" x14ac:dyDescent="0.25">
      <c r="B127" s="5"/>
      <c r="C127" s="5"/>
      <c r="D127" s="5"/>
      <c r="E127" s="10"/>
      <c r="F127" s="5"/>
    </row>
    <row r="128" spans="2:6" x14ac:dyDescent="0.25">
      <c r="B128" s="5"/>
      <c r="C128" s="5"/>
      <c r="D128" s="5"/>
      <c r="E128" s="10"/>
      <c r="F128" s="5"/>
    </row>
    <row r="129" spans="2:6" x14ac:dyDescent="0.25">
      <c r="B129" s="5"/>
      <c r="C129" s="5"/>
      <c r="D129" s="5"/>
      <c r="E129" s="10"/>
      <c r="F129" s="5"/>
    </row>
    <row r="130" spans="2:6" x14ac:dyDescent="0.25">
      <c r="B130" s="5"/>
      <c r="C130" s="5"/>
      <c r="D130" s="5"/>
      <c r="E130" s="10"/>
      <c r="F130" s="5"/>
    </row>
    <row r="131" spans="2:6" x14ac:dyDescent="0.25">
      <c r="B131" s="5"/>
      <c r="C131" s="5"/>
      <c r="D131" s="5"/>
      <c r="E131" s="10"/>
      <c r="F131" s="5"/>
    </row>
    <row r="132" spans="2:6" x14ac:dyDescent="0.25">
      <c r="B132" s="5"/>
      <c r="C132" s="5"/>
      <c r="D132" s="5"/>
      <c r="E132" s="10"/>
      <c r="F132" s="5"/>
    </row>
    <row r="133" spans="2:6" x14ac:dyDescent="0.25">
      <c r="B133" s="5"/>
      <c r="C133" s="5"/>
      <c r="D133" s="5"/>
      <c r="E133" s="10"/>
      <c r="F133" s="5"/>
    </row>
    <row r="134" spans="2:6" x14ac:dyDescent="0.25">
      <c r="B134" s="5"/>
      <c r="C134" s="5"/>
      <c r="D134" s="5"/>
      <c r="E134" s="10"/>
      <c r="F134" s="5"/>
    </row>
    <row r="135" spans="2:6" x14ac:dyDescent="0.25">
      <c r="B135" s="5"/>
      <c r="C135" s="5"/>
      <c r="D135" s="5"/>
      <c r="E135" s="10"/>
      <c r="F135" s="5"/>
    </row>
    <row r="136" spans="2:6" x14ac:dyDescent="0.25">
      <c r="B136" s="5"/>
      <c r="C136" s="5"/>
      <c r="D136" s="5"/>
      <c r="E136" s="10"/>
      <c r="F136" s="5"/>
    </row>
    <row r="137" spans="2:6" x14ac:dyDescent="0.25">
      <c r="B137" s="5"/>
      <c r="C137" s="5"/>
      <c r="D137" s="5"/>
      <c r="E137" s="10"/>
      <c r="F137" s="5"/>
    </row>
    <row r="138" spans="2:6" x14ac:dyDescent="0.25">
      <c r="B138" s="5"/>
      <c r="C138" s="5"/>
      <c r="D138" s="5"/>
      <c r="E138" s="10"/>
      <c r="F138" s="5"/>
    </row>
    <row r="139" spans="2:6" x14ac:dyDescent="0.25">
      <c r="B139" s="5"/>
      <c r="C139" s="5"/>
      <c r="D139" s="5"/>
      <c r="E139" s="10"/>
      <c r="F139" s="5"/>
    </row>
    <row r="140" spans="2:6" x14ac:dyDescent="0.25">
      <c r="B140" s="5"/>
      <c r="C140" s="5"/>
      <c r="D140" s="5"/>
      <c r="E140" s="10"/>
      <c r="F140" s="5"/>
    </row>
    <row r="141" spans="2:6" x14ac:dyDescent="0.25">
      <c r="B141" s="5"/>
      <c r="C141" s="5"/>
      <c r="D141" s="5"/>
      <c r="E141" s="10"/>
      <c r="F141" s="5"/>
    </row>
    <row r="142" spans="2:6" x14ac:dyDescent="0.25">
      <c r="B142" s="5"/>
      <c r="C142" s="5"/>
      <c r="D142" s="5"/>
      <c r="E142" s="10"/>
      <c r="F142" s="5"/>
    </row>
    <row r="143" spans="2:6" x14ac:dyDescent="0.25">
      <c r="B143" s="5"/>
      <c r="C143" s="5"/>
      <c r="D143" s="5"/>
      <c r="E143" s="10"/>
      <c r="F143" s="5"/>
    </row>
    <row r="144" spans="2:6" x14ac:dyDescent="0.25">
      <c r="B144" s="5"/>
      <c r="C144" s="5"/>
      <c r="D144" s="5"/>
      <c r="E144" s="10"/>
      <c r="F144" s="5"/>
    </row>
    <row r="145" spans="2:6" x14ac:dyDescent="0.25">
      <c r="B145" s="5"/>
      <c r="C145" s="5"/>
      <c r="D145" s="5"/>
      <c r="E145" s="10"/>
      <c r="F145" s="5"/>
    </row>
    <row r="146" spans="2:6" x14ac:dyDescent="0.25">
      <c r="B146" s="5"/>
      <c r="C146" s="5"/>
      <c r="D146" s="5"/>
      <c r="E146" s="10"/>
      <c r="F146" s="5"/>
    </row>
    <row r="147" spans="2:6" x14ac:dyDescent="0.25">
      <c r="B147" s="5"/>
      <c r="C147" s="5"/>
      <c r="D147" s="5"/>
      <c r="E147" s="10"/>
      <c r="F147" s="5"/>
    </row>
    <row r="148" spans="2:6" x14ac:dyDescent="0.25">
      <c r="B148" s="5"/>
      <c r="C148" s="5"/>
      <c r="D148" s="5"/>
      <c r="E148" s="10"/>
      <c r="F148" s="5"/>
    </row>
    <row r="149" spans="2:6" x14ac:dyDescent="0.25">
      <c r="B149" s="5"/>
      <c r="C149" s="5"/>
      <c r="D149" s="5"/>
      <c r="E149" s="10"/>
      <c r="F149" s="5"/>
    </row>
    <row r="150" spans="2:6" x14ac:dyDescent="0.25">
      <c r="B150" s="5"/>
      <c r="C150" s="5"/>
      <c r="D150" s="5"/>
      <c r="E150" s="10"/>
      <c r="F150" s="5"/>
    </row>
    <row r="151" spans="2:6" x14ac:dyDescent="0.25">
      <c r="B151" s="5"/>
      <c r="C151" s="5"/>
      <c r="D151" s="5"/>
      <c r="E151" s="10"/>
      <c r="F151" s="5"/>
    </row>
    <row r="152" spans="2:6" x14ac:dyDescent="0.25">
      <c r="B152" s="5"/>
      <c r="C152" s="5"/>
      <c r="D152" s="5"/>
      <c r="E152" s="10"/>
      <c r="F152" s="5"/>
    </row>
    <row r="153" spans="2:6" x14ac:dyDescent="0.25">
      <c r="B153" s="5"/>
      <c r="C153" s="5"/>
      <c r="D153" s="5"/>
      <c r="E153" s="10"/>
      <c r="F153" s="5"/>
    </row>
    <row r="154" spans="2:6" x14ac:dyDescent="0.25">
      <c r="B154" s="5"/>
      <c r="C154" s="5"/>
      <c r="D154" s="5"/>
      <c r="E154" s="10"/>
      <c r="F154" s="5"/>
    </row>
    <row r="155" spans="2:6" x14ac:dyDescent="0.25">
      <c r="B155" s="5"/>
      <c r="C155" s="5"/>
      <c r="D155" s="5"/>
      <c r="E155" s="10"/>
      <c r="F155" s="5"/>
    </row>
    <row r="156" spans="2:6" x14ac:dyDescent="0.25">
      <c r="B156" s="5"/>
      <c r="C156" s="5"/>
      <c r="D156" s="5"/>
      <c r="E156" s="10"/>
      <c r="F156" s="5"/>
    </row>
    <row r="157" spans="2:6" x14ac:dyDescent="0.25">
      <c r="B157" s="5"/>
      <c r="C157" s="5"/>
      <c r="D157" s="5"/>
      <c r="E157" s="10"/>
      <c r="F157" s="5"/>
    </row>
    <row r="158" spans="2:6" x14ac:dyDescent="0.25">
      <c r="B158" s="5"/>
      <c r="C158" s="5"/>
      <c r="D158" s="5"/>
      <c r="E158" s="10"/>
      <c r="F158" s="5"/>
    </row>
    <row r="159" spans="2:6" x14ac:dyDescent="0.25">
      <c r="B159" s="5"/>
      <c r="C159" s="5"/>
      <c r="D159" s="5"/>
      <c r="E159" s="10"/>
      <c r="F159" s="5"/>
    </row>
    <row r="160" spans="2:6" x14ac:dyDescent="0.25">
      <c r="B160" s="5"/>
      <c r="C160" s="5"/>
      <c r="D160" s="5"/>
      <c r="E160" s="10"/>
      <c r="F160" s="5"/>
    </row>
    <row r="161" spans="2:6" x14ac:dyDescent="0.25">
      <c r="B161" s="5"/>
      <c r="C161" s="5"/>
      <c r="D161" s="5"/>
      <c r="E161" s="10"/>
      <c r="F161" s="5"/>
    </row>
    <row r="162" spans="2:6" x14ac:dyDescent="0.25">
      <c r="B162" s="5"/>
      <c r="C162" s="5"/>
      <c r="D162" s="5"/>
      <c r="E162" s="10"/>
      <c r="F162" s="5"/>
    </row>
    <row r="163" spans="2:6" x14ac:dyDescent="0.25">
      <c r="B163" s="5"/>
      <c r="C163" s="5"/>
      <c r="D163" s="5"/>
      <c r="E163" s="10"/>
      <c r="F163" s="5"/>
    </row>
    <row r="164" spans="2:6" x14ac:dyDescent="0.25">
      <c r="B164" s="5"/>
      <c r="C164" s="5"/>
      <c r="D164" s="5"/>
      <c r="E164" s="10"/>
      <c r="F164" s="5"/>
    </row>
    <row r="165" spans="2:6" x14ac:dyDescent="0.25">
      <c r="B165" s="5"/>
      <c r="C165" s="5"/>
      <c r="D165" s="5"/>
      <c r="E165" s="10"/>
      <c r="F165" s="5"/>
    </row>
    <row r="166" spans="2:6" x14ac:dyDescent="0.25">
      <c r="B166" s="5"/>
      <c r="C166" s="5"/>
      <c r="D166" s="5"/>
      <c r="E166" s="10"/>
      <c r="F166" s="5"/>
    </row>
    <row r="167" spans="2:6" x14ac:dyDescent="0.25">
      <c r="B167" s="5"/>
      <c r="C167" s="5"/>
      <c r="D167" s="5"/>
      <c r="E167" s="10"/>
      <c r="F167" s="5"/>
    </row>
    <row r="168" spans="2:6" x14ac:dyDescent="0.25">
      <c r="B168" s="5"/>
      <c r="C168" s="5"/>
      <c r="D168" s="5"/>
      <c r="E168" s="10"/>
      <c r="F168" s="5"/>
    </row>
    <row r="169" spans="2:6" x14ac:dyDescent="0.25">
      <c r="B169" s="5"/>
      <c r="C169" s="5"/>
      <c r="D169" s="5"/>
      <c r="E169" s="10"/>
      <c r="F169" s="5"/>
    </row>
    <row r="170" spans="2:6" x14ac:dyDescent="0.25">
      <c r="B170" s="5"/>
      <c r="C170" s="5"/>
      <c r="D170" s="5"/>
      <c r="E170" s="10"/>
      <c r="F170" s="5"/>
    </row>
    <row r="171" spans="2:6" x14ac:dyDescent="0.25">
      <c r="B171" s="5"/>
      <c r="C171" s="5"/>
      <c r="D171" s="5"/>
      <c r="E171" s="10"/>
      <c r="F171" s="5"/>
    </row>
    <row r="172" spans="2:6" x14ac:dyDescent="0.25">
      <c r="B172" s="5"/>
      <c r="C172" s="5"/>
      <c r="D172" s="5"/>
      <c r="E172" s="10"/>
      <c r="F172" s="5"/>
    </row>
    <row r="173" spans="2:6" x14ac:dyDescent="0.25">
      <c r="B173" s="5"/>
      <c r="C173" s="5"/>
      <c r="D173" s="5"/>
      <c r="E173" s="10"/>
      <c r="F173" s="5"/>
    </row>
    <row r="174" spans="2:6" x14ac:dyDescent="0.25">
      <c r="B174" s="5"/>
      <c r="C174" s="5"/>
      <c r="D174" s="5"/>
      <c r="E174" s="10"/>
      <c r="F174" s="5"/>
    </row>
    <row r="175" spans="2:6" x14ac:dyDescent="0.25">
      <c r="B175" s="5"/>
      <c r="C175" s="5"/>
      <c r="D175" s="5"/>
      <c r="E175" s="10"/>
      <c r="F175" s="5"/>
    </row>
    <row r="176" spans="2:6" x14ac:dyDescent="0.25">
      <c r="B176" s="5"/>
      <c r="C176" s="5"/>
      <c r="D176" s="5"/>
      <c r="E176" s="10"/>
      <c r="F176" s="5"/>
    </row>
    <row r="177" spans="2:6" x14ac:dyDescent="0.25">
      <c r="B177" s="5"/>
      <c r="C177" s="5"/>
      <c r="D177" s="5"/>
      <c r="E177" s="10"/>
      <c r="F177" s="5"/>
    </row>
    <row r="178" spans="2:6" x14ac:dyDescent="0.25">
      <c r="B178" s="5"/>
      <c r="C178" s="5"/>
      <c r="D178" s="5"/>
      <c r="E178" s="10"/>
      <c r="F178" s="5"/>
    </row>
    <row r="179" spans="2:6" x14ac:dyDescent="0.25">
      <c r="B179" s="5"/>
      <c r="C179" s="5"/>
      <c r="D179" s="5"/>
      <c r="E179" s="10"/>
      <c r="F179" s="5"/>
    </row>
    <row r="180" spans="2:6" x14ac:dyDescent="0.25">
      <c r="B180" s="5"/>
      <c r="C180" s="5"/>
      <c r="D180" s="5"/>
      <c r="E180" s="10"/>
      <c r="F180" s="5"/>
    </row>
    <row r="181" spans="2:6" x14ac:dyDescent="0.25">
      <c r="B181" s="5"/>
      <c r="C181" s="5"/>
      <c r="D181" s="5"/>
      <c r="E181" s="10"/>
      <c r="F181" s="5"/>
    </row>
    <row r="182" spans="2:6" x14ac:dyDescent="0.25">
      <c r="B182" s="5"/>
      <c r="C182" s="5"/>
      <c r="D182" s="5"/>
      <c r="E182" s="10"/>
      <c r="F182" s="5"/>
    </row>
    <row r="183" spans="2:6" x14ac:dyDescent="0.25">
      <c r="B183" s="5"/>
      <c r="C183" s="5"/>
      <c r="D183" s="5"/>
      <c r="E183" s="10"/>
      <c r="F183" s="5"/>
    </row>
    <row r="184" spans="2:6" x14ac:dyDescent="0.25">
      <c r="B184" s="5"/>
      <c r="C184" s="5"/>
      <c r="D184" s="5"/>
      <c r="E184" s="10"/>
      <c r="F184" s="5"/>
    </row>
    <row r="185" spans="2:6" x14ac:dyDescent="0.25">
      <c r="B185" s="5"/>
      <c r="C185" s="5"/>
      <c r="D185" s="5"/>
      <c r="E185" s="10"/>
      <c r="F185" s="5"/>
    </row>
    <row r="186" spans="2:6" x14ac:dyDescent="0.25">
      <c r="B186" s="5"/>
      <c r="C186" s="5"/>
      <c r="D186" s="5"/>
      <c r="E186" s="10"/>
      <c r="F186" s="5"/>
    </row>
    <row r="187" spans="2:6" x14ac:dyDescent="0.25">
      <c r="B187" s="5"/>
      <c r="C187" s="5"/>
      <c r="D187" s="5"/>
      <c r="E187" s="10"/>
      <c r="F187" s="5"/>
    </row>
    <row r="188" spans="2:6" x14ac:dyDescent="0.25">
      <c r="B188" s="5"/>
      <c r="C188" s="5"/>
      <c r="D188" s="5"/>
      <c r="E188" s="10"/>
      <c r="F188" s="5"/>
    </row>
    <row r="189" spans="2:6" x14ac:dyDescent="0.25">
      <c r="B189" s="5"/>
      <c r="C189" s="5"/>
      <c r="D189" s="5"/>
      <c r="E189" s="10"/>
      <c r="F189" s="5"/>
    </row>
    <row r="190" spans="2:6" x14ac:dyDescent="0.25">
      <c r="B190" s="5"/>
      <c r="C190" s="5"/>
      <c r="D190" s="5"/>
      <c r="E190" s="10"/>
      <c r="F190" s="5"/>
    </row>
    <row r="191" spans="2:6" x14ac:dyDescent="0.25">
      <c r="B191" s="5"/>
      <c r="C191" s="5"/>
      <c r="D191" s="5"/>
      <c r="E191" s="10"/>
      <c r="F191" s="5"/>
    </row>
    <row r="192" spans="2:6" x14ac:dyDescent="0.25">
      <c r="B192" s="5"/>
      <c r="C192" s="5"/>
      <c r="D192" s="5"/>
      <c r="E192" s="10"/>
      <c r="F192" s="5"/>
    </row>
    <row r="193" spans="2:6" x14ac:dyDescent="0.25">
      <c r="B193" s="5"/>
      <c r="C193" s="5"/>
      <c r="D193" s="5"/>
      <c r="E193" s="10"/>
      <c r="F193" s="5"/>
    </row>
    <row r="194" spans="2:6" x14ac:dyDescent="0.25">
      <c r="B194" s="5"/>
      <c r="C194" s="5"/>
      <c r="D194" s="5"/>
      <c r="E194" s="10"/>
      <c r="F194" s="5"/>
    </row>
    <row r="195" spans="2:6" x14ac:dyDescent="0.25">
      <c r="B195" s="5"/>
      <c r="C195" s="5"/>
      <c r="D195" s="5"/>
      <c r="E195" s="10"/>
      <c r="F195" s="5"/>
    </row>
    <row r="196" spans="2:6" x14ac:dyDescent="0.25">
      <c r="B196" s="5"/>
      <c r="C196" s="5"/>
      <c r="D196" s="5"/>
      <c r="E196" s="10"/>
      <c r="F196" s="5"/>
    </row>
    <row r="197" spans="2:6" x14ac:dyDescent="0.25">
      <c r="B197" s="5"/>
      <c r="C197" s="5"/>
      <c r="D197" s="5"/>
      <c r="E197" s="10"/>
      <c r="F197" s="5"/>
    </row>
    <row r="198" spans="2:6" x14ac:dyDescent="0.25">
      <c r="B198" s="5"/>
      <c r="C198" s="5"/>
      <c r="D198" s="5"/>
      <c r="E198" s="10"/>
      <c r="F198" s="5"/>
    </row>
    <row r="199" spans="2:6" x14ac:dyDescent="0.25">
      <c r="B199" s="5"/>
      <c r="C199" s="5"/>
      <c r="D199" s="5"/>
      <c r="E199" s="10"/>
      <c r="F199" s="5"/>
    </row>
    <row r="200" spans="2:6" x14ac:dyDescent="0.25">
      <c r="B200" s="5"/>
      <c r="C200" s="5"/>
      <c r="D200" s="5"/>
      <c r="E200" s="10"/>
      <c r="F200" s="5"/>
    </row>
    <row r="201" spans="2:6" x14ac:dyDescent="0.25">
      <c r="B201" s="5"/>
      <c r="C201" s="5"/>
      <c r="D201" s="5"/>
      <c r="E201" s="10"/>
      <c r="F201" s="5"/>
    </row>
    <row r="202" spans="2:6" x14ac:dyDescent="0.25">
      <c r="B202" s="5"/>
      <c r="C202" s="5"/>
      <c r="D202" s="5"/>
      <c r="E202" s="10"/>
      <c r="F202" s="5"/>
    </row>
    <row r="203" spans="2:6" x14ac:dyDescent="0.25">
      <c r="B203" s="5"/>
      <c r="C203" s="5"/>
      <c r="D203" s="5"/>
      <c r="E203" s="10"/>
      <c r="F203" s="5"/>
    </row>
    <row r="204" spans="2:6" x14ac:dyDescent="0.25">
      <c r="B204" s="5"/>
      <c r="C204" s="5"/>
      <c r="D204" s="5"/>
      <c r="E204" s="10"/>
      <c r="F204" s="5"/>
    </row>
    <row r="205" spans="2:6" x14ac:dyDescent="0.25">
      <c r="B205" s="5"/>
      <c r="C205" s="5"/>
      <c r="D205" s="5"/>
      <c r="E205" s="10"/>
      <c r="F205" s="5"/>
    </row>
    <row r="206" spans="2:6" x14ac:dyDescent="0.25">
      <c r="B206" s="5"/>
      <c r="C206" s="5"/>
      <c r="D206" s="5"/>
      <c r="E206" s="10"/>
      <c r="F206" s="5"/>
    </row>
    <row r="207" spans="2:6" x14ac:dyDescent="0.25">
      <c r="B207" s="5"/>
      <c r="C207" s="5"/>
      <c r="D207" s="5"/>
      <c r="E207" s="10"/>
      <c r="F207" s="5"/>
    </row>
    <row r="208" spans="2:6" x14ac:dyDescent="0.25">
      <c r="B208" s="5"/>
      <c r="C208" s="5"/>
      <c r="D208" s="5"/>
      <c r="E208" s="10"/>
      <c r="F208" s="5"/>
    </row>
    <row r="209" spans="2:6" x14ac:dyDescent="0.25">
      <c r="B209" s="5"/>
      <c r="C209" s="5"/>
      <c r="D209" s="5"/>
      <c r="E209" s="10"/>
      <c r="F209" s="5"/>
    </row>
    <row r="210" spans="2:6" x14ac:dyDescent="0.25">
      <c r="B210" s="5"/>
      <c r="C210" s="5"/>
      <c r="D210" s="5"/>
      <c r="E210" s="10"/>
      <c r="F210" s="5"/>
    </row>
    <row r="211" spans="2:6" x14ac:dyDescent="0.25">
      <c r="B211" s="5"/>
      <c r="C211" s="5"/>
      <c r="D211" s="5"/>
      <c r="E211" s="10"/>
      <c r="F211" s="5"/>
    </row>
    <row r="212" spans="2:6" x14ac:dyDescent="0.25">
      <c r="B212" s="5"/>
      <c r="C212" s="5"/>
      <c r="D212" s="5"/>
      <c r="E212" s="10"/>
      <c r="F212" s="5"/>
    </row>
    <row r="213" spans="2:6" x14ac:dyDescent="0.25">
      <c r="B213" s="5"/>
      <c r="C213" s="5"/>
      <c r="D213" s="5"/>
      <c r="E213" s="10"/>
      <c r="F213" s="5"/>
    </row>
    <row r="214" spans="2:6" x14ac:dyDescent="0.25">
      <c r="B214" s="5"/>
      <c r="C214" s="5"/>
      <c r="D214" s="5"/>
      <c r="E214" s="10"/>
      <c r="F214" s="5"/>
    </row>
    <row r="215" spans="2:6" x14ac:dyDescent="0.25">
      <c r="B215" s="5"/>
      <c r="C215" s="5"/>
      <c r="D215" s="5"/>
      <c r="E215" s="10"/>
      <c r="F215" s="5"/>
    </row>
    <row r="216" spans="2:6" x14ac:dyDescent="0.25">
      <c r="B216" s="5"/>
      <c r="C216" s="5"/>
      <c r="D216" s="5"/>
      <c r="E216" s="10"/>
      <c r="F216" s="5"/>
    </row>
    <row r="217" spans="2:6" x14ac:dyDescent="0.25">
      <c r="B217" s="5"/>
      <c r="C217" s="5"/>
      <c r="D217" s="5"/>
      <c r="E217" s="10"/>
      <c r="F217" s="5"/>
    </row>
    <row r="218" spans="2:6" x14ac:dyDescent="0.25">
      <c r="B218" s="5"/>
      <c r="C218" s="5"/>
      <c r="D218" s="5"/>
      <c r="E218" s="10"/>
      <c r="F218" s="5"/>
    </row>
    <row r="219" spans="2:6" x14ac:dyDescent="0.25">
      <c r="B219" s="5"/>
      <c r="C219" s="5"/>
      <c r="D219" s="5"/>
      <c r="E219" s="10"/>
      <c r="F219" s="5"/>
    </row>
    <row r="220" spans="2:6" x14ac:dyDescent="0.25">
      <c r="B220" s="5"/>
      <c r="C220" s="5"/>
      <c r="D220" s="5"/>
      <c r="E220" s="10"/>
      <c r="F220" s="5"/>
    </row>
    <row r="221" spans="2:6" x14ac:dyDescent="0.25">
      <c r="B221" s="5"/>
      <c r="C221" s="5"/>
      <c r="D221" s="5"/>
      <c r="E221" s="10"/>
      <c r="F221" s="5"/>
    </row>
    <row r="222" spans="2:6" x14ac:dyDescent="0.25">
      <c r="B222" s="5"/>
      <c r="C222" s="5"/>
      <c r="D222" s="5"/>
      <c r="E222" s="10"/>
      <c r="F222" s="5"/>
    </row>
    <row r="223" spans="2:6" x14ac:dyDescent="0.25">
      <c r="B223" s="5"/>
      <c r="C223" s="5"/>
      <c r="D223" s="5"/>
      <c r="E223" s="10"/>
      <c r="F223" s="5"/>
    </row>
    <row r="224" spans="2:6" x14ac:dyDescent="0.25">
      <c r="B224" s="5"/>
      <c r="C224" s="5"/>
      <c r="D224" s="5"/>
      <c r="E224" s="10"/>
      <c r="F224" s="5"/>
    </row>
    <row r="225" spans="2:6" x14ac:dyDescent="0.25">
      <c r="B225" s="5"/>
      <c r="C225" s="5"/>
      <c r="D225" s="5"/>
      <c r="E225" s="10"/>
      <c r="F225" s="5"/>
    </row>
    <row r="226" spans="2:6" x14ac:dyDescent="0.25">
      <c r="B226" s="5"/>
      <c r="C226" s="5"/>
      <c r="D226" s="5"/>
      <c r="E226" s="10"/>
      <c r="F226" s="5"/>
    </row>
    <row r="227" spans="2:6" x14ac:dyDescent="0.25">
      <c r="B227" s="5"/>
      <c r="C227" s="5"/>
      <c r="D227" s="5"/>
      <c r="E227" s="10"/>
      <c r="F227" s="5"/>
    </row>
    <row r="228" spans="2:6" x14ac:dyDescent="0.25">
      <c r="B228" s="5"/>
      <c r="C228" s="5"/>
      <c r="D228" s="5"/>
      <c r="E228" s="10"/>
      <c r="F228" s="5"/>
    </row>
    <row r="229" spans="2:6" x14ac:dyDescent="0.25">
      <c r="B229" s="5"/>
      <c r="C229" s="5"/>
      <c r="D229" s="5"/>
      <c r="E229" s="10"/>
      <c r="F229" s="5"/>
    </row>
    <row r="230" spans="2:6" x14ac:dyDescent="0.25">
      <c r="B230" s="5"/>
      <c r="C230" s="5"/>
      <c r="D230" s="5"/>
      <c r="E230" s="10"/>
      <c r="F230" s="5"/>
    </row>
    <row r="231" spans="2:6" x14ac:dyDescent="0.25">
      <c r="B231" s="5"/>
      <c r="C231" s="5"/>
      <c r="D231" s="5"/>
      <c r="E231" s="10"/>
      <c r="F231" s="5"/>
    </row>
    <row r="232" spans="2:6" x14ac:dyDescent="0.25">
      <c r="B232" s="5"/>
      <c r="C232" s="5"/>
      <c r="D232" s="5"/>
      <c r="E232" s="10"/>
      <c r="F232" s="5"/>
    </row>
    <row r="233" spans="2:6" x14ac:dyDescent="0.25">
      <c r="B233" s="5"/>
      <c r="C233" s="5"/>
      <c r="D233" s="5"/>
      <c r="E233" s="10"/>
      <c r="F233" s="5"/>
    </row>
    <row r="234" spans="2:6" x14ac:dyDescent="0.25">
      <c r="B234" s="5"/>
      <c r="C234" s="5"/>
      <c r="D234" s="5"/>
      <c r="E234" s="10"/>
      <c r="F234" s="5"/>
    </row>
    <row r="235" spans="2:6" x14ac:dyDescent="0.25">
      <c r="B235" s="5"/>
      <c r="C235" s="5"/>
      <c r="D235" s="5"/>
      <c r="E235" s="10"/>
      <c r="F235" s="5"/>
    </row>
    <row r="236" spans="2:6" x14ac:dyDescent="0.25">
      <c r="B236" s="5"/>
      <c r="C236" s="5"/>
      <c r="D236" s="5"/>
      <c r="E236" s="10"/>
      <c r="F236" s="5"/>
    </row>
    <row r="237" spans="2:6" x14ac:dyDescent="0.25">
      <c r="B237" s="5"/>
      <c r="C237" s="5"/>
      <c r="D237" s="5"/>
      <c r="E237" s="10"/>
      <c r="F237" s="5"/>
    </row>
    <row r="238" spans="2:6" x14ac:dyDescent="0.25">
      <c r="B238" s="5"/>
      <c r="C238" s="5"/>
      <c r="D238" s="5"/>
      <c r="E238" s="10"/>
      <c r="F238" s="5"/>
    </row>
    <row r="239" spans="2:6" x14ac:dyDescent="0.25">
      <c r="B239" s="5"/>
      <c r="C239" s="5"/>
      <c r="D239" s="5"/>
      <c r="E239" s="10"/>
      <c r="F239" s="5"/>
    </row>
    <row r="240" spans="2:6" x14ac:dyDescent="0.25">
      <c r="B240" s="5"/>
      <c r="C240" s="5"/>
      <c r="D240" s="5"/>
      <c r="E240" s="10"/>
      <c r="F240" s="5"/>
    </row>
    <row r="241" spans="2:6" x14ac:dyDescent="0.25">
      <c r="B241" s="5"/>
      <c r="C241" s="5"/>
      <c r="D241" s="5"/>
      <c r="E241" s="10"/>
      <c r="F241" s="5"/>
    </row>
    <row r="242" spans="2:6" x14ac:dyDescent="0.25">
      <c r="B242" s="5"/>
      <c r="C242" s="5"/>
      <c r="D242" s="5"/>
      <c r="E242" s="10"/>
      <c r="F242" s="5"/>
    </row>
  </sheetData>
  <phoneticPr fontId="3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W242"/>
  <sheetViews>
    <sheetView topLeftCell="L1" workbookViewId="0">
      <pane ySplit="1" topLeftCell="A2" activePane="bottomLeft" state="frozen"/>
      <selection pane="bottomLeft" activeCell="V2" sqref="V2"/>
    </sheetView>
  </sheetViews>
  <sheetFormatPr defaultColWidth="16" defaultRowHeight="15" x14ac:dyDescent="0.25"/>
  <cols>
    <col min="1" max="16384" width="16" style="8"/>
  </cols>
  <sheetData>
    <row r="1" spans="1:23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20</v>
      </c>
      <c r="J1" s="9" t="s">
        <v>22</v>
      </c>
      <c r="K1" s="9" t="s">
        <v>23</v>
      </c>
      <c r="L1" s="9" t="s">
        <v>24</v>
      </c>
      <c r="M1" s="9" t="s">
        <v>3</v>
      </c>
      <c r="N1" s="9" t="s">
        <v>26</v>
      </c>
      <c r="O1" s="9" t="s">
        <v>29</v>
      </c>
      <c r="P1" s="9" t="s">
        <v>31</v>
      </c>
      <c r="Q1" s="9" t="s">
        <v>32</v>
      </c>
      <c r="R1" s="9" t="s">
        <v>33</v>
      </c>
      <c r="S1" s="9" t="s">
        <v>34</v>
      </c>
      <c r="T1" s="9" t="s">
        <v>35</v>
      </c>
      <c r="U1" s="9" t="s">
        <v>37</v>
      </c>
      <c r="V1" s="9" t="s">
        <v>38</v>
      </c>
      <c r="W1" s="9" t="s">
        <v>39</v>
      </c>
    </row>
    <row r="2" spans="1:23" x14ac:dyDescent="0.25">
      <c r="A2" s="8" t="str">
        <f>F2</f>
        <v>ABC1234</v>
      </c>
      <c r="B2" s="5" t="s">
        <v>1</v>
      </c>
      <c r="C2" s="5"/>
      <c r="D2" s="5">
        <v>0</v>
      </c>
      <c r="E2" s="10" t="s">
        <v>27</v>
      </c>
      <c r="F2" s="5" t="s">
        <v>15</v>
      </c>
      <c r="G2" s="8" t="s">
        <v>17</v>
      </c>
      <c r="H2" s="8" t="s">
        <v>19</v>
      </c>
      <c r="I2" s="8" t="s">
        <v>21</v>
      </c>
      <c r="J2" s="8">
        <v>5</v>
      </c>
      <c r="K2" s="8" t="s">
        <v>5</v>
      </c>
      <c r="L2" s="8">
        <v>5000000</v>
      </c>
      <c r="M2" s="8" t="s">
        <v>25</v>
      </c>
      <c r="N2" s="8" t="s">
        <v>28</v>
      </c>
      <c r="O2" s="8" t="s">
        <v>30</v>
      </c>
      <c r="P2" s="8" t="s">
        <v>4</v>
      </c>
      <c r="Q2" s="8" t="s">
        <v>7</v>
      </c>
      <c r="S2" s="8" t="s">
        <v>36</v>
      </c>
      <c r="W2" s="8" t="s">
        <v>40</v>
      </c>
    </row>
    <row r="3" spans="1:23" x14ac:dyDescent="0.25">
      <c r="A3" s="8" t="s">
        <v>41</v>
      </c>
      <c r="B3" s="5" t="s">
        <v>1</v>
      </c>
      <c r="C3" s="5"/>
      <c r="D3" s="5">
        <v>0</v>
      </c>
      <c r="E3" s="10" t="s">
        <v>27</v>
      </c>
      <c r="F3" s="5" t="s">
        <v>41</v>
      </c>
      <c r="G3" s="8" t="s">
        <v>17</v>
      </c>
      <c r="H3" s="8" t="s">
        <v>19</v>
      </c>
      <c r="I3" s="8" t="s">
        <v>21</v>
      </c>
      <c r="J3" s="8">
        <v>5</v>
      </c>
      <c r="K3" s="8" t="s">
        <v>5</v>
      </c>
      <c r="L3" s="8">
        <v>5000000</v>
      </c>
      <c r="M3" s="8" t="s">
        <v>25</v>
      </c>
      <c r="N3" s="8" t="s">
        <v>28</v>
      </c>
      <c r="O3" s="8" t="s">
        <v>30</v>
      </c>
      <c r="P3" s="8" t="s">
        <v>4</v>
      </c>
      <c r="Q3" s="8" t="s">
        <v>7</v>
      </c>
      <c r="S3" s="8" t="s">
        <v>36</v>
      </c>
      <c r="W3" s="8" t="s">
        <v>40</v>
      </c>
    </row>
    <row r="4" spans="1:23" x14ac:dyDescent="0.25">
      <c r="B4" s="5"/>
      <c r="C4" s="5"/>
      <c r="D4" s="5"/>
      <c r="E4" s="10"/>
      <c r="F4" s="5"/>
    </row>
    <row r="5" spans="1:23" x14ac:dyDescent="0.25">
      <c r="B5" s="5"/>
      <c r="C5" s="5"/>
      <c r="D5" s="5"/>
      <c r="E5" s="10"/>
      <c r="F5" s="5"/>
    </row>
    <row r="6" spans="1:23" x14ac:dyDescent="0.25">
      <c r="B6" s="5"/>
      <c r="C6" s="5"/>
      <c r="D6" s="5"/>
      <c r="E6" s="10"/>
      <c r="F6" s="5"/>
    </row>
    <row r="7" spans="1:23" x14ac:dyDescent="0.25">
      <c r="B7" s="5"/>
      <c r="C7" s="5"/>
      <c r="D7" s="5"/>
      <c r="E7" s="10"/>
      <c r="F7" s="5"/>
    </row>
    <row r="8" spans="1:23" x14ac:dyDescent="0.25">
      <c r="B8" s="5"/>
      <c r="C8" s="5"/>
      <c r="D8" s="5"/>
      <c r="E8" s="10"/>
      <c r="F8" s="5"/>
    </row>
    <row r="9" spans="1:23" x14ac:dyDescent="0.25">
      <c r="B9" s="5"/>
      <c r="C9" s="5"/>
      <c r="D9" s="5"/>
      <c r="E9" s="10"/>
      <c r="F9" s="5"/>
    </row>
    <row r="10" spans="1:23" x14ac:dyDescent="0.25">
      <c r="B10" s="5"/>
      <c r="C10" s="5"/>
      <c r="D10" s="5"/>
      <c r="E10" s="10"/>
      <c r="F10" s="5"/>
    </row>
    <row r="11" spans="1:23" x14ac:dyDescent="0.25">
      <c r="B11" s="5"/>
      <c r="C11" s="5"/>
      <c r="D11" s="5"/>
      <c r="E11" s="10"/>
      <c r="F11" s="5"/>
    </row>
    <row r="12" spans="1:23" x14ac:dyDescent="0.25">
      <c r="B12" s="5"/>
      <c r="C12" s="5"/>
      <c r="D12" s="5"/>
      <c r="E12" s="10"/>
      <c r="F12" s="5"/>
    </row>
    <row r="13" spans="1:23" x14ac:dyDescent="0.25">
      <c r="B13" s="5"/>
      <c r="C13" s="5"/>
      <c r="D13" s="5"/>
      <c r="E13" s="10"/>
      <c r="F13" s="5"/>
    </row>
    <row r="14" spans="1:23" x14ac:dyDescent="0.25">
      <c r="B14" s="5"/>
      <c r="C14" s="5"/>
      <c r="D14" s="5"/>
      <c r="E14" s="10"/>
      <c r="F14" s="5"/>
    </row>
    <row r="15" spans="1:23" x14ac:dyDescent="0.25">
      <c r="B15" s="5"/>
      <c r="C15" s="5"/>
      <c r="D15" s="5"/>
      <c r="E15" s="10"/>
      <c r="F15" s="5"/>
    </row>
    <row r="16" spans="1:23" x14ac:dyDescent="0.25">
      <c r="B16" s="5"/>
      <c r="C16" s="5"/>
      <c r="D16" s="5"/>
      <c r="E16" s="10"/>
      <c r="F16" s="5"/>
    </row>
    <row r="17" spans="2:6" x14ac:dyDescent="0.25">
      <c r="B17" s="5"/>
      <c r="C17" s="5"/>
      <c r="D17" s="5"/>
      <c r="E17" s="10"/>
      <c r="F17" s="5"/>
    </row>
    <row r="18" spans="2:6" x14ac:dyDescent="0.25">
      <c r="B18" s="5"/>
      <c r="C18" s="5"/>
      <c r="D18" s="5"/>
      <c r="E18" s="10"/>
      <c r="F18" s="5"/>
    </row>
    <row r="19" spans="2:6" x14ac:dyDescent="0.25">
      <c r="B19" s="5"/>
      <c r="C19" s="5"/>
      <c r="D19" s="5"/>
      <c r="E19" s="10"/>
      <c r="F19" s="5"/>
    </row>
    <row r="20" spans="2:6" x14ac:dyDescent="0.25">
      <c r="B20" s="5"/>
      <c r="C20" s="5"/>
      <c r="D20" s="5"/>
      <c r="E20" s="10"/>
      <c r="F20" s="5"/>
    </row>
    <row r="21" spans="2:6" x14ac:dyDescent="0.25">
      <c r="B21" s="5"/>
      <c r="C21" s="5"/>
      <c r="D21" s="5"/>
      <c r="E21" s="10"/>
      <c r="F21" s="5"/>
    </row>
    <row r="22" spans="2:6" x14ac:dyDescent="0.25">
      <c r="B22" s="5"/>
      <c r="C22" s="5"/>
      <c r="D22" s="5"/>
      <c r="E22" s="10"/>
      <c r="F22" s="5"/>
    </row>
    <row r="23" spans="2:6" x14ac:dyDescent="0.25">
      <c r="B23" s="5"/>
      <c r="C23" s="5"/>
      <c r="D23" s="5"/>
      <c r="E23" s="10"/>
      <c r="F23" s="5"/>
    </row>
    <row r="24" spans="2:6" x14ac:dyDescent="0.25">
      <c r="B24" s="5"/>
      <c r="C24" s="5"/>
      <c r="D24" s="5"/>
      <c r="E24" s="10"/>
      <c r="F24" s="5"/>
    </row>
    <row r="25" spans="2:6" x14ac:dyDescent="0.25">
      <c r="B25" s="5"/>
      <c r="C25" s="5"/>
      <c r="D25" s="5"/>
      <c r="E25" s="10"/>
      <c r="F25" s="5"/>
    </row>
    <row r="26" spans="2:6" x14ac:dyDescent="0.25">
      <c r="B26" s="5"/>
      <c r="C26" s="5"/>
      <c r="D26" s="5"/>
      <c r="E26" s="10"/>
      <c r="F26" s="5"/>
    </row>
    <row r="27" spans="2:6" x14ac:dyDescent="0.25">
      <c r="B27" s="5"/>
      <c r="C27" s="5"/>
      <c r="D27" s="5"/>
      <c r="E27" s="10"/>
      <c r="F27" s="5"/>
    </row>
    <row r="28" spans="2:6" x14ac:dyDescent="0.25">
      <c r="B28" s="5"/>
      <c r="C28" s="5"/>
      <c r="D28" s="5"/>
      <c r="E28" s="10"/>
      <c r="F28" s="5"/>
    </row>
    <row r="29" spans="2:6" x14ac:dyDescent="0.25">
      <c r="B29" s="5"/>
      <c r="C29" s="5"/>
      <c r="D29" s="5"/>
      <c r="E29" s="10"/>
      <c r="F29" s="5"/>
    </row>
    <row r="30" spans="2:6" x14ac:dyDescent="0.25">
      <c r="B30" s="5"/>
      <c r="C30" s="5"/>
      <c r="D30" s="5"/>
      <c r="E30" s="10"/>
      <c r="F30" s="5"/>
    </row>
    <row r="31" spans="2:6" x14ac:dyDescent="0.25">
      <c r="B31" s="5"/>
      <c r="C31" s="5"/>
      <c r="D31" s="5"/>
      <c r="E31" s="10"/>
      <c r="F31" s="5"/>
    </row>
    <row r="32" spans="2:6" x14ac:dyDescent="0.25">
      <c r="B32" s="5"/>
      <c r="C32" s="5"/>
      <c r="D32" s="5"/>
      <c r="E32" s="10"/>
      <c r="F32" s="5"/>
    </row>
    <row r="33" spans="2:6" x14ac:dyDescent="0.25">
      <c r="B33" s="5"/>
      <c r="C33" s="5"/>
      <c r="D33" s="5"/>
      <c r="E33" s="10"/>
      <c r="F33" s="5"/>
    </row>
    <row r="34" spans="2:6" x14ac:dyDescent="0.25">
      <c r="B34" s="5"/>
      <c r="C34" s="5"/>
      <c r="D34" s="5"/>
      <c r="E34" s="10"/>
      <c r="F34" s="5"/>
    </row>
    <row r="35" spans="2:6" x14ac:dyDescent="0.25">
      <c r="B35" s="5"/>
      <c r="C35" s="5"/>
      <c r="D35" s="5"/>
      <c r="E35" s="10"/>
      <c r="F35" s="5"/>
    </row>
    <row r="36" spans="2:6" x14ac:dyDescent="0.25">
      <c r="B36" s="5"/>
      <c r="C36" s="5"/>
      <c r="D36" s="5"/>
      <c r="E36" s="10"/>
      <c r="F36" s="5"/>
    </row>
    <row r="37" spans="2:6" x14ac:dyDescent="0.25">
      <c r="B37" s="5"/>
      <c r="C37" s="5"/>
      <c r="D37" s="5"/>
      <c r="E37" s="10"/>
      <c r="F37" s="5"/>
    </row>
    <row r="38" spans="2:6" x14ac:dyDescent="0.25">
      <c r="B38" s="5"/>
      <c r="C38" s="5"/>
      <c r="D38" s="5"/>
      <c r="E38" s="10"/>
      <c r="F38" s="5"/>
    </row>
    <row r="39" spans="2:6" x14ac:dyDescent="0.25">
      <c r="B39" s="5"/>
      <c r="C39" s="5"/>
      <c r="D39" s="5"/>
      <c r="E39" s="10"/>
      <c r="F39" s="5"/>
    </row>
    <row r="40" spans="2:6" x14ac:dyDescent="0.25">
      <c r="B40" s="5"/>
      <c r="C40" s="5"/>
      <c r="D40" s="5"/>
      <c r="E40" s="10"/>
      <c r="F40" s="5"/>
    </row>
    <row r="41" spans="2:6" x14ac:dyDescent="0.25">
      <c r="B41" s="5"/>
      <c r="C41" s="5"/>
      <c r="D41" s="5"/>
      <c r="E41" s="10"/>
      <c r="F41" s="5"/>
    </row>
    <row r="42" spans="2:6" x14ac:dyDescent="0.25">
      <c r="B42" s="5"/>
      <c r="C42" s="5"/>
      <c r="D42" s="5"/>
      <c r="E42" s="10"/>
      <c r="F42" s="5"/>
    </row>
    <row r="43" spans="2:6" x14ac:dyDescent="0.25">
      <c r="B43" s="5"/>
      <c r="C43" s="5"/>
      <c r="D43" s="5"/>
      <c r="E43" s="10"/>
      <c r="F43" s="5"/>
    </row>
    <row r="44" spans="2:6" x14ac:dyDescent="0.25">
      <c r="B44" s="5"/>
      <c r="C44" s="5"/>
      <c r="D44" s="5"/>
      <c r="E44" s="10"/>
      <c r="F44" s="5"/>
    </row>
    <row r="45" spans="2:6" x14ac:dyDescent="0.25">
      <c r="B45" s="5"/>
      <c r="C45" s="5"/>
      <c r="D45" s="5"/>
      <c r="E45" s="10"/>
      <c r="F45" s="5"/>
    </row>
    <row r="46" spans="2:6" x14ac:dyDescent="0.25">
      <c r="B46" s="5"/>
      <c r="C46" s="5"/>
      <c r="D46" s="5"/>
      <c r="E46" s="10"/>
      <c r="F46" s="5"/>
    </row>
    <row r="47" spans="2:6" x14ac:dyDescent="0.25">
      <c r="B47" s="5"/>
      <c r="C47" s="5"/>
      <c r="D47" s="5"/>
      <c r="E47" s="10"/>
      <c r="F47" s="5"/>
    </row>
    <row r="48" spans="2:6" x14ac:dyDescent="0.25">
      <c r="B48" s="5"/>
      <c r="C48" s="5"/>
      <c r="D48" s="5"/>
      <c r="E48" s="10"/>
      <c r="F48" s="5"/>
    </row>
    <row r="49" spans="2:6" x14ac:dyDescent="0.25">
      <c r="B49" s="5"/>
      <c r="C49" s="5"/>
      <c r="D49" s="5"/>
      <c r="E49" s="10"/>
      <c r="F49" s="5"/>
    </row>
    <row r="50" spans="2:6" x14ac:dyDescent="0.25">
      <c r="B50" s="5"/>
      <c r="C50" s="5"/>
      <c r="D50" s="5"/>
      <c r="E50" s="10"/>
      <c r="F50" s="5"/>
    </row>
    <row r="51" spans="2:6" x14ac:dyDescent="0.25">
      <c r="B51" s="5"/>
      <c r="C51" s="5"/>
      <c r="D51" s="5"/>
      <c r="E51" s="10"/>
      <c r="F51" s="5"/>
    </row>
    <row r="52" spans="2:6" x14ac:dyDescent="0.25">
      <c r="B52" s="5"/>
      <c r="C52" s="5"/>
      <c r="D52" s="5"/>
      <c r="E52" s="10"/>
      <c r="F52" s="5"/>
    </row>
    <row r="53" spans="2:6" x14ac:dyDescent="0.25">
      <c r="B53" s="5"/>
      <c r="C53" s="5"/>
      <c r="D53" s="5"/>
      <c r="E53" s="10"/>
      <c r="F53" s="5"/>
    </row>
    <row r="54" spans="2:6" x14ac:dyDescent="0.25">
      <c r="B54" s="5"/>
      <c r="C54" s="5"/>
      <c r="D54" s="5"/>
      <c r="E54" s="10"/>
      <c r="F54" s="5"/>
    </row>
    <row r="55" spans="2:6" x14ac:dyDescent="0.25">
      <c r="B55" s="5"/>
      <c r="C55" s="5"/>
      <c r="D55" s="5"/>
      <c r="E55" s="10"/>
      <c r="F55" s="5"/>
    </row>
    <row r="56" spans="2:6" x14ac:dyDescent="0.25">
      <c r="B56" s="5"/>
      <c r="C56" s="5"/>
      <c r="D56" s="5"/>
      <c r="E56" s="10"/>
      <c r="F56" s="5"/>
    </row>
    <row r="57" spans="2:6" x14ac:dyDescent="0.25">
      <c r="B57" s="5"/>
      <c r="C57" s="5"/>
      <c r="D57" s="5"/>
      <c r="E57" s="10"/>
      <c r="F57" s="5"/>
    </row>
    <row r="58" spans="2:6" x14ac:dyDescent="0.25">
      <c r="B58" s="5"/>
      <c r="C58" s="5"/>
      <c r="D58" s="5"/>
      <c r="E58" s="10"/>
      <c r="F58" s="5"/>
    </row>
    <row r="59" spans="2:6" x14ac:dyDescent="0.25">
      <c r="B59" s="5"/>
      <c r="C59" s="5"/>
      <c r="D59" s="5"/>
      <c r="E59" s="10"/>
      <c r="F59" s="5"/>
    </row>
    <row r="60" spans="2:6" x14ac:dyDescent="0.25">
      <c r="B60" s="5"/>
      <c r="C60" s="5"/>
      <c r="D60" s="5"/>
      <c r="E60" s="10"/>
      <c r="F60" s="5"/>
    </row>
    <row r="61" spans="2:6" x14ac:dyDescent="0.25">
      <c r="B61" s="5"/>
      <c r="C61" s="5"/>
      <c r="D61" s="5"/>
      <c r="E61" s="10"/>
      <c r="F61" s="5"/>
    </row>
    <row r="62" spans="2:6" x14ac:dyDescent="0.25">
      <c r="B62" s="5"/>
      <c r="C62" s="5"/>
      <c r="D62" s="5"/>
      <c r="E62" s="10"/>
      <c r="F62" s="5"/>
    </row>
    <row r="63" spans="2:6" x14ac:dyDescent="0.25">
      <c r="B63" s="5"/>
      <c r="C63" s="5"/>
      <c r="D63" s="5"/>
      <c r="E63" s="10"/>
      <c r="F63" s="5"/>
    </row>
    <row r="64" spans="2:6" x14ac:dyDescent="0.25">
      <c r="B64" s="5"/>
      <c r="C64" s="5"/>
      <c r="D64" s="5"/>
      <c r="E64" s="10"/>
      <c r="F64" s="5"/>
    </row>
    <row r="65" spans="2:6" x14ac:dyDescent="0.25">
      <c r="B65" s="5"/>
      <c r="C65" s="5"/>
      <c r="D65" s="5"/>
      <c r="E65" s="10"/>
      <c r="F65" s="5"/>
    </row>
    <row r="66" spans="2:6" x14ac:dyDescent="0.25">
      <c r="B66" s="5"/>
      <c r="C66" s="5"/>
      <c r="D66" s="5"/>
      <c r="E66" s="10"/>
      <c r="F66" s="5"/>
    </row>
    <row r="67" spans="2:6" x14ac:dyDescent="0.25">
      <c r="B67" s="5"/>
      <c r="C67" s="5"/>
      <c r="D67" s="5"/>
      <c r="E67" s="10"/>
      <c r="F67" s="5"/>
    </row>
    <row r="68" spans="2:6" x14ac:dyDescent="0.25">
      <c r="B68" s="5"/>
      <c r="C68" s="5"/>
      <c r="D68" s="5"/>
      <c r="E68" s="10"/>
      <c r="F68" s="5"/>
    </row>
    <row r="69" spans="2:6" x14ac:dyDescent="0.25">
      <c r="B69" s="5"/>
      <c r="C69" s="5"/>
      <c r="D69" s="5"/>
      <c r="E69" s="10"/>
      <c r="F69" s="5"/>
    </row>
    <row r="70" spans="2:6" x14ac:dyDescent="0.25">
      <c r="B70" s="5"/>
      <c r="C70" s="5"/>
      <c r="D70" s="5"/>
      <c r="E70" s="10"/>
      <c r="F70" s="5"/>
    </row>
    <row r="71" spans="2:6" x14ac:dyDescent="0.25">
      <c r="B71" s="5"/>
      <c r="C71" s="5"/>
      <c r="D71" s="5"/>
      <c r="E71" s="10"/>
      <c r="F71" s="5"/>
    </row>
    <row r="72" spans="2:6" x14ac:dyDescent="0.25">
      <c r="B72" s="5"/>
      <c r="C72" s="5"/>
      <c r="D72" s="5"/>
      <c r="E72" s="10"/>
      <c r="F72" s="5"/>
    </row>
    <row r="73" spans="2:6" x14ac:dyDescent="0.25">
      <c r="B73" s="5"/>
      <c r="C73" s="5"/>
      <c r="D73" s="5"/>
      <c r="E73" s="10"/>
      <c r="F73" s="5"/>
    </row>
    <row r="74" spans="2:6" x14ac:dyDescent="0.25">
      <c r="B74" s="5"/>
      <c r="C74" s="5"/>
      <c r="D74" s="5"/>
      <c r="E74" s="10"/>
      <c r="F74" s="5"/>
    </row>
    <row r="75" spans="2:6" x14ac:dyDescent="0.25">
      <c r="B75" s="5"/>
      <c r="C75" s="5"/>
      <c r="D75" s="5"/>
      <c r="E75" s="10"/>
      <c r="F75" s="5"/>
    </row>
    <row r="76" spans="2:6" x14ac:dyDescent="0.25">
      <c r="B76" s="5"/>
      <c r="C76" s="5"/>
      <c r="D76" s="5"/>
      <c r="E76" s="10"/>
      <c r="F76" s="5"/>
    </row>
    <row r="77" spans="2:6" x14ac:dyDescent="0.25">
      <c r="B77" s="5"/>
      <c r="C77" s="5"/>
      <c r="D77" s="5"/>
      <c r="E77" s="10"/>
      <c r="F77" s="5"/>
    </row>
    <row r="78" spans="2:6" x14ac:dyDescent="0.25">
      <c r="B78" s="5"/>
      <c r="C78" s="5"/>
      <c r="D78" s="5"/>
      <c r="E78" s="10"/>
      <c r="F78" s="5"/>
    </row>
    <row r="79" spans="2:6" x14ac:dyDescent="0.25">
      <c r="B79" s="5"/>
      <c r="C79" s="5"/>
      <c r="D79" s="5"/>
      <c r="E79" s="10"/>
      <c r="F79" s="5"/>
    </row>
    <row r="80" spans="2:6" x14ac:dyDescent="0.25">
      <c r="B80" s="5"/>
      <c r="C80" s="5"/>
      <c r="D80" s="5"/>
      <c r="E80" s="10"/>
      <c r="F80" s="5"/>
    </row>
    <row r="81" spans="2:6" x14ac:dyDescent="0.25">
      <c r="B81" s="5"/>
      <c r="C81" s="5"/>
      <c r="D81" s="5"/>
      <c r="E81" s="10"/>
      <c r="F81" s="5"/>
    </row>
    <row r="82" spans="2:6" x14ac:dyDescent="0.25">
      <c r="B82" s="5"/>
      <c r="C82" s="5"/>
      <c r="D82" s="5"/>
      <c r="E82" s="10"/>
      <c r="F82" s="5"/>
    </row>
    <row r="83" spans="2:6" x14ac:dyDescent="0.25">
      <c r="B83" s="5"/>
      <c r="C83" s="5"/>
      <c r="D83" s="5"/>
      <c r="E83" s="10"/>
      <c r="F83" s="5"/>
    </row>
    <row r="84" spans="2:6" x14ac:dyDescent="0.25">
      <c r="B84" s="5"/>
      <c r="C84" s="5"/>
      <c r="D84" s="5"/>
      <c r="E84" s="10"/>
      <c r="F84" s="5"/>
    </row>
    <row r="85" spans="2:6" x14ac:dyDescent="0.25">
      <c r="B85" s="5"/>
      <c r="C85" s="5"/>
      <c r="D85" s="5"/>
      <c r="E85" s="10"/>
      <c r="F85" s="5"/>
    </row>
    <row r="86" spans="2:6" x14ac:dyDescent="0.25">
      <c r="B86" s="5"/>
      <c r="C86" s="5"/>
      <c r="D86" s="5"/>
      <c r="E86" s="10"/>
      <c r="F86" s="5"/>
    </row>
    <row r="87" spans="2:6" x14ac:dyDescent="0.25">
      <c r="B87" s="5"/>
      <c r="C87" s="5"/>
      <c r="D87" s="5"/>
      <c r="E87" s="10"/>
      <c r="F87" s="5"/>
    </row>
    <row r="88" spans="2:6" x14ac:dyDescent="0.25">
      <c r="B88" s="5"/>
      <c r="C88" s="5"/>
      <c r="D88" s="5"/>
      <c r="E88" s="10"/>
      <c r="F88" s="5"/>
    </row>
    <row r="89" spans="2:6" x14ac:dyDescent="0.25">
      <c r="B89" s="5"/>
      <c r="C89" s="5"/>
      <c r="D89" s="5"/>
      <c r="E89" s="10"/>
      <c r="F89" s="5"/>
    </row>
    <row r="90" spans="2:6" x14ac:dyDescent="0.25">
      <c r="B90" s="5"/>
      <c r="C90" s="5"/>
      <c r="D90" s="5"/>
      <c r="E90" s="10"/>
      <c r="F90" s="5"/>
    </row>
    <row r="91" spans="2:6" x14ac:dyDescent="0.25">
      <c r="B91" s="5"/>
      <c r="C91" s="5"/>
      <c r="D91" s="5"/>
      <c r="E91" s="10"/>
      <c r="F91" s="5"/>
    </row>
    <row r="92" spans="2:6" x14ac:dyDescent="0.25">
      <c r="B92" s="5"/>
      <c r="C92" s="5"/>
      <c r="D92" s="5"/>
      <c r="E92" s="10"/>
      <c r="F92" s="5"/>
    </row>
    <row r="93" spans="2:6" x14ac:dyDescent="0.25">
      <c r="B93" s="5"/>
      <c r="C93" s="5"/>
      <c r="D93" s="5"/>
      <c r="E93" s="10"/>
      <c r="F93" s="5"/>
    </row>
    <row r="94" spans="2:6" x14ac:dyDescent="0.25">
      <c r="B94" s="5"/>
      <c r="C94" s="5"/>
      <c r="D94" s="5"/>
      <c r="E94" s="10"/>
      <c r="F94" s="5"/>
    </row>
    <row r="95" spans="2:6" x14ac:dyDescent="0.25">
      <c r="B95" s="5"/>
      <c r="C95" s="5"/>
      <c r="D95" s="5"/>
      <c r="E95" s="10"/>
      <c r="F95" s="5"/>
    </row>
    <row r="96" spans="2:6" x14ac:dyDescent="0.25">
      <c r="B96" s="5"/>
      <c r="C96" s="5"/>
      <c r="D96" s="5"/>
      <c r="E96" s="10"/>
      <c r="F96" s="5"/>
    </row>
    <row r="97" spans="2:6" x14ac:dyDescent="0.25">
      <c r="B97" s="5"/>
      <c r="C97" s="5"/>
      <c r="D97" s="5"/>
      <c r="E97" s="10"/>
      <c r="F97" s="5"/>
    </row>
    <row r="98" spans="2:6" x14ac:dyDescent="0.25">
      <c r="B98" s="5"/>
      <c r="C98" s="5"/>
      <c r="D98" s="5"/>
      <c r="E98" s="10"/>
      <c r="F98" s="5"/>
    </row>
    <row r="99" spans="2:6" x14ac:dyDescent="0.25">
      <c r="B99" s="5"/>
      <c r="C99" s="5"/>
      <c r="D99" s="5"/>
      <c r="E99" s="10"/>
      <c r="F99" s="5"/>
    </row>
    <row r="100" spans="2:6" x14ac:dyDescent="0.25">
      <c r="B100" s="5"/>
      <c r="C100" s="5"/>
      <c r="D100" s="5"/>
      <c r="E100" s="10"/>
      <c r="F100" s="5"/>
    </row>
    <row r="101" spans="2:6" x14ac:dyDescent="0.25">
      <c r="B101" s="5"/>
      <c r="C101" s="5"/>
      <c r="D101" s="5"/>
      <c r="E101" s="10"/>
      <c r="F101" s="5"/>
    </row>
    <row r="102" spans="2:6" x14ac:dyDescent="0.25">
      <c r="B102" s="5"/>
      <c r="C102" s="5"/>
      <c r="D102" s="5"/>
      <c r="E102" s="10"/>
      <c r="F102" s="5"/>
    </row>
    <row r="103" spans="2:6" x14ac:dyDescent="0.25">
      <c r="B103" s="5"/>
      <c r="C103" s="5"/>
      <c r="D103" s="5"/>
      <c r="E103" s="10"/>
      <c r="F103" s="5"/>
    </row>
    <row r="104" spans="2:6" x14ac:dyDescent="0.25">
      <c r="B104" s="5"/>
      <c r="C104" s="5"/>
      <c r="D104" s="5"/>
      <c r="E104" s="10"/>
      <c r="F104" s="5"/>
    </row>
    <row r="105" spans="2:6" x14ac:dyDescent="0.25">
      <c r="B105" s="5"/>
      <c r="C105" s="5"/>
      <c r="D105" s="5"/>
      <c r="E105" s="10"/>
      <c r="F105" s="5"/>
    </row>
    <row r="106" spans="2:6" x14ac:dyDescent="0.25">
      <c r="B106" s="5"/>
      <c r="C106" s="5"/>
      <c r="D106" s="5"/>
      <c r="E106" s="10"/>
      <c r="F106" s="5"/>
    </row>
    <row r="107" spans="2:6" x14ac:dyDescent="0.25">
      <c r="B107" s="5"/>
      <c r="C107" s="5"/>
      <c r="D107" s="5"/>
      <c r="E107" s="10"/>
      <c r="F107" s="5"/>
    </row>
    <row r="108" spans="2:6" x14ac:dyDescent="0.25">
      <c r="B108" s="5"/>
      <c r="C108" s="5"/>
      <c r="D108" s="5"/>
      <c r="E108" s="10"/>
      <c r="F108" s="5"/>
    </row>
    <row r="109" spans="2:6" x14ac:dyDescent="0.25">
      <c r="B109" s="5"/>
      <c r="C109" s="5"/>
      <c r="D109" s="5"/>
      <c r="E109" s="10"/>
      <c r="F109" s="5"/>
    </row>
    <row r="110" spans="2:6" x14ac:dyDescent="0.25">
      <c r="B110" s="5"/>
      <c r="C110" s="5"/>
      <c r="D110" s="5"/>
      <c r="E110" s="10"/>
      <c r="F110" s="5"/>
    </row>
    <row r="111" spans="2:6" x14ac:dyDescent="0.25">
      <c r="B111" s="5"/>
      <c r="C111" s="5"/>
      <c r="D111" s="5"/>
      <c r="E111" s="10"/>
      <c r="F111" s="5"/>
    </row>
    <row r="112" spans="2:6" x14ac:dyDescent="0.25">
      <c r="B112" s="5"/>
      <c r="C112" s="5"/>
      <c r="D112" s="5"/>
      <c r="E112" s="10"/>
      <c r="F112" s="5"/>
    </row>
    <row r="113" spans="2:6" x14ac:dyDescent="0.25">
      <c r="B113" s="5"/>
      <c r="C113" s="5"/>
      <c r="D113" s="5"/>
      <c r="E113" s="10"/>
      <c r="F113" s="5"/>
    </row>
    <row r="114" spans="2:6" x14ac:dyDescent="0.25">
      <c r="B114" s="5"/>
      <c r="C114" s="5"/>
      <c r="D114" s="5"/>
      <c r="E114" s="10"/>
      <c r="F114" s="5"/>
    </row>
    <row r="115" spans="2:6" x14ac:dyDescent="0.25">
      <c r="B115" s="5"/>
      <c r="C115" s="5"/>
      <c r="D115" s="5"/>
      <c r="E115" s="10"/>
      <c r="F115" s="5"/>
    </row>
    <row r="116" spans="2:6" x14ac:dyDescent="0.25">
      <c r="B116" s="5"/>
      <c r="C116" s="5"/>
      <c r="D116" s="5"/>
      <c r="E116" s="10"/>
      <c r="F116" s="5"/>
    </row>
    <row r="117" spans="2:6" x14ac:dyDescent="0.25">
      <c r="B117" s="5"/>
      <c r="C117" s="5"/>
      <c r="D117" s="5"/>
      <c r="E117" s="10"/>
      <c r="F117" s="5"/>
    </row>
    <row r="118" spans="2:6" x14ac:dyDescent="0.25">
      <c r="B118" s="5"/>
      <c r="C118" s="5"/>
      <c r="D118" s="5"/>
      <c r="E118" s="10"/>
      <c r="F118" s="5"/>
    </row>
    <row r="119" spans="2:6" x14ac:dyDescent="0.25">
      <c r="B119" s="5"/>
      <c r="C119" s="5"/>
      <c r="D119" s="5"/>
      <c r="E119" s="10"/>
      <c r="F119" s="5"/>
    </row>
    <row r="120" spans="2:6" x14ac:dyDescent="0.25">
      <c r="B120" s="5"/>
      <c r="C120" s="5"/>
      <c r="D120" s="5"/>
      <c r="E120" s="10"/>
      <c r="F120" s="5"/>
    </row>
    <row r="121" spans="2:6" x14ac:dyDescent="0.25">
      <c r="B121" s="5"/>
      <c r="C121" s="5"/>
      <c r="D121" s="5"/>
      <c r="E121" s="10"/>
      <c r="F121" s="5"/>
    </row>
    <row r="122" spans="2:6" x14ac:dyDescent="0.25">
      <c r="B122" s="5"/>
      <c r="C122" s="5"/>
      <c r="D122" s="5"/>
      <c r="E122" s="10"/>
      <c r="F122" s="5"/>
    </row>
    <row r="123" spans="2:6" x14ac:dyDescent="0.25">
      <c r="B123" s="5"/>
      <c r="C123" s="5"/>
      <c r="D123" s="5"/>
      <c r="E123" s="10"/>
      <c r="F123" s="5"/>
    </row>
    <row r="124" spans="2:6" x14ac:dyDescent="0.25">
      <c r="B124" s="5"/>
      <c r="C124" s="5"/>
      <c r="D124" s="5"/>
      <c r="E124" s="10"/>
      <c r="F124" s="5"/>
    </row>
    <row r="125" spans="2:6" x14ac:dyDescent="0.25">
      <c r="B125" s="5"/>
      <c r="C125" s="5"/>
      <c r="D125" s="5"/>
      <c r="E125" s="10"/>
      <c r="F125" s="5"/>
    </row>
    <row r="126" spans="2:6" x14ac:dyDescent="0.25">
      <c r="B126" s="5"/>
      <c r="C126" s="5"/>
      <c r="D126" s="5"/>
      <c r="E126" s="10"/>
      <c r="F126" s="5"/>
    </row>
    <row r="127" spans="2:6" x14ac:dyDescent="0.25">
      <c r="B127" s="5"/>
      <c r="C127" s="5"/>
      <c r="D127" s="5"/>
      <c r="E127" s="10"/>
      <c r="F127" s="5"/>
    </row>
    <row r="128" spans="2:6" x14ac:dyDescent="0.25">
      <c r="B128" s="5"/>
      <c r="C128" s="5"/>
      <c r="D128" s="5"/>
      <c r="E128" s="10"/>
      <c r="F128" s="5"/>
    </row>
    <row r="129" spans="2:6" x14ac:dyDescent="0.25">
      <c r="B129" s="5"/>
      <c r="C129" s="5"/>
      <c r="D129" s="5"/>
      <c r="E129" s="10"/>
      <c r="F129" s="5"/>
    </row>
    <row r="130" spans="2:6" x14ac:dyDescent="0.25">
      <c r="B130" s="5"/>
      <c r="C130" s="5"/>
      <c r="D130" s="5"/>
      <c r="E130" s="10"/>
      <c r="F130" s="5"/>
    </row>
    <row r="131" spans="2:6" x14ac:dyDescent="0.25">
      <c r="B131" s="5"/>
      <c r="C131" s="5"/>
      <c r="D131" s="5"/>
      <c r="E131" s="10"/>
      <c r="F131" s="5"/>
    </row>
    <row r="132" spans="2:6" x14ac:dyDescent="0.25">
      <c r="B132" s="5"/>
      <c r="C132" s="5"/>
      <c r="D132" s="5"/>
      <c r="E132" s="10"/>
      <c r="F132" s="5"/>
    </row>
    <row r="133" spans="2:6" x14ac:dyDescent="0.25">
      <c r="B133" s="5"/>
      <c r="C133" s="5"/>
      <c r="D133" s="5"/>
      <c r="E133" s="10"/>
      <c r="F133" s="5"/>
    </row>
    <row r="134" spans="2:6" x14ac:dyDescent="0.25">
      <c r="B134" s="5"/>
      <c r="C134" s="5"/>
      <c r="D134" s="5"/>
      <c r="E134" s="10"/>
      <c r="F134" s="5"/>
    </row>
    <row r="135" spans="2:6" x14ac:dyDescent="0.25">
      <c r="B135" s="5"/>
      <c r="C135" s="5"/>
      <c r="D135" s="5"/>
      <c r="E135" s="10"/>
      <c r="F135" s="5"/>
    </row>
    <row r="136" spans="2:6" x14ac:dyDescent="0.25">
      <c r="B136" s="5"/>
      <c r="C136" s="5"/>
      <c r="D136" s="5"/>
      <c r="E136" s="10"/>
      <c r="F136" s="5"/>
    </row>
    <row r="137" spans="2:6" x14ac:dyDescent="0.25">
      <c r="B137" s="5"/>
      <c r="C137" s="5"/>
      <c r="D137" s="5"/>
      <c r="E137" s="10"/>
      <c r="F137" s="5"/>
    </row>
    <row r="138" spans="2:6" x14ac:dyDescent="0.25">
      <c r="B138" s="5"/>
      <c r="C138" s="5"/>
      <c r="D138" s="5"/>
      <c r="E138" s="10"/>
      <c r="F138" s="5"/>
    </row>
    <row r="139" spans="2:6" x14ac:dyDescent="0.25">
      <c r="B139" s="5"/>
      <c r="C139" s="5"/>
      <c r="D139" s="5"/>
      <c r="E139" s="10"/>
      <c r="F139" s="5"/>
    </row>
    <row r="140" spans="2:6" x14ac:dyDescent="0.25">
      <c r="B140" s="5"/>
      <c r="C140" s="5"/>
      <c r="D140" s="5"/>
      <c r="E140" s="10"/>
      <c r="F140" s="5"/>
    </row>
    <row r="141" spans="2:6" x14ac:dyDescent="0.25">
      <c r="B141" s="5"/>
      <c r="C141" s="5"/>
      <c r="D141" s="5"/>
      <c r="E141" s="10"/>
      <c r="F141" s="5"/>
    </row>
    <row r="142" spans="2:6" x14ac:dyDescent="0.25">
      <c r="B142" s="5"/>
      <c r="C142" s="5"/>
      <c r="D142" s="5"/>
      <c r="E142" s="10"/>
      <c r="F142" s="5"/>
    </row>
    <row r="143" spans="2:6" x14ac:dyDescent="0.25">
      <c r="B143" s="5"/>
      <c r="C143" s="5"/>
      <c r="D143" s="5"/>
      <c r="E143" s="10"/>
      <c r="F143" s="5"/>
    </row>
    <row r="144" spans="2:6" x14ac:dyDescent="0.25">
      <c r="B144" s="5"/>
      <c r="C144" s="5"/>
      <c r="D144" s="5"/>
      <c r="E144" s="10"/>
      <c r="F144" s="5"/>
    </row>
    <row r="145" spans="2:6" x14ac:dyDescent="0.25">
      <c r="B145" s="5"/>
      <c r="C145" s="5"/>
      <c r="D145" s="5"/>
      <c r="E145" s="10"/>
      <c r="F145" s="5"/>
    </row>
    <row r="146" spans="2:6" x14ac:dyDescent="0.25">
      <c r="B146" s="5"/>
      <c r="C146" s="5"/>
      <c r="D146" s="5"/>
      <c r="E146" s="10"/>
      <c r="F146" s="5"/>
    </row>
    <row r="147" spans="2:6" x14ac:dyDescent="0.25">
      <c r="B147" s="5"/>
      <c r="C147" s="5"/>
      <c r="D147" s="5"/>
      <c r="E147" s="10"/>
      <c r="F147" s="5"/>
    </row>
    <row r="148" spans="2:6" x14ac:dyDescent="0.25">
      <c r="B148" s="5"/>
      <c r="C148" s="5"/>
      <c r="D148" s="5"/>
      <c r="E148" s="10"/>
      <c r="F148" s="5"/>
    </row>
    <row r="149" spans="2:6" x14ac:dyDescent="0.25">
      <c r="B149" s="5"/>
      <c r="C149" s="5"/>
      <c r="D149" s="5"/>
      <c r="E149" s="10"/>
      <c r="F149" s="5"/>
    </row>
    <row r="150" spans="2:6" x14ac:dyDescent="0.25">
      <c r="B150" s="5"/>
      <c r="C150" s="5"/>
      <c r="D150" s="5"/>
      <c r="E150" s="10"/>
      <c r="F150" s="5"/>
    </row>
    <row r="151" spans="2:6" x14ac:dyDescent="0.25">
      <c r="B151" s="5"/>
      <c r="C151" s="5"/>
      <c r="D151" s="5"/>
      <c r="E151" s="10"/>
      <c r="F151" s="5"/>
    </row>
    <row r="152" spans="2:6" x14ac:dyDescent="0.25">
      <c r="B152" s="5"/>
      <c r="C152" s="5"/>
      <c r="D152" s="5"/>
      <c r="E152" s="10"/>
      <c r="F152" s="5"/>
    </row>
    <row r="153" spans="2:6" x14ac:dyDescent="0.25">
      <c r="B153" s="5"/>
      <c r="C153" s="5"/>
      <c r="D153" s="5"/>
      <c r="E153" s="10"/>
      <c r="F153" s="5"/>
    </row>
    <row r="154" spans="2:6" x14ac:dyDescent="0.25">
      <c r="B154" s="5"/>
      <c r="C154" s="5"/>
      <c r="D154" s="5"/>
      <c r="E154" s="10"/>
      <c r="F154" s="5"/>
    </row>
    <row r="155" spans="2:6" x14ac:dyDescent="0.25">
      <c r="B155" s="5"/>
      <c r="C155" s="5"/>
      <c r="D155" s="5"/>
      <c r="E155" s="10"/>
      <c r="F155" s="5"/>
    </row>
    <row r="156" spans="2:6" x14ac:dyDescent="0.25">
      <c r="B156" s="5"/>
      <c r="C156" s="5"/>
      <c r="D156" s="5"/>
      <c r="E156" s="10"/>
      <c r="F156" s="5"/>
    </row>
    <row r="157" spans="2:6" x14ac:dyDescent="0.25">
      <c r="B157" s="5"/>
      <c r="C157" s="5"/>
      <c r="D157" s="5"/>
      <c r="E157" s="10"/>
      <c r="F157" s="5"/>
    </row>
    <row r="158" spans="2:6" x14ac:dyDescent="0.25">
      <c r="B158" s="5"/>
      <c r="C158" s="5"/>
      <c r="D158" s="5"/>
      <c r="E158" s="10"/>
      <c r="F158" s="5"/>
    </row>
    <row r="159" spans="2:6" x14ac:dyDescent="0.25">
      <c r="B159" s="5"/>
      <c r="C159" s="5"/>
      <c r="D159" s="5"/>
      <c r="E159" s="10"/>
      <c r="F159" s="5"/>
    </row>
    <row r="160" spans="2:6" x14ac:dyDescent="0.25">
      <c r="B160" s="5"/>
      <c r="C160" s="5"/>
      <c r="D160" s="5"/>
      <c r="E160" s="10"/>
      <c r="F160" s="5"/>
    </row>
    <row r="161" spans="2:6" x14ac:dyDescent="0.25">
      <c r="B161" s="5"/>
      <c r="C161" s="5"/>
      <c r="D161" s="5"/>
      <c r="E161" s="10"/>
      <c r="F161" s="5"/>
    </row>
    <row r="162" spans="2:6" x14ac:dyDescent="0.25">
      <c r="B162" s="5"/>
      <c r="C162" s="5"/>
      <c r="D162" s="5"/>
      <c r="E162" s="10"/>
      <c r="F162" s="5"/>
    </row>
    <row r="163" spans="2:6" x14ac:dyDescent="0.25">
      <c r="B163" s="5"/>
      <c r="C163" s="5"/>
      <c r="D163" s="5"/>
      <c r="E163" s="10"/>
      <c r="F163" s="5"/>
    </row>
    <row r="164" spans="2:6" x14ac:dyDescent="0.25">
      <c r="B164" s="5"/>
      <c r="C164" s="5"/>
      <c r="D164" s="5"/>
      <c r="E164" s="10"/>
      <c r="F164" s="5"/>
    </row>
    <row r="165" spans="2:6" x14ac:dyDescent="0.25">
      <c r="B165" s="5"/>
      <c r="C165" s="5"/>
      <c r="D165" s="5"/>
      <c r="E165" s="10"/>
      <c r="F165" s="5"/>
    </row>
    <row r="166" spans="2:6" x14ac:dyDescent="0.25">
      <c r="B166" s="5"/>
      <c r="C166" s="5"/>
      <c r="D166" s="5"/>
      <c r="E166" s="10"/>
      <c r="F166" s="5"/>
    </row>
    <row r="167" spans="2:6" x14ac:dyDescent="0.25">
      <c r="B167" s="5"/>
      <c r="C167" s="5"/>
      <c r="D167" s="5"/>
      <c r="E167" s="10"/>
      <c r="F167" s="5"/>
    </row>
    <row r="168" spans="2:6" x14ac:dyDescent="0.25">
      <c r="B168" s="5"/>
      <c r="C168" s="5"/>
      <c r="D168" s="5"/>
      <c r="E168" s="10"/>
      <c r="F168" s="5"/>
    </row>
    <row r="169" spans="2:6" x14ac:dyDescent="0.25">
      <c r="B169" s="5"/>
      <c r="C169" s="5"/>
      <c r="D169" s="5"/>
      <c r="E169" s="10"/>
      <c r="F169" s="5"/>
    </row>
    <row r="170" spans="2:6" x14ac:dyDescent="0.25">
      <c r="B170" s="5"/>
      <c r="C170" s="5"/>
      <c r="D170" s="5"/>
      <c r="E170" s="10"/>
      <c r="F170" s="5"/>
    </row>
    <row r="171" spans="2:6" x14ac:dyDescent="0.25">
      <c r="B171" s="5"/>
      <c r="C171" s="5"/>
      <c r="D171" s="5"/>
      <c r="E171" s="10"/>
      <c r="F171" s="5"/>
    </row>
    <row r="172" spans="2:6" x14ac:dyDescent="0.25">
      <c r="B172" s="5"/>
      <c r="C172" s="5"/>
      <c r="D172" s="5"/>
      <c r="E172" s="10"/>
      <c r="F172" s="5"/>
    </row>
    <row r="173" spans="2:6" x14ac:dyDescent="0.25">
      <c r="B173" s="5"/>
      <c r="C173" s="5"/>
      <c r="D173" s="5"/>
      <c r="E173" s="10"/>
      <c r="F173" s="5"/>
    </row>
    <row r="174" spans="2:6" x14ac:dyDescent="0.25">
      <c r="B174" s="5"/>
      <c r="C174" s="5"/>
      <c r="D174" s="5"/>
      <c r="E174" s="10"/>
      <c r="F174" s="5"/>
    </row>
    <row r="175" spans="2:6" x14ac:dyDescent="0.25">
      <c r="B175" s="5"/>
      <c r="C175" s="5"/>
      <c r="D175" s="5"/>
      <c r="E175" s="10"/>
      <c r="F175" s="5"/>
    </row>
    <row r="176" spans="2:6" x14ac:dyDescent="0.25">
      <c r="B176" s="5"/>
      <c r="C176" s="5"/>
      <c r="D176" s="5"/>
      <c r="E176" s="10"/>
      <c r="F176" s="5"/>
    </row>
    <row r="177" spans="2:6" x14ac:dyDescent="0.25">
      <c r="B177" s="5"/>
      <c r="C177" s="5"/>
      <c r="D177" s="5"/>
      <c r="E177" s="10"/>
      <c r="F177" s="5"/>
    </row>
    <row r="178" spans="2:6" x14ac:dyDescent="0.25">
      <c r="B178" s="5"/>
      <c r="C178" s="5"/>
      <c r="D178" s="5"/>
      <c r="E178" s="10"/>
      <c r="F178" s="5"/>
    </row>
    <row r="179" spans="2:6" x14ac:dyDescent="0.25">
      <c r="B179" s="5"/>
      <c r="C179" s="5"/>
      <c r="D179" s="5"/>
      <c r="E179" s="10"/>
      <c r="F179" s="5"/>
    </row>
    <row r="180" spans="2:6" x14ac:dyDescent="0.25">
      <c r="B180" s="5"/>
      <c r="C180" s="5"/>
      <c r="D180" s="5"/>
      <c r="E180" s="10"/>
      <c r="F180" s="5"/>
    </row>
    <row r="181" spans="2:6" x14ac:dyDescent="0.25">
      <c r="B181" s="5"/>
      <c r="C181" s="5"/>
      <c r="D181" s="5"/>
      <c r="E181" s="10"/>
      <c r="F181" s="5"/>
    </row>
    <row r="182" spans="2:6" x14ac:dyDescent="0.25">
      <c r="B182" s="5"/>
      <c r="C182" s="5"/>
      <c r="D182" s="5"/>
      <c r="E182" s="10"/>
      <c r="F182" s="5"/>
    </row>
    <row r="183" spans="2:6" x14ac:dyDescent="0.25">
      <c r="B183" s="5"/>
      <c r="C183" s="5"/>
      <c r="D183" s="5"/>
      <c r="E183" s="10"/>
      <c r="F183" s="5"/>
    </row>
    <row r="184" spans="2:6" x14ac:dyDescent="0.25">
      <c r="B184" s="5"/>
      <c r="C184" s="5"/>
      <c r="D184" s="5"/>
      <c r="E184" s="10"/>
      <c r="F184" s="5"/>
    </row>
    <row r="185" spans="2:6" x14ac:dyDescent="0.25">
      <c r="B185" s="5"/>
      <c r="C185" s="5"/>
      <c r="D185" s="5"/>
      <c r="E185" s="10"/>
      <c r="F185" s="5"/>
    </row>
    <row r="186" spans="2:6" x14ac:dyDescent="0.25">
      <c r="B186" s="5"/>
      <c r="C186" s="5"/>
      <c r="D186" s="5"/>
      <c r="E186" s="10"/>
      <c r="F186" s="5"/>
    </row>
    <row r="187" spans="2:6" x14ac:dyDescent="0.25">
      <c r="B187" s="5"/>
      <c r="C187" s="5"/>
      <c r="D187" s="5"/>
      <c r="E187" s="10"/>
      <c r="F187" s="5"/>
    </row>
    <row r="188" spans="2:6" x14ac:dyDescent="0.25">
      <c r="B188" s="5"/>
      <c r="C188" s="5"/>
      <c r="D188" s="5"/>
      <c r="E188" s="10"/>
      <c r="F188" s="5"/>
    </row>
    <row r="189" spans="2:6" x14ac:dyDescent="0.25">
      <c r="B189" s="5"/>
      <c r="C189" s="5"/>
      <c r="D189" s="5"/>
      <c r="E189" s="10"/>
      <c r="F189" s="5"/>
    </row>
    <row r="190" spans="2:6" x14ac:dyDescent="0.25">
      <c r="B190" s="5"/>
      <c r="C190" s="5"/>
      <c r="D190" s="5"/>
      <c r="E190" s="10"/>
      <c r="F190" s="5"/>
    </row>
    <row r="191" spans="2:6" x14ac:dyDescent="0.25">
      <c r="B191" s="5"/>
      <c r="C191" s="5"/>
      <c r="D191" s="5"/>
      <c r="E191" s="10"/>
      <c r="F191" s="5"/>
    </row>
    <row r="192" spans="2:6" x14ac:dyDescent="0.25">
      <c r="B192" s="5"/>
      <c r="C192" s="5"/>
      <c r="D192" s="5"/>
      <c r="E192" s="10"/>
      <c r="F192" s="5"/>
    </row>
    <row r="193" spans="2:6" x14ac:dyDescent="0.25">
      <c r="B193" s="5"/>
      <c r="C193" s="5"/>
      <c r="D193" s="5"/>
      <c r="E193" s="10"/>
      <c r="F193" s="5"/>
    </row>
    <row r="194" spans="2:6" x14ac:dyDescent="0.25">
      <c r="B194" s="5"/>
      <c r="C194" s="5"/>
      <c r="D194" s="5"/>
      <c r="E194" s="10"/>
      <c r="F194" s="5"/>
    </row>
    <row r="195" spans="2:6" x14ac:dyDescent="0.25">
      <c r="B195" s="5"/>
      <c r="C195" s="5"/>
      <c r="D195" s="5"/>
      <c r="E195" s="10"/>
      <c r="F195" s="5"/>
    </row>
    <row r="196" spans="2:6" x14ac:dyDescent="0.25">
      <c r="B196" s="5"/>
      <c r="C196" s="5"/>
      <c r="D196" s="5"/>
      <c r="E196" s="10"/>
      <c r="F196" s="5"/>
    </row>
    <row r="197" spans="2:6" x14ac:dyDescent="0.25">
      <c r="B197" s="5"/>
      <c r="C197" s="5"/>
      <c r="D197" s="5"/>
      <c r="E197" s="10"/>
      <c r="F197" s="5"/>
    </row>
    <row r="198" spans="2:6" x14ac:dyDescent="0.25">
      <c r="B198" s="5"/>
      <c r="C198" s="5"/>
      <c r="D198" s="5"/>
      <c r="E198" s="10"/>
      <c r="F198" s="5"/>
    </row>
    <row r="199" spans="2:6" x14ac:dyDescent="0.25">
      <c r="B199" s="5"/>
      <c r="C199" s="5"/>
      <c r="D199" s="5"/>
      <c r="E199" s="10"/>
      <c r="F199" s="5"/>
    </row>
    <row r="200" spans="2:6" x14ac:dyDescent="0.25">
      <c r="B200" s="5"/>
      <c r="C200" s="5"/>
      <c r="D200" s="5"/>
      <c r="E200" s="10"/>
      <c r="F200" s="5"/>
    </row>
    <row r="201" spans="2:6" x14ac:dyDescent="0.25">
      <c r="B201" s="5"/>
      <c r="C201" s="5"/>
      <c r="D201" s="5"/>
      <c r="E201" s="10"/>
      <c r="F201" s="5"/>
    </row>
    <row r="202" spans="2:6" x14ac:dyDescent="0.25">
      <c r="B202" s="5"/>
      <c r="C202" s="5"/>
      <c r="D202" s="5"/>
      <c r="E202" s="10"/>
      <c r="F202" s="5"/>
    </row>
    <row r="203" spans="2:6" x14ac:dyDescent="0.25">
      <c r="B203" s="5"/>
      <c r="C203" s="5"/>
      <c r="D203" s="5"/>
      <c r="E203" s="10"/>
      <c r="F203" s="5"/>
    </row>
    <row r="204" spans="2:6" x14ac:dyDescent="0.25">
      <c r="B204" s="5"/>
      <c r="C204" s="5"/>
      <c r="D204" s="5"/>
      <c r="E204" s="10"/>
      <c r="F204" s="5"/>
    </row>
    <row r="205" spans="2:6" x14ac:dyDescent="0.25">
      <c r="B205" s="5"/>
      <c r="C205" s="5"/>
      <c r="D205" s="5"/>
      <c r="E205" s="10"/>
      <c r="F205" s="5"/>
    </row>
    <row r="206" spans="2:6" x14ac:dyDescent="0.25">
      <c r="B206" s="5"/>
      <c r="C206" s="5"/>
      <c r="D206" s="5"/>
      <c r="E206" s="10"/>
      <c r="F206" s="5"/>
    </row>
    <row r="207" spans="2:6" x14ac:dyDescent="0.25">
      <c r="B207" s="5"/>
      <c r="C207" s="5"/>
      <c r="D207" s="5"/>
      <c r="E207" s="10"/>
      <c r="F207" s="5"/>
    </row>
    <row r="208" spans="2:6" x14ac:dyDescent="0.25">
      <c r="B208" s="5"/>
      <c r="C208" s="5"/>
      <c r="D208" s="5"/>
      <c r="E208" s="10"/>
      <c r="F208" s="5"/>
    </row>
    <row r="209" spans="2:6" x14ac:dyDescent="0.25">
      <c r="B209" s="5"/>
      <c r="C209" s="5"/>
      <c r="D209" s="5"/>
      <c r="E209" s="10"/>
      <c r="F209" s="5"/>
    </row>
    <row r="210" spans="2:6" x14ac:dyDescent="0.25">
      <c r="B210" s="5"/>
      <c r="C210" s="5"/>
      <c r="D210" s="5"/>
      <c r="E210" s="10"/>
      <c r="F210" s="5"/>
    </row>
    <row r="211" spans="2:6" x14ac:dyDescent="0.25">
      <c r="B211" s="5"/>
      <c r="C211" s="5"/>
      <c r="D211" s="5"/>
      <c r="E211" s="10"/>
      <c r="F211" s="5"/>
    </row>
    <row r="212" spans="2:6" x14ac:dyDescent="0.25">
      <c r="B212" s="5"/>
      <c r="C212" s="5"/>
      <c r="D212" s="5"/>
      <c r="E212" s="10"/>
      <c r="F212" s="5"/>
    </row>
    <row r="213" spans="2:6" x14ac:dyDescent="0.25">
      <c r="B213" s="5"/>
      <c r="C213" s="5"/>
      <c r="D213" s="5"/>
      <c r="E213" s="10"/>
      <c r="F213" s="5"/>
    </row>
    <row r="214" spans="2:6" x14ac:dyDescent="0.25">
      <c r="B214" s="5"/>
      <c r="C214" s="5"/>
      <c r="D214" s="5"/>
      <c r="E214" s="10"/>
      <c r="F214" s="5"/>
    </row>
    <row r="215" spans="2:6" x14ac:dyDescent="0.25">
      <c r="B215" s="5"/>
      <c r="C215" s="5"/>
      <c r="D215" s="5"/>
      <c r="E215" s="10"/>
      <c r="F215" s="5"/>
    </row>
    <row r="216" spans="2:6" x14ac:dyDescent="0.25">
      <c r="B216" s="5"/>
      <c r="C216" s="5"/>
      <c r="D216" s="5"/>
      <c r="E216" s="10"/>
      <c r="F216" s="5"/>
    </row>
    <row r="217" spans="2:6" x14ac:dyDescent="0.25">
      <c r="B217" s="5"/>
      <c r="C217" s="5"/>
      <c r="D217" s="5"/>
      <c r="E217" s="10"/>
      <c r="F217" s="5"/>
    </row>
    <row r="218" spans="2:6" x14ac:dyDescent="0.25">
      <c r="B218" s="5"/>
      <c r="C218" s="5"/>
      <c r="D218" s="5"/>
      <c r="E218" s="10"/>
      <c r="F218" s="5"/>
    </row>
    <row r="219" spans="2:6" x14ac:dyDescent="0.25">
      <c r="B219" s="5"/>
      <c r="C219" s="5"/>
      <c r="D219" s="5"/>
      <c r="E219" s="10"/>
      <c r="F219" s="5"/>
    </row>
    <row r="220" spans="2:6" x14ac:dyDescent="0.25">
      <c r="B220" s="5"/>
      <c r="C220" s="5"/>
      <c r="D220" s="5"/>
      <c r="E220" s="10"/>
      <c r="F220" s="5"/>
    </row>
    <row r="221" spans="2:6" x14ac:dyDescent="0.25">
      <c r="B221" s="5"/>
      <c r="C221" s="5"/>
      <c r="D221" s="5"/>
      <c r="E221" s="10"/>
      <c r="F221" s="5"/>
    </row>
    <row r="222" spans="2:6" x14ac:dyDescent="0.25">
      <c r="B222" s="5"/>
      <c r="C222" s="5"/>
      <c r="D222" s="5"/>
      <c r="E222" s="10"/>
      <c r="F222" s="5"/>
    </row>
    <row r="223" spans="2:6" x14ac:dyDescent="0.25">
      <c r="B223" s="5"/>
      <c r="C223" s="5"/>
      <c r="D223" s="5"/>
      <c r="E223" s="10"/>
      <c r="F223" s="5"/>
    </row>
    <row r="224" spans="2:6" x14ac:dyDescent="0.25">
      <c r="B224" s="5"/>
      <c r="C224" s="5"/>
      <c r="D224" s="5"/>
      <c r="E224" s="10"/>
      <c r="F224" s="5"/>
    </row>
    <row r="225" spans="2:6" x14ac:dyDescent="0.25">
      <c r="B225" s="5"/>
      <c r="C225" s="5"/>
      <c r="D225" s="5"/>
      <c r="E225" s="10"/>
      <c r="F225" s="5"/>
    </row>
    <row r="226" spans="2:6" x14ac:dyDescent="0.25">
      <c r="B226" s="5"/>
      <c r="C226" s="5"/>
      <c r="D226" s="5"/>
      <c r="E226" s="10"/>
      <c r="F226" s="5"/>
    </row>
    <row r="227" spans="2:6" x14ac:dyDescent="0.25">
      <c r="B227" s="5"/>
      <c r="C227" s="5"/>
      <c r="D227" s="5"/>
      <c r="E227" s="10"/>
      <c r="F227" s="5"/>
    </row>
    <row r="228" spans="2:6" x14ac:dyDescent="0.25">
      <c r="B228" s="5"/>
      <c r="C228" s="5"/>
      <c r="D228" s="5"/>
      <c r="E228" s="10"/>
      <c r="F228" s="5"/>
    </row>
    <row r="229" spans="2:6" x14ac:dyDescent="0.25">
      <c r="B229" s="5"/>
      <c r="C229" s="5"/>
      <c r="D229" s="5"/>
      <c r="E229" s="10"/>
      <c r="F229" s="5"/>
    </row>
    <row r="230" spans="2:6" x14ac:dyDescent="0.25">
      <c r="B230" s="5"/>
      <c r="C230" s="5"/>
      <c r="D230" s="5"/>
      <c r="E230" s="10"/>
      <c r="F230" s="5"/>
    </row>
    <row r="231" spans="2:6" x14ac:dyDescent="0.25">
      <c r="B231" s="5"/>
      <c r="C231" s="5"/>
      <c r="D231" s="5"/>
      <c r="E231" s="10"/>
      <c r="F231" s="5"/>
    </row>
    <row r="232" spans="2:6" x14ac:dyDescent="0.25">
      <c r="B232" s="5"/>
      <c r="C232" s="5"/>
      <c r="D232" s="5"/>
      <c r="E232" s="10"/>
      <c r="F232" s="5"/>
    </row>
    <row r="233" spans="2:6" x14ac:dyDescent="0.25">
      <c r="B233" s="5"/>
      <c r="C233" s="5"/>
      <c r="D233" s="5"/>
      <c r="E233" s="10"/>
      <c r="F233" s="5"/>
    </row>
    <row r="234" spans="2:6" x14ac:dyDescent="0.25">
      <c r="B234" s="5"/>
      <c r="C234" s="5"/>
      <c r="D234" s="5"/>
      <c r="E234" s="10"/>
      <c r="F234" s="5"/>
    </row>
    <row r="235" spans="2:6" x14ac:dyDescent="0.25">
      <c r="B235" s="5"/>
      <c r="C235" s="5"/>
      <c r="D235" s="5"/>
      <c r="E235" s="10"/>
      <c r="F235" s="5"/>
    </row>
    <row r="236" spans="2:6" x14ac:dyDescent="0.25">
      <c r="B236" s="5"/>
      <c r="C236" s="5"/>
      <c r="D236" s="5"/>
      <c r="E236" s="10"/>
      <c r="F236" s="5"/>
    </row>
    <row r="237" spans="2:6" x14ac:dyDescent="0.25">
      <c r="B237" s="5"/>
      <c r="C237" s="5"/>
      <c r="D237" s="5"/>
      <c r="E237" s="10"/>
      <c r="F237" s="5"/>
    </row>
    <row r="238" spans="2:6" x14ac:dyDescent="0.25">
      <c r="B238" s="5"/>
      <c r="C238" s="5"/>
      <c r="D238" s="5"/>
      <c r="E238" s="10"/>
      <c r="F238" s="5"/>
    </row>
    <row r="239" spans="2:6" x14ac:dyDescent="0.25">
      <c r="B239" s="5"/>
      <c r="C239" s="5"/>
      <c r="D239" s="5"/>
      <c r="E239" s="10"/>
      <c r="F239" s="5"/>
    </row>
    <row r="240" spans="2:6" x14ac:dyDescent="0.25">
      <c r="B240" s="5"/>
      <c r="C240" s="5"/>
      <c r="D240" s="5"/>
      <c r="E240" s="10"/>
      <c r="F240" s="5"/>
    </row>
    <row r="241" spans="2:6" x14ac:dyDescent="0.25">
      <c r="B241" s="5"/>
      <c r="C241" s="5"/>
      <c r="D241" s="5"/>
      <c r="E241" s="10"/>
      <c r="F241" s="5"/>
    </row>
    <row r="242" spans="2:6" x14ac:dyDescent="0.25">
      <c r="B242" s="5"/>
      <c r="C242" s="5"/>
      <c r="D242" s="5"/>
      <c r="E242" s="10"/>
      <c r="F242" s="5"/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defaultColWidth="18.140625" defaultRowHeight="15" x14ac:dyDescent="0.25"/>
  <cols>
    <col min="1" max="1" width="10.85546875" bestFit="1" customWidth="1"/>
    <col min="2" max="2" width="13.28515625" style="4" bestFit="1" customWidth="1"/>
  </cols>
  <sheetData>
    <row r="1" spans="1:2" x14ac:dyDescent="0.25">
      <c r="A1" s="3" t="s">
        <v>10</v>
      </c>
      <c r="B1" s="11" t="s">
        <v>42</v>
      </c>
    </row>
    <row r="2" spans="1:2" x14ac:dyDescent="0.25">
      <c r="A2" s="2" t="s">
        <v>52</v>
      </c>
      <c r="B2" s="7" t="s">
        <v>43</v>
      </c>
    </row>
    <row r="3" spans="1:2" x14ac:dyDescent="0.25">
      <c r="A3" s="2" t="s">
        <v>52</v>
      </c>
      <c r="B3" s="7" t="s">
        <v>44</v>
      </c>
    </row>
    <row r="4" spans="1:2" x14ac:dyDescent="0.25">
      <c r="A4" s="2" t="s">
        <v>52</v>
      </c>
      <c r="B4" s="4" t="s">
        <v>45</v>
      </c>
    </row>
    <row r="5" spans="1:2" x14ac:dyDescent="0.25">
      <c r="A5" s="2" t="s">
        <v>52</v>
      </c>
      <c r="B5" s="4" t="s">
        <v>46</v>
      </c>
    </row>
    <row r="6" spans="1:2" x14ac:dyDescent="0.25">
      <c r="A6" s="2" t="s">
        <v>50</v>
      </c>
      <c r="B6" s="7" t="s">
        <v>43</v>
      </c>
    </row>
    <row r="7" spans="1:2" x14ac:dyDescent="0.25">
      <c r="A7" s="2" t="s">
        <v>50</v>
      </c>
      <c r="B7" s="7" t="s">
        <v>44</v>
      </c>
    </row>
    <row r="8" spans="1:2" x14ac:dyDescent="0.25">
      <c r="A8" s="2" t="s">
        <v>50</v>
      </c>
      <c r="B8" s="4" t="s">
        <v>45</v>
      </c>
    </row>
    <row r="9" spans="1:2" x14ac:dyDescent="0.25">
      <c r="A9" s="2" t="s">
        <v>50</v>
      </c>
      <c r="B9" s="4" t="s">
        <v>46</v>
      </c>
    </row>
    <row r="1627" spans="1:1" x14ac:dyDescent="0.25">
      <c r="A1627" t="s">
        <v>2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defaultColWidth="18.140625" defaultRowHeight="15" x14ac:dyDescent="0.25"/>
  <cols>
    <col min="1" max="1" width="10.85546875" bestFit="1" customWidth="1"/>
    <col min="2" max="2" width="13.28515625" style="4" bestFit="1" customWidth="1"/>
  </cols>
  <sheetData>
    <row r="1" spans="1:2" x14ac:dyDescent="0.25">
      <c r="A1" s="3" t="s">
        <v>10</v>
      </c>
      <c r="B1" s="11" t="s">
        <v>47</v>
      </c>
    </row>
    <row r="2" spans="1:2" x14ac:dyDescent="0.25">
      <c r="A2" s="2" t="s">
        <v>52</v>
      </c>
      <c r="B2" s="7" t="s">
        <v>48</v>
      </c>
    </row>
    <row r="3" spans="1:2" x14ac:dyDescent="0.25">
      <c r="A3" s="2" t="s">
        <v>52</v>
      </c>
      <c r="B3" s="7"/>
    </row>
    <row r="4" spans="1:2" x14ac:dyDescent="0.25">
      <c r="A4" s="2" t="s">
        <v>52</v>
      </c>
    </row>
    <row r="5" spans="1:2" x14ac:dyDescent="0.25">
      <c r="A5" s="2" t="s">
        <v>52</v>
      </c>
    </row>
    <row r="6" spans="1:2" x14ac:dyDescent="0.25">
      <c r="A6" s="2" t="s">
        <v>50</v>
      </c>
      <c r="B6" s="7"/>
    </row>
    <row r="7" spans="1:2" x14ac:dyDescent="0.25">
      <c r="A7" s="2" t="s">
        <v>50</v>
      </c>
      <c r="B7" s="7"/>
    </row>
    <row r="8" spans="1:2" x14ac:dyDescent="0.25">
      <c r="A8" s="2" t="s">
        <v>50</v>
      </c>
    </row>
    <row r="9" spans="1:2" x14ac:dyDescent="0.25">
      <c r="A9" s="2" t="s">
        <v>50</v>
      </c>
    </row>
    <row r="1627" spans="1:1" x14ac:dyDescent="0.25">
      <c r="A1627" t="s">
        <v>2</v>
      </c>
    </row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defaultColWidth="18.140625" defaultRowHeight="15" x14ac:dyDescent="0.25"/>
  <cols>
    <col min="1" max="1" width="10.85546875" bestFit="1" customWidth="1"/>
    <col min="2" max="2" width="20.7109375" style="4" bestFit="1" customWidth="1"/>
  </cols>
  <sheetData>
    <row r="1" spans="1:2" x14ac:dyDescent="0.25">
      <c r="A1" s="3" t="s">
        <v>10</v>
      </c>
      <c r="B1" s="11" t="s">
        <v>38</v>
      </c>
    </row>
    <row r="2" spans="1:2" x14ac:dyDescent="0.25">
      <c r="A2" s="2" t="s">
        <v>52</v>
      </c>
      <c r="B2" s="7"/>
    </row>
    <row r="3" spans="1:2" x14ac:dyDescent="0.25">
      <c r="A3" s="2" t="s">
        <v>52</v>
      </c>
      <c r="B3" s="7"/>
    </row>
    <row r="4" spans="1:2" x14ac:dyDescent="0.25">
      <c r="A4" s="2" t="s">
        <v>52</v>
      </c>
    </row>
    <row r="5" spans="1:2" x14ac:dyDescent="0.25">
      <c r="A5" s="2" t="s">
        <v>52</v>
      </c>
    </row>
    <row r="6" spans="1:2" x14ac:dyDescent="0.25">
      <c r="A6" s="2" t="s">
        <v>50</v>
      </c>
      <c r="B6" s="7"/>
    </row>
    <row r="7" spans="1:2" x14ac:dyDescent="0.25">
      <c r="A7" s="2" t="s">
        <v>50</v>
      </c>
      <c r="B7" s="7"/>
    </row>
    <row r="8" spans="1:2" x14ac:dyDescent="0.25">
      <c r="A8" s="2" t="s">
        <v>50</v>
      </c>
    </row>
    <row r="9" spans="1:2" x14ac:dyDescent="0.25">
      <c r="A9" s="2" t="s">
        <v>50</v>
      </c>
    </row>
    <row r="1627" spans="1:1" x14ac:dyDescent="0.25">
      <c r="A1627" t="s">
        <v>2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Setup</vt:lpstr>
      <vt:lpstr>Spot (Sample)</vt:lpstr>
      <vt:lpstr>Sheet3</vt:lpstr>
      <vt:lpstr>Accounts</vt:lpstr>
      <vt:lpstr>BalanceUpload</vt:lpstr>
      <vt:lpstr>Sample</vt:lpstr>
      <vt:lpstr>ReconAccounts</vt:lpstr>
      <vt:lpstr>ReconUpload</vt:lpstr>
      <vt:lpstr>Term</vt:lpstr>
      <vt:lpstr>$Term2</vt:lpstr>
      <vt:lpstr>$TermInterestDates</vt:lpstr>
      <vt:lpstr>$TermInterestRates</vt:lpstr>
      <vt:lpstr>$TermInterestAmortisations</vt:lpstr>
    </vt:vector>
  </TitlesOfParts>
  <Company>Banco do Brasil SA.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 Newell</dc:creator>
  <cp:lastModifiedBy>Matt Townsend</cp:lastModifiedBy>
  <cp:lastPrinted>2016-03-31T15:43:39Z</cp:lastPrinted>
  <dcterms:created xsi:type="dcterms:W3CDTF">2011-04-06T15:22:11Z</dcterms:created>
  <dcterms:modified xsi:type="dcterms:W3CDTF">2018-07-05T16:02:54Z</dcterms:modified>
</cp:coreProperties>
</file>