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3" codeName="{C91A5AB4-4716-4C1C-F88D-27D8590B212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SIX/Siena Transaction Generator/"/>
    </mc:Choice>
  </mc:AlternateContent>
  <xr:revisionPtr revIDLastSave="0" documentId="13_ncr:1_{6E129D3D-C435-9845-9C39-91A83CE19370}" xr6:coauthVersionLast="45" xr6:coauthVersionMax="45" xr10:uidLastSave="{00000000-0000-0000-0000-000000000000}"/>
  <bookViews>
    <workbookView xWindow="10560" yWindow="3040" windowWidth="38400" windowHeight="21600" tabRatio="997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" sheetId="97" r:id="rId7"/>
    <sheet name="UC2FT" sheetId="98" r:id="rId8"/>
    <sheet name="UC2FX" sheetId="99" r:id="rId9"/>
    <sheet name="UC3FT" sheetId="100" r:id="rId10"/>
    <sheet name="UC3FX" sheetId="101" r:id="rId11"/>
    <sheet name="UC3FTUSD" sheetId="102" r:id="rId12"/>
    <sheet name="Sample" sheetId="91" state="hidden" r:id="rId13"/>
    <sheet name="ReconAccounts" sheetId="92" state="hidden" r:id="rId14"/>
    <sheet name="ReconUpload" sheetId="94" state="hidden" r:id="rId15"/>
    <sheet name="RUN" sheetId="78" state="hidden" r:id="rId16"/>
    <sheet name="Term" sheetId="16" state="hidden" r:id="rId17"/>
    <sheet name="$Term2" sheetId="73" state="hidden" r:id="rId18"/>
    <sheet name="$TermInterestDates" sheetId="17" state="hidden" r:id="rId19"/>
    <sheet name="$TermInterestRates" sheetId="74" state="hidden" r:id="rId20"/>
    <sheet name="$TermInterestAmortisations" sheetId="76" state="hidden" r:id="rId21"/>
  </sheets>
  <functionGroups builtInGroupCount="19"/>
  <definedNames>
    <definedName name="_xlnm._FilterDatabase" localSheetId="4" hidden="1">Accounts!$A$1:$U$81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UC1FT!$A$1:$O$1</definedName>
    <definedName name="_xlnm._FilterDatabase" localSheetId="6" hidden="1">UC1FX!$A$1:$P$2</definedName>
    <definedName name="_xlnm._FilterDatabase" localSheetId="7" hidden="1">UC2FT!$A$1:$O$4</definedName>
    <definedName name="_xlnm._FilterDatabase" localSheetId="8" hidden="1">UC2FX!$A$1:$P$2</definedName>
    <definedName name="_xlnm._FilterDatabase" localSheetId="9" hidden="1">UC3FT!$A$1:$O$1</definedName>
    <definedName name="_xlnm._FilterDatabase" localSheetId="11" hidden="1">UC3FTUSD!$A$1:$O$1</definedName>
    <definedName name="_xlnm._FilterDatabase" localSheetId="10" hidden="1">UC3FX!$A$1:$P$1</definedName>
  </definedNames>
  <calcPr calcId="191029"/>
  <pivotCaches>
    <pivotCache cacheId="0" r:id="rId22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9" l="1"/>
  <c r="C2" i="79" s="1"/>
  <c r="T3" i="85" l="1"/>
  <c r="T4" i="85"/>
  <c r="T5" i="85"/>
  <c r="T6" i="85"/>
  <c r="T7" i="85"/>
  <c r="T8" i="85"/>
  <c r="T9" i="85"/>
  <c r="T10" i="85"/>
  <c r="T11" i="85"/>
  <c r="T12" i="85"/>
  <c r="T13" i="85"/>
  <c r="T14" i="85"/>
  <c r="T15" i="85"/>
  <c r="T16" i="85"/>
  <c r="T17" i="85"/>
  <c r="T18" i="85"/>
  <c r="T19" i="85"/>
  <c r="T20" i="85"/>
  <c r="T21" i="85"/>
  <c r="T22" i="85"/>
  <c r="T23" i="85"/>
  <c r="T24" i="85"/>
  <c r="T25" i="85"/>
  <c r="T26" i="85"/>
  <c r="T27" i="85"/>
  <c r="T28" i="85"/>
  <c r="T29" i="85"/>
  <c r="T30" i="85"/>
  <c r="T31" i="85"/>
  <c r="T32" i="85"/>
  <c r="T33" i="85"/>
  <c r="T34" i="85"/>
  <c r="T35" i="85"/>
  <c r="T36" i="85"/>
  <c r="T37" i="85"/>
  <c r="T38" i="85"/>
  <c r="T39" i="85"/>
  <c r="T40" i="85"/>
  <c r="T41" i="85"/>
  <c r="T42" i="85"/>
  <c r="T43" i="85"/>
  <c r="T44" i="85"/>
  <c r="T45" i="85"/>
  <c r="T46" i="85"/>
  <c r="T47" i="85"/>
  <c r="T48" i="85"/>
  <c r="T49" i="85"/>
  <c r="T50" i="85"/>
  <c r="T51" i="85"/>
  <c r="T52" i="85"/>
  <c r="T53" i="85"/>
  <c r="T54" i="85"/>
  <c r="T55" i="85"/>
  <c r="T56" i="85"/>
  <c r="T57" i="85"/>
  <c r="T58" i="85"/>
  <c r="T59" i="85"/>
  <c r="T60" i="85"/>
  <c r="T61" i="85"/>
  <c r="T2" i="85"/>
  <c r="M2" i="85"/>
  <c r="U2" i="85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S57" i="85" s="1"/>
  <c r="U54" i="85"/>
  <c r="S54" i="85" s="1"/>
  <c r="W54" i="85"/>
  <c r="U53" i="85"/>
  <c r="F53" i="85" s="1"/>
  <c r="W22" i="85"/>
  <c r="L43" i="85"/>
  <c r="U22" i="85"/>
  <c r="U23" i="85"/>
  <c r="F23" i="85" s="1"/>
  <c r="J43" i="85"/>
  <c r="J61" i="85"/>
  <c r="U58" i="85"/>
  <c r="S58" i="85" s="1"/>
  <c r="L52" i="85"/>
  <c r="L49" i="85"/>
  <c r="U24" i="85"/>
  <c r="U34" i="85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F44" i="85"/>
  <c r="S44" i="85"/>
  <c r="U59" i="85"/>
  <c r="S59" i="85" s="1"/>
  <c r="U51" i="85"/>
  <c r="S51" i="85" s="1"/>
  <c r="W46" i="85"/>
  <c r="W55" i="85"/>
  <c r="W52" i="85"/>
  <c r="W44" i="85"/>
  <c r="S42" i="85"/>
  <c r="F40" i="85"/>
  <c r="F33" i="85"/>
  <c r="F32" i="85"/>
  <c r="F38" i="85"/>
  <c r="F30" i="85"/>
  <c r="F36" i="85"/>
  <c r="F28" i="85"/>
  <c r="W38" i="85"/>
  <c r="W30" i="85"/>
  <c r="W40" i="85"/>
  <c r="W37" i="85"/>
  <c r="W32" i="85"/>
  <c r="W29" i="85"/>
  <c r="W25" i="85"/>
  <c r="F35" i="85" l="1"/>
  <c r="F29" i="85"/>
  <c r="F27" i="85"/>
  <c r="F41" i="85"/>
  <c r="S55" i="85"/>
  <c r="L76" i="85"/>
  <c r="W56" i="85"/>
  <c r="U77" i="85"/>
  <c r="S77" i="85" s="1"/>
  <c r="S39" i="85"/>
  <c r="U71" i="85"/>
  <c r="S71" i="85" s="1"/>
  <c r="U79" i="85"/>
  <c r="S79" i="85" s="1"/>
  <c r="F77" i="85"/>
  <c r="T81" i="85"/>
  <c r="F56" i="85"/>
  <c r="W64" i="85"/>
  <c r="T64" i="85"/>
  <c r="F81" i="85"/>
  <c r="U75" i="85"/>
  <c r="F54" i="85"/>
  <c r="U52" i="85"/>
  <c r="L72" i="85"/>
  <c r="S23" i="85"/>
  <c r="U60" i="85"/>
  <c r="L80" i="85"/>
  <c r="F25" i="85"/>
  <c r="U47" i="85"/>
  <c r="L67" i="85"/>
  <c r="W45" i="85"/>
  <c r="L6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F58" i="85"/>
  <c r="S26" i="85"/>
  <c r="U50" i="85"/>
  <c r="F50" i="85" s="1"/>
  <c r="W81" i="85"/>
  <c r="W78" i="85"/>
  <c r="U78" i="85"/>
  <c r="U66" i="85"/>
  <c r="W66" i="85"/>
  <c r="F71" i="85"/>
  <c r="T71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F59" i="85"/>
  <c r="T77" i="85" l="1"/>
  <c r="T79" i="85"/>
  <c r="F75" i="85"/>
  <c r="T75" i="85"/>
  <c r="F79" i="85"/>
  <c r="S75" i="85"/>
  <c r="S66" i="85"/>
  <c r="T66" i="85"/>
  <c r="F66" i="85"/>
  <c r="S50" i="85"/>
  <c r="S78" i="85"/>
  <c r="F78" i="85"/>
  <c r="T78" i="85"/>
  <c r="S76" i="85"/>
  <c r="F76" i="85"/>
  <c r="T76" i="85"/>
  <c r="S47" i="85"/>
  <c r="U80" i="85"/>
  <c r="W80" i="85"/>
  <c r="S52" i="85"/>
  <c r="F52" i="85"/>
  <c r="F47" i="85"/>
  <c r="F73" i="85"/>
  <c r="S73" i="85"/>
  <c r="T73" i="85"/>
  <c r="W65" i="85"/>
  <c r="U65" i="85"/>
  <c r="F60" i="85"/>
  <c r="S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F49" i="85"/>
  <c r="S49" i="85"/>
  <c r="F61" i="85"/>
  <c r="U63" i="85"/>
  <c r="S63" i="85" s="1"/>
  <c r="S43" i="85"/>
  <c r="F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S2" i="85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F13" i="85" l="1"/>
  <c r="F5" i="85"/>
  <c r="F6" i="85"/>
  <c r="F14" i="85"/>
  <c r="F2" i="85"/>
  <c r="F16" i="85"/>
  <c r="F21" i="85"/>
  <c r="F19" i="85"/>
  <c r="F12" i="85"/>
  <c r="F20" i="85"/>
  <c r="F11" i="85"/>
  <c r="F10" i="85"/>
  <c r="F17" i="85"/>
  <c r="F8" i="85"/>
  <c r="F18" i="85"/>
  <c r="F9" i="85"/>
  <c r="F3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7" i="92" l="1"/>
  <c r="T7" i="92" s="1"/>
  <c r="S11" i="92"/>
  <c r="T11" i="92" s="1"/>
  <c r="S15" i="92"/>
  <c r="T15" i="92" s="1"/>
  <c r="S19" i="92"/>
  <c r="T19" i="92" s="1"/>
  <c r="S23" i="92"/>
  <c r="T23" i="92" s="1"/>
  <c r="S4" i="92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CF5625-C295-40FA-9521-3ED0AEC5469B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<sst xmlns="http://schemas.openxmlformats.org/spreadsheetml/2006/main" count="4264" uniqueCount="889">
  <si>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</si>
  <si>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</si>
  <si>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</si>
  <si>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</si>
  <si>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</si>
  <si>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</si>
  <si>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</si>
  <si>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</si>
  <si>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</si>
  <si>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</si>
  <si>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</si>
  <si>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</si>
  <si>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</si>
  <si>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</si>
  <si>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</si>
  <si>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</si>
  <si>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</si>
  <si>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</si>
  <si>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</si>
  <si>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</si>
  <si>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</si>
  <si>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</si>
  <si>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</si>
  <si>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</si>
  <si>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</si>
  <si>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</si>
  <si>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</si>
  <si>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</si>
  <si>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</si>
  <si>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</si>
  <si>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</si>
  <si>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</si>
  <si>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</si>
  <si>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</si>
  <si>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</si>
  <si>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</si>
  <si>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</si>
  <si>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</si>
  <si>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</si>
  <si>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</si>
  <si>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</si>
  <si>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</si>
  <si>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</si>
  <si>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</si>
  <si>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</si>
  <si>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</si>
  <si>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</si>
  <si>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</si>
  <si>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</si>
  <si>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</si>
  <si>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</si>
  <si>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</si>
  <si>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</si>
  <si>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</si>
  <si>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</si>
  <si>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</si>
  <si>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</si>
  <si>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</si>
  <si>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</si>
  <si>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</si>
  <si>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</si>
  <si>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</si>
  <si>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</si>
  <si>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</si>
  <si>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</si>
  <si>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</si>
  <si>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</si>
  <si>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</si>
  <si>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</si>
  <si>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</si>
  <si>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</si>
  <si>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</si>
  <si>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</si>
  <si>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</si>
  <si>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</si>
  <si>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</si>
  <si>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</si>
  <si>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</si>
  <si>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</si>
  <si>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</si>
  <si>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</si>
  <si>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</si>
  <si>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</si>
  <si>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</si>
  <si>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</si>
  <si>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</si>
  <si>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</si>
  <si>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</si>
  <si>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</si>
  <si>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</si>
  <si>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</si>
  <si>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</si>
  <si>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</si>
  <si>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</si>
  <si>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</si>
  <si>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</si>
  <si>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</si>
  <si>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</si>
  <si>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</si>
  <si>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</si>
  <si>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</si>
  <si>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</si>
  <si>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</si>
  <si>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</si>
  <si>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</si>
  <si>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</si>
  <si>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</si>
  <si>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</si>
  <si>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</si>
  <si>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</si>
  <si>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</si>
  <si>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</si>
  <si>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</si>
  <si>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</si>
  <si>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</si>
  <si>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</si>
  <si>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</si>
  <si>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</si>
  <si>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</si>
  <si>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</si>
  <si>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</si>
  <si>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</si>
  <si>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</si>
  <si>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</si>
  <si>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</si>
  <si>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</si>
  <si>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</si>
  <si>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</si>
  <si>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</si>
  <si>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</si>
  <si>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</si>
  <si>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</si>
  <si>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</si>
  <si>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</si>
  <si>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</si>
  <si>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</si>
  <si>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</si>
  <si>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</si>
  <si>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</si>
  <si>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</si>
  <si>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</si>
  <si>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</si>
  <si>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</si>
  <si>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</si>
  <si>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</si>
  <si>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</si>
  <si>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</si>
  <si>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</si>
  <si>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</si>
  <si>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</si>
  <si>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</si>
  <si>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</si>
  <si>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</si>
  <si>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</si>
  <si>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</si>
  <si>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</si>
  <si>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</si>
  <si>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</si>
  <si>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</si>
  <si>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</si>
  <si>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</si>
  <si>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</si>
  <si>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</si>
  <si>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</si>
  <si>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</si>
  <si>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</si>
  <si>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</si>
  <si>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</si>
  <si>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</si>
  <si>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</si>
  <si>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</si>
  <si>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</si>
  <si>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</si>
  <si>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</si>
  <si>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</si>
  <si>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</si>
  <si>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</si>
  <si>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</si>
  <si>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</si>
  <si>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</si>
  <si>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</si>
  <si>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</si>
  <si>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</si>
  <si>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</si>
  <si>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</si>
  <si>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</si>
  <si>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</si>
  <si>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</si>
  <si>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</si>
  <si>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</si>
  <si>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</si>
  <si>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</si>
  <si>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</si>
  <si>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</si>
  <si>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</si>
  <si>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</si>
  <si>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</si>
  <si>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</si>
  <si>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</si>
  <si>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</si>
  <si>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</si>
  <si>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</si>
  <si>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</si>
  <si>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</si>
  <si>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</si>
  <si>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</si>
  <si>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</si>
  <si>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</si>
  <si>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</si>
  <si>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</si>
  <si>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</si>
  <si>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</si>
  <si>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</si>
  <si>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</si>
  <si>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</si>
  <si>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</si>
  <si>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</si>
  <si>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</si>
  <si>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</si>
  <si>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</si>
  <si>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</si>
  <si>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</si>
  <si>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</si>
  <si>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</si>
  <si>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</si>
  <si>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</si>
  <si>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</si>
  <si>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</si>
  <si>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</si>
  <si>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</si>
  <si>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</si>
  <si>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</si>
  <si>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</si>
  <si>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</si>
  <si>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</si>
  <si>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</si>
  <si>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</si>
  <si>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</si>
  <si>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</si>
  <si>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</si>
  <si>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</si>
  <si>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</si>
  <si>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</si>
  <si>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</si>
  <si>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</si>
  <si>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</si>
  <si>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</si>
  <si>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</si>
  <si>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</si>
  <si>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</si>
  <si>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</si>
  <si>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</si>
  <si>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</si>
  <si>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</si>
  <si>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</si>
  <si>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</si>
  <si>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</si>
  <si>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</si>
  <si>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</si>
  <si>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</si>
  <si>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</si>
  <si>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</si>
  <si>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</si>
  <si>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</si>
  <si>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</si>
  <si>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</si>
  <si>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</si>
  <si>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</si>
  <si>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</si>
  <si>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</si>
  <si>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</si>
  <si>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</si>
  <si>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</si>
  <si>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</si>
  <si>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</si>
  <si>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</si>
  <si>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</si>
  <si>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</si>
  <si>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</si>
  <si>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</si>
  <si>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</si>
  <si>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</si>
  <si>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</si>
  <si>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</si>
  <si>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</si>
  <si>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</si>
  <si>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</si>
  <si>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</si>
  <si>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</si>
  <si>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</si>
  <si>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</si>
  <si>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</si>
  <si>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</si>
  <si>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</si>
  <si>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</si>
  <si>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</si>
  <si>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</si>
  <si>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</si>
  <si>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</si>
  <si>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</si>
  <si>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</si>
  <si>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</si>
  <si>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</si>
  <si>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</si>
  <si>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</si>
  <si>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</si>
  <si>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</si>
  <si>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</si>
  <si>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</si>
  <si>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</si>
  <si>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</si>
  <si>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</si>
  <si>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</si>
  <si>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</si>
  <si>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</si>
  <si>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</si>
  <si>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</si>
  <si>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</si>
  <si>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</si>
  <si>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</si>
  <si>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</si>
  <si>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</si>
  <si>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</si>
  <si>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</si>
  <si>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</si>
  <si>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</si>
  <si>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</si>
  <si>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</si>
  <si>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</si>
  <si>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9a549e9d-8795-8bdf-6196-32f821020ae9-018</t>
  </si>
  <si>
    <t>SGD.CUSTINSTF.CS0000</t>
  </si>
  <si>
    <t>Customer Payment Instruction</t>
  </si>
  <si>
    <t>ext-u3-0810-2e9c6-0018</t>
  </si>
  <si>
    <t>PAY</t>
  </si>
  <si>
    <t>[UC3]Customer Payment Instruction [08:10]</t>
  </si>
  <si>
    <t>CS9A549E9D87958BDF61</t>
  </si>
  <si>
    <t>FORECAST</t>
  </si>
  <si>
    <t>d7bd97b1-08fd-3aea-6310-767bfcf71e19-019</t>
  </si>
  <si>
    <t>ext-u3-0810-2e9c6-0019</t>
  </si>
  <si>
    <t>CSD7BD97B108FD3AEA63</t>
  </si>
  <si>
    <t>46b5e324-0f18-9b30-60c4-547afb9e74f4-020</t>
  </si>
  <si>
    <t>ext-u3-0810-2e9c6-0020</t>
  </si>
  <si>
    <t>CS46B5E3240F189B3060</t>
  </si>
  <si>
    <t>2748b8b4-5881-6915-5cda-b4bda3f0485e-021</t>
  </si>
  <si>
    <t>ext-u3-0810-2e9c6-0021</t>
  </si>
  <si>
    <t>CS2748B8B4588169155C</t>
  </si>
  <si>
    <t>cb05a5e8-3a46-4b13-1160-d85432be4ac6-022</t>
  </si>
  <si>
    <t>ext-u3-0810-2e9c6-0022</t>
  </si>
  <si>
    <t>CSCB05A5E83A464B1311</t>
  </si>
  <si>
    <t>e9433666-8a1d-2697-a175-81faa9836188-023</t>
  </si>
  <si>
    <t>ext-u3-0810-2e9c6-0023</t>
  </si>
  <si>
    <t>CSE94336668A1D2697A1</t>
  </si>
  <si>
    <t>1f81c2a7-8b36-472f-49c3-c4ebc5cf2061-024</t>
  </si>
  <si>
    <t>SGD.CASHTXF.CS000000</t>
  </si>
  <si>
    <t>Cash Transfer</t>
  </si>
  <si>
    <t>ext-u3-0810-2e9c6-0024</t>
  </si>
  <si>
    <t>RECEIVE</t>
  </si>
  <si>
    <t>[UC3]Cash Transfer                [08:10]</t>
  </si>
  <si>
    <t>CS1F81C2A78B36472F49</t>
  </si>
  <si>
    <t>141f7da5-454b-0355-8a31-a38dfc7f804c-025</t>
  </si>
  <si>
    <t>ext-u3-0910-2e9c6-0025</t>
  </si>
  <si>
    <t>[UC3]Customer Payment Instruction [09:10]</t>
  </si>
  <si>
    <t>CS141F7DA5454B03558A</t>
  </si>
  <si>
    <t>fffdab79-7202-4de1-0a02-2ad70f4e53a0-026</t>
  </si>
  <si>
    <t>ext-u3-0910-2e9c6-0026</t>
  </si>
  <si>
    <t>CSFFFDAB7972024DE10A</t>
  </si>
  <si>
    <t>1393e59a-996c-5a8d-0588-72bfbadb8339-027</t>
  </si>
  <si>
    <t>ext-u3-0910-2e9c6-0027</t>
  </si>
  <si>
    <t>CS1393E59A996C5A8D05</t>
  </si>
  <si>
    <t>6c975a27-713e-332c-5f6e-eef641c40dd4-028</t>
  </si>
  <si>
    <t>ext-u3-0910-2e9c6-0028</t>
  </si>
  <si>
    <t>CS6C975A27713E332C5F</t>
  </si>
  <si>
    <t>bb264691-1aa9-463c-3dcd-88f9b0453ebd-029</t>
  </si>
  <si>
    <t>ext-u3-0910-2e9c6-0029</t>
  </si>
  <si>
    <t>CSBB2646911AA9463C3D</t>
  </si>
  <si>
    <t>32c63bde-6222-9b08-55d9-36431de73814-030</t>
  </si>
  <si>
    <t>ext-u3-0910-2e9c6-0030</t>
  </si>
  <si>
    <t>CS32C63BDE62229B0855</t>
  </si>
  <si>
    <t>51d8c40e-50df-0ba1-2da0-4401c3ff9e30-031</t>
  </si>
  <si>
    <t>ext-u3-0910-2e9c6-0031</t>
  </si>
  <si>
    <t>CS51D8C40E50DF0BA12D</t>
  </si>
  <si>
    <t>6260dd90-2f27-3b7a-8cbf-3d69a8a31364-032</t>
  </si>
  <si>
    <t>ext-u3-0910-2e9c6-0032</t>
  </si>
  <si>
    <t>CS6260DD902F273B7A8C</t>
  </si>
  <si>
    <t>f3d57864-7c2c-8f3f-a27c-ca32d07ba074-033</t>
  </si>
  <si>
    <t>ext-u3-0910-2e9c6-0033</t>
  </si>
  <si>
    <t>[UC3]Cash Transfer                [09:10]</t>
  </si>
  <si>
    <t>CSF3D578647C2C8F3FA2</t>
  </si>
  <si>
    <t>fa283242-22f6-4969-625c-92d7c23c9074-051</t>
  </si>
  <si>
    <t>SGD.CUSTINSTA.CS0000</t>
  </si>
  <si>
    <t>ext-u3-0810-2e9c6-0051</t>
  </si>
  <si>
    <t>CSFA28324222F6496962</t>
  </si>
  <si>
    <t>ACTUAL</t>
  </si>
  <si>
    <t>0113285a-86e9-261c-5932-41d38905a375-052</t>
  </si>
  <si>
    <t>ext-u3-0810-2e9c6-0052</t>
  </si>
  <si>
    <t>CS0113285A86E9261C59</t>
  </si>
  <si>
    <t>ec4c7989-a3da-0416-4b16-ad3128541d63-053</t>
  </si>
  <si>
    <t>ext-u3-0810-2e9c6-0053</t>
  </si>
  <si>
    <t>CSEC4C7989A3DA04164B</t>
  </si>
  <si>
    <t>7053e4b1-3f26-3e8d-1392-05b3184d897c-054</t>
  </si>
  <si>
    <t>ext-u3-0810-2e9c6-0054</t>
  </si>
  <si>
    <t>CS7053E4B13F263E8D13</t>
  </si>
  <si>
    <t>c6490e0f-4ea3-9120-1d09-d39b1952188c-055</t>
  </si>
  <si>
    <t>ext-u3-0810-2e9c6-0055</t>
  </si>
  <si>
    <t>CSC6490E0F4EA391201D</t>
  </si>
  <si>
    <t>c4ea43cc-a08a-0798-61d6-dce5cb2a6691-056</t>
  </si>
  <si>
    <t>ext-u3-0810-2e9c6-0056</t>
  </si>
  <si>
    <t>CSC4EA43CCA08A079861</t>
  </si>
  <si>
    <t>50bd5249-464d-9cd0-1188-0883e9ea8e79-057</t>
  </si>
  <si>
    <t>SGD.CASHTXA.CS000000</t>
  </si>
  <si>
    <t>ext-u3-0810-2e9c6-0057</t>
  </si>
  <si>
    <t>CS50BD5249464D9CD011</t>
  </si>
  <si>
    <t>ce7679e8-1c64-15e3-023b-cc9f3cd9a557-058</t>
  </si>
  <si>
    <t>ext-u3-0910-2e9c6-0058</t>
  </si>
  <si>
    <t>CSCE7679E81C6415E302</t>
  </si>
  <si>
    <t>a9c7d903-577f-881f-1cac-1dae4b3d35d2-059</t>
  </si>
  <si>
    <t>ext-u3-0910-2e9c6-0059</t>
  </si>
  <si>
    <t>CSA9C7D903577F881F1C</t>
  </si>
  <si>
    <t>37f57e49-052a-8994-434a-151ccb4c7a14-060</t>
  </si>
  <si>
    <t>ext-u3-0910-2e9c6-0060</t>
  </si>
  <si>
    <t>CS37F57E49052A899443</t>
  </si>
  <si>
    <t>06282413-42a5-05a7-627e-bbd1528d7562-061</t>
  </si>
  <si>
    <t>ext-u3-0910-2e9c6-0061</t>
  </si>
  <si>
    <t>CS0628241342A505A762</t>
  </si>
  <si>
    <t>de0d425a-61de-7efc-5ff1-df1a801826df-062</t>
  </si>
  <si>
    <t>ext-u3-0910-2e9c6-0062</t>
  </si>
  <si>
    <t>CSDE0D425A61DE7EFC5F</t>
  </si>
  <si>
    <t>ff08b9a9-a22e-22a8-8dc0-936d004707fe-063</t>
  </si>
  <si>
    <t>ext-u3-0910-2e9c6-0063</t>
  </si>
  <si>
    <t>CSFF08B9A9A22E22A88D</t>
  </si>
  <si>
    <t>782a053b-1055-57f6-24d9-953056382110-064</t>
  </si>
  <si>
    <t>ext-u3-0910-2e9c6-0064</t>
  </si>
  <si>
    <t>CS782A053B105557F624</t>
  </si>
  <si>
    <t>e0710b5f-8918-4773-097d-9ea4d2c82ea0-065</t>
  </si>
  <si>
    <t>ext-u3-0910-2e9c6-0065</t>
  </si>
  <si>
    <t>CSE0710B5F8918477309</t>
  </si>
  <si>
    <t>50b45fe2-459f-5be0-0655-c68630b59e29-066</t>
  </si>
  <si>
    <t>ext-u3-0910-2e9c6-0066</t>
  </si>
  <si>
    <t>CS50B45FE2459F5BE006</t>
  </si>
  <si>
    <t>f53978f0-6f00-532e-29ec-5ac7b1d808a0-002</t>
  </si>
  <si>
    <t>USD.CASHTXF.SCB00000</t>
  </si>
  <si>
    <t>ext-u2-0800-2e9c6-0002</t>
  </si>
  <si>
    <t>[UC2]Cash Transfer                [08:00]</t>
  </si>
  <si>
    <t>SCBF53978F06F00532E2</t>
  </si>
  <si>
    <t>[UC2]Customer Payment Instruction [08:40]</t>
  </si>
  <si>
    <t>b6198de3-72a6-8836-9c94-00fa9b118b1f-013</t>
  </si>
  <si>
    <t>BDT.CASHTXA.SCB00000</t>
  </si>
  <si>
    <t>ext-u2-0840-2e9c6-0013</t>
  </si>
  <si>
    <t>SCBB6198DE372A688369</t>
  </si>
  <si>
    <t>9e2d3785-2d1d-47a3-5675-ff950ba596bc-014</t>
  </si>
  <si>
    <t>ext-u2-0840-2e9c6-0014</t>
  </si>
  <si>
    <t>SCB9E2D37852D1D47A35</t>
  </si>
  <si>
    <t>FX Lock In</t>
  </si>
  <si>
    <t>ext-u2-0810-2e9c6-0003</t>
  </si>
  <si>
    <t>[UC2]FX Lock In                   [08:10]</t>
  </si>
  <si>
    <t>FX Trade</t>
  </si>
  <si>
    <t>ext-u2-0915-2e9c6-0009</t>
  </si>
  <si>
    <t>[UC2]FX Trade                     [09:15]</t>
  </si>
  <si>
    <t>ext-u2-0810-2e9c6-0012</t>
  </si>
  <si>
    <t>ext-u2-0945-2e9c6-0018</t>
  </si>
  <si>
    <t>[UC2]FX Trade                     [09:45]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</si>
  <si>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</si>
  <si>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</si>
  <si>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</si>
  <si>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</si>
  <si>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</si>
  <si>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</si>
  <si>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</si>
  <si>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</si>
  <si>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</si>
  <si>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</si>
  <si>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</si>
  <si>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</si>
  <si>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</si>
  <si>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</si>
  <si>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</si>
  <si>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</si>
  <si>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</si>
  <si>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</si>
  <si>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</si>
  <si>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</si>
  <si>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</si>
  <si>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</si>
  <si>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</si>
  <si>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</si>
  <si>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</si>
  <si>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</si>
  <si>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</si>
  <si>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</si>
  <si>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</si>
  <si>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</si>
  <si>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</si>
  <si>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</si>
  <si>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</si>
  <si>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</si>
  <si>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</si>
  <si>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</si>
  <si>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</si>
  <si>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</si>
  <si>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</si>
  <si>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</si>
  <si>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</si>
  <si>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</si>
  <si>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</si>
  <si>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</si>
  <si>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</si>
  <si>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</si>
  <si>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</si>
  <si>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</si>
  <si>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</si>
  <si>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</si>
  <si>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</si>
  <si>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</si>
  <si>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</si>
  <si>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</si>
  <si>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</si>
  <si>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</si>
  <si>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</si>
  <si>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</si>
  <si>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</si>
  <si>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</si>
  <si>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</si>
  <si>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</si>
  <si>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</si>
  <si>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</si>
  <si>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</si>
  <si>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</si>
  <si>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BRL.CUSTINSTA.BDB000</t>
  </si>
  <si>
    <t>ext-u1-1059-2e9c6-0058</t>
  </si>
  <si>
    <t>[UC1]Customer Payment Instruction [10:59]</t>
  </si>
  <si>
    <t>ext-u1-1059-2e9c6-0059</t>
  </si>
  <si>
    <t>ext-u1-1059-2e9c6-0060</t>
  </si>
  <si>
    <t>ext-u1-1030-2e9c6-0061</t>
  </si>
  <si>
    <t>ext-u1-1059-2e9c6-0062</t>
  </si>
  <si>
    <t>ext-u1-1031-2e9c6-0063</t>
  </si>
  <si>
    <t>ext-u1-1031-2e9c6-0064</t>
  </si>
  <si>
    <t>ext-u1-1059-2e9c6-0065</t>
  </si>
  <si>
    <t>ext-u1-1059-2e9c6-0066</t>
  </si>
  <si>
    <t>ext-u1-1059-2e9c6-0067</t>
  </si>
  <si>
    <t>ext-u1-1059-2e9c6-0068</t>
  </si>
  <si>
    <t>ext-u1-1059-2e9c6-0069</t>
  </si>
  <si>
    <t>ext-u1-1059-2e9c6-0070</t>
  </si>
  <si>
    <t>ext-u1-1059-2e9c6-0071</t>
  </si>
  <si>
    <t>ext-u1-1059-2e9c6-0072</t>
  </si>
  <si>
    <t>ext-u1-1059-2e9c6-0073</t>
  </si>
  <si>
    <t>ext-u1-1059-2e9c6-0074</t>
  </si>
  <si>
    <t>ext-u1-1101-2e9c6-0076</t>
  </si>
  <si>
    <t>ext-u1-1300-2e9c6-0077</t>
  </si>
  <si>
    <t>ext-u1-1300-2e9c6-0078</t>
  </si>
  <si>
    <t>ext-u1-1300-2e9c6-0079</t>
  </si>
  <si>
    <t>ext-u1-1300-2e9c6-0080</t>
  </si>
  <si>
    <t>ext-u1-1300-2e9c6-0081</t>
  </si>
  <si>
    <t>ext-u1-1300-2e9c6-0082</t>
  </si>
  <si>
    <t>ext-u1-1300-2e9c6-0083</t>
  </si>
  <si>
    <t>ext-u1-1300-2e9c6-0084</t>
  </si>
  <si>
    <t>ext-u1-1300-2e9c6-0085</t>
  </si>
  <si>
    <t>ext-u1-1300-2e9c6-0086</t>
  </si>
  <si>
    <t>ext-u1-1300-2e9c6-0087</t>
  </si>
  <si>
    <t>ext-u1-1300-2e9c6-0088</t>
  </si>
  <si>
    <t>ext-u1-1300-2e9c6-0089</t>
  </si>
  <si>
    <t>ext-u1-1300-2e9c6-0090</t>
  </si>
  <si>
    <t>ext-u1-1300-2e9c6-0091</t>
  </si>
  <si>
    <t>ext-u1-1300-2e9c6-0092</t>
  </si>
  <si>
    <t>ext-u1-1300-2e9c6-0093</t>
  </si>
  <si>
    <t>ext-u1-1300-2e9c6-0094</t>
  </si>
  <si>
    <t>ext-u1-1300-2e9c6-0095</t>
  </si>
  <si>
    <t>ext-u1-1300-2e9c6-0096</t>
  </si>
  <si>
    <t>ext-u1-1300-2e9c6-0097</t>
  </si>
  <si>
    <t>ext-u1-1300-2e9c6-0098</t>
  </si>
  <si>
    <t>ext-u1-1300-2e9c6-0099</t>
  </si>
  <si>
    <t>ext-u1-1300-2e9c6-0100</t>
  </si>
  <si>
    <t>ext-u1-1300-2e9c6-0101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</si>
  <si>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</si>
  <si>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</si>
  <si>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</si>
  <si>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</si>
  <si>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</si>
  <si>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</si>
  <si>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</si>
  <si>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</si>
  <si>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</si>
  <si>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</si>
  <si>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</si>
  <si>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</si>
  <si>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</si>
  <si>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</si>
  <si>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</si>
  <si>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</si>
  <si>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</si>
  <si>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</si>
  <si>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</si>
  <si>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</si>
  <si>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</si>
  <si>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</si>
  <si>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</si>
  <si>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</si>
  <si>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</si>
  <si>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</si>
  <si>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</si>
  <si>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</si>
  <si>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</si>
  <si>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</si>
  <si>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</si>
  <si>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</si>
  <si>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</si>
  <si>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</si>
  <si>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</si>
  <si>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</si>
  <si>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</si>
  <si>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</si>
  <si>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</si>
  <si>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</si>
  <si>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</si>
  <si>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</si>
  <si>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</si>
  <si>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</si>
  <si>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</si>
  <si>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</si>
  <si>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</si>
  <si>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</si>
  <si>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</si>
  <si>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</si>
  <si>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</si>
  <si>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</si>
  <si>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</si>
  <si>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</si>
  <si>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</si>
  <si>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</si>
  <si>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</si>
  <si>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</si>
  <si>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</si>
  <si>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</si>
  <si>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</si>
  <si>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</si>
  <si>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</si>
  <si>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</si>
  <si>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</si>
  <si>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</si>
  <si>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</si>
  <si>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</si>
  <si>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</si>
  <si>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</si>
  <si>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</si>
  <si>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</si>
  <si>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</si>
  <si>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</si>
  <si>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</si>
  <si>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</si>
  <si>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</si>
  <si>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</si>
  <si>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</si>
  <si>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</si>
  <si>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</si>
  <si>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</si>
  <si>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</si>
  <si>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</si>
  <si>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</si>
  <si>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</si>
  <si>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</si>
  <si>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</si>
  <si>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</si>
  <si>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</si>
  <si>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</si>
  <si>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</si>
  <si>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</si>
  <si>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</si>
  <si>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</si>
  <si>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</si>
  <si>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</si>
  <si>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</si>
  <si>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</si>
  <si>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</si>
  <si>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</si>
  <si>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</si>
  <si>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</si>
  <si>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</si>
  <si>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</si>
  <si>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</si>
  <si>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</si>
  <si>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</si>
  <si>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</si>
  <si>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</si>
  <si>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</si>
  <si>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</si>
  <si>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</si>
  <si>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</si>
  <si>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</si>
  <si>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</si>
  <si>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</si>
  <si>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</si>
  <si>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</si>
  <si>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</si>
  <si>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</si>
  <si>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</si>
  <si>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</si>
  <si>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</si>
  <si>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</si>
  <si>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</si>
  <si>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</si>
  <si>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</si>
  <si>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</si>
  <si>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</si>
  <si>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</si>
  <si>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</si>
  <si>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</si>
  <si>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</si>
  <si>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</si>
  <si>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</si>
  <si>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</si>
  <si>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</si>
  <si>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</si>
  <si>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</si>
  <si>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</si>
  <si>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</si>
  <si>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</si>
  <si>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</si>
  <si>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</si>
  <si>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</si>
  <si>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</si>
  <si>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</si>
  <si>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</si>
  <si>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</si>
  <si>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</si>
  <si>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</si>
  <si>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</si>
  <si>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</si>
  <si>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</si>
  <si>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</si>
  <si>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</si>
  <si>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</si>
  <si>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</si>
  <si>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</si>
  <si>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</si>
  <si>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</si>
  <si>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</si>
  <si>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</si>
  <si>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</si>
  <si>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</si>
  <si>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</si>
  <si>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</si>
  <si>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</si>
  <si>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</si>
  <si>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</si>
  <si>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</si>
  <si>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</si>
  <si>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</si>
  <si>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</si>
  <si>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</si>
  <si>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</si>
  <si>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</si>
  <si>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</si>
  <si>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</si>
  <si>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</si>
  <si>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</si>
  <si>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</si>
  <si>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</si>
  <si>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</si>
  <si>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</si>
  <si>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</si>
  <si>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</si>
  <si>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</si>
  <si>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</si>
  <si>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</si>
  <si>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</si>
  <si>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</si>
  <si>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</si>
  <si>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ext-u1-1031-2e9c6-0024</t>
  </si>
  <si>
    <t>[UC1]FX Trade                     [10:31]</t>
  </si>
  <si>
    <t>BDB595DA7A0A44C0BC74</t>
  </si>
  <si>
    <t>43523472-68c2-93a1-7c3d-b60452114935-051</t>
  </si>
  <si>
    <t>ext-u1-1300-2e9c6-0051</t>
  </si>
  <si>
    <t>[UC1]FX Trade                     [13:00]</t>
  </si>
  <si>
    <t>BDB4352347268C293A17</t>
  </si>
  <si>
    <t>28133452-8f33-52a3-a441-09a0aad91b88-075</t>
  </si>
  <si>
    <t>ext-u1-1031-2e9c6-0075</t>
  </si>
  <si>
    <t>BDB281334528F3352A3A</t>
  </si>
  <si>
    <t>cdcf5167-74ef-23f0-4fb0-ff7d86002032-102</t>
  </si>
  <si>
    <t>ext-u1-1330-2e9c6-0102</t>
  </si>
  <si>
    <t>[UC1]FX Trade                     [13:30]</t>
  </si>
  <si>
    <t>BDBCDCF516774EF23F04</t>
  </si>
  <si>
    <t>USD.CUSTINSTF.CS0000</t>
  </si>
  <si>
    <t>ext-u3-0810-2e9c6-0002</t>
  </si>
  <si>
    <t>ext-u3-0810-2e9c6-0003</t>
  </si>
  <si>
    <t>ext-u3-0810-2e9c6-0004</t>
  </si>
  <si>
    <t>ext-u3-0810-2e9c6-0005</t>
  </si>
  <si>
    <t>ext-u3-0810-2e9c6-0006</t>
  </si>
  <si>
    <t>ext-u3-0810-2e9c6-0007</t>
  </si>
  <si>
    <t>USD.CASHTXF.CS000000</t>
  </si>
  <si>
    <t>ext-u3-0810-2e9c6-0008</t>
  </si>
  <si>
    <t>ext-u3-0910-2e9c6-0009</t>
  </si>
  <si>
    <t>ext-u3-0910-2e9c6-0010</t>
  </si>
  <si>
    <t>ext-u3-0910-2e9c6-0011</t>
  </si>
  <si>
    <t>ext-u3-0910-2e9c6-0012</t>
  </si>
  <si>
    <t>ext-u3-0910-2e9c6-0013</t>
  </si>
  <si>
    <t>ext-u3-0910-2e9c6-0014</t>
  </si>
  <si>
    <t>ext-u3-0910-2e9c6-0015</t>
  </si>
  <si>
    <t>ext-u3-0910-2e9c6-0016</t>
  </si>
  <si>
    <t>ext-u3-0910-2e9c6-0017</t>
  </si>
  <si>
    <t>USD.CUSTINSTA.CS0000</t>
  </si>
  <si>
    <t>ext-u3-0810-2e9c6-0035</t>
  </si>
  <si>
    <t>ext-u3-0810-2e9c6-0036</t>
  </si>
  <si>
    <t>ext-u3-0810-2e9c6-0037</t>
  </si>
  <si>
    <t>ext-u3-0810-2e9c6-0038</t>
  </si>
  <si>
    <t>ext-u3-0810-2e9c6-0039</t>
  </si>
  <si>
    <t>ext-u3-0810-2e9c6-0040</t>
  </si>
  <si>
    <t>USD.CASHTXA.CS000000</t>
  </si>
  <si>
    <t>ext-u3-0810-2e9c6-0041</t>
  </si>
  <si>
    <t>ext-u3-0910-2e9c6-0042</t>
  </si>
  <si>
    <t>ext-u3-0910-2e9c6-0043</t>
  </si>
  <si>
    <t>ext-u3-0910-2e9c6-0044</t>
  </si>
  <si>
    <t>ext-u3-0910-2e9c6-0045</t>
  </si>
  <si>
    <t>ext-u3-0910-2e9c6-0046</t>
  </si>
  <si>
    <t>ext-u3-0910-2e9c6-0047</t>
  </si>
  <si>
    <t>ext-u3-0910-2e9c6-0048</t>
  </si>
  <si>
    <t>ext-u3-0910-2e9c6-0049</t>
  </si>
  <si>
    <t>ext-u3-0910-2e9c6-0050</t>
  </si>
  <si>
    <t>dbe15c8d-a4cd-65a1-3d62-b33c290aa2b4-002</t>
  </si>
  <si>
    <t>CSDBE15C8DA4CD65A13D</t>
  </si>
  <si>
    <t>fe4cec51-8ed5-6511-42a2-599a57bb9f79-003</t>
  </si>
  <si>
    <t>CSFE4CEC518ED5651142</t>
  </si>
  <si>
    <t>f6523e99-0856-46c8-0dce-3878cd3451cf-004</t>
  </si>
  <si>
    <t>CSF6523E99085646C80D</t>
  </si>
  <si>
    <t>aadacad3-0850-23a8-1bfc-5d9052c73c73-005</t>
  </si>
  <si>
    <t>CSAADACAD3085023A81B</t>
  </si>
  <si>
    <t>dd1fa93b-3001-92d6-1a46-5531c85c101c-006</t>
  </si>
  <si>
    <t>CSDD1FA93B300192D61A</t>
  </si>
  <si>
    <t>d3ad01a7-6cf3-2984-7c0d-8999021616fb-007</t>
  </si>
  <si>
    <t>CSD3AD01A76CF329847C</t>
  </si>
  <si>
    <t>ed00e610-406b-09f6-090f-db6a27f26c85-008</t>
  </si>
  <si>
    <t>CSED00E610406B09F609</t>
  </si>
  <si>
    <t>896d99b5-7b14-8688-41a5-f05fef467487-009</t>
  </si>
  <si>
    <t>CS896D99B57B14868841</t>
  </si>
  <si>
    <t>ebb0d1f2-8fbc-a52a-012f-73cb53ac9368-010</t>
  </si>
  <si>
    <t>CSEBB0D1F28FBCA52A01</t>
  </si>
  <si>
    <t>c54c50f0-6142-82fc-7287-d2f699df23bd-011</t>
  </si>
  <si>
    <t>CSC54C50F0614282FC72</t>
  </si>
  <si>
    <t>adcfaaec-5889-3af3-0d60-f90802c87049-012</t>
  </si>
  <si>
    <t>CSADCFAAEC58893AF30D</t>
  </si>
  <si>
    <t>939098ff-1d88-8619-10d3-5535bb592554-013</t>
  </si>
  <si>
    <t>CS939098FF1D88861910</t>
  </si>
  <si>
    <t>ac1db06c-09da-4537-8cc7-a64279295db4-014</t>
  </si>
  <si>
    <t>CSAC1DB06C09DA45378C</t>
  </si>
  <si>
    <t>f584920d-4f43-295c-127b-8279ba55079f-015</t>
  </si>
  <si>
    <t>CSF584920D4F43295C12</t>
  </si>
  <si>
    <t>0dbc3c2a-4517-97dc-75e0-a0ecb38d1947-016</t>
  </si>
  <si>
    <t>CS0DBC3C2A451797DC75</t>
  </si>
  <si>
    <t>314e6d8b-454a-4af5-30c8-0f0ed5a6592a-017</t>
  </si>
  <si>
    <t>CS314E6D8B454A4AF530</t>
  </si>
  <si>
    <t>9e567eb8-8bc3-03f3-14f8-88e8f375962c-035</t>
  </si>
  <si>
    <t>CS9E567EB88BC303F314</t>
  </si>
  <si>
    <t>0e5f6062-89be-4b19-64c5-7f49757d4337-036</t>
  </si>
  <si>
    <t>CS0E5F606289BE4B1964</t>
  </si>
  <si>
    <t>2bdca09e-3ec0-896e-7203-9a4ce4559802-037</t>
  </si>
  <si>
    <t>CS2BDCA09E3EC0896E72</t>
  </si>
  <si>
    <t>a046ec8d-6d28-0a0d-5d16-d9941afe8d62-038</t>
  </si>
  <si>
    <t>CSA046EC8D6D280A0D5D</t>
  </si>
  <si>
    <t>b196f366-3455-2ec6-83c0-9e78ea641dc6-039</t>
  </si>
  <si>
    <t>CSB196F36634552EC683</t>
  </si>
  <si>
    <t>0ff5124a-5420-2dc9-2076-2edbf22a7cda-040</t>
  </si>
  <si>
    <t>CS0FF5124A54202DC920</t>
  </si>
  <si>
    <t>ccccd70c-0760-11d1-7552-e4b5c82c7a1e-041</t>
  </si>
  <si>
    <t>CSCCCCD70C076011D175</t>
  </si>
  <si>
    <t>2bc8a6f6-1937-973d-454e-69dd34d5a0c9-042</t>
  </si>
  <si>
    <t>CS2BC8A6F61937973D45</t>
  </si>
  <si>
    <t>6d29b6bc-8437-8646-34b2-ef02c6cb2d12-043</t>
  </si>
  <si>
    <t>CS6D29B6BC8437864634</t>
  </si>
  <si>
    <t>71c2382d-67b9-147c-8e5f-b8f0b2a67d3f-044</t>
  </si>
  <si>
    <t>CS71C2382D67B9147C8E</t>
  </si>
  <si>
    <t>c276735d-7cda-11ee-60c9-3a0f4bd985d8-045</t>
  </si>
  <si>
    <t>CSC276735D7CDA11EE60</t>
  </si>
  <si>
    <t>67987f41-5f88-447e-07b1-ef3f3f578531-046</t>
  </si>
  <si>
    <t>CS67987F415F88447E07</t>
  </si>
  <si>
    <t>d03bc66d-1b3e-1c74-1662-77b65b9b97f2-047</t>
  </si>
  <si>
    <t>CSD03BC66D1B3E1C7416</t>
  </si>
  <si>
    <t>3449ea39-9282-116f-0d4a-e101f6a03dae-048</t>
  </si>
  <si>
    <t>CS3449EA399282116F0D</t>
  </si>
  <si>
    <t>7a7cd8f1-0fd9-6b8f-88f6-acf26b6000a1-049</t>
  </si>
  <si>
    <t>CS7A7CD8F10FD96B8F88</t>
  </si>
  <si>
    <t>eeba9fb3-17bd-a14c-4caf-dfcc9fb43111-050</t>
  </si>
  <si>
    <t>CSEEBA9FB317BDA14C4C</t>
  </si>
  <si>
    <t>81d46e14-4391-4665-9f0b-9f438f7aa405-003</t>
  </si>
  <si>
    <t>SCB81D46E14439146659</t>
  </si>
  <si>
    <t>72887c9c-6345-a548-3815-dff760563a40-009</t>
  </si>
  <si>
    <t>SCB72887C9C6345A5483</t>
  </si>
  <si>
    <t>ffec698d-76c6-49ac-417d-be2efa3a2227-012</t>
  </si>
  <si>
    <t>SCBFFEC698D76C649AC4</t>
  </si>
  <si>
    <t>4215052f-a390-26b9-57f9-c7c0daca4c9d-018</t>
  </si>
  <si>
    <t>SCB4215052FA39026B95</t>
  </si>
  <si>
    <t>/Users/matttownsend/Google Drive/EUROBASE/repos/ebSiena-DemoSystemData/Prospects/SIX/Siena Transaction Generator/DATA/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</si>
</sst>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7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6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  <xf numFmtId="22" fontId="36" fillId="34" borderId="0" xfId="0" applyNumberFormat="1" applyFont="1" applyFill="1"/>
    <xf numFmtId="0" fontId="36" fillId="34" borderId="0" xfId="0" applyFont="1" applyFill="1"/>
    <xf numFmtId="1" fontId="36" fillId="34" borderId="0" xfId="0" applyNumberFormat="1" applyFont="1" applyFill="1"/>
    <xf numFmtId="14" fontId="36" fillId="34" borderId="0" xfId="0" applyNumberFormat="1" applyFont="1" applyFill="1"/>
    <xf numFmtId="20" fontId="36" fillId="34" borderId="0" xfId="0" applyNumberFormat="1" applyFont="1" applyFill="1"/>
    <xf numFmtId="2" fontId="36" fillId="34" borderId="0" xfId="0" applyNumberFormat="1" applyFont="1" applyFill="1"/>
    <xf numFmtId="166" fontId="36" fillId="34" borderId="0" xfId="0" applyNumberFormat="1" applyFont="1" applyFill="1"/>
    <xf numFmtId="0" fontId="36" fillId="34" borderId="0" xfId="0" applyNumberFormat="1" applyFont="1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tabSelected="1"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101.5" customWidth="1"/>
  </cols>
  <sheetData>
    <row r="1" spans="1:2" x14ac:dyDescent="0.2">
      <c r="A1" s="1" t="s">
        <v>0</v>
      </c>
      <c r="B1" s="6" t="s">
        <v>888</v>
      </c>
    </row>
    <row r="2" spans="1:2" x14ac:dyDescent="0.2">
      <c r="A2" s="22" t="s">
        <v>70</v>
      </c>
      <c r="B2" s="6" t="s">
        <v>290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310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 t="s">
        <v>326</v>
      </c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I2" sqref="I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305</v>
      </c>
      <c r="O1" s="9" t="s">
        <v>306</v>
      </c>
      <c r="P1" s="9" t="s">
        <v>26</v>
      </c>
      <c r="Q1" s="9" t="s">
        <v>39</v>
      </c>
      <c r="R1" s="21" t="s">
        <v>296</v>
      </c>
    </row>
    <row r="2" spans="1:18" x14ac:dyDescent="0.2">
      <c r="A2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ab4773d2-89f2-5fc7-5db6-8c966dfa476e-aa2</v>
      </c>
      <c r="B2" t="s">
        <v>53</v>
      </c>
      <c r="C2" s="26" t="str">
        <f ca="1">A2</f>
        <v>ab4773d2-89f2-5fc7-5db6-8c966dfa476e-aa2</v>
      </c>
      <c r="D2">
        <v>1</v>
      </c>
      <c r="E2" s="15">
        <f ca="1">TODAY()</f>
        <v>43781</v>
      </c>
      <c r="F2" s="4" t="s">
        <v>307</v>
      </c>
      <c r="G2" t="s">
        <v>293</v>
      </c>
      <c r="H2" t="s">
        <v>71</v>
      </c>
      <c r="I2" s="16">
        <v>6844.03</v>
      </c>
      <c r="J2" t="s">
        <v>289</v>
      </c>
      <c r="K2" t="s">
        <v>56</v>
      </c>
      <c r="L2">
        <v>76000.2</v>
      </c>
      <c r="M2" t="s">
        <v>294</v>
      </c>
      <c r="N2" s="26" t="s">
        <v>304</v>
      </c>
      <c r="O2" s="26" t="s">
        <v>292</v>
      </c>
      <c r="P2" s="15"/>
      <c r="Q2"/>
      <c r="R2" s="8" t="s">
        <v>297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72</v>
      </c>
      <c r="B3" s="17" t="s">
        <v>54</v>
      </c>
    </row>
    <row r="4" spans="1:2" x14ac:dyDescent="0.2">
      <c r="A4" s="18" t="s">
        <v>57</v>
      </c>
      <c r="B4" s="18" t="s">
        <v>66</v>
      </c>
    </row>
    <row r="5" spans="1:2" x14ac:dyDescent="0.2">
      <c r="A5" s="18" t="s">
        <v>57</v>
      </c>
      <c r="B5" s="18" t="s">
        <v>62</v>
      </c>
    </row>
    <row r="6" spans="1:2" x14ac:dyDescent="0.2">
      <c r="A6" s="18" t="s">
        <v>57</v>
      </c>
      <c r="B6" s="18" t="s">
        <v>69</v>
      </c>
    </row>
    <row r="7" spans="1:2" x14ac:dyDescent="0.2">
      <c r="A7" s="18" t="s">
        <v>57</v>
      </c>
      <c r="B7" s="18" t="s">
        <v>65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67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63</v>
      </c>
    </row>
    <row r="15" spans="1:2" x14ac:dyDescent="0.2">
      <c r="A15" s="18" t="s">
        <v>57</v>
      </c>
      <c r="B15" s="18" t="s">
        <v>64</v>
      </c>
    </row>
    <row r="16" spans="1:2" x14ac:dyDescent="0.2">
      <c r="A16" s="18" t="s">
        <v>57</v>
      </c>
      <c r="B16" s="18" t="s">
        <v>68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73</v>
      </c>
      <c r="B19" s="18" t="s">
        <v>73</v>
      </c>
    </row>
    <row r="20" spans="1:2" x14ac:dyDescent="0.2">
      <c r="A20" s="18" t="s">
        <v>74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A26" sqref="A26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  <c r="L1" s="28" t="s">
        <v>296</v>
      </c>
    </row>
    <row r="2" spans="1:12" x14ac:dyDescent="0.2">
      <c r="A2" s="26" t="s">
        <v>291</v>
      </c>
      <c r="B2" s="26" t="s">
        <v>81</v>
      </c>
      <c r="C2" s="26">
        <v>0</v>
      </c>
      <c r="D2" s="27">
        <v>43255</v>
      </c>
      <c r="E2" s="26">
        <v>397.14</v>
      </c>
      <c r="F2" s="26" t="s">
        <v>275</v>
      </c>
      <c r="G2" s="26" t="s">
        <v>8</v>
      </c>
      <c r="H2" s="26" t="s">
        <v>276</v>
      </c>
      <c r="I2" s="26" t="s">
        <v>76</v>
      </c>
      <c r="J2" s="26">
        <v>0</v>
      </c>
    </row>
    <row r="3" spans="1:12" x14ac:dyDescent="0.2">
      <c r="A3" s="26" t="s">
        <v>298</v>
      </c>
      <c r="B3" s="26" t="s">
        <v>81</v>
      </c>
      <c r="C3" s="26">
        <v>0</v>
      </c>
      <c r="D3" s="27">
        <v>43301</v>
      </c>
      <c r="E3" s="26">
        <v>1509.13</v>
      </c>
      <c r="F3" s="26" t="s">
        <v>277</v>
      </c>
      <c r="G3" s="26" t="s">
        <v>8</v>
      </c>
      <c r="H3" s="26" t="s">
        <v>278</v>
      </c>
      <c r="I3" s="26" t="s">
        <v>76</v>
      </c>
      <c r="J3" s="26">
        <v>0</v>
      </c>
    </row>
    <row r="4" spans="1:12" x14ac:dyDescent="0.2">
      <c r="A4" s="26" t="s">
        <v>299</v>
      </c>
      <c r="B4" s="26" t="s">
        <v>81</v>
      </c>
      <c r="C4" s="26">
        <v>0</v>
      </c>
      <c r="D4" s="27">
        <v>43314</v>
      </c>
      <c r="E4" s="26">
        <v>1906.27</v>
      </c>
      <c r="F4" s="26" t="s">
        <v>279</v>
      </c>
      <c r="G4" s="26" t="s">
        <v>8</v>
      </c>
      <c r="H4" s="26" t="s">
        <v>280</v>
      </c>
      <c r="I4" s="26" t="s">
        <v>76</v>
      </c>
      <c r="J4" s="26">
        <v>0</v>
      </c>
    </row>
    <row r="5" spans="1:12" x14ac:dyDescent="0.2">
      <c r="A5" s="26" t="s">
        <v>300</v>
      </c>
      <c r="B5" s="26" t="s">
        <v>81</v>
      </c>
      <c r="C5" s="26">
        <v>0</v>
      </c>
      <c r="D5" s="27">
        <v>43318</v>
      </c>
      <c r="E5" s="26">
        <v>794.28</v>
      </c>
      <c r="F5" s="26" t="s">
        <v>281</v>
      </c>
      <c r="G5" s="26" t="s">
        <v>8</v>
      </c>
      <c r="H5" s="26" t="s">
        <v>282</v>
      </c>
      <c r="I5" s="26" t="s">
        <v>76</v>
      </c>
      <c r="J5" s="26">
        <v>0</v>
      </c>
    </row>
    <row r="6" spans="1:12" x14ac:dyDescent="0.2">
      <c r="A6" s="26" t="s">
        <v>301</v>
      </c>
      <c r="B6" s="26" t="s">
        <v>81</v>
      </c>
      <c r="C6" s="26">
        <v>0</v>
      </c>
      <c r="D6" s="27">
        <v>43321</v>
      </c>
      <c r="E6" s="26">
        <v>7942.81</v>
      </c>
      <c r="F6" s="26" t="s">
        <v>283</v>
      </c>
      <c r="G6" s="26" t="s">
        <v>8</v>
      </c>
      <c r="H6" s="26" t="s">
        <v>284</v>
      </c>
      <c r="I6" s="26" t="s">
        <v>76</v>
      </c>
      <c r="J6" s="26">
        <v>0</v>
      </c>
    </row>
    <row r="7" spans="1:12" x14ac:dyDescent="0.2">
      <c r="A7" s="26" t="s">
        <v>302</v>
      </c>
      <c r="B7" s="26" t="s">
        <v>81</v>
      </c>
      <c r="C7" s="26">
        <v>0</v>
      </c>
      <c r="D7" s="27">
        <v>43321</v>
      </c>
      <c r="E7" s="26">
        <v>1667.99</v>
      </c>
      <c r="F7" s="26" t="s">
        <v>285</v>
      </c>
      <c r="G7" s="26" t="s">
        <v>8</v>
      </c>
      <c r="H7" s="26" t="s">
        <v>286</v>
      </c>
      <c r="I7" s="26" t="s">
        <v>76</v>
      </c>
      <c r="J7" s="26">
        <v>0</v>
      </c>
    </row>
    <row r="8" spans="1:12" x14ac:dyDescent="0.2">
      <c r="A8" s="26" t="s">
        <v>303</v>
      </c>
      <c r="B8" s="26" t="s">
        <v>81</v>
      </c>
      <c r="C8" s="26">
        <v>0</v>
      </c>
      <c r="D8" s="27">
        <v>43343</v>
      </c>
      <c r="E8" s="26">
        <v>-11914.22</v>
      </c>
      <c r="F8" s="26" t="s">
        <v>287</v>
      </c>
      <c r="G8" s="26" t="s">
        <v>8</v>
      </c>
      <c r="H8" s="26" t="s">
        <v>288</v>
      </c>
      <c r="I8" s="26" t="s">
        <v>76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W83"/>
  <sheetViews>
    <sheetView zoomScaleNormal="100" workbookViewId="0">
      <selection activeCell="A2" sqref="A2"/>
    </sheetView>
  </sheetViews>
  <sheetFormatPr baseColWidth="10" defaultColWidth="16" defaultRowHeight="15" x14ac:dyDescent="0.2"/>
  <cols>
    <col min="1" max="1" width="48" style="46" bestFit="1" customWidth="1"/>
    <col min="2" max="2" width="4" style="46" customWidth="1"/>
    <col min="3" max="3" width="4.83203125" style="46" customWidth="1"/>
    <col min="4" max="4" width="3" style="46" customWidth="1"/>
    <col min="5" max="5" width="15.83203125" style="49" bestFit="1" customWidth="1"/>
    <col min="6" max="6" width="32.1640625" style="46" bestFit="1" customWidth="1"/>
    <col min="7" max="7" width="25" style="46" bestFit="1" customWidth="1"/>
    <col min="8" max="8" width="2.6640625" style="46" customWidth="1"/>
    <col min="9" max="9" width="3.33203125" style="46" customWidth="1"/>
    <col min="10" max="10" width="21.5" style="46" bestFit="1" customWidth="1"/>
    <col min="11" max="11" width="19" style="46" bestFit="1" customWidth="1"/>
    <col min="12" max="12" width="13.5" style="46" bestFit="1" customWidth="1"/>
    <col min="13" max="13" width="16.6640625" style="49" bestFit="1" customWidth="1"/>
    <col min="14" max="14" width="20.1640625" style="46" bestFit="1" customWidth="1"/>
    <col min="15" max="15" width="26.1640625" style="46" bestFit="1" customWidth="1"/>
    <col min="16" max="16" width="25" style="46" bestFit="1" customWidth="1"/>
    <col min="17" max="17" width="27.5" style="46" bestFit="1" customWidth="1"/>
    <col min="18" max="18" width="22.6640625" style="46" bestFit="1" customWidth="1"/>
    <col min="19" max="19" width="45.5" style="46" bestFit="1" customWidth="1"/>
    <col min="20" max="20" width="37.5" style="46" bestFit="1" customWidth="1"/>
    <col min="21" max="21" width="26.1640625" style="46" bestFit="1" customWidth="1"/>
    <col min="22" max="22" width="20" style="46" bestFit="1" customWidth="1"/>
    <col min="23" max="16384" width="16" style="46"/>
  </cols>
  <sheetData>
    <row r="1" spans="1:23" x14ac:dyDescent="0.2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260</v>
      </c>
      <c r="U1" s="45" t="s">
        <v>261</v>
      </c>
      <c r="V1" s="45" t="s">
        <v>296</v>
      </c>
      <c r="W1" s="45" t="s">
        <v>83</v>
      </c>
    </row>
    <row r="2" spans="1:23" x14ac:dyDescent="0.2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397a6d06-8676-03f7-119c-0dd120469a3b-aa2</v>
      </c>
      <c r="B2" s="46" t="s">
        <v>77</v>
      </c>
      <c r="C2" s="46" t="str">
        <f ca="1">A2</f>
        <v>397a6d06-8676-03f7-119c-0dd120469a3b-aa2</v>
      </c>
      <c r="D2" s="46">
        <v>1</v>
      </c>
      <c r="E2" s="47">
        <v>43467</v>
      </c>
      <c r="F2" s="48" t="str">
        <f>U2</f>
        <v>BRL.CASHTXA.BDB00000</v>
      </c>
      <c r="G2" s="46" t="s">
        <v>316</v>
      </c>
      <c r="H2" s="46" t="s">
        <v>49</v>
      </c>
      <c r="I2" s="46">
        <v>0</v>
      </c>
      <c r="J2" s="46" t="s">
        <v>65</v>
      </c>
      <c r="K2" s="46">
        <v>0</v>
      </c>
      <c r="L2" s="46" t="s">
        <v>320</v>
      </c>
      <c r="M2" s="49">
        <f>E2</f>
        <v>43467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[BRL][2EA88][BRL.CASHTXA.BDB00000][U1]</v>
      </c>
      <c r="T2" s="48" t="str">
        <f>"INT "&amp;TEXT(G2,"####")&amp;" "&amp;J2&amp;" "&amp;LEFT(L2,LEN(L2)-2)</f>
        <v>INT BDB BRL CASHTX</v>
      </c>
      <c r="U2" s="46" t="str">
        <f>LEFT(LEFT(J2,3)&amp;"."&amp;SUBSTITUTE(L2,"-","")&amp;"."&amp;G2&amp;"0000000000000",20)</f>
        <v>BRL.CASHTXA.BDB00000</v>
      </c>
      <c r="V2" s="46" t="s">
        <v>312</v>
      </c>
      <c r="W2" s="46" t="str">
        <f>IF(RIGHT(L2,1)="A","ACTUAL","FORECAST")</f>
        <v>ACTUAL</v>
      </c>
    </row>
    <row r="3" spans="1:23" x14ac:dyDescent="0.2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b0cc0c4b-08da-93e9-7761-bea8b5871a3b-aa3</v>
      </c>
      <c r="B3" s="46" t="s">
        <v>77</v>
      </c>
      <c r="C3" s="46" t="str">
        <f t="shared" ref="C3:C21" ca="1" si="1">A3</f>
        <v>b0cc0c4b-08da-93e9-7761-bea8b5871a3b-aa3</v>
      </c>
      <c r="D3" s="46">
        <f>D$2</f>
        <v>1</v>
      </c>
      <c r="E3" s="47">
        <f>E$2</f>
        <v>43467</v>
      </c>
      <c r="F3" s="48" t="str">
        <f t="shared" ref="F3:F21" si="2">U3</f>
        <v>USD.CASHTXA.BDB00000</v>
      </c>
      <c r="G3" s="46" t="s">
        <v>316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320</v>
      </c>
      <c r="M3" s="49">
        <f>$M$2</f>
        <v>43467</v>
      </c>
      <c r="O3" s="46" t="s">
        <v>75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[USD][2EA88][USD.CASHTXA.BDB00000][U1]</v>
      </c>
      <c r="T3" s="48" t="str">
        <f t="shared" ref="T3:T61" si="5">"INT "&amp;TEXT(G3,"####")&amp;" "&amp;J3&amp;" "&amp;LEFT(L3,LEN(L3)-2)</f>
        <v>INT BDB USD CASHTX</v>
      </c>
      <c r="U3" s="46" t="str">
        <f t="shared" ref="U3:U21" si="6">LEFT(LEFT(J3,3)&amp;"."&amp;SUBSTITUTE(L3,"-","")&amp;"."&amp;G3&amp;"0000000000000",20)</f>
        <v>USD.CASHTXA.BDB00000</v>
      </c>
      <c r="V3" s="46" t="s">
        <v>312</v>
      </c>
      <c r="W3" s="46" t="str">
        <f t="shared" ref="W3:W21" si="7">IF(RIGHT(L3,1)="A","ACTUAL","FORECAST")</f>
        <v>ACTUAL</v>
      </c>
    </row>
    <row r="4" spans="1:23" x14ac:dyDescent="0.2">
      <c r="A4" s="46" t="str">
        <f t="shared" ca="1" si="0"/>
        <v>64e36b03-8d6d-6b38-8d92-c93f82eb689d-aa4</v>
      </c>
      <c r="B4" s="46" t="s">
        <v>77</v>
      </c>
      <c r="C4" s="46" t="str">
        <f t="shared" ca="1" si="1"/>
        <v>64e36b03-8d6d-6b38-8d92-c93f82eb689d-aa4</v>
      </c>
      <c r="D4" s="46">
        <f t="shared" ref="D4:D67" si="8">D$2</f>
        <v>1</v>
      </c>
      <c r="E4" s="47">
        <f t="shared" ref="E4:E67" si="9">E$2</f>
        <v>43467</v>
      </c>
      <c r="F4" s="48" t="str">
        <f t="shared" si="2"/>
        <v>BRL.CASHTXF.BDB00000</v>
      </c>
      <c r="G4" s="46" t="s">
        <v>316</v>
      </c>
      <c r="H4" s="46" t="s">
        <v>49</v>
      </c>
      <c r="I4" s="46">
        <v>0</v>
      </c>
      <c r="J4" s="46" t="s">
        <v>65</v>
      </c>
      <c r="K4" s="46">
        <f t="shared" si="3"/>
        <v>0</v>
      </c>
      <c r="L4" s="46" t="s">
        <v>321</v>
      </c>
      <c r="M4" s="49">
        <f t="shared" ref="M4:M67" si="10">$M$2</f>
        <v>43467</v>
      </c>
      <c r="O4" s="46" t="s">
        <v>75</v>
      </c>
      <c r="P4" s="46" t="s">
        <v>8</v>
      </c>
      <c r="R4" s="46">
        <f t="shared" ref="R4:R15" si="11">$R$2</f>
        <v>0</v>
      </c>
      <c r="S4" s="46" t="str">
        <f t="shared" ca="1" si="4"/>
        <v>[BRL][2EA88][BRL.CASHTXF.BDB00000][U1]</v>
      </c>
      <c r="T4" s="48" t="str">
        <f t="shared" si="5"/>
        <v>INT BDB BRL CASHTX</v>
      </c>
      <c r="U4" s="46" t="str">
        <f t="shared" si="6"/>
        <v>BRL.CASHTXF.BDB00000</v>
      </c>
      <c r="V4" s="46" t="s">
        <v>312</v>
      </c>
      <c r="W4" s="46" t="str">
        <f t="shared" si="7"/>
        <v>FORECAST</v>
      </c>
    </row>
    <row r="5" spans="1:23" x14ac:dyDescent="0.2">
      <c r="A5" s="46" t="str">
        <f t="shared" ca="1" si="0"/>
        <v>e641bfaf-7b47-3884-1dd6-787e78b035b5-aa5</v>
      </c>
      <c r="B5" s="46" t="s">
        <v>77</v>
      </c>
      <c r="C5" s="46" t="str">
        <f t="shared" ca="1" si="1"/>
        <v>e641bfaf-7b47-3884-1dd6-787e78b035b5-aa5</v>
      </c>
      <c r="D5" s="46">
        <f t="shared" si="8"/>
        <v>1</v>
      </c>
      <c r="E5" s="47">
        <f t="shared" si="9"/>
        <v>43467</v>
      </c>
      <c r="F5" s="48" t="str">
        <f t="shared" si="2"/>
        <v>USD.CASHTXF.BDB00000</v>
      </c>
      <c r="G5" s="46" t="s">
        <v>316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321</v>
      </c>
      <c r="M5" s="49">
        <f t="shared" si="10"/>
        <v>43467</v>
      </c>
      <c r="O5" s="46" t="s">
        <v>75</v>
      </c>
      <c r="P5" s="46" t="s">
        <v>8</v>
      </c>
      <c r="R5" s="46">
        <f t="shared" si="11"/>
        <v>0</v>
      </c>
      <c r="S5" s="46" t="str">
        <f t="shared" ca="1" si="4"/>
        <v>[USD][2EA88][USD.CASHTXF.BDB00000][U1]</v>
      </c>
      <c r="T5" s="48" t="str">
        <f t="shared" si="5"/>
        <v>INT BDB USD CASHTX</v>
      </c>
      <c r="U5" s="46" t="str">
        <f t="shared" si="6"/>
        <v>USD.CASHTXF.BDB00000</v>
      </c>
      <c r="V5" s="46" t="s">
        <v>312</v>
      </c>
      <c r="W5" s="46" t="str">
        <f t="shared" si="7"/>
        <v>FORECAST</v>
      </c>
    </row>
    <row r="6" spans="1:23" x14ac:dyDescent="0.2">
      <c r="A6" s="46" t="str">
        <f t="shared" ca="1" si="0"/>
        <v>49321f58-5d9a-509c-92a8-0704ce040c08-aa6</v>
      </c>
      <c r="B6" s="46" t="s">
        <v>77</v>
      </c>
      <c r="C6" s="46" t="str">
        <f t="shared" ca="1" si="1"/>
        <v>49321f58-5d9a-509c-92a8-0704ce040c08-aa6</v>
      </c>
      <c r="D6" s="46">
        <f t="shared" si="8"/>
        <v>1</v>
      </c>
      <c r="E6" s="47">
        <f t="shared" si="9"/>
        <v>43467</v>
      </c>
      <c r="F6" s="48" t="str">
        <f t="shared" si="2"/>
        <v>BRL.CUSTINSTA.BDB000</v>
      </c>
      <c r="G6" s="46" t="s">
        <v>316</v>
      </c>
      <c r="H6" s="46" t="s">
        <v>49</v>
      </c>
      <c r="I6" s="46">
        <v>0</v>
      </c>
      <c r="J6" s="46" t="s">
        <v>65</v>
      </c>
      <c r="K6" s="46">
        <f t="shared" si="3"/>
        <v>0</v>
      </c>
      <c r="L6" s="46" t="s">
        <v>319</v>
      </c>
      <c r="M6" s="49">
        <f t="shared" si="10"/>
        <v>43467</v>
      </c>
      <c r="O6" s="46" t="s">
        <v>75</v>
      </c>
      <c r="P6" s="46" t="s">
        <v>8</v>
      </c>
      <c r="R6" s="46">
        <f t="shared" si="11"/>
        <v>0</v>
      </c>
      <c r="S6" s="46" t="str">
        <f t="shared" ca="1" si="4"/>
        <v>[BRL][2EA88][BRL.CUSTINSTA.BDB000][U1]</v>
      </c>
      <c r="T6" s="48" t="str">
        <f t="shared" si="5"/>
        <v>INT BDB BRL CUSTINST</v>
      </c>
      <c r="U6" s="46" t="str">
        <f t="shared" si="6"/>
        <v>BRL.CUSTINSTA.BDB000</v>
      </c>
      <c r="V6" s="46" t="s">
        <v>312</v>
      </c>
      <c r="W6" s="46" t="str">
        <f t="shared" si="7"/>
        <v>ACTUAL</v>
      </c>
    </row>
    <row r="7" spans="1:23" x14ac:dyDescent="0.2">
      <c r="A7" s="46" t="str">
        <f t="shared" ca="1" si="0"/>
        <v>b7b95777-9036-5a03-0f55-87009bb1a663-aa7</v>
      </c>
      <c r="B7" s="46" t="s">
        <v>77</v>
      </c>
      <c r="C7" s="46" t="str">
        <f t="shared" ca="1" si="1"/>
        <v>b7b95777-9036-5a03-0f55-87009bb1a663-aa7</v>
      </c>
      <c r="D7" s="46">
        <f t="shared" si="8"/>
        <v>1</v>
      </c>
      <c r="E7" s="47">
        <f t="shared" si="9"/>
        <v>43467</v>
      </c>
      <c r="F7" s="48" t="str">
        <f t="shared" si="2"/>
        <v>USD.CUSTINSTA.BDB000</v>
      </c>
      <c r="G7" s="46" t="s">
        <v>316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319</v>
      </c>
      <c r="M7" s="49">
        <f t="shared" si="10"/>
        <v>43467</v>
      </c>
      <c r="O7" s="46" t="s">
        <v>75</v>
      </c>
      <c r="P7" s="46" t="s">
        <v>8</v>
      </c>
      <c r="R7" s="46">
        <f t="shared" si="11"/>
        <v>0</v>
      </c>
      <c r="S7" s="46" t="str">
        <f t="shared" ca="1" si="4"/>
        <v>[USD][2EA88][USD.CUSTINSTA.BDB000][U1]</v>
      </c>
      <c r="T7" s="48" t="str">
        <f t="shared" si="5"/>
        <v>INT BDB USD CUSTINST</v>
      </c>
      <c r="U7" s="46" t="str">
        <f t="shared" si="6"/>
        <v>USD.CUSTINSTA.BDB000</v>
      </c>
      <c r="V7" s="46" t="s">
        <v>312</v>
      </c>
      <c r="W7" s="46" t="str">
        <f t="shared" si="7"/>
        <v>ACTUAL</v>
      </c>
    </row>
    <row r="8" spans="1:23" x14ac:dyDescent="0.2">
      <c r="A8" s="46" t="str">
        <f t="shared" ca="1" si="0"/>
        <v>92731882-88be-6f7c-626f-656512fa09f3-aa8</v>
      </c>
      <c r="B8" s="46" t="s">
        <v>77</v>
      </c>
      <c r="C8" s="46" t="str">
        <f t="shared" ca="1" si="1"/>
        <v>92731882-88be-6f7c-626f-656512fa09f3-aa8</v>
      </c>
      <c r="D8" s="46">
        <f t="shared" si="8"/>
        <v>1</v>
      </c>
      <c r="E8" s="47">
        <f t="shared" si="9"/>
        <v>43467</v>
      </c>
      <c r="F8" s="48" t="str">
        <f t="shared" si="2"/>
        <v>BRL.CUSTINSTF.BDB000</v>
      </c>
      <c r="G8" s="46" t="s">
        <v>316</v>
      </c>
      <c r="H8" s="46" t="s">
        <v>49</v>
      </c>
      <c r="I8" s="46">
        <v>0</v>
      </c>
      <c r="J8" s="46" t="s">
        <v>65</v>
      </c>
      <c r="K8" s="46">
        <f t="shared" si="3"/>
        <v>0</v>
      </c>
      <c r="L8" s="46" t="s">
        <v>318</v>
      </c>
      <c r="M8" s="49">
        <f t="shared" si="10"/>
        <v>43467</v>
      </c>
      <c r="O8" s="46" t="s">
        <v>75</v>
      </c>
      <c r="P8" s="46" t="s">
        <v>8</v>
      </c>
      <c r="R8" s="46">
        <f t="shared" si="11"/>
        <v>0</v>
      </c>
      <c r="S8" s="46" t="str">
        <f t="shared" ca="1" si="4"/>
        <v>[BRL][2EA88][BRL.CUSTINSTF.BDB000][U1]</v>
      </c>
      <c r="T8" s="48" t="str">
        <f t="shared" si="5"/>
        <v>INT BDB BRL CUSTINST</v>
      </c>
      <c r="U8" s="46" t="str">
        <f t="shared" si="6"/>
        <v>BRL.CUSTINSTF.BDB000</v>
      </c>
      <c r="V8" s="46" t="s">
        <v>312</v>
      </c>
      <c r="W8" s="46" t="str">
        <f t="shared" si="7"/>
        <v>FORECAST</v>
      </c>
    </row>
    <row r="9" spans="1:23" x14ac:dyDescent="0.2">
      <c r="A9" s="46" t="str">
        <f t="shared" ca="1" si="0"/>
        <v>c2607720-34fa-139a-3b27-1e81eae82fd6-aa9</v>
      </c>
      <c r="B9" s="46" t="s">
        <v>77</v>
      </c>
      <c r="C9" s="46" t="str">
        <f t="shared" ca="1" si="1"/>
        <v>c2607720-34fa-139a-3b27-1e81eae82fd6-aa9</v>
      </c>
      <c r="D9" s="46">
        <f t="shared" si="8"/>
        <v>1</v>
      </c>
      <c r="E9" s="47">
        <f t="shared" si="9"/>
        <v>43467</v>
      </c>
      <c r="F9" s="48" t="str">
        <f t="shared" si="2"/>
        <v>USD.CUSTINSTF.BDB000</v>
      </c>
      <c r="G9" s="46" t="s">
        <v>316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318</v>
      </c>
      <c r="M9" s="49">
        <f t="shared" si="10"/>
        <v>43467</v>
      </c>
      <c r="O9" s="46" t="s">
        <v>75</v>
      </c>
      <c r="P9" s="46" t="s">
        <v>8</v>
      </c>
      <c r="R9" s="46">
        <f t="shared" si="11"/>
        <v>0</v>
      </c>
      <c r="S9" s="46" t="str">
        <f t="shared" ca="1" si="4"/>
        <v>[USD][2EA88][USD.CUSTINSTF.BDB000][U1]</v>
      </c>
      <c r="T9" s="48" t="str">
        <f t="shared" si="5"/>
        <v>INT BDB USD CUSTINST</v>
      </c>
      <c r="U9" s="46" t="str">
        <f t="shared" si="6"/>
        <v>USD.CUSTINSTF.BDB000</v>
      </c>
      <c r="V9" s="46" t="s">
        <v>312</v>
      </c>
      <c r="W9" s="46" t="str">
        <f t="shared" si="7"/>
        <v>FORECAST</v>
      </c>
    </row>
    <row r="10" spans="1:23" x14ac:dyDescent="0.2">
      <c r="A10" s="46" t="str">
        <f t="shared" ca="1" si="0"/>
        <v>2ddabb1a-9390-4307-44b6-ee8508a21d29-a1a</v>
      </c>
      <c r="B10" s="46" t="s">
        <v>77</v>
      </c>
      <c r="C10" s="46" t="str">
        <f t="shared" ca="1" si="1"/>
        <v>2ddabb1a-9390-4307-44b6-ee8508a21d29-a1a</v>
      </c>
      <c r="D10" s="46">
        <f t="shared" si="8"/>
        <v>1</v>
      </c>
      <c r="E10" s="47">
        <f t="shared" si="9"/>
        <v>43467</v>
      </c>
      <c r="F10" s="48" t="str">
        <f t="shared" si="2"/>
        <v>BRL.FXA.BDB000000000</v>
      </c>
      <c r="G10" s="46" t="s">
        <v>316</v>
      </c>
      <c r="H10" s="46" t="s">
        <v>49</v>
      </c>
      <c r="I10" s="46">
        <v>0</v>
      </c>
      <c r="J10" s="46" t="s">
        <v>65</v>
      </c>
      <c r="K10" s="46">
        <f t="shared" si="3"/>
        <v>0</v>
      </c>
      <c r="L10" s="46" t="s">
        <v>317</v>
      </c>
      <c r="M10" s="49">
        <f t="shared" si="10"/>
        <v>43467</v>
      </c>
      <c r="O10" s="46" t="s">
        <v>75</v>
      </c>
      <c r="P10" s="46" t="s">
        <v>8</v>
      </c>
      <c r="R10" s="46">
        <f t="shared" si="11"/>
        <v>0</v>
      </c>
      <c r="S10" s="46" t="str">
        <f t="shared" ca="1" si="4"/>
        <v>[BRL][2EA88][BRL.FXA.BDB000000000][U1]</v>
      </c>
      <c r="T10" s="48" t="str">
        <f t="shared" si="5"/>
        <v>INT BDB BRL FX</v>
      </c>
      <c r="U10" s="46" t="str">
        <f t="shared" si="6"/>
        <v>BRL.FXA.BDB000000000</v>
      </c>
      <c r="V10" s="46" t="s">
        <v>312</v>
      </c>
      <c r="W10" s="46" t="str">
        <f t="shared" si="7"/>
        <v>ACTUAL</v>
      </c>
    </row>
    <row r="11" spans="1:23" x14ac:dyDescent="0.2">
      <c r="A11" s="46" t="str">
        <f t="shared" ca="1" si="0"/>
        <v>68318f7e-2207-4af7-9753-a52a9eae3fac-a11</v>
      </c>
      <c r="B11" s="46" t="s">
        <v>77</v>
      </c>
      <c r="C11" s="46" t="str">
        <f t="shared" ca="1" si="1"/>
        <v>68318f7e-2207-4af7-9753-a52a9eae3fac-a11</v>
      </c>
      <c r="D11" s="46">
        <f t="shared" si="8"/>
        <v>1</v>
      </c>
      <c r="E11" s="47">
        <f t="shared" si="9"/>
        <v>43467</v>
      </c>
      <c r="F11" s="48" t="str">
        <f t="shared" si="2"/>
        <v>USD.FXA.BDB000000000</v>
      </c>
      <c r="G11" s="46" t="s">
        <v>316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317</v>
      </c>
      <c r="M11" s="49">
        <f t="shared" si="10"/>
        <v>43467</v>
      </c>
      <c r="O11" s="46" t="s">
        <v>75</v>
      </c>
      <c r="P11" s="46" t="s">
        <v>8</v>
      </c>
      <c r="R11" s="46">
        <f t="shared" si="11"/>
        <v>0</v>
      </c>
      <c r="S11" s="46" t="str">
        <f t="shared" ca="1" si="4"/>
        <v>[USD][2EA88][USD.FXA.BDB000000000][U1]</v>
      </c>
      <c r="T11" s="48" t="str">
        <f t="shared" si="5"/>
        <v>INT BDB USD FX</v>
      </c>
      <c r="U11" s="46" t="str">
        <f t="shared" si="6"/>
        <v>USD.FXA.BDB000000000</v>
      </c>
      <c r="V11" s="46" t="s">
        <v>312</v>
      </c>
      <c r="W11" s="46" t="str">
        <f t="shared" si="7"/>
        <v>ACTUAL</v>
      </c>
    </row>
    <row r="12" spans="1:23" x14ac:dyDescent="0.2">
      <c r="A12" s="46" t="str">
        <f t="shared" ca="1" si="0"/>
        <v>6a382026-5488-88b9-8230-49ff53df817f-a12</v>
      </c>
      <c r="B12" s="46" t="s">
        <v>77</v>
      </c>
      <c r="C12" s="46" t="str">
        <f t="shared" ca="1" si="1"/>
        <v>6a382026-5488-88b9-8230-49ff53df817f-a12</v>
      </c>
      <c r="D12" s="46">
        <f t="shared" si="8"/>
        <v>1</v>
      </c>
      <c r="E12" s="47">
        <f t="shared" si="9"/>
        <v>43467</v>
      </c>
      <c r="F12" s="48" t="str">
        <f t="shared" si="2"/>
        <v>BRL.FXF.BDB000000000</v>
      </c>
      <c r="G12" s="46" t="s">
        <v>316</v>
      </c>
      <c r="H12" s="46" t="s">
        <v>49</v>
      </c>
      <c r="I12" s="46">
        <v>0</v>
      </c>
      <c r="J12" s="46" t="s">
        <v>65</v>
      </c>
      <c r="K12" s="46">
        <f t="shared" si="3"/>
        <v>0</v>
      </c>
      <c r="L12" s="46" t="s">
        <v>314</v>
      </c>
      <c r="M12" s="49">
        <f t="shared" si="10"/>
        <v>43467</v>
      </c>
      <c r="O12" s="46" t="s">
        <v>75</v>
      </c>
      <c r="P12" s="46" t="s">
        <v>8</v>
      </c>
      <c r="R12" s="46">
        <f t="shared" si="11"/>
        <v>0</v>
      </c>
      <c r="S12" s="46" t="str">
        <f t="shared" ca="1" si="4"/>
        <v>[BRL][2EA88][BRL.FXF.BDB000000000][U1]</v>
      </c>
      <c r="T12" s="48" t="str">
        <f t="shared" si="5"/>
        <v>INT BDB BRL FX</v>
      </c>
      <c r="U12" s="46" t="str">
        <f t="shared" si="6"/>
        <v>BRL.FXF.BDB000000000</v>
      </c>
      <c r="V12" s="46" t="s">
        <v>312</v>
      </c>
      <c r="W12" s="46" t="str">
        <f t="shared" si="7"/>
        <v>FORECAST</v>
      </c>
    </row>
    <row r="13" spans="1:23" x14ac:dyDescent="0.2">
      <c r="A13" s="46" t="str">
        <f t="shared" ca="1" si="0"/>
        <v>b18cb07e-3fe7-2a2d-143b-6420ad847df5-a13</v>
      </c>
      <c r="B13" s="46" t="s">
        <v>77</v>
      </c>
      <c r="C13" s="46" t="str">
        <f t="shared" ca="1" si="1"/>
        <v>b18cb07e-3fe7-2a2d-143b-6420ad847df5-a13</v>
      </c>
      <c r="D13" s="46">
        <f t="shared" si="8"/>
        <v>1</v>
      </c>
      <c r="E13" s="47">
        <f t="shared" si="9"/>
        <v>43467</v>
      </c>
      <c r="F13" s="48" t="str">
        <f t="shared" si="2"/>
        <v>USD.FXF.BDB000000000</v>
      </c>
      <c r="G13" s="46" t="s">
        <v>316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314</v>
      </c>
      <c r="M13" s="49">
        <f t="shared" si="10"/>
        <v>43467</v>
      </c>
      <c r="O13" s="46" t="s">
        <v>75</v>
      </c>
      <c r="P13" s="46" t="s">
        <v>8</v>
      </c>
      <c r="R13" s="46">
        <f t="shared" si="11"/>
        <v>0</v>
      </c>
      <c r="S13" s="46" t="str">
        <f t="shared" ca="1" si="4"/>
        <v>[USD][2EA88][USD.FXF.BDB000000000][U1]</v>
      </c>
      <c r="T13" s="48" t="str">
        <f t="shared" si="5"/>
        <v>INT BDB USD FX</v>
      </c>
      <c r="U13" s="46" t="str">
        <f t="shared" si="6"/>
        <v>USD.FXF.BDB000000000</v>
      </c>
      <c r="V13" s="46" t="s">
        <v>312</v>
      </c>
      <c r="W13" s="46" t="str">
        <f t="shared" si="7"/>
        <v>FORECAST</v>
      </c>
    </row>
    <row r="14" spans="1:23" x14ac:dyDescent="0.2">
      <c r="A14" s="46" t="str">
        <f t="shared" ca="1" si="0"/>
        <v>b09c1b0c-07b8-0f91-00bf-eac6f06e7a86-a14</v>
      </c>
      <c r="B14" s="46" t="s">
        <v>77</v>
      </c>
      <c r="C14" s="46" t="str">
        <f t="shared" ca="1" si="1"/>
        <v>b09c1b0c-07b8-0f91-00bf-eac6f06e7a86-a14</v>
      </c>
      <c r="D14" s="46">
        <f t="shared" si="8"/>
        <v>1</v>
      </c>
      <c r="E14" s="47">
        <f t="shared" si="9"/>
        <v>43467</v>
      </c>
      <c r="F14" s="48" t="str">
        <f t="shared" si="2"/>
        <v>BRL.LOCKFXA.BDB00000</v>
      </c>
      <c r="G14" s="46" t="s">
        <v>316</v>
      </c>
      <c r="H14" s="46" t="s">
        <v>49</v>
      </c>
      <c r="I14" s="46">
        <v>0</v>
      </c>
      <c r="J14" s="46" t="s">
        <v>65</v>
      </c>
      <c r="K14" s="46">
        <f t="shared" si="3"/>
        <v>0</v>
      </c>
      <c r="L14" s="46" t="s">
        <v>322</v>
      </c>
      <c r="M14" s="49">
        <f t="shared" si="10"/>
        <v>43467</v>
      </c>
      <c r="O14" s="46" t="s">
        <v>75</v>
      </c>
      <c r="P14" s="46" t="s">
        <v>8</v>
      </c>
      <c r="R14" s="46">
        <f t="shared" si="11"/>
        <v>0</v>
      </c>
      <c r="S14" s="46" t="str">
        <f t="shared" ca="1" si="4"/>
        <v>[BRL][2EA88][BRL.LOCKFXA.BDB00000][U1]</v>
      </c>
      <c r="T14" s="48" t="str">
        <f t="shared" si="5"/>
        <v>INT BDB BRL LOCKFX</v>
      </c>
      <c r="U14" s="46" t="str">
        <f t="shared" si="6"/>
        <v>BRL.LOCKFXA.BDB00000</v>
      </c>
      <c r="V14" s="46" t="s">
        <v>312</v>
      </c>
      <c r="W14" s="46" t="str">
        <f t="shared" si="7"/>
        <v>ACTUAL</v>
      </c>
    </row>
    <row r="15" spans="1:23" x14ac:dyDescent="0.2">
      <c r="A15" s="46" t="str">
        <f t="shared" ca="1" si="0"/>
        <v>590bdd18-36d9-6e93-180d-58711d4646b6-a15</v>
      </c>
      <c r="B15" s="46" t="s">
        <v>77</v>
      </c>
      <c r="C15" s="46" t="str">
        <f t="shared" ca="1" si="1"/>
        <v>590bdd18-36d9-6e93-180d-58711d4646b6-a15</v>
      </c>
      <c r="D15" s="46">
        <f t="shared" si="8"/>
        <v>1</v>
      </c>
      <c r="E15" s="47">
        <f t="shared" si="9"/>
        <v>43467</v>
      </c>
      <c r="F15" s="48" t="str">
        <f t="shared" si="2"/>
        <v>USD.LOCKFXA.BDB00000</v>
      </c>
      <c r="G15" s="46" t="s">
        <v>316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322</v>
      </c>
      <c r="M15" s="49">
        <f t="shared" si="10"/>
        <v>43467</v>
      </c>
      <c r="O15" s="46" t="s">
        <v>75</v>
      </c>
      <c r="P15" s="46" t="s">
        <v>8</v>
      </c>
      <c r="R15" s="46">
        <f t="shared" si="11"/>
        <v>0</v>
      </c>
      <c r="S15" s="46" t="str">
        <f t="shared" ca="1" si="4"/>
        <v>[USD][2EA88][USD.LOCKFXA.BDB00000][U1]</v>
      </c>
      <c r="T15" s="48" t="str">
        <f t="shared" si="5"/>
        <v>INT BDB USD LOCKFX</v>
      </c>
      <c r="U15" s="46" t="str">
        <f t="shared" si="6"/>
        <v>USD.LOCKFXA.BDB00000</v>
      </c>
      <c r="V15" s="46" t="s">
        <v>312</v>
      </c>
      <c r="W15" s="46" t="str">
        <f t="shared" si="7"/>
        <v>ACTUAL</v>
      </c>
    </row>
    <row r="16" spans="1:23" x14ac:dyDescent="0.2">
      <c r="A16" s="46" t="str">
        <f t="shared" ca="1" si="0"/>
        <v>5b1ec156-6c4e-1f36-62eb-4c1856428472-a16</v>
      </c>
      <c r="B16" s="46" t="s">
        <v>77</v>
      </c>
      <c r="C16" s="46" t="str">
        <f t="shared" ca="1" si="1"/>
        <v>5b1ec156-6c4e-1f36-62eb-4c1856428472-a16</v>
      </c>
      <c r="D16" s="46">
        <f t="shared" si="8"/>
        <v>1</v>
      </c>
      <c r="E16" s="47">
        <f t="shared" si="9"/>
        <v>43467</v>
      </c>
      <c r="F16" s="48" t="str">
        <f t="shared" si="2"/>
        <v>BRL.LOCKFXF.BDB00000</v>
      </c>
      <c r="G16" s="46" t="s">
        <v>316</v>
      </c>
      <c r="H16" s="46" t="s">
        <v>49</v>
      </c>
      <c r="I16" s="46">
        <v>0</v>
      </c>
      <c r="J16" s="46" t="s">
        <v>65</v>
      </c>
      <c r="K16" s="46">
        <f t="shared" si="3"/>
        <v>0</v>
      </c>
      <c r="L16" s="46" t="s">
        <v>323</v>
      </c>
      <c r="M16" s="49">
        <f t="shared" si="10"/>
        <v>43467</v>
      </c>
      <c r="O16" s="46" t="s">
        <v>75</v>
      </c>
      <c r="P16" s="46" t="s">
        <v>8</v>
      </c>
      <c r="R16" s="46">
        <f t="shared" ref="R16:R81" si="12">$R$2</f>
        <v>0</v>
      </c>
      <c r="S16" s="46" t="str">
        <f t="shared" ca="1" si="4"/>
        <v>[BRL][2EA88][BRL.LOCKFXF.BDB00000][U1]</v>
      </c>
      <c r="T16" s="48" t="str">
        <f t="shared" si="5"/>
        <v>INT BDB BRL LOCKFX</v>
      </c>
      <c r="U16" s="46" t="str">
        <f t="shared" si="6"/>
        <v>BRL.LOCKFXF.BDB00000</v>
      </c>
      <c r="V16" s="46" t="s">
        <v>312</v>
      </c>
      <c r="W16" s="46" t="str">
        <f t="shared" si="7"/>
        <v>FORECAST</v>
      </c>
    </row>
    <row r="17" spans="1:23" x14ac:dyDescent="0.2">
      <c r="A17" s="46" t="str">
        <f t="shared" ca="1" si="0"/>
        <v>3afa0a97-78b0-4db8-779f-cb71b94e4f20-a17</v>
      </c>
      <c r="B17" s="46" t="s">
        <v>77</v>
      </c>
      <c r="C17" s="46" t="str">
        <f t="shared" ca="1" si="1"/>
        <v>3afa0a97-78b0-4db8-779f-cb71b94e4f20-a17</v>
      </c>
      <c r="D17" s="46">
        <f t="shared" si="8"/>
        <v>1</v>
      </c>
      <c r="E17" s="47">
        <f t="shared" si="9"/>
        <v>43467</v>
      </c>
      <c r="F17" s="48" t="str">
        <f t="shared" si="2"/>
        <v>USD.LOCKFXF.BDB00000</v>
      </c>
      <c r="G17" s="46" t="s">
        <v>316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323</v>
      </c>
      <c r="M17" s="49">
        <f t="shared" si="10"/>
        <v>43467</v>
      </c>
      <c r="O17" s="46" t="s">
        <v>75</v>
      </c>
      <c r="P17" s="46" t="s">
        <v>8</v>
      </c>
      <c r="R17" s="46">
        <f t="shared" si="12"/>
        <v>0</v>
      </c>
      <c r="S17" s="46" t="str">
        <f t="shared" ca="1" si="4"/>
        <v>[USD][2EA88][USD.LOCKFXF.BDB00000][U1]</v>
      </c>
      <c r="T17" s="48" t="str">
        <f t="shared" si="5"/>
        <v>INT BDB USD LOCKFX</v>
      </c>
      <c r="U17" s="46" t="str">
        <f t="shared" si="6"/>
        <v>USD.LOCKFXF.BDB00000</v>
      </c>
      <c r="V17" s="46" t="s">
        <v>312</v>
      </c>
      <c r="W17" s="46" t="str">
        <f t="shared" si="7"/>
        <v>FORECAST</v>
      </c>
    </row>
    <row r="18" spans="1:23" x14ac:dyDescent="0.2">
      <c r="A18" s="46" t="str">
        <f t="shared" ca="1" si="0"/>
        <v>53e22103-1b8d-1dc1-7cc7-bb1f40800152-a18</v>
      </c>
      <c r="B18" s="46" t="s">
        <v>77</v>
      </c>
      <c r="C18" s="46" t="str">
        <f t="shared" ca="1" si="1"/>
        <v>53e22103-1b8d-1dc1-7cc7-bb1f40800152-a18</v>
      </c>
      <c r="D18" s="46">
        <f t="shared" si="8"/>
        <v>1</v>
      </c>
      <c r="E18" s="47">
        <f t="shared" si="9"/>
        <v>43467</v>
      </c>
      <c r="F18" s="48" t="str">
        <f t="shared" si="2"/>
        <v>BRL.LOCKINSTA.BDB000</v>
      </c>
      <c r="G18" s="46" t="s">
        <v>316</v>
      </c>
      <c r="H18" s="46" t="s">
        <v>49</v>
      </c>
      <c r="I18" s="46">
        <v>0</v>
      </c>
      <c r="J18" s="46" t="s">
        <v>65</v>
      </c>
      <c r="K18" s="46">
        <f t="shared" si="3"/>
        <v>0</v>
      </c>
      <c r="L18" s="46" t="s">
        <v>324</v>
      </c>
      <c r="M18" s="49">
        <f t="shared" si="10"/>
        <v>43467</v>
      </c>
      <c r="O18" s="46" t="s">
        <v>75</v>
      </c>
      <c r="P18" s="46" t="s">
        <v>8</v>
      </c>
      <c r="R18" s="46">
        <f t="shared" si="12"/>
        <v>0</v>
      </c>
      <c r="S18" s="46" t="str">
        <f t="shared" ca="1" si="4"/>
        <v>[BRL][2EA88][BRL.LOCKINSTA.BDB000][U1]</v>
      </c>
      <c r="T18" s="48" t="str">
        <f t="shared" si="5"/>
        <v>INT BDB BRL LOCKINST</v>
      </c>
      <c r="U18" s="46" t="str">
        <f t="shared" si="6"/>
        <v>BRL.LOCKINSTA.BDB000</v>
      </c>
      <c r="V18" s="46" t="s">
        <v>312</v>
      </c>
      <c r="W18" s="46" t="str">
        <f t="shared" si="7"/>
        <v>ACTUAL</v>
      </c>
    </row>
    <row r="19" spans="1:23" x14ac:dyDescent="0.2">
      <c r="A19" s="46" t="str">
        <f t="shared" ca="1" si="0"/>
        <v>65a85a82-9fb7-0046-6e84-38711c500925-a19</v>
      </c>
      <c r="B19" s="46" t="s">
        <v>77</v>
      </c>
      <c r="C19" s="46" t="str">
        <f t="shared" ca="1" si="1"/>
        <v>65a85a82-9fb7-0046-6e84-38711c500925-a19</v>
      </c>
      <c r="D19" s="46">
        <f t="shared" si="8"/>
        <v>1</v>
      </c>
      <c r="E19" s="47">
        <f t="shared" si="9"/>
        <v>43467</v>
      </c>
      <c r="F19" s="48" t="str">
        <f t="shared" si="2"/>
        <v>USD.LOCKINSTA.BDB000</v>
      </c>
      <c r="G19" s="46" t="s">
        <v>316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324</v>
      </c>
      <c r="M19" s="49">
        <f t="shared" si="10"/>
        <v>43467</v>
      </c>
      <c r="O19" s="46" t="s">
        <v>75</v>
      </c>
      <c r="P19" s="46" t="s">
        <v>8</v>
      </c>
      <c r="R19" s="46">
        <f t="shared" si="12"/>
        <v>0</v>
      </c>
      <c r="S19" s="46" t="str">
        <f t="shared" ca="1" si="4"/>
        <v>[USD][2EA88][USD.LOCKINSTA.BDB000][U1]</v>
      </c>
      <c r="T19" s="48" t="str">
        <f t="shared" si="5"/>
        <v>INT BDB USD LOCKINST</v>
      </c>
      <c r="U19" s="46" t="str">
        <f t="shared" si="6"/>
        <v>USD.LOCKINSTA.BDB000</v>
      </c>
      <c r="V19" s="46" t="s">
        <v>312</v>
      </c>
      <c r="W19" s="46" t="str">
        <f t="shared" si="7"/>
        <v>ACTUAL</v>
      </c>
    </row>
    <row r="20" spans="1:23" x14ac:dyDescent="0.2">
      <c r="A20" s="46" t="str">
        <f t="shared" ca="1" si="0"/>
        <v>50db402e-49fb-7e5e-3ef6-2fee3dfc952c-a2a</v>
      </c>
      <c r="B20" s="46" t="s">
        <v>77</v>
      </c>
      <c r="C20" s="46" t="str">
        <f t="shared" ca="1" si="1"/>
        <v>50db402e-49fb-7e5e-3ef6-2fee3dfc952c-a2a</v>
      </c>
      <c r="D20" s="46">
        <f t="shared" si="8"/>
        <v>1</v>
      </c>
      <c r="E20" s="47">
        <f t="shared" si="9"/>
        <v>43467</v>
      </c>
      <c r="F20" s="48" t="str">
        <f t="shared" si="2"/>
        <v>BRL.LOCKINSTF.BDB000</v>
      </c>
      <c r="G20" s="46" t="s">
        <v>316</v>
      </c>
      <c r="H20" s="46" t="s">
        <v>49</v>
      </c>
      <c r="I20" s="46">
        <v>0</v>
      </c>
      <c r="J20" s="46" t="s">
        <v>65</v>
      </c>
      <c r="K20" s="46">
        <f t="shared" si="3"/>
        <v>0</v>
      </c>
      <c r="L20" s="46" t="s">
        <v>325</v>
      </c>
      <c r="M20" s="49">
        <f t="shared" si="10"/>
        <v>43467</v>
      </c>
      <c r="O20" s="46" t="s">
        <v>75</v>
      </c>
      <c r="P20" s="46" t="s">
        <v>8</v>
      </c>
      <c r="R20" s="46">
        <f t="shared" si="12"/>
        <v>0</v>
      </c>
      <c r="S20" s="46" t="str">
        <f t="shared" ca="1" si="4"/>
        <v>[BRL][2EA88][BRL.LOCKINSTF.BDB000][U1]</v>
      </c>
      <c r="T20" s="48" t="str">
        <f t="shared" si="5"/>
        <v>INT BDB BRL LOCKINST</v>
      </c>
      <c r="U20" s="46" t="str">
        <f t="shared" si="6"/>
        <v>BRL.LOCKINSTF.BDB000</v>
      </c>
      <c r="V20" s="46" t="s">
        <v>312</v>
      </c>
      <c r="W20" s="46" t="str">
        <f t="shared" si="7"/>
        <v>FORECAST</v>
      </c>
    </row>
    <row r="21" spans="1:23" x14ac:dyDescent="0.2">
      <c r="A21" s="46" t="str">
        <f t="shared" ca="1" si="0"/>
        <v>2ad267c0-5a88-521a-68d6-4f2a094790c4-a21</v>
      </c>
      <c r="B21" s="46" t="s">
        <v>77</v>
      </c>
      <c r="C21" s="46" t="str">
        <f t="shared" ca="1" si="1"/>
        <v>2ad267c0-5a88-521a-68d6-4f2a094790c4-a21</v>
      </c>
      <c r="D21" s="46">
        <f t="shared" si="8"/>
        <v>1</v>
      </c>
      <c r="E21" s="47">
        <f t="shared" si="9"/>
        <v>43467</v>
      </c>
      <c r="F21" s="48" t="str">
        <f t="shared" si="2"/>
        <v>USD.LOCKINSTF.BDB000</v>
      </c>
      <c r="G21" s="46" t="s">
        <v>316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325</v>
      </c>
      <c r="M21" s="49">
        <f t="shared" si="10"/>
        <v>43467</v>
      </c>
      <c r="O21" s="46" t="s">
        <v>75</v>
      </c>
      <c r="P21" s="46" t="s">
        <v>8</v>
      </c>
      <c r="R21" s="46">
        <f t="shared" si="12"/>
        <v>0</v>
      </c>
      <c r="S21" s="46" t="str">
        <f t="shared" ca="1" si="4"/>
        <v>[USD][2EA88][USD.LOCKINSTF.BDB000][U1]</v>
      </c>
      <c r="T21" s="48" t="str">
        <f t="shared" si="5"/>
        <v>INT BDB USD LOCKINST</v>
      </c>
      <c r="U21" s="46" t="str">
        <f t="shared" si="6"/>
        <v>USD.LOCKINSTF.BDB000</v>
      </c>
      <c r="V21" s="46" t="s">
        <v>312</v>
      </c>
      <c r="W21" s="46" t="str">
        <f t="shared" si="7"/>
        <v>FORECAST</v>
      </c>
    </row>
    <row r="22" spans="1:23" x14ac:dyDescent="0.2">
      <c r="A22" s="46" t="str">
        <f t="shared" ca="1" si="0"/>
        <v>069674c9-6376-9aef-4826-9c9b130b18f7-a22</v>
      </c>
      <c r="B22" s="46" t="s">
        <v>77</v>
      </c>
      <c r="C22" s="46" t="str">
        <f t="shared" ref="C22" ca="1" si="13">A22</f>
        <v>069674c9-6376-9aef-4826-9c9b130b18f7-a22</v>
      </c>
      <c r="D22" s="46">
        <f t="shared" si="8"/>
        <v>1</v>
      </c>
      <c r="E22" s="47">
        <f t="shared" si="9"/>
        <v>43467</v>
      </c>
      <c r="F22" s="48" t="str">
        <f t="shared" ref="F22" si="14">U22</f>
        <v>BDT.CASHTXA.SCB00000</v>
      </c>
      <c r="G22" s="46" t="s">
        <v>327</v>
      </c>
      <c r="H22" s="46" t="s">
        <v>49</v>
      </c>
      <c r="I22" s="46">
        <f>I$2</f>
        <v>0</v>
      </c>
      <c r="J22" s="46" t="s">
        <v>311</v>
      </c>
      <c r="K22" s="46">
        <f t="shared" si="3"/>
        <v>0</v>
      </c>
      <c r="L22" s="46" t="str">
        <f>L2</f>
        <v>CASHTX-A</v>
      </c>
      <c r="M22" s="49">
        <f t="shared" si="10"/>
        <v>43467</v>
      </c>
      <c r="O22" s="46" t="s">
        <v>75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[BDT][2EA88][BDT.CASHTXA.SCB00000][U2]</v>
      </c>
      <c r="T22" s="48" t="str">
        <f t="shared" si="5"/>
        <v>INT SCB BDT CASHTX</v>
      </c>
      <c r="U22" s="46" t="str">
        <f t="shared" ref="U22" si="15">LEFT(LEFT(J22,3)&amp;"."&amp;SUBSTITUTE(L22,"-","")&amp;"."&amp;G22&amp;"0000000000000",20)</f>
        <v>BDT.CASHTXA.SCB00000</v>
      </c>
      <c r="V22" s="46" t="s">
        <v>312</v>
      </c>
      <c r="W22" s="46" t="str">
        <f t="shared" ref="W22" si="16">IF(RIGHT(L22,1)="A","ACTUAL","FORECAST")</f>
        <v>ACTUAL</v>
      </c>
    </row>
    <row r="23" spans="1:23" x14ac:dyDescent="0.2">
      <c r="A23" s="46" t="str">
        <f t="shared" ca="1" si="0"/>
        <v>d8eca048-0573-0dfd-225a-0092d2ab5fe8-a23</v>
      </c>
      <c r="B23" s="46" t="s">
        <v>77</v>
      </c>
      <c r="C23" s="46" t="str">
        <f t="shared" ref="C23:C24" ca="1" si="17">A23</f>
        <v>d8eca048-0573-0dfd-225a-0092d2ab5fe8-a23</v>
      </c>
      <c r="D23" s="46">
        <f t="shared" si="8"/>
        <v>1</v>
      </c>
      <c r="E23" s="47">
        <f t="shared" si="9"/>
        <v>43467</v>
      </c>
      <c r="F23" s="48" t="str">
        <f t="shared" ref="F23:F24" si="18">U23</f>
        <v>USD.CASHTXA.SCB00000</v>
      </c>
      <c r="G23" s="46" t="s">
        <v>327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43467</v>
      </c>
      <c r="O23" s="46" t="s">
        <v>75</v>
      </c>
      <c r="P23" s="46" t="s">
        <v>8</v>
      </c>
      <c r="R23" s="46">
        <f t="shared" si="12"/>
        <v>0</v>
      </c>
      <c r="S23" s="46" t="str">
        <f t="shared" ref="S23:S41" ca="1" si="19">"["&amp;J23&amp;"]["&amp;DEC2HEX(TEXT(TODAY(),"YYMMDD"))&amp;"]["&amp;U23&amp;"][U2]"</f>
        <v>[USD][2EA88][USD.CASHTXA.SCB00000][U2]</v>
      </c>
      <c r="T23" s="48" t="str">
        <f t="shared" si="5"/>
        <v>INT SCB USD CASHTX</v>
      </c>
      <c r="U23" s="46" t="str">
        <f t="shared" ref="U23:U24" si="20">LEFT(LEFT(J23,3)&amp;"."&amp;SUBSTITUTE(L23,"-","")&amp;"."&amp;G23&amp;"0000000000000",20)</f>
        <v>USD.CASHTXA.SCB00000</v>
      </c>
      <c r="V23" s="46" t="s">
        <v>312</v>
      </c>
      <c r="W23" s="46" t="str">
        <f t="shared" ref="W23:W24" si="21">IF(RIGHT(L23,1)="A","ACTUAL","FORECAST")</f>
        <v>ACTUAL</v>
      </c>
    </row>
    <row r="24" spans="1:23" x14ac:dyDescent="0.2">
      <c r="A24" s="46" t="str">
        <f t="shared" ca="1" si="0"/>
        <v>3cb155ac-29ce-88b9-6ba5-07d0f07463e7-a24</v>
      </c>
      <c r="B24" s="46" t="s">
        <v>77</v>
      </c>
      <c r="C24" s="46" t="str">
        <f t="shared" ca="1" si="17"/>
        <v>3cb155ac-29ce-88b9-6ba5-07d0f07463e7-a24</v>
      </c>
      <c r="D24" s="46">
        <f t="shared" si="8"/>
        <v>1</v>
      </c>
      <c r="E24" s="47">
        <f t="shared" si="9"/>
        <v>43467</v>
      </c>
      <c r="F24" s="48" t="str">
        <f t="shared" si="18"/>
        <v>BDT.CASHTXF.SCB00000</v>
      </c>
      <c r="G24" s="46" t="s">
        <v>327</v>
      </c>
      <c r="H24" s="46" t="s">
        <v>49</v>
      </c>
      <c r="I24" s="46">
        <f>I$2</f>
        <v>0</v>
      </c>
      <c r="J24" s="46" t="s">
        <v>311</v>
      </c>
      <c r="K24" s="46">
        <f t="shared" si="3"/>
        <v>0</v>
      </c>
      <c r="L24" s="46" t="str">
        <f>L4</f>
        <v>CASHTX-F</v>
      </c>
      <c r="M24" s="49">
        <f t="shared" si="10"/>
        <v>43467</v>
      </c>
      <c r="O24" s="46" t="s">
        <v>75</v>
      </c>
      <c r="P24" s="46" t="s">
        <v>8</v>
      </c>
      <c r="R24" s="46">
        <f t="shared" si="12"/>
        <v>0</v>
      </c>
      <c r="S24" s="46" t="str">
        <f t="shared" ca="1" si="19"/>
        <v>[BDT][2EA88][BDT.CASHTXF.SCB00000][U2]</v>
      </c>
      <c r="T24" s="48" t="str">
        <f t="shared" si="5"/>
        <v>INT SCB BDT CASHTX</v>
      </c>
      <c r="U24" s="46" t="str">
        <f t="shared" si="20"/>
        <v>BDT.CASHTXF.SCB00000</v>
      </c>
      <c r="V24" s="46" t="s">
        <v>312</v>
      </c>
      <c r="W24" s="46" t="str">
        <f t="shared" si="21"/>
        <v>FORECAST</v>
      </c>
    </row>
    <row r="25" spans="1:23" x14ac:dyDescent="0.2">
      <c r="A25" s="46" t="str">
        <f t="shared" ca="1" si="0"/>
        <v>b6565c7d-3963-5e65-1f9c-2708e72b2aa4-a25</v>
      </c>
      <c r="B25" s="46" t="s">
        <v>77</v>
      </c>
      <c r="C25" s="46" t="str">
        <f t="shared" ref="C25:C28" ca="1" si="22">A25</f>
        <v>b6565c7d-3963-5e65-1f9c-2708e72b2aa4-a25</v>
      </c>
      <c r="D25" s="46">
        <f t="shared" si="8"/>
        <v>1</v>
      </c>
      <c r="E25" s="47">
        <f t="shared" si="9"/>
        <v>43467</v>
      </c>
      <c r="F25" s="48" t="str">
        <f t="shared" ref="F25:F28" si="23">U25</f>
        <v>USD.CASHTXF.SCB00000</v>
      </c>
      <c r="G25" s="46" t="s">
        <v>327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43467</v>
      </c>
      <c r="O25" s="46" t="s">
        <v>75</v>
      </c>
      <c r="P25" s="46" t="s">
        <v>8</v>
      </c>
      <c r="R25" s="46">
        <f t="shared" si="12"/>
        <v>0</v>
      </c>
      <c r="S25" s="46" t="str">
        <f t="shared" ca="1" si="19"/>
        <v>[USD][2EA88][USD.CASHTXF.SCB00000][U2]</v>
      </c>
      <c r="T25" s="48" t="str">
        <f t="shared" si="5"/>
        <v>INT SCB USD CASHTX</v>
      </c>
      <c r="U25" s="46" t="str">
        <f t="shared" ref="U25:U28" si="24">LEFT(LEFT(J25,3)&amp;"."&amp;SUBSTITUTE(L25,"-","")&amp;"."&amp;G25&amp;"0000000000000",20)</f>
        <v>USD.CASHTXF.SCB00000</v>
      </c>
      <c r="V25" s="46" t="s">
        <v>312</v>
      </c>
      <c r="W25" s="46" t="str">
        <f t="shared" ref="W25:W28" si="25">IF(RIGHT(L25,1)="A","ACTUAL","FORECAST")</f>
        <v>FORECAST</v>
      </c>
    </row>
    <row r="26" spans="1:23" x14ac:dyDescent="0.2">
      <c r="A26" s="46" t="str">
        <f t="shared" ca="1" si="0"/>
        <v>92c4b68c-134c-42c0-25f8-3e14cc680016-a26</v>
      </c>
      <c r="B26" s="46" t="s">
        <v>77</v>
      </c>
      <c r="C26" s="46" t="str">
        <f t="shared" ca="1" si="22"/>
        <v>92c4b68c-134c-42c0-25f8-3e14cc680016-a26</v>
      </c>
      <c r="D26" s="46">
        <f t="shared" si="8"/>
        <v>1</v>
      </c>
      <c r="E26" s="47">
        <f t="shared" si="9"/>
        <v>43467</v>
      </c>
      <c r="F26" s="48" t="str">
        <f t="shared" si="23"/>
        <v>BDT.CUSTINSTA.SCB000</v>
      </c>
      <c r="G26" s="46" t="s">
        <v>327</v>
      </c>
      <c r="H26" s="46" t="s">
        <v>49</v>
      </c>
      <c r="I26" s="46">
        <f t="shared" ref="I26:I81" si="26">I$2</f>
        <v>0</v>
      </c>
      <c r="J26" s="46" t="s">
        <v>311</v>
      </c>
      <c r="K26" s="46">
        <f t="shared" si="3"/>
        <v>0</v>
      </c>
      <c r="L26" s="46" t="str">
        <f t="shared" ref="L26:L81" si="27">L6</f>
        <v>CUSTINST-A</v>
      </c>
      <c r="M26" s="49">
        <f t="shared" si="10"/>
        <v>43467</v>
      </c>
      <c r="O26" s="46" t="s">
        <v>75</v>
      </c>
      <c r="P26" s="46" t="s">
        <v>8</v>
      </c>
      <c r="R26" s="46">
        <f t="shared" si="12"/>
        <v>0</v>
      </c>
      <c r="S26" s="46" t="str">
        <f t="shared" ca="1" si="19"/>
        <v>[BDT][2EA88][BDT.CUSTINSTA.SCB000][U2]</v>
      </c>
      <c r="T26" s="48" t="str">
        <f t="shared" si="5"/>
        <v>INT SCB BDT CUSTINST</v>
      </c>
      <c r="U26" s="46" t="str">
        <f t="shared" si="24"/>
        <v>BDT.CUSTINSTA.SCB000</v>
      </c>
      <c r="V26" s="46" t="s">
        <v>312</v>
      </c>
      <c r="W26" s="46" t="str">
        <f t="shared" si="25"/>
        <v>ACTUAL</v>
      </c>
    </row>
    <row r="27" spans="1:23" x14ac:dyDescent="0.2">
      <c r="A27" s="46" t="str">
        <f t="shared" ca="1" si="0"/>
        <v>93859bc5-a5c7-21cd-9ce3-2319b30e7c67-a27</v>
      </c>
      <c r="B27" s="46" t="s">
        <v>77</v>
      </c>
      <c r="C27" s="46" t="str">
        <f t="shared" ca="1" si="22"/>
        <v>93859bc5-a5c7-21cd-9ce3-2319b30e7c67-a27</v>
      </c>
      <c r="D27" s="46">
        <f t="shared" si="8"/>
        <v>1</v>
      </c>
      <c r="E27" s="47">
        <f t="shared" si="9"/>
        <v>43467</v>
      </c>
      <c r="F27" s="48" t="str">
        <f t="shared" si="23"/>
        <v>USD.CUSTINSTA.SCB000</v>
      </c>
      <c r="G27" s="46" t="s">
        <v>327</v>
      </c>
      <c r="H27" s="46" t="s">
        <v>49</v>
      </c>
      <c r="I27" s="46">
        <f t="shared" si="26"/>
        <v>0</v>
      </c>
      <c r="J27" s="46" t="str">
        <f t="shared" ref="J27" si="28">J7</f>
        <v>USD</v>
      </c>
      <c r="K27" s="46">
        <f t="shared" si="3"/>
        <v>0</v>
      </c>
      <c r="L27" s="46" t="str">
        <f t="shared" si="27"/>
        <v>CUSTINST-A</v>
      </c>
      <c r="M27" s="49">
        <f t="shared" si="10"/>
        <v>43467</v>
      </c>
      <c r="O27" s="46" t="s">
        <v>75</v>
      </c>
      <c r="P27" s="46" t="s">
        <v>8</v>
      </c>
      <c r="R27" s="46">
        <f t="shared" si="12"/>
        <v>0</v>
      </c>
      <c r="S27" s="46" t="str">
        <f t="shared" ca="1" si="19"/>
        <v>[USD][2EA88][USD.CUSTINSTA.SCB000][U2]</v>
      </c>
      <c r="T27" s="48" t="str">
        <f t="shared" si="5"/>
        <v>INT SCB USD CUSTINST</v>
      </c>
      <c r="U27" s="46" t="str">
        <f t="shared" si="24"/>
        <v>USD.CUSTINSTA.SCB000</v>
      </c>
      <c r="V27" s="46" t="s">
        <v>312</v>
      </c>
      <c r="W27" s="46" t="str">
        <f t="shared" si="25"/>
        <v>ACTUAL</v>
      </c>
    </row>
    <row r="28" spans="1:23" x14ac:dyDescent="0.2">
      <c r="A28" s="46" t="str">
        <f t="shared" ca="1" si="0"/>
        <v>619c8d6a-042b-22ff-469e-b9a58288672a-a28</v>
      </c>
      <c r="B28" s="46" t="s">
        <v>77</v>
      </c>
      <c r="C28" s="46" t="str">
        <f t="shared" ca="1" si="22"/>
        <v>619c8d6a-042b-22ff-469e-b9a58288672a-a28</v>
      </c>
      <c r="D28" s="46">
        <f t="shared" si="8"/>
        <v>1</v>
      </c>
      <c r="E28" s="47">
        <f t="shared" si="9"/>
        <v>43467</v>
      </c>
      <c r="F28" s="48" t="str">
        <f t="shared" si="23"/>
        <v>BDT.CUSTINSTF.SCB000</v>
      </c>
      <c r="G28" s="46" t="s">
        <v>327</v>
      </c>
      <c r="H28" s="46" t="s">
        <v>49</v>
      </c>
      <c r="I28" s="46">
        <f t="shared" si="26"/>
        <v>0</v>
      </c>
      <c r="J28" s="46" t="s">
        <v>311</v>
      </c>
      <c r="K28" s="46">
        <f t="shared" si="3"/>
        <v>0</v>
      </c>
      <c r="L28" s="46" t="str">
        <f t="shared" si="27"/>
        <v>CUSTINST-F</v>
      </c>
      <c r="M28" s="49">
        <f t="shared" si="10"/>
        <v>43467</v>
      </c>
      <c r="O28" s="46" t="s">
        <v>75</v>
      </c>
      <c r="P28" s="46" t="s">
        <v>8</v>
      </c>
      <c r="R28" s="46">
        <f t="shared" si="12"/>
        <v>0</v>
      </c>
      <c r="S28" s="46" t="str">
        <f t="shared" ca="1" si="19"/>
        <v>[BDT][2EA88][BDT.CUSTINSTF.SCB000][U2]</v>
      </c>
      <c r="T28" s="48" t="str">
        <f t="shared" si="5"/>
        <v>INT SCB BDT CUSTINST</v>
      </c>
      <c r="U28" s="46" t="str">
        <f t="shared" si="24"/>
        <v>BDT.CUSTINSTF.SCB000</v>
      </c>
      <c r="V28" s="46" t="s">
        <v>312</v>
      </c>
      <c r="W28" s="46" t="str">
        <f t="shared" si="25"/>
        <v>FORECAST</v>
      </c>
    </row>
    <row r="29" spans="1:23" x14ac:dyDescent="0.2">
      <c r="A29" s="46" t="str">
        <f t="shared" ca="1" si="0"/>
        <v>c18705b2-5bcd-3853-65ad-f86ce92e9b22-a29</v>
      </c>
      <c r="B29" s="46" t="s">
        <v>77</v>
      </c>
      <c r="C29" s="46" t="str">
        <f t="shared" ref="C29:C43" ca="1" si="29">A29</f>
        <v>c18705b2-5bcd-3853-65ad-f86ce92e9b22-a29</v>
      </c>
      <c r="D29" s="46">
        <f t="shared" si="8"/>
        <v>1</v>
      </c>
      <c r="E29" s="47">
        <f t="shared" si="9"/>
        <v>43467</v>
      </c>
      <c r="F29" s="48" t="str">
        <f t="shared" ref="F29:F43" si="30">U29</f>
        <v>USD.CUSTINSTF.SCB000</v>
      </c>
      <c r="G29" s="46" t="s">
        <v>327</v>
      </c>
      <c r="H29" s="46" t="s">
        <v>49</v>
      </c>
      <c r="I29" s="46">
        <f t="shared" si="26"/>
        <v>0</v>
      </c>
      <c r="J29" s="46" t="str">
        <f t="shared" ref="J29" si="31">J9</f>
        <v>USD</v>
      </c>
      <c r="K29" s="46">
        <f t="shared" si="3"/>
        <v>0</v>
      </c>
      <c r="L29" s="46" t="str">
        <f t="shared" si="27"/>
        <v>CUSTINST-F</v>
      </c>
      <c r="M29" s="49">
        <f t="shared" si="10"/>
        <v>43467</v>
      </c>
      <c r="O29" s="46" t="s">
        <v>75</v>
      </c>
      <c r="P29" s="46" t="s">
        <v>8</v>
      </c>
      <c r="R29" s="46">
        <f t="shared" si="12"/>
        <v>0</v>
      </c>
      <c r="S29" s="46" t="str">
        <f t="shared" ca="1" si="19"/>
        <v>[USD][2EA88][USD.CUSTINSTF.SCB000][U2]</v>
      </c>
      <c r="T29" s="48" t="str">
        <f t="shared" si="5"/>
        <v>INT SCB USD CUSTINST</v>
      </c>
      <c r="U29" s="46" t="str">
        <f t="shared" ref="U29:U43" si="32">LEFT(LEFT(J29,3)&amp;"."&amp;SUBSTITUTE(L29,"-","")&amp;"."&amp;G29&amp;"0000000000000",20)</f>
        <v>USD.CUSTINSTF.SCB000</v>
      </c>
      <c r="V29" s="46" t="s">
        <v>312</v>
      </c>
      <c r="W29" s="46" t="str">
        <f t="shared" ref="W29:W43" si="33">IF(RIGHT(L29,1)="A","ACTUAL","FORECAST")</f>
        <v>FORECAST</v>
      </c>
    </row>
    <row r="30" spans="1:23" x14ac:dyDescent="0.2">
      <c r="A30" s="46" t="str">
        <f t="shared" ca="1" si="0"/>
        <v>c53c6bb0-a42b-5e20-592c-676b84795bbe-a3a</v>
      </c>
      <c r="B30" s="46" t="s">
        <v>77</v>
      </c>
      <c r="C30" s="46" t="str">
        <f t="shared" ca="1" si="29"/>
        <v>c53c6bb0-a42b-5e20-592c-676b84795bbe-a3a</v>
      </c>
      <c r="D30" s="46">
        <f t="shared" si="8"/>
        <v>1</v>
      </c>
      <c r="E30" s="47">
        <f t="shared" si="9"/>
        <v>43467</v>
      </c>
      <c r="F30" s="48" t="str">
        <f t="shared" si="30"/>
        <v>BDT.FXA.SCB000000000</v>
      </c>
      <c r="G30" s="46" t="s">
        <v>327</v>
      </c>
      <c r="H30" s="46" t="s">
        <v>49</v>
      </c>
      <c r="I30" s="46">
        <f t="shared" si="26"/>
        <v>0</v>
      </c>
      <c r="J30" s="46" t="s">
        <v>311</v>
      </c>
      <c r="K30" s="46">
        <f t="shared" si="3"/>
        <v>0</v>
      </c>
      <c r="L30" s="46" t="str">
        <f t="shared" si="27"/>
        <v>FX-A</v>
      </c>
      <c r="M30" s="49">
        <f t="shared" si="10"/>
        <v>43467</v>
      </c>
      <c r="O30" s="46" t="s">
        <v>75</v>
      </c>
      <c r="P30" s="46" t="s">
        <v>8</v>
      </c>
      <c r="R30" s="46">
        <f t="shared" si="12"/>
        <v>0</v>
      </c>
      <c r="S30" s="46" t="str">
        <f t="shared" ca="1" si="19"/>
        <v>[BDT][2EA88][BDT.FXA.SCB000000000][U2]</v>
      </c>
      <c r="T30" s="48" t="str">
        <f t="shared" si="5"/>
        <v>INT SCB BDT FX</v>
      </c>
      <c r="U30" s="46" t="str">
        <f t="shared" si="32"/>
        <v>BDT.FXA.SCB000000000</v>
      </c>
      <c r="V30" s="46" t="s">
        <v>312</v>
      </c>
      <c r="W30" s="46" t="str">
        <f t="shared" si="33"/>
        <v>ACTUAL</v>
      </c>
    </row>
    <row r="31" spans="1:23" x14ac:dyDescent="0.2">
      <c r="A31" s="46" t="str">
        <f t="shared" ca="1" si="0"/>
        <v>0a862934-9c64-77f5-9adc-bf011cc645b4-a31</v>
      </c>
      <c r="B31" s="46" t="s">
        <v>77</v>
      </c>
      <c r="C31" s="46" t="str">
        <f t="shared" ca="1" si="29"/>
        <v>0a862934-9c64-77f5-9adc-bf011cc645b4-a31</v>
      </c>
      <c r="D31" s="46">
        <f t="shared" si="8"/>
        <v>1</v>
      </c>
      <c r="E31" s="47">
        <f t="shared" si="9"/>
        <v>43467</v>
      </c>
      <c r="F31" s="48" t="str">
        <f t="shared" si="30"/>
        <v>USD.FXA.SCB000000000</v>
      </c>
      <c r="G31" s="46" t="s">
        <v>327</v>
      </c>
      <c r="H31" s="46" t="s">
        <v>49</v>
      </c>
      <c r="I31" s="46">
        <f t="shared" si="26"/>
        <v>0</v>
      </c>
      <c r="J31" s="46" t="str">
        <f t="shared" ref="J31" si="34">J11</f>
        <v>USD</v>
      </c>
      <c r="K31" s="46">
        <f t="shared" si="3"/>
        <v>0</v>
      </c>
      <c r="L31" s="46" t="str">
        <f t="shared" si="27"/>
        <v>FX-A</v>
      </c>
      <c r="M31" s="49">
        <f t="shared" si="10"/>
        <v>43467</v>
      </c>
      <c r="O31" s="46" t="s">
        <v>75</v>
      </c>
      <c r="P31" s="46" t="s">
        <v>8</v>
      </c>
      <c r="R31" s="46">
        <f t="shared" si="12"/>
        <v>0</v>
      </c>
      <c r="S31" s="46" t="str">
        <f t="shared" ca="1" si="19"/>
        <v>[USD][2EA88][USD.FXA.SCB000000000][U2]</v>
      </c>
      <c r="T31" s="48" t="str">
        <f t="shared" si="5"/>
        <v>INT SCB USD FX</v>
      </c>
      <c r="U31" s="46" t="str">
        <f t="shared" si="32"/>
        <v>USD.FXA.SCB000000000</v>
      </c>
      <c r="V31" s="46" t="s">
        <v>312</v>
      </c>
      <c r="W31" s="46" t="str">
        <f t="shared" si="33"/>
        <v>ACTUAL</v>
      </c>
    </row>
    <row r="32" spans="1:23" x14ac:dyDescent="0.2">
      <c r="A32" s="46" t="str">
        <f t="shared" ca="1" si="0"/>
        <v>287febcb-096f-2944-2d43-0b88756e75f7-a32</v>
      </c>
      <c r="B32" s="46" t="s">
        <v>77</v>
      </c>
      <c r="C32" s="46" t="str">
        <f t="shared" ca="1" si="29"/>
        <v>287febcb-096f-2944-2d43-0b88756e75f7-a32</v>
      </c>
      <c r="D32" s="46">
        <f t="shared" si="8"/>
        <v>1</v>
      </c>
      <c r="E32" s="47">
        <f t="shared" si="9"/>
        <v>43467</v>
      </c>
      <c r="F32" s="48" t="str">
        <f t="shared" si="30"/>
        <v>BDT.FXF.SCB000000000</v>
      </c>
      <c r="G32" s="46" t="s">
        <v>327</v>
      </c>
      <c r="H32" s="46" t="s">
        <v>49</v>
      </c>
      <c r="I32" s="46">
        <f t="shared" si="26"/>
        <v>0</v>
      </c>
      <c r="J32" s="46" t="s">
        <v>311</v>
      </c>
      <c r="K32" s="46">
        <f t="shared" si="3"/>
        <v>0</v>
      </c>
      <c r="L32" s="46" t="str">
        <f t="shared" si="27"/>
        <v>FX-F</v>
      </c>
      <c r="M32" s="49">
        <f t="shared" si="10"/>
        <v>43467</v>
      </c>
      <c r="O32" s="46" t="s">
        <v>75</v>
      </c>
      <c r="P32" s="46" t="s">
        <v>8</v>
      </c>
      <c r="R32" s="46">
        <f t="shared" si="12"/>
        <v>0</v>
      </c>
      <c r="S32" s="46" t="str">
        <f t="shared" ca="1" si="19"/>
        <v>[BDT][2EA88][BDT.FXF.SCB000000000][U2]</v>
      </c>
      <c r="T32" s="48" t="str">
        <f t="shared" si="5"/>
        <v>INT SCB BDT FX</v>
      </c>
      <c r="U32" s="46" t="str">
        <f t="shared" si="32"/>
        <v>BDT.FXF.SCB000000000</v>
      </c>
      <c r="V32" s="46" t="s">
        <v>312</v>
      </c>
      <c r="W32" s="46" t="str">
        <f t="shared" si="33"/>
        <v>FORECAST</v>
      </c>
    </row>
    <row r="33" spans="1:23" x14ac:dyDescent="0.2">
      <c r="A33" s="46" t="str">
        <f t="shared" ca="1" si="0"/>
        <v>029492d3-3bd7-7aa7-7f29-59134f6486ac-a33</v>
      </c>
      <c r="B33" s="46" t="s">
        <v>77</v>
      </c>
      <c r="C33" s="46" t="str">
        <f t="shared" ca="1" si="29"/>
        <v>029492d3-3bd7-7aa7-7f29-59134f6486ac-a33</v>
      </c>
      <c r="D33" s="46">
        <f t="shared" si="8"/>
        <v>1</v>
      </c>
      <c r="E33" s="47">
        <f t="shared" si="9"/>
        <v>43467</v>
      </c>
      <c r="F33" s="48" t="str">
        <f t="shared" si="30"/>
        <v>USD.FXF.SCB000000000</v>
      </c>
      <c r="G33" s="46" t="s">
        <v>327</v>
      </c>
      <c r="H33" s="46" t="s">
        <v>49</v>
      </c>
      <c r="I33" s="46">
        <f t="shared" si="26"/>
        <v>0</v>
      </c>
      <c r="J33" s="46" t="str">
        <f t="shared" ref="J33" si="35">J13</f>
        <v>USD</v>
      </c>
      <c r="K33" s="46">
        <f t="shared" si="3"/>
        <v>0</v>
      </c>
      <c r="L33" s="46" t="str">
        <f t="shared" si="27"/>
        <v>FX-F</v>
      </c>
      <c r="M33" s="49">
        <f t="shared" si="10"/>
        <v>43467</v>
      </c>
      <c r="O33" s="46" t="s">
        <v>75</v>
      </c>
      <c r="P33" s="46" t="s">
        <v>8</v>
      </c>
      <c r="R33" s="46">
        <f t="shared" si="12"/>
        <v>0</v>
      </c>
      <c r="S33" s="46" t="str">
        <f t="shared" ca="1" si="19"/>
        <v>[USD][2EA88][USD.FXF.SCB000000000][U2]</v>
      </c>
      <c r="T33" s="48" t="str">
        <f t="shared" si="5"/>
        <v>INT SCB USD FX</v>
      </c>
      <c r="U33" s="46" t="str">
        <f t="shared" si="32"/>
        <v>USD.FXF.SCB000000000</v>
      </c>
      <c r="V33" s="46" t="s">
        <v>312</v>
      </c>
      <c r="W33" s="46" t="str">
        <f t="shared" si="33"/>
        <v>FORECAST</v>
      </c>
    </row>
    <row r="34" spans="1:23" x14ac:dyDescent="0.2">
      <c r="A34" s="46" t="str">
        <f t="shared" ca="1" si="0"/>
        <v>045953a7-8a8c-80bd-2efc-8a39b30018ed-a34</v>
      </c>
      <c r="B34" s="46" t="s">
        <v>77</v>
      </c>
      <c r="C34" s="46" t="str">
        <f t="shared" ca="1" si="29"/>
        <v>045953a7-8a8c-80bd-2efc-8a39b30018ed-a34</v>
      </c>
      <c r="D34" s="46">
        <f t="shared" si="8"/>
        <v>1</v>
      </c>
      <c r="E34" s="47">
        <f t="shared" si="9"/>
        <v>43467</v>
      </c>
      <c r="F34" s="48" t="str">
        <f t="shared" si="30"/>
        <v>BDT.LOCKFXA.SCB00000</v>
      </c>
      <c r="G34" s="46" t="s">
        <v>327</v>
      </c>
      <c r="H34" s="46" t="s">
        <v>49</v>
      </c>
      <c r="I34" s="46">
        <f t="shared" si="26"/>
        <v>0</v>
      </c>
      <c r="J34" s="46" t="s">
        <v>311</v>
      </c>
      <c r="K34" s="46">
        <f t="shared" si="3"/>
        <v>0</v>
      </c>
      <c r="L34" s="46" t="str">
        <f t="shared" si="27"/>
        <v>LOCKFX-A</v>
      </c>
      <c r="M34" s="49">
        <f t="shared" si="10"/>
        <v>43467</v>
      </c>
      <c r="O34" s="46" t="s">
        <v>75</v>
      </c>
      <c r="P34" s="46" t="s">
        <v>8</v>
      </c>
      <c r="R34" s="46">
        <f t="shared" si="12"/>
        <v>0</v>
      </c>
      <c r="S34" s="46" t="str">
        <f t="shared" ca="1" si="19"/>
        <v>[BDT][2EA88][BDT.LOCKFXA.SCB00000][U2]</v>
      </c>
      <c r="T34" s="48" t="str">
        <f t="shared" si="5"/>
        <v>INT SCB BDT LOCKFX</v>
      </c>
      <c r="U34" s="46" t="str">
        <f t="shared" si="32"/>
        <v>BDT.LOCKFXA.SCB00000</v>
      </c>
      <c r="V34" s="46" t="s">
        <v>312</v>
      </c>
      <c r="W34" s="46" t="str">
        <f t="shared" si="33"/>
        <v>ACTUAL</v>
      </c>
    </row>
    <row r="35" spans="1:23" x14ac:dyDescent="0.2">
      <c r="A35" s="46" t="str">
        <f t="shared" ca="1" si="0"/>
        <v>ad6f0f71-95a0-271e-9e37-077e0b350984-a35</v>
      </c>
      <c r="B35" s="46" t="s">
        <v>77</v>
      </c>
      <c r="C35" s="46" t="str">
        <f t="shared" ca="1" si="29"/>
        <v>ad6f0f71-95a0-271e-9e37-077e0b350984-a35</v>
      </c>
      <c r="D35" s="46">
        <f t="shared" si="8"/>
        <v>1</v>
      </c>
      <c r="E35" s="47">
        <f t="shared" si="9"/>
        <v>43467</v>
      </c>
      <c r="F35" s="48" t="str">
        <f t="shared" si="30"/>
        <v>USD.LOCKFXA.SCB00000</v>
      </c>
      <c r="G35" s="46" t="s">
        <v>327</v>
      </c>
      <c r="H35" s="46" t="s">
        <v>49</v>
      </c>
      <c r="I35" s="46">
        <f t="shared" si="26"/>
        <v>0</v>
      </c>
      <c r="J35" s="46" t="str">
        <f t="shared" ref="J35" si="36">J15</f>
        <v>USD</v>
      </c>
      <c r="K35" s="46">
        <f t="shared" si="3"/>
        <v>0</v>
      </c>
      <c r="L35" s="46" t="str">
        <f t="shared" si="27"/>
        <v>LOCKFX-A</v>
      </c>
      <c r="M35" s="49">
        <f t="shared" si="10"/>
        <v>43467</v>
      </c>
      <c r="O35" s="46" t="s">
        <v>75</v>
      </c>
      <c r="P35" s="46" t="s">
        <v>8</v>
      </c>
      <c r="R35" s="46">
        <f t="shared" si="12"/>
        <v>0</v>
      </c>
      <c r="S35" s="46" t="str">
        <f t="shared" ca="1" si="19"/>
        <v>[USD][2EA88][USD.LOCKFXA.SCB00000][U2]</v>
      </c>
      <c r="T35" s="48" t="str">
        <f t="shared" si="5"/>
        <v>INT SCB USD LOCKFX</v>
      </c>
      <c r="U35" s="46" t="str">
        <f t="shared" si="32"/>
        <v>USD.LOCKFXA.SCB00000</v>
      </c>
      <c r="V35" s="46" t="s">
        <v>312</v>
      </c>
      <c r="W35" s="46" t="str">
        <f t="shared" si="33"/>
        <v>ACTUAL</v>
      </c>
    </row>
    <row r="36" spans="1:23" x14ac:dyDescent="0.2">
      <c r="A36" s="46" t="str">
        <f t="shared" ca="1" si="0"/>
        <v>8c61fb37-8f71-2c2e-9052-5c375fd10649-a36</v>
      </c>
      <c r="B36" s="46" t="s">
        <v>77</v>
      </c>
      <c r="C36" s="46" t="str">
        <f t="shared" ca="1" si="29"/>
        <v>8c61fb37-8f71-2c2e-9052-5c375fd10649-a36</v>
      </c>
      <c r="D36" s="46">
        <f t="shared" si="8"/>
        <v>1</v>
      </c>
      <c r="E36" s="47">
        <f t="shared" si="9"/>
        <v>43467</v>
      </c>
      <c r="F36" s="48" t="str">
        <f t="shared" si="30"/>
        <v>BDT.LOCKFXF.SCB00000</v>
      </c>
      <c r="G36" s="46" t="s">
        <v>327</v>
      </c>
      <c r="H36" s="46" t="s">
        <v>49</v>
      </c>
      <c r="I36" s="46">
        <f t="shared" si="26"/>
        <v>0</v>
      </c>
      <c r="J36" s="46" t="s">
        <v>311</v>
      </c>
      <c r="K36" s="46">
        <f t="shared" si="3"/>
        <v>0</v>
      </c>
      <c r="L36" s="46" t="str">
        <f t="shared" si="27"/>
        <v>LOCKFX-F</v>
      </c>
      <c r="M36" s="49">
        <f t="shared" si="10"/>
        <v>43467</v>
      </c>
      <c r="O36" s="46" t="s">
        <v>75</v>
      </c>
      <c r="P36" s="46" t="s">
        <v>8</v>
      </c>
      <c r="R36" s="46">
        <f t="shared" si="12"/>
        <v>0</v>
      </c>
      <c r="S36" s="46" t="str">
        <f t="shared" ca="1" si="19"/>
        <v>[BDT][2EA88][BDT.LOCKFXF.SCB00000][U2]</v>
      </c>
      <c r="T36" s="48" t="str">
        <f t="shared" si="5"/>
        <v>INT SCB BDT LOCKFX</v>
      </c>
      <c r="U36" s="46" t="str">
        <f t="shared" si="32"/>
        <v>BDT.LOCKFXF.SCB00000</v>
      </c>
      <c r="V36" s="46" t="s">
        <v>312</v>
      </c>
      <c r="W36" s="46" t="str">
        <f t="shared" si="33"/>
        <v>FORECAST</v>
      </c>
    </row>
    <row r="37" spans="1:23" x14ac:dyDescent="0.2">
      <c r="A37" s="46" t="str">
        <f t="shared" ca="1" si="0"/>
        <v>da284b79-224c-4f88-0c5a-3a242f939e98-a37</v>
      </c>
      <c r="B37" s="46" t="s">
        <v>77</v>
      </c>
      <c r="C37" s="46" t="str">
        <f t="shared" ca="1" si="29"/>
        <v>da284b79-224c-4f88-0c5a-3a242f939e98-a37</v>
      </c>
      <c r="D37" s="46">
        <f t="shared" si="8"/>
        <v>1</v>
      </c>
      <c r="E37" s="47">
        <f t="shared" si="9"/>
        <v>43467</v>
      </c>
      <c r="F37" s="48" t="str">
        <f t="shared" si="30"/>
        <v>USD.LOCKFXF.SCB00000</v>
      </c>
      <c r="G37" s="46" t="s">
        <v>327</v>
      </c>
      <c r="H37" s="46" t="s">
        <v>49</v>
      </c>
      <c r="I37" s="46">
        <f t="shared" si="26"/>
        <v>0</v>
      </c>
      <c r="J37" s="46" t="str">
        <f t="shared" ref="J37" si="37">J17</f>
        <v>USD</v>
      </c>
      <c r="K37" s="46">
        <f t="shared" si="3"/>
        <v>0</v>
      </c>
      <c r="L37" s="46" t="str">
        <f t="shared" si="27"/>
        <v>LOCKFX-F</v>
      </c>
      <c r="M37" s="49">
        <f t="shared" si="10"/>
        <v>43467</v>
      </c>
      <c r="O37" s="46" t="s">
        <v>75</v>
      </c>
      <c r="P37" s="46" t="s">
        <v>8</v>
      </c>
      <c r="R37" s="46">
        <f t="shared" si="12"/>
        <v>0</v>
      </c>
      <c r="S37" s="46" t="str">
        <f t="shared" ca="1" si="19"/>
        <v>[USD][2EA88][USD.LOCKFXF.SCB00000][U2]</v>
      </c>
      <c r="T37" s="48" t="str">
        <f t="shared" si="5"/>
        <v>INT SCB USD LOCKFX</v>
      </c>
      <c r="U37" s="46" t="str">
        <f t="shared" si="32"/>
        <v>USD.LOCKFXF.SCB00000</v>
      </c>
      <c r="V37" s="46" t="s">
        <v>312</v>
      </c>
      <c r="W37" s="46" t="str">
        <f t="shared" si="33"/>
        <v>FORECAST</v>
      </c>
    </row>
    <row r="38" spans="1:23" x14ac:dyDescent="0.2">
      <c r="A38" s="46" t="str">
        <f t="shared" ca="1" si="0"/>
        <v>27030956-8ccc-5fbb-2452-08f095b46c7b-a38</v>
      </c>
      <c r="B38" s="46" t="s">
        <v>77</v>
      </c>
      <c r="C38" s="46" t="str">
        <f t="shared" ca="1" si="29"/>
        <v>27030956-8ccc-5fbb-2452-08f095b46c7b-a38</v>
      </c>
      <c r="D38" s="46">
        <f t="shared" si="8"/>
        <v>1</v>
      </c>
      <c r="E38" s="47">
        <f t="shared" si="9"/>
        <v>43467</v>
      </c>
      <c r="F38" s="48" t="str">
        <f t="shared" si="30"/>
        <v>BDT.LOCKINSTA.SCB000</v>
      </c>
      <c r="G38" s="46" t="s">
        <v>327</v>
      </c>
      <c r="H38" s="46" t="s">
        <v>49</v>
      </c>
      <c r="I38" s="46">
        <f t="shared" si="26"/>
        <v>0</v>
      </c>
      <c r="J38" s="46" t="s">
        <v>311</v>
      </c>
      <c r="K38" s="46">
        <f t="shared" si="3"/>
        <v>0</v>
      </c>
      <c r="L38" s="46" t="str">
        <f t="shared" si="27"/>
        <v>LOCKINST-A</v>
      </c>
      <c r="M38" s="49">
        <f t="shared" si="10"/>
        <v>43467</v>
      </c>
      <c r="O38" s="46" t="s">
        <v>75</v>
      </c>
      <c r="P38" s="46" t="s">
        <v>8</v>
      </c>
      <c r="R38" s="46">
        <f t="shared" si="12"/>
        <v>0</v>
      </c>
      <c r="S38" s="46" t="str">
        <f t="shared" ca="1" si="19"/>
        <v>[BDT][2EA88][BDT.LOCKINSTA.SCB000][U2]</v>
      </c>
      <c r="T38" s="48" t="str">
        <f t="shared" si="5"/>
        <v>INT SCB BDT LOCKINST</v>
      </c>
      <c r="U38" s="46" t="str">
        <f t="shared" si="32"/>
        <v>BDT.LOCKINSTA.SCB000</v>
      </c>
      <c r="V38" s="46" t="s">
        <v>312</v>
      </c>
      <c r="W38" s="46" t="str">
        <f t="shared" si="33"/>
        <v>ACTUAL</v>
      </c>
    </row>
    <row r="39" spans="1:23" x14ac:dyDescent="0.2">
      <c r="A39" s="46" t="str">
        <f t="shared" ca="1" si="0"/>
        <v>d4c66034-2d7f-1d43-04a7-30112ae06a30-a39</v>
      </c>
      <c r="B39" s="46" t="s">
        <v>77</v>
      </c>
      <c r="C39" s="46" t="str">
        <f t="shared" ca="1" si="29"/>
        <v>d4c66034-2d7f-1d43-04a7-30112ae06a30-a39</v>
      </c>
      <c r="D39" s="46">
        <f t="shared" si="8"/>
        <v>1</v>
      </c>
      <c r="E39" s="47">
        <f t="shared" si="9"/>
        <v>43467</v>
      </c>
      <c r="F39" s="48" t="str">
        <f t="shared" si="30"/>
        <v>USD.LOCKINSTA.SCB000</v>
      </c>
      <c r="G39" s="46" t="s">
        <v>327</v>
      </c>
      <c r="H39" s="46" t="s">
        <v>49</v>
      </c>
      <c r="I39" s="46">
        <f t="shared" si="26"/>
        <v>0</v>
      </c>
      <c r="J39" s="46" t="str">
        <f t="shared" ref="J39" si="38">J19</f>
        <v>USD</v>
      </c>
      <c r="K39" s="46">
        <f t="shared" si="3"/>
        <v>0</v>
      </c>
      <c r="L39" s="46" t="str">
        <f t="shared" si="27"/>
        <v>LOCKINST-A</v>
      </c>
      <c r="M39" s="49">
        <f t="shared" si="10"/>
        <v>43467</v>
      </c>
      <c r="O39" s="46" t="s">
        <v>75</v>
      </c>
      <c r="P39" s="46" t="s">
        <v>8</v>
      </c>
      <c r="R39" s="46">
        <f t="shared" si="12"/>
        <v>0</v>
      </c>
      <c r="S39" s="46" t="str">
        <f t="shared" ca="1" si="19"/>
        <v>[USD][2EA88][USD.LOCKINSTA.SCB000][U2]</v>
      </c>
      <c r="T39" s="48" t="str">
        <f t="shared" si="5"/>
        <v>INT SCB USD LOCKINST</v>
      </c>
      <c r="U39" s="46" t="str">
        <f t="shared" si="32"/>
        <v>USD.LOCKINSTA.SCB000</v>
      </c>
      <c r="V39" s="46" t="s">
        <v>312</v>
      </c>
      <c r="W39" s="46" t="str">
        <f t="shared" si="33"/>
        <v>ACTUAL</v>
      </c>
    </row>
    <row r="40" spans="1:23" x14ac:dyDescent="0.2">
      <c r="A40" s="46" t="str">
        <f t="shared" ca="1" si="0"/>
        <v>6015b240-015d-483d-1d35-f781c9ef4de4-a4a</v>
      </c>
      <c r="B40" s="46" t="s">
        <v>77</v>
      </c>
      <c r="C40" s="46" t="str">
        <f t="shared" ca="1" si="29"/>
        <v>6015b240-015d-483d-1d35-f781c9ef4de4-a4a</v>
      </c>
      <c r="D40" s="46">
        <f t="shared" si="8"/>
        <v>1</v>
      </c>
      <c r="E40" s="47">
        <f t="shared" si="9"/>
        <v>43467</v>
      </c>
      <c r="F40" s="48" t="str">
        <f t="shared" si="30"/>
        <v>BDT.LOCKINSTF.SCB000</v>
      </c>
      <c r="G40" s="46" t="s">
        <v>327</v>
      </c>
      <c r="H40" s="46" t="s">
        <v>49</v>
      </c>
      <c r="I40" s="46">
        <f t="shared" si="26"/>
        <v>0</v>
      </c>
      <c r="J40" s="46" t="s">
        <v>311</v>
      </c>
      <c r="K40" s="46">
        <f t="shared" si="3"/>
        <v>0</v>
      </c>
      <c r="L40" s="46" t="str">
        <f t="shared" si="27"/>
        <v>LOCKINST-F</v>
      </c>
      <c r="M40" s="49">
        <f t="shared" si="10"/>
        <v>43467</v>
      </c>
      <c r="O40" s="46" t="s">
        <v>75</v>
      </c>
      <c r="P40" s="46" t="s">
        <v>8</v>
      </c>
      <c r="R40" s="46">
        <f t="shared" si="12"/>
        <v>0</v>
      </c>
      <c r="S40" s="46" t="str">
        <f t="shared" ca="1" si="19"/>
        <v>[BDT][2EA88][BDT.LOCKINSTF.SCB000][U2]</v>
      </c>
      <c r="T40" s="48" t="str">
        <f t="shared" si="5"/>
        <v>INT SCB BDT LOCKINST</v>
      </c>
      <c r="U40" s="46" t="str">
        <f t="shared" si="32"/>
        <v>BDT.LOCKINSTF.SCB000</v>
      </c>
      <c r="V40" s="46" t="s">
        <v>312</v>
      </c>
      <c r="W40" s="46" t="str">
        <f t="shared" si="33"/>
        <v>FORECAST</v>
      </c>
    </row>
    <row r="41" spans="1:23" x14ac:dyDescent="0.2">
      <c r="A41" s="46" t="str">
        <f t="shared" ca="1" si="0"/>
        <v>3a0956ab-08bb-905c-7c2d-6955d3e00d38-a41</v>
      </c>
      <c r="B41" s="46" t="s">
        <v>77</v>
      </c>
      <c r="C41" s="46" t="str">
        <f t="shared" ca="1" si="29"/>
        <v>3a0956ab-08bb-905c-7c2d-6955d3e00d38-a41</v>
      </c>
      <c r="D41" s="46">
        <f t="shared" si="8"/>
        <v>1</v>
      </c>
      <c r="E41" s="47">
        <f t="shared" si="9"/>
        <v>43467</v>
      </c>
      <c r="F41" s="48" t="str">
        <f t="shared" si="30"/>
        <v>USD.LOCKINSTF.SCB000</v>
      </c>
      <c r="G41" s="46" t="s">
        <v>327</v>
      </c>
      <c r="H41" s="46" t="s">
        <v>49</v>
      </c>
      <c r="I41" s="46">
        <f t="shared" si="26"/>
        <v>0</v>
      </c>
      <c r="J41" s="46" t="str">
        <f t="shared" ref="J41" si="39">J21</f>
        <v>USD</v>
      </c>
      <c r="K41" s="46">
        <f t="shared" si="3"/>
        <v>0</v>
      </c>
      <c r="L41" s="46" t="str">
        <f t="shared" si="27"/>
        <v>LOCKINST-F</v>
      </c>
      <c r="M41" s="49">
        <f t="shared" si="10"/>
        <v>43467</v>
      </c>
      <c r="O41" s="46" t="s">
        <v>75</v>
      </c>
      <c r="P41" s="46" t="s">
        <v>8</v>
      </c>
      <c r="R41" s="46">
        <f t="shared" si="12"/>
        <v>0</v>
      </c>
      <c r="S41" s="46" t="str">
        <f t="shared" ca="1" si="19"/>
        <v>[USD][2EA88][USD.LOCKINSTF.SCB000][U2]</v>
      </c>
      <c r="T41" s="48" t="str">
        <f t="shared" si="5"/>
        <v>INT SCB USD LOCKINST</v>
      </c>
      <c r="U41" s="46" t="str">
        <f t="shared" si="32"/>
        <v>USD.LOCKINSTF.SCB000</v>
      </c>
      <c r="V41" s="46" t="s">
        <v>312</v>
      </c>
      <c r="W41" s="46" t="str">
        <f t="shared" si="33"/>
        <v>FORECAST</v>
      </c>
    </row>
    <row r="42" spans="1:23" x14ac:dyDescent="0.2">
      <c r="A42" s="46" t="str">
        <f t="shared" ca="1" si="0"/>
        <v>0c28c821-2876-0138-089e-18f8fbad865d-a42</v>
      </c>
      <c r="B42" s="46" t="s">
        <v>77</v>
      </c>
      <c r="C42" s="46" t="str">
        <f t="shared" ca="1" si="29"/>
        <v>0c28c821-2876-0138-089e-18f8fbad865d-a42</v>
      </c>
      <c r="D42" s="46">
        <f t="shared" si="8"/>
        <v>1</v>
      </c>
      <c r="E42" s="47">
        <f t="shared" si="9"/>
        <v>43467</v>
      </c>
      <c r="F42" s="48" t="str">
        <f t="shared" si="30"/>
        <v>SGD.CASHTXA.CS000000</v>
      </c>
      <c r="G42" s="46" t="s">
        <v>315</v>
      </c>
      <c r="H42" s="46" t="s">
        <v>49</v>
      </c>
      <c r="I42" s="46">
        <f t="shared" si="26"/>
        <v>0</v>
      </c>
      <c r="J42" s="46" t="s">
        <v>313</v>
      </c>
      <c r="K42" s="46">
        <f t="shared" si="3"/>
        <v>0</v>
      </c>
      <c r="L42" s="46" t="str">
        <f t="shared" si="27"/>
        <v>CASHTX-A</v>
      </c>
      <c r="M42" s="49">
        <f t="shared" si="10"/>
        <v>43467</v>
      </c>
      <c r="O42" s="46" t="s">
        <v>75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[SGD][2EA88][SGD.CASHTXA.CS000000][U3]</v>
      </c>
      <c r="T42" s="48" t="str">
        <f t="shared" si="5"/>
        <v>INT CS SGD CASHTX</v>
      </c>
      <c r="U42" s="46" t="str">
        <f t="shared" si="32"/>
        <v>SGD.CASHTXA.CS000000</v>
      </c>
      <c r="V42" s="46" t="s">
        <v>312</v>
      </c>
      <c r="W42" s="46" t="str">
        <f t="shared" si="33"/>
        <v>ACTUAL</v>
      </c>
    </row>
    <row r="43" spans="1:23" x14ac:dyDescent="0.2">
      <c r="A43" s="46" t="str">
        <f t="shared" ca="1" si="0"/>
        <v>66232b49-6d92-0f39-05fa-cbd67f089260-a43</v>
      </c>
      <c r="B43" s="46" t="s">
        <v>77</v>
      </c>
      <c r="C43" s="46" t="str">
        <f t="shared" ca="1" si="29"/>
        <v>66232b49-6d92-0f39-05fa-cbd67f089260-a43</v>
      </c>
      <c r="D43" s="46">
        <f t="shared" si="8"/>
        <v>1</v>
      </c>
      <c r="E43" s="47">
        <f t="shared" si="9"/>
        <v>43467</v>
      </c>
      <c r="F43" s="48" t="str">
        <f t="shared" si="30"/>
        <v>USD.CASHTXA.CS000000</v>
      </c>
      <c r="G43" s="46" t="s">
        <v>315</v>
      </c>
      <c r="H43" s="46" t="s">
        <v>49</v>
      </c>
      <c r="I43" s="46">
        <f t="shared" si="26"/>
        <v>0</v>
      </c>
      <c r="J43" s="46" t="str">
        <f t="shared" ref="J43:J79" si="40">J23</f>
        <v>USD</v>
      </c>
      <c r="K43" s="46">
        <f>K$2</f>
        <v>0</v>
      </c>
      <c r="L43" s="46" t="str">
        <f t="shared" si="27"/>
        <v>CASHTX-A</v>
      </c>
      <c r="M43" s="49">
        <f t="shared" si="10"/>
        <v>43467</v>
      </c>
      <c r="O43" s="46" t="s">
        <v>75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[USD][2EA88][USD.CASHTXA.CS000000][U3]</v>
      </c>
      <c r="T43" s="48" t="str">
        <f t="shared" si="5"/>
        <v>INT CS USD CASHTX</v>
      </c>
      <c r="U43" s="46" t="str">
        <f t="shared" si="32"/>
        <v>USD.CASHTXA.CS000000</v>
      </c>
      <c r="V43" s="46" t="s">
        <v>312</v>
      </c>
      <c r="W43" s="46" t="str">
        <f t="shared" si="33"/>
        <v>ACTUAL</v>
      </c>
    </row>
    <row r="44" spans="1:23" x14ac:dyDescent="0.2">
      <c r="A44" s="46" t="str">
        <f t="shared" ca="1" si="0"/>
        <v>f69a1d13-a09c-8900-9fdf-fb960525a0fe-a44</v>
      </c>
      <c r="B44" s="46" t="s">
        <v>77</v>
      </c>
      <c r="C44" s="46" t="str">
        <f t="shared" ref="C44:C63" ca="1" si="41">A44</f>
        <v>f69a1d13-a09c-8900-9fdf-fb960525a0fe-a44</v>
      </c>
      <c r="D44" s="46">
        <f t="shared" si="8"/>
        <v>1</v>
      </c>
      <c r="E44" s="47">
        <f t="shared" si="9"/>
        <v>43467</v>
      </c>
      <c r="F44" s="48" t="str">
        <f t="shared" ref="F44:F63" si="42">U44</f>
        <v>SGD.CASHTXF.CS000000</v>
      </c>
      <c r="G44" s="46" t="s">
        <v>315</v>
      </c>
      <c r="H44" s="46" t="s">
        <v>49</v>
      </c>
      <c r="I44" s="46">
        <f t="shared" si="26"/>
        <v>0</v>
      </c>
      <c r="J44" s="46" t="s">
        <v>313</v>
      </c>
      <c r="K44" s="46">
        <f t="shared" si="3"/>
        <v>0</v>
      </c>
      <c r="L44" s="46" t="str">
        <f t="shared" si="27"/>
        <v>CASHTX-F</v>
      </c>
      <c r="M44" s="49">
        <f t="shared" si="10"/>
        <v>43467</v>
      </c>
      <c r="O44" s="46" t="s">
        <v>75</v>
      </c>
      <c r="P44" s="46" t="s">
        <v>8</v>
      </c>
      <c r="R44" s="46">
        <f t="shared" si="12"/>
        <v>0</v>
      </c>
      <c r="S44" s="46" t="str">
        <f t="shared" ref="S44:S61" ca="1" si="43">"["&amp;J44&amp;"]["&amp;DEC2HEX(TEXT(TODAY(),"YYMMDD"))&amp;"]["&amp;U44&amp;"][U3]"</f>
        <v>[SGD][2EA88][SGD.CASHTXF.CS000000][U3]</v>
      </c>
      <c r="T44" s="48" t="str">
        <f t="shared" si="5"/>
        <v>INT CS SGD CASHTX</v>
      </c>
      <c r="U44" s="46" t="str">
        <f t="shared" ref="U44:U63" si="44">LEFT(LEFT(J44,3)&amp;"."&amp;SUBSTITUTE(L44,"-","")&amp;"."&amp;G44&amp;"0000000000000",20)</f>
        <v>SGD.CASHTXF.CS000000</v>
      </c>
      <c r="V44" s="46" t="s">
        <v>312</v>
      </c>
      <c r="W44" s="46" t="str">
        <f t="shared" ref="W44:W63" si="45">IF(RIGHT(L44,1)="A","ACTUAL","FORECAST")</f>
        <v>FORECAST</v>
      </c>
    </row>
    <row r="45" spans="1:23" x14ac:dyDescent="0.2">
      <c r="A45" s="46" t="str">
        <f t="shared" ca="1" si="0"/>
        <v>896cf224-2f9a-0328-4dc8-0699422ea0fc-a45</v>
      </c>
      <c r="B45" s="46" t="s">
        <v>77</v>
      </c>
      <c r="C45" s="46" t="str">
        <f t="shared" ca="1" si="41"/>
        <v>896cf224-2f9a-0328-4dc8-0699422ea0fc-a45</v>
      </c>
      <c r="D45" s="46">
        <f t="shared" si="8"/>
        <v>1</v>
      </c>
      <c r="E45" s="47">
        <f t="shared" si="9"/>
        <v>43467</v>
      </c>
      <c r="F45" s="48" t="str">
        <f t="shared" si="42"/>
        <v>USD.CASHTXF.CS000000</v>
      </c>
      <c r="G45" s="46" t="s">
        <v>315</v>
      </c>
      <c r="H45" s="46" t="s">
        <v>49</v>
      </c>
      <c r="I45" s="46">
        <f t="shared" si="26"/>
        <v>0</v>
      </c>
      <c r="J45" s="46" t="str">
        <f t="shared" si="40"/>
        <v>USD</v>
      </c>
      <c r="K45" s="46">
        <f t="shared" si="3"/>
        <v>0</v>
      </c>
      <c r="L45" s="46" t="str">
        <f t="shared" si="27"/>
        <v>CASHTX-F</v>
      </c>
      <c r="M45" s="49">
        <f t="shared" si="10"/>
        <v>43467</v>
      </c>
      <c r="O45" s="46" t="s">
        <v>75</v>
      </c>
      <c r="P45" s="46" t="s">
        <v>8</v>
      </c>
      <c r="R45" s="46">
        <f t="shared" si="12"/>
        <v>0</v>
      </c>
      <c r="S45" s="46" t="str">
        <f t="shared" ca="1" si="43"/>
        <v>[USD][2EA88][USD.CASHTXF.CS000000][U3]</v>
      </c>
      <c r="T45" s="48" t="str">
        <f t="shared" si="5"/>
        <v>INT CS USD CASHTX</v>
      </c>
      <c r="U45" s="46" t="str">
        <f t="shared" si="44"/>
        <v>USD.CASHTXF.CS000000</v>
      </c>
      <c r="V45" s="46" t="s">
        <v>312</v>
      </c>
      <c r="W45" s="46" t="str">
        <f t="shared" si="45"/>
        <v>FORECAST</v>
      </c>
    </row>
    <row r="46" spans="1:23" x14ac:dyDescent="0.2">
      <c r="A46" s="46" t="str">
        <f t="shared" ca="1" si="0"/>
        <v>c20d182e-369c-2f02-0a91-cac117815d2c-a46</v>
      </c>
      <c r="B46" s="46" t="s">
        <v>77</v>
      </c>
      <c r="C46" s="46" t="str">
        <f t="shared" ca="1" si="41"/>
        <v>c20d182e-369c-2f02-0a91-cac117815d2c-a46</v>
      </c>
      <c r="D46" s="46">
        <f t="shared" si="8"/>
        <v>1</v>
      </c>
      <c r="E46" s="47">
        <f t="shared" si="9"/>
        <v>43467</v>
      </c>
      <c r="F46" s="48" t="str">
        <f t="shared" si="42"/>
        <v>SGD.CUSTINSTA.CS0000</v>
      </c>
      <c r="G46" s="46" t="s">
        <v>315</v>
      </c>
      <c r="H46" s="46" t="s">
        <v>49</v>
      </c>
      <c r="I46" s="46">
        <f t="shared" si="26"/>
        <v>0</v>
      </c>
      <c r="J46" s="46" t="s">
        <v>313</v>
      </c>
      <c r="K46" s="46">
        <f t="shared" si="3"/>
        <v>0</v>
      </c>
      <c r="L46" s="46" t="str">
        <f t="shared" si="27"/>
        <v>CUSTINST-A</v>
      </c>
      <c r="M46" s="49">
        <f t="shared" si="10"/>
        <v>43467</v>
      </c>
      <c r="O46" s="46" t="s">
        <v>75</v>
      </c>
      <c r="P46" s="46" t="s">
        <v>8</v>
      </c>
      <c r="R46" s="46">
        <f t="shared" si="12"/>
        <v>0</v>
      </c>
      <c r="S46" s="46" t="str">
        <f t="shared" ca="1" si="43"/>
        <v>[SGD][2EA88][SGD.CUSTINSTA.CS0000][U3]</v>
      </c>
      <c r="T46" s="48" t="str">
        <f t="shared" si="5"/>
        <v>INT CS SGD CUSTINST</v>
      </c>
      <c r="U46" s="46" t="str">
        <f t="shared" si="44"/>
        <v>SGD.CUSTINSTA.CS0000</v>
      </c>
      <c r="V46" s="46" t="s">
        <v>312</v>
      </c>
      <c r="W46" s="46" t="str">
        <f t="shared" si="45"/>
        <v>ACTUAL</v>
      </c>
    </row>
    <row r="47" spans="1:23" x14ac:dyDescent="0.2">
      <c r="A47" s="46" t="str">
        <f t="shared" ca="1" si="0"/>
        <v>6b28a505-0e0b-0d06-470a-50d54caa6098-a47</v>
      </c>
      <c r="B47" s="46" t="s">
        <v>77</v>
      </c>
      <c r="C47" s="46" t="str">
        <f t="shared" ca="1" si="41"/>
        <v>6b28a505-0e0b-0d06-470a-50d54caa6098-a47</v>
      </c>
      <c r="D47" s="46">
        <f t="shared" si="8"/>
        <v>1</v>
      </c>
      <c r="E47" s="47">
        <f t="shared" si="9"/>
        <v>43467</v>
      </c>
      <c r="F47" s="48" t="str">
        <f t="shared" si="42"/>
        <v>USD.CUSTINSTA.CS0000</v>
      </c>
      <c r="G47" s="46" t="s">
        <v>315</v>
      </c>
      <c r="H47" s="46" t="s">
        <v>49</v>
      </c>
      <c r="I47" s="46">
        <f t="shared" si="26"/>
        <v>0</v>
      </c>
      <c r="J47" s="46" t="str">
        <f t="shared" si="40"/>
        <v>USD</v>
      </c>
      <c r="K47" s="46">
        <f t="shared" si="3"/>
        <v>0</v>
      </c>
      <c r="L47" s="46" t="str">
        <f t="shared" si="27"/>
        <v>CUSTINST-A</v>
      </c>
      <c r="M47" s="49">
        <f t="shared" si="10"/>
        <v>43467</v>
      </c>
      <c r="O47" s="46" t="s">
        <v>75</v>
      </c>
      <c r="P47" s="46" t="s">
        <v>8</v>
      </c>
      <c r="R47" s="46">
        <f t="shared" si="12"/>
        <v>0</v>
      </c>
      <c r="S47" s="46" t="str">
        <f t="shared" ca="1" si="43"/>
        <v>[USD][2EA88][USD.CUSTINSTA.CS0000][U3]</v>
      </c>
      <c r="T47" s="48" t="str">
        <f t="shared" si="5"/>
        <v>INT CS USD CUSTINST</v>
      </c>
      <c r="U47" s="46" t="str">
        <f t="shared" si="44"/>
        <v>USD.CUSTINSTA.CS0000</v>
      </c>
      <c r="V47" s="46" t="s">
        <v>312</v>
      </c>
      <c r="W47" s="46" t="str">
        <f t="shared" si="45"/>
        <v>ACTUAL</v>
      </c>
    </row>
    <row r="48" spans="1:23" x14ac:dyDescent="0.2">
      <c r="A48" s="46" t="str">
        <f t="shared" ca="1" si="0"/>
        <v>db9b1232-a40b-942c-9397-aa6339df31f8-a48</v>
      </c>
      <c r="B48" s="46" t="s">
        <v>77</v>
      </c>
      <c r="C48" s="46" t="str">
        <f t="shared" ca="1" si="41"/>
        <v>db9b1232-a40b-942c-9397-aa6339df31f8-a48</v>
      </c>
      <c r="D48" s="46">
        <f t="shared" si="8"/>
        <v>1</v>
      </c>
      <c r="E48" s="47">
        <f t="shared" si="9"/>
        <v>43467</v>
      </c>
      <c r="F48" s="48" t="str">
        <f t="shared" si="42"/>
        <v>SGD.CUSTINSTF.CS0000</v>
      </c>
      <c r="G48" s="46" t="s">
        <v>315</v>
      </c>
      <c r="H48" s="46" t="s">
        <v>49</v>
      </c>
      <c r="I48" s="46">
        <f t="shared" si="26"/>
        <v>0</v>
      </c>
      <c r="J48" s="46" t="s">
        <v>313</v>
      </c>
      <c r="K48" s="46">
        <f t="shared" si="3"/>
        <v>0</v>
      </c>
      <c r="L48" s="46" t="str">
        <f t="shared" si="27"/>
        <v>CUSTINST-F</v>
      </c>
      <c r="M48" s="49">
        <f t="shared" si="10"/>
        <v>43467</v>
      </c>
      <c r="O48" s="46" t="s">
        <v>75</v>
      </c>
      <c r="P48" s="46" t="s">
        <v>8</v>
      </c>
      <c r="R48" s="46">
        <f t="shared" si="12"/>
        <v>0</v>
      </c>
      <c r="S48" s="46" t="str">
        <f t="shared" ca="1" si="43"/>
        <v>[SGD][2EA88][SGD.CUSTINSTF.CS0000][U3]</v>
      </c>
      <c r="T48" s="48" t="str">
        <f t="shared" si="5"/>
        <v>INT CS SGD CUSTINST</v>
      </c>
      <c r="U48" s="46" t="str">
        <f t="shared" si="44"/>
        <v>SGD.CUSTINSTF.CS0000</v>
      </c>
      <c r="V48" s="46" t="s">
        <v>312</v>
      </c>
      <c r="W48" s="46" t="str">
        <f t="shared" si="45"/>
        <v>FORECAST</v>
      </c>
    </row>
    <row r="49" spans="1:23" x14ac:dyDescent="0.2">
      <c r="A49" s="46" t="str">
        <f t="shared" ca="1" si="0"/>
        <v>26e9e6cd-5277-02a5-6e0c-0f48c8c0048f-a49</v>
      </c>
      <c r="B49" s="46" t="s">
        <v>77</v>
      </c>
      <c r="C49" s="46" t="str">
        <f t="shared" ca="1" si="41"/>
        <v>26e9e6cd-5277-02a5-6e0c-0f48c8c0048f-a49</v>
      </c>
      <c r="D49" s="46">
        <f t="shared" si="8"/>
        <v>1</v>
      </c>
      <c r="E49" s="47">
        <f t="shared" si="9"/>
        <v>43467</v>
      </c>
      <c r="F49" s="48" t="str">
        <f t="shared" si="42"/>
        <v>USD.CUSTINSTF.CS0000</v>
      </c>
      <c r="G49" s="46" t="s">
        <v>315</v>
      </c>
      <c r="H49" s="46" t="s">
        <v>49</v>
      </c>
      <c r="I49" s="46">
        <f t="shared" si="26"/>
        <v>0</v>
      </c>
      <c r="J49" s="46" t="str">
        <f t="shared" si="40"/>
        <v>USD</v>
      </c>
      <c r="K49" s="46">
        <f t="shared" si="3"/>
        <v>0</v>
      </c>
      <c r="L49" s="46" t="str">
        <f t="shared" si="27"/>
        <v>CUSTINST-F</v>
      </c>
      <c r="M49" s="49">
        <f t="shared" si="10"/>
        <v>43467</v>
      </c>
      <c r="O49" s="46" t="s">
        <v>75</v>
      </c>
      <c r="P49" s="46" t="s">
        <v>8</v>
      </c>
      <c r="R49" s="46">
        <f t="shared" si="12"/>
        <v>0</v>
      </c>
      <c r="S49" s="46" t="str">
        <f t="shared" ca="1" si="43"/>
        <v>[USD][2EA88][USD.CUSTINSTF.CS0000][U3]</v>
      </c>
      <c r="T49" s="48" t="str">
        <f t="shared" si="5"/>
        <v>INT CS USD CUSTINST</v>
      </c>
      <c r="U49" s="46" t="str">
        <f t="shared" si="44"/>
        <v>USD.CUSTINSTF.CS0000</v>
      </c>
      <c r="V49" s="46" t="s">
        <v>312</v>
      </c>
      <c r="W49" s="46" t="str">
        <f t="shared" si="45"/>
        <v>FORECAST</v>
      </c>
    </row>
    <row r="50" spans="1:23" x14ac:dyDescent="0.2">
      <c r="A50" s="46" t="str">
        <f t="shared" ca="1" si="0"/>
        <v>0f7272ff-9713-28bb-7b98-17430a80531c-a5a</v>
      </c>
      <c r="B50" s="46" t="s">
        <v>77</v>
      </c>
      <c r="C50" s="46" t="str">
        <f t="shared" ca="1" si="41"/>
        <v>0f7272ff-9713-28bb-7b98-17430a80531c-a5a</v>
      </c>
      <c r="D50" s="46">
        <f t="shared" si="8"/>
        <v>1</v>
      </c>
      <c r="E50" s="47">
        <f t="shared" si="9"/>
        <v>43467</v>
      </c>
      <c r="F50" s="48" t="str">
        <f t="shared" si="42"/>
        <v>SGD.FXA.CS0000000000</v>
      </c>
      <c r="G50" s="46" t="s">
        <v>315</v>
      </c>
      <c r="H50" s="46" t="s">
        <v>49</v>
      </c>
      <c r="I50" s="46">
        <f t="shared" si="26"/>
        <v>0</v>
      </c>
      <c r="J50" s="46" t="s">
        <v>313</v>
      </c>
      <c r="K50" s="46">
        <f t="shared" si="3"/>
        <v>0</v>
      </c>
      <c r="L50" s="46" t="str">
        <f t="shared" si="27"/>
        <v>FX-A</v>
      </c>
      <c r="M50" s="49">
        <f t="shared" si="10"/>
        <v>43467</v>
      </c>
      <c r="O50" s="46" t="s">
        <v>75</v>
      </c>
      <c r="P50" s="46" t="s">
        <v>8</v>
      </c>
      <c r="R50" s="46">
        <f t="shared" si="12"/>
        <v>0</v>
      </c>
      <c r="S50" s="46" t="str">
        <f t="shared" ca="1" si="43"/>
        <v>[SGD][2EA88][SGD.FXA.CS0000000000][U3]</v>
      </c>
      <c r="T50" s="48" t="str">
        <f t="shared" si="5"/>
        <v>INT CS SGD FX</v>
      </c>
      <c r="U50" s="46" t="str">
        <f t="shared" si="44"/>
        <v>SGD.FXA.CS0000000000</v>
      </c>
      <c r="V50" s="46" t="s">
        <v>312</v>
      </c>
      <c r="W50" s="46" t="str">
        <f t="shared" si="45"/>
        <v>ACTUAL</v>
      </c>
    </row>
    <row r="51" spans="1:23" x14ac:dyDescent="0.2">
      <c r="A51" s="46" t="str">
        <f t="shared" ca="1" si="0"/>
        <v>beecc5a9-13d8-661e-9ed9-709c2ed33118-a51</v>
      </c>
      <c r="B51" s="46" t="s">
        <v>77</v>
      </c>
      <c r="C51" s="46" t="str">
        <f t="shared" ca="1" si="41"/>
        <v>beecc5a9-13d8-661e-9ed9-709c2ed33118-a51</v>
      </c>
      <c r="D51" s="46">
        <f t="shared" si="8"/>
        <v>1</v>
      </c>
      <c r="E51" s="47">
        <f t="shared" si="9"/>
        <v>43467</v>
      </c>
      <c r="F51" s="48" t="str">
        <f t="shared" si="42"/>
        <v>USD.FXA.CS0000000000</v>
      </c>
      <c r="G51" s="46" t="s">
        <v>315</v>
      </c>
      <c r="H51" s="46" t="s">
        <v>49</v>
      </c>
      <c r="I51" s="46">
        <f t="shared" si="26"/>
        <v>0</v>
      </c>
      <c r="J51" s="46" t="str">
        <f t="shared" si="40"/>
        <v>USD</v>
      </c>
      <c r="K51" s="46">
        <f t="shared" si="3"/>
        <v>0</v>
      </c>
      <c r="L51" s="46" t="str">
        <f t="shared" si="27"/>
        <v>FX-A</v>
      </c>
      <c r="M51" s="49">
        <f t="shared" si="10"/>
        <v>43467</v>
      </c>
      <c r="O51" s="46" t="s">
        <v>75</v>
      </c>
      <c r="P51" s="46" t="s">
        <v>8</v>
      </c>
      <c r="R51" s="46">
        <f t="shared" si="12"/>
        <v>0</v>
      </c>
      <c r="S51" s="46" t="str">
        <f t="shared" ca="1" si="43"/>
        <v>[USD][2EA88][USD.FXA.CS0000000000][U3]</v>
      </c>
      <c r="T51" s="48" t="str">
        <f t="shared" si="5"/>
        <v>INT CS USD FX</v>
      </c>
      <c r="U51" s="46" t="str">
        <f t="shared" si="44"/>
        <v>USD.FXA.CS0000000000</v>
      </c>
      <c r="V51" s="46" t="s">
        <v>312</v>
      </c>
      <c r="W51" s="46" t="str">
        <f t="shared" si="45"/>
        <v>ACTUAL</v>
      </c>
    </row>
    <row r="52" spans="1:23" x14ac:dyDescent="0.2">
      <c r="A52" s="46" t="str">
        <f t="shared" ca="1" si="0"/>
        <v>86aa8ac7-1d05-8fcc-24c0-58cbf69c0517-a52</v>
      </c>
      <c r="B52" s="46" t="s">
        <v>77</v>
      </c>
      <c r="C52" s="46" t="str">
        <f t="shared" ca="1" si="41"/>
        <v>86aa8ac7-1d05-8fcc-24c0-58cbf69c0517-a52</v>
      </c>
      <c r="D52" s="46">
        <f t="shared" si="8"/>
        <v>1</v>
      </c>
      <c r="E52" s="47">
        <f t="shared" si="9"/>
        <v>43467</v>
      </c>
      <c r="F52" s="48" t="str">
        <f t="shared" si="42"/>
        <v>SGD.FXF.CS0000000000</v>
      </c>
      <c r="G52" s="46" t="s">
        <v>315</v>
      </c>
      <c r="H52" s="46" t="s">
        <v>49</v>
      </c>
      <c r="I52" s="46">
        <f t="shared" si="26"/>
        <v>0</v>
      </c>
      <c r="J52" s="46" t="s">
        <v>313</v>
      </c>
      <c r="K52" s="46">
        <f t="shared" si="3"/>
        <v>0</v>
      </c>
      <c r="L52" s="46" t="str">
        <f t="shared" si="27"/>
        <v>FX-F</v>
      </c>
      <c r="M52" s="49">
        <f t="shared" si="10"/>
        <v>43467</v>
      </c>
      <c r="O52" s="46" t="s">
        <v>75</v>
      </c>
      <c r="P52" s="46" t="s">
        <v>8</v>
      </c>
      <c r="R52" s="46">
        <f t="shared" si="12"/>
        <v>0</v>
      </c>
      <c r="S52" s="46" t="str">
        <f t="shared" ca="1" si="43"/>
        <v>[SGD][2EA88][SGD.FXF.CS0000000000][U3]</v>
      </c>
      <c r="T52" s="48" t="str">
        <f t="shared" si="5"/>
        <v>INT CS SGD FX</v>
      </c>
      <c r="U52" s="46" t="str">
        <f t="shared" si="44"/>
        <v>SGD.FXF.CS0000000000</v>
      </c>
      <c r="V52" s="46" t="s">
        <v>312</v>
      </c>
      <c r="W52" s="46" t="str">
        <f t="shared" si="45"/>
        <v>FORECAST</v>
      </c>
    </row>
    <row r="53" spans="1:23" x14ac:dyDescent="0.2">
      <c r="A53" s="46" t="str">
        <f t="shared" ca="1" si="0"/>
        <v>4d87dfd4-7d8c-1c08-5dbb-2f3e117e75eb-a53</v>
      </c>
      <c r="B53" s="46" t="s">
        <v>77</v>
      </c>
      <c r="C53" s="46" t="str">
        <f t="shared" ca="1" si="41"/>
        <v>4d87dfd4-7d8c-1c08-5dbb-2f3e117e75eb-a53</v>
      </c>
      <c r="D53" s="46">
        <f t="shared" si="8"/>
        <v>1</v>
      </c>
      <c r="E53" s="47">
        <f t="shared" si="9"/>
        <v>43467</v>
      </c>
      <c r="F53" s="48" t="str">
        <f t="shared" si="42"/>
        <v>USD.FXF.CS0000000000</v>
      </c>
      <c r="G53" s="46" t="s">
        <v>315</v>
      </c>
      <c r="H53" s="46" t="s">
        <v>49</v>
      </c>
      <c r="I53" s="46">
        <f t="shared" si="26"/>
        <v>0</v>
      </c>
      <c r="J53" s="46" t="str">
        <f t="shared" si="40"/>
        <v>USD</v>
      </c>
      <c r="K53" s="46">
        <f t="shared" si="3"/>
        <v>0</v>
      </c>
      <c r="L53" s="46" t="str">
        <f t="shared" si="27"/>
        <v>FX-F</v>
      </c>
      <c r="M53" s="49">
        <f t="shared" si="10"/>
        <v>43467</v>
      </c>
      <c r="O53" s="46" t="s">
        <v>75</v>
      </c>
      <c r="P53" s="46" t="s">
        <v>8</v>
      </c>
      <c r="R53" s="46">
        <f t="shared" si="12"/>
        <v>0</v>
      </c>
      <c r="S53" s="46" t="str">
        <f t="shared" ca="1" si="43"/>
        <v>[USD][2EA88][USD.FXF.CS0000000000][U3]</v>
      </c>
      <c r="T53" s="48" t="str">
        <f t="shared" si="5"/>
        <v>INT CS USD FX</v>
      </c>
      <c r="U53" s="46" t="str">
        <f t="shared" si="44"/>
        <v>USD.FXF.CS0000000000</v>
      </c>
      <c r="V53" s="46" t="s">
        <v>312</v>
      </c>
      <c r="W53" s="46" t="str">
        <f t="shared" si="45"/>
        <v>FORECAST</v>
      </c>
    </row>
    <row r="54" spans="1:23" x14ac:dyDescent="0.2">
      <c r="A54" s="46" t="str">
        <f t="shared" ca="1" si="0"/>
        <v>20693412-3b75-832f-7bf7-bb1c8a8f88ae-a54</v>
      </c>
      <c r="B54" s="46" t="s">
        <v>77</v>
      </c>
      <c r="C54" s="46" t="str">
        <f t="shared" ca="1" si="41"/>
        <v>20693412-3b75-832f-7bf7-bb1c8a8f88ae-a54</v>
      </c>
      <c r="D54" s="46">
        <f t="shared" si="8"/>
        <v>1</v>
      </c>
      <c r="E54" s="47">
        <f t="shared" si="9"/>
        <v>43467</v>
      </c>
      <c r="F54" s="48" t="str">
        <f t="shared" si="42"/>
        <v>SGD.LOCKFXA.CS000000</v>
      </c>
      <c r="G54" s="46" t="s">
        <v>315</v>
      </c>
      <c r="H54" s="46" t="s">
        <v>49</v>
      </c>
      <c r="I54" s="46">
        <f t="shared" si="26"/>
        <v>0</v>
      </c>
      <c r="J54" s="46" t="s">
        <v>313</v>
      </c>
      <c r="K54" s="46">
        <f t="shared" si="3"/>
        <v>0</v>
      </c>
      <c r="L54" s="46" t="str">
        <f t="shared" si="27"/>
        <v>LOCKFX-A</v>
      </c>
      <c r="M54" s="49">
        <f t="shared" si="10"/>
        <v>43467</v>
      </c>
      <c r="O54" s="46" t="s">
        <v>75</v>
      </c>
      <c r="P54" s="46" t="s">
        <v>8</v>
      </c>
      <c r="R54" s="46">
        <f t="shared" si="12"/>
        <v>0</v>
      </c>
      <c r="S54" s="46" t="str">
        <f t="shared" ca="1" si="43"/>
        <v>[SGD][2EA88][SGD.LOCKFXA.CS000000][U3]</v>
      </c>
      <c r="T54" s="48" t="str">
        <f t="shared" si="5"/>
        <v>INT CS SGD LOCKFX</v>
      </c>
      <c r="U54" s="46" t="str">
        <f t="shared" si="44"/>
        <v>SGD.LOCKFXA.CS000000</v>
      </c>
      <c r="V54" s="46" t="s">
        <v>312</v>
      </c>
      <c r="W54" s="46" t="str">
        <f t="shared" si="45"/>
        <v>ACTUAL</v>
      </c>
    </row>
    <row r="55" spans="1:23" x14ac:dyDescent="0.2">
      <c r="A55" s="46" t="str">
        <f t="shared" ca="1" si="0"/>
        <v>60a0b758-6207-3a7b-2ca4-badc582e289b-a55</v>
      </c>
      <c r="B55" s="46" t="s">
        <v>77</v>
      </c>
      <c r="C55" s="46" t="str">
        <f t="shared" ca="1" si="41"/>
        <v>60a0b758-6207-3a7b-2ca4-badc582e289b-a55</v>
      </c>
      <c r="D55" s="46">
        <f t="shared" si="8"/>
        <v>1</v>
      </c>
      <c r="E55" s="47">
        <f t="shared" si="9"/>
        <v>43467</v>
      </c>
      <c r="F55" s="48" t="str">
        <f t="shared" si="42"/>
        <v>USD.LOCKFXA.CS000000</v>
      </c>
      <c r="G55" s="46" t="s">
        <v>315</v>
      </c>
      <c r="H55" s="46" t="s">
        <v>49</v>
      </c>
      <c r="I55" s="46">
        <f t="shared" si="26"/>
        <v>0</v>
      </c>
      <c r="J55" s="46" t="str">
        <f t="shared" si="40"/>
        <v>USD</v>
      </c>
      <c r="K55" s="46">
        <f t="shared" si="3"/>
        <v>0</v>
      </c>
      <c r="L55" s="46" t="str">
        <f t="shared" si="27"/>
        <v>LOCKFX-A</v>
      </c>
      <c r="M55" s="49">
        <f t="shared" si="10"/>
        <v>43467</v>
      </c>
      <c r="O55" s="46" t="s">
        <v>75</v>
      </c>
      <c r="P55" s="46" t="s">
        <v>8</v>
      </c>
      <c r="R55" s="46">
        <f t="shared" si="12"/>
        <v>0</v>
      </c>
      <c r="S55" s="46" t="str">
        <f t="shared" ca="1" si="43"/>
        <v>[USD][2EA88][USD.LOCKFXA.CS000000][U3]</v>
      </c>
      <c r="T55" s="48" t="str">
        <f t="shared" si="5"/>
        <v>INT CS USD LOCKFX</v>
      </c>
      <c r="U55" s="46" t="str">
        <f t="shared" si="44"/>
        <v>USD.LOCKFXA.CS000000</v>
      </c>
      <c r="V55" s="46" t="s">
        <v>312</v>
      </c>
      <c r="W55" s="46" t="str">
        <f t="shared" si="45"/>
        <v>ACTUAL</v>
      </c>
    </row>
    <row r="56" spans="1:23" x14ac:dyDescent="0.2">
      <c r="A56" s="46" t="str">
        <f t="shared" ca="1" si="0"/>
        <v>1f20b71a-30d3-9573-2553-52c8f3ba4cd2-a56</v>
      </c>
      <c r="B56" s="46" t="s">
        <v>77</v>
      </c>
      <c r="C56" s="46" t="str">
        <f t="shared" ca="1" si="41"/>
        <v>1f20b71a-30d3-9573-2553-52c8f3ba4cd2-a56</v>
      </c>
      <c r="D56" s="46">
        <f t="shared" si="8"/>
        <v>1</v>
      </c>
      <c r="E56" s="47">
        <f t="shared" si="9"/>
        <v>43467</v>
      </c>
      <c r="F56" s="48" t="str">
        <f t="shared" si="42"/>
        <v>SGD.LOCKFXF.CS000000</v>
      </c>
      <c r="G56" s="46" t="s">
        <v>315</v>
      </c>
      <c r="H56" s="46" t="s">
        <v>49</v>
      </c>
      <c r="I56" s="46">
        <f t="shared" si="26"/>
        <v>0</v>
      </c>
      <c r="J56" s="46" t="s">
        <v>313</v>
      </c>
      <c r="K56" s="46">
        <f t="shared" si="3"/>
        <v>0</v>
      </c>
      <c r="L56" s="46" t="str">
        <f t="shared" si="27"/>
        <v>LOCKFX-F</v>
      </c>
      <c r="M56" s="49">
        <f t="shared" si="10"/>
        <v>43467</v>
      </c>
      <c r="O56" s="46" t="s">
        <v>75</v>
      </c>
      <c r="P56" s="46" t="s">
        <v>8</v>
      </c>
      <c r="R56" s="46">
        <f t="shared" si="12"/>
        <v>0</v>
      </c>
      <c r="S56" s="46" t="str">
        <f t="shared" ca="1" si="43"/>
        <v>[SGD][2EA88][SGD.LOCKFXF.CS000000][U3]</v>
      </c>
      <c r="T56" s="48" t="str">
        <f t="shared" si="5"/>
        <v>INT CS SGD LOCKFX</v>
      </c>
      <c r="U56" s="46" t="str">
        <f t="shared" si="44"/>
        <v>SGD.LOCKFXF.CS000000</v>
      </c>
      <c r="V56" s="46" t="s">
        <v>312</v>
      </c>
      <c r="W56" s="46" t="str">
        <f t="shared" si="45"/>
        <v>FORECAST</v>
      </c>
    </row>
    <row r="57" spans="1:23" x14ac:dyDescent="0.2">
      <c r="A57" s="46" t="str">
        <f t="shared" ca="1" si="0"/>
        <v>e91d265f-1791-13ab-919a-4994abd72d7d-a57</v>
      </c>
      <c r="B57" s="46" t="s">
        <v>77</v>
      </c>
      <c r="C57" s="46" t="str">
        <f t="shared" ca="1" si="41"/>
        <v>e91d265f-1791-13ab-919a-4994abd72d7d-a57</v>
      </c>
      <c r="D57" s="46">
        <f t="shared" si="8"/>
        <v>1</v>
      </c>
      <c r="E57" s="47">
        <f t="shared" si="9"/>
        <v>43467</v>
      </c>
      <c r="F57" s="48" t="str">
        <f t="shared" si="42"/>
        <v>USD.LOCKFXF.CS000000</v>
      </c>
      <c r="G57" s="46" t="s">
        <v>315</v>
      </c>
      <c r="H57" s="46" t="s">
        <v>49</v>
      </c>
      <c r="I57" s="46">
        <f t="shared" si="26"/>
        <v>0</v>
      </c>
      <c r="J57" s="46" t="str">
        <f t="shared" si="40"/>
        <v>USD</v>
      </c>
      <c r="K57" s="46">
        <f t="shared" si="3"/>
        <v>0</v>
      </c>
      <c r="L57" s="46" t="str">
        <f t="shared" si="27"/>
        <v>LOCKFX-F</v>
      </c>
      <c r="M57" s="49">
        <f t="shared" si="10"/>
        <v>43467</v>
      </c>
      <c r="O57" s="46" t="s">
        <v>75</v>
      </c>
      <c r="P57" s="46" t="s">
        <v>8</v>
      </c>
      <c r="R57" s="46">
        <f t="shared" si="12"/>
        <v>0</v>
      </c>
      <c r="S57" s="46" t="str">
        <f t="shared" ca="1" si="43"/>
        <v>[USD][2EA88][USD.LOCKFXF.CS000000][U3]</v>
      </c>
      <c r="T57" s="48" t="str">
        <f t="shared" si="5"/>
        <v>INT CS USD LOCKFX</v>
      </c>
      <c r="U57" s="46" t="str">
        <f t="shared" si="44"/>
        <v>USD.LOCKFXF.CS000000</v>
      </c>
      <c r="V57" s="46" t="s">
        <v>312</v>
      </c>
      <c r="W57" s="46" t="str">
        <f t="shared" si="45"/>
        <v>FORECAST</v>
      </c>
    </row>
    <row r="58" spans="1:23" x14ac:dyDescent="0.2">
      <c r="A58" s="46" t="str">
        <f t="shared" ca="1" si="0"/>
        <v>c57f6f83-81e4-2c1f-2df5-d0a3cae78514-a58</v>
      </c>
      <c r="B58" s="46" t="s">
        <v>77</v>
      </c>
      <c r="C58" s="46" t="str">
        <f t="shared" ca="1" si="41"/>
        <v>c57f6f83-81e4-2c1f-2df5-d0a3cae78514-a58</v>
      </c>
      <c r="D58" s="46">
        <f t="shared" si="8"/>
        <v>1</v>
      </c>
      <c r="E58" s="47">
        <f t="shared" si="9"/>
        <v>43467</v>
      </c>
      <c r="F58" s="48" t="str">
        <f t="shared" si="42"/>
        <v>SGD.LOCKINSTA.CS0000</v>
      </c>
      <c r="G58" s="46" t="s">
        <v>315</v>
      </c>
      <c r="H58" s="46" t="s">
        <v>49</v>
      </c>
      <c r="I58" s="46">
        <f t="shared" si="26"/>
        <v>0</v>
      </c>
      <c r="J58" s="46" t="s">
        <v>313</v>
      </c>
      <c r="K58" s="46">
        <f t="shared" si="3"/>
        <v>0</v>
      </c>
      <c r="L58" s="46" t="str">
        <f t="shared" si="27"/>
        <v>LOCKINST-A</v>
      </c>
      <c r="M58" s="49">
        <f t="shared" si="10"/>
        <v>43467</v>
      </c>
      <c r="O58" s="46" t="s">
        <v>75</v>
      </c>
      <c r="P58" s="46" t="s">
        <v>8</v>
      </c>
      <c r="R58" s="46">
        <f t="shared" si="12"/>
        <v>0</v>
      </c>
      <c r="S58" s="46" t="str">
        <f t="shared" ca="1" si="43"/>
        <v>[SGD][2EA88][SGD.LOCKINSTA.CS0000][U3]</v>
      </c>
      <c r="T58" s="48" t="str">
        <f t="shared" si="5"/>
        <v>INT CS SGD LOCKINST</v>
      </c>
      <c r="U58" s="46" t="str">
        <f t="shared" si="44"/>
        <v>SGD.LOCKINSTA.CS0000</v>
      </c>
      <c r="V58" s="46" t="s">
        <v>312</v>
      </c>
      <c r="W58" s="46" t="str">
        <f t="shared" si="45"/>
        <v>ACTUAL</v>
      </c>
    </row>
    <row r="59" spans="1:23" x14ac:dyDescent="0.2">
      <c r="A59" s="46" t="str">
        <f t="shared" ca="1" si="0"/>
        <v>804d0df1-746f-3f53-20f4-aeb4bd71100d-a59</v>
      </c>
      <c r="B59" s="46" t="s">
        <v>77</v>
      </c>
      <c r="C59" s="46" t="str">
        <f t="shared" ca="1" si="41"/>
        <v>804d0df1-746f-3f53-20f4-aeb4bd71100d-a59</v>
      </c>
      <c r="D59" s="46">
        <f t="shared" si="8"/>
        <v>1</v>
      </c>
      <c r="E59" s="47">
        <f t="shared" si="9"/>
        <v>43467</v>
      </c>
      <c r="F59" s="48" t="str">
        <f t="shared" si="42"/>
        <v>USD.LOCKINSTA.CS0000</v>
      </c>
      <c r="G59" s="46" t="s">
        <v>315</v>
      </c>
      <c r="H59" s="46" t="s">
        <v>49</v>
      </c>
      <c r="I59" s="46">
        <f t="shared" si="26"/>
        <v>0</v>
      </c>
      <c r="J59" s="46" t="str">
        <f t="shared" si="40"/>
        <v>USD</v>
      </c>
      <c r="K59" s="46">
        <f t="shared" si="3"/>
        <v>0</v>
      </c>
      <c r="L59" s="46" t="str">
        <f t="shared" si="27"/>
        <v>LOCKINST-A</v>
      </c>
      <c r="M59" s="49">
        <f t="shared" si="10"/>
        <v>43467</v>
      </c>
      <c r="O59" s="46" t="s">
        <v>75</v>
      </c>
      <c r="P59" s="46" t="s">
        <v>8</v>
      </c>
      <c r="R59" s="46">
        <f t="shared" si="12"/>
        <v>0</v>
      </c>
      <c r="S59" s="46" t="str">
        <f t="shared" ca="1" si="43"/>
        <v>[USD][2EA88][USD.LOCKINSTA.CS0000][U3]</v>
      </c>
      <c r="T59" s="48" t="str">
        <f t="shared" si="5"/>
        <v>INT CS USD LOCKINST</v>
      </c>
      <c r="U59" s="46" t="str">
        <f t="shared" si="44"/>
        <v>USD.LOCKINSTA.CS0000</v>
      </c>
      <c r="V59" s="46" t="s">
        <v>312</v>
      </c>
      <c r="W59" s="46" t="str">
        <f t="shared" si="45"/>
        <v>ACTUAL</v>
      </c>
    </row>
    <row r="60" spans="1:23" x14ac:dyDescent="0.2">
      <c r="A60" s="46" t="str">
        <f t="shared" ca="1" si="0"/>
        <v>12b93da3-2568-002d-23db-ace68eb440a7-a6a</v>
      </c>
      <c r="B60" s="46" t="s">
        <v>77</v>
      </c>
      <c r="C60" s="46" t="str">
        <f t="shared" ca="1" si="41"/>
        <v>12b93da3-2568-002d-23db-ace68eb440a7-a6a</v>
      </c>
      <c r="D60" s="46">
        <f t="shared" si="8"/>
        <v>1</v>
      </c>
      <c r="E60" s="47">
        <f t="shared" si="9"/>
        <v>43467</v>
      </c>
      <c r="F60" s="48" t="str">
        <f t="shared" si="42"/>
        <v>SGD.LOCKINSTF.CS0000</v>
      </c>
      <c r="G60" s="46" t="s">
        <v>315</v>
      </c>
      <c r="H60" s="46" t="s">
        <v>49</v>
      </c>
      <c r="I60" s="46">
        <f t="shared" si="26"/>
        <v>0</v>
      </c>
      <c r="J60" s="46" t="s">
        <v>313</v>
      </c>
      <c r="K60" s="46">
        <f t="shared" si="3"/>
        <v>0</v>
      </c>
      <c r="L60" s="46" t="str">
        <f t="shared" si="27"/>
        <v>LOCKINST-F</v>
      </c>
      <c r="M60" s="49">
        <f t="shared" si="10"/>
        <v>43467</v>
      </c>
      <c r="O60" s="46" t="s">
        <v>75</v>
      </c>
      <c r="P60" s="46" t="s">
        <v>8</v>
      </c>
      <c r="R60" s="46">
        <f t="shared" si="12"/>
        <v>0</v>
      </c>
      <c r="S60" s="46" t="str">
        <f t="shared" ca="1" si="43"/>
        <v>[SGD][2EA88][SGD.LOCKINSTF.CS0000][U3]</v>
      </c>
      <c r="T60" s="48" t="str">
        <f t="shared" si="5"/>
        <v>INT CS SGD LOCKINST</v>
      </c>
      <c r="U60" s="46" t="str">
        <f t="shared" si="44"/>
        <v>SGD.LOCKINSTF.CS0000</v>
      </c>
      <c r="V60" s="46" t="s">
        <v>312</v>
      </c>
      <c r="W60" s="46" t="str">
        <f t="shared" si="45"/>
        <v>FORECAST</v>
      </c>
    </row>
    <row r="61" spans="1:23" x14ac:dyDescent="0.2">
      <c r="A61" s="46" t="str">
        <f t="shared" ca="1" si="0"/>
        <v>9a4b6eb4-49e8-2b51-451b-2c9477e128e2-a61</v>
      </c>
      <c r="B61" s="46" t="s">
        <v>77</v>
      </c>
      <c r="C61" s="46" t="str">
        <f t="shared" ca="1" si="41"/>
        <v>9a4b6eb4-49e8-2b51-451b-2c9477e128e2-a61</v>
      </c>
      <c r="D61" s="46">
        <f t="shared" si="8"/>
        <v>1</v>
      </c>
      <c r="E61" s="47">
        <f t="shared" si="9"/>
        <v>43467</v>
      </c>
      <c r="F61" s="48" t="str">
        <f t="shared" si="42"/>
        <v>USD.LOCKINSTF.CS0000</v>
      </c>
      <c r="G61" s="46" t="s">
        <v>315</v>
      </c>
      <c r="H61" s="46" t="s">
        <v>49</v>
      </c>
      <c r="I61" s="46">
        <f t="shared" si="26"/>
        <v>0</v>
      </c>
      <c r="J61" s="46" t="str">
        <f t="shared" si="40"/>
        <v>USD</v>
      </c>
      <c r="K61" s="46">
        <f t="shared" si="3"/>
        <v>0</v>
      </c>
      <c r="L61" s="46" t="str">
        <f t="shared" si="27"/>
        <v>LOCKINST-F</v>
      </c>
      <c r="M61" s="49">
        <f t="shared" si="10"/>
        <v>43467</v>
      </c>
      <c r="O61" s="46" t="s">
        <v>75</v>
      </c>
      <c r="P61" s="46" t="s">
        <v>8</v>
      </c>
      <c r="R61" s="46">
        <f t="shared" si="12"/>
        <v>0</v>
      </c>
      <c r="S61" s="46" t="str">
        <f t="shared" ca="1" si="43"/>
        <v>[USD][2EA88][USD.LOCKINSTF.CS0000][U3]</v>
      </c>
      <c r="T61" s="48" t="str">
        <f t="shared" si="5"/>
        <v>INT CS USD LOCKINST</v>
      </c>
      <c r="U61" s="46" t="str">
        <f t="shared" si="44"/>
        <v>USD.LOCKINSTF.CS0000</v>
      </c>
      <c r="V61" s="46" t="s">
        <v>312</v>
      </c>
      <c r="W61" s="46" t="str">
        <f t="shared" si="45"/>
        <v>FORECAST</v>
      </c>
    </row>
    <row r="62" spans="1:23" hidden="1" x14ac:dyDescent="0.2">
      <c r="A62" s="46" t="str">
        <f t="shared" ca="1" si="0"/>
        <v>b1a74f1d-466f-4085-149c-a39928871d52-a62</v>
      </c>
      <c r="B62" s="46" t="s">
        <v>77</v>
      </c>
      <c r="C62" s="46" t="str">
        <f t="shared" ca="1" si="41"/>
        <v>b1a74f1d-466f-4085-149c-a39928871d52-a62</v>
      </c>
      <c r="D62" s="46">
        <f t="shared" si="8"/>
        <v>1</v>
      </c>
      <c r="E62" s="47">
        <f t="shared" si="9"/>
        <v>43467</v>
      </c>
      <c r="F62" s="48" t="str">
        <f t="shared" si="42"/>
        <v>USD.CASHTXA.HSBEL000</v>
      </c>
      <c r="G62" s="46" t="s">
        <v>295</v>
      </c>
      <c r="H62" s="46" t="s">
        <v>49</v>
      </c>
      <c r="I62" s="46">
        <f t="shared" si="26"/>
        <v>0</v>
      </c>
      <c r="J62" s="46" t="s">
        <v>56</v>
      </c>
      <c r="K62" s="46">
        <f t="shared" si="3"/>
        <v>0</v>
      </c>
      <c r="L62" s="46" t="str">
        <f t="shared" si="27"/>
        <v>CASHTX-A</v>
      </c>
      <c r="M62" s="49">
        <f t="shared" si="10"/>
        <v>43467</v>
      </c>
      <c r="O62" s="46" t="s">
        <v>75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[USD][2EA88][USD.CASHTXA.HSBEL000][U0]</v>
      </c>
      <c r="T62" s="48" t="str">
        <f t="shared" ref="T62:T63" si="46">O62&amp;"."&amp;P62&amp;"."&amp;U62</f>
        <v>1M.Fixed.USD.CASHTXA.HSBEL000</v>
      </c>
      <c r="U62" s="46" t="str">
        <f t="shared" si="44"/>
        <v>USD.CASHTXA.HSBEL000</v>
      </c>
      <c r="V62" s="46" t="s">
        <v>312</v>
      </c>
      <c r="W62" s="46" t="str">
        <f t="shared" si="45"/>
        <v>ACTUAL</v>
      </c>
    </row>
    <row r="63" spans="1:23" hidden="1" x14ac:dyDescent="0.2">
      <c r="A63" s="46" t="str">
        <f t="shared" ca="1" si="0"/>
        <v>b0dc61ed-29f7-05b1-495b-fb8b70188967-a63</v>
      </c>
      <c r="B63" s="46" t="s">
        <v>77</v>
      </c>
      <c r="C63" s="46" t="str">
        <f t="shared" ca="1" si="41"/>
        <v>b0dc61ed-29f7-05b1-495b-fb8b70188967-a63</v>
      </c>
      <c r="D63" s="46">
        <f t="shared" si="8"/>
        <v>1</v>
      </c>
      <c r="E63" s="47">
        <f t="shared" si="9"/>
        <v>43467</v>
      </c>
      <c r="F63" s="48" t="str">
        <f t="shared" si="42"/>
        <v>USD.CASHTXA.HSFRA000</v>
      </c>
      <c r="G63" s="46" t="s">
        <v>328</v>
      </c>
      <c r="H63" s="46" t="s">
        <v>49</v>
      </c>
      <c r="I63" s="46">
        <f t="shared" si="26"/>
        <v>0</v>
      </c>
      <c r="J63" s="46" t="str">
        <f t="shared" si="40"/>
        <v>USD</v>
      </c>
      <c r="K63" s="46">
        <f t="shared" si="3"/>
        <v>0</v>
      </c>
      <c r="L63" s="46" t="str">
        <f t="shared" si="27"/>
        <v>CASHTX-A</v>
      </c>
      <c r="M63" s="49">
        <f t="shared" si="10"/>
        <v>43467</v>
      </c>
      <c r="O63" s="46" t="s">
        <v>75</v>
      </c>
      <c r="P63" s="46" t="s">
        <v>8</v>
      </c>
      <c r="R63" s="46">
        <f t="shared" si="12"/>
        <v>0</v>
      </c>
      <c r="S63" s="46" t="str">
        <f t="shared" ref="S63:S81" ca="1" si="47">"["&amp;J63&amp;"]["&amp;DEC2HEX(TEXT(TODAY(),"YYMMDD"))&amp;"]["&amp;U63&amp;"][U0]"</f>
        <v>[USD][2EA88][USD.CASHTXA.HSFRA000][U0]</v>
      </c>
      <c r="T63" s="48" t="str">
        <f t="shared" si="46"/>
        <v>1M.Fixed.USD.CASHTXA.HSFRA000</v>
      </c>
      <c r="U63" s="46" t="str">
        <f t="shared" si="44"/>
        <v>USD.CASHTXA.HSFRA000</v>
      </c>
      <c r="V63" s="46" t="s">
        <v>312</v>
      </c>
      <c r="W63" s="46" t="str">
        <f t="shared" si="45"/>
        <v>ACTUAL</v>
      </c>
    </row>
    <row r="64" spans="1:23" hidden="1" x14ac:dyDescent="0.2">
      <c r="A64" s="46" t="str">
        <f t="shared" ca="1" si="0"/>
        <v>14c9e584-957c-9dac-0ca3-9d570f111ca7-a64</v>
      </c>
      <c r="B64" s="46" t="s">
        <v>77</v>
      </c>
      <c r="C64" s="46" t="str">
        <f t="shared" ref="C64:C81" ca="1" si="48">A64</f>
        <v>14c9e584-957c-9dac-0ca3-9d570f111ca7-a64</v>
      </c>
      <c r="D64" s="46">
        <f t="shared" si="8"/>
        <v>1</v>
      </c>
      <c r="E64" s="47">
        <f t="shared" si="9"/>
        <v>43467</v>
      </c>
      <c r="F64" s="48" t="str">
        <f t="shared" ref="F64:F81" si="49">U64</f>
        <v>USD.CASHTXF.HSBEL000</v>
      </c>
      <c r="G64" s="46" t="s">
        <v>295</v>
      </c>
      <c r="H64" s="46" t="s">
        <v>49</v>
      </c>
      <c r="I64" s="46">
        <f t="shared" si="26"/>
        <v>0</v>
      </c>
      <c r="J64" s="46" t="s">
        <v>56</v>
      </c>
      <c r="K64" s="46">
        <f t="shared" si="3"/>
        <v>0</v>
      </c>
      <c r="L64" s="46" t="str">
        <f t="shared" si="27"/>
        <v>CASHTX-F</v>
      </c>
      <c r="M64" s="49">
        <f t="shared" si="10"/>
        <v>43467</v>
      </c>
      <c r="O64" s="46" t="s">
        <v>75</v>
      </c>
      <c r="P64" s="46" t="s">
        <v>8</v>
      </c>
      <c r="R64" s="46">
        <f t="shared" si="12"/>
        <v>0</v>
      </c>
      <c r="S64" s="46" t="str">
        <f t="shared" ca="1" si="47"/>
        <v>[USD][2EA88][USD.CASHTXF.HSBEL000][U0]</v>
      </c>
      <c r="T64" s="48" t="str">
        <f t="shared" ref="T64:T81" si="50">O64&amp;"."&amp;P64&amp;"."&amp;U64</f>
        <v>1M.Fixed.USD.CASHTXF.HSBEL000</v>
      </c>
      <c r="U64" s="46" t="str">
        <f t="shared" ref="U64:U81" si="51">LEFT(LEFT(J64,3)&amp;"."&amp;SUBSTITUTE(L64,"-","")&amp;"."&amp;G64&amp;"0000000000000",20)</f>
        <v>USD.CASHTXF.HSBEL000</v>
      </c>
      <c r="V64" s="46" t="s">
        <v>312</v>
      </c>
      <c r="W64" s="46" t="str">
        <f t="shared" ref="W64:W81" si="52">IF(RIGHT(L64,1)="A","ACTUAL","FORECAST")</f>
        <v>FORECAST</v>
      </c>
    </row>
    <row r="65" spans="1:23" hidden="1" x14ac:dyDescent="0.2">
      <c r="A65" s="46" t="str">
        <f t="shared" ca="1" si="0"/>
        <v>5baa7d2e-58f6-9ae4-1783-cc51a02b2df5-a65</v>
      </c>
      <c r="B65" s="46" t="s">
        <v>77</v>
      </c>
      <c r="C65" s="46" t="str">
        <f t="shared" ca="1" si="48"/>
        <v>5baa7d2e-58f6-9ae4-1783-cc51a02b2df5-a65</v>
      </c>
      <c r="D65" s="46">
        <f t="shared" si="8"/>
        <v>1</v>
      </c>
      <c r="E65" s="47">
        <f t="shared" si="9"/>
        <v>43467</v>
      </c>
      <c r="F65" s="48" t="str">
        <f t="shared" si="49"/>
        <v>USD.CASHTXF.HSFRA000</v>
      </c>
      <c r="G65" s="46" t="s">
        <v>328</v>
      </c>
      <c r="H65" s="46" t="s">
        <v>49</v>
      </c>
      <c r="I65" s="46">
        <f t="shared" si="26"/>
        <v>0</v>
      </c>
      <c r="J65" s="46" t="str">
        <f t="shared" si="40"/>
        <v>USD</v>
      </c>
      <c r="K65" s="46">
        <f t="shared" si="3"/>
        <v>0</v>
      </c>
      <c r="L65" s="46" t="str">
        <f t="shared" si="27"/>
        <v>CASHTX-F</v>
      </c>
      <c r="M65" s="49">
        <f t="shared" si="10"/>
        <v>43467</v>
      </c>
      <c r="O65" s="46" t="s">
        <v>75</v>
      </c>
      <c r="P65" s="46" t="s">
        <v>8</v>
      </c>
      <c r="R65" s="46">
        <f t="shared" si="12"/>
        <v>0</v>
      </c>
      <c r="S65" s="46" t="str">
        <f t="shared" ca="1" si="47"/>
        <v>[USD][2EA88][USD.CASHTXF.HSFRA000][U0]</v>
      </c>
      <c r="T65" s="48" t="str">
        <f t="shared" si="50"/>
        <v>1M.Fixed.USD.CASHTXF.HSFRA000</v>
      </c>
      <c r="U65" s="46" t="str">
        <f t="shared" si="51"/>
        <v>USD.CASHTXF.HSFRA000</v>
      </c>
      <c r="V65" s="46" t="s">
        <v>312</v>
      </c>
      <c r="W65" s="46" t="str">
        <f t="shared" si="52"/>
        <v>FORECAST</v>
      </c>
    </row>
    <row r="66" spans="1:23" hidden="1" x14ac:dyDescent="0.2">
      <c r="A66" s="46" t="str">
        <f t="shared" ca="1" si="0"/>
        <v>54071de6-856e-6f5f-71ce-b880307d1bc4-a66</v>
      </c>
      <c r="B66" s="46" t="s">
        <v>77</v>
      </c>
      <c r="C66" s="46" t="str">
        <f t="shared" ca="1" si="48"/>
        <v>54071de6-856e-6f5f-71ce-b880307d1bc4-a66</v>
      </c>
      <c r="D66" s="46">
        <f t="shared" si="8"/>
        <v>1</v>
      </c>
      <c r="E66" s="47">
        <f t="shared" si="9"/>
        <v>43467</v>
      </c>
      <c r="F66" s="48" t="str">
        <f t="shared" si="49"/>
        <v>USD.CUSTINSTA.HSBEL0</v>
      </c>
      <c r="G66" s="46" t="s">
        <v>295</v>
      </c>
      <c r="H66" s="46" t="s">
        <v>49</v>
      </c>
      <c r="I66" s="46">
        <f t="shared" si="26"/>
        <v>0</v>
      </c>
      <c r="J66" s="46" t="s">
        <v>56</v>
      </c>
      <c r="K66" s="46">
        <f t="shared" si="3"/>
        <v>0</v>
      </c>
      <c r="L66" s="46" t="str">
        <f t="shared" si="27"/>
        <v>CUSTINST-A</v>
      </c>
      <c r="M66" s="49">
        <f t="shared" si="10"/>
        <v>43467</v>
      </c>
      <c r="O66" s="46" t="s">
        <v>75</v>
      </c>
      <c r="P66" s="46" t="s">
        <v>8</v>
      </c>
      <c r="R66" s="46">
        <f t="shared" si="12"/>
        <v>0</v>
      </c>
      <c r="S66" s="46" t="str">
        <f t="shared" ca="1" si="47"/>
        <v>[USD][2EA88][USD.CUSTINSTA.HSBEL0][U0]</v>
      </c>
      <c r="T66" s="48" t="str">
        <f t="shared" si="50"/>
        <v>1M.Fixed.USD.CUSTINSTA.HSBEL0</v>
      </c>
      <c r="U66" s="46" t="str">
        <f t="shared" si="51"/>
        <v>USD.CUSTINSTA.HSBEL0</v>
      </c>
      <c r="V66" s="46" t="s">
        <v>312</v>
      </c>
      <c r="W66" s="46" t="str">
        <f t="shared" si="52"/>
        <v>ACTUAL</v>
      </c>
    </row>
    <row r="67" spans="1:23" hidden="1" x14ac:dyDescent="0.2">
      <c r="A67" s="46" t="str">
        <f t="shared" ref="A67:A81" ca="1" si="53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ef3e872f-4f9b-7b7f-77b4-de2a13714ceb-a67</v>
      </c>
      <c r="B67" s="46" t="s">
        <v>77</v>
      </c>
      <c r="C67" s="46" t="str">
        <f t="shared" ca="1" si="48"/>
        <v>ef3e872f-4f9b-7b7f-77b4-de2a13714ceb-a67</v>
      </c>
      <c r="D67" s="46">
        <f t="shared" si="8"/>
        <v>1</v>
      </c>
      <c r="E67" s="47">
        <f t="shared" si="9"/>
        <v>43467</v>
      </c>
      <c r="F67" s="48" t="str">
        <f t="shared" si="49"/>
        <v>USD.CUSTINSTA.HSFRA0</v>
      </c>
      <c r="G67" s="46" t="s">
        <v>328</v>
      </c>
      <c r="H67" s="46" t="s">
        <v>49</v>
      </c>
      <c r="I67" s="46">
        <f t="shared" si="26"/>
        <v>0</v>
      </c>
      <c r="J67" s="46" t="str">
        <f t="shared" si="40"/>
        <v>USD</v>
      </c>
      <c r="K67" s="46">
        <f t="shared" ref="K67:K81" si="54">K$2</f>
        <v>0</v>
      </c>
      <c r="L67" s="46" t="str">
        <f t="shared" si="27"/>
        <v>CUSTINST-A</v>
      </c>
      <c r="M67" s="49">
        <f t="shared" si="10"/>
        <v>43467</v>
      </c>
      <c r="O67" s="46" t="s">
        <v>75</v>
      </c>
      <c r="P67" s="46" t="s">
        <v>8</v>
      </c>
      <c r="R67" s="46">
        <f t="shared" si="12"/>
        <v>0</v>
      </c>
      <c r="S67" s="46" t="str">
        <f t="shared" ca="1" si="47"/>
        <v>[USD][2EA88][USD.CUSTINSTA.HSFRA0][U0]</v>
      </c>
      <c r="T67" s="48" t="str">
        <f t="shared" si="50"/>
        <v>1M.Fixed.USD.CUSTINSTA.HSFRA0</v>
      </c>
      <c r="U67" s="46" t="str">
        <f t="shared" si="51"/>
        <v>USD.CUSTINSTA.HSFRA0</v>
      </c>
      <c r="V67" s="46" t="s">
        <v>312</v>
      </c>
      <c r="W67" s="46" t="str">
        <f t="shared" si="52"/>
        <v>ACTUAL</v>
      </c>
    </row>
    <row r="68" spans="1:23" hidden="1" x14ac:dyDescent="0.2">
      <c r="A68" s="46" t="str">
        <f t="shared" ca="1" si="53"/>
        <v>235a1524-23ed-5836-20bb-627f1d2889b7-a68</v>
      </c>
      <c r="B68" s="46" t="s">
        <v>77</v>
      </c>
      <c r="C68" s="46" t="str">
        <f t="shared" ca="1" si="48"/>
        <v>235a1524-23ed-5836-20bb-627f1d2889b7-a68</v>
      </c>
      <c r="D68" s="46">
        <f t="shared" ref="D68:E81" si="55">D$2</f>
        <v>1</v>
      </c>
      <c r="E68" s="47">
        <f t="shared" si="55"/>
        <v>43467</v>
      </c>
      <c r="F68" s="48" t="str">
        <f t="shared" si="49"/>
        <v>USD.CUSTINSTF.HSBEL0</v>
      </c>
      <c r="G68" s="46" t="s">
        <v>295</v>
      </c>
      <c r="H68" s="46" t="s">
        <v>49</v>
      </c>
      <c r="I68" s="46">
        <f t="shared" si="26"/>
        <v>0</v>
      </c>
      <c r="J68" s="46" t="s">
        <v>56</v>
      </c>
      <c r="K68" s="46">
        <f t="shared" si="54"/>
        <v>0</v>
      </c>
      <c r="L68" s="46" t="str">
        <f t="shared" si="27"/>
        <v>CUSTINST-F</v>
      </c>
      <c r="M68" s="49">
        <f t="shared" ref="M68:M81" si="56">$M$2</f>
        <v>43467</v>
      </c>
      <c r="O68" s="46" t="s">
        <v>75</v>
      </c>
      <c r="P68" s="46" t="s">
        <v>8</v>
      </c>
      <c r="R68" s="46">
        <f t="shared" si="12"/>
        <v>0</v>
      </c>
      <c r="S68" s="46" t="str">
        <f t="shared" ca="1" si="47"/>
        <v>[USD][2EA88][USD.CUSTINSTF.HSBEL0][U0]</v>
      </c>
      <c r="T68" s="48" t="str">
        <f t="shared" si="50"/>
        <v>1M.Fixed.USD.CUSTINSTF.HSBEL0</v>
      </c>
      <c r="U68" s="46" t="str">
        <f t="shared" si="51"/>
        <v>USD.CUSTINSTF.HSBEL0</v>
      </c>
      <c r="V68" s="46" t="s">
        <v>312</v>
      </c>
      <c r="W68" s="46" t="str">
        <f t="shared" si="52"/>
        <v>FORECAST</v>
      </c>
    </row>
    <row r="69" spans="1:23" hidden="1" x14ac:dyDescent="0.2">
      <c r="A69" s="46" t="str">
        <f t="shared" ca="1" si="53"/>
        <v>983fd8de-731a-5095-1895-1bbdb42b58a9-a69</v>
      </c>
      <c r="B69" s="46" t="s">
        <v>77</v>
      </c>
      <c r="C69" s="46" t="str">
        <f t="shared" ca="1" si="48"/>
        <v>983fd8de-731a-5095-1895-1bbdb42b58a9-a69</v>
      </c>
      <c r="D69" s="46">
        <f t="shared" si="55"/>
        <v>1</v>
      </c>
      <c r="E69" s="47">
        <f t="shared" si="55"/>
        <v>43467</v>
      </c>
      <c r="F69" s="48" t="str">
        <f t="shared" si="49"/>
        <v>USD.CUSTINSTF.HSFRA0</v>
      </c>
      <c r="G69" s="46" t="s">
        <v>328</v>
      </c>
      <c r="H69" s="46" t="s">
        <v>49</v>
      </c>
      <c r="I69" s="46">
        <f t="shared" si="26"/>
        <v>0</v>
      </c>
      <c r="J69" s="46" t="str">
        <f t="shared" si="40"/>
        <v>USD</v>
      </c>
      <c r="K69" s="46">
        <f t="shared" si="54"/>
        <v>0</v>
      </c>
      <c r="L69" s="46" t="str">
        <f t="shared" si="27"/>
        <v>CUSTINST-F</v>
      </c>
      <c r="M69" s="49">
        <f t="shared" si="56"/>
        <v>43467</v>
      </c>
      <c r="O69" s="46" t="s">
        <v>75</v>
      </c>
      <c r="P69" s="46" t="s">
        <v>8</v>
      </c>
      <c r="R69" s="46">
        <f t="shared" si="12"/>
        <v>0</v>
      </c>
      <c r="S69" s="46" t="str">
        <f t="shared" ca="1" si="47"/>
        <v>[USD][2EA88][USD.CUSTINSTF.HSFRA0][U0]</v>
      </c>
      <c r="T69" s="48" t="str">
        <f t="shared" si="50"/>
        <v>1M.Fixed.USD.CUSTINSTF.HSFRA0</v>
      </c>
      <c r="U69" s="46" t="str">
        <f t="shared" si="51"/>
        <v>USD.CUSTINSTF.HSFRA0</v>
      </c>
      <c r="V69" s="46" t="s">
        <v>312</v>
      </c>
      <c r="W69" s="46" t="str">
        <f t="shared" si="52"/>
        <v>FORECAST</v>
      </c>
    </row>
    <row r="70" spans="1:23" hidden="1" x14ac:dyDescent="0.2">
      <c r="A70" s="46" t="str">
        <f t="shared" ca="1" si="53"/>
        <v>aea23cb8-40d6-7884-9395-a4244b394c95-a7a</v>
      </c>
      <c r="B70" s="46" t="s">
        <v>77</v>
      </c>
      <c r="C70" s="46" t="str">
        <f t="shared" ca="1" si="48"/>
        <v>aea23cb8-40d6-7884-9395-a4244b394c95-a7a</v>
      </c>
      <c r="D70" s="46">
        <f t="shared" si="55"/>
        <v>1</v>
      </c>
      <c r="E70" s="47">
        <f t="shared" si="55"/>
        <v>43467</v>
      </c>
      <c r="F70" s="48" t="str">
        <f t="shared" si="49"/>
        <v>USD.FXA.HSBEL0000000</v>
      </c>
      <c r="G70" s="46" t="s">
        <v>295</v>
      </c>
      <c r="H70" s="46" t="s">
        <v>49</v>
      </c>
      <c r="I70" s="46">
        <f t="shared" si="26"/>
        <v>0</v>
      </c>
      <c r="J70" s="46" t="s">
        <v>56</v>
      </c>
      <c r="K70" s="46">
        <f t="shared" si="54"/>
        <v>0</v>
      </c>
      <c r="L70" s="46" t="str">
        <f t="shared" si="27"/>
        <v>FX-A</v>
      </c>
      <c r="M70" s="49">
        <f t="shared" si="56"/>
        <v>43467</v>
      </c>
      <c r="O70" s="46" t="s">
        <v>75</v>
      </c>
      <c r="P70" s="46" t="s">
        <v>8</v>
      </c>
      <c r="R70" s="46">
        <f t="shared" si="12"/>
        <v>0</v>
      </c>
      <c r="S70" s="46" t="str">
        <f t="shared" ca="1" si="47"/>
        <v>[USD][2EA88][USD.FXA.HSBEL0000000][U0]</v>
      </c>
      <c r="T70" s="48" t="str">
        <f t="shared" si="50"/>
        <v>1M.Fixed.USD.FXA.HSBEL0000000</v>
      </c>
      <c r="U70" s="46" t="str">
        <f t="shared" si="51"/>
        <v>USD.FXA.HSBEL0000000</v>
      </c>
      <c r="V70" s="46" t="s">
        <v>312</v>
      </c>
      <c r="W70" s="46" t="str">
        <f t="shared" si="52"/>
        <v>ACTUAL</v>
      </c>
    </row>
    <row r="71" spans="1:23" hidden="1" x14ac:dyDescent="0.2">
      <c r="A71" s="46" t="str">
        <f t="shared" ca="1" si="53"/>
        <v>0a7956c3-2c8b-01b1-0647-6b5c1d301bc3-a71</v>
      </c>
      <c r="B71" s="46" t="s">
        <v>77</v>
      </c>
      <c r="C71" s="46" t="str">
        <f t="shared" ca="1" si="48"/>
        <v>0a7956c3-2c8b-01b1-0647-6b5c1d301bc3-a71</v>
      </c>
      <c r="D71" s="46">
        <f t="shared" si="55"/>
        <v>1</v>
      </c>
      <c r="E71" s="47">
        <f t="shared" si="55"/>
        <v>43467</v>
      </c>
      <c r="F71" s="48" t="str">
        <f t="shared" si="49"/>
        <v>USD.FXA.HSFRA0000000</v>
      </c>
      <c r="G71" s="46" t="s">
        <v>328</v>
      </c>
      <c r="H71" s="46" t="s">
        <v>49</v>
      </c>
      <c r="I71" s="46">
        <f t="shared" si="26"/>
        <v>0</v>
      </c>
      <c r="J71" s="46" t="str">
        <f t="shared" si="40"/>
        <v>USD</v>
      </c>
      <c r="K71" s="46">
        <f t="shared" si="54"/>
        <v>0</v>
      </c>
      <c r="L71" s="46" t="str">
        <f t="shared" si="27"/>
        <v>FX-A</v>
      </c>
      <c r="M71" s="49">
        <f t="shared" si="56"/>
        <v>43467</v>
      </c>
      <c r="O71" s="46" t="s">
        <v>75</v>
      </c>
      <c r="P71" s="46" t="s">
        <v>8</v>
      </c>
      <c r="R71" s="46">
        <f t="shared" si="12"/>
        <v>0</v>
      </c>
      <c r="S71" s="46" t="str">
        <f t="shared" ca="1" si="47"/>
        <v>[USD][2EA88][USD.FXA.HSFRA0000000][U0]</v>
      </c>
      <c r="T71" s="48" t="str">
        <f t="shared" si="50"/>
        <v>1M.Fixed.USD.FXA.HSFRA0000000</v>
      </c>
      <c r="U71" s="46" t="str">
        <f t="shared" si="51"/>
        <v>USD.FXA.HSFRA0000000</v>
      </c>
      <c r="V71" s="46" t="s">
        <v>312</v>
      </c>
      <c r="W71" s="46" t="str">
        <f t="shared" si="52"/>
        <v>ACTUAL</v>
      </c>
    </row>
    <row r="72" spans="1:23" hidden="1" x14ac:dyDescent="0.2">
      <c r="A72" s="46" t="str">
        <f t="shared" ca="1" si="53"/>
        <v>cf26e0db-5891-3dc3-0c9c-efc392a67aa4-a72</v>
      </c>
      <c r="B72" s="46" t="s">
        <v>77</v>
      </c>
      <c r="C72" s="46" t="str">
        <f t="shared" ca="1" si="48"/>
        <v>cf26e0db-5891-3dc3-0c9c-efc392a67aa4-a72</v>
      </c>
      <c r="D72" s="46">
        <f t="shared" si="55"/>
        <v>1</v>
      </c>
      <c r="E72" s="47">
        <f t="shared" si="55"/>
        <v>43467</v>
      </c>
      <c r="F72" s="48" t="str">
        <f t="shared" si="49"/>
        <v>USD.FXF.HSBEL0000000</v>
      </c>
      <c r="G72" s="46" t="s">
        <v>295</v>
      </c>
      <c r="H72" s="46" t="s">
        <v>49</v>
      </c>
      <c r="I72" s="46">
        <f t="shared" si="26"/>
        <v>0</v>
      </c>
      <c r="J72" s="46" t="s">
        <v>56</v>
      </c>
      <c r="K72" s="46">
        <f t="shared" si="54"/>
        <v>0</v>
      </c>
      <c r="L72" s="46" t="str">
        <f t="shared" si="27"/>
        <v>FX-F</v>
      </c>
      <c r="M72" s="49">
        <f t="shared" si="56"/>
        <v>43467</v>
      </c>
      <c r="O72" s="46" t="s">
        <v>75</v>
      </c>
      <c r="P72" s="46" t="s">
        <v>8</v>
      </c>
      <c r="R72" s="46">
        <f t="shared" si="12"/>
        <v>0</v>
      </c>
      <c r="S72" s="46" t="str">
        <f t="shared" ca="1" si="47"/>
        <v>[USD][2EA88][USD.FXF.HSBEL0000000][U0]</v>
      </c>
      <c r="T72" s="48" t="str">
        <f t="shared" si="50"/>
        <v>1M.Fixed.USD.FXF.HSBEL0000000</v>
      </c>
      <c r="U72" s="46" t="str">
        <f t="shared" si="51"/>
        <v>USD.FXF.HSBEL0000000</v>
      </c>
      <c r="V72" s="46" t="s">
        <v>312</v>
      </c>
      <c r="W72" s="46" t="str">
        <f t="shared" si="52"/>
        <v>FORECAST</v>
      </c>
    </row>
    <row r="73" spans="1:23" hidden="1" x14ac:dyDescent="0.2">
      <c r="A73" s="46" t="str">
        <f t="shared" ca="1" si="53"/>
        <v>1e6a6451-0a4b-050c-7d01-1050618345bd-a73</v>
      </c>
      <c r="B73" s="46" t="s">
        <v>77</v>
      </c>
      <c r="C73" s="46" t="str">
        <f t="shared" ca="1" si="48"/>
        <v>1e6a6451-0a4b-050c-7d01-1050618345bd-a73</v>
      </c>
      <c r="D73" s="46">
        <f t="shared" si="55"/>
        <v>1</v>
      </c>
      <c r="E73" s="47">
        <f t="shared" si="55"/>
        <v>43467</v>
      </c>
      <c r="F73" s="48" t="str">
        <f t="shared" si="49"/>
        <v>USD.FXF.HSFRA0000000</v>
      </c>
      <c r="G73" s="46" t="s">
        <v>328</v>
      </c>
      <c r="H73" s="46" t="s">
        <v>49</v>
      </c>
      <c r="I73" s="46">
        <f t="shared" si="26"/>
        <v>0</v>
      </c>
      <c r="J73" s="46" t="str">
        <f t="shared" si="40"/>
        <v>USD</v>
      </c>
      <c r="K73" s="46">
        <f t="shared" si="54"/>
        <v>0</v>
      </c>
      <c r="L73" s="46" t="str">
        <f t="shared" si="27"/>
        <v>FX-F</v>
      </c>
      <c r="M73" s="49">
        <f t="shared" si="56"/>
        <v>43467</v>
      </c>
      <c r="O73" s="46" t="s">
        <v>75</v>
      </c>
      <c r="P73" s="46" t="s">
        <v>8</v>
      </c>
      <c r="R73" s="46">
        <f t="shared" si="12"/>
        <v>0</v>
      </c>
      <c r="S73" s="46" t="str">
        <f t="shared" ca="1" si="47"/>
        <v>[USD][2EA88][USD.FXF.HSFRA0000000][U0]</v>
      </c>
      <c r="T73" s="48" t="str">
        <f t="shared" si="50"/>
        <v>1M.Fixed.USD.FXF.HSFRA0000000</v>
      </c>
      <c r="U73" s="46" t="str">
        <f t="shared" si="51"/>
        <v>USD.FXF.HSFRA0000000</v>
      </c>
      <c r="V73" s="46" t="s">
        <v>312</v>
      </c>
      <c r="W73" s="46" t="str">
        <f t="shared" si="52"/>
        <v>FORECAST</v>
      </c>
    </row>
    <row r="74" spans="1:23" hidden="1" x14ac:dyDescent="0.2">
      <c r="A74" s="46" t="str">
        <f t="shared" ca="1" si="53"/>
        <v>598ef825-4ebe-451f-04ea-dc06afc55725-a74</v>
      </c>
      <c r="B74" s="46" t="s">
        <v>77</v>
      </c>
      <c r="C74" s="46" t="str">
        <f t="shared" ca="1" si="48"/>
        <v>598ef825-4ebe-451f-04ea-dc06afc55725-a74</v>
      </c>
      <c r="D74" s="46">
        <f t="shared" si="55"/>
        <v>1</v>
      </c>
      <c r="E74" s="47">
        <f t="shared" si="55"/>
        <v>43467</v>
      </c>
      <c r="F74" s="48" t="str">
        <f t="shared" si="49"/>
        <v>USD.LOCKFXA.HSBEL000</v>
      </c>
      <c r="G74" s="46" t="s">
        <v>295</v>
      </c>
      <c r="H74" s="46" t="s">
        <v>49</v>
      </c>
      <c r="I74" s="46">
        <f t="shared" si="26"/>
        <v>0</v>
      </c>
      <c r="J74" s="46" t="s">
        <v>56</v>
      </c>
      <c r="K74" s="46">
        <f t="shared" si="54"/>
        <v>0</v>
      </c>
      <c r="L74" s="46" t="str">
        <f t="shared" si="27"/>
        <v>LOCKFX-A</v>
      </c>
      <c r="M74" s="49">
        <f t="shared" si="56"/>
        <v>43467</v>
      </c>
      <c r="O74" s="46" t="s">
        <v>75</v>
      </c>
      <c r="P74" s="46" t="s">
        <v>8</v>
      </c>
      <c r="R74" s="46">
        <f t="shared" si="12"/>
        <v>0</v>
      </c>
      <c r="S74" s="46" t="str">
        <f t="shared" ca="1" si="47"/>
        <v>[USD][2EA88][USD.LOCKFXA.HSBEL000][U0]</v>
      </c>
      <c r="T74" s="48" t="str">
        <f t="shared" si="50"/>
        <v>1M.Fixed.USD.LOCKFXA.HSBEL000</v>
      </c>
      <c r="U74" s="46" t="str">
        <f t="shared" si="51"/>
        <v>USD.LOCKFXA.HSBEL000</v>
      </c>
      <c r="V74" s="46" t="s">
        <v>312</v>
      </c>
      <c r="W74" s="46" t="str">
        <f t="shared" si="52"/>
        <v>ACTUAL</v>
      </c>
    </row>
    <row r="75" spans="1:23" hidden="1" x14ac:dyDescent="0.2">
      <c r="A75" s="46" t="str">
        <f t="shared" ca="1" si="53"/>
        <v>fb0469fe-99f7-5310-45de-0cc603aa422e-a75</v>
      </c>
      <c r="B75" s="46" t="s">
        <v>77</v>
      </c>
      <c r="C75" s="46" t="str">
        <f t="shared" ca="1" si="48"/>
        <v>fb0469fe-99f7-5310-45de-0cc603aa422e-a75</v>
      </c>
      <c r="D75" s="46">
        <f t="shared" si="55"/>
        <v>1</v>
      </c>
      <c r="E75" s="47">
        <f t="shared" si="55"/>
        <v>43467</v>
      </c>
      <c r="F75" s="48" t="str">
        <f t="shared" si="49"/>
        <v>USD.LOCKFXA.HSFRA000</v>
      </c>
      <c r="G75" s="46" t="s">
        <v>328</v>
      </c>
      <c r="H75" s="46" t="s">
        <v>49</v>
      </c>
      <c r="I75" s="46">
        <f t="shared" si="26"/>
        <v>0</v>
      </c>
      <c r="J75" s="46" t="str">
        <f t="shared" si="40"/>
        <v>USD</v>
      </c>
      <c r="K75" s="46">
        <f t="shared" si="54"/>
        <v>0</v>
      </c>
      <c r="L75" s="46" t="str">
        <f t="shared" si="27"/>
        <v>LOCKFX-A</v>
      </c>
      <c r="M75" s="49">
        <f t="shared" si="56"/>
        <v>43467</v>
      </c>
      <c r="O75" s="46" t="s">
        <v>75</v>
      </c>
      <c r="P75" s="46" t="s">
        <v>8</v>
      </c>
      <c r="R75" s="46">
        <f t="shared" si="12"/>
        <v>0</v>
      </c>
      <c r="S75" s="46" t="str">
        <f t="shared" ca="1" si="47"/>
        <v>[USD][2EA88][USD.LOCKFXA.HSFRA000][U0]</v>
      </c>
      <c r="T75" s="48" t="str">
        <f t="shared" si="50"/>
        <v>1M.Fixed.USD.LOCKFXA.HSFRA000</v>
      </c>
      <c r="U75" s="46" t="str">
        <f t="shared" si="51"/>
        <v>USD.LOCKFXA.HSFRA000</v>
      </c>
      <c r="V75" s="46" t="s">
        <v>312</v>
      </c>
      <c r="W75" s="46" t="str">
        <f t="shared" si="52"/>
        <v>ACTUAL</v>
      </c>
    </row>
    <row r="76" spans="1:23" hidden="1" x14ac:dyDescent="0.2">
      <c r="A76" s="46" t="str">
        <f t="shared" ca="1" si="53"/>
        <v>79e81a57-8c62-0633-9875-7107a5fc3505-a76</v>
      </c>
      <c r="B76" s="46" t="s">
        <v>77</v>
      </c>
      <c r="C76" s="46" t="str">
        <f t="shared" ca="1" si="48"/>
        <v>79e81a57-8c62-0633-9875-7107a5fc3505-a76</v>
      </c>
      <c r="D76" s="46">
        <f t="shared" si="55"/>
        <v>1</v>
      </c>
      <c r="E76" s="47">
        <f t="shared" si="55"/>
        <v>43467</v>
      </c>
      <c r="F76" s="48" t="str">
        <f t="shared" si="49"/>
        <v>USD.LOCKFXF.HSBEL000</v>
      </c>
      <c r="G76" s="46" t="s">
        <v>295</v>
      </c>
      <c r="H76" s="46" t="s">
        <v>49</v>
      </c>
      <c r="I76" s="46">
        <f t="shared" si="26"/>
        <v>0</v>
      </c>
      <c r="J76" s="46" t="s">
        <v>56</v>
      </c>
      <c r="K76" s="46">
        <f t="shared" si="54"/>
        <v>0</v>
      </c>
      <c r="L76" s="46" t="str">
        <f t="shared" si="27"/>
        <v>LOCKFX-F</v>
      </c>
      <c r="M76" s="49">
        <f t="shared" si="56"/>
        <v>43467</v>
      </c>
      <c r="O76" s="46" t="s">
        <v>75</v>
      </c>
      <c r="P76" s="46" t="s">
        <v>8</v>
      </c>
      <c r="R76" s="46">
        <f t="shared" si="12"/>
        <v>0</v>
      </c>
      <c r="S76" s="46" t="str">
        <f t="shared" ca="1" si="47"/>
        <v>[USD][2EA88][USD.LOCKFXF.HSBEL000][U0]</v>
      </c>
      <c r="T76" s="48" t="str">
        <f t="shared" si="50"/>
        <v>1M.Fixed.USD.LOCKFXF.HSBEL000</v>
      </c>
      <c r="U76" s="46" t="str">
        <f t="shared" si="51"/>
        <v>USD.LOCKFXF.HSBEL000</v>
      </c>
      <c r="V76" s="46" t="s">
        <v>312</v>
      </c>
      <c r="W76" s="46" t="str">
        <f t="shared" si="52"/>
        <v>FORECAST</v>
      </c>
    </row>
    <row r="77" spans="1:23" hidden="1" x14ac:dyDescent="0.2">
      <c r="A77" s="46" t="str">
        <f t="shared" ca="1" si="53"/>
        <v>5e54e52e-5c0a-0413-4641-2963560ca1fc-a77</v>
      </c>
      <c r="B77" s="46" t="s">
        <v>77</v>
      </c>
      <c r="C77" s="46" t="str">
        <f t="shared" ca="1" si="48"/>
        <v>5e54e52e-5c0a-0413-4641-2963560ca1fc-a77</v>
      </c>
      <c r="D77" s="46">
        <f t="shared" si="55"/>
        <v>1</v>
      </c>
      <c r="E77" s="47">
        <f t="shared" si="55"/>
        <v>43467</v>
      </c>
      <c r="F77" s="48" t="str">
        <f t="shared" si="49"/>
        <v>USD.LOCKFXF.HSFRA000</v>
      </c>
      <c r="G77" s="46" t="s">
        <v>328</v>
      </c>
      <c r="H77" s="46" t="s">
        <v>49</v>
      </c>
      <c r="I77" s="46">
        <f t="shared" si="26"/>
        <v>0</v>
      </c>
      <c r="J77" s="46" t="str">
        <f t="shared" si="40"/>
        <v>USD</v>
      </c>
      <c r="K77" s="46">
        <f t="shared" si="54"/>
        <v>0</v>
      </c>
      <c r="L77" s="46" t="str">
        <f t="shared" si="27"/>
        <v>LOCKFX-F</v>
      </c>
      <c r="M77" s="49">
        <f t="shared" si="56"/>
        <v>43467</v>
      </c>
      <c r="O77" s="46" t="s">
        <v>75</v>
      </c>
      <c r="P77" s="46" t="s">
        <v>8</v>
      </c>
      <c r="R77" s="46">
        <f t="shared" si="12"/>
        <v>0</v>
      </c>
      <c r="S77" s="46" t="str">
        <f t="shared" ca="1" si="47"/>
        <v>[USD][2EA88][USD.LOCKFXF.HSFRA000][U0]</v>
      </c>
      <c r="T77" s="48" t="str">
        <f t="shared" si="50"/>
        <v>1M.Fixed.USD.LOCKFXF.HSFRA000</v>
      </c>
      <c r="U77" s="46" t="str">
        <f t="shared" si="51"/>
        <v>USD.LOCKFXF.HSFRA000</v>
      </c>
      <c r="V77" s="46" t="s">
        <v>312</v>
      </c>
      <c r="W77" s="46" t="str">
        <f t="shared" si="52"/>
        <v>FORECAST</v>
      </c>
    </row>
    <row r="78" spans="1:23" hidden="1" x14ac:dyDescent="0.2">
      <c r="A78" s="46" t="str">
        <f t="shared" ca="1" si="53"/>
        <v>e3c6687e-0182-7fa6-26db-5cb7dee66ca3-a78</v>
      </c>
      <c r="B78" s="46" t="s">
        <v>77</v>
      </c>
      <c r="C78" s="46" t="str">
        <f t="shared" ca="1" si="48"/>
        <v>e3c6687e-0182-7fa6-26db-5cb7dee66ca3-a78</v>
      </c>
      <c r="D78" s="46">
        <f t="shared" si="55"/>
        <v>1</v>
      </c>
      <c r="E78" s="47">
        <f t="shared" si="55"/>
        <v>43467</v>
      </c>
      <c r="F78" s="48" t="str">
        <f t="shared" si="49"/>
        <v>USD.LOCKINSTA.HSBEL0</v>
      </c>
      <c r="G78" s="46" t="s">
        <v>295</v>
      </c>
      <c r="H78" s="46" t="s">
        <v>49</v>
      </c>
      <c r="I78" s="46">
        <f t="shared" si="26"/>
        <v>0</v>
      </c>
      <c r="J78" s="46" t="s">
        <v>56</v>
      </c>
      <c r="K78" s="46">
        <f t="shared" si="54"/>
        <v>0</v>
      </c>
      <c r="L78" s="46" t="str">
        <f t="shared" si="27"/>
        <v>LOCKINST-A</v>
      </c>
      <c r="M78" s="49">
        <f t="shared" si="56"/>
        <v>43467</v>
      </c>
      <c r="O78" s="46" t="s">
        <v>75</v>
      </c>
      <c r="P78" s="46" t="s">
        <v>8</v>
      </c>
      <c r="R78" s="46">
        <f t="shared" si="12"/>
        <v>0</v>
      </c>
      <c r="S78" s="46" t="str">
        <f t="shared" ca="1" si="47"/>
        <v>[USD][2EA88][USD.LOCKINSTA.HSBEL0][U0]</v>
      </c>
      <c r="T78" s="48" t="str">
        <f t="shared" si="50"/>
        <v>1M.Fixed.USD.LOCKINSTA.HSBEL0</v>
      </c>
      <c r="U78" s="46" t="str">
        <f t="shared" si="51"/>
        <v>USD.LOCKINSTA.HSBEL0</v>
      </c>
      <c r="V78" s="46" t="s">
        <v>312</v>
      </c>
      <c r="W78" s="46" t="str">
        <f t="shared" si="52"/>
        <v>ACTUAL</v>
      </c>
    </row>
    <row r="79" spans="1:23" hidden="1" x14ac:dyDescent="0.2">
      <c r="A79" s="46" t="str">
        <f t="shared" ca="1" si="53"/>
        <v>a198c50a-563b-685c-0fa9-7f4f17657bb4-a79</v>
      </c>
      <c r="B79" s="46" t="s">
        <v>77</v>
      </c>
      <c r="C79" s="46" t="str">
        <f t="shared" ca="1" si="48"/>
        <v>a198c50a-563b-685c-0fa9-7f4f17657bb4-a79</v>
      </c>
      <c r="D79" s="46">
        <f t="shared" si="55"/>
        <v>1</v>
      </c>
      <c r="E79" s="47">
        <f t="shared" si="55"/>
        <v>43467</v>
      </c>
      <c r="F79" s="48" t="str">
        <f t="shared" si="49"/>
        <v>USD.LOCKINSTA.HSFRA0</v>
      </c>
      <c r="G79" s="46" t="s">
        <v>328</v>
      </c>
      <c r="H79" s="46" t="s">
        <v>49</v>
      </c>
      <c r="I79" s="46">
        <f t="shared" si="26"/>
        <v>0</v>
      </c>
      <c r="J79" s="46" t="str">
        <f t="shared" si="40"/>
        <v>USD</v>
      </c>
      <c r="K79" s="46">
        <f t="shared" si="54"/>
        <v>0</v>
      </c>
      <c r="L79" s="46" t="str">
        <f t="shared" si="27"/>
        <v>LOCKINST-A</v>
      </c>
      <c r="M79" s="49">
        <f t="shared" si="56"/>
        <v>43467</v>
      </c>
      <c r="O79" s="46" t="s">
        <v>75</v>
      </c>
      <c r="P79" s="46" t="s">
        <v>8</v>
      </c>
      <c r="R79" s="46">
        <f t="shared" si="12"/>
        <v>0</v>
      </c>
      <c r="S79" s="46" t="str">
        <f t="shared" ca="1" si="47"/>
        <v>[USD][2EA88][USD.LOCKINSTA.HSFRA0][U0]</v>
      </c>
      <c r="T79" s="48" t="str">
        <f t="shared" si="50"/>
        <v>1M.Fixed.USD.LOCKINSTA.HSFRA0</v>
      </c>
      <c r="U79" s="46" t="str">
        <f t="shared" si="51"/>
        <v>USD.LOCKINSTA.HSFRA0</v>
      </c>
      <c r="V79" s="46" t="s">
        <v>312</v>
      </c>
      <c r="W79" s="46" t="str">
        <f t="shared" si="52"/>
        <v>ACTUAL</v>
      </c>
    </row>
    <row r="80" spans="1:23" hidden="1" x14ac:dyDescent="0.2">
      <c r="A80" s="46" t="str">
        <f t="shared" ca="1" si="53"/>
        <v>1cb0d9a7-2493-18fc-5ea2-8aa85673645b-a8a</v>
      </c>
      <c r="B80" s="46" t="s">
        <v>77</v>
      </c>
      <c r="C80" s="46" t="str">
        <f t="shared" ca="1" si="48"/>
        <v>1cb0d9a7-2493-18fc-5ea2-8aa85673645b-a8a</v>
      </c>
      <c r="D80" s="46">
        <f t="shared" si="55"/>
        <v>1</v>
      </c>
      <c r="E80" s="47">
        <f t="shared" si="55"/>
        <v>43467</v>
      </c>
      <c r="F80" s="48" t="str">
        <f t="shared" si="49"/>
        <v>USD.LOCKINSTF.HSBEL0</v>
      </c>
      <c r="G80" s="46" t="s">
        <v>295</v>
      </c>
      <c r="H80" s="46" t="s">
        <v>49</v>
      </c>
      <c r="I80" s="46">
        <f t="shared" si="26"/>
        <v>0</v>
      </c>
      <c r="J80" s="46" t="s">
        <v>56</v>
      </c>
      <c r="K80" s="46">
        <f t="shared" si="54"/>
        <v>0</v>
      </c>
      <c r="L80" s="46" t="str">
        <f t="shared" si="27"/>
        <v>LOCKINST-F</v>
      </c>
      <c r="M80" s="49">
        <f t="shared" si="56"/>
        <v>43467</v>
      </c>
      <c r="O80" s="46" t="s">
        <v>75</v>
      </c>
      <c r="P80" s="46" t="s">
        <v>8</v>
      </c>
      <c r="R80" s="46">
        <f t="shared" ref="R80" si="57">$R$2</f>
        <v>0</v>
      </c>
      <c r="S80" s="46" t="str">
        <f t="shared" ca="1" si="47"/>
        <v>[USD][2EA88][USD.LOCKINSTF.HSBEL0][U0]</v>
      </c>
      <c r="T80" s="48" t="str">
        <f t="shared" si="50"/>
        <v>1M.Fixed.USD.LOCKINSTF.HSBEL0</v>
      </c>
      <c r="U80" s="46" t="str">
        <f t="shared" si="51"/>
        <v>USD.LOCKINSTF.HSBEL0</v>
      </c>
      <c r="V80" s="46" t="s">
        <v>312</v>
      </c>
      <c r="W80" s="46" t="str">
        <f t="shared" si="52"/>
        <v>FORECAST</v>
      </c>
    </row>
    <row r="81" spans="1:23" hidden="1" x14ac:dyDescent="0.2">
      <c r="A81" s="46" t="str">
        <f t="shared" ca="1" si="53"/>
        <v>aaac60e2-8833-5b0a-4a21-394eebed6e27-a81</v>
      </c>
      <c r="B81" s="46" t="s">
        <v>77</v>
      </c>
      <c r="C81" s="46" t="str">
        <f t="shared" ca="1" si="48"/>
        <v>aaac60e2-8833-5b0a-4a21-394eebed6e27-a81</v>
      </c>
      <c r="D81" s="46">
        <f t="shared" si="55"/>
        <v>1</v>
      </c>
      <c r="E81" s="47">
        <f t="shared" si="55"/>
        <v>43467</v>
      </c>
      <c r="F81" s="48" t="str">
        <f t="shared" si="49"/>
        <v>USD.LOCKINSTF.HSFRA0</v>
      </c>
      <c r="G81" s="46" t="s">
        <v>328</v>
      </c>
      <c r="H81" s="46" t="s">
        <v>49</v>
      </c>
      <c r="I81" s="46">
        <f t="shared" si="26"/>
        <v>0</v>
      </c>
      <c r="J81" s="46" t="s">
        <v>56</v>
      </c>
      <c r="K81" s="46">
        <f t="shared" si="54"/>
        <v>0</v>
      </c>
      <c r="L81" s="46" t="str">
        <f t="shared" si="27"/>
        <v>LOCKINST-F</v>
      </c>
      <c r="M81" s="49">
        <f t="shared" si="56"/>
        <v>43467</v>
      </c>
      <c r="O81" s="46" t="s">
        <v>75</v>
      </c>
      <c r="P81" s="46" t="s">
        <v>8</v>
      </c>
      <c r="R81" s="46">
        <f t="shared" si="12"/>
        <v>0</v>
      </c>
      <c r="S81" s="46" t="str">
        <f t="shared" ca="1" si="47"/>
        <v>[USD][2EA88][USD.LOCKINSTF.HSFRA0][U0]</v>
      </c>
      <c r="T81" s="48" t="str">
        <f t="shared" si="50"/>
        <v>1M.Fixed.USD.LOCKINSTF.HSFRA0</v>
      </c>
      <c r="U81" s="46" t="str">
        <f t="shared" si="51"/>
        <v>USD.LOCKINSTF.HSFRA0</v>
      </c>
      <c r="V81" s="46" t="s">
        <v>312</v>
      </c>
      <c r="W81" s="46" t="str">
        <f t="shared" si="52"/>
        <v>FORECAST</v>
      </c>
    </row>
    <row r="82" spans="1:23" x14ac:dyDescent="0.2">
      <c r="E82" s="47"/>
      <c r="F82" s="48"/>
      <c r="T82" s="48"/>
    </row>
    <row r="83" spans="1:23" x14ac:dyDescent="0.2">
      <c r="E83" s="47"/>
      <c r="F83" s="48"/>
      <c r="T83" s="48"/>
    </row>
  </sheetData>
  <autoFilter ref="A1:U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97"/>
  <sheetViews>
    <sheetView workbookViewId="0">
      <pane ySplit="1" topLeftCell="A2" activePane="bottomLeft" state="frozen"/>
      <selection pane="bottomLeft" activeCell="A16" sqref="A16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572</v>
      </c>
      <c r="B2" s="56" t="s">
        <v>461</v>
      </c>
      <c r="C2" s="57" t="s">
        <v>354</v>
      </c>
      <c r="D2" s="56" t="s">
        <v>572</v>
      </c>
      <c r="E2" s="63">
        <v>0</v>
      </c>
      <c r="F2" s="61">
        <v>43726</v>
      </c>
      <c r="G2" s="59" t="s">
        <v>462</v>
      </c>
      <c r="H2" s="57" t="s">
        <v>316</v>
      </c>
      <c r="I2" s="57" t="s">
        <v>356</v>
      </c>
      <c r="J2" s="57" t="s">
        <v>56</v>
      </c>
      <c r="K2" s="60">
        <v>40000</v>
      </c>
      <c r="L2" s="57" t="s">
        <v>321</v>
      </c>
      <c r="M2" s="58" t="s">
        <v>8</v>
      </c>
      <c r="N2" s="55" t="s">
        <v>463</v>
      </c>
      <c r="O2" s="56" t="s">
        <v>312</v>
      </c>
      <c r="P2" s="57" t="s">
        <v>573</v>
      </c>
      <c r="Q2" s="55" t="s">
        <v>76</v>
      </c>
      <c r="R2" s="55" t="s">
        <v>336</v>
      </c>
    </row>
    <row r="3" spans="1:18" x14ac:dyDescent="0.2">
      <c r="A3" s="56" t="s">
        <v>574</v>
      </c>
      <c r="B3" s="55" t="s">
        <v>461</v>
      </c>
      <c r="C3" s="57" t="s">
        <v>354</v>
      </c>
      <c r="D3" s="56" t="s">
        <v>574</v>
      </c>
      <c r="E3" s="63">
        <v>0</v>
      </c>
      <c r="F3" s="61">
        <v>43726</v>
      </c>
      <c r="G3" s="59" t="s">
        <v>464</v>
      </c>
      <c r="H3" s="57" t="s">
        <v>316</v>
      </c>
      <c r="I3" s="57" t="s">
        <v>356</v>
      </c>
      <c r="J3" s="57" t="s">
        <v>56</v>
      </c>
      <c r="K3" s="60">
        <v>25000</v>
      </c>
      <c r="L3" s="57" t="s">
        <v>321</v>
      </c>
      <c r="M3" s="58" t="s">
        <v>8</v>
      </c>
      <c r="N3" s="55" t="s">
        <v>465</v>
      </c>
      <c r="O3" s="56" t="s">
        <v>312</v>
      </c>
      <c r="P3" s="57" t="s">
        <v>575</v>
      </c>
      <c r="Q3" s="55" t="s">
        <v>76</v>
      </c>
      <c r="R3" s="55" t="s">
        <v>336</v>
      </c>
    </row>
    <row r="4" spans="1:18" x14ac:dyDescent="0.2">
      <c r="A4" s="56" t="s">
        <v>576</v>
      </c>
      <c r="B4" s="56" t="s">
        <v>461</v>
      </c>
      <c r="C4" s="57" t="s">
        <v>354</v>
      </c>
      <c r="D4" s="56" t="s">
        <v>576</v>
      </c>
      <c r="E4" s="63">
        <v>0</v>
      </c>
      <c r="F4" s="61">
        <v>43726</v>
      </c>
      <c r="G4" s="59" t="s">
        <v>466</v>
      </c>
      <c r="H4" s="57" t="s">
        <v>316</v>
      </c>
      <c r="I4" s="57" t="s">
        <v>356</v>
      </c>
      <c r="J4" s="57" t="s">
        <v>56</v>
      </c>
      <c r="K4" s="60">
        <v>75000</v>
      </c>
      <c r="L4" s="57" t="s">
        <v>321</v>
      </c>
      <c r="M4" s="58" t="s">
        <v>8</v>
      </c>
      <c r="N4" s="55" t="s">
        <v>467</v>
      </c>
      <c r="O4" s="56" t="s">
        <v>312</v>
      </c>
      <c r="P4" s="57" t="s">
        <v>577</v>
      </c>
      <c r="Q4" s="55" t="s">
        <v>76</v>
      </c>
      <c r="R4" s="55" t="s">
        <v>336</v>
      </c>
    </row>
    <row r="5" spans="1:18" x14ac:dyDescent="0.2">
      <c r="A5" s="56" t="s">
        <v>578</v>
      </c>
      <c r="B5" s="56" t="s">
        <v>461</v>
      </c>
      <c r="C5" s="57" t="s">
        <v>354</v>
      </c>
      <c r="D5" s="56" t="s">
        <v>578</v>
      </c>
      <c r="E5" s="63">
        <v>0</v>
      </c>
      <c r="F5" s="61">
        <v>43726</v>
      </c>
      <c r="G5" s="59" t="s">
        <v>468</v>
      </c>
      <c r="H5" s="57" t="s">
        <v>316</v>
      </c>
      <c r="I5" s="57" t="s">
        <v>356</v>
      </c>
      <c r="J5" s="57" t="s">
        <v>56</v>
      </c>
      <c r="K5" s="60">
        <v>40000</v>
      </c>
      <c r="L5" s="57" t="s">
        <v>321</v>
      </c>
      <c r="M5" s="58" t="s">
        <v>8</v>
      </c>
      <c r="N5" s="55" t="s">
        <v>467</v>
      </c>
      <c r="O5" s="56" t="s">
        <v>312</v>
      </c>
      <c r="P5" s="57" t="s">
        <v>579</v>
      </c>
      <c r="Q5" s="55" t="s">
        <v>76</v>
      </c>
      <c r="R5" s="55" t="s">
        <v>336</v>
      </c>
    </row>
    <row r="6" spans="1:18" x14ac:dyDescent="0.2">
      <c r="A6" s="56" t="s">
        <v>580</v>
      </c>
      <c r="B6" s="56" t="s">
        <v>461</v>
      </c>
      <c r="C6" s="57" t="s">
        <v>354</v>
      </c>
      <c r="D6" s="56" t="s">
        <v>580</v>
      </c>
      <c r="E6" s="63">
        <v>0</v>
      </c>
      <c r="F6" s="61">
        <v>43726</v>
      </c>
      <c r="G6" s="59" t="s">
        <v>469</v>
      </c>
      <c r="H6" s="57" t="s">
        <v>316</v>
      </c>
      <c r="I6" s="57" t="s">
        <v>356</v>
      </c>
      <c r="J6" s="57" t="s">
        <v>56</v>
      </c>
      <c r="K6" s="60">
        <v>10000</v>
      </c>
      <c r="L6" s="57" t="s">
        <v>321</v>
      </c>
      <c r="M6" s="58" t="s">
        <v>8</v>
      </c>
      <c r="N6" s="55" t="s">
        <v>467</v>
      </c>
      <c r="O6" s="56" t="s">
        <v>312</v>
      </c>
      <c r="P6" s="57" t="s">
        <v>581</v>
      </c>
      <c r="Q6" s="55" t="s">
        <v>76</v>
      </c>
      <c r="R6" s="55" t="s">
        <v>336</v>
      </c>
    </row>
    <row r="7" spans="1:18" x14ac:dyDescent="0.2">
      <c r="A7" s="56" t="s">
        <v>582</v>
      </c>
      <c r="B7" s="56" t="s">
        <v>470</v>
      </c>
      <c r="C7" s="57" t="s">
        <v>331</v>
      </c>
      <c r="D7" s="56" t="s">
        <v>582</v>
      </c>
      <c r="E7" s="63">
        <v>0</v>
      </c>
      <c r="F7" s="61">
        <v>43726</v>
      </c>
      <c r="G7" s="59" t="s">
        <v>471</v>
      </c>
      <c r="H7" s="57" t="s">
        <v>316</v>
      </c>
      <c r="I7" s="57" t="s">
        <v>333</v>
      </c>
      <c r="J7" s="57" t="s">
        <v>65</v>
      </c>
      <c r="K7" s="60">
        <v>-152</v>
      </c>
      <c r="L7" s="57" t="s">
        <v>318</v>
      </c>
      <c r="M7" s="58" t="s">
        <v>8</v>
      </c>
      <c r="N7" s="55" t="s">
        <v>472</v>
      </c>
      <c r="O7" s="56" t="s">
        <v>312</v>
      </c>
      <c r="P7" s="57" t="s">
        <v>583</v>
      </c>
      <c r="Q7" s="55" t="s">
        <v>76</v>
      </c>
      <c r="R7" s="55" t="s">
        <v>336</v>
      </c>
    </row>
    <row r="8" spans="1:18" x14ac:dyDescent="0.2">
      <c r="A8" s="56" t="s">
        <v>584</v>
      </c>
      <c r="B8" s="56" t="s">
        <v>470</v>
      </c>
      <c r="C8" s="57" t="s">
        <v>331</v>
      </c>
      <c r="D8" s="56" t="s">
        <v>584</v>
      </c>
      <c r="E8" s="63">
        <v>0</v>
      </c>
      <c r="F8" s="61">
        <v>43726</v>
      </c>
      <c r="G8" s="59" t="s">
        <v>473</v>
      </c>
      <c r="H8" s="57" t="s">
        <v>316</v>
      </c>
      <c r="I8" s="57" t="s">
        <v>333</v>
      </c>
      <c r="J8" s="57" t="s">
        <v>65</v>
      </c>
      <c r="K8" s="60">
        <v>-278</v>
      </c>
      <c r="L8" s="57" t="s">
        <v>318</v>
      </c>
      <c r="M8" s="58" t="s">
        <v>8</v>
      </c>
      <c r="N8" s="55" t="s">
        <v>472</v>
      </c>
      <c r="O8" s="56" t="s">
        <v>312</v>
      </c>
      <c r="P8" s="57" t="s">
        <v>585</v>
      </c>
      <c r="Q8" s="55" t="s">
        <v>76</v>
      </c>
      <c r="R8" s="55" t="s">
        <v>336</v>
      </c>
    </row>
    <row r="9" spans="1:18" x14ac:dyDescent="0.2">
      <c r="A9" s="56" t="s">
        <v>586</v>
      </c>
      <c r="B9" s="56" t="s">
        <v>470</v>
      </c>
      <c r="C9" s="57" t="s">
        <v>331</v>
      </c>
      <c r="D9" s="56" t="s">
        <v>586</v>
      </c>
      <c r="E9" s="63">
        <v>0</v>
      </c>
      <c r="F9" s="61">
        <v>43726</v>
      </c>
      <c r="G9" s="59" t="s">
        <v>474</v>
      </c>
      <c r="H9" s="57" t="s">
        <v>316</v>
      </c>
      <c r="I9" s="57" t="s">
        <v>333</v>
      </c>
      <c r="J9" s="57" t="s">
        <v>65</v>
      </c>
      <c r="K9" s="60">
        <v>-7996</v>
      </c>
      <c r="L9" s="57" t="s">
        <v>318</v>
      </c>
      <c r="M9" s="58" t="s">
        <v>8</v>
      </c>
      <c r="N9" s="55" t="s">
        <v>472</v>
      </c>
      <c r="O9" s="56" t="s">
        <v>312</v>
      </c>
      <c r="P9" s="57" t="s">
        <v>587</v>
      </c>
      <c r="Q9" s="55" t="s">
        <v>76</v>
      </c>
      <c r="R9" s="55" t="s">
        <v>336</v>
      </c>
    </row>
    <row r="10" spans="1:18" x14ac:dyDescent="0.2">
      <c r="A10" s="56" t="s">
        <v>588</v>
      </c>
      <c r="B10" s="56" t="s">
        <v>461</v>
      </c>
      <c r="C10" s="57" t="s">
        <v>354</v>
      </c>
      <c r="D10" s="56" t="s">
        <v>588</v>
      </c>
      <c r="E10" s="63">
        <v>0</v>
      </c>
      <c r="F10" s="61">
        <v>43726</v>
      </c>
      <c r="G10" s="59" t="s">
        <v>475</v>
      </c>
      <c r="H10" s="57" t="s">
        <v>316</v>
      </c>
      <c r="I10" s="57" t="s">
        <v>356</v>
      </c>
      <c r="J10" s="57" t="s">
        <v>56</v>
      </c>
      <c r="K10" s="60">
        <v>15000</v>
      </c>
      <c r="L10" s="57" t="s">
        <v>321</v>
      </c>
      <c r="M10" s="58" t="s">
        <v>8</v>
      </c>
      <c r="N10" s="55" t="s">
        <v>476</v>
      </c>
      <c r="O10" s="56" t="s">
        <v>312</v>
      </c>
      <c r="P10" s="57" t="s">
        <v>589</v>
      </c>
      <c r="Q10" s="55" t="s">
        <v>76</v>
      </c>
      <c r="R10" s="55" t="s">
        <v>336</v>
      </c>
    </row>
    <row r="11" spans="1:18" x14ac:dyDescent="0.2">
      <c r="A11" s="56" t="s">
        <v>590</v>
      </c>
      <c r="B11" s="56" t="s">
        <v>470</v>
      </c>
      <c r="C11" s="57" t="s">
        <v>331</v>
      </c>
      <c r="D11" s="56" t="s">
        <v>590</v>
      </c>
      <c r="E11" s="63">
        <v>0</v>
      </c>
      <c r="F11" s="61">
        <v>43726</v>
      </c>
      <c r="G11" s="59" t="s">
        <v>477</v>
      </c>
      <c r="H11" s="57" t="s">
        <v>316</v>
      </c>
      <c r="I11" s="57" t="s">
        <v>333</v>
      </c>
      <c r="J11" s="57" t="s">
        <v>65</v>
      </c>
      <c r="K11" s="60">
        <v>-2000</v>
      </c>
      <c r="L11" s="57" t="s">
        <v>318</v>
      </c>
      <c r="M11" s="58" t="s">
        <v>8</v>
      </c>
      <c r="N11" s="55" t="s">
        <v>478</v>
      </c>
      <c r="O11" s="56" t="s">
        <v>312</v>
      </c>
      <c r="P11" s="57" t="s">
        <v>591</v>
      </c>
      <c r="Q11" s="55" t="s">
        <v>76</v>
      </c>
      <c r="R11" s="55" t="s">
        <v>336</v>
      </c>
    </row>
    <row r="12" spans="1:18" x14ac:dyDescent="0.2">
      <c r="A12" s="56" t="s">
        <v>592</v>
      </c>
      <c r="B12" s="56" t="s">
        <v>461</v>
      </c>
      <c r="C12" s="57" t="s">
        <v>354</v>
      </c>
      <c r="D12" s="56" t="s">
        <v>592</v>
      </c>
      <c r="E12" s="63">
        <v>0</v>
      </c>
      <c r="F12" s="61">
        <v>43726</v>
      </c>
      <c r="G12" s="59" t="s">
        <v>479</v>
      </c>
      <c r="H12" s="57" t="s">
        <v>316</v>
      </c>
      <c r="I12" s="57" t="s">
        <v>356</v>
      </c>
      <c r="J12" s="57" t="s">
        <v>56</v>
      </c>
      <c r="K12" s="60">
        <v>20000</v>
      </c>
      <c r="L12" s="57" t="s">
        <v>321</v>
      </c>
      <c r="M12" s="58" t="s">
        <v>8</v>
      </c>
      <c r="N12" s="55" t="s">
        <v>480</v>
      </c>
      <c r="O12" s="56" t="s">
        <v>312</v>
      </c>
      <c r="P12" s="57" t="s">
        <v>593</v>
      </c>
      <c r="Q12" s="55" t="s">
        <v>76</v>
      </c>
      <c r="R12" s="55" t="s">
        <v>336</v>
      </c>
    </row>
    <row r="13" spans="1:18" x14ac:dyDescent="0.2">
      <c r="A13" s="56" t="s">
        <v>594</v>
      </c>
      <c r="B13" s="56" t="s">
        <v>461</v>
      </c>
      <c r="C13" s="57" t="s">
        <v>354</v>
      </c>
      <c r="D13" s="56" t="s">
        <v>594</v>
      </c>
      <c r="E13" s="63">
        <v>0</v>
      </c>
      <c r="F13" s="61">
        <v>43726</v>
      </c>
      <c r="G13" s="59" t="s">
        <v>481</v>
      </c>
      <c r="H13" s="57" t="s">
        <v>316</v>
      </c>
      <c r="I13" s="57" t="s">
        <v>356</v>
      </c>
      <c r="J13" s="57" t="s">
        <v>56</v>
      </c>
      <c r="K13" s="60">
        <v>15000</v>
      </c>
      <c r="L13" s="57" t="s">
        <v>321</v>
      </c>
      <c r="M13" s="58" t="s">
        <v>8</v>
      </c>
      <c r="N13" s="55" t="s">
        <v>480</v>
      </c>
      <c r="O13" s="56" t="s">
        <v>312</v>
      </c>
      <c r="P13" s="57" t="s">
        <v>595</v>
      </c>
      <c r="Q13" s="55" t="s">
        <v>76</v>
      </c>
      <c r="R13" s="55" t="s">
        <v>336</v>
      </c>
    </row>
    <row r="14" spans="1:18" x14ac:dyDescent="0.2">
      <c r="A14" s="56" t="s">
        <v>596</v>
      </c>
      <c r="B14" s="56" t="s">
        <v>470</v>
      </c>
      <c r="C14" s="57" t="s">
        <v>331</v>
      </c>
      <c r="D14" s="56" t="s">
        <v>596</v>
      </c>
      <c r="E14" s="63">
        <v>0</v>
      </c>
      <c r="F14" s="61">
        <v>43726</v>
      </c>
      <c r="G14" s="59" t="s">
        <v>482</v>
      </c>
      <c r="H14" s="57" t="s">
        <v>316</v>
      </c>
      <c r="I14" s="57" t="s">
        <v>333</v>
      </c>
      <c r="J14" s="57" t="s">
        <v>65</v>
      </c>
      <c r="K14" s="60">
        <v>-1542</v>
      </c>
      <c r="L14" s="57" t="s">
        <v>318</v>
      </c>
      <c r="M14" s="58" t="s">
        <v>8</v>
      </c>
      <c r="N14" s="55" t="s">
        <v>483</v>
      </c>
      <c r="O14" s="56" t="s">
        <v>312</v>
      </c>
      <c r="P14" s="57" t="s">
        <v>597</v>
      </c>
      <c r="Q14" s="55" t="s">
        <v>76</v>
      </c>
      <c r="R14" s="55" t="s">
        <v>336</v>
      </c>
    </row>
    <row r="15" spans="1:18" x14ac:dyDescent="0.2">
      <c r="A15" s="56" t="s">
        <v>598</v>
      </c>
      <c r="B15" s="56" t="s">
        <v>470</v>
      </c>
      <c r="C15" s="57" t="s">
        <v>331</v>
      </c>
      <c r="D15" s="56" t="s">
        <v>598</v>
      </c>
      <c r="E15" s="63">
        <v>0</v>
      </c>
      <c r="F15" s="61">
        <v>43726</v>
      </c>
      <c r="G15" s="59" t="s">
        <v>484</v>
      </c>
      <c r="H15" s="57" t="s">
        <v>316</v>
      </c>
      <c r="I15" s="57" t="s">
        <v>333</v>
      </c>
      <c r="J15" s="57" t="s">
        <v>65</v>
      </c>
      <c r="K15" s="60">
        <v>-3744.2</v>
      </c>
      <c r="L15" s="57" t="s">
        <v>318</v>
      </c>
      <c r="M15" s="58" t="s">
        <v>8</v>
      </c>
      <c r="N15" s="55" t="s">
        <v>483</v>
      </c>
      <c r="O15" s="56" t="s">
        <v>312</v>
      </c>
      <c r="P15" s="57" t="s">
        <v>599</v>
      </c>
      <c r="Q15" s="55" t="s">
        <v>76</v>
      </c>
      <c r="R15" s="55" t="s">
        <v>336</v>
      </c>
    </row>
    <row r="16" spans="1:18" x14ac:dyDescent="0.2">
      <c r="A16" s="56" t="s">
        <v>600</v>
      </c>
      <c r="B16" s="56" t="s">
        <v>470</v>
      </c>
      <c r="C16" s="57" t="s">
        <v>331</v>
      </c>
      <c r="D16" s="56" t="s">
        <v>600</v>
      </c>
      <c r="E16" s="63">
        <v>0</v>
      </c>
      <c r="F16" s="61">
        <v>43726</v>
      </c>
      <c r="G16" s="59" t="s">
        <v>485</v>
      </c>
      <c r="H16" s="57" t="s">
        <v>316</v>
      </c>
      <c r="I16" s="57" t="s">
        <v>333</v>
      </c>
      <c r="J16" s="57" t="s">
        <v>65</v>
      </c>
      <c r="K16" s="60">
        <v>-4194.3999999999996</v>
      </c>
      <c r="L16" s="57" t="s">
        <v>318</v>
      </c>
      <c r="M16" s="58" t="s">
        <v>8</v>
      </c>
      <c r="N16" s="55" t="s">
        <v>483</v>
      </c>
      <c r="O16" s="56" t="s">
        <v>312</v>
      </c>
      <c r="P16" s="57" t="s">
        <v>601</v>
      </c>
      <c r="Q16" s="55" t="s">
        <v>76</v>
      </c>
      <c r="R16" s="55" t="s">
        <v>336</v>
      </c>
    </row>
    <row r="17" spans="1:18" x14ac:dyDescent="0.2">
      <c r="A17" s="56" t="s">
        <v>602</v>
      </c>
      <c r="B17" s="56" t="s">
        <v>470</v>
      </c>
      <c r="C17" s="57" t="s">
        <v>331</v>
      </c>
      <c r="D17" s="56" t="s">
        <v>602</v>
      </c>
      <c r="E17" s="63">
        <v>0</v>
      </c>
      <c r="F17" s="61">
        <v>43726</v>
      </c>
      <c r="G17" s="59" t="s">
        <v>486</v>
      </c>
      <c r="H17" s="57" t="s">
        <v>316</v>
      </c>
      <c r="I17" s="57" t="s">
        <v>333</v>
      </c>
      <c r="J17" s="57" t="s">
        <v>65</v>
      </c>
      <c r="K17" s="60">
        <v>-4644.6000000000004</v>
      </c>
      <c r="L17" s="57" t="s">
        <v>318</v>
      </c>
      <c r="M17" s="58" t="s">
        <v>8</v>
      </c>
      <c r="N17" s="55" t="s">
        <v>483</v>
      </c>
      <c r="O17" s="56" t="s">
        <v>312</v>
      </c>
      <c r="P17" s="57" t="s">
        <v>603</v>
      </c>
      <c r="Q17" s="55" t="s">
        <v>76</v>
      </c>
      <c r="R17" s="55" t="s">
        <v>336</v>
      </c>
    </row>
    <row r="18" spans="1:18" x14ac:dyDescent="0.2">
      <c r="A18" s="56" t="s">
        <v>604</v>
      </c>
      <c r="B18" s="56" t="s">
        <v>470</v>
      </c>
      <c r="C18" s="57" t="s">
        <v>331</v>
      </c>
      <c r="D18" s="56" t="s">
        <v>604</v>
      </c>
      <c r="E18" s="63">
        <v>0</v>
      </c>
      <c r="F18" s="61">
        <v>43726</v>
      </c>
      <c r="G18" s="59" t="s">
        <v>487</v>
      </c>
      <c r="H18" s="57" t="s">
        <v>316</v>
      </c>
      <c r="I18" s="57" t="s">
        <v>333</v>
      </c>
      <c r="J18" s="57" t="s">
        <v>65</v>
      </c>
      <c r="K18" s="60">
        <v>-5094.8</v>
      </c>
      <c r="L18" s="57" t="s">
        <v>318</v>
      </c>
      <c r="M18" s="58" t="s">
        <v>8</v>
      </c>
      <c r="N18" s="55" t="s">
        <v>483</v>
      </c>
      <c r="O18" s="56" t="s">
        <v>312</v>
      </c>
      <c r="P18" s="57" t="s">
        <v>605</v>
      </c>
      <c r="Q18" s="55" t="s">
        <v>76</v>
      </c>
      <c r="R18" s="55" t="s">
        <v>336</v>
      </c>
    </row>
    <row r="19" spans="1:18" x14ac:dyDescent="0.2">
      <c r="A19" s="56" t="s">
        <v>606</v>
      </c>
      <c r="B19" s="56" t="s">
        <v>470</v>
      </c>
      <c r="C19" s="57" t="s">
        <v>331</v>
      </c>
      <c r="D19" s="56" t="s">
        <v>606</v>
      </c>
      <c r="E19" s="63">
        <v>0</v>
      </c>
      <c r="F19" s="61">
        <v>43726</v>
      </c>
      <c r="G19" s="59" t="s">
        <v>488</v>
      </c>
      <c r="H19" s="57" t="s">
        <v>316</v>
      </c>
      <c r="I19" s="57" t="s">
        <v>333</v>
      </c>
      <c r="J19" s="57" t="s">
        <v>65</v>
      </c>
      <c r="K19" s="60">
        <v>-5545</v>
      </c>
      <c r="L19" s="57" t="s">
        <v>318</v>
      </c>
      <c r="M19" s="58" t="s">
        <v>8</v>
      </c>
      <c r="N19" s="55" t="s">
        <v>483</v>
      </c>
      <c r="O19" s="56" t="s">
        <v>312</v>
      </c>
      <c r="P19" s="57" t="s">
        <v>607</v>
      </c>
      <c r="Q19" s="55" t="s">
        <v>76</v>
      </c>
      <c r="R19" s="55" t="s">
        <v>336</v>
      </c>
    </row>
    <row r="20" spans="1:18" x14ac:dyDescent="0.2">
      <c r="A20" s="56" t="s">
        <v>608</v>
      </c>
      <c r="B20" s="56" t="s">
        <v>470</v>
      </c>
      <c r="C20" s="57" t="s">
        <v>331</v>
      </c>
      <c r="D20" s="56" t="s">
        <v>608</v>
      </c>
      <c r="E20" s="63">
        <v>0</v>
      </c>
      <c r="F20" s="61">
        <v>43726</v>
      </c>
      <c r="G20" s="59" t="s">
        <v>489</v>
      </c>
      <c r="H20" s="57" t="s">
        <v>316</v>
      </c>
      <c r="I20" s="57" t="s">
        <v>333</v>
      </c>
      <c r="J20" s="57" t="s">
        <v>65</v>
      </c>
      <c r="K20" s="60">
        <v>-5995.2</v>
      </c>
      <c r="L20" s="57" t="s">
        <v>318</v>
      </c>
      <c r="M20" s="58" t="s">
        <v>8</v>
      </c>
      <c r="N20" s="55" t="s">
        <v>483</v>
      </c>
      <c r="O20" s="56" t="s">
        <v>312</v>
      </c>
      <c r="P20" s="57" t="s">
        <v>609</v>
      </c>
      <c r="Q20" s="55" t="s">
        <v>76</v>
      </c>
      <c r="R20" s="55" t="s">
        <v>336</v>
      </c>
    </row>
    <row r="21" spans="1:18" x14ac:dyDescent="0.2">
      <c r="A21" s="56" t="s">
        <v>610</v>
      </c>
      <c r="B21" s="56" t="s">
        <v>470</v>
      </c>
      <c r="C21" s="57" t="s">
        <v>331</v>
      </c>
      <c r="D21" s="56" t="s">
        <v>610</v>
      </c>
      <c r="E21" s="63">
        <v>0</v>
      </c>
      <c r="F21" s="61">
        <v>43726</v>
      </c>
      <c r="G21" s="59" t="s">
        <v>490</v>
      </c>
      <c r="H21" s="57" t="s">
        <v>316</v>
      </c>
      <c r="I21" s="57" t="s">
        <v>333</v>
      </c>
      <c r="J21" s="57" t="s">
        <v>65</v>
      </c>
      <c r="K21" s="60">
        <v>-6445.4</v>
      </c>
      <c r="L21" s="57" t="s">
        <v>318</v>
      </c>
      <c r="M21" s="58" t="s">
        <v>8</v>
      </c>
      <c r="N21" s="55" t="s">
        <v>483</v>
      </c>
      <c r="O21" s="56" t="s">
        <v>312</v>
      </c>
      <c r="P21" s="57" t="s">
        <v>611</v>
      </c>
      <c r="Q21" s="55" t="s">
        <v>76</v>
      </c>
      <c r="R21" s="55" t="s">
        <v>336</v>
      </c>
    </row>
    <row r="22" spans="1:18" x14ac:dyDescent="0.2">
      <c r="A22" s="55" t="s">
        <v>612</v>
      </c>
      <c r="B22" s="55" t="s">
        <v>470</v>
      </c>
      <c r="C22" s="55" t="s">
        <v>331</v>
      </c>
      <c r="D22" s="55" t="s">
        <v>612</v>
      </c>
      <c r="E22" s="63">
        <v>0</v>
      </c>
      <c r="F22" s="61">
        <v>43726</v>
      </c>
      <c r="G22" s="55" t="s">
        <v>491</v>
      </c>
      <c r="H22" s="55" t="s">
        <v>316</v>
      </c>
      <c r="I22" s="55" t="s">
        <v>333</v>
      </c>
      <c r="J22" s="60" t="s">
        <v>65</v>
      </c>
      <c r="K22" s="55">
        <v>-6895.6</v>
      </c>
      <c r="L22" s="61" t="s">
        <v>318</v>
      </c>
      <c r="M22" s="55" t="s">
        <v>8</v>
      </c>
      <c r="N22" s="55" t="s">
        <v>483</v>
      </c>
      <c r="O22" s="55" t="s">
        <v>312</v>
      </c>
      <c r="P22" s="55" t="s">
        <v>613</v>
      </c>
      <c r="Q22" s="55" t="s">
        <v>76</v>
      </c>
      <c r="R22" s="55" t="s">
        <v>336</v>
      </c>
    </row>
    <row r="23" spans="1:18" x14ac:dyDescent="0.2">
      <c r="A23" s="55" t="s">
        <v>614</v>
      </c>
      <c r="B23" s="55" t="s">
        <v>470</v>
      </c>
      <c r="C23" s="55" t="s">
        <v>331</v>
      </c>
      <c r="D23" s="55" t="s">
        <v>614</v>
      </c>
      <c r="E23" s="63">
        <v>0</v>
      </c>
      <c r="F23" s="61">
        <v>43726</v>
      </c>
      <c r="G23" s="55" t="s">
        <v>492</v>
      </c>
      <c r="H23" s="55" t="s">
        <v>316</v>
      </c>
      <c r="I23" s="55" t="s">
        <v>333</v>
      </c>
      <c r="J23" s="60" t="s">
        <v>65</v>
      </c>
      <c r="K23" s="55">
        <v>-7345.8</v>
      </c>
      <c r="L23" s="61" t="s">
        <v>318</v>
      </c>
      <c r="M23" s="55" t="s">
        <v>8</v>
      </c>
      <c r="N23" s="55" t="s">
        <v>483</v>
      </c>
      <c r="O23" s="55" t="s">
        <v>312</v>
      </c>
      <c r="P23" s="55" t="s">
        <v>615</v>
      </c>
      <c r="Q23" s="55" t="s">
        <v>76</v>
      </c>
      <c r="R23" s="55" t="s">
        <v>336</v>
      </c>
    </row>
    <row r="24" spans="1:18" x14ac:dyDescent="0.2">
      <c r="A24" s="55" t="s">
        <v>616</v>
      </c>
      <c r="B24" s="55" t="s">
        <v>470</v>
      </c>
      <c r="C24" s="55" t="s">
        <v>331</v>
      </c>
      <c r="D24" s="55" t="s">
        <v>616</v>
      </c>
      <c r="E24" s="63">
        <v>0</v>
      </c>
      <c r="F24" s="61">
        <v>43726</v>
      </c>
      <c r="G24" s="55" t="s">
        <v>493</v>
      </c>
      <c r="H24" s="55" t="s">
        <v>316</v>
      </c>
      <c r="I24" s="55" t="s">
        <v>333</v>
      </c>
      <c r="J24" s="60" t="s">
        <v>65</v>
      </c>
      <c r="K24" s="55">
        <v>-7796</v>
      </c>
      <c r="L24" s="61" t="s">
        <v>318</v>
      </c>
      <c r="M24" s="55" t="s">
        <v>8</v>
      </c>
      <c r="N24" s="55" t="s">
        <v>494</v>
      </c>
      <c r="O24" s="55" t="s">
        <v>312</v>
      </c>
      <c r="P24" s="55" t="s">
        <v>617</v>
      </c>
      <c r="Q24" s="55" t="s">
        <v>76</v>
      </c>
      <c r="R24" s="55" t="s">
        <v>336</v>
      </c>
    </row>
    <row r="25" spans="1:18" x14ac:dyDescent="0.2">
      <c r="A25" s="55" t="s">
        <v>618</v>
      </c>
      <c r="B25" s="55" t="s">
        <v>470</v>
      </c>
      <c r="C25" s="55" t="s">
        <v>331</v>
      </c>
      <c r="D25" s="55" t="s">
        <v>618</v>
      </c>
      <c r="E25" s="63">
        <v>0</v>
      </c>
      <c r="F25" s="61">
        <v>43726</v>
      </c>
      <c r="G25" s="55" t="s">
        <v>495</v>
      </c>
      <c r="H25" s="55" t="s">
        <v>316</v>
      </c>
      <c r="I25" s="55" t="s">
        <v>333</v>
      </c>
      <c r="J25" s="60" t="s">
        <v>65</v>
      </c>
      <c r="K25" s="55">
        <v>-8246.2000000000007</v>
      </c>
      <c r="L25" s="61" t="s">
        <v>318</v>
      </c>
      <c r="M25" s="55" t="s">
        <v>8</v>
      </c>
      <c r="N25" s="55" t="s">
        <v>496</v>
      </c>
      <c r="O25" s="55" t="s">
        <v>312</v>
      </c>
      <c r="P25" s="55" t="s">
        <v>619</v>
      </c>
      <c r="Q25" s="55" t="s">
        <v>76</v>
      </c>
      <c r="R25" s="55" t="s">
        <v>336</v>
      </c>
    </row>
    <row r="26" spans="1:18" x14ac:dyDescent="0.2">
      <c r="A26" s="55" t="s">
        <v>620</v>
      </c>
      <c r="B26" s="55" t="s">
        <v>470</v>
      </c>
      <c r="C26" s="55" t="s">
        <v>331</v>
      </c>
      <c r="D26" s="55" t="s">
        <v>620</v>
      </c>
      <c r="E26" s="63">
        <v>0</v>
      </c>
      <c r="F26" s="61">
        <v>43726</v>
      </c>
      <c r="G26" s="55" t="s">
        <v>497</v>
      </c>
      <c r="H26" s="55" t="s">
        <v>316</v>
      </c>
      <c r="I26" s="55" t="s">
        <v>333</v>
      </c>
      <c r="J26" s="60" t="s">
        <v>65</v>
      </c>
      <c r="K26" s="55">
        <v>-8696.4</v>
      </c>
      <c r="L26" s="61" t="s">
        <v>318</v>
      </c>
      <c r="M26" s="55" t="s">
        <v>8</v>
      </c>
      <c r="N26" s="55" t="s">
        <v>496</v>
      </c>
      <c r="O26" s="55" t="s">
        <v>312</v>
      </c>
      <c r="P26" s="55" t="s">
        <v>621</v>
      </c>
      <c r="Q26" s="55" t="s">
        <v>76</v>
      </c>
      <c r="R26" s="55" t="s">
        <v>336</v>
      </c>
    </row>
    <row r="27" spans="1:18" x14ac:dyDescent="0.2">
      <c r="A27" s="55" t="s">
        <v>622</v>
      </c>
      <c r="B27" s="55" t="s">
        <v>470</v>
      </c>
      <c r="C27" s="55" t="s">
        <v>331</v>
      </c>
      <c r="D27" s="55" t="s">
        <v>622</v>
      </c>
      <c r="E27" s="63">
        <v>0</v>
      </c>
      <c r="F27" s="61">
        <v>43726</v>
      </c>
      <c r="G27" s="55" t="s">
        <v>498</v>
      </c>
      <c r="H27" s="55" t="s">
        <v>316</v>
      </c>
      <c r="I27" s="55" t="s">
        <v>333</v>
      </c>
      <c r="J27" s="60" t="s">
        <v>65</v>
      </c>
      <c r="K27" s="55">
        <v>-946.6</v>
      </c>
      <c r="L27" s="61" t="s">
        <v>318</v>
      </c>
      <c r="M27" s="55" t="s">
        <v>8</v>
      </c>
      <c r="N27" s="55" t="s">
        <v>496</v>
      </c>
      <c r="O27" s="55" t="s">
        <v>312</v>
      </c>
      <c r="P27" s="55" t="s">
        <v>623</v>
      </c>
      <c r="Q27" s="55" t="s">
        <v>76</v>
      </c>
      <c r="R27" s="55" t="s">
        <v>336</v>
      </c>
    </row>
    <row r="28" spans="1:18" x14ac:dyDescent="0.2">
      <c r="A28" s="55" t="s">
        <v>624</v>
      </c>
      <c r="B28" s="55" t="s">
        <v>470</v>
      </c>
      <c r="C28" s="55" t="s">
        <v>331</v>
      </c>
      <c r="D28" s="55" t="s">
        <v>624</v>
      </c>
      <c r="E28" s="63">
        <v>0</v>
      </c>
      <c r="F28" s="61">
        <v>43726</v>
      </c>
      <c r="G28" s="55" t="s">
        <v>499</v>
      </c>
      <c r="H28" s="55" t="s">
        <v>316</v>
      </c>
      <c r="I28" s="55" t="s">
        <v>333</v>
      </c>
      <c r="J28" s="60" t="s">
        <v>65</v>
      </c>
      <c r="K28" s="55">
        <v>-596.79999999999995</v>
      </c>
      <c r="L28" s="61" t="s">
        <v>318</v>
      </c>
      <c r="M28" s="55" t="s">
        <v>8</v>
      </c>
      <c r="N28" s="55" t="s">
        <v>496</v>
      </c>
      <c r="O28" s="55" t="s">
        <v>312</v>
      </c>
      <c r="P28" s="55" t="s">
        <v>625</v>
      </c>
      <c r="Q28" s="55" t="s">
        <v>76</v>
      </c>
      <c r="R28" s="55" t="s">
        <v>336</v>
      </c>
    </row>
    <row r="29" spans="1:18" x14ac:dyDescent="0.2">
      <c r="A29" s="55" t="s">
        <v>626</v>
      </c>
      <c r="B29" s="55" t="s">
        <v>470</v>
      </c>
      <c r="C29" s="55" t="s">
        <v>331</v>
      </c>
      <c r="D29" s="55" t="s">
        <v>626</v>
      </c>
      <c r="E29" s="63">
        <v>0</v>
      </c>
      <c r="F29" s="61">
        <v>43726</v>
      </c>
      <c r="G29" s="55" t="s">
        <v>500</v>
      </c>
      <c r="H29" s="55" t="s">
        <v>316</v>
      </c>
      <c r="I29" s="55" t="s">
        <v>333</v>
      </c>
      <c r="J29" s="60" t="s">
        <v>65</v>
      </c>
      <c r="K29" s="55">
        <v>-147</v>
      </c>
      <c r="L29" s="61" t="s">
        <v>318</v>
      </c>
      <c r="M29" s="55" t="s">
        <v>8</v>
      </c>
      <c r="N29" s="55" t="s">
        <v>496</v>
      </c>
      <c r="O29" s="55" t="s">
        <v>312</v>
      </c>
      <c r="P29" s="55" t="s">
        <v>627</v>
      </c>
      <c r="Q29" s="55" t="s">
        <v>76</v>
      </c>
      <c r="R29" s="55" t="s">
        <v>336</v>
      </c>
    </row>
    <row r="30" spans="1:18" x14ac:dyDescent="0.2">
      <c r="A30" s="55" t="s">
        <v>628</v>
      </c>
      <c r="B30" s="55" t="s">
        <v>470</v>
      </c>
      <c r="C30" s="55" t="s">
        <v>331</v>
      </c>
      <c r="D30" s="55" t="s">
        <v>628</v>
      </c>
      <c r="E30" s="63">
        <v>0</v>
      </c>
      <c r="F30" s="61">
        <v>43726</v>
      </c>
      <c r="G30" s="55" t="s">
        <v>501</v>
      </c>
      <c r="H30" s="55" t="s">
        <v>316</v>
      </c>
      <c r="I30" s="55" t="s">
        <v>333</v>
      </c>
      <c r="J30" s="60" t="s">
        <v>65</v>
      </c>
      <c r="K30" s="55">
        <v>-10497.2</v>
      </c>
      <c r="L30" s="61" t="s">
        <v>318</v>
      </c>
      <c r="M30" s="55" t="s">
        <v>8</v>
      </c>
      <c r="N30" s="55" t="s">
        <v>496</v>
      </c>
      <c r="O30" s="55" t="s">
        <v>312</v>
      </c>
      <c r="P30" s="55" t="s">
        <v>629</v>
      </c>
      <c r="Q30" s="55" t="s">
        <v>76</v>
      </c>
      <c r="R30" s="55" t="s">
        <v>336</v>
      </c>
    </row>
    <row r="31" spans="1:18" x14ac:dyDescent="0.2">
      <c r="A31" s="55" t="s">
        <v>630</v>
      </c>
      <c r="B31" s="55" t="s">
        <v>470</v>
      </c>
      <c r="C31" s="55" t="s">
        <v>331</v>
      </c>
      <c r="D31" s="55" t="s">
        <v>630</v>
      </c>
      <c r="E31" s="63">
        <v>0</v>
      </c>
      <c r="F31" s="61">
        <v>43726</v>
      </c>
      <c r="G31" s="55" t="s">
        <v>502</v>
      </c>
      <c r="H31" s="55" t="s">
        <v>316</v>
      </c>
      <c r="I31" s="55" t="s">
        <v>333</v>
      </c>
      <c r="J31" s="60" t="s">
        <v>65</v>
      </c>
      <c r="K31" s="55">
        <v>-5017.3999999999996</v>
      </c>
      <c r="L31" s="61" t="s">
        <v>318</v>
      </c>
      <c r="M31" s="55" t="s">
        <v>8</v>
      </c>
      <c r="N31" s="55" t="s">
        <v>496</v>
      </c>
      <c r="O31" s="55" t="s">
        <v>312</v>
      </c>
      <c r="P31" s="55" t="s">
        <v>631</v>
      </c>
      <c r="Q31" s="55" t="s">
        <v>76</v>
      </c>
      <c r="R31" s="55" t="s">
        <v>336</v>
      </c>
    </row>
    <row r="32" spans="1:18" x14ac:dyDescent="0.2">
      <c r="A32" s="55" t="s">
        <v>632</v>
      </c>
      <c r="B32" s="55" t="s">
        <v>470</v>
      </c>
      <c r="C32" s="55" t="s">
        <v>331</v>
      </c>
      <c r="D32" s="55" t="s">
        <v>632</v>
      </c>
      <c r="E32" s="63">
        <v>0</v>
      </c>
      <c r="F32" s="61">
        <v>43726</v>
      </c>
      <c r="G32" s="55" t="s">
        <v>503</v>
      </c>
      <c r="H32" s="55" t="s">
        <v>316</v>
      </c>
      <c r="I32" s="55" t="s">
        <v>333</v>
      </c>
      <c r="J32" s="60" t="s">
        <v>65</v>
      </c>
      <c r="K32" s="55">
        <v>-5297.6</v>
      </c>
      <c r="L32" s="61" t="s">
        <v>318</v>
      </c>
      <c r="M32" s="55" t="s">
        <v>8</v>
      </c>
      <c r="N32" s="55" t="s">
        <v>496</v>
      </c>
      <c r="O32" s="55" t="s">
        <v>312</v>
      </c>
      <c r="P32" s="55" t="s">
        <v>633</v>
      </c>
      <c r="Q32" s="55" t="s">
        <v>76</v>
      </c>
      <c r="R32" s="55" t="s">
        <v>336</v>
      </c>
    </row>
    <row r="33" spans="1:18" x14ac:dyDescent="0.2">
      <c r="A33" s="55" t="s">
        <v>634</v>
      </c>
      <c r="B33" s="55" t="s">
        <v>470</v>
      </c>
      <c r="C33" s="55" t="s">
        <v>331</v>
      </c>
      <c r="D33" s="55" t="s">
        <v>634</v>
      </c>
      <c r="E33" s="63">
        <v>0</v>
      </c>
      <c r="F33" s="61">
        <v>43726</v>
      </c>
      <c r="G33" s="55" t="s">
        <v>504</v>
      </c>
      <c r="H33" s="55" t="s">
        <v>316</v>
      </c>
      <c r="I33" s="55" t="s">
        <v>333</v>
      </c>
      <c r="J33" s="60" t="s">
        <v>65</v>
      </c>
      <c r="K33" s="55">
        <v>-5577.8</v>
      </c>
      <c r="L33" s="61" t="s">
        <v>318</v>
      </c>
      <c r="M33" s="55" t="s">
        <v>8</v>
      </c>
      <c r="N33" s="55" t="s">
        <v>496</v>
      </c>
      <c r="O33" s="55" t="s">
        <v>312</v>
      </c>
      <c r="P33" s="55" t="s">
        <v>635</v>
      </c>
      <c r="Q33" s="55" t="s">
        <v>76</v>
      </c>
      <c r="R33" s="55" t="s">
        <v>336</v>
      </c>
    </row>
    <row r="34" spans="1:18" x14ac:dyDescent="0.2">
      <c r="A34" s="55" t="s">
        <v>636</v>
      </c>
      <c r="B34" s="55" t="s">
        <v>470</v>
      </c>
      <c r="C34" s="55" t="s">
        <v>331</v>
      </c>
      <c r="D34" s="55" t="s">
        <v>636</v>
      </c>
      <c r="E34" s="63">
        <v>0</v>
      </c>
      <c r="F34" s="61">
        <v>43726</v>
      </c>
      <c r="G34" s="55" t="s">
        <v>505</v>
      </c>
      <c r="H34" s="55" t="s">
        <v>316</v>
      </c>
      <c r="I34" s="55" t="s">
        <v>333</v>
      </c>
      <c r="J34" s="60" t="s">
        <v>65</v>
      </c>
      <c r="K34" s="55">
        <v>-5858</v>
      </c>
      <c r="L34" s="61" t="s">
        <v>318</v>
      </c>
      <c r="M34" s="55" t="s">
        <v>8</v>
      </c>
      <c r="N34" s="55" t="s">
        <v>496</v>
      </c>
      <c r="O34" s="55" t="s">
        <v>312</v>
      </c>
      <c r="P34" s="55" t="s">
        <v>637</v>
      </c>
      <c r="Q34" s="55" t="s">
        <v>76</v>
      </c>
      <c r="R34" s="55" t="s">
        <v>336</v>
      </c>
    </row>
    <row r="35" spans="1:18" x14ac:dyDescent="0.2">
      <c r="A35" s="55" t="s">
        <v>638</v>
      </c>
      <c r="B35" s="55" t="s">
        <v>470</v>
      </c>
      <c r="C35" s="55" t="s">
        <v>331</v>
      </c>
      <c r="D35" s="55" t="s">
        <v>638</v>
      </c>
      <c r="E35" s="63">
        <v>0</v>
      </c>
      <c r="F35" s="61">
        <v>43726</v>
      </c>
      <c r="G35" s="55" t="s">
        <v>506</v>
      </c>
      <c r="H35" s="55" t="s">
        <v>316</v>
      </c>
      <c r="I35" s="55" t="s">
        <v>333</v>
      </c>
      <c r="J35" s="60" t="s">
        <v>65</v>
      </c>
      <c r="K35" s="55">
        <v>-6138.2</v>
      </c>
      <c r="L35" s="61" t="s">
        <v>318</v>
      </c>
      <c r="M35" s="55" t="s">
        <v>8</v>
      </c>
      <c r="N35" s="55" t="s">
        <v>496</v>
      </c>
      <c r="O35" s="55" t="s">
        <v>312</v>
      </c>
      <c r="P35" s="55" t="s">
        <v>639</v>
      </c>
      <c r="Q35" s="55" t="s">
        <v>76</v>
      </c>
      <c r="R35" s="55" t="s">
        <v>336</v>
      </c>
    </row>
    <row r="36" spans="1:18" x14ac:dyDescent="0.2">
      <c r="A36" s="55" t="s">
        <v>640</v>
      </c>
      <c r="B36" s="55" t="s">
        <v>470</v>
      </c>
      <c r="C36" s="55" t="s">
        <v>331</v>
      </c>
      <c r="D36" s="55" t="s">
        <v>640</v>
      </c>
      <c r="E36" s="63">
        <v>0</v>
      </c>
      <c r="F36" s="61">
        <v>43726</v>
      </c>
      <c r="G36" s="55" t="s">
        <v>507</v>
      </c>
      <c r="H36" s="55" t="s">
        <v>316</v>
      </c>
      <c r="I36" s="55" t="s">
        <v>333</v>
      </c>
      <c r="J36" s="60" t="s">
        <v>65</v>
      </c>
      <c r="K36" s="55">
        <v>-6418.4</v>
      </c>
      <c r="L36" s="61" t="s">
        <v>318</v>
      </c>
      <c r="M36" s="55" t="s">
        <v>8</v>
      </c>
      <c r="N36" s="55" t="s">
        <v>496</v>
      </c>
      <c r="O36" s="55" t="s">
        <v>312</v>
      </c>
      <c r="P36" s="55" t="s">
        <v>641</v>
      </c>
      <c r="Q36" s="55" t="s">
        <v>76</v>
      </c>
      <c r="R36" s="55" t="s">
        <v>336</v>
      </c>
    </row>
    <row r="37" spans="1:18" x14ac:dyDescent="0.2">
      <c r="A37" s="55" t="s">
        <v>642</v>
      </c>
      <c r="B37" s="55" t="s">
        <v>470</v>
      </c>
      <c r="C37" s="55" t="s">
        <v>331</v>
      </c>
      <c r="D37" s="55" t="s">
        <v>642</v>
      </c>
      <c r="E37" s="63">
        <v>0</v>
      </c>
      <c r="F37" s="61">
        <v>43726</v>
      </c>
      <c r="G37" s="55" t="s">
        <v>508</v>
      </c>
      <c r="H37" s="55" t="s">
        <v>316</v>
      </c>
      <c r="I37" s="55" t="s">
        <v>333</v>
      </c>
      <c r="J37" s="60" t="s">
        <v>65</v>
      </c>
      <c r="K37" s="55">
        <v>-6698.6</v>
      </c>
      <c r="L37" s="61" t="s">
        <v>318</v>
      </c>
      <c r="M37" s="55" t="s">
        <v>8</v>
      </c>
      <c r="N37" s="55" t="s">
        <v>496</v>
      </c>
      <c r="O37" s="55" t="s">
        <v>312</v>
      </c>
      <c r="P37" s="55" t="s">
        <v>643</v>
      </c>
      <c r="Q37" s="55" t="s">
        <v>76</v>
      </c>
      <c r="R37" s="55" t="s">
        <v>336</v>
      </c>
    </row>
    <row r="38" spans="1:18" x14ac:dyDescent="0.2">
      <c r="A38" s="55" t="s">
        <v>644</v>
      </c>
      <c r="B38" s="55" t="s">
        <v>470</v>
      </c>
      <c r="C38" s="55" t="s">
        <v>331</v>
      </c>
      <c r="D38" s="55" t="s">
        <v>644</v>
      </c>
      <c r="E38" s="63">
        <v>0</v>
      </c>
      <c r="F38" s="61">
        <v>43726</v>
      </c>
      <c r="G38" s="55" t="s">
        <v>509</v>
      </c>
      <c r="H38" s="55" t="s">
        <v>316</v>
      </c>
      <c r="I38" s="55" t="s">
        <v>333</v>
      </c>
      <c r="J38" s="60" t="s">
        <v>65</v>
      </c>
      <c r="K38" s="55">
        <v>-6978.8</v>
      </c>
      <c r="L38" s="61" t="s">
        <v>318</v>
      </c>
      <c r="M38" s="55" t="s">
        <v>8</v>
      </c>
      <c r="N38" s="55" t="s">
        <v>496</v>
      </c>
      <c r="O38" s="55" t="s">
        <v>312</v>
      </c>
      <c r="P38" s="55" t="s">
        <v>645</v>
      </c>
      <c r="Q38" s="55" t="s">
        <v>76</v>
      </c>
      <c r="R38" s="55" t="s">
        <v>336</v>
      </c>
    </row>
    <row r="39" spans="1:18" x14ac:dyDescent="0.2">
      <c r="A39" s="55" t="s">
        <v>646</v>
      </c>
      <c r="B39" s="55" t="s">
        <v>470</v>
      </c>
      <c r="C39" s="55" t="s">
        <v>331</v>
      </c>
      <c r="D39" s="55" t="s">
        <v>646</v>
      </c>
      <c r="E39" s="63">
        <v>0</v>
      </c>
      <c r="F39" s="61">
        <v>43726</v>
      </c>
      <c r="G39" s="55" t="s">
        <v>510</v>
      </c>
      <c r="H39" s="55" t="s">
        <v>316</v>
      </c>
      <c r="I39" s="55" t="s">
        <v>333</v>
      </c>
      <c r="J39" s="60" t="s">
        <v>65</v>
      </c>
      <c r="K39" s="55">
        <v>-7259</v>
      </c>
      <c r="L39" s="61" t="s">
        <v>318</v>
      </c>
      <c r="M39" s="55" t="s">
        <v>8</v>
      </c>
      <c r="N39" s="55" t="s">
        <v>496</v>
      </c>
      <c r="O39" s="55" t="s">
        <v>312</v>
      </c>
      <c r="P39" s="55" t="s">
        <v>647</v>
      </c>
      <c r="Q39" s="55" t="s">
        <v>76</v>
      </c>
      <c r="R39" s="55" t="s">
        <v>336</v>
      </c>
    </row>
    <row r="40" spans="1:18" x14ac:dyDescent="0.2">
      <c r="A40" s="55" t="s">
        <v>648</v>
      </c>
      <c r="B40" s="55" t="s">
        <v>470</v>
      </c>
      <c r="C40" s="55" t="s">
        <v>331</v>
      </c>
      <c r="D40" s="55" t="s">
        <v>648</v>
      </c>
      <c r="E40" s="63">
        <v>0</v>
      </c>
      <c r="F40" s="61">
        <v>43726</v>
      </c>
      <c r="G40" s="55" t="s">
        <v>511</v>
      </c>
      <c r="H40" s="55" t="s">
        <v>316</v>
      </c>
      <c r="I40" s="55" t="s">
        <v>333</v>
      </c>
      <c r="J40" s="60" t="s">
        <v>65</v>
      </c>
      <c r="K40" s="55">
        <v>-7539.2</v>
      </c>
      <c r="L40" s="61" t="s">
        <v>318</v>
      </c>
      <c r="M40" s="55" t="s">
        <v>8</v>
      </c>
      <c r="N40" s="55" t="s">
        <v>496</v>
      </c>
      <c r="O40" s="55" t="s">
        <v>312</v>
      </c>
      <c r="P40" s="55" t="s">
        <v>649</v>
      </c>
      <c r="Q40" s="55" t="s">
        <v>76</v>
      </c>
      <c r="R40" s="55" t="s">
        <v>336</v>
      </c>
    </row>
    <row r="41" spans="1:18" x14ac:dyDescent="0.2">
      <c r="A41" s="55" t="s">
        <v>650</v>
      </c>
      <c r="B41" s="55" t="s">
        <v>470</v>
      </c>
      <c r="C41" s="55" t="s">
        <v>331</v>
      </c>
      <c r="D41" s="55" t="s">
        <v>650</v>
      </c>
      <c r="E41" s="63">
        <v>0</v>
      </c>
      <c r="F41" s="61">
        <v>43726</v>
      </c>
      <c r="G41" s="55" t="s">
        <v>512</v>
      </c>
      <c r="H41" s="55" t="s">
        <v>316</v>
      </c>
      <c r="I41" s="55" t="s">
        <v>333</v>
      </c>
      <c r="J41" s="60" t="s">
        <v>65</v>
      </c>
      <c r="K41" s="55">
        <v>-7819.4</v>
      </c>
      <c r="L41" s="61" t="s">
        <v>318</v>
      </c>
      <c r="M41" s="55" t="s">
        <v>8</v>
      </c>
      <c r="N41" s="55" t="s">
        <v>496</v>
      </c>
      <c r="O41" s="55" t="s">
        <v>312</v>
      </c>
      <c r="P41" s="55" t="s">
        <v>651</v>
      </c>
      <c r="Q41" s="55" t="s">
        <v>76</v>
      </c>
      <c r="R41" s="55" t="s">
        <v>336</v>
      </c>
    </row>
    <row r="42" spans="1:18" x14ac:dyDescent="0.2">
      <c r="A42" s="55" t="s">
        <v>652</v>
      </c>
      <c r="B42" s="55" t="s">
        <v>470</v>
      </c>
      <c r="C42" s="55" t="s">
        <v>331</v>
      </c>
      <c r="D42" s="55" t="s">
        <v>652</v>
      </c>
      <c r="E42" s="63">
        <v>0</v>
      </c>
      <c r="F42" s="61">
        <v>43726</v>
      </c>
      <c r="G42" s="55" t="s">
        <v>513</v>
      </c>
      <c r="H42" s="55" t="s">
        <v>316</v>
      </c>
      <c r="I42" s="55" t="s">
        <v>333</v>
      </c>
      <c r="J42" s="60" t="s">
        <v>65</v>
      </c>
      <c r="K42" s="55">
        <v>-8099.6</v>
      </c>
      <c r="L42" s="61" t="s">
        <v>318</v>
      </c>
      <c r="M42" s="55" t="s">
        <v>8</v>
      </c>
      <c r="N42" s="55" t="s">
        <v>496</v>
      </c>
      <c r="O42" s="55" t="s">
        <v>312</v>
      </c>
      <c r="P42" s="55" t="s">
        <v>653</v>
      </c>
      <c r="Q42" s="55" t="s">
        <v>76</v>
      </c>
      <c r="R42" s="55" t="s">
        <v>336</v>
      </c>
    </row>
    <row r="43" spans="1:18" x14ac:dyDescent="0.2">
      <c r="A43" s="55" t="s">
        <v>654</v>
      </c>
      <c r="B43" s="55" t="s">
        <v>470</v>
      </c>
      <c r="C43" s="55" t="s">
        <v>331</v>
      </c>
      <c r="D43" s="55" t="s">
        <v>654</v>
      </c>
      <c r="E43" s="63">
        <v>0</v>
      </c>
      <c r="F43" s="61">
        <v>43726</v>
      </c>
      <c r="G43" s="55" t="s">
        <v>514</v>
      </c>
      <c r="H43" s="55" t="s">
        <v>316</v>
      </c>
      <c r="I43" s="55" t="s">
        <v>333</v>
      </c>
      <c r="J43" s="60" t="s">
        <v>65</v>
      </c>
      <c r="K43" s="55">
        <v>-8379.7999999999993</v>
      </c>
      <c r="L43" s="61" t="s">
        <v>318</v>
      </c>
      <c r="M43" s="55" t="s">
        <v>8</v>
      </c>
      <c r="N43" s="55" t="s">
        <v>496</v>
      </c>
      <c r="O43" s="55" t="s">
        <v>312</v>
      </c>
      <c r="P43" s="55" t="s">
        <v>655</v>
      </c>
      <c r="Q43" s="55" t="s">
        <v>76</v>
      </c>
      <c r="R43" s="55" t="s">
        <v>336</v>
      </c>
    </row>
    <row r="44" spans="1:18" x14ac:dyDescent="0.2">
      <c r="A44" s="55" t="s">
        <v>656</v>
      </c>
      <c r="B44" s="55" t="s">
        <v>470</v>
      </c>
      <c r="C44" s="55" t="s">
        <v>331</v>
      </c>
      <c r="D44" s="55" t="s">
        <v>656</v>
      </c>
      <c r="E44" s="63">
        <v>0</v>
      </c>
      <c r="F44" s="61">
        <v>43726</v>
      </c>
      <c r="G44" s="55" t="s">
        <v>515</v>
      </c>
      <c r="H44" s="55" t="s">
        <v>316</v>
      </c>
      <c r="I44" s="55" t="s">
        <v>333</v>
      </c>
      <c r="J44" s="60" t="s">
        <v>65</v>
      </c>
      <c r="K44" s="55">
        <v>-8660</v>
      </c>
      <c r="L44" s="61" t="s">
        <v>318</v>
      </c>
      <c r="M44" s="55" t="s">
        <v>8</v>
      </c>
      <c r="N44" s="55" t="s">
        <v>496</v>
      </c>
      <c r="O44" s="55" t="s">
        <v>312</v>
      </c>
      <c r="P44" s="55" t="s">
        <v>657</v>
      </c>
      <c r="Q44" s="55" t="s">
        <v>76</v>
      </c>
      <c r="R44" s="55" t="s">
        <v>336</v>
      </c>
    </row>
    <row r="45" spans="1:18" x14ac:dyDescent="0.2">
      <c r="A45" s="55" t="s">
        <v>658</v>
      </c>
      <c r="B45" s="55" t="s">
        <v>470</v>
      </c>
      <c r="C45" s="55" t="s">
        <v>331</v>
      </c>
      <c r="D45" s="55" t="s">
        <v>658</v>
      </c>
      <c r="E45" s="63">
        <v>0</v>
      </c>
      <c r="F45" s="61">
        <v>43726</v>
      </c>
      <c r="G45" s="55" t="s">
        <v>516</v>
      </c>
      <c r="H45" s="55" t="s">
        <v>316</v>
      </c>
      <c r="I45" s="55" t="s">
        <v>333</v>
      </c>
      <c r="J45" s="60" t="s">
        <v>65</v>
      </c>
      <c r="K45" s="55">
        <v>-8940.2000000000007</v>
      </c>
      <c r="L45" s="61" t="s">
        <v>318</v>
      </c>
      <c r="M45" s="55" t="s">
        <v>8</v>
      </c>
      <c r="N45" s="55" t="s">
        <v>496</v>
      </c>
      <c r="O45" s="55" t="s">
        <v>312</v>
      </c>
      <c r="P45" s="55" t="s">
        <v>659</v>
      </c>
      <c r="Q45" s="55" t="s">
        <v>76</v>
      </c>
      <c r="R45" s="55" t="s">
        <v>336</v>
      </c>
    </row>
    <row r="46" spans="1:18" x14ac:dyDescent="0.2">
      <c r="A46" s="55" t="s">
        <v>660</v>
      </c>
      <c r="B46" s="55" t="s">
        <v>470</v>
      </c>
      <c r="C46" s="55" t="s">
        <v>331</v>
      </c>
      <c r="D46" s="55" t="s">
        <v>660</v>
      </c>
      <c r="E46" s="63">
        <v>0</v>
      </c>
      <c r="F46" s="61">
        <v>43726</v>
      </c>
      <c r="G46" s="55" t="s">
        <v>517</v>
      </c>
      <c r="H46" s="55" t="s">
        <v>316</v>
      </c>
      <c r="I46" s="55" t="s">
        <v>333</v>
      </c>
      <c r="J46" s="60" t="s">
        <v>65</v>
      </c>
      <c r="K46" s="55">
        <v>-9220.4</v>
      </c>
      <c r="L46" s="61" t="s">
        <v>318</v>
      </c>
      <c r="M46" s="55" t="s">
        <v>8</v>
      </c>
      <c r="N46" s="55" t="s">
        <v>496</v>
      </c>
      <c r="O46" s="55" t="s">
        <v>312</v>
      </c>
      <c r="P46" s="55" t="s">
        <v>661</v>
      </c>
      <c r="Q46" s="55" t="s">
        <v>76</v>
      </c>
      <c r="R46" s="55" t="s">
        <v>336</v>
      </c>
    </row>
    <row r="47" spans="1:18" x14ac:dyDescent="0.2">
      <c r="A47" s="55" t="s">
        <v>662</v>
      </c>
      <c r="B47" s="55" t="s">
        <v>470</v>
      </c>
      <c r="C47" s="55" t="s">
        <v>331</v>
      </c>
      <c r="D47" s="55" t="s">
        <v>662</v>
      </c>
      <c r="E47" s="63">
        <v>0</v>
      </c>
      <c r="F47" s="61">
        <v>43726</v>
      </c>
      <c r="G47" s="55" t="s">
        <v>518</v>
      </c>
      <c r="H47" s="55" t="s">
        <v>316</v>
      </c>
      <c r="I47" s="55" t="s">
        <v>333</v>
      </c>
      <c r="J47" s="60" t="s">
        <v>65</v>
      </c>
      <c r="K47" s="55">
        <v>-9500.6</v>
      </c>
      <c r="L47" s="61" t="s">
        <v>318</v>
      </c>
      <c r="M47" s="55" t="s">
        <v>8</v>
      </c>
      <c r="N47" s="55" t="s">
        <v>496</v>
      </c>
      <c r="O47" s="55" t="s">
        <v>312</v>
      </c>
      <c r="P47" s="55" t="s">
        <v>663</v>
      </c>
      <c r="Q47" s="55" t="s">
        <v>76</v>
      </c>
      <c r="R47" s="55" t="s">
        <v>336</v>
      </c>
    </row>
    <row r="48" spans="1:18" x14ac:dyDescent="0.2">
      <c r="A48" s="55" t="s">
        <v>664</v>
      </c>
      <c r="B48" s="55" t="s">
        <v>470</v>
      </c>
      <c r="C48" s="55" t="s">
        <v>331</v>
      </c>
      <c r="D48" s="55" t="s">
        <v>664</v>
      </c>
      <c r="E48" s="63">
        <v>0</v>
      </c>
      <c r="F48" s="61">
        <v>43726</v>
      </c>
      <c r="G48" s="55" t="s">
        <v>519</v>
      </c>
      <c r="H48" s="55" t="s">
        <v>316</v>
      </c>
      <c r="I48" s="55" t="s">
        <v>333</v>
      </c>
      <c r="J48" s="60" t="s">
        <v>65</v>
      </c>
      <c r="K48" s="55">
        <v>-9780.7999999999993</v>
      </c>
      <c r="L48" s="61" t="s">
        <v>318</v>
      </c>
      <c r="M48" s="55" t="s">
        <v>8</v>
      </c>
      <c r="N48" s="55" t="s">
        <v>496</v>
      </c>
      <c r="O48" s="55" t="s">
        <v>312</v>
      </c>
      <c r="P48" s="55" t="s">
        <v>665</v>
      </c>
      <c r="Q48" s="55" t="s">
        <v>76</v>
      </c>
      <c r="R48" s="55" t="s">
        <v>336</v>
      </c>
    </row>
    <row r="49" spans="1:18" x14ac:dyDescent="0.2">
      <c r="A49" s="55" t="s">
        <v>666</v>
      </c>
      <c r="B49" s="55" t="s">
        <v>470</v>
      </c>
      <c r="C49" s="55" t="s">
        <v>331</v>
      </c>
      <c r="D49" s="55" t="s">
        <v>666</v>
      </c>
      <c r="E49" s="63">
        <v>0</v>
      </c>
      <c r="F49" s="61">
        <v>43726</v>
      </c>
      <c r="G49" s="55" t="s">
        <v>520</v>
      </c>
      <c r="H49" s="55" t="s">
        <v>316</v>
      </c>
      <c r="I49" s="55" t="s">
        <v>333</v>
      </c>
      <c r="J49" s="60" t="s">
        <v>65</v>
      </c>
      <c r="K49" s="55">
        <v>-10061</v>
      </c>
      <c r="L49" s="61" t="s">
        <v>318</v>
      </c>
      <c r="M49" s="55" t="s">
        <v>8</v>
      </c>
      <c r="N49" s="55" t="s">
        <v>496</v>
      </c>
      <c r="O49" s="55" t="s">
        <v>312</v>
      </c>
      <c r="P49" s="55" t="s">
        <v>667</v>
      </c>
      <c r="Q49" s="55" t="s">
        <v>76</v>
      </c>
      <c r="R49" s="55" t="s">
        <v>336</v>
      </c>
    </row>
    <row r="50" spans="1:18" x14ac:dyDescent="0.2">
      <c r="A50" s="55" t="s">
        <v>668</v>
      </c>
      <c r="B50" s="55" t="s">
        <v>521</v>
      </c>
      <c r="C50" s="55" t="s">
        <v>354</v>
      </c>
      <c r="D50" s="55" t="s">
        <v>668</v>
      </c>
      <c r="E50" s="63">
        <v>0</v>
      </c>
      <c r="F50" s="61">
        <v>43726</v>
      </c>
      <c r="G50" s="55" t="s">
        <v>522</v>
      </c>
      <c r="H50" s="55" t="s">
        <v>316</v>
      </c>
      <c r="I50" s="55" t="s">
        <v>356</v>
      </c>
      <c r="J50" s="60" t="s">
        <v>56</v>
      </c>
      <c r="K50" s="55">
        <v>40000</v>
      </c>
      <c r="L50" s="61" t="s">
        <v>320</v>
      </c>
      <c r="M50" s="55" t="s">
        <v>8</v>
      </c>
      <c r="N50" s="55" t="s">
        <v>463</v>
      </c>
      <c r="O50" s="55" t="s">
        <v>312</v>
      </c>
      <c r="P50" s="55" t="s">
        <v>669</v>
      </c>
      <c r="Q50" s="55" t="s">
        <v>76</v>
      </c>
      <c r="R50" s="55" t="s">
        <v>392</v>
      </c>
    </row>
    <row r="51" spans="1:18" x14ac:dyDescent="0.2">
      <c r="A51" s="55" t="s">
        <v>670</v>
      </c>
      <c r="B51" s="55" t="s">
        <v>521</v>
      </c>
      <c r="C51" s="55" t="s">
        <v>354</v>
      </c>
      <c r="D51" s="55" t="s">
        <v>670</v>
      </c>
      <c r="E51" s="63">
        <v>0</v>
      </c>
      <c r="F51" s="61">
        <v>43726</v>
      </c>
      <c r="G51" s="55" t="s">
        <v>523</v>
      </c>
      <c r="H51" s="55" t="s">
        <v>316</v>
      </c>
      <c r="I51" s="55" t="s">
        <v>356</v>
      </c>
      <c r="J51" s="60" t="s">
        <v>56</v>
      </c>
      <c r="K51" s="55">
        <v>25000</v>
      </c>
      <c r="L51" s="61" t="s">
        <v>320</v>
      </c>
      <c r="M51" s="55" t="s">
        <v>8</v>
      </c>
      <c r="N51" s="55" t="s">
        <v>465</v>
      </c>
      <c r="O51" s="55" t="s">
        <v>312</v>
      </c>
      <c r="P51" s="55" t="s">
        <v>671</v>
      </c>
      <c r="Q51" s="55" t="s">
        <v>76</v>
      </c>
      <c r="R51" s="55" t="s">
        <v>392</v>
      </c>
    </row>
    <row r="52" spans="1:18" x14ac:dyDescent="0.2">
      <c r="A52" s="55" t="s">
        <v>672</v>
      </c>
      <c r="B52" s="55" t="s">
        <v>521</v>
      </c>
      <c r="C52" s="55" t="s">
        <v>354</v>
      </c>
      <c r="D52" s="55" t="s">
        <v>672</v>
      </c>
      <c r="E52" s="63">
        <v>0</v>
      </c>
      <c r="F52" s="61">
        <v>43726</v>
      </c>
      <c r="G52" s="55" t="s">
        <v>524</v>
      </c>
      <c r="H52" s="55" t="s">
        <v>316</v>
      </c>
      <c r="I52" s="55" t="s">
        <v>356</v>
      </c>
      <c r="J52" s="60" t="s">
        <v>56</v>
      </c>
      <c r="K52" s="55">
        <v>75000</v>
      </c>
      <c r="L52" s="61" t="s">
        <v>320</v>
      </c>
      <c r="M52" s="55" t="s">
        <v>8</v>
      </c>
      <c r="N52" s="55" t="s">
        <v>467</v>
      </c>
      <c r="O52" s="55" t="s">
        <v>312</v>
      </c>
      <c r="P52" s="55" t="s">
        <v>673</v>
      </c>
      <c r="Q52" s="55" t="s">
        <v>76</v>
      </c>
      <c r="R52" s="55" t="s">
        <v>392</v>
      </c>
    </row>
    <row r="53" spans="1:18" x14ac:dyDescent="0.2">
      <c r="A53" s="55" t="s">
        <v>674</v>
      </c>
      <c r="B53" s="55" t="s">
        <v>521</v>
      </c>
      <c r="C53" s="55" t="s">
        <v>354</v>
      </c>
      <c r="D53" s="55" t="s">
        <v>674</v>
      </c>
      <c r="E53" s="63">
        <v>0</v>
      </c>
      <c r="F53" s="61">
        <v>43726</v>
      </c>
      <c r="G53" s="55" t="s">
        <v>525</v>
      </c>
      <c r="H53" s="55" t="s">
        <v>316</v>
      </c>
      <c r="I53" s="55" t="s">
        <v>356</v>
      </c>
      <c r="J53" s="60" t="s">
        <v>56</v>
      </c>
      <c r="K53" s="55">
        <v>40000</v>
      </c>
      <c r="L53" s="61" t="s">
        <v>320</v>
      </c>
      <c r="M53" s="55" t="s">
        <v>8</v>
      </c>
      <c r="N53" s="55" t="s">
        <v>467</v>
      </c>
      <c r="O53" s="55" t="s">
        <v>312</v>
      </c>
      <c r="P53" s="55" t="s">
        <v>675</v>
      </c>
      <c r="Q53" s="55" t="s">
        <v>76</v>
      </c>
      <c r="R53" s="55" t="s">
        <v>392</v>
      </c>
    </row>
    <row r="54" spans="1:18" x14ac:dyDescent="0.2">
      <c r="A54" s="55" t="s">
        <v>676</v>
      </c>
      <c r="B54" s="55" t="s">
        <v>521</v>
      </c>
      <c r="C54" s="55" t="s">
        <v>354</v>
      </c>
      <c r="D54" s="55" t="s">
        <v>676</v>
      </c>
      <c r="E54" s="63">
        <v>0</v>
      </c>
      <c r="F54" s="61">
        <v>43726</v>
      </c>
      <c r="G54" s="55" t="s">
        <v>526</v>
      </c>
      <c r="H54" s="55" t="s">
        <v>316</v>
      </c>
      <c r="I54" s="55" t="s">
        <v>356</v>
      </c>
      <c r="J54" s="60" t="s">
        <v>56</v>
      </c>
      <c r="K54" s="55">
        <v>10000</v>
      </c>
      <c r="L54" s="61" t="s">
        <v>320</v>
      </c>
      <c r="M54" s="55" t="s">
        <v>8</v>
      </c>
      <c r="N54" s="55" t="s">
        <v>467</v>
      </c>
      <c r="O54" s="55" t="s">
        <v>312</v>
      </c>
      <c r="P54" s="55" t="s">
        <v>677</v>
      </c>
      <c r="Q54" s="55" t="s">
        <v>76</v>
      </c>
      <c r="R54" s="55" t="s">
        <v>392</v>
      </c>
    </row>
    <row r="55" spans="1:18" x14ac:dyDescent="0.2">
      <c r="A55" s="55" t="s">
        <v>678</v>
      </c>
      <c r="B55" s="55" t="s">
        <v>527</v>
      </c>
      <c r="C55" s="55" t="s">
        <v>331</v>
      </c>
      <c r="D55" s="55" t="s">
        <v>678</v>
      </c>
      <c r="E55" s="63">
        <v>0</v>
      </c>
      <c r="F55" s="61">
        <v>43726</v>
      </c>
      <c r="G55" s="55" t="s">
        <v>528</v>
      </c>
      <c r="H55" s="55" t="s">
        <v>316</v>
      </c>
      <c r="I55" s="55" t="s">
        <v>333</v>
      </c>
      <c r="J55" s="60" t="s">
        <v>65</v>
      </c>
      <c r="K55" s="55">
        <v>-152</v>
      </c>
      <c r="L55" s="61" t="s">
        <v>319</v>
      </c>
      <c r="M55" s="55" t="s">
        <v>8</v>
      </c>
      <c r="N55" s="55" t="s">
        <v>529</v>
      </c>
      <c r="O55" s="55" t="s">
        <v>312</v>
      </c>
      <c r="P55" s="55" t="s">
        <v>679</v>
      </c>
      <c r="Q55" s="55" t="s">
        <v>76</v>
      </c>
      <c r="R55" s="55" t="s">
        <v>392</v>
      </c>
    </row>
    <row r="56" spans="1:18" x14ac:dyDescent="0.2">
      <c r="A56" s="55" t="s">
        <v>680</v>
      </c>
      <c r="B56" s="55" t="s">
        <v>527</v>
      </c>
      <c r="C56" s="55" t="s">
        <v>331</v>
      </c>
      <c r="D56" s="55" t="s">
        <v>680</v>
      </c>
      <c r="E56" s="63">
        <v>0</v>
      </c>
      <c r="F56" s="61">
        <v>43726</v>
      </c>
      <c r="G56" s="55" t="s">
        <v>530</v>
      </c>
      <c r="H56" s="55" t="s">
        <v>316</v>
      </c>
      <c r="I56" s="55" t="s">
        <v>333</v>
      </c>
      <c r="J56" s="60" t="s">
        <v>65</v>
      </c>
      <c r="K56" s="55">
        <v>-278</v>
      </c>
      <c r="L56" s="61" t="s">
        <v>319</v>
      </c>
      <c r="M56" s="55" t="s">
        <v>8</v>
      </c>
      <c r="N56" s="55" t="s">
        <v>529</v>
      </c>
      <c r="O56" s="55" t="s">
        <v>312</v>
      </c>
      <c r="P56" s="55" t="s">
        <v>681</v>
      </c>
      <c r="Q56" s="55" t="s">
        <v>76</v>
      </c>
      <c r="R56" s="55" t="s">
        <v>392</v>
      </c>
    </row>
    <row r="57" spans="1:18" x14ac:dyDescent="0.2">
      <c r="A57" s="55" t="s">
        <v>682</v>
      </c>
      <c r="B57" s="55" t="s">
        <v>527</v>
      </c>
      <c r="C57" s="55" t="s">
        <v>331</v>
      </c>
      <c r="D57" s="55" t="s">
        <v>682</v>
      </c>
      <c r="E57" s="63">
        <v>0</v>
      </c>
      <c r="F57" s="61">
        <v>43726</v>
      </c>
      <c r="G57" s="55" t="s">
        <v>531</v>
      </c>
      <c r="H57" s="55" t="s">
        <v>316</v>
      </c>
      <c r="I57" s="55" t="s">
        <v>333</v>
      </c>
      <c r="J57" s="60" t="s">
        <v>65</v>
      </c>
      <c r="K57" s="55">
        <v>-7996</v>
      </c>
      <c r="L57" s="61" t="s">
        <v>319</v>
      </c>
      <c r="M57" s="55" t="s">
        <v>8</v>
      </c>
      <c r="N57" s="55" t="s">
        <v>529</v>
      </c>
      <c r="O57" s="55" t="s">
        <v>312</v>
      </c>
      <c r="P57" s="55" t="s">
        <v>683</v>
      </c>
      <c r="Q57" s="55" t="s">
        <v>76</v>
      </c>
      <c r="R57" s="55" t="s">
        <v>392</v>
      </c>
    </row>
    <row r="58" spans="1:18" x14ac:dyDescent="0.2">
      <c r="A58" s="55" t="s">
        <v>684</v>
      </c>
      <c r="B58" s="55" t="s">
        <v>521</v>
      </c>
      <c r="C58" s="55" t="s">
        <v>354</v>
      </c>
      <c r="D58" s="55" t="s">
        <v>684</v>
      </c>
      <c r="E58" s="63">
        <v>0</v>
      </c>
      <c r="F58" s="61">
        <v>43726</v>
      </c>
      <c r="G58" s="55" t="s">
        <v>532</v>
      </c>
      <c r="H58" s="55" t="s">
        <v>316</v>
      </c>
      <c r="I58" s="55" t="s">
        <v>356</v>
      </c>
      <c r="J58" s="60" t="s">
        <v>56</v>
      </c>
      <c r="K58" s="55">
        <v>15000</v>
      </c>
      <c r="L58" s="61" t="s">
        <v>320</v>
      </c>
      <c r="M58" s="55" t="s">
        <v>8</v>
      </c>
      <c r="N58" s="55" t="s">
        <v>476</v>
      </c>
      <c r="O58" s="55" t="s">
        <v>312</v>
      </c>
      <c r="P58" s="55" t="s">
        <v>685</v>
      </c>
      <c r="Q58" s="55" t="s">
        <v>76</v>
      </c>
      <c r="R58" s="55" t="s">
        <v>392</v>
      </c>
    </row>
    <row r="59" spans="1:18" x14ac:dyDescent="0.2">
      <c r="A59" s="55" t="s">
        <v>686</v>
      </c>
      <c r="B59" s="55" t="s">
        <v>527</v>
      </c>
      <c r="C59" s="55" t="s">
        <v>331</v>
      </c>
      <c r="D59" s="55" t="s">
        <v>686</v>
      </c>
      <c r="E59" s="63">
        <v>0</v>
      </c>
      <c r="F59" s="61">
        <v>43726</v>
      </c>
      <c r="G59" s="55" t="s">
        <v>533</v>
      </c>
      <c r="H59" s="55" t="s">
        <v>316</v>
      </c>
      <c r="I59" s="55" t="s">
        <v>333</v>
      </c>
      <c r="J59" s="60" t="s">
        <v>65</v>
      </c>
      <c r="K59" s="55">
        <v>-2000</v>
      </c>
      <c r="L59" s="61" t="s">
        <v>319</v>
      </c>
      <c r="M59" s="55" t="s">
        <v>8</v>
      </c>
      <c r="N59" s="55" t="s">
        <v>529</v>
      </c>
      <c r="O59" s="55" t="s">
        <v>312</v>
      </c>
      <c r="P59" s="55" t="s">
        <v>687</v>
      </c>
      <c r="Q59" s="55" t="s">
        <v>76</v>
      </c>
      <c r="R59" s="55" t="s">
        <v>392</v>
      </c>
    </row>
    <row r="60" spans="1:18" x14ac:dyDescent="0.2">
      <c r="A60" s="55" t="s">
        <v>688</v>
      </c>
      <c r="B60" s="55" t="s">
        <v>521</v>
      </c>
      <c r="C60" s="55" t="s">
        <v>354</v>
      </c>
      <c r="D60" s="55" t="s">
        <v>688</v>
      </c>
      <c r="E60" s="63">
        <v>0</v>
      </c>
      <c r="F60" s="61">
        <v>43726</v>
      </c>
      <c r="G60" s="55" t="s">
        <v>534</v>
      </c>
      <c r="H60" s="55" t="s">
        <v>316</v>
      </c>
      <c r="I60" s="55" t="s">
        <v>356</v>
      </c>
      <c r="J60" s="60" t="s">
        <v>56</v>
      </c>
      <c r="K60" s="55">
        <v>20000</v>
      </c>
      <c r="L60" s="61" t="s">
        <v>320</v>
      </c>
      <c r="M60" s="55" t="s">
        <v>8</v>
      </c>
      <c r="N60" s="55" t="s">
        <v>480</v>
      </c>
      <c r="O60" s="55" t="s">
        <v>312</v>
      </c>
      <c r="P60" s="55" t="s">
        <v>689</v>
      </c>
      <c r="Q60" s="55" t="s">
        <v>76</v>
      </c>
      <c r="R60" s="55" t="s">
        <v>392</v>
      </c>
    </row>
    <row r="61" spans="1:18" x14ac:dyDescent="0.2">
      <c r="A61" s="55" t="s">
        <v>690</v>
      </c>
      <c r="B61" s="55" t="s">
        <v>521</v>
      </c>
      <c r="C61" s="55" t="s">
        <v>354</v>
      </c>
      <c r="D61" s="55" t="s">
        <v>690</v>
      </c>
      <c r="E61" s="63">
        <v>0</v>
      </c>
      <c r="F61" s="61">
        <v>43726</v>
      </c>
      <c r="G61" s="55" t="s">
        <v>535</v>
      </c>
      <c r="H61" s="55" t="s">
        <v>316</v>
      </c>
      <c r="I61" s="55" t="s">
        <v>356</v>
      </c>
      <c r="J61" s="60" t="s">
        <v>56</v>
      </c>
      <c r="K61" s="55">
        <v>15000</v>
      </c>
      <c r="L61" s="61" t="s">
        <v>320</v>
      </c>
      <c r="M61" s="55" t="s">
        <v>8</v>
      </c>
      <c r="N61" s="55" t="s">
        <v>480</v>
      </c>
      <c r="O61" s="55" t="s">
        <v>312</v>
      </c>
      <c r="P61" s="55" t="s">
        <v>691</v>
      </c>
      <c r="Q61" s="55" t="s">
        <v>76</v>
      </c>
      <c r="R61" s="55" t="s">
        <v>392</v>
      </c>
    </row>
    <row r="62" spans="1:18" x14ac:dyDescent="0.2">
      <c r="A62" s="55" t="s">
        <v>692</v>
      </c>
      <c r="B62" s="55" t="s">
        <v>527</v>
      </c>
      <c r="C62" s="55" t="s">
        <v>331</v>
      </c>
      <c r="D62" s="55" t="s">
        <v>692</v>
      </c>
      <c r="E62" s="63">
        <v>0</v>
      </c>
      <c r="F62" s="61">
        <v>43726</v>
      </c>
      <c r="G62" s="55" t="s">
        <v>536</v>
      </c>
      <c r="H62" s="55" t="s">
        <v>316</v>
      </c>
      <c r="I62" s="55" t="s">
        <v>333</v>
      </c>
      <c r="J62" s="60" t="s">
        <v>65</v>
      </c>
      <c r="K62" s="55">
        <v>-1542</v>
      </c>
      <c r="L62" s="61" t="s">
        <v>319</v>
      </c>
      <c r="M62" s="55" t="s">
        <v>8</v>
      </c>
      <c r="N62" s="55" t="s">
        <v>529</v>
      </c>
      <c r="O62" s="55" t="s">
        <v>312</v>
      </c>
      <c r="P62" s="55" t="s">
        <v>693</v>
      </c>
      <c r="Q62" s="55" t="s">
        <v>76</v>
      </c>
      <c r="R62" s="55" t="s">
        <v>392</v>
      </c>
    </row>
    <row r="63" spans="1:18" x14ac:dyDescent="0.2">
      <c r="A63" s="55" t="s">
        <v>694</v>
      </c>
      <c r="B63" s="55" t="s">
        <v>527</v>
      </c>
      <c r="C63" s="55" t="s">
        <v>331</v>
      </c>
      <c r="D63" s="55" t="s">
        <v>694</v>
      </c>
      <c r="E63" s="63">
        <v>0</v>
      </c>
      <c r="F63" s="61">
        <v>43726</v>
      </c>
      <c r="G63" s="55" t="s">
        <v>537</v>
      </c>
      <c r="H63" s="55" t="s">
        <v>316</v>
      </c>
      <c r="I63" s="55" t="s">
        <v>333</v>
      </c>
      <c r="J63" s="60" t="s">
        <v>65</v>
      </c>
      <c r="K63" s="55">
        <v>-3744.2</v>
      </c>
      <c r="L63" s="61" t="s">
        <v>319</v>
      </c>
      <c r="M63" s="55" t="s">
        <v>8</v>
      </c>
      <c r="N63" s="55" t="s">
        <v>529</v>
      </c>
      <c r="O63" s="55" t="s">
        <v>312</v>
      </c>
      <c r="P63" s="55" t="s">
        <v>695</v>
      </c>
      <c r="Q63" s="55" t="s">
        <v>76</v>
      </c>
      <c r="R63" s="55" t="s">
        <v>392</v>
      </c>
    </row>
    <row r="64" spans="1:18" x14ac:dyDescent="0.2">
      <c r="A64" s="55" t="s">
        <v>696</v>
      </c>
      <c r="B64" s="55" t="s">
        <v>527</v>
      </c>
      <c r="C64" s="55" t="s">
        <v>331</v>
      </c>
      <c r="D64" s="55" t="s">
        <v>696</v>
      </c>
      <c r="E64" s="63">
        <v>0</v>
      </c>
      <c r="F64" s="61">
        <v>43726</v>
      </c>
      <c r="G64" s="55" t="s">
        <v>538</v>
      </c>
      <c r="H64" s="55" t="s">
        <v>316</v>
      </c>
      <c r="I64" s="55" t="s">
        <v>333</v>
      </c>
      <c r="J64" s="60" t="s">
        <v>65</v>
      </c>
      <c r="K64" s="55">
        <v>-4194.3999999999996</v>
      </c>
      <c r="L64" s="61" t="s">
        <v>319</v>
      </c>
      <c r="M64" s="55" t="s">
        <v>8</v>
      </c>
      <c r="N64" s="55" t="s">
        <v>529</v>
      </c>
      <c r="O64" s="55" t="s">
        <v>312</v>
      </c>
      <c r="P64" s="55" t="s">
        <v>697</v>
      </c>
      <c r="Q64" s="55" t="s">
        <v>76</v>
      </c>
      <c r="R64" s="55" t="s">
        <v>392</v>
      </c>
    </row>
    <row r="65" spans="1:18" x14ac:dyDescent="0.2">
      <c r="A65" s="55" t="s">
        <v>698</v>
      </c>
      <c r="B65" s="55" t="s">
        <v>527</v>
      </c>
      <c r="C65" s="55" t="s">
        <v>331</v>
      </c>
      <c r="D65" s="55" t="s">
        <v>698</v>
      </c>
      <c r="E65" s="63">
        <v>0</v>
      </c>
      <c r="F65" s="61">
        <v>43726</v>
      </c>
      <c r="G65" s="55" t="s">
        <v>539</v>
      </c>
      <c r="H65" s="55" t="s">
        <v>316</v>
      </c>
      <c r="I65" s="55" t="s">
        <v>333</v>
      </c>
      <c r="J65" s="60" t="s">
        <v>65</v>
      </c>
      <c r="K65" s="55">
        <v>-4644.6000000000004</v>
      </c>
      <c r="L65" s="61" t="s">
        <v>319</v>
      </c>
      <c r="M65" s="55" t="s">
        <v>8</v>
      </c>
      <c r="N65" s="55" t="s">
        <v>529</v>
      </c>
      <c r="O65" s="55" t="s">
        <v>312</v>
      </c>
      <c r="P65" s="55" t="s">
        <v>699</v>
      </c>
      <c r="Q65" s="55" t="s">
        <v>76</v>
      </c>
      <c r="R65" s="55" t="s">
        <v>392</v>
      </c>
    </row>
    <row r="66" spans="1:18" x14ac:dyDescent="0.2">
      <c r="A66" s="55" t="s">
        <v>700</v>
      </c>
      <c r="B66" s="55" t="s">
        <v>527</v>
      </c>
      <c r="C66" s="55" t="s">
        <v>331</v>
      </c>
      <c r="D66" s="55" t="s">
        <v>700</v>
      </c>
      <c r="E66" s="63">
        <v>0</v>
      </c>
      <c r="F66" s="61">
        <v>43726</v>
      </c>
      <c r="G66" s="55" t="s">
        <v>540</v>
      </c>
      <c r="H66" s="55" t="s">
        <v>316</v>
      </c>
      <c r="I66" s="55" t="s">
        <v>333</v>
      </c>
      <c r="J66" s="60" t="s">
        <v>65</v>
      </c>
      <c r="K66" s="55">
        <v>-5094.8</v>
      </c>
      <c r="L66" s="61" t="s">
        <v>319</v>
      </c>
      <c r="M66" s="55" t="s">
        <v>8</v>
      </c>
      <c r="N66" s="55" t="s">
        <v>529</v>
      </c>
      <c r="O66" s="55" t="s">
        <v>312</v>
      </c>
      <c r="P66" s="55" t="s">
        <v>701</v>
      </c>
      <c r="Q66" s="55" t="s">
        <v>76</v>
      </c>
      <c r="R66" s="55" t="s">
        <v>392</v>
      </c>
    </row>
    <row r="67" spans="1:18" x14ac:dyDescent="0.2">
      <c r="A67" s="55" t="s">
        <v>702</v>
      </c>
      <c r="B67" s="55" t="s">
        <v>527</v>
      </c>
      <c r="C67" s="55" t="s">
        <v>331</v>
      </c>
      <c r="D67" s="55" t="s">
        <v>702</v>
      </c>
      <c r="E67" s="63">
        <v>0</v>
      </c>
      <c r="F67" s="61">
        <v>43726</v>
      </c>
      <c r="G67" s="55" t="s">
        <v>541</v>
      </c>
      <c r="H67" s="55" t="s">
        <v>316</v>
      </c>
      <c r="I67" s="55" t="s">
        <v>333</v>
      </c>
      <c r="J67" s="60" t="s">
        <v>65</v>
      </c>
      <c r="K67" s="55">
        <v>-5545</v>
      </c>
      <c r="L67" s="61" t="s">
        <v>319</v>
      </c>
      <c r="M67" s="55" t="s">
        <v>8</v>
      </c>
      <c r="N67" s="55" t="s">
        <v>529</v>
      </c>
      <c r="O67" s="55" t="s">
        <v>312</v>
      </c>
      <c r="P67" s="55" t="s">
        <v>703</v>
      </c>
      <c r="Q67" s="55" t="s">
        <v>76</v>
      </c>
      <c r="R67" s="55" t="s">
        <v>392</v>
      </c>
    </row>
    <row r="68" spans="1:18" x14ac:dyDescent="0.2">
      <c r="A68" s="55" t="s">
        <v>704</v>
      </c>
      <c r="B68" s="55" t="s">
        <v>527</v>
      </c>
      <c r="C68" s="55" t="s">
        <v>331</v>
      </c>
      <c r="D68" s="55" t="s">
        <v>704</v>
      </c>
      <c r="E68" s="63">
        <v>0</v>
      </c>
      <c r="F68" s="61">
        <v>43726</v>
      </c>
      <c r="G68" s="55" t="s">
        <v>542</v>
      </c>
      <c r="H68" s="55" t="s">
        <v>316</v>
      </c>
      <c r="I68" s="55" t="s">
        <v>333</v>
      </c>
      <c r="J68" s="60" t="s">
        <v>65</v>
      </c>
      <c r="K68" s="55">
        <v>-5995.2</v>
      </c>
      <c r="L68" s="61" t="s">
        <v>319</v>
      </c>
      <c r="M68" s="55" t="s">
        <v>8</v>
      </c>
      <c r="N68" s="55" t="s">
        <v>529</v>
      </c>
      <c r="O68" s="55" t="s">
        <v>312</v>
      </c>
      <c r="P68" s="55" t="s">
        <v>705</v>
      </c>
      <c r="Q68" s="55" t="s">
        <v>76</v>
      </c>
      <c r="R68" s="55" t="s">
        <v>392</v>
      </c>
    </row>
    <row r="69" spans="1:18" x14ac:dyDescent="0.2">
      <c r="A69" s="55" t="s">
        <v>706</v>
      </c>
      <c r="B69" s="55" t="s">
        <v>527</v>
      </c>
      <c r="C69" s="55" t="s">
        <v>331</v>
      </c>
      <c r="D69" s="55" t="s">
        <v>706</v>
      </c>
      <c r="E69" s="63">
        <v>0</v>
      </c>
      <c r="F69" s="61">
        <v>43726</v>
      </c>
      <c r="G69" s="55" t="s">
        <v>543</v>
      </c>
      <c r="H69" s="55" t="s">
        <v>316</v>
      </c>
      <c r="I69" s="55" t="s">
        <v>333</v>
      </c>
      <c r="J69" s="60" t="s">
        <v>65</v>
      </c>
      <c r="K69" s="55">
        <v>-6445.4</v>
      </c>
      <c r="L69" s="61" t="s">
        <v>319</v>
      </c>
      <c r="M69" s="55" t="s">
        <v>8</v>
      </c>
      <c r="N69" s="55" t="s">
        <v>529</v>
      </c>
      <c r="O69" s="55" t="s">
        <v>312</v>
      </c>
      <c r="P69" s="55" t="s">
        <v>707</v>
      </c>
      <c r="Q69" s="55" t="s">
        <v>76</v>
      </c>
      <c r="R69" s="55" t="s">
        <v>392</v>
      </c>
    </row>
    <row r="70" spans="1:18" x14ac:dyDescent="0.2">
      <c r="A70" s="55" t="s">
        <v>708</v>
      </c>
      <c r="B70" s="55" t="s">
        <v>527</v>
      </c>
      <c r="C70" s="55" t="s">
        <v>331</v>
      </c>
      <c r="D70" s="55" t="s">
        <v>708</v>
      </c>
      <c r="E70" s="63">
        <v>0</v>
      </c>
      <c r="F70" s="61">
        <v>43726</v>
      </c>
      <c r="G70" s="55" t="s">
        <v>544</v>
      </c>
      <c r="H70" s="55" t="s">
        <v>316</v>
      </c>
      <c r="I70" s="55" t="s">
        <v>333</v>
      </c>
      <c r="J70" s="60" t="s">
        <v>65</v>
      </c>
      <c r="K70" s="55">
        <v>-6895.6</v>
      </c>
      <c r="L70" s="61" t="s">
        <v>319</v>
      </c>
      <c r="M70" s="55" t="s">
        <v>8</v>
      </c>
      <c r="N70" s="55" t="s">
        <v>529</v>
      </c>
      <c r="O70" s="55" t="s">
        <v>312</v>
      </c>
      <c r="P70" s="55" t="s">
        <v>709</v>
      </c>
      <c r="Q70" s="55" t="s">
        <v>76</v>
      </c>
      <c r="R70" s="55" t="s">
        <v>392</v>
      </c>
    </row>
    <row r="71" spans="1:18" x14ac:dyDescent="0.2">
      <c r="A71" s="55" t="s">
        <v>710</v>
      </c>
      <c r="B71" s="55" t="s">
        <v>527</v>
      </c>
      <c r="C71" s="55" t="s">
        <v>331</v>
      </c>
      <c r="D71" s="55" t="s">
        <v>710</v>
      </c>
      <c r="E71" s="63">
        <v>0</v>
      </c>
      <c r="F71" s="61">
        <v>43726</v>
      </c>
      <c r="G71" s="55" t="s">
        <v>545</v>
      </c>
      <c r="H71" s="55" t="s">
        <v>316</v>
      </c>
      <c r="I71" s="55" t="s">
        <v>333</v>
      </c>
      <c r="J71" s="60" t="s">
        <v>65</v>
      </c>
      <c r="K71" s="55">
        <v>-7345.8</v>
      </c>
      <c r="L71" s="61" t="s">
        <v>319</v>
      </c>
      <c r="M71" s="55" t="s">
        <v>8</v>
      </c>
      <c r="N71" s="55" t="s">
        <v>529</v>
      </c>
      <c r="O71" s="55" t="s">
        <v>312</v>
      </c>
      <c r="P71" s="55" t="s">
        <v>711</v>
      </c>
      <c r="Q71" s="55" t="s">
        <v>76</v>
      </c>
      <c r="R71" s="55" t="s">
        <v>392</v>
      </c>
    </row>
    <row r="72" spans="1:18" x14ac:dyDescent="0.2">
      <c r="A72" s="55" t="s">
        <v>712</v>
      </c>
      <c r="B72" s="55" t="s">
        <v>527</v>
      </c>
      <c r="C72" s="55" t="s">
        <v>331</v>
      </c>
      <c r="D72" s="55" t="s">
        <v>712</v>
      </c>
      <c r="E72" s="63">
        <v>0</v>
      </c>
      <c r="F72" s="61">
        <v>43726</v>
      </c>
      <c r="G72" s="55" t="s">
        <v>546</v>
      </c>
      <c r="H72" s="55" t="s">
        <v>316</v>
      </c>
      <c r="I72" s="55" t="s">
        <v>333</v>
      </c>
      <c r="J72" s="60" t="s">
        <v>65</v>
      </c>
      <c r="K72" s="55">
        <v>-7796</v>
      </c>
      <c r="L72" s="61" t="s">
        <v>319</v>
      </c>
      <c r="M72" s="55" t="s">
        <v>8</v>
      </c>
      <c r="N72" s="55" t="s">
        <v>494</v>
      </c>
      <c r="O72" s="55" t="s">
        <v>312</v>
      </c>
      <c r="P72" s="55" t="s">
        <v>713</v>
      </c>
      <c r="Q72" s="55" t="s">
        <v>76</v>
      </c>
      <c r="R72" s="55" t="s">
        <v>392</v>
      </c>
    </row>
    <row r="73" spans="1:18" x14ac:dyDescent="0.2">
      <c r="A73" s="55" t="s">
        <v>714</v>
      </c>
      <c r="B73" s="55" t="s">
        <v>527</v>
      </c>
      <c r="C73" s="55" t="s">
        <v>331</v>
      </c>
      <c r="D73" s="55" t="s">
        <v>714</v>
      </c>
      <c r="E73" s="63">
        <v>0</v>
      </c>
      <c r="F73" s="61">
        <v>43726</v>
      </c>
      <c r="G73" s="55" t="s">
        <v>547</v>
      </c>
      <c r="H73" s="55" t="s">
        <v>316</v>
      </c>
      <c r="I73" s="55" t="s">
        <v>333</v>
      </c>
      <c r="J73" s="60" t="s">
        <v>65</v>
      </c>
      <c r="K73" s="55">
        <v>-8246.2000000000007</v>
      </c>
      <c r="L73" s="61" t="s">
        <v>319</v>
      </c>
      <c r="M73" s="55" t="s">
        <v>8</v>
      </c>
      <c r="N73" s="55" t="s">
        <v>496</v>
      </c>
      <c r="O73" s="55" t="s">
        <v>312</v>
      </c>
      <c r="P73" s="55" t="s">
        <v>715</v>
      </c>
      <c r="Q73" s="55" t="s">
        <v>76</v>
      </c>
      <c r="R73" s="55" t="s">
        <v>392</v>
      </c>
    </row>
    <row r="74" spans="1:18" x14ac:dyDescent="0.2">
      <c r="A74" s="55" t="s">
        <v>716</v>
      </c>
      <c r="B74" s="55" t="s">
        <v>527</v>
      </c>
      <c r="C74" s="55" t="s">
        <v>331</v>
      </c>
      <c r="D74" s="55" t="s">
        <v>716</v>
      </c>
      <c r="E74" s="63">
        <v>0</v>
      </c>
      <c r="F74" s="61">
        <v>43726</v>
      </c>
      <c r="G74" s="55" t="s">
        <v>548</v>
      </c>
      <c r="H74" s="55" t="s">
        <v>316</v>
      </c>
      <c r="I74" s="55" t="s">
        <v>333</v>
      </c>
      <c r="J74" s="60" t="s">
        <v>65</v>
      </c>
      <c r="K74" s="55">
        <v>-8696.4</v>
      </c>
      <c r="L74" s="61" t="s">
        <v>319</v>
      </c>
      <c r="M74" s="55" t="s">
        <v>8</v>
      </c>
      <c r="N74" s="55" t="s">
        <v>496</v>
      </c>
      <c r="O74" s="55" t="s">
        <v>312</v>
      </c>
      <c r="P74" s="55" t="s">
        <v>717</v>
      </c>
      <c r="Q74" s="55" t="s">
        <v>76</v>
      </c>
      <c r="R74" s="55" t="s">
        <v>392</v>
      </c>
    </row>
    <row r="75" spans="1:18" x14ac:dyDescent="0.2">
      <c r="A75" s="55" t="s">
        <v>718</v>
      </c>
      <c r="B75" s="55" t="s">
        <v>527</v>
      </c>
      <c r="C75" s="55" t="s">
        <v>331</v>
      </c>
      <c r="D75" s="55" t="s">
        <v>718</v>
      </c>
      <c r="E75" s="63">
        <v>0</v>
      </c>
      <c r="F75" s="61">
        <v>43726</v>
      </c>
      <c r="G75" s="55" t="s">
        <v>549</v>
      </c>
      <c r="H75" s="55" t="s">
        <v>316</v>
      </c>
      <c r="I75" s="55" t="s">
        <v>333</v>
      </c>
      <c r="J75" s="60" t="s">
        <v>65</v>
      </c>
      <c r="K75" s="55">
        <v>-946.6</v>
      </c>
      <c r="L75" s="61" t="s">
        <v>319</v>
      </c>
      <c r="M75" s="55" t="s">
        <v>8</v>
      </c>
      <c r="N75" s="55" t="s">
        <v>496</v>
      </c>
      <c r="O75" s="55" t="s">
        <v>312</v>
      </c>
      <c r="P75" s="55" t="s">
        <v>719</v>
      </c>
      <c r="Q75" s="55" t="s">
        <v>76</v>
      </c>
      <c r="R75" s="55" t="s">
        <v>392</v>
      </c>
    </row>
    <row r="76" spans="1:18" x14ac:dyDescent="0.2">
      <c r="A76" s="55" t="s">
        <v>720</v>
      </c>
      <c r="B76" s="55" t="s">
        <v>527</v>
      </c>
      <c r="C76" s="55" t="s">
        <v>331</v>
      </c>
      <c r="D76" s="55" t="s">
        <v>720</v>
      </c>
      <c r="E76" s="63">
        <v>0</v>
      </c>
      <c r="F76" s="61">
        <v>43726</v>
      </c>
      <c r="G76" s="55" t="s">
        <v>550</v>
      </c>
      <c r="H76" s="55" t="s">
        <v>316</v>
      </c>
      <c r="I76" s="55" t="s">
        <v>333</v>
      </c>
      <c r="J76" s="60" t="s">
        <v>65</v>
      </c>
      <c r="K76" s="55">
        <v>-596.79999999999995</v>
      </c>
      <c r="L76" s="61" t="s">
        <v>319</v>
      </c>
      <c r="M76" s="55" t="s">
        <v>8</v>
      </c>
      <c r="N76" s="55" t="s">
        <v>496</v>
      </c>
      <c r="O76" s="55" t="s">
        <v>312</v>
      </c>
      <c r="P76" s="55" t="s">
        <v>721</v>
      </c>
      <c r="Q76" s="55" t="s">
        <v>76</v>
      </c>
      <c r="R76" s="55" t="s">
        <v>392</v>
      </c>
    </row>
    <row r="77" spans="1:18" x14ac:dyDescent="0.2">
      <c r="A77" s="55" t="s">
        <v>722</v>
      </c>
      <c r="B77" s="55" t="s">
        <v>527</v>
      </c>
      <c r="C77" s="55" t="s">
        <v>331</v>
      </c>
      <c r="D77" s="55" t="s">
        <v>722</v>
      </c>
      <c r="E77" s="63">
        <v>0</v>
      </c>
      <c r="F77" s="61">
        <v>43726</v>
      </c>
      <c r="G77" s="55" t="s">
        <v>551</v>
      </c>
      <c r="H77" s="55" t="s">
        <v>316</v>
      </c>
      <c r="I77" s="55" t="s">
        <v>333</v>
      </c>
      <c r="J77" s="60" t="s">
        <v>65</v>
      </c>
      <c r="K77" s="55">
        <v>-147</v>
      </c>
      <c r="L77" s="61" t="s">
        <v>319</v>
      </c>
      <c r="M77" s="55" t="s">
        <v>8</v>
      </c>
      <c r="N77" s="55" t="s">
        <v>496</v>
      </c>
      <c r="O77" s="55" t="s">
        <v>312</v>
      </c>
      <c r="P77" s="55" t="s">
        <v>723</v>
      </c>
      <c r="Q77" s="55" t="s">
        <v>76</v>
      </c>
      <c r="R77" s="55" t="s">
        <v>392</v>
      </c>
    </row>
    <row r="78" spans="1:18" x14ac:dyDescent="0.2">
      <c r="A78" s="55" t="s">
        <v>724</v>
      </c>
      <c r="B78" s="55" t="s">
        <v>527</v>
      </c>
      <c r="C78" s="55" t="s">
        <v>331</v>
      </c>
      <c r="D78" s="55" t="s">
        <v>724</v>
      </c>
      <c r="E78" s="63">
        <v>0</v>
      </c>
      <c r="F78" s="61">
        <v>43726</v>
      </c>
      <c r="G78" s="55" t="s">
        <v>552</v>
      </c>
      <c r="H78" s="55" t="s">
        <v>316</v>
      </c>
      <c r="I78" s="55" t="s">
        <v>333</v>
      </c>
      <c r="J78" s="60" t="s">
        <v>65</v>
      </c>
      <c r="K78" s="55">
        <v>-10497.2</v>
      </c>
      <c r="L78" s="61" t="s">
        <v>319</v>
      </c>
      <c r="M78" s="55" t="s">
        <v>8</v>
      </c>
      <c r="N78" s="55" t="s">
        <v>496</v>
      </c>
      <c r="O78" s="55" t="s">
        <v>312</v>
      </c>
      <c r="P78" s="55" t="s">
        <v>725</v>
      </c>
      <c r="Q78" s="55" t="s">
        <v>76</v>
      </c>
      <c r="R78" s="55" t="s">
        <v>392</v>
      </c>
    </row>
    <row r="79" spans="1:18" x14ac:dyDescent="0.2">
      <c r="A79" s="55" t="s">
        <v>726</v>
      </c>
      <c r="B79" s="55" t="s">
        <v>527</v>
      </c>
      <c r="C79" s="55" t="s">
        <v>331</v>
      </c>
      <c r="D79" s="55" t="s">
        <v>726</v>
      </c>
      <c r="E79" s="63">
        <v>0</v>
      </c>
      <c r="F79" s="61">
        <v>43726</v>
      </c>
      <c r="G79" s="55" t="s">
        <v>553</v>
      </c>
      <c r="H79" s="55" t="s">
        <v>316</v>
      </c>
      <c r="I79" s="55" t="s">
        <v>333</v>
      </c>
      <c r="J79" s="60" t="s">
        <v>65</v>
      </c>
      <c r="K79" s="55">
        <v>-5017.3999999999996</v>
      </c>
      <c r="L79" s="61" t="s">
        <v>319</v>
      </c>
      <c r="M79" s="55" t="s">
        <v>8</v>
      </c>
      <c r="N79" s="55" t="s">
        <v>496</v>
      </c>
      <c r="O79" s="55" t="s">
        <v>312</v>
      </c>
      <c r="P79" s="55" t="s">
        <v>727</v>
      </c>
      <c r="Q79" s="55" t="s">
        <v>76</v>
      </c>
      <c r="R79" s="55" t="s">
        <v>392</v>
      </c>
    </row>
    <row r="80" spans="1:18" x14ac:dyDescent="0.2">
      <c r="A80" s="55" t="s">
        <v>728</v>
      </c>
      <c r="B80" s="55" t="s">
        <v>527</v>
      </c>
      <c r="C80" s="55" t="s">
        <v>331</v>
      </c>
      <c r="D80" s="55" t="s">
        <v>728</v>
      </c>
      <c r="E80" s="63">
        <v>0</v>
      </c>
      <c r="F80" s="61">
        <v>43726</v>
      </c>
      <c r="G80" s="55" t="s">
        <v>554</v>
      </c>
      <c r="H80" s="55" t="s">
        <v>316</v>
      </c>
      <c r="I80" s="55" t="s">
        <v>333</v>
      </c>
      <c r="J80" s="60" t="s">
        <v>65</v>
      </c>
      <c r="K80" s="55">
        <v>-5297.6</v>
      </c>
      <c r="L80" s="61" t="s">
        <v>319</v>
      </c>
      <c r="M80" s="55" t="s">
        <v>8</v>
      </c>
      <c r="N80" s="55" t="s">
        <v>496</v>
      </c>
      <c r="O80" s="55" t="s">
        <v>312</v>
      </c>
      <c r="P80" s="55" t="s">
        <v>729</v>
      </c>
      <c r="Q80" s="55" t="s">
        <v>76</v>
      </c>
      <c r="R80" s="55" t="s">
        <v>392</v>
      </c>
    </row>
    <row r="81" spans="1:18" x14ac:dyDescent="0.2">
      <c r="A81" s="55" t="s">
        <v>730</v>
      </c>
      <c r="B81" s="55" t="s">
        <v>527</v>
      </c>
      <c r="C81" s="55" t="s">
        <v>331</v>
      </c>
      <c r="D81" s="55" t="s">
        <v>730</v>
      </c>
      <c r="E81" s="63">
        <v>0</v>
      </c>
      <c r="F81" s="61">
        <v>43726</v>
      </c>
      <c r="G81" s="55" t="s">
        <v>555</v>
      </c>
      <c r="H81" s="55" t="s">
        <v>316</v>
      </c>
      <c r="I81" s="55" t="s">
        <v>333</v>
      </c>
      <c r="J81" s="60" t="s">
        <v>65</v>
      </c>
      <c r="K81" s="55">
        <v>-5577.8</v>
      </c>
      <c r="L81" s="61" t="s">
        <v>319</v>
      </c>
      <c r="M81" s="55" t="s">
        <v>8</v>
      </c>
      <c r="N81" s="55" t="s">
        <v>496</v>
      </c>
      <c r="O81" s="55" t="s">
        <v>312</v>
      </c>
      <c r="P81" s="55" t="s">
        <v>731</v>
      </c>
      <c r="Q81" s="55" t="s">
        <v>76</v>
      </c>
      <c r="R81" s="55" t="s">
        <v>392</v>
      </c>
    </row>
    <row r="82" spans="1:18" x14ac:dyDescent="0.2">
      <c r="A82" s="55" t="s">
        <v>732</v>
      </c>
      <c r="B82" s="55" t="s">
        <v>527</v>
      </c>
      <c r="C82" s="55" t="s">
        <v>331</v>
      </c>
      <c r="D82" s="55" t="s">
        <v>732</v>
      </c>
      <c r="E82" s="63">
        <v>0</v>
      </c>
      <c r="F82" s="61">
        <v>43726</v>
      </c>
      <c r="G82" s="55" t="s">
        <v>556</v>
      </c>
      <c r="H82" s="55" t="s">
        <v>316</v>
      </c>
      <c r="I82" s="55" t="s">
        <v>333</v>
      </c>
      <c r="J82" s="60" t="s">
        <v>65</v>
      </c>
      <c r="K82" s="55">
        <v>-5858</v>
      </c>
      <c r="L82" s="61" t="s">
        <v>319</v>
      </c>
      <c r="M82" s="55" t="s">
        <v>8</v>
      </c>
      <c r="N82" s="55" t="s">
        <v>496</v>
      </c>
      <c r="O82" s="55" t="s">
        <v>312</v>
      </c>
      <c r="P82" s="55" t="s">
        <v>733</v>
      </c>
      <c r="Q82" s="55" t="s">
        <v>76</v>
      </c>
      <c r="R82" s="55" t="s">
        <v>392</v>
      </c>
    </row>
    <row r="83" spans="1:18" x14ac:dyDescent="0.2">
      <c r="A83" s="55" t="s">
        <v>734</v>
      </c>
      <c r="B83" s="55" t="s">
        <v>527</v>
      </c>
      <c r="C83" s="55" t="s">
        <v>331</v>
      </c>
      <c r="D83" s="55" t="s">
        <v>734</v>
      </c>
      <c r="E83" s="63">
        <v>0</v>
      </c>
      <c r="F83" s="61">
        <v>43726</v>
      </c>
      <c r="G83" s="55" t="s">
        <v>557</v>
      </c>
      <c r="H83" s="55" t="s">
        <v>316</v>
      </c>
      <c r="I83" s="55" t="s">
        <v>333</v>
      </c>
      <c r="J83" s="60" t="s">
        <v>65</v>
      </c>
      <c r="K83" s="55">
        <v>-6138.2</v>
      </c>
      <c r="L83" s="61" t="s">
        <v>319</v>
      </c>
      <c r="M83" s="55" t="s">
        <v>8</v>
      </c>
      <c r="N83" s="55" t="s">
        <v>496</v>
      </c>
      <c r="O83" s="55" t="s">
        <v>312</v>
      </c>
      <c r="P83" s="55" t="s">
        <v>735</v>
      </c>
      <c r="Q83" s="55" t="s">
        <v>76</v>
      </c>
      <c r="R83" s="55" t="s">
        <v>392</v>
      </c>
    </row>
    <row r="84" spans="1:18" x14ac:dyDescent="0.2">
      <c r="A84" s="55" t="s">
        <v>736</v>
      </c>
      <c r="B84" s="55" t="s">
        <v>527</v>
      </c>
      <c r="C84" s="55" t="s">
        <v>331</v>
      </c>
      <c r="D84" s="55" t="s">
        <v>736</v>
      </c>
      <c r="E84" s="63">
        <v>0</v>
      </c>
      <c r="F84" s="61">
        <v>43726</v>
      </c>
      <c r="G84" s="55" t="s">
        <v>558</v>
      </c>
      <c r="H84" s="55" t="s">
        <v>316</v>
      </c>
      <c r="I84" s="55" t="s">
        <v>333</v>
      </c>
      <c r="J84" s="60" t="s">
        <v>65</v>
      </c>
      <c r="K84" s="55">
        <v>-6418.4</v>
      </c>
      <c r="L84" s="61" t="s">
        <v>319</v>
      </c>
      <c r="M84" s="55" t="s">
        <v>8</v>
      </c>
      <c r="N84" s="55" t="s">
        <v>496</v>
      </c>
      <c r="O84" s="55" t="s">
        <v>312</v>
      </c>
      <c r="P84" s="55" t="s">
        <v>737</v>
      </c>
      <c r="Q84" s="55" t="s">
        <v>76</v>
      </c>
      <c r="R84" s="55" t="s">
        <v>392</v>
      </c>
    </row>
    <row r="85" spans="1:18" x14ac:dyDescent="0.2">
      <c r="A85" s="55" t="s">
        <v>738</v>
      </c>
      <c r="B85" s="55" t="s">
        <v>527</v>
      </c>
      <c r="C85" s="55" t="s">
        <v>331</v>
      </c>
      <c r="D85" s="55" t="s">
        <v>738</v>
      </c>
      <c r="E85" s="63">
        <v>0</v>
      </c>
      <c r="F85" s="61">
        <v>43726</v>
      </c>
      <c r="G85" s="55" t="s">
        <v>559</v>
      </c>
      <c r="H85" s="55" t="s">
        <v>316</v>
      </c>
      <c r="I85" s="55" t="s">
        <v>333</v>
      </c>
      <c r="J85" s="60" t="s">
        <v>65</v>
      </c>
      <c r="K85" s="55">
        <v>-6698.6</v>
      </c>
      <c r="L85" s="61" t="s">
        <v>319</v>
      </c>
      <c r="M85" s="55" t="s">
        <v>8</v>
      </c>
      <c r="N85" s="55" t="s">
        <v>496</v>
      </c>
      <c r="O85" s="55" t="s">
        <v>312</v>
      </c>
      <c r="P85" s="55" t="s">
        <v>739</v>
      </c>
      <c r="Q85" s="55" t="s">
        <v>76</v>
      </c>
      <c r="R85" s="55" t="s">
        <v>392</v>
      </c>
    </row>
    <row r="86" spans="1:18" x14ac:dyDescent="0.2">
      <c r="A86" s="55" t="s">
        <v>740</v>
      </c>
      <c r="B86" s="55" t="s">
        <v>527</v>
      </c>
      <c r="C86" s="55" t="s">
        <v>331</v>
      </c>
      <c r="D86" s="55" t="s">
        <v>740</v>
      </c>
      <c r="E86" s="63">
        <v>0</v>
      </c>
      <c r="F86" s="61">
        <v>43726</v>
      </c>
      <c r="G86" s="55" t="s">
        <v>560</v>
      </c>
      <c r="H86" s="55" t="s">
        <v>316</v>
      </c>
      <c r="I86" s="55" t="s">
        <v>333</v>
      </c>
      <c r="J86" s="60" t="s">
        <v>65</v>
      </c>
      <c r="K86" s="55">
        <v>-6978.8</v>
      </c>
      <c r="L86" s="61" t="s">
        <v>319</v>
      </c>
      <c r="M86" s="55" t="s">
        <v>8</v>
      </c>
      <c r="N86" s="55" t="s">
        <v>496</v>
      </c>
      <c r="O86" s="55" t="s">
        <v>312</v>
      </c>
      <c r="P86" s="55" t="s">
        <v>741</v>
      </c>
      <c r="Q86" s="55" t="s">
        <v>76</v>
      </c>
      <c r="R86" s="55" t="s">
        <v>392</v>
      </c>
    </row>
    <row r="87" spans="1:18" x14ac:dyDescent="0.2">
      <c r="A87" s="55" t="s">
        <v>742</v>
      </c>
      <c r="B87" s="55" t="s">
        <v>527</v>
      </c>
      <c r="C87" s="55" t="s">
        <v>331</v>
      </c>
      <c r="D87" s="55" t="s">
        <v>742</v>
      </c>
      <c r="E87" s="63">
        <v>0</v>
      </c>
      <c r="F87" s="61">
        <v>43726</v>
      </c>
      <c r="G87" s="55" t="s">
        <v>561</v>
      </c>
      <c r="H87" s="55" t="s">
        <v>316</v>
      </c>
      <c r="I87" s="55" t="s">
        <v>333</v>
      </c>
      <c r="J87" s="60" t="s">
        <v>65</v>
      </c>
      <c r="K87" s="55">
        <v>-7259</v>
      </c>
      <c r="L87" s="61" t="s">
        <v>319</v>
      </c>
      <c r="M87" s="55" t="s">
        <v>8</v>
      </c>
      <c r="N87" s="55" t="s">
        <v>496</v>
      </c>
      <c r="O87" s="55" t="s">
        <v>312</v>
      </c>
      <c r="P87" s="55" t="s">
        <v>743</v>
      </c>
      <c r="Q87" s="55" t="s">
        <v>76</v>
      </c>
      <c r="R87" s="55" t="s">
        <v>392</v>
      </c>
    </row>
    <row r="88" spans="1:18" x14ac:dyDescent="0.2">
      <c r="A88" s="55" t="s">
        <v>744</v>
      </c>
      <c r="B88" s="55" t="s">
        <v>527</v>
      </c>
      <c r="C88" s="55" t="s">
        <v>331</v>
      </c>
      <c r="D88" s="55" t="s">
        <v>744</v>
      </c>
      <c r="E88" s="63">
        <v>0</v>
      </c>
      <c r="F88" s="61">
        <v>43726</v>
      </c>
      <c r="G88" s="55" t="s">
        <v>562</v>
      </c>
      <c r="H88" s="55" t="s">
        <v>316</v>
      </c>
      <c r="I88" s="55" t="s">
        <v>333</v>
      </c>
      <c r="J88" s="60" t="s">
        <v>65</v>
      </c>
      <c r="K88" s="55">
        <v>-7539.2</v>
      </c>
      <c r="L88" s="61" t="s">
        <v>319</v>
      </c>
      <c r="M88" s="55" t="s">
        <v>8</v>
      </c>
      <c r="N88" s="55" t="s">
        <v>496</v>
      </c>
      <c r="O88" s="55" t="s">
        <v>312</v>
      </c>
      <c r="P88" s="55" t="s">
        <v>745</v>
      </c>
      <c r="Q88" s="55" t="s">
        <v>76</v>
      </c>
      <c r="R88" s="55" t="s">
        <v>392</v>
      </c>
    </row>
    <row r="89" spans="1:18" x14ac:dyDescent="0.2">
      <c r="A89" s="55" t="s">
        <v>746</v>
      </c>
      <c r="B89" s="55" t="s">
        <v>527</v>
      </c>
      <c r="C89" s="55" t="s">
        <v>331</v>
      </c>
      <c r="D89" s="55" t="s">
        <v>746</v>
      </c>
      <c r="E89" s="63">
        <v>0</v>
      </c>
      <c r="F89" s="61">
        <v>43726</v>
      </c>
      <c r="G89" s="55" t="s">
        <v>563</v>
      </c>
      <c r="H89" s="55" t="s">
        <v>316</v>
      </c>
      <c r="I89" s="55" t="s">
        <v>333</v>
      </c>
      <c r="J89" s="60" t="s">
        <v>65</v>
      </c>
      <c r="K89" s="55">
        <v>-7819.4</v>
      </c>
      <c r="L89" s="61" t="s">
        <v>319</v>
      </c>
      <c r="M89" s="55" t="s">
        <v>8</v>
      </c>
      <c r="N89" s="55" t="s">
        <v>496</v>
      </c>
      <c r="O89" s="55" t="s">
        <v>312</v>
      </c>
      <c r="P89" s="55" t="s">
        <v>747</v>
      </c>
      <c r="Q89" s="55" t="s">
        <v>76</v>
      </c>
      <c r="R89" s="55" t="s">
        <v>392</v>
      </c>
    </row>
    <row r="90" spans="1:18" x14ac:dyDescent="0.2">
      <c r="A90" s="55" t="s">
        <v>748</v>
      </c>
      <c r="B90" s="55" t="s">
        <v>527</v>
      </c>
      <c r="C90" s="55" t="s">
        <v>331</v>
      </c>
      <c r="D90" s="55" t="s">
        <v>748</v>
      </c>
      <c r="E90" s="63">
        <v>0</v>
      </c>
      <c r="F90" s="61">
        <v>43726</v>
      </c>
      <c r="G90" s="55" t="s">
        <v>564</v>
      </c>
      <c r="H90" s="55" t="s">
        <v>316</v>
      </c>
      <c r="I90" s="55" t="s">
        <v>333</v>
      </c>
      <c r="J90" s="60" t="s">
        <v>65</v>
      </c>
      <c r="K90" s="55">
        <v>-8099.6</v>
      </c>
      <c r="L90" s="61" t="s">
        <v>319</v>
      </c>
      <c r="M90" s="55" t="s">
        <v>8</v>
      </c>
      <c r="N90" s="55" t="s">
        <v>496</v>
      </c>
      <c r="O90" s="55" t="s">
        <v>312</v>
      </c>
      <c r="P90" s="55" t="s">
        <v>749</v>
      </c>
      <c r="Q90" s="55" t="s">
        <v>76</v>
      </c>
      <c r="R90" s="55" t="s">
        <v>392</v>
      </c>
    </row>
    <row r="91" spans="1:18" x14ac:dyDescent="0.2">
      <c r="A91" s="55" t="s">
        <v>750</v>
      </c>
      <c r="B91" s="55" t="s">
        <v>527</v>
      </c>
      <c r="C91" s="55" t="s">
        <v>331</v>
      </c>
      <c r="D91" s="55" t="s">
        <v>750</v>
      </c>
      <c r="E91" s="63">
        <v>0</v>
      </c>
      <c r="F91" s="61">
        <v>43726</v>
      </c>
      <c r="G91" s="55" t="s">
        <v>565</v>
      </c>
      <c r="H91" s="55" t="s">
        <v>316</v>
      </c>
      <c r="I91" s="55" t="s">
        <v>333</v>
      </c>
      <c r="J91" s="60" t="s">
        <v>65</v>
      </c>
      <c r="K91" s="55">
        <v>-8379.7999999999993</v>
      </c>
      <c r="L91" s="61" t="s">
        <v>319</v>
      </c>
      <c r="M91" s="55" t="s">
        <v>8</v>
      </c>
      <c r="N91" s="55" t="s">
        <v>496</v>
      </c>
      <c r="O91" s="55" t="s">
        <v>312</v>
      </c>
      <c r="P91" s="55" t="s">
        <v>751</v>
      </c>
      <c r="Q91" s="55" t="s">
        <v>76</v>
      </c>
      <c r="R91" s="55" t="s">
        <v>392</v>
      </c>
    </row>
    <row r="92" spans="1:18" x14ac:dyDescent="0.2">
      <c r="A92" s="55" t="s">
        <v>752</v>
      </c>
      <c r="B92" s="55" t="s">
        <v>527</v>
      </c>
      <c r="C92" s="55" t="s">
        <v>331</v>
      </c>
      <c r="D92" s="55" t="s">
        <v>752</v>
      </c>
      <c r="E92" s="63">
        <v>0</v>
      </c>
      <c r="F92" s="61">
        <v>43726</v>
      </c>
      <c r="G92" s="55" t="s">
        <v>566</v>
      </c>
      <c r="H92" s="55" t="s">
        <v>316</v>
      </c>
      <c r="I92" s="55" t="s">
        <v>333</v>
      </c>
      <c r="J92" s="60" t="s">
        <v>65</v>
      </c>
      <c r="K92" s="55">
        <v>-8660</v>
      </c>
      <c r="L92" s="61" t="s">
        <v>319</v>
      </c>
      <c r="M92" s="55" t="s">
        <v>8</v>
      </c>
      <c r="N92" s="55" t="s">
        <v>496</v>
      </c>
      <c r="O92" s="55" t="s">
        <v>312</v>
      </c>
      <c r="P92" s="55" t="s">
        <v>753</v>
      </c>
      <c r="Q92" s="55" t="s">
        <v>76</v>
      </c>
      <c r="R92" s="55" t="s">
        <v>392</v>
      </c>
    </row>
    <row r="93" spans="1:18" x14ac:dyDescent="0.2">
      <c r="A93" s="55" t="s">
        <v>754</v>
      </c>
      <c r="B93" s="55" t="s">
        <v>527</v>
      </c>
      <c r="C93" s="55" t="s">
        <v>331</v>
      </c>
      <c r="D93" s="55" t="s">
        <v>754</v>
      </c>
      <c r="E93" s="63">
        <v>0</v>
      </c>
      <c r="F93" s="61">
        <v>43726</v>
      </c>
      <c r="G93" s="55" t="s">
        <v>567</v>
      </c>
      <c r="H93" s="55" t="s">
        <v>316</v>
      </c>
      <c r="I93" s="55" t="s">
        <v>333</v>
      </c>
      <c r="J93" s="60" t="s">
        <v>65</v>
      </c>
      <c r="K93" s="55">
        <v>-8940.2000000000007</v>
      </c>
      <c r="L93" s="61" t="s">
        <v>319</v>
      </c>
      <c r="M93" s="55" t="s">
        <v>8</v>
      </c>
      <c r="N93" s="55" t="s">
        <v>496</v>
      </c>
      <c r="O93" s="55" t="s">
        <v>312</v>
      </c>
      <c r="P93" s="55" t="s">
        <v>755</v>
      </c>
      <c r="Q93" s="55" t="s">
        <v>76</v>
      </c>
      <c r="R93" s="55" t="s">
        <v>392</v>
      </c>
    </row>
    <row r="94" spans="1:18" x14ac:dyDescent="0.2">
      <c r="A94" s="55" t="s">
        <v>756</v>
      </c>
      <c r="B94" s="55" t="s">
        <v>527</v>
      </c>
      <c r="C94" s="55" t="s">
        <v>331</v>
      </c>
      <c r="D94" s="55" t="s">
        <v>756</v>
      </c>
      <c r="E94" s="63">
        <v>0</v>
      </c>
      <c r="F94" s="61">
        <v>43726</v>
      </c>
      <c r="G94" s="55" t="s">
        <v>568</v>
      </c>
      <c r="H94" s="55" t="s">
        <v>316</v>
      </c>
      <c r="I94" s="55" t="s">
        <v>333</v>
      </c>
      <c r="J94" s="60" t="s">
        <v>65</v>
      </c>
      <c r="K94" s="55">
        <v>-9220.4</v>
      </c>
      <c r="L94" s="61" t="s">
        <v>319</v>
      </c>
      <c r="M94" s="55" t="s">
        <v>8</v>
      </c>
      <c r="N94" s="55" t="s">
        <v>496</v>
      </c>
      <c r="O94" s="55" t="s">
        <v>312</v>
      </c>
      <c r="P94" s="55" t="s">
        <v>757</v>
      </c>
      <c r="Q94" s="55" t="s">
        <v>76</v>
      </c>
      <c r="R94" s="55" t="s">
        <v>392</v>
      </c>
    </row>
    <row r="95" spans="1:18" x14ac:dyDescent="0.2">
      <c r="A95" s="55" t="s">
        <v>758</v>
      </c>
      <c r="B95" s="55" t="s">
        <v>527</v>
      </c>
      <c r="C95" s="55" t="s">
        <v>331</v>
      </c>
      <c r="D95" s="55" t="s">
        <v>758</v>
      </c>
      <c r="E95" s="63">
        <v>0</v>
      </c>
      <c r="F95" s="61">
        <v>43726</v>
      </c>
      <c r="G95" s="55" t="s">
        <v>569</v>
      </c>
      <c r="H95" s="55" t="s">
        <v>316</v>
      </c>
      <c r="I95" s="55" t="s">
        <v>333</v>
      </c>
      <c r="J95" s="60" t="s">
        <v>65</v>
      </c>
      <c r="K95" s="55">
        <v>-9500.6</v>
      </c>
      <c r="L95" s="61" t="s">
        <v>319</v>
      </c>
      <c r="M95" s="55" t="s">
        <v>8</v>
      </c>
      <c r="N95" s="55" t="s">
        <v>496</v>
      </c>
      <c r="O95" s="55" t="s">
        <v>312</v>
      </c>
      <c r="P95" s="55" t="s">
        <v>759</v>
      </c>
      <c r="Q95" s="55" t="s">
        <v>76</v>
      </c>
      <c r="R95" s="55" t="s">
        <v>392</v>
      </c>
    </row>
    <row r="96" spans="1:18" x14ac:dyDescent="0.2">
      <c r="A96" s="55" t="s">
        <v>760</v>
      </c>
      <c r="B96" s="55" t="s">
        <v>527</v>
      </c>
      <c r="C96" s="55" t="s">
        <v>331</v>
      </c>
      <c r="D96" s="55" t="s">
        <v>760</v>
      </c>
      <c r="E96" s="63">
        <v>0</v>
      </c>
      <c r="F96" s="61">
        <v>43726</v>
      </c>
      <c r="G96" s="55" t="s">
        <v>570</v>
      </c>
      <c r="H96" s="55" t="s">
        <v>316</v>
      </c>
      <c r="I96" s="55" t="s">
        <v>333</v>
      </c>
      <c r="J96" s="60" t="s">
        <v>65</v>
      </c>
      <c r="K96" s="55">
        <v>-9780.7999999999993</v>
      </c>
      <c r="L96" s="61" t="s">
        <v>319</v>
      </c>
      <c r="M96" s="55" t="s">
        <v>8</v>
      </c>
      <c r="N96" s="55" t="s">
        <v>496</v>
      </c>
      <c r="O96" s="55" t="s">
        <v>312</v>
      </c>
      <c r="P96" s="55" t="s">
        <v>761</v>
      </c>
      <c r="Q96" s="55" t="s">
        <v>76</v>
      </c>
      <c r="R96" s="55" t="s">
        <v>392</v>
      </c>
    </row>
    <row r="97" spans="1:18" x14ac:dyDescent="0.2">
      <c r="A97" s="55" t="s">
        <v>762</v>
      </c>
      <c r="B97" s="55" t="s">
        <v>527</v>
      </c>
      <c r="C97" s="55" t="s">
        <v>331</v>
      </c>
      <c r="D97" s="55" t="s">
        <v>762</v>
      </c>
      <c r="E97" s="63">
        <v>0</v>
      </c>
      <c r="F97" s="61">
        <v>43726</v>
      </c>
      <c r="G97" s="55" t="s">
        <v>571</v>
      </c>
      <c r="H97" s="55" t="s">
        <v>316</v>
      </c>
      <c r="I97" s="55" t="s">
        <v>333</v>
      </c>
      <c r="J97" s="60" t="s">
        <v>65</v>
      </c>
      <c r="K97" s="55">
        <v>-10061</v>
      </c>
      <c r="L97" s="61" t="s">
        <v>319</v>
      </c>
      <c r="M97" s="55" t="s">
        <v>8</v>
      </c>
      <c r="N97" s="55" t="s">
        <v>496</v>
      </c>
      <c r="O97" s="55" t="s">
        <v>312</v>
      </c>
      <c r="P97" s="55" t="s">
        <v>763</v>
      </c>
      <c r="Q97" s="55" t="s">
        <v>76</v>
      </c>
      <c r="R97" s="55" t="s">
        <v>392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topLeftCell="G1" workbookViewId="0">
      <pane ySplit="1" topLeftCell="A2" activePane="bottomLeft" state="frozen"/>
      <selection pane="bottomLeft" activeCell="K14" sqref="K14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  <row r="2" spans="1:18" x14ac:dyDescent="0.2">
      <c r="A2" s="39" t="s">
        <v>764</v>
      </c>
      <c r="B2" s="36" t="s">
        <v>455</v>
      </c>
      <c r="C2" s="39" t="s">
        <v>765</v>
      </c>
      <c r="D2" s="36">
        <v>0</v>
      </c>
      <c r="E2" s="37">
        <v>43726</v>
      </c>
      <c r="F2" s="40" t="s">
        <v>766</v>
      </c>
      <c r="G2" s="36" t="s">
        <v>316</v>
      </c>
      <c r="H2" s="36" t="s">
        <v>71</v>
      </c>
      <c r="I2" s="36">
        <v>4.12</v>
      </c>
      <c r="J2" s="36" t="s">
        <v>56</v>
      </c>
      <c r="K2" s="36" t="s">
        <v>65</v>
      </c>
      <c r="L2" s="41">
        <v>50000</v>
      </c>
      <c r="M2" s="36"/>
      <c r="N2" s="36" t="s">
        <v>314</v>
      </c>
      <c r="P2" s="36" t="s">
        <v>767</v>
      </c>
      <c r="Q2" s="36" t="s">
        <v>312</v>
      </c>
      <c r="R2" s="39" t="s">
        <v>768</v>
      </c>
    </row>
    <row r="3" spans="1:18" x14ac:dyDescent="0.2">
      <c r="A3" s="39" t="s">
        <v>769</v>
      </c>
      <c r="B3" s="36" t="s">
        <v>455</v>
      </c>
      <c r="C3" s="39" t="s">
        <v>769</v>
      </c>
      <c r="D3" s="36">
        <v>0</v>
      </c>
      <c r="E3" s="37">
        <v>43726</v>
      </c>
      <c r="F3" s="40" t="s">
        <v>770</v>
      </c>
      <c r="G3" s="36" t="s">
        <v>316</v>
      </c>
      <c r="H3" s="36" t="s">
        <v>71</v>
      </c>
      <c r="I3" s="36">
        <v>4.1159999999999997</v>
      </c>
      <c r="J3" s="36" t="s">
        <v>56</v>
      </c>
      <c r="K3" s="36" t="s">
        <v>65</v>
      </c>
      <c r="L3" s="41">
        <v>10000</v>
      </c>
      <c r="M3" s="36"/>
      <c r="N3" s="36" t="s">
        <v>314</v>
      </c>
      <c r="P3" s="36" t="s">
        <v>771</v>
      </c>
      <c r="Q3" s="36" t="s">
        <v>312</v>
      </c>
      <c r="R3" s="39" t="s">
        <v>772</v>
      </c>
    </row>
    <row r="4" spans="1:18" x14ac:dyDescent="0.2">
      <c r="A4" s="35" t="s">
        <v>773</v>
      </c>
      <c r="B4" s="35" t="s">
        <v>455</v>
      </c>
      <c r="C4" s="35" t="s">
        <v>773</v>
      </c>
      <c r="D4" s="35">
        <v>0</v>
      </c>
      <c r="E4" s="37">
        <v>43726</v>
      </c>
      <c r="F4" s="35" t="s">
        <v>774</v>
      </c>
      <c r="G4" s="35" t="s">
        <v>316</v>
      </c>
      <c r="H4" s="35" t="s">
        <v>71</v>
      </c>
      <c r="I4" s="35">
        <v>4.12</v>
      </c>
      <c r="J4" s="35" t="s">
        <v>56</v>
      </c>
      <c r="K4" s="35" t="s">
        <v>65</v>
      </c>
      <c r="L4" s="35">
        <v>50000</v>
      </c>
      <c r="N4" s="35" t="s">
        <v>317</v>
      </c>
      <c r="P4" s="35" t="s">
        <v>767</v>
      </c>
      <c r="Q4" s="35" t="s">
        <v>312</v>
      </c>
      <c r="R4" s="35" t="s">
        <v>775</v>
      </c>
    </row>
    <row r="5" spans="1:18" x14ac:dyDescent="0.2">
      <c r="A5" s="35" t="s">
        <v>776</v>
      </c>
      <c r="B5" s="35" t="s">
        <v>455</v>
      </c>
      <c r="C5" s="35" t="s">
        <v>776</v>
      </c>
      <c r="D5" s="35">
        <v>0</v>
      </c>
      <c r="E5" s="37">
        <v>43726</v>
      </c>
      <c r="F5" s="35" t="s">
        <v>777</v>
      </c>
      <c r="G5" s="35" t="s">
        <v>316</v>
      </c>
      <c r="H5" s="35" t="s">
        <v>71</v>
      </c>
      <c r="I5" s="35">
        <v>4.1159999999999997</v>
      </c>
      <c r="J5" s="35" t="s">
        <v>56</v>
      </c>
      <c r="K5" s="35" t="s">
        <v>65</v>
      </c>
      <c r="L5" s="35">
        <v>10000</v>
      </c>
      <c r="N5" s="35" t="s">
        <v>317</v>
      </c>
      <c r="P5" s="35" t="s">
        <v>778</v>
      </c>
      <c r="Q5" s="35" t="s">
        <v>312</v>
      </c>
      <c r="R5" s="35" t="s">
        <v>779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R12"/>
  <sheetViews>
    <sheetView workbookViewId="0">
      <pane ySplit="1" topLeftCell="A3" activePane="bottomLeft" state="frozen"/>
      <selection pane="bottomLeft" activeCell="C13" sqref="C13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439</v>
      </c>
      <c r="B2" s="56" t="s">
        <v>440</v>
      </c>
      <c r="C2" s="57" t="s">
        <v>354</v>
      </c>
      <c r="D2" s="56" t="s">
        <v>439</v>
      </c>
      <c r="E2" s="63">
        <v>1</v>
      </c>
      <c r="F2" s="61">
        <v>43726</v>
      </c>
      <c r="G2" s="59" t="s">
        <v>441</v>
      </c>
      <c r="H2" s="57" t="s">
        <v>327</v>
      </c>
      <c r="I2" s="57" t="s">
        <v>356</v>
      </c>
      <c r="J2" s="57" t="s">
        <v>56</v>
      </c>
      <c r="K2" s="60">
        <v>50000</v>
      </c>
      <c r="L2" s="57" t="s">
        <v>321</v>
      </c>
      <c r="M2" s="58" t="s">
        <v>8</v>
      </c>
      <c r="N2" s="55" t="s">
        <v>442</v>
      </c>
      <c r="O2" s="56" t="s">
        <v>312</v>
      </c>
      <c r="P2" s="57" t="s">
        <v>443</v>
      </c>
      <c r="Q2" s="55" t="s">
        <v>76</v>
      </c>
      <c r="R2" s="55" t="s">
        <v>336</v>
      </c>
    </row>
    <row r="3" spans="1:18" s="71" customFormat="1" x14ac:dyDescent="0.2">
      <c r="A3" s="64" t="s">
        <v>445</v>
      </c>
      <c r="B3" s="64" t="s">
        <v>446</v>
      </c>
      <c r="C3" s="65" t="s">
        <v>331</v>
      </c>
      <c r="D3" s="64" t="s">
        <v>445</v>
      </c>
      <c r="E3" s="66">
        <v>1</v>
      </c>
      <c r="F3" s="67">
        <v>43726</v>
      </c>
      <c r="G3" s="68" t="s">
        <v>447</v>
      </c>
      <c r="H3" s="65" t="s">
        <v>327</v>
      </c>
      <c r="I3" s="65" t="s">
        <v>333</v>
      </c>
      <c r="J3" s="65" t="s">
        <v>311</v>
      </c>
      <c r="K3" s="69">
        <v>-275132.45</v>
      </c>
      <c r="L3" s="65" t="s">
        <v>319</v>
      </c>
      <c r="M3" s="70"/>
      <c r="N3" s="71" t="s">
        <v>444</v>
      </c>
      <c r="O3" s="64" t="s">
        <v>312</v>
      </c>
      <c r="P3" s="65" t="s">
        <v>448</v>
      </c>
      <c r="Q3" s="71" t="s">
        <v>76</v>
      </c>
      <c r="R3" s="71" t="s">
        <v>392</v>
      </c>
    </row>
    <row r="4" spans="1:18" s="71" customFormat="1" x14ac:dyDescent="0.2">
      <c r="A4" s="64" t="s">
        <v>449</v>
      </c>
      <c r="B4" s="64" t="s">
        <v>446</v>
      </c>
      <c r="C4" s="65" t="s">
        <v>331</v>
      </c>
      <c r="D4" s="64" t="s">
        <v>449</v>
      </c>
      <c r="E4" s="66">
        <v>1</v>
      </c>
      <c r="F4" s="67">
        <v>43726</v>
      </c>
      <c r="G4" s="68" t="s">
        <v>450</v>
      </c>
      <c r="H4" s="65" t="s">
        <v>327</v>
      </c>
      <c r="I4" s="65" t="s">
        <v>333</v>
      </c>
      <c r="J4" s="65" t="s">
        <v>311</v>
      </c>
      <c r="K4" s="69">
        <v>-112564.67</v>
      </c>
      <c r="L4" s="65" t="s">
        <v>319</v>
      </c>
      <c r="M4" s="70"/>
      <c r="N4" s="71" t="s">
        <v>444</v>
      </c>
      <c r="O4" s="64" t="s">
        <v>312</v>
      </c>
      <c r="P4" s="65" t="s">
        <v>451</v>
      </c>
      <c r="Q4" s="71" t="s">
        <v>76</v>
      </c>
      <c r="R4" s="71" t="s">
        <v>392</v>
      </c>
    </row>
    <row r="5" spans="1:18" x14ac:dyDescent="0.2">
      <c r="A5" s="56"/>
      <c r="B5" s="56"/>
      <c r="C5" s="57"/>
      <c r="D5" s="56"/>
      <c r="G5" s="59"/>
      <c r="H5" s="57"/>
      <c r="I5" s="57"/>
      <c r="J5" s="57"/>
      <c r="K5" s="60"/>
      <c r="L5" s="57"/>
      <c r="M5" s="58"/>
      <c r="O5" s="56"/>
      <c r="P5" s="57"/>
    </row>
    <row r="6" spans="1:18" x14ac:dyDescent="0.2">
      <c r="A6" s="56"/>
      <c r="B6" s="56"/>
      <c r="C6" s="57"/>
      <c r="D6" s="56"/>
      <c r="G6" s="59"/>
      <c r="H6" s="57"/>
      <c r="I6" s="57"/>
      <c r="J6" s="57"/>
      <c r="K6" s="60"/>
      <c r="L6" s="57"/>
      <c r="M6" s="58"/>
      <c r="O6" s="56"/>
      <c r="P6" s="57"/>
    </row>
    <row r="7" spans="1:18" x14ac:dyDescent="0.2">
      <c r="A7" s="56"/>
      <c r="B7" s="56"/>
      <c r="C7" s="57"/>
      <c r="D7" s="56"/>
      <c r="G7" s="59"/>
      <c r="H7" s="57"/>
      <c r="I7" s="57"/>
      <c r="J7" s="57"/>
      <c r="K7" s="60"/>
      <c r="L7" s="57"/>
      <c r="M7" s="58"/>
      <c r="O7" s="56"/>
      <c r="P7" s="57"/>
    </row>
    <row r="8" spans="1:18" x14ac:dyDescent="0.2">
      <c r="A8" s="56"/>
      <c r="B8" s="56"/>
      <c r="C8" s="57"/>
      <c r="D8" s="56"/>
      <c r="G8" s="59"/>
      <c r="H8" s="57"/>
      <c r="I8" s="57"/>
      <c r="J8" s="57"/>
      <c r="K8" s="60"/>
      <c r="L8" s="57"/>
      <c r="M8" s="58"/>
      <c r="O8" s="56"/>
      <c r="P8" s="57"/>
    </row>
    <row r="9" spans="1:18" x14ac:dyDescent="0.2">
      <c r="A9" s="56"/>
      <c r="B9" s="56"/>
      <c r="C9" s="57"/>
      <c r="D9" s="56"/>
      <c r="G9" s="59"/>
      <c r="H9" s="57"/>
      <c r="I9" s="57"/>
      <c r="J9" s="57"/>
      <c r="K9" s="60"/>
      <c r="L9" s="57"/>
      <c r="M9" s="58"/>
      <c r="O9" s="56"/>
      <c r="P9" s="57"/>
    </row>
    <row r="10" spans="1:18" x14ac:dyDescent="0.2">
      <c r="A10" s="56"/>
      <c r="B10" s="56"/>
      <c r="C10" s="57"/>
      <c r="D10" s="56"/>
      <c r="G10" s="59"/>
      <c r="H10" s="57"/>
      <c r="I10" s="57"/>
      <c r="J10" s="57"/>
      <c r="K10" s="60"/>
      <c r="L10" s="57"/>
      <c r="M10" s="58"/>
      <c r="O10" s="56"/>
      <c r="P10" s="57"/>
    </row>
    <row r="11" spans="1:18" x14ac:dyDescent="0.2">
      <c r="A11" s="56"/>
      <c r="B11" s="56"/>
      <c r="C11" s="57"/>
      <c r="D11" s="56"/>
      <c r="G11" s="59"/>
      <c r="H11" s="57"/>
      <c r="I11" s="57"/>
      <c r="J11" s="57"/>
      <c r="K11" s="60"/>
      <c r="L11" s="57"/>
      <c r="M11" s="58"/>
      <c r="O11" s="56"/>
      <c r="P11" s="57"/>
    </row>
    <row r="12" spans="1:18" x14ac:dyDescent="0.2">
      <c r="A12" s="56"/>
      <c r="B12" s="56"/>
      <c r="C12" s="57"/>
      <c r="D12" s="56"/>
      <c r="G12" s="59"/>
      <c r="H12" s="57"/>
      <c r="I12" s="57"/>
      <c r="J12" s="57"/>
      <c r="K12" s="60"/>
      <c r="L12" s="57"/>
      <c r="M12" s="58"/>
      <c r="O12" s="56"/>
      <c r="P12" s="57"/>
    </row>
  </sheetData>
  <autoFilter ref="A1:O4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N21:O1048576 N13:N20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G13:G1048576</xm:sqref>
        </x14:dataValidation>
        <x14:dataValidation type="list" allowBlank="1" showInputMessage="1" showErrorMessage="1" xr:uid="{0BF28239-05D5-4330-9EFC-D12400B62E09}">
          <x14:formula1>
            <xm:f>Accounts!$J:$J</xm:f>
          </x14:formula1>
          <xm:sqref>J13:K1048576</xm:sqref>
        </x14:dataValidation>
        <x14:dataValidation type="list" allowBlank="1" showInputMessage="1" showErrorMessage="1" xr:uid="{F2DB48E0-7A46-4620-82E5-22E79B0FEE00}">
          <x14:formula1>
            <xm:f>Accounts!$L:$L</xm:f>
          </x14:formula1>
          <xm:sqref>M13:M1048576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D12" sqref="D12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  <row r="2" spans="1:18" x14ac:dyDescent="0.2">
      <c r="A2" s="39" t="s">
        <v>880</v>
      </c>
      <c r="B2" s="36" t="s">
        <v>452</v>
      </c>
      <c r="C2" s="39" t="s">
        <v>880</v>
      </c>
      <c r="D2" s="36">
        <v>1</v>
      </c>
      <c r="E2" s="37">
        <v>43726</v>
      </c>
      <c r="F2" s="40" t="s">
        <v>453</v>
      </c>
      <c r="G2" s="36" t="s">
        <v>327</v>
      </c>
      <c r="H2" s="36" t="s">
        <v>71</v>
      </c>
      <c r="I2" s="36">
        <v>84.754599999999996</v>
      </c>
      <c r="J2" s="36" t="s">
        <v>56</v>
      </c>
      <c r="K2" s="36" t="s">
        <v>311</v>
      </c>
      <c r="L2" s="41">
        <v>423773</v>
      </c>
      <c r="M2" s="36"/>
      <c r="N2" s="36" t="s">
        <v>323</v>
      </c>
      <c r="O2" s="37">
        <v>43726</v>
      </c>
      <c r="P2" s="36" t="s">
        <v>454</v>
      </c>
      <c r="Q2" s="36" t="s">
        <v>312</v>
      </c>
      <c r="R2" s="39" t="s">
        <v>881</v>
      </c>
    </row>
    <row r="3" spans="1:18" x14ac:dyDescent="0.2">
      <c r="A3" s="39" t="s">
        <v>882</v>
      </c>
      <c r="B3" s="36" t="s">
        <v>455</v>
      </c>
      <c r="C3" s="39" t="s">
        <v>882</v>
      </c>
      <c r="D3" s="36">
        <v>1</v>
      </c>
      <c r="E3" s="37">
        <v>43726</v>
      </c>
      <c r="F3" s="40" t="s">
        <v>456</v>
      </c>
      <c r="G3" s="36" t="s">
        <v>327</v>
      </c>
      <c r="H3" s="36" t="s">
        <v>71</v>
      </c>
      <c r="I3" s="36">
        <v>84.765000000000001</v>
      </c>
      <c r="J3" s="36" t="s">
        <v>56</v>
      </c>
      <c r="K3" s="36" t="s">
        <v>311</v>
      </c>
      <c r="L3" s="41">
        <v>974797.5</v>
      </c>
      <c r="M3" s="36"/>
      <c r="N3" s="36" t="s">
        <v>314</v>
      </c>
      <c r="O3" s="37">
        <v>43726</v>
      </c>
      <c r="P3" s="36" t="s">
        <v>457</v>
      </c>
      <c r="Q3" s="36" t="s">
        <v>312</v>
      </c>
      <c r="R3" s="39" t="s">
        <v>883</v>
      </c>
    </row>
    <row r="4" spans="1:18" x14ac:dyDescent="0.2">
      <c r="A4" s="35" t="s">
        <v>884</v>
      </c>
      <c r="B4" s="35" t="s">
        <v>452</v>
      </c>
      <c r="C4" s="35" t="s">
        <v>884</v>
      </c>
      <c r="D4" s="35">
        <v>1</v>
      </c>
      <c r="E4" s="37">
        <v>43726</v>
      </c>
      <c r="F4" s="35" t="s">
        <v>458</v>
      </c>
      <c r="G4" s="35" t="s">
        <v>327</v>
      </c>
      <c r="H4" s="35" t="s">
        <v>71</v>
      </c>
      <c r="I4" s="35">
        <v>84.754599999999996</v>
      </c>
      <c r="J4" s="35" t="s">
        <v>56</v>
      </c>
      <c r="K4" s="35" t="s">
        <v>311</v>
      </c>
      <c r="L4" s="35">
        <v>423773</v>
      </c>
      <c r="N4" s="35" t="s">
        <v>322</v>
      </c>
      <c r="O4" s="37">
        <v>43726</v>
      </c>
      <c r="P4" s="35" t="s">
        <v>454</v>
      </c>
      <c r="Q4" s="35" t="s">
        <v>312</v>
      </c>
      <c r="R4" s="35" t="s">
        <v>885</v>
      </c>
    </row>
    <row r="5" spans="1:18" x14ac:dyDescent="0.2">
      <c r="A5" s="35" t="s">
        <v>886</v>
      </c>
      <c r="B5" s="35" t="s">
        <v>455</v>
      </c>
      <c r="C5" s="35" t="s">
        <v>886</v>
      </c>
      <c r="D5" s="35">
        <v>1</v>
      </c>
      <c r="E5" s="37">
        <v>43726</v>
      </c>
      <c r="F5" s="35" t="s">
        <v>459</v>
      </c>
      <c r="G5" s="35" t="s">
        <v>327</v>
      </c>
      <c r="H5" s="35" t="s">
        <v>71</v>
      </c>
      <c r="I5" s="35">
        <v>84.765000000000001</v>
      </c>
      <c r="J5" s="35" t="s">
        <v>56</v>
      </c>
      <c r="K5" s="35" t="s">
        <v>311</v>
      </c>
      <c r="L5" s="35">
        <v>974797.5</v>
      </c>
      <c r="N5" s="35" t="s">
        <v>317</v>
      </c>
      <c r="O5" s="37">
        <v>43726</v>
      </c>
      <c r="P5" s="35" t="s">
        <v>460</v>
      </c>
      <c r="Q5" s="35" t="s">
        <v>312</v>
      </c>
      <c r="R5" s="35" t="s">
        <v>887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R33"/>
  <sheetViews>
    <sheetView workbookViewId="0">
      <pane ySplit="1" topLeftCell="A2" activePane="bottomLeft" state="frozen"/>
      <selection pane="bottomLeft" activeCell="I29" sqref="I28:I29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329</v>
      </c>
      <c r="B2" s="56" t="s">
        <v>330</v>
      </c>
      <c r="C2" s="57" t="s">
        <v>331</v>
      </c>
      <c r="D2" s="56" t="s">
        <v>329</v>
      </c>
      <c r="E2" s="63">
        <v>1</v>
      </c>
      <c r="F2" s="61">
        <v>43726</v>
      </c>
      <c r="G2" s="59" t="s">
        <v>332</v>
      </c>
      <c r="H2" s="57" t="s">
        <v>315</v>
      </c>
      <c r="I2" s="57" t="s">
        <v>333</v>
      </c>
      <c r="J2" s="57" t="s">
        <v>313</v>
      </c>
      <c r="K2" s="60">
        <v>-172.43937500000001</v>
      </c>
      <c r="L2" s="57" t="s">
        <v>318</v>
      </c>
      <c r="M2" s="58" t="s">
        <v>8</v>
      </c>
      <c r="N2" s="55" t="s">
        <v>334</v>
      </c>
      <c r="O2" s="56" t="s">
        <v>312</v>
      </c>
      <c r="P2" s="57" t="s">
        <v>335</v>
      </c>
      <c r="Q2" s="55" t="s">
        <v>76</v>
      </c>
      <c r="R2" s="55" t="s">
        <v>336</v>
      </c>
    </row>
    <row r="3" spans="1:18" x14ac:dyDescent="0.2">
      <c r="A3" s="56" t="s">
        <v>337</v>
      </c>
      <c r="B3" s="55" t="s">
        <v>330</v>
      </c>
      <c r="C3" s="57" t="s">
        <v>331</v>
      </c>
      <c r="D3" s="56" t="s">
        <v>337</v>
      </c>
      <c r="E3" s="63">
        <v>1</v>
      </c>
      <c r="F3" s="61">
        <v>43726</v>
      </c>
      <c r="G3" s="59" t="s">
        <v>338</v>
      </c>
      <c r="H3" s="57" t="s">
        <v>315</v>
      </c>
      <c r="I3" s="57" t="s">
        <v>333</v>
      </c>
      <c r="J3" s="57" t="s">
        <v>313</v>
      </c>
      <c r="K3" s="60">
        <v>-3448.7925000000005</v>
      </c>
      <c r="L3" s="57" t="s">
        <v>318</v>
      </c>
      <c r="M3" s="58" t="s">
        <v>8</v>
      </c>
      <c r="N3" s="55" t="s">
        <v>334</v>
      </c>
      <c r="O3" s="56" t="s">
        <v>312</v>
      </c>
      <c r="P3" s="57" t="s">
        <v>339</v>
      </c>
      <c r="Q3" s="55" t="s">
        <v>76</v>
      </c>
      <c r="R3" s="55" t="s">
        <v>336</v>
      </c>
    </row>
    <row r="4" spans="1:18" x14ac:dyDescent="0.2">
      <c r="A4" s="56" t="s">
        <v>340</v>
      </c>
      <c r="B4" s="56" t="s">
        <v>330</v>
      </c>
      <c r="C4" s="57" t="s">
        <v>331</v>
      </c>
      <c r="D4" s="56" t="s">
        <v>340</v>
      </c>
      <c r="E4" s="63">
        <v>1</v>
      </c>
      <c r="F4" s="61">
        <v>43726</v>
      </c>
      <c r="G4" s="59" t="s">
        <v>341</v>
      </c>
      <c r="H4" s="57" t="s">
        <v>315</v>
      </c>
      <c r="I4" s="57" t="s">
        <v>333</v>
      </c>
      <c r="J4" s="57" t="s">
        <v>313</v>
      </c>
      <c r="K4" s="60">
        <v>-2069.2485000000001</v>
      </c>
      <c r="L4" s="57" t="s">
        <v>318</v>
      </c>
      <c r="M4" s="58" t="s">
        <v>8</v>
      </c>
      <c r="N4" s="55" t="s">
        <v>334</v>
      </c>
      <c r="O4" s="56" t="s">
        <v>312</v>
      </c>
      <c r="P4" s="57" t="s">
        <v>342</v>
      </c>
      <c r="Q4" s="55" t="s">
        <v>76</v>
      </c>
      <c r="R4" s="55" t="s">
        <v>336</v>
      </c>
    </row>
    <row r="5" spans="1:18" x14ac:dyDescent="0.2">
      <c r="A5" s="56" t="s">
        <v>343</v>
      </c>
      <c r="B5" s="56" t="s">
        <v>330</v>
      </c>
      <c r="C5" s="57" t="s">
        <v>331</v>
      </c>
      <c r="D5" s="56" t="s">
        <v>343</v>
      </c>
      <c r="E5" s="63">
        <v>1</v>
      </c>
      <c r="F5" s="61">
        <v>43726</v>
      </c>
      <c r="G5" s="59" t="s">
        <v>344</v>
      </c>
      <c r="H5" s="57" t="s">
        <v>315</v>
      </c>
      <c r="I5" s="57" t="s">
        <v>333</v>
      </c>
      <c r="J5" s="57" t="s">
        <v>313</v>
      </c>
      <c r="K5" s="60">
        <v>-485.52662400000003</v>
      </c>
      <c r="L5" s="57" t="s">
        <v>318</v>
      </c>
      <c r="M5" s="58" t="s">
        <v>8</v>
      </c>
      <c r="N5" s="55" t="s">
        <v>334</v>
      </c>
      <c r="O5" s="56" t="s">
        <v>312</v>
      </c>
      <c r="P5" s="57" t="s">
        <v>345</v>
      </c>
      <c r="Q5" s="55" t="s">
        <v>76</v>
      </c>
      <c r="R5" s="55" t="s">
        <v>336</v>
      </c>
    </row>
    <row r="6" spans="1:18" x14ac:dyDescent="0.2">
      <c r="A6" s="56" t="s">
        <v>346</v>
      </c>
      <c r="B6" s="56" t="s">
        <v>330</v>
      </c>
      <c r="C6" s="57" t="s">
        <v>331</v>
      </c>
      <c r="D6" s="56" t="s">
        <v>346</v>
      </c>
      <c r="E6" s="63">
        <v>1</v>
      </c>
      <c r="F6" s="61">
        <v>43726</v>
      </c>
      <c r="G6" s="59" t="s">
        <v>347</v>
      </c>
      <c r="H6" s="57" t="s">
        <v>315</v>
      </c>
      <c r="I6" s="57" t="s">
        <v>333</v>
      </c>
      <c r="J6" s="57" t="s">
        <v>313</v>
      </c>
      <c r="K6" s="60">
        <v>-1165.179795</v>
      </c>
      <c r="L6" s="57" t="s">
        <v>318</v>
      </c>
      <c r="M6" s="58" t="s">
        <v>8</v>
      </c>
      <c r="N6" s="55" t="s">
        <v>334</v>
      </c>
      <c r="O6" s="56" t="s">
        <v>312</v>
      </c>
      <c r="P6" s="57" t="s">
        <v>348</v>
      </c>
      <c r="Q6" s="55" t="s">
        <v>76</v>
      </c>
      <c r="R6" s="55" t="s">
        <v>336</v>
      </c>
    </row>
    <row r="7" spans="1:18" x14ac:dyDescent="0.2">
      <c r="A7" s="56" t="s">
        <v>349</v>
      </c>
      <c r="B7" s="56" t="s">
        <v>330</v>
      </c>
      <c r="C7" s="57" t="s">
        <v>331</v>
      </c>
      <c r="D7" s="56" t="s">
        <v>349</v>
      </c>
      <c r="E7" s="63">
        <v>1</v>
      </c>
      <c r="F7" s="61">
        <v>43726</v>
      </c>
      <c r="G7" s="59" t="s">
        <v>350</v>
      </c>
      <c r="H7" s="57" t="s">
        <v>315</v>
      </c>
      <c r="I7" s="57" t="s">
        <v>333</v>
      </c>
      <c r="J7" s="57" t="s">
        <v>313</v>
      </c>
      <c r="K7" s="60">
        <v>-21002.6260014</v>
      </c>
      <c r="L7" s="57" t="s">
        <v>318</v>
      </c>
      <c r="M7" s="58" t="s">
        <v>8</v>
      </c>
      <c r="N7" s="55" t="s">
        <v>334</v>
      </c>
      <c r="O7" s="56" t="s">
        <v>312</v>
      </c>
      <c r="P7" s="57" t="s">
        <v>351</v>
      </c>
      <c r="Q7" s="55" t="s">
        <v>76</v>
      </c>
      <c r="R7" s="55" t="s">
        <v>336</v>
      </c>
    </row>
    <row r="8" spans="1:18" x14ac:dyDescent="0.2">
      <c r="A8" s="56" t="s">
        <v>352</v>
      </c>
      <c r="B8" s="56" t="s">
        <v>353</v>
      </c>
      <c r="C8" s="57" t="s">
        <v>354</v>
      </c>
      <c r="D8" s="56" t="s">
        <v>352</v>
      </c>
      <c r="E8" s="63">
        <v>1</v>
      </c>
      <c r="F8" s="61">
        <v>43726</v>
      </c>
      <c r="G8" s="59" t="s">
        <v>355</v>
      </c>
      <c r="H8" s="57" t="s">
        <v>315</v>
      </c>
      <c r="I8" s="57" t="s">
        <v>356</v>
      </c>
      <c r="J8" s="57" t="s">
        <v>313</v>
      </c>
      <c r="K8" s="60">
        <v>28971.599999999999</v>
      </c>
      <c r="L8" s="57" t="s">
        <v>321</v>
      </c>
      <c r="M8" s="58" t="s">
        <v>8</v>
      </c>
      <c r="N8" s="55" t="s">
        <v>357</v>
      </c>
      <c r="O8" s="56" t="s">
        <v>312</v>
      </c>
      <c r="P8" s="57" t="s">
        <v>358</v>
      </c>
      <c r="Q8" s="55" t="s">
        <v>76</v>
      </c>
      <c r="R8" s="55" t="s">
        <v>336</v>
      </c>
    </row>
    <row r="9" spans="1:18" x14ac:dyDescent="0.2">
      <c r="A9" s="56" t="s">
        <v>359</v>
      </c>
      <c r="B9" s="56" t="s">
        <v>330</v>
      </c>
      <c r="C9" s="57" t="s">
        <v>331</v>
      </c>
      <c r="D9" s="56" t="s">
        <v>359</v>
      </c>
      <c r="E9" s="63">
        <v>1</v>
      </c>
      <c r="F9" s="61">
        <v>43726</v>
      </c>
      <c r="G9" s="59" t="s">
        <v>360</v>
      </c>
      <c r="H9" s="57" t="s">
        <v>315</v>
      </c>
      <c r="I9" s="57" t="s">
        <v>333</v>
      </c>
      <c r="J9" s="57" t="s">
        <v>313</v>
      </c>
      <c r="K9" s="60">
        <v>-985.84242899999992</v>
      </c>
      <c r="L9" s="57" t="s">
        <v>318</v>
      </c>
      <c r="M9" s="58" t="s">
        <v>8</v>
      </c>
      <c r="N9" s="55" t="s">
        <v>361</v>
      </c>
      <c r="O9" s="56" t="s">
        <v>312</v>
      </c>
      <c r="P9" s="57" t="s">
        <v>362</v>
      </c>
      <c r="Q9" s="55" t="s">
        <v>76</v>
      </c>
      <c r="R9" s="55" t="s">
        <v>336</v>
      </c>
    </row>
    <row r="10" spans="1:18" x14ac:dyDescent="0.2">
      <c r="A10" s="56" t="s">
        <v>363</v>
      </c>
      <c r="B10" s="56" t="s">
        <v>330</v>
      </c>
      <c r="C10" s="57" t="s">
        <v>331</v>
      </c>
      <c r="D10" s="56" t="s">
        <v>363</v>
      </c>
      <c r="E10" s="63">
        <v>1</v>
      </c>
      <c r="F10" s="61">
        <v>43726</v>
      </c>
      <c r="G10" s="59" t="s">
        <v>364</v>
      </c>
      <c r="H10" s="57" t="s">
        <v>315</v>
      </c>
      <c r="I10" s="57" t="s">
        <v>333</v>
      </c>
      <c r="J10" s="57" t="s">
        <v>313</v>
      </c>
      <c r="K10" s="60">
        <v>-137.86617999999999</v>
      </c>
      <c r="L10" s="57" t="s">
        <v>318</v>
      </c>
      <c r="M10" s="58" t="s">
        <v>8</v>
      </c>
      <c r="N10" s="55" t="s">
        <v>361</v>
      </c>
      <c r="O10" s="56" t="s">
        <v>312</v>
      </c>
      <c r="P10" s="57" t="s">
        <v>365</v>
      </c>
      <c r="Q10" s="55" t="s">
        <v>76</v>
      </c>
      <c r="R10" s="55" t="s">
        <v>336</v>
      </c>
    </row>
    <row r="11" spans="1:18" x14ac:dyDescent="0.2">
      <c r="A11" s="56" t="s">
        <v>366</v>
      </c>
      <c r="B11" s="56" t="s">
        <v>330</v>
      </c>
      <c r="C11" s="57" t="s">
        <v>331</v>
      </c>
      <c r="D11" s="56" t="s">
        <v>366</v>
      </c>
      <c r="E11" s="63">
        <v>1</v>
      </c>
      <c r="F11" s="61">
        <v>43726</v>
      </c>
      <c r="G11" s="59" t="s">
        <v>367</v>
      </c>
      <c r="H11" s="57" t="s">
        <v>315</v>
      </c>
      <c r="I11" s="57" t="s">
        <v>333</v>
      </c>
      <c r="J11" s="57" t="s">
        <v>313</v>
      </c>
      <c r="K11" s="60">
        <v>-27570.46</v>
      </c>
      <c r="L11" s="57" t="s">
        <v>318</v>
      </c>
      <c r="M11" s="58" t="s">
        <v>8</v>
      </c>
      <c r="N11" s="55" t="s">
        <v>361</v>
      </c>
      <c r="O11" s="56" t="s">
        <v>312</v>
      </c>
      <c r="P11" s="57" t="s">
        <v>368</v>
      </c>
      <c r="Q11" s="55" t="s">
        <v>76</v>
      </c>
      <c r="R11" s="55" t="s">
        <v>336</v>
      </c>
    </row>
    <row r="12" spans="1:18" x14ac:dyDescent="0.2">
      <c r="A12" s="56" t="s">
        <v>369</v>
      </c>
      <c r="B12" s="56" t="s">
        <v>330</v>
      </c>
      <c r="C12" s="57" t="s">
        <v>331</v>
      </c>
      <c r="D12" s="56" t="s">
        <v>369</v>
      </c>
      <c r="E12" s="63">
        <v>1</v>
      </c>
      <c r="F12" s="61">
        <v>43726</v>
      </c>
      <c r="G12" s="59" t="s">
        <v>370</v>
      </c>
      <c r="H12" s="57" t="s">
        <v>315</v>
      </c>
      <c r="I12" s="57" t="s">
        <v>333</v>
      </c>
      <c r="J12" s="57" t="s">
        <v>313</v>
      </c>
      <c r="K12" s="60">
        <v>-2067.5762999999997</v>
      </c>
      <c r="L12" s="57" t="s">
        <v>318</v>
      </c>
      <c r="M12" s="58" t="s">
        <v>8</v>
      </c>
      <c r="N12" s="55" t="s">
        <v>361</v>
      </c>
      <c r="O12" s="56" t="s">
        <v>312</v>
      </c>
      <c r="P12" s="57" t="s">
        <v>371</v>
      </c>
      <c r="Q12" s="55" t="s">
        <v>76</v>
      </c>
      <c r="R12" s="55" t="s">
        <v>336</v>
      </c>
    </row>
    <row r="13" spans="1:18" x14ac:dyDescent="0.2">
      <c r="A13" s="56" t="s">
        <v>372</v>
      </c>
      <c r="B13" s="56" t="s">
        <v>330</v>
      </c>
      <c r="C13" s="57" t="s">
        <v>331</v>
      </c>
      <c r="D13" s="56" t="s">
        <v>372</v>
      </c>
      <c r="E13" s="63">
        <v>1</v>
      </c>
      <c r="F13" s="61">
        <v>43726</v>
      </c>
      <c r="G13" s="59" t="s">
        <v>373</v>
      </c>
      <c r="H13" s="57" t="s">
        <v>315</v>
      </c>
      <c r="I13" s="57" t="s">
        <v>333</v>
      </c>
      <c r="J13" s="57" t="s">
        <v>313</v>
      </c>
      <c r="K13" s="60">
        <v>-1309.33313</v>
      </c>
      <c r="L13" s="57" t="s">
        <v>318</v>
      </c>
      <c r="M13" s="58" t="s">
        <v>8</v>
      </c>
      <c r="N13" s="55" t="s">
        <v>361</v>
      </c>
      <c r="O13" s="56" t="s">
        <v>312</v>
      </c>
      <c r="P13" s="57" t="s">
        <v>374</v>
      </c>
      <c r="Q13" s="55" t="s">
        <v>76</v>
      </c>
      <c r="R13" s="55" t="s">
        <v>336</v>
      </c>
    </row>
    <row r="14" spans="1:18" x14ac:dyDescent="0.2">
      <c r="A14" s="56" t="s">
        <v>375</v>
      </c>
      <c r="B14" s="56" t="s">
        <v>330</v>
      </c>
      <c r="C14" s="57" t="s">
        <v>331</v>
      </c>
      <c r="D14" s="56" t="s">
        <v>375</v>
      </c>
      <c r="E14" s="63">
        <v>1</v>
      </c>
      <c r="F14" s="61">
        <v>43726</v>
      </c>
      <c r="G14" s="59" t="s">
        <v>376</v>
      </c>
      <c r="H14" s="57" t="s">
        <v>315</v>
      </c>
      <c r="I14" s="57" t="s">
        <v>333</v>
      </c>
      <c r="J14" s="57" t="s">
        <v>313</v>
      </c>
      <c r="K14" s="60">
        <v>-1034.9580566</v>
      </c>
      <c r="L14" s="57" t="s">
        <v>318</v>
      </c>
      <c r="M14" s="58" t="s">
        <v>8</v>
      </c>
      <c r="N14" s="55" t="s">
        <v>361</v>
      </c>
      <c r="O14" s="56" t="s">
        <v>312</v>
      </c>
      <c r="P14" s="57" t="s">
        <v>377</v>
      </c>
      <c r="Q14" s="55" t="s">
        <v>76</v>
      </c>
      <c r="R14" s="55" t="s">
        <v>336</v>
      </c>
    </row>
    <row r="15" spans="1:18" x14ac:dyDescent="0.2">
      <c r="A15" s="56" t="s">
        <v>378</v>
      </c>
      <c r="B15" s="56" t="s">
        <v>330</v>
      </c>
      <c r="C15" s="57" t="s">
        <v>331</v>
      </c>
      <c r="D15" s="56" t="s">
        <v>378</v>
      </c>
      <c r="E15" s="63">
        <v>1</v>
      </c>
      <c r="F15" s="61">
        <v>43726</v>
      </c>
      <c r="G15" s="59" t="s">
        <v>379</v>
      </c>
      <c r="H15" s="57" t="s">
        <v>315</v>
      </c>
      <c r="I15" s="57" t="s">
        <v>333</v>
      </c>
      <c r="J15" s="57" t="s">
        <v>313</v>
      </c>
      <c r="K15" s="60">
        <v>-4481.1512855999999</v>
      </c>
      <c r="L15" s="57" t="s">
        <v>318</v>
      </c>
      <c r="M15" s="58" t="s">
        <v>8</v>
      </c>
      <c r="N15" s="55" t="s">
        <v>361</v>
      </c>
      <c r="O15" s="56" t="s">
        <v>312</v>
      </c>
      <c r="P15" s="57" t="s">
        <v>380</v>
      </c>
      <c r="Q15" s="55" t="s">
        <v>76</v>
      </c>
      <c r="R15" s="55" t="s">
        <v>336</v>
      </c>
    </row>
    <row r="16" spans="1:18" x14ac:dyDescent="0.2">
      <c r="A16" s="56" t="s">
        <v>381</v>
      </c>
      <c r="B16" s="56" t="s">
        <v>330</v>
      </c>
      <c r="C16" s="57" t="s">
        <v>331</v>
      </c>
      <c r="D16" s="56" t="s">
        <v>381</v>
      </c>
      <c r="E16" s="63">
        <v>1</v>
      </c>
      <c r="F16" s="61">
        <v>43726</v>
      </c>
      <c r="G16" s="59" t="s">
        <v>382</v>
      </c>
      <c r="H16" s="57" t="s">
        <v>315</v>
      </c>
      <c r="I16" s="57" t="s">
        <v>333</v>
      </c>
      <c r="J16" s="57" t="s">
        <v>313</v>
      </c>
      <c r="K16" s="60">
        <v>-239.74224599999999</v>
      </c>
      <c r="L16" s="57" t="s">
        <v>318</v>
      </c>
      <c r="M16" s="58" t="s">
        <v>8</v>
      </c>
      <c r="N16" s="55" t="s">
        <v>361</v>
      </c>
      <c r="O16" s="56" t="s">
        <v>312</v>
      </c>
      <c r="P16" s="57" t="s">
        <v>383</v>
      </c>
      <c r="Q16" s="55" t="s">
        <v>76</v>
      </c>
      <c r="R16" s="55" t="s">
        <v>336</v>
      </c>
    </row>
    <row r="17" spans="1:18" x14ac:dyDescent="0.2">
      <c r="A17" s="56" t="s">
        <v>384</v>
      </c>
      <c r="B17" s="56" t="s">
        <v>353</v>
      </c>
      <c r="C17" s="57" t="s">
        <v>354</v>
      </c>
      <c r="D17" s="56" t="s">
        <v>384</v>
      </c>
      <c r="E17" s="63">
        <v>1</v>
      </c>
      <c r="F17" s="61">
        <v>43726</v>
      </c>
      <c r="G17" s="59" t="s">
        <v>385</v>
      </c>
      <c r="H17" s="57" t="s">
        <v>315</v>
      </c>
      <c r="I17" s="57" t="s">
        <v>356</v>
      </c>
      <c r="J17" s="57" t="s">
        <v>313</v>
      </c>
      <c r="K17" s="60">
        <v>34470</v>
      </c>
      <c r="L17" s="57" t="s">
        <v>321</v>
      </c>
      <c r="M17" s="58" t="s">
        <v>8</v>
      </c>
      <c r="N17" s="55" t="s">
        <v>386</v>
      </c>
      <c r="O17" s="56" t="s">
        <v>312</v>
      </c>
      <c r="P17" s="57" t="s">
        <v>387</v>
      </c>
      <c r="Q17" s="55" t="s">
        <v>76</v>
      </c>
      <c r="R17" s="55" t="s">
        <v>336</v>
      </c>
    </row>
    <row r="18" spans="1:18" x14ac:dyDescent="0.2">
      <c r="A18" s="56" t="s">
        <v>388</v>
      </c>
      <c r="B18" s="56" t="s">
        <v>389</v>
      </c>
      <c r="C18" s="57" t="s">
        <v>331</v>
      </c>
      <c r="D18" s="56" t="s">
        <v>388</v>
      </c>
      <c r="E18" s="63">
        <v>1</v>
      </c>
      <c r="F18" s="61">
        <v>43726</v>
      </c>
      <c r="G18" s="59" t="s">
        <v>390</v>
      </c>
      <c r="H18" s="57" t="s">
        <v>315</v>
      </c>
      <c r="I18" s="57" t="s">
        <v>333</v>
      </c>
      <c r="J18" s="57" t="s">
        <v>313</v>
      </c>
      <c r="K18" s="60">
        <v>-172.43937500000001</v>
      </c>
      <c r="L18" s="57" t="s">
        <v>319</v>
      </c>
      <c r="M18" s="58" t="s">
        <v>8</v>
      </c>
      <c r="N18" s="55" t="s">
        <v>334</v>
      </c>
      <c r="O18" s="56" t="s">
        <v>312</v>
      </c>
      <c r="P18" s="57" t="s">
        <v>391</v>
      </c>
      <c r="Q18" s="55" t="s">
        <v>76</v>
      </c>
      <c r="R18" s="55" t="s">
        <v>392</v>
      </c>
    </row>
    <row r="19" spans="1:18" x14ac:dyDescent="0.2">
      <c r="A19" s="56" t="s">
        <v>393</v>
      </c>
      <c r="B19" s="56" t="s">
        <v>389</v>
      </c>
      <c r="C19" s="57" t="s">
        <v>331</v>
      </c>
      <c r="D19" s="56" t="s">
        <v>393</v>
      </c>
      <c r="E19" s="63">
        <v>1</v>
      </c>
      <c r="F19" s="61">
        <v>43726</v>
      </c>
      <c r="G19" s="59" t="s">
        <v>394</v>
      </c>
      <c r="H19" s="57" t="s">
        <v>315</v>
      </c>
      <c r="I19" s="57" t="s">
        <v>333</v>
      </c>
      <c r="J19" s="57" t="s">
        <v>313</v>
      </c>
      <c r="K19" s="60">
        <v>-3448.7925000000005</v>
      </c>
      <c r="L19" s="57" t="s">
        <v>319</v>
      </c>
      <c r="M19" s="58" t="s">
        <v>8</v>
      </c>
      <c r="N19" s="55" t="s">
        <v>334</v>
      </c>
      <c r="O19" s="56" t="s">
        <v>312</v>
      </c>
      <c r="P19" s="57" t="s">
        <v>395</v>
      </c>
      <c r="Q19" s="55" t="s">
        <v>76</v>
      </c>
      <c r="R19" s="55" t="s">
        <v>392</v>
      </c>
    </row>
    <row r="20" spans="1:18" x14ac:dyDescent="0.2">
      <c r="A20" s="56" t="s">
        <v>396</v>
      </c>
      <c r="B20" s="56" t="s">
        <v>389</v>
      </c>
      <c r="C20" s="57" t="s">
        <v>331</v>
      </c>
      <c r="D20" s="56" t="s">
        <v>396</v>
      </c>
      <c r="E20" s="63">
        <v>1</v>
      </c>
      <c r="F20" s="61">
        <v>43726</v>
      </c>
      <c r="G20" s="59" t="s">
        <v>397</v>
      </c>
      <c r="H20" s="57" t="s">
        <v>315</v>
      </c>
      <c r="I20" s="57" t="s">
        <v>333</v>
      </c>
      <c r="J20" s="57" t="s">
        <v>313</v>
      </c>
      <c r="K20" s="60">
        <v>-2069.2485000000001</v>
      </c>
      <c r="L20" s="57" t="s">
        <v>319</v>
      </c>
      <c r="M20" s="58" t="s">
        <v>8</v>
      </c>
      <c r="N20" s="55" t="s">
        <v>334</v>
      </c>
      <c r="O20" s="56" t="s">
        <v>312</v>
      </c>
      <c r="P20" s="57" t="s">
        <v>398</v>
      </c>
      <c r="Q20" s="55" t="s">
        <v>76</v>
      </c>
      <c r="R20" s="55" t="s">
        <v>392</v>
      </c>
    </row>
    <row r="21" spans="1:18" x14ac:dyDescent="0.2">
      <c r="A21" s="56" t="s">
        <v>399</v>
      </c>
      <c r="B21" s="56" t="s">
        <v>389</v>
      </c>
      <c r="C21" s="57" t="s">
        <v>331</v>
      </c>
      <c r="D21" s="56" t="s">
        <v>399</v>
      </c>
      <c r="E21" s="63">
        <v>1</v>
      </c>
      <c r="F21" s="61">
        <v>43726</v>
      </c>
      <c r="G21" s="59" t="s">
        <v>400</v>
      </c>
      <c r="H21" s="57" t="s">
        <v>315</v>
      </c>
      <c r="I21" s="57" t="s">
        <v>333</v>
      </c>
      <c r="J21" s="57" t="s">
        <v>313</v>
      </c>
      <c r="K21" s="60">
        <v>-485.52662400000003</v>
      </c>
      <c r="L21" s="57" t="s">
        <v>319</v>
      </c>
      <c r="M21" s="58" t="s">
        <v>8</v>
      </c>
      <c r="N21" s="55" t="s">
        <v>334</v>
      </c>
      <c r="O21" s="56" t="s">
        <v>312</v>
      </c>
      <c r="P21" s="57" t="s">
        <v>401</v>
      </c>
      <c r="Q21" s="55" t="s">
        <v>76</v>
      </c>
      <c r="R21" s="55" t="s">
        <v>392</v>
      </c>
    </row>
    <row r="22" spans="1:18" x14ac:dyDescent="0.2">
      <c r="A22" s="55" t="s">
        <v>402</v>
      </c>
      <c r="B22" s="55" t="s">
        <v>389</v>
      </c>
      <c r="C22" s="55" t="s">
        <v>331</v>
      </c>
      <c r="D22" s="55" t="s">
        <v>402</v>
      </c>
      <c r="E22" s="63">
        <v>1</v>
      </c>
      <c r="F22" s="61">
        <v>43726</v>
      </c>
      <c r="G22" s="55" t="s">
        <v>403</v>
      </c>
      <c r="H22" s="55" t="s">
        <v>315</v>
      </c>
      <c r="I22" s="55" t="s">
        <v>333</v>
      </c>
      <c r="J22" s="60" t="s">
        <v>313</v>
      </c>
      <c r="K22" s="55">
        <v>-1165.179795</v>
      </c>
      <c r="L22" s="61" t="s">
        <v>319</v>
      </c>
      <c r="M22" s="55" t="s">
        <v>8</v>
      </c>
      <c r="N22" s="55" t="s">
        <v>334</v>
      </c>
      <c r="O22" s="55" t="s">
        <v>312</v>
      </c>
      <c r="P22" s="55" t="s">
        <v>404</v>
      </c>
      <c r="Q22" s="55" t="s">
        <v>76</v>
      </c>
      <c r="R22" s="55" t="s">
        <v>392</v>
      </c>
    </row>
    <row r="23" spans="1:18" x14ac:dyDescent="0.2">
      <c r="A23" s="55" t="s">
        <v>405</v>
      </c>
      <c r="B23" s="55" t="s">
        <v>389</v>
      </c>
      <c r="C23" s="55" t="s">
        <v>331</v>
      </c>
      <c r="D23" s="55" t="s">
        <v>405</v>
      </c>
      <c r="E23" s="63">
        <v>1</v>
      </c>
      <c r="F23" s="61">
        <v>43726</v>
      </c>
      <c r="G23" s="55" t="s">
        <v>406</v>
      </c>
      <c r="H23" s="55" t="s">
        <v>315</v>
      </c>
      <c r="I23" s="55" t="s">
        <v>333</v>
      </c>
      <c r="J23" s="60" t="s">
        <v>313</v>
      </c>
      <c r="K23" s="55">
        <v>-21002.6260014</v>
      </c>
      <c r="L23" s="61" t="s">
        <v>319</v>
      </c>
      <c r="M23" s="55" t="s">
        <v>8</v>
      </c>
      <c r="N23" s="55" t="s">
        <v>334</v>
      </c>
      <c r="O23" s="55" t="s">
        <v>312</v>
      </c>
      <c r="P23" s="55" t="s">
        <v>407</v>
      </c>
      <c r="Q23" s="55" t="s">
        <v>76</v>
      </c>
      <c r="R23" s="55" t="s">
        <v>392</v>
      </c>
    </row>
    <row r="24" spans="1:18" x14ac:dyDescent="0.2">
      <c r="A24" s="55" t="s">
        <v>408</v>
      </c>
      <c r="B24" s="55" t="s">
        <v>409</v>
      </c>
      <c r="C24" s="55" t="s">
        <v>354</v>
      </c>
      <c r="D24" s="55" t="s">
        <v>408</v>
      </c>
      <c r="E24" s="63">
        <v>1</v>
      </c>
      <c r="F24" s="61">
        <v>43726</v>
      </c>
      <c r="G24" s="55" t="s">
        <v>410</v>
      </c>
      <c r="H24" s="55" t="s">
        <v>315</v>
      </c>
      <c r="I24" s="55" t="s">
        <v>356</v>
      </c>
      <c r="J24" s="60" t="s">
        <v>313</v>
      </c>
      <c r="K24" s="55">
        <v>28971.599999999999</v>
      </c>
      <c r="L24" s="61" t="s">
        <v>320</v>
      </c>
      <c r="M24" s="55" t="s">
        <v>8</v>
      </c>
      <c r="N24" s="55" t="s">
        <v>357</v>
      </c>
      <c r="O24" s="55" t="s">
        <v>312</v>
      </c>
      <c r="P24" s="55" t="s">
        <v>411</v>
      </c>
      <c r="Q24" s="55" t="s">
        <v>76</v>
      </c>
      <c r="R24" s="55" t="s">
        <v>392</v>
      </c>
    </row>
    <row r="25" spans="1:18" x14ac:dyDescent="0.2">
      <c r="A25" s="55" t="s">
        <v>412</v>
      </c>
      <c r="B25" s="55" t="s">
        <v>389</v>
      </c>
      <c r="C25" s="55" t="s">
        <v>331</v>
      </c>
      <c r="D25" s="55" t="s">
        <v>412</v>
      </c>
      <c r="E25" s="63">
        <v>1</v>
      </c>
      <c r="F25" s="61">
        <v>43726</v>
      </c>
      <c r="G25" s="55" t="s">
        <v>413</v>
      </c>
      <c r="H25" s="55" t="s">
        <v>315</v>
      </c>
      <c r="I25" s="55" t="s">
        <v>333</v>
      </c>
      <c r="J25" s="60" t="s">
        <v>313</v>
      </c>
      <c r="K25" s="55">
        <v>-985.84242899999992</v>
      </c>
      <c r="L25" s="61" t="s">
        <v>319</v>
      </c>
      <c r="M25" s="55" t="s">
        <v>8</v>
      </c>
      <c r="N25" s="55" t="s">
        <v>361</v>
      </c>
      <c r="O25" s="55" t="s">
        <v>312</v>
      </c>
      <c r="P25" s="55" t="s">
        <v>414</v>
      </c>
      <c r="Q25" s="55" t="s">
        <v>76</v>
      </c>
      <c r="R25" s="55" t="s">
        <v>392</v>
      </c>
    </row>
    <row r="26" spans="1:18" x14ac:dyDescent="0.2">
      <c r="A26" s="55" t="s">
        <v>415</v>
      </c>
      <c r="B26" s="55" t="s">
        <v>389</v>
      </c>
      <c r="C26" s="55" t="s">
        <v>331</v>
      </c>
      <c r="D26" s="55" t="s">
        <v>415</v>
      </c>
      <c r="E26" s="63">
        <v>1</v>
      </c>
      <c r="F26" s="61">
        <v>43726</v>
      </c>
      <c r="G26" s="55" t="s">
        <v>416</v>
      </c>
      <c r="H26" s="55" t="s">
        <v>315</v>
      </c>
      <c r="I26" s="55" t="s">
        <v>333</v>
      </c>
      <c r="J26" s="60" t="s">
        <v>313</v>
      </c>
      <c r="K26" s="55">
        <v>-137.86617999999999</v>
      </c>
      <c r="L26" s="61" t="s">
        <v>319</v>
      </c>
      <c r="M26" s="55" t="s">
        <v>8</v>
      </c>
      <c r="N26" s="55" t="s">
        <v>361</v>
      </c>
      <c r="O26" s="55" t="s">
        <v>312</v>
      </c>
      <c r="P26" s="55" t="s">
        <v>417</v>
      </c>
      <c r="Q26" s="55" t="s">
        <v>76</v>
      </c>
      <c r="R26" s="55" t="s">
        <v>392</v>
      </c>
    </row>
    <row r="27" spans="1:18" x14ac:dyDescent="0.2">
      <c r="A27" s="55" t="s">
        <v>418</v>
      </c>
      <c r="B27" s="55" t="s">
        <v>389</v>
      </c>
      <c r="C27" s="55" t="s">
        <v>331</v>
      </c>
      <c r="D27" s="55" t="s">
        <v>418</v>
      </c>
      <c r="E27" s="63">
        <v>1</v>
      </c>
      <c r="F27" s="61">
        <v>43726</v>
      </c>
      <c r="G27" s="55" t="s">
        <v>419</v>
      </c>
      <c r="H27" s="55" t="s">
        <v>315</v>
      </c>
      <c r="I27" s="55" t="s">
        <v>333</v>
      </c>
      <c r="J27" s="60" t="s">
        <v>313</v>
      </c>
      <c r="K27" s="55">
        <v>-22849.569999999992</v>
      </c>
      <c r="L27" s="61" t="s">
        <v>319</v>
      </c>
      <c r="M27" s="55" t="s">
        <v>8</v>
      </c>
      <c r="N27" s="55" t="s">
        <v>361</v>
      </c>
      <c r="O27" s="55" t="s">
        <v>312</v>
      </c>
      <c r="P27" s="55" t="s">
        <v>420</v>
      </c>
      <c r="Q27" s="55" t="s">
        <v>76</v>
      </c>
      <c r="R27" s="55" t="s">
        <v>392</v>
      </c>
    </row>
    <row r="28" spans="1:18" x14ac:dyDescent="0.2">
      <c r="A28" s="55" t="s">
        <v>421</v>
      </c>
      <c r="B28" s="55" t="s">
        <v>389</v>
      </c>
      <c r="C28" s="55" t="s">
        <v>331</v>
      </c>
      <c r="D28" s="55" t="s">
        <v>421</v>
      </c>
      <c r="E28" s="63">
        <v>1</v>
      </c>
      <c r="F28" s="61">
        <v>43726</v>
      </c>
      <c r="G28" s="55" t="s">
        <v>422</v>
      </c>
      <c r="H28" s="55" t="s">
        <v>315</v>
      </c>
      <c r="I28" s="55" t="s">
        <v>333</v>
      </c>
      <c r="J28" s="60" t="s">
        <v>313</v>
      </c>
      <c r="K28" s="55">
        <v>-2067.5762999999997</v>
      </c>
      <c r="L28" s="61" t="s">
        <v>319</v>
      </c>
      <c r="M28" s="55" t="s">
        <v>8</v>
      </c>
      <c r="N28" s="55" t="s">
        <v>361</v>
      </c>
      <c r="O28" s="55" t="s">
        <v>312</v>
      </c>
      <c r="P28" s="55" t="s">
        <v>423</v>
      </c>
      <c r="Q28" s="55" t="s">
        <v>76</v>
      </c>
      <c r="R28" s="55" t="s">
        <v>392</v>
      </c>
    </row>
    <row r="29" spans="1:18" x14ac:dyDescent="0.2">
      <c r="A29" s="55" t="s">
        <v>424</v>
      </c>
      <c r="B29" s="55" t="s">
        <v>389</v>
      </c>
      <c r="C29" s="55" t="s">
        <v>331</v>
      </c>
      <c r="D29" s="55" t="s">
        <v>424</v>
      </c>
      <c r="E29" s="63">
        <v>1</v>
      </c>
      <c r="F29" s="61">
        <v>43726</v>
      </c>
      <c r="G29" s="55" t="s">
        <v>425</v>
      </c>
      <c r="H29" s="55" t="s">
        <v>315</v>
      </c>
      <c r="I29" s="55" t="s">
        <v>333</v>
      </c>
      <c r="J29" s="60" t="s">
        <v>313</v>
      </c>
      <c r="K29" s="55">
        <v>-1309.33313</v>
      </c>
      <c r="L29" s="61" t="s">
        <v>319</v>
      </c>
      <c r="M29" s="55" t="s">
        <v>8</v>
      </c>
      <c r="N29" s="55" t="s">
        <v>361</v>
      </c>
      <c r="O29" s="55" t="s">
        <v>312</v>
      </c>
      <c r="P29" s="55" t="s">
        <v>426</v>
      </c>
      <c r="Q29" s="55" t="s">
        <v>76</v>
      </c>
      <c r="R29" s="55" t="s">
        <v>392</v>
      </c>
    </row>
    <row r="30" spans="1:18" x14ac:dyDescent="0.2">
      <c r="A30" s="55" t="s">
        <v>427</v>
      </c>
      <c r="B30" s="55" t="s">
        <v>389</v>
      </c>
      <c r="C30" s="55" t="s">
        <v>331</v>
      </c>
      <c r="D30" s="55" t="s">
        <v>427</v>
      </c>
      <c r="E30" s="63">
        <v>1</v>
      </c>
      <c r="F30" s="61">
        <v>43726</v>
      </c>
      <c r="G30" s="55" t="s">
        <v>428</v>
      </c>
      <c r="H30" s="55" t="s">
        <v>315</v>
      </c>
      <c r="I30" s="55" t="s">
        <v>333</v>
      </c>
      <c r="J30" s="60" t="s">
        <v>313</v>
      </c>
      <c r="K30" s="55">
        <v>-1034.9580566</v>
      </c>
      <c r="L30" s="61" t="s">
        <v>319</v>
      </c>
      <c r="M30" s="55" t="s">
        <v>8</v>
      </c>
      <c r="N30" s="55" t="s">
        <v>361</v>
      </c>
      <c r="O30" s="55" t="s">
        <v>312</v>
      </c>
      <c r="P30" s="55" t="s">
        <v>429</v>
      </c>
      <c r="Q30" s="55" t="s">
        <v>76</v>
      </c>
      <c r="R30" s="55" t="s">
        <v>392</v>
      </c>
    </row>
    <row r="31" spans="1:18" x14ac:dyDescent="0.2">
      <c r="A31" s="55" t="s">
        <v>430</v>
      </c>
      <c r="B31" s="55" t="s">
        <v>389</v>
      </c>
      <c r="C31" s="55" t="s">
        <v>331</v>
      </c>
      <c r="D31" s="55" t="s">
        <v>430</v>
      </c>
      <c r="E31" s="63">
        <v>1</v>
      </c>
      <c r="F31" s="61">
        <v>43726</v>
      </c>
      <c r="G31" s="55" t="s">
        <v>431</v>
      </c>
      <c r="H31" s="55" t="s">
        <v>315</v>
      </c>
      <c r="I31" s="55" t="s">
        <v>333</v>
      </c>
      <c r="J31" s="60" t="s">
        <v>313</v>
      </c>
      <c r="K31" s="55">
        <v>-4481.1512855999999</v>
      </c>
      <c r="L31" s="61" t="s">
        <v>319</v>
      </c>
      <c r="M31" s="55" t="s">
        <v>8</v>
      </c>
      <c r="N31" s="55" t="s">
        <v>361</v>
      </c>
      <c r="O31" s="55" t="s">
        <v>312</v>
      </c>
      <c r="P31" s="55" t="s">
        <v>432</v>
      </c>
      <c r="Q31" s="55" t="s">
        <v>76</v>
      </c>
      <c r="R31" s="55" t="s">
        <v>392</v>
      </c>
    </row>
    <row r="32" spans="1:18" x14ac:dyDescent="0.2">
      <c r="A32" s="55" t="s">
        <v>433</v>
      </c>
      <c r="B32" s="55" t="s">
        <v>389</v>
      </c>
      <c r="C32" s="55" t="s">
        <v>331</v>
      </c>
      <c r="D32" s="55" t="s">
        <v>433</v>
      </c>
      <c r="E32" s="63">
        <v>1</v>
      </c>
      <c r="F32" s="61">
        <v>43726</v>
      </c>
      <c r="G32" s="55" t="s">
        <v>434</v>
      </c>
      <c r="H32" s="55" t="s">
        <v>315</v>
      </c>
      <c r="I32" s="55" t="s">
        <v>333</v>
      </c>
      <c r="J32" s="60" t="s">
        <v>313</v>
      </c>
      <c r="K32" s="55">
        <v>-239.74224599999999</v>
      </c>
      <c r="L32" s="61" t="s">
        <v>319</v>
      </c>
      <c r="M32" s="55" t="s">
        <v>8</v>
      </c>
      <c r="N32" s="55" t="s">
        <v>361</v>
      </c>
      <c r="O32" s="55" t="s">
        <v>312</v>
      </c>
      <c r="P32" s="55" t="s">
        <v>435</v>
      </c>
      <c r="Q32" s="55" t="s">
        <v>76</v>
      </c>
      <c r="R32" s="55" t="s">
        <v>392</v>
      </c>
    </row>
    <row r="33" spans="1:18" x14ac:dyDescent="0.2">
      <c r="A33" s="55" t="s">
        <v>436</v>
      </c>
      <c r="B33" s="55" t="s">
        <v>409</v>
      </c>
      <c r="C33" s="55" t="s">
        <v>354</v>
      </c>
      <c r="D33" s="55" t="s">
        <v>436</v>
      </c>
      <c r="E33" s="63">
        <v>1</v>
      </c>
      <c r="F33" s="61">
        <v>43726</v>
      </c>
      <c r="G33" s="55" t="s">
        <v>437</v>
      </c>
      <c r="H33" s="55" t="s">
        <v>315</v>
      </c>
      <c r="I33" s="55" t="s">
        <v>356</v>
      </c>
      <c r="J33" s="60" t="s">
        <v>313</v>
      </c>
      <c r="K33" s="55">
        <v>34470</v>
      </c>
      <c r="L33" s="61" t="s">
        <v>320</v>
      </c>
      <c r="M33" s="55" t="s">
        <v>8</v>
      </c>
      <c r="N33" s="55" t="s">
        <v>386</v>
      </c>
      <c r="O33" s="55" t="s">
        <v>312</v>
      </c>
      <c r="P33" s="55" t="s">
        <v>438</v>
      </c>
      <c r="Q33" s="55" t="s">
        <v>76</v>
      </c>
      <c r="R33" s="55" t="s">
        <v>392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Accounts!$L:$L</xm:f>
          </x14:formula1>
          <xm:sqref>M22:M1048576</xm:sqref>
        </x14:dataValidation>
        <x14:dataValidation type="list" allowBlank="1" showInputMessage="1" showErrorMessage="1" xr:uid="{107D1911-AEDC-4636-812D-D33F518BE1EA}">
          <x14:formula1>
            <xm:f>Accounts!$J:$J</xm:f>
          </x14:formula1>
          <xm:sqref>J22:K1048576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0C80-9644-4884-BEA4-2B05D8F082DF}">
  <sheetPr codeName="Sheet28"/>
  <dimension ref="A1:R33"/>
  <sheetViews>
    <sheetView workbookViewId="0">
      <pane ySplit="1" topLeftCell="A2" activePane="bottomLeft" state="frozen"/>
      <selection pane="bottomLeft" activeCell="A2" sqref="A2:R33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5" t="s">
        <v>816</v>
      </c>
      <c r="B2" s="55" t="s">
        <v>780</v>
      </c>
      <c r="C2" s="55" t="s">
        <v>331</v>
      </c>
      <c r="D2" s="55" t="s">
        <v>816</v>
      </c>
      <c r="E2" s="63">
        <v>1</v>
      </c>
      <c r="F2" s="61">
        <v>43726</v>
      </c>
      <c r="G2" s="55" t="s">
        <v>781</v>
      </c>
      <c r="H2" s="55" t="s">
        <v>315</v>
      </c>
      <c r="I2" s="55" t="s">
        <v>333</v>
      </c>
      <c r="J2" s="60" t="s">
        <v>56</v>
      </c>
      <c r="K2" s="55">
        <v>-125</v>
      </c>
      <c r="L2" s="61" t="s">
        <v>318</v>
      </c>
      <c r="M2" s="55" t="s">
        <v>8</v>
      </c>
      <c r="N2" s="55" t="s">
        <v>334</v>
      </c>
      <c r="O2" s="55" t="s">
        <v>312</v>
      </c>
      <c r="P2" s="55" t="s">
        <v>817</v>
      </c>
      <c r="Q2" s="55" t="s">
        <v>76</v>
      </c>
      <c r="R2" s="55" t="s">
        <v>336</v>
      </c>
    </row>
    <row r="3" spans="1:18" x14ac:dyDescent="0.2">
      <c r="A3" s="55" t="s">
        <v>818</v>
      </c>
      <c r="B3" s="55" t="s">
        <v>780</v>
      </c>
      <c r="C3" s="55" t="s">
        <v>331</v>
      </c>
      <c r="D3" s="55" t="s">
        <v>818</v>
      </c>
      <c r="E3" s="63">
        <v>1</v>
      </c>
      <c r="F3" s="61">
        <v>43726</v>
      </c>
      <c r="G3" s="55" t="s">
        <v>782</v>
      </c>
      <c r="H3" s="55" t="s">
        <v>315</v>
      </c>
      <c r="I3" s="55" t="s">
        <v>333</v>
      </c>
      <c r="J3" s="60" t="s">
        <v>56</v>
      </c>
      <c r="K3" s="55">
        <v>-2500</v>
      </c>
      <c r="L3" s="61" t="s">
        <v>318</v>
      </c>
      <c r="M3" s="55" t="s">
        <v>8</v>
      </c>
      <c r="N3" s="55" t="s">
        <v>334</v>
      </c>
      <c r="O3" s="55" t="s">
        <v>312</v>
      </c>
      <c r="P3" s="55" t="s">
        <v>819</v>
      </c>
      <c r="Q3" s="55" t="s">
        <v>76</v>
      </c>
      <c r="R3" s="55" t="s">
        <v>336</v>
      </c>
    </row>
    <row r="4" spans="1:18" x14ac:dyDescent="0.2">
      <c r="A4" s="55" t="s">
        <v>820</v>
      </c>
      <c r="B4" s="55" t="s">
        <v>780</v>
      </c>
      <c r="C4" s="55" t="s">
        <v>331</v>
      </c>
      <c r="D4" s="55" t="s">
        <v>820</v>
      </c>
      <c r="E4" s="63">
        <v>1</v>
      </c>
      <c r="F4" s="61">
        <v>43726</v>
      </c>
      <c r="G4" s="55" t="s">
        <v>783</v>
      </c>
      <c r="H4" s="55" t="s">
        <v>315</v>
      </c>
      <c r="I4" s="55" t="s">
        <v>333</v>
      </c>
      <c r="J4" s="60" t="s">
        <v>56</v>
      </c>
      <c r="K4" s="55">
        <v>-1500</v>
      </c>
      <c r="L4" s="61" t="s">
        <v>318</v>
      </c>
      <c r="M4" s="55" t="s">
        <v>8</v>
      </c>
      <c r="N4" s="55" t="s">
        <v>334</v>
      </c>
      <c r="O4" s="55" t="s">
        <v>312</v>
      </c>
      <c r="P4" s="55" t="s">
        <v>821</v>
      </c>
      <c r="Q4" s="55" t="s">
        <v>76</v>
      </c>
      <c r="R4" s="55" t="s">
        <v>336</v>
      </c>
    </row>
    <row r="5" spans="1:18" x14ac:dyDescent="0.2">
      <c r="A5" s="55" t="s">
        <v>822</v>
      </c>
      <c r="B5" s="55" t="s">
        <v>780</v>
      </c>
      <c r="C5" s="55" t="s">
        <v>331</v>
      </c>
      <c r="D5" s="55" t="s">
        <v>822</v>
      </c>
      <c r="E5" s="63">
        <v>1</v>
      </c>
      <c r="F5" s="61">
        <v>43726</v>
      </c>
      <c r="G5" s="55" t="s">
        <v>784</v>
      </c>
      <c r="H5" s="55" t="s">
        <v>315</v>
      </c>
      <c r="I5" s="55" t="s">
        <v>333</v>
      </c>
      <c r="J5" s="60" t="s">
        <v>56</v>
      </c>
      <c r="K5" s="55">
        <v>-352</v>
      </c>
      <c r="L5" s="61" t="s">
        <v>318</v>
      </c>
      <c r="M5" s="55" t="s">
        <v>8</v>
      </c>
      <c r="N5" s="55" t="s">
        <v>334</v>
      </c>
      <c r="O5" s="55" t="s">
        <v>312</v>
      </c>
      <c r="P5" s="55" t="s">
        <v>823</v>
      </c>
      <c r="Q5" s="55" t="s">
        <v>76</v>
      </c>
      <c r="R5" s="55" t="s">
        <v>336</v>
      </c>
    </row>
    <row r="6" spans="1:18" x14ac:dyDescent="0.2">
      <c r="A6" s="55" t="s">
        <v>824</v>
      </c>
      <c r="B6" s="55" t="s">
        <v>780</v>
      </c>
      <c r="C6" s="55" t="s">
        <v>331</v>
      </c>
      <c r="D6" s="55" t="s">
        <v>824</v>
      </c>
      <c r="E6" s="63">
        <v>1</v>
      </c>
      <c r="F6" s="61">
        <v>43726</v>
      </c>
      <c r="G6" s="55" t="s">
        <v>785</v>
      </c>
      <c r="H6" s="55" t="s">
        <v>315</v>
      </c>
      <c r="I6" s="55" t="s">
        <v>333</v>
      </c>
      <c r="J6" s="60" t="s">
        <v>56</v>
      </c>
      <c r="K6" s="55">
        <v>-845</v>
      </c>
      <c r="L6" s="61" t="s">
        <v>318</v>
      </c>
      <c r="M6" s="55" t="s">
        <v>8</v>
      </c>
      <c r="N6" s="55" t="s">
        <v>334</v>
      </c>
      <c r="O6" s="55" t="s">
        <v>312</v>
      </c>
      <c r="P6" s="55" t="s">
        <v>825</v>
      </c>
      <c r="Q6" s="55" t="s">
        <v>76</v>
      </c>
      <c r="R6" s="55" t="s">
        <v>336</v>
      </c>
    </row>
    <row r="7" spans="1:18" x14ac:dyDescent="0.2">
      <c r="A7" s="55" t="s">
        <v>826</v>
      </c>
      <c r="B7" s="55" t="s">
        <v>780</v>
      </c>
      <c r="C7" s="55" t="s">
        <v>331</v>
      </c>
      <c r="D7" s="55" t="s">
        <v>826</v>
      </c>
      <c r="E7" s="63">
        <v>1</v>
      </c>
      <c r="F7" s="61">
        <v>43726</v>
      </c>
      <c r="G7" s="55" t="s">
        <v>786</v>
      </c>
      <c r="H7" s="55" t="s">
        <v>315</v>
      </c>
      <c r="I7" s="55" t="s">
        <v>333</v>
      </c>
      <c r="J7" s="60" t="s">
        <v>56</v>
      </c>
      <c r="K7" s="55">
        <v>-15231</v>
      </c>
      <c r="L7" s="61" t="s">
        <v>318</v>
      </c>
      <c r="M7" s="55" t="s">
        <v>8</v>
      </c>
      <c r="N7" s="55" t="s">
        <v>334</v>
      </c>
      <c r="O7" s="55" t="s">
        <v>312</v>
      </c>
      <c r="P7" s="55" t="s">
        <v>827</v>
      </c>
      <c r="Q7" s="55" t="s">
        <v>76</v>
      </c>
      <c r="R7" s="55" t="s">
        <v>336</v>
      </c>
    </row>
    <row r="8" spans="1:18" x14ac:dyDescent="0.2">
      <c r="A8" s="55" t="s">
        <v>828</v>
      </c>
      <c r="B8" s="55" t="s">
        <v>787</v>
      </c>
      <c r="C8" s="55" t="s">
        <v>354</v>
      </c>
      <c r="D8" s="55" t="s">
        <v>828</v>
      </c>
      <c r="E8" s="63">
        <v>1</v>
      </c>
      <c r="F8" s="61">
        <v>43726</v>
      </c>
      <c r="G8" s="55" t="s">
        <v>788</v>
      </c>
      <c r="H8" s="55" t="s">
        <v>315</v>
      </c>
      <c r="I8" s="55" t="s">
        <v>356</v>
      </c>
      <c r="J8" s="60" t="s">
        <v>56</v>
      </c>
      <c r="K8" s="55">
        <v>21000</v>
      </c>
      <c r="L8" s="61" t="s">
        <v>321</v>
      </c>
      <c r="M8" s="55" t="s">
        <v>8</v>
      </c>
      <c r="N8" s="55" t="s">
        <v>357</v>
      </c>
      <c r="O8" s="55" t="s">
        <v>312</v>
      </c>
      <c r="P8" s="55" t="s">
        <v>829</v>
      </c>
      <c r="Q8" s="55" t="s">
        <v>76</v>
      </c>
      <c r="R8" s="55" t="s">
        <v>336</v>
      </c>
    </row>
    <row r="9" spans="1:18" x14ac:dyDescent="0.2">
      <c r="A9" s="55" t="s">
        <v>830</v>
      </c>
      <c r="B9" s="55" t="s">
        <v>780</v>
      </c>
      <c r="C9" s="55" t="s">
        <v>331</v>
      </c>
      <c r="D9" s="55" t="s">
        <v>830</v>
      </c>
      <c r="E9" s="63">
        <v>1</v>
      </c>
      <c r="F9" s="61">
        <v>43726</v>
      </c>
      <c r="G9" s="55" t="s">
        <v>789</v>
      </c>
      <c r="H9" s="55" t="s">
        <v>315</v>
      </c>
      <c r="I9" s="55" t="s">
        <v>333</v>
      </c>
      <c r="J9" s="60" t="s">
        <v>56</v>
      </c>
      <c r="K9" s="55">
        <v>-715</v>
      </c>
      <c r="L9" s="61" t="s">
        <v>318</v>
      </c>
      <c r="M9" s="55" t="s">
        <v>8</v>
      </c>
      <c r="N9" s="55" t="s">
        <v>361</v>
      </c>
      <c r="O9" s="55" t="s">
        <v>312</v>
      </c>
      <c r="P9" s="55" t="s">
        <v>831</v>
      </c>
      <c r="Q9" s="55" t="s">
        <v>76</v>
      </c>
      <c r="R9" s="55" t="s">
        <v>336</v>
      </c>
    </row>
    <row r="10" spans="1:18" x14ac:dyDescent="0.2">
      <c r="A10" s="55" t="s">
        <v>832</v>
      </c>
      <c r="B10" s="55" t="s">
        <v>780</v>
      </c>
      <c r="C10" s="55" t="s">
        <v>331</v>
      </c>
      <c r="D10" s="55" t="s">
        <v>832</v>
      </c>
      <c r="E10" s="63">
        <v>1</v>
      </c>
      <c r="F10" s="61">
        <v>43726</v>
      </c>
      <c r="G10" s="55" t="s">
        <v>790</v>
      </c>
      <c r="H10" s="55" t="s">
        <v>315</v>
      </c>
      <c r="I10" s="55" t="s">
        <v>333</v>
      </c>
      <c r="J10" s="60" t="s">
        <v>56</v>
      </c>
      <c r="K10" s="55">
        <v>-100</v>
      </c>
      <c r="L10" s="61" t="s">
        <v>318</v>
      </c>
      <c r="M10" s="55" t="s">
        <v>8</v>
      </c>
      <c r="N10" s="55" t="s">
        <v>361</v>
      </c>
      <c r="O10" s="55" t="s">
        <v>312</v>
      </c>
      <c r="P10" s="55" t="s">
        <v>833</v>
      </c>
      <c r="Q10" s="55" t="s">
        <v>76</v>
      </c>
      <c r="R10" s="55" t="s">
        <v>336</v>
      </c>
    </row>
    <row r="11" spans="1:18" x14ac:dyDescent="0.2">
      <c r="A11" s="55" t="s">
        <v>834</v>
      </c>
      <c r="B11" s="55" t="s">
        <v>780</v>
      </c>
      <c r="C11" s="55" t="s">
        <v>331</v>
      </c>
      <c r="D11" s="55" t="s">
        <v>834</v>
      </c>
      <c r="E11" s="63">
        <v>1</v>
      </c>
      <c r="F11" s="61">
        <v>43726</v>
      </c>
      <c r="G11" s="55" t="s">
        <v>791</v>
      </c>
      <c r="H11" s="55" t="s">
        <v>315</v>
      </c>
      <c r="I11" s="55" t="s">
        <v>333</v>
      </c>
      <c r="J11" s="60" t="s">
        <v>56</v>
      </c>
      <c r="K11" s="55">
        <v>-20000</v>
      </c>
      <c r="L11" s="61" t="s">
        <v>318</v>
      </c>
      <c r="M11" s="55" t="s">
        <v>8</v>
      </c>
      <c r="N11" s="55" t="s">
        <v>361</v>
      </c>
      <c r="O11" s="55" t="s">
        <v>312</v>
      </c>
      <c r="P11" s="55" t="s">
        <v>835</v>
      </c>
      <c r="Q11" s="55" t="s">
        <v>76</v>
      </c>
      <c r="R11" s="55" t="s">
        <v>336</v>
      </c>
    </row>
    <row r="12" spans="1:18" x14ac:dyDescent="0.2">
      <c r="A12" s="55" t="s">
        <v>836</v>
      </c>
      <c r="B12" s="55" t="s">
        <v>780</v>
      </c>
      <c r="C12" s="55" t="s">
        <v>331</v>
      </c>
      <c r="D12" s="55" t="s">
        <v>836</v>
      </c>
      <c r="E12" s="63">
        <v>1</v>
      </c>
      <c r="F12" s="61">
        <v>43726</v>
      </c>
      <c r="G12" s="55" t="s">
        <v>792</v>
      </c>
      <c r="H12" s="55" t="s">
        <v>315</v>
      </c>
      <c r="I12" s="55" t="s">
        <v>333</v>
      </c>
      <c r="J12" s="60" t="s">
        <v>56</v>
      </c>
      <c r="K12" s="55">
        <v>-1500</v>
      </c>
      <c r="L12" s="61" t="s">
        <v>318</v>
      </c>
      <c r="M12" s="55" t="s">
        <v>8</v>
      </c>
      <c r="N12" s="55" t="s">
        <v>361</v>
      </c>
      <c r="O12" s="55" t="s">
        <v>312</v>
      </c>
      <c r="P12" s="55" t="s">
        <v>837</v>
      </c>
      <c r="Q12" s="55" t="s">
        <v>76</v>
      </c>
      <c r="R12" s="55" t="s">
        <v>336</v>
      </c>
    </row>
    <row r="13" spans="1:18" x14ac:dyDescent="0.2">
      <c r="A13" s="55" t="s">
        <v>838</v>
      </c>
      <c r="B13" s="55" t="s">
        <v>780</v>
      </c>
      <c r="C13" s="55" t="s">
        <v>331</v>
      </c>
      <c r="D13" s="55" t="s">
        <v>838</v>
      </c>
      <c r="E13" s="63">
        <v>1</v>
      </c>
      <c r="F13" s="61">
        <v>43726</v>
      </c>
      <c r="G13" s="55" t="s">
        <v>793</v>
      </c>
      <c r="H13" s="55" t="s">
        <v>315</v>
      </c>
      <c r="I13" s="55" t="s">
        <v>333</v>
      </c>
      <c r="J13" s="60" t="s">
        <v>56</v>
      </c>
      <c r="K13" s="55">
        <v>-950</v>
      </c>
      <c r="L13" s="61" t="s">
        <v>318</v>
      </c>
      <c r="M13" s="55" t="s">
        <v>8</v>
      </c>
      <c r="N13" s="55" t="s">
        <v>361</v>
      </c>
      <c r="O13" s="55" t="s">
        <v>312</v>
      </c>
      <c r="P13" s="55" t="s">
        <v>839</v>
      </c>
      <c r="Q13" s="55" t="s">
        <v>76</v>
      </c>
      <c r="R13" s="55" t="s">
        <v>336</v>
      </c>
    </row>
    <row r="14" spans="1:18" x14ac:dyDescent="0.2">
      <c r="A14" s="55" t="s">
        <v>840</v>
      </c>
      <c r="B14" s="55" t="s">
        <v>780</v>
      </c>
      <c r="C14" s="55" t="s">
        <v>331</v>
      </c>
      <c r="D14" s="55" t="s">
        <v>840</v>
      </c>
      <c r="E14" s="63">
        <v>1</v>
      </c>
      <c r="F14" s="61">
        <v>43726</v>
      </c>
      <c r="G14" s="55" t="s">
        <v>794</v>
      </c>
      <c r="H14" s="55" t="s">
        <v>315</v>
      </c>
      <c r="I14" s="55" t="s">
        <v>333</v>
      </c>
      <c r="J14" s="60" t="s">
        <v>56</v>
      </c>
      <c r="K14" s="55">
        <v>-751</v>
      </c>
      <c r="L14" s="61" t="s">
        <v>318</v>
      </c>
      <c r="M14" s="55" t="s">
        <v>8</v>
      </c>
      <c r="N14" s="55" t="s">
        <v>361</v>
      </c>
      <c r="O14" s="55" t="s">
        <v>312</v>
      </c>
      <c r="P14" s="55" t="s">
        <v>841</v>
      </c>
      <c r="Q14" s="55" t="s">
        <v>76</v>
      </c>
      <c r="R14" s="55" t="s">
        <v>336</v>
      </c>
    </row>
    <row r="15" spans="1:18" x14ac:dyDescent="0.2">
      <c r="A15" s="55" t="s">
        <v>842</v>
      </c>
      <c r="B15" s="55" t="s">
        <v>780</v>
      </c>
      <c r="C15" s="55" t="s">
        <v>331</v>
      </c>
      <c r="D15" s="55" t="s">
        <v>842</v>
      </c>
      <c r="E15" s="63">
        <v>1</v>
      </c>
      <c r="F15" s="61">
        <v>43726</v>
      </c>
      <c r="G15" s="55" t="s">
        <v>795</v>
      </c>
      <c r="H15" s="55" t="s">
        <v>315</v>
      </c>
      <c r="I15" s="55" t="s">
        <v>333</v>
      </c>
      <c r="J15" s="60" t="s">
        <v>56</v>
      </c>
      <c r="K15" s="55">
        <v>-3252</v>
      </c>
      <c r="L15" s="61" t="s">
        <v>318</v>
      </c>
      <c r="M15" s="55" t="s">
        <v>8</v>
      </c>
      <c r="N15" s="55" t="s">
        <v>361</v>
      </c>
      <c r="O15" s="55" t="s">
        <v>312</v>
      </c>
      <c r="P15" s="55" t="s">
        <v>843</v>
      </c>
      <c r="Q15" s="55" t="s">
        <v>76</v>
      </c>
      <c r="R15" s="55" t="s">
        <v>336</v>
      </c>
    </row>
    <row r="16" spans="1:18" x14ac:dyDescent="0.2">
      <c r="A16" s="55" t="s">
        <v>844</v>
      </c>
      <c r="B16" s="55" t="s">
        <v>780</v>
      </c>
      <c r="C16" s="55" t="s">
        <v>331</v>
      </c>
      <c r="D16" s="55" t="s">
        <v>844</v>
      </c>
      <c r="E16" s="63">
        <v>1</v>
      </c>
      <c r="F16" s="61">
        <v>43726</v>
      </c>
      <c r="G16" s="55" t="s">
        <v>796</v>
      </c>
      <c r="H16" s="55" t="s">
        <v>315</v>
      </c>
      <c r="I16" s="55" t="s">
        <v>333</v>
      </c>
      <c r="J16" s="60" t="s">
        <v>56</v>
      </c>
      <c r="K16" s="55">
        <v>-174</v>
      </c>
      <c r="L16" s="61" t="s">
        <v>318</v>
      </c>
      <c r="M16" s="55" t="s">
        <v>8</v>
      </c>
      <c r="N16" s="55" t="s">
        <v>361</v>
      </c>
      <c r="O16" s="55" t="s">
        <v>312</v>
      </c>
      <c r="P16" s="55" t="s">
        <v>845</v>
      </c>
      <c r="Q16" s="55" t="s">
        <v>76</v>
      </c>
      <c r="R16" s="55" t="s">
        <v>336</v>
      </c>
    </row>
    <row r="17" spans="1:18" x14ac:dyDescent="0.2">
      <c r="A17" s="55" t="s">
        <v>846</v>
      </c>
      <c r="B17" s="55" t="s">
        <v>787</v>
      </c>
      <c r="C17" s="55" t="s">
        <v>354</v>
      </c>
      <c r="D17" s="55" t="s">
        <v>846</v>
      </c>
      <c r="E17" s="63">
        <v>1</v>
      </c>
      <c r="F17" s="61">
        <v>43726</v>
      </c>
      <c r="G17" s="55" t="s">
        <v>797</v>
      </c>
      <c r="H17" s="55" t="s">
        <v>315</v>
      </c>
      <c r="I17" s="55" t="s">
        <v>356</v>
      </c>
      <c r="J17" s="60" t="s">
        <v>56</v>
      </c>
      <c r="K17" s="55">
        <v>25000</v>
      </c>
      <c r="L17" s="61" t="s">
        <v>321</v>
      </c>
      <c r="M17" s="55" t="s">
        <v>8</v>
      </c>
      <c r="N17" s="55" t="s">
        <v>386</v>
      </c>
      <c r="O17" s="55" t="s">
        <v>312</v>
      </c>
      <c r="P17" s="55" t="s">
        <v>847</v>
      </c>
      <c r="Q17" s="55" t="s">
        <v>76</v>
      </c>
      <c r="R17" s="55" t="s">
        <v>336</v>
      </c>
    </row>
    <row r="18" spans="1:18" x14ac:dyDescent="0.2">
      <c r="A18" s="55" t="s">
        <v>848</v>
      </c>
      <c r="B18" s="55" t="s">
        <v>798</v>
      </c>
      <c r="C18" s="55" t="s">
        <v>331</v>
      </c>
      <c r="D18" s="55" t="s">
        <v>848</v>
      </c>
      <c r="E18" s="63">
        <v>2</v>
      </c>
      <c r="F18" s="61">
        <v>43726</v>
      </c>
      <c r="G18" s="55" t="s">
        <v>799</v>
      </c>
      <c r="H18" s="55" t="s">
        <v>315</v>
      </c>
      <c r="I18" s="55" t="s">
        <v>333</v>
      </c>
      <c r="J18" s="60" t="s">
        <v>56</v>
      </c>
      <c r="K18" s="55">
        <v>-125</v>
      </c>
      <c r="L18" s="61" t="s">
        <v>319</v>
      </c>
      <c r="M18" s="55" t="s">
        <v>8</v>
      </c>
      <c r="N18" s="55" t="s">
        <v>334</v>
      </c>
      <c r="O18" s="55" t="s">
        <v>312</v>
      </c>
      <c r="P18" s="55" t="s">
        <v>849</v>
      </c>
      <c r="Q18" s="55" t="s">
        <v>76</v>
      </c>
      <c r="R18" s="55" t="s">
        <v>392</v>
      </c>
    </row>
    <row r="19" spans="1:18" x14ac:dyDescent="0.2">
      <c r="A19" s="55" t="s">
        <v>850</v>
      </c>
      <c r="B19" s="55" t="s">
        <v>798</v>
      </c>
      <c r="C19" s="55" t="s">
        <v>331</v>
      </c>
      <c r="D19" s="55" t="s">
        <v>850</v>
      </c>
      <c r="E19" s="63">
        <v>2</v>
      </c>
      <c r="F19" s="61">
        <v>43726</v>
      </c>
      <c r="G19" s="55" t="s">
        <v>800</v>
      </c>
      <c r="H19" s="55" t="s">
        <v>315</v>
      </c>
      <c r="I19" s="55" t="s">
        <v>333</v>
      </c>
      <c r="J19" s="60" t="s">
        <v>56</v>
      </c>
      <c r="K19" s="55">
        <v>-2500</v>
      </c>
      <c r="L19" s="61" t="s">
        <v>319</v>
      </c>
      <c r="M19" s="55" t="s">
        <v>8</v>
      </c>
      <c r="N19" s="55" t="s">
        <v>334</v>
      </c>
      <c r="O19" s="55" t="s">
        <v>312</v>
      </c>
      <c r="P19" s="55" t="s">
        <v>851</v>
      </c>
      <c r="Q19" s="55" t="s">
        <v>76</v>
      </c>
      <c r="R19" s="55" t="s">
        <v>392</v>
      </c>
    </row>
    <row r="20" spans="1:18" x14ac:dyDescent="0.2">
      <c r="A20" s="55" t="s">
        <v>852</v>
      </c>
      <c r="B20" s="55" t="s">
        <v>798</v>
      </c>
      <c r="C20" s="55" t="s">
        <v>331</v>
      </c>
      <c r="D20" s="55" t="s">
        <v>852</v>
      </c>
      <c r="E20" s="63">
        <v>2</v>
      </c>
      <c r="F20" s="61">
        <v>43726</v>
      </c>
      <c r="G20" s="55" t="s">
        <v>801</v>
      </c>
      <c r="H20" s="55" t="s">
        <v>315</v>
      </c>
      <c r="I20" s="55" t="s">
        <v>333</v>
      </c>
      <c r="J20" s="60" t="s">
        <v>56</v>
      </c>
      <c r="K20" s="55">
        <v>-1500</v>
      </c>
      <c r="L20" s="61" t="s">
        <v>319</v>
      </c>
      <c r="M20" s="55" t="s">
        <v>8</v>
      </c>
      <c r="N20" s="55" t="s">
        <v>334</v>
      </c>
      <c r="O20" s="55" t="s">
        <v>312</v>
      </c>
      <c r="P20" s="55" t="s">
        <v>853</v>
      </c>
      <c r="Q20" s="55" t="s">
        <v>76</v>
      </c>
      <c r="R20" s="55" t="s">
        <v>392</v>
      </c>
    </row>
    <row r="21" spans="1:18" x14ac:dyDescent="0.2">
      <c r="A21" s="55" t="s">
        <v>854</v>
      </c>
      <c r="B21" s="55" t="s">
        <v>798</v>
      </c>
      <c r="C21" s="55" t="s">
        <v>331</v>
      </c>
      <c r="D21" s="55" t="s">
        <v>854</v>
      </c>
      <c r="E21" s="63">
        <v>2</v>
      </c>
      <c r="F21" s="61">
        <v>43726</v>
      </c>
      <c r="G21" s="55" t="s">
        <v>802</v>
      </c>
      <c r="H21" s="55" t="s">
        <v>315</v>
      </c>
      <c r="I21" s="55" t="s">
        <v>333</v>
      </c>
      <c r="J21" s="60" t="s">
        <v>56</v>
      </c>
      <c r="K21" s="55">
        <v>-352</v>
      </c>
      <c r="L21" s="61" t="s">
        <v>319</v>
      </c>
      <c r="M21" s="55" t="s">
        <v>8</v>
      </c>
      <c r="N21" s="55" t="s">
        <v>334</v>
      </c>
      <c r="O21" s="55" t="s">
        <v>312</v>
      </c>
      <c r="P21" s="55" t="s">
        <v>855</v>
      </c>
      <c r="Q21" s="55" t="s">
        <v>76</v>
      </c>
      <c r="R21" s="55" t="s">
        <v>392</v>
      </c>
    </row>
    <row r="22" spans="1:18" x14ac:dyDescent="0.2">
      <c r="A22" s="55" t="s">
        <v>856</v>
      </c>
      <c r="B22" s="55" t="s">
        <v>798</v>
      </c>
      <c r="C22" s="55" t="s">
        <v>331</v>
      </c>
      <c r="D22" s="55" t="s">
        <v>856</v>
      </c>
      <c r="E22" s="63">
        <v>2</v>
      </c>
      <c r="F22" s="61">
        <v>43726</v>
      </c>
      <c r="G22" s="55" t="s">
        <v>803</v>
      </c>
      <c r="H22" s="55" t="s">
        <v>315</v>
      </c>
      <c r="I22" s="55" t="s">
        <v>333</v>
      </c>
      <c r="J22" s="60" t="s">
        <v>56</v>
      </c>
      <c r="K22" s="55">
        <v>-845</v>
      </c>
      <c r="L22" s="61" t="s">
        <v>319</v>
      </c>
      <c r="M22" s="55" t="s">
        <v>8</v>
      </c>
      <c r="N22" s="55" t="s">
        <v>334</v>
      </c>
      <c r="O22" s="55" t="s">
        <v>312</v>
      </c>
      <c r="P22" s="55" t="s">
        <v>857</v>
      </c>
      <c r="Q22" s="55" t="s">
        <v>76</v>
      </c>
      <c r="R22" s="55" t="s">
        <v>392</v>
      </c>
    </row>
    <row r="23" spans="1:18" x14ac:dyDescent="0.2">
      <c r="A23" s="55" t="s">
        <v>858</v>
      </c>
      <c r="B23" s="55" t="s">
        <v>798</v>
      </c>
      <c r="C23" s="55" t="s">
        <v>331</v>
      </c>
      <c r="D23" s="55" t="s">
        <v>858</v>
      </c>
      <c r="E23" s="63">
        <v>2</v>
      </c>
      <c r="F23" s="61">
        <v>43726</v>
      </c>
      <c r="G23" s="55" t="s">
        <v>804</v>
      </c>
      <c r="H23" s="55" t="s">
        <v>315</v>
      </c>
      <c r="I23" s="55" t="s">
        <v>333</v>
      </c>
      <c r="J23" s="60" t="s">
        <v>56</v>
      </c>
      <c r="K23" s="55">
        <v>-15231</v>
      </c>
      <c r="L23" s="61" t="s">
        <v>319</v>
      </c>
      <c r="M23" s="55" t="s">
        <v>8</v>
      </c>
      <c r="N23" s="55" t="s">
        <v>334</v>
      </c>
      <c r="O23" s="55" t="s">
        <v>312</v>
      </c>
      <c r="P23" s="55" t="s">
        <v>859</v>
      </c>
      <c r="Q23" s="55" t="s">
        <v>76</v>
      </c>
      <c r="R23" s="55" t="s">
        <v>392</v>
      </c>
    </row>
    <row r="24" spans="1:18" x14ac:dyDescent="0.2">
      <c r="A24" s="55" t="s">
        <v>860</v>
      </c>
      <c r="B24" s="55" t="s">
        <v>805</v>
      </c>
      <c r="C24" s="55" t="s">
        <v>354</v>
      </c>
      <c r="D24" s="55" t="s">
        <v>860</v>
      </c>
      <c r="E24" s="63">
        <v>2</v>
      </c>
      <c r="F24" s="61">
        <v>43726</v>
      </c>
      <c r="G24" s="55" t="s">
        <v>806</v>
      </c>
      <c r="H24" s="55" t="s">
        <v>315</v>
      </c>
      <c r="I24" s="55" t="s">
        <v>356</v>
      </c>
      <c r="J24" s="60" t="s">
        <v>56</v>
      </c>
      <c r="K24" s="55">
        <v>21000</v>
      </c>
      <c r="L24" s="61" t="s">
        <v>320</v>
      </c>
      <c r="M24" s="55" t="s">
        <v>8</v>
      </c>
      <c r="N24" s="55" t="s">
        <v>357</v>
      </c>
      <c r="O24" s="55" t="s">
        <v>312</v>
      </c>
      <c r="P24" s="55" t="s">
        <v>861</v>
      </c>
      <c r="Q24" s="55" t="s">
        <v>76</v>
      </c>
      <c r="R24" s="55" t="s">
        <v>392</v>
      </c>
    </row>
    <row r="25" spans="1:18" x14ac:dyDescent="0.2">
      <c r="A25" s="55" t="s">
        <v>862</v>
      </c>
      <c r="B25" s="55" t="s">
        <v>798</v>
      </c>
      <c r="C25" s="55" t="s">
        <v>331</v>
      </c>
      <c r="D25" s="55" t="s">
        <v>862</v>
      </c>
      <c r="E25" s="63">
        <v>2</v>
      </c>
      <c r="F25" s="61">
        <v>43726</v>
      </c>
      <c r="G25" s="55" t="s">
        <v>807</v>
      </c>
      <c r="H25" s="55" t="s">
        <v>315</v>
      </c>
      <c r="I25" s="55" t="s">
        <v>333</v>
      </c>
      <c r="J25" s="60" t="s">
        <v>56</v>
      </c>
      <c r="K25" s="55">
        <v>-715</v>
      </c>
      <c r="L25" s="61" t="s">
        <v>319</v>
      </c>
      <c r="M25" s="55" t="s">
        <v>8</v>
      </c>
      <c r="N25" s="55" t="s">
        <v>361</v>
      </c>
      <c r="O25" s="55" t="s">
        <v>312</v>
      </c>
      <c r="P25" s="55" t="s">
        <v>863</v>
      </c>
      <c r="Q25" s="55" t="s">
        <v>76</v>
      </c>
      <c r="R25" s="55" t="s">
        <v>392</v>
      </c>
    </row>
    <row r="26" spans="1:18" x14ac:dyDescent="0.2">
      <c r="A26" s="55" t="s">
        <v>864</v>
      </c>
      <c r="B26" s="55" t="s">
        <v>798</v>
      </c>
      <c r="C26" s="55" t="s">
        <v>331</v>
      </c>
      <c r="D26" s="55" t="s">
        <v>864</v>
      </c>
      <c r="E26" s="63">
        <v>2</v>
      </c>
      <c r="F26" s="61">
        <v>43726</v>
      </c>
      <c r="G26" s="55" t="s">
        <v>808</v>
      </c>
      <c r="H26" s="55" t="s">
        <v>315</v>
      </c>
      <c r="I26" s="55" t="s">
        <v>333</v>
      </c>
      <c r="J26" s="60" t="s">
        <v>56</v>
      </c>
      <c r="K26" s="55">
        <v>-100</v>
      </c>
      <c r="L26" s="61" t="s">
        <v>319</v>
      </c>
      <c r="M26" s="55" t="s">
        <v>8</v>
      </c>
      <c r="N26" s="55" t="s">
        <v>361</v>
      </c>
      <c r="O26" s="55" t="s">
        <v>312</v>
      </c>
      <c r="P26" s="55" t="s">
        <v>865</v>
      </c>
      <c r="Q26" s="55" t="s">
        <v>76</v>
      </c>
      <c r="R26" s="55" t="s">
        <v>392</v>
      </c>
    </row>
    <row r="27" spans="1:18" x14ac:dyDescent="0.2">
      <c r="A27" s="55" t="s">
        <v>866</v>
      </c>
      <c r="B27" s="55" t="s">
        <v>798</v>
      </c>
      <c r="C27" s="55" t="s">
        <v>331</v>
      </c>
      <c r="D27" s="55" t="s">
        <v>866</v>
      </c>
      <c r="E27" s="63">
        <v>2</v>
      </c>
      <c r="F27" s="61">
        <v>43726</v>
      </c>
      <c r="G27" s="55" t="s">
        <v>809</v>
      </c>
      <c r="H27" s="55" t="s">
        <v>315</v>
      </c>
      <c r="I27" s="55" t="s">
        <v>333</v>
      </c>
      <c r="J27" s="60" t="s">
        <v>56</v>
      </c>
      <c r="K27" s="55">
        <v>-16574</v>
      </c>
      <c r="L27" s="61" t="s">
        <v>319</v>
      </c>
      <c r="M27" s="55" t="s">
        <v>8</v>
      </c>
      <c r="N27" s="55" t="s">
        <v>361</v>
      </c>
      <c r="O27" s="55" t="s">
        <v>312</v>
      </c>
      <c r="P27" s="55" t="s">
        <v>867</v>
      </c>
      <c r="Q27" s="55" t="s">
        <v>76</v>
      </c>
      <c r="R27" s="55" t="s">
        <v>392</v>
      </c>
    </row>
    <row r="28" spans="1:18" x14ac:dyDescent="0.2">
      <c r="A28" s="55" t="s">
        <v>868</v>
      </c>
      <c r="B28" s="55" t="s">
        <v>798</v>
      </c>
      <c r="C28" s="55" t="s">
        <v>331</v>
      </c>
      <c r="D28" s="55" t="s">
        <v>868</v>
      </c>
      <c r="E28" s="63">
        <v>2</v>
      </c>
      <c r="F28" s="61">
        <v>43726</v>
      </c>
      <c r="G28" s="55" t="s">
        <v>810</v>
      </c>
      <c r="H28" s="55" t="s">
        <v>315</v>
      </c>
      <c r="I28" s="55" t="s">
        <v>333</v>
      </c>
      <c r="J28" s="60" t="s">
        <v>56</v>
      </c>
      <c r="K28" s="55">
        <v>-1500</v>
      </c>
      <c r="L28" s="61" t="s">
        <v>319</v>
      </c>
      <c r="M28" s="55" t="s">
        <v>8</v>
      </c>
      <c r="N28" s="55" t="s">
        <v>361</v>
      </c>
      <c r="O28" s="55" t="s">
        <v>312</v>
      </c>
      <c r="P28" s="55" t="s">
        <v>869</v>
      </c>
      <c r="Q28" s="55" t="s">
        <v>76</v>
      </c>
      <c r="R28" s="55" t="s">
        <v>392</v>
      </c>
    </row>
    <row r="29" spans="1:18" x14ac:dyDescent="0.2">
      <c r="A29" s="55" t="s">
        <v>870</v>
      </c>
      <c r="B29" s="55" t="s">
        <v>798</v>
      </c>
      <c r="C29" s="55" t="s">
        <v>331</v>
      </c>
      <c r="D29" s="55" t="s">
        <v>870</v>
      </c>
      <c r="E29" s="63">
        <v>2</v>
      </c>
      <c r="F29" s="61">
        <v>43726</v>
      </c>
      <c r="G29" s="55" t="s">
        <v>811</v>
      </c>
      <c r="H29" s="55" t="s">
        <v>315</v>
      </c>
      <c r="I29" s="55" t="s">
        <v>333</v>
      </c>
      <c r="J29" s="60" t="s">
        <v>56</v>
      </c>
      <c r="K29" s="55">
        <v>-950</v>
      </c>
      <c r="L29" s="61" t="s">
        <v>319</v>
      </c>
      <c r="M29" s="55" t="s">
        <v>8</v>
      </c>
      <c r="N29" s="55" t="s">
        <v>361</v>
      </c>
      <c r="O29" s="55" t="s">
        <v>312</v>
      </c>
      <c r="P29" s="55" t="s">
        <v>871</v>
      </c>
      <c r="Q29" s="55" t="s">
        <v>76</v>
      </c>
      <c r="R29" s="55" t="s">
        <v>392</v>
      </c>
    </row>
    <row r="30" spans="1:18" x14ac:dyDescent="0.2">
      <c r="A30" s="55" t="s">
        <v>872</v>
      </c>
      <c r="B30" s="55" t="s">
        <v>798</v>
      </c>
      <c r="C30" s="55" t="s">
        <v>331</v>
      </c>
      <c r="D30" s="55" t="s">
        <v>872</v>
      </c>
      <c r="E30" s="63">
        <v>2</v>
      </c>
      <c r="F30" s="61">
        <v>43726</v>
      </c>
      <c r="G30" s="55" t="s">
        <v>812</v>
      </c>
      <c r="H30" s="55" t="s">
        <v>315</v>
      </c>
      <c r="I30" s="55" t="s">
        <v>333</v>
      </c>
      <c r="J30" s="60" t="s">
        <v>56</v>
      </c>
      <c r="K30" s="55">
        <v>-751</v>
      </c>
      <c r="L30" s="61" t="s">
        <v>319</v>
      </c>
      <c r="M30" s="55" t="s">
        <v>8</v>
      </c>
      <c r="N30" s="55" t="s">
        <v>361</v>
      </c>
      <c r="O30" s="55" t="s">
        <v>312</v>
      </c>
      <c r="P30" s="55" t="s">
        <v>873</v>
      </c>
      <c r="Q30" s="55" t="s">
        <v>76</v>
      </c>
      <c r="R30" s="55" t="s">
        <v>392</v>
      </c>
    </row>
    <row r="31" spans="1:18" x14ac:dyDescent="0.2">
      <c r="A31" s="55" t="s">
        <v>874</v>
      </c>
      <c r="B31" s="55" t="s">
        <v>798</v>
      </c>
      <c r="C31" s="55" t="s">
        <v>331</v>
      </c>
      <c r="D31" s="55" t="s">
        <v>874</v>
      </c>
      <c r="E31" s="63">
        <v>2</v>
      </c>
      <c r="F31" s="61">
        <v>43726</v>
      </c>
      <c r="G31" s="55" t="s">
        <v>813</v>
      </c>
      <c r="H31" s="55" t="s">
        <v>315</v>
      </c>
      <c r="I31" s="55" t="s">
        <v>333</v>
      </c>
      <c r="J31" s="60" t="s">
        <v>56</v>
      </c>
      <c r="K31" s="55">
        <v>-3252</v>
      </c>
      <c r="L31" s="61" t="s">
        <v>319</v>
      </c>
      <c r="M31" s="55" t="s">
        <v>8</v>
      </c>
      <c r="N31" s="55" t="s">
        <v>361</v>
      </c>
      <c r="O31" s="55" t="s">
        <v>312</v>
      </c>
      <c r="P31" s="55" t="s">
        <v>875</v>
      </c>
      <c r="Q31" s="55" t="s">
        <v>76</v>
      </c>
      <c r="R31" s="55" t="s">
        <v>392</v>
      </c>
    </row>
    <row r="32" spans="1:18" x14ac:dyDescent="0.2">
      <c r="A32" s="55" t="s">
        <v>876</v>
      </c>
      <c r="B32" s="55" t="s">
        <v>798</v>
      </c>
      <c r="C32" s="55" t="s">
        <v>331</v>
      </c>
      <c r="D32" s="55" t="s">
        <v>876</v>
      </c>
      <c r="E32" s="63">
        <v>2</v>
      </c>
      <c r="F32" s="61">
        <v>43726</v>
      </c>
      <c r="G32" s="55" t="s">
        <v>814</v>
      </c>
      <c r="H32" s="55" t="s">
        <v>315</v>
      </c>
      <c r="I32" s="55" t="s">
        <v>333</v>
      </c>
      <c r="J32" s="60" t="s">
        <v>56</v>
      </c>
      <c r="K32" s="55">
        <v>-174</v>
      </c>
      <c r="L32" s="61" t="s">
        <v>319</v>
      </c>
      <c r="M32" s="55" t="s">
        <v>8</v>
      </c>
      <c r="N32" s="55" t="s">
        <v>361</v>
      </c>
      <c r="O32" s="55" t="s">
        <v>312</v>
      </c>
      <c r="P32" s="55" t="s">
        <v>877</v>
      </c>
      <c r="Q32" s="55" t="s">
        <v>76</v>
      </c>
      <c r="R32" s="55" t="s">
        <v>392</v>
      </c>
    </row>
    <row r="33" spans="1:18" x14ac:dyDescent="0.2">
      <c r="A33" s="55" t="s">
        <v>878</v>
      </c>
      <c r="B33" s="55" t="s">
        <v>805</v>
      </c>
      <c r="C33" s="55" t="s">
        <v>354</v>
      </c>
      <c r="D33" s="55" t="s">
        <v>878</v>
      </c>
      <c r="E33" s="63">
        <v>2</v>
      </c>
      <c r="F33" s="61">
        <v>43726</v>
      </c>
      <c r="G33" s="55" t="s">
        <v>815</v>
      </c>
      <c r="H33" s="55" t="s">
        <v>315</v>
      </c>
      <c r="I33" s="55" t="s">
        <v>356</v>
      </c>
      <c r="J33" s="60" t="s">
        <v>56</v>
      </c>
      <c r="K33" s="55">
        <v>25000</v>
      </c>
      <c r="L33" s="61" t="s">
        <v>320</v>
      </c>
      <c r="M33" s="55" t="s">
        <v>8</v>
      </c>
      <c r="N33" s="55" t="s">
        <v>386</v>
      </c>
      <c r="O33" s="55" t="s">
        <v>312</v>
      </c>
      <c r="P33" s="55" t="s">
        <v>879</v>
      </c>
      <c r="Q33" s="55" t="s">
        <v>76</v>
      </c>
      <c r="R33" s="55" t="s">
        <v>392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102AB41-A10E-4B42-BFF7-97DA223BC1C0}">
          <x14:formula1>
            <xm:f>Accounts!#REF!</xm:f>
          </x14:formula1>
          <xm:sqref>B1</xm:sqref>
        </x14:dataValidation>
        <x14:dataValidation type="list" allowBlank="1" showInputMessage="1" showErrorMessage="1" xr:uid="{8C77890E-8D99-414F-A3CB-019578242423}">
          <x14:formula1>
            <xm:f>Accounts!$F:$F</xm:f>
          </x14:formula1>
          <xm:sqref>N2:O1048576</xm:sqref>
        </x14:dataValidation>
        <x14:dataValidation type="list" allowBlank="1" showInputMessage="1" showErrorMessage="1" xr:uid="{04F4D8AF-7C02-4FEE-96FF-EDA4CD518FFF}">
          <x14:formula1>
            <xm:f>Accounts!$G:$G</xm:f>
          </x14:formula1>
          <xm:sqref>G2:G1048576</xm:sqref>
        </x14:dataValidation>
        <x14:dataValidation type="list" allowBlank="1" showInputMessage="1" showErrorMessage="1" xr:uid="{0FDBA488-B9BF-4B29-A1A6-1885AACC817D}">
          <x14:formula1>
            <xm:f>Accounts!$J:$J</xm:f>
          </x14:formula1>
          <xm:sqref>J2:K1048576</xm:sqref>
        </x14:dataValidation>
        <x14:dataValidation type="list" allowBlank="1" showInputMessage="1" showErrorMessage="1" xr:uid="{B14A2C4C-886A-4111-B73C-C33CAD399C59}">
          <x14:formula1>
            <xm:f>Accounts!$L:$L</xm:f>
          </x14:formula1>
          <xm:sqref>M2:M1048576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</row>
    <row r="2" spans="1:11" x14ac:dyDescent="0.2">
      <c r="A2" s="26" t="s">
        <v>82</v>
      </c>
      <c r="B2" s="26" t="s">
        <v>81</v>
      </c>
      <c r="C2" s="26">
        <v>0</v>
      </c>
      <c r="D2" s="27">
        <v>43242</v>
      </c>
      <c r="E2" s="26">
        <v>238.28</v>
      </c>
      <c r="F2" s="26" t="s">
        <v>84</v>
      </c>
      <c r="G2" s="26" t="s">
        <v>8</v>
      </c>
      <c r="H2" s="26" t="s">
        <v>85</v>
      </c>
      <c r="I2" s="26" t="s">
        <v>76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82</v>
      </c>
      <c r="B3" s="26" t="s">
        <v>81</v>
      </c>
      <c r="C3" s="26">
        <v>0</v>
      </c>
      <c r="D3" s="27">
        <v>43244</v>
      </c>
      <c r="E3" s="26">
        <v>476.57</v>
      </c>
      <c r="F3" s="26" t="s">
        <v>86</v>
      </c>
      <c r="G3" s="26" t="s">
        <v>8</v>
      </c>
      <c r="H3" s="26" t="s">
        <v>87</v>
      </c>
      <c r="I3" s="26" t="s">
        <v>76</v>
      </c>
      <c r="J3" s="26">
        <v>1</v>
      </c>
      <c r="K3" s="8" t="str">
        <f t="shared" si="0"/>
        <v>APD</v>
      </c>
    </row>
    <row r="4" spans="1:11" x14ac:dyDescent="0.2">
      <c r="A4" s="26" t="s">
        <v>82</v>
      </c>
      <c r="B4" s="26" t="s">
        <v>81</v>
      </c>
      <c r="C4" s="26">
        <v>0</v>
      </c>
      <c r="D4" s="27">
        <v>43244</v>
      </c>
      <c r="E4" s="26">
        <v>476.57</v>
      </c>
      <c r="F4" s="26" t="s">
        <v>88</v>
      </c>
      <c r="G4" s="26" t="s">
        <v>8</v>
      </c>
      <c r="H4" s="26" t="s">
        <v>89</v>
      </c>
      <c r="I4" s="26" t="s">
        <v>76</v>
      </c>
      <c r="J4" s="26">
        <v>2</v>
      </c>
      <c r="K4" s="8" t="str">
        <f t="shared" si="0"/>
        <v>APD</v>
      </c>
    </row>
    <row r="5" spans="1:11" x14ac:dyDescent="0.2">
      <c r="A5" s="26" t="s">
        <v>82</v>
      </c>
      <c r="B5" s="26" t="s">
        <v>81</v>
      </c>
      <c r="C5" s="26">
        <v>0</v>
      </c>
      <c r="D5" s="27">
        <v>43245</v>
      </c>
      <c r="E5" s="26">
        <v>-1032.56</v>
      </c>
      <c r="F5" s="26" t="s">
        <v>90</v>
      </c>
      <c r="G5" s="26" t="s">
        <v>8</v>
      </c>
      <c r="H5" s="26" t="s">
        <v>91</v>
      </c>
      <c r="I5" s="26" t="s">
        <v>76</v>
      </c>
      <c r="J5" s="26">
        <v>2</v>
      </c>
      <c r="K5" s="8" t="str">
        <f t="shared" si="0"/>
        <v>APD</v>
      </c>
    </row>
    <row r="6" spans="1:11" x14ac:dyDescent="0.2">
      <c r="A6" s="26" t="s">
        <v>82</v>
      </c>
      <c r="B6" s="26" t="s">
        <v>81</v>
      </c>
      <c r="C6" s="26">
        <v>0</v>
      </c>
      <c r="D6" s="27">
        <v>43248</v>
      </c>
      <c r="E6" s="26">
        <v>79.42</v>
      </c>
      <c r="F6" s="26" t="s">
        <v>92</v>
      </c>
      <c r="G6" s="26" t="s">
        <v>8</v>
      </c>
      <c r="H6" s="26" t="s">
        <v>93</v>
      </c>
      <c r="I6" s="26" t="s">
        <v>76</v>
      </c>
      <c r="J6" s="26">
        <v>1</v>
      </c>
      <c r="K6" s="8" t="str">
        <f t="shared" si="0"/>
        <v>APD</v>
      </c>
    </row>
    <row r="7" spans="1:11" x14ac:dyDescent="0.2">
      <c r="A7" s="26" t="s">
        <v>82</v>
      </c>
      <c r="B7" s="26" t="s">
        <v>81</v>
      </c>
      <c r="C7" s="26">
        <v>0</v>
      </c>
      <c r="D7" s="27">
        <v>43248</v>
      </c>
      <c r="E7" s="26">
        <v>79.430000000000007</v>
      </c>
      <c r="F7" s="26" t="s">
        <v>94</v>
      </c>
      <c r="G7" s="26" t="s">
        <v>8</v>
      </c>
      <c r="H7" s="26" t="s">
        <v>95</v>
      </c>
      <c r="I7" s="26" t="s">
        <v>76</v>
      </c>
      <c r="J7" s="26">
        <v>2</v>
      </c>
      <c r="K7" s="8" t="str">
        <f t="shared" si="0"/>
        <v>APD</v>
      </c>
    </row>
    <row r="8" spans="1:11" x14ac:dyDescent="0.2">
      <c r="A8" s="26" t="s">
        <v>82</v>
      </c>
      <c r="B8" s="26" t="s">
        <v>81</v>
      </c>
      <c r="C8" s="26">
        <v>0</v>
      </c>
      <c r="D8" s="27">
        <v>43251</v>
      </c>
      <c r="E8" s="26">
        <v>-238.28</v>
      </c>
      <c r="F8" s="26" t="s">
        <v>96</v>
      </c>
      <c r="G8" s="26" t="s">
        <v>8</v>
      </c>
      <c r="H8" s="26" t="s">
        <v>97</v>
      </c>
      <c r="I8" s="26" t="s">
        <v>76</v>
      </c>
      <c r="J8" s="26">
        <v>2</v>
      </c>
      <c r="K8" s="8" t="str">
        <f t="shared" si="0"/>
        <v>APD</v>
      </c>
    </row>
    <row r="9" spans="1:11" x14ac:dyDescent="0.2">
      <c r="A9" s="26" t="s">
        <v>82</v>
      </c>
      <c r="B9" s="26" t="s">
        <v>81</v>
      </c>
      <c r="C9" s="26">
        <v>0</v>
      </c>
      <c r="D9" s="27">
        <v>43252</v>
      </c>
      <c r="E9" s="26">
        <v>79.430000000000007</v>
      </c>
      <c r="F9" s="26" t="s">
        <v>98</v>
      </c>
      <c r="G9" s="26" t="s">
        <v>8</v>
      </c>
      <c r="H9" s="26" t="s">
        <v>99</v>
      </c>
      <c r="I9" s="26" t="s">
        <v>76</v>
      </c>
      <c r="J9" s="26">
        <v>1</v>
      </c>
      <c r="K9" s="8" t="str">
        <f t="shared" si="0"/>
        <v>APD</v>
      </c>
    </row>
    <row r="10" spans="1:11" x14ac:dyDescent="0.2">
      <c r="A10" s="26" t="s">
        <v>82</v>
      </c>
      <c r="B10" s="26" t="s">
        <v>81</v>
      </c>
      <c r="C10" s="26">
        <v>0</v>
      </c>
      <c r="D10" s="27">
        <v>43256</v>
      </c>
      <c r="E10" s="26">
        <v>79.42</v>
      </c>
      <c r="F10" s="26" t="s">
        <v>100</v>
      </c>
      <c r="G10" s="26" t="s">
        <v>8</v>
      </c>
      <c r="H10" s="26" t="s">
        <v>101</v>
      </c>
      <c r="I10" s="26" t="s">
        <v>76</v>
      </c>
      <c r="J10" s="26">
        <v>2</v>
      </c>
      <c r="K10" s="8" t="str">
        <f t="shared" si="0"/>
        <v>APD</v>
      </c>
    </row>
    <row r="11" spans="1:11" x14ac:dyDescent="0.2">
      <c r="A11" s="26" t="s">
        <v>82</v>
      </c>
      <c r="B11" s="26" t="s">
        <v>81</v>
      </c>
      <c r="C11" s="26">
        <v>0</v>
      </c>
      <c r="D11" s="27">
        <v>43256</v>
      </c>
      <c r="E11" s="26">
        <v>476.57</v>
      </c>
      <c r="F11" s="26" t="s">
        <v>102</v>
      </c>
      <c r="G11" s="26" t="s">
        <v>8</v>
      </c>
      <c r="H11" s="26" t="s">
        <v>103</v>
      </c>
      <c r="I11" s="26" t="s">
        <v>76</v>
      </c>
      <c r="J11" s="26">
        <v>3</v>
      </c>
      <c r="K11" s="8" t="str">
        <f t="shared" si="0"/>
        <v>APD</v>
      </c>
    </row>
    <row r="12" spans="1:11" x14ac:dyDescent="0.2">
      <c r="A12" s="26" t="s">
        <v>82</v>
      </c>
      <c r="B12" s="26" t="s">
        <v>81</v>
      </c>
      <c r="C12" s="26">
        <v>0</v>
      </c>
      <c r="D12" s="27">
        <v>43256</v>
      </c>
      <c r="E12" s="26">
        <v>-476.57</v>
      </c>
      <c r="F12" s="26" t="s">
        <v>104</v>
      </c>
      <c r="G12" s="26" t="s">
        <v>8</v>
      </c>
      <c r="H12" s="26" t="s">
        <v>105</v>
      </c>
      <c r="I12" s="26" t="s">
        <v>76</v>
      </c>
      <c r="J12" s="26">
        <v>5</v>
      </c>
      <c r="K12" s="8" t="str">
        <f t="shared" si="0"/>
        <v>APD</v>
      </c>
    </row>
    <row r="13" spans="1:11" x14ac:dyDescent="0.2">
      <c r="A13" s="26" t="s">
        <v>82</v>
      </c>
      <c r="B13" s="26" t="s">
        <v>81</v>
      </c>
      <c r="C13" s="26">
        <v>0</v>
      </c>
      <c r="D13" s="27">
        <v>43257</v>
      </c>
      <c r="E13" s="26">
        <v>3018.27</v>
      </c>
      <c r="F13" s="26" t="s">
        <v>106</v>
      </c>
      <c r="G13" s="26" t="s">
        <v>8</v>
      </c>
      <c r="H13" s="26" t="s">
        <v>107</v>
      </c>
      <c r="I13" s="26" t="s">
        <v>76</v>
      </c>
      <c r="J13" s="26">
        <v>1</v>
      </c>
      <c r="K13" s="8" t="str">
        <f t="shared" si="0"/>
        <v>APD</v>
      </c>
    </row>
    <row r="14" spans="1:11" x14ac:dyDescent="0.2">
      <c r="A14" s="26" t="s">
        <v>82</v>
      </c>
      <c r="B14" s="26" t="s">
        <v>81</v>
      </c>
      <c r="C14" s="26">
        <v>0</v>
      </c>
      <c r="D14" s="27">
        <v>43262</v>
      </c>
      <c r="E14" s="26">
        <v>-2700.55</v>
      </c>
      <c r="F14" s="26" t="s">
        <v>108</v>
      </c>
      <c r="G14" s="26" t="s">
        <v>8</v>
      </c>
      <c r="H14" s="26" t="s">
        <v>109</v>
      </c>
      <c r="I14" s="26" t="s">
        <v>76</v>
      </c>
      <c r="J14" s="26">
        <v>2</v>
      </c>
      <c r="K14" s="8" t="str">
        <f t="shared" si="0"/>
        <v>APD</v>
      </c>
    </row>
    <row r="15" spans="1:11" x14ac:dyDescent="0.2">
      <c r="A15" s="26" t="s">
        <v>82</v>
      </c>
      <c r="B15" s="26" t="s">
        <v>81</v>
      </c>
      <c r="C15" s="26">
        <v>0</v>
      </c>
      <c r="D15" s="27">
        <v>43263</v>
      </c>
      <c r="E15" s="26">
        <v>-238.29</v>
      </c>
      <c r="F15" s="26" t="s">
        <v>110</v>
      </c>
      <c r="G15" s="26" t="s">
        <v>8</v>
      </c>
      <c r="H15" s="26" t="s">
        <v>111</v>
      </c>
      <c r="I15" s="26" t="s">
        <v>76</v>
      </c>
      <c r="J15" s="26">
        <v>2</v>
      </c>
      <c r="K15" s="8" t="str">
        <f t="shared" si="0"/>
        <v>APD</v>
      </c>
    </row>
    <row r="16" spans="1:11" x14ac:dyDescent="0.2">
      <c r="A16" s="26" t="s">
        <v>82</v>
      </c>
      <c r="B16" s="26" t="s">
        <v>81</v>
      </c>
      <c r="C16" s="26">
        <v>0</v>
      </c>
      <c r="D16" s="27">
        <v>43263</v>
      </c>
      <c r="E16" s="26">
        <v>158.86000000000001</v>
      </c>
      <c r="F16" s="26" t="s">
        <v>112</v>
      </c>
      <c r="G16" s="26" t="s">
        <v>8</v>
      </c>
      <c r="H16" s="26" t="s">
        <v>113</v>
      </c>
      <c r="I16" s="26" t="s">
        <v>76</v>
      </c>
      <c r="J16" s="26">
        <v>3</v>
      </c>
      <c r="K16" s="8" t="str">
        <f t="shared" si="0"/>
        <v>APD</v>
      </c>
    </row>
    <row r="17" spans="1:11" x14ac:dyDescent="0.2">
      <c r="A17" s="26" t="s">
        <v>82</v>
      </c>
      <c r="B17" s="26" t="s">
        <v>81</v>
      </c>
      <c r="C17" s="26">
        <v>0</v>
      </c>
      <c r="D17" s="27">
        <v>43264</v>
      </c>
      <c r="E17" s="26">
        <v>-397.14</v>
      </c>
      <c r="F17" s="26" t="s">
        <v>114</v>
      </c>
      <c r="G17" s="26" t="s">
        <v>8</v>
      </c>
      <c r="H17" s="26" t="s">
        <v>115</v>
      </c>
      <c r="I17" s="26" t="s">
        <v>76</v>
      </c>
      <c r="J17" s="26">
        <v>2</v>
      </c>
      <c r="K17" s="8" t="str">
        <f t="shared" si="0"/>
        <v>APD</v>
      </c>
    </row>
    <row r="18" spans="1:11" x14ac:dyDescent="0.2">
      <c r="A18" s="26" t="s">
        <v>82</v>
      </c>
      <c r="B18" s="26" t="s">
        <v>81</v>
      </c>
      <c r="C18" s="26">
        <v>0</v>
      </c>
      <c r="D18" s="27">
        <v>43265</v>
      </c>
      <c r="E18" s="26">
        <v>317.70999999999998</v>
      </c>
      <c r="F18" s="26" t="s">
        <v>116</v>
      </c>
      <c r="G18" s="26" t="s">
        <v>8</v>
      </c>
      <c r="H18" s="26" t="s">
        <v>117</v>
      </c>
      <c r="I18" s="26" t="s">
        <v>76</v>
      </c>
      <c r="J18" s="26">
        <v>2</v>
      </c>
      <c r="K18" s="8" t="str">
        <f t="shared" si="0"/>
        <v>APD</v>
      </c>
    </row>
    <row r="19" spans="1:11" x14ac:dyDescent="0.2">
      <c r="A19" s="26" t="s">
        <v>82</v>
      </c>
      <c r="B19" s="26" t="s">
        <v>81</v>
      </c>
      <c r="C19" s="26">
        <v>0</v>
      </c>
      <c r="D19" s="27">
        <v>43265</v>
      </c>
      <c r="E19" s="26">
        <v>1667.99</v>
      </c>
      <c r="F19" s="26" t="s">
        <v>118</v>
      </c>
      <c r="G19" s="26" t="s">
        <v>8</v>
      </c>
      <c r="H19" s="26" t="s">
        <v>119</v>
      </c>
      <c r="I19" s="26" t="s">
        <v>76</v>
      </c>
      <c r="J19" s="26">
        <v>3</v>
      </c>
      <c r="K19" s="8" t="str">
        <f t="shared" si="0"/>
        <v>APD</v>
      </c>
    </row>
    <row r="20" spans="1:11" x14ac:dyDescent="0.2">
      <c r="A20" s="26" t="s">
        <v>82</v>
      </c>
      <c r="B20" s="26" t="s">
        <v>81</v>
      </c>
      <c r="C20" s="26">
        <v>0</v>
      </c>
      <c r="D20" s="27">
        <v>43266</v>
      </c>
      <c r="E20" s="26">
        <v>-1111.99</v>
      </c>
      <c r="F20" s="26" t="s">
        <v>120</v>
      </c>
      <c r="G20" s="26" t="s">
        <v>8</v>
      </c>
      <c r="H20" s="26" t="s">
        <v>121</v>
      </c>
      <c r="I20" s="26" t="s">
        <v>76</v>
      </c>
      <c r="J20" s="26">
        <v>2</v>
      </c>
      <c r="K20" s="8" t="str">
        <f t="shared" si="0"/>
        <v>APD</v>
      </c>
    </row>
    <row r="21" spans="1:11" x14ac:dyDescent="0.2">
      <c r="A21" s="26" t="s">
        <v>82</v>
      </c>
      <c r="B21" s="26" t="s">
        <v>81</v>
      </c>
      <c r="C21" s="26">
        <v>0</v>
      </c>
      <c r="D21" s="27">
        <v>43271</v>
      </c>
      <c r="E21" s="26">
        <v>-317.72000000000003</v>
      </c>
      <c r="F21" s="26" t="s">
        <v>122</v>
      </c>
      <c r="G21" s="26" t="s">
        <v>8</v>
      </c>
      <c r="H21" s="26" t="s">
        <v>123</v>
      </c>
      <c r="I21" s="26" t="s">
        <v>76</v>
      </c>
      <c r="J21" s="26">
        <v>1</v>
      </c>
      <c r="K21" s="8" t="str">
        <f t="shared" si="0"/>
        <v>APD</v>
      </c>
    </row>
    <row r="22" spans="1:11" x14ac:dyDescent="0.2">
      <c r="A22" s="26" t="s">
        <v>82</v>
      </c>
      <c r="B22" s="26" t="s">
        <v>81</v>
      </c>
      <c r="C22" s="26">
        <v>0</v>
      </c>
      <c r="D22" s="27">
        <v>43271</v>
      </c>
      <c r="E22" s="26">
        <v>79.430000000000007</v>
      </c>
      <c r="F22" s="26" t="s">
        <v>124</v>
      </c>
      <c r="G22" s="26" t="s">
        <v>8</v>
      </c>
      <c r="H22" s="26" t="s">
        <v>125</v>
      </c>
      <c r="I22" s="26" t="s">
        <v>76</v>
      </c>
      <c r="J22" s="26">
        <v>3</v>
      </c>
      <c r="K22" s="8" t="str">
        <f t="shared" si="0"/>
        <v>APD</v>
      </c>
    </row>
    <row r="23" spans="1:11" x14ac:dyDescent="0.2">
      <c r="A23" s="26" t="s">
        <v>82</v>
      </c>
      <c r="B23" s="26" t="s">
        <v>81</v>
      </c>
      <c r="C23" s="26">
        <v>0</v>
      </c>
      <c r="D23" s="27">
        <v>43271</v>
      </c>
      <c r="E23" s="26">
        <v>79.430000000000007</v>
      </c>
      <c r="F23" s="26" t="s">
        <v>126</v>
      </c>
      <c r="G23" s="26" t="s">
        <v>8</v>
      </c>
      <c r="H23" s="26" t="s">
        <v>127</v>
      </c>
      <c r="I23" s="26" t="s">
        <v>76</v>
      </c>
      <c r="J23" s="26">
        <v>4</v>
      </c>
      <c r="K23" s="8" t="str">
        <f t="shared" si="0"/>
        <v>APD</v>
      </c>
    </row>
    <row r="24" spans="1:11" x14ac:dyDescent="0.2">
      <c r="A24" s="26" t="s">
        <v>82</v>
      </c>
      <c r="B24" s="26" t="s">
        <v>81</v>
      </c>
      <c r="C24" s="26">
        <v>0</v>
      </c>
      <c r="D24" s="27">
        <v>43272</v>
      </c>
      <c r="E24" s="26">
        <v>-714.85</v>
      </c>
      <c r="F24" s="26" t="s">
        <v>128</v>
      </c>
      <c r="G24" s="26" t="s">
        <v>8</v>
      </c>
      <c r="H24" s="26" t="s">
        <v>129</v>
      </c>
      <c r="I24" s="26" t="s">
        <v>76</v>
      </c>
      <c r="J24" s="26">
        <v>2</v>
      </c>
      <c r="K24" s="8" t="str">
        <f t="shared" si="0"/>
        <v>APD</v>
      </c>
    </row>
    <row r="25" spans="1:11" x14ac:dyDescent="0.2">
      <c r="A25" s="26" t="s">
        <v>82</v>
      </c>
      <c r="B25" s="26" t="s">
        <v>81</v>
      </c>
      <c r="C25" s="26">
        <v>0</v>
      </c>
      <c r="D25" s="27">
        <v>43273</v>
      </c>
      <c r="E25" s="26">
        <v>555.99</v>
      </c>
      <c r="F25" s="26" t="s">
        <v>130</v>
      </c>
      <c r="G25" s="26" t="s">
        <v>8</v>
      </c>
      <c r="H25" s="26" t="s">
        <v>131</v>
      </c>
      <c r="I25" s="26" t="s">
        <v>76</v>
      </c>
      <c r="J25" s="26">
        <v>2</v>
      </c>
      <c r="K25" s="8" t="str">
        <f t="shared" si="0"/>
        <v>APD</v>
      </c>
    </row>
    <row r="26" spans="1:11" x14ac:dyDescent="0.2">
      <c r="A26" s="26" t="s">
        <v>82</v>
      </c>
      <c r="B26" s="26" t="s">
        <v>81</v>
      </c>
      <c r="C26" s="26">
        <v>0</v>
      </c>
      <c r="D26" s="27">
        <v>43276</v>
      </c>
      <c r="E26" s="26">
        <v>12073.08</v>
      </c>
      <c r="F26" s="26" t="s">
        <v>132</v>
      </c>
      <c r="G26" s="26" t="s">
        <v>8</v>
      </c>
      <c r="H26" s="26" t="s">
        <v>133</v>
      </c>
      <c r="I26" s="26" t="s">
        <v>76</v>
      </c>
      <c r="J26" s="26">
        <v>1</v>
      </c>
      <c r="K26" s="8" t="str">
        <f t="shared" si="0"/>
        <v>APD</v>
      </c>
    </row>
    <row r="27" spans="1:11" x14ac:dyDescent="0.2">
      <c r="A27" s="26" t="s">
        <v>82</v>
      </c>
      <c r="B27" s="26" t="s">
        <v>81</v>
      </c>
      <c r="C27" s="26">
        <v>0</v>
      </c>
      <c r="D27" s="27">
        <v>43276</v>
      </c>
      <c r="E27" s="26">
        <v>-10961.08</v>
      </c>
      <c r="F27" s="26" t="s">
        <v>134</v>
      </c>
      <c r="G27" s="26" t="s">
        <v>8</v>
      </c>
      <c r="H27" s="26" t="s">
        <v>135</v>
      </c>
      <c r="I27" s="26" t="s">
        <v>76</v>
      </c>
      <c r="J27" s="26">
        <v>5</v>
      </c>
      <c r="K27" s="8" t="str">
        <f t="shared" si="0"/>
        <v>APD</v>
      </c>
    </row>
    <row r="28" spans="1:11" x14ac:dyDescent="0.2">
      <c r="A28" s="26" t="s">
        <v>82</v>
      </c>
      <c r="B28" s="26" t="s">
        <v>81</v>
      </c>
      <c r="C28" s="26">
        <v>0</v>
      </c>
      <c r="D28" s="27">
        <v>43277</v>
      </c>
      <c r="E28" s="26">
        <v>90389.2</v>
      </c>
      <c r="F28" s="26" t="s">
        <v>136</v>
      </c>
      <c r="G28" s="26" t="s">
        <v>8</v>
      </c>
      <c r="H28" s="26" t="s">
        <v>137</v>
      </c>
      <c r="I28" s="26" t="s">
        <v>76</v>
      </c>
      <c r="J28" s="26">
        <v>1</v>
      </c>
      <c r="K28" s="8" t="str">
        <f t="shared" si="0"/>
        <v>APD</v>
      </c>
    </row>
    <row r="29" spans="1:11" x14ac:dyDescent="0.2">
      <c r="A29" s="26" t="s">
        <v>82</v>
      </c>
      <c r="B29" s="26" t="s">
        <v>81</v>
      </c>
      <c r="C29" s="26">
        <v>0</v>
      </c>
      <c r="D29" s="27">
        <v>43277</v>
      </c>
      <c r="E29" s="26">
        <v>-22081.02</v>
      </c>
      <c r="F29" s="26" t="s">
        <v>138</v>
      </c>
      <c r="G29" s="26" t="s">
        <v>8</v>
      </c>
      <c r="H29" s="26" t="s">
        <v>139</v>
      </c>
      <c r="I29" s="26" t="s">
        <v>76</v>
      </c>
      <c r="J29" s="26">
        <v>4</v>
      </c>
      <c r="K29" s="8" t="str">
        <f t="shared" si="0"/>
        <v>APD</v>
      </c>
    </row>
    <row r="30" spans="1:11" x14ac:dyDescent="0.2">
      <c r="A30" s="26" t="s">
        <v>82</v>
      </c>
      <c r="B30" s="26" t="s">
        <v>81</v>
      </c>
      <c r="C30" s="26">
        <v>0</v>
      </c>
      <c r="D30" s="27">
        <v>43277</v>
      </c>
      <c r="E30" s="26">
        <v>238.28</v>
      </c>
      <c r="F30" s="26" t="s">
        <v>140</v>
      </c>
      <c r="G30" s="26" t="s">
        <v>8</v>
      </c>
      <c r="H30" s="26" t="s">
        <v>141</v>
      </c>
      <c r="I30" s="26" t="s">
        <v>76</v>
      </c>
      <c r="J30" s="26">
        <v>5</v>
      </c>
      <c r="K30" s="8" t="str">
        <f t="shared" si="0"/>
        <v>APD</v>
      </c>
    </row>
    <row r="31" spans="1:11" x14ac:dyDescent="0.2">
      <c r="A31" s="26" t="s">
        <v>82</v>
      </c>
      <c r="B31" s="26" t="s">
        <v>81</v>
      </c>
      <c r="C31" s="26">
        <v>0</v>
      </c>
      <c r="D31" s="27">
        <v>43280</v>
      </c>
      <c r="E31" s="26">
        <v>-70055.600000000006</v>
      </c>
      <c r="F31" s="26" t="s">
        <v>142</v>
      </c>
      <c r="G31" s="26" t="s">
        <v>8</v>
      </c>
      <c r="H31" s="26" t="s">
        <v>143</v>
      </c>
      <c r="I31" s="26" t="s">
        <v>76</v>
      </c>
      <c r="J31" s="26">
        <v>1</v>
      </c>
      <c r="K31" s="8" t="str">
        <f t="shared" si="0"/>
        <v>APD</v>
      </c>
    </row>
    <row r="32" spans="1:11" x14ac:dyDescent="0.2">
      <c r="A32" s="26" t="s">
        <v>82</v>
      </c>
      <c r="B32" s="26" t="s">
        <v>81</v>
      </c>
      <c r="C32" s="26">
        <v>0</v>
      </c>
      <c r="D32" s="27">
        <v>43280</v>
      </c>
      <c r="E32" s="26">
        <v>794.29</v>
      </c>
      <c r="F32" s="26" t="s">
        <v>144</v>
      </c>
      <c r="G32" s="26" t="s">
        <v>8</v>
      </c>
      <c r="H32" s="26" t="s">
        <v>145</v>
      </c>
      <c r="I32" s="26" t="s">
        <v>76</v>
      </c>
      <c r="J32" s="26">
        <v>2</v>
      </c>
      <c r="K32" s="8" t="str">
        <f t="shared" si="0"/>
        <v>APD</v>
      </c>
    </row>
    <row r="33" spans="1:11" x14ac:dyDescent="0.2">
      <c r="A33" s="26" t="s">
        <v>82</v>
      </c>
      <c r="B33" s="26" t="s">
        <v>81</v>
      </c>
      <c r="C33" s="26">
        <v>0</v>
      </c>
      <c r="D33" s="27">
        <v>43283</v>
      </c>
      <c r="E33" s="26">
        <v>-953.14</v>
      </c>
      <c r="F33" s="26" t="s">
        <v>146</v>
      </c>
      <c r="G33" s="26" t="s">
        <v>8</v>
      </c>
      <c r="H33" s="26" t="s">
        <v>147</v>
      </c>
      <c r="I33" s="26" t="s">
        <v>76</v>
      </c>
      <c r="J33" s="26">
        <v>1</v>
      </c>
      <c r="K33" s="8" t="str">
        <f t="shared" si="0"/>
        <v>APD</v>
      </c>
    </row>
    <row r="34" spans="1:11" x14ac:dyDescent="0.2">
      <c r="A34" s="26" t="s">
        <v>82</v>
      </c>
      <c r="B34" s="26" t="s">
        <v>81</v>
      </c>
      <c r="C34" s="26">
        <v>0</v>
      </c>
      <c r="D34" s="27">
        <v>43284</v>
      </c>
      <c r="E34" s="26">
        <v>635.41999999999996</v>
      </c>
      <c r="F34" s="26" t="s">
        <v>148</v>
      </c>
      <c r="G34" s="26" t="s">
        <v>8</v>
      </c>
      <c r="H34" s="26" t="s">
        <v>149</v>
      </c>
      <c r="I34" s="26" t="s">
        <v>76</v>
      </c>
      <c r="J34" s="26">
        <v>2</v>
      </c>
      <c r="K34" s="8" t="str">
        <f t="shared" si="0"/>
        <v>APD</v>
      </c>
    </row>
    <row r="35" spans="1:11" x14ac:dyDescent="0.2">
      <c r="A35" s="26" t="s">
        <v>82</v>
      </c>
      <c r="B35" s="26" t="s">
        <v>81</v>
      </c>
      <c r="C35" s="26">
        <v>0</v>
      </c>
      <c r="D35" s="27">
        <v>43285</v>
      </c>
      <c r="E35" s="26">
        <v>4368.55</v>
      </c>
      <c r="F35" s="26" t="s">
        <v>150</v>
      </c>
      <c r="G35" s="26" t="s">
        <v>8</v>
      </c>
      <c r="H35" s="26" t="s">
        <v>151</v>
      </c>
      <c r="I35" s="26" t="s">
        <v>76</v>
      </c>
      <c r="J35" s="26">
        <v>1</v>
      </c>
      <c r="K35" s="8" t="str">
        <f t="shared" si="0"/>
        <v>APD</v>
      </c>
    </row>
    <row r="36" spans="1:11" x14ac:dyDescent="0.2">
      <c r="A36" s="26" t="s">
        <v>82</v>
      </c>
      <c r="B36" s="26" t="s">
        <v>81</v>
      </c>
      <c r="C36" s="26">
        <v>0</v>
      </c>
      <c r="D36" s="27">
        <v>43286</v>
      </c>
      <c r="E36" s="26">
        <v>-4924.54</v>
      </c>
      <c r="F36" s="26" t="s">
        <v>152</v>
      </c>
      <c r="G36" s="26" t="s">
        <v>8</v>
      </c>
      <c r="H36" s="26" t="s">
        <v>153</v>
      </c>
      <c r="I36" s="26" t="s">
        <v>76</v>
      </c>
      <c r="J36" s="26">
        <v>1</v>
      </c>
      <c r="K36" s="8" t="str">
        <f t="shared" si="0"/>
        <v>APD</v>
      </c>
    </row>
    <row r="37" spans="1:11" x14ac:dyDescent="0.2">
      <c r="A37" s="26" t="s">
        <v>82</v>
      </c>
      <c r="B37" s="26" t="s">
        <v>81</v>
      </c>
      <c r="C37" s="26">
        <v>0</v>
      </c>
      <c r="D37" s="27">
        <v>43293</v>
      </c>
      <c r="E37" s="26">
        <v>79.42</v>
      </c>
      <c r="F37" s="26" t="s">
        <v>154</v>
      </c>
      <c r="G37" s="26" t="s">
        <v>8</v>
      </c>
      <c r="H37" s="26" t="s">
        <v>155</v>
      </c>
      <c r="I37" s="26" t="s">
        <v>76</v>
      </c>
      <c r="J37" s="26">
        <v>2</v>
      </c>
      <c r="K37" s="8" t="str">
        <f t="shared" si="0"/>
        <v>APD</v>
      </c>
    </row>
    <row r="38" spans="1:11" x14ac:dyDescent="0.2">
      <c r="A38" s="26" t="s">
        <v>82</v>
      </c>
      <c r="B38" s="26" t="s">
        <v>81</v>
      </c>
      <c r="C38" s="26">
        <v>0</v>
      </c>
      <c r="D38" s="27">
        <v>43294</v>
      </c>
      <c r="E38" s="26">
        <v>-79.42</v>
      </c>
      <c r="F38" s="26" t="s">
        <v>156</v>
      </c>
      <c r="G38" s="26" t="s">
        <v>8</v>
      </c>
      <c r="H38" s="26" t="s">
        <v>157</v>
      </c>
      <c r="I38" s="26" t="s">
        <v>76</v>
      </c>
      <c r="J38" s="26">
        <v>2</v>
      </c>
      <c r="K38" s="8" t="str">
        <f t="shared" si="0"/>
        <v>APD</v>
      </c>
    </row>
    <row r="39" spans="1:11" x14ac:dyDescent="0.2">
      <c r="A39" s="26" t="s">
        <v>82</v>
      </c>
      <c r="B39" s="26" t="s">
        <v>81</v>
      </c>
      <c r="C39" s="26">
        <v>0</v>
      </c>
      <c r="D39" s="27">
        <v>43297</v>
      </c>
      <c r="E39" s="26">
        <v>397.14</v>
      </c>
      <c r="F39" s="26" t="s">
        <v>158</v>
      </c>
      <c r="G39" s="26" t="s">
        <v>8</v>
      </c>
      <c r="H39" s="26" t="s">
        <v>159</v>
      </c>
      <c r="I39" s="26" t="s">
        <v>76</v>
      </c>
      <c r="J39" s="26">
        <v>2</v>
      </c>
      <c r="K39" s="8" t="str">
        <f t="shared" si="0"/>
        <v>APD</v>
      </c>
    </row>
    <row r="40" spans="1:11" x14ac:dyDescent="0.2">
      <c r="A40" s="26" t="s">
        <v>82</v>
      </c>
      <c r="B40" s="26" t="s">
        <v>81</v>
      </c>
      <c r="C40" s="26">
        <v>0</v>
      </c>
      <c r="D40" s="27">
        <v>43297</v>
      </c>
      <c r="E40" s="26">
        <v>1826.84</v>
      </c>
      <c r="F40" s="26" t="s">
        <v>160</v>
      </c>
      <c r="G40" s="26" t="s">
        <v>8</v>
      </c>
      <c r="H40" s="26" t="s">
        <v>161</v>
      </c>
      <c r="I40" s="26" t="s">
        <v>76</v>
      </c>
      <c r="J40" s="26">
        <v>3</v>
      </c>
      <c r="K40" s="8" t="str">
        <f t="shared" si="0"/>
        <v>APD</v>
      </c>
    </row>
    <row r="41" spans="1:11" x14ac:dyDescent="0.2">
      <c r="A41" s="26" t="s">
        <v>82</v>
      </c>
      <c r="B41" s="26" t="s">
        <v>81</v>
      </c>
      <c r="C41" s="26">
        <v>0</v>
      </c>
      <c r="D41" s="27">
        <v>43300</v>
      </c>
      <c r="E41" s="26">
        <v>-2144.56</v>
      </c>
      <c r="F41" s="26" t="s">
        <v>162</v>
      </c>
      <c r="G41" s="26" t="s">
        <v>8</v>
      </c>
      <c r="H41" s="26" t="s">
        <v>163</v>
      </c>
      <c r="I41" s="26" t="s">
        <v>76</v>
      </c>
      <c r="J41" s="26">
        <v>2</v>
      </c>
      <c r="K41" s="8" t="str">
        <f t="shared" si="0"/>
        <v>APD</v>
      </c>
    </row>
    <row r="42" spans="1:11" x14ac:dyDescent="0.2">
      <c r="A42" s="26" t="s">
        <v>82</v>
      </c>
      <c r="B42" s="26" t="s">
        <v>81</v>
      </c>
      <c r="C42" s="26">
        <v>0</v>
      </c>
      <c r="D42" s="27">
        <v>43304</v>
      </c>
      <c r="E42" s="26">
        <v>79.430000000000007</v>
      </c>
      <c r="F42" s="26" t="s">
        <v>164</v>
      </c>
      <c r="G42" s="26" t="s">
        <v>8</v>
      </c>
      <c r="H42" s="26" t="s">
        <v>165</v>
      </c>
      <c r="I42" s="26" t="s">
        <v>76</v>
      </c>
      <c r="J42" s="26">
        <v>2</v>
      </c>
      <c r="K42" s="8" t="str">
        <f t="shared" si="0"/>
        <v>APD</v>
      </c>
    </row>
    <row r="43" spans="1:11" x14ac:dyDescent="0.2">
      <c r="A43" s="26" t="s">
        <v>82</v>
      </c>
      <c r="B43" s="26" t="s">
        <v>81</v>
      </c>
      <c r="C43" s="26">
        <v>0</v>
      </c>
      <c r="D43" s="27">
        <v>43305</v>
      </c>
      <c r="E43" s="26">
        <v>-238.28</v>
      </c>
      <c r="F43" s="26" t="s">
        <v>166</v>
      </c>
      <c r="G43" s="26" t="s">
        <v>8</v>
      </c>
      <c r="H43" s="26" t="s">
        <v>167</v>
      </c>
      <c r="I43" s="26" t="s">
        <v>76</v>
      </c>
      <c r="J43" s="26">
        <v>2</v>
      </c>
      <c r="K43" s="8" t="str">
        <f t="shared" si="0"/>
        <v>APD</v>
      </c>
    </row>
    <row r="44" spans="1:11" x14ac:dyDescent="0.2">
      <c r="A44" s="26" t="s">
        <v>82</v>
      </c>
      <c r="B44" s="26" t="s">
        <v>81</v>
      </c>
      <c r="C44" s="26">
        <v>0</v>
      </c>
      <c r="D44" s="27">
        <v>43305</v>
      </c>
      <c r="E44" s="26">
        <v>476.57</v>
      </c>
      <c r="F44" s="26" t="s">
        <v>168</v>
      </c>
      <c r="G44" s="26" t="s">
        <v>8</v>
      </c>
      <c r="H44" s="26" t="s">
        <v>169</v>
      </c>
      <c r="I44" s="26" t="s">
        <v>76</v>
      </c>
      <c r="J44" s="26">
        <v>3</v>
      </c>
      <c r="K44" s="8" t="str">
        <f t="shared" si="0"/>
        <v>APD</v>
      </c>
    </row>
    <row r="45" spans="1:11" x14ac:dyDescent="0.2">
      <c r="A45" s="26" t="s">
        <v>82</v>
      </c>
      <c r="B45" s="26" t="s">
        <v>81</v>
      </c>
      <c r="C45" s="26">
        <v>0</v>
      </c>
      <c r="D45" s="27">
        <v>43305</v>
      </c>
      <c r="E45" s="26">
        <v>238.28</v>
      </c>
      <c r="F45" s="26" t="s">
        <v>170</v>
      </c>
      <c r="G45" s="26" t="s">
        <v>8</v>
      </c>
      <c r="H45" s="26" t="s">
        <v>171</v>
      </c>
      <c r="I45" s="26" t="s">
        <v>76</v>
      </c>
      <c r="J45" s="26">
        <v>4</v>
      </c>
      <c r="K45" s="8" t="str">
        <f t="shared" si="0"/>
        <v>APD</v>
      </c>
    </row>
    <row r="46" spans="1:11" x14ac:dyDescent="0.2">
      <c r="A46" s="26" t="s">
        <v>82</v>
      </c>
      <c r="B46" s="26" t="s">
        <v>81</v>
      </c>
      <c r="C46" s="26">
        <v>0</v>
      </c>
      <c r="D46" s="27">
        <v>43306</v>
      </c>
      <c r="E46" s="26">
        <v>-714.85</v>
      </c>
      <c r="F46" s="26" t="s">
        <v>172</v>
      </c>
      <c r="G46" s="26" t="s">
        <v>8</v>
      </c>
      <c r="H46" s="26" t="s">
        <v>173</v>
      </c>
      <c r="I46" s="26" t="s">
        <v>76</v>
      </c>
      <c r="J46" s="26">
        <v>6</v>
      </c>
      <c r="K46" s="8" t="str">
        <f t="shared" si="0"/>
        <v>APD</v>
      </c>
    </row>
    <row r="47" spans="1:11" x14ac:dyDescent="0.2">
      <c r="A47" s="26" t="s">
        <v>82</v>
      </c>
      <c r="B47" s="26" t="s">
        <v>81</v>
      </c>
      <c r="C47" s="26">
        <v>0</v>
      </c>
      <c r="D47" s="27">
        <v>43311</v>
      </c>
      <c r="E47" s="26">
        <v>555.99</v>
      </c>
      <c r="F47" s="26" t="s">
        <v>174</v>
      </c>
      <c r="G47" s="26" t="s">
        <v>8</v>
      </c>
      <c r="H47" s="26" t="s">
        <v>175</v>
      </c>
      <c r="I47" s="26" t="s">
        <v>76</v>
      </c>
      <c r="J47" s="26">
        <v>4</v>
      </c>
      <c r="K47" s="8" t="str">
        <f t="shared" si="0"/>
        <v>APD</v>
      </c>
    </row>
    <row r="48" spans="1:11" x14ac:dyDescent="0.2">
      <c r="A48" s="26" t="s">
        <v>82</v>
      </c>
      <c r="B48" s="26" t="s">
        <v>81</v>
      </c>
      <c r="C48" s="26">
        <v>0</v>
      </c>
      <c r="D48" s="27">
        <v>43312</v>
      </c>
      <c r="E48" s="26">
        <v>158.86000000000001</v>
      </c>
      <c r="F48" s="26" t="s">
        <v>176</v>
      </c>
      <c r="G48" s="26" t="s">
        <v>8</v>
      </c>
      <c r="H48" s="26" t="s">
        <v>177</v>
      </c>
      <c r="I48" s="26" t="s">
        <v>76</v>
      </c>
      <c r="J48" s="26">
        <v>2</v>
      </c>
      <c r="K48" s="8" t="str">
        <f t="shared" si="0"/>
        <v>APD</v>
      </c>
    </row>
    <row r="49" spans="1:11" x14ac:dyDescent="0.2">
      <c r="A49" s="26" t="s">
        <v>82</v>
      </c>
      <c r="B49" s="26" t="s">
        <v>81</v>
      </c>
      <c r="C49" s="26">
        <v>0</v>
      </c>
      <c r="D49" s="27">
        <v>43313</v>
      </c>
      <c r="E49" s="26">
        <v>714.85</v>
      </c>
      <c r="F49" s="26" t="s">
        <v>178</v>
      </c>
      <c r="G49" s="26" t="s">
        <v>8</v>
      </c>
      <c r="H49" s="26" t="s">
        <v>179</v>
      </c>
      <c r="I49" s="26" t="s">
        <v>76</v>
      </c>
      <c r="J49" s="26">
        <v>2</v>
      </c>
      <c r="K49" s="8" t="str">
        <f t="shared" si="0"/>
        <v>APD</v>
      </c>
    </row>
    <row r="50" spans="1:11" x14ac:dyDescent="0.2">
      <c r="A50" s="26" t="s">
        <v>82</v>
      </c>
      <c r="B50" s="26" t="s">
        <v>81</v>
      </c>
      <c r="C50" s="26">
        <v>0</v>
      </c>
      <c r="D50" s="27">
        <v>43314</v>
      </c>
      <c r="E50" s="26">
        <v>-476.56</v>
      </c>
      <c r="F50" s="26" t="s">
        <v>180</v>
      </c>
      <c r="G50" s="26" t="s">
        <v>8</v>
      </c>
      <c r="H50" s="26" t="s">
        <v>181</v>
      </c>
      <c r="I50" s="26" t="s">
        <v>76</v>
      </c>
      <c r="J50" s="26">
        <v>2</v>
      </c>
      <c r="K50" s="8" t="str">
        <f t="shared" si="0"/>
        <v>APD</v>
      </c>
    </row>
    <row r="51" spans="1:11" x14ac:dyDescent="0.2">
      <c r="A51" s="26" t="s">
        <v>82</v>
      </c>
      <c r="B51" s="26" t="s">
        <v>81</v>
      </c>
      <c r="C51" s="26">
        <v>0</v>
      </c>
      <c r="D51" s="27">
        <v>43315</v>
      </c>
      <c r="E51" s="26">
        <v>66481.33</v>
      </c>
      <c r="F51" s="26" t="s">
        <v>182</v>
      </c>
      <c r="G51" s="26" t="s">
        <v>8</v>
      </c>
      <c r="H51" s="26" t="s">
        <v>183</v>
      </c>
      <c r="I51" s="26" t="s">
        <v>76</v>
      </c>
      <c r="J51" s="26">
        <v>1</v>
      </c>
      <c r="K51" s="8" t="str">
        <f t="shared" si="0"/>
        <v>APD</v>
      </c>
    </row>
    <row r="52" spans="1:11" x14ac:dyDescent="0.2">
      <c r="A52" s="26" t="s">
        <v>82</v>
      </c>
      <c r="B52" s="26" t="s">
        <v>81</v>
      </c>
      <c r="C52" s="26">
        <v>0</v>
      </c>
      <c r="D52" s="27">
        <v>43315</v>
      </c>
      <c r="E52" s="26">
        <v>-23828.44</v>
      </c>
      <c r="F52" s="26" t="s">
        <v>184</v>
      </c>
      <c r="G52" s="26" t="s">
        <v>8</v>
      </c>
      <c r="H52" s="26" t="s">
        <v>185</v>
      </c>
      <c r="I52" s="26" t="s">
        <v>76</v>
      </c>
      <c r="J52" s="26">
        <v>4</v>
      </c>
      <c r="K52" s="8" t="str">
        <f t="shared" si="0"/>
        <v>APD</v>
      </c>
    </row>
    <row r="53" spans="1:11" x14ac:dyDescent="0.2">
      <c r="A53" s="26" t="s">
        <v>82</v>
      </c>
      <c r="B53" s="26" t="s">
        <v>81</v>
      </c>
      <c r="C53" s="26">
        <v>0</v>
      </c>
      <c r="D53" s="27">
        <v>43315</v>
      </c>
      <c r="E53" s="26">
        <v>-31850.67</v>
      </c>
      <c r="F53" s="26" t="s">
        <v>186</v>
      </c>
      <c r="G53" s="26" t="s">
        <v>8</v>
      </c>
      <c r="H53" s="26" t="s">
        <v>187</v>
      </c>
      <c r="I53" s="26" t="s">
        <v>76</v>
      </c>
      <c r="J53" s="26">
        <v>5</v>
      </c>
      <c r="K53" s="8" t="str">
        <f t="shared" si="0"/>
        <v>APD</v>
      </c>
    </row>
    <row r="54" spans="1:11" x14ac:dyDescent="0.2">
      <c r="A54" s="26" t="s">
        <v>82</v>
      </c>
      <c r="B54" s="26" t="s">
        <v>81</v>
      </c>
      <c r="C54" s="26">
        <v>0</v>
      </c>
      <c r="D54" s="27">
        <v>43315</v>
      </c>
      <c r="E54" s="26">
        <v>8260.52</v>
      </c>
      <c r="F54" s="26" t="s">
        <v>188</v>
      </c>
      <c r="G54" s="26" t="s">
        <v>8</v>
      </c>
      <c r="H54" s="26" t="s">
        <v>189</v>
      </c>
      <c r="I54" s="26" t="s">
        <v>76</v>
      </c>
      <c r="J54" s="26">
        <v>6</v>
      </c>
      <c r="K54" s="8" t="str">
        <f t="shared" si="0"/>
        <v>APD</v>
      </c>
    </row>
    <row r="55" spans="1:11" x14ac:dyDescent="0.2">
      <c r="A55" s="26" t="s">
        <v>82</v>
      </c>
      <c r="B55" s="26" t="s">
        <v>81</v>
      </c>
      <c r="C55" s="26">
        <v>0</v>
      </c>
      <c r="D55" s="27">
        <v>43320</v>
      </c>
      <c r="E55" s="26">
        <v>24622.720000000001</v>
      </c>
      <c r="F55" s="26" t="s">
        <v>190</v>
      </c>
      <c r="G55" s="26" t="s">
        <v>8</v>
      </c>
      <c r="H55" s="26" t="s">
        <v>191</v>
      </c>
      <c r="I55" s="26" t="s">
        <v>76</v>
      </c>
      <c r="J55" s="26">
        <v>1</v>
      </c>
      <c r="K55" s="8" t="str">
        <f t="shared" si="0"/>
        <v>APD</v>
      </c>
    </row>
    <row r="56" spans="1:11" x14ac:dyDescent="0.2">
      <c r="A56" s="26" t="s">
        <v>82</v>
      </c>
      <c r="B56" s="26" t="s">
        <v>81</v>
      </c>
      <c r="C56" s="26">
        <v>0</v>
      </c>
      <c r="D56" s="27">
        <v>43321</v>
      </c>
      <c r="E56" s="26">
        <v>-44241.46</v>
      </c>
      <c r="F56" s="26" t="s">
        <v>192</v>
      </c>
      <c r="G56" s="26" t="s">
        <v>8</v>
      </c>
      <c r="H56" s="26" t="s">
        <v>193</v>
      </c>
      <c r="I56" s="26" t="s">
        <v>76</v>
      </c>
      <c r="J56" s="26">
        <v>1</v>
      </c>
      <c r="K56" s="8" t="str">
        <f t="shared" si="0"/>
        <v>APD</v>
      </c>
    </row>
    <row r="57" spans="1:11" x14ac:dyDescent="0.2">
      <c r="A57" s="26" t="s">
        <v>82</v>
      </c>
      <c r="B57" s="26" t="s">
        <v>81</v>
      </c>
      <c r="C57" s="26">
        <v>0</v>
      </c>
      <c r="D57" s="27">
        <v>43321</v>
      </c>
      <c r="E57" s="26">
        <v>635.41999999999996</v>
      </c>
      <c r="F57" s="26" t="s">
        <v>194</v>
      </c>
      <c r="G57" s="26" t="s">
        <v>8</v>
      </c>
      <c r="H57" s="26" t="s">
        <v>195</v>
      </c>
      <c r="I57" s="26" t="s">
        <v>76</v>
      </c>
      <c r="J57" s="26">
        <v>2</v>
      </c>
      <c r="K57" s="8" t="str">
        <f t="shared" si="0"/>
        <v>APD</v>
      </c>
    </row>
    <row r="58" spans="1:11" x14ac:dyDescent="0.2">
      <c r="A58" s="26" t="s">
        <v>82</v>
      </c>
      <c r="B58" s="26" t="s">
        <v>81</v>
      </c>
      <c r="C58" s="26">
        <v>0</v>
      </c>
      <c r="D58" s="27">
        <v>43321</v>
      </c>
      <c r="E58" s="26">
        <v>317.72000000000003</v>
      </c>
      <c r="F58" s="26" t="s">
        <v>196</v>
      </c>
      <c r="G58" s="26" t="s">
        <v>8</v>
      </c>
      <c r="H58" s="26" t="s">
        <v>197</v>
      </c>
      <c r="I58" s="26" t="s">
        <v>76</v>
      </c>
      <c r="J58" s="26">
        <v>3</v>
      </c>
      <c r="K58" s="8" t="str">
        <f t="shared" si="0"/>
        <v>APD</v>
      </c>
    </row>
    <row r="59" spans="1:11" x14ac:dyDescent="0.2">
      <c r="A59" s="26" t="s">
        <v>82</v>
      </c>
      <c r="B59" s="26" t="s">
        <v>81</v>
      </c>
      <c r="C59" s="26">
        <v>0</v>
      </c>
      <c r="D59" s="27">
        <v>43322</v>
      </c>
      <c r="E59" s="26">
        <v>-1350.28</v>
      </c>
      <c r="F59" s="26" t="s">
        <v>198</v>
      </c>
      <c r="G59" s="26" t="s">
        <v>8</v>
      </c>
      <c r="H59" s="26" t="s">
        <v>199</v>
      </c>
      <c r="I59" s="26" t="s">
        <v>76</v>
      </c>
      <c r="J59" s="26">
        <v>1</v>
      </c>
      <c r="K59" s="8" t="str">
        <f t="shared" si="0"/>
        <v>APD</v>
      </c>
    </row>
    <row r="60" spans="1:11" x14ac:dyDescent="0.2">
      <c r="A60" s="26" t="s">
        <v>82</v>
      </c>
      <c r="B60" s="26" t="s">
        <v>81</v>
      </c>
      <c r="C60" s="26">
        <v>0</v>
      </c>
      <c r="D60" s="27">
        <v>43325</v>
      </c>
      <c r="E60" s="26">
        <v>1191.42</v>
      </c>
      <c r="F60" s="26" t="s">
        <v>200</v>
      </c>
      <c r="G60" s="26" t="s">
        <v>8</v>
      </c>
      <c r="H60" s="26" t="s">
        <v>201</v>
      </c>
      <c r="I60" s="26" t="s">
        <v>76</v>
      </c>
      <c r="J60" s="26">
        <v>2</v>
      </c>
      <c r="K60" s="8" t="str">
        <f t="shared" si="0"/>
        <v>APD</v>
      </c>
    </row>
    <row r="61" spans="1:11" x14ac:dyDescent="0.2">
      <c r="A61" s="26" t="s">
        <v>82</v>
      </c>
      <c r="B61" s="26" t="s">
        <v>81</v>
      </c>
      <c r="C61" s="26">
        <v>0</v>
      </c>
      <c r="D61" s="27">
        <v>43326</v>
      </c>
      <c r="E61" s="26">
        <v>-1111.99</v>
      </c>
      <c r="F61" s="26" t="s">
        <v>202</v>
      </c>
      <c r="G61" s="26" t="s">
        <v>8</v>
      </c>
      <c r="H61" s="26" t="s">
        <v>203</v>
      </c>
      <c r="I61" s="26" t="s">
        <v>76</v>
      </c>
      <c r="J61" s="26">
        <v>1</v>
      </c>
      <c r="K61" s="8" t="str">
        <f t="shared" si="0"/>
        <v>APD</v>
      </c>
    </row>
    <row r="62" spans="1:11" x14ac:dyDescent="0.2">
      <c r="A62" s="26" t="s">
        <v>82</v>
      </c>
      <c r="B62" s="26" t="s">
        <v>81</v>
      </c>
      <c r="C62" s="26">
        <v>0</v>
      </c>
      <c r="D62" s="27">
        <v>43326</v>
      </c>
      <c r="E62" s="26">
        <v>238.28</v>
      </c>
      <c r="F62" s="26" t="s">
        <v>204</v>
      </c>
      <c r="G62" s="26" t="s">
        <v>8</v>
      </c>
      <c r="H62" s="26" t="s">
        <v>205</v>
      </c>
      <c r="I62" s="26" t="s">
        <v>76</v>
      </c>
      <c r="J62" s="26">
        <v>2</v>
      </c>
      <c r="K62" s="8" t="str">
        <f t="shared" si="0"/>
        <v>APD</v>
      </c>
    </row>
    <row r="63" spans="1:11" x14ac:dyDescent="0.2">
      <c r="A63" s="26" t="s">
        <v>82</v>
      </c>
      <c r="B63" s="26" t="s">
        <v>81</v>
      </c>
      <c r="C63" s="26">
        <v>0</v>
      </c>
      <c r="D63" s="27">
        <v>43333</v>
      </c>
      <c r="E63" s="26">
        <v>-238.28</v>
      </c>
      <c r="F63" s="26" t="s">
        <v>206</v>
      </c>
      <c r="G63" s="26" t="s">
        <v>8</v>
      </c>
      <c r="H63" s="26" t="s">
        <v>207</v>
      </c>
      <c r="I63" s="26" t="s">
        <v>76</v>
      </c>
      <c r="J63" s="26">
        <v>2</v>
      </c>
      <c r="K63" s="8" t="str">
        <f t="shared" si="0"/>
        <v>APD</v>
      </c>
    </row>
    <row r="64" spans="1:11" x14ac:dyDescent="0.2">
      <c r="A64" s="26" t="s">
        <v>82</v>
      </c>
      <c r="B64" s="26" t="s">
        <v>81</v>
      </c>
      <c r="C64" s="26">
        <v>0</v>
      </c>
      <c r="D64" s="27">
        <v>43340</v>
      </c>
      <c r="E64" s="26">
        <v>158.85</v>
      </c>
      <c r="F64" s="26" t="s">
        <v>208</v>
      </c>
      <c r="G64" s="26" t="s">
        <v>8</v>
      </c>
      <c r="H64" s="26" t="s">
        <v>209</v>
      </c>
      <c r="I64" s="26" t="s">
        <v>76</v>
      </c>
      <c r="J64" s="26">
        <v>2</v>
      </c>
      <c r="K64" s="8" t="str">
        <f t="shared" si="0"/>
        <v>APD</v>
      </c>
    </row>
    <row r="65" spans="1:11" x14ac:dyDescent="0.2">
      <c r="A65" s="26" t="s">
        <v>82</v>
      </c>
      <c r="B65" s="26" t="s">
        <v>81</v>
      </c>
      <c r="C65" s="26">
        <v>0</v>
      </c>
      <c r="D65" s="27">
        <v>43341</v>
      </c>
      <c r="E65" s="26">
        <v>-158.85</v>
      </c>
      <c r="F65" s="26" t="s">
        <v>210</v>
      </c>
      <c r="G65" s="26" t="s">
        <v>8</v>
      </c>
      <c r="H65" s="26" t="s">
        <v>211</v>
      </c>
      <c r="I65" s="26" t="s">
        <v>76</v>
      </c>
      <c r="J65" s="26">
        <v>2</v>
      </c>
      <c r="K65" s="8" t="str">
        <f t="shared" si="0"/>
        <v>APD</v>
      </c>
    </row>
    <row r="66" spans="1:11" x14ac:dyDescent="0.2">
      <c r="A66" s="26" t="s">
        <v>82</v>
      </c>
      <c r="B66" s="26" t="s">
        <v>81</v>
      </c>
      <c r="C66" s="26">
        <v>0</v>
      </c>
      <c r="D66" s="27">
        <v>43343</v>
      </c>
      <c r="E66" s="26">
        <v>2223.98</v>
      </c>
      <c r="F66" s="26" t="s">
        <v>212</v>
      </c>
      <c r="G66" s="26" t="s">
        <v>8</v>
      </c>
      <c r="H66" s="26" t="s">
        <v>213</v>
      </c>
      <c r="I66" s="26" t="s">
        <v>76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82</v>
      </c>
      <c r="B67" s="26" t="s">
        <v>81</v>
      </c>
      <c r="C67" s="26">
        <v>0</v>
      </c>
      <c r="D67" s="27">
        <v>43343</v>
      </c>
      <c r="E67" s="26">
        <v>79.430000000000007</v>
      </c>
      <c r="F67" s="26" t="s">
        <v>214</v>
      </c>
      <c r="G67" s="26" t="s">
        <v>8</v>
      </c>
      <c r="H67" s="26" t="s">
        <v>215</v>
      </c>
      <c r="I67" s="26" t="s">
        <v>76</v>
      </c>
      <c r="J67" s="26">
        <v>5</v>
      </c>
      <c r="K67" s="8" t="str">
        <f t="shared" si="1"/>
        <v>APD</v>
      </c>
    </row>
    <row r="68" spans="1:11" x14ac:dyDescent="0.2">
      <c r="A68" s="26" t="s">
        <v>82</v>
      </c>
      <c r="B68" s="26" t="s">
        <v>81</v>
      </c>
      <c r="C68" s="26">
        <v>0</v>
      </c>
      <c r="D68" s="27">
        <v>43346</v>
      </c>
      <c r="E68" s="26">
        <v>-2382.84</v>
      </c>
      <c r="F68" s="26" t="s">
        <v>216</v>
      </c>
      <c r="G68" s="26" t="s">
        <v>8</v>
      </c>
      <c r="H68" s="26" t="s">
        <v>217</v>
      </c>
      <c r="I68" s="26" t="s">
        <v>76</v>
      </c>
      <c r="J68" s="26">
        <v>2</v>
      </c>
      <c r="K68" s="8" t="str">
        <f t="shared" si="1"/>
        <v>APD</v>
      </c>
    </row>
    <row r="69" spans="1:11" x14ac:dyDescent="0.2">
      <c r="A69" s="26" t="s">
        <v>82</v>
      </c>
      <c r="B69" s="26" t="s">
        <v>81</v>
      </c>
      <c r="C69" s="26">
        <v>0</v>
      </c>
      <c r="D69" s="27">
        <v>43353</v>
      </c>
      <c r="E69" s="26">
        <v>476.57</v>
      </c>
      <c r="F69" s="26" t="s">
        <v>218</v>
      </c>
      <c r="G69" s="26" t="s">
        <v>8</v>
      </c>
      <c r="H69" s="26" t="s">
        <v>219</v>
      </c>
      <c r="I69" s="26" t="s">
        <v>76</v>
      </c>
      <c r="J69" s="26">
        <v>2</v>
      </c>
      <c r="K69" s="8" t="str">
        <f t="shared" si="1"/>
        <v>APD</v>
      </c>
    </row>
    <row r="70" spans="1:11" x14ac:dyDescent="0.2">
      <c r="A70" s="26" t="s">
        <v>82</v>
      </c>
      <c r="B70" s="26" t="s">
        <v>81</v>
      </c>
      <c r="C70" s="26">
        <v>0</v>
      </c>
      <c r="D70" s="27">
        <v>43354</v>
      </c>
      <c r="E70" s="26">
        <v>1111.99</v>
      </c>
      <c r="F70" s="26" t="s">
        <v>220</v>
      </c>
      <c r="G70" s="26" t="s">
        <v>8</v>
      </c>
      <c r="H70" s="26" t="s">
        <v>221</v>
      </c>
      <c r="I70" s="26" t="s">
        <v>76</v>
      </c>
      <c r="J70" s="26">
        <v>2</v>
      </c>
      <c r="K70" s="8" t="str">
        <f t="shared" si="1"/>
        <v>APD</v>
      </c>
    </row>
    <row r="71" spans="1:11" x14ac:dyDescent="0.2">
      <c r="A71" s="26" t="s">
        <v>82</v>
      </c>
      <c r="B71" s="26" t="s">
        <v>81</v>
      </c>
      <c r="C71" s="26">
        <v>0</v>
      </c>
      <c r="D71" s="27">
        <v>43355</v>
      </c>
      <c r="E71" s="26">
        <v>12629.07</v>
      </c>
      <c r="F71" s="26" t="s">
        <v>222</v>
      </c>
      <c r="G71" s="26" t="s">
        <v>8</v>
      </c>
      <c r="H71" s="26" t="s">
        <v>223</v>
      </c>
      <c r="I71" s="26" t="s">
        <v>76</v>
      </c>
      <c r="J71" s="26">
        <v>1</v>
      </c>
      <c r="K71" s="8" t="str">
        <f t="shared" si="1"/>
        <v>APD</v>
      </c>
    </row>
    <row r="72" spans="1:11" x14ac:dyDescent="0.2">
      <c r="A72" s="26" t="s">
        <v>82</v>
      </c>
      <c r="B72" s="26" t="s">
        <v>81</v>
      </c>
      <c r="C72" s="26">
        <v>0</v>
      </c>
      <c r="D72" s="27">
        <v>43355</v>
      </c>
      <c r="E72" s="26">
        <v>-1826.85</v>
      </c>
      <c r="F72" s="26" t="s">
        <v>224</v>
      </c>
      <c r="G72" s="26" t="s">
        <v>8</v>
      </c>
      <c r="H72" s="26" t="s">
        <v>225</v>
      </c>
      <c r="I72" s="26" t="s">
        <v>76</v>
      </c>
      <c r="J72" s="26">
        <v>4</v>
      </c>
      <c r="K72" s="8" t="str">
        <f t="shared" si="1"/>
        <v>APD</v>
      </c>
    </row>
    <row r="73" spans="1:11" x14ac:dyDescent="0.2">
      <c r="A73" s="26" t="s">
        <v>82</v>
      </c>
      <c r="B73" s="26" t="s">
        <v>81</v>
      </c>
      <c r="C73" s="26">
        <v>0</v>
      </c>
      <c r="D73" s="27">
        <v>43360</v>
      </c>
      <c r="E73" s="26">
        <v>51072.28</v>
      </c>
      <c r="F73" s="26" t="s">
        <v>226</v>
      </c>
      <c r="G73" s="26" t="s">
        <v>8</v>
      </c>
      <c r="H73" s="26" t="s">
        <v>227</v>
      </c>
      <c r="I73" s="26" t="s">
        <v>76</v>
      </c>
      <c r="J73" s="26">
        <v>1</v>
      </c>
      <c r="K73" s="8" t="str">
        <f t="shared" si="1"/>
        <v>APD</v>
      </c>
    </row>
    <row r="74" spans="1:11" x14ac:dyDescent="0.2">
      <c r="A74" s="26" t="s">
        <v>82</v>
      </c>
      <c r="B74" s="26" t="s">
        <v>81</v>
      </c>
      <c r="C74" s="26">
        <v>0</v>
      </c>
      <c r="D74" s="27">
        <v>43360</v>
      </c>
      <c r="E74" s="26">
        <v>-19857.03</v>
      </c>
      <c r="F74" s="26" t="s">
        <v>228</v>
      </c>
      <c r="G74" s="26" t="s">
        <v>8</v>
      </c>
      <c r="H74" s="26" t="s">
        <v>229</v>
      </c>
      <c r="I74" s="26" t="s">
        <v>76</v>
      </c>
      <c r="J74" s="26">
        <v>4</v>
      </c>
      <c r="K74" s="8" t="str">
        <f t="shared" si="1"/>
        <v>APD</v>
      </c>
    </row>
    <row r="75" spans="1:11" x14ac:dyDescent="0.2">
      <c r="A75" s="26" t="s">
        <v>82</v>
      </c>
      <c r="B75" s="26" t="s">
        <v>81</v>
      </c>
      <c r="C75" s="26">
        <v>0</v>
      </c>
      <c r="D75" s="27">
        <v>43360</v>
      </c>
      <c r="E75" s="26">
        <v>-3335.98</v>
      </c>
      <c r="F75" s="26" t="s">
        <v>230</v>
      </c>
      <c r="G75" s="26" t="s">
        <v>8</v>
      </c>
      <c r="H75" s="26" t="s">
        <v>231</v>
      </c>
      <c r="I75" s="26" t="s">
        <v>76</v>
      </c>
      <c r="J75" s="26">
        <v>5</v>
      </c>
      <c r="K75" s="8" t="str">
        <f t="shared" si="1"/>
        <v>APD</v>
      </c>
    </row>
    <row r="76" spans="1:11" x14ac:dyDescent="0.2">
      <c r="A76" s="26" t="s">
        <v>82</v>
      </c>
      <c r="B76" s="26" t="s">
        <v>81</v>
      </c>
      <c r="C76" s="26">
        <v>0</v>
      </c>
      <c r="D76" s="27">
        <v>43360</v>
      </c>
      <c r="E76" s="26">
        <v>3256.56</v>
      </c>
      <c r="F76" s="26" t="s">
        <v>232</v>
      </c>
      <c r="G76" s="26" t="s">
        <v>8</v>
      </c>
      <c r="H76" s="26" t="s">
        <v>233</v>
      </c>
      <c r="I76" s="26" t="s">
        <v>76</v>
      </c>
      <c r="J76" s="26">
        <v>6</v>
      </c>
      <c r="K76" s="8" t="str">
        <f t="shared" si="1"/>
        <v>APD</v>
      </c>
    </row>
    <row r="77" spans="1:11" x14ac:dyDescent="0.2">
      <c r="A77" s="26" t="s">
        <v>82</v>
      </c>
      <c r="B77" s="26" t="s">
        <v>81</v>
      </c>
      <c r="C77" s="26">
        <v>0</v>
      </c>
      <c r="D77" s="27">
        <v>43361</v>
      </c>
      <c r="E77" s="26">
        <v>-31612.39</v>
      </c>
      <c r="F77" s="26" t="s">
        <v>234</v>
      </c>
      <c r="G77" s="26" t="s">
        <v>8</v>
      </c>
      <c r="H77" s="26" t="s">
        <v>235</v>
      </c>
      <c r="I77" s="26" t="s">
        <v>76</v>
      </c>
      <c r="J77" s="26">
        <v>1</v>
      </c>
      <c r="K77" s="8" t="str">
        <f t="shared" si="1"/>
        <v>APD</v>
      </c>
    </row>
    <row r="78" spans="1:11" x14ac:dyDescent="0.2">
      <c r="A78" s="26" t="s">
        <v>82</v>
      </c>
      <c r="B78" s="26" t="s">
        <v>81</v>
      </c>
      <c r="C78" s="26">
        <v>0</v>
      </c>
      <c r="D78" s="27">
        <v>43361</v>
      </c>
      <c r="E78" s="26">
        <v>158.85</v>
      </c>
      <c r="F78" s="26" t="s">
        <v>236</v>
      </c>
      <c r="G78" s="26" t="s">
        <v>8</v>
      </c>
      <c r="H78" s="26" t="s">
        <v>237</v>
      </c>
      <c r="I78" s="26" t="s">
        <v>76</v>
      </c>
      <c r="J78" s="26">
        <v>2</v>
      </c>
      <c r="K78" s="8" t="str">
        <f t="shared" si="1"/>
        <v>APD</v>
      </c>
    </row>
    <row r="79" spans="1:11" x14ac:dyDescent="0.2">
      <c r="A79" s="26" t="s">
        <v>82</v>
      </c>
      <c r="B79" s="26" t="s">
        <v>81</v>
      </c>
      <c r="C79" s="26">
        <v>0</v>
      </c>
      <c r="D79" s="27">
        <v>43362</v>
      </c>
      <c r="E79" s="26">
        <v>-12073.07</v>
      </c>
      <c r="F79" s="26" t="s">
        <v>238</v>
      </c>
      <c r="G79" s="26" t="s">
        <v>8</v>
      </c>
      <c r="H79" s="26" t="s">
        <v>239</v>
      </c>
      <c r="I79" s="26" t="s">
        <v>76</v>
      </c>
      <c r="J79" s="26">
        <v>2</v>
      </c>
      <c r="K79" s="8" t="str">
        <f t="shared" si="1"/>
        <v>APD</v>
      </c>
    </row>
    <row r="80" spans="1:11" x14ac:dyDescent="0.2">
      <c r="A80" s="26" t="s">
        <v>82</v>
      </c>
      <c r="B80" s="26" t="s">
        <v>81</v>
      </c>
      <c r="C80" s="26">
        <v>0</v>
      </c>
      <c r="D80" s="27">
        <v>43371</v>
      </c>
      <c r="E80" s="26">
        <v>79.430000000000007</v>
      </c>
      <c r="F80" s="26" t="s">
        <v>240</v>
      </c>
      <c r="G80" s="26" t="s">
        <v>8</v>
      </c>
      <c r="H80" s="26" t="s">
        <v>241</v>
      </c>
      <c r="I80" s="26" t="s">
        <v>76</v>
      </c>
      <c r="J80" s="26">
        <v>1</v>
      </c>
      <c r="K80" s="8" t="str">
        <f t="shared" si="1"/>
        <v>APD</v>
      </c>
    </row>
    <row r="81" spans="1:11" x14ac:dyDescent="0.2">
      <c r="A81" s="26" t="s">
        <v>82</v>
      </c>
      <c r="B81" s="26" t="s">
        <v>81</v>
      </c>
      <c r="C81" s="26">
        <v>0</v>
      </c>
      <c r="D81" s="27">
        <v>43374</v>
      </c>
      <c r="E81" s="26">
        <v>1270.8499999999999</v>
      </c>
      <c r="F81" s="26" t="s">
        <v>242</v>
      </c>
      <c r="G81" s="26" t="s">
        <v>8</v>
      </c>
      <c r="H81" s="26" t="s">
        <v>243</v>
      </c>
      <c r="I81" s="26" t="s">
        <v>76</v>
      </c>
      <c r="J81" s="26">
        <v>2</v>
      </c>
      <c r="K81" s="8" t="str">
        <f t="shared" si="1"/>
        <v>APD</v>
      </c>
    </row>
    <row r="82" spans="1:11" x14ac:dyDescent="0.2">
      <c r="A82" s="26" t="s">
        <v>82</v>
      </c>
      <c r="B82" s="26" t="s">
        <v>81</v>
      </c>
      <c r="C82" s="26">
        <v>0</v>
      </c>
      <c r="D82" s="27">
        <v>43382</v>
      </c>
      <c r="E82" s="26">
        <v>-1270.8499999999999</v>
      </c>
      <c r="F82" s="26" t="s">
        <v>244</v>
      </c>
      <c r="G82" s="26" t="s">
        <v>8</v>
      </c>
      <c r="H82" s="26" t="s">
        <v>245</v>
      </c>
      <c r="I82" s="26" t="s">
        <v>76</v>
      </c>
      <c r="J82" s="26">
        <v>2</v>
      </c>
      <c r="K82" s="8" t="str">
        <f t="shared" si="1"/>
        <v>APD</v>
      </c>
    </row>
    <row r="83" spans="1:11" x14ac:dyDescent="0.2">
      <c r="A83" s="26" t="s">
        <v>82</v>
      </c>
      <c r="B83" s="26" t="s">
        <v>81</v>
      </c>
      <c r="C83" s="26">
        <v>0</v>
      </c>
      <c r="D83" s="27">
        <v>43384</v>
      </c>
      <c r="E83" s="26">
        <v>555.99</v>
      </c>
      <c r="F83" s="26" t="s">
        <v>246</v>
      </c>
      <c r="G83" s="26" t="s">
        <v>8</v>
      </c>
      <c r="H83" s="26" t="s">
        <v>247</v>
      </c>
      <c r="I83" s="26" t="s">
        <v>76</v>
      </c>
      <c r="J83" s="26">
        <v>3</v>
      </c>
      <c r="K83" s="8" t="str">
        <f t="shared" si="1"/>
        <v>APD</v>
      </c>
    </row>
    <row r="84" spans="1:11" x14ac:dyDescent="0.2">
      <c r="A84" s="26" t="s">
        <v>82</v>
      </c>
      <c r="B84" s="26" t="s">
        <v>81</v>
      </c>
      <c r="C84" s="26">
        <v>0</v>
      </c>
      <c r="D84" s="27">
        <v>43389</v>
      </c>
      <c r="E84" s="26">
        <v>556</v>
      </c>
      <c r="F84" s="26" t="s">
        <v>248</v>
      </c>
      <c r="G84" s="26" t="s">
        <v>8</v>
      </c>
      <c r="H84" s="26" t="s">
        <v>249</v>
      </c>
      <c r="I84" s="26" t="s">
        <v>76</v>
      </c>
      <c r="J84" s="26">
        <v>2</v>
      </c>
      <c r="K84" s="8" t="str">
        <f t="shared" si="1"/>
        <v>APD</v>
      </c>
    </row>
    <row r="85" spans="1:11" x14ac:dyDescent="0.2">
      <c r="A85" s="26" t="s">
        <v>82</v>
      </c>
      <c r="B85" s="26" t="s">
        <v>81</v>
      </c>
      <c r="C85" s="26">
        <v>0</v>
      </c>
      <c r="D85" s="27">
        <v>43391</v>
      </c>
      <c r="E85" s="26">
        <v>-714.85</v>
      </c>
      <c r="F85" s="26" t="s">
        <v>250</v>
      </c>
      <c r="G85" s="26" t="s">
        <v>8</v>
      </c>
      <c r="H85" s="26" t="s">
        <v>251</v>
      </c>
      <c r="I85" s="26" t="s">
        <v>76</v>
      </c>
      <c r="J85" s="26">
        <v>2</v>
      </c>
      <c r="K85" s="8" t="str">
        <f t="shared" si="1"/>
        <v>APD</v>
      </c>
    </row>
    <row r="86" spans="1:11" x14ac:dyDescent="0.2">
      <c r="A86" s="26" t="s">
        <v>82</v>
      </c>
      <c r="B86" s="26" t="s">
        <v>81</v>
      </c>
      <c r="C86" s="26">
        <v>0</v>
      </c>
      <c r="D86" s="27">
        <v>43391</v>
      </c>
      <c r="E86" s="26">
        <v>238.28</v>
      </c>
      <c r="F86" s="26" t="s">
        <v>252</v>
      </c>
      <c r="G86" s="26" t="s">
        <v>8</v>
      </c>
      <c r="H86" s="26" t="s">
        <v>253</v>
      </c>
      <c r="I86" s="26" t="s">
        <v>76</v>
      </c>
      <c r="J86" s="26">
        <v>3</v>
      </c>
      <c r="K86" s="8" t="str">
        <f t="shared" si="1"/>
        <v>APD</v>
      </c>
    </row>
    <row r="87" spans="1:11" x14ac:dyDescent="0.2">
      <c r="A87" s="26" t="s">
        <v>82</v>
      </c>
      <c r="B87" s="26" t="s">
        <v>81</v>
      </c>
      <c r="C87" s="26">
        <v>0</v>
      </c>
      <c r="D87" s="27">
        <v>43391</v>
      </c>
      <c r="E87" s="26">
        <v>556</v>
      </c>
      <c r="F87" s="26" t="s">
        <v>254</v>
      </c>
      <c r="G87" s="26" t="s">
        <v>8</v>
      </c>
      <c r="H87" s="26" t="s">
        <v>255</v>
      </c>
      <c r="I87" s="26" t="s">
        <v>76</v>
      </c>
      <c r="J87" s="26">
        <v>4</v>
      </c>
      <c r="K87" s="8" t="str">
        <f t="shared" si="1"/>
        <v>APD</v>
      </c>
    </row>
    <row r="88" spans="1:11" x14ac:dyDescent="0.2">
      <c r="A88" s="26" t="s">
        <v>82</v>
      </c>
      <c r="B88" s="26" t="s">
        <v>81</v>
      </c>
      <c r="C88" s="26">
        <v>0</v>
      </c>
      <c r="D88" s="27">
        <v>43392</v>
      </c>
      <c r="E88" s="26">
        <v>-953.14</v>
      </c>
      <c r="F88" s="26" t="s">
        <v>256</v>
      </c>
      <c r="G88" s="26" t="s">
        <v>8</v>
      </c>
      <c r="H88" s="26" t="s">
        <v>257</v>
      </c>
      <c r="I88" s="26" t="s">
        <v>76</v>
      </c>
      <c r="J88" s="26">
        <v>2</v>
      </c>
      <c r="K88" s="8" t="str">
        <f t="shared" si="1"/>
        <v>APD</v>
      </c>
    </row>
    <row r="89" spans="1:11" x14ac:dyDescent="0.2">
      <c r="A89" s="26" t="s">
        <v>82</v>
      </c>
      <c r="B89" s="26" t="s">
        <v>81</v>
      </c>
      <c r="C89" s="26">
        <v>0</v>
      </c>
      <c r="D89" s="27">
        <v>43402</v>
      </c>
      <c r="E89" s="26">
        <v>14694.2</v>
      </c>
      <c r="F89" s="26" t="s">
        <v>258</v>
      </c>
      <c r="G89" s="26" t="s">
        <v>8</v>
      </c>
      <c r="H89" s="26" t="s">
        <v>259</v>
      </c>
      <c r="I89" s="26" t="s">
        <v>76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260</v>
      </c>
      <c r="U1" s="21" t="s">
        <v>261</v>
      </c>
    </row>
    <row r="2" spans="1:21" x14ac:dyDescent="0.2">
      <c r="A2" s="8">
        <f>ROW()</f>
        <v>2</v>
      </c>
      <c r="B2" s="5" t="s">
        <v>77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263</v>
      </c>
      <c r="H2" s="8" t="s">
        <v>49</v>
      </c>
      <c r="I2" s="5">
        <v>0</v>
      </c>
      <c r="J2" s="24" t="s">
        <v>55</v>
      </c>
      <c r="K2" s="8">
        <v>0</v>
      </c>
      <c r="L2" s="8" t="s">
        <v>262</v>
      </c>
      <c r="M2" s="27">
        <v>43102</v>
      </c>
      <c r="O2" s="8" t="s">
        <v>75</v>
      </c>
      <c r="P2" s="8" t="s">
        <v>8</v>
      </c>
      <c r="R2" s="8">
        <v>0</v>
      </c>
      <c r="S2" s="8" t="str">
        <f ca="1">_xlfn.CONCAT(U2," ",F2)</f>
        <v>82335330 ACCOUNTS-FIRSTDIR-EXT</v>
      </c>
      <c r="T2" s="26" t="str">
        <f ca="1">S2</f>
        <v>82335330 ACCOUNTS-FIRSTDIR-EXT</v>
      </c>
      <c r="U2" s="8">
        <f ca="1">RANDBETWEEN(0,99999999)</f>
        <v>82335330</v>
      </c>
    </row>
    <row r="3" spans="1:21" x14ac:dyDescent="0.2">
      <c r="A3" s="8">
        <f>ROW()</f>
        <v>3</v>
      </c>
      <c r="B3" s="5" t="s">
        <v>77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264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262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76401301 ACCOUNTS-SANTANDE-EXT</v>
      </c>
      <c r="T3" s="26" t="str">
        <f t="shared" ref="T3:T23" ca="1" si="3">S3</f>
        <v>76401301 ACCOUNTS-SANTANDE-EXT</v>
      </c>
      <c r="U3" s="8">
        <f t="shared" ref="U3:U23" ca="1" si="4">RANDBETWEEN(0,99999999)</f>
        <v>76401301</v>
      </c>
    </row>
    <row r="4" spans="1:21" x14ac:dyDescent="0.2">
      <c r="A4" s="8">
        <f>ROW()</f>
        <v>4</v>
      </c>
      <c r="B4" s="5" t="s">
        <v>77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265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262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50221364 ACCOUNTS-SMILE-EXT</v>
      </c>
      <c r="T4" s="26" t="str">
        <f t="shared" ca="1" si="3"/>
        <v>50221364 ACCOUNTS-SMILE-EXT</v>
      </c>
      <c r="U4" s="8">
        <f t="shared" ca="1" si="4"/>
        <v>50221364</v>
      </c>
    </row>
    <row r="5" spans="1:21" x14ac:dyDescent="0.2">
      <c r="A5" s="8">
        <f>ROW()</f>
        <v>5</v>
      </c>
      <c r="B5" s="5" t="s">
        <v>77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266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262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10870432 ACCOUNTS-NATIONWI-EXT</v>
      </c>
      <c r="T5" s="26" t="str">
        <f t="shared" ca="1" si="3"/>
        <v>10870432 ACCOUNTS-NATIONWI-EXT</v>
      </c>
      <c r="U5" s="8">
        <f t="shared" ca="1" si="4"/>
        <v>10870432</v>
      </c>
    </row>
    <row r="6" spans="1:21" x14ac:dyDescent="0.2">
      <c r="A6" s="8">
        <f>ROW()</f>
        <v>6</v>
      </c>
      <c r="B6" s="5" t="s">
        <v>77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267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262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95069279 ACCOUNTS-THECOOP-EXT</v>
      </c>
      <c r="T6" s="26" t="str">
        <f t="shared" ca="1" si="3"/>
        <v>95069279 ACCOUNTS-THECOOP-EXT</v>
      </c>
      <c r="U6" s="8">
        <f t="shared" ca="1" si="4"/>
        <v>95069279</v>
      </c>
    </row>
    <row r="7" spans="1:21" x14ac:dyDescent="0.2">
      <c r="A7" s="8">
        <f>ROW()</f>
        <v>7</v>
      </c>
      <c r="B7" s="5" t="s">
        <v>77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268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262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9198625 ACCOUNTS-HALIFAX -EXT</v>
      </c>
      <c r="T7" s="26" t="str">
        <f t="shared" ca="1" si="3"/>
        <v>9198625 ACCOUNTS-HALIFAX -EXT</v>
      </c>
      <c r="U7" s="8">
        <f t="shared" ca="1" si="4"/>
        <v>9198625</v>
      </c>
    </row>
    <row r="8" spans="1:21" x14ac:dyDescent="0.2">
      <c r="A8" s="8">
        <f>ROW()</f>
        <v>8</v>
      </c>
      <c r="B8" s="5" t="s">
        <v>77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269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262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63719008 ACCOUNTS-TSB -EXT</v>
      </c>
      <c r="T8" s="26" t="str">
        <f t="shared" ca="1" si="3"/>
        <v>63719008 ACCOUNTS-TSB -EXT</v>
      </c>
      <c r="U8" s="8">
        <f t="shared" ca="1" si="4"/>
        <v>63719008</v>
      </c>
    </row>
    <row r="9" spans="1:21" x14ac:dyDescent="0.2">
      <c r="A9" s="8">
        <f>ROW()</f>
        <v>9</v>
      </c>
      <c r="B9" s="5" t="s">
        <v>77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270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262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34858060 ACCOUNTS-BANKOFSC-EXT</v>
      </c>
      <c r="T9" s="26" t="str">
        <f t="shared" ca="1" si="3"/>
        <v>34858060 ACCOUNTS-BANKOFSC-EXT</v>
      </c>
      <c r="U9" s="8">
        <f t="shared" ca="1" si="4"/>
        <v>34858060</v>
      </c>
    </row>
    <row r="10" spans="1:21" x14ac:dyDescent="0.2">
      <c r="A10" s="8">
        <f>ROW()</f>
        <v>10</v>
      </c>
      <c r="B10" s="5" t="s">
        <v>77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271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262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43439432 ACCOUNTS-YORKSHIR-EXT</v>
      </c>
      <c r="T10" s="26" t="str">
        <f t="shared" ca="1" si="3"/>
        <v>43439432 ACCOUNTS-YORKSHIR-EXT</v>
      </c>
      <c r="U10" s="8">
        <f t="shared" ca="1" si="4"/>
        <v>43439432</v>
      </c>
    </row>
    <row r="11" spans="1:21" x14ac:dyDescent="0.2">
      <c r="A11" s="8">
        <f>ROW()</f>
        <v>11</v>
      </c>
      <c r="B11" s="5" t="s">
        <v>77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272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262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1826392 ACCOUNTS-LLOYDSBA-EXT</v>
      </c>
      <c r="T11" s="26" t="str">
        <f t="shared" ca="1" si="3"/>
        <v>1826392 ACCOUNTS-LLOYDSBA-EXT</v>
      </c>
      <c r="U11" s="8">
        <f t="shared" ca="1" si="4"/>
        <v>1826392</v>
      </c>
    </row>
    <row r="12" spans="1:21" x14ac:dyDescent="0.2">
      <c r="A12" s="8">
        <f>ROW()</f>
        <v>12</v>
      </c>
      <c r="B12" s="5" t="s">
        <v>77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273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262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69665513 ACCOUNTS-HSBC -EXT</v>
      </c>
      <c r="T12" s="26" t="str">
        <f t="shared" ca="1" si="3"/>
        <v>69665513 ACCOUNTS-HSBC -EXT</v>
      </c>
      <c r="U12" s="8">
        <f t="shared" ca="1" si="4"/>
        <v>69665513</v>
      </c>
    </row>
    <row r="13" spans="1:21" x14ac:dyDescent="0.2">
      <c r="A13" s="8">
        <f>ROW()</f>
        <v>13</v>
      </c>
      <c r="B13" s="5" t="s">
        <v>77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263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274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9547539 RECON-FIRSTDIR-EXT</v>
      </c>
      <c r="T13" s="26" t="str">
        <f t="shared" ca="1" si="3"/>
        <v>9547539 RECON-FIRSTDIR-EXT</v>
      </c>
      <c r="U13" s="8">
        <f t="shared" ca="1" si="4"/>
        <v>9547539</v>
      </c>
    </row>
    <row r="14" spans="1:21" x14ac:dyDescent="0.2">
      <c r="A14" s="8">
        <f>ROW()</f>
        <v>14</v>
      </c>
      <c r="B14" s="5" t="s">
        <v>77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264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274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71343038 RECON-SANTANDE-EXT</v>
      </c>
      <c r="T14" s="26" t="str">
        <f t="shared" ca="1" si="3"/>
        <v>71343038 RECON-SANTANDE-EXT</v>
      </c>
      <c r="U14" s="8">
        <f t="shared" ca="1" si="4"/>
        <v>71343038</v>
      </c>
    </row>
    <row r="15" spans="1:21" x14ac:dyDescent="0.2">
      <c r="A15" s="8">
        <f>ROW()</f>
        <v>15</v>
      </c>
      <c r="B15" s="5" t="s">
        <v>77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265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274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17998466 RECON-SMILE-EXT</v>
      </c>
      <c r="T15" s="26" t="str">
        <f t="shared" ca="1" si="3"/>
        <v>17998466 RECON-SMILE-EXT</v>
      </c>
      <c r="U15" s="8">
        <f t="shared" ca="1" si="4"/>
        <v>17998466</v>
      </c>
    </row>
    <row r="16" spans="1:21" x14ac:dyDescent="0.2">
      <c r="A16" s="8">
        <f>ROW()</f>
        <v>16</v>
      </c>
      <c r="B16" s="5" t="s">
        <v>77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266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274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41393603 RECON-NATIONWI-EXT</v>
      </c>
      <c r="T16" s="26" t="str">
        <f t="shared" ca="1" si="3"/>
        <v>41393603 RECON-NATIONWI-EXT</v>
      </c>
      <c r="U16" s="8">
        <f t="shared" ca="1" si="4"/>
        <v>41393603</v>
      </c>
    </row>
    <row r="17" spans="1:21" x14ac:dyDescent="0.2">
      <c r="A17" s="8">
        <f>ROW()</f>
        <v>17</v>
      </c>
      <c r="B17" s="5" t="s">
        <v>77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267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274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16938009 RECON-THECOOP-EXT</v>
      </c>
      <c r="T17" s="26" t="str">
        <f t="shared" ca="1" si="3"/>
        <v>16938009 RECON-THECOOP-EXT</v>
      </c>
      <c r="U17" s="8">
        <f t="shared" ca="1" si="4"/>
        <v>16938009</v>
      </c>
    </row>
    <row r="18" spans="1:21" x14ac:dyDescent="0.2">
      <c r="A18" s="8">
        <f>ROW()</f>
        <v>18</v>
      </c>
      <c r="B18" s="5" t="s">
        <v>77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268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274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61269063 RECON-HALIFAX -EXT</v>
      </c>
      <c r="T18" s="26" t="str">
        <f t="shared" ca="1" si="3"/>
        <v>61269063 RECON-HALIFAX -EXT</v>
      </c>
      <c r="U18" s="8">
        <f t="shared" ca="1" si="4"/>
        <v>61269063</v>
      </c>
    </row>
    <row r="19" spans="1:21" x14ac:dyDescent="0.2">
      <c r="A19" s="8">
        <f>ROW()</f>
        <v>19</v>
      </c>
      <c r="B19" s="5" t="s">
        <v>77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269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274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59632414 RECON-TSB -EXT</v>
      </c>
      <c r="T19" s="26" t="str">
        <f t="shared" ca="1" si="3"/>
        <v>59632414 RECON-TSB -EXT</v>
      </c>
      <c r="U19" s="8">
        <f t="shared" ca="1" si="4"/>
        <v>59632414</v>
      </c>
    </row>
    <row r="20" spans="1:21" x14ac:dyDescent="0.2">
      <c r="A20" s="8">
        <f>ROW()</f>
        <v>20</v>
      </c>
      <c r="B20" s="5" t="s">
        <v>77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270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274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89629689 RECON-BANKOFSC-EXT</v>
      </c>
      <c r="T20" s="26" t="str">
        <f t="shared" ca="1" si="3"/>
        <v>89629689 RECON-BANKOFSC-EXT</v>
      </c>
      <c r="U20" s="8">
        <f t="shared" ca="1" si="4"/>
        <v>89629689</v>
      </c>
    </row>
    <row r="21" spans="1:21" x14ac:dyDescent="0.2">
      <c r="A21" s="8">
        <f>ROW()</f>
        <v>21</v>
      </c>
      <c r="B21" s="5" t="s">
        <v>77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271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274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46568279 RECON-YORKSHIR-EXT</v>
      </c>
      <c r="T21" s="26" t="str">
        <f t="shared" ca="1" si="3"/>
        <v>46568279 RECON-YORKSHIR-EXT</v>
      </c>
      <c r="U21" s="8">
        <f t="shared" ca="1" si="4"/>
        <v>46568279</v>
      </c>
    </row>
    <row r="22" spans="1:21" x14ac:dyDescent="0.2">
      <c r="A22" s="8">
        <f>ROW()</f>
        <v>22</v>
      </c>
      <c r="B22" s="5" t="s">
        <v>77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272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274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49655268 RECON-LLOYDSBA-EXT</v>
      </c>
      <c r="T22" s="26" t="str">
        <f t="shared" ca="1" si="3"/>
        <v>49655268 RECON-LLOYDSBA-EXT</v>
      </c>
      <c r="U22" s="8">
        <f t="shared" ca="1" si="4"/>
        <v>49655268</v>
      </c>
    </row>
    <row r="23" spans="1:21" x14ac:dyDescent="0.2">
      <c r="A23" s="8">
        <f>ROW()</f>
        <v>23</v>
      </c>
      <c r="B23" s="5" t="s">
        <v>77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273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274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11658118 RECON-HSBC -EXT</v>
      </c>
      <c r="T23" s="26" t="str">
        <f t="shared" ca="1" si="3"/>
        <v>11658118 RECON-HSBC -EXT</v>
      </c>
      <c r="U23" s="8">
        <f t="shared" ca="1" si="4"/>
        <v>11658118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81</v>
      </c>
      <c r="C2" s="26">
        <v>0</v>
      </c>
      <c r="D2" s="27">
        <v>43242</v>
      </c>
      <c r="E2" s="26">
        <f ca="1">RANDBETWEEN(-15000,20000)</f>
        <v>-1108</v>
      </c>
      <c r="F2" s="26" t="s">
        <v>84</v>
      </c>
      <c r="G2" s="26" t="s">
        <v>8</v>
      </c>
      <c r="H2" s="26" t="s">
        <v>85</v>
      </c>
      <c r="I2" s="26" t="s">
        <v>76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81</v>
      </c>
      <c r="C3" s="26">
        <v>0</v>
      </c>
      <c r="D3" s="27">
        <f>D2</f>
        <v>43242</v>
      </c>
      <c r="E3" s="26">
        <f t="shared" ref="E3:E12" ca="1" si="0">RANDBETWEEN(-15000,20000)</f>
        <v>13779</v>
      </c>
      <c r="F3" s="26" t="s">
        <v>86</v>
      </c>
      <c r="G3" s="26" t="s">
        <v>8</v>
      </c>
      <c r="H3" s="26" t="s">
        <v>87</v>
      </c>
      <c r="I3" s="26" t="s">
        <v>76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81</v>
      </c>
      <c r="C4" s="26">
        <v>0</v>
      </c>
      <c r="D4" s="27">
        <f t="shared" ref="D4:D23" si="1">D3</f>
        <v>43242</v>
      </c>
      <c r="E4" s="26">
        <f t="shared" ca="1" si="0"/>
        <v>10045</v>
      </c>
      <c r="F4" s="26" t="s">
        <v>88</v>
      </c>
      <c r="G4" s="26" t="s">
        <v>8</v>
      </c>
      <c r="H4" s="26" t="s">
        <v>89</v>
      </c>
      <c r="I4" s="26" t="s">
        <v>76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81</v>
      </c>
      <c r="C5" s="26">
        <v>0</v>
      </c>
      <c r="D5" s="27">
        <f t="shared" si="1"/>
        <v>43242</v>
      </c>
      <c r="E5" s="26">
        <f t="shared" ca="1" si="0"/>
        <v>5610</v>
      </c>
      <c r="F5" s="26" t="s">
        <v>90</v>
      </c>
      <c r="G5" s="26" t="s">
        <v>8</v>
      </c>
      <c r="H5" s="26" t="s">
        <v>91</v>
      </c>
      <c r="I5" s="26" t="s">
        <v>76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81</v>
      </c>
      <c r="C6" s="26">
        <v>0</v>
      </c>
      <c r="D6" s="27">
        <f t="shared" si="1"/>
        <v>43242</v>
      </c>
      <c r="E6" s="26">
        <f t="shared" ca="1" si="0"/>
        <v>15575</v>
      </c>
      <c r="F6" s="26" t="s">
        <v>92</v>
      </c>
      <c r="G6" s="26" t="s">
        <v>8</v>
      </c>
      <c r="H6" s="26" t="s">
        <v>93</v>
      </c>
      <c r="I6" s="26" t="s">
        <v>76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81</v>
      </c>
      <c r="C7" s="26">
        <v>0</v>
      </c>
      <c r="D7" s="27">
        <f t="shared" si="1"/>
        <v>43242</v>
      </c>
      <c r="E7" s="26">
        <f t="shared" ca="1" si="0"/>
        <v>255</v>
      </c>
      <c r="F7" s="26" t="s">
        <v>94</v>
      </c>
      <c r="G7" s="26" t="s">
        <v>8</v>
      </c>
      <c r="H7" s="26" t="s">
        <v>95</v>
      </c>
      <c r="I7" s="26" t="s">
        <v>76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81</v>
      </c>
      <c r="C8" s="26">
        <v>0</v>
      </c>
      <c r="D8" s="27">
        <f t="shared" si="1"/>
        <v>43242</v>
      </c>
      <c r="E8" s="26">
        <f t="shared" ca="1" si="0"/>
        <v>-4993</v>
      </c>
      <c r="F8" s="26" t="s">
        <v>96</v>
      </c>
      <c r="G8" s="26" t="s">
        <v>8</v>
      </c>
      <c r="H8" s="26" t="s">
        <v>97</v>
      </c>
      <c r="I8" s="26" t="s">
        <v>76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81</v>
      </c>
      <c r="C9" s="26">
        <v>0</v>
      </c>
      <c r="D9" s="27">
        <f t="shared" si="1"/>
        <v>43242</v>
      </c>
      <c r="E9" s="26">
        <f t="shared" ca="1" si="0"/>
        <v>-13998</v>
      </c>
      <c r="F9" s="26" t="s">
        <v>98</v>
      </c>
      <c r="G9" s="26" t="s">
        <v>8</v>
      </c>
      <c r="H9" s="26" t="s">
        <v>99</v>
      </c>
      <c r="I9" s="26" t="s">
        <v>76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81</v>
      </c>
      <c r="C10" s="26">
        <v>0</v>
      </c>
      <c r="D10" s="27">
        <f t="shared" si="1"/>
        <v>43242</v>
      </c>
      <c r="E10" s="26">
        <f t="shared" ca="1" si="0"/>
        <v>17863</v>
      </c>
      <c r="F10" s="26" t="s">
        <v>100</v>
      </c>
      <c r="G10" s="26" t="s">
        <v>8</v>
      </c>
      <c r="H10" s="26" t="s">
        <v>101</v>
      </c>
      <c r="I10" s="26" t="s">
        <v>76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81</v>
      </c>
      <c r="C11" s="26">
        <v>0</v>
      </c>
      <c r="D11" s="27">
        <f t="shared" si="1"/>
        <v>43242</v>
      </c>
      <c r="E11" s="26">
        <f t="shared" ca="1" si="0"/>
        <v>18693</v>
      </c>
      <c r="F11" s="26" t="s">
        <v>102</v>
      </c>
      <c r="G11" s="26" t="s">
        <v>8</v>
      </c>
      <c r="H11" s="26" t="s">
        <v>103</v>
      </c>
      <c r="I11" s="26" t="s">
        <v>76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81</v>
      </c>
      <c r="C12" s="26">
        <v>0</v>
      </c>
      <c r="D12" s="27">
        <f t="shared" si="1"/>
        <v>43242</v>
      </c>
      <c r="E12" s="26">
        <f t="shared" ca="1" si="0"/>
        <v>-2826</v>
      </c>
      <c r="F12" s="26" t="s">
        <v>104</v>
      </c>
      <c r="G12" s="26" t="s">
        <v>8</v>
      </c>
      <c r="H12" s="26" t="s">
        <v>105</v>
      </c>
      <c r="I12" s="26" t="s">
        <v>76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81</v>
      </c>
      <c r="C13" s="26">
        <v>0</v>
      </c>
      <c r="D13" s="27">
        <f t="shared" si="1"/>
        <v>43242</v>
      </c>
      <c r="E13" s="26">
        <f ca="1">E2+RANDBETWEEN(-100,123)</f>
        <v>-1112</v>
      </c>
      <c r="F13" s="26" t="s">
        <v>106</v>
      </c>
      <c r="G13" s="26" t="s">
        <v>8</v>
      </c>
      <c r="H13" s="26" t="s">
        <v>107</v>
      </c>
      <c r="I13" s="26" t="s">
        <v>76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81</v>
      </c>
      <c r="C14" s="26">
        <v>0</v>
      </c>
      <c r="D14" s="27">
        <f t="shared" si="1"/>
        <v>43242</v>
      </c>
      <c r="E14" s="26">
        <f t="shared" ref="E14:E23" ca="1" si="2">E3+RANDBETWEEN(-100,123)</f>
        <v>13896</v>
      </c>
      <c r="F14" s="26" t="s">
        <v>108</v>
      </c>
      <c r="G14" s="26" t="s">
        <v>8</v>
      </c>
      <c r="H14" s="26" t="s">
        <v>109</v>
      </c>
      <c r="I14" s="26" t="s">
        <v>76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81</v>
      </c>
      <c r="C15" s="26">
        <v>0</v>
      </c>
      <c r="D15" s="27">
        <f t="shared" si="1"/>
        <v>43242</v>
      </c>
      <c r="E15" s="26">
        <f t="shared" ca="1" si="2"/>
        <v>9984</v>
      </c>
      <c r="F15" s="26" t="s">
        <v>110</v>
      </c>
      <c r="G15" s="26" t="s">
        <v>8</v>
      </c>
      <c r="H15" s="26" t="s">
        <v>111</v>
      </c>
      <c r="I15" s="26" t="s">
        <v>76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81</v>
      </c>
      <c r="C16" s="26">
        <v>0</v>
      </c>
      <c r="D16" s="27">
        <f t="shared" si="1"/>
        <v>43242</v>
      </c>
      <c r="E16" s="26">
        <f t="shared" ca="1" si="2"/>
        <v>5581</v>
      </c>
      <c r="F16" s="26" t="s">
        <v>112</v>
      </c>
      <c r="G16" s="26" t="s">
        <v>8</v>
      </c>
      <c r="H16" s="26" t="s">
        <v>113</v>
      </c>
      <c r="I16" s="26" t="s">
        <v>76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81</v>
      </c>
      <c r="C17" s="26">
        <v>0</v>
      </c>
      <c r="D17" s="27">
        <f t="shared" si="1"/>
        <v>43242</v>
      </c>
      <c r="E17" s="26">
        <f t="shared" ca="1" si="2"/>
        <v>15547</v>
      </c>
      <c r="F17" s="26" t="s">
        <v>114</v>
      </c>
      <c r="G17" s="26" t="s">
        <v>8</v>
      </c>
      <c r="H17" s="26" t="s">
        <v>115</v>
      </c>
      <c r="I17" s="26" t="s">
        <v>76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81</v>
      </c>
      <c r="C18" s="26">
        <v>0</v>
      </c>
      <c r="D18" s="27">
        <f t="shared" si="1"/>
        <v>43242</v>
      </c>
      <c r="E18" s="26">
        <f t="shared" ca="1" si="2"/>
        <v>358</v>
      </c>
      <c r="F18" s="26" t="s">
        <v>116</v>
      </c>
      <c r="G18" s="26" t="s">
        <v>8</v>
      </c>
      <c r="H18" s="26" t="s">
        <v>117</v>
      </c>
      <c r="I18" s="26" t="s">
        <v>76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81</v>
      </c>
      <c r="C19" s="26">
        <v>0</v>
      </c>
      <c r="D19" s="27">
        <f t="shared" si="1"/>
        <v>43242</v>
      </c>
      <c r="E19" s="26">
        <f t="shared" ca="1" si="2"/>
        <v>-5055</v>
      </c>
      <c r="F19" s="26" t="s">
        <v>118</v>
      </c>
      <c r="G19" s="26" t="s">
        <v>8</v>
      </c>
      <c r="H19" s="26" t="s">
        <v>119</v>
      </c>
      <c r="I19" s="26" t="s">
        <v>76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81</v>
      </c>
      <c r="C20" s="26">
        <v>0</v>
      </c>
      <c r="D20" s="27">
        <f t="shared" si="1"/>
        <v>43242</v>
      </c>
      <c r="E20" s="26">
        <f t="shared" ca="1" si="2"/>
        <v>-14030</v>
      </c>
      <c r="F20" s="26" t="s">
        <v>120</v>
      </c>
      <c r="G20" s="26" t="s">
        <v>8</v>
      </c>
      <c r="H20" s="26" t="s">
        <v>121</v>
      </c>
      <c r="I20" s="26" t="s">
        <v>76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81</v>
      </c>
      <c r="C21" s="26">
        <v>0</v>
      </c>
      <c r="D21" s="27">
        <f t="shared" si="1"/>
        <v>43242</v>
      </c>
      <c r="E21" s="26">
        <f t="shared" ca="1" si="2"/>
        <v>17819</v>
      </c>
      <c r="F21" s="26" t="s">
        <v>122</v>
      </c>
      <c r="G21" s="26" t="s">
        <v>8</v>
      </c>
      <c r="H21" s="26" t="s">
        <v>123</v>
      </c>
      <c r="I21" s="26" t="s">
        <v>76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81</v>
      </c>
      <c r="C22" s="26">
        <v>0</v>
      </c>
      <c r="D22" s="27">
        <f t="shared" si="1"/>
        <v>43242</v>
      </c>
      <c r="E22" s="26">
        <f t="shared" ca="1" si="2"/>
        <v>18790</v>
      </c>
      <c r="F22" s="26" t="s">
        <v>124</v>
      </c>
      <c r="G22" s="26" t="s">
        <v>8</v>
      </c>
      <c r="H22" s="26" t="s">
        <v>125</v>
      </c>
      <c r="I22" s="26" t="s">
        <v>76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81</v>
      </c>
      <c r="C23" s="26">
        <v>0</v>
      </c>
      <c r="D23" s="27">
        <f t="shared" si="1"/>
        <v>43242</v>
      </c>
      <c r="E23" s="26">
        <f t="shared" ca="1" si="2"/>
        <v>-2877</v>
      </c>
      <c r="F23" s="26" t="s">
        <v>126</v>
      </c>
      <c r="G23" s="26" t="s">
        <v>8</v>
      </c>
      <c r="H23" s="26" t="s">
        <v>127</v>
      </c>
      <c r="I23" s="26" t="s">
        <v>76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SpotUpload</vt:lpstr>
      <vt:lpstr>Sheet3</vt:lpstr>
      <vt:lpstr>StatementUpload</vt:lpstr>
      <vt:lpstr>Accounts</vt:lpstr>
      <vt:lpstr>UC1FT</vt:lpstr>
      <vt:lpstr>UC1FX</vt:lpstr>
      <vt:lpstr>UC2FT</vt:lpstr>
      <vt:lpstr>UC2FX</vt:lpstr>
      <vt:lpstr>UC3FT</vt:lpstr>
      <vt:lpstr>UC3FX</vt:lpstr>
      <vt:lpstr>UC3FTUSD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2019-11-12T09:27:04Z</dcterms:modified>
</cp:coreProperties>
</file>