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Siena Transaction Generator\"/>
    </mc:Choice>
  </mc:AlternateContent>
  <xr:revisionPtr revIDLastSave="0" documentId="13_ncr:1_{EDC8434E-2329-4C74-99D7-A7DB53D00A37}" xr6:coauthVersionLast="41" xr6:coauthVersionMax="45" xr10:uidLastSave="{00000000-0000-0000-0000-000000000000}"/>
  <bookViews>
    <workbookView xWindow="-28920" yWindow="-120" windowWidth="29040" windowHeight="15990" activeTab="2" xr2:uid="{FB0F0F22-0686-E145-9628-8C9365172CEE}"/>
  </bookViews>
  <sheets>
    <sheet name="Properties" sheetId="1" r:id="rId1"/>
    <sheet name="Use Cases" sheetId="2" r:id="rId2"/>
    <sheet name="Action" sheetId="3" r:id="rId3"/>
  </sheets>
  <definedNames>
    <definedName name="_xlnm._FilterDatabase" localSheetId="1" hidden="1">'Use Cases'!$A$1:$H$29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0" i="2" l="1"/>
  <c r="G30" i="2"/>
  <c r="H30" i="2"/>
  <c r="C30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2" i="2"/>
  <c r="G28" i="2" l="1"/>
  <c r="H28" i="2" s="1"/>
  <c r="G29" i="2"/>
  <c r="H29" i="2" s="1"/>
  <c r="C29" i="2"/>
  <c r="E29" i="2" s="1"/>
  <c r="C28" i="2"/>
  <c r="E28" i="2" s="1"/>
  <c r="G27" i="2"/>
  <c r="H27" i="2" s="1"/>
  <c r="C27" i="2"/>
  <c r="E27" i="2" s="1"/>
  <c r="G26" i="2"/>
  <c r="H26" i="2" s="1"/>
  <c r="C26" i="2"/>
  <c r="E26" i="2" s="1"/>
  <c r="G14" i="2"/>
  <c r="H14" i="2" s="1"/>
  <c r="G15" i="2"/>
  <c r="H15" i="2" s="1"/>
  <c r="G16" i="2"/>
  <c r="H16" i="2" s="1"/>
  <c r="G17" i="2"/>
  <c r="H17" i="2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C25" i="2"/>
  <c r="E25" i="2" s="1"/>
  <c r="C24" i="2"/>
  <c r="E24" i="2" s="1"/>
  <c r="C23" i="2"/>
  <c r="E23" i="2" s="1"/>
  <c r="C22" i="2"/>
  <c r="E22" i="2" s="1"/>
  <c r="C21" i="2"/>
  <c r="E21" i="2" s="1"/>
  <c r="C20" i="2"/>
  <c r="E20" i="2" s="1"/>
  <c r="C19" i="2"/>
  <c r="E19" i="2" s="1"/>
  <c r="C18" i="2"/>
  <c r="E18" i="2" s="1"/>
  <c r="C17" i="2"/>
  <c r="E17" i="2" s="1"/>
  <c r="C16" i="2"/>
  <c r="E16" i="2" s="1"/>
  <c r="C15" i="2"/>
  <c r="E15" i="2" s="1"/>
  <c r="C14" i="2"/>
  <c r="E14" i="2" s="1"/>
  <c r="G5" i="2" l="1"/>
  <c r="H5" i="2" s="1"/>
  <c r="C3" i="2"/>
  <c r="E3" i="2" s="1"/>
  <c r="C4" i="2"/>
  <c r="C5" i="2"/>
  <c r="E5" i="2" s="1"/>
  <c r="C6" i="2"/>
  <c r="C7" i="2"/>
  <c r="C8" i="2"/>
  <c r="C9" i="2"/>
  <c r="C10" i="2"/>
  <c r="C11" i="2"/>
  <c r="C12" i="2"/>
  <c r="C13" i="2"/>
  <c r="G3" i="2"/>
  <c r="H3" i="2" s="1"/>
  <c r="G4" i="2" l="1"/>
  <c r="H4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2" i="2"/>
  <c r="H2" i="2" s="1"/>
  <c r="E9" i="2" l="1"/>
  <c r="E10" i="2"/>
  <c r="E11" i="2"/>
  <c r="E12" i="2"/>
  <c r="E13" i="2"/>
  <c r="E4" i="2"/>
  <c r="E6" i="2"/>
  <c r="E7" i="2"/>
  <c r="E8" i="2"/>
  <c r="C2" i="2"/>
  <c r="E2" i="2" s="1"/>
  <c r="B8" i="3" l="1"/>
  <c r="B11" i="3" s="1" a="1"/>
  <c r="B11" i="3" s="1"/>
  <c r="B10" i="3" l="1" a="1"/>
  <c r="B10" i="3" s="1"/>
  <c r="B9" i="3" a="1"/>
  <c r="B9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<sst xmlns="http://schemas.openxmlformats.org/spreadsheetml/2006/main" count="49" uniqueCount="26">
  <si>
    <t>Use Case</t>
  </si>
  <si>
    <t>uNo</t>
  </si>
  <si>
    <t>Time</t>
  </si>
  <si>
    <t>SearchString</t>
  </si>
  <si>
    <t>ToPath</t>
  </si>
  <si>
    <t>FromPath</t>
  </si>
  <si>
    <t>DropdownText</t>
  </si>
  <si>
    <t>Index</t>
  </si>
  <si>
    <t>Search</t>
  </si>
  <si>
    <t>From</t>
  </si>
  <si>
    <t>To</t>
  </si>
  <si>
    <t>Data Path</t>
  </si>
  <si>
    <t>DEBUG</t>
  </si>
  <si>
    <t>siena</t>
  </si>
  <si>
    <t>Use case release tool</t>
  </si>
  <si>
    <t>Select …</t>
  </si>
  <si>
    <t>UC1FT</t>
  </si>
  <si>
    <t>UC1FX</t>
  </si>
  <si>
    <t>C:\demo-systems\std\systems\sal-prd\sys-3\data\deal_import2_in</t>
  </si>
  <si>
    <t>UC2FT</t>
  </si>
  <si>
    <t>UC2FX</t>
  </si>
  <si>
    <t>UC3FT</t>
  </si>
  <si>
    <t>Folder/Tab</t>
  </si>
  <si>
    <t>Accounts</t>
  </si>
  <si>
    <t>29. Accounts - 00:00</t>
  </si>
  <si>
    <t>cmd /c move "C:\demo-systems\std\systems\sal-prd\sys-3\data\deal_import2_in\Accounts\*0*.xml" "C:\demo-systems\std\systems\sal-prd\sys-3\data\deal_import2_in\"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</si>
</sst>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1" x14ac:knownFonts="1">
    <font>
      <sz val="12"/>
      <color theme="1"/>
      <name val="Calibri"/>
      <family val="2"/>
      <scheme val="minor"/>
    </font>
    <font>
      <sz val="12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36"/>
      <color theme="2"/>
      <name val="Futura Md BT"/>
      <family val="2"/>
    </font>
    <font>
      <sz val="28"/>
      <color rgb="FF00B0F0"/>
      <name val="Raleway"/>
      <family val="2"/>
    </font>
    <font>
      <sz val="22"/>
      <color theme="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Consolas"/>
      <family val="3"/>
    </font>
    <font>
      <sz val="12"/>
      <color rgb="FFFF0000"/>
      <name val="Calibri"/>
      <family val="2"/>
      <scheme val="minor"/>
    </font>
    <font>
      <sz val="12"/>
      <color rgb="FFFF0000"/>
      <name val="Courier"/>
      <family val="1"/>
    </font>
    <font>
      <sz val="12"/>
      <color rgb="FFFF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322A7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0" xfId="0" applyFont="1" applyFill="1" applyAlignment="1">
      <alignment horizontal="left" vertical="center"/>
    </xf>
    <xf numFmtId="0" fontId="0" fillId="3" borderId="0" xfId="0" applyFill="1"/>
    <xf numFmtId="0" fontId="4" fillId="3" borderId="0" xfId="0" applyFont="1" applyFill="1" applyAlignment="1">
      <alignment horizontal="left"/>
    </xf>
    <xf numFmtId="0" fontId="3" fillId="3" borderId="0" xfId="0" applyFont="1" applyFill="1"/>
    <xf numFmtId="0" fontId="1" fillId="3" borderId="0" xfId="0" applyFont="1" applyFill="1"/>
    <xf numFmtId="0" fontId="5" fillId="3" borderId="0" xfId="0" applyFont="1" applyFill="1" applyAlignment="1">
      <alignment horizontal="left" vertical="center"/>
    </xf>
    <xf numFmtId="164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 applyAlignment="1">
      <alignment horizontal="left"/>
    </xf>
    <xf numFmtId="0" fontId="9" fillId="0" borderId="0" xfId="0" applyFont="1"/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22A77"/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workbookViewId="0">
      <selection activeCell="C5" sqref="C5"/>
    </sheetView>
  </sheetViews>
  <sheetFormatPr defaultColWidth="11" defaultRowHeight="15.75" x14ac:dyDescent="0.25"/>
  <sheetData>
    <row r="1" spans="1:2" x14ac:dyDescent="0.25">
      <c r="A1" t="s">
        <v>11</v>
      </c>
      <c r="B1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30"/>
  <sheetViews>
    <sheetView topLeftCell="A2" zoomScale="118" zoomScaleNormal="118" workbookViewId="0">
      <selection activeCell="E30" sqref="E30"/>
    </sheetView>
  </sheetViews>
  <sheetFormatPr defaultColWidth="11" defaultRowHeight="15.75" x14ac:dyDescent="0.25"/>
  <cols>
    <col min="3" max="3" width="11" customWidth="1"/>
    <col min="4" max="4" width="11" style="7"/>
    <col min="6" max="6" width="30.75" customWidth="1"/>
    <col min="7" max="7" width="27.375" customWidth="1"/>
  </cols>
  <sheetData>
    <row r="1" spans="1:8" x14ac:dyDescent="0.25">
      <c r="A1" t="s">
        <v>22</v>
      </c>
      <c r="B1" t="s">
        <v>0</v>
      </c>
      <c r="C1" t="s">
        <v>1</v>
      </c>
      <c r="D1" s="7" t="s">
        <v>2</v>
      </c>
      <c r="E1" t="s">
        <v>3</v>
      </c>
      <c r="F1" t="s">
        <v>6</v>
      </c>
      <c r="G1" t="s">
        <v>4</v>
      </c>
      <c r="H1" t="s">
        <v>5</v>
      </c>
    </row>
    <row r="2" spans="1:8" x14ac:dyDescent="0.25">
      <c r="A2" t="s">
        <v>16</v>
      </c>
      <c r="B2">
        <v>1</v>
      </c>
      <c r="C2" t="str">
        <f>"u"&amp;B2</f>
        <v>u1</v>
      </c>
      <c r="D2" s="7">
        <v>0.41597222222222219</v>
      </c>
      <c r="E2" t="str">
        <f>"-"&amp;C2&amp;"-"&amp;TEXT(D2,"HHMM"&amp;"-")</f>
        <v>-u1-0959-</v>
      </c>
      <c r="F2" t="str">
        <f>TEXT((ROW()-1),"00.")&amp;" "&amp;A2&amp;" - "&amp;TEXT(D2,"HH:MM")</f>
        <v>01. UC1FT - 09:59</v>
      </c>
      <c r="G2" t="str">
        <f>Properties!$B$1&amp;"\"</f>
        <v>C:\demo-systems\std\systems\sal-prd\sys-3\data\deal_import2_in\</v>
      </c>
      <c r="H2" t="str">
        <f>G2&amp;A2&amp;"\"</f>
        <v>C:\demo-systems\std\systems\sal-prd\sys-3\data\deal_import2_in\UC1FT\</v>
      </c>
    </row>
    <row r="3" spans="1:8" x14ac:dyDescent="0.25">
      <c r="A3" t="s">
        <v>17</v>
      </c>
      <c r="B3">
        <v>1</v>
      </c>
      <c r="C3" t="str">
        <f t="shared" ref="C3:C30" si="0">"u"&amp;B3</f>
        <v>u1</v>
      </c>
      <c r="D3" s="7">
        <v>0.41597222222222219</v>
      </c>
      <c r="E3" t="str">
        <f>"-"&amp;C3&amp;"-"&amp;TEXT(D3,"HHMM"&amp;"-")</f>
        <v>-u1-0959-</v>
      </c>
      <c r="F3" t="str">
        <f t="shared" ref="F3:F29" si="1">TEXT((ROW()-1),"00.")&amp;" "&amp;A3&amp;" - "&amp;TEXT(D3,"HH:MM")</f>
        <v>02. UC1FX - 09:59</v>
      </c>
      <c r="G3" t="str">
        <f>Properties!$B$1&amp;"\"</f>
        <v>C:\demo-systems\std\systems\sal-prd\sys-3\data\deal_import2_in\</v>
      </c>
      <c r="H3" t="str">
        <f>G3&amp;A3&amp;"\"</f>
        <v>C:\demo-systems\std\systems\sal-prd\sys-3\data\deal_import2_in\UC1FX\</v>
      </c>
    </row>
    <row r="4" spans="1:8" x14ac:dyDescent="0.25">
      <c r="A4" t="s">
        <v>16</v>
      </c>
      <c r="B4">
        <v>1</v>
      </c>
      <c r="C4" t="str">
        <f t="shared" si="0"/>
        <v>u1</v>
      </c>
      <c r="D4" s="7">
        <v>0.4375</v>
      </c>
      <c r="E4" t="str">
        <f t="shared" ref="E4:E8" si="2">"-"&amp;C4&amp;"-"&amp;TEXT(D4,"HHMM"&amp;"-")</f>
        <v>-u1-1030-</v>
      </c>
      <c r="F4" t="str">
        <f t="shared" si="1"/>
        <v>03. UC1FT - 10:30</v>
      </c>
      <c r="G4" t="str">
        <f>Properties!$B$1&amp;"\"</f>
        <v>C:\demo-systems\std\systems\sal-prd\sys-3\data\deal_import2_in\</v>
      </c>
      <c r="H4" t="str">
        <f t="shared" ref="H4:H13" si="3">G4&amp;A4&amp;"\"</f>
        <v>C:\demo-systems\std\systems\sal-prd\sys-3\data\deal_import2_in\UC1FT\</v>
      </c>
    </row>
    <row r="5" spans="1:8" x14ac:dyDescent="0.25">
      <c r="A5" t="s">
        <v>17</v>
      </c>
      <c r="B5">
        <v>1</v>
      </c>
      <c r="C5" t="str">
        <f t="shared" si="0"/>
        <v>u1</v>
      </c>
      <c r="D5" s="7">
        <v>0.4375</v>
      </c>
      <c r="E5" t="str">
        <f t="shared" ref="E5" si="4">"-"&amp;C5&amp;"-"&amp;TEXT(D5,"HHMM"&amp;"-")</f>
        <v>-u1-1030-</v>
      </c>
      <c r="F5" t="str">
        <f t="shared" si="1"/>
        <v>04. UC1FX - 10:30</v>
      </c>
      <c r="G5" t="str">
        <f>Properties!$B$1&amp;"\"</f>
        <v>C:\demo-systems\std\systems\sal-prd\sys-3\data\deal_import2_in\</v>
      </c>
      <c r="H5" t="str">
        <f t="shared" ref="H5" si="5">G5&amp;A5&amp;"\"</f>
        <v>C:\demo-systems\std\systems\sal-prd\sys-3\data\deal_import2_in\UC1FX\</v>
      </c>
    </row>
    <row r="6" spans="1:8" x14ac:dyDescent="0.25">
      <c r="A6" t="s">
        <v>16</v>
      </c>
      <c r="B6">
        <v>1</v>
      </c>
      <c r="C6" t="str">
        <f t="shared" si="0"/>
        <v>u1</v>
      </c>
      <c r="D6" s="7">
        <v>0.4381944444444445</v>
      </c>
      <c r="E6" t="str">
        <f t="shared" si="2"/>
        <v>-u1-1031-</v>
      </c>
      <c r="F6" t="str">
        <f t="shared" si="1"/>
        <v>05. UC1FT - 10:31</v>
      </c>
      <c r="G6" t="str">
        <f>Properties!$B$1&amp;"\"</f>
        <v>C:\demo-systems\std\systems\sal-prd\sys-3\data\deal_import2_in\</v>
      </c>
      <c r="H6" t="str">
        <f t="shared" si="3"/>
        <v>C:\demo-systems\std\systems\sal-prd\sys-3\data\deal_import2_in\UC1FT\</v>
      </c>
    </row>
    <row r="7" spans="1:8" x14ac:dyDescent="0.25">
      <c r="A7" t="s">
        <v>17</v>
      </c>
      <c r="B7">
        <v>1</v>
      </c>
      <c r="C7" t="str">
        <f t="shared" si="0"/>
        <v>u1</v>
      </c>
      <c r="D7" s="7">
        <v>0.4381944444444445</v>
      </c>
      <c r="E7" t="str">
        <f t="shared" si="2"/>
        <v>-u1-1031-</v>
      </c>
      <c r="F7" t="str">
        <f t="shared" si="1"/>
        <v>06. UC1FX - 10:31</v>
      </c>
      <c r="G7" t="str">
        <f>Properties!$B$1&amp;"\"</f>
        <v>C:\demo-systems\std\systems\sal-prd\sys-3\data\deal_import2_in\</v>
      </c>
      <c r="H7" t="str">
        <f t="shared" si="3"/>
        <v>C:\demo-systems\std\systems\sal-prd\sys-3\data\deal_import2_in\UC1FX\</v>
      </c>
    </row>
    <row r="8" spans="1:8" x14ac:dyDescent="0.25">
      <c r="A8" t="s">
        <v>16</v>
      </c>
      <c r="B8">
        <v>1</v>
      </c>
      <c r="C8" t="str">
        <f t="shared" si="0"/>
        <v>u1</v>
      </c>
      <c r="D8" s="7">
        <v>0.45902777777777781</v>
      </c>
      <c r="E8" t="str">
        <f t="shared" si="2"/>
        <v>-u1-1101-</v>
      </c>
      <c r="F8" t="str">
        <f t="shared" si="1"/>
        <v>07. UC1FT - 11:01</v>
      </c>
      <c r="G8" t="str">
        <f>Properties!$B$1&amp;"\"</f>
        <v>C:\demo-systems\std\systems\sal-prd\sys-3\data\deal_import2_in\</v>
      </c>
      <c r="H8" t="str">
        <f t="shared" si="3"/>
        <v>C:\demo-systems\std\systems\sal-prd\sys-3\data\deal_import2_in\UC1FT\</v>
      </c>
    </row>
    <row r="9" spans="1:8" x14ac:dyDescent="0.25">
      <c r="A9" t="s">
        <v>17</v>
      </c>
      <c r="B9">
        <v>1</v>
      </c>
      <c r="C9" t="str">
        <f t="shared" si="0"/>
        <v>u1</v>
      </c>
      <c r="D9" s="7">
        <v>0.45902777777777781</v>
      </c>
      <c r="E9" t="str">
        <f t="shared" ref="E9:E25" si="6">"-"&amp;C9&amp;"-"&amp;TEXT(D9,"HHMM"&amp;"-")</f>
        <v>-u1-1101-</v>
      </c>
      <c r="F9" t="str">
        <f t="shared" si="1"/>
        <v>08. UC1FX - 11:01</v>
      </c>
      <c r="G9" t="str">
        <f>Properties!$B$1&amp;"\"</f>
        <v>C:\demo-systems\std\systems\sal-prd\sys-3\data\deal_import2_in\</v>
      </c>
      <c r="H9" t="str">
        <f t="shared" si="3"/>
        <v>C:\demo-systems\std\systems\sal-prd\sys-3\data\deal_import2_in\UC1FX\</v>
      </c>
    </row>
    <row r="10" spans="1:8" x14ac:dyDescent="0.25">
      <c r="A10" t="s">
        <v>16</v>
      </c>
      <c r="B10">
        <v>1</v>
      </c>
      <c r="C10" t="str">
        <f t="shared" si="0"/>
        <v>u1</v>
      </c>
      <c r="D10" s="7">
        <v>0.54166666666666663</v>
      </c>
      <c r="E10" t="str">
        <f t="shared" si="6"/>
        <v>-u1-1300-</v>
      </c>
      <c r="F10" t="str">
        <f t="shared" si="1"/>
        <v>09. UC1FT - 13:00</v>
      </c>
      <c r="G10" t="str">
        <f>Properties!$B$1&amp;"\"</f>
        <v>C:\demo-systems\std\systems\sal-prd\sys-3\data\deal_import2_in\</v>
      </c>
      <c r="H10" t="str">
        <f t="shared" si="3"/>
        <v>C:\demo-systems\std\systems\sal-prd\sys-3\data\deal_import2_in\UC1FT\</v>
      </c>
    </row>
    <row r="11" spans="1:8" x14ac:dyDescent="0.25">
      <c r="A11" t="s">
        <v>17</v>
      </c>
      <c r="B11">
        <v>1</v>
      </c>
      <c r="C11" t="str">
        <f t="shared" si="0"/>
        <v>u1</v>
      </c>
      <c r="D11" s="7">
        <v>0.54166666666666663</v>
      </c>
      <c r="E11" t="str">
        <f t="shared" si="6"/>
        <v>-u1-1300-</v>
      </c>
      <c r="F11" t="str">
        <f t="shared" si="1"/>
        <v>10. UC1FX - 13:00</v>
      </c>
      <c r="G11" t="str">
        <f>Properties!$B$1&amp;"\"</f>
        <v>C:\demo-systems\std\systems\sal-prd\sys-3\data\deal_import2_in\</v>
      </c>
      <c r="H11" t="str">
        <f t="shared" si="3"/>
        <v>C:\demo-systems\std\systems\sal-prd\sys-3\data\deal_import2_in\UC1FX\</v>
      </c>
    </row>
    <row r="12" spans="1:8" x14ac:dyDescent="0.25">
      <c r="A12" t="s">
        <v>16</v>
      </c>
      <c r="B12">
        <v>1</v>
      </c>
      <c r="C12" t="str">
        <f t="shared" si="0"/>
        <v>u1</v>
      </c>
      <c r="D12" s="7">
        <v>0.5625</v>
      </c>
      <c r="E12" t="str">
        <f t="shared" si="6"/>
        <v>-u1-1330-</v>
      </c>
      <c r="F12" t="str">
        <f t="shared" si="1"/>
        <v>11. UC1FT - 13:30</v>
      </c>
      <c r="G12" t="str">
        <f>Properties!$B$1&amp;"\"</f>
        <v>C:\demo-systems\std\systems\sal-prd\sys-3\data\deal_import2_in\</v>
      </c>
      <c r="H12" t="str">
        <f t="shared" si="3"/>
        <v>C:\demo-systems\std\systems\sal-prd\sys-3\data\deal_import2_in\UC1FT\</v>
      </c>
    </row>
    <row r="13" spans="1:8" x14ac:dyDescent="0.25">
      <c r="A13" t="s">
        <v>17</v>
      </c>
      <c r="B13">
        <v>1</v>
      </c>
      <c r="C13" t="str">
        <f t="shared" si="0"/>
        <v>u1</v>
      </c>
      <c r="D13" s="7">
        <v>0.5625</v>
      </c>
      <c r="E13" t="str">
        <f t="shared" si="6"/>
        <v>-u1-1330-</v>
      </c>
      <c r="F13" t="str">
        <f t="shared" si="1"/>
        <v>12. UC1FX - 13:30</v>
      </c>
      <c r="G13" t="str">
        <f>Properties!$B$1&amp;"\"</f>
        <v>C:\demo-systems\std\systems\sal-prd\sys-3\data\deal_import2_in\</v>
      </c>
      <c r="H13" t="str">
        <f t="shared" si="3"/>
        <v>C:\demo-systems\std\systems\sal-prd\sys-3\data\deal_import2_in\UC1FX\</v>
      </c>
    </row>
    <row r="14" spans="1:8" x14ac:dyDescent="0.25">
      <c r="A14" t="s">
        <v>19</v>
      </c>
      <c r="B14">
        <v>2</v>
      </c>
      <c r="C14" t="str">
        <f t="shared" si="0"/>
        <v>u2</v>
      </c>
      <c r="D14" s="7">
        <v>0.33333333333333331</v>
      </c>
      <c r="E14" t="str">
        <f t="shared" si="6"/>
        <v>-u2-0800-</v>
      </c>
      <c r="F14" t="str">
        <f t="shared" si="1"/>
        <v>13. UC2FT - 08:00</v>
      </c>
      <c r="G14" t="str">
        <f>Properties!$B$1&amp;"\"</f>
        <v>C:\demo-systems\std\systems\sal-prd\sys-3\data\deal_import2_in\</v>
      </c>
      <c r="H14" t="str">
        <f t="shared" ref="H14:H25" si="7">G14&amp;A14&amp;"\"</f>
        <v>C:\demo-systems\std\systems\sal-prd\sys-3\data\deal_import2_in\UC2FT\</v>
      </c>
    </row>
    <row r="15" spans="1:8" x14ac:dyDescent="0.25">
      <c r="A15" t="s">
        <v>20</v>
      </c>
      <c r="B15">
        <v>2</v>
      </c>
      <c r="C15" t="str">
        <f t="shared" si="0"/>
        <v>u2</v>
      </c>
      <c r="D15" s="7">
        <v>0.33333333333333331</v>
      </c>
      <c r="E15" t="str">
        <f t="shared" si="6"/>
        <v>-u2-0800-</v>
      </c>
      <c r="F15" t="str">
        <f t="shared" si="1"/>
        <v>14. UC2FX - 08:00</v>
      </c>
      <c r="G15" t="str">
        <f>Properties!$B$1&amp;"\"</f>
        <v>C:\demo-systems\std\systems\sal-prd\sys-3\data\deal_import2_in\</v>
      </c>
      <c r="H15" t="str">
        <f t="shared" si="7"/>
        <v>C:\demo-systems\std\systems\sal-prd\sys-3\data\deal_import2_in\UC2FX\</v>
      </c>
    </row>
    <row r="16" spans="1:8" x14ac:dyDescent="0.25">
      <c r="A16" t="s">
        <v>19</v>
      </c>
      <c r="B16">
        <v>2</v>
      </c>
      <c r="C16" t="str">
        <f t="shared" si="0"/>
        <v>u2</v>
      </c>
      <c r="D16" s="7">
        <v>0.34027777777777773</v>
      </c>
      <c r="E16" t="str">
        <f t="shared" si="6"/>
        <v>-u2-0810-</v>
      </c>
      <c r="F16" t="str">
        <f t="shared" si="1"/>
        <v>15. UC2FT - 08:10</v>
      </c>
      <c r="G16" t="str">
        <f>Properties!$B$1&amp;"\"</f>
        <v>C:\demo-systems\std\systems\sal-prd\sys-3\data\deal_import2_in\</v>
      </c>
      <c r="H16" t="str">
        <f t="shared" si="7"/>
        <v>C:\demo-systems\std\systems\sal-prd\sys-3\data\deal_import2_in\UC2FT\</v>
      </c>
    </row>
    <row r="17" spans="1:8" x14ac:dyDescent="0.25">
      <c r="A17" t="s">
        <v>20</v>
      </c>
      <c r="B17">
        <v>2</v>
      </c>
      <c r="C17" t="str">
        <f t="shared" si="0"/>
        <v>u2</v>
      </c>
      <c r="D17" s="7">
        <v>0.34027777777777773</v>
      </c>
      <c r="E17" t="str">
        <f t="shared" si="6"/>
        <v>-u2-0810-</v>
      </c>
      <c r="F17" t="str">
        <f t="shared" si="1"/>
        <v>16. UC2FX - 08:10</v>
      </c>
      <c r="G17" t="str">
        <f>Properties!$B$1&amp;"\"</f>
        <v>C:\demo-systems\std\systems\sal-prd\sys-3\data\deal_import2_in\</v>
      </c>
      <c r="H17" t="str">
        <f t="shared" si="7"/>
        <v>C:\demo-systems\std\systems\sal-prd\sys-3\data\deal_import2_in\UC2FX\</v>
      </c>
    </row>
    <row r="18" spans="1:8" x14ac:dyDescent="0.25">
      <c r="A18" t="s">
        <v>19</v>
      </c>
      <c r="B18">
        <v>2</v>
      </c>
      <c r="C18" t="str">
        <f t="shared" si="0"/>
        <v>u2</v>
      </c>
      <c r="D18" s="7">
        <v>0.3611111111111111</v>
      </c>
      <c r="E18" t="str">
        <f t="shared" si="6"/>
        <v>-u2-0840-</v>
      </c>
      <c r="F18" t="str">
        <f t="shared" si="1"/>
        <v>17. UC2FT - 08:40</v>
      </c>
      <c r="G18" t="str">
        <f>Properties!$B$1&amp;"\"</f>
        <v>C:\demo-systems\std\systems\sal-prd\sys-3\data\deal_import2_in\</v>
      </c>
      <c r="H18" t="str">
        <f t="shared" si="7"/>
        <v>C:\demo-systems\std\systems\sal-prd\sys-3\data\deal_import2_in\UC2FT\</v>
      </c>
    </row>
    <row r="19" spans="1:8" x14ac:dyDescent="0.25">
      <c r="A19" t="s">
        <v>20</v>
      </c>
      <c r="B19">
        <v>2</v>
      </c>
      <c r="C19" t="str">
        <f t="shared" si="0"/>
        <v>u2</v>
      </c>
      <c r="D19" s="7">
        <v>0.3611111111111111</v>
      </c>
      <c r="E19" t="str">
        <f t="shared" si="6"/>
        <v>-u2-0840-</v>
      </c>
      <c r="F19" t="str">
        <f t="shared" si="1"/>
        <v>18. UC2FX - 08:40</v>
      </c>
      <c r="G19" t="str">
        <f>Properties!$B$1&amp;"\"</f>
        <v>C:\demo-systems\std\systems\sal-prd\sys-3\data\deal_import2_in\</v>
      </c>
      <c r="H19" t="str">
        <f t="shared" si="7"/>
        <v>C:\demo-systems\std\systems\sal-prd\sys-3\data\deal_import2_in\UC2FX\</v>
      </c>
    </row>
    <row r="20" spans="1:8" x14ac:dyDescent="0.25">
      <c r="A20" t="s">
        <v>19</v>
      </c>
      <c r="B20">
        <v>2</v>
      </c>
      <c r="C20" t="str">
        <f t="shared" si="0"/>
        <v>u2</v>
      </c>
      <c r="D20" s="7">
        <v>0.375</v>
      </c>
      <c r="E20" t="str">
        <f t="shared" si="6"/>
        <v>-u2-0900-</v>
      </c>
      <c r="F20" t="str">
        <f t="shared" si="1"/>
        <v>19. UC2FT - 09:00</v>
      </c>
      <c r="G20" t="str">
        <f>Properties!$B$1&amp;"\"</f>
        <v>C:\demo-systems\std\systems\sal-prd\sys-3\data\deal_import2_in\</v>
      </c>
      <c r="H20" t="str">
        <f t="shared" si="7"/>
        <v>C:\demo-systems\std\systems\sal-prd\sys-3\data\deal_import2_in\UC2FT\</v>
      </c>
    </row>
    <row r="21" spans="1:8" x14ac:dyDescent="0.25">
      <c r="A21" t="s">
        <v>20</v>
      </c>
      <c r="B21">
        <v>2</v>
      </c>
      <c r="C21" t="str">
        <f t="shared" si="0"/>
        <v>u2</v>
      </c>
      <c r="D21" s="7">
        <v>0.375</v>
      </c>
      <c r="E21" t="str">
        <f t="shared" si="6"/>
        <v>-u2-0900-</v>
      </c>
      <c r="F21" t="str">
        <f t="shared" si="1"/>
        <v>20. UC2FX - 09:00</v>
      </c>
      <c r="G21" t="str">
        <f>Properties!$B$1&amp;"\"</f>
        <v>C:\demo-systems\std\systems\sal-prd\sys-3\data\deal_import2_in\</v>
      </c>
      <c r="H21" t="str">
        <f t="shared" si="7"/>
        <v>C:\demo-systems\std\systems\sal-prd\sys-3\data\deal_import2_in\UC2FX\</v>
      </c>
    </row>
    <row r="22" spans="1:8" x14ac:dyDescent="0.25">
      <c r="A22" t="s">
        <v>19</v>
      </c>
      <c r="B22">
        <v>2</v>
      </c>
      <c r="C22" t="str">
        <f t="shared" si="0"/>
        <v>u2</v>
      </c>
      <c r="D22" s="7">
        <v>0.39583333333333331</v>
      </c>
      <c r="E22" t="str">
        <f t="shared" si="6"/>
        <v>-u2-0930-</v>
      </c>
      <c r="F22" t="str">
        <f t="shared" si="1"/>
        <v>21. UC2FT - 09:30</v>
      </c>
      <c r="G22" t="str">
        <f>Properties!$B$1&amp;"\"</f>
        <v>C:\demo-systems\std\systems\sal-prd\sys-3\data\deal_import2_in\</v>
      </c>
      <c r="H22" t="str">
        <f t="shared" si="7"/>
        <v>C:\demo-systems\std\systems\sal-prd\sys-3\data\deal_import2_in\UC2FT\</v>
      </c>
    </row>
    <row r="23" spans="1:8" x14ac:dyDescent="0.25">
      <c r="A23" t="s">
        <v>20</v>
      </c>
      <c r="B23">
        <v>2</v>
      </c>
      <c r="C23" t="str">
        <f t="shared" si="0"/>
        <v>u2</v>
      </c>
      <c r="D23" s="7">
        <v>0.39583333333333331</v>
      </c>
      <c r="E23" t="str">
        <f t="shared" si="6"/>
        <v>-u2-0930-</v>
      </c>
      <c r="F23" t="str">
        <f t="shared" si="1"/>
        <v>22. UC2FX - 09:30</v>
      </c>
      <c r="G23" t="str">
        <f>Properties!$B$1&amp;"\"</f>
        <v>C:\demo-systems\std\systems\sal-prd\sys-3\data\deal_import2_in\</v>
      </c>
      <c r="H23" t="str">
        <f t="shared" si="7"/>
        <v>C:\demo-systems\std\systems\sal-prd\sys-3\data\deal_import2_in\UC2FX\</v>
      </c>
    </row>
    <row r="24" spans="1:8" x14ac:dyDescent="0.25">
      <c r="A24" t="s">
        <v>19</v>
      </c>
      <c r="B24">
        <v>2</v>
      </c>
      <c r="C24" t="str">
        <f t="shared" si="0"/>
        <v>u2</v>
      </c>
      <c r="D24" s="7">
        <v>0.38541666666666669</v>
      </c>
      <c r="E24" t="str">
        <f t="shared" si="6"/>
        <v>-u2-0915-</v>
      </c>
      <c r="F24" t="str">
        <f t="shared" si="1"/>
        <v>23. UC2FT - 09:15</v>
      </c>
      <c r="G24" t="str">
        <f>Properties!$B$1&amp;"\"</f>
        <v>C:\demo-systems\std\systems\sal-prd\sys-3\data\deal_import2_in\</v>
      </c>
      <c r="H24" t="str">
        <f t="shared" si="7"/>
        <v>C:\demo-systems\std\systems\sal-prd\sys-3\data\deal_import2_in\UC2FT\</v>
      </c>
    </row>
    <row r="25" spans="1:8" x14ac:dyDescent="0.25">
      <c r="A25" t="s">
        <v>20</v>
      </c>
      <c r="B25">
        <v>2</v>
      </c>
      <c r="C25" t="str">
        <f t="shared" si="0"/>
        <v>u2</v>
      </c>
      <c r="D25" s="7">
        <v>0.38541666666666669</v>
      </c>
      <c r="E25" t="str">
        <f t="shared" si="6"/>
        <v>-u2-0915-</v>
      </c>
      <c r="F25" t="str">
        <f t="shared" si="1"/>
        <v>24. UC2FX - 09:15</v>
      </c>
      <c r="G25" t="str">
        <f>Properties!$B$1&amp;"\"</f>
        <v>C:\demo-systems\std\systems\sal-prd\sys-3\data\deal_import2_in\</v>
      </c>
      <c r="H25" t="str">
        <f t="shared" si="7"/>
        <v>C:\demo-systems\std\systems\sal-prd\sys-3\data\deal_import2_in\UC2FX\</v>
      </c>
    </row>
    <row r="26" spans="1:8" x14ac:dyDescent="0.25">
      <c r="A26" t="s">
        <v>19</v>
      </c>
      <c r="B26">
        <v>2</v>
      </c>
      <c r="C26" t="str">
        <f t="shared" si="0"/>
        <v>u2</v>
      </c>
      <c r="D26" s="7">
        <v>0.40625</v>
      </c>
      <c r="E26" t="str">
        <f t="shared" ref="E26:E29" si="8">"-"&amp;C26&amp;"-"&amp;TEXT(D26,"HHMM"&amp;"-")</f>
        <v>-u2-0945-</v>
      </c>
      <c r="F26" t="str">
        <f t="shared" si="1"/>
        <v>25. UC2FT - 09:45</v>
      </c>
      <c r="G26" t="str">
        <f>Properties!$B$1&amp;"\"</f>
        <v>C:\demo-systems\std\systems\sal-prd\sys-3\data\deal_import2_in\</v>
      </c>
      <c r="H26" t="str">
        <f t="shared" ref="H26:H27" si="9">G26&amp;A26&amp;"\"</f>
        <v>C:\demo-systems\std\systems\sal-prd\sys-3\data\deal_import2_in\UC2FT\</v>
      </c>
    </row>
    <row r="27" spans="1:8" x14ac:dyDescent="0.25">
      <c r="A27" t="s">
        <v>20</v>
      </c>
      <c r="B27">
        <v>2</v>
      </c>
      <c r="C27" t="str">
        <f t="shared" si="0"/>
        <v>u2</v>
      </c>
      <c r="D27" s="7">
        <v>0.40625</v>
      </c>
      <c r="E27" t="str">
        <f t="shared" si="8"/>
        <v>-u2-0945-</v>
      </c>
      <c r="F27" t="str">
        <f t="shared" si="1"/>
        <v>26. UC2FX - 09:45</v>
      </c>
      <c r="G27" t="str">
        <f>Properties!$B$1&amp;"\"</f>
        <v>C:\demo-systems\std\systems\sal-prd\sys-3\data\deal_import2_in\</v>
      </c>
      <c r="H27" t="str">
        <f t="shared" si="9"/>
        <v>C:\demo-systems\std\systems\sal-prd\sys-3\data\deal_import2_in\UC2FX\</v>
      </c>
    </row>
    <row r="28" spans="1:8" x14ac:dyDescent="0.25">
      <c r="A28" t="s">
        <v>21</v>
      </c>
      <c r="B28">
        <v>3</v>
      </c>
      <c r="C28" t="str">
        <f t="shared" si="0"/>
        <v>u3</v>
      </c>
      <c r="D28" s="7">
        <v>0.34027777777777773</v>
      </c>
      <c r="E28" t="str">
        <f t="shared" si="8"/>
        <v>-u3-0810-</v>
      </c>
      <c r="F28" t="str">
        <f t="shared" si="1"/>
        <v>27. UC3FT - 08:10</v>
      </c>
      <c r="G28" t="str">
        <f>Properties!$B$1&amp;"\"</f>
        <v>C:\demo-systems\std\systems\sal-prd\sys-3\data\deal_import2_in\</v>
      </c>
      <c r="H28" t="str">
        <f t="shared" ref="H28:H29" si="10">G28&amp;A28&amp;"\"</f>
        <v>C:\demo-systems\std\systems\sal-prd\sys-3\data\deal_import2_in\UC3FT\</v>
      </c>
    </row>
    <row r="29" spans="1:8" x14ac:dyDescent="0.25">
      <c r="A29" t="s">
        <v>21</v>
      </c>
      <c r="B29">
        <v>3</v>
      </c>
      <c r="C29" t="str">
        <f t="shared" si="0"/>
        <v>u3</v>
      </c>
      <c r="D29" s="7">
        <v>0.38194444444444442</v>
      </c>
      <c r="E29" t="str">
        <f t="shared" si="8"/>
        <v>-u3-0910-</v>
      </c>
      <c r="F29" t="str">
        <f t="shared" si="1"/>
        <v>28. UC3FT - 09:10</v>
      </c>
      <c r="G29" t="str">
        <f>Properties!$B$1&amp;"\"</f>
        <v>C:\demo-systems\std\systems\sal-prd\sys-3\data\deal_import2_in\</v>
      </c>
      <c r="H29" t="str">
        <f t="shared" si="10"/>
        <v>C:\demo-systems\std\systems\sal-prd\sys-3\data\deal_import2_in\UC3FT\</v>
      </c>
    </row>
    <row r="30" spans="1:8" x14ac:dyDescent="0.25">
      <c r="A30" t="s">
        <v>23</v>
      </c>
      <c r="B30">
        <v>0</v>
      </c>
      <c r="C30" t="str">
        <f t="shared" si="0"/>
        <v>u0</v>
      </c>
      <c r="F30" t="str">
        <f t="shared" ref="F30" si="11">TEXT((ROW()-1),"00.")&amp;" "&amp;A30&amp;" - "&amp;TEXT(D30,"HH:MM")</f>
        <v>29. Accounts - 00:00</v>
      </c>
      <c r="G30" t="str">
        <f>Properties!$B$1&amp;"\"</f>
        <v>C:\demo-systems\std\systems\sal-prd\sys-3\data\deal_import2_in\</v>
      </c>
      <c r="H30" t="str">
        <f t="shared" ref="H30" si="12">G30&amp;A30&amp;"\"</f>
        <v>C:\demo-systems\std\systems\sal-prd\sys-3\data\deal_import2_in\Accounts\</v>
      </c>
    </row>
  </sheetData>
  <autoFilter ref="A1:H29" xr:uid="{11CD5A18-2A08-4448-947B-B3524B6BFEC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4"/>
  <sheetViews>
    <sheetView tabSelected="1" zoomScale="112" zoomScaleNormal="112" workbookViewId="0">
      <selection activeCell="A14" sqref="A8:XFD14"/>
    </sheetView>
  </sheetViews>
  <sheetFormatPr defaultColWidth="11" defaultRowHeight="15.75" x14ac:dyDescent="0.25"/>
  <cols>
    <col min="1" max="1" width="15.875" customWidth="1"/>
    <col min="2" max="2" width="83" customWidth="1"/>
    <col min="3" max="7" width="15.875" customWidth="1"/>
  </cols>
  <sheetData>
    <row r="1" spans="1:7" ht="29.25" customHeight="1" x14ac:dyDescent="0.25">
      <c r="A1" s="2"/>
      <c r="B1" s="2"/>
      <c r="C1" s="2"/>
      <c r="D1" s="2"/>
      <c r="E1" s="2"/>
      <c r="F1" s="2"/>
      <c r="G1" s="2"/>
    </row>
    <row r="2" spans="1:7" ht="45.75" x14ac:dyDescent="0.65">
      <c r="A2" s="2"/>
      <c r="B2" s="3" t="s">
        <v>14</v>
      </c>
      <c r="C2" s="2"/>
      <c r="D2" s="2"/>
      <c r="E2" s="2"/>
      <c r="F2" s="4" t="s">
        <v>13</v>
      </c>
      <c r="G2" s="2"/>
    </row>
    <row r="3" spans="1:7" x14ac:dyDescent="0.25">
      <c r="A3" s="2"/>
      <c r="B3" s="2"/>
      <c r="C3" s="2"/>
      <c r="D3" s="2"/>
      <c r="E3" s="2"/>
      <c r="F3" s="2"/>
      <c r="G3" s="2"/>
    </row>
    <row r="4" spans="1:7" ht="39.950000000000003" customHeight="1" x14ac:dyDescent="0.25">
      <c r="A4" s="5"/>
      <c r="B4" s="6" t="s">
        <v>15</v>
      </c>
      <c r="C4" s="5"/>
      <c r="D4" s="2"/>
      <c r="E4" s="2"/>
      <c r="F4" s="2"/>
      <c r="G4" s="2"/>
    </row>
    <row r="5" spans="1:7" ht="59.1" customHeight="1" x14ac:dyDescent="0.25">
      <c r="A5" s="5"/>
      <c r="B5" s="1" t="s">
        <v>24</v>
      </c>
      <c r="C5" s="5"/>
      <c r="D5" s="2"/>
      <c r="E5" s="2"/>
      <c r="F5" s="2"/>
      <c r="G5" s="2"/>
    </row>
    <row r="6" spans="1:7" ht="39.950000000000003" customHeight="1" x14ac:dyDescent="0.25">
      <c r="A6" s="5"/>
      <c r="B6" s="5"/>
      <c r="C6" s="5"/>
      <c r="D6" s="2"/>
      <c r="E6" s="2"/>
      <c r="F6" s="2"/>
      <c r="G6" s="2"/>
    </row>
    <row r="7" spans="1:7" ht="84.95" customHeight="1" x14ac:dyDescent="0.25">
      <c r="A7" s="2"/>
      <c r="B7" s="2"/>
      <c r="C7" s="2"/>
      <c r="D7" s="2"/>
      <c r="E7" s="2"/>
      <c r="F7" s="2"/>
      <c r="G7" s="2"/>
    </row>
    <row r="8" spans="1:7" s="8" customFormat="1" hidden="1" x14ac:dyDescent="0.25">
      <c r="A8" s="10" t="s">
        <v>7</v>
      </c>
      <c r="B8" s="11">
        <f>MATCH(B5,'Use Cases'!F:F)</f>
        <v>30</v>
      </c>
    </row>
    <row r="9" spans="1:7" s="8" customFormat="1" hidden="1" x14ac:dyDescent="0.25">
      <c r="A9" s="10" t="s">
        <v>8</v>
      </c>
      <c r="B9" s="12" cm="1">
        <f t="array" ref="B9">INDEX('Use Cases'!E:E,B8)</f>
        <v>0</v>
      </c>
    </row>
    <row r="10" spans="1:7" s="8" customFormat="1" hidden="1" x14ac:dyDescent="0.25">
      <c r="A10" s="10" t="s">
        <v>9</v>
      </c>
      <c r="B10" s="10" t="str" cm="1">
        <f t="array" ref="B10">INDEX('Use Cases'!H:H,Action!B8)</f>
        <v>C:\demo-systems\std\systems\sal-prd\sys-3\data\deal_import2_in\Accounts\</v>
      </c>
    </row>
    <row r="11" spans="1:7" s="8" customFormat="1" hidden="1" x14ac:dyDescent="0.25">
      <c r="A11" s="10" t="s">
        <v>10</v>
      </c>
      <c r="B11" s="10" t="str" cm="1">
        <f t="array" ref="B11">INDEX('Use Cases'!G:G,Action!B8)</f>
        <v>C:\demo-systems\std\systems\sal-prd\sys-3\data\deal_import2_in\</v>
      </c>
    </row>
    <row r="12" spans="1:7" s="8" customFormat="1" ht="39" hidden="1" customHeight="1" x14ac:dyDescent="0.25">
      <c r="A12" s="10"/>
      <c r="B12" s="10"/>
    </row>
    <row r="13" spans="1:7" s="9" customFormat="1" hidden="1" x14ac:dyDescent="0.25">
      <c r="A13" s="13" t="s">
        <v>12</v>
      </c>
      <c r="B13" s="13" t="s">
        <v>25</v>
      </c>
    </row>
    <row r="14" spans="1:7" s="9" customFormat="1" hidden="1" x14ac:dyDescent="0.25">
      <c r="A14" s="13"/>
      <c r="B14" s="13">
        <v>12064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Use Case" prompt="Select a use case to inject into Siena" xr:uid="{A0C785C2-9EA1-E547-AE95-653F59C54CE1}">
          <x14:formula1>
            <xm:f>'Use Cases'!F2:F50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Use Cases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2019-09-18T12:26:43Z</dcterms:modified>
</cp:coreProperties>
</file>